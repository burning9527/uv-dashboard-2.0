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2" autoFilterDateGrouping="1"/>
  </bookViews>
  <sheets>
    <sheet xmlns:r="http://schemas.openxmlformats.org/officeDocument/2006/relationships" name="管理看板-全流程数据汇总" sheetId="1" state="hidden" r:id="rId1"/>
    <sheet xmlns:r="http://schemas.openxmlformats.org/officeDocument/2006/relationships" name="管理看板-ABC分层" sheetId="2" state="hidden" r:id="rId2"/>
    <sheet xmlns:r="http://schemas.openxmlformats.org/officeDocument/2006/relationships" name="看板" sheetId="3" state="visible" r:id="rId3"/>
    <sheet xmlns:r="http://schemas.openxmlformats.org/officeDocument/2006/relationships" name="余露" sheetId="4" state="visible" r:id="rId4"/>
    <sheet xmlns:r="http://schemas.openxmlformats.org/officeDocument/2006/relationships" name="邓慧敏" sheetId="5" state="visible" r:id="rId5"/>
    <sheet xmlns:r="http://schemas.openxmlformats.org/officeDocument/2006/relationships" name="爱西" sheetId="6" state="visible" r:id="rId6"/>
    <sheet xmlns:r="http://schemas.openxmlformats.org/officeDocument/2006/relationships" name="庄蕙霞" sheetId="7" state="visible" r:id="rId7"/>
    <sheet xmlns:r="http://schemas.openxmlformats.org/officeDocument/2006/relationships" name="郑皓月" sheetId="8" state="visible" r:id="rId8"/>
    <sheet xmlns:r="http://schemas.openxmlformats.org/officeDocument/2006/relationships" name="宗志鹏" sheetId="9" state="visible" r:id="rId9"/>
    <sheet xmlns:r="http://schemas.openxmlformats.org/officeDocument/2006/relationships" name="韩舒波" sheetId="10" state="visible" r:id="rId10"/>
    <sheet xmlns:r="http://schemas.openxmlformats.org/officeDocument/2006/relationships" name="王璇" sheetId="11" state="visible" r:id="rId11"/>
    <sheet xmlns:r="http://schemas.openxmlformats.org/officeDocument/2006/relationships" name="徐康" sheetId="12" state="visible" r:id="rId12"/>
    <sheet xmlns:r="http://schemas.openxmlformats.org/officeDocument/2006/relationships" name="黄铭怡" sheetId="13" state="visible" r:id="rId13"/>
    <sheet xmlns:r="http://schemas.openxmlformats.org/officeDocument/2006/relationships" name="陈南" sheetId="14" state="visible" r:id="rId14"/>
    <sheet xmlns:r="http://schemas.openxmlformats.org/officeDocument/2006/relationships" name="刘佳明" sheetId="15" state="visible" r:id="rId15"/>
    <sheet xmlns:r="http://schemas.openxmlformats.org/officeDocument/2006/relationships" name="刘希子" sheetId="16" state="visible" r:id="rId16"/>
    <sheet xmlns:r="http://schemas.openxmlformats.org/officeDocument/2006/relationships" name="广州主讲" sheetId="17" state="visible" r:id="rId17"/>
    <sheet xmlns:r="http://schemas.openxmlformats.org/officeDocument/2006/relationships" name="肖锐" sheetId="18" state="visible" r:id="rId18"/>
    <sheet xmlns:r="http://schemas.openxmlformats.org/officeDocument/2006/relationships" name="赖浩轩" sheetId="19" state="visible" r:id="rId19"/>
    <sheet xmlns:r="http://schemas.openxmlformats.org/officeDocument/2006/relationships" name="高心怡" sheetId="20" state="visible" r:id="rId20"/>
  </sheets>
  <definedNames>
    <definedName name="_xlnm._FilterDatabase" localSheetId="3" hidden="1">'余露'!$A$2:$XFD$1048576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b val="1"/>
      <sz val="12"/>
    </font>
    <font>
      <b val="1"/>
      <color rgb="FFFFFFFF"/>
      <sz val="12"/>
    </font>
    <font>
      <color rgb="FFFFFFFF"/>
      <sz val="10"/>
    </font>
    <font>
      <name val="Microsoft YaHei"/>
      <sz val="10"/>
    </font>
    <font>
      <name val="宋体"/>
      <sz val="10"/>
    </font>
    <font>
      <b val="1"/>
      <sz val="10"/>
    </font>
    <font>
      <b val="1"/>
      <color rgb="FFFFFFFF"/>
      <sz val="10"/>
    </font>
    <font>
      <name val="Microsoft YaHei"/>
      <sz val="11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579AD5"/>
      </patternFill>
    </fill>
    <fill>
      <patternFill patternType="solid">
        <fgColor rgb="FFDFEBF6"/>
      </patternFill>
    </fill>
    <fill>
      <patternFill patternType="solid">
        <fgColor rgb="FF9C79D9"/>
      </patternFill>
    </fill>
    <fill>
      <patternFill patternType="solid">
        <fgColor rgb="FFC65A14"/>
      </patternFill>
    </fill>
    <fill>
      <patternFill patternType="solid">
        <fgColor rgb="FFF5F1F0"/>
      </patternFill>
    </fill>
    <fill>
      <patternFill patternType="solid">
        <fgColor rgb="FF16816D"/>
      </patternFill>
    </fill>
    <fill>
      <patternFill patternType="solid">
        <fgColor rgb="FF9F786B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FFD966"/>
      </left>
      <right style="double">
        <color rgb="FFFFD966"/>
      </right>
      <top style="double">
        <color rgb="FFFFD966"/>
      </top>
      <bottom style="double">
        <color rgb="FFFFD96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double">
        <color rgb="FFFFD966"/>
      </top>
      <bottom/>
      <diagonal/>
    </border>
    <border>
      <left style="double">
        <color rgb="FFFFD966"/>
      </left>
      <right/>
      <top/>
      <bottom/>
      <diagonal/>
    </border>
    <border>
      <left/>
      <right style="double">
        <color rgb="FFFFD966"/>
      </right>
      <top style="double">
        <color rgb="FFFFD966"/>
      </top>
      <bottom/>
      <diagonal/>
    </border>
    <border>
      <left/>
      <right style="double">
        <color rgb="FFFFD966"/>
      </right>
      <top/>
      <bottom/>
      <diagonal/>
    </border>
    <border>
      <left style="double">
        <color rgb="FFFFD966"/>
      </left>
      <right/>
      <top/>
      <bottom style="double">
        <color rgb="FFFFD966"/>
      </bottom>
      <diagonal/>
    </border>
    <border>
      <left/>
      <right/>
      <top/>
      <bottom style="double">
        <color rgb="FFFFD966"/>
      </bottom>
      <diagonal/>
    </border>
    <border>
      <left/>
      <right style="double">
        <color rgb="FFFFD966"/>
      </right>
      <top/>
      <bottom style="double">
        <color rgb="FFFFD966"/>
      </bottom>
      <diagonal/>
    </border>
    <border>
      <left/>
      <right/>
      <top style="double">
        <color rgb="FFFFD966"/>
      </top>
      <bottom style="double">
        <color rgb="FFFFD966"/>
      </bottom>
      <diagonal/>
    </border>
    <border>
      <left/>
      <right style="double">
        <color rgb="FFFFD966"/>
      </right>
      <top style="double">
        <color rgb="FFFFD966"/>
      </top>
      <bottom style="double">
        <color rgb="FFFFD966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7" fillId="2" borderId="7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9" fontId="4" fillId="3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0" fontId="7" fillId="5" borderId="9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9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4" fillId="6" borderId="5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3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4" fillId="6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8" borderId="9" applyAlignment="1" pivotButton="0" quotePrefix="0" xfId="0">
      <alignment horizontal="center" vertical="center"/>
    </xf>
    <xf numFmtId="0" fontId="11" fillId="7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3" fontId="4" fillId="0" borderId="9" applyAlignment="1" pivotButton="0" quotePrefix="0" xfId="0">
      <alignment horizontal="center" vertical="center"/>
    </xf>
    <xf numFmtId="9" fontId="4" fillId="0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9" fontId="7" fillId="5" borderId="9" applyAlignment="1" pivotButton="0" quotePrefix="0" xfId="0">
      <alignment horizontal="center" vertical="center"/>
    </xf>
    <xf numFmtId="3" fontId="7" fillId="5" borderId="9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 wrapText="1"/>
    </xf>
    <xf numFmtId="0" fontId="14" fillId="4" borderId="9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6" fillId="8" borderId="9" applyAlignment="1" pivotButton="0" quotePrefix="0" xfId="0">
      <alignment horizontal="center" vertical="center" wrapText="1"/>
    </xf>
    <xf numFmtId="0" fontId="17" fillId="8" borderId="9" applyAlignment="1" pivotButton="0" quotePrefix="0" xfId="0">
      <alignment horizontal="center" vertical="center" wrapText="1"/>
    </xf>
    <xf numFmtId="0" fontId="18" fillId="8" borderId="9" applyAlignment="1" pivotButton="0" quotePrefix="0" xfId="0">
      <alignment horizontal="center" vertical="center" wrapText="1"/>
    </xf>
    <xf numFmtId="0" fontId="19" fillId="8" borderId="9" applyAlignment="1" pivotButton="0" quotePrefix="0" xfId="0">
      <alignment horizontal="center" vertical="center" wrapText="1"/>
    </xf>
    <xf numFmtId="0" fontId="20" fillId="8" borderId="9" applyAlignment="1" pivotButton="0" quotePrefix="0" xfId="0">
      <alignment horizontal="center" vertical="center" wrapText="1"/>
    </xf>
    <xf numFmtId="0" fontId="21" fillId="8" borderId="9" applyAlignment="1" pivotButton="0" quotePrefix="0" xfId="0">
      <alignment horizontal="center" vertical="center" wrapText="1"/>
    </xf>
    <xf numFmtId="0" fontId="22" fillId="8" borderId="9" applyAlignment="1" pivotButton="0" quotePrefix="0" xfId="0">
      <alignment horizontal="center" vertical="center" wrapText="1"/>
    </xf>
    <xf numFmtId="0" fontId="23" fillId="8" borderId="9" applyAlignment="1" pivotButton="0" quotePrefix="0" xfId="0">
      <alignment horizontal="center" vertical="center" wrapText="1"/>
    </xf>
    <xf numFmtId="0" fontId="24" fillId="8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7" fillId="2" borderId="7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/>
    </xf>
    <xf numFmtId="0" fontId="24" fillId="2" borderId="4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4" borderId="5" applyAlignment="1" pivotButton="0" quotePrefix="0" xfId="0">
      <alignment horizontal="center" vertical="center"/>
    </xf>
    <xf numFmtId="0" fontId="24" fillId="4" borderId="5" applyAlignment="1" pivotButton="0" quotePrefix="0" xfId="0">
      <alignment horizontal="center" vertical="center" wrapText="1"/>
    </xf>
    <xf numFmtId="0" fontId="24" fillId="4" borderId="11" applyAlignment="1" pivotButton="0" quotePrefix="0" xfId="0">
      <alignment horizontal="center" vertical="center" wrapText="1"/>
    </xf>
    <xf numFmtId="0" fontId="24" fillId="2" borderId="8" applyAlignment="1" pivotButton="0" quotePrefix="0" xfId="0">
      <alignment horizontal="center" vertical="center" wrapText="1"/>
    </xf>
    <xf numFmtId="0" fontId="24" fillId="2" borderId="3" applyAlignment="1" pivotButton="0" quotePrefix="0" xfId="0">
      <alignment horizontal="center" vertical="center"/>
    </xf>
    <xf numFmtId="0" fontId="24" fillId="2" borderId="8" applyAlignment="1" pivotButton="0" quotePrefix="0" xfId="0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38100</colOff>
      <row>2</row>
      <rowOff>76200</rowOff>
    </from>
    <ext cx="6078489" cy="3235325"/>
    <pic>
      <nvPicPr>
        <cNvPr id="1" name="图片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8"/>
  <sheetViews>
    <sheetView workbookViewId="0">
      <pane xSplit="7" ySplit="3" topLeftCell="H4" activePane="bottomRight" state="frozen"/>
      <selection activeCell="A1" sqref="A1"/>
    </sheetView>
  </sheetViews>
  <sheetFormatPr baseColWidth="10" defaultColWidth="9.9990234375" defaultRowHeight="16.5" customHeight="1"/>
  <cols>
    <col width="11.373046875" customWidth="1" style="81" min="1" max="1"/>
    <col width="7.623046875" customWidth="1" style="81" min="2" max="2"/>
    <col width="6" customWidth="1" style="81" min="3" max="3"/>
    <col width="6.041015625" customWidth="1" style="81" min="4" max="4"/>
    <col width="7.623046875" customWidth="1" style="81" min="5" max="5"/>
    <col width="10.875" customWidth="1" style="81" min="6" max="6"/>
    <col width="9.2490234375" customWidth="1" style="81" min="7" max="7"/>
    <col width="12.6240234375" customWidth="1" style="81" min="8" max="8"/>
    <col width="9.2490234375" customWidth="1" style="81" min="9" max="10"/>
    <col width="10.875" customWidth="1" style="81" min="11" max="12"/>
    <col width="10.541015625" customWidth="1" style="81" min="13" max="13"/>
    <col width="11.666015625" customWidth="1" style="81" min="14" max="14"/>
    <col width="11.4990234375" customWidth="1" style="81" min="15" max="15"/>
    <col width="12" customWidth="1" style="81" min="16" max="16"/>
    <col width="12.2490234375" customWidth="1" style="81" min="17" max="17"/>
    <col width="13.7490234375" customWidth="1" style="81" min="18" max="18"/>
    <col hidden="1" width="13.7490234375" customWidth="1" style="81" min="19" max="19"/>
    <col width="12.1669921875" customWidth="1" style="81" min="20" max="20"/>
    <col width="16.248046875" customWidth="1" style="81" min="21" max="21"/>
    <col width="15.416015625" customWidth="1" style="81" min="22" max="22"/>
    <col width="12.75" customWidth="1" style="81" min="23" max="23"/>
    <col width="18.75" customWidth="1" style="81" min="24" max="24"/>
    <col width="12.75" customWidth="1" style="81" min="25" max="35"/>
  </cols>
  <sheetData>
    <row r="1" ht="18.75" customFormat="1" customHeight="1" s="7">
      <c r="A1" s="52" t="inlineStr">
        <is>
          <t>基本信息</t>
        </is>
      </c>
      <c r="B1" s="82" t="n"/>
      <c r="C1" s="82" t="n"/>
      <c r="D1" s="82" t="n"/>
      <c r="E1" s="82" t="n"/>
      <c r="F1" s="82" t="n"/>
      <c r="G1" s="83" t="n"/>
      <c r="H1" s="53" t="inlineStr">
        <is>
          <t>招生期</t>
        </is>
      </c>
      <c r="I1" s="54" t="inlineStr">
        <is>
          <t>开课前</t>
        </is>
      </c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5" t="n"/>
      <c r="U1" s="55" t="inlineStr">
        <is>
          <t>转化期</t>
        </is>
      </c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5" t="n"/>
    </row>
    <row r="2" ht="22.5" customHeight="1" s="81">
      <c r="A2" s="86" t="n"/>
      <c r="B2" s="87" t="n"/>
      <c r="C2" s="87" t="n"/>
      <c r="D2" s="87" t="n"/>
      <c r="E2" s="87" t="n"/>
      <c r="F2" s="87" t="n"/>
      <c r="G2" s="88" t="n"/>
      <c r="H2" s="56" t="inlineStr">
        <is>
          <t>诊断</t>
        </is>
      </c>
      <c r="I2" s="57" t="inlineStr">
        <is>
          <t>电访</t>
        </is>
      </c>
      <c r="J2" s="84" t="n"/>
      <c r="K2" s="84" t="n"/>
      <c r="L2" s="84" t="n"/>
      <c r="M2" s="84" t="n"/>
      <c r="N2" s="85" t="n"/>
      <c r="O2" s="57" t="inlineStr">
        <is>
          <t>开课家长会</t>
        </is>
      </c>
      <c r="P2" s="84" t="n"/>
      <c r="Q2" s="84" t="n"/>
      <c r="R2" s="84" t="n"/>
      <c r="S2" s="84" t="n"/>
      <c r="T2" s="85" t="n"/>
      <c r="U2" s="58" t="inlineStr">
        <is>
          <t>期中家长会</t>
        </is>
      </c>
      <c r="V2" s="84" t="n"/>
      <c r="W2" s="85" t="n"/>
      <c r="X2" s="58" t="inlineStr">
        <is>
          <t>校长会销讲座</t>
        </is>
      </c>
      <c r="Y2" s="84" t="n"/>
      <c r="Z2" s="84" t="n"/>
      <c r="AA2" s="84" t="n"/>
      <c r="AB2" s="84" t="n"/>
      <c r="AC2" s="84" t="n"/>
      <c r="AD2" s="84" t="n"/>
      <c r="AE2" s="84" t="n"/>
      <c r="AF2" s="84" t="n"/>
      <c r="AG2" s="84" t="n"/>
      <c r="AH2" s="84" t="n"/>
      <c r="AI2" s="85" t="n"/>
    </row>
    <row r="3" ht="29.25" customHeight="1" s="81">
      <c r="A3" s="59" t="inlineStr">
        <is>
          <t>学员档案表</t>
        </is>
      </c>
      <c r="B3" s="59" t="inlineStr">
        <is>
          <t>授课老师</t>
        </is>
      </c>
      <c r="C3" s="59" t="inlineStr">
        <is>
          <t>年级</t>
        </is>
      </c>
      <c r="D3" s="59" t="inlineStr">
        <is>
          <t>学科</t>
        </is>
      </c>
      <c r="E3" s="59" t="inlineStr">
        <is>
          <t>学员人数</t>
        </is>
      </c>
      <c r="F3" s="59" t="inlineStr">
        <is>
          <t>当前续报人数</t>
        </is>
      </c>
      <c r="G3" s="59" t="inlineStr">
        <is>
          <t>当前续报率</t>
        </is>
      </c>
      <c r="H3" s="60" t="inlineStr">
        <is>
          <t>完成率</t>
        </is>
      </c>
      <c r="I3" s="57" t="inlineStr">
        <is>
          <t>电访完成率</t>
        </is>
      </c>
      <c r="J3" s="57" t="inlineStr">
        <is>
          <t>费曼预约率</t>
        </is>
      </c>
      <c r="K3" s="57" t="inlineStr">
        <is>
          <t>家长会预约率</t>
        </is>
      </c>
      <c r="L3" s="69" t="inlineStr">
        <is>
          <t>AB类
占比</t>
        </is>
      </c>
      <c r="M3" s="70" t="inlineStr">
        <is>
          <t>AB类
费曼预约率</t>
        </is>
      </c>
      <c r="N3" s="71" t="inlineStr">
        <is>
          <t>AB类
家长会预约率</t>
        </is>
      </c>
      <c r="O3" s="57" t="inlineStr">
        <is>
          <t>线下到场率</t>
        </is>
      </c>
      <c r="P3" s="57" t="inlineStr">
        <is>
          <t>线上到场率</t>
        </is>
      </c>
      <c r="Q3" s="57" t="inlineStr">
        <is>
          <t>电访触达率</t>
        </is>
      </c>
      <c r="R3" s="57" t="inlineStr">
        <is>
          <t>家长公约签署率</t>
        </is>
      </c>
      <c r="S3" s="57" t="inlineStr">
        <is>
          <t>AB类占比</t>
        </is>
      </c>
      <c r="T3" s="57" t="inlineStr">
        <is>
          <t>A类占比率</t>
        </is>
      </c>
      <c r="U3" s="58" t="inlineStr">
        <is>
          <t>期中家长会预约率</t>
        </is>
      </c>
      <c r="V3" s="58" t="inlineStr">
        <is>
          <t>周六下午15:00-16:00数量</t>
        </is>
      </c>
      <c r="W3" s="58" t="inlineStr">
        <is>
          <t>周六晚上19:00-20:00数量</t>
        </is>
      </c>
      <c r="X3" s="58" t="inlineStr">
        <is>
          <t>期末考&amp;会销预约率</t>
        </is>
      </c>
      <c r="Y3" s="72" t="inlineStr">
        <is>
          <t>A类
占比</t>
        </is>
      </c>
      <c r="Z3" s="73" t="inlineStr">
        <is>
          <t>A类
到场率</t>
        </is>
      </c>
      <c r="AA3" s="74" t="inlineStr">
        <is>
          <t>A类
到场转化率</t>
        </is>
      </c>
      <c r="AB3" s="75" t="inlineStr">
        <is>
          <t>B类
占比</t>
        </is>
      </c>
      <c r="AC3" s="76" t="inlineStr">
        <is>
          <t>B类
到场率</t>
        </is>
      </c>
      <c r="AD3" s="77" t="inlineStr">
        <is>
          <t>B类
到场转化率</t>
        </is>
      </c>
      <c r="AE3" s="78" t="inlineStr">
        <is>
          <t>C类
占比</t>
        </is>
      </c>
      <c r="AF3" s="79" t="inlineStr">
        <is>
          <t>C类
到场率</t>
        </is>
      </c>
      <c r="AG3" s="80" t="inlineStr">
        <is>
          <t>C类
到场转化率</t>
        </is>
      </c>
      <c r="AH3" s="58" t="inlineStr">
        <is>
          <t>整体到场率</t>
        </is>
      </c>
      <c r="AI3" s="58" t="inlineStr">
        <is>
          <t>整体到场转化率</t>
        </is>
      </c>
    </row>
    <row r="4" ht="23.25" customHeight="1" s="81">
      <c r="A4" s="61" t="inlineStr">
        <is>
          <t>学员档案表1</t>
        </is>
      </c>
      <c r="B4" s="61" t="inlineStr">
        <is>
          <t>李燕子</t>
        </is>
      </c>
      <c r="C4" s="61" t="inlineStr">
        <is>
          <t>三年级</t>
        </is>
      </c>
      <c r="D4" s="61" t="inlineStr">
        <is>
          <t>数学</t>
        </is>
      </c>
      <c r="E4" s="61">
        <f>COUNTA('余露'!A$20:A$49)</f>
        <v/>
      </c>
      <c r="F4" s="62">
        <f>COUNTIF('余露'!#REF!,"是")</f>
        <v/>
      </c>
      <c r="G4" s="63">
        <f>F4/E4</f>
        <v/>
      </c>
      <c r="H4" s="63">
        <f>COUNTIF('余露'!#REF!,"是")/E4</f>
        <v/>
      </c>
      <c r="I4" s="63">
        <f>COUNTIF('余露'!#REF!,"是")/E4</f>
        <v/>
      </c>
      <c r="J4" s="63">
        <f>COUNTIF('余露'!#REF!,"是")/E4</f>
        <v/>
      </c>
      <c r="K4" s="63">
        <f>COUNTIF('余露'!#REF!,"是")/E4</f>
        <v/>
      </c>
      <c r="L4" s="63">
        <f>(COUNTIF('余露'!#REF!,"A")+COUNTIF('余露'!#REF!,"B"))/E4</f>
        <v/>
      </c>
      <c r="M4" s="63">
        <f>(COUNTIFS('余露'!#REF!,"是",'余露'!#REF!,"A")+COUNTIFS('余露'!#REF!,"是",'余露'!#REF!,"B"))/(COUNTIF('余露'!#REF!,"A")+COUNTIF('余露'!#REF!,"B"))</f>
        <v/>
      </c>
      <c r="N4" s="63">
        <f>(COUNTIFS('余露'!#REF!,"是",'余露'!#REF!,"A")+COUNTIFS('余露'!#REF!,"是",'余露'!#REF!,"B"))/(COUNTIF('余露'!#REF!,"A")+COUNTIF('余露'!#REF!,"B"))</f>
        <v/>
      </c>
      <c r="O4" s="63">
        <f>COUNTIF('余露'!#REF!,"是")/E4</f>
        <v/>
      </c>
      <c r="P4" s="63">
        <f>COUNTIF('余露'!#REF!,"是")/E4</f>
        <v/>
      </c>
      <c r="Q4" s="63">
        <f>COUNTIF('余露'!#REF!,"是")/E4</f>
        <v/>
      </c>
      <c r="R4" s="63">
        <f>COUNTIF('余露'!#REF!,"是")/E4</f>
        <v/>
      </c>
      <c r="S4" s="63">
        <f>(COUNTIF('余露'!#REF!,"A")+COUNTIF('余露'!#REF!,"升A")+COUNTIF('余露'!#REF!,"B"))/E4</f>
        <v/>
      </c>
      <c r="T4" s="63">
        <f>(COUNTIFS('余露'!#REF!,"A",'余露'!#REF!,"是")+COUNTIFS('余露'!#REF!,"升A",'余露'!#REF!,"是")+COUNTIFS('余露'!#REF!,"B",'余露'!#REF!,"是")+COUNTIFS('余露'!#REF!,"A",'余露'!#REF!,"是")+COUNTIFS('余露'!#REF!,"升A",'余露'!#REF!,"是")+COUNTIFS('余露'!#REF!,"B",'余露'!#REF!,"是")+COUNTIFS('余露'!#REF!,"A",'余露'!#REF!,"是")+COUNTIFS('余露'!#REF!,"升A",'余露'!#REF!,"是")+COUNTIFS('余露'!#REF!,"B",'余露'!#REF!,"是"))/(COUNTIF('余露'!#REF!,"A")+COUNTIF('余露'!#REF!,"升A")+COUNTIF('余露'!#REF!,"B"))</f>
        <v/>
      </c>
      <c r="U4" s="63">
        <f>COUNTIF('余露'!#REF!,"是")/E4</f>
        <v/>
      </c>
      <c r="V4" s="62">
        <f>COUNTIF('余露'!#REF!,"周六下午15:00-16:00")</f>
        <v/>
      </c>
      <c r="W4" s="62">
        <f>COUNTIF('余露'!#REF!,"周六晚上19:00-20:00")</f>
        <v/>
      </c>
      <c r="X4" s="63">
        <f>COUNTIF('余露'!#REF!,"是")/E4</f>
        <v/>
      </c>
      <c r="Y4" s="63">
        <f>COUNTIF('余露'!#REF!,"A")/E4</f>
        <v/>
      </c>
      <c r="Z4" s="63">
        <f>COUNTIFS('余露'!#REF!,"A",'余露'!#REF!,"是")/COUNTIF('余露'!#REF!,"A")</f>
        <v/>
      </c>
      <c r="AA4" s="63">
        <f>COUNTIFS('余露'!#REF!,"A",'余露'!#REF!,"是",'余露'!#REF!,"是")/COUNTIFS('余露'!#REF!,"A",'余露'!#REF!,"是")</f>
        <v/>
      </c>
      <c r="AB4" s="63">
        <f>COUNTIF('余露'!#REF!,"B")/E4</f>
        <v/>
      </c>
      <c r="AC4" s="63">
        <f>COUNTIFS('余露'!#REF!,"B",'余露'!#REF!,"是")/COUNTIF('余露'!#REF!,"B")</f>
        <v/>
      </c>
      <c r="AD4" s="63">
        <f>COUNTIFS('余露'!#REF!,"B",'余露'!#REF!,"是",'余露'!#REF!,"是")/COUNTIFS('余露'!#REF!,"B",'余露'!#REF!,"是")</f>
        <v/>
      </c>
      <c r="AE4" s="63">
        <f>COUNTIF('余露'!#REF!,"C")/E4</f>
        <v/>
      </c>
      <c r="AF4" s="63">
        <f>COUNTIFS('余露'!#REF!,"C",'余露'!#REF!,"是")/COUNTIF('余露'!#REF!,"C")</f>
        <v/>
      </c>
      <c r="AG4" s="63">
        <f>COUNTIFS('余露'!#REF!,"C",'余露'!#REF!,"是",'余露'!#REF!,"是")/COUNTIFS('余露'!#REF!,"C",'余露'!#REF!,"是")</f>
        <v/>
      </c>
      <c r="AH4" s="63">
        <f>COUNTIF('余露'!#REF!,"是")/E4</f>
        <v/>
      </c>
      <c r="AI4" s="63">
        <f>COUNTIF('余露'!#REF!,"是")/E4</f>
        <v/>
      </c>
    </row>
    <row r="5" ht="23.25" customHeight="1" s="81">
      <c r="A5" s="61" t="inlineStr">
        <is>
          <t>学员档案表2</t>
        </is>
      </c>
      <c r="B5" s="61" t="inlineStr">
        <is>
          <t>韩露露</t>
        </is>
      </c>
      <c r="C5" s="61" t="inlineStr">
        <is>
          <t>三年级</t>
        </is>
      </c>
      <c r="D5" s="61" t="inlineStr">
        <is>
          <t>数学</t>
        </is>
      </c>
      <c r="E5" s="61">
        <f>COUNTA(#REF!)</f>
        <v/>
      </c>
      <c r="F5" s="62">
        <f>COUNTIF(#REF!,"是")</f>
        <v/>
      </c>
      <c r="G5" s="63">
        <f>F5/E5</f>
        <v/>
      </c>
      <c r="H5" s="63">
        <f>COUNTIF(#REF!,"是")/E5</f>
        <v/>
      </c>
      <c r="I5" s="63">
        <f>COUNTIF(#REF!,"是")/E5</f>
        <v/>
      </c>
      <c r="J5" s="63">
        <f>COUNTIF(#REF!,"是")/E5</f>
        <v/>
      </c>
      <c r="K5" s="63">
        <f>COUNTIF(#REF!,"是")/E5</f>
        <v/>
      </c>
      <c r="L5" s="63">
        <f>(COUNTIF(#REF!,"A")+COUNTIF(#REF!,"B"))/E5</f>
        <v/>
      </c>
      <c r="M5" s="63">
        <f>(COUNTIFS(#REF!,"是",#REF!,"A")+COUNTIFS(#REF!,"是",#REF!,"B"))/(COUNTIF(#REF!,"A")+COUNTIF(#REF!,"B"))</f>
        <v/>
      </c>
      <c r="N5" s="63">
        <f>(COUNTIFS(#REF!,"是",#REF!,"A")+COUNTIFS(#REF!,"是",#REF!,"B"))/(COUNTIF(#REF!,"A")+COUNTIF(#REF!,"B"))</f>
        <v/>
      </c>
      <c r="O5" s="63">
        <f>COUNTIF(#REF!,"是")/E5</f>
        <v/>
      </c>
      <c r="P5" s="63">
        <f>COUNTIF(#REF!,"是")/E5</f>
        <v/>
      </c>
      <c r="Q5" s="63">
        <f>COUNTIF(#REF!,"是")/E5</f>
        <v/>
      </c>
      <c r="R5" s="63">
        <f>COUNTIF(#REF!,"是")/E5</f>
        <v/>
      </c>
      <c r="S5" s="63">
        <f>(COUNTIF(#REF!,"A")+COUNTIF(#REF!,"升A")+COUNTIF(#REF!,"B"))/E5</f>
        <v/>
      </c>
      <c r="T5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5" s="63">
        <f>COUNTIF(#REF!,"是")/E5</f>
        <v/>
      </c>
      <c r="V5" s="62">
        <f>COUNTIF(#REF!,"周六下午15:00-16:00")</f>
        <v/>
      </c>
      <c r="W5" s="62">
        <f>COUNTIF(#REF!,"周六晚上19:00-20:00")</f>
        <v/>
      </c>
      <c r="X5" s="63">
        <f>COUNTIF(#REF!,"是")/E5</f>
        <v/>
      </c>
      <c r="Y5" s="63">
        <f>COUNTIF(#REF!,"A")/E5</f>
        <v/>
      </c>
      <c r="Z5" s="63">
        <f>COUNTIFS(#REF!,"A",#REF!,"是")/COUNTIF(#REF!,"A")</f>
        <v/>
      </c>
      <c r="AA5" s="63">
        <f>COUNTIFS(#REF!,"A",#REF!,"是",#REF!,"是")/COUNTIFS(#REF!,"A",#REF!,"是")</f>
        <v/>
      </c>
      <c r="AB5" s="63">
        <f>COUNTIF(#REF!,"B")/E5</f>
        <v/>
      </c>
      <c r="AC5" s="63">
        <f>COUNTIFS(#REF!,"B",#REF!,"是")/COUNTIF(#REF!,"B")</f>
        <v/>
      </c>
      <c r="AD5" s="63">
        <f>COUNTIFS(#REF!,"B",#REF!,"是",#REF!,"是")/COUNTIFS(#REF!,"B",#REF!,"是")</f>
        <v/>
      </c>
      <c r="AE5" s="63">
        <f>COUNTIF(#REF!,"C")/E5</f>
        <v/>
      </c>
      <c r="AF5" s="63">
        <f>COUNTIFS(#REF!,"C",#REF!,"是")/COUNTIF(#REF!,"C")</f>
        <v/>
      </c>
      <c r="AG5" s="63">
        <f>COUNTIFS(#REF!,"C",#REF!,"是",#REF!,"是")/COUNTIFS(#REF!,"C",#REF!,"是")</f>
        <v/>
      </c>
      <c r="AH5" s="63">
        <f>COUNTIF(#REF!,"是")/E5</f>
        <v/>
      </c>
      <c r="AI5" s="63">
        <f>COUNTIF(#REF!,"是")/E5</f>
        <v/>
      </c>
    </row>
    <row r="6" ht="23.25" customHeight="1" s="81">
      <c r="A6" s="61" t="inlineStr">
        <is>
          <t>学员档案表3</t>
        </is>
      </c>
      <c r="B6" s="61" t="inlineStr">
        <is>
          <t>车雨欣</t>
        </is>
      </c>
      <c r="C6" s="61" t="inlineStr">
        <is>
          <t>三年级</t>
        </is>
      </c>
      <c r="D6" s="61" t="inlineStr">
        <is>
          <t>英语</t>
        </is>
      </c>
      <c r="E6" s="61">
        <f>COUNTA(#REF!)</f>
        <v/>
      </c>
      <c r="F6" s="62">
        <f>COUNTIF(#REF!,"是")</f>
        <v/>
      </c>
      <c r="G6" s="63">
        <f>F6/E6</f>
        <v/>
      </c>
      <c r="H6" s="63">
        <f>COUNTIF(#REF!,"是")/E6</f>
        <v/>
      </c>
      <c r="I6" s="63">
        <f>COUNTIF(#REF!,"是")/E6</f>
        <v/>
      </c>
      <c r="J6" s="63">
        <f>COUNTIF(#REF!,"是")/E6</f>
        <v/>
      </c>
      <c r="K6" s="63">
        <f>COUNTIF(#REF!,"是")/E6</f>
        <v/>
      </c>
      <c r="L6" s="63">
        <f>(COUNTIF(#REF!,"A")+COUNTIF(#REF!,"B"))/E6</f>
        <v/>
      </c>
      <c r="M6" s="63">
        <f>(COUNTIFS(#REF!,"是",#REF!,"A")+COUNTIFS(#REF!,"是",#REF!,"B"))/(COUNTIF(#REF!,"A")+COUNTIF(#REF!,"B"))</f>
        <v/>
      </c>
      <c r="N6" s="63">
        <f>(COUNTIFS(#REF!,"是",#REF!,"A")+COUNTIFS(#REF!,"是",#REF!,"B"))/(COUNTIF(#REF!,"A")+COUNTIF(#REF!,"B"))</f>
        <v/>
      </c>
      <c r="O6" s="63">
        <f>COUNTIF(#REF!,"是")/E6</f>
        <v/>
      </c>
      <c r="P6" s="63">
        <f>COUNTIF(#REF!,"是")/E6</f>
        <v/>
      </c>
      <c r="Q6" s="63">
        <f>COUNTIF(#REF!,"是")/E6</f>
        <v/>
      </c>
      <c r="R6" s="63">
        <f>COUNTIF(#REF!,"是")/E6</f>
        <v/>
      </c>
      <c r="S6" s="63">
        <f>(COUNTIF(#REF!,"A")+COUNTIF(#REF!,"升A")+COUNTIF(#REF!,"B"))/E6</f>
        <v/>
      </c>
      <c r="T6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6" s="63">
        <f>COUNTIF(#REF!,"是")/E6</f>
        <v/>
      </c>
      <c r="V6" s="62">
        <f>COUNTIF(#REF!,"周六下午15:00-16:00")</f>
        <v/>
      </c>
      <c r="W6" s="62">
        <f>COUNTIF(#REF!,"周六晚上19:00-20:00")</f>
        <v/>
      </c>
      <c r="X6" s="63">
        <f>COUNTIF(#REF!,"是")/E6</f>
        <v/>
      </c>
      <c r="Y6" s="63">
        <f>COUNTIF(#REF!,"A")/E6</f>
        <v/>
      </c>
      <c r="Z6" s="63">
        <f>COUNTIFS(#REF!,"A",#REF!,"是")/COUNTIF(#REF!,"A")</f>
        <v/>
      </c>
      <c r="AA6" s="63">
        <f>COUNTIFS(#REF!,"A",#REF!,"是",#REF!,"是")/COUNTIFS(#REF!,"A",#REF!,"是")</f>
        <v/>
      </c>
      <c r="AB6" s="63">
        <f>COUNTIF(#REF!,"B")/E6</f>
        <v/>
      </c>
      <c r="AC6" s="63">
        <f>COUNTIFS(#REF!,"B",#REF!,"是")/COUNTIF(#REF!,"B")</f>
        <v/>
      </c>
      <c r="AD6" s="63">
        <f>COUNTIFS(#REF!,"B",#REF!,"是",#REF!,"是")/COUNTIFS(#REF!,"B",#REF!,"是")</f>
        <v/>
      </c>
      <c r="AE6" s="63">
        <f>COUNTIF(#REF!,"C")/E6</f>
        <v/>
      </c>
      <c r="AF6" s="63">
        <f>COUNTIFS(#REF!,"C",#REF!,"是")/COUNTIF(#REF!,"C")</f>
        <v/>
      </c>
      <c r="AG6" s="63">
        <f>COUNTIFS(#REF!,"C",#REF!,"是",#REF!,"是")/COUNTIFS(#REF!,"C",#REF!,"是")</f>
        <v/>
      </c>
      <c r="AH6" s="63">
        <f>COUNTIF(#REF!,"是")/E6</f>
        <v/>
      </c>
      <c r="AI6" s="63">
        <f>COUNTIF(#REF!,"是")/E6</f>
        <v/>
      </c>
    </row>
    <row r="7" ht="23.25" customHeight="1" s="81">
      <c r="A7" s="61" t="inlineStr">
        <is>
          <t>学员档案表4</t>
        </is>
      </c>
      <c r="B7" s="61" t="inlineStr">
        <is>
          <t>汪杰</t>
        </is>
      </c>
      <c r="C7" s="61" t="inlineStr">
        <is>
          <t>六年级</t>
        </is>
      </c>
      <c r="D7" s="61" t="inlineStr">
        <is>
          <t>数学</t>
        </is>
      </c>
      <c r="E7" s="61">
        <f>COUNTA(#REF!)</f>
        <v/>
      </c>
      <c r="F7" s="62">
        <f>COUNTIF(#REF!,"是")</f>
        <v/>
      </c>
      <c r="G7" s="63">
        <f>F7/E7</f>
        <v/>
      </c>
      <c r="H7" s="63">
        <f>COUNTIF(#REF!,"是")/E7</f>
        <v/>
      </c>
      <c r="I7" s="63">
        <f>COUNTIF(#REF!,"是")/E7</f>
        <v/>
      </c>
      <c r="J7" s="63">
        <f>COUNTIF(#REF!,"是")/E7</f>
        <v/>
      </c>
      <c r="K7" s="63">
        <f>COUNTIF(#REF!,"是")/E7</f>
        <v/>
      </c>
      <c r="L7" s="63">
        <f>(COUNTIF(#REF!,"A")+COUNTIF(#REF!,"B"))/E7</f>
        <v/>
      </c>
      <c r="M7" s="63">
        <f>(COUNTIFS(#REF!,"是",#REF!,"A")+COUNTIFS(#REF!,"是",#REF!,"B"))/(COUNTIF(#REF!,"A")+COUNTIF(#REF!,"B"))</f>
        <v/>
      </c>
      <c r="N7" s="63">
        <f>(COUNTIFS(#REF!,"是",#REF!,"A")+COUNTIFS(#REF!,"是",#REF!,"B"))/(COUNTIF(#REF!,"A")+COUNTIF(#REF!,"B"))</f>
        <v/>
      </c>
      <c r="O7" s="63">
        <f>COUNTIF(#REF!,"是")/E7</f>
        <v/>
      </c>
      <c r="P7" s="63">
        <f>COUNTIF(#REF!,"是")/E7</f>
        <v/>
      </c>
      <c r="Q7" s="63">
        <f>COUNTIF(#REF!,"是")/E7</f>
        <v/>
      </c>
      <c r="R7" s="63">
        <f>COUNTIF(#REF!,"是")/E7</f>
        <v/>
      </c>
      <c r="S7" s="63">
        <f>(COUNTIF(#REF!,"A")+COUNTIF(#REF!,"升A")+COUNTIF(#REF!,"B"))/E7</f>
        <v/>
      </c>
      <c r="T7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7" s="63">
        <f>COUNTIF(#REF!,"是")/E7</f>
        <v/>
      </c>
      <c r="V7" s="62">
        <f>COUNTIF(#REF!,"周六下午15:00-16:00")</f>
        <v/>
      </c>
      <c r="W7" s="62">
        <f>COUNTIF(#REF!,"周六晚上19:00-20:00")</f>
        <v/>
      </c>
      <c r="X7" s="63">
        <f>COUNTIF(#REF!,"是")/E7</f>
        <v/>
      </c>
      <c r="Y7" s="63">
        <f>COUNTIF(#REF!,"A")/E7</f>
        <v/>
      </c>
      <c r="Z7" s="63">
        <f>COUNTIFS(#REF!,"A",#REF!,"是")/COUNTIF(#REF!,"A")</f>
        <v/>
      </c>
      <c r="AA7" s="63">
        <f>COUNTIFS(#REF!,"A",#REF!,"是",#REF!,"是")/COUNTIFS(#REF!,"A",#REF!,"是")</f>
        <v/>
      </c>
      <c r="AB7" s="63">
        <f>COUNTIF(#REF!,"B")/E7</f>
        <v/>
      </c>
      <c r="AC7" s="63">
        <f>COUNTIFS(#REF!,"B",#REF!,"是")/COUNTIF(#REF!,"B")</f>
        <v/>
      </c>
      <c r="AD7" s="63">
        <f>COUNTIFS(#REF!,"B",#REF!,"是",#REF!,"是")/COUNTIFS(#REF!,"B",#REF!,"是")</f>
        <v/>
      </c>
      <c r="AE7" s="63">
        <f>COUNTIF(#REF!,"C")/E7</f>
        <v/>
      </c>
      <c r="AF7" s="63">
        <f>COUNTIFS(#REF!,"C",#REF!,"是")/COUNTIF(#REF!,"C")</f>
        <v/>
      </c>
      <c r="AG7" s="63">
        <f>COUNTIFS(#REF!,"C",#REF!,"是",#REF!,"是")/COUNTIFS(#REF!,"C",#REF!,"是")</f>
        <v/>
      </c>
      <c r="AH7" s="63">
        <f>COUNTIF(#REF!,"是")/E7</f>
        <v/>
      </c>
      <c r="AI7" s="63">
        <f>COUNTIF(#REF!,"是")/E7</f>
        <v/>
      </c>
    </row>
    <row r="8" ht="23.25" customHeight="1" s="81">
      <c r="A8" s="61" t="inlineStr">
        <is>
          <t>学员档案表5</t>
        </is>
      </c>
      <c r="B8" s="61" t="inlineStr">
        <is>
          <t>陈文星</t>
        </is>
      </c>
      <c r="C8" s="61" t="inlineStr">
        <is>
          <t>六年级</t>
        </is>
      </c>
      <c r="D8" s="61" t="inlineStr">
        <is>
          <t>数学</t>
        </is>
      </c>
      <c r="E8" s="61" t="n">
        <v>19</v>
      </c>
      <c r="F8" s="62">
        <f>COUNTIF(#REF!,"是")</f>
        <v/>
      </c>
      <c r="G8" s="63">
        <f>F8/E8</f>
        <v/>
      </c>
      <c r="H8" s="63">
        <f>COUNTIF(#REF!,"是")/E8</f>
        <v/>
      </c>
      <c r="I8" s="63">
        <f>COUNTIF(#REF!,"是")/E8</f>
        <v/>
      </c>
      <c r="J8" s="63">
        <f>COUNTIF(#REF!,"是")/E8</f>
        <v/>
      </c>
      <c r="K8" s="63">
        <f>COUNTIF(#REF!,"是")/E8</f>
        <v/>
      </c>
      <c r="L8" s="63">
        <f>(COUNTIF(#REF!,"A")+COUNTIF(#REF!,"B"))/E8</f>
        <v/>
      </c>
      <c r="M8" s="63">
        <f>(COUNTIFS(#REF!,"是",#REF!,"A")+COUNTIFS(#REF!,"是",#REF!,"B"))/(COUNTIF(#REF!,"A")+COUNTIF(#REF!,"B"))</f>
        <v/>
      </c>
      <c r="N8" s="63">
        <f>(COUNTIFS(#REF!,"是",#REF!,"A")+COUNTIFS(#REF!,"是",#REF!,"B"))/(COUNTIF(#REF!,"A")+COUNTIF(#REF!,"B"))</f>
        <v/>
      </c>
      <c r="O8" s="63">
        <f>COUNTIF(#REF!,"是")/E8</f>
        <v/>
      </c>
      <c r="P8" s="63">
        <f>COUNTIF(#REF!,"是")/E8</f>
        <v/>
      </c>
      <c r="Q8" s="63">
        <f>COUNTIF(#REF!,"是")/E8</f>
        <v/>
      </c>
      <c r="R8" s="63">
        <f>COUNTIF(#REF!,"是")/E8</f>
        <v/>
      </c>
      <c r="S8" s="63">
        <f>(COUNTIF(#REF!,"A")+COUNTIF(#REF!,"升A")+COUNTIF(#REF!,"B"))/E8</f>
        <v/>
      </c>
      <c r="T8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8" s="63">
        <f>COUNTIF(#REF!,"是")/E8</f>
        <v/>
      </c>
      <c r="V8" s="62">
        <f>COUNTIF(#REF!,"周六下午15:00-16:00")</f>
        <v/>
      </c>
      <c r="W8" s="62">
        <f>COUNTIF(#REF!,"周六晚上19:00-20:00")</f>
        <v/>
      </c>
      <c r="X8" s="63">
        <f>COUNTIF(#REF!,"是")/E8</f>
        <v/>
      </c>
      <c r="Y8" s="63">
        <f>COUNTIF(#REF!,"A")/E8</f>
        <v/>
      </c>
      <c r="Z8" s="63">
        <f>COUNTIFS(#REF!,"A",#REF!,"是")/COUNTIF(#REF!,"A")</f>
        <v/>
      </c>
      <c r="AA8" s="63">
        <f>COUNTIFS(#REF!,"A",#REF!,"是",#REF!,"是")/COUNTIFS(#REF!,"A",#REF!,"是")</f>
        <v/>
      </c>
      <c r="AB8" s="63">
        <f>COUNTIF(#REF!,"B")/E8</f>
        <v/>
      </c>
      <c r="AC8" s="63">
        <f>COUNTIFS(#REF!,"B",#REF!,"是")/COUNTIF(#REF!,"B")</f>
        <v/>
      </c>
      <c r="AD8" s="63">
        <f>COUNTIFS(#REF!,"B",#REF!,"是",#REF!,"是")/COUNTIFS(#REF!,"B",#REF!,"是")</f>
        <v/>
      </c>
      <c r="AE8" s="63">
        <f>COUNTIF(#REF!,"C")/E8</f>
        <v/>
      </c>
      <c r="AF8" s="63">
        <f>COUNTIFS(#REF!,"C",#REF!,"是")/COUNTIF(#REF!,"C")</f>
        <v/>
      </c>
      <c r="AG8" s="63">
        <f>COUNTIFS(#REF!,"C",#REF!,"是",#REF!,"是")/COUNTIFS(#REF!,"C",#REF!,"是")</f>
        <v/>
      </c>
      <c r="AH8" s="63">
        <f>COUNTIF(#REF!,"是")/E8</f>
        <v/>
      </c>
      <c r="AI8" s="63">
        <f>COUNTIF(#REF!,"是")/E8</f>
        <v/>
      </c>
    </row>
    <row r="9" ht="23.25" customHeight="1" s="81">
      <c r="A9" s="61" t="inlineStr">
        <is>
          <t>学员档案表6</t>
        </is>
      </c>
      <c r="B9" s="61" t="inlineStr">
        <is>
          <t>张粤</t>
        </is>
      </c>
      <c r="C9" s="61" t="inlineStr">
        <is>
          <t>六年级</t>
        </is>
      </c>
      <c r="D9" s="61" t="inlineStr">
        <is>
          <t>英语</t>
        </is>
      </c>
      <c r="E9" s="61">
        <f>COUNTA(#REF!)</f>
        <v/>
      </c>
      <c r="F9" s="62">
        <f>COUNTIF(#REF!,"是")</f>
        <v/>
      </c>
      <c r="G9" s="63">
        <f>F9/E9</f>
        <v/>
      </c>
      <c r="H9" s="63">
        <f>COUNTIF(#REF!,"是")/E9</f>
        <v/>
      </c>
      <c r="I9" s="63">
        <f>COUNTIF(#REF!,"是")/E9</f>
        <v/>
      </c>
      <c r="J9" s="63">
        <f>COUNTIF(#REF!,"是")/E9</f>
        <v/>
      </c>
      <c r="K9" s="63">
        <f>COUNTIF(#REF!,"是")/E9</f>
        <v/>
      </c>
      <c r="L9" s="63">
        <f>(COUNTIF(#REF!,"A")+COUNTIF(#REF!,"B"))/E9</f>
        <v/>
      </c>
      <c r="M9" s="63">
        <f>(COUNTIFS(#REF!,"是",#REF!,"A")+COUNTIFS(#REF!,"是",#REF!,"B"))/(COUNTIF(#REF!,"A")+COUNTIF(#REF!,"B"))</f>
        <v/>
      </c>
      <c r="N9" s="63">
        <f>(COUNTIFS(#REF!,"是",#REF!,"A")+COUNTIFS(#REF!,"是",#REF!,"B"))/(COUNTIF(#REF!,"A")+COUNTIF(#REF!,"B"))</f>
        <v/>
      </c>
      <c r="O9" s="63">
        <f>COUNTIF(#REF!,"是")/E9</f>
        <v/>
      </c>
      <c r="P9" s="63">
        <f>COUNTIF(#REF!,"是")/E9</f>
        <v/>
      </c>
      <c r="Q9" s="63">
        <f>COUNTIF(#REF!,"是")/E9</f>
        <v/>
      </c>
      <c r="R9" s="63">
        <f>COUNTIF(#REF!,"是")/E9</f>
        <v/>
      </c>
      <c r="S9" s="63">
        <f>(COUNTIF(#REF!,"A")+COUNTIF(#REF!,"升A")+COUNTIF(#REF!,"B"))/E9</f>
        <v/>
      </c>
      <c r="T9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9" s="63">
        <f>COUNTIF(#REF!,"是")/E9</f>
        <v/>
      </c>
      <c r="V9" s="62">
        <f>COUNTIF(#REF!,"周六下午15:00-16:00")</f>
        <v/>
      </c>
      <c r="W9" s="62">
        <f>COUNTIF(#REF!,"周六晚上19:00-20:00")</f>
        <v/>
      </c>
      <c r="X9" s="63">
        <f>COUNTIF(#REF!,"是")/E9</f>
        <v/>
      </c>
      <c r="Y9" s="63">
        <f>COUNTIF(#REF!,"A")/E9</f>
        <v/>
      </c>
      <c r="Z9" s="63">
        <f>COUNTIFS(#REF!,"A",#REF!,"是")/COUNTIF(#REF!,"A")</f>
        <v/>
      </c>
      <c r="AA9" s="63">
        <f>COUNTIFS(#REF!,"A",#REF!,"是",#REF!,"是")/COUNTIFS(#REF!,"A",#REF!,"是")</f>
        <v/>
      </c>
      <c r="AB9" s="63">
        <f>COUNTIF(#REF!,"B")/E9</f>
        <v/>
      </c>
      <c r="AC9" s="63">
        <f>COUNTIFS(#REF!,"B",#REF!,"是")/COUNTIF(#REF!,"B")</f>
        <v/>
      </c>
      <c r="AD9" s="63">
        <f>COUNTIFS(#REF!,"B",#REF!,"是",#REF!,"是")/COUNTIFS(#REF!,"B",#REF!,"是")</f>
        <v/>
      </c>
      <c r="AE9" s="63">
        <f>COUNTIF(#REF!,"C")/E9</f>
        <v/>
      </c>
      <c r="AF9" s="63">
        <f>COUNTIFS(#REF!,"C",#REF!,"是")/COUNTIF(#REF!,"C")</f>
        <v/>
      </c>
      <c r="AG9" s="63">
        <f>COUNTIFS(#REF!,"C",#REF!,"是",#REF!,"是")/COUNTIFS(#REF!,"C",#REF!,"是")</f>
        <v/>
      </c>
      <c r="AH9" s="63">
        <f>COUNTIF(#REF!,"是")/E9</f>
        <v/>
      </c>
      <c r="AI9" s="63">
        <f>COUNTIF(#REF!,"是")/E9</f>
        <v/>
      </c>
    </row>
    <row r="10" ht="23.25" customHeight="1" s="81">
      <c r="A10" s="61" t="inlineStr">
        <is>
          <t>学员档案表7</t>
        </is>
      </c>
      <c r="B10" s="61" t="inlineStr">
        <is>
          <t>袁继成</t>
        </is>
      </c>
      <c r="C10" s="61" t="inlineStr">
        <is>
          <t>七年级</t>
        </is>
      </c>
      <c r="D10" s="61" t="inlineStr">
        <is>
          <t>数学</t>
        </is>
      </c>
      <c r="E10" s="61">
        <f>COUNTA(#REF!)</f>
        <v/>
      </c>
      <c r="F10" s="62">
        <f>COUNTIF(#REF!,"是")</f>
        <v/>
      </c>
      <c r="G10" s="63">
        <f>F10/E10</f>
        <v/>
      </c>
      <c r="H10" s="63">
        <f>COUNTIF(#REF!,"是")/E10</f>
        <v/>
      </c>
      <c r="I10" s="63">
        <f>COUNTIF(#REF!,"是")/E10</f>
        <v/>
      </c>
      <c r="J10" s="63">
        <f>COUNTIF(#REF!,"是")/E10</f>
        <v/>
      </c>
      <c r="K10" s="63">
        <f>COUNTIF(#REF!,"是")/E10</f>
        <v/>
      </c>
      <c r="L10" s="63">
        <f>(COUNTIF(#REF!,"A")+COUNTIF(#REF!,"B"))/E10</f>
        <v/>
      </c>
      <c r="M10" s="63">
        <f>(COUNTIFS(#REF!,"是",#REF!,"A")+COUNTIFS(#REF!,"是",#REF!,"B"))/(COUNTIF(#REF!,"A")+COUNTIF(#REF!,"B"))</f>
        <v/>
      </c>
      <c r="N10" s="63">
        <f>(COUNTIFS(#REF!,"是",#REF!,"A")+COUNTIFS(#REF!,"是",#REF!,"B"))/(COUNTIF(#REF!,"A")+COUNTIF(#REF!,"B"))</f>
        <v/>
      </c>
      <c r="O10" s="63">
        <f>COUNTIF(#REF!,"是")/E10</f>
        <v/>
      </c>
      <c r="P10" s="63">
        <f>COUNTIF(#REF!,"是")/E10</f>
        <v/>
      </c>
      <c r="Q10" s="63">
        <f>COUNTIF(#REF!,"是")/E10</f>
        <v/>
      </c>
      <c r="R10" s="63">
        <f>COUNTIF(#REF!,"是")/E10</f>
        <v/>
      </c>
      <c r="S10" s="63">
        <f>(COUNTIF(#REF!,"A")+COUNTIF(#REF!,"升A")+COUNTIF(#REF!,"B"))/E10</f>
        <v/>
      </c>
      <c r="T10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10" s="63">
        <f>COUNTIF(#REF!,"是")/E10</f>
        <v/>
      </c>
      <c r="V10" s="62">
        <f>COUNTIF(#REF!,"周六下午15:00-16:00")</f>
        <v/>
      </c>
      <c r="W10" s="62">
        <f>COUNTIF(#REF!,"周六晚上19:00-20:00")</f>
        <v/>
      </c>
      <c r="X10" s="63">
        <f>COUNTIF(#REF!,"是")/E10</f>
        <v/>
      </c>
      <c r="Y10" s="63">
        <f>COUNTIF(#REF!,"A")/E10</f>
        <v/>
      </c>
      <c r="Z10" s="63">
        <f>COUNTIFS(#REF!,"A",#REF!,"是")/COUNTIF(#REF!,"A")</f>
        <v/>
      </c>
      <c r="AA10" s="63">
        <f>COUNTIFS(#REF!,"A",#REF!,"是",#REF!,"是")/COUNTIFS(#REF!,"A",#REF!,"是")</f>
        <v/>
      </c>
      <c r="AB10" s="63">
        <f>COUNTIF(#REF!,"B")/E10</f>
        <v/>
      </c>
      <c r="AC10" s="63">
        <f>COUNTIFS(#REF!,"B",#REF!,"是")/COUNTIF(#REF!,"B")</f>
        <v/>
      </c>
      <c r="AD10" s="63">
        <f>COUNTIFS(#REF!,"B",#REF!,"是",#REF!,"是")/COUNTIFS(#REF!,"B",#REF!,"是")</f>
        <v/>
      </c>
      <c r="AE10" s="63">
        <f>COUNTIF(#REF!,"C")/E10</f>
        <v/>
      </c>
      <c r="AF10" s="63">
        <f>COUNTIFS(#REF!,"C",#REF!,"是")/COUNTIF(#REF!,"C")</f>
        <v/>
      </c>
      <c r="AG10" s="63">
        <f>COUNTIFS(#REF!,"C",#REF!,"是",#REF!,"是")/COUNTIFS(#REF!,"C",#REF!,"是")</f>
        <v/>
      </c>
      <c r="AH10" s="63">
        <f>COUNTIF(#REF!,"是")/E10</f>
        <v/>
      </c>
      <c r="AI10" s="63">
        <f>COUNTIF(#REF!,"是")/E10</f>
        <v/>
      </c>
    </row>
    <row r="11" ht="23.25" customHeight="1" s="81">
      <c r="A11" s="61" t="inlineStr">
        <is>
          <t>学员档案表8</t>
        </is>
      </c>
      <c r="B11" s="61" t="inlineStr">
        <is>
          <t>周志林</t>
        </is>
      </c>
      <c r="C11" s="61" t="inlineStr">
        <is>
          <t>七年级</t>
        </is>
      </c>
      <c r="D11" s="61" t="inlineStr">
        <is>
          <t>英语</t>
        </is>
      </c>
      <c r="E11" s="61">
        <f>COUNTA(#REF!)</f>
        <v/>
      </c>
      <c r="F11" s="62">
        <f>COUNTIF(#REF!,"是")</f>
        <v/>
      </c>
      <c r="G11" s="63">
        <f>F11/E11</f>
        <v/>
      </c>
      <c r="H11" s="63">
        <f>COUNTIF(#REF!,"是")/E11</f>
        <v/>
      </c>
      <c r="I11" s="63">
        <f>COUNTIF(#REF!,"是")/E11</f>
        <v/>
      </c>
      <c r="J11" s="63">
        <f>COUNTIF(#REF!,"是")/E11</f>
        <v/>
      </c>
      <c r="K11" s="63">
        <f>COUNTIF(#REF!,"是")/E11</f>
        <v/>
      </c>
      <c r="L11" s="63">
        <f>(COUNTIF(#REF!,"A")+COUNTIF(#REF!,"B"))/E11</f>
        <v/>
      </c>
      <c r="M11" s="63">
        <f>(COUNTIFS(#REF!,"是",#REF!,"A")+COUNTIFS(#REF!,"是",#REF!,"B"))/(COUNTIF(#REF!,"A")+COUNTIF(#REF!,"B"))</f>
        <v/>
      </c>
      <c r="N11" s="63">
        <f>(COUNTIFS(#REF!,"是",#REF!,"A")+COUNTIFS(#REF!,"是",#REF!,"B"))/(COUNTIF(#REF!,"A")+COUNTIF(#REF!,"B"))</f>
        <v/>
      </c>
      <c r="O11" s="63">
        <f>COUNTIF(#REF!,"是")/E11</f>
        <v/>
      </c>
      <c r="P11" s="63">
        <f>COUNTIF(#REF!,"是")/E11</f>
        <v/>
      </c>
      <c r="Q11" s="63">
        <f>COUNTIF(#REF!,"是")/E11</f>
        <v/>
      </c>
      <c r="R11" s="63">
        <f>COUNTIF(#REF!,"是")/E11</f>
        <v/>
      </c>
      <c r="S11" s="63">
        <f>(COUNTIF(#REF!,"A")+COUNTIF(#REF!,"升A")+COUNTIF(#REF!,"B"))/E11</f>
        <v/>
      </c>
      <c r="T11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11" s="63">
        <f>COUNTIF(#REF!,"是")/E11</f>
        <v/>
      </c>
      <c r="V11" s="62">
        <f>COUNTIF(#REF!,"周六下午15:00-16:00")</f>
        <v/>
      </c>
      <c r="W11" s="62">
        <f>COUNTIF(#REF!,"周六晚上19:00-20:00")</f>
        <v/>
      </c>
      <c r="X11" s="63">
        <f>COUNTIF(#REF!,"是")/E11</f>
        <v/>
      </c>
      <c r="Y11" s="63">
        <f>COUNTIF(#REF!,"A")/E11</f>
        <v/>
      </c>
      <c r="Z11" s="63">
        <f>COUNTIFS(#REF!,"A",#REF!,"是")/COUNTIF(#REF!,"A")</f>
        <v/>
      </c>
      <c r="AA11" s="63">
        <f>COUNTIFS(#REF!,"A",#REF!,"是",#REF!,"是")/COUNTIFS(#REF!,"A",#REF!,"是")</f>
        <v/>
      </c>
      <c r="AB11" s="63">
        <f>COUNTIF(#REF!,"B")/E11</f>
        <v/>
      </c>
      <c r="AC11" s="63">
        <f>COUNTIFS(#REF!,"B",#REF!,"是")/COUNTIF(#REF!,"B")</f>
        <v/>
      </c>
      <c r="AD11" s="63">
        <f>COUNTIFS(#REF!,"B",#REF!,"是",#REF!,"是")/COUNTIFS(#REF!,"B",#REF!,"是")</f>
        <v/>
      </c>
      <c r="AE11" s="63">
        <f>COUNTIF(#REF!,"C")/E11</f>
        <v/>
      </c>
      <c r="AF11" s="63">
        <f>COUNTIFS(#REF!,"C",#REF!,"是")/COUNTIF(#REF!,"C")</f>
        <v/>
      </c>
      <c r="AG11" s="63">
        <f>COUNTIFS(#REF!,"C",#REF!,"是",#REF!,"是")/COUNTIFS(#REF!,"C",#REF!,"是")</f>
        <v/>
      </c>
      <c r="AH11" s="63">
        <f>COUNTIF(#REF!,"是")/E11</f>
        <v/>
      </c>
      <c r="AI11" s="63">
        <f>COUNTIF(#REF!,"是")/E11</f>
        <v/>
      </c>
    </row>
    <row r="12" ht="23.25" customHeight="1" s="81">
      <c r="A12" s="64" t="n"/>
      <c r="B12" s="64" t="inlineStr">
        <is>
          <t>所有学员总计</t>
        </is>
      </c>
      <c r="C12" s="65" t="n"/>
      <c r="D12" s="65" t="n"/>
      <c r="E12" s="65">
        <f>SUM(E4:E11)</f>
        <v/>
      </c>
      <c r="F12" s="65">
        <f>SUM(F4:F11)</f>
        <v/>
      </c>
      <c r="G12" s="28">
        <f>F12/E12</f>
        <v/>
      </c>
      <c r="H12" s="66">
        <f>SUMPRODUCT(H4:H11,E4:E11)/SUM(E4:E11)</f>
        <v/>
      </c>
      <c r="I12" s="66">
        <f>SUMPRODUCT(I4:I11,E4:E11)/SUM(E4:E11)</f>
        <v/>
      </c>
      <c r="J12" s="66">
        <f>SUMPRODUCT(J4:J11,E4:E11)/SUM(E4:E11)</f>
        <v/>
      </c>
      <c r="K12" s="66">
        <f>SUMPRODUCT(K4:K11,E4:E11)/SUM(E4:E11)</f>
        <v/>
      </c>
      <c r="L12" s="66">
        <f>SUMPRODUCT(L4:L11,E4:E11)/SUM(E4:E11)</f>
        <v/>
      </c>
      <c r="M12" s="66">
        <f>SUMPRODUCT(L4:L11,E4:E11,M4:M11)/SUMPRODUCT(L4:L11,E4:E11)</f>
        <v/>
      </c>
      <c r="N12" s="66">
        <f>SUMPRODUCT(L4:L11,E4:E11,N4:N11)/SUMPRODUCT(L4:L11,E4:E11)</f>
        <v/>
      </c>
      <c r="O12" s="66">
        <f>SUMPRODUCT(O4:O11,E4:E11)/SUM(E4:E11)</f>
        <v/>
      </c>
      <c r="P12" s="66">
        <f>SUMPRODUCT(P4:P11,E4:E11)/SUM(E4:E11)</f>
        <v/>
      </c>
      <c r="Q12" s="66">
        <f>SUMPRODUCT(Q4:Q11,E4:E11)/SUM(E4:E11)</f>
        <v/>
      </c>
      <c r="R12" s="66">
        <f>SUMPRODUCT(R4:R11,E4:E11)/SUM(E4:E11)</f>
        <v/>
      </c>
      <c r="S12" s="66">
        <f>SUMPRODUCT(S4:S11,E4:E11)/SUM(E4:E11)</f>
        <v/>
      </c>
      <c r="T12" s="66">
        <f>SUMPRODUCT(S4:S11,E4:E11,T4:T11)/SUMPRODUCT(S4:S11,E4:E11)</f>
        <v/>
      </c>
      <c r="U12" s="66">
        <f>SUMPRODUCT(U4:U11,E4:E11)/E12</f>
        <v/>
      </c>
      <c r="V12" s="67">
        <f>SUM(V4:V11)</f>
        <v/>
      </c>
      <c r="W12" s="67">
        <f>SUM(W4:W11)</f>
        <v/>
      </c>
      <c r="X12" s="66">
        <f>SUMPRODUCT(X4:X11,E4:E11)/E12</f>
        <v/>
      </c>
      <c r="Y12" s="66">
        <f>SUMPRODUCT(Y4:Y11,E4:E11)/SUM(E4:E11)</f>
        <v/>
      </c>
      <c r="Z12" s="66">
        <f>SUMPRODUCT(Y4:Y11,E4:E11,Z4:Z11)/SUMPRODUCT(Y4:Y11,E4:E11)</f>
        <v/>
      </c>
      <c r="AA12" s="66">
        <f>SUMPRODUCT(Y4:Y11,E4:E11,Z4:Z11,AA4:AA11)/SUMPRODUCT(Y4:Y11,E4:E11,Z4:Z11)</f>
        <v/>
      </c>
      <c r="AB12" s="66">
        <f>SUMPRODUCT(AB4:AB11,E4:E11)/SUM(E4:E11)</f>
        <v/>
      </c>
      <c r="AC12" s="66">
        <f>SUMPRODUCT(AB4:AB11,E4:E11,AC4:AC11)/SUMPRODUCT(AB4:AB11,E4:E11)</f>
        <v/>
      </c>
      <c r="AD12" s="66">
        <f>SUMPRODUCT(AB4:AB11,E4:E11,AC4:AC11,AD4:AD11)/SUMPRODUCT(AB4:AB11,E4:E11,AC4:AC11)</f>
        <v/>
      </c>
      <c r="AE12" s="66">
        <f>SUMPRODUCT(AE4:AE11,E4:E11)/SUM(E4:E11)</f>
        <v/>
      </c>
      <c r="AF12" s="66">
        <f>SUMPRODUCT(AE4:AE11,E4:E11,AF4:AF11)/SUMPRODUCT(AE4:AE11,E4:E11)</f>
        <v/>
      </c>
      <c r="AG12" s="66">
        <f>SUMPRODUCT(AE4:AE11,E4:E11,AF4:AF11,AG4:AG11)/SUMPRODUCT(AE4:AE11,E4:E11,AF4:AF11)</f>
        <v/>
      </c>
      <c r="AH12" s="66">
        <f>SUMPRODUCT(AH4:AH11,E4:E11)/SUM(E4:E11)</f>
        <v/>
      </c>
      <c r="AI12" s="66">
        <f>SUMPRODUCT(AI4:AI11,E4:E11)/SUM(E4:E11)</f>
        <v/>
      </c>
    </row>
    <row r="18" ht="16.5" customHeight="1" s="81">
      <c r="E18" s="5" t="inlineStr">
        <is>
          <t xml:space="preserve"> </t>
        </is>
      </c>
    </row>
  </sheetData>
  <mergeCells count="7">
    <mergeCell ref="U2:W2"/>
    <mergeCell ref="X2:AI2"/>
    <mergeCell ref="A1:G2"/>
    <mergeCell ref="I2:N2"/>
    <mergeCell ref="U1:AI1"/>
    <mergeCell ref="I1:T1"/>
    <mergeCell ref="O2:T2"/>
  </mergeCells>
  <conditionalFormatting sqref="S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5:J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5 K5:M5 Z5:AA5 AC5:AD5 AF5:AI5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6:J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6 K6:M6 Z6:AA6 AC6:AD6 AF6:AI6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Y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7:J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7 K7:M7 Z7:AA7 AC7:AD7 AF7:AI7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8:J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8 K8:M8 Z8:AA8 AC8:AD8 AF8:AI8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9:J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9 K9:M9 Z9:AA9 AC9:AD9 AF9:AI9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10:J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10 K10:M10 Z10:AA10 AC10:AD10 AF10:AI10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11:J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11 K11:M11 Z11:AA11 AC11:AD11 AF11:AI11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N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4:J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4 K4:M4 Z4:AA4 AC4:AD4 AF4:AI4">
    <cfRule type="dataBar" priority="16">
      <dataBar>
        <cfvo type="min"/>
        <cfvo type="max"/>
        <color rgb="FFFCDA7B"/>
      </dataBar>
    </cfRule>
  </conditionalFormatting>
  <conditionalFormatting sqref="G4:G11 H4 K4:M4 Z4:AA4 AC4:AD4 AF4:AI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G4:G11">
    <cfRule type="dataBar" priority="17">
      <dataBar>
        <cfvo type="min"/>
        <cfvo type="max"/>
        <color rgb="FF7BE5BB"/>
      </dataBar>
    </cfRule>
  </conditionalFormatting>
  <conditionalFormatting sqref="P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4:Q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34"/>
  <sheetViews>
    <sheetView workbookViewId="0">
      <pane xSplit="2" ySplit="2" topLeftCell="C3" activePane="bottomRight" state="frozen"/>
      <selection activeCell="A1" sqref="A1"/>
    </sheetView>
  </sheetViews>
  <sheetFormatPr baseColWidth="10" defaultColWidth="9.9990234375" defaultRowHeight="16.5" customHeight="1"/>
  <cols>
    <col width="14.373046875" customWidth="1" style="5" min="1" max="2"/>
    <col width="12.375" customWidth="1" style="5" min="3" max="3"/>
    <col width="13.875" customWidth="1" style="5" min="4" max="4"/>
    <col width="9.9990234375" customWidth="1" style="5" min="5" max="11"/>
    <col width="18.2490234375" customWidth="1" style="5" min="12" max="12"/>
    <col width="9.9990234375" customWidth="1" style="5" min="13" max="16"/>
  </cols>
  <sheetData>
    <row r="1" ht="25.5" customFormat="1" customHeight="1" s="16">
      <c r="A1" s="12" t="inlineStr">
        <is>
          <t>授课老师</t>
        </is>
      </c>
      <c r="B1" s="12" t="inlineStr">
        <is>
          <t>分类</t>
        </is>
      </c>
      <c r="C1" s="12" t="inlineStr">
        <is>
          <t>电访后</t>
        </is>
      </c>
      <c r="D1" s="89" t="n"/>
      <c r="E1" s="12" t="inlineStr">
        <is>
          <t>开课家长会后</t>
        </is>
      </c>
      <c r="F1" s="89" t="n"/>
      <c r="G1" s="12" t="inlineStr">
        <is>
          <t>第1讲</t>
        </is>
      </c>
      <c r="H1" s="89" t="n"/>
      <c r="I1" s="12" t="inlineStr">
        <is>
          <t>第2讲</t>
        </is>
      </c>
      <c r="J1" s="89" t="n"/>
      <c r="K1" s="12" t="inlineStr">
        <is>
          <t>第3讲</t>
        </is>
      </c>
      <c r="L1" s="89" t="n"/>
      <c r="M1" s="12" t="inlineStr">
        <is>
          <t>第4讲</t>
        </is>
      </c>
      <c r="N1" s="89" t="n"/>
      <c r="O1" s="12" t="inlineStr">
        <is>
          <t>第5讲</t>
        </is>
      </c>
      <c r="P1" s="89" t="n"/>
    </row>
    <row r="2" ht="21" customHeight="1" s="81">
      <c r="A2" s="90" t="n"/>
      <c r="B2" s="90" t="n"/>
      <c r="C2" s="12" t="inlineStr">
        <is>
          <t>人数</t>
        </is>
      </c>
      <c r="D2" s="12" t="inlineStr">
        <is>
          <t>占比</t>
        </is>
      </c>
      <c r="E2" s="12" t="inlineStr">
        <is>
          <t>人数</t>
        </is>
      </c>
      <c r="F2" s="12" t="inlineStr">
        <is>
          <t>占比</t>
        </is>
      </c>
      <c r="G2" s="12" t="inlineStr">
        <is>
          <t>人数</t>
        </is>
      </c>
      <c r="H2" s="12" t="inlineStr">
        <is>
          <t>占比</t>
        </is>
      </c>
      <c r="I2" s="12" t="inlineStr">
        <is>
          <t>人数</t>
        </is>
      </c>
      <c r="J2" s="12" t="inlineStr">
        <is>
          <t>占比</t>
        </is>
      </c>
      <c r="K2" s="12" t="inlineStr">
        <is>
          <t>人数</t>
        </is>
      </c>
      <c r="L2" s="12" t="inlineStr">
        <is>
          <t>占比</t>
        </is>
      </c>
      <c r="M2" s="12" t="inlineStr">
        <is>
          <t>人数</t>
        </is>
      </c>
      <c r="N2" s="12" t="inlineStr">
        <is>
          <t>占比</t>
        </is>
      </c>
      <c r="O2" s="12" t="inlineStr">
        <is>
          <t>人数</t>
        </is>
      </c>
      <c r="P2" s="12" t="inlineStr">
        <is>
          <t>占比</t>
        </is>
      </c>
    </row>
    <row r="3" ht="24.75" customHeight="1" s="81">
      <c r="A3" s="40" t="inlineStr">
        <is>
          <t>李燕子</t>
        </is>
      </c>
      <c r="B3" s="41" t="inlineStr">
        <is>
          <t>总人数</t>
        </is>
      </c>
      <c r="C3" s="15">
        <f>SUM(C4:C6)</f>
        <v/>
      </c>
      <c r="D3" s="15" t="n"/>
      <c r="E3" s="15">
        <f>C3</f>
        <v/>
      </c>
      <c r="F3" s="15" t="n"/>
      <c r="G3" s="15">
        <f>SUM(G4:G6)</f>
        <v/>
      </c>
      <c r="H3" s="15" t="n"/>
      <c r="I3" s="15">
        <f>SUM(I4:I6)</f>
        <v/>
      </c>
      <c r="J3" s="15" t="n"/>
      <c r="K3" s="15">
        <f>SUM(K4:K6)</f>
        <v/>
      </c>
      <c r="L3" s="15" t="n"/>
      <c r="M3" s="15">
        <f>SUM(M4:M6)</f>
        <v/>
      </c>
      <c r="N3" s="15" t="n"/>
      <c r="O3" s="15">
        <f>SUM(O4:O6)</f>
        <v/>
      </c>
      <c r="P3" s="15" t="n"/>
    </row>
    <row r="4" ht="24.75" customHeight="1" s="81">
      <c r="A4" s="91" t="n"/>
      <c r="B4" s="41" t="inlineStr">
        <is>
          <t>A-高意向</t>
        </is>
      </c>
      <c r="C4" s="15">
        <f>COUNTIF('余露'!#REF!,"A")</f>
        <v/>
      </c>
      <c r="D4" s="30">
        <f>C4/C3</f>
        <v/>
      </c>
      <c r="E4" s="15">
        <f>COUNTIF('余露'!#REF!,"A")+COUNTIF('余露'!#REF!,"升A")</f>
        <v/>
      </c>
      <c r="F4" s="30">
        <f>E4/E3</f>
        <v/>
      </c>
      <c r="G4" s="15">
        <f>COUNTIF('余露'!#REF!,"A")+COUNTIF('余露'!#REF!,"升A")</f>
        <v/>
      </c>
      <c r="H4" s="30">
        <f>G4/G3</f>
        <v/>
      </c>
      <c r="I4" s="15">
        <f>COUNTIF('余露'!#REF!,"A")+COUNTIF('余露'!#REF!,"升A")</f>
        <v/>
      </c>
      <c r="J4" s="30">
        <f>I4/I3</f>
        <v/>
      </c>
      <c r="K4" s="15">
        <f>COUNTIF('余露'!#REF!,"A")+COUNTIF('余露'!#REF!,"升A")</f>
        <v/>
      </c>
      <c r="L4" s="30">
        <f>K4/K3</f>
        <v/>
      </c>
      <c r="M4" s="15">
        <f>COUNTIF('余露'!#REF!,"A")+COUNTIF('余露'!#REF!,"升A")</f>
        <v/>
      </c>
      <c r="N4" s="30">
        <f>M4/M3</f>
        <v/>
      </c>
      <c r="O4" s="15">
        <f>COUNTIF('余露'!#REF!,"A")+COUNTIF('余露'!#REF!,"升A")</f>
        <v/>
      </c>
      <c r="P4" s="30">
        <f>O4/O3</f>
        <v/>
      </c>
    </row>
    <row r="5" ht="24.75" customHeight="1" s="81">
      <c r="A5" s="91" t="n"/>
      <c r="B5" s="41" t="inlineStr">
        <is>
          <t>B-中意向</t>
        </is>
      </c>
      <c r="C5" s="15">
        <f>COUNTIF('余露'!#REF!,"B")</f>
        <v/>
      </c>
      <c r="D5" s="30">
        <f>C5/C3</f>
        <v/>
      </c>
      <c r="E5" s="15">
        <f>COUNTIF('余露'!#REF!,"B")</f>
        <v/>
      </c>
      <c r="F5" s="30">
        <f>E5/E3</f>
        <v/>
      </c>
      <c r="G5" s="15">
        <f>COUNTIF('余露'!#REF!,"B")</f>
        <v/>
      </c>
      <c r="H5" s="30">
        <f>G5/G3</f>
        <v/>
      </c>
      <c r="I5" s="15">
        <f>COUNTIF('余露'!#REF!,"B")</f>
        <v/>
      </c>
      <c r="J5" s="30">
        <f>I5/I3</f>
        <v/>
      </c>
      <c r="K5" s="15">
        <f>COUNTIF('余露'!#REF!,"B")</f>
        <v/>
      </c>
      <c r="L5" s="30">
        <f>K5/K3</f>
        <v/>
      </c>
      <c r="M5" s="15">
        <f>COUNTIF('余露'!#REF!,"B")</f>
        <v/>
      </c>
      <c r="N5" s="30">
        <f>M5/M3</f>
        <v/>
      </c>
      <c r="O5" s="15">
        <f>COUNTIF('余露'!#REF!,"B")</f>
        <v/>
      </c>
      <c r="P5" s="30">
        <f>O5/O3</f>
        <v/>
      </c>
    </row>
    <row r="6" ht="24.75" customHeight="1" s="81">
      <c r="A6" s="91" t="n"/>
      <c r="B6" s="41" t="inlineStr">
        <is>
          <t>C-低意向</t>
        </is>
      </c>
      <c r="C6" s="15">
        <f>COUNTIF('余露'!#REF!,"C")</f>
        <v/>
      </c>
      <c r="D6" s="30">
        <f>C6/C3</f>
        <v/>
      </c>
      <c r="E6" s="15">
        <f>COUNTIF('余露'!#REF!,"C")+COUNTIF('余露'!#REF!,"降C")</f>
        <v/>
      </c>
      <c r="F6" s="30">
        <f>E6/E3</f>
        <v/>
      </c>
      <c r="G6" s="15">
        <f>COUNTIF('余露'!#REF!,"C")+COUNTIF('余露'!#REF!,"降C")</f>
        <v/>
      </c>
      <c r="H6" s="30">
        <f>G6/G3</f>
        <v/>
      </c>
      <c r="I6" s="15">
        <f>COUNTIF('余露'!#REF!,"C")+COUNTIF('余露'!#REF!,"降C")</f>
        <v/>
      </c>
      <c r="J6" s="30">
        <f>I6/I3</f>
        <v/>
      </c>
      <c r="K6" s="15">
        <f>COUNTIF('余露'!#REF!,"C")+COUNTIF('余露'!#REF!,"降C")</f>
        <v/>
      </c>
      <c r="L6" s="30">
        <f>K6/K3</f>
        <v/>
      </c>
      <c r="M6" s="15">
        <f>COUNTIF('余露'!#REF!,"C")+COUNTIF('余露'!#REF!,"降C")</f>
        <v/>
      </c>
      <c r="N6" s="30">
        <f>M6/M3</f>
        <v/>
      </c>
      <c r="O6" s="15">
        <f>COUNTIF('余露'!#REF!,"C")+COUNTIF('余露'!#REF!,"降C")</f>
        <v/>
      </c>
      <c r="P6" s="30">
        <f>O6/O3</f>
        <v/>
      </c>
    </row>
    <row r="7" ht="24.75" customHeight="1" s="81">
      <c r="A7" s="41" t="inlineStr">
        <is>
          <t>韩露露</t>
        </is>
      </c>
      <c r="B7" s="43" t="inlineStr">
        <is>
          <t>总人数</t>
        </is>
      </c>
      <c r="C7" s="20">
        <f>SUM(C8:C10)</f>
        <v/>
      </c>
      <c r="D7" s="20" t="n"/>
      <c r="E7" s="20">
        <f>SUM(E8:E10)</f>
        <v/>
      </c>
      <c r="F7" s="20" t="n"/>
      <c r="G7" s="20">
        <f>SUM(G8:G10)</f>
        <v/>
      </c>
      <c r="H7" s="20" t="n"/>
      <c r="I7" s="20">
        <f>SUM(I8:I10)</f>
        <v/>
      </c>
      <c r="J7" s="20" t="n"/>
      <c r="K7" s="20">
        <f>SUM(K8:K10)</f>
        <v/>
      </c>
      <c r="L7" s="20" t="n"/>
      <c r="M7" s="20">
        <f>SUM(M8:M10)</f>
        <v/>
      </c>
      <c r="N7" s="20" t="n"/>
      <c r="O7" s="20">
        <f>SUM(O8:O10)</f>
        <v/>
      </c>
      <c r="P7" s="20" t="n"/>
    </row>
    <row r="8" ht="24.75" customHeight="1" s="81">
      <c r="A8" s="91" t="n"/>
      <c r="B8" s="43" t="inlineStr">
        <is>
          <t>A-高意向</t>
        </is>
      </c>
      <c r="C8" s="20">
        <f>COUNTIF(#REF!,"A")+COUNTIF(#REF!,"升A")</f>
        <v/>
      </c>
      <c r="D8" s="21">
        <f>C8/C7</f>
        <v/>
      </c>
      <c r="E8" s="20">
        <f>COUNTIF(#REF!,"A")+COUNTIF(#REF!,"升A")</f>
        <v/>
      </c>
      <c r="F8" s="21">
        <f>E8/E7</f>
        <v/>
      </c>
      <c r="G8" s="20">
        <f>COUNTIF(#REF!,"A")+COUNTIF(#REF!,"升A")</f>
        <v/>
      </c>
      <c r="H8" s="21">
        <f>G8/G7</f>
        <v/>
      </c>
      <c r="I8" s="20">
        <f>COUNTIF(#REF!,"A")+COUNTIF(#REF!,"升A")</f>
        <v/>
      </c>
      <c r="J8" s="21">
        <f>I8/I7</f>
        <v/>
      </c>
      <c r="K8" s="20">
        <f>COUNTIF(#REF!,"A")+COUNTIF(#REF!,"升A")</f>
        <v/>
      </c>
      <c r="L8" s="21">
        <f>K8/K7</f>
        <v/>
      </c>
      <c r="M8" s="20">
        <f>COUNTIF(#REF!,"A")+COUNTIF(#REF!,"升A")</f>
        <v/>
      </c>
      <c r="N8" s="21">
        <f>M8/M7</f>
        <v/>
      </c>
      <c r="O8" s="20">
        <f>COUNTIF(#REF!,"A")+COUNTIF(#REF!,"升A")</f>
        <v/>
      </c>
      <c r="P8" s="21">
        <f>O8/O7</f>
        <v/>
      </c>
    </row>
    <row r="9" ht="24.75" customHeight="1" s="81">
      <c r="A9" s="91" t="n"/>
      <c r="B9" s="43" t="inlineStr">
        <is>
          <t>B-中意向</t>
        </is>
      </c>
      <c r="C9" s="20">
        <f>COUNTIF(#REF!,"B")</f>
        <v/>
      </c>
      <c r="D9" s="21">
        <f>C9/C7</f>
        <v/>
      </c>
      <c r="E9" s="20">
        <f>COUNTIF(#REF!,"B")</f>
        <v/>
      </c>
      <c r="F9" s="21">
        <f>E9/E7</f>
        <v/>
      </c>
      <c r="G9" s="20">
        <f>COUNTIF(#REF!,"B")</f>
        <v/>
      </c>
      <c r="H9" s="21">
        <f>G9/G7</f>
        <v/>
      </c>
      <c r="I9" s="20">
        <f>COUNTIF(#REF!,"B")</f>
        <v/>
      </c>
      <c r="J9" s="21">
        <f>I9/I7</f>
        <v/>
      </c>
      <c r="K9" s="20">
        <f>COUNTIF(#REF!,"B")</f>
        <v/>
      </c>
      <c r="L9" s="21">
        <f>K9/K7</f>
        <v/>
      </c>
      <c r="M9" s="20">
        <f>COUNTIF(#REF!,"B")</f>
        <v/>
      </c>
      <c r="N9" s="21">
        <f>M9/M7</f>
        <v/>
      </c>
      <c r="O9" s="20">
        <f>COUNTIF(#REF!,"B")</f>
        <v/>
      </c>
      <c r="P9" s="21">
        <f>O9/O7</f>
        <v/>
      </c>
    </row>
    <row r="10" ht="24.75" customHeight="1" s="81">
      <c r="A10" s="90" t="n"/>
      <c r="B10" s="43" t="inlineStr">
        <is>
          <t>C-低意向</t>
        </is>
      </c>
      <c r="C10" s="20">
        <f>COUNTIF(#REF!,"C")+COUNTIF(#REF!,"降C")</f>
        <v/>
      </c>
      <c r="D10" s="21">
        <f>C10/C7</f>
        <v/>
      </c>
      <c r="E10" s="20">
        <f>COUNTIF(#REF!,"C")+COUNTIF(#REF!,"降C")</f>
        <v/>
      </c>
      <c r="F10" s="21">
        <f>E10/E7</f>
        <v/>
      </c>
      <c r="G10" s="20">
        <f>COUNTIF(#REF!,"C")+COUNTIF(#REF!,"降C")</f>
        <v/>
      </c>
      <c r="H10" s="21">
        <f>G10/G7</f>
        <v/>
      </c>
      <c r="I10" s="20">
        <f>COUNTIF(#REF!,"C")+COUNTIF(#REF!,"降C")</f>
        <v/>
      </c>
      <c r="J10" s="21">
        <f>I10/I7</f>
        <v/>
      </c>
      <c r="K10" s="20">
        <f>COUNTIF(#REF!,"C")+COUNTIF(#REF!,"降C")</f>
        <v/>
      </c>
      <c r="L10" s="21">
        <f>K10/K7</f>
        <v/>
      </c>
      <c r="M10" s="20">
        <f>COUNTIF(#REF!,"C")+COUNTIF(#REF!,"降C")</f>
        <v/>
      </c>
      <c r="N10" s="21">
        <f>M10/M7</f>
        <v/>
      </c>
      <c r="O10" s="20">
        <f>COUNTIF(#REF!,"C")+COUNTIF(#REF!,"降C")</f>
        <v/>
      </c>
      <c r="P10" s="21">
        <f>O10/O7</f>
        <v/>
      </c>
    </row>
    <row r="11" ht="24.75" customHeight="1" s="81">
      <c r="A11" s="41" t="inlineStr">
        <is>
          <t>车雨欣</t>
        </is>
      </c>
      <c r="B11" s="43" t="inlineStr">
        <is>
          <t>总人数</t>
        </is>
      </c>
      <c r="C11" s="15">
        <f>SUM(C12:C14)</f>
        <v/>
      </c>
      <c r="D11" s="15" t="n"/>
      <c r="E11" s="15">
        <f>SUM(E12:E14)</f>
        <v/>
      </c>
      <c r="F11" s="15" t="n"/>
      <c r="G11" s="15">
        <f>SUM(G12:G14)</f>
        <v/>
      </c>
      <c r="H11" s="15" t="n"/>
      <c r="I11" s="15">
        <f>SUM(I12:I14)</f>
        <v/>
      </c>
      <c r="J11" s="15" t="n"/>
      <c r="K11" s="15">
        <f>SUM(K12:K14)</f>
        <v/>
      </c>
      <c r="L11" s="15" t="n"/>
      <c r="M11" s="15">
        <f>SUM(M12:M14)</f>
        <v/>
      </c>
      <c r="N11" s="15" t="n"/>
      <c r="O11" s="15">
        <f>SUM(O12:O14)</f>
        <v/>
      </c>
      <c r="P11" s="15" t="n"/>
    </row>
    <row r="12" ht="24.75" customHeight="1" s="81">
      <c r="A12" s="91" t="n"/>
      <c r="B12" s="43" t="inlineStr">
        <is>
          <t>A-高意向</t>
        </is>
      </c>
      <c r="C12" s="15">
        <f>COUNTIF(#REF!,"A")</f>
        <v/>
      </c>
      <c r="D12" s="30">
        <f>C12/C11</f>
        <v/>
      </c>
      <c r="E12" s="15">
        <f>COUNTIF(#REF!,"A")+COUNTIF(#REF!,"升A")</f>
        <v/>
      </c>
      <c r="F12" s="30">
        <f>E12/E11</f>
        <v/>
      </c>
      <c r="G12" s="15">
        <f>COUNTIF(#REF!,"A")+COUNTIF(#REF!,"升A")</f>
        <v/>
      </c>
      <c r="H12" s="30">
        <f>G12/G11</f>
        <v/>
      </c>
      <c r="I12" s="15">
        <f>COUNTIF(#REF!,"A")+COUNTIF(#REF!,"升A")</f>
        <v/>
      </c>
      <c r="J12" s="30">
        <f>I12/I11</f>
        <v/>
      </c>
      <c r="K12" s="15">
        <f>COUNTIF(#REF!,"A")+COUNTIF(#REF!,"升A")</f>
        <v/>
      </c>
      <c r="L12" s="30">
        <f>K12/K11</f>
        <v/>
      </c>
      <c r="M12" s="15">
        <f>COUNTIF(#REF!,"A")+COUNTIF(#REF!,"升A")</f>
        <v/>
      </c>
      <c r="N12" s="30">
        <f>M12/M11</f>
        <v/>
      </c>
      <c r="O12" s="15">
        <f>COUNTIF(#REF!,"A")+COUNTIF(#REF!,"升A")</f>
        <v/>
      </c>
      <c r="P12" s="30">
        <f>O12/O11</f>
        <v/>
      </c>
    </row>
    <row r="13" ht="24.75" customHeight="1" s="81">
      <c r="A13" s="91" t="n"/>
      <c r="B13" s="43" t="inlineStr">
        <is>
          <t>B-中意向</t>
        </is>
      </c>
      <c r="C13" s="15">
        <f>COUNTIF(#REF!,"B")</f>
        <v/>
      </c>
      <c r="D13" s="30">
        <f>C13/C11</f>
        <v/>
      </c>
      <c r="E13" s="15">
        <f>COUNTIF(#REF!,"B")</f>
        <v/>
      </c>
      <c r="F13" s="30">
        <f>E13/E11</f>
        <v/>
      </c>
      <c r="G13" s="15">
        <f>COUNTIF(#REF!,"B")</f>
        <v/>
      </c>
      <c r="H13" s="30">
        <f>G13/G11</f>
        <v/>
      </c>
      <c r="I13" s="15">
        <f>COUNTIF(#REF!,"B")</f>
        <v/>
      </c>
      <c r="J13" s="30">
        <f>I13/I11</f>
        <v/>
      </c>
      <c r="K13" s="15">
        <f>COUNTIF(#REF!,"B")</f>
        <v/>
      </c>
      <c r="L13" s="30">
        <f>K13/K11</f>
        <v/>
      </c>
      <c r="M13" s="15">
        <f>COUNTIF(#REF!,"B")</f>
        <v/>
      </c>
      <c r="N13" s="30">
        <f>M13/M11</f>
        <v/>
      </c>
      <c r="O13" s="15">
        <f>COUNTIF(#REF!,"B")</f>
        <v/>
      </c>
      <c r="P13" s="30">
        <f>O13/O11</f>
        <v/>
      </c>
    </row>
    <row r="14" ht="24.75" customHeight="1" s="81">
      <c r="A14" s="90" t="n"/>
      <c r="B14" s="43" t="inlineStr">
        <is>
          <t>C-低意向</t>
        </is>
      </c>
      <c r="C14" s="15">
        <f>COUNTIF(#REF!,"C")</f>
        <v/>
      </c>
      <c r="D14" s="30">
        <f>C14/C11</f>
        <v/>
      </c>
      <c r="E14" s="15">
        <f>COUNTIF(#REF!,"C")+COUNTIF(#REF!,"降C")</f>
        <v/>
      </c>
      <c r="F14" s="30">
        <f>E14/E11</f>
        <v/>
      </c>
      <c r="G14" s="15">
        <f>COUNTIF(#REF!,"C")+COUNTIF(#REF!,"降C")</f>
        <v/>
      </c>
      <c r="H14" s="30">
        <f>G14/G11</f>
        <v/>
      </c>
      <c r="I14" s="15">
        <f>COUNTIF(#REF!,"C")+COUNTIF(#REF!,"降C")</f>
        <v/>
      </c>
      <c r="J14" s="30">
        <f>I14/I11</f>
        <v/>
      </c>
      <c r="K14" s="15">
        <f>COUNTIF(#REF!,"C")+COUNTIF(#REF!,"降C")</f>
        <v/>
      </c>
      <c r="L14" s="30">
        <f>K14/K11</f>
        <v/>
      </c>
      <c r="M14" s="15">
        <f>COUNTIF(#REF!,"C")+COUNTIF(#REF!,"降C")</f>
        <v/>
      </c>
      <c r="N14" s="30">
        <f>M14/M11</f>
        <v/>
      </c>
      <c r="O14" s="15">
        <f>COUNTIF(#REF!,"C")+COUNTIF(#REF!,"降C")</f>
        <v/>
      </c>
      <c r="P14" s="30">
        <f>O14/O11</f>
        <v/>
      </c>
    </row>
    <row r="15" ht="24.75" customHeight="1" s="81">
      <c r="A15" s="41" t="inlineStr">
        <is>
          <t>汪杰</t>
        </is>
      </c>
      <c r="B15" s="43" t="inlineStr">
        <is>
          <t>总人数</t>
        </is>
      </c>
      <c r="C15" s="20">
        <f>SUM(C16:C18)</f>
        <v/>
      </c>
      <c r="D15" s="20" t="n"/>
      <c r="E15" s="20">
        <f>SUM(E16:E18)</f>
        <v/>
      </c>
      <c r="F15" s="20" t="n"/>
      <c r="G15" s="20">
        <f>SUM(G16:G18)</f>
        <v/>
      </c>
      <c r="H15" s="20" t="n"/>
      <c r="I15" s="20">
        <f>SUM(I16:I18)</f>
        <v/>
      </c>
      <c r="J15" s="20" t="n"/>
      <c r="K15" s="20">
        <f>SUM(K16:K18)</f>
        <v/>
      </c>
      <c r="L15" s="20" t="n"/>
      <c r="M15" s="20">
        <f>SUM(M16:M18)</f>
        <v/>
      </c>
      <c r="N15" s="20" t="n"/>
      <c r="O15" s="20">
        <f>SUM(O16:O18)</f>
        <v/>
      </c>
      <c r="P15" s="20" t="n"/>
    </row>
    <row r="16" ht="24.75" customHeight="1" s="81">
      <c r="A16" s="91" t="n"/>
      <c r="B16" s="43" t="inlineStr">
        <is>
          <t>A-高意向</t>
        </is>
      </c>
      <c r="C16" s="20">
        <f>COUNTIF(#REF!,"A")</f>
        <v/>
      </c>
      <c r="D16" s="21">
        <f>C16/C15</f>
        <v/>
      </c>
      <c r="E16" s="20">
        <f>COUNTIF(#REF!,"A")+COUNTIF(#REF!,"升A")</f>
        <v/>
      </c>
      <c r="F16" s="21">
        <f>E16/E15</f>
        <v/>
      </c>
      <c r="G16" s="20">
        <f>COUNTIF(#REF!,"A")+COUNTIF(#REF!,"升A")</f>
        <v/>
      </c>
      <c r="H16" s="21">
        <f>G16/G15</f>
        <v/>
      </c>
      <c r="I16" s="20">
        <f>COUNTIF(#REF!,"A")+COUNTIF(#REF!,"升A")</f>
        <v/>
      </c>
      <c r="J16" s="21">
        <f>I16/I15</f>
        <v/>
      </c>
      <c r="K16" s="20">
        <f>COUNTIF(#REF!,"A")+COUNTIF(#REF!,"升A")</f>
        <v/>
      </c>
      <c r="L16" s="21">
        <f>K16/K15</f>
        <v/>
      </c>
      <c r="M16" s="20">
        <f>COUNTIF(#REF!,"A")+COUNTIF(#REF!,"升A")</f>
        <v/>
      </c>
      <c r="N16" s="21">
        <f>M16/M15</f>
        <v/>
      </c>
      <c r="O16" s="20">
        <f>COUNTIF(#REF!,"A")+COUNTIF(#REF!,"升A")</f>
        <v/>
      </c>
      <c r="P16" s="21">
        <f>O16/O15</f>
        <v/>
      </c>
    </row>
    <row r="17" ht="24.75" customHeight="1" s="81">
      <c r="A17" s="91" t="n"/>
      <c r="B17" s="43" t="inlineStr">
        <is>
          <t>B-中意向</t>
        </is>
      </c>
      <c r="C17" s="20">
        <f>COUNTIF(#REF!,"B")</f>
        <v/>
      </c>
      <c r="D17" s="21">
        <f>C17/C15</f>
        <v/>
      </c>
      <c r="E17" s="20">
        <f>COUNTIF(#REF!,"B")</f>
        <v/>
      </c>
      <c r="F17" s="21">
        <f>E17/E15</f>
        <v/>
      </c>
      <c r="G17" s="20">
        <f>COUNTIF(#REF!,"B")</f>
        <v/>
      </c>
      <c r="H17" s="21">
        <f>G17/G15</f>
        <v/>
      </c>
      <c r="I17" s="20">
        <f>COUNTIF(#REF!,"B")</f>
        <v/>
      </c>
      <c r="J17" s="21">
        <f>I17/I15</f>
        <v/>
      </c>
      <c r="K17" s="20">
        <f>COUNTIF(#REF!,"B")</f>
        <v/>
      </c>
      <c r="L17" s="21">
        <f>K17/K15</f>
        <v/>
      </c>
      <c r="M17" s="20">
        <f>COUNTIF(#REF!,"B")</f>
        <v/>
      </c>
      <c r="N17" s="21">
        <f>M17/M15</f>
        <v/>
      </c>
      <c r="O17" s="20">
        <f>COUNTIF(#REF!,"B")</f>
        <v/>
      </c>
      <c r="P17" s="21">
        <f>O17/O15</f>
        <v/>
      </c>
    </row>
    <row r="18" ht="24.75" customHeight="1" s="81">
      <c r="A18" s="90" t="n"/>
      <c r="B18" s="43" t="inlineStr">
        <is>
          <t>C-低意向</t>
        </is>
      </c>
      <c r="C18" s="20">
        <f>COUNTIF(#REF!,"C")</f>
        <v/>
      </c>
      <c r="D18" s="21">
        <f>C18/C15</f>
        <v/>
      </c>
      <c r="E18" s="20">
        <f>COUNTIF(#REF!,"C")+COUNTIF(#REF!,"降C")</f>
        <v/>
      </c>
      <c r="F18" s="21">
        <f>E18/E15</f>
        <v/>
      </c>
      <c r="G18" s="20">
        <f>COUNTIF(#REF!,"C")+COUNTIF(#REF!,"降C")</f>
        <v/>
      </c>
      <c r="H18" s="21">
        <f>G18/G15</f>
        <v/>
      </c>
      <c r="I18" s="20">
        <f>COUNTIF(#REF!,"C")+COUNTIF(#REF!,"降C")</f>
        <v/>
      </c>
      <c r="J18" s="21">
        <f>I18/I15</f>
        <v/>
      </c>
      <c r="K18" s="20">
        <f>COUNTIF(#REF!,"C")+COUNTIF(#REF!,"降C")</f>
        <v/>
      </c>
      <c r="L18" s="21">
        <f>K18/K15</f>
        <v/>
      </c>
      <c r="M18" s="20">
        <f>COUNTIF(#REF!,"C")+COUNTIF(#REF!,"降C")</f>
        <v/>
      </c>
      <c r="N18" s="21">
        <f>M18/M15</f>
        <v/>
      </c>
      <c r="O18" s="20">
        <f>COUNTIF(#REF!,"C")+COUNTIF(#REF!,"降C")</f>
        <v/>
      </c>
      <c r="P18" s="21">
        <f>O18/O15</f>
        <v/>
      </c>
    </row>
    <row r="19" ht="24.75" customHeight="1" s="81">
      <c r="A19" s="41" t="inlineStr">
        <is>
          <t>陈文星</t>
        </is>
      </c>
      <c r="B19" s="43" t="inlineStr">
        <is>
          <t>总人数</t>
        </is>
      </c>
      <c r="C19" s="15">
        <f>SUM(C20:C22)</f>
        <v/>
      </c>
      <c r="D19" s="15" t="n"/>
      <c r="E19" s="15">
        <f>SUM(E20:E22)</f>
        <v/>
      </c>
      <c r="F19" s="15" t="n"/>
      <c r="G19" s="15">
        <f>SUM(G20:G22)</f>
        <v/>
      </c>
      <c r="H19" s="15" t="n"/>
      <c r="I19" s="15">
        <f>SUM(I20:I22)</f>
        <v/>
      </c>
      <c r="J19" s="15" t="n"/>
      <c r="K19" s="15">
        <f>SUM(K20:K22)</f>
        <v/>
      </c>
      <c r="L19" s="15" t="n"/>
      <c r="M19" s="15">
        <f>SUM(M20:M22)</f>
        <v/>
      </c>
      <c r="N19" s="15" t="n"/>
      <c r="O19" s="15">
        <f>SUM(O20:O22)</f>
        <v/>
      </c>
      <c r="P19" s="15" t="n"/>
    </row>
    <row r="20" ht="24.75" customHeight="1" s="81">
      <c r="A20" s="91" t="n"/>
      <c r="B20" s="43" t="inlineStr">
        <is>
          <t>A-高意向</t>
        </is>
      </c>
      <c r="C20" s="15">
        <f>COUNTIF(#REF!,"A")</f>
        <v/>
      </c>
      <c r="D20" s="30">
        <f>C20/C19</f>
        <v/>
      </c>
      <c r="E20" s="15">
        <f>COUNTIF(#REF!,"A")+COUNTIF(#REF!,"升A")</f>
        <v/>
      </c>
      <c r="F20" s="30">
        <f>E20/E19</f>
        <v/>
      </c>
      <c r="G20" s="15">
        <f>COUNTIF(#REF!,"A")+COUNTIF(#REF!,"升A")</f>
        <v/>
      </c>
      <c r="H20" s="30">
        <f>G20/G19</f>
        <v/>
      </c>
      <c r="I20" s="15">
        <f>COUNTIF(#REF!,"A")+COUNTIF(#REF!,"升A")</f>
        <v/>
      </c>
      <c r="J20" s="30">
        <f>I20/I19</f>
        <v/>
      </c>
      <c r="K20" s="15">
        <f>COUNTIF(#REF!,"A")+COUNTIF(#REF!,"升A")</f>
        <v/>
      </c>
      <c r="L20" s="30">
        <f>K20/K19</f>
        <v/>
      </c>
      <c r="M20" s="15">
        <f>COUNTIF(#REF!,"A")+COUNTIF(#REF!,"升A")</f>
        <v/>
      </c>
      <c r="N20" s="30">
        <f>M20/M19</f>
        <v/>
      </c>
      <c r="O20" s="15">
        <f>COUNTIF(#REF!,"A")+COUNTIF(#REF!,"升A")</f>
        <v/>
      </c>
      <c r="P20" s="30">
        <f>O20/O19</f>
        <v/>
      </c>
    </row>
    <row r="21" ht="24.75" customHeight="1" s="81">
      <c r="A21" s="91" t="n"/>
      <c r="B21" s="43" t="inlineStr">
        <is>
          <t>B-中意向</t>
        </is>
      </c>
      <c r="C21" s="15">
        <f>COUNTIF(#REF!,"B")</f>
        <v/>
      </c>
      <c r="D21" s="30">
        <f>C21/C19</f>
        <v/>
      </c>
      <c r="E21" s="15">
        <f>COUNTIF(#REF!,"B")</f>
        <v/>
      </c>
      <c r="F21" s="30">
        <f>E21/E19</f>
        <v/>
      </c>
      <c r="G21" s="15">
        <f>COUNTIF(#REF!,"B")</f>
        <v/>
      </c>
      <c r="H21" s="30">
        <f>G21/G19</f>
        <v/>
      </c>
      <c r="I21" s="15">
        <f>COUNTIF(#REF!,"B")</f>
        <v/>
      </c>
      <c r="J21" s="30">
        <f>I21/I19</f>
        <v/>
      </c>
      <c r="K21" s="15">
        <f>COUNTIF(#REF!,"B")</f>
        <v/>
      </c>
      <c r="L21" s="30">
        <f>K21/K19</f>
        <v/>
      </c>
      <c r="M21" s="15">
        <f>COUNTIF(#REF!,"B")</f>
        <v/>
      </c>
      <c r="N21" s="30">
        <f>M21/M19</f>
        <v/>
      </c>
      <c r="O21" s="15">
        <f>COUNTIF(#REF!,"B")</f>
        <v/>
      </c>
      <c r="P21" s="30">
        <f>O21/O19</f>
        <v/>
      </c>
    </row>
    <row r="22" ht="24.75" customHeight="1" s="81">
      <c r="A22" s="90" t="n"/>
      <c r="B22" s="43" t="inlineStr">
        <is>
          <t>C-低意向</t>
        </is>
      </c>
      <c r="C22" s="15">
        <f>COUNTIF(#REF!,"C")</f>
        <v/>
      </c>
      <c r="D22" s="30">
        <f>C22/C19</f>
        <v/>
      </c>
      <c r="E22" s="15">
        <f>COUNTIF(#REF!,"C")+COUNTIF(#REF!,"降C")</f>
        <v/>
      </c>
      <c r="F22" s="30">
        <f>E22/E19</f>
        <v/>
      </c>
      <c r="G22" s="15">
        <f>COUNTIF(#REF!,"C")+COUNTIF(#REF!,"降C")</f>
        <v/>
      </c>
      <c r="H22" s="30">
        <f>G22/G19</f>
        <v/>
      </c>
      <c r="I22" s="15">
        <f>COUNTIF(#REF!,"C")+COUNTIF(#REF!,"降C")</f>
        <v/>
      </c>
      <c r="J22" s="30">
        <f>I22/I19</f>
        <v/>
      </c>
      <c r="K22" s="15">
        <f>COUNTIF(#REF!,"C")+COUNTIF(#REF!,"降C")</f>
        <v/>
      </c>
      <c r="L22" s="30">
        <f>K22/K19</f>
        <v/>
      </c>
      <c r="M22" s="15">
        <f>COUNTIF(#REF!,"C")+COUNTIF(#REF!,"降C")</f>
        <v/>
      </c>
      <c r="N22" s="30">
        <f>M22/M19</f>
        <v/>
      </c>
      <c r="O22" s="15">
        <f>COUNTIF(#REF!,"C")+COUNTIF(#REF!,"降C")</f>
        <v/>
      </c>
      <c r="P22" s="30">
        <f>O22/O19</f>
        <v/>
      </c>
    </row>
    <row r="23" ht="24.75" customHeight="1" s="81">
      <c r="A23" s="41" t="inlineStr">
        <is>
          <t>张粤</t>
        </is>
      </c>
      <c r="B23" s="43" t="inlineStr">
        <is>
          <t>总人数</t>
        </is>
      </c>
      <c r="C23" s="20">
        <f>SUM(C24:C26)</f>
        <v/>
      </c>
      <c r="D23" s="20" t="n"/>
      <c r="E23" s="20">
        <f>SUM(E24:E26)</f>
        <v/>
      </c>
      <c r="F23" s="20" t="n"/>
      <c r="G23" s="20">
        <f>SUM(G24:G26)</f>
        <v/>
      </c>
      <c r="H23" s="20" t="n"/>
      <c r="I23" s="20">
        <f>SUM(I24:I26)</f>
        <v/>
      </c>
      <c r="J23" s="20" t="n"/>
      <c r="K23" s="20">
        <f>SUM(K24:K26)</f>
        <v/>
      </c>
      <c r="L23" s="20" t="n"/>
      <c r="M23" s="20">
        <f>SUM(M24:M26)</f>
        <v/>
      </c>
      <c r="N23" s="20" t="n"/>
      <c r="O23" s="20">
        <f>SUM(O24:O26)</f>
        <v/>
      </c>
      <c r="P23" s="20" t="n"/>
    </row>
    <row r="24" ht="24.75" customHeight="1" s="81">
      <c r="A24" s="91" t="n"/>
      <c r="B24" s="43" t="inlineStr">
        <is>
          <t>A-高意向</t>
        </is>
      </c>
      <c r="C24" s="20">
        <f>COUNTIF(#REF!,"A")</f>
        <v/>
      </c>
      <c r="D24" s="21">
        <f>C24/C23</f>
        <v/>
      </c>
      <c r="E24" s="20">
        <f>COUNTIF(#REF!,"A")+COUNTIF(#REF!,"升A")</f>
        <v/>
      </c>
      <c r="F24" s="21">
        <f>E24/E23</f>
        <v/>
      </c>
      <c r="G24" s="20">
        <f>COUNTIF(#REF!,"A")+COUNTIF(#REF!,"升A")</f>
        <v/>
      </c>
      <c r="H24" s="21">
        <f>G24/G23</f>
        <v/>
      </c>
      <c r="I24" s="20">
        <f>COUNTIF(#REF!,"A")+COUNTIF(#REF!,"升A")</f>
        <v/>
      </c>
      <c r="J24" s="21">
        <f>I24/I23</f>
        <v/>
      </c>
      <c r="K24" s="20">
        <f>COUNTIF(#REF!,"A")+COUNTIF(#REF!,"升A")</f>
        <v/>
      </c>
      <c r="L24" s="21">
        <f>K24/K23</f>
        <v/>
      </c>
      <c r="M24" s="20">
        <f>COUNTIF(#REF!,"A")+COUNTIF(#REF!,"升A")</f>
        <v/>
      </c>
      <c r="N24" s="21">
        <f>M24/M23</f>
        <v/>
      </c>
      <c r="O24" s="20">
        <f>COUNTIF(#REF!,"A")+COUNTIF(#REF!,"升A")</f>
        <v/>
      </c>
      <c r="P24" s="21">
        <f>O24/O23</f>
        <v/>
      </c>
    </row>
    <row r="25" ht="24.75" customHeight="1" s="81">
      <c r="A25" s="91" t="n"/>
      <c r="B25" s="43" t="inlineStr">
        <is>
          <t>B-中意向</t>
        </is>
      </c>
      <c r="C25" s="20">
        <f>COUNTIF(#REF!,"B")</f>
        <v/>
      </c>
      <c r="D25" s="21">
        <f>C25/C23</f>
        <v/>
      </c>
      <c r="E25" s="20">
        <f>COUNTIF(#REF!,"B")</f>
        <v/>
      </c>
      <c r="F25" s="21">
        <f>E25/E23</f>
        <v/>
      </c>
      <c r="G25" s="20">
        <f>COUNTIF(#REF!,"B")</f>
        <v/>
      </c>
      <c r="H25" s="21">
        <f>G25/G23</f>
        <v/>
      </c>
      <c r="I25" s="20">
        <f>COUNTIF(#REF!,"B")</f>
        <v/>
      </c>
      <c r="J25" s="21">
        <f>I25/I23</f>
        <v/>
      </c>
      <c r="K25" s="20">
        <f>COUNTIF(#REF!,"B")</f>
        <v/>
      </c>
      <c r="L25" s="21">
        <f>K25/K23</f>
        <v/>
      </c>
      <c r="M25" s="20">
        <f>COUNTIF(#REF!,"B")</f>
        <v/>
      </c>
      <c r="N25" s="21">
        <f>M25/M23</f>
        <v/>
      </c>
      <c r="O25" s="20">
        <f>COUNTIF(#REF!,"B")</f>
        <v/>
      </c>
      <c r="P25" s="21">
        <f>O25/O23</f>
        <v/>
      </c>
    </row>
    <row r="26" ht="24.75" customHeight="1" s="81">
      <c r="A26" s="90" t="n"/>
      <c r="B26" s="43" t="inlineStr">
        <is>
          <t>C-低意向</t>
        </is>
      </c>
      <c r="C26" s="20">
        <f>COUNTIF(#REF!,"C")</f>
        <v/>
      </c>
      <c r="D26" s="21">
        <f>C26/C23</f>
        <v/>
      </c>
      <c r="E26" s="20">
        <f>COUNTIF(#REF!,"C")+COUNTIF(#REF!,"降C")</f>
        <v/>
      </c>
      <c r="F26" s="21">
        <f>E26/E23</f>
        <v/>
      </c>
      <c r="G26" s="20">
        <f>COUNTIF(#REF!,"C")+COUNTIF(#REF!,"降C")</f>
        <v/>
      </c>
      <c r="H26" s="21">
        <f>G26/G23</f>
        <v/>
      </c>
      <c r="I26" s="20">
        <f>COUNTIF(#REF!,"C")+COUNTIF(#REF!,"降C")</f>
        <v/>
      </c>
      <c r="J26" s="21">
        <f>I26/I23</f>
        <v/>
      </c>
      <c r="K26" s="20">
        <f>COUNTIF(#REF!,"C")+COUNTIF(#REF!,"降C")</f>
        <v/>
      </c>
      <c r="L26" s="21">
        <f>K26/K23</f>
        <v/>
      </c>
      <c r="M26" s="20">
        <f>COUNTIF(#REF!,"C")+COUNTIF(#REF!,"降C")</f>
        <v/>
      </c>
      <c r="N26" s="21">
        <f>M26/M23</f>
        <v/>
      </c>
      <c r="O26" s="20">
        <f>COUNTIF(#REF!,"C")+COUNTIF(#REF!,"降C")</f>
        <v/>
      </c>
      <c r="P26" s="21">
        <f>O26/O23</f>
        <v/>
      </c>
    </row>
    <row r="27" ht="24.75" customHeight="1" s="81">
      <c r="A27" s="41" t="inlineStr">
        <is>
          <t>袁继成</t>
        </is>
      </c>
      <c r="B27" s="43" t="inlineStr">
        <is>
          <t>总人数</t>
        </is>
      </c>
      <c r="C27" s="15">
        <f>SUM(C28:C30)</f>
        <v/>
      </c>
      <c r="D27" s="15" t="n"/>
      <c r="E27" s="15">
        <f>SUM(E28:E30)</f>
        <v/>
      </c>
      <c r="F27" s="15" t="n"/>
      <c r="G27" s="15">
        <f>SUM(G28:G30)</f>
        <v/>
      </c>
      <c r="H27" s="15" t="n"/>
      <c r="I27" s="15">
        <f>SUM(I28:I30)</f>
        <v/>
      </c>
      <c r="J27" s="15" t="n"/>
      <c r="K27" s="15">
        <f>SUM(K28:K30)</f>
        <v/>
      </c>
      <c r="L27" s="15" t="n"/>
      <c r="M27" s="15">
        <f>SUM(M28:M30)</f>
        <v/>
      </c>
      <c r="N27" s="15" t="n"/>
      <c r="O27" s="15">
        <f>SUM(O28:O30)</f>
        <v/>
      </c>
      <c r="P27" s="15" t="n"/>
    </row>
    <row r="28" ht="24.75" customHeight="1" s="81">
      <c r="A28" s="91" t="n"/>
      <c r="B28" s="43" t="inlineStr">
        <is>
          <t>A-高意向</t>
        </is>
      </c>
      <c r="C28" s="15">
        <f>COUNTIF(#REF!,"A")</f>
        <v/>
      </c>
      <c r="D28" s="30">
        <f>C28/C27</f>
        <v/>
      </c>
      <c r="E28" s="15">
        <f>COUNTIF(#REF!,"A")+COUNTIF(#REF!,"升A")</f>
        <v/>
      </c>
      <c r="F28" s="30">
        <f>E28/E27</f>
        <v/>
      </c>
      <c r="G28" s="15">
        <f>COUNTIF(#REF!,"A")+COUNTIF(#REF!,"升A")</f>
        <v/>
      </c>
      <c r="H28" s="30">
        <f>G28/G27</f>
        <v/>
      </c>
      <c r="I28" s="15">
        <f>COUNTIF(#REF!,"A")+COUNTIF(#REF!,"升A")</f>
        <v/>
      </c>
      <c r="J28" s="30">
        <f>I28/I27</f>
        <v/>
      </c>
      <c r="K28" s="15">
        <f>COUNTIF(#REF!,"A")+COUNTIF(#REF!,"升A")</f>
        <v/>
      </c>
      <c r="L28" s="30">
        <f>K28/K27</f>
        <v/>
      </c>
      <c r="M28" s="15">
        <f>COUNTIF(#REF!,"A")+COUNTIF(#REF!,"升A")</f>
        <v/>
      </c>
      <c r="N28" s="30">
        <f>M28/M27</f>
        <v/>
      </c>
      <c r="O28" s="15">
        <f>COUNTIF(#REF!,"A")+COUNTIF(#REF!,"升A")</f>
        <v/>
      </c>
      <c r="P28" s="30">
        <f>O28/O27</f>
        <v/>
      </c>
    </row>
    <row r="29" ht="24.75" customHeight="1" s="81">
      <c r="A29" s="91" t="n"/>
      <c r="B29" s="43" t="inlineStr">
        <is>
          <t>B-中意向</t>
        </is>
      </c>
      <c r="C29" s="15">
        <f>COUNTIF(#REF!,"B")</f>
        <v/>
      </c>
      <c r="D29" s="30">
        <f>C29/C27</f>
        <v/>
      </c>
      <c r="E29" s="15">
        <f>COUNTIF(#REF!,"B")</f>
        <v/>
      </c>
      <c r="F29" s="30">
        <f>E29/E27</f>
        <v/>
      </c>
      <c r="G29" s="15">
        <f>COUNTIF(#REF!,"B")</f>
        <v/>
      </c>
      <c r="H29" s="30">
        <f>G29/G27</f>
        <v/>
      </c>
      <c r="I29" s="15">
        <f>COUNTIF(#REF!,"B")</f>
        <v/>
      </c>
      <c r="J29" s="30">
        <f>I29/I27</f>
        <v/>
      </c>
      <c r="K29" s="15">
        <f>COUNTIF(#REF!,"B")</f>
        <v/>
      </c>
      <c r="L29" s="30">
        <f>K29/K27</f>
        <v/>
      </c>
      <c r="M29" s="15">
        <f>COUNTIF(#REF!,"B")</f>
        <v/>
      </c>
      <c r="N29" s="30">
        <f>M29/M27</f>
        <v/>
      </c>
      <c r="O29" s="15">
        <f>COUNTIF(#REF!,"B")</f>
        <v/>
      </c>
      <c r="P29" s="30">
        <f>O29/O27</f>
        <v/>
      </c>
    </row>
    <row r="30" ht="24.75" customHeight="1" s="81">
      <c r="A30" s="90" t="n"/>
      <c r="B30" s="43" t="inlineStr">
        <is>
          <t>C-低意向</t>
        </is>
      </c>
      <c r="C30" s="15">
        <f>COUNTIF(#REF!,"C")</f>
        <v/>
      </c>
      <c r="D30" s="30">
        <f>C30/C27</f>
        <v/>
      </c>
      <c r="E30" s="15">
        <f>COUNTIF(#REF!,"C")+COUNTIF(#REF!,"降C")</f>
        <v/>
      </c>
      <c r="F30" s="30">
        <f>E30/E27</f>
        <v/>
      </c>
      <c r="G30" s="15">
        <f>COUNTIF(#REF!,"C")+COUNTIF(#REF!,"降C")</f>
        <v/>
      </c>
      <c r="H30" s="30">
        <f>G30/G27</f>
        <v/>
      </c>
      <c r="I30" s="15">
        <f>COUNTIF(#REF!,"C")+COUNTIF(#REF!,"降C")</f>
        <v/>
      </c>
      <c r="J30" s="30">
        <f>I30/I27</f>
        <v/>
      </c>
      <c r="K30" s="15">
        <f>COUNTIF(#REF!,"C")+COUNTIF(#REF!,"降C")</f>
        <v/>
      </c>
      <c r="L30" s="30">
        <f>K30/K27</f>
        <v/>
      </c>
      <c r="M30" s="15">
        <f>COUNTIF(#REF!,"C")+COUNTIF(#REF!,"降C")</f>
        <v/>
      </c>
      <c r="N30" s="30">
        <f>M30/M27</f>
        <v/>
      </c>
      <c r="O30" s="15">
        <f>COUNTIF(#REF!,"C")+COUNTIF(#REF!,"降C")</f>
        <v/>
      </c>
      <c r="P30" s="30">
        <f>O30/O27</f>
        <v/>
      </c>
    </row>
    <row r="31" ht="24.75" customHeight="1" s="81">
      <c r="A31" s="41" t="inlineStr">
        <is>
          <t>周志林</t>
        </is>
      </c>
      <c r="B31" s="43" t="inlineStr">
        <is>
          <t>总人数</t>
        </is>
      </c>
      <c r="C31" s="20">
        <f>SUM(C32:C34)</f>
        <v/>
      </c>
      <c r="D31" s="20" t="n"/>
      <c r="E31" s="20">
        <f>SUM(E32:E34)</f>
        <v/>
      </c>
      <c r="F31" s="20" t="n"/>
      <c r="G31" s="20">
        <f>SUM(G32:G34)</f>
        <v/>
      </c>
      <c r="H31" s="20" t="n"/>
      <c r="I31" s="20">
        <f>SUM(I32:I34)</f>
        <v/>
      </c>
      <c r="J31" s="20" t="n"/>
      <c r="K31" s="20">
        <f>SUM(K32:K34)</f>
        <v/>
      </c>
      <c r="L31" s="20" t="n"/>
      <c r="M31" s="20">
        <f>SUM(M32:M34)</f>
        <v/>
      </c>
      <c r="N31" s="20" t="n"/>
      <c r="O31" s="20">
        <f>SUM(O32:O34)</f>
        <v/>
      </c>
      <c r="P31" s="20" t="n"/>
    </row>
    <row r="32" ht="24.75" customHeight="1" s="81">
      <c r="A32" s="91" t="n"/>
      <c r="B32" s="43" t="inlineStr">
        <is>
          <t>A-高意向</t>
        </is>
      </c>
      <c r="C32" s="20">
        <f>COUNTIF(#REF!,"A")</f>
        <v/>
      </c>
      <c r="D32" s="21">
        <f>C32/C31</f>
        <v/>
      </c>
      <c r="E32" s="20">
        <f>COUNTIF(#REF!,"A")+COUNTIF(#REF!,"升A")</f>
        <v/>
      </c>
      <c r="F32" s="21">
        <f>E32/E31</f>
        <v/>
      </c>
      <c r="G32" s="20">
        <f>COUNTIF(#REF!,"A")+COUNTIF(#REF!,"升A")</f>
        <v/>
      </c>
      <c r="H32" s="21">
        <f>G32/G31</f>
        <v/>
      </c>
      <c r="I32" s="20">
        <f>COUNTIF(#REF!,"A")+COUNTIF(#REF!,"升A")</f>
        <v/>
      </c>
      <c r="J32" s="21">
        <f>I32/I31</f>
        <v/>
      </c>
      <c r="K32" s="20">
        <f>COUNTIF(#REF!,"A")+COUNTIF(#REF!,"升A")</f>
        <v/>
      </c>
      <c r="L32" s="21">
        <f>K32/K31</f>
        <v/>
      </c>
      <c r="M32" s="20">
        <f>COUNTIF(#REF!,"A")+COUNTIF(#REF!,"升A")</f>
        <v/>
      </c>
      <c r="N32" s="21">
        <f>M32/M31</f>
        <v/>
      </c>
      <c r="O32" s="20">
        <f>COUNTIF(#REF!,"A")+COUNTIF(#REF!,"升A")</f>
        <v/>
      </c>
      <c r="P32" s="21">
        <f>O32/O31</f>
        <v/>
      </c>
    </row>
    <row r="33" ht="24.75" customHeight="1" s="81">
      <c r="A33" s="91" t="n"/>
      <c r="B33" s="43" t="inlineStr">
        <is>
          <t>B-中意向</t>
        </is>
      </c>
      <c r="C33" s="20">
        <f>COUNTIF(#REF!,"B")</f>
        <v/>
      </c>
      <c r="D33" s="21">
        <f>C33/C31</f>
        <v/>
      </c>
      <c r="E33" s="20">
        <f>COUNTIF(#REF!,"B")</f>
        <v/>
      </c>
      <c r="F33" s="21">
        <f>E33/E31</f>
        <v/>
      </c>
      <c r="G33" s="20">
        <f>COUNTIF(#REF!,"B")</f>
        <v/>
      </c>
      <c r="H33" s="21">
        <f>G33/G31</f>
        <v/>
      </c>
      <c r="I33" s="20">
        <f>COUNTIF(#REF!,"B")</f>
        <v/>
      </c>
      <c r="J33" s="21">
        <f>I33/I31</f>
        <v/>
      </c>
      <c r="K33" s="20">
        <f>COUNTIF(#REF!,"B")</f>
        <v/>
      </c>
      <c r="L33" s="21">
        <f>K33/K31</f>
        <v/>
      </c>
      <c r="M33" s="20">
        <f>COUNTIF(#REF!,"B")</f>
        <v/>
      </c>
      <c r="N33" s="21">
        <f>M33/M31</f>
        <v/>
      </c>
      <c r="O33" s="20">
        <f>COUNTIF(#REF!,"B")</f>
        <v/>
      </c>
      <c r="P33" s="21">
        <f>O33/O31</f>
        <v/>
      </c>
    </row>
    <row r="34" ht="24.75" customHeight="1" s="81">
      <c r="A34" s="90" t="n"/>
      <c r="B34" s="43" t="inlineStr">
        <is>
          <t>C-低意向</t>
        </is>
      </c>
      <c r="C34" s="20">
        <f>COUNTIF(#REF!,"C")</f>
        <v/>
      </c>
      <c r="D34" s="21">
        <f>C34/C31</f>
        <v/>
      </c>
      <c r="E34" s="20">
        <f>COUNTIF(#REF!,"C")+COUNTIF(#REF!,"降C")</f>
        <v/>
      </c>
      <c r="F34" s="21">
        <f>E34/E31</f>
        <v/>
      </c>
      <c r="G34" s="20">
        <f>COUNTIF(#REF!,"C")+COUNTIF(#REF!,"降C")</f>
        <v/>
      </c>
      <c r="H34" s="21">
        <f>G34/G31</f>
        <v/>
      </c>
      <c r="I34" s="20">
        <f>COUNTIF(#REF!,"C")+COUNTIF(#REF!,"降C")</f>
        <v/>
      </c>
      <c r="J34" s="21">
        <f>I34/I31</f>
        <v/>
      </c>
      <c r="K34" s="20">
        <f>COUNTIF(#REF!,"C")+COUNTIF(#REF!,"降C")</f>
        <v/>
      </c>
      <c r="L34" s="21">
        <f>K34/K31</f>
        <v/>
      </c>
      <c r="M34" s="20">
        <f>COUNTIF(#REF!,"C")+COUNTIF(#REF!,"降C")</f>
        <v/>
      </c>
      <c r="N34" s="21">
        <f>M34/M31</f>
        <v/>
      </c>
      <c r="O34" s="20">
        <f>COUNTIF(#REF!,"C")+COUNTIF(#REF!,"降C")</f>
        <v/>
      </c>
      <c r="P34" s="21">
        <f>O34/O31</f>
        <v/>
      </c>
    </row>
  </sheetData>
  <mergeCells count="17">
    <mergeCell ref="A27:A30"/>
    <mergeCell ref="A23:A26"/>
    <mergeCell ref="A7:A10"/>
    <mergeCell ref="A31:A34"/>
    <mergeCell ref="C1:D1"/>
    <mergeCell ref="G1:H1"/>
    <mergeCell ref="E1:F1"/>
    <mergeCell ref="K1:L1"/>
    <mergeCell ref="A3:A6"/>
    <mergeCell ref="O1:P1"/>
    <mergeCell ref="B1:B2"/>
    <mergeCell ref="A15:A18"/>
    <mergeCell ref="A11:A14"/>
    <mergeCell ref="M1:N1"/>
    <mergeCell ref="A19:A22"/>
    <mergeCell ref="I1:J1"/>
    <mergeCell ref="A1:A2"/>
  </mergeCells>
  <conditionalFormatting sqref="D4:D6">
    <cfRule type="dataBar" priority="15">
      <dataBar>
        <cfvo type="min"/>
        <cfvo type="max"/>
        <color rgb="FF7BE5BB"/>
      </dataBar>
    </cfRule>
    <cfRule type="dataBar" priority="14">
      <dataBar>
        <cfvo type="min"/>
        <cfvo type="max"/>
        <color rgb="FFF99570"/>
      </dataBar>
    </cfRule>
  </conditionalFormatting>
  <conditionalFormatting sqref="D4">
    <cfRule type="dataBar" priority="5">
      <dataBar>
        <cfvo type="min"/>
        <cfvo type="max"/>
        <color rgb="FF7BE5BB"/>
      </dataBar>
    </cfRule>
    <cfRule type="dataBar" priority="2">
      <dataBar>
        <cfvo type="min"/>
        <cfvo type="max"/>
        <color rgb="FF7BE5BB"/>
      </dataBar>
    </cfRule>
  </conditionalFormatting>
  <conditionalFormatting sqref="D5">
    <cfRule type="dataBar" priority="4">
      <dataBar>
        <cfvo type="min"/>
        <cfvo type="max"/>
        <color rgb="FFBAC6F8"/>
      </dataBar>
    </cfRule>
    <cfRule type="dataBar" priority="3">
      <dataBar>
        <cfvo type="min"/>
        <cfvo type="max"/>
        <color rgb="FFBAC6F8"/>
      </dataBar>
    </cfRule>
  </conditionalFormatting>
  <conditionalFormatting sqref="D6">
    <cfRule type="dataBar" priority="1">
      <dataBar>
        <cfvo type="min"/>
        <cfvo type="max"/>
        <color rgb="FFF99570"/>
      </dataBar>
    </cfRule>
  </conditionalFormatting>
  <conditionalFormatting sqref="F6">
    <cfRule type="dataBar" priority="1">
      <dataBar>
        <cfvo type="min"/>
        <cfvo type="max"/>
        <color rgb="FFF99570"/>
      </dataBar>
    </cfRule>
  </conditionalFormatting>
  <conditionalFormatting sqref="F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4:F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6">
    <cfRule type="dataBar" priority="1">
      <dataBar>
        <cfvo type="min"/>
        <cfvo type="max"/>
        <color rgb="FFF99570"/>
      </dataBar>
    </cfRule>
  </conditionalFormatting>
  <conditionalFormatting sqref="H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4:H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6">
    <cfRule type="dataBar" priority="1">
      <dataBar>
        <cfvo type="min"/>
        <cfvo type="max"/>
        <color rgb="FFF99570"/>
      </dataBar>
    </cfRule>
  </conditionalFormatting>
  <conditionalFormatting sqref="J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4:J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6">
    <cfRule type="dataBar" priority="1">
      <dataBar>
        <cfvo type="min"/>
        <cfvo type="max"/>
        <color rgb="FFF99570"/>
      </dataBar>
    </cfRule>
  </conditionalFormatting>
  <conditionalFormatting sqref="L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4:L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6">
    <cfRule type="dataBar" priority="1">
      <dataBar>
        <cfvo type="min"/>
        <cfvo type="max"/>
        <color rgb="FFF99570"/>
      </dataBar>
    </cfRule>
  </conditionalFormatting>
  <conditionalFormatting sqref="N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4:N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6">
    <cfRule type="dataBar" priority="1">
      <dataBar>
        <cfvo type="min"/>
        <cfvo type="max"/>
        <color rgb="FFF99570"/>
      </dataBar>
    </cfRule>
  </conditionalFormatting>
  <conditionalFormatting sqref="P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4:P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0">
    <cfRule type="dataBar" priority="1">
      <dataBar>
        <cfvo type="min"/>
        <cfvo type="max"/>
        <color rgb="FFF99570"/>
      </dataBar>
    </cfRule>
  </conditionalFormatting>
  <conditionalFormatting sqref="D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8:D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4">
    <cfRule type="dataBar" priority="1">
      <dataBar>
        <cfvo type="min"/>
        <cfvo type="max"/>
        <color rgb="FFF99570"/>
      </dataBar>
    </cfRule>
  </conditionalFormatting>
  <conditionalFormatting sqref="D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12:D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8">
    <cfRule type="dataBar" priority="1">
      <dataBar>
        <cfvo type="min"/>
        <cfvo type="max"/>
        <color rgb="FFF99570"/>
      </dataBar>
    </cfRule>
  </conditionalFormatting>
  <conditionalFormatting sqref="D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16:D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22">
    <cfRule type="dataBar" priority="1">
      <dataBar>
        <cfvo type="min"/>
        <cfvo type="max"/>
        <color rgb="FFF99570"/>
      </dataBar>
    </cfRule>
  </conditionalFormatting>
  <conditionalFormatting sqref="D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0:D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26">
    <cfRule type="dataBar" priority="1">
      <dataBar>
        <cfvo type="min"/>
        <cfvo type="max"/>
        <color rgb="FFF99570"/>
      </dataBar>
    </cfRule>
  </conditionalFormatting>
  <conditionalFormatting sqref="D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4:D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30">
    <cfRule type="dataBar" priority="1">
      <dataBar>
        <cfvo type="min"/>
        <cfvo type="max"/>
        <color rgb="FFF99570"/>
      </dataBar>
    </cfRule>
  </conditionalFormatting>
  <conditionalFormatting sqref="D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8:D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34">
    <cfRule type="dataBar" priority="1">
      <dataBar>
        <cfvo type="min"/>
        <cfvo type="max"/>
        <color rgb="FFF99570"/>
      </dataBar>
    </cfRule>
  </conditionalFormatting>
  <conditionalFormatting sqref="D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32:D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0">
    <cfRule type="dataBar" priority="1">
      <dataBar>
        <cfvo type="min"/>
        <cfvo type="max"/>
        <color rgb="FFF99570"/>
      </dataBar>
    </cfRule>
  </conditionalFormatting>
  <conditionalFormatting sqref="F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8:F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4">
    <cfRule type="dataBar" priority="1">
      <dataBar>
        <cfvo type="min"/>
        <cfvo type="max"/>
        <color rgb="FFF99570"/>
      </dataBar>
    </cfRule>
  </conditionalFormatting>
  <conditionalFormatting sqref="F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12:F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8">
    <cfRule type="dataBar" priority="1">
      <dataBar>
        <cfvo type="min"/>
        <cfvo type="max"/>
        <color rgb="FFF99570"/>
      </dataBar>
    </cfRule>
  </conditionalFormatting>
  <conditionalFormatting sqref="F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16:F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22">
    <cfRule type="dataBar" priority="1">
      <dataBar>
        <cfvo type="min"/>
        <cfvo type="max"/>
        <color rgb="FFF99570"/>
      </dataBar>
    </cfRule>
  </conditionalFormatting>
  <conditionalFormatting sqref="F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0:F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26">
    <cfRule type="dataBar" priority="1">
      <dataBar>
        <cfvo type="min"/>
        <cfvo type="max"/>
        <color rgb="FFF99570"/>
      </dataBar>
    </cfRule>
  </conditionalFormatting>
  <conditionalFormatting sqref="F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4:F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30">
    <cfRule type="dataBar" priority="1">
      <dataBar>
        <cfvo type="min"/>
        <cfvo type="max"/>
        <color rgb="FFF99570"/>
      </dataBar>
    </cfRule>
  </conditionalFormatting>
  <conditionalFormatting sqref="F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8:F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34">
    <cfRule type="dataBar" priority="1">
      <dataBar>
        <cfvo type="min"/>
        <cfvo type="max"/>
        <color rgb="FFF99570"/>
      </dataBar>
    </cfRule>
  </conditionalFormatting>
  <conditionalFormatting sqref="F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32:F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0">
    <cfRule type="dataBar" priority="1">
      <dataBar>
        <cfvo type="min"/>
        <cfvo type="max"/>
        <color rgb="FFF99570"/>
      </dataBar>
    </cfRule>
  </conditionalFormatting>
  <conditionalFormatting sqref="H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8:H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4">
    <cfRule type="dataBar" priority="1">
      <dataBar>
        <cfvo type="min"/>
        <cfvo type="max"/>
        <color rgb="FFF99570"/>
      </dataBar>
    </cfRule>
  </conditionalFormatting>
  <conditionalFormatting sqref="H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12:H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8">
    <cfRule type="dataBar" priority="1">
      <dataBar>
        <cfvo type="min"/>
        <cfvo type="max"/>
        <color rgb="FFF99570"/>
      </dataBar>
    </cfRule>
  </conditionalFormatting>
  <conditionalFormatting sqref="H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16:H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22">
    <cfRule type="dataBar" priority="1">
      <dataBar>
        <cfvo type="min"/>
        <cfvo type="max"/>
        <color rgb="FFF99570"/>
      </dataBar>
    </cfRule>
  </conditionalFormatting>
  <conditionalFormatting sqref="H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0:H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26">
    <cfRule type="dataBar" priority="1">
      <dataBar>
        <cfvo type="min"/>
        <cfvo type="max"/>
        <color rgb="FFF99570"/>
      </dataBar>
    </cfRule>
  </conditionalFormatting>
  <conditionalFormatting sqref="H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4:H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30">
    <cfRule type="dataBar" priority="1">
      <dataBar>
        <cfvo type="min"/>
        <cfvo type="max"/>
        <color rgb="FFF99570"/>
      </dataBar>
    </cfRule>
  </conditionalFormatting>
  <conditionalFormatting sqref="H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8:H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34">
    <cfRule type="dataBar" priority="1">
      <dataBar>
        <cfvo type="min"/>
        <cfvo type="max"/>
        <color rgb="FFF99570"/>
      </dataBar>
    </cfRule>
  </conditionalFormatting>
  <conditionalFormatting sqref="H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32:H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0">
    <cfRule type="dataBar" priority="1">
      <dataBar>
        <cfvo type="min"/>
        <cfvo type="max"/>
        <color rgb="FFF99570"/>
      </dataBar>
    </cfRule>
  </conditionalFormatting>
  <conditionalFormatting sqref="J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8:J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4">
    <cfRule type="dataBar" priority="1">
      <dataBar>
        <cfvo type="min"/>
        <cfvo type="max"/>
        <color rgb="FFF99570"/>
      </dataBar>
    </cfRule>
  </conditionalFormatting>
  <conditionalFormatting sqref="J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12:J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8">
    <cfRule type="dataBar" priority="1">
      <dataBar>
        <cfvo type="min"/>
        <cfvo type="max"/>
        <color rgb="FFF99570"/>
      </dataBar>
    </cfRule>
  </conditionalFormatting>
  <conditionalFormatting sqref="J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16:J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22">
    <cfRule type="dataBar" priority="1">
      <dataBar>
        <cfvo type="min"/>
        <cfvo type="max"/>
        <color rgb="FFF99570"/>
      </dataBar>
    </cfRule>
  </conditionalFormatting>
  <conditionalFormatting sqref="J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0:J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26">
    <cfRule type="dataBar" priority="1">
      <dataBar>
        <cfvo type="min"/>
        <cfvo type="max"/>
        <color rgb="FFF99570"/>
      </dataBar>
    </cfRule>
  </conditionalFormatting>
  <conditionalFormatting sqref="J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4:J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30">
    <cfRule type="dataBar" priority="1">
      <dataBar>
        <cfvo type="min"/>
        <cfvo type="max"/>
        <color rgb="FFF99570"/>
      </dataBar>
    </cfRule>
  </conditionalFormatting>
  <conditionalFormatting sqref="J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8:J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34">
    <cfRule type="dataBar" priority="1">
      <dataBar>
        <cfvo type="min"/>
        <cfvo type="max"/>
        <color rgb="FFF99570"/>
      </dataBar>
    </cfRule>
  </conditionalFormatting>
  <conditionalFormatting sqref="J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32:J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0">
    <cfRule type="dataBar" priority="1">
      <dataBar>
        <cfvo type="min"/>
        <cfvo type="max"/>
        <color rgb="FFF99570"/>
      </dataBar>
    </cfRule>
  </conditionalFormatting>
  <conditionalFormatting sqref="L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8:L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4">
    <cfRule type="dataBar" priority="1">
      <dataBar>
        <cfvo type="min"/>
        <cfvo type="max"/>
        <color rgb="FFF99570"/>
      </dataBar>
    </cfRule>
  </conditionalFormatting>
  <conditionalFormatting sqref="L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12:L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8">
    <cfRule type="dataBar" priority="1">
      <dataBar>
        <cfvo type="min"/>
        <cfvo type="max"/>
        <color rgb="FFF99570"/>
      </dataBar>
    </cfRule>
  </conditionalFormatting>
  <conditionalFormatting sqref="L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16:L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22">
    <cfRule type="dataBar" priority="1">
      <dataBar>
        <cfvo type="min"/>
        <cfvo type="max"/>
        <color rgb="FFF99570"/>
      </dataBar>
    </cfRule>
  </conditionalFormatting>
  <conditionalFormatting sqref="L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0:L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26">
    <cfRule type="dataBar" priority="1">
      <dataBar>
        <cfvo type="min"/>
        <cfvo type="max"/>
        <color rgb="FFF99570"/>
      </dataBar>
    </cfRule>
  </conditionalFormatting>
  <conditionalFormatting sqref="L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4:L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30">
    <cfRule type="dataBar" priority="1">
      <dataBar>
        <cfvo type="min"/>
        <cfvo type="max"/>
        <color rgb="FFF99570"/>
      </dataBar>
    </cfRule>
  </conditionalFormatting>
  <conditionalFormatting sqref="L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8:L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34">
    <cfRule type="dataBar" priority="1">
      <dataBar>
        <cfvo type="min"/>
        <cfvo type="max"/>
        <color rgb="FFF99570"/>
      </dataBar>
    </cfRule>
  </conditionalFormatting>
  <conditionalFormatting sqref="L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32:L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0">
    <cfRule type="dataBar" priority="1">
      <dataBar>
        <cfvo type="min"/>
        <cfvo type="max"/>
        <color rgb="FFF99570"/>
      </dataBar>
    </cfRule>
  </conditionalFormatting>
  <conditionalFormatting sqref="N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8:N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4">
    <cfRule type="dataBar" priority="1">
      <dataBar>
        <cfvo type="min"/>
        <cfvo type="max"/>
        <color rgb="FFF99570"/>
      </dataBar>
    </cfRule>
  </conditionalFormatting>
  <conditionalFormatting sqref="N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12:N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8">
    <cfRule type="dataBar" priority="1">
      <dataBar>
        <cfvo type="min"/>
        <cfvo type="max"/>
        <color rgb="FFF99570"/>
      </dataBar>
    </cfRule>
  </conditionalFormatting>
  <conditionalFormatting sqref="N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16:N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22">
    <cfRule type="dataBar" priority="1">
      <dataBar>
        <cfvo type="min"/>
        <cfvo type="max"/>
        <color rgb="FFF99570"/>
      </dataBar>
    </cfRule>
  </conditionalFormatting>
  <conditionalFormatting sqref="N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0:N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26">
    <cfRule type="dataBar" priority="1">
      <dataBar>
        <cfvo type="min"/>
        <cfvo type="max"/>
        <color rgb="FFF99570"/>
      </dataBar>
    </cfRule>
  </conditionalFormatting>
  <conditionalFormatting sqref="N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4:N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30">
    <cfRule type="dataBar" priority="1">
      <dataBar>
        <cfvo type="min"/>
        <cfvo type="max"/>
        <color rgb="FFF99570"/>
      </dataBar>
    </cfRule>
  </conditionalFormatting>
  <conditionalFormatting sqref="N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8:N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34">
    <cfRule type="dataBar" priority="1">
      <dataBar>
        <cfvo type="min"/>
        <cfvo type="max"/>
        <color rgb="FFF99570"/>
      </dataBar>
    </cfRule>
  </conditionalFormatting>
  <conditionalFormatting sqref="N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32:N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0">
    <cfRule type="dataBar" priority="1">
      <dataBar>
        <cfvo type="min"/>
        <cfvo type="max"/>
        <color rgb="FFF99570"/>
      </dataBar>
    </cfRule>
  </conditionalFormatting>
  <conditionalFormatting sqref="P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8:P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4">
    <cfRule type="dataBar" priority="1">
      <dataBar>
        <cfvo type="min"/>
        <cfvo type="max"/>
        <color rgb="FFF99570"/>
      </dataBar>
    </cfRule>
  </conditionalFormatting>
  <conditionalFormatting sqref="P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12:P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8">
    <cfRule type="dataBar" priority="1">
      <dataBar>
        <cfvo type="min"/>
        <cfvo type="max"/>
        <color rgb="FFF99570"/>
      </dataBar>
    </cfRule>
  </conditionalFormatting>
  <conditionalFormatting sqref="P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16:P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22">
    <cfRule type="dataBar" priority="1">
      <dataBar>
        <cfvo type="min"/>
        <cfvo type="max"/>
        <color rgb="FFF99570"/>
      </dataBar>
    </cfRule>
  </conditionalFormatting>
  <conditionalFormatting sqref="P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0:P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26">
    <cfRule type="dataBar" priority="1">
      <dataBar>
        <cfvo type="min"/>
        <cfvo type="max"/>
        <color rgb="FFF99570"/>
      </dataBar>
    </cfRule>
  </conditionalFormatting>
  <conditionalFormatting sqref="P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4:P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30">
    <cfRule type="dataBar" priority="1">
      <dataBar>
        <cfvo type="min"/>
        <cfvo type="max"/>
        <color rgb="FFF99570"/>
      </dataBar>
    </cfRule>
  </conditionalFormatting>
  <conditionalFormatting sqref="P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8:P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34">
    <cfRule type="dataBar" priority="1">
      <dataBar>
        <cfvo type="min"/>
        <cfvo type="max"/>
        <color rgb="FFF99570"/>
      </dataBar>
    </cfRule>
  </conditionalFormatting>
  <conditionalFormatting sqref="P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32:P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9.9990234375" defaultRowHeight="16.5" customHeight="1"/>
  <cols>
    <col width="14.373046875" customWidth="1" style="81" min="1" max="1"/>
    <col width="39" customWidth="1" style="81" min="2" max="2"/>
    <col width="40.875" customWidth="1" style="81" min="3" max="3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E28"/>
  <sheetViews>
    <sheetView workbookViewId="0">
      <pane xSplit="9" ySplit="2" topLeftCell="J3" activePane="bottomRight" state="frozen"/>
      <selection activeCell="A1" sqref="A1"/>
    </sheetView>
  </sheetViews>
  <sheetFormatPr baseColWidth="10" defaultColWidth="9.9990234375" defaultRowHeight="16.5" customHeight="1"/>
  <cols>
    <col width="7.875" customWidth="1" style="5" min="1" max="1"/>
    <col width="8.1240234375" customWidth="1" style="5" min="2" max="2"/>
    <col width="9" customWidth="1" style="5" min="3" max="5"/>
    <col width="10.875" customWidth="1" style="5" min="6" max="6"/>
    <col width="13.623046875" customWidth="1" style="5" min="7" max="8"/>
    <col width="12.498046875" customWidth="1" style="5" min="9" max="10"/>
    <col width="10.998046875" customWidth="1" style="5" min="11" max="11"/>
    <col width="11.4990234375" customWidth="1" style="5" min="12" max="13"/>
    <col width="12.123046875" customWidth="1" style="5" min="14" max="14"/>
    <col width="12.123046875" customWidth="1" style="5" min="15" max="15"/>
    <col width="24" customWidth="1" style="33" min="16" max="16"/>
    <col width="36.2373046875" customWidth="1" style="33" min="17" max="17"/>
    <col width="16.7490234375" customWidth="1" style="33" min="18" max="18"/>
    <col width="14.3203125" customWidth="1" style="6" min="21" max="21"/>
    <col width="21.6240234375" customWidth="1" style="81" min="25" max="25"/>
    <col width="11.8740234375" customWidth="1" style="81" min="31" max="31"/>
  </cols>
  <sheetData>
    <row r="1" ht="22.5" customFormat="1" customHeight="1" s="48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3" t="inlineStr">
        <is>
          <t>第1讲</t>
        </is>
      </c>
      <c r="T1" s="92" t="n"/>
      <c r="U1" s="92" t="n"/>
      <c r="V1" s="22" t="inlineStr">
        <is>
          <t>第2讲</t>
        </is>
      </c>
      <c r="W1" s="22" t="inlineStr">
        <is>
          <t>第3讲</t>
        </is>
      </c>
      <c r="X1" s="9" t="inlineStr">
        <is>
          <t>第4讲</t>
        </is>
      </c>
      <c r="Y1" s="89" t="n"/>
      <c r="Z1" s="38" t="inlineStr">
        <is>
          <t>第5讲</t>
        </is>
      </c>
      <c r="AA1" s="38" t="inlineStr">
        <is>
          <t>第6讲</t>
        </is>
      </c>
      <c r="AB1" s="38" t="inlineStr">
        <is>
          <t>第7讲</t>
        </is>
      </c>
      <c r="AC1" s="9" t="inlineStr">
        <is>
          <t>第8讲</t>
        </is>
      </c>
      <c r="AD1" s="92" t="n"/>
      <c r="AE1" s="89" t="n"/>
    </row>
    <row r="2" ht="29.25" customFormat="1" customHeight="1" s="5">
      <c r="A2" s="13" t="inlineStr">
        <is>
          <t>姓名</t>
        </is>
      </c>
      <c r="B2" s="13" t="inlineStr">
        <is>
          <t>年级</t>
        </is>
      </c>
      <c r="C2" s="13" t="inlineStr">
        <is>
          <t>授课老师</t>
        </is>
      </c>
      <c r="D2" s="13" t="inlineStr">
        <is>
          <t>校区</t>
        </is>
      </c>
      <c r="E2" s="13" t="inlineStr">
        <is>
          <t>学科</t>
        </is>
      </c>
      <c r="F2" s="13" t="inlineStr">
        <is>
          <t>班型</t>
        </is>
      </c>
      <c r="G2" s="13" t="inlineStr">
        <is>
          <t>暑假期次</t>
        </is>
      </c>
      <c r="H2" s="13" t="inlineStr">
        <is>
          <t>上课时段</t>
        </is>
      </c>
      <c r="I2" s="13" t="inlineStr">
        <is>
          <t>顾问</t>
        </is>
      </c>
      <c r="J2" s="13" t="inlineStr">
        <is>
          <t>是否续秋</t>
        </is>
      </c>
      <c r="K2" s="13" t="inlineStr">
        <is>
          <t>是否新生</t>
        </is>
      </c>
      <c r="L2" s="68" t="inlineStr">
        <is>
          <t>在读学校</t>
        </is>
      </c>
      <c r="M2" s="68" t="inlineStr">
        <is>
          <t>校内成绩</t>
        </is>
      </c>
      <c r="N2" s="68" t="inlineStr">
        <is>
          <t>管学习的家长</t>
        </is>
      </c>
      <c r="O2" s="68" t="inlineStr">
        <is>
          <t>性格方面</t>
        </is>
      </c>
      <c r="P2" s="25" t="inlineStr">
        <is>
          <t>辅导班报名经历</t>
        </is>
      </c>
      <c r="Q2" s="25" t="inlineStr">
        <is>
          <t>需要关注的问题</t>
        </is>
      </c>
      <c r="R2" s="50" t="inlineStr">
        <is>
          <t>特殊情况备注</t>
        </is>
      </c>
      <c r="S2" s="13" t="inlineStr">
        <is>
          <t>课后反馈</t>
        </is>
      </c>
      <c r="T2" s="13" t="inlineStr">
        <is>
          <t>是否电访</t>
        </is>
      </c>
      <c r="U2" s="24" t="inlineStr">
        <is>
          <t>电访沟通记录</t>
        </is>
      </c>
      <c r="V2" s="10" t="inlineStr">
        <is>
          <t>课后反馈</t>
        </is>
      </c>
      <c r="W2" s="10" t="inlineStr">
        <is>
          <t>课后反馈</t>
        </is>
      </c>
      <c r="X2" s="13" t="inlineStr">
        <is>
          <t>四讲一测反馈</t>
        </is>
      </c>
      <c r="Y2" s="47" t="inlineStr">
        <is>
          <t>四讲一测成绩及未续春电访</t>
        </is>
      </c>
      <c r="Z2" s="13" t="inlineStr">
        <is>
          <t>课后反馈</t>
        </is>
      </c>
      <c r="AA2" s="13" t="inlineStr">
        <is>
          <t>课后反馈</t>
        </is>
      </c>
      <c r="AB2" s="13" t="inlineStr">
        <is>
          <t>课后反馈</t>
        </is>
      </c>
      <c r="AC2" s="13" t="inlineStr">
        <is>
          <t>新生电访</t>
        </is>
      </c>
      <c r="AD2" s="13" t="inlineStr">
        <is>
          <t>四讲一测反馈</t>
        </is>
      </c>
      <c r="AE2" s="47" t="inlineStr">
        <is>
          <t>四讲一测成绩及在线复习课邀约</t>
        </is>
      </c>
    </row>
    <row r="3" ht="16.5" customHeight="1" s="81">
      <c r="A3" s="26" t="inlineStr">
        <is>
          <t>卢芊雨</t>
        </is>
      </c>
      <c r="B3" s="14" t="inlineStr">
        <is>
          <t>六年级</t>
        </is>
      </c>
      <c r="C3" s="35" t="inlineStr">
        <is>
          <t>余露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08:10-10:20</t>
        </is>
      </c>
      <c r="I3" s="35" t="inlineStr">
        <is>
          <t>罗玉玲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曾雯慧</t>
        </is>
      </c>
      <c r="B4" s="14" t="inlineStr">
        <is>
          <t>六年级</t>
        </is>
      </c>
      <c r="C4" s="35" t="inlineStr">
        <is>
          <t>余露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08:10-10:20</t>
        </is>
      </c>
      <c r="I4" s="35" t="inlineStr">
        <is>
          <t>林志豪01</t>
        </is>
      </c>
      <c r="J4" s="35" t="inlineStr">
        <is>
          <t>否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金慧雯</t>
        </is>
      </c>
      <c r="B5" s="14" t="inlineStr">
        <is>
          <t>六年级</t>
        </is>
      </c>
      <c r="C5" s="35" t="inlineStr">
        <is>
          <t>余露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08:10-10:20</t>
        </is>
      </c>
      <c r="I5" s="35" t="inlineStr">
        <is>
          <t>林志豪01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陈泰延</t>
        </is>
      </c>
      <c r="B6" s="14" t="inlineStr">
        <is>
          <t>六年级</t>
        </is>
      </c>
      <c r="C6" s="35" t="inlineStr">
        <is>
          <t>余露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08:10-10:20</t>
        </is>
      </c>
      <c r="I6" s="35" t="inlineStr">
        <is>
          <t>杨利娟10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齐梓辰</t>
        </is>
      </c>
      <c r="B7" s="14" t="inlineStr">
        <is>
          <t>六年级</t>
        </is>
      </c>
      <c r="C7" s="35" t="inlineStr">
        <is>
          <t>余露</t>
        </is>
      </c>
      <c r="D7" s="35" t="inlineStr">
        <is>
          <t>新宝利大厦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08:10-10:20</t>
        </is>
      </c>
      <c r="I7" s="35" t="inlineStr">
        <is>
          <t>张敏烨</t>
        </is>
      </c>
      <c r="J7" s="35" t="inlineStr">
        <is>
          <t>是</t>
        </is>
      </c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孟潼</t>
        </is>
      </c>
      <c r="B8" s="14" t="inlineStr">
        <is>
          <t>四年级</t>
        </is>
      </c>
      <c r="C8" s="35" t="inlineStr">
        <is>
          <t>余露</t>
        </is>
      </c>
      <c r="D8" s="35" t="inlineStr">
        <is>
          <t>新宝利大厦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张敏烨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廖璟豪</t>
        </is>
      </c>
      <c r="B9" s="14" t="inlineStr">
        <is>
          <t>四年级</t>
        </is>
      </c>
      <c r="C9" s="35" t="inlineStr">
        <is>
          <t>余露</t>
        </is>
      </c>
      <c r="D9" s="35" t="inlineStr">
        <is>
          <t>新宝利大厦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张敏烨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张翌涵</t>
        </is>
      </c>
      <c r="B10" s="14" t="inlineStr">
        <is>
          <t>四年级</t>
        </is>
      </c>
      <c r="C10" s="35" t="inlineStr">
        <is>
          <t>余露</t>
        </is>
      </c>
      <c r="D10" s="35" t="inlineStr">
        <is>
          <t>新宝利大厦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王丽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李文妍宇</t>
        </is>
      </c>
      <c r="B11" s="14" t="inlineStr">
        <is>
          <t>四年级</t>
        </is>
      </c>
      <c r="C11" s="35" t="inlineStr">
        <is>
          <t>余露</t>
        </is>
      </c>
      <c r="D11" s="35" t="inlineStr">
        <is>
          <t>新宝利大厦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张敏烨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李沛恩</t>
        </is>
      </c>
      <c r="B12" s="14" t="inlineStr">
        <is>
          <t>四年级</t>
        </is>
      </c>
      <c r="C12" s="35" t="inlineStr">
        <is>
          <t>余露</t>
        </is>
      </c>
      <c r="D12" s="35" t="inlineStr">
        <is>
          <t>新宝利大厦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张敏烨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许芷瑜</t>
        </is>
      </c>
      <c r="B13" s="14" t="inlineStr">
        <is>
          <t>四年级</t>
        </is>
      </c>
      <c r="C13" s="35" t="inlineStr">
        <is>
          <t>余露</t>
        </is>
      </c>
      <c r="D13" s="35" t="inlineStr">
        <is>
          <t>新宝利大厦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张敏烨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麦沛豪</t>
        </is>
      </c>
      <c r="B14" s="14" t="inlineStr">
        <is>
          <t>四年级</t>
        </is>
      </c>
      <c r="C14" s="35" t="inlineStr">
        <is>
          <t>余露</t>
        </is>
      </c>
      <c r="D14" s="35" t="inlineStr">
        <is>
          <t>新宝利大厦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张敏烨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师韵萱</t>
        </is>
      </c>
      <c r="B15" s="14" t="inlineStr">
        <is>
          <t>四年级</t>
        </is>
      </c>
      <c r="C15" s="35" t="inlineStr">
        <is>
          <t>余露</t>
        </is>
      </c>
      <c r="D15" s="35" t="inlineStr">
        <is>
          <t>同创汇</t>
        </is>
      </c>
      <c r="E15" s="35" t="inlineStr">
        <is>
          <t>双语素养</t>
        </is>
      </c>
      <c r="F15" s="35" t="inlineStr">
        <is>
          <t>潜能班</t>
        </is>
      </c>
      <c r="G15" s="35" t="inlineStr">
        <is>
          <t>三期</t>
        </is>
      </c>
      <c r="H15" s="35" t="inlineStr">
        <is>
          <t>10:20-12:30</t>
        </is>
      </c>
      <c r="I15" s="35" t="inlineStr">
        <is>
          <t>戎凯01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菲妍</t>
        </is>
      </c>
      <c r="B16" s="14" t="inlineStr">
        <is>
          <t>四年级</t>
        </is>
      </c>
      <c r="C16" s="35" t="inlineStr">
        <is>
          <t>余露</t>
        </is>
      </c>
      <c r="D16" s="35" t="inlineStr">
        <is>
          <t>同创汇</t>
        </is>
      </c>
      <c r="E16" s="35" t="inlineStr">
        <is>
          <t>双语素养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10:20-12:30</t>
        </is>
      </c>
      <c r="I16" s="35" t="inlineStr">
        <is>
          <t>王丽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龙彦妤</t>
        </is>
      </c>
      <c r="B17" s="14" t="inlineStr">
        <is>
          <t>四年级</t>
        </is>
      </c>
      <c r="C17" s="35" t="inlineStr">
        <is>
          <t>余露</t>
        </is>
      </c>
      <c r="D17" s="35" t="inlineStr">
        <is>
          <t>同创汇</t>
        </is>
      </c>
      <c r="E17" s="35" t="inlineStr">
        <is>
          <t>双语素养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10:20-12:30</t>
        </is>
      </c>
      <c r="I17" s="35" t="inlineStr">
        <is>
          <t>王丽</t>
        </is>
      </c>
      <c r="J17" s="35" t="inlineStr">
        <is>
          <t>否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王文畋</t>
        </is>
      </c>
      <c r="B18" s="14" t="inlineStr">
        <is>
          <t>三年级</t>
        </is>
      </c>
      <c r="C18" s="35" t="inlineStr">
        <is>
          <t>余露</t>
        </is>
      </c>
      <c r="D18" s="35" t="inlineStr">
        <is>
          <t>同创汇</t>
        </is>
      </c>
      <c r="E18" s="35" t="inlineStr">
        <is>
          <t>双语素养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18:30-20:30</t>
        </is>
      </c>
      <c r="I18" s="35" t="inlineStr">
        <is>
          <t>戎凯01</t>
        </is>
      </c>
      <c r="J18" s="35" t="inlineStr">
        <is>
          <t>是</t>
        </is>
      </c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陈致远</t>
        </is>
      </c>
      <c r="B19" s="14" t="inlineStr">
        <is>
          <t>三年级</t>
        </is>
      </c>
      <c r="C19" s="35" t="inlineStr">
        <is>
          <t>余露</t>
        </is>
      </c>
      <c r="D19" s="35" t="inlineStr">
        <is>
          <t>同创汇</t>
        </is>
      </c>
      <c r="E19" s="35" t="inlineStr">
        <is>
          <t>双语素养</t>
        </is>
      </c>
      <c r="F19" s="35" t="inlineStr">
        <is>
          <t>潜能班</t>
        </is>
      </c>
      <c r="G19" s="35" t="inlineStr">
        <is>
          <t>三期</t>
        </is>
      </c>
      <c r="H19" s="35" t="inlineStr">
        <is>
          <t>18:30-20:30</t>
        </is>
      </c>
      <c r="I19" s="35" t="inlineStr">
        <is>
          <t>苏丽婷</t>
        </is>
      </c>
      <c r="J19" s="35" t="inlineStr">
        <is>
          <t>是</t>
        </is>
      </c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黄俊玮</t>
        </is>
      </c>
      <c r="B20" s="14" t="inlineStr">
        <is>
          <t>三年级</t>
        </is>
      </c>
      <c r="C20" s="35" t="inlineStr">
        <is>
          <t>余露</t>
        </is>
      </c>
      <c r="D20" s="35" t="inlineStr">
        <is>
          <t>同创汇</t>
        </is>
      </c>
      <c r="E20" s="35" t="inlineStr">
        <is>
          <t>双语素养</t>
        </is>
      </c>
      <c r="F20" s="35" t="inlineStr">
        <is>
          <t>潜能班</t>
        </is>
      </c>
      <c r="G20" s="35" t="inlineStr">
        <is>
          <t>三期</t>
        </is>
      </c>
      <c r="H20" s="35" t="inlineStr">
        <is>
          <t>18:30-20:30</t>
        </is>
      </c>
      <c r="I20" s="35" t="inlineStr">
        <is>
          <t>苏丽婷</t>
        </is>
      </c>
      <c r="J20" s="35" t="inlineStr">
        <is>
          <t>是</t>
        </is>
      </c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何涴司</t>
        </is>
      </c>
      <c r="B21" s="14" t="inlineStr">
        <is>
          <t>五年级</t>
        </is>
      </c>
      <c r="C21" s="35" t="inlineStr">
        <is>
          <t>余露</t>
        </is>
      </c>
      <c r="D21" s="35" t="inlineStr">
        <is>
          <t>新宝利大厦</t>
        </is>
      </c>
      <c r="E21" s="35" t="inlineStr">
        <is>
          <t>双语素养</t>
        </is>
      </c>
      <c r="F21" s="35" t="inlineStr">
        <is>
          <t>潜能班</t>
        </is>
      </c>
      <c r="G21" s="35" t="inlineStr">
        <is>
          <t>三期</t>
        </is>
      </c>
      <c r="H21" s="35" t="inlineStr">
        <is>
          <t>13:20-15:30</t>
        </is>
      </c>
      <c r="I21" s="35" t="inlineStr">
        <is>
          <t>林志豪01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Format="1" customHeight="1" s="5">
      <c r="A22" s="26" t="inlineStr">
        <is>
          <t>林子昕</t>
        </is>
      </c>
      <c r="B22" s="14" t="inlineStr">
        <is>
          <t>五年级</t>
        </is>
      </c>
      <c r="C22" s="35" t="inlineStr">
        <is>
          <t>余露</t>
        </is>
      </c>
      <c r="D22" s="35" t="inlineStr">
        <is>
          <t>新宝利大厦</t>
        </is>
      </c>
      <c r="E22" s="35" t="inlineStr">
        <is>
          <t>双语素养</t>
        </is>
      </c>
      <c r="F22" s="35" t="inlineStr">
        <is>
          <t>潜能班</t>
        </is>
      </c>
      <c r="G22" s="35" t="inlineStr">
        <is>
          <t>三期</t>
        </is>
      </c>
      <c r="H22" s="35" t="inlineStr">
        <is>
          <t>13:20-15:30</t>
        </is>
      </c>
      <c r="I22" s="35" t="inlineStr">
        <is>
          <t>张敏烨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Format="1" customHeight="1" s="5">
      <c r="A23" s="26" t="inlineStr">
        <is>
          <t>艾力</t>
        </is>
      </c>
      <c r="B23" s="14" t="inlineStr">
        <is>
          <t>五年级</t>
        </is>
      </c>
      <c r="C23" s="35" t="inlineStr">
        <is>
          <t>余露</t>
        </is>
      </c>
      <c r="D23" s="35" t="inlineStr">
        <is>
          <t>新宝利大厦</t>
        </is>
      </c>
      <c r="E23" s="35" t="inlineStr">
        <is>
          <t>双语素养</t>
        </is>
      </c>
      <c r="F23" s="35" t="inlineStr">
        <is>
          <t>潜能班</t>
        </is>
      </c>
      <c r="G23" s="35" t="inlineStr">
        <is>
          <t>三期</t>
        </is>
      </c>
      <c r="H23" s="35" t="inlineStr">
        <is>
          <t>13:20-15:30</t>
        </is>
      </c>
      <c r="I23" s="35" t="inlineStr">
        <is>
          <t>林志豪01</t>
        </is>
      </c>
      <c r="J23" s="35" t="inlineStr">
        <is>
          <t>否</t>
        </is>
      </c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Format="1" customHeight="1" s="5">
      <c r="A24" s="26" t="inlineStr">
        <is>
          <t>范可茵</t>
        </is>
      </c>
      <c r="B24" s="14" t="inlineStr">
        <is>
          <t>五年级</t>
        </is>
      </c>
      <c r="C24" s="35" t="inlineStr">
        <is>
          <t>余露</t>
        </is>
      </c>
      <c r="D24" s="35" t="inlineStr">
        <is>
          <t>新宝利大厦</t>
        </is>
      </c>
      <c r="E24" s="35" t="inlineStr">
        <is>
          <t>双语素养</t>
        </is>
      </c>
      <c r="F24" s="35" t="inlineStr">
        <is>
          <t>潜能班</t>
        </is>
      </c>
      <c r="G24" s="35" t="inlineStr">
        <is>
          <t>三期</t>
        </is>
      </c>
      <c r="H24" s="35" t="inlineStr">
        <is>
          <t>13:20-15:30</t>
        </is>
      </c>
      <c r="I24" s="35" t="inlineStr">
        <is>
          <t>张敏烨</t>
        </is>
      </c>
      <c r="J24" s="35" t="inlineStr">
        <is>
          <t>是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Format="1" customHeight="1" s="5">
      <c r="A25" s="37" t="n"/>
      <c r="B25" s="1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15" t="n"/>
      <c r="M25" s="15" t="n"/>
      <c r="N25" s="15" t="n"/>
      <c r="O25" s="15" t="n"/>
      <c r="P25" s="36" t="n"/>
      <c r="Q25" s="36" t="n"/>
      <c r="R25" s="11" t="n"/>
      <c r="S25" s="31" t="n"/>
      <c r="T25" s="31" t="n"/>
      <c r="U25" s="46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</row>
    <row r="26" ht="16.5" customFormat="1" customHeight="1" s="5">
      <c r="A26" s="37" t="n"/>
      <c r="B26" s="1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15" t="n"/>
      <c r="M26" s="15" t="n"/>
      <c r="N26" s="15" t="n"/>
      <c r="O26" s="15" t="n"/>
      <c r="P26" s="36" t="n"/>
      <c r="Q26" s="36" t="n"/>
      <c r="R26" s="11" t="n"/>
      <c r="S26" s="15" t="n"/>
      <c r="T26" s="15" t="n"/>
      <c r="U26" s="3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</row>
    <row r="27" ht="16.5" customFormat="1" customHeight="1" s="5">
      <c r="A27" s="37" t="n"/>
      <c r="B27" s="1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15" t="n"/>
      <c r="M27" s="15" t="n"/>
      <c r="N27" s="15" t="n"/>
      <c r="O27" s="15" t="n"/>
      <c r="P27" s="36" t="n"/>
      <c r="Q27" s="36" t="n"/>
      <c r="R27" s="11" t="n"/>
      <c r="S27" s="15" t="n"/>
      <c r="T27" s="15" t="n"/>
      <c r="U27" s="3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</row>
    <row r="28" ht="16.5" customFormat="1" customHeight="1" s="5">
      <c r="A28" s="37" t="n"/>
      <c r="B28" s="1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15" t="n"/>
      <c r="M28" s="15" t="n"/>
      <c r="N28" s="15" t="n"/>
      <c r="O28" s="15" t="n"/>
      <c r="P28" s="36" t="n"/>
      <c r="Q28" s="36" t="n"/>
      <c r="R28" s="11" t="n"/>
      <c r="S28" s="15" t="n"/>
      <c r="T28" s="15" t="n"/>
      <c r="U28" s="3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</row>
    <row r="29" ht="16.5" customHeight="1" s="81"/>
    <row r="30" ht="16.5" customHeight="1" s="81"/>
    <row r="31" ht="16.5" customHeight="1" s="81"/>
    <row r="32" ht="16.5" customHeight="1" s="81"/>
    <row r="33" ht="16.5" customHeight="1" s="81"/>
    <row r="34" ht="16.5" customHeight="1" s="81"/>
    <row r="35" ht="16.5" customHeight="1" s="81"/>
    <row r="36" ht="16.5" customHeight="1" s="81"/>
    <row r="37" ht="16.5" customHeight="1" s="81"/>
    <row r="38" ht="16.5" customHeight="1" s="81"/>
    <row r="39" ht="16.5" customHeight="1" s="81"/>
    <row r="40" ht="16.5" customHeight="1" s="81"/>
    <row r="41" ht="16.5" customHeight="1" s="81"/>
    <row r="42" ht="16.5" customHeight="1" s="81"/>
    <row r="43" ht="16.5" customHeight="1" s="81"/>
    <row r="44" ht="16.5" customHeight="1" s="81"/>
    <row r="45" ht="16.5" customHeight="1" s="81"/>
    <row r="46" ht="16.5" customHeight="1" s="81"/>
    <row r="47" ht="16.5" customHeight="1" s="81"/>
    <row r="48" ht="16.5" customHeight="1" s="81"/>
    <row r="49" ht="16.5" customHeight="1" s="81"/>
    <row r="50" ht="16.5" customHeight="1" s="81"/>
    <row r="51" ht="16.5" customHeight="1" s="81"/>
    <row r="52" ht="16.5" customHeight="1" s="81"/>
    <row r="53" ht="16.5" customHeight="1" s="81"/>
    <row r="54" ht="16.5" customHeight="1" s="81"/>
    <row r="55" ht="16.5" customHeight="1" s="81"/>
    <row r="56" ht="16.5" customHeight="1" s="81"/>
    <row r="57" ht="16.5" customHeight="1" s="81"/>
    <row r="58" ht="16.5" customHeight="1" s="81"/>
    <row r="59" ht="16.5" customHeight="1" s="81"/>
    <row r="60" ht="16.5" customHeight="1" s="81"/>
    <row r="61" ht="16.5" customHeight="1" s="81"/>
    <row r="62" ht="16.5" customHeight="1" s="81"/>
    <row r="63" ht="16.5" customHeight="1" s="81"/>
    <row r="64" ht="16.5" customHeight="1" s="81"/>
    <row r="65" ht="16.5" customHeight="1" s="81"/>
    <row r="66" ht="16.5" customHeight="1" s="81"/>
    <row r="67" ht="16.5" customHeight="1" s="81"/>
    <row r="68" ht="16.5" customHeight="1" s="81"/>
    <row r="69" ht="16.5" customHeight="1" s="81"/>
    <row r="70" ht="16.5" customHeight="1" s="81"/>
    <row r="71" ht="16.5" customHeight="1" s="81"/>
    <row r="72" ht="16.5" customHeight="1" s="81"/>
    <row r="73" ht="16.5" customHeight="1" s="81"/>
    <row r="74" ht="16.5" customHeight="1" s="81"/>
    <row r="75" ht="16.5" customHeight="1" s="81"/>
    <row r="76" ht="16.5" customHeight="1" s="81"/>
    <row r="77" ht="16.5" customHeight="1" s="81"/>
    <row r="78" ht="16.5" customHeight="1" s="81"/>
    <row r="79" ht="16.5" customHeight="1" s="81"/>
    <row r="80" ht="16.5" customHeight="1" s="81"/>
    <row r="81" ht="16.5" customHeight="1" s="81"/>
    <row r="82" ht="16.5" customHeight="1" s="81"/>
    <row r="83" ht="16.5" customHeight="1" s="81"/>
    <row r="84" ht="16.5" customHeight="1" s="81"/>
    <row r="85" ht="16.5" customHeight="1" s="81"/>
    <row r="86" ht="16.5" customHeight="1" s="81"/>
    <row r="87" ht="16.5" customHeight="1" s="81"/>
    <row r="88" ht="16.5" customHeight="1" s="81"/>
    <row r="89" ht="16.5" customHeight="1" s="81"/>
    <row r="90" ht="16.5" customHeight="1" s="81"/>
    <row r="91" ht="16.5" customHeight="1" s="81"/>
    <row r="92" ht="16.5" customHeight="1" s="81"/>
    <row r="93" ht="16.5" customHeight="1" s="81"/>
    <row r="94" ht="16.5" customHeight="1" s="81"/>
    <row r="95" ht="16.5" customHeight="1" s="81"/>
    <row r="96" ht="16.5" customHeight="1" s="81"/>
    <row r="97" ht="16.5" customHeight="1" s="81"/>
    <row r="98" ht="16.5" customHeight="1" s="81"/>
    <row r="99" ht="16.5" customHeight="1" s="81"/>
    <row r="100" ht="16.5" customHeight="1" s="81"/>
    <row r="101" ht="16.5" customHeight="1" s="81"/>
    <row r="102" ht="16.5" customHeight="1" s="81"/>
    <row r="103" ht="16.5" customHeight="1" s="81"/>
    <row r="104" ht="16.5" customHeight="1" s="81"/>
    <row r="105" ht="16.5" customHeight="1" s="81"/>
    <row r="106" ht="16.5" customHeight="1" s="81"/>
    <row r="107" ht="16.5" customHeight="1" s="81"/>
    <row r="108" ht="16.5" customHeight="1" s="81"/>
    <row r="109" ht="16.5" customHeight="1" s="81"/>
    <row r="110" ht="16.5" customHeight="1" s="81"/>
    <row r="111" ht="16.5" customHeight="1" s="81"/>
    <row r="112" ht="16.5" customHeight="1" s="81"/>
    <row r="113" ht="16.5" customHeight="1" s="81"/>
    <row r="114" ht="16.5" customHeight="1" s="81"/>
    <row r="115" ht="16.5" customHeight="1" s="81"/>
    <row r="116" ht="16.5" customHeight="1" s="81"/>
    <row r="117" ht="16.5" customHeight="1" s="81"/>
    <row r="118" ht="16.5" customHeight="1" s="81"/>
    <row r="119" ht="16.5" customHeight="1" s="81"/>
    <row r="120" ht="16.5" customHeight="1" s="81"/>
    <row r="121" ht="16.5" customHeight="1" s="81"/>
    <row r="122" ht="16.5" customHeight="1" s="81"/>
    <row r="123" ht="16.5" customHeight="1" s="81"/>
    <row r="124" ht="16.5" customHeight="1" s="81"/>
    <row r="125" ht="16.5" customHeight="1" s="81"/>
    <row r="126" ht="16.5" customHeight="1" s="81"/>
    <row r="127" ht="16.5" customHeight="1" s="81"/>
    <row r="128" ht="16.5" customHeight="1" s="81"/>
    <row r="129" ht="16.5" customHeight="1" s="81"/>
    <row r="130" ht="16.5" customHeight="1" s="81"/>
    <row r="131" ht="16.5" customHeight="1" s="81"/>
    <row r="132" ht="16.5" customHeight="1" s="81"/>
    <row r="133" ht="16.5" customHeight="1" s="81"/>
    <row r="134" ht="16.5" customHeight="1" s="81"/>
    <row r="135" ht="16.5" customHeight="1" s="81"/>
    <row r="136" ht="16.5" customHeight="1" s="81"/>
    <row r="137" ht="16.5" customHeight="1" s="81"/>
    <row r="138" ht="16.5" customHeight="1" s="81"/>
    <row r="139" ht="16.5" customHeight="1" s="81"/>
    <row r="140" ht="16.5" customHeight="1" s="81"/>
    <row r="141" ht="16.5" customHeight="1" s="81"/>
    <row r="142" ht="16.5" customHeight="1" s="81"/>
    <row r="143" ht="16.5" customHeight="1" s="81"/>
    <row r="144" ht="16.5" customHeight="1" s="81"/>
    <row r="145" ht="16.5" customHeight="1" s="81"/>
    <row r="146" ht="16.5" customHeight="1" s="81"/>
    <row r="147" ht="16.5" customHeight="1" s="81"/>
    <row r="148" ht="16.5" customHeight="1" s="81"/>
    <row r="149" ht="16.5" customHeight="1" s="81"/>
    <row r="150" ht="16.5" customHeight="1" s="81"/>
    <row r="151" ht="16.5" customHeight="1" s="81"/>
  </sheetData>
  <autoFilter ref="A2:XFD1048576"/>
  <mergeCells count="5">
    <mergeCell ref="AC1:AE1"/>
    <mergeCell ref="S1:U1"/>
    <mergeCell ref="X1:Y1"/>
    <mergeCell ref="A1:I1"/>
    <mergeCell ref="L1:R1"/>
  </mergeCells>
  <dataValidations count="1">
    <dataValidation sqref="N3:N151" showDropDown="0" showInputMessage="0" showErrorMessage="1" allowBlank="1" type="list" errorStyle="information">
      <formula1>"爸爸,妈妈,爷爷奶奶,姥姥姥爷,其他"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3:AE35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伍心瑜</t>
        </is>
      </c>
      <c r="B3" s="14" t="inlineStr">
        <is>
          <t>六年级</t>
        </is>
      </c>
      <c r="C3" s="35" t="inlineStr">
        <is>
          <t>邓慧敏</t>
        </is>
      </c>
      <c r="D3" s="35" t="inlineStr">
        <is>
          <t>天成大厦</t>
        </is>
      </c>
      <c r="E3" s="35" t="inlineStr">
        <is>
          <t>双语素养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王达04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华芷晴</t>
        </is>
      </c>
      <c r="B4" s="14" t="inlineStr">
        <is>
          <t>六年级</t>
        </is>
      </c>
      <c r="C4" s="35" t="inlineStr">
        <is>
          <t>邓慧敏</t>
        </is>
      </c>
      <c r="D4" s="35" t="inlineStr">
        <is>
          <t>天成大厦</t>
        </is>
      </c>
      <c r="E4" s="35" t="inlineStr">
        <is>
          <t>双语素养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王达04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王佳茗</t>
        </is>
      </c>
      <c r="B5" s="14" t="inlineStr">
        <is>
          <t>六年级</t>
        </is>
      </c>
      <c r="C5" s="35" t="inlineStr">
        <is>
          <t>邓慧敏</t>
        </is>
      </c>
      <c r="D5" s="35" t="inlineStr">
        <is>
          <t>天成大厦</t>
        </is>
      </c>
      <c r="E5" s="35" t="inlineStr">
        <is>
          <t>双语素养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王达04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郝力扬</t>
        </is>
      </c>
      <c r="B6" s="14" t="inlineStr">
        <is>
          <t>六年级</t>
        </is>
      </c>
      <c r="C6" s="35" t="inlineStr">
        <is>
          <t>邓慧敏</t>
        </is>
      </c>
      <c r="D6" s="35" t="inlineStr">
        <is>
          <t>天成大厦</t>
        </is>
      </c>
      <c r="E6" s="35" t="inlineStr">
        <is>
          <t>双语素养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沈思浩</t>
        </is>
      </c>
      <c r="J6" s="35" t="inlineStr">
        <is>
          <t>否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吴瑞桐</t>
        </is>
      </c>
      <c r="B7" s="14" t="inlineStr">
        <is>
          <t>五年级</t>
        </is>
      </c>
      <c r="C7" s="35" t="inlineStr">
        <is>
          <t>邓慧敏</t>
        </is>
      </c>
      <c r="D7" s="35" t="inlineStr">
        <is>
          <t>天成大厦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王达04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张沅钰</t>
        </is>
      </c>
      <c r="B8" s="14" t="inlineStr">
        <is>
          <t>五年级</t>
        </is>
      </c>
      <c r="C8" s="35" t="inlineStr">
        <is>
          <t>邓慧敏</t>
        </is>
      </c>
      <c r="D8" s="35" t="inlineStr">
        <is>
          <t>天成大厦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15:50-18:00</t>
        </is>
      </c>
      <c r="I8" s="35" t="inlineStr">
        <is>
          <t>王达04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张语晴</t>
        </is>
      </c>
      <c r="B9" s="14" t="inlineStr">
        <is>
          <t>五年级</t>
        </is>
      </c>
      <c r="C9" s="35" t="inlineStr">
        <is>
          <t>邓慧敏</t>
        </is>
      </c>
      <c r="D9" s="35" t="inlineStr">
        <is>
          <t>天成大厦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15:50-18:00</t>
        </is>
      </c>
      <c r="I9" s="35" t="inlineStr">
        <is>
          <t>沈思浩</t>
        </is>
      </c>
      <c r="J9" s="35" t="inlineStr">
        <is>
          <t>否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晏澜芮</t>
        </is>
      </c>
      <c r="B10" s="14" t="inlineStr">
        <is>
          <t>五年级</t>
        </is>
      </c>
      <c r="C10" s="35" t="inlineStr">
        <is>
          <t>邓慧敏</t>
        </is>
      </c>
      <c r="D10" s="35" t="inlineStr">
        <is>
          <t>天成大厦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15:50-18:00</t>
        </is>
      </c>
      <c r="I10" s="35" t="inlineStr">
        <is>
          <t>龙倩敏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江梓灵</t>
        </is>
      </c>
      <c r="B11" s="14" t="inlineStr">
        <is>
          <t>五年级</t>
        </is>
      </c>
      <c r="C11" s="35" t="inlineStr">
        <is>
          <t>邓慧敏</t>
        </is>
      </c>
      <c r="D11" s="35" t="inlineStr">
        <is>
          <t>天成大厦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15:50-18:00</t>
        </is>
      </c>
      <c r="I11" s="35" t="inlineStr">
        <is>
          <t>龙倩敏</t>
        </is>
      </c>
      <c r="J11" s="35" t="inlineStr">
        <is>
          <t>否</t>
        </is>
      </c>
      <c r="K11" s="35" t="inlineStr">
        <is>
          <t>是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沈楷芯</t>
        </is>
      </c>
      <c r="B12" s="14" t="inlineStr">
        <is>
          <t>五年级</t>
        </is>
      </c>
      <c r="C12" s="35" t="inlineStr">
        <is>
          <t>邓慧敏</t>
        </is>
      </c>
      <c r="D12" s="35" t="inlineStr">
        <is>
          <t>天成大厦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15:50-18:00</t>
        </is>
      </c>
      <c r="I12" s="35" t="inlineStr">
        <is>
          <t>沈思浩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王泓楷</t>
        </is>
      </c>
      <c r="B13" s="14" t="inlineStr">
        <is>
          <t>五年级</t>
        </is>
      </c>
      <c r="C13" s="35" t="inlineStr">
        <is>
          <t>邓慧敏</t>
        </is>
      </c>
      <c r="D13" s="35" t="inlineStr">
        <is>
          <t>天成大厦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15:50-18:00</t>
        </is>
      </c>
      <c r="I13" s="35" t="inlineStr">
        <is>
          <t>沈思浩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管润松</t>
        </is>
      </c>
      <c r="B14" s="14" t="inlineStr">
        <is>
          <t>五年级</t>
        </is>
      </c>
      <c r="C14" s="35" t="inlineStr">
        <is>
          <t>邓慧敏</t>
        </is>
      </c>
      <c r="D14" s="35" t="inlineStr">
        <is>
          <t>天成大厦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15:50-18:00</t>
        </is>
      </c>
      <c r="I14" s="35" t="inlineStr">
        <is>
          <t>沈思浩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罗梓桐</t>
        </is>
      </c>
      <c r="B15" s="14" t="inlineStr">
        <is>
          <t>五年级</t>
        </is>
      </c>
      <c r="C15" s="35" t="inlineStr">
        <is>
          <t>邓慧敏</t>
        </is>
      </c>
      <c r="D15" s="35" t="inlineStr">
        <is>
          <t>天成大厦</t>
        </is>
      </c>
      <c r="E15" s="35" t="inlineStr">
        <is>
          <t>双语素养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15:50-18:00</t>
        </is>
      </c>
      <c r="I15" s="35" t="inlineStr">
        <is>
          <t>王达04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袁靖熙</t>
        </is>
      </c>
      <c r="B16" s="14" t="inlineStr">
        <is>
          <t>五年级</t>
        </is>
      </c>
      <c r="C16" s="35" t="inlineStr">
        <is>
          <t>邓慧敏</t>
        </is>
      </c>
      <c r="D16" s="35" t="inlineStr">
        <is>
          <t>天成大厦</t>
        </is>
      </c>
      <c r="E16" s="35" t="inlineStr">
        <is>
          <t>双语素养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15:50-18:00</t>
        </is>
      </c>
      <c r="I16" s="35" t="inlineStr">
        <is>
          <t>龙倩敏</t>
        </is>
      </c>
      <c r="J16" s="35" t="inlineStr">
        <is>
          <t>否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谭文平</t>
        </is>
      </c>
      <c r="B17" s="14" t="inlineStr">
        <is>
          <t>五年级</t>
        </is>
      </c>
      <c r="C17" s="35" t="inlineStr">
        <is>
          <t>邓慧敏</t>
        </is>
      </c>
      <c r="D17" s="35" t="inlineStr">
        <is>
          <t>天成大厦</t>
        </is>
      </c>
      <c r="E17" s="35" t="inlineStr">
        <is>
          <t>双语素养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15:50-18:00</t>
        </is>
      </c>
      <c r="I17" s="35" t="inlineStr">
        <is>
          <t>沈思浩</t>
        </is>
      </c>
      <c r="J17" s="35" t="inlineStr">
        <is>
          <t>是</t>
        </is>
      </c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赵悦涵</t>
        </is>
      </c>
      <c r="B18" s="14" t="inlineStr">
        <is>
          <t>五年级</t>
        </is>
      </c>
      <c r="C18" s="35" t="inlineStr">
        <is>
          <t>邓慧敏</t>
        </is>
      </c>
      <c r="D18" s="35" t="inlineStr">
        <is>
          <t>天成大厦</t>
        </is>
      </c>
      <c r="E18" s="35" t="inlineStr">
        <is>
          <t>双语素养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15:50-18:00</t>
        </is>
      </c>
      <c r="I18" s="35" t="inlineStr">
        <is>
          <t>沈思浩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钟星和</t>
        </is>
      </c>
      <c r="B19" s="14" t="inlineStr">
        <is>
          <t>五年级</t>
        </is>
      </c>
      <c r="C19" s="35" t="inlineStr">
        <is>
          <t>邓慧敏</t>
        </is>
      </c>
      <c r="D19" s="35" t="inlineStr">
        <is>
          <t>天成大厦</t>
        </is>
      </c>
      <c r="E19" s="35" t="inlineStr">
        <is>
          <t>双语素养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15:50-18:00</t>
        </is>
      </c>
      <c r="I19" s="35" t="inlineStr">
        <is>
          <t>沈思浩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嘉嘉</t>
        </is>
      </c>
      <c r="B20" s="14" t="inlineStr">
        <is>
          <t>四年级</t>
        </is>
      </c>
      <c r="C20" s="35" t="inlineStr">
        <is>
          <t>邓慧敏</t>
        </is>
      </c>
      <c r="D20" s="35" t="inlineStr">
        <is>
          <t>天成大厦</t>
        </is>
      </c>
      <c r="E20" s="35" t="inlineStr">
        <is>
          <t>双语素养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18:20-20:30</t>
        </is>
      </c>
      <c r="I20" s="35" t="inlineStr">
        <is>
          <t>龙倩敏</t>
        </is>
      </c>
      <c r="J20" s="35" t="inlineStr">
        <is>
          <t>是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庞玥尧</t>
        </is>
      </c>
      <c r="B21" s="14" t="inlineStr">
        <is>
          <t>四年级</t>
        </is>
      </c>
      <c r="C21" s="35" t="inlineStr">
        <is>
          <t>邓慧敏</t>
        </is>
      </c>
      <c r="D21" s="35" t="inlineStr">
        <is>
          <t>天成大厦</t>
        </is>
      </c>
      <c r="E21" s="35" t="inlineStr">
        <is>
          <t>双语素养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18:20-20:30</t>
        </is>
      </c>
      <c r="I21" s="35" t="inlineStr">
        <is>
          <t>王达04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查雯雯</t>
        </is>
      </c>
      <c r="B22" s="14" t="inlineStr">
        <is>
          <t>四年级</t>
        </is>
      </c>
      <c r="C22" s="35" t="inlineStr">
        <is>
          <t>邓慧敏</t>
        </is>
      </c>
      <c r="D22" s="35" t="inlineStr">
        <is>
          <t>天成大厦</t>
        </is>
      </c>
      <c r="E22" s="35" t="inlineStr">
        <is>
          <t>双语素养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18:20-20:30</t>
        </is>
      </c>
      <c r="I22" s="35" t="inlineStr">
        <is>
          <t>沈思浩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梓君</t>
        </is>
      </c>
      <c r="B23" s="14" t="inlineStr">
        <is>
          <t>四年级</t>
        </is>
      </c>
      <c r="C23" s="35" t="inlineStr">
        <is>
          <t>邓慧敏</t>
        </is>
      </c>
      <c r="D23" s="35" t="inlineStr">
        <is>
          <t>天成大厦</t>
        </is>
      </c>
      <c r="E23" s="35" t="inlineStr">
        <is>
          <t>双语素养</t>
        </is>
      </c>
      <c r="F23" s="35" t="inlineStr">
        <is>
          <t>潜能班</t>
        </is>
      </c>
      <c r="G23" s="35" t="inlineStr">
        <is>
          <t>一期</t>
        </is>
      </c>
      <c r="H23" s="35" t="inlineStr">
        <is>
          <t>18:20-20:30</t>
        </is>
      </c>
      <c r="I23" s="35" t="inlineStr">
        <is>
          <t>沈思浩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浩浩</t>
        </is>
      </c>
      <c r="B24" s="14" t="inlineStr">
        <is>
          <t>四年级</t>
        </is>
      </c>
      <c r="C24" s="35" t="inlineStr">
        <is>
          <t>邓慧敏</t>
        </is>
      </c>
      <c r="D24" s="35" t="inlineStr">
        <is>
          <t>天成大厦</t>
        </is>
      </c>
      <c r="E24" s="35" t="inlineStr">
        <is>
          <t>双语素养</t>
        </is>
      </c>
      <c r="F24" s="35" t="inlineStr">
        <is>
          <t>潜能班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龙倩敏</t>
        </is>
      </c>
      <c r="J24" s="35" t="inlineStr">
        <is>
          <t>否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灵灵</t>
        </is>
      </c>
      <c r="B25" s="14" t="inlineStr">
        <is>
          <t>四年级</t>
        </is>
      </c>
      <c r="C25" s="35" t="inlineStr">
        <is>
          <t>邓慧敏</t>
        </is>
      </c>
      <c r="D25" s="35" t="inlineStr">
        <is>
          <t>天成大厦</t>
        </is>
      </c>
      <c r="E25" s="35" t="inlineStr">
        <is>
          <t>双语素养</t>
        </is>
      </c>
      <c r="F25" s="35" t="inlineStr">
        <is>
          <t>潜能班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龙倩敏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菡菡</t>
        </is>
      </c>
      <c r="B26" s="14" t="inlineStr">
        <is>
          <t>四年级</t>
        </is>
      </c>
      <c r="C26" s="35" t="inlineStr">
        <is>
          <t>邓慧敏</t>
        </is>
      </c>
      <c r="D26" s="35" t="inlineStr">
        <is>
          <t>天成大厦</t>
        </is>
      </c>
      <c r="E26" s="35" t="inlineStr">
        <is>
          <t>双语素养</t>
        </is>
      </c>
      <c r="F26" s="35" t="inlineStr">
        <is>
          <t>潜能班</t>
        </is>
      </c>
      <c r="G26" s="35" t="inlineStr">
        <is>
          <t>一期</t>
        </is>
      </c>
      <c r="H26" s="35" t="inlineStr">
        <is>
          <t>18:20-20:30</t>
        </is>
      </c>
      <c r="I26" s="35" t="inlineStr">
        <is>
          <t>龙倩敏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董梓源</t>
        </is>
      </c>
      <c r="B27" s="14" t="inlineStr">
        <is>
          <t>四年级</t>
        </is>
      </c>
      <c r="C27" s="35" t="inlineStr">
        <is>
          <t>邓慧敏</t>
        </is>
      </c>
      <c r="D27" s="35" t="inlineStr">
        <is>
          <t>天成大厦</t>
        </is>
      </c>
      <c r="E27" s="35" t="inlineStr">
        <is>
          <t>双语素养</t>
        </is>
      </c>
      <c r="F27" s="35" t="inlineStr">
        <is>
          <t>潜能班</t>
        </is>
      </c>
      <c r="G27" s="35" t="inlineStr">
        <is>
          <t>一期</t>
        </is>
      </c>
      <c r="H27" s="35" t="inlineStr">
        <is>
          <t>18:20-20:30</t>
        </is>
      </c>
      <c r="I27" s="35" t="inlineStr">
        <is>
          <t>王达04</t>
        </is>
      </c>
      <c r="J27" s="35" t="inlineStr">
        <is>
          <t>是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郭恒怡</t>
        </is>
      </c>
      <c r="B28" s="14" t="inlineStr">
        <is>
          <t>四年级</t>
        </is>
      </c>
      <c r="C28" s="35" t="inlineStr">
        <is>
          <t>邓慧敏</t>
        </is>
      </c>
      <c r="D28" s="35" t="inlineStr">
        <is>
          <t>天成大厦</t>
        </is>
      </c>
      <c r="E28" s="35" t="inlineStr">
        <is>
          <t>双语素养</t>
        </is>
      </c>
      <c r="F28" s="35" t="inlineStr">
        <is>
          <t>潜能班</t>
        </is>
      </c>
      <c r="G28" s="35" t="inlineStr">
        <is>
          <t>一期</t>
        </is>
      </c>
      <c r="H28" s="35" t="inlineStr">
        <is>
          <t>18:20-20:30</t>
        </is>
      </c>
      <c r="I28" s="35" t="inlineStr">
        <is>
          <t>龙倩敏</t>
        </is>
      </c>
      <c r="J28" s="35" t="inlineStr">
        <is>
          <t>是</t>
        </is>
      </c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北北</t>
        </is>
      </c>
      <c r="B29" s="14" t="inlineStr">
        <is>
          <t>五年级</t>
        </is>
      </c>
      <c r="C29" s="35" t="inlineStr">
        <is>
          <t>邓慧敏</t>
        </is>
      </c>
      <c r="D29" s="35" t="inlineStr">
        <is>
          <t>天成大厦</t>
        </is>
      </c>
      <c r="E29" s="35" t="inlineStr">
        <is>
          <t>双语素养</t>
        </is>
      </c>
      <c r="F29" s="35" t="inlineStr">
        <is>
          <t>潜能班</t>
        </is>
      </c>
      <c r="G29" s="35" t="inlineStr">
        <is>
          <t>三期</t>
        </is>
      </c>
      <c r="H29" s="35" t="inlineStr">
        <is>
          <t>13:20-15:30</t>
        </is>
      </c>
      <c r="I29" s="35" t="inlineStr">
        <is>
          <t>尚歆01</t>
        </is>
      </c>
      <c r="J29" s="35" t="inlineStr">
        <is>
          <t>是</t>
        </is>
      </c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吴施瑶</t>
        </is>
      </c>
      <c r="B30" s="14" t="inlineStr">
        <is>
          <t>五年级</t>
        </is>
      </c>
      <c r="C30" s="35" t="inlineStr">
        <is>
          <t>邓慧敏</t>
        </is>
      </c>
      <c r="D30" s="35" t="inlineStr">
        <is>
          <t>天成大厦</t>
        </is>
      </c>
      <c r="E30" s="35" t="inlineStr">
        <is>
          <t>双语素养</t>
        </is>
      </c>
      <c r="F30" s="35" t="inlineStr">
        <is>
          <t>潜能班</t>
        </is>
      </c>
      <c r="G30" s="35" t="inlineStr">
        <is>
          <t>三期</t>
        </is>
      </c>
      <c r="H30" s="35" t="inlineStr">
        <is>
          <t>13:20-15:30</t>
        </is>
      </c>
      <c r="I30" s="35" t="inlineStr">
        <is>
          <t>沈思浩</t>
        </is>
      </c>
      <c r="J30" s="35" t="inlineStr">
        <is>
          <t>是</t>
        </is>
      </c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张子馨</t>
        </is>
      </c>
      <c r="B31" s="14" t="inlineStr">
        <is>
          <t>五年级</t>
        </is>
      </c>
      <c r="C31" s="35" t="inlineStr">
        <is>
          <t>邓慧敏</t>
        </is>
      </c>
      <c r="D31" s="35" t="inlineStr">
        <is>
          <t>天成大厦</t>
        </is>
      </c>
      <c r="E31" s="35" t="inlineStr">
        <is>
          <t>双语素养</t>
        </is>
      </c>
      <c r="F31" s="35" t="inlineStr">
        <is>
          <t>潜能班</t>
        </is>
      </c>
      <c r="G31" s="35" t="inlineStr">
        <is>
          <t>三期</t>
        </is>
      </c>
      <c r="H31" s="35" t="inlineStr">
        <is>
          <t>13:20-15:30</t>
        </is>
      </c>
      <c r="I31" s="35" t="inlineStr">
        <is>
          <t>王达04</t>
        </is>
      </c>
      <c r="J31" s="35" t="inlineStr">
        <is>
          <t>否</t>
        </is>
      </c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张宝诺</t>
        </is>
      </c>
      <c r="B32" s="14" t="inlineStr">
        <is>
          <t>五年级</t>
        </is>
      </c>
      <c r="C32" s="35" t="inlineStr">
        <is>
          <t>邓慧敏</t>
        </is>
      </c>
      <c r="D32" s="35" t="inlineStr">
        <is>
          <t>天成大厦</t>
        </is>
      </c>
      <c r="E32" s="35" t="inlineStr">
        <is>
          <t>双语素养</t>
        </is>
      </c>
      <c r="F32" s="35" t="inlineStr">
        <is>
          <t>潜能班</t>
        </is>
      </c>
      <c r="G32" s="35" t="inlineStr">
        <is>
          <t>三期</t>
        </is>
      </c>
      <c r="H32" s="35" t="inlineStr">
        <is>
          <t>13:20-15:30</t>
        </is>
      </c>
      <c r="I32" s="35" t="inlineStr">
        <is>
          <t>沈思浩</t>
        </is>
      </c>
      <c r="J32" s="35" t="inlineStr">
        <is>
          <t>是</t>
        </is>
      </c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张悦琪</t>
        </is>
      </c>
      <c r="B33" s="14" t="inlineStr">
        <is>
          <t>五年级</t>
        </is>
      </c>
      <c r="C33" s="35" t="inlineStr">
        <is>
          <t>邓慧敏</t>
        </is>
      </c>
      <c r="D33" s="35" t="inlineStr">
        <is>
          <t>天成大厦</t>
        </is>
      </c>
      <c r="E33" s="35" t="inlineStr">
        <is>
          <t>双语素养</t>
        </is>
      </c>
      <c r="F33" s="35" t="inlineStr">
        <is>
          <t>潜能班</t>
        </is>
      </c>
      <c r="G33" s="35" t="inlineStr">
        <is>
          <t>三期</t>
        </is>
      </c>
      <c r="H33" s="35" t="inlineStr">
        <is>
          <t>13:20-15:30</t>
        </is>
      </c>
      <c r="I33" s="35" t="inlineStr">
        <is>
          <t>罗玉玲</t>
        </is>
      </c>
      <c r="J33" s="35" t="inlineStr">
        <is>
          <t>是</t>
        </is>
      </c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李子俊</t>
        </is>
      </c>
      <c r="B34" s="14" t="inlineStr">
        <is>
          <t>五年级</t>
        </is>
      </c>
      <c r="C34" s="35" t="inlineStr">
        <is>
          <t>邓慧敏</t>
        </is>
      </c>
      <c r="D34" s="35" t="inlineStr">
        <is>
          <t>天成大厦</t>
        </is>
      </c>
      <c r="E34" s="35" t="inlineStr">
        <is>
          <t>双语素养</t>
        </is>
      </c>
      <c r="F34" s="35" t="inlineStr">
        <is>
          <t>潜能班</t>
        </is>
      </c>
      <c r="G34" s="35" t="inlineStr">
        <is>
          <t>三期</t>
        </is>
      </c>
      <c r="H34" s="35" t="inlineStr">
        <is>
          <t>13:20-15:30</t>
        </is>
      </c>
      <c r="I34" s="35" t="inlineStr">
        <is>
          <t>沈思浩</t>
        </is>
      </c>
      <c r="J34" s="35" t="inlineStr">
        <is>
          <t>是</t>
        </is>
      </c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林朝晟</t>
        </is>
      </c>
      <c r="B35" s="14" t="inlineStr">
        <is>
          <t>五年级</t>
        </is>
      </c>
      <c r="C35" s="35" t="inlineStr">
        <is>
          <t>邓慧敏</t>
        </is>
      </c>
      <c r="D35" s="35" t="inlineStr">
        <is>
          <t>天成大厦</t>
        </is>
      </c>
      <c r="E35" s="35" t="inlineStr">
        <is>
          <t>双语素养</t>
        </is>
      </c>
      <c r="F35" s="35" t="inlineStr">
        <is>
          <t>潜能班</t>
        </is>
      </c>
      <c r="G35" s="35" t="inlineStr">
        <is>
          <t>三期</t>
        </is>
      </c>
      <c r="H35" s="35" t="inlineStr">
        <is>
          <t>13:20-15:30</t>
        </is>
      </c>
      <c r="I35" s="35" t="inlineStr">
        <is>
          <t>龙倩敏</t>
        </is>
      </c>
      <c r="J35" s="35" t="inlineStr">
        <is>
          <t>是</t>
        </is>
      </c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3:AE45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严锦</t>
        </is>
      </c>
      <c r="B3" s="14" t="inlineStr">
        <is>
          <t>四年级</t>
        </is>
      </c>
      <c r="C3" s="35" t="inlineStr">
        <is>
          <t>爱西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王达04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唐羽晨</t>
        </is>
      </c>
      <c r="B4" s="14" t="inlineStr">
        <is>
          <t>四年级</t>
        </is>
      </c>
      <c r="C4" s="35" t="inlineStr">
        <is>
          <t>爱西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杨利娟10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张宝诺</t>
        </is>
      </c>
      <c r="B5" s="14" t="inlineStr">
        <is>
          <t>四年级</t>
        </is>
      </c>
      <c r="C5" s="35" t="inlineStr">
        <is>
          <t>爱西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沈思浩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李子俊</t>
        </is>
      </c>
      <c r="B6" s="14" t="inlineStr">
        <is>
          <t>四年级</t>
        </is>
      </c>
      <c r="C6" s="35" t="inlineStr">
        <is>
          <t>爱西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沈思浩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罗文浩</t>
        </is>
      </c>
      <c r="B7" s="14" t="inlineStr">
        <is>
          <t>四年级</t>
        </is>
      </c>
      <c r="C7" s="35" t="inlineStr">
        <is>
          <t>爱西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启能班</t>
        </is>
      </c>
      <c r="G7" s="35" t="inlineStr">
        <is>
          <t>一期</t>
        </is>
      </c>
      <c r="H7" s="35" t="inlineStr">
        <is>
          <t>13:20-15:30</t>
        </is>
      </c>
      <c r="I7" s="35" t="inlineStr">
        <is>
          <t>杨利娟10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赵悦涵</t>
        </is>
      </c>
      <c r="B8" s="14" t="inlineStr">
        <is>
          <t>四年级</t>
        </is>
      </c>
      <c r="C8" s="35" t="inlineStr">
        <is>
          <t>爱西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启能班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沈思浩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郝力齐</t>
        </is>
      </c>
      <c r="B9" s="14" t="inlineStr">
        <is>
          <t>四年级</t>
        </is>
      </c>
      <c r="C9" s="35" t="inlineStr">
        <is>
          <t>爱西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启能班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陈亮延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林美希</t>
        </is>
      </c>
      <c r="B10" s="14" t="inlineStr">
        <is>
          <t>四年级</t>
        </is>
      </c>
      <c r="C10" s="35" t="inlineStr">
        <is>
          <t>爱西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18:20-20:30</t>
        </is>
      </c>
      <c r="I10" s="35" t="inlineStr">
        <is>
          <t>龙倩敏</t>
        </is>
      </c>
      <c r="J10" s="35" t="inlineStr">
        <is>
          <t>否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袁靖熙</t>
        </is>
      </c>
      <c r="B11" s="14" t="inlineStr">
        <is>
          <t>四年级</t>
        </is>
      </c>
      <c r="C11" s="35" t="inlineStr">
        <is>
          <t>爱西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18:20-20:30</t>
        </is>
      </c>
      <c r="I11" s="35" t="inlineStr">
        <is>
          <t>龙倩敏</t>
        </is>
      </c>
      <c r="J11" s="35" t="inlineStr">
        <is>
          <t>否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俊延</t>
        </is>
      </c>
      <c r="B12" s="14" t="inlineStr">
        <is>
          <t>四年级</t>
        </is>
      </c>
      <c r="C12" s="35" t="inlineStr">
        <is>
          <t>爱西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10:20-12:30</t>
        </is>
      </c>
      <c r="I12" s="35" t="inlineStr">
        <is>
          <t>张敏烨</t>
        </is>
      </c>
      <c r="J12" s="35" t="inlineStr">
        <is>
          <t>否</t>
        </is>
      </c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周妙熙</t>
        </is>
      </c>
      <c r="B13" s="14" t="inlineStr">
        <is>
          <t>四年级</t>
        </is>
      </c>
      <c r="C13" s="35" t="inlineStr">
        <is>
          <t>爱西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10:20-12:30</t>
        </is>
      </c>
      <c r="I13" s="35" t="inlineStr">
        <is>
          <t>张敏烨</t>
        </is>
      </c>
      <c r="J13" s="35" t="inlineStr">
        <is>
          <t>是</t>
        </is>
      </c>
      <c r="K13" s="35" t="inlineStr">
        <is>
          <t>是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张翌涵</t>
        </is>
      </c>
      <c r="B14" s="14" t="inlineStr">
        <is>
          <t>四年级</t>
        </is>
      </c>
      <c r="C14" s="35" t="inlineStr">
        <is>
          <t>爱西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10:20-12:30</t>
        </is>
      </c>
      <c r="I14" s="35" t="inlineStr">
        <is>
          <t>王丽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曹景行</t>
        </is>
      </c>
      <c r="B15" s="14" t="inlineStr">
        <is>
          <t>四年级</t>
        </is>
      </c>
      <c r="C15" s="35" t="inlineStr">
        <is>
          <t>爱西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10:20-12:30</t>
        </is>
      </c>
      <c r="I15" s="35" t="inlineStr">
        <is>
          <t>林志豪01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李文妍宇</t>
        </is>
      </c>
      <c r="B16" s="14" t="inlineStr">
        <is>
          <t>四年级</t>
        </is>
      </c>
      <c r="C16" s="35" t="inlineStr">
        <is>
          <t>爱西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10:20-12:30</t>
        </is>
      </c>
      <c r="I16" s="35" t="inlineStr">
        <is>
          <t>张敏烨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林子昕</t>
        </is>
      </c>
      <c r="B17" s="14" t="inlineStr">
        <is>
          <t>四年级</t>
        </is>
      </c>
      <c r="C17" s="35" t="inlineStr">
        <is>
          <t>爱西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10:20-12:30</t>
        </is>
      </c>
      <c r="I17" s="35" t="inlineStr">
        <is>
          <t>张敏烨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林靖轩</t>
        </is>
      </c>
      <c r="B18" s="14" t="inlineStr">
        <is>
          <t>四年级</t>
        </is>
      </c>
      <c r="C18" s="35" t="inlineStr">
        <is>
          <t>爱西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10:20-12:30</t>
        </is>
      </c>
      <c r="I18" s="35" t="inlineStr">
        <is>
          <t>张敏烨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查雯雯</t>
        </is>
      </c>
      <c r="B19" s="14" t="inlineStr">
        <is>
          <t>四年级</t>
        </is>
      </c>
      <c r="C19" s="35" t="inlineStr">
        <is>
          <t>爱西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10:20-12:30</t>
        </is>
      </c>
      <c r="I19" s="35" t="inlineStr">
        <is>
          <t>沈思浩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肖沁妤</t>
        </is>
      </c>
      <c r="B20" s="14" t="inlineStr">
        <is>
          <t>四年级</t>
        </is>
      </c>
      <c r="C20" s="35" t="inlineStr">
        <is>
          <t>爱西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10:20-12:30</t>
        </is>
      </c>
      <c r="I20" s="35" t="inlineStr">
        <is>
          <t>张敏烨</t>
        </is>
      </c>
      <c r="J20" s="35" t="inlineStr">
        <is>
          <t>是</t>
        </is>
      </c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黎峻鸣</t>
        </is>
      </c>
      <c r="B21" s="14" t="inlineStr">
        <is>
          <t>四年级</t>
        </is>
      </c>
      <c r="C21" s="35" t="inlineStr">
        <is>
          <t>爱西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10:20-12:30</t>
        </is>
      </c>
      <c r="I21" s="35" t="inlineStr">
        <is>
          <t>张敏烨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嘉莉</t>
        </is>
      </c>
      <c r="B22" s="14" t="inlineStr">
        <is>
          <t>六年级</t>
        </is>
      </c>
      <c r="C22" s="35" t="inlineStr">
        <is>
          <t>爱西</t>
        </is>
      </c>
      <c r="D22" s="35" t="inlineStr">
        <is>
          <t>同创汇</t>
        </is>
      </c>
      <c r="E22" s="35" t="inlineStr">
        <is>
          <t>雪球思维</t>
        </is>
      </c>
      <c r="F22" s="35" t="inlineStr">
        <is>
          <t>源能班</t>
        </is>
      </c>
      <c r="G22" s="35" t="inlineStr">
        <is>
          <t>二期</t>
        </is>
      </c>
      <c r="H22" s="35" t="inlineStr">
        <is>
          <t>10:20-12:30</t>
        </is>
      </c>
      <c r="I22" s="35" t="inlineStr">
        <is>
          <t>罗玉玲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庄茜婷</t>
        </is>
      </c>
      <c r="B23" s="14" t="inlineStr">
        <is>
          <t>六年级</t>
        </is>
      </c>
      <c r="C23" s="35" t="inlineStr">
        <is>
          <t>爱西</t>
        </is>
      </c>
      <c r="D23" s="35" t="inlineStr">
        <is>
          <t>同创汇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二期</t>
        </is>
      </c>
      <c r="H23" s="35" t="inlineStr">
        <is>
          <t>10:20-12:30</t>
        </is>
      </c>
      <c r="I23" s="35" t="inlineStr">
        <is>
          <t>王丽</t>
        </is>
      </c>
      <c r="J23" s="35" t="inlineStr">
        <is>
          <t>否</t>
        </is>
      </c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曾雯慧</t>
        </is>
      </c>
      <c r="B24" s="14" t="inlineStr">
        <is>
          <t>六年级</t>
        </is>
      </c>
      <c r="C24" s="35" t="inlineStr">
        <is>
          <t>爱西</t>
        </is>
      </c>
      <c r="D24" s="35" t="inlineStr">
        <is>
          <t>同创汇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二期</t>
        </is>
      </c>
      <c r="H24" s="35" t="inlineStr">
        <is>
          <t>10:20-12:30</t>
        </is>
      </c>
      <c r="I24" s="35" t="inlineStr">
        <is>
          <t>林志豪01</t>
        </is>
      </c>
      <c r="J24" s="35" t="inlineStr">
        <is>
          <t>否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林思宏</t>
        </is>
      </c>
      <c r="B25" s="14" t="inlineStr">
        <is>
          <t>六年级</t>
        </is>
      </c>
      <c r="C25" s="35" t="inlineStr">
        <is>
          <t>爱西</t>
        </is>
      </c>
      <c r="D25" s="35" t="inlineStr">
        <is>
          <t>同创汇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二期</t>
        </is>
      </c>
      <c r="H25" s="35" t="inlineStr">
        <is>
          <t>10:20-12:30</t>
        </is>
      </c>
      <c r="I25" s="35" t="inlineStr">
        <is>
          <t>戎凯01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林思翰</t>
        </is>
      </c>
      <c r="B26" s="14" t="inlineStr">
        <is>
          <t>六年级</t>
        </is>
      </c>
      <c r="C26" s="35" t="inlineStr">
        <is>
          <t>爱西</t>
        </is>
      </c>
      <c r="D26" s="35" t="inlineStr">
        <is>
          <t>同创汇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二期</t>
        </is>
      </c>
      <c r="H26" s="35" t="inlineStr">
        <is>
          <t>10:20-12:30</t>
        </is>
      </c>
      <c r="I26" s="35" t="inlineStr">
        <is>
          <t>沈思浩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蒙慧怡</t>
        </is>
      </c>
      <c r="B27" s="14" t="inlineStr">
        <is>
          <t>六年级</t>
        </is>
      </c>
      <c r="C27" s="35" t="inlineStr">
        <is>
          <t>爱西</t>
        </is>
      </c>
      <c r="D27" s="35" t="inlineStr">
        <is>
          <t>同创汇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二期</t>
        </is>
      </c>
      <c r="H27" s="35" t="inlineStr">
        <is>
          <t>10:20-12:30</t>
        </is>
      </c>
      <c r="I27" s="35" t="inlineStr">
        <is>
          <t>王丽</t>
        </is>
      </c>
      <c r="J27" s="35" t="inlineStr">
        <is>
          <t>是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赵栩晗</t>
        </is>
      </c>
      <c r="B28" s="14" t="inlineStr">
        <is>
          <t>六年级</t>
        </is>
      </c>
      <c r="C28" s="35" t="inlineStr">
        <is>
          <t>爱西</t>
        </is>
      </c>
      <c r="D28" s="35" t="inlineStr">
        <is>
          <t>同创汇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二期</t>
        </is>
      </c>
      <c r="H28" s="35" t="inlineStr">
        <is>
          <t>10:20-12:30</t>
        </is>
      </c>
      <c r="I28" s="35" t="inlineStr">
        <is>
          <t>戎凯01</t>
        </is>
      </c>
      <c r="J28" s="35" t="inlineStr">
        <is>
          <t>是</t>
        </is>
      </c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郑伊倩</t>
        </is>
      </c>
      <c r="B29" s="14" t="inlineStr">
        <is>
          <t>六年级</t>
        </is>
      </c>
      <c r="C29" s="35" t="inlineStr">
        <is>
          <t>爱西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源能班</t>
        </is>
      </c>
      <c r="G29" s="35" t="inlineStr">
        <is>
          <t>二期</t>
        </is>
      </c>
      <c r="H29" s="35" t="inlineStr">
        <is>
          <t>10:20-12:30</t>
        </is>
      </c>
      <c r="I29" s="35" t="inlineStr">
        <is>
          <t>王丽</t>
        </is>
      </c>
      <c r="J29" s="35" t="inlineStr">
        <is>
          <t>是</t>
        </is>
      </c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雷荟琳</t>
        </is>
      </c>
      <c r="B30" s="14" t="inlineStr">
        <is>
          <t>六年级</t>
        </is>
      </c>
      <c r="C30" s="35" t="inlineStr">
        <is>
          <t>爱西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源能班</t>
        </is>
      </c>
      <c r="G30" s="35" t="inlineStr">
        <is>
          <t>二期</t>
        </is>
      </c>
      <c r="H30" s="35" t="inlineStr">
        <is>
          <t>10:20-12:30</t>
        </is>
      </c>
      <c r="I30" s="35" t="inlineStr">
        <is>
          <t>王丽</t>
        </is>
      </c>
      <c r="J30" s="35" t="inlineStr">
        <is>
          <t>是</t>
        </is>
      </c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刘明哲</t>
        </is>
      </c>
      <c r="B31" s="14" t="inlineStr">
        <is>
          <t>六年级</t>
        </is>
      </c>
      <c r="C31" s="35" t="inlineStr">
        <is>
          <t>爱西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15:50-18:00</t>
        </is>
      </c>
      <c r="I31" s="35" t="inlineStr">
        <is>
          <t>王丽</t>
        </is>
      </c>
      <c r="J31" s="35" t="inlineStr">
        <is>
          <t>是</t>
        </is>
      </c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古语墨</t>
        </is>
      </c>
      <c r="B32" s="14" t="inlineStr">
        <is>
          <t>六年级</t>
        </is>
      </c>
      <c r="C32" s="35" t="inlineStr">
        <is>
          <t>爱西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15:50-18:00</t>
        </is>
      </c>
      <c r="I32" s="35" t="inlineStr">
        <is>
          <t>王丽</t>
        </is>
      </c>
      <c r="J32" s="35" t="inlineStr">
        <is>
          <t>是</t>
        </is>
      </c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徐皓钧</t>
        </is>
      </c>
      <c r="B33" s="14" t="inlineStr">
        <is>
          <t>六年级</t>
        </is>
      </c>
      <c r="C33" s="35" t="inlineStr">
        <is>
          <t>爱西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15:50-18:00</t>
        </is>
      </c>
      <c r="I33" s="35" t="inlineStr">
        <is>
          <t>戎凯01</t>
        </is>
      </c>
      <c r="J33" s="35" t="inlineStr">
        <is>
          <t>是</t>
        </is>
      </c>
      <c r="K33" s="35" t="inlineStr">
        <is>
          <t>是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李坦昀</t>
        </is>
      </c>
      <c r="B34" s="14" t="inlineStr">
        <is>
          <t>六年级</t>
        </is>
      </c>
      <c r="C34" s="35" t="inlineStr">
        <is>
          <t>爱西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15:50-18:00</t>
        </is>
      </c>
      <c r="I34" s="35" t="inlineStr">
        <is>
          <t>王丽</t>
        </is>
      </c>
      <c r="J34" s="35" t="inlineStr">
        <is>
          <t>是</t>
        </is>
      </c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林东乐</t>
        </is>
      </c>
      <c r="B35" s="14" t="inlineStr">
        <is>
          <t>六年级</t>
        </is>
      </c>
      <c r="C35" s="35" t="inlineStr">
        <is>
          <t>爱西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15:50-18:00</t>
        </is>
      </c>
      <c r="I35" s="35" t="inlineStr">
        <is>
          <t>戎凯01</t>
        </is>
      </c>
      <c r="J35" s="35" t="inlineStr">
        <is>
          <t>是</t>
        </is>
      </c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罗俊凯</t>
        </is>
      </c>
      <c r="B36" s="14" t="inlineStr">
        <is>
          <t>六年级</t>
        </is>
      </c>
      <c r="C36" s="35" t="inlineStr">
        <is>
          <t>爱西</t>
        </is>
      </c>
      <c r="D36" s="35" t="inlineStr">
        <is>
          <t>同创汇</t>
        </is>
      </c>
      <c r="E36" s="35" t="inlineStr">
        <is>
          <t>雪球思维</t>
        </is>
      </c>
      <c r="F36" s="35" t="inlineStr">
        <is>
          <t>启能班</t>
        </is>
      </c>
      <c r="G36" s="35" t="inlineStr">
        <is>
          <t>二期</t>
        </is>
      </c>
      <c r="H36" s="35" t="inlineStr">
        <is>
          <t>15:50-18:00</t>
        </is>
      </c>
      <c r="I36" s="35" t="inlineStr">
        <is>
          <t>王丽</t>
        </is>
      </c>
      <c r="J36" s="35" t="inlineStr">
        <is>
          <t>是</t>
        </is>
      </c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罗帝泓</t>
        </is>
      </c>
      <c r="B37" s="14" t="inlineStr">
        <is>
          <t>六年级</t>
        </is>
      </c>
      <c r="C37" s="35" t="inlineStr">
        <is>
          <t>爱西</t>
        </is>
      </c>
      <c r="D37" s="35" t="inlineStr">
        <is>
          <t>同创汇</t>
        </is>
      </c>
      <c r="E37" s="35" t="inlineStr">
        <is>
          <t>雪球思维</t>
        </is>
      </c>
      <c r="F37" s="35" t="inlineStr">
        <is>
          <t>启能班</t>
        </is>
      </c>
      <c r="G37" s="35" t="inlineStr">
        <is>
          <t>二期</t>
        </is>
      </c>
      <c r="H37" s="35" t="inlineStr">
        <is>
          <t>15:50-18:00</t>
        </is>
      </c>
      <c r="I37" s="35" t="inlineStr">
        <is>
          <t>戎凯01</t>
        </is>
      </c>
      <c r="J37" s="35" t="inlineStr">
        <is>
          <t>是</t>
        </is>
      </c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邓子悦</t>
        </is>
      </c>
      <c r="B38" s="14" t="inlineStr">
        <is>
          <t>六年级</t>
        </is>
      </c>
      <c r="C38" s="35" t="inlineStr">
        <is>
          <t>爱西</t>
        </is>
      </c>
      <c r="D38" s="35" t="inlineStr">
        <is>
          <t>同创汇</t>
        </is>
      </c>
      <c r="E38" s="35" t="inlineStr">
        <is>
          <t>雪球思维</t>
        </is>
      </c>
      <c r="F38" s="35" t="inlineStr">
        <is>
          <t>启能班</t>
        </is>
      </c>
      <c r="G38" s="35" t="inlineStr">
        <is>
          <t>二期</t>
        </is>
      </c>
      <c r="H38" s="35" t="inlineStr">
        <is>
          <t>15:50-18:00</t>
        </is>
      </c>
      <c r="I38" s="35" t="inlineStr">
        <is>
          <t>王丽</t>
        </is>
      </c>
      <c r="J38" s="35" t="inlineStr">
        <is>
          <t>是</t>
        </is>
      </c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陈云轩</t>
        </is>
      </c>
      <c r="B39" s="14" t="inlineStr">
        <is>
          <t>六年级</t>
        </is>
      </c>
      <c r="C39" s="35" t="inlineStr">
        <is>
          <t>爱西</t>
        </is>
      </c>
      <c r="D39" s="35" t="inlineStr">
        <is>
          <t>同创汇</t>
        </is>
      </c>
      <c r="E39" s="35" t="inlineStr">
        <is>
          <t>雪球思维</t>
        </is>
      </c>
      <c r="F39" s="35" t="inlineStr">
        <is>
          <t>启能班</t>
        </is>
      </c>
      <c r="G39" s="35" t="inlineStr">
        <is>
          <t>二期</t>
        </is>
      </c>
      <c r="H39" s="35" t="inlineStr">
        <is>
          <t>15:50-18:00</t>
        </is>
      </c>
      <c r="I39" s="35" t="inlineStr">
        <is>
          <t>王丽</t>
        </is>
      </c>
      <c r="J39" s="35" t="inlineStr">
        <is>
          <t>是</t>
        </is>
      </c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黄雨桐</t>
        </is>
      </c>
      <c r="B40" s="14" t="inlineStr">
        <is>
          <t>六年级</t>
        </is>
      </c>
      <c r="C40" s="35" t="inlineStr">
        <is>
          <t>爱西</t>
        </is>
      </c>
      <c r="D40" s="35" t="inlineStr">
        <is>
          <t>同创汇</t>
        </is>
      </c>
      <c r="E40" s="35" t="inlineStr">
        <is>
          <t>雪球思维</t>
        </is>
      </c>
      <c r="F40" s="35" t="inlineStr">
        <is>
          <t>启能班</t>
        </is>
      </c>
      <c r="G40" s="35" t="inlineStr">
        <is>
          <t>二期</t>
        </is>
      </c>
      <c r="H40" s="35" t="inlineStr">
        <is>
          <t>15:50-18:00</t>
        </is>
      </c>
      <c r="I40" s="35" t="inlineStr">
        <is>
          <t>杨利娟10</t>
        </is>
      </c>
      <c r="J40" s="35" t="inlineStr">
        <is>
          <t>是</t>
        </is>
      </c>
      <c r="K40" s="35" t="inlineStr">
        <is>
          <t>否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刘棣宇</t>
        </is>
      </c>
      <c r="B41" s="14" t="inlineStr">
        <is>
          <t>四年级</t>
        </is>
      </c>
      <c r="C41" s="35" t="inlineStr">
        <is>
          <t>爱西</t>
        </is>
      </c>
      <c r="D41" s="35" t="inlineStr">
        <is>
          <t>同创汇</t>
        </is>
      </c>
      <c r="E41" s="35" t="inlineStr">
        <is>
          <t>雪球思维</t>
        </is>
      </c>
      <c r="F41" s="35" t="inlineStr">
        <is>
          <t>潜能班</t>
        </is>
      </c>
      <c r="G41" s="35" t="inlineStr">
        <is>
          <t>三期</t>
        </is>
      </c>
      <c r="H41" s="35" t="inlineStr">
        <is>
          <t>13:20-15:30</t>
        </is>
      </c>
      <c r="I41" s="35" t="inlineStr">
        <is>
          <t>陈冰08</t>
        </is>
      </c>
      <c r="J41" s="35" t="inlineStr">
        <is>
          <t>否</t>
        </is>
      </c>
      <c r="K41" s="35" t="inlineStr">
        <is>
          <t>否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可欣</t>
        </is>
      </c>
      <c r="B42" s="14" t="inlineStr">
        <is>
          <t>四年级</t>
        </is>
      </c>
      <c r="C42" s="35" t="inlineStr">
        <is>
          <t>爱西</t>
        </is>
      </c>
      <c r="D42" s="35" t="inlineStr">
        <is>
          <t>同创汇</t>
        </is>
      </c>
      <c r="E42" s="35" t="inlineStr">
        <is>
          <t>雪球思维</t>
        </is>
      </c>
      <c r="F42" s="35" t="inlineStr">
        <is>
          <t>潜能班</t>
        </is>
      </c>
      <c r="G42" s="35" t="inlineStr">
        <is>
          <t>三期</t>
        </is>
      </c>
      <c r="H42" s="35" t="inlineStr">
        <is>
          <t>13:20-15:30</t>
        </is>
      </c>
      <c r="I42" s="35" t="inlineStr">
        <is>
          <t>罗玉玲</t>
        </is>
      </c>
      <c r="J42" s="35" t="inlineStr">
        <is>
          <t>是</t>
        </is>
      </c>
      <c r="K42" s="35" t="inlineStr">
        <is>
          <t>否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姚梓萱</t>
        </is>
      </c>
      <c r="B43" s="14" t="inlineStr">
        <is>
          <t>四年级</t>
        </is>
      </c>
      <c r="C43" s="35" t="inlineStr">
        <is>
          <t>爱西</t>
        </is>
      </c>
      <c r="D43" s="35" t="inlineStr">
        <is>
          <t>同创汇</t>
        </is>
      </c>
      <c r="E43" s="35" t="inlineStr">
        <is>
          <t>雪球思维</t>
        </is>
      </c>
      <c r="F43" s="35" t="inlineStr">
        <is>
          <t>潜能班</t>
        </is>
      </c>
      <c r="G43" s="35" t="inlineStr">
        <is>
          <t>三期</t>
        </is>
      </c>
      <c r="H43" s="35" t="inlineStr">
        <is>
          <t>13:20-15:30</t>
        </is>
      </c>
      <c r="I43" s="35" t="inlineStr">
        <is>
          <t>戎凯01</t>
        </is>
      </c>
      <c r="J43" s="35" t="inlineStr">
        <is>
          <t>是</t>
        </is>
      </c>
      <c r="K43" s="35" t="inlineStr">
        <is>
          <t>否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  <row r="44" ht="16.5" customHeight="1" s="81">
      <c r="A44" s="26" t="inlineStr">
        <is>
          <t>郑博匀</t>
        </is>
      </c>
      <c r="B44" s="14" t="inlineStr">
        <is>
          <t>四年级</t>
        </is>
      </c>
      <c r="C44" s="35" t="inlineStr">
        <is>
          <t>爱西</t>
        </is>
      </c>
      <c r="D44" s="35" t="inlineStr">
        <is>
          <t>同创汇</t>
        </is>
      </c>
      <c r="E44" s="35" t="inlineStr">
        <is>
          <t>雪球思维</t>
        </is>
      </c>
      <c r="F44" s="35" t="inlineStr">
        <is>
          <t>潜能班</t>
        </is>
      </c>
      <c r="G44" s="35" t="inlineStr">
        <is>
          <t>三期</t>
        </is>
      </c>
      <c r="H44" s="35" t="inlineStr">
        <is>
          <t>13:20-15:30</t>
        </is>
      </c>
      <c r="I44" s="35" t="inlineStr">
        <is>
          <t>王丽</t>
        </is>
      </c>
      <c r="J44" s="35" t="inlineStr">
        <is>
          <t>是</t>
        </is>
      </c>
      <c r="K44" s="35" t="inlineStr">
        <is>
          <t>否</t>
        </is>
      </c>
      <c r="L44" s="15" t="n"/>
      <c r="M44" s="15" t="n"/>
      <c r="N44" s="15" t="n"/>
      <c r="O44" s="15" t="n"/>
      <c r="P44" s="36" t="n"/>
      <c r="Q44" s="36" t="n"/>
      <c r="R44" s="11" t="n"/>
      <c r="S44" s="45" t="n"/>
      <c r="T44" s="45" t="n"/>
      <c r="U44" s="39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</row>
    <row r="45" ht="16.5" customHeight="1" s="81">
      <c r="A45" s="26" t="inlineStr">
        <is>
          <t>龙彦妤</t>
        </is>
      </c>
      <c r="B45" s="14" t="inlineStr">
        <is>
          <t>四年级</t>
        </is>
      </c>
      <c r="C45" s="35" t="inlineStr">
        <is>
          <t>爱西</t>
        </is>
      </c>
      <c r="D45" s="35" t="inlineStr">
        <is>
          <t>同创汇</t>
        </is>
      </c>
      <c r="E45" s="35" t="inlineStr">
        <is>
          <t>雪球思维</t>
        </is>
      </c>
      <c r="F45" s="35" t="inlineStr">
        <is>
          <t>潜能班</t>
        </is>
      </c>
      <c r="G45" s="35" t="inlineStr">
        <is>
          <t>三期</t>
        </is>
      </c>
      <c r="H45" s="35" t="inlineStr">
        <is>
          <t>13:20-15:30</t>
        </is>
      </c>
      <c r="I45" s="35" t="inlineStr">
        <is>
          <t>王丽</t>
        </is>
      </c>
      <c r="J45" s="35" t="inlineStr">
        <is>
          <t>是</t>
        </is>
      </c>
      <c r="K45" s="35" t="inlineStr">
        <is>
          <t>否</t>
        </is>
      </c>
      <c r="L45" s="15" t="n"/>
      <c r="M45" s="15" t="n"/>
      <c r="N45" s="15" t="n"/>
      <c r="O45" s="15" t="n"/>
      <c r="P45" s="36" t="n"/>
      <c r="Q45" s="36" t="n"/>
      <c r="R45" s="11" t="n"/>
      <c r="S45" s="45" t="n"/>
      <c r="T45" s="45" t="n"/>
      <c r="U45" s="39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3:AE33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曹槿馨</t>
        </is>
      </c>
      <c r="B3" s="14" t="inlineStr">
        <is>
          <t>五年级</t>
        </is>
      </c>
      <c r="C3" s="35" t="inlineStr">
        <is>
          <t>庄蕙霞</t>
        </is>
      </c>
      <c r="D3" s="35" t="inlineStr">
        <is>
          <t>同创汇</t>
        </is>
      </c>
      <c r="E3" s="35" t="inlineStr">
        <is>
          <t>雪球思维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10:20-12:30</t>
        </is>
      </c>
      <c r="I3" s="35" t="inlineStr">
        <is>
          <t>戎凯01</t>
        </is>
      </c>
      <c r="J3" s="35" t="inlineStr">
        <is>
          <t>是</t>
        </is>
      </c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李佩琳</t>
        </is>
      </c>
      <c r="B4" s="14" t="inlineStr">
        <is>
          <t>五年级</t>
        </is>
      </c>
      <c r="C4" s="35" t="inlineStr">
        <is>
          <t>庄蕙霞</t>
        </is>
      </c>
      <c r="D4" s="35" t="inlineStr">
        <is>
          <t>同创汇</t>
        </is>
      </c>
      <c r="E4" s="35" t="inlineStr">
        <is>
          <t>雪球思维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10:20-12:30</t>
        </is>
      </c>
      <c r="I4" s="35" t="inlineStr">
        <is>
          <t>王丽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李典玥</t>
        </is>
      </c>
      <c r="B5" s="14" t="inlineStr">
        <is>
          <t>五年级</t>
        </is>
      </c>
      <c r="C5" s="35" t="inlineStr">
        <is>
          <t>庄蕙霞</t>
        </is>
      </c>
      <c r="D5" s="35" t="inlineStr">
        <is>
          <t>同创汇</t>
        </is>
      </c>
      <c r="E5" s="35" t="inlineStr">
        <is>
          <t>雪球思维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10:20-12:30</t>
        </is>
      </c>
      <c r="I5" s="35" t="inlineStr">
        <is>
          <t>张敏烨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李婉真</t>
        </is>
      </c>
      <c r="B6" s="14" t="inlineStr">
        <is>
          <t>五年级</t>
        </is>
      </c>
      <c r="C6" s="35" t="inlineStr">
        <is>
          <t>庄蕙霞</t>
        </is>
      </c>
      <c r="D6" s="35" t="inlineStr">
        <is>
          <t>同创汇</t>
        </is>
      </c>
      <c r="E6" s="35" t="inlineStr">
        <is>
          <t>雪球思维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10:20-12:30</t>
        </is>
      </c>
      <c r="I6" s="35" t="inlineStr">
        <is>
          <t>王丽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林小舜</t>
        </is>
      </c>
      <c r="B7" s="14" t="inlineStr">
        <is>
          <t>五年级</t>
        </is>
      </c>
      <c r="C7" s="35" t="inlineStr">
        <is>
          <t>庄蕙霞</t>
        </is>
      </c>
      <c r="D7" s="35" t="inlineStr">
        <is>
          <t>同创汇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10:20-12:30</t>
        </is>
      </c>
      <c r="I7" s="35" t="inlineStr">
        <is>
          <t>王丽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秦熙</t>
        </is>
      </c>
      <c r="B8" s="14" t="inlineStr">
        <is>
          <t>五年级</t>
        </is>
      </c>
      <c r="C8" s="35" t="inlineStr">
        <is>
          <t>庄蕙霞</t>
        </is>
      </c>
      <c r="D8" s="35" t="inlineStr">
        <is>
          <t>同创汇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10:20-12:30</t>
        </is>
      </c>
      <c r="I8" s="35" t="inlineStr">
        <is>
          <t>王丽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秦语</t>
        </is>
      </c>
      <c r="B9" s="14" t="inlineStr">
        <is>
          <t>五年级</t>
        </is>
      </c>
      <c r="C9" s="35" t="inlineStr">
        <is>
          <t>庄蕙霞</t>
        </is>
      </c>
      <c r="D9" s="35" t="inlineStr">
        <is>
          <t>同创汇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10:20-12:30</t>
        </is>
      </c>
      <c r="I9" s="35" t="inlineStr">
        <is>
          <t>王丽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魏来</t>
        </is>
      </c>
      <c r="B10" s="14" t="inlineStr">
        <is>
          <t>五年级</t>
        </is>
      </c>
      <c r="C10" s="35" t="inlineStr">
        <is>
          <t>庄蕙霞</t>
        </is>
      </c>
      <c r="D10" s="35" t="inlineStr">
        <is>
          <t>同创汇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10:20-12:30</t>
        </is>
      </c>
      <c r="I10" s="35" t="inlineStr">
        <is>
          <t>杨利娟10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黄博涵</t>
        </is>
      </c>
      <c r="B11" s="14" t="inlineStr">
        <is>
          <t>五年级</t>
        </is>
      </c>
      <c r="C11" s="35" t="inlineStr">
        <is>
          <t>庄蕙霞</t>
        </is>
      </c>
      <c r="D11" s="35" t="inlineStr">
        <is>
          <t>同创汇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10:20-12:30</t>
        </is>
      </c>
      <c r="I11" s="35" t="inlineStr">
        <is>
          <t>赵思捷01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上然</t>
        </is>
      </c>
      <c r="B12" s="14" t="inlineStr">
        <is>
          <t>六年级</t>
        </is>
      </c>
      <c r="C12" s="35" t="inlineStr">
        <is>
          <t>庄蕙霞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林志豪01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刘一之</t>
        </is>
      </c>
      <c r="B13" s="14" t="inlineStr">
        <is>
          <t>六年级</t>
        </is>
      </c>
      <c r="C13" s="35" t="inlineStr">
        <is>
          <t>庄蕙霞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林志豪01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曾麒薇</t>
        </is>
      </c>
      <c r="B14" s="14" t="inlineStr">
        <is>
          <t>六年级</t>
        </is>
      </c>
      <c r="C14" s="35" t="inlineStr">
        <is>
          <t>庄蕙霞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林志豪01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李思澄</t>
        </is>
      </c>
      <c r="B15" s="14" t="inlineStr">
        <is>
          <t>六年级</t>
        </is>
      </c>
      <c r="C15" s="35" t="inlineStr">
        <is>
          <t>庄蕙霞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13:20-15:30</t>
        </is>
      </c>
      <c r="I15" s="35" t="inlineStr">
        <is>
          <t>赵思捷01</t>
        </is>
      </c>
      <c r="J15" s="35" t="inlineStr">
        <is>
          <t>否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潘俊锴</t>
        </is>
      </c>
      <c r="B16" s="14" t="inlineStr">
        <is>
          <t>六年级</t>
        </is>
      </c>
      <c r="C16" s="35" t="inlineStr">
        <is>
          <t>庄蕙霞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13:20-15:30</t>
        </is>
      </c>
      <c r="I16" s="35" t="inlineStr">
        <is>
          <t>罗玉玲</t>
        </is>
      </c>
      <c r="J16" s="35" t="inlineStr">
        <is>
          <t>否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程梓瀚</t>
        </is>
      </c>
      <c r="B17" s="14" t="inlineStr">
        <is>
          <t>六年级</t>
        </is>
      </c>
      <c r="C17" s="35" t="inlineStr">
        <is>
          <t>庄蕙霞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13:20-15:30</t>
        </is>
      </c>
      <c r="I17" s="35" t="inlineStr">
        <is>
          <t>尚歆01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蒋汶希</t>
        </is>
      </c>
      <c r="B18" s="14" t="inlineStr">
        <is>
          <t>六年级</t>
        </is>
      </c>
      <c r="C18" s="35" t="inlineStr">
        <is>
          <t>庄蕙霞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13:20-15:30</t>
        </is>
      </c>
      <c r="I18" s="35" t="inlineStr">
        <is>
          <t>尚歆01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谢奕辰</t>
        </is>
      </c>
      <c r="B19" s="14" t="inlineStr">
        <is>
          <t>六年级</t>
        </is>
      </c>
      <c r="C19" s="35" t="inlineStr">
        <is>
          <t>庄蕙霞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13:20-15:30</t>
        </is>
      </c>
      <c r="I19" s="35" t="inlineStr">
        <is>
          <t>林志豪01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谭文平</t>
        </is>
      </c>
      <c r="B20" s="14" t="inlineStr">
        <is>
          <t>六年级</t>
        </is>
      </c>
      <c r="C20" s="35" t="inlineStr">
        <is>
          <t>庄蕙霞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13:20-15:30</t>
        </is>
      </c>
      <c r="I20" s="35" t="inlineStr">
        <is>
          <t>沈思浩</t>
        </is>
      </c>
      <c r="J20" s="35" t="inlineStr">
        <is>
          <t>是</t>
        </is>
      </c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陈泰延</t>
        </is>
      </c>
      <c r="B21" s="14" t="inlineStr">
        <is>
          <t>六年级</t>
        </is>
      </c>
      <c r="C21" s="35" t="inlineStr">
        <is>
          <t>庄蕙霞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13:20-15:30</t>
        </is>
      </c>
      <c r="I21" s="35" t="inlineStr">
        <is>
          <t>杨利娟10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雅言</t>
        </is>
      </c>
      <c r="B22" s="14" t="inlineStr">
        <is>
          <t>六年级</t>
        </is>
      </c>
      <c r="C22" s="35" t="inlineStr">
        <is>
          <t>庄蕙霞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13:20-15:30</t>
        </is>
      </c>
      <c r="I22" s="35" t="inlineStr">
        <is>
          <t>杨利娟10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黄矜茹</t>
        </is>
      </c>
      <c r="B23" s="14" t="inlineStr">
        <is>
          <t>六年级</t>
        </is>
      </c>
      <c r="C23" s="35" t="inlineStr">
        <is>
          <t>庄蕙霞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潜能班</t>
        </is>
      </c>
      <c r="G23" s="35" t="inlineStr">
        <is>
          <t>一期</t>
        </is>
      </c>
      <c r="H23" s="35" t="inlineStr">
        <is>
          <t>13:20-15:30</t>
        </is>
      </c>
      <c r="I23" s="35" t="inlineStr">
        <is>
          <t>张敏烨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夏振宝</t>
        </is>
      </c>
      <c r="B24" s="14" t="inlineStr">
        <is>
          <t>六年级</t>
        </is>
      </c>
      <c r="C24" s="35" t="inlineStr">
        <is>
          <t>庄蕙霞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罗玉玲</t>
        </is>
      </c>
      <c r="J24" s="35" t="inlineStr">
        <is>
          <t>否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敏玥</t>
        </is>
      </c>
      <c r="B25" s="14" t="inlineStr">
        <is>
          <t>六年级</t>
        </is>
      </c>
      <c r="C25" s="35" t="inlineStr">
        <is>
          <t>庄蕙霞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张敏烨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谭骏晔</t>
        </is>
      </c>
      <c r="B26" s="14" t="inlineStr">
        <is>
          <t>六年级</t>
        </is>
      </c>
      <c r="C26" s="35" t="inlineStr">
        <is>
          <t>庄蕙霞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一期</t>
        </is>
      </c>
      <c r="H26" s="35" t="inlineStr">
        <is>
          <t>18:20-20:30</t>
        </is>
      </c>
      <c r="I26" s="35" t="inlineStr">
        <is>
          <t>林志豪01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陆子睿</t>
        </is>
      </c>
      <c r="B27" s="14" t="inlineStr">
        <is>
          <t>六年级</t>
        </is>
      </c>
      <c r="C27" s="35" t="inlineStr">
        <is>
          <t>庄蕙霞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一期</t>
        </is>
      </c>
      <c r="H27" s="35" t="inlineStr">
        <is>
          <t>18:20-20:30</t>
        </is>
      </c>
      <c r="I27" s="35" t="inlineStr">
        <is>
          <t>罗玉玲</t>
        </is>
      </c>
      <c r="J27" s="35" t="inlineStr">
        <is>
          <t>否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齐梓辰</t>
        </is>
      </c>
      <c r="B28" s="14" t="inlineStr">
        <is>
          <t>六年级</t>
        </is>
      </c>
      <c r="C28" s="35" t="inlineStr">
        <is>
          <t>庄蕙霞</t>
        </is>
      </c>
      <c r="D28" s="35" t="inlineStr">
        <is>
          <t>新宝利大厦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一期</t>
        </is>
      </c>
      <c r="H28" s="35" t="inlineStr">
        <is>
          <t>18:20-20:30</t>
        </is>
      </c>
      <c r="I28" s="35" t="inlineStr">
        <is>
          <t>张敏烨</t>
        </is>
      </c>
      <c r="J28" s="35" t="inlineStr">
        <is>
          <t>是</t>
        </is>
      </c>
      <c r="K28" s="35" t="inlineStr">
        <is>
          <t>是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关芯颖</t>
        </is>
      </c>
      <c r="B29" s="14" t="inlineStr">
        <is>
          <t>五年级</t>
        </is>
      </c>
      <c r="C29" s="35" t="inlineStr">
        <is>
          <t>庄蕙霞</t>
        </is>
      </c>
      <c r="D29" s="35" t="inlineStr">
        <is>
          <t>新宝利大厦</t>
        </is>
      </c>
      <c r="E29" s="35" t="inlineStr">
        <is>
          <t>雪球思维</t>
        </is>
      </c>
      <c r="F29" s="35" t="inlineStr">
        <is>
          <t>潜能班</t>
        </is>
      </c>
      <c r="G29" s="35" t="inlineStr">
        <is>
          <t>二期</t>
        </is>
      </c>
      <c r="H29" s="35" t="inlineStr">
        <is>
          <t>15:50-18:00</t>
        </is>
      </c>
      <c r="I29" s="35" t="inlineStr">
        <is>
          <t>林志豪01</t>
        </is>
      </c>
      <c r="J29" s="35" t="inlineStr">
        <is>
          <t>是</t>
        </is>
      </c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梓然（汤圆）</t>
        </is>
      </c>
      <c r="B30" s="14" t="inlineStr">
        <is>
          <t>五年级</t>
        </is>
      </c>
      <c r="C30" s="35" t="inlineStr">
        <is>
          <t>庄蕙霞</t>
        </is>
      </c>
      <c r="D30" s="35" t="inlineStr">
        <is>
          <t>新宝利大厦</t>
        </is>
      </c>
      <c r="E30" s="35" t="inlineStr">
        <is>
          <t>雪球思维</t>
        </is>
      </c>
      <c r="F30" s="35" t="inlineStr">
        <is>
          <t>潜能班</t>
        </is>
      </c>
      <c r="G30" s="35" t="inlineStr">
        <is>
          <t>二期</t>
        </is>
      </c>
      <c r="H30" s="35" t="inlineStr">
        <is>
          <t>15:50-18:00</t>
        </is>
      </c>
      <c r="I30" s="35" t="inlineStr">
        <is>
          <t>林志豪01</t>
        </is>
      </c>
      <c r="J30" s="35" t="inlineStr">
        <is>
          <t>是</t>
        </is>
      </c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范可茵</t>
        </is>
      </c>
      <c r="B31" s="14" t="inlineStr">
        <is>
          <t>五年级</t>
        </is>
      </c>
      <c r="C31" s="35" t="inlineStr">
        <is>
          <t>庄蕙霞</t>
        </is>
      </c>
      <c r="D31" s="35" t="inlineStr">
        <is>
          <t>新宝利大厦</t>
        </is>
      </c>
      <c r="E31" s="35" t="inlineStr">
        <is>
          <t>雪球思维</t>
        </is>
      </c>
      <c r="F31" s="35" t="inlineStr">
        <is>
          <t>潜能班</t>
        </is>
      </c>
      <c r="G31" s="35" t="inlineStr">
        <is>
          <t>二期</t>
        </is>
      </c>
      <c r="H31" s="35" t="inlineStr">
        <is>
          <t>15:50-18:00</t>
        </is>
      </c>
      <c r="I31" s="35" t="inlineStr">
        <is>
          <t>张敏烨</t>
        </is>
      </c>
      <c r="J31" s="35" t="inlineStr">
        <is>
          <t>是</t>
        </is>
      </c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金慧雯</t>
        </is>
      </c>
      <c r="B32" s="14" t="inlineStr">
        <is>
          <t>五年级</t>
        </is>
      </c>
      <c r="C32" s="35" t="inlineStr">
        <is>
          <t>庄蕙霞</t>
        </is>
      </c>
      <c r="D32" s="35" t="inlineStr">
        <is>
          <t>新宝利大厦</t>
        </is>
      </c>
      <c r="E32" s="35" t="inlineStr">
        <is>
          <t>雪球思维</t>
        </is>
      </c>
      <c r="F32" s="35" t="inlineStr">
        <is>
          <t>潜能班</t>
        </is>
      </c>
      <c r="G32" s="35" t="inlineStr">
        <is>
          <t>二期</t>
        </is>
      </c>
      <c r="H32" s="35" t="inlineStr">
        <is>
          <t>15:50-18:00</t>
        </is>
      </c>
      <c r="I32" s="35" t="inlineStr">
        <is>
          <t>林志豪01</t>
        </is>
      </c>
      <c r="J32" s="35" t="inlineStr">
        <is>
          <t>是</t>
        </is>
      </c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黄玟斐</t>
        </is>
      </c>
      <c r="B33" s="14" t="inlineStr">
        <is>
          <t>五年级</t>
        </is>
      </c>
      <c r="C33" s="35" t="inlineStr">
        <is>
          <t>庄蕙霞</t>
        </is>
      </c>
      <c r="D33" s="35" t="inlineStr">
        <is>
          <t>新宝利大厦</t>
        </is>
      </c>
      <c r="E33" s="35" t="inlineStr">
        <is>
          <t>雪球思维</t>
        </is>
      </c>
      <c r="F33" s="35" t="inlineStr">
        <is>
          <t>潜能班</t>
        </is>
      </c>
      <c r="G33" s="35" t="inlineStr">
        <is>
          <t>二期</t>
        </is>
      </c>
      <c r="H33" s="35" t="inlineStr">
        <is>
          <t>15:50-18:00</t>
        </is>
      </c>
      <c r="I33" s="35" t="inlineStr">
        <is>
          <t>林志豪01</t>
        </is>
      </c>
      <c r="J33" s="35" t="inlineStr">
        <is>
          <t>是</t>
        </is>
      </c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3:AE27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刘春欣</t>
        </is>
      </c>
      <c r="B3" s="14" t="inlineStr">
        <is>
          <t>五年级</t>
        </is>
      </c>
      <c r="C3" s="35" t="inlineStr">
        <is>
          <t>郑皓月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18:20-20:30</t>
        </is>
      </c>
      <c r="I3" s="35" t="inlineStr">
        <is>
          <t>龙倩敏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赖毅晨</t>
        </is>
      </c>
      <c r="B4" s="14" t="inlineStr">
        <is>
          <t>五年级</t>
        </is>
      </c>
      <c r="C4" s="35" t="inlineStr">
        <is>
          <t>郑皓月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18:20-20:30</t>
        </is>
      </c>
      <c r="I4" s="35" t="inlineStr">
        <is>
          <t>王达04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赖诗翔</t>
        </is>
      </c>
      <c r="B5" s="14" t="inlineStr">
        <is>
          <t>五年级</t>
        </is>
      </c>
      <c r="C5" s="35" t="inlineStr">
        <is>
          <t>郑皓月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18:20-20:30</t>
        </is>
      </c>
      <c r="I5" s="35" t="inlineStr">
        <is>
          <t>王达04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龙卓然</t>
        </is>
      </c>
      <c r="B6" s="14" t="inlineStr">
        <is>
          <t>五年级</t>
        </is>
      </c>
      <c r="C6" s="35" t="inlineStr">
        <is>
          <t>郑皓月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18:20-20:30</t>
        </is>
      </c>
      <c r="I6" s="35" t="inlineStr">
        <is>
          <t>沈思浩</t>
        </is>
      </c>
      <c r="J6" s="35" t="inlineStr">
        <is>
          <t>否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伍柏进</t>
        </is>
      </c>
      <c r="B7" s="14" t="inlineStr">
        <is>
          <t>五年级</t>
        </is>
      </c>
      <c r="C7" s="35" t="inlineStr">
        <is>
          <t>郑皓月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二期</t>
        </is>
      </c>
      <c r="H7" s="35" t="inlineStr">
        <is>
          <t>10:20-12:30</t>
        </is>
      </c>
      <c r="I7" s="35" t="inlineStr">
        <is>
          <t>沈思浩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刘明彻</t>
        </is>
      </c>
      <c r="B8" s="14" t="inlineStr">
        <is>
          <t>五年级</t>
        </is>
      </c>
      <c r="C8" s="35" t="inlineStr">
        <is>
          <t>郑皓月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二期</t>
        </is>
      </c>
      <c r="H8" s="35" t="inlineStr">
        <is>
          <t>10:20-12:30</t>
        </is>
      </c>
      <c r="I8" s="35" t="inlineStr">
        <is>
          <t>沈思浩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北北</t>
        </is>
      </c>
      <c r="B9" s="14" t="inlineStr">
        <is>
          <t>五年级</t>
        </is>
      </c>
      <c r="C9" s="35" t="inlineStr">
        <is>
          <t>郑皓月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二期</t>
        </is>
      </c>
      <c r="H9" s="35" t="inlineStr">
        <is>
          <t>10:20-12:30</t>
        </is>
      </c>
      <c r="I9" s="35" t="inlineStr">
        <is>
          <t>杨利娟10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庞啸天</t>
        </is>
      </c>
      <c r="B10" s="14" t="inlineStr">
        <is>
          <t>五年级</t>
        </is>
      </c>
      <c r="C10" s="35" t="inlineStr">
        <is>
          <t>郑皓月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二期</t>
        </is>
      </c>
      <c r="H10" s="35" t="inlineStr">
        <is>
          <t>10:20-12:30</t>
        </is>
      </c>
      <c r="I10" s="35" t="inlineStr">
        <is>
          <t>龙倩敏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朱飞羽</t>
        </is>
      </c>
      <c r="B11" s="14" t="inlineStr">
        <is>
          <t>五年级</t>
        </is>
      </c>
      <c r="C11" s="35" t="inlineStr">
        <is>
          <t>郑皓月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二期</t>
        </is>
      </c>
      <c r="H11" s="35" t="inlineStr">
        <is>
          <t>10:20-12:30</t>
        </is>
      </c>
      <c r="I11" s="35" t="inlineStr">
        <is>
          <t>罗玉玲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陈丽琨</t>
        </is>
      </c>
      <c r="B12" s="14" t="inlineStr">
        <is>
          <t>五年级</t>
        </is>
      </c>
      <c r="C12" s="35" t="inlineStr">
        <is>
          <t>郑皓月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二期</t>
        </is>
      </c>
      <c r="H12" s="35" t="inlineStr">
        <is>
          <t>10:20-12:30</t>
        </is>
      </c>
      <c r="I12" s="35" t="inlineStr">
        <is>
          <t>尚歆01</t>
        </is>
      </c>
      <c r="J12" s="35" t="inlineStr">
        <is>
          <t>是</t>
        </is>
      </c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华芷晴</t>
        </is>
      </c>
      <c r="B13" s="14" t="inlineStr">
        <is>
          <t>六年级</t>
        </is>
      </c>
      <c r="C13" s="35" t="inlineStr">
        <is>
          <t>郑皓月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二期</t>
        </is>
      </c>
      <c r="H13" s="35" t="inlineStr">
        <is>
          <t>13:20-15:30</t>
        </is>
      </c>
      <c r="I13" s="35" t="inlineStr">
        <is>
          <t>王达04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孙以琛</t>
        </is>
      </c>
      <c r="B14" s="14" t="inlineStr">
        <is>
          <t>六年级</t>
        </is>
      </c>
      <c r="C14" s="35" t="inlineStr">
        <is>
          <t>郑皓月</t>
        </is>
      </c>
      <c r="D14" s="35" t="inlineStr">
        <is>
          <t>天成大厦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二期</t>
        </is>
      </c>
      <c r="H14" s="35" t="inlineStr">
        <is>
          <t>13:20-15:30</t>
        </is>
      </c>
      <c r="I14" s="35" t="inlineStr">
        <is>
          <t>王达04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张梓隽</t>
        </is>
      </c>
      <c r="B15" s="14" t="inlineStr">
        <is>
          <t>六年级</t>
        </is>
      </c>
      <c r="C15" s="35" t="inlineStr">
        <is>
          <t>郑皓月</t>
        </is>
      </c>
      <c r="D15" s="35" t="inlineStr">
        <is>
          <t>天成大厦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二期</t>
        </is>
      </c>
      <c r="H15" s="35" t="inlineStr">
        <is>
          <t>13:20-15:30</t>
        </is>
      </c>
      <c r="I15" s="35" t="inlineStr">
        <is>
          <t>沈思浩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张铭轩</t>
        </is>
      </c>
      <c r="B16" s="14" t="inlineStr">
        <is>
          <t>六年级</t>
        </is>
      </c>
      <c r="C16" s="35" t="inlineStr">
        <is>
          <t>郑皓月</t>
        </is>
      </c>
      <c r="D16" s="35" t="inlineStr">
        <is>
          <t>天成大厦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二期</t>
        </is>
      </c>
      <c r="H16" s="35" t="inlineStr">
        <is>
          <t>13:20-15:30</t>
        </is>
      </c>
      <c r="I16" s="35" t="inlineStr">
        <is>
          <t>沈思浩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王佳茗</t>
        </is>
      </c>
      <c r="B17" s="14" t="inlineStr">
        <is>
          <t>六年级</t>
        </is>
      </c>
      <c r="C17" s="35" t="inlineStr">
        <is>
          <t>郑皓月</t>
        </is>
      </c>
      <c r="D17" s="35" t="inlineStr">
        <is>
          <t>天成大厦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二期</t>
        </is>
      </c>
      <c r="H17" s="35" t="inlineStr">
        <is>
          <t>13:20-15:30</t>
        </is>
      </c>
      <c r="I17" s="35" t="inlineStr">
        <is>
          <t>王达04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王美蒨</t>
        </is>
      </c>
      <c r="B18" s="14" t="inlineStr">
        <is>
          <t>六年级</t>
        </is>
      </c>
      <c r="C18" s="35" t="inlineStr">
        <is>
          <t>郑皓月</t>
        </is>
      </c>
      <c r="D18" s="35" t="inlineStr">
        <is>
          <t>天成大厦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二期</t>
        </is>
      </c>
      <c r="H18" s="35" t="inlineStr">
        <is>
          <t>13:20-15:30</t>
        </is>
      </c>
      <c r="I18" s="35" t="inlineStr">
        <is>
          <t>陈亮延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王语萱</t>
        </is>
      </c>
      <c r="B19" s="14" t="inlineStr">
        <is>
          <t>六年级</t>
        </is>
      </c>
      <c r="C19" s="35" t="inlineStr">
        <is>
          <t>郑皓月</t>
        </is>
      </c>
      <c r="D19" s="35" t="inlineStr">
        <is>
          <t>天成大厦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二期</t>
        </is>
      </c>
      <c r="H19" s="35" t="inlineStr">
        <is>
          <t>13:20-15:30</t>
        </is>
      </c>
      <c r="I19" s="35" t="inlineStr">
        <is>
          <t>尚歆01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罗睿祺</t>
        </is>
      </c>
      <c r="B20" s="14" t="inlineStr">
        <is>
          <t>六年级</t>
        </is>
      </c>
      <c r="C20" s="35" t="inlineStr">
        <is>
          <t>郑皓月</t>
        </is>
      </c>
      <c r="D20" s="35" t="inlineStr">
        <is>
          <t>天成大厦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二期</t>
        </is>
      </c>
      <c r="H20" s="35" t="inlineStr">
        <is>
          <t>13:20-15:30</t>
        </is>
      </c>
      <c r="I20" s="35" t="inlineStr">
        <is>
          <t>龙倩敏</t>
        </is>
      </c>
      <c r="J20" s="35" t="inlineStr">
        <is>
          <t>是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郝力扬</t>
        </is>
      </c>
      <c r="B21" s="14" t="inlineStr">
        <is>
          <t>六年级</t>
        </is>
      </c>
      <c r="C21" s="35" t="inlineStr">
        <is>
          <t>郑皓月</t>
        </is>
      </c>
      <c r="D21" s="35" t="inlineStr">
        <is>
          <t>天成大厦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二期</t>
        </is>
      </c>
      <c r="H21" s="35" t="inlineStr">
        <is>
          <t>13:20-15:30</t>
        </is>
      </c>
      <c r="I21" s="35" t="inlineStr">
        <is>
          <t>沈思浩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黄小涵</t>
        </is>
      </c>
      <c r="B22" s="14" t="inlineStr">
        <is>
          <t>六年级</t>
        </is>
      </c>
      <c r="C22" s="35" t="inlineStr">
        <is>
          <t>郑皓月</t>
        </is>
      </c>
      <c r="D22" s="35" t="inlineStr">
        <is>
          <t>天成大厦</t>
        </is>
      </c>
      <c r="E22" s="35" t="inlineStr">
        <is>
          <t>雪球思维</t>
        </is>
      </c>
      <c r="F22" s="35" t="inlineStr">
        <is>
          <t>潜能班</t>
        </is>
      </c>
      <c r="G22" s="35" t="inlineStr">
        <is>
          <t>二期</t>
        </is>
      </c>
      <c r="H22" s="35" t="inlineStr">
        <is>
          <t>13:20-15:30</t>
        </is>
      </c>
      <c r="I22" s="35" t="inlineStr">
        <is>
          <t>龙倩敏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张艺婕</t>
        </is>
      </c>
      <c r="B23" s="14" t="inlineStr">
        <is>
          <t>六年级</t>
        </is>
      </c>
      <c r="C23" s="35" t="inlineStr">
        <is>
          <t>郑皓月</t>
        </is>
      </c>
      <c r="D23" s="35" t="inlineStr">
        <is>
          <t>天成大厦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二期</t>
        </is>
      </c>
      <c r="H23" s="35" t="inlineStr">
        <is>
          <t>15:50-18:00</t>
        </is>
      </c>
      <c r="I23" s="35" t="inlineStr">
        <is>
          <t>沈思浩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王子悦</t>
        </is>
      </c>
      <c r="B24" s="14" t="inlineStr">
        <is>
          <t>六年级</t>
        </is>
      </c>
      <c r="C24" s="35" t="inlineStr">
        <is>
          <t>郑皓月</t>
        </is>
      </c>
      <c r="D24" s="35" t="inlineStr">
        <is>
          <t>天成大厦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二期</t>
        </is>
      </c>
      <c r="H24" s="35" t="inlineStr">
        <is>
          <t>15:50-18:00</t>
        </is>
      </c>
      <c r="I24" s="35" t="inlineStr">
        <is>
          <t>沈思浩</t>
        </is>
      </c>
      <c r="J24" s="35" t="inlineStr">
        <is>
          <t>是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邢振荃</t>
        </is>
      </c>
      <c r="B25" s="14" t="inlineStr">
        <is>
          <t>六年级</t>
        </is>
      </c>
      <c r="C25" s="35" t="inlineStr">
        <is>
          <t>郑皓月</t>
        </is>
      </c>
      <c r="D25" s="35" t="inlineStr">
        <is>
          <t>天成大厦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二期</t>
        </is>
      </c>
      <c r="H25" s="35" t="inlineStr">
        <is>
          <t>15:50-18:00</t>
        </is>
      </c>
      <c r="I25" s="35" t="inlineStr">
        <is>
          <t>沈思浩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邵梓宸</t>
        </is>
      </c>
      <c r="B26" s="14" t="inlineStr">
        <is>
          <t>六年级</t>
        </is>
      </c>
      <c r="C26" s="35" t="inlineStr">
        <is>
          <t>郑皓月</t>
        </is>
      </c>
      <c r="D26" s="35" t="inlineStr">
        <is>
          <t>天成大厦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二期</t>
        </is>
      </c>
      <c r="H26" s="35" t="inlineStr">
        <is>
          <t>15:50-18:00</t>
        </is>
      </c>
      <c r="I26" s="35" t="inlineStr">
        <is>
          <t>沈思浩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鲁雨萱</t>
        </is>
      </c>
      <c r="B27" s="14" t="inlineStr">
        <is>
          <t>六年级</t>
        </is>
      </c>
      <c r="C27" s="35" t="inlineStr">
        <is>
          <t>郑皓月</t>
        </is>
      </c>
      <c r="D27" s="35" t="inlineStr">
        <is>
          <t>天成大厦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二期</t>
        </is>
      </c>
      <c r="H27" s="35" t="inlineStr">
        <is>
          <t>15:50-18:00</t>
        </is>
      </c>
      <c r="I27" s="35" t="inlineStr">
        <is>
          <t>陈亮延</t>
        </is>
      </c>
      <c r="J27" s="35" t="inlineStr">
        <is>
          <t>是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3:AE23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凌昊辰</t>
        </is>
      </c>
      <c r="B3" s="14" t="inlineStr">
        <is>
          <t>初三</t>
        </is>
      </c>
      <c r="C3" s="35" t="inlineStr">
        <is>
          <t>宗志鹏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15:50-18:00</t>
        </is>
      </c>
      <c r="I3" s="35" t="inlineStr">
        <is>
          <t>王达04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周子翔</t>
        </is>
      </c>
      <c r="B4" s="14" t="inlineStr">
        <is>
          <t>初三</t>
        </is>
      </c>
      <c r="C4" s="35" t="inlineStr">
        <is>
          <t>宗志鹏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15:50-18:00</t>
        </is>
      </c>
      <c r="I4" s="35" t="inlineStr">
        <is>
          <t>龙倩敏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朱泉羽</t>
        </is>
      </c>
      <c r="B5" s="14" t="inlineStr">
        <is>
          <t>初三</t>
        </is>
      </c>
      <c r="C5" s="35" t="inlineStr">
        <is>
          <t>宗志鹏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15:50-18:00</t>
        </is>
      </c>
      <c r="I5" s="35" t="inlineStr">
        <is>
          <t>王达04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李君夏</t>
        </is>
      </c>
      <c r="B6" s="14" t="inlineStr">
        <is>
          <t>初三</t>
        </is>
      </c>
      <c r="C6" s="35" t="inlineStr">
        <is>
          <t>宗志鹏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15:50-18:00</t>
        </is>
      </c>
      <c r="I6" s="35" t="inlineStr">
        <is>
          <t>龙倩敏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池芷晴</t>
        </is>
      </c>
      <c r="B7" s="14" t="inlineStr">
        <is>
          <t>初三</t>
        </is>
      </c>
      <c r="C7" s="35" t="inlineStr">
        <is>
          <t>宗志鹏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启能班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王达04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李艺莎</t>
        </is>
      </c>
      <c r="B8" s="14" t="inlineStr">
        <is>
          <t>初三</t>
        </is>
      </c>
      <c r="C8" s="35" t="inlineStr">
        <is>
          <t>宗志鹏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18:20-20:30</t>
        </is>
      </c>
      <c r="I8" s="35" t="inlineStr">
        <is>
          <t>王达04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梁静瑶</t>
        </is>
      </c>
      <c r="B9" s="14" t="inlineStr">
        <is>
          <t>初三</t>
        </is>
      </c>
      <c r="C9" s="35" t="inlineStr">
        <is>
          <t>宗志鹏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18:20-20:30</t>
        </is>
      </c>
      <c r="I9" s="35" t="inlineStr">
        <is>
          <t>罗玉玲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管煊宇</t>
        </is>
      </c>
      <c r="B10" s="14" t="inlineStr">
        <is>
          <t>初三</t>
        </is>
      </c>
      <c r="C10" s="35" t="inlineStr">
        <is>
          <t>宗志鹏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18:20-20:30</t>
        </is>
      </c>
      <c r="I10" s="35" t="inlineStr">
        <is>
          <t>王达04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赵伯滔</t>
        </is>
      </c>
      <c r="B11" s="14" t="inlineStr">
        <is>
          <t>初三</t>
        </is>
      </c>
      <c r="C11" s="35" t="inlineStr">
        <is>
          <t>宗志鹏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18:20-20:30</t>
        </is>
      </c>
      <c r="I11" s="35" t="inlineStr">
        <is>
          <t>沈思浩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黄婉晴</t>
        </is>
      </c>
      <c r="B12" s="14" t="inlineStr">
        <is>
          <t>初三</t>
        </is>
      </c>
      <c r="C12" s="35" t="inlineStr">
        <is>
          <t>宗志鹏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18:20-20:30</t>
        </is>
      </c>
      <c r="I12" s="35" t="inlineStr">
        <is>
          <t>熊天宝01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宋嘉树</t>
        </is>
      </c>
      <c r="B13" s="14" t="inlineStr">
        <is>
          <t>初二</t>
        </is>
      </c>
      <c r="C13" s="35" t="inlineStr">
        <is>
          <t>宗志鹏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启能班</t>
        </is>
      </c>
      <c r="G13" s="35" t="inlineStr">
        <is>
          <t>二期</t>
        </is>
      </c>
      <c r="H13" s="35" t="inlineStr">
        <is>
          <t>10:20-12:30</t>
        </is>
      </c>
      <c r="I13" s="35" t="inlineStr">
        <is>
          <t>罗玉玲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宋嘉筠</t>
        </is>
      </c>
      <c r="B14" s="14" t="inlineStr">
        <is>
          <t>初二</t>
        </is>
      </c>
      <c r="C14" s="35" t="inlineStr">
        <is>
          <t>宗志鹏</t>
        </is>
      </c>
      <c r="D14" s="35" t="inlineStr">
        <is>
          <t>天成大厦</t>
        </is>
      </c>
      <c r="E14" s="35" t="inlineStr">
        <is>
          <t>雪球思维</t>
        </is>
      </c>
      <c r="F14" s="35" t="inlineStr">
        <is>
          <t>启能班</t>
        </is>
      </c>
      <c r="G14" s="35" t="inlineStr">
        <is>
          <t>二期</t>
        </is>
      </c>
      <c r="H14" s="35" t="inlineStr">
        <is>
          <t>10:20-12:30</t>
        </is>
      </c>
      <c r="I14" s="35" t="inlineStr">
        <is>
          <t>罗玉玲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张昱琪</t>
        </is>
      </c>
      <c r="B15" s="14" t="inlineStr">
        <is>
          <t>初二</t>
        </is>
      </c>
      <c r="C15" s="35" t="inlineStr">
        <is>
          <t>宗志鹏</t>
        </is>
      </c>
      <c r="D15" s="35" t="inlineStr">
        <is>
          <t>天成大厦</t>
        </is>
      </c>
      <c r="E15" s="35" t="inlineStr">
        <is>
          <t>雪球思维</t>
        </is>
      </c>
      <c r="F15" s="35" t="inlineStr">
        <is>
          <t>启能班</t>
        </is>
      </c>
      <c r="G15" s="35" t="inlineStr">
        <is>
          <t>二期</t>
        </is>
      </c>
      <c r="H15" s="35" t="inlineStr">
        <is>
          <t>10:20-12:30</t>
        </is>
      </c>
      <c r="I15" s="35" t="inlineStr">
        <is>
          <t>熊天宝01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林春昊</t>
        </is>
      </c>
      <c r="B16" s="14" t="inlineStr">
        <is>
          <t>初二</t>
        </is>
      </c>
      <c r="C16" s="35" t="inlineStr">
        <is>
          <t>宗志鹏</t>
        </is>
      </c>
      <c r="D16" s="35" t="inlineStr">
        <is>
          <t>天成大厦</t>
        </is>
      </c>
      <c r="E16" s="35" t="inlineStr">
        <is>
          <t>雪球思维</t>
        </is>
      </c>
      <c r="F16" s="35" t="inlineStr">
        <is>
          <t>启能班</t>
        </is>
      </c>
      <c r="G16" s="35" t="inlineStr">
        <is>
          <t>二期</t>
        </is>
      </c>
      <c r="H16" s="35" t="inlineStr">
        <is>
          <t>10:20-12:30</t>
        </is>
      </c>
      <c r="I16" s="35" t="inlineStr">
        <is>
          <t>沈思浩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沈家欣</t>
        </is>
      </c>
      <c r="B17" s="14" t="inlineStr">
        <is>
          <t>初二</t>
        </is>
      </c>
      <c r="C17" s="35" t="inlineStr">
        <is>
          <t>宗志鹏</t>
        </is>
      </c>
      <c r="D17" s="35" t="inlineStr">
        <is>
          <t>天成大厦</t>
        </is>
      </c>
      <c r="E17" s="35" t="inlineStr">
        <is>
          <t>雪球思维</t>
        </is>
      </c>
      <c r="F17" s="35" t="inlineStr">
        <is>
          <t>启能班</t>
        </is>
      </c>
      <c r="G17" s="35" t="inlineStr">
        <is>
          <t>二期</t>
        </is>
      </c>
      <c r="H17" s="35" t="inlineStr">
        <is>
          <t>10:20-12:30</t>
        </is>
      </c>
      <c r="I17" s="35" t="inlineStr">
        <is>
          <t>詹婉颖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陈嘉晖</t>
        </is>
      </c>
      <c r="B18" s="14" t="inlineStr">
        <is>
          <t>初二</t>
        </is>
      </c>
      <c r="C18" s="35" t="inlineStr">
        <is>
          <t>宗志鹏</t>
        </is>
      </c>
      <c r="D18" s="35" t="inlineStr">
        <is>
          <t>天成大厦</t>
        </is>
      </c>
      <c r="E18" s="35" t="inlineStr">
        <is>
          <t>雪球思维</t>
        </is>
      </c>
      <c r="F18" s="35" t="inlineStr">
        <is>
          <t>启能班</t>
        </is>
      </c>
      <c r="G18" s="35" t="inlineStr">
        <is>
          <t>二期</t>
        </is>
      </c>
      <c r="H18" s="35" t="inlineStr">
        <is>
          <t>10:20-12:30</t>
        </is>
      </c>
      <c r="I18" s="35" t="inlineStr">
        <is>
          <t>王达04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曾子辰</t>
        </is>
      </c>
      <c r="B19" s="14" t="inlineStr">
        <is>
          <t>初三</t>
        </is>
      </c>
      <c r="C19" s="35" t="inlineStr">
        <is>
          <t>宗志鹏</t>
        </is>
      </c>
      <c r="D19" s="35" t="inlineStr">
        <is>
          <t>天成大厦</t>
        </is>
      </c>
      <c r="E19" s="35" t="inlineStr">
        <is>
          <t>雪球思维</t>
        </is>
      </c>
      <c r="F19" s="35" t="inlineStr">
        <is>
          <t>超能班</t>
        </is>
      </c>
      <c r="G19" s="35" t="inlineStr">
        <is>
          <t>二期</t>
        </is>
      </c>
      <c r="H19" s="35" t="inlineStr">
        <is>
          <t>15:50-18:00</t>
        </is>
      </c>
      <c r="I19" s="35" t="inlineStr">
        <is>
          <t>尚歆01</t>
        </is>
      </c>
      <c r="J19" s="35" t="inlineStr">
        <is>
          <t>否</t>
        </is>
      </c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汪昊龙</t>
        </is>
      </c>
      <c r="B20" s="14" t="inlineStr">
        <is>
          <t>初三</t>
        </is>
      </c>
      <c r="C20" s="35" t="inlineStr">
        <is>
          <t>宗志鹏</t>
        </is>
      </c>
      <c r="D20" s="35" t="inlineStr">
        <is>
          <t>天成大厦</t>
        </is>
      </c>
      <c r="E20" s="35" t="inlineStr">
        <is>
          <t>雪球思维</t>
        </is>
      </c>
      <c r="F20" s="35" t="inlineStr">
        <is>
          <t>超能班</t>
        </is>
      </c>
      <c r="G20" s="35" t="inlineStr">
        <is>
          <t>二期</t>
        </is>
      </c>
      <c r="H20" s="35" t="inlineStr">
        <is>
          <t>15:50-18:00</t>
        </is>
      </c>
      <c r="I20" s="35" t="inlineStr">
        <is>
          <t>王达04</t>
        </is>
      </c>
      <c r="J20" s="35" t="inlineStr">
        <is>
          <t>是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王语晗</t>
        </is>
      </c>
      <c r="B21" s="14" t="inlineStr">
        <is>
          <t>初三</t>
        </is>
      </c>
      <c r="C21" s="35" t="inlineStr">
        <is>
          <t>宗志鹏</t>
        </is>
      </c>
      <c r="D21" s="35" t="inlineStr">
        <is>
          <t>天成大厦</t>
        </is>
      </c>
      <c r="E21" s="35" t="inlineStr">
        <is>
          <t>雪球思维</t>
        </is>
      </c>
      <c r="F21" s="35" t="inlineStr">
        <is>
          <t>超能班</t>
        </is>
      </c>
      <c r="G21" s="35" t="inlineStr">
        <is>
          <t>二期</t>
        </is>
      </c>
      <c r="H21" s="35" t="inlineStr">
        <is>
          <t>15:50-18:00</t>
        </is>
      </c>
      <c r="I21" s="35" t="inlineStr">
        <is>
          <t>尚歆01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黄颂霆</t>
        </is>
      </c>
      <c r="B22" s="14" t="inlineStr">
        <is>
          <t>初三</t>
        </is>
      </c>
      <c r="C22" s="35" t="inlineStr">
        <is>
          <t>宗志鹏</t>
        </is>
      </c>
      <c r="D22" s="35" t="inlineStr">
        <is>
          <t>天成大厦</t>
        </is>
      </c>
      <c r="E22" s="35" t="inlineStr">
        <is>
          <t>雪球思维</t>
        </is>
      </c>
      <c r="F22" s="35" t="inlineStr">
        <is>
          <t>超能班</t>
        </is>
      </c>
      <c r="G22" s="35" t="inlineStr">
        <is>
          <t>二期</t>
        </is>
      </c>
      <c r="H22" s="35" t="inlineStr">
        <is>
          <t>15:50-18:00</t>
        </is>
      </c>
      <c r="I22" s="35" t="inlineStr">
        <is>
          <t>龙倩敏</t>
        </is>
      </c>
      <c r="J22" s="35" t="inlineStr">
        <is>
          <t>否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龙虹霏</t>
        </is>
      </c>
      <c r="B23" s="14" t="inlineStr">
        <is>
          <t>初三</t>
        </is>
      </c>
      <c r="C23" s="35" t="inlineStr">
        <is>
          <t>宗志鹏</t>
        </is>
      </c>
      <c r="D23" s="35" t="inlineStr">
        <is>
          <t>天成大厦</t>
        </is>
      </c>
      <c r="E23" s="35" t="inlineStr">
        <is>
          <t>雪球思维</t>
        </is>
      </c>
      <c r="F23" s="35" t="inlineStr">
        <is>
          <t>超能班</t>
        </is>
      </c>
      <c r="G23" s="35" t="inlineStr">
        <is>
          <t>二期</t>
        </is>
      </c>
      <c r="H23" s="35" t="inlineStr">
        <is>
          <t>15:50-18:00</t>
        </is>
      </c>
      <c r="I23" s="35" t="inlineStr">
        <is>
          <t>龙倩敏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3:AE42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吴卓瑶</t>
        </is>
      </c>
      <c r="B3" s="14" t="inlineStr">
        <is>
          <t>初三</t>
        </is>
      </c>
      <c r="C3" s="35" t="inlineStr">
        <is>
          <t>韩舒波</t>
        </is>
      </c>
      <c r="D3" s="35" t="inlineStr">
        <is>
          <t>天成大厦</t>
        </is>
      </c>
      <c r="E3" s="35" t="inlineStr">
        <is>
          <t>雪球科学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沈思浩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吴奕辰</t>
        </is>
      </c>
      <c r="B4" s="14" t="inlineStr">
        <is>
          <t>初三</t>
        </is>
      </c>
      <c r="C4" s="35" t="inlineStr">
        <is>
          <t>韩舒波</t>
        </is>
      </c>
      <c r="D4" s="35" t="inlineStr">
        <is>
          <t>天成大厦</t>
        </is>
      </c>
      <c r="E4" s="35" t="inlineStr">
        <is>
          <t>雪球科学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沈思浩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宝力格</t>
        </is>
      </c>
      <c r="B5" s="14" t="inlineStr">
        <is>
          <t>初三</t>
        </is>
      </c>
      <c r="C5" s="35" t="inlineStr">
        <is>
          <t>韩舒波</t>
        </is>
      </c>
      <c r="D5" s="35" t="inlineStr">
        <is>
          <t>天成大厦</t>
        </is>
      </c>
      <c r="E5" s="35" t="inlineStr">
        <is>
          <t>雪球科学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沈思浩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朱伊可</t>
        </is>
      </c>
      <c r="B6" s="14" t="inlineStr">
        <is>
          <t>初三</t>
        </is>
      </c>
      <c r="C6" s="35" t="inlineStr">
        <is>
          <t>韩舒波</t>
        </is>
      </c>
      <c r="D6" s="35" t="inlineStr">
        <is>
          <t>天成大厦</t>
        </is>
      </c>
      <c r="E6" s="35" t="inlineStr">
        <is>
          <t>雪球科学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王达04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林天浩</t>
        </is>
      </c>
      <c r="B7" s="14" t="inlineStr">
        <is>
          <t>初三</t>
        </is>
      </c>
      <c r="C7" s="35" t="inlineStr">
        <is>
          <t>韩舒波</t>
        </is>
      </c>
      <c r="D7" s="35" t="inlineStr">
        <is>
          <t>天成大厦</t>
        </is>
      </c>
      <c r="E7" s="35" t="inlineStr">
        <is>
          <t>雪球科学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13:20-15:30</t>
        </is>
      </c>
      <c r="I7" s="35" t="inlineStr">
        <is>
          <t>龙倩敏</t>
        </is>
      </c>
      <c r="J7" s="35" t="inlineStr">
        <is>
          <t>是</t>
        </is>
      </c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柳妍雅</t>
        </is>
      </c>
      <c r="B8" s="14" t="inlineStr">
        <is>
          <t>初三</t>
        </is>
      </c>
      <c r="C8" s="35" t="inlineStr">
        <is>
          <t>韩舒波</t>
        </is>
      </c>
      <c r="D8" s="35" t="inlineStr">
        <is>
          <t>天成大厦</t>
        </is>
      </c>
      <c r="E8" s="35" t="inlineStr">
        <is>
          <t>雪球科学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龙倩敏</t>
        </is>
      </c>
      <c r="J8" s="35" t="inlineStr">
        <is>
          <t>否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梁静瑶</t>
        </is>
      </c>
      <c r="B9" s="14" t="inlineStr">
        <is>
          <t>初三</t>
        </is>
      </c>
      <c r="C9" s="35" t="inlineStr">
        <is>
          <t>韩舒波</t>
        </is>
      </c>
      <c r="D9" s="35" t="inlineStr">
        <is>
          <t>天成大厦</t>
        </is>
      </c>
      <c r="E9" s="35" t="inlineStr">
        <is>
          <t>雪球科学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罗玉玲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管煊宇</t>
        </is>
      </c>
      <c r="B10" s="14" t="inlineStr">
        <is>
          <t>初三</t>
        </is>
      </c>
      <c r="C10" s="35" t="inlineStr">
        <is>
          <t>韩舒波</t>
        </is>
      </c>
      <c r="D10" s="35" t="inlineStr">
        <is>
          <t>天成大厦</t>
        </is>
      </c>
      <c r="E10" s="35" t="inlineStr">
        <is>
          <t>雪球科学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王达04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苏梓萱</t>
        </is>
      </c>
      <c r="B11" s="14" t="inlineStr">
        <is>
          <t>初三</t>
        </is>
      </c>
      <c r="C11" s="35" t="inlineStr">
        <is>
          <t>韩舒波</t>
        </is>
      </c>
      <c r="D11" s="35" t="inlineStr">
        <is>
          <t>天成大厦</t>
        </is>
      </c>
      <c r="E11" s="35" t="inlineStr">
        <is>
          <t>雪球科学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王达04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陈泽昊</t>
        </is>
      </c>
      <c r="B12" s="14" t="inlineStr">
        <is>
          <t>初三</t>
        </is>
      </c>
      <c r="C12" s="35" t="inlineStr">
        <is>
          <t>韩舒波</t>
        </is>
      </c>
      <c r="D12" s="35" t="inlineStr">
        <is>
          <t>天成大厦</t>
        </is>
      </c>
      <c r="E12" s="35" t="inlineStr">
        <is>
          <t>雪球科学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王达04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马梓涵</t>
        </is>
      </c>
      <c r="B13" s="14" t="inlineStr">
        <is>
          <t>初三</t>
        </is>
      </c>
      <c r="C13" s="35" t="inlineStr">
        <is>
          <t>韩舒波</t>
        </is>
      </c>
      <c r="D13" s="35" t="inlineStr">
        <is>
          <t>天成大厦</t>
        </is>
      </c>
      <c r="E13" s="35" t="inlineStr">
        <is>
          <t>雪球科学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王达04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何炫均</t>
        </is>
      </c>
      <c r="B14" s="14" t="inlineStr">
        <is>
          <t>初三</t>
        </is>
      </c>
      <c r="C14" s="35" t="inlineStr">
        <is>
          <t>韩舒波</t>
        </is>
      </c>
      <c r="D14" s="35" t="inlineStr">
        <is>
          <t>新宝利大厦</t>
        </is>
      </c>
      <c r="E14" s="35" t="inlineStr">
        <is>
          <t>雪球科学</t>
        </is>
      </c>
      <c r="F14" s="35" t="inlineStr">
        <is>
          <t>超能班</t>
        </is>
      </c>
      <c r="G14" s="35" t="inlineStr">
        <is>
          <t>一期</t>
        </is>
      </c>
      <c r="H14" s="35" t="inlineStr">
        <is>
          <t>10:20-12:30</t>
        </is>
      </c>
      <c r="I14" s="35" t="inlineStr">
        <is>
          <t>林志豪01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匡嘉阳</t>
        </is>
      </c>
      <c r="B15" s="14" t="inlineStr">
        <is>
          <t>初三</t>
        </is>
      </c>
      <c r="C15" s="35" t="inlineStr">
        <is>
          <t>韩舒波</t>
        </is>
      </c>
      <c r="D15" s="35" t="inlineStr">
        <is>
          <t>新宝利大厦</t>
        </is>
      </c>
      <c r="E15" s="35" t="inlineStr">
        <is>
          <t>雪球科学</t>
        </is>
      </c>
      <c r="F15" s="35" t="inlineStr">
        <is>
          <t>超能班</t>
        </is>
      </c>
      <c r="G15" s="35" t="inlineStr">
        <is>
          <t>一期</t>
        </is>
      </c>
      <c r="H15" s="35" t="inlineStr">
        <is>
          <t>10:20-12:30</t>
        </is>
      </c>
      <c r="I15" s="35" t="inlineStr">
        <is>
          <t>林志豪01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张瀚升</t>
        </is>
      </c>
      <c r="B16" s="14" t="inlineStr">
        <is>
          <t>初三</t>
        </is>
      </c>
      <c r="C16" s="35" t="inlineStr">
        <is>
          <t>韩舒波</t>
        </is>
      </c>
      <c r="D16" s="35" t="inlineStr">
        <is>
          <t>新宝利大厦</t>
        </is>
      </c>
      <c r="E16" s="35" t="inlineStr">
        <is>
          <t>雪球科学</t>
        </is>
      </c>
      <c r="F16" s="35" t="inlineStr">
        <is>
          <t>超能班</t>
        </is>
      </c>
      <c r="G16" s="35" t="inlineStr">
        <is>
          <t>一期</t>
        </is>
      </c>
      <c r="H16" s="35" t="inlineStr">
        <is>
          <t>10:20-12:30</t>
        </is>
      </c>
      <c r="I16" s="35" t="inlineStr">
        <is>
          <t>王达04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王欣怡</t>
        </is>
      </c>
      <c r="B17" s="14" t="inlineStr">
        <is>
          <t>初三</t>
        </is>
      </c>
      <c r="C17" s="35" t="inlineStr">
        <is>
          <t>韩舒波</t>
        </is>
      </c>
      <c r="D17" s="35" t="inlineStr">
        <is>
          <t>新宝利大厦</t>
        </is>
      </c>
      <c r="E17" s="35" t="inlineStr">
        <is>
          <t>雪球科学</t>
        </is>
      </c>
      <c r="F17" s="35" t="inlineStr">
        <is>
          <t>超能班</t>
        </is>
      </c>
      <c r="G17" s="35" t="inlineStr">
        <is>
          <t>一期</t>
        </is>
      </c>
      <c r="H17" s="35" t="inlineStr">
        <is>
          <t>10:20-12:30</t>
        </is>
      </c>
      <c r="I17" s="35" t="inlineStr">
        <is>
          <t>王达04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陆颍羲</t>
        </is>
      </c>
      <c r="B18" s="14" t="inlineStr">
        <is>
          <t>初三</t>
        </is>
      </c>
      <c r="C18" s="35" t="inlineStr">
        <is>
          <t>韩舒波</t>
        </is>
      </c>
      <c r="D18" s="35" t="inlineStr">
        <is>
          <t>新宝利大厦</t>
        </is>
      </c>
      <c r="E18" s="35" t="inlineStr">
        <is>
          <t>雪球科学</t>
        </is>
      </c>
      <c r="F18" s="35" t="inlineStr">
        <is>
          <t>超能班</t>
        </is>
      </c>
      <c r="G18" s="35" t="inlineStr">
        <is>
          <t>一期</t>
        </is>
      </c>
      <c r="H18" s="35" t="inlineStr">
        <is>
          <t>10:20-12:30</t>
        </is>
      </c>
      <c r="I18" s="35" t="inlineStr">
        <is>
          <t>沈思浩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陈咏净</t>
        </is>
      </c>
      <c r="B19" s="14" t="inlineStr">
        <is>
          <t>初三</t>
        </is>
      </c>
      <c r="C19" s="35" t="inlineStr">
        <is>
          <t>韩舒波</t>
        </is>
      </c>
      <c r="D19" s="35" t="inlineStr">
        <is>
          <t>新宝利大厦</t>
        </is>
      </c>
      <c r="E19" s="35" t="inlineStr">
        <is>
          <t>雪球科学</t>
        </is>
      </c>
      <c r="F19" s="35" t="inlineStr">
        <is>
          <t>超能班</t>
        </is>
      </c>
      <c r="G19" s="35" t="inlineStr">
        <is>
          <t>一期</t>
        </is>
      </c>
      <c r="H19" s="35" t="inlineStr">
        <is>
          <t>10:20-12:30</t>
        </is>
      </c>
      <c r="I19" s="35" t="inlineStr">
        <is>
          <t>张敏烨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黄雅熙</t>
        </is>
      </c>
      <c r="B20" s="14" t="inlineStr">
        <is>
          <t>初三</t>
        </is>
      </c>
      <c r="C20" s="35" t="inlineStr">
        <is>
          <t>韩舒波</t>
        </is>
      </c>
      <c r="D20" s="35" t="inlineStr">
        <is>
          <t>新宝利大厦</t>
        </is>
      </c>
      <c r="E20" s="35" t="inlineStr">
        <is>
          <t>雪球科学</t>
        </is>
      </c>
      <c r="F20" s="35" t="inlineStr">
        <is>
          <t>超能班</t>
        </is>
      </c>
      <c r="G20" s="35" t="inlineStr">
        <is>
          <t>一期</t>
        </is>
      </c>
      <c r="H20" s="35" t="inlineStr">
        <is>
          <t>10:20-12:30</t>
        </is>
      </c>
      <c r="I20" s="35" t="inlineStr">
        <is>
          <t>林志豪01</t>
        </is>
      </c>
      <c r="J20" s="35" t="inlineStr">
        <is>
          <t>是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 xml:space="preserve"> 邱辰熙</t>
        </is>
      </c>
      <c r="B21" s="14" t="inlineStr">
        <is>
          <t>初三</t>
        </is>
      </c>
      <c r="C21" s="35" t="inlineStr">
        <is>
          <t>韩舒波</t>
        </is>
      </c>
      <c r="D21" s="35" t="inlineStr">
        <is>
          <t>新宝利大厦</t>
        </is>
      </c>
      <c r="E21" s="35" t="inlineStr">
        <is>
          <t>雪球科学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18:20-20:30</t>
        </is>
      </c>
      <c r="I21" s="35" t="inlineStr">
        <is>
          <t>林志豪01</t>
        </is>
      </c>
      <c r="J21" s="35" t="inlineStr">
        <is>
          <t>是</t>
        </is>
      </c>
      <c r="K21" s="35" t="inlineStr">
        <is>
          <t>是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危芷琪</t>
        </is>
      </c>
      <c r="B22" s="14" t="inlineStr">
        <is>
          <t>初三</t>
        </is>
      </c>
      <c r="C22" s="35" t="inlineStr">
        <is>
          <t>韩舒波</t>
        </is>
      </c>
      <c r="D22" s="35" t="inlineStr">
        <is>
          <t>新宝利大厦</t>
        </is>
      </c>
      <c r="E22" s="35" t="inlineStr">
        <is>
          <t>雪球科学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18:20-20:30</t>
        </is>
      </c>
      <c r="I22" s="35" t="inlineStr">
        <is>
          <t>林志豪01</t>
        </is>
      </c>
      <c r="J22" s="35" t="inlineStr">
        <is>
          <t>否</t>
        </is>
      </c>
      <c r="K22" s="35" t="inlineStr">
        <is>
          <t>是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李俊杰</t>
        </is>
      </c>
      <c r="B23" s="14" t="inlineStr">
        <is>
          <t>初三</t>
        </is>
      </c>
      <c r="C23" s="35" t="inlineStr">
        <is>
          <t>韩舒波</t>
        </is>
      </c>
      <c r="D23" s="35" t="inlineStr">
        <is>
          <t>新宝利大厦</t>
        </is>
      </c>
      <c r="E23" s="35" t="inlineStr">
        <is>
          <t>雪球科学</t>
        </is>
      </c>
      <c r="F23" s="35" t="inlineStr">
        <is>
          <t>潜能班</t>
        </is>
      </c>
      <c r="G23" s="35" t="inlineStr">
        <is>
          <t>一期</t>
        </is>
      </c>
      <c r="H23" s="35" t="inlineStr">
        <is>
          <t>18:20-20:30</t>
        </is>
      </c>
      <c r="I23" s="35" t="inlineStr">
        <is>
          <t>王达04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李晓潼</t>
        </is>
      </c>
      <c r="B24" s="14" t="inlineStr">
        <is>
          <t>初三</t>
        </is>
      </c>
      <c r="C24" s="35" t="inlineStr">
        <is>
          <t>韩舒波</t>
        </is>
      </c>
      <c r="D24" s="35" t="inlineStr">
        <is>
          <t>新宝利大厦</t>
        </is>
      </c>
      <c r="E24" s="35" t="inlineStr">
        <is>
          <t>雪球科学</t>
        </is>
      </c>
      <c r="F24" s="35" t="inlineStr">
        <is>
          <t>潜能班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罗玉玲</t>
        </is>
      </c>
      <c r="J24" s="35" t="inlineStr">
        <is>
          <t>是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翟珮涵</t>
        </is>
      </c>
      <c r="B25" s="14" t="inlineStr">
        <is>
          <t>初三</t>
        </is>
      </c>
      <c r="C25" s="35" t="inlineStr">
        <is>
          <t>韩舒波</t>
        </is>
      </c>
      <c r="D25" s="35" t="inlineStr">
        <is>
          <t>新宝利大厦</t>
        </is>
      </c>
      <c r="E25" s="35" t="inlineStr">
        <is>
          <t>雪球科学</t>
        </is>
      </c>
      <c r="F25" s="35" t="inlineStr">
        <is>
          <t>潜能班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王佳44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叶夏东</t>
        </is>
      </c>
      <c r="B26" s="14" t="inlineStr">
        <is>
          <t>初三</t>
        </is>
      </c>
      <c r="C26" s="35" t="inlineStr">
        <is>
          <t>韩舒波</t>
        </is>
      </c>
      <c r="D26" s="35" t="inlineStr">
        <is>
          <t>同创汇</t>
        </is>
      </c>
      <c r="E26" s="35" t="inlineStr">
        <is>
          <t>雪球科学</t>
        </is>
      </c>
      <c r="F26" s="35" t="inlineStr">
        <is>
          <t>启能班</t>
        </is>
      </c>
      <c r="G26" s="35" t="inlineStr">
        <is>
          <t>二期</t>
        </is>
      </c>
      <c r="H26" s="35" t="inlineStr">
        <is>
          <t>13:20-15:30</t>
        </is>
      </c>
      <c r="I26" s="35" t="inlineStr">
        <is>
          <t>王丽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吕逸航</t>
        </is>
      </c>
      <c r="B27" s="14" t="inlineStr">
        <is>
          <t>初三</t>
        </is>
      </c>
      <c r="C27" s="35" t="inlineStr">
        <is>
          <t>韩舒波</t>
        </is>
      </c>
      <c r="D27" s="35" t="inlineStr">
        <is>
          <t>同创汇</t>
        </is>
      </c>
      <c r="E27" s="35" t="inlineStr">
        <is>
          <t>雪球科学</t>
        </is>
      </c>
      <c r="F27" s="35" t="inlineStr">
        <is>
          <t>启能班</t>
        </is>
      </c>
      <c r="G27" s="35" t="inlineStr">
        <is>
          <t>二期</t>
        </is>
      </c>
      <c r="H27" s="35" t="inlineStr">
        <is>
          <t>13:20-15:30</t>
        </is>
      </c>
      <c r="I27" s="35" t="inlineStr">
        <is>
          <t>苏丽婷</t>
        </is>
      </c>
      <c r="J27" s="35" t="inlineStr">
        <is>
          <t>是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张凌瑄</t>
        </is>
      </c>
      <c r="B28" s="14" t="inlineStr">
        <is>
          <t>初三</t>
        </is>
      </c>
      <c r="C28" s="35" t="inlineStr">
        <is>
          <t>韩舒波</t>
        </is>
      </c>
      <c r="D28" s="35" t="inlineStr">
        <is>
          <t>同创汇</t>
        </is>
      </c>
      <c r="E28" s="35" t="inlineStr">
        <is>
          <t>雪球科学</t>
        </is>
      </c>
      <c r="F28" s="35" t="inlineStr">
        <is>
          <t>启能班</t>
        </is>
      </c>
      <c r="G28" s="35" t="inlineStr">
        <is>
          <t>二期</t>
        </is>
      </c>
      <c r="H28" s="35" t="inlineStr">
        <is>
          <t>13:20-15:30</t>
        </is>
      </c>
      <c r="I28" s="35" t="inlineStr">
        <is>
          <t>王丽</t>
        </is>
      </c>
      <c r="J28" s="35" t="inlineStr">
        <is>
          <t>是</t>
        </is>
      </c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欧阳润钦</t>
        </is>
      </c>
      <c r="B29" s="14" t="inlineStr">
        <is>
          <t>初三</t>
        </is>
      </c>
      <c r="C29" s="35" t="inlineStr">
        <is>
          <t>韩舒波</t>
        </is>
      </c>
      <c r="D29" s="35" t="inlineStr">
        <is>
          <t>同创汇</t>
        </is>
      </c>
      <c r="E29" s="35" t="inlineStr">
        <is>
          <t>雪球科学</t>
        </is>
      </c>
      <c r="F29" s="35" t="inlineStr">
        <is>
          <t>启能班</t>
        </is>
      </c>
      <c r="G29" s="35" t="inlineStr">
        <is>
          <t>二期</t>
        </is>
      </c>
      <c r="H29" s="35" t="inlineStr">
        <is>
          <t>13:20-15:30</t>
        </is>
      </c>
      <c r="I29" s="35" t="inlineStr">
        <is>
          <t>戎凯01</t>
        </is>
      </c>
      <c r="J29" s="35" t="inlineStr">
        <is>
          <t>否</t>
        </is>
      </c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牛晓颖</t>
        </is>
      </c>
      <c r="B30" s="14" t="inlineStr">
        <is>
          <t>初三</t>
        </is>
      </c>
      <c r="C30" s="35" t="inlineStr">
        <is>
          <t>韩舒波</t>
        </is>
      </c>
      <c r="D30" s="35" t="inlineStr">
        <is>
          <t>同创汇</t>
        </is>
      </c>
      <c r="E30" s="35" t="inlineStr">
        <is>
          <t>雪球科学</t>
        </is>
      </c>
      <c r="F30" s="35" t="inlineStr">
        <is>
          <t>启能班</t>
        </is>
      </c>
      <c r="G30" s="35" t="inlineStr">
        <is>
          <t>二期</t>
        </is>
      </c>
      <c r="H30" s="35" t="inlineStr">
        <is>
          <t>13:20-15:30</t>
        </is>
      </c>
      <c r="I30" s="35" t="inlineStr">
        <is>
          <t>王丽</t>
        </is>
      </c>
      <c r="J30" s="35" t="inlineStr">
        <is>
          <t>是</t>
        </is>
      </c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蔡瑾萱</t>
        </is>
      </c>
      <c r="B31" s="14" t="inlineStr">
        <is>
          <t>初三</t>
        </is>
      </c>
      <c r="C31" s="35" t="inlineStr">
        <is>
          <t>韩舒波</t>
        </is>
      </c>
      <c r="D31" s="35" t="inlineStr">
        <is>
          <t>同创汇</t>
        </is>
      </c>
      <c r="E31" s="35" t="inlineStr">
        <is>
          <t>雪球科学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13:20-15:30</t>
        </is>
      </c>
      <c r="I31" s="35" t="inlineStr">
        <is>
          <t>戎凯01</t>
        </is>
      </c>
      <c r="J31" s="35" t="inlineStr">
        <is>
          <t>是</t>
        </is>
      </c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郑智轩</t>
        </is>
      </c>
      <c r="B32" s="14" t="inlineStr">
        <is>
          <t>初三</t>
        </is>
      </c>
      <c r="C32" s="35" t="inlineStr">
        <is>
          <t>韩舒波</t>
        </is>
      </c>
      <c r="D32" s="35" t="inlineStr">
        <is>
          <t>同创汇</t>
        </is>
      </c>
      <c r="E32" s="35" t="inlineStr">
        <is>
          <t>雪球科学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13:20-15:30</t>
        </is>
      </c>
      <c r="I32" s="35" t="inlineStr">
        <is>
          <t>苏丽婷</t>
        </is>
      </c>
      <c r="J32" s="35" t="inlineStr">
        <is>
          <t>是</t>
        </is>
      </c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陈嘉琪</t>
        </is>
      </c>
      <c r="B33" s="14" t="inlineStr">
        <is>
          <t>初三</t>
        </is>
      </c>
      <c r="C33" s="35" t="inlineStr">
        <is>
          <t>韩舒波</t>
        </is>
      </c>
      <c r="D33" s="35" t="inlineStr">
        <is>
          <t>同创汇</t>
        </is>
      </c>
      <c r="E33" s="35" t="inlineStr">
        <is>
          <t>雪球科学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13:20-15:30</t>
        </is>
      </c>
      <c r="I33" s="35" t="inlineStr">
        <is>
          <t>苏丽婷</t>
        </is>
      </c>
      <c r="J33" s="35" t="inlineStr">
        <is>
          <t>是</t>
        </is>
      </c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黄玥晴</t>
        </is>
      </c>
      <c r="B34" s="14" t="inlineStr">
        <is>
          <t>初三</t>
        </is>
      </c>
      <c r="C34" s="35" t="inlineStr">
        <is>
          <t>韩舒波</t>
        </is>
      </c>
      <c r="D34" s="35" t="inlineStr">
        <is>
          <t>同创汇</t>
        </is>
      </c>
      <c r="E34" s="35" t="inlineStr">
        <is>
          <t>雪球科学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13:20-15:30</t>
        </is>
      </c>
      <c r="I34" s="35" t="inlineStr">
        <is>
          <t>苏丽婷</t>
        </is>
      </c>
      <c r="J34" s="35" t="inlineStr">
        <is>
          <t>是</t>
        </is>
      </c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冼梓童</t>
        </is>
      </c>
      <c r="B35" s="14" t="inlineStr">
        <is>
          <t>初三</t>
        </is>
      </c>
      <c r="C35" s="35" t="inlineStr">
        <is>
          <t>韩舒波</t>
        </is>
      </c>
      <c r="D35" s="35" t="inlineStr">
        <is>
          <t>天成大厦</t>
        </is>
      </c>
      <c r="E35" s="35" t="inlineStr">
        <is>
          <t>雪球科学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18:20-20:30</t>
        </is>
      </c>
      <c r="I35" s="35" t="inlineStr">
        <is>
          <t>王达04</t>
        </is>
      </c>
      <c r="J35" s="35" t="inlineStr">
        <is>
          <t>是</t>
        </is>
      </c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吴源 昊</t>
        </is>
      </c>
      <c r="B36" s="14" t="inlineStr">
        <is>
          <t>初三</t>
        </is>
      </c>
      <c r="C36" s="35" t="inlineStr">
        <is>
          <t>韩舒波</t>
        </is>
      </c>
      <c r="D36" s="35" t="inlineStr">
        <is>
          <t>天成大厦</t>
        </is>
      </c>
      <c r="E36" s="35" t="inlineStr">
        <is>
          <t>雪球科学</t>
        </is>
      </c>
      <c r="F36" s="35" t="inlineStr">
        <is>
          <t>启能班</t>
        </is>
      </c>
      <c r="G36" s="35" t="inlineStr">
        <is>
          <t>二期</t>
        </is>
      </c>
      <c r="H36" s="35" t="inlineStr">
        <is>
          <t>18:20-20:30</t>
        </is>
      </c>
      <c r="I36" s="35" t="inlineStr">
        <is>
          <t>龙倩敏</t>
        </is>
      </c>
      <c r="J36" s="35" t="inlineStr">
        <is>
          <t>否</t>
        </is>
      </c>
      <c r="K36" s="35" t="inlineStr">
        <is>
          <t>是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朱天麟</t>
        </is>
      </c>
      <c r="B37" s="14" t="inlineStr">
        <is>
          <t>初三</t>
        </is>
      </c>
      <c r="C37" s="35" t="inlineStr">
        <is>
          <t>韩舒波</t>
        </is>
      </c>
      <c r="D37" s="35" t="inlineStr">
        <is>
          <t>天成大厦</t>
        </is>
      </c>
      <c r="E37" s="35" t="inlineStr">
        <is>
          <t>雪球科学</t>
        </is>
      </c>
      <c r="F37" s="35" t="inlineStr">
        <is>
          <t>启能班</t>
        </is>
      </c>
      <c r="G37" s="35" t="inlineStr">
        <is>
          <t>二期</t>
        </is>
      </c>
      <c r="H37" s="35" t="inlineStr">
        <is>
          <t>18:20-20:30</t>
        </is>
      </c>
      <c r="I37" s="35" t="inlineStr">
        <is>
          <t>陈亮延</t>
        </is>
      </c>
      <c r="J37" s="35" t="inlineStr">
        <is>
          <t>否</t>
        </is>
      </c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汪昊龙</t>
        </is>
      </c>
      <c r="B38" s="14" t="inlineStr">
        <is>
          <t>初三</t>
        </is>
      </c>
      <c r="C38" s="35" t="inlineStr">
        <is>
          <t>韩舒波</t>
        </is>
      </c>
      <c r="D38" s="35" t="inlineStr">
        <is>
          <t>天成大厦</t>
        </is>
      </c>
      <c r="E38" s="35" t="inlineStr">
        <is>
          <t>雪球科学</t>
        </is>
      </c>
      <c r="F38" s="35" t="inlineStr">
        <is>
          <t>启能班</t>
        </is>
      </c>
      <c r="G38" s="35" t="inlineStr">
        <is>
          <t>二期</t>
        </is>
      </c>
      <c r="H38" s="35" t="inlineStr">
        <is>
          <t>18:20-20:30</t>
        </is>
      </c>
      <c r="I38" s="35" t="inlineStr">
        <is>
          <t>王达04</t>
        </is>
      </c>
      <c r="J38" s="35" t="inlineStr">
        <is>
          <t>是</t>
        </is>
      </c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谢逸辉</t>
        </is>
      </c>
      <c r="B39" s="14" t="inlineStr">
        <is>
          <t>初三</t>
        </is>
      </c>
      <c r="C39" s="35" t="inlineStr">
        <is>
          <t>韩舒波</t>
        </is>
      </c>
      <c r="D39" s="35" t="inlineStr">
        <is>
          <t>天成大厦</t>
        </is>
      </c>
      <c r="E39" s="35" t="inlineStr">
        <is>
          <t>雪球科学</t>
        </is>
      </c>
      <c r="F39" s="35" t="inlineStr">
        <is>
          <t>启能班</t>
        </is>
      </c>
      <c r="G39" s="35" t="inlineStr">
        <is>
          <t>二期</t>
        </is>
      </c>
      <c r="H39" s="35" t="inlineStr">
        <is>
          <t>18:20-20:30</t>
        </is>
      </c>
      <c r="I39" s="35" t="inlineStr">
        <is>
          <t>王达04</t>
        </is>
      </c>
      <c r="J39" s="35" t="inlineStr">
        <is>
          <t>是</t>
        </is>
      </c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陈松威</t>
        </is>
      </c>
      <c r="B40" s="14" t="inlineStr">
        <is>
          <t>初三</t>
        </is>
      </c>
      <c r="C40" s="35" t="inlineStr">
        <is>
          <t>韩舒波</t>
        </is>
      </c>
      <c r="D40" s="35" t="inlineStr">
        <is>
          <t>天成大厦</t>
        </is>
      </c>
      <c r="E40" s="35" t="inlineStr">
        <is>
          <t>雪球科学</t>
        </is>
      </c>
      <c r="F40" s="35" t="inlineStr">
        <is>
          <t>启能班</t>
        </is>
      </c>
      <c r="G40" s="35" t="inlineStr">
        <is>
          <t>二期</t>
        </is>
      </c>
      <c r="H40" s="35" t="inlineStr">
        <is>
          <t>18:20-20:30</t>
        </is>
      </c>
      <c r="I40" s="35" t="inlineStr">
        <is>
          <t>王达04</t>
        </is>
      </c>
      <c r="J40" s="35" t="inlineStr">
        <is>
          <t>是</t>
        </is>
      </c>
      <c r="K40" s="35" t="inlineStr">
        <is>
          <t>否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夏培瑄</t>
        </is>
      </c>
      <c r="B41" s="14" t="inlineStr">
        <is>
          <t>初二</t>
        </is>
      </c>
      <c r="C41" s="35" t="inlineStr">
        <is>
          <t>韩舒波</t>
        </is>
      </c>
      <c r="D41" s="35" t="inlineStr">
        <is>
          <t>同创汇</t>
        </is>
      </c>
      <c r="E41" s="35" t="inlineStr">
        <is>
          <t>雪球科学</t>
        </is>
      </c>
      <c r="F41" s="35" t="inlineStr">
        <is>
          <t>超能班</t>
        </is>
      </c>
      <c r="G41" s="35" t="inlineStr">
        <is>
          <t>三期</t>
        </is>
      </c>
      <c r="H41" s="35" t="inlineStr">
        <is>
          <t>10:20-12:30</t>
        </is>
      </c>
      <c r="I41" s="35" t="inlineStr">
        <is>
          <t>王丽</t>
        </is>
      </c>
      <c r="J41" s="35" t="inlineStr">
        <is>
          <t>是</t>
        </is>
      </c>
      <c r="K41" s="35" t="inlineStr">
        <is>
          <t>否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赵翊辰</t>
        </is>
      </c>
      <c r="B42" s="14" t="inlineStr">
        <is>
          <t>初二</t>
        </is>
      </c>
      <c r="C42" s="35" t="inlineStr">
        <is>
          <t>韩舒波</t>
        </is>
      </c>
      <c r="D42" s="35" t="inlineStr">
        <is>
          <t>同创汇</t>
        </is>
      </c>
      <c r="E42" s="35" t="inlineStr">
        <is>
          <t>雪球科学</t>
        </is>
      </c>
      <c r="F42" s="35" t="inlineStr">
        <is>
          <t>超能班</t>
        </is>
      </c>
      <c r="G42" s="35" t="inlineStr">
        <is>
          <t>三期</t>
        </is>
      </c>
      <c r="H42" s="35" t="inlineStr">
        <is>
          <t>10:20-12:30</t>
        </is>
      </c>
      <c r="I42" s="35" t="inlineStr">
        <is>
          <t>苏丽婷</t>
        </is>
      </c>
      <c r="J42" s="35" t="inlineStr">
        <is>
          <t>否</t>
        </is>
      </c>
      <c r="K42" s="35" t="inlineStr">
        <is>
          <t>否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3:AE49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严梓肇</t>
        </is>
      </c>
      <c r="B3" s="14" t="inlineStr">
        <is>
          <t>初二</t>
        </is>
      </c>
      <c r="C3" s="35" t="inlineStr">
        <is>
          <t>王璇</t>
        </is>
      </c>
      <c r="D3" s="35" t="inlineStr">
        <is>
          <t>新宝利大厦</t>
        </is>
      </c>
      <c r="E3" s="35" t="inlineStr">
        <is>
          <t>雪球思维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林志豪01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易嘉琦</t>
        </is>
      </c>
      <c r="B4" s="14" t="inlineStr">
        <is>
          <t>初二</t>
        </is>
      </c>
      <c r="C4" s="35" t="inlineStr">
        <is>
          <t>王璇</t>
        </is>
      </c>
      <c r="D4" s="35" t="inlineStr">
        <is>
          <t>新宝利大厦</t>
        </is>
      </c>
      <c r="E4" s="35" t="inlineStr">
        <is>
          <t>雪球思维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林志豪01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曾舒晴</t>
        </is>
      </c>
      <c r="B5" s="14" t="inlineStr">
        <is>
          <t>初二</t>
        </is>
      </c>
      <c r="C5" s="35" t="inlineStr">
        <is>
          <t>王璇</t>
        </is>
      </c>
      <c r="D5" s="35" t="inlineStr">
        <is>
          <t>新宝利大厦</t>
        </is>
      </c>
      <c r="E5" s="35" t="inlineStr">
        <is>
          <t>雪球思维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罗玉玲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李康宁</t>
        </is>
      </c>
      <c r="B6" s="14" t="inlineStr">
        <is>
          <t>初二</t>
        </is>
      </c>
      <c r="C6" s="35" t="inlineStr">
        <is>
          <t>王璇</t>
        </is>
      </c>
      <c r="D6" s="35" t="inlineStr">
        <is>
          <t>新宝利大厦</t>
        </is>
      </c>
      <c r="E6" s="35" t="inlineStr">
        <is>
          <t>雪球思维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杨林33</t>
        </is>
      </c>
      <c r="J6" s="35" t="inlineStr">
        <is>
          <t>否</t>
        </is>
      </c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李牧蔻</t>
        </is>
      </c>
      <c r="B7" s="14" t="inlineStr">
        <is>
          <t>初二</t>
        </is>
      </c>
      <c r="C7" s="35" t="inlineStr">
        <is>
          <t>王璇</t>
        </is>
      </c>
      <c r="D7" s="35" t="inlineStr">
        <is>
          <t>新宝利大厦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13:20-15:30</t>
        </is>
      </c>
      <c r="I7" s="35" t="inlineStr">
        <is>
          <t>林志豪01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林洋溢</t>
        </is>
      </c>
      <c r="B8" s="14" t="inlineStr">
        <is>
          <t>初二</t>
        </is>
      </c>
      <c r="C8" s="35" t="inlineStr">
        <is>
          <t>王璇</t>
        </is>
      </c>
      <c r="D8" s="35" t="inlineStr">
        <is>
          <t>新宝利大厦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张敏烨</t>
        </is>
      </c>
      <c r="J8" s="35" t="inlineStr">
        <is>
          <t>否</t>
        </is>
      </c>
      <c r="K8" s="35" t="inlineStr">
        <is>
          <t>是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林科锦</t>
        </is>
      </c>
      <c r="B9" s="14" t="inlineStr">
        <is>
          <t>初二</t>
        </is>
      </c>
      <c r="C9" s="35" t="inlineStr">
        <is>
          <t>王璇</t>
        </is>
      </c>
      <c r="D9" s="35" t="inlineStr">
        <is>
          <t>新宝利大厦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张敏烨</t>
        </is>
      </c>
      <c r="J9" s="35" t="inlineStr">
        <is>
          <t>是</t>
        </is>
      </c>
      <c r="K9" s="35" t="inlineStr">
        <is>
          <t>是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江紫晴</t>
        </is>
      </c>
      <c r="B10" s="14" t="inlineStr">
        <is>
          <t>初二</t>
        </is>
      </c>
      <c r="C10" s="35" t="inlineStr">
        <is>
          <t>王璇</t>
        </is>
      </c>
      <c r="D10" s="35" t="inlineStr">
        <is>
          <t>新宝利大厦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林志豪01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萧灏轩</t>
        </is>
      </c>
      <c r="B11" s="14" t="inlineStr">
        <is>
          <t>初二</t>
        </is>
      </c>
      <c r="C11" s="35" t="inlineStr">
        <is>
          <t>王璇</t>
        </is>
      </c>
      <c r="D11" s="35" t="inlineStr">
        <is>
          <t>新宝利大厦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张敏烨</t>
        </is>
      </c>
      <c r="J11" s="35" t="inlineStr">
        <is>
          <t>否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谭子扬</t>
        </is>
      </c>
      <c r="B12" s="14" t="inlineStr">
        <is>
          <t>初二</t>
        </is>
      </c>
      <c r="C12" s="35" t="inlineStr">
        <is>
          <t>王璇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罗玉玲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邓雅月</t>
        </is>
      </c>
      <c r="B13" s="14" t="inlineStr">
        <is>
          <t>初二</t>
        </is>
      </c>
      <c r="C13" s="35" t="inlineStr">
        <is>
          <t>王璇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张敏烨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邱子萱</t>
        </is>
      </c>
      <c r="B14" s="14" t="inlineStr">
        <is>
          <t>初二</t>
        </is>
      </c>
      <c r="C14" s="35" t="inlineStr">
        <is>
          <t>王璇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罗玉玲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余晶晶</t>
        </is>
      </c>
      <c r="B15" s="14" t="inlineStr">
        <is>
          <t>初二</t>
        </is>
      </c>
      <c r="C15" s="35" t="inlineStr">
        <is>
          <t>王璇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启能班</t>
        </is>
      </c>
      <c r="G15" s="35" t="inlineStr">
        <is>
          <t>一期</t>
        </is>
      </c>
      <c r="H15" s="35" t="inlineStr">
        <is>
          <t>15:50-18:00</t>
        </is>
      </c>
      <c r="I15" s="35" t="inlineStr">
        <is>
          <t>张敏烨</t>
        </is>
      </c>
      <c r="J15" s="35" t="inlineStr">
        <is>
          <t>是</t>
        </is>
      </c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佳悦</t>
        </is>
      </c>
      <c r="B16" s="14" t="inlineStr">
        <is>
          <t>初二</t>
        </is>
      </c>
      <c r="C16" s="35" t="inlineStr">
        <is>
          <t>王璇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启能班</t>
        </is>
      </c>
      <c r="G16" s="35" t="inlineStr">
        <is>
          <t>一期</t>
        </is>
      </c>
      <c r="H16" s="35" t="inlineStr">
        <is>
          <t>15:50-18:00</t>
        </is>
      </c>
      <c r="I16" s="35" t="inlineStr">
        <is>
          <t>张敏烨</t>
        </is>
      </c>
      <c r="J16" s="35" t="inlineStr">
        <is>
          <t>是</t>
        </is>
      </c>
      <c r="K16" s="35" t="inlineStr">
        <is>
          <t>是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曾宝萱</t>
        </is>
      </c>
      <c r="B17" s="14" t="inlineStr">
        <is>
          <t>初二</t>
        </is>
      </c>
      <c r="C17" s="35" t="inlineStr">
        <is>
          <t>王璇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启能班</t>
        </is>
      </c>
      <c r="G17" s="35" t="inlineStr">
        <is>
          <t>一期</t>
        </is>
      </c>
      <c r="H17" s="35" t="inlineStr">
        <is>
          <t>15:50-18:00</t>
        </is>
      </c>
      <c r="I17" s="35" t="inlineStr">
        <is>
          <t>王达04</t>
        </is>
      </c>
      <c r="J17" s="35" t="inlineStr">
        <is>
          <t>是</t>
        </is>
      </c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李桐嘉</t>
        </is>
      </c>
      <c r="B18" s="14" t="inlineStr">
        <is>
          <t>初二</t>
        </is>
      </c>
      <c r="C18" s="35" t="inlineStr">
        <is>
          <t>王璇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启能班</t>
        </is>
      </c>
      <c r="G18" s="35" t="inlineStr">
        <is>
          <t>一期</t>
        </is>
      </c>
      <c r="H18" s="35" t="inlineStr">
        <is>
          <t>15:50-18:00</t>
        </is>
      </c>
      <c r="I18" s="35" t="inlineStr">
        <is>
          <t>王达04</t>
        </is>
      </c>
      <c r="J18" s="35" t="inlineStr">
        <is>
          <t>是</t>
        </is>
      </c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程宇杰</t>
        </is>
      </c>
      <c r="B19" s="14" t="inlineStr">
        <is>
          <t>初二</t>
        </is>
      </c>
      <c r="C19" s="35" t="inlineStr">
        <is>
          <t>王璇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启能班</t>
        </is>
      </c>
      <c r="G19" s="35" t="inlineStr">
        <is>
          <t>一期</t>
        </is>
      </c>
      <c r="H19" s="35" t="inlineStr">
        <is>
          <t>15:50-18:00</t>
        </is>
      </c>
      <c r="I19" s="35" t="inlineStr">
        <is>
          <t>张敏烨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苏柏威</t>
        </is>
      </c>
      <c r="B20" s="14" t="inlineStr">
        <is>
          <t>初二</t>
        </is>
      </c>
      <c r="C20" s="35" t="inlineStr">
        <is>
          <t>王璇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启能班</t>
        </is>
      </c>
      <c r="G20" s="35" t="inlineStr">
        <is>
          <t>一期</t>
        </is>
      </c>
      <c r="H20" s="35" t="inlineStr">
        <is>
          <t>15:50-18:00</t>
        </is>
      </c>
      <c r="I20" s="35" t="inlineStr">
        <is>
          <t>张敏烨</t>
        </is>
      </c>
      <c r="J20" s="35" t="inlineStr">
        <is>
          <t>是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陈佳茵</t>
        </is>
      </c>
      <c r="B21" s="14" t="inlineStr">
        <is>
          <t>初二</t>
        </is>
      </c>
      <c r="C21" s="35" t="inlineStr">
        <is>
          <t>王璇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启能班</t>
        </is>
      </c>
      <c r="G21" s="35" t="inlineStr">
        <is>
          <t>一期</t>
        </is>
      </c>
      <c r="H21" s="35" t="inlineStr">
        <is>
          <t>15:50-18:00</t>
        </is>
      </c>
      <c r="I21" s="35" t="inlineStr">
        <is>
          <t>张敏烨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陈崇骐</t>
        </is>
      </c>
      <c r="B22" s="14" t="inlineStr">
        <is>
          <t>初二</t>
        </is>
      </c>
      <c r="C22" s="35" t="inlineStr">
        <is>
          <t>王璇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启能班</t>
        </is>
      </c>
      <c r="G22" s="35" t="inlineStr">
        <is>
          <t>一期</t>
        </is>
      </c>
      <c r="H22" s="35" t="inlineStr">
        <is>
          <t>15:50-18:00</t>
        </is>
      </c>
      <c r="I22" s="35" t="inlineStr">
        <is>
          <t>张敏烨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陈明炜</t>
        </is>
      </c>
      <c r="B23" s="14" t="inlineStr">
        <is>
          <t>初二</t>
        </is>
      </c>
      <c r="C23" s="35" t="inlineStr">
        <is>
          <t>王璇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启能班</t>
        </is>
      </c>
      <c r="G23" s="35" t="inlineStr">
        <is>
          <t>一期</t>
        </is>
      </c>
      <c r="H23" s="35" t="inlineStr">
        <is>
          <t>15:50-18:00</t>
        </is>
      </c>
      <c r="I23" s="35" t="inlineStr">
        <is>
          <t>戎凯01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陈明煊</t>
        </is>
      </c>
      <c r="B24" s="14" t="inlineStr">
        <is>
          <t>初二</t>
        </is>
      </c>
      <c r="C24" s="35" t="inlineStr">
        <is>
          <t>王璇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启能班</t>
        </is>
      </c>
      <c r="G24" s="35" t="inlineStr">
        <is>
          <t>一期</t>
        </is>
      </c>
      <c r="H24" s="35" t="inlineStr">
        <is>
          <t>15:50-18:00</t>
        </is>
      </c>
      <c r="I24" s="35" t="inlineStr">
        <is>
          <t>林志豪01</t>
        </is>
      </c>
      <c r="J24" s="35" t="inlineStr">
        <is>
          <t>是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陈永烨</t>
        </is>
      </c>
      <c r="B25" s="14" t="inlineStr">
        <is>
          <t>初二</t>
        </is>
      </c>
      <c r="C25" s="35" t="inlineStr">
        <is>
          <t>王璇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启能班</t>
        </is>
      </c>
      <c r="G25" s="35" t="inlineStr">
        <is>
          <t>一期</t>
        </is>
      </c>
      <c r="H25" s="35" t="inlineStr">
        <is>
          <t>15:50-18:00</t>
        </is>
      </c>
      <c r="I25" s="35" t="inlineStr">
        <is>
          <t>张敏烨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严安</t>
        </is>
      </c>
      <c r="B26" s="14" t="inlineStr">
        <is>
          <t>初二</t>
        </is>
      </c>
      <c r="C26" s="35" t="inlineStr">
        <is>
          <t>王璇</t>
        </is>
      </c>
      <c r="D26" s="35" t="inlineStr">
        <is>
          <t>同创汇</t>
        </is>
      </c>
      <c r="E26" s="35" t="inlineStr">
        <is>
          <t>雪球思维</t>
        </is>
      </c>
      <c r="F26" s="35" t="inlineStr">
        <is>
          <t>启能班</t>
        </is>
      </c>
      <c r="G26" s="35" t="inlineStr">
        <is>
          <t>二期</t>
        </is>
      </c>
      <c r="H26" s="35" t="inlineStr">
        <is>
          <t>10:20-12:30</t>
        </is>
      </c>
      <c r="I26" s="35" t="inlineStr">
        <is>
          <t>戎凯01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俞智邦</t>
        </is>
      </c>
      <c r="B27" s="14" t="inlineStr">
        <is>
          <t>初二</t>
        </is>
      </c>
      <c r="C27" s="35" t="inlineStr">
        <is>
          <t>王璇</t>
        </is>
      </c>
      <c r="D27" s="35" t="inlineStr">
        <is>
          <t>同创汇</t>
        </is>
      </c>
      <c r="E27" s="35" t="inlineStr">
        <is>
          <t>雪球思维</t>
        </is>
      </c>
      <c r="F27" s="35" t="inlineStr">
        <is>
          <t>启能班</t>
        </is>
      </c>
      <c r="G27" s="35" t="inlineStr">
        <is>
          <t>二期</t>
        </is>
      </c>
      <c r="H27" s="35" t="inlineStr">
        <is>
          <t>10:20-12:30</t>
        </is>
      </c>
      <c r="I27" s="35" t="inlineStr">
        <is>
          <t>王丽</t>
        </is>
      </c>
      <c r="J27" s="35" t="inlineStr">
        <is>
          <t>是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刘卓慧</t>
        </is>
      </c>
      <c r="B28" s="14" t="inlineStr">
        <is>
          <t>初二</t>
        </is>
      </c>
      <c r="C28" s="35" t="inlineStr">
        <is>
          <t>王璇</t>
        </is>
      </c>
      <c r="D28" s="35" t="inlineStr">
        <is>
          <t>同创汇</t>
        </is>
      </c>
      <c r="E28" s="35" t="inlineStr">
        <is>
          <t>雪球思维</t>
        </is>
      </c>
      <c r="F28" s="35" t="inlineStr">
        <is>
          <t>启能班</t>
        </is>
      </c>
      <c r="G28" s="35" t="inlineStr">
        <is>
          <t>二期</t>
        </is>
      </c>
      <c r="H28" s="35" t="inlineStr">
        <is>
          <t>10:20-12:30</t>
        </is>
      </c>
      <c r="I28" s="35" t="inlineStr">
        <is>
          <t>戎凯01</t>
        </is>
      </c>
      <c r="J28" s="35" t="inlineStr">
        <is>
          <t>是</t>
        </is>
      </c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卜铎辰</t>
        </is>
      </c>
      <c r="B29" s="14" t="inlineStr">
        <is>
          <t>初二</t>
        </is>
      </c>
      <c r="C29" s="35" t="inlineStr">
        <is>
          <t>王璇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启能班</t>
        </is>
      </c>
      <c r="G29" s="35" t="inlineStr">
        <is>
          <t>二期</t>
        </is>
      </c>
      <c r="H29" s="35" t="inlineStr">
        <is>
          <t>10:20-12:30</t>
        </is>
      </c>
      <c r="I29" s="35" t="inlineStr">
        <is>
          <t>戎凯01</t>
        </is>
      </c>
      <c r="J29" s="35" t="inlineStr">
        <is>
          <t>是</t>
        </is>
      </c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夏林熙</t>
        </is>
      </c>
      <c r="B30" s="14" t="inlineStr">
        <is>
          <t>初二</t>
        </is>
      </c>
      <c r="C30" s="35" t="inlineStr">
        <is>
          <t>王璇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启能班</t>
        </is>
      </c>
      <c r="G30" s="35" t="inlineStr">
        <is>
          <t>二期</t>
        </is>
      </c>
      <c r="H30" s="35" t="inlineStr">
        <is>
          <t>10:20-12:30</t>
        </is>
      </c>
      <c r="I30" s="35" t="inlineStr">
        <is>
          <t>王丽</t>
        </is>
      </c>
      <c r="J30" s="35" t="inlineStr">
        <is>
          <t>是</t>
        </is>
      </c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张锐文</t>
        </is>
      </c>
      <c r="B31" s="14" t="inlineStr">
        <is>
          <t>初二</t>
        </is>
      </c>
      <c r="C31" s="35" t="inlineStr">
        <is>
          <t>王璇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10:20-12:30</t>
        </is>
      </c>
      <c r="I31" s="35" t="inlineStr">
        <is>
          <t>罗玉玲</t>
        </is>
      </c>
      <c r="J31" s="35" t="inlineStr">
        <is>
          <t>是</t>
        </is>
      </c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曾汝杨</t>
        </is>
      </c>
      <c r="B32" s="14" t="inlineStr">
        <is>
          <t>初二</t>
        </is>
      </c>
      <c r="C32" s="35" t="inlineStr">
        <is>
          <t>王璇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10:20-12:30</t>
        </is>
      </c>
      <c r="I32" s="35" t="inlineStr">
        <is>
          <t>苏丽婷</t>
        </is>
      </c>
      <c r="J32" s="35" t="inlineStr">
        <is>
          <t>是</t>
        </is>
      </c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梁钊洋</t>
        </is>
      </c>
      <c r="B33" s="14" t="inlineStr">
        <is>
          <t>初二</t>
        </is>
      </c>
      <c r="C33" s="35" t="inlineStr">
        <is>
          <t>王璇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10:20-12:30</t>
        </is>
      </c>
      <c r="I33" s="35" t="inlineStr">
        <is>
          <t>王丽</t>
        </is>
      </c>
      <c r="J33" s="35" t="inlineStr">
        <is>
          <t>是</t>
        </is>
      </c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王宝欣</t>
        </is>
      </c>
      <c r="B34" s="14" t="inlineStr">
        <is>
          <t>初二</t>
        </is>
      </c>
      <c r="C34" s="35" t="inlineStr">
        <is>
          <t>王璇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10:20-12:30</t>
        </is>
      </c>
      <c r="I34" s="35" t="inlineStr">
        <is>
          <t>王丽</t>
        </is>
      </c>
      <c r="J34" s="35" t="inlineStr">
        <is>
          <t>是</t>
        </is>
      </c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罗书林</t>
        </is>
      </c>
      <c r="B35" s="14" t="inlineStr">
        <is>
          <t>初二</t>
        </is>
      </c>
      <c r="C35" s="35" t="inlineStr">
        <is>
          <t>王璇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10:20-12:30</t>
        </is>
      </c>
      <c r="I35" s="35" t="inlineStr">
        <is>
          <t>戎凯01</t>
        </is>
      </c>
      <c r="J35" s="35" t="inlineStr">
        <is>
          <t>是</t>
        </is>
      </c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胡彦</t>
        </is>
      </c>
      <c r="B36" s="14" t="inlineStr">
        <is>
          <t>初二</t>
        </is>
      </c>
      <c r="C36" s="35" t="inlineStr">
        <is>
          <t>王璇</t>
        </is>
      </c>
      <c r="D36" s="35" t="inlineStr">
        <is>
          <t>同创汇</t>
        </is>
      </c>
      <c r="E36" s="35" t="inlineStr">
        <is>
          <t>雪球思维</t>
        </is>
      </c>
      <c r="F36" s="35" t="inlineStr">
        <is>
          <t>启能班</t>
        </is>
      </c>
      <c r="G36" s="35" t="inlineStr">
        <is>
          <t>二期</t>
        </is>
      </c>
      <c r="H36" s="35" t="inlineStr">
        <is>
          <t>10:20-12:30</t>
        </is>
      </c>
      <c r="I36" s="35" t="inlineStr">
        <is>
          <t>戎凯01</t>
        </is>
      </c>
      <c r="J36" s="35" t="inlineStr">
        <is>
          <t>是</t>
        </is>
      </c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蔡瑾萱</t>
        </is>
      </c>
      <c r="B37" s="14" t="inlineStr">
        <is>
          <t>初二</t>
        </is>
      </c>
      <c r="C37" s="35" t="inlineStr">
        <is>
          <t>王璇</t>
        </is>
      </c>
      <c r="D37" s="35" t="inlineStr">
        <is>
          <t>同创汇</t>
        </is>
      </c>
      <c r="E37" s="35" t="inlineStr">
        <is>
          <t>雪球思维</t>
        </is>
      </c>
      <c r="F37" s="35" t="inlineStr">
        <is>
          <t>启能班</t>
        </is>
      </c>
      <c r="G37" s="35" t="inlineStr">
        <is>
          <t>二期</t>
        </is>
      </c>
      <c r="H37" s="35" t="inlineStr">
        <is>
          <t>10:20-12:30</t>
        </is>
      </c>
      <c r="I37" s="35" t="inlineStr">
        <is>
          <t>王丽</t>
        </is>
      </c>
      <c r="J37" s="35" t="inlineStr">
        <is>
          <t>是</t>
        </is>
      </c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谷浩成</t>
        </is>
      </c>
      <c r="B38" s="14" t="inlineStr">
        <is>
          <t>初二</t>
        </is>
      </c>
      <c r="C38" s="35" t="inlineStr">
        <is>
          <t>王璇</t>
        </is>
      </c>
      <c r="D38" s="35" t="inlineStr">
        <is>
          <t>同创汇</t>
        </is>
      </c>
      <c r="E38" s="35" t="inlineStr">
        <is>
          <t>雪球思维</t>
        </is>
      </c>
      <c r="F38" s="35" t="inlineStr">
        <is>
          <t>启能班</t>
        </is>
      </c>
      <c r="G38" s="35" t="inlineStr">
        <is>
          <t>二期</t>
        </is>
      </c>
      <c r="H38" s="35" t="inlineStr">
        <is>
          <t>10:20-12:30</t>
        </is>
      </c>
      <c r="I38" s="35" t="inlineStr">
        <is>
          <t>王丽</t>
        </is>
      </c>
      <c r="J38" s="35" t="inlineStr">
        <is>
          <t>是</t>
        </is>
      </c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冯浩然</t>
        </is>
      </c>
      <c r="B39" s="14" t="inlineStr">
        <is>
          <t>初二</t>
        </is>
      </c>
      <c r="C39" s="35" t="inlineStr">
        <is>
          <t>王璇</t>
        </is>
      </c>
      <c r="D39" s="35" t="inlineStr">
        <is>
          <t>同创汇</t>
        </is>
      </c>
      <c r="E39" s="35" t="inlineStr">
        <is>
          <t>雪球思维</t>
        </is>
      </c>
      <c r="F39" s="35" t="inlineStr">
        <is>
          <t>潜能班</t>
        </is>
      </c>
      <c r="G39" s="35" t="inlineStr">
        <is>
          <t>二期</t>
        </is>
      </c>
      <c r="H39" s="35" t="inlineStr">
        <is>
          <t>13:20-15:30</t>
        </is>
      </c>
      <c r="I39" s="35" t="inlineStr">
        <is>
          <t>戎凯01</t>
        </is>
      </c>
      <c r="J39" s="35" t="inlineStr">
        <is>
          <t>是</t>
        </is>
      </c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刘倬伊</t>
        </is>
      </c>
      <c r="B40" s="14" t="inlineStr">
        <is>
          <t>初二</t>
        </is>
      </c>
      <c r="C40" s="35" t="inlineStr">
        <is>
          <t>王璇</t>
        </is>
      </c>
      <c r="D40" s="35" t="inlineStr">
        <is>
          <t>同创汇</t>
        </is>
      </c>
      <c r="E40" s="35" t="inlineStr">
        <is>
          <t>雪球思维</t>
        </is>
      </c>
      <c r="F40" s="35" t="inlineStr">
        <is>
          <t>潜能班</t>
        </is>
      </c>
      <c r="G40" s="35" t="inlineStr">
        <is>
          <t>二期</t>
        </is>
      </c>
      <c r="H40" s="35" t="inlineStr">
        <is>
          <t>13:20-15:30</t>
        </is>
      </c>
      <c r="I40" s="35" t="inlineStr">
        <is>
          <t>戎凯01</t>
        </is>
      </c>
      <c r="J40" s="35" t="inlineStr">
        <is>
          <t>是</t>
        </is>
      </c>
      <c r="K40" s="35" t="inlineStr">
        <is>
          <t>否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周加尉</t>
        </is>
      </c>
      <c r="B41" s="14" t="inlineStr">
        <is>
          <t>初二</t>
        </is>
      </c>
      <c r="C41" s="35" t="inlineStr">
        <is>
          <t>王璇</t>
        </is>
      </c>
      <c r="D41" s="35" t="inlineStr">
        <is>
          <t>同创汇</t>
        </is>
      </c>
      <c r="E41" s="35" t="inlineStr">
        <is>
          <t>雪球思维</t>
        </is>
      </c>
      <c r="F41" s="35" t="inlineStr">
        <is>
          <t>潜能班</t>
        </is>
      </c>
      <c r="G41" s="35" t="inlineStr">
        <is>
          <t>二期</t>
        </is>
      </c>
      <c r="H41" s="35" t="inlineStr">
        <is>
          <t>13:20-15:30</t>
        </is>
      </c>
      <c r="I41" s="35" t="inlineStr">
        <is>
          <t>尚歆01</t>
        </is>
      </c>
      <c r="J41" s="35" t="inlineStr">
        <is>
          <t>是</t>
        </is>
      </c>
      <c r="K41" s="35" t="inlineStr">
        <is>
          <t>否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周宝麒</t>
        </is>
      </c>
      <c r="B42" s="14" t="inlineStr">
        <is>
          <t>初二</t>
        </is>
      </c>
      <c r="C42" s="35" t="inlineStr">
        <is>
          <t>王璇</t>
        </is>
      </c>
      <c r="D42" s="35" t="inlineStr">
        <is>
          <t>同创汇</t>
        </is>
      </c>
      <c r="E42" s="35" t="inlineStr">
        <is>
          <t>雪球思维</t>
        </is>
      </c>
      <c r="F42" s="35" t="inlineStr">
        <is>
          <t>潜能班</t>
        </is>
      </c>
      <c r="G42" s="35" t="inlineStr">
        <is>
          <t>二期</t>
        </is>
      </c>
      <c r="H42" s="35" t="inlineStr">
        <is>
          <t>13:20-15:30</t>
        </is>
      </c>
      <c r="I42" s="35" t="inlineStr">
        <is>
          <t>罗玉玲</t>
        </is>
      </c>
      <c r="J42" s="35" t="inlineStr">
        <is>
          <t>是</t>
        </is>
      </c>
      <c r="K42" s="35" t="inlineStr">
        <is>
          <t>否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徐子航</t>
        </is>
      </c>
      <c r="B43" s="14" t="inlineStr">
        <is>
          <t>初二</t>
        </is>
      </c>
      <c r="C43" s="35" t="inlineStr">
        <is>
          <t>王璇</t>
        </is>
      </c>
      <c r="D43" s="35" t="inlineStr">
        <is>
          <t>同创汇</t>
        </is>
      </c>
      <c r="E43" s="35" t="inlineStr">
        <is>
          <t>雪球思维</t>
        </is>
      </c>
      <c r="F43" s="35" t="inlineStr">
        <is>
          <t>潜能班</t>
        </is>
      </c>
      <c r="G43" s="35" t="inlineStr">
        <is>
          <t>二期</t>
        </is>
      </c>
      <c r="H43" s="35" t="inlineStr">
        <is>
          <t>13:20-15:30</t>
        </is>
      </c>
      <c r="I43" s="35" t="inlineStr">
        <is>
          <t>戎凯01</t>
        </is>
      </c>
      <c r="J43" s="35" t="inlineStr">
        <is>
          <t>是</t>
        </is>
      </c>
      <c r="K43" s="35" t="inlineStr">
        <is>
          <t>否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  <row r="44" ht="16.5" customHeight="1" s="81">
      <c r="A44" s="26" t="inlineStr">
        <is>
          <t>文昊</t>
        </is>
      </c>
      <c r="B44" s="14" t="inlineStr">
        <is>
          <t>初二</t>
        </is>
      </c>
      <c r="C44" s="35" t="inlineStr">
        <is>
          <t>王璇</t>
        </is>
      </c>
      <c r="D44" s="35" t="inlineStr">
        <is>
          <t>同创汇</t>
        </is>
      </c>
      <c r="E44" s="35" t="inlineStr">
        <is>
          <t>雪球思维</t>
        </is>
      </c>
      <c r="F44" s="35" t="inlineStr">
        <is>
          <t>潜能班</t>
        </is>
      </c>
      <c r="G44" s="35" t="inlineStr">
        <is>
          <t>二期</t>
        </is>
      </c>
      <c r="H44" s="35" t="inlineStr">
        <is>
          <t>13:20-15:30</t>
        </is>
      </c>
      <c r="I44" s="35" t="inlineStr">
        <is>
          <t>苏丽婷</t>
        </is>
      </c>
      <c r="J44" s="35" t="inlineStr">
        <is>
          <t>是</t>
        </is>
      </c>
      <c r="K44" s="35" t="inlineStr">
        <is>
          <t>是</t>
        </is>
      </c>
      <c r="L44" s="15" t="n"/>
      <c r="M44" s="15" t="n"/>
      <c r="N44" s="15" t="n"/>
      <c r="O44" s="15" t="n"/>
      <c r="P44" s="36" t="n"/>
      <c r="Q44" s="36" t="n"/>
      <c r="R44" s="11" t="n"/>
      <c r="S44" s="45" t="n"/>
      <c r="T44" s="45" t="n"/>
      <c r="U44" s="39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</row>
    <row r="45" ht="16.5" customHeight="1" s="81">
      <c r="A45" s="26" t="inlineStr">
        <is>
          <t>田芯</t>
        </is>
      </c>
      <c r="B45" s="14" t="inlineStr">
        <is>
          <t>初二</t>
        </is>
      </c>
      <c r="C45" s="35" t="inlineStr">
        <is>
          <t>王璇</t>
        </is>
      </c>
      <c r="D45" s="35" t="inlineStr">
        <is>
          <t>同创汇</t>
        </is>
      </c>
      <c r="E45" s="35" t="inlineStr">
        <is>
          <t>雪球思维</t>
        </is>
      </c>
      <c r="F45" s="35" t="inlineStr">
        <is>
          <t>潜能班</t>
        </is>
      </c>
      <c r="G45" s="35" t="inlineStr">
        <is>
          <t>二期</t>
        </is>
      </c>
      <c r="H45" s="35" t="inlineStr">
        <is>
          <t>13:20-15:30</t>
        </is>
      </c>
      <c r="I45" s="35" t="inlineStr">
        <is>
          <t>林志豪01</t>
        </is>
      </c>
      <c r="J45" s="35" t="inlineStr">
        <is>
          <t>是</t>
        </is>
      </c>
      <c r="K45" s="35" t="inlineStr">
        <is>
          <t>是</t>
        </is>
      </c>
      <c r="L45" s="15" t="n"/>
      <c r="M45" s="15" t="n"/>
      <c r="N45" s="15" t="n"/>
      <c r="O45" s="15" t="n"/>
      <c r="P45" s="36" t="n"/>
      <c r="Q45" s="36" t="n"/>
      <c r="R45" s="11" t="n"/>
      <c r="S45" s="45" t="n"/>
      <c r="T45" s="45" t="n"/>
      <c r="U45" s="39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</row>
    <row r="46" ht="16.5" customHeight="1" s="81">
      <c r="A46" s="26" t="inlineStr">
        <is>
          <t>夏培瑄</t>
        </is>
      </c>
      <c r="B46" s="14" t="inlineStr">
        <is>
          <t>初二</t>
        </is>
      </c>
      <c r="C46" s="35" t="inlineStr">
        <is>
          <t>王璇</t>
        </is>
      </c>
      <c r="D46" s="35" t="inlineStr">
        <is>
          <t>同创汇</t>
        </is>
      </c>
      <c r="E46" s="35" t="inlineStr">
        <is>
          <t>雪球思维</t>
        </is>
      </c>
      <c r="F46" s="35" t="inlineStr">
        <is>
          <t>超能班</t>
        </is>
      </c>
      <c r="G46" s="35" t="inlineStr">
        <is>
          <t>二期</t>
        </is>
      </c>
      <c r="H46" s="35" t="inlineStr">
        <is>
          <t>15:50-18:00</t>
        </is>
      </c>
      <c r="I46" s="35" t="inlineStr">
        <is>
          <t>王丽</t>
        </is>
      </c>
      <c r="J46" s="35" t="inlineStr">
        <is>
          <t>是</t>
        </is>
      </c>
      <c r="K46" s="35" t="inlineStr">
        <is>
          <t>否</t>
        </is>
      </c>
      <c r="L46" s="15" t="n"/>
      <c r="M46" s="15" t="n"/>
      <c r="N46" s="15" t="n"/>
      <c r="O46" s="15" t="n"/>
      <c r="P46" s="36" t="n"/>
      <c r="Q46" s="36" t="n"/>
      <c r="R46" s="11" t="n"/>
      <c r="S46" s="45" t="n"/>
      <c r="T46" s="45" t="n"/>
      <c r="U46" s="39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</row>
    <row r="47" ht="16.5" customHeight="1" s="81">
      <c r="A47" s="26" t="inlineStr">
        <is>
          <t>王筝筝</t>
        </is>
      </c>
      <c r="B47" s="14" t="inlineStr">
        <is>
          <t>初二</t>
        </is>
      </c>
      <c r="C47" s="35" t="inlineStr">
        <is>
          <t>王璇</t>
        </is>
      </c>
      <c r="D47" s="35" t="inlineStr">
        <is>
          <t>同创汇</t>
        </is>
      </c>
      <c r="E47" s="35" t="inlineStr">
        <is>
          <t>雪球思维</t>
        </is>
      </c>
      <c r="F47" s="35" t="inlineStr">
        <is>
          <t>超能班</t>
        </is>
      </c>
      <c r="G47" s="35" t="inlineStr">
        <is>
          <t>二期</t>
        </is>
      </c>
      <c r="H47" s="35" t="inlineStr">
        <is>
          <t>15:50-18:00</t>
        </is>
      </c>
      <c r="I47" s="35" t="inlineStr">
        <is>
          <t>戎凯01</t>
        </is>
      </c>
      <c r="J47" s="35" t="inlineStr">
        <is>
          <t>是</t>
        </is>
      </c>
      <c r="K47" s="35" t="inlineStr">
        <is>
          <t>否</t>
        </is>
      </c>
      <c r="L47" s="15" t="n"/>
      <c r="M47" s="15" t="n"/>
      <c r="N47" s="15" t="n"/>
      <c r="O47" s="15" t="n"/>
      <c r="P47" s="36" t="n"/>
      <c r="Q47" s="36" t="n"/>
      <c r="R47" s="11" t="n"/>
      <c r="S47" s="45" t="n"/>
      <c r="T47" s="45" t="n"/>
      <c r="U47" s="39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</row>
    <row r="48" ht="16.5" customHeight="1" s="81">
      <c r="A48" s="26" t="inlineStr">
        <is>
          <t>赵翊辰</t>
        </is>
      </c>
      <c r="B48" s="14" t="inlineStr">
        <is>
          <t>初二</t>
        </is>
      </c>
      <c r="C48" s="35" t="inlineStr">
        <is>
          <t>王璇</t>
        </is>
      </c>
      <c r="D48" s="35" t="inlineStr">
        <is>
          <t>同创汇</t>
        </is>
      </c>
      <c r="E48" s="35" t="inlineStr">
        <is>
          <t>雪球思维</t>
        </is>
      </c>
      <c r="F48" s="35" t="inlineStr">
        <is>
          <t>超能班</t>
        </is>
      </c>
      <c r="G48" s="35" t="inlineStr">
        <is>
          <t>二期</t>
        </is>
      </c>
      <c r="H48" s="35" t="inlineStr">
        <is>
          <t>15:50-18:00</t>
        </is>
      </c>
      <c r="I48" s="35" t="inlineStr">
        <is>
          <t>苏丽婷</t>
        </is>
      </c>
      <c r="J48" s="35" t="inlineStr">
        <is>
          <t>否</t>
        </is>
      </c>
      <c r="K48" s="35" t="inlineStr">
        <is>
          <t>否</t>
        </is>
      </c>
      <c r="L48" s="15" t="n"/>
      <c r="M48" s="15" t="n"/>
      <c r="N48" s="15" t="n"/>
      <c r="O48" s="15" t="n"/>
      <c r="P48" s="36" t="n"/>
      <c r="Q48" s="36" t="n"/>
      <c r="R48" s="11" t="n"/>
      <c r="S48" s="45" t="n"/>
      <c r="T48" s="45" t="n"/>
      <c r="U48" s="39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</row>
    <row r="49" ht="16.5" customHeight="1" s="81">
      <c r="A49" s="26" t="inlineStr">
        <is>
          <t>钟瑾璇</t>
        </is>
      </c>
      <c r="B49" s="14" t="inlineStr">
        <is>
          <t>初二</t>
        </is>
      </c>
      <c r="C49" s="35" t="inlineStr">
        <is>
          <t>王璇</t>
        </is>
      </c>
      <c r="D49" s="35" t="inlineStr">
        <is>
          <t>同创汇</t>
        </is>
      </c>
      <c r="E49" s="35" t="inlineStr">
        <is>
          <t>雪球思维</t>
        </is>
      </c>
      <c r="F49" s="35" t="inlineStr">
        <is>
          <t>超能班</t>
        </is>
      </c>
      <c r="G49" s="35" t="inlineStr">
        <is>
          <t>二期</t>
        </is>
      </c>
      <c r="H49" s="35" t="inlineStr">
        <is>
          <t>15:50-18:00</t>
        </is>
      </c>
      <c r="I49" s="35" t="inlineStr">
        <is>
          <t>苏丽婷</t>
        </is>
      </c>
      <c r="J49" s="35" t="inlineStr">
        <is>
          <t>是</t>
        </is>
      </c>
      <c r="K49" s="35" t="inlineStr">
        <is>
          <t>否</t>
        </is>
      </c>
      <c r="L49" s="15" t="n"/>
      <c r="M49" s="15" t="n"/>
      <c r="N49" s="15" t="n"/>
      <c r="O49" s="15" t="n"/>
      <c r="P49" s="36" t="n"/>
      <c r="Q49" s="36" t="n"/>
      <c r="R49" s="11" t="n"/>
      <c r="S49" s="45" t="n"/>
      <c r="T49" s="45" t="n"/>
      <c r="U49" s="39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3:AE39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周鹏杰</t>
        </is>
      </c>
      <c r="B3" s="14" t="inlineStr">
        <is>
          <t>初三</t>
        </is>
      </c>
      <c r="C3" s="35" t="inlineStr">
        <is>
          <t>徐康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10:20-12:30</t>
        </is>
      </c>
      <c r="I3" s="35" t="inlineStr">
        <is>
          <t>王达04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宝力格</t>
        </is>
      </c>
      <c r="B4" s="14" t="inlineStr">
        <is>
          <t>初三</t>
        </is>
      </c>
      <c r="C4" s="35" t="inlineStr">
        <is>
          <t>徐康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10:20-12:30</t>
        </is>
      </c>
      <c r="I4" s="35" t="inlineStr">
        <is>
          <t>沈思浩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徐昊泽</t>
        </is>
      </c>
      <c r="B5" s="14" t="inlineStr">
        <is>
          <t>初三</t>
        </is>
      </c>
      <c r="C5" s="35" t="inlineStr">
        <is>
          <t>徐康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10:20-12:30</t>
        </is>
      </c>
      <c r="I5" s="35" t="inlineStr">
        <is>
          <t>龙倩敏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朱伊可</t>
        </is>
      </c>
      <c r="B6" s="14" t="inlineStr">
        <is>
          <t>初三</t>
        </is>
      </c>
      <c r="C6" s="35" t="inlineStr">
        <is>
          <t>徐康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10:20-12:30</t>
        </is>
      </c>
      <c r="I6" s="35" t="inlineStr">
        <is>
          <t>王达04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柳妍雅</t>
        </is>
      </c>
      <c r="B7" s="14" t="inlineStr">
        <is>
          <t>初三</t>
        </is>
      </c>
      <c r="C7" s="35" t="inlineStr">
        <is>
          <t>徐康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10:20-12:30</t>
        </is>
      </c>
      <c r="I7" s="35" t="inlineStr">
        <is>
          <t>龙倩敏</t>
        </is>
      </c>
      <c r="J7" s="35" t="inlineStr">
        <is>
          <t>否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王颖童</t>
        </is>
      </c>
      <c r="B8" s="14" t="inlineStr">
        <is>
          <t>初三</t>
        </is>
      </c>
      <c r="C8" s="35" t="inlineStr">
        <is>
          <t>徐康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10:20-12:30</t>
        </is>
      </c>
      <c r="I8" s="35" t="inlineStr">
        <is>
          <t>沈思浩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苏梓萱</t>
        </is>
      </c>
      <c r="B9" s="14" t="inlineStr">
        <is>
          <t>初三</t>
        </is>
      </c>
      <c r="C9" s="35" t="inlineStr">
        <is>
          <t>徐康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10:20-12:30</t>
        </is>
      </c>
      <c r="I9" s="35" t="inlineStr">
        <is>
          <t>王达04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蔡宇鑫</t>
        </is>
      </c>
      <c r="B10" s="14" t="inlineStr">
        <is>
          <t>初三</t>
        </is>
      </c>
      <c r="C10" s="35" t="inlineStr">
        <is>
          <t>徐康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10:20-12:30</t>
        </is>
      </c>
      <c r="I10" s="35" t="inlineStr">
        <is>
          <t>沈思浩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蔡诚康</t>
        </is>
      </c>
      <c r="B11" s="14" t="inlineStr">
        <is>
          <t>初三</t>
        </is>
      </c>
      <c r="C11" s="35" t="inlineStr">
        <is>
          <t>徐康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10:20-12:30</t>
        </is>
      </c>
      <c r="I11" s="35" t="inlineStr">
        <is>
          <t>罗玉玲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陈泽昊</t>
        </is>
      </c>
      <c r="B12" s="14" t="inlineStr">
        <is>
          <t>初三</t>
        </is>
      </c>
      <c r="C12" s="35" t="inlineStr">
        <is>
          <t>徐康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10:20-12:30</t>
        </is>
      </c>
      <c r="I12" s="35" t="inlineStr">
        <is>
          <t>王达04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马梓涵</t>
        </is>
      </c>
      <c r="B13" s="14" t="inlineStr">
        <is>
          <t>初三</t>
        </is>
      </c>
      <c r="C13" s="35" t="inlineStr">
        <is>
          <t>徐康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10:20-12:30</t>
        </is>
      </c>
      <c r="I13" s="35" t="inlineStr">
        <is>
          <t>王达04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俞炘</t>
        </is>
      </c>
      <c r="B14" s="14" t="inlineStr">
        <is>
          <t>初三</t>
        </is>
      </c>
      <c r="C14" s="35" t="inlineStr">
        <is>
          <t>徐康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15:50-18:00</t>
        </is>
      </c>
      <c r="I14" s="35" t="inlineStr">
        <is>
          <t>林志豪01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张昊泽</t>
        </is>
      </c>
      <c r="B15" s="14" t="inlineStr">
        <is>
          <t>初三</t>
        </is>
      </c>
      <c r="C15" s="35" t="inlineStr">
        <is>
          <t>徐康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15:50-18:00</t>
        </is>
      </c>
      <c r="I15" s="35" t="inlineStr">
        <is>
          <t>林志豪01</t>
        </is>
      </c>
      <c r="J15" s="35" t="inlineStr">
        <is>
          <t>是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曾伟东</t>
        </is>
      </c>
      <c r="B16" s="14" t="inlineStr">
        <is>
          <t>初三</t>
        </is>
      </c>
      <c r="C16" s="35" t="inlineStr">
        <is>
          <t>徐康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15:50-18:00</t>
        </is>
      </c>
      <c r="I16" s="35" t="inlineStr">
        <is>
          <t>王丽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李仪臻</t>
        </is>
      </c>
      <c r="B17" s="14" t="inlineStr">
        <is>
          <t>初三</t>
        </is>
      </c>
      <c r="C17" s="35" t="inlineStr">
        <is>
          <t>徐康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15:50-18:00</t>
        </is>
      </c>
      <c r="I17" s="35" t="inlineStr">
        <is>
          <t>沈思浩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李俊杰</t>
        </is>
      </c>
      <c r="B18" s="14" t="inlineStr">
        <is>
          <t>初三</t>
        </is>
      </c>
      <c r="C18" s="35" t="inlineStr">
        <is>
          <t>徐康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15:50-18:00</t>
        </is>
      </c>
      <c r="I18" s="35" t="inlineStr">
        <is>
          <t>林志豪01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李晓潼</t>
        </is>
      </c>
      <c r="B19" s="14" t="inlineStr">
        <is>
          <t>初三</t>
        </is>
      </c>
      <c r="C19" s="35" t="inlineStr">
        <is>
          <t>徐康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15:50-18:00</t>
        </is>
      </c>
      <c r="I19" s="35" t="inlineStr">
        <is>
          <t>王达04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林文杰</t>
        </is>
      </c>
      <c r="B20" s="14" t="inlineStr">
        <is>
          <t>初三</t>
        </is>
      </c>
      <c r="C20" s="35" t="inlineStr">
        <is>
          <t>徐康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15:50-18:00</t>
        </is>
      </c>
      <c r="I20" s="35" t="inlineStr">
        <is>
          <t>尚歆01</t>
        </is>
      </c>
      <c r="J20" s="35" t="inlineStr">
        <is>
          <t>是</t>
        </is>
      </c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邱辰熙</t>
        </is>
      </c>
      <c r="B21" s="14" t="inlineStr">
        <is>
          <t>初三</t>
        </is>
      </c>
      <c r="C21" s="35" t="inlineStr">
        <is>
          <t>徐康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15:50-18:00</t>
        </is>
      </c>
      <c r="I21" s="35" t="inlineStr">
        <is>
          <t>林志豪01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阿朗</t>
        </is>
      </c>
      <c r="B22" s="14" t="inlineStr">
        <is>
          <t>初三</t>
        </is>
      </c>
      <c r="C22" s="35" t="inlineStr">
        <is>
          <t>徐康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15:50-18:00</t>
        </is>
      </c>
      <c r="I22" s="35" t="inlineStr">
        <is>
          <t>林志豪01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王欣怡</t>
        </is>
      </c>
      <c r="B23" s="14" t="inlineStr">
        <is>
          <t>初三</t>
        </is>
      </c>
      <c r="C23" s="35" t="inlineStr">
        <is>
          <t>徐康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启能班</t>
        </is>
      </c>
      <c r="G23" s="35" t="inlineStr">
        <is>
          <t>一期</t>
        </is>
      </c>
      <c r="H23" s="35" t="inlineStr">
        <is>
          <t>18:20-20:30</t>
        </is>
      </c>
      <c r="I23" s="35" t="inlineStr">
        <is>
          <t>王达04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莫海琪</t>
        </is>
      </c>
      <c r="B24" s="14" t="inlineStr">
        <is>
          <t>初三</t>
        </is>
      </c>
      <c r="C24" s="35" t="inlineStr">
        <is>
          <t>徐康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启能班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林志豪01</t>
        </is>
      </c>
      <c r="J24" s="35" t="inlineStr">
        <is>
          <t>是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连智博</t>
        </is>
      </c>
      <c r="B25" s="14" t="inlineStr">
        <is>
          <t>初三</t>
        </is>
      </c>
      <c r="C25" s="35" t="inlineStr">
        <is>
          <t>徐康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启能班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王达04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陈博</t>
        </is>
      </c>
      <c r="B26" s="14" t="inlineStr">
        <is>
          <t>初三</t>
        </is>
      </c>
      <c r="C26" s="35" t="inlineStr">
        <is>
          <t>徐康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启能班</t>
        </is>
      </c>
      <c r="G26" s="35" t="inlineStr">
        <is>
          <t>一期</t>
        </is>
      </c>
      <c r="H26" s="35" t="inlineStr">
        <is>
          <t>18:20-20:30</t>
        </is>
      </c>
      <c r="I26" s="35" t="inlineStr">
        <is>
          <t>林志豪01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陈咏净</t>
        </is>
      </c>
      <c r="B27" s="14" t="inlineStr">
        <is>
          <t>初三</t>
        </is>
      </c>
      <c r="C27" s="35" t="inlineStr">
        <is>
          <t>徐康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启能班</t>
        </is>
      </c>
      <c r="G27" s="35" t="inlineStr">
        <is>
          <t>一期</t>
        </is>
      </c>
      <c r="H27" s="35" t="inlineStr">
        <is>
          <t>18:20-20:30</t>
        </is>
      </c>
      <c r="I27" s="35" t="inlineStr">
        <is>
          <t>张敏烨</t>
        </is>
      </c>
      <c r="J27" s="35" t="inlineStr">
        <is>
          <t>是</t>
        </is>
      </c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黎恩岐</t>
        </is>
      </c>
      <c r="B28" s="14" t="inlineStr">
        <is>
          <t>初三</t>
        </is>
      </c>
      <c r="C28" s="35" t="inlineStr">
        <is>
          <t>徐康</t>
        </is>
      </c>
      <c r="D28" s="35" t="inlineStr">
        <is>
          <t>新宝利大厦</t>
        </is>
      </c>
      <c r="E28" s="35" t="inlineStr">
        <is>
          <t>雪球思维</t>
        </is>
      </c>
      <c r="F28" s="35" t="inlineStr">
        <is>
          <t>启能班</t>
        </is>
      </c>
      <c r="G28" s="35" t="inlineStr">
        <is>
          <t>一期</t>
        </is>
      </c>
      <c r="H28" s="35" t="inlineStr">
        <is>
          <t>18:20-20:30</t>
        </is>
      </c>
      <c r="I28" s="35" t="inlineStr">
        <is>
          <t>林志豪01</t>
        </is>
      </c>
      <c r="J28" s="35" t="inlineStr">
        <is>
          <t>是</t>
        </is>
      </c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伍毅辰</t>
        </is>
      </c>
      <c r="B29" s="14" t="inlineStr">
        <is>
          <t>初三</t>
        </is>
      </c>
      <c r="C29" s="35" t="inlineStr">
        <is>
          <t>徐康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启能班</t>
        </is>
      </c>
      <c r="G29" s="35" t="inlineStr">
        <is>
          <t>二期</t>
        </is>
      </c>
      <c r="H29" s="35" t="inlineStr">
        <is>
          <t>10:20-12:30</t>
        </is>
      </c>
      <c r="I29" s="35" t="inlineStr">
        <is>
          <t>戎凯01</t>
        </is>
      </c>
      <c r="J29" s="35" t="inlineStr">
        <is>
          <t>是</t>
        </is>
      </c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师韵涵</t>
        </is>
      </c>
      <c r="B30" s="14" t="inlineStr">
        <is>
          <t>初三</t>
        </is>
      </c>
      <c r="C30" s="35" t="inlineStr">
        <is>
          <t>徐康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启能班</t>
        </is>
      </c>
      <c r="G30" s="35" t="inlineStr">
        <is>
          <t>二期</t>
        </is>
      </c>
      <c r="H30" s="35" t="inlineStr">
        <is>
          <t>10:20-12:30</t>
        </is>
      </c>
      <c r="I30" s="35" t="inlineStr">
        <is>
          <t>戎凯01</t>
        </is>
      </c>
      <c r="J30" s="35" t="inlineStr">
        <is>
          <t>是</t>
        </is>
      </c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彭子馨</t>
        </is>
      </c>
      <c r="B31" s="14" t="inlineStr">
        <is>
          <t>初三</t>
        </is>
      </c>
      <c r="C31" s="35" t="inlineStr">
        <is>
          <t>徐康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10:20-12:30</t>
        </is>
      </c>
      <c r="I31" s="35" t="inlineStr">
        <is>
          <t>王丽</t>
        </is>
      </c>
      <c r="J31" s="35" t="inlineStr">
        <is>
          <t>是</t>
        </is>
      </c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杨正泰</t>
        </is>
      </c>
      <c r="B32" s="14" t="inlineStr">
        <is>
          <t>初三</t>
        </is>
      </c>
      <c r="C32" s="35" t="inlineStr">
        <is>
          <t>徐康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10:20-12:30</t>
        </is>
      </c>
      <c r="I32" s="35" t="inlineStr">
        <is>
          <t>苏丽婷</t>
        </is>
      </c>
      <c r="J32" s="35" t="inlineStr">
        <is>
          <t>是</t>
        </is>
      </c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陈嘉琪</t>
        </is>
      </c>
      <c r="B33" s="14" t="inlineStr">
        <is>
          <t>初三</t>
        </is>
      </c>
      <c r="C33" s="35" t="inlineStr">
        <is>
          <t>徐康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10:20-12:30</t>
        </is>
      </c>
      <c r="I33" s="35" t="inlineStr">
        <is>
          <t>苏丽婷</t>
        </is>
      </c>
      <c r="J33" s="35" t="inlineStr">
        <is>
          <t>是</t>
        </is>
      </c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马珈琳</t>
        </is>
      </c>
      <c r="B34" s="14" t="inlineStr">
        <is>
          <t>初三</t>
        </is>
      </c>
      <c r="C34" s="35" t="inlineStr">
        <is>
          <t>徐康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10:20-12:30</t>
        </is>
      </c>
      <c r="I34" s="35" t="inlineStr">
        <is>
          <t>王丽</t>
        </is>
      </c>
      <c r="J34" s="35" t="inlineStr">
        <is>
          <t>是</t>
        </is>
      </c>
      <c r="K34" s="35" t="inlineStr">
        <is>
          <t>是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麻坤茹</t>
        </is>
      </c>
      <c r="B35" s="14" t="inlineStr">
        <is>
          <t>初三</t>
        </is>
      </c>
      <c r="C35" s="35" t="inlineStr">
        <is>
          <t>徐康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10:20-12:30</t>
        </is>
      </c>
      <c r="I35" s="35" t="inlineStr">
        <is>
          <t>王丽</t>
        </is>
      </c>
      <c r="J35" s="35" t="inlineStr">
        <is>
          <t>是</t>
        </is>
      </c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仇熙</t>
        </is>
      </c>
      <c r="B36" s="14" t="inlineStr">
        <is>
          <t>初三</t>
        </is>
      </c>
      <c r="C36" s="35" t="inlineStr">
        <is>
          <t>徐康</t>
        </is>
      </c>
      <c r="D36" s="35" t="inlineStr">
        <is>
          <t>天成大厦</t>
        </is>
      </c>
      <c r="E36" s="35" t="inlineStr">
        <is>
          <t>雪球思维</t>
        </is>
      </c>
      <c r="F36" s="35" t="inlineStr">
        <is>
          <t>潜能班</t>
        </is>
      </c>
      <c r="G36" s="35" t="inlineStr">
        <is>
          <t>二期</t>
        </is>
      </c>
      <c r="H36" s="35" t="inlineStr">
        <is>
          <t>15:50-18:00</t>
        </is>
      </c>
      <c r="I36" s="35" t="inlineStr">
        <is>
          <t>龙倩敏</t>
        </is>
      </c>
      <c r="J36" s="35" t="inlineStr">
        <is>
          <t>是</t>
        </is>
      </c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倪铭雄</t>
        </is>
      </c>
      <c r="B37" s="14" t="inlineStr">
        <is>
          <t>初三</t>
        </is>
      </c>
      <c r="C37" s="35" t="inlineStr">
        <is>
          <t>徐康</t>
        </is>
      </c>
      <c r="D37" s="35" t="inlineStr">
        <is>
          <t>天成大厦</t>
        </is>
      </c>
      <c r="E37" s="35" t="inlineStr">
        <is>
          <t>雪球思维</t>
        </is>
      </c>
      <c r="F37" s="35" t="inlineStr">
        <is>
          <t>潜能班</t>
        </is>
      </c>
      <c r="G37" s="35" t="inlineStr">
        <is>
          <t>二期</t>
        </is>
      </c>
      <c r="H37" s="35" t="inlineStr">
        <is>
          <t>15:50-18:00</t>
        </is>
      </c>
      <c r="I37" s="35" t="inlineStr">
        <is>
          <t>王达04</t>
        </is>
      </c>
      <c r="J37" s="35" t="inlineStr">
        <is>
          <t>是</t>
        </is>
      </c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冼梓童</t>
        </is>
      </c>
      <c r="B38" s="14" t="inlineStr">
        <is>
          <t>初三</t>
        </is>
      </c>
      <c r="C38" s="35" t="inlineStr">
        <is>
          <t>徐康</t>
        </is>
      </c>
      <c r="D38" s="35" t="inlineStr">
        <is>
          <t>天成大厦</t>
        </is>
      </c>
      <c r="E38" s="35" t="inlineStr">
        <is>
          <t>雪球思维</t>
        </is>
      </c>
      <c r="F38" s="35" t="inlineStr">
        <is>
          <t>潜能班</t>
        </is>
      </c>
      <c r="G38" s="35" t="inlineStr">
        <is>
          <t>二期</t>
        </is>
      </c>
      <c r="H38" s="35" t="inlineStr">
        <is>
          <t>15:50-18:00</t>
        </is>
      </c>
      <c r="I38" s="35" t="inlineStr">
        <is>
          <t>王达04</t>
        </is>
      </c>
      <c r="J38" s="35" t="inlineStr">
        <is>
          <t>是</t>
        </is>
      </c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艾梓灵</t>
        </is>
      </c>
      <c r="B39" s="14" t="inlineStr">
        <is>
          <t>初三</t>
        </is>
      </c>
      <c r="C39" s="35" t="inlineStr">
        <is>
          <t>徐康</t>
        </is>
      </c>
      <c r="D39" s="35" t="inlineStr">
        <is>
          <t>天成大厦</t>
        </is>
      </c>
      <c r="E39" s="35" t="inlineStr">
        <is>
          <t>雪球思维</t>
        </is>
      </c>
      <c r="F39" s="35" t="inlineStr">
        <is>
          <t>潜能班</t>
        </is>
      </c>
      <c r="G39" s="35" t="inlineStr">
        <is>
          <t>二期</t>
        </is>
      </c>
      <c r="H39" s="35" t="inlineStr">
        <is>
          <t>15:50-18:00</t>
        </is>
      </c>
      <c r="I39" s="35" t="inlineStr">
        <is>
          <t>沈思浩</t>
        </is>
      </c>
      <c r="J39" s="35" t="inlineStr">
        <is>
          <t>是</t>
        </is>
      </c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3:AE26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上然</t>
        </is>
      </c>
      <c r="B3" s="14" t="inlineStr">
        <is>
          <t>六年级</t>
        </is>
      </c>
      <c r="C3" s="35" t="inlineStr">
        <is>
          <t>黄铭怡</t>
        </is>
      </c>
      <c r="D3" s="35" t="inlineStr">
        <is>
          <t>新宝利大厦</t>
        </is>
      </c>
      <c r="E3" s="35" t="inlineStr">
        <is>
          <t>悦读创作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15:50-18:00</t>
        </is>
      </c>
      <c r="I3" s="35" t="inlineStr">
        <is>
          <t>熊天宝01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何耀坤</t>
        </is>
      </c>
      <c r="B4" s="14" t="inlineStr">
        <is>
          <t>六年级</t>
        </is>
      </c>
      <c r="C4" s="35" t="inlineStr">
        <is>
          <t>黄铭怡</t>
        </is>
      </c>
      <c r="D4" s="35" t="inlineStr">
        <is>
          <t>新宝利大厦</t>
        </is>
      </c>
      <c r="E4" s="35" t="inlineStr">
        <is>
          <t>悦读创作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15:50-18:00</t>
        </is>
      </c>
      <c r="I4" s="35" t="inlineStr">
        <is>
          <t>林志豪01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刘一之</t>
        </is>
      </c>
      <c r="B5" s="14" t="inlineStr">
        <is>
          <t>六年级</t>
        </is>
      </c>
      <c r="C5" s="35" t="inlineStr">
        <is>
          <t>黄铭怡</t>
        </is>
      </c>
      <c r="D5" s="35" t="inlineStr">
        <is>
          <t>新宝利大厦</t>
        </is>
      </c>
      <c r="E5" s="35" t="inlineStr">
        <is>
          <t>悦读创作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15:50-18:00</t>
        </is>
      </c>
      <c r="I5" s="35" t="inlineStr">
        <is>
          <t>林志豪01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卢芊雨</t>
        </is>
      </c>
      <c r="B6" s="14" t="inlineStr">
        <is>
          <t>六年级</t>
        </is>
      </c>
      <c r="C6" s="35" t="inlineStr">
        <is>
          <t>黄铭怡</t>
        </is>
      </c>
      <c r="D6" s="35" t="inlineStr">
        <is>
          <t>新宝利大厦</t>
        </is>
      </c>
      <c r="E6" s="35" t="inlineStr">
        <is>
          <t>悦读创作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15:50-18:00</t>
        </is>
      </c>
      <c r="I6" s="35" t="inlineStr">
        <is>
          <t>罗玉玲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夏振宝</t>
        </is>
      </c>
      <c r="B7" s="14" t="inlineStr">
        <is>
          <t>六年级</t>
        </is>
      </c>
      <c r="C7" s="35" t="inlineStr">
        <is>
          <t>黄铭怡</t>
        </is>
      </c>
      <c r="D7" s="35" t="inlineStr">
        <is>
          <t>新宝利大厦</t>
        </is>
      </c>
      <c r="E7" s="35" t="inlineStr">
        <is>
          <t>悦读创作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罗玉玲</t>
        </is>
      </c>
      <c r="J7" s="35" t="inlineStr">
        <is>
          <t>否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曾麒薇</t>
        </is>
      </c>
      <c r="B8" s="14" t="inlineStr">
        <is>
          <t>六年级</t>
        </is>
      </c>
      <c r="C8" s="35" t="inlineStr">
        <is>
          <t>黄铭怡</t>
        </is>
      </c>
      <c r="D8" s="35" t="inlineStr">
        <is>
          <t>新宝利大厦</t>
        </is>
      </c>
      <c r="E8" s="35" t="inlineStr">
        <is>
          <t>悦读创作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15:50-18:00</t>
        </is>
      </c>
      <c r="I8" s="35" t="inlineStr">
        <is>
          <t>林志豪01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李婉靖</t>
        </is>
      </c>
      <c r="B9" s="14" t="inlineStr">
        <is>
          <t>六年级</t>
        </is>
      </c>
      <c r="C9" s="35" t="inlineStr">
        <is>
          <t>黄铭怡</t>
        </is>
      </c>
      <c r="D9" s="35" t="inlineStr">
        <is>
          <t>新宝利大厦</t>
        </is>
      </c>
      <c r="E9" s="35" t="inlineStr">
        <is>
          <t>悦读创作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15:50-18:00</t>
        </is>
      </c>
      <c r="I9" s="35" t="inlineStr">
        <is>
          <t>林志豪01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蔡昊贤</t>
        </is>
      </c>
      <c r="B10" s="14" t="inlineStr">
        <is>
          <t>六年级</t>
        </is>
      </c>
      <c r="C10" s="35" t="inlineStr">
        <is>
          <t>黄铭怡</t>
        </is>
      </c>
      <c r="D10" s="35" t="inlineStr">
        <is>
          <t>新宝利大厦</t>
        </is>
      </c>
      <c r="E10" s="35" t="inlineStr">
        <is>
          <t>悦读创作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15:50-18:00</t>
        </is>
      </c>
      <c r="I10" s="35" t="inlineStr">
        <is>
          <t>张敏烨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陈泰延</t>
        </is>
      </c>
      <c r="B11" s="14" t="inlineStr">
        <is>
          <t>六年级</t>
        </is>
      </c>
      <c r="C11" s="35" t="inlineStr">
        <is>
          <t>黄铭怡</t>
        </is>
      </c>
      <c r="D11" s="35" t="inlineStr">
        <is>
          <t>新宝利大厦</t>
        </is>
      </c>
      <c r="E11" s="35" t="inlineStr">
        <is>
          <t>悦读创作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15:50-18:00</t>
        </is>
      </c>
      <c r="I11" s="35" t="inlineStr">
        <is>
          <t>杨利娟10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雅言</t>
        </is>
      </c>
      <c r="B12" s="14" t="inlineStr">
        <is>
          <t>六年级</t>
        </is>
      </c>
      <c r="C12" s="35" t="inlineStr">
        <is>
          <t>黄铭怡</t>
        </is>
      </c>
      <c r="D12" s="35" t="inlineStr">
        <is>
          <t>新宝利大厦</t>
        </is>
      </c>
      <c r="E12" s="35" t="inlineStr">
        <is>
          <t>悦读创作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15:50-18:00</t>
        </is>
      </c>
      <c r="I12" s="35" t="inlineStr">
        <is>
          <t>张敏烨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黄矜茹</t>
        </is>
      </c>
      <c r="B13" s="14" t="inlineStr">
        <is>
          <t>六年级</t>
        </is>
      </c>
      <c r="C13" s="35" t="inlineStr">
        <is>
          <t>黄铭怡</t>
        </is>
      </c>
      <c r="D13" s="35" t="inlineStr">
        <is>
          <t>新宝利大厦</t>
        </is>
      </c>
      <c r="E13" s="35" t="inlineStr">
        <is>
          <t>悦读创作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15:50-18:00</t>
        </is>
      </c>
      <c r="I13" s="35" t="inlineStr">
        <is>
          <t>张敏烨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康康</t>
        </is>
      </c>
      <c r="B14" s="14" t="inlineStr">
        <is>
          <t>六年级</t>
        </is>
      </c>
      <c r="C14" s="35" t="inlineStr">
        <is>
          <t>黄铭怡</t>
        </is>
      </c>
      <c r="D14" s="35" t="inlineStr">
        <is>
          <t>同创汇</t>
        </is>
      </c>
      <c r="E14" s="35" t="inlineStr">
        <is>
          <t>悦读创作</t>
        </is>
      </c>
      <c r="F14" s="35" t="inlineStr">
        <is>
          <t>潜能班</t>
        </is>
      </c>
      <c r="G14" s="35" t="inlineStr">
        <is>
          <t>三期</t>
        </is>
      </c>
      <c r="H14" s="35" t="inlineStr">
        <is>
          <t>13:20-15:30</t>
        </is>
      </c>
      <c r="I14" s="35" t="inlineStr">
        <is>
          <t>罗玉玲</t>
        </is>
      </c>
      <c r="J14" s="35" t="inlineStr">
        <is>
          <t>是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曾雯慧</t>
        </is>
      </c>
      <c r="B15" s="14" t="inlineStr">
        <is>
          <t>六年级</t>
        </is>
      </c>
      <c r="C15" s="35" t="inlineStr">
        <is>
          <t>黄铭怡</t>
        </is>
      </c>
      <c r="D15" s="35" t="inlineStr">
        <is>
          <t>同创汇</t>
        </is>
      </c>
      <c r="E15" s="35" t="inlineStr">
        <is>
          <t>悦读创作</t>
        </is>
      </c>
      <c r="F15" s="35" t="inlineStr">
        <is>
          <t>潜能班</t>
        </is>
      </c>
      <c r="G15" s="35" t="inlineStr">
        <is>
          <t>三期</t>
        </is>
      </c>
      <c r="H15" s="35" t="inlineStr">
        <is>
          <t>13:20-15:30</t>
        </is>
      </c>
      <c r="I15" s="35" t="inlineStr">
        <is>
          <t>林志豪01</t>
        </is>
      </c>
      <c r="J15" s="35" t="inlineStr">
        <is>
          <t>否</t>
        </is>
      </c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李亦翀</t>
        </is>
      </c>
      <c r="B16" s="14" t="inlineStr">
        <is>
          <t>六年级</t>
        </is>
      </c>
      <c r="C16" s="35" t="inlineStr">
        <is>
          <t>黄铭怡</t>
        </is>
      </c>
      <c r="D16" s="35" t="inlineStr">
        <is>
          <t>同创汇</t>
        </is>
      </c>
      <c r="E16" s="35" t="inlineStr">
        <is>
          <t>悦读创作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13:20-15:30</t>
        </is>
      </c>
      <c r="I16" s="35" t="inlineStr">
        <is>
          <t>王丽</t>
        </is>
      </c>
      <c r="J16" s="35" t="inlineStr">
        <is>
          <t>是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罗俊凯</t>
        </is>
      </c>
      <c r="B17" s="14" t="inlineStr">
        <is>
          <t>六年级</t>
        </is>
      </c>
      <c r="C17" s="35" t="inlineStr">
        <is>
          <t>黄铭怡</t>
        </is>
      </c>
      <c r="D17" s="35" t="inlineStr">
        <is>
          <t>同创汇</t>
        </is>
      </c>
      <c r="E17" s="35" t="inlineStr">
        <is>
          <t>悦读创作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13:20-15:30</t>
        </is>
      </c>
      <c r="I17" s="35" t="inlineStr">
        <is>
          <t>王丽</t>
        </is>
      </c>
      <c r="J17" s="35" t="inlineStr">
        <is>
          <t>是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陈云轩</t>
        </is>
      </c>
      <c r="B18" s="14" t="inlineStr">
        <is>
          <t>六年级</t>
        </is>
      </c>
      <c r="C18" s="35" t="inlineStr">
        <is>
          <t>黄铭怡</t>
        </is>
      </c>
      <c r="D18" s="35" t="inlineStr">
        <is>
          <t>同创汇</t>
        </is>
      </c>
      <c r="E18" s="35" t="inlineStr">
        <is>
          <t>悦读创作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13:20-15:30</t>
        </is>
      </c>
      <c r="I18" s="35" t="inlineStr">
        <is>
          <t>王丽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魏辰楷</t>
        </is>
      </c>
      <c r="B19" s="14" t="inlineStr">
        <is>
          <t>六年级</t>
        </is>
      </c>
      <c r="C19" s="35" t="inlineStr">
        <is>
          <t>黄铭怡</t>
        </is>
      </c>
      <c r="D19" s="35" t="inlineStr">
        <is>
          <t>同创汇</t>
        </is>
      </c>
      <c r="E19" s="35" t="inlineStr">
        <is>
          <t>悦读创作</t>
        </is>
      </c>
      <c r="F19" s="35" t="inlineStr">
        <is>
          <t>潜能班</t>
        </is>
      </c>
      <c r="G19" s="35" t="inlineStr">
        <is>
          <t>三期</t>
        </is>
      </c>
      <c r="H19" s="35" t="inlineStr">
        <is>
          <t>13:20-15:30</t>
        </is>
      </c>
      <c r="I19" s="35" t="inlineStr">
        <is>
          <t>王丽</t>
        </is>
      </c>
      <c r="J19" s="35" t="inlineStr">
        <is>
          <t>是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张艺婕</t>
        </is>
      </c>
      <c r="B20" s="14" t="inlineStr">
        <is>
          <t>六年级</t>
        </is>
      </c>
      <c r="C20" s="35" t="inlineStr">
        <is>
          <t>黄铭怡</t>
        </is>
      </c>
      <c r="D20" s="35" t="inlineStr">
        <is>
          <t>天成大厦</t>
        </is>
      </c>
      <c r="E20" s="35" t="inlineStr">
        <is>
          <t>悦读创作</t>
        </is>
      </c>
      <c r="F20" s="35" t="inlineStr">
        <is>
          <t>潜能班</t>
        </is>
      </c>
      <c r="G20" s="35" t="inlineStr">
        <is>
          <t>三期</t>
        </is>
      </c>
      <c r="H20" s="35" t="inlineStr">
        <is>
          <t>18:20-20:30</t>
        </is>
      </c>
      <c r="I20" s="35" t="inlineStr">
        <is>
          <t>沈思浩</t>
        </is>
      </c>
      <c r="J20" s="35" t="inlineStr">
        <is>
          <t>是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王佳茗</t>
        </is>
      </c>
      <c r="B21" s="14" t="inlineStr">
        <is>
          <t>六年级</t>
        </is>
      </c>
      <c r="C21" s="35" t="inlineStr">
        <is>
          <t>黄铭怡</t>
        </is>
      </c>
      <c r="D21" s="35" t="inlineStr">
        <is>
          <t>天成大厦</t>
        </is>
      </c>
      <c r="E21" s="35" t="inlineStr">
        <is>
          <t>悦读创作</t>
        </is>
      </c>
      <c r="F21" s="35" t="inlineStr">
        <is>
          <t>潜能班</t>
        </is>
      </c>
      <c r="G21" s="35" t="inlineStr">
        <is>
          <t>三期</t>
        </is>
      </c>
      <c r="H21" s="35" t="inlineStr">
        <is>
          <t>18:20-20:30</t>
        </is>
      </c>
      <c r="I21" s="35" t="inlineStr">
        <is>
          <t>王达04</t>
        </is>
      </c>
      <c r="J21" s="35" t="inlineStr">
        <is>
          <t>是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王语萱</t>
        </is>
      </c>
      <c r="B22" s="14" t="inlineStr">
        <is>
          <t>六年级</t>
        </is>
      </c>
      <c r="C22" s="35" t="inlineStr">
        <is>
          <t>黄铭怡</t>
        </is>
      </c>
      <c r="D22" s="35" t="inlineStr">
        <is>
          <t>天成大厦</t>
        </is>
      </c>
      <c r="E22" s="35" t="inlineStr">
        <is>
          <t>悦读创作</t>
        </is>
      </c>
      <c r="F22" s="35" t="inlineStr">
        <is>
          <t>潜能班</t>
        </is>
      </c>
      <c r="G22" s="35" t="inlineStr">
        <is>
          <t>三期</t>
        </is>
      </c>
      <c r="H22" s="35" t="inlineStr">
        <is>
          <t>18:20-20:30</t>
        </is>
      </c>
      <c r="I22" s="35" t="inlineStr">
        <is>
          <t>尚歆01</t>
        </is>
      </c>
      <c r="J22" s="35" t="inlineStr">
        <is>
          <t>是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罗睿祺</t>
        </is>
      </c>
      <c r="B23" s="14" t="inlineStr">
        <is>
          <t>六年级</t>
        </is>
      </c>
      <c r="C23" s="35" t="inlineStr">
        <is>
          <t>黄铭怡</t>
        </is>
      </c>
      <c r="D23" s="35" t="inlineStr">
        <is>
          <t>天成大厦</t>
        </is>
      </c>
      <c r="E23" s="35" t="inlineStr">
        <is>
          <t>悦读创作</t>
        </is>
      </c>
      <c r="F23" s="35" t="inlineStr">
        <is>
          <t>潜能班</t>
        </is>
      </c>
      <c r="G23" s="35" t="inlineStr">
        <is>
          <t>三期</t>
        </is>
      </c>
      <c r="H23" s="35" t="inlineStr">
        <is>
          <t>18:20-20:30</t>
        </is>
      </c>
      <c r="I23" s="35" t="inlineStr">
        <is>
          <t>龙倩敏</t>
        </is>
      </c>
      <c r="J23" s="35" t="inlineStr">
        <is>
          <t>是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肖雄文（杰瑞）</t>
        </is>
      </c>
      <c r="B24" s="14" t="inlineStr">
        <is>
          <t>六年级</t>
        </is>
      </c>
      <c r="C24" s="35" t="inlineStr">
        <is>
          <t>黄铭怡</t>
        </is>
      </c>
      <c r="D24" s="35" t="inlineStr">
        <is>
          <t>天成大厦</t>
        </is>
      </c>
      <c r="E24" s="35" t="inlineStr">
        <is>
          <t>悦读创作</t>
        </is>
      </c>
      <c r="F24" s="35" t="inlineStr">
        <is>
          <t>潜能班</t>
        </is>
      </c>
      <c r="G24" s="35" t="inlineStr">
        <is>
          <t>三期</t>
        </is>
      </c>
      <c r="H24" s="35" t="inlineStr">
        <is>
          <t>18:20-20:30</t>
        </is>
      </c>
      <c r="I24" s="35" t="inlineStr">
        <is>
          <t>王达04</t>
        </is>
      </c>
      <c r="J24" s="35" t="inlineStr">
        <is>
          <t>是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郝力扬</t>
        </is>
      </c>
      <c r="B25" s="14" t="inlineStr">
        <is>
          <t>六年级</t>
        </is>
      </c>
      <c r="C25" s="35" t="inlineStr">
        <is>
          <t>黄铭怡</t>
        </is>
      </c>
      <c r="D25" s="35" t="inlineStr">
        <is>
          <t>天成大厦</t>
        </is>
      </c>
      <c r="E25" s="35" t="inlineStr">
        <is>
          <t>悦读创作</t>
        </is>
      </c>
      <c r="F25" s="35" t="inlineStr">
        <is>
          <t>潜能班</t>
        </is>
      </c>
      <c r="G25" s="35" t="inlineStr">
        <is>
          <t>三期</t>
        </is>
      </c>
      <c r="H25" s="35" t="inlineStr">
        <is>
          <t>18:20-20:30</t>
        </is>
      </c>
      <c r="I25" s="35" t="inlineStr">
        <is>
          <t>沈思浩</t>
        </is>
      </c>
      <c r="J25" s="35" t="inlineStr">
        <is>
          <t>是</t>
        </is>
      </c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陈镜州</t>
        </is>
      </c>
      <c r="B26" s="14" t="inlineStr">
        <is>
          <t>六年级</t>
        </is>
      </c>
      <c r="C26" s="35" t="inlineStr">
        <is>
          <t>黄铭怡</t>
        </is>
      </c>
      <c r="D26" s="35" t="inlineStr">
        <is>
          <t>天成大厦</t>
        </is>
      </c>
      <c r="E26" s="35" t="inlineStr">
        <is>
          <t>悦读创作</t>
        </is>
      </c>
      <c r="F26" s="35" t="inlineStr">
        <is>
          <t>潜能班</t>
        </is>
      </c>
      <c r="G26" s="35" t="inlineStr">
        <is>
          <t>三期</t>
        </is>
      </c>
      <c r="H26" s="35" t="inlineStr">
        <is>
          <t>18:20-20:30</t>
        </is>
      </c>
      <c r="I26" s="35" t="inlineStr">
        <is>
          <t>陈冰08</t>
        </is>
      </c>
      <c r="J26" s="35" t="inlineStr">
        <is>
          <t>是</t>
        </is>
      </c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3:AE12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刘卓慧</t>
        </is>
      </c>
      <c r="B3" s="14" t="inlineStr">
        <is>
          <t>初二</t>
        </is>
      </c>
      <c r="C3" s="35" t="inlineStr">
        <is>
          <t>陈南</t>
        </is>
      </c>
      <c r="D3" s="35" t="inlineStr">
        <is>
          <t>同创汇</t>
        </is>
      </c>
      <c r="E3" s="35" t="inlineStr">
        <is>
          <t>悦读创作</t>
        </is>
      </c>
      <c r="F3" s="35" t="inlineStr">
        <is>
          <t>启能班</t>
        </is>
      </c>
      <c r="G3" s="35" t="inlineStr">
        <is>
          <t>三期</t>
        </is>
      </c>
      <c r="H3" s="35" t="inlineStr">
        <is>
          <t>13:20-15:30</t>
        </is>
      </c>
      <c r="I3" s="35" t="inlineStr">
        <is>
          <t>戎凯01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卜铎辰</t>
        </is>
      </c>
      <c r="B4" s="14" t="inlineStr">
        <is>
          <t>初二</t>
        </is>
      </c>
      <c r="C4" s="35" t="inlineStr">
        <is>
          <t>陈南</t>
        </is>
      </c>
      <c r="D4" s="35" t="inlineStr">
        <is>
          <t>同创汇</t>
        </is>
      </c>
      <c r="E4" s="35" t="inlineStr">
        <is>
          <t>悦读创作</t>
        </is>
      </c>
      <c r="F4" s="35" t="inlineStr">
        <is>
          <t>启能班</t>
        </is>
      </c>
      <c r="G4" s="35" t="inlineStr">
        <is>
          <t>三期</t>
        </is>
      </c>
      <c r="H4" s="35" t="inlineStr">
        <is>
          <t>13:20-15:30</t>
        </is>
      </c>
      <c r="I4" s="35" t="inlineStr">
        <is>
          <t>戎凯01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夏双博</t>
        </is>
      </c>
      <c r="B5" s="14" t="inlineStr">
        <is>
          <t>初二</t>
        </is>
      </c>
      <c r="C5" s="35" t="inlineStr">
        <is>
          <t>陈南</t>
        </is>
      </c>
      <c r="D5" s="35" t="inlineStr">
        <is>
          <t>同创汇</t>
        </is>
      </c>
      <c r="E5" s="35" t="inlineStr">
        <is>
          <t>悦读创作</t>
        </is>
      </c>
      <c r="F5" s="35" t="inlineStr">
        <is>
          <t>启能班</t>
        </is>
      </c>
      <c r="G5" s="35" t="inlineStr">
        <is>
          <t>三期</t>
        </is>
      </c>
      <c r="H5" s="35" t="inlineStr">
        <is>
          <t>13:20-15:30</t>
        </is>
      </c>
      <c r="I5" s="35" t="inlineStr">
        <is>
          <t>王丽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张晋维</t>
        </is>
      </c>
      <c r="B6" s="14" t="inlineStr">
        <is>
          <t>初二</t>
        </is>
      </c>
      <c r="C6" s="35" t="inlineStr">
        <is>
          <t>陈南</t>
        </is>
      </c>
      <c r="D6" s="35" t="inlineStr">
        <is>
          <t>同创汇</t>
        </is>
      </c>
      <c r="E6" s="35" t="inlineStr">
        <is>
          <t>悦读创作</t>
        </is>
      </c>
      <c r="F6" s="35" t="inlineStr">
        <is>
          <t>启能班</t>
        </is>
      </c>
      <c r="G6" s="35" t="inlineStr">
        <is>
          <t>三期</t>
        </is>
      </c>
      <c r="H6" s="35" t="inlineStr">
        <is>
          <t>13:20-15:30</t>
        </is>
      </c>
      <c r="I6" s="35" t="inlineStr">
        <is>
          <t>戎凯01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张锐文</t>
        </is>
      </c>
      <c r="B7" s="14" t="inlineStr">
        <is>
          <t>初二</t>
        </is>
      </c>
      <c r="C7" s="35" t="inlineStr">
        <is>
          <t>陈南</t>
        </is>
      </c>
      <c r="D7" s="35" t="inlineStr">
        <is>
          <t>同创汇</t>
        </is>
      </c>
      <c r="E7" s="35" t="inlineStr">
        <is>
          <t>悦读创作</t>
        </is>
      </c>
      <c r="F7" s="35" t="inlineStr">
        <is>
          <t>启能班</t>
        </is>
      </c>
      <c r="G7" s="35" t="inlineStr">
        <is>
          <t>三期</t>
        </is>
      </c>
      <c r="H7" s="35" t="inlineStr">
        <is>
          <t>13:20-15:30</t>
        </is>
      </c>
      <c r="I7" s="35" t="inlineStr">
        <is>
          <t>罗玉玲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曾汝杨</t>
        </is>
      </c>
      <c r="B8" s="14" t="inlineStr">
        <is>
          <t>初二</t>
        </is>
      </c>
      <c r="C8" s="35" t="inlineStr">
        <is>
          <t>陈南</t>
        </is>
      </c>
      <c r="D8" s="35" t="inlineStr">
        <is>
          <t>同创汇</t>
        </is>
      </c>
      <c r="E8" s="35" t="inlineStr">
        <is>
          <t>悦读创作</t>
        </is>
      </c>
      <c r="F8" s="35" t="inlineStr">
        <is>
          <t>启能班</t>
        </is>
      </c>
      <c r="G8" s="35" t="inlineStr">
        <is>
          <t>三期</t>
        </is>
      </c>
      <c r="H8" s="35" t="inlineStr">
        <is>
          <t>13:20-15:30</t>
        </is>
      </c>
      <c r="I8" s="35" t="inlineStr">
        <is>
          <t>苏丽婷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梁钊洋</t>
        </is>
      </c>
      <c r="B9" s="14" t="inlineStr">
        <is>
          <t>初二</t>
        </is>
      </c>
      <c r="C9" s="35" t="inlineStr">
        <is>
          <t>陈南</t>
        </is>
      </c>
      <c r="D9" s="35" t="inlineStr">
        <is>
          <t>同创汇</t>
        </is>
      </c>
      <c r="E9" s="35" t="inlineStr">
        <is>
          <t>悦读创作</t>
        </is>
      </c>
      <c r="F9" s="35" t="inlineStr">
        <is>
          <t>启能班</t>
        </is>
      </c>
      <c r="G9" s="35" t="inlineStr">
        <is>
          <t>三期</t>
        </is>
      </c>
      <c r="H9" s="35" t="inlineStr">
        <is>
          <t>13:20-15:30</t>
        </is>
      </c>
      <c r="I9" s="35" t="inlineStr">
        <is>
          <t>王丽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王宥然</t>
        </is>
      </c>
      <c r="B10" s="14" t="inlineStr">
        <is>
          <t>初二</t>
        </is>
      </c>
      <c r="C10" s="35" t="inlineStr">
        <is>
          <t>陈南</t>
        </is>
      </c>
      <c r="D10" s="35" t="inlineStr">
        <is>
          <t>同创汇</t>
        </is>
      </c>
      <c r="E10" s="35" t="inlineStr">
        <is>
          <t>悦读创作</t>
        </is>
      </c>
      <c r="F10" s="35" t="inlineStr">
        <is>
          <t>启能班</t>
        </is>
      </c>
      <c r="G10" s="35" t="inlineStr">
        <is>
          <t>三期</t>
        </is>
      </c>
      <c r="H10" s="35" t="inlineStr">
        <is>
          <t>13:20-15:30</t>
        </is>
      </c>
      <c r="I10" s="35" t="inlineStr">
        <is>
          <t>王丽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胡彦</t>
        </is>
      </c>
      <c r="B11" s="14" t="inlineStr">
        <is>
          <t>初二</t>
        </is>
      </c>
      <c r="C11" s="35" t="inlineStr">
        <is>
          <t>陈南</t>
        </is>
      </c>
      <c r="D11" s="35" t="inlineStr">
        <is>
          <t>同创汇</t>
        </is>
      </c>
      <c r="E11" s="35" t="inlineStr">
        <is>
          <t>悦读创作</t>
        </is>
      </c>
      <c r="F11" s="35" t="inlineStr">
        <is>
          <t>启能班</t>
        </is>
      </c>
      <c r="G11" s="35" t="inlineStr">
        <is>
          <t>三期</t>
        </is>
      </c>
      <c r="H11" s="35" t="inlineStr">
        <is>
          <t>13:20-15:30</t>
        </is>
      </c>
      <c r="I11" s="35" t="inlineStr">
        <is>
          <t>戎凯01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谷浩成</t>
        </is>
      </c>
      <c r="B12" s="14" t="inlineStr">
        <is>
          <t>初二</t>
        </is>
      </c>
      <c r="C12" s="35" t="inlineStr">
        <is>
          <t>陈南</t>
        </is>
      </c>
      <c r="D12" s="35" t="inlineStr">
        <is>
          <t>同创汇</t>
        </is>
      </c>
      <c r="E12" s="35" t="inlineStr">
        <is>
          <t>悦读创作</t>
        </is>
      </c>
      <c r="F12" s="35" t="inlineStr">
        <is>
          <t>启能班</t>
        </is>
      </c>
      <c r="G12" s="35" t="inlineStr">
        <is>
          <t>三期</t>
        </is>
      </c>
      <c r="H12" s="35" t="inlineStr">
        <is>
          <t>13:20-15:30</t>
        </is>
      </c>
      <c r="I12" s="35" t="inlineStr">
        <is>
          <t>王丽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 xml:space="preserve">冯麒潼 </t>
        </is>
      </c>
      <c r="B3" s="14" t="inlineStr">
        <is>
          <t>四年级</t>
        </is>
      </c>
      <c r="C3" s="35" t="inlineStr">
        <is>
          <t>刘佳明</t>
        </is>
      </c>
      <c r="D3" s="35" t="inlineStr">
        <is>
          <t>同创汇</t>
        </is>
      </c>
      <c r="E3" s="35" t="inlineStr">
        <is>
          <t>雪球思维</t>
        </is>
      </c>
      <c r="F3" s="35" t="inlineStr">
        <is>
          <t>源能班</t>
        </is>
      </c>
      <c r="G3" s="35" t="inlineStr">
        <is>
          <t>二期</t>
        </is>
      </c>
      <c r="H3" s="35" t="inlineStr">
        <is>
          <t>13:20-15:30</t>
        </is>
      </c>
      <c r="I3" s="35" t="inlineStr">
        <is>
          <t>苏丽婷</t>
        </is>
      </c>
      <c r="J3" s="35" t="inlineStr">
        <is>
          <t>否</t>
        </is>
      </c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刘俊凯</t>
        </is>
      </c>
      <c r="B4" s="14" t="inlineStr">
        <is>
          <t>四年级</t>
        </is>
      </c>
      <c r="C4" s="35" t="inlineStr">
        <is>
          <t>刘佳明</t>
        </is>
      </c>
      <c r="D4" s="35" t="inlineStr">
        <is>
          <t>同创汇</t>
        </is>
      </c>
      <c r="E4" s="35" t="inlineStr">
        <is>
          <t>雪球思维</t>
        </is>
      </c>
      <c r="F4" s="35" t="inlineStr">
        <is>
          <t>源能班</t>
        </is>
      </c>
      <c r="G4" s="35" t="inlineStr">
        <is>
          <t>二期</t>
        </is>
      </c>
      <c r="H4" s="35" t="inlineStr">
        <is>
          <t>13:20-15:30</t>
        </is>
      </c>
      <c r="I4" s="35" t="inlineStr">
        <is>
          <t>王丽</t>
        </is>
      </c>
      <c r="J4" s="35" t="inlineStr">
        <is>
          <t>否</t>
        </is>
      </c>
      <c r="K4" s="35" t="inlineStr">
        <is>
          <t>是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刘欣汶</t>
        </is>
      </c>
      <c r="B5" s="14" t="inlineStr">
        <is>
          <t>四年级</t>
        </is>
      </c>
      <c r="C5" s="35" t="inlineStr">
        <is>
          <t>刘佳明</t>
        </is>
      </c>
      <c r="D5" s="35" t="inlineStr">
        <is>
          <t>同创汇</t>
        </is>
      </c>
      <c r="E5" s="35" t="inlineStr">
        <is>
          <t>雪球思维</t>
        </is>
      </c>
      <c r="F5" s="35" t="inlineStr">
        <is>
          <t>源能班</t>
        </is>
      </c>
      <c r="G5" s="35" t="inlineStr">
        <is>
          <t>二期</t>
        </is>
      </c>
      <c r="H5" s="35" t="inlineStr">
        <is>
          <t>13:20-15:30</t>
        </is>
      </c>
      <c r="I5" s="35" t="inlineStr">
        <is>
          <t>王丽</t>
        </is>
      </c>
      <c r="J5" s="35" t="inlineStr">
        <is>
          <t>否</t>
        </is>
      </c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杨晨熙</t>
        </is>
      </c>
      <c r="B6" s="14" t="inlineStr">
        <is>
          <t>四年级</t>
        </is>
      </c>
      <c r="C6" s="35" t="inlineStr">
        <is>
          <t>刘佳明</t>
        </is>
      </c>
      <c r="D6" s="35" t="inlineStr">
        <is>
          <t>同创汇</t>
        </is>
      </c>
      <c r="E6" s="35" t="inlineStr">
        <is>
          <t>雪球思维</t>
        </is>
      </c>
      <c r="F6" s="35" t="inlineStr">
        <is>
          <t>源能班</t>
        </is>
      </c>
      <c r="G6" s="35" t="inlineStr">
        <is>
          <t>二期</t>
        </is>
      </c>
      <c r="H6" s="35" t="inlineStr">
        <is>
          <t>13:20-15:30</t>
        </is>
      </c>
      <c r="I6" s="35" t="inlineStr">
        <is>
          <t>苏丽婷</t>
        </is>
      </c>
      <c r="J6" s="35" t="inlineStr">
        <is>
          <t>否</t>
        </is>
      </c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梁政朗</t>
        </is>
      </c>
      <c r="B7" s="14" t="inlineStr">
        <is>
          <t>四年级</t>
        </is>
      </c>
      <c r="C7" s="35" t="inlineStr">
        <is>
          <t>刘佳明</t>
        </is>
      </c>
      <c r="D7" s="35" t="inlineStr">
        <is>
          <t>同创汇</t>
        </is>
      </c>
      <c r="E7" s="35" t="inlineStr">
        <is>
          <t>雪球思维</t>
        </is>
      </c>
      <c r="F7" s="35" t="inlineStr">
        <is>
          <t>源能班</t>
        </is>
      </c>
      <c r="G7" s="35" t="inlineStr">
        <is>
          <t>二期</t>
        </is>
      </c>
      <c r="H7" s="35" t="inlineStr">
        <is>
          <t>13:20-15:30</t>
        </is>
      </c>
      <c r="I7" s="35" t="inlineStr">
        <is>
          <t>王丽</t>
        </is>
      </c>
      <c r="J7" s="35" t="inlineStr">
        <is>
          <t>否</t>
        </is>
      </c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王语微</t>
        </is>
      </c>
      <c r="B8" s="14" t="inlineStr">
        <is>
          <t>四年级</t>
        </is>
      </c>
      <c r="C8" s="35" t="inlineStr">
        <is>
          <t>刘佳明</t>
        </is>
      </c>
      <c r="D8" s="35" t="inlineStr">
        <is>
          <t>同创汇</t>
        </is>
      </c>
      <c r="E8" s="35" t="inlineStr">
        <is>
          <t>雪球思维</t>
        </is>
      </c>
      <c r="F8" s="35" t="inlineStr">
        <is>
          <t>源能班</t>
        </is>
      </c>
      <c r="G8" s="35" t="inlineStr">
        <is>
          <t>二期</t>
        </is>
      </c>
      <c r="H8" s="35" t="inlineStr">
        <is>
          <t>13:20-15:30</t>
        </is>
      </c>
      <c r="I8" s="35" t="inlineStr">
        <is>
          <t>戎凯01</t>
        </is>
      </c>
      <c r="J8" s="35" t="inlineStr">
        <is>
          <t>否</t>
        </is>
      </c>
      <c r="K8" s="35" t="inlineStr">
        <is>
          <t>是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郭颖琪</t>
        </is>
      </c>
      <c r="B9" s="14" t="inlineStr">
        <is>
          <t>四年级</t>
        </is>
      </c>
      <c r="C9" s="35" t="inlineStr">
        <is>
          <t>刘佳明</t>
        </is>
      </c>
      <c r="D9" s="35" t="inlineStr">
        <is>
          <t>同创汇</t>
        </is>
      </c>
      <c r="E9" s="35" t="inlineStr">
        <is>
          <t>雪球思维</t>
        </is>
      </c>
      <c r="F9" s="35" t="inlineStr">
        <is>
          <t>源能班</t>
        </is>
      </c>
      <c r="G9" s="35" t="inlineStr">
        <is>
          <t>二期</t>
        </is>
      </c>
      <c r="H9" s="35" t="inlineStr">
        <is>
          <t>13:20-15:30</t>
        </is>
      </c>
      <c r="I9" s="35" t="inlineStr">
        <is>
          <t>王丽</t>
        </is>
      </c>
      <c r="J9" s="35" t="inlineStr">
        <is>
          <t>否</t>
        </is>
      </c>
      <c r="K9" s="35" t="inlineStr">
        <is>
          <t>是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Apple</t>
        </is>
      </c>
      <c r="B10" s="14" t="inlineStr">
        <is>
          <t>四年级</t>
        </is>
      </c>
      <c r="C10" s="35" t="inlineStr">
        <is>
          <t>刘佳明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源能班</t>
        </is>
      </c>
      <c r="G10" s="35" t="inlineStr">
        <is>
          <t>二期</t>
        </is>
      </c>
      <c r="H10" s="35" t="inlineStr">
        <is>
          <t>10:20-12:30</t>
        </is>
      </c>
      <c r="I10" s="35" t="inlineStr">
        <is>
          <t>沈思浩</t>
        </is>
      </c>
      <c r="J10" s="35" t="inlineStr">
        <is>
          <t>否</t>
        </is>
      </c>
      <c r="K10" s="35" t="inlineStr">
        <is>
          <t>是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凌舒羽</t>
        </is>
      </c>
      <c r="B11" s="14" t="inlineStr">
        <is>
          <t>四年级</t>
        </is>
      </c>
      <c r="C11" s="35" t="inlineStr">
        <is>
          <t>刘佳明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源能班</t>
        </is>
      </c>
      <c r="G11" s="35" t="inlineStr">
        <is>
          <t>二期</t>
        </is>
      </c>
      <c r="H11" s="35" t="inlineStr">
        <is>
          <t>10:20-12:30</t>
        </is>
      </c>
      <c r="I11" s="35" t="inlineStr">
        <is>
          <t>沈思浩</t>
        </is>
      </c>
      <c r="J11" s="35" t="inlineStr">
        <is>
          <t>否</t>
        </is>
      </c>
      <c r="K11" s="35" t="inlineStr">
        <is>
          <t>是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李沛颐</t>
        </is>
      </c>
      <c r="B12" s="14" t="inlineStr">
        <is>
          <t>四年级</t>
        </is>
      </c>
      <c r="C12" s="35" t="inlineStr">
        <is>
          <t>刘佳明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源能班</t>
        </is>
      </c>
      <c r="G12" s="35" t="inlineStr">
        <is>
          <t>二期</t>
        </is>
      </c>
      <c r="H12" s="35" t="inlineStr">
        <is>
          <t>10:20-12:30</t>
        </is>
      </c>
      <c r="I12" s="35" t="inlineStr">
        <is>
          <t>龙倩敏</t>
        </is>
      </c>
      <c r="J12" s="35" t="inlineStr">
        <is>
          <t>否</t>
        </is>
      </c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沈楷芯</t>
        </is>
      </c>
      <c r="B13" s="14" t="inlineStr">
        <is>
          <t>四年级</t>
        </is>
      </c>
      <c r="C13" s="35" t="inlineStr">
        <is>
          <t>刘佳明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源能班</t>
        </is>
      </c>
      <c r="G13" s="35" t="inlineStr">
        <is>
          <t>二期</t>
        </is>
      </c>
      <c r="H13" s="35" t="inlineStr">
        <is>
          <t>10:20-12:30</t>
        </is>
      </c>
      <c r="I13" s="35" t="inlineStr">
        <is>
          <t>沈思浩</t>
        </is>
      </c>
      <c r="J13" s="35" t="inlineStr">
        <is>
          <t>否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王梓旭</t>
        </is>
      </c>
      <c r="B14" s="14" t="inlineStr">
        <is>
          <t>四年级</t>
        </is>
      </c>
      <c r="C14" s="35" t="inlineStr">
        <is>
          <t>刘佳明</t>
        </is>
      </c>
      <c r="D14" s="35" t="inlineStr">
        <is>
          <t>天成大厦</t>
        </is>
      </c>
      <c r="E14" s="35" t="inlineStr">
        <is>
          <t>雪球思维</t>
        </is>
      </c>
      <c r="F14" s="35" t="inlineStr">
        <is>
          <t>源能班</t>
        </is>
      </c>
      <c r="G14" s="35" t="inlineStr">
        <is>
          <t>二期</t>
        </is>
      </c>
      <c r="H14" s="35" t="inlineStr">
        <is>
          <t>10:20-12:30</t>
        </is>
      </c>
      <c r="I14" s="35" t="inlineStr">
        <is>
          <t>沈思浩</t>
        </is>
      </c>
      <c r="J14" s="35" t="inlineStr">
        <is>
          <t>否</t>
        </is>
      </c>
      <c r="K14" s="35" t="inlineStr">
        <is>
          <t>是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紫越</t>
        </is>
      </c>
      <c r="B15" s="14" t="inlineStr">
        <is>
          <t>四年级</t>
        </is>
      </c>
      <c r="C15" s="35" t="inlineStr">
        <is>
          <t>刘佳明</t>
        </is>
      </c>
      <c r="D15" s="35" t="inlineStr">
        <is>
          <t>天成大厦</t>
        </is>
      </c>
      <c r="E15" s="35" t="inlineStr">
        <is>
          <t>雪球思维</t>
        </is>
      </c>
      <c r="F15" s="35" t="inlineStr">
        <is>
          <t>源能班</t>
        </is>
      </c>
      <c r="G15" s="35" t="inlineStr">
        <is>
          <t>二期</t>
        </is>
      </c>
      <c r="H15" s="35" t="inlineStr">
        <is>
          <t>10:20-12:30</t>
        </is>
      </c>
      <c r="I15" s="35" t="inlineStr">
        <is>
          <t>龙倩敏</t>
        </is>
      </c>
      <c r="J15" s="35" t="inlineStr">
        <is>
          <t>否</t>
        </is>
      </c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郑皓元</t>
        </is>
      </c>
      <c r="B16" s="14" t="inlineStr">
        <is>
          <t>四年级</t>
        </is>
      </c>
      <c r="C16" s="35" t="inlineStr">
        <is>
          <t>刘佳明</t>
        </is>
      </c>
      <c r="D16" s="35" t="inlineStr">
        <is>
          <t>天成大厦</t>
        </is>
      </c>
      <c r="E16" s="35" t="inlineStr">
        <is>
          <t>雪球思维</t>
        </is>
      </c>
      <c r="F16" s="35" t="inlineStr">
        <is>
          <t>源能班</t>
        </is>
      </c>
      <c r="G16" s="35" t="inlineStr">
        <is>
          <t>二期</t>
        </is>
      </c>
      <c r="H16" s="35" t="inlineStr">
        <is>
          <t>10:20-12:30</t>
        </is>
      </c>
      <c r="I16" s="35" t="inlineStr">
        <is>
          <t>沈思浩</t>
        </is>
      </c>
      <c r="J16" s="35" t="inlineStr">
        <is>
          <t>否</t>
        </is>
      </c>
      <c r="K16" s="35" t="inlineStr">
        <is>
          <t>是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黎恺轩</t>
        </is>
      </c>
      <c r="B17" s="14" t="inlineStr">
        <is>
          <t>四年级</t>
        </is>
      </c>
      <c r="C17" s="35" t="inlineStr">
        <is>
          <t>刘佳明</t>
        </is>
      </c>
      <c r="D17" s="35" t="inlineStr">
        <is>
          <t>天成大厦</t>
        </is>
      </c>
      <c r="E17" s="35" t="inlineStr">
        <is>
          <t>雪球思维</t>
        </is>
      </c>
      <c r="F17" s="35" t="inlineStr">
        <is>
          <t>源能班</t>
        </is>
      </c>
      <c r="G17" s="35" t="inlineStr">
        <is>
          <t>二期</t>
        </is>
      </c>
      <c r="H17" s="35" t="inlineStr">
        <is>
          <t>10:20-12:30</t>
        </is>
      </c>
      <c r="I17" s="35" t="inlineStr">
        <is>
          <t>沈思浩</t>
        </is>
      </c>
      <c r="J17" s="35" t="inlineStr">
        <is>
          <t>否</t>
        </is>
      </c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 xml:space="preserve"> 刘锦睿</t>
        </is>
      </c>
      <c r="B18" s="14" t="inlineStr">
        <is>
          <t>四年级</t>
        </is>
      </c>
      <c r="C18" s="35" t="inlineStr">
        <is>
          <t>刘佳明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源能班</t>
        </is>
      </c>
      <c r="G18" s="35" t="inlineStr">
        <is>
          <t>三期</t>
        </is>
      </c>
      <c r="H18" s="35" t="inlineStr">
        <is>
          <t>10:20-12:30</t>
        </is>
      </c>
      <c r="I18" s="35" t="inlineStr">
        <is>
          <t>林志豪01</t>
        </is>
      </c>
      <c r="J18" s="35" t="inlineStr">
        <is>
          <t>否</t>
        </is>
      </c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俞艾君</t>
        </is>
      </c>
      <c r="B19" s="14" t="inlineStr">
        <is>
          <t>四年级</t>
        </is>
      </c>
      <c r="C19" s="35" t="inlineStr">
        <is>
          <t>刘佳明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源能班</t>
        </is>
      </c>
      <c r="G19" s="35" t="inlineStr">
        <is>
          <t>三期</t>
        </is>
      </c>
      <c r="H19" s="35" t="inlineStr">
        <is>
          <t>10:20-12:30</t>
        </is>
      </c>
      <c r="I19" s="35" t="inlineStr">
        <is>
          <t>林志豪01</t>
        </is>
      </c>
      <c r="J19" s="35" t="inlineStr">
        <is>
          <t>否</t>
        </is>
      </c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刘亦曦</t>
        </is>
      </c>
      <c r="B20" s="14" t="inlineStr">
        <is>
          <t>四年级</t>
        </is>
      </c>
      <c r="C20" s="35" t="inlineStr">
        <is>
          <t>刘佳明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源能班</t>
        </is>
      </c>
      <c r="G20" s="35" t="inlineStr">
        <is>
          <t>三期</t>
        </is>
      </c>
      <c r="H20" s="35" t="inlineStr">
        <is>
          <t>10:20-12:30</t>
        </is>
      </c>
      <c r="I20" s="35" t="inlineStr">
        <is>
          <t>林志豪01</t>
        </is>
      </c>
      <c r="J20" s="35" t="inlineStr">
        <is>
          <t>否</t>
        </is>
      </c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刘子涵</t>
        </is>
      </c>
      <c r="B21" s="14" t="inlineStr">
        <is>
          <t>四年级</t>
        </is>
      </c>
      <c r="C21" s="35" t="inlineStr">
        <is>
          <t>刘佳明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源能班</t>
        </is>
      </c>
      <c r="G21" s="35" t="inlineStr">
        <is>
          <t>三期</t>
        </is>
      </c>
      <c r="H21" s="35" t="inlineStr">
        <is>
          <t>10:20-12:30</t>
        </is>
      </c>
      <c r="I21" s="35" t="inlineStr">
        <is>
          <t>林志豪01</t>
        </is>
      </c>
      <c r="J21" s="35" t="inlineStr">
        <is>
          <t>否</t>
        </is>
      </c>
      <c r="K21" s="35" t="inlineStr">
        <is>
          <t>是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张昱堂</t>
        </is>
      </c>
      <c r="B22" s="14" t="inlineStr">
        <is>
          <t>四年级</t>
        </is>
      </c>
      <c r="C22" s="35" t="inlineStr">
        <is>
          <t>刘佳明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源能班</t>
        </is>
      </c>
      <c r="G22" s="35" t="inlineStr">
        <is>
          <t>三期</t>
        </is>
      </c>
      <c r="H22" s="35" t="inlineStr">
        <is>
          <t>10:20-12:30</t>
        </is>
      </c>
      <c r="I22" s="35" t="inlineStr">
        <is>
          <t>王丽</t>
        </is>
      </c>
      <c r="J22" s="35" t="inlineStr">
        <is>
          <t>否</t>
        </is>
      </c>
      <c r="K22" s="35" t="inlineStr">
        <is>
          <t>是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张栎</t>
        </is>
      </c>
      <c r="B23" s="14" t="inlineStr">
        <is>
          <t>四年级</t>
        </is>
      </c>
      <c r="C23" s="35" t="inlineStr">
        <is>
          <t>刘佳明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三期</t>
        </is>
      </c>
      <c r="H23" s="35" t="inlineStr">
        <is>
          <t>10:20-12:30</t>
        </is>
      </c>
      <c r="I23" s="35" t="inlineStr">
        <is>
          <t>林志豪01</t>
        </is>
      </c>
      <c r="J23" s="35" t="inlineStr">
        <is>
          <t>否</t>
        </is>
      </c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张秋苇</t>
        </is>
      </c>
      <c r="B24" s="14" t="inlineStr">
        <is>
          <t>四年级</t>
        </is>
      </c>
      <c r="C24" s="35" t="inlineStr">
        <is>
          <t>刘佳明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三期</t>
        </is>
      </c>
      <c r="H24" s="35" t="inlineStr">
        <is>
          <t>10:20-12:30</t>
        </is>
      </c>
      <c r="I24" s="35" t="inlineStr">
        <is>
          <t>张敏烨</t>
        </is>
      </c>
      <c r="J24" s="35" t="inlineStr">
        <is>
          <t>否</t>
        </is>
      </c>
      <c r="K24" s="35" t="inlineStr">
        <is>
          <t>是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张逸珩</t>
        </is>
      </c>
      <c r="B25" s="14" t="inlineStr">
        <is>
          <t>四年级</t>
        </is>
      </c>
      <c r="C25" s="35" t="inlineStr">
        <is>
          <t>刘佳明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三期</t>
        </is>
      </c>
      <c r="H25" s="35" t="inlineStr">
        <is>
          <t>10:20-12:30</t>
        </is>
      </c>
      <c r="I25" s="35" t="inlineStr">
        <is>
          <t>沈思浩</t>
        </is>
      </c>
      <c r="J25" s="35" t="inlineStr">
        <is>
          <t>否</t>
        </is>
      </c>
      <c r="K25" s="35" t="inlineStr">
        <is>
          <t>是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徐浩博</t>
        </is>
      </c>
      <c r="B26" s="14" t="inlineStr">
        <is>
          <t>四年级</t>
        </is>
      </c>
      <c r="C26" s="35" t="inlineStr">
        <is>
          <t>刘佳明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三期</t>
        </is>
      </c>
      <c r="H26" s="35" t="inlineStr">
        <is>
          <t>10:20-12:30</t>
        </is>
      </c>
      <c r="I26" s="35" t="inlineStr">
        <is>
          <t>林志豪01</t>
        </is>
      </c>
      <c r="J26" s="35" t="inlineStr">
        <is>
          <t>否</t>
        </is>
      </c>
      <c r="K26" s="35" t="inlineStr">
        <is>
          <t>是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思媛</t>
        </is>
      </c>
      <c r="B27" s="14" t="inlineStr">
        <is>
          <t>四年级</t>
        </is>
      </c>
      <c r="C27" s="35" t="inlineStr">
        <is>
          <t>刘佳明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三期</t>
        </is>
      </c>
      <c r="H27" s="35" t="inlineStr">
        <is>
          <t>10:20-12:30</t>
        </is>
      </c>
      <c r="I27" s="35" t="inlineStr">
        <is>
          <t>沈思浩</t>
        </is>
      </c>
      <c r="J27" s="35" t="inlineStr">
        <is>
          <t>否</t>
        </is>
      </c>
      <c r="K27" s="35" t="inlineStr">
        <is>
          <t>是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方怡珺</t>
        </is>
      </c>
      <c r="B28" s="14" t="inlineStr">
        <is>
          <t>四年级</t>
        </is>
      </c>
      <c r="C28" s="35" t="inlineStr">
        <is>
          <t>刘佳明</t>
        </is>
      </c>
      <c r="D28" s="35" t="inlineStr">
        <is>
          <t>新宝利大厦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三期</t>
        </is>
      </c>
      <c r="H28" s="35" t="inlineStr">
        <is>
          <t>10:20-12:30</t>
        </is>
      </c>
      <c r="I28" s="35" t="inlineStr">
        <is>
          <t>张敏烨</t>
        </is>
      </c>
      <c r="J28" s="35" t="inlineStr">
        <is>
          <t>否</t>
        </is>
      </c>
      <c r="K28" s="35" t="inlineStr">
        <is>
          <t>是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曾凯钜</t>
        </is>
      </c>
      <c r="B29" s="14" t="inlineStr">
        <is>
          <t>四年级</t>
        </is>
      </c>
      <c r="C29" s="35" t="inlineStr">
        <is>
          <t>刘佳明</t>
        </is>
      </c>
      <c r="D29" s="35" t="inlineStr">
        <is>
          <t>新宝利大厦</t>
        </is>
      </c>
      <c r="E29" s="35" t="inlineStr">
        <is>
          <t>雪球思维</t>
        </is>
      </c>
      <c r="F29" s="35" t="inlineStr">
        <is>
          <t>源能班</t>
        </is>
      </c>
      <c r="G29" s="35" t="inlineStr">
        <is>
          <t>三期</t>
        </is>
      </c>
      <c r="H29" s="35" t="inlineStr">
        <is>
          <t>10:20-12:30</t>
        </is>
      </c>
      <c r="I29" s="35" t="inlineStr">
        <is>
          <t>林志豪01</t>
        </is>
      </c>
      <c r="J29" s="35" t="inlineStr">
        <is>
          <t>否</t>
        </is>
      </c>
      <c r="K29" s="35" t="inlineStr">
        <is>
          <t>是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朱子珺</t>
        </is>
      </c>
      <c r="B30" s="14" t="inlineStr">
        <is>
          <t>四年级</t>
        </is>
      </c>
      <c r="C30" s="35" t="inlineStr">
        <is>
          <t>刘佳明</t>
        </is>
      </c>
      <c r="D30" s="35" t="inlineStr">
        <is>
          <t>新宝利大厦</t>
        </is>
      </c>
      <c r="E30" s="35" t="inlineStr">
        <is>
          <t>雪球思维</t>
        </is>
      </c>
      <c r="F30" s="35" t="inlineStr">
        <is>
          <t>源能班</t>
        </is>
      </c>
      <c r="G30" s="35" t="inlineStr">
        <is>
          <t>三期</t>
        </is>
      </c>
      <c r="H30" s="35" t="inlineStr">
        <is>
          <t>10:20-12:30</t>
        </is>
      </c>
      <c r="I30" s="35" t="inlineStr">
        <is>
          <t>张敏烨</t>
        </is>
      </c>
      <c r="J30" s="35" t="inlineStr">
        <is>
          <t>否</t>
        </is>
      </c>
      <c r="K30" s="35" t="inlineStr">
        <is>
          <t>是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李成章</t>
        </is>
      </c>
      <c r="B31" s="14" t="inlineStr">
        <is>
          <t>四年级</t>
        </is>
      </c>
      <c r="C31" s="35" t="inlineStr">
        <is>
          <t>刘佳明</t>
        </is>
      </c>
      <c r="D31" s="35" t="inlineStr">
        <is>
          <t>新宝利大厦</t>
        </is>
      </c>
      <c r="E31" s="35" t="inlineStr">
        <is>
          <t>雪球思维</t>
        </is>
      </c>
      <c r="F31" s="35" t="inlineStr">
        <is>
          <t>源能班</t>
        </is>
      </c>
      <c r="G31" s="35" t="inlineStr">
        <is>
          <t>三期</t>
        </is>
      </c>
      <c r="H31" s="35" t="inlineStr">
        <is>
          <t>10:20-12:30</t>
        </is>
      </c>
      <c r="I31" s="35" t="inlineStr">
        <is>
          <t>林志豪01</t>
        </is>
      </c>
      <c r="J31" s="35" t="inlineStr">
        <is>
          <t>否</t>
        </is>
      </c>
      <c r="K31" s="35" t="inlineStr">
        <is>
          <t>是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李焕飞</t>
        </is>
      </c>
      <c r="B32" s="14" t="inlineStr">
        <is>
          <t>四年级</t>
        </is>
      </c>
      <c r="C32" s="35" t="inlineStr">
        <is>
          <t>刘佳明</t>
        </is>
      </c>
      <c r="D32" s="35" t="inlineStr">
        <is>
          <t>新宝利大厦</t>
        </is>
      </c>
      <c r="E32" s="35" t="inlineStr">
        <is>
          <t>雪球思维</t>
        </is>
      </c>
      <c r="F32" s="35" t="inlineStr">
        <is>
          <t>源能班</t>
        </is>
      </c>
      <c r="G32" s="35" t="inlineStr">
        <is>
          <t>三期</t>
        </is>
      </c>
      <c r="H32" s="35" t="inlineStr">
        <is>
          <t>10:20-12:30</t>
        </is>
      </c>
      <c r="I32" s="35" t="inlineStr">
        <is>
          <t>林志豪01</t>
        </is>
      </c>
      <c r="J32" s="35" t="inlineStr">
        <is>
          <t>否</t>
        </is>
      </c>
      <c r="K32" s="35" t="inlineStr">
        <is>
          <t>是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杨毅泓</t>
        </is>
      </c>
      <c r="B33" s="14" t="inlineStr">
        <is>
          <t>四年级</t>
        </is>
      </c>
      <c r="C33" s="35" t="inlineStr">
        <is>
          <t>刘佳明</t>
        </is>
      </c>
      <c r="D33" s="35" t="inlineStr">
        <is>
          <t>新宝利大厦</t>
        </is>
      </c>
      <c r="E33" s="35" t="inlineStr">
        <is>
          <t>雪球思维</t>
        </is>
      </c>
      <c r="F33" s="35" t="inlineStr">
        <is>
          <t>源能班</t>
        </is>
      </c>
      <c r="G33" s="35" t="inlineStr">
        <is>
          <t>三期</t>
        </is>
      </c>
      <c r="H33" s="35" t="inlineStr">
        <is>
          <t>10:20-12:30</t>
        </is>
      </c>
      <c r="I33" s="35" t="inlineStr">
        <is>
          <t>熊天宝01</t>
        </is>
      </c>
      <c r="J33" s="35" t="inlineStr">
        <is>
          <t>否</t>
        </is>
      </c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罗颖芯</t>
        </is>
      </c>
      <c r="B34" s="14" t="inlineStr">
        <is>
          <t>四年级</t>
        </is>
      </c>
      <c r="C34" s="35" t="inlineStr">
        <is>
          <t>刘佳明</t>
        </is>
      </c>
      <c r="D34" s="35" t="inlineStr">
        <is>
          <t>新宝利大厦</t>
        </is>
      </c>
      <c r="E34" s="35" t="inlineStr">
        <is>
          <t>雪球思维</t>
        </is>
      </c>
      <c r="F34" s="35" t="inlineStr">
        <is>
          <t>源能班</t>
        </is>
      </c>
      <c r="G34" s="35" t="inlineStr">
        <is>
          <t>三期</t>
        </is>
      </c>
      <c r="H34" s="35" t="inlineStr">
        <is>
          <t>10:20-12:30</t>
        </is>
      </c>
      <c r="I34" s="35" t="inlineStr">
        <is>
          <t>林志豪01</t>
        </is>
      </c>
      <c r="J34" s="35" t="inlineStr">
        <is>
          <t>否</t>
        </is>
      </c>
      <c r="K34" s="35" t="inlineStr">
        <is>
          <t>是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邹子琳</t>
        </is>
      </c>
      <c r="B35" s="14" t="inlineStr">
        <is>
          <t>四年级</t>
        </is>
      </c>
      <c r="C35" s="35" t="inlineStr">
        <is>
          <t>刘佳明</t>
        </is>
      </c>
      <c r="D35" s="35" t="inlineStr">
        <is>
          <t>新宝利大厦</t>
        </is>
      </c>
      <c r="E35" s="35" t="inlineStr">
        <is>
          <t>雪球思维</t>
        </is>
      </c>
      <c r="F35" s="35" t="inlineStr">
        <is>
          <t>源能班</t>
        </is>
      </c>
      <c r="G35" s="35" t="inlineStr">
        <is>
          <t>三期</t>
        </is>
      </c>
      <c r="H35" s="35" t="inlineStr">
        <is>
          <t>10:20-12:30</t>
        </is>
      </c>
      <c r="I35" s="35" t="inlineStr">
        <is>
          <t>沈思浩</t>
        </is>
      </c>
      <c r="J35" s="35" t="inlineStr">
        <is>
          <t>否</t>
        </is>
      </c>
      <c r="K35" s="35" t="inlineStr">
        <is>
          <t>是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霍梓朗</t>
        </is>
      </c>
      <c r="B36" s="14" t="inlineStr">
        <is>
          <t>四年级</t>
        </is>
      </c>
      <c r="C36" s="35" t="inlineStr">
        <is>
          <t>刘佳明</t>
        </is>
      </c>
      <c r="D36" s="35" t="inlineStr">
        <is>
          <t>新宝利大厦</t>
        </is>
      </c>
      <c r="E36" s="35" t="inlineStr">
        <is>
          <t>雪球思维</t>
        </is>
      </c>
      <c r="F36" s="35" t="inlineStr">
        <is>
          <t>源能班</t>
        </is>
      </c>
      <c r="G36" s="35" t="inlineStr">
        <is>
          <t>三期</t>
        </is>
      </c>
      <c r="H36" s="35" t="inlineStr">
        <is>
          <t>10:20-12:30</t>
        </is>
      </c>
      <c r="I36" s="35" t="inlineStr">
        <is>
          <t>林志豪01</t>
        </is>
      </c>
      <c r="J36" s="35" t="inlineStr">
        <is>
          <t>否</t>
        </is>
      </c>
      <c r="K36" s="35" t="inlineStr">
        <is>
          <t>是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高翊城</t>
        </is>
      </c>
      <c r="B37" s="14" t="inlineStr">
        <is>
          <t>四年级</t>
        </is>
      </c>
      <c r="C37" s="35" t="inlineStr">
        <is>
          <t>刘佳明</t>
        </is>
      </c>
      <c r="D37" s="35" t="inlineStr">
        <is>
          <t>新宝利大厦</t>
        </is>
      </c>
      <c r="E37" s="35" t="inlineStr">
        <is>
          <t>雪球思维</t>
        </is>
      </c>
      <c r="F37" s="35" t="inlineStr">
        <is>
          <t>源能班</t>
        </is>
      </c>
      <c r="G37" s="35" t="inlineStr">
        <is>
          <t>三期</t>
        </is>
      </c>
      <c r="H37" s="35" t="inlineStr">
        <is>
          <t>10:20-12:30</t>
        </is>
      </c>
      <c r="I37" s="35" t="inlineStr">
        <is>
          <t>林志豪01</t>
        </is>
      </c>
      <c r="J37" s="35" t="inlineStr">
        <is>
          <t>否</t>
        </is>
      </c>
      <c r="K37" s="35" t="inlineStr">
        <is>
          <t>是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丹丹</t>
        </is>
      </c>
      <c r="B38" s="14" t="inlineStr">
        <is>
          <t>四年级</t>
        </is>
      </c>
      <c r="C38" s="35" t="inlineStr">
        <is>
          <t>刘佳明</t>
        </is>
      </c>
      <c r="D38" s="35" t="inlineStr">
        <is>
          <t>新宝利大厦</t>
        </is>
      </c>
      <c r="E38" s="35" t="inlineStr">
        <is>
          <t>雪球思维</t>
        </is>
      </c>
      <c r="F38" s="35" t="inlineStr">
        <is>
          <t>源能班</t>
        </is>
      </c>
      <c r="G38" s="35" t="inlineStr">
        <is>
          <t>三期</t>
        </is>
      </c>
      <c r="H38" s="35" t="inlineStr">
        <is>
          <t>15:50-18:00</t>
        </is>
      </c>
      <c r="I38" s="35" t="inlineStr">
        <is>
          <t>张敏烨</t>
        </is>
      </c>
      <c r="J38" s="35" t="inlineStr">
        <is>
          <t>否</t>
        </is>
      </c>
      <c r="K38" s="35" t="inlineStr">
        <is>
          <t>是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何宇谦</t>
        </is>
      </c>
      <c r="B39" s="14" t="inlineStr">
        <is>
          <t>四年级</t>
        </is>
      </c>
      <c r="C39" s="35" t="inlineStr">
        <is>
          <t>刘佳明</t>
        </is>
      </c>
      <c r="D39" s="35" t="inlineStr">
        <is>
          <t>新宝利大厦</t>
        </is>
      </c>
      <c r="E39" s="35" t="inlineStr">
        <is>
          <t>雪球思维</t>
        </is>
      </c>
      <c r="F39" s="35" t="inlineStr">
        <is>
          <t>源能班</t>
        </is>
      </c>
      <c r="G39" s="35" t="inlineStr">
        <is>
          <t>三期</t>
        </is>
      </c>
      <c r="H39" s="35" t="inlineStr">
        <is>
          <t>15:50-18:00</t>
        </is>
      </c>
      <c r="I39" s="35" t="inlineStr">
        <is>
          <t>熊天宝01</t>
        </is>
      </c>
      <c r="J39" s="35" t="inlineStr">
        <is>
          <t>否</t>
        </is>
      </c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杨善曦</t>
        </is>
      </c>
      <c r="B40" s="14" t="inlineStr">
        <is>
          <t>四年级</t>
        </is>
      </c>
      <c r="C40" s="35" t="inlineStr">
        <is>
          <t>刘佳明</t>
        </is>
      </c>
      <c r="D40" s="35" t="inlineStr">
        <is>
          <t>新宝利大厦</t>
        </is>
      </c>
      <c r="E40" s="35" t="inlineStr">
        <is>
          <t>雪球思维</t>
        </is>
      </c>
      <c r="F40" s="35" t="inlineStr">
        <is>
          <t>源能班</t>
        </is>
      </c>
      <c r="G40" s="35" t="inlineStr">
        <is>
          <t>三期</t>
        </is>
      </c>
      <c r="H40" s="35" t="inlineStr">
        <is>
          <t>15:50-18:00</t>
        </is>
      </c>
      <c r="I40" s="35" t="inlineStr">
        <is>
          <t>杨林33</t>
        </is>
      </c>
      <c r="J40" s="35" t="inlineStr">
        <is>
          <t>否</t>
        </is>
      </c>
      <c r="K40" s="35" t="inlineStr">
        <is>
          <t>是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果果（杨善曈）</t>
        </is>
      </c>
      <c r="B41" s="14" t="inlineStr">
        <is>
          <t>四年级</t>
        </is>
      </c>
      <c r="C41" s="35" t="inlineStr">
        <is>
          <t>刘佳明</t>
        </is>
      </c>
      <c r="D41" s="35" t="inlineStr">
        <is>
          <t>新宝利大厦</t>
        </is>
      </c>
      <c r="E41" s="35" t="inlineStr">
        <is>
          <t>雪球思维</t>
        </is>
      </c>
      <c r="F41" s="35" t="inlineStr">
        <is>
          <t>源能班</t>
        </is>
      </c>
      <c r="G41" s="35" t="inlineStr">
        <is>
          <t>三期</t>
        </is>
      </c>
      <c r="H41" s="35" t="inlineStr">
        <is>
          <t>15:50-18:00</t>
        </is>
      </c>
      <c r="I41" s="35" t="inlineStr">
        <is>
          <t>林志豪01</t>
        </is>
      </c>
      <c r="J41" s="35" t="inlineStr">
        <is>
          <t>否</t>
        </is>
      </c>
      <c r="K41" s="35" t="inlineStr">
        <is>
          <t>是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程越</t>
        </is>
      </c>
      <c r="B42" s="14" t="inlineStr">
        <is>
          <t>四年级</t>
        </is>
      </c>
      <c r="C42" s="35" t="inlineStr">
        <is>
          <t>刘佳明</t>
        </is>
      </c>
      <c r="D42" s="35" t="inlineStr">
        <is>
          <t>新宝利大厦</t>
        </is>
      </c>
      <c r="E42" s="35" t="inlineStr">
        <is>
          <t>雪球思维</t>
        </is>
      </c>
      <c r="F42" s="35" t="inlineStr">
        <is>
          <t>源能班</t>
        </is>
      </c>
      <c r="G42" s="35" t="inlineStr">
        <is>
          <t>三期</t>
        </is>
      </c>
      <c r="H42" s="35" t="inlineStr">
        <is>
          <t>15:50-18:00</t>
        </is>
      </c>
      <c r="I42" s="35" t="inlineStr">
        <is>
          <t>林志豪01</t>
        </is>
      </c>
      <c r="J42" s="35" t="inlineStr">
        <is>
          <t>否</t>
        </is>
      </c>
      <c r="K42" s="35" t="inlineStr">
        <is>
          <t>是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陈梓涵</t>
        </is>
      </c>
      <c r="B43" s="14" t="inlineStr">
        <is>
          <t>四年级</t>
        </is>
      </c>
      <c r="C43" s="35" t="inlineStr">
        <is>
          <t>刘佳明</t>
        </is>
      </c>
      <c r="D43" s="35" t="inlineStr">
        <is>
          <t>新宝利大厦</t>
        </is>
      </c>
      <c r="E43" s="35" t="inlineStr">
        <is>
          <t>雪球思维</t>
        </is>
      </c>
      <c r="F43" s="35" t="inlineStr">
        <is>
          <t>源能班</t>
        </is>
      </c>
      <c r="G43" s="35" t="inlineStr">
        <is>
          <t>三期</t>
        </is>
      </c>
      <c r="H43" s="35" t="inlineStr">
        <is>
          <t>15:50-18:00</t>
        </is>
      </c>
      <c r="I43" s="35" t="inlineStr">
        <is>
          <t>苏丽婷</t>
        </is>
      </c>
      <c r="J43" s="35" t="inlineStr">
        <is>
          <t>否</t>
        </is>
      </c>
      <c r="K43" s="35" t="inlineStr">
        <is>
          <t>是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倪铭雄</t>
        </is>
      </c>
      <c r="B3" s="14" t="inlineStr">
        <is>
          <t>初三</t>
        </is>
      </c>
      <c r="C3" s="35" t="inlineStr">
        <is>
          <t>刘希子</t>
        </is>
      </c>
      <c r="D3" s="35" t="inlineStr">
        <is>
          <t>天成大厦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15:50-18:00</t>
        </is>
      </c>
      <c r="I3" s="35" t="inlineStr">
        <is>
          <t>王达04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宝力格</t>
        </is>
      </c>
      <c r="B4" s="14" t="inlineStr">
        <is>
          <t>初三</t>
        </is>
      </c>
      <c r="C4" s="35" t="inlineStr">
        <is>
          <t>刘希子</t>
        </is>
      </c>
      <c r="D4" s="35" t="inlineStr">
        <is>
          <t>天成大厦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15:50-18:00</t>
        </is>
      </c>
      <c r="I4" s="35" t="inlineStr">
        <is>
          <t>沈思浩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江紫嫣</t>
        </is>
      </c>
      <c r="B5" s="14" t="inlineStr">
        <is>
          <t>初三</t>
        </is>
      </c>
      <c r="C5" s="35" t="inlineStr">
        <is>
          <t>刘希子</t>
        </is>
      </c>
      <c r="D5" s="35" t="inlineStr">
        <is>
          <t>天成大厦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15:50-18:00</t>
        </is>
      </c>
      <c r="I5" s="35" t="inlineStr">
        <is>
          <t>龙倩敏</t>
        </is>
      </c>
      <c r="J5" s="35" t="inlineStr">
        <is>
          <t>否</t>
        </is>
      </c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简智锋</t>
        </is>
      </c>
      <c r="B6" s="14" t="inlineStr">
        <is>
          <t>初三</t>
        </is>
      </c>
      <c r="C6" s="35" t="inlineStr">
        <is>
          <t>刘希子</t>
        </is>
      </c>
      <c r="D6" s="35" t="inlineStr">
        <is>
          <t>天成大厦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15:50-18:00</t>
        </is>
      </c>
      <c r="I6" s="35" t="inlineStr">
        <is>
          <t>陈亮延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管煊宇</t>
        </is>
      </c>
      <c r="B7" s="14" t="inlineStr">
        <is>
          <t>初三</t>
        </is>
      </c>
      <c r="C7" s="35" t="inlineStr">
        <is>
          <t>刘希子</t>
        </is>
      </c>
      <c r="D7" s="35" t="inlineStr">
        <is>
          <t>天成大厦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王达04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蔡诚康</t>
        </is>
      </c>
      <c r="B8" s="14" t="inlineStr">
        <is>
          <t>初三</t>
        </is>
      </c>
      <c r="C8" s="35" t="inlineStr">
        <is>
          <t>刘希子</t>
        </is>
      </c>
      <c r="D8" s="35" t="inlineStr">
        <is>
          <t>天成大厦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15:50-18:00</t>
        </is>
      </c>
      <c r="I8" s="35" t="inlineStr">
        <is>
          <t>罗玉玲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赵伯滔</t>
        </is>
      </c>
      <c r="B9" s="14" t="inlineStr">
        <is>
          <t>初三</t>
        </is>
      </c>
      <c r="C9" s="35" t="inlineStr">
        <is>
          <t>刘希子</t>
        </is>
      </c>
      <c r="D9" s="35" t="inlineStr">
        <is>
          <t>天成大厦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15:50-18:00</t>
        </is>
      </c>
      <c r="I9" s="35" t="inlineStr">
        <is>
          <t>沈思浩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严梓肇</t>
        </is>
      </c>
      <c r="B3" s="14" t="inlineStr">
        <is>
          <t>初二</t>
        </is>
      </c>
      <c r="C3" s="35" t="inlineStr">
        <is>
          <t>广州主讲</t>
        </is>
      </c>
      <c r="D3" s="35" t="inlineStr">
        <is>
          <t>新宝利大厦</t>
        </is>
      </c>
      <c r="E3" s="35" t="inlineStr">
        <is>
          <t>雪球科学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18:20-20:30</t>
        </is>
      </c>
      <c r="I3" s="35" t="inlineStr">
        <is>
          <t>林志豪01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李桐嘉</t>
        </is>
      </c>
      <c r="B4" s="14" t="inlineStr">
        <is>
          <t>初二</t>
        </is>
      </c>
      <c r="C4" s="35" t="inlineStr">
        <is>
          <t>广州主讲</t>
        </is>
      </c>
      <c r="D4" s="35" t="inlineStr">
        <is>
          <t>新宝利大厦</t>
        </is>
      </c>
      <c r="E4" s="35" t="inlineStr">
        <is>
          <t>雪球科学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18:20-20:30</t>
        </is>
      </c>
      <c r="I4" s="35" t="inlineStr">
        <is>
          <t>王达04</t>
        </is>
      </c>
      <c r="J4" s="35" t="inlineStr">
        <is>
          <t>是</t>
        </is>
      </c>
      <c r="K4" s="35" t="inlineStr">
        <is>
          <t>是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林科锦</t>
        </is>
      </c>
      <c r="B5" s="14" t="inlineStr">
        <is>
          <t>初二</t>
        </is>
      </c>
      <c r="C5" s="35" t="inlineStr">
        <is>
          <t>广州主讲</t>
        </is>
      </c>
      <c r="D5" s="35" t="inlineStr">
        <is>
          <t>新宝利大厦</t>
        </is>
      </c>
      <c r="E5" s="35" t="inlineStr">
        <is>
          <t>雪球科学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18:20-20:30</t>
        </is>
      </c>
      <c r="I5" s="35" t="inlineStr">
        <is>
          <t>张敏烨</t>
        </is>
      </c>
      <c r="J5" s="35" t="inlineStr">
        <is>
          <t>是</t>
        </is>
      </c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梁若琳</t>
        </is>
      </c>
      <c r="B6" s="14" t="inlineStr">
        <is>
          <t>初二</t>
        </is>
      </c>
      <c r="C6" s="35" t="inlineStr">
        <is>
          <t>广州主讲</t>
        </is>
      </c>
      <c r="D6" s="35" t="inlineStr">
        <is>
          <t>新宝利大厦</t>
        </is>
      </c>
      <c r="E6" s="35" t="inlineStr">
        <is>
          <t>雪球科学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18:20-20:30</t>
        </is>
      </c>
      <c r="I6" s="35" t="inlineStr">
        <is>
          <t>沈思浩</t>
        </is>
      </c>
      <c r="J6" s="35" t="inlineStr">
        <is>
          <t>否</t>
        </is>
      </c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江紫晴</t>
        </is>
      </c>
      <c r="B7" s="14" t="inlineStr">
        <is>
          <t>初二</t>
        </is>
      </c>
      <c r="C7" s="35" t="inlineStr">
        <is>
          <t>广州主讲</t>
        </is>
      </c>
      <c r="D7" s="35" t="inlineStr">
        <is>
          <t>新宝利大厦</t>
        </is>
      </c>
      <c r="E7" s="35" t="inlineStr">
        <is>
          <t>雪球科学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18:20-20:30</t>
        </is>
      </c>
      <c r="I7" s="35" t="inlineStr">
        <is>
          <t>林志豪01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陈永烨</t>
        </is>
      </c>
      <c r="B8" s="14" t="inlineStr">
        <is>
          <t>初二</t>
        </is>
      </c>
      <c r="C8" s="35" t="inlineStr">
        <is>
          <t>广州主讲</t>
        </is>
      </c>
      <c r="D8" s="35" t="inlineStr">
        <is>
          <t>新宝利大厦</t>
        </is>
      </c>
      <c r="E8" s="35" t="inlineStr">
        <is>
          <t>雪球科学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18:20-20:30</t>
        </is>
      </c>
      <c r="I8" s="35" t="inlineStr">
        <is>
          <t>张敏烨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林春昊</t>
        </is>
      </c>
      <c r="B9" s="14" t="inlineStr">
        <is>
          <t>初二</t>
        </is>
      </c>
      <c r="C9" s="35" t="inlineStr">
        <is>
          <t>广州主讲</t>
        </is>
      </c>
      <c r="D9" s="35" t="inlineStr">
        <is>
          <t>天成大厦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二期</t>
        </is>
      </c>
      <c r="H9" s="35" t="inlineStr">
        <is>
          <t>13:20-15:30</t>
        </is>
      </c>
      <c r="I9" s="35" t="inlineStr">
        <is>
          <t>沈思浩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杨秣文</t>
        </is>
      </c>
      <c r="B10" s="14" t="inlineStr">
        <is>
          <t>六年级</t>
        </is>
      </c>
      <c r="C10" s="35" t="inlineStr">
        <is>
          <t>广州主讲</t>
        </is>
      </c>
      <c r="D10" s="35" t="inlineStr">
        <is>
          <t>天成大厦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二期</t>
        </is>
      </c>
      <c r="H10" s="35" t="inlineStr">
        <is>
          <t>21:00-23:30</t>
        </is>
      </c>
      <c r="I10" s="35" t="inlineStr">
        <is>
          <t>尚歆01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汪雨橙</t>
        </is>
      </c>
      <c r="B11" s="14" t="inlineStr">
        <is>
          <t>六年级</t>
        </is>
      </c>
      <c r="C11" s="35" t="inlineStr">
        <is>
          <t>广州主讲</t>
        </is>
      </c>
      <c r="D11" s="35" t="inlineStr">
        <is>
          <t>天成大厦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二期</t>
        </is>
      </c>
      <c r="H11" s="35" t="inlineStr">
        <is>
          <t>21:00-23:30</t>
        </is>
      </c>
      <c r="I11" s="35" t="inlineStr">
        <is>
          <t>沈思浩</t>
        </is>
      </c>
      <c r="J11" s="35" t="inlineStr">
        <is>
          <t>是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王一淼</t>
        </is>
      </c>
      <c r="B12" s="14" t="inlineStr">
        <is>
          <t>六年级</t>
        </is>
      </c>
      <c r="C12" s="35" t="inlineStr">
        <is>
          <t>广州主讲</t>
        </is>
      </c>
      <c r="D12" s="35" t="inlineStr">
        <is>
          <t>天成大厦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二期</t>
        </is>
      </c>
      <c r="H12" s="35" t="inlineStr">
        <is>
          <t>21:00-23:30</t>
        </is>
      </c>
      <c r="I12" s="35" t="inlineStr">
        <is>
          <t>罗玉玲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陈思齐</t>
        </is>
      </c>
      <c r="B13" s="14" t="inlineStr">
        <is>
          <t>六年级</t>
        </is>
      </c>
      <c r="C13" s="35" t="inlineStr">
        <is>
          <t>广州主讲</t>
        </is>
      </c>
      <c r="D13" s="35" t="inlineStr">
        <is>
          <t>天成大厦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二期</t>
        </is>
      </c>
      <c r="H13" s="35" t="inlineStr">
        <is>
          <t>21:00-23:30</t>
        </is>
      </c>
      <c r="I13" s="35" t="inlineStr">
        <is>
          <t>杨利娟10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龙卓然</t>
        </is>
      </c>
      <c r="B14" s="14" t="inlineStr">
        <is>
          <t>六年级</t>
        </is>
      </c>
      <c r="C14" s="35" t="inlineStr">
        <is>
          <t>广州主讲</t>
        </is>
      </c>
      <c r="D14" s="35" t="inlineStr">
        <is>
          <t>天成大厦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二期</t>
        </is>
      </c>
      <c r="H14" s="35" t="inlineStr">
        <is>
          <t>21:00-23:30</t>
        </is>
      </c>
      <c r="I14" s="35" t="inlineStr">
        <is>
          <t>沈思浩</t>
        </is>
      </c>
      <c r="J14" s="35" t="inlineStr">
        <is>
          <t>否</t>
        </is>
      </c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李泽德</t>
        </is>
      </c>
      <c r="B15" s="14" t="inlineStr">
        <is>
          <t>五年级</t>
        </is>
      </c>
      <c r="C15" s="35" t="inlineStr">
        <is>
          <t>广州主讲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源能班</t>
        </is>
      </c>
      <c r="G15" s="35" t="inlineStr">
        <is>
          <t>二期</t>
        </is>
      </c>
      <c r="H15" s="35" t="inlineStr">
        <is>
          <t>01:20-02:30</t>
        </is>
      </c>
      <c r="I15" s="35" t="inlineStr">
        <is>
          <t>林志豪01</t>
        </is>
      </c>
      <c r="J15" s="35" t="inlineStr">
        <is>
          <t>否</t>
        </is>
      </c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俞智邦</t>
        </is>
      </c>
      <c r="B16" s="14" t="inlineStr">
        <is>
          <t>初二</t>
        </is>
      </c>
      <c r="C16" s="35" t="inlineStr">
        <is>
          <t>广州主讲</t>
        </is>
      </c>
      <c r="D16" s="35" t="inlineStr">
        <is>
          <t>同创汇</t>
        </is>
      </c>
      <c r="E16" s="35" t="inlineStr">
        <is>
          <t>雪球科学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07:50-10:00</t>
        </is>
      </c>
      <c r="I16" s="35" t="inlineStr">
        <is>
          <t>王丽</t>
        </is>
      </c>
      <c r="J16" s="35" t="inlineStr">
        <is>
          <t>否</t>
        </is>
      </c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周宝麒</t>
        </is>
      </c>
      <c r="B17" s="14" t="inlineStr">
        <is>
          <t>初二</t>
        </is>
      </c>
      <c r="C17" s="35" t="inlineStr">
        <is>
          <t>广州主讲</t>
        </is>
      </c>
      <c r="D17" s="35" t="inlineStr">
        <is>
          <t>同创汇</t>
        </is>
      </c>
      <c r="E17" s="35" t="inlineStr">
        <is>
          <t>雪球科学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07:50-10:00</t>
        </is>
      </c>
      <c r="I17" s="35" t="inlineStr">
        <is>
          <t>苏丽婷</t>
        </is>
      </c>
      <c r="J17" s="35" t="inlineStr">
        <is>
          <t>否</t>
        </is>
      </c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罗书林</t>
        </is>
      </c>
      <c r="B18" s="14" t="inlineStr">
        <is>
          <t>初二</t>
        </is>
      </c>
      <c r="C18" s="35" t="inlineStr">
        <is>
          <t>广州主讲</t>
        </is>
      </c>
      <c r="D18" s="35" t="inlineStr">
        <is>
          <t>同创汇</t>
        </is>
      </c>
      <c r="E18" s="35" t="inlineStr">
        <is>
          <t>雪球科学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07:50-10:00</t>
        </is>
      </c>
      <c r="I18" s="35" t="inlineStr">
        <is>
          <t>戎凯01</t>
        </is>
      </c>
      <c r="J18" s="35" t="inlineStr">
        <is>
          <t>是</t>
        </is>
      </c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徐梓恩</t>
        </is>
      </c>
      <c r="B19" s="14" t="inlineStr">
        <is>
          <t>六年级</t>
        </is>
      </c>
      <c r="C19" s="35" t="inlineStr">
        <is>
          <t>广州主讲</t>
        </is>
      </c>
      <c r="D19" s="35" t="inlineStr">
        <is>
          <t>同创汇</t>
        </is>
      </c>
      <c r="E19" s="35" t="inlineStr">
        <is>
          <t>雪球思维</t>
        </is>
      </c>
      <c r="F19" s="35" t="inlineStr">
        <is>
          <t>通用</t>
        </is>
      </c>
      <c r="G19" s="35" t="inlineStr">
        <is>
          <t>无</t>
        </is>
      </c>
      <c r="H19" s="35" t="inlineStr">
        <is>
          <t>08:00-10:00</t>
        </is>
      </c>
      <c r="I19" s="35" t="inlineStr">
        <is>
          <t>熊天宝01</t>
        </is>
      </c>
      <c r="J19" s="35" t="inlineStr">
        <is>
          <t>否</t>
        </is>
      </c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张庆仁</t>
        </is>
      </c>
      <c r="B20" s="14" t="inlineStr">
        <is>
          <t>通用</t>
        </is>
      </c>
      <c r="C20" s="35" t="inlineStr">
        <is>
          <t>广州主讲</t>
        </is>
      </c>
      <c r="D20" s="35" t="inlineStr">
        <is>
          <t>同创汇</t>
        </is>
      </c>
      <c r="E20" s="35" t="inlineStr">
        <is>
          <t>通用</t>
        </is>
      </c>
      <c r="F20" s="35" t="inlineStr">
        <is>
          <t>通用</t>
        </is>
      </c>
      <c r="G20" s="35" t="inlineStr">
        <is>
          <t>无</t>
        </is>
      </c>
      <c r="H20" s="35" t="inlineStr">
        <is>
          <t>08:00-10:00</t>
        </is>
      </c>
      <c r="I20" s="35" t="inlineStr">
        <is>
          <t>熊天宝01</t>
        </is>
      </c>
      <c r="J20" s="35" t="inlineStr">
        <is>
          <t>否</t>
        </is>
      </c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林思宏</t>
        </is>
      </c>
      <c r="B21" s="14" t="inlineStr">
        <is>
          <t>通用</t>
        </is>
      </c>
      <c r="C21" s="35" t="inlineStr">
        <is>
          <t>广州主讲</t>
        </is>
      </c>
      <c r="D21" s="35" t="inlineStr">
        <is>
          <t>同创汇</t>
        </is>
      </c>
      <c r="E21" s="35" t="inlineStr">
        <is>
          <t>通用</t>
        </is>
      </c>
      <c r="F21" s="35" t="inlineStr">
        <is>
          <t>通用</t>
        </is>
      </c>
      <c r="G21" s="35" t="inlineStr">
        <is>
          <t>无</t>
        </is>
      </c>
      <c r="H21" s="35" t="inlineStr">
        <is>
          <t>10:20-12:20</t>
        </is>
      </c>
      <c r="I21" s="35" t="inlineStr">
        <is>
          <t>熊天宝01</t>
        </is>
      </c>
      <c r="J21" s="35" t="inlineStr">
        <is>
          <t>否</t>
        </is>
      </c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吴施瑶</t>
        </is>
      </c>
      <c r="B22" s="14" t="inlineStr">
        <is>
          <t>通用</t>
        </is>
      </c>
      <c r="C22" s="35" t="inlineStr">
        <is>
          <t>广州主讲</t>
        </is>
      </c>
      <c r="D22" s="35" t="inlineStr">
        <is>
          <t>天成大厦</t>
        </is>
      </c>
      <c r="E22" s="35" t="inlineStr">
        <is>
          <t>通用</t>
        </is>
      </c>
      <c r="F22" s="35" t="inlineStr">
        <is>
          <t>通用</t>
        </is>
      </c>
      <c r="G22" s="35" t="inlineStr">
        <is>
          <t>无</t>
        </is>
      </c>
      <c r="H22" s="35" t="inlineStr">
        <is>
          <t>21:00-23:00</t>
        </is>
      </c>
      <c r="I22" s="35" t="inlineStr">
        <is>
          <t>陈冰08</t>
        </is>
      </c>
      <c r="J22" s="35" t="inlineStr">
        <is>
          <t>否</t>
        </is>
      </c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翟浚淦</t>
        </is>
      </c>
      <c r="B23" s="14" t="inlineStr">
        <is>
          <t>四年级</t>
        </is>
      </c>
      <c r="C23" s="35" t="inlineStr">
        <is>
          <t>广州主讲</t>
        </is>
      </c>
      <c r="D23" s="35" t="inlineStr">
        <is>
          <t>新宝利大厦</t>
        </is>
      </c>
      <c r="E23" s="35" t="inlineStr">
        <is>
          <t>双语素养</t>
        </is>
      </c>
      <c r="F23" s="35" t="inlineStr">
        <is>
          <t>通用</t>
        </is>
      </c>
      <c r="G23" s="35" t="inlineStr">
        <is>
          <t>无</t>
        </is>
      </c>
      <c r="H23" s="35" t="inlineStr">
        <is>
          <t>08:00-10:00</t>
        </is>
      </c>
      <c r="I23" s="35" t="inlineStr">
        <is>
          <t>詹婉颖</t>
        </is>
      </c>
      <c r="J23" s="35" t="inlineStr">
        <is>
          <t>否</t>
        </is>
      </c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袁睿钧</t>
        </is>
      </c>
      <c r="B24" s="14" t="inlineStr">
        <is>
          <t>六年级</t>
        </is>
      </c>
      <c r="C24" s="35" t="inlineStr">
        <is>
          <t>广州主讲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通用</t>
        </is>
      </c>
      <c r="G24" s="35" t="inlineStr">
        <is>
          <t>无</t>
        </is>
      </c>
      <c r="H24" s="35" t="inlineStr">
        <is>
          <t>10:20-12:20</t>
        </is>
      </c>
      <c r="I24" s="35" t="inlineStr">
        <is>
          <t>詹婉颖</t>
        </is>
      </c>
      <c r="J24" s="35" t="inlineStr">
        <is>
          <t>否</t>
        </is>
      </c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 xml:space="preserve"> 张梓颖</t>
        </is>
      </c>
      <c r="B3" s="14" t="inlineStr">
        <is>
          <t>初三</t>
        </is>
      </c>
      <c r="C3" s="35" t="inlineStr">
        <is>
          <t>肖锐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二期</t>
        </is>
      </c>
      <c r="H3" s="35" t="inlineStr">
        <is>
          <t>10:20-12:30</t>
        </is>
      </c>
      <c r="I3" s="35" t="inlineStr">
        <is>
          <t>林志豪01</t>
        </is>
      </c>
      <c r="J3" s="35" t="inlineStr">
        <is>
          <t>否</t>
        </is>
      </c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何妤晴</t>
        </is>
      </c>
      <c r="B4" s="14" t="inlineStr">
        <is>
          <t>初三</t>
        </is>
      </c>
      <c r="C4" s="35" t="inlineStr">
        <is>
          <t>肖锐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二期</t>
        </is>
      </c>
      <c r="H4" s="35" t="inlineStr">
        <is>
          <t>10:20-12:30</t>
        </is>
      </c>
      <c r="I4" s="35" t="inlineStr">
        <is>
          <t>林志豪01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梁洪霖</t>
        </is>
      </c>
      <c r="B5" s="14" t="inlineStr">
        <is>
          <t>初三</t>
        </is>
      </c>
      <c r="C5" s="35" t="inlineStr">
        <is>
          <t>肖锐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二期</t>
        </is>
      </c>
      <c r="H5" s="35" t="inlineStr">
        <is>
          <t>10:20-12:30</t>
        </is>
      </c>
      <c r="I5" s="35" t="inlineStr">
        <is>
          <t>王达04</t>
        </is>
      </c>
      <c r="J5" s="35" t="inlineStr">
        <is>
          <t>是</t>
        </is>
      </c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王镓玥</t>
        </is>
      </c>
      <c r="B6" s="14" t="inlineStr">
        <is>
          <t>初三</t>
        </is>
      </c>
      <c r="C6" s="35" t="inlineStr">
        <is>
          <t>肖锐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二期</t>
        </is>
      </c>
      <c r="H6" s="35" t="inlineStr">
        <is>
          <t>10:20-12:30</t>
        </is>
      </c>
      <c r="I6" s="35" t="inlineStr">
        <is>
          <t>林志豪01</t>
        </is>
      </c>
      <c r="J6" s="35" t="inlineStr">
        <is>
          <t>是</t>
        </is>
      </c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陈博</t>
        </is>
      </c>
      <c r="B7" s="14" t="inlineStr">
        <is>
          <t>初三</t>
        </is>
      </c>
      <c r="C7" s="35" t="inlineStr">
        <is>
          <t>肖锐</t>
        </is>
      </c>
      <c r="D7" s="35" t="inlineStr">
        <is>
          <t>新宝利大厦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二期</t>
        </is>
      </c>
      <c r="H7" s="35" t="inlineStr">
        <is>
          <t>10:20-12:30</t>
        </is>
      </c>
      <c r="I7" s="35" t="inlineStr">
        <is>
          <t>林志豪01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Apple</t>
        </is>
      </c>
      <c r="B3" s="14" t="inlineStr">
        <is>
          <t>五年级</t>
        </is>
      </c>
      <c r="C3" s="35" t="inlineStr">
        <is>
          <t>赖浩轩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源能班</t>
        </is>
      </c>
      <c r="G3" s="35" t="inlineStr">
        <is>
          <t>二期</t>
        </is>
      </c>
      <c r="H3" s="35" t="inlineStr">
        <is>
          <t>10:20-12:30</t>
        </is>
      </c>
      <c r="I3" s="35" t="inlineStr">
        <is>
          <t>沈思浩</t>
        </is>
      </c>
      <c r="J3" s="35" t="inlineStr">
        <is>
          <t>否</t>
        </is>
      </c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唐子璐</t>
        </is>
      </c>
      <c r="B4" s="14" t="inlineStr">
        <is>
          <t>五年级</t>
        </is>
      </c>
      <c r="C4" s="35" t="inlineStr">
        <is>
          <t>赖浩轩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源能班</t>
        </is>
      </c>
      <c r="G4" s="35" t="inlineStr">
        <is>
          <t>二期</t>
        </is>
      </c>
      <c r="H4" s="35" t="inlineStr">
        <is>
          <t>10:20-12:30</t>
        </is>
      </c>
      <c r="I4" s="35" t="inlineStr">
        <is>
          <t>沈思浩</t>
        </is>
      </c>
      <c r="J4" s="35" t="inlineStr">
        <is>
          <t>否</t>
        </is>
      </c>
      <c r="K4" s="35" t="inlineStr">
        <is>
          <t>是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朱鑫钰</t>
        </is>
      </c>
      <c r="B5" s="14" t="inlineStr">
        <is>
          <t>五年级</t>
        </is>
      </c>
      <c r="C5" s="35" t="inlineStr">
        <is>
          <t>赖浩轩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源能班</t>
        </is>
      </c>
      <c r="G5" s="35" t="inlineStr">
        <is>
          <t>二期</t>
        </is>
      </c>
      <c r="H5" s="35" t="inlineStr">
        <is>
          <t>10:20-12:30</t>
        </is>
      </c>
      <c r="I5" s="35" t="inlineStr">
        <is>
          <t>王达04</t>
        </is>
      </c>
      <c r="J5" s="35" t="inlineStr">
        <is>
          <t>否</t>
        </is>
      </c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江梓灵</t>
        </is>
      </c>
      <c r="B6" s="14" t="inlineStr">
        <is>
          <t>五年级</t>
        </is>
      </c>
      <c r="C6" s="35" t="inlineStr">
        <is>
          <t>赖浩轩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源能班</t>
        </is>
      </c>
      <c r="G6" s="35" t="inlineStr">
        <is>
          <t>二期</t>
        </is>
      </c>
      <c r="H6" s="35" t="inlineStr">
        <is>
          <t>10:20-12:30</t>
        </is>
      </c>
      <c r="I6" s="35" t="inlineStr">
        <is>
          <t>龙倩敏</t>
        </is>
      </c>
      <c r="J6" s="35" t="inlineStr">
        <is>
          <t>否</t>
        </is>
      </c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种汪洋</t>
        </is>
      </c>
      <c r="B7" s="14" t="inlineStr">
        <is>
          <t>五年级</t>
        </is>
      </c>
      <c r="C7" s="35" t="inlineStr">
        <is>
          <t>赖浩轩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源能班</t>
        </is>
      </c>
      <c r="G7" s="35" t="inlineStr">
        <is>
          <t>二期</t>
        </is>
      </c>
      <c r="H7" s="35" t="inlineStr">
        <is>
          <t>10:20-12:30</t>
        </is>
      </c>
      <c r="I7" s="35" t="inlineStr">
        <is>
          <t>龙倩敏</t>
        </is>
      </c>
      <c r="J7" s="35" t="inlineStr">
        <is>
          <t>否</t>
        </is>
      </c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蔡诚恩</t>
        </is>
      </c>
      <c r="B8" s="14" t="inlineStr">
        <is>
          <t>五年级</t>
        </is>
      </c>
      <c r="C8" s="35" t="inlineStr">
        <is>
          <t>赖浩轩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源能班</t>
        </is>
      </c>
      <c r="G8" s="35" t="inlineStr">
        <is>
          <t>二期</t>
        </is>
      </c>
      <c r="H8" s="35" t="inlineStr">
        <is>
          <t>10:20-12:30</t>
        </is>
      </c>
      <c r="I8" s="35" t="inlineStr">
        <is>
          <t>尚歆01</t>
        </is>
      </c>
      <c r="J8" s="35" t="inlineStr">
        <is>
          <t>否</t>
        </is>
      </c>
      <c r="K8" s="35" t="inlineStr">
        <is>
          <t>是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许思敏</t>
        </is>
      </c>
      <c r="B9" s="14" t="inlineStr">
        <is>
          <t>五年级</t>
        </is>
      </c>
      <c r="C9" s="35" t="inlineStr">
        <is>
          <t>赖浩轩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源能班</t>
        </is>
      </c>
      <c r="G9" s="35" t="inlineStr">
        <is>
          <t>二期</t>
        </is>
      </c>
      <c r="H9" s="35" t="inlineStr">
        <is>
          <t>10:20-12:30</t>
        </is>
      </c>
      <c r="I9" s="35" t="inlineStr">
        <is>
          <t>沈思浩</t>
        </is>
      </c>
      <c r="J9" s="35" t="inlineStr">
        <is>
          <t>否</t>
        </is>
      </c>
      <c r="K9" s="35" t="inlineStr">
        <is>
          <t>是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何子睿</t>
        </is>
      </c>
      <c r="B10" s="14" t="inlineStr">
        <is>
          <t>五年级</t>
        </is>
      </c>
      <c r="C10" s="35" t="inlineStr">
        <is>
          <t>赖浩轩</t>
        </is>
      </c>
      <c r="D10" s="35" t="inlineStr">
        <is>
          <t>新宝利大厦</t>
        </is>
      </c>
      <c r="E10" s="35" t="inlineStr">
        <is>
          <t>雪球思维</t>
        </is>
      </c>
      <c r="F10" s="35" t="inlineStr">
        <is>
          <t>源能班</t>
        </is>
      </c>
      <c r="G10" s="35" t="inlineStr">
        <is>
          <t>二期</t>
        </is>
      </c>
      <c r="H10" s="35" t="inlineStr">
        <is>
          <t>15:50-18:00</t>
        </is>
      </c>
      <c r="I10" s="35" t="inlineStr">
        <is>
          <t>张敏烨</t>
        </is>
      </c>
      <c r="J10" s="35" t="inlineStr">
        <is>
          <t>否</t>
        </is>
      </c>
      <c r="K10" s="35" t="inlineStr">
        <is>
          <t>是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冯皓羽</t>
        </is>
      </c>
      <c r="B11" s="14" t="inlineStr">
        <is>
          <t>五年级</t>
        </is>
      </c>
      <c r="C11" s="35" t="inlineStr">
        <is>
          <t>赖浩轩</t>
        </is>
      </c>
      <c r="D11" s="35" t="inlineStr">
        <is>
          <t>新宝利大厦</t>
        </is>
      </c>
      <c r="E11" s="35" t="inlineStr">
        <is>
          <t>雪球思维</t>
        </is>
      </c>
      <c r="F11" s="35" t="inlineStr">
        <is>
          <t>源能班</t>
        </is>
      </c>
      <c r="G11" s="35" t="inlineStr">
        <is>
          <t>二期</t>
        </is>
      </c>
      <c r="H11" s="35" t="inlineStr">
        <is>
          <t>15:50-18:00</t>
        </is>
      </c>
      <c r="I11" s="35" t="inlineStr">
        <is>
          <t>张敏烨</t>
        </is>
      </c>
      <c r="J11" s="35" t="inlineStr">
        <is>
          <t>否</t>
        </is>
      </c>
      <c r="K11" s="35" t="inlineStr">
        <is>
          <t>是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卢楚杰</t>
        </is>
      </c>
      <c r="B12" s="14" t="inlineStr">
        <is>
          <t>五年级</t>
        </is>
      </c>
      <c r="C12" s="35" t="inlineStr">
        <is>
          <t>赖浩轩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源能班</t>
        </is>
      </c>
      <c r="G12" s="35" t="inlineStr">
        <is>
          <t>二期</t>
        </is>
      </c>
      <c r="H12" s="35" t="inlineStr">
        <is>
          <t>15:50-18:00</t>
        </is>
      </c>
      <c r="I12" s="35" t="inlineStr">
        <is>
          <t>张敏烨</t>
        </is>
      </c>
      <c r="J12" s="35" t="inlineStr">
        <is>
          <t>否</t>
        </is>
      </c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叶子</t>
        </is>
      </c>
      <c r="B13" s="14" t="inlineStr">
        <is>
          <t>五年级</t>
        </is>
      </c>
      <c r="C13" s="35" t="inlineStr">
        <is>
          <t>赖浩轩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源能班</t>
        </is>
      </c>
      <c r="G13" s="35" t="inlineStr">
        <is>
          <t>二期</t>
        </is>
      </c>
      <c r="H13" s="35" t="inlineStr">
        <is>
          <t>15:50-18:00</t>
        </is>
      </c>
      <c r="I13" s="35" t="inlineStr">
        <is>
          <t>张敏烨</t>
        </is>
      </c>
      <c r="J13" s="35" t="inlineStr">
        <is>
          <t>否</t>
        </is>
      </c>
      <c r="K13" s="35" t="inlineStr">
        <is>
          <t>是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吴思远</t>
        </is>
      </c>
      <c r="B14" s="14" t="inlineStr">
        <is>
          <t>五年级</t>
        </is>
      </c>
      <c r="C14" s="35" t="inlineStr">
        <is>
          <t>赖浩轩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源能班</t>
        </is>
      </c>
      <c r="G14" s="35" t="inlineStr">
        <is>
          <t>二期</t>
        </is>
      </c>
      <c r="H14" s="35" t="inlineStr">
        <is>
          <t>15:50-18:00</t>
        </is>
      </c>
      <c r="I14" s="35" t="inlineStr">
        <is>
          <t>林志豪01</t>
        </is>
      </c>
      <c r="J14" s="35" t="inlineStr">
        <is>
          <t>否</t>
        </is>
      </c>
      <c r="K14" s="35" t="inlineStr">
        <is>
          <t>是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天骐</t>
        </is>
      </c>
      <c r="B15" s="14" t="inlineStr">
        <is>
          <t>五年级</t>
        </is>
      </c>
      <c r="C15" s="35" t="inlineStr">
        <is>
          <t>赖浩轩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源能班</t>
        </is>
      </c>
      <c r="G15" s="35" t="inlineStr">
        <is>
          <t>二期</t>
        </is>
      </c>
      <c r="H15" s="35" t="inlineStr">
        <is>
          <t>15:50-18:00</t>
        </is>
      </c>
      <c r="I15" s="35" t="inlineStr">
        <is>
          <t>王丽</t>
        </is>
      </c>
      <c r="J15" s="35" t="inlineStr">
        <is>
          <t>否</t>
        </is>
      </c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奇晔</t>
        </is>
      </c>
      <c r="B16" s="14" t="inlineStr">
        <is>
          <t>五年级</t>
        </is>
      </c>
      <c r="C16" s="35" t="inlineStr">
        <is>
          <t>赖浩轩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源能班</t>
        </is>
      </c>
      <c r="G16" s="35" t="inlineStr">
        <is>
          <t>二期</t>
        </is>
      </c>
      <c r="H16" s="35" t="inlineStr">
        <is>
          <t>15:50-18:00</t>
        </is>
      </c>
      <c r="I16" s="35" t="inlineStr">
        <is>
          <t>林志豪01</t>
        </is>
      </c>
      <c r="J16" s="35" t="inlineStr">
        <is>
          <t>否</t>
        </is>
      </c>
      <c r="K16" s="35" t="inlineStr">
        <is>
          <t>是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婷欣</t>
        </is>
      </c>
      <c r="B17" s="14" t="inlineStr">
        <is>
          <t>五年级</t>
        </is>
      </c>
      <c r="C17" s="35" t="inlineStr">
        <is>
          <t>赖浩轩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源能班</t>
        </is>
      </c>
      <c r="G17" s="35" t="inlineStr">
        <is>
          <t>二期</t>
        </is>
      </c>
      <c r="H17" s="35" t="inlineStr">
        <is>
          <t>15:50-18:00</t>
        </is>
      </c>
      <c r="I17" s="35" t="inlineStr">
        <is>
          <t>张敏烨</t>
        </is>
      </c>
      <c r="J17" s="35" t="inlineStr">
        <is>
          <t>否</t>
        </is>
      </c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孙梦婷</t>
        </is>
      </c>
      <c r="B18" s="14" t="inlineStr">
        <is>
          <t>五年级</t>
        </is>
      </c>
      <c r="C18" s="35" t="inlineStr">
        <is>
          <t>赖浩轩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源能班</t>
        </is>
      </c>
      <c r="G18" s="35" t="inlineStr">
        <is>
          <t>二期</t>
        </is>
      </c>
      <c r="H18" s="35" t="inlineStr">
        <is>
          <t>15:50-18:00</t>
        </is>
      </c>
      <c r="I18" s="35" t="inlineStr">
        <is>
          <t>张敏烨</t>
        </is>
      </c>
      <c r="J18" s="35" t="inlineStr">
        <is>
          <t>否</t>
        </is>
      </c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小涵</t>
        </is>
      </c>
      <c r="B19" s="14" t="inlineStr">
        <is>
          <t>五年级</t>
        </is>
      </c>
      <c r="C19" s="35" t="inlineStr">
        <is>
          <t>赖浩轩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源能班</t>
        </is>
      </c>
      <c r="G19" s="35" t="inlineStr">
        <is>
          <t>二期</t>
        </is>
      </c>
      <c r="H19" s="35" t="inlineStr">
        <is>
          <t>15:50-18:00</t>
        </is>
      </c>
      <c r="I19" s="35" t="inlineStr">
        <is>
          <t>林志豪01</t>
        </is>
      </c>
      <c r="J19" s="35" t="inlineStr">
        <is>
          <t>否</t>
        </is>
      </c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张檬</t>
        </is>
      </c>
      <c r="B20" s="14" t="inlineStr">
        <is>
          <t>五年级</t>
        </is>
      </c>
      <c r="C20" s="35" t="inlineStr">
        <is>
          <t>赖浩轩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源能班</t>
        </is>
      </c>
      <c r="G20" s="35" t="inlineStr">
        <is>
          <t>二期</t>
        </is>
      </c>
      <c r="H20" s="35" t="inlineStr">
        <is>
          <t>15:50-18:00</t>
        </is>
      </c>
      <c r="I20" s="35" t="inlineStr">
        <is>
          <t>张敏烨</t>
        </is>
      </c>
      <c r="J20" s="35" t="inlineStr">
        <is>
          <t>否</t>
        </is>
      </c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智希</t>
        </is>
      </c>
      <c r="B21" s="14" t="inlineStr">
        <is>
          <t>五年级</t>
        </is>
      </c>
      <c r="C21" s="35" t="inlineStr">
        <is>
          <t>赖浩轩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源能班</t>
        </is>
      </c>
      <c r="G21" s="35" t="inlineStr">
        <is>
          <t>二期</t>
        </is>
      </c>
      <c r="H21" s="35" t="inlineStr">
        <is>
          <t>15:50-18:00</t>
        </is>
      </c>
      <c r="I21" s="35" t="inlineStr">
        <is>
          <t>林志豪01</t>
        </is>
      </c>
      <c r="J21" s="35" t="inlineStr">
        <is>
          <t>否</t>
        </is>
      </c>
      <c r="K21" s="35" t="inlineStr">
        <is>
          <t>是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洪钧量</t>
        </is>
      </c>
      <c r="B22" s="14" t="inlineStr">
        <is>
          <t>五年级</t>
        </is>
      </c>
      <c r="C22" s="35" t="inlineStr">
        <is>
          <t>赖浩轩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源能班</t>
        </is>
      </c>
      <c r="G22" s="35" t="inlineStr">
        <is>
          <t>二期</t>
        </is>
      </c>
      <c r="H22" s="35" t="inlineStr">
        <is>
          <t>15:50-18:00</t>
        </is>
      </c>
      <c r="I22" s="35" t="inlineStr">
        <is>
          <t>张敏烨</t>
        </is>
      </c>
      <c r="J22" s="35" t="inlineStr">
        <is>
          <t>否</t>
        </is>
      </c>
      <c r="K22" s="35" t="inlineStr">
        <is>
          <t>是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舒雅</t>
        </is>
      </c>
      <c r="B23" s="14" t="inlineStr">
        <is>
          <t>五年级</t>
        </is>
      </c>
      <c r="C23" s="35" t="inlineStr">
        <is>
          <t>赖浩轩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二期</t>
        </is>
      </c>
      <c r="H23" s="35" t="inlineStr">
        <is>
          <t>15:50-18:00</t>
        </is>
      </c>
      <c r="I23" s="35" t="inlineStr">
        <is>
          <t>林志豪01</t>
        </is>
      </c>
      <c r="J23" s="35" t="inlineStr">
        <is>
          <t>否</t>
        </is>
      </c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邓述涛</t>
        </is>
      </c>
      <c r="B24" s="14" t="inlineStr">
        <is>
          <t>五年级</t>
        </is>
      </c>
      <c r="C24" s="35" t="inlineStr">
        <is>
          <t>赖浩轩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二期</t>
        </is>
      </c>
      <c r="H24" s="35" t="inlineStr">
        <is>
          <t>15:50-18:00</t>
        </is>
      </c>
      <c r="I24" s="35" t="inlineStr">
        <is>
          <t>张敏烨</t>
        </is>
      </c>
      <c r="J24" s="35" t="inlineStr">
        <is>
          <t>否</t>
        </is>
      </c>
      <c r="K24" s="35" t="inlineStr">
        <is>
          <t>是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陈俏言</t>
        </is>
      </c>
      <c r="B25" s="14" t="inlineStr">
        <is>
          <t>五年级</t>
        </is>
      </c>
      <c r="C25" s="35" t="inlineStr">
        <is>
          <t>赖浩轩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二期</t>
        </is>
      </c>
      <c r="H25" s="35" t="inlineStr">
        <is>
          <t>15:50-18:00</t>
        </is>
      </c>
      <c r="I25" s="35" t="inlineStr">
        <is>
          <t>张敏烨</t>
        </is>
      </c>
      <c r="J25" s="35" t="inlineStr">
        <is>
          <t>否</t>
        </is>
      </c>
      <c r="K25" s="35" t="inlineStr">
        <is>
          <t>是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黄学文</t>
        </is>
      </c>
      <c r="B26" s="14" t="inlineStr">
        <is>
          <t>五年级</t>
        </is>
      </c>
      <c r="C26" s="35" t="inlineStr">
        <is>
          <t>赖浩轩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二期</t>
        </is>
      </c>
      <c r="H26" s="35" t="inlineStr">
        <is>
          <t>15:50-18:00</t>
        </is>
      </c>
      <c r="I26" s="35" t="inlineStr">
        <is>
          <t>林志豪01</t>
        </is>
      </c>
      <c r="J26" s="35" t="inlineStr">
        <is>
          <t>否</t>
        </is>
      </c>
      <c r="K26" s="35" t="inlineStr">
        <is>
          <t>是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黄泳心</t>
        </is>
      </c>
      <c r="B27" s="14" t="inlineStr">
        <is>
          <t>五年级</t>
        </is>
      </c>
      <c r="C27" s="35" t="inlineStr">
        <is>
          <t>赖浩轩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二期</t>
        </is>
      </c>
      <c r="H27" s="35" t="inlineStr">
        <is>
          <t>15:50-18:00</t>
        </is>
      </c>
      <c r="I27" s="35" t="inlineStr">
        <is>
          <t>张敏烨</t>
        </is>
      </c>
      <c r="J27" s="35" t="inlineStr">
        <is>
          <t>否</t>
        </is>
      </c>
      <c r="K27" s="35" t="inlineStr">
        <is>
          <t>是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慧慧</t>
        </is>
      </c>
      <c r="B28" s="14" t="inlineStr">
        <is>
          <t>五年级</t>
        </is>
      </c>
      <c r="C28" s="35" t="inlineStr">
        <is>
          <t>赖浩轩</t>
        </is>
      </c>
      <c r="D28" s="35" t="inlineStr">
        <is>
          <t>同创汇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三期</t>
        </is>
      </c>
      <c r="H28" s="35" t="inlineStr">
        <is>
          <t>15:50-18:00</t>
        </is>
      </c>
      <c r="I28" s="35" t="inlineStr">
        <is>
          <t>戎凯01</t>
        </is>
      </c>
      <c r="J28" s="35" t="inlineStr">
        <is>
          <t>否</t>
        </is>
      </c>
      <c r="K28" s="35" t="inlineStr">
        <is>
          <t>是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杨亦桐</t>
        </is>
      </c>
      <c r="B29" s="14" t="inlineStr">
        <is>
          <t>五年级</t>
        </is>
      </c>
      <c r="C29" s="35" t="inlineStr">
        <is>
          <t>赖浩轩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源能班</t>
        </is>
      </c>
      <c r="G29" s="35" t="inlineStr">
        <is>
          <t>三期</t>
        </is>
      </c>
      <c r="H29" s="35" t="inlineStr">
        <is>
          <t>15:50-18:00</t>
        </is>
      </c>
      <c r="I29" s="35" t="inlineStr">
        <is>
          <t>王丽</t>
        </is>
      </c>
      <c r="J29" s="35" t="inlineStr">
        <is>
          <t>否</t>
        </is>
      </c>
      <c r="K29" s="35" t="inlineStr">
        <is>
          <t>是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杨惠森</t>
        </is>
      </c>
      <c r="B30" s="14" t="inlineStr">
        <is>
          <t>五年级</t>
        </is>
      </c>
      <c r="C30" s="35" t="inlineStr">
        <is>
          <t>赖浩轩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源能班</t>
        </is>
      </c>
      <c r="G30" s="35" t="inlineStr">
        <is>
          <t>三期</t>
        </is>
      </c>
      <c r="H30" s="35" t="inlineStr">
        <is>
          <t>15:50-18:00</t>
        </is>
      </c>
      <c r="I30" s="35" t="inlineStr">
        <is>
          <t>戎凯01</t>
        </is>
      </c>
      <c r="J30" s="35" t="inlineStr">
        <is>
          <t>否</t>
        </is>
      </c>
      <c r="K30" s="35" t="inlineStr">
        <is>
          <t>是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殷梓阅</t>
        </is>
      </c>
      <c r="B31" s="14" t="inlineStr">
        <is>
          <t>五年级</t>
        </is>
      </c>
      <c r="C31" s="35" t="inlineStr">
        <is>
          <t>赖浩轩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源能班</t>
        </is>
      </c>
      <c r="G31" s="35" t="inlineStr">
        <is>
          <t>三期</t>
        </is>
      </c>
      <c r="H31" s="35" t="inlineStr">
        <is>
          <t>15:50-18:00</t>
        </is>
      </c>
      <c r="I31" s="35" t="inlineStr">
        <is>
          <t>王丽</t>
        </is>
      </c>
      <c r="J31" s="35" t="inlineStr">
        <is>
          <t>否</t>
        </is>
      </c>
      <c r="K31" s="35" t="inlineStr">
        <is>
          <t>是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潘钰蕙</t>
        </is>
      </c>
      <c r="B32" s="14" t="inlineStr">
        <is>
          <t>五年级</t>
        </is>
      </c>
      <c r="C32" s="35" t="inlineStr">
        <is>
          <t>赖浩轩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源能班</t>
        </is>
      </c>
      <c r="G32" s="35" t="inlineStr">
        <is>
          <t>三期</t>
        </is>
      </c>
      <c r="H32" s="35" t="inlineStr">
        <is>
          <t>15:50-18:00</t>
        </is>
      </c>
      <c r="I32" s="35" t="inlineStr">
        <is>
          <t>苏丽婷</t>
        </is>
      </c>
      <c r="J32" s="35" t="inlineStr">
        <is>
          <t>否</t>
        </is>
      </c>
      <c r="K32" s="35" t="inlineStr">
        <is>
          <t>是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王梓语</t>
        </is>
      </c>
      <c r="B33" s="14" t="inlineStr">
        <is>
          <t>五年级</t>
        </is>
      </c>
      <c r="C33" s="35" t="inlineStr">
        <is>
          <t>赖浩轩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源能班</t>
        </is>
      </c>
      <c r="G33" s="35" t="inlineStr">
        <is>
          <t>三期</t>
        </is>
      </c>
      <c r="H33" s="35" t="inlineStr">
        <is>
          <t>15:50-18:00</t>
        </is>
      </c>
      <c r="I33" s="35" t="inlineStr">
        <is>
          <t>王丽</t>
        </is>
      </c>
      <c r="J33" s="35" t="inlineStr">
        <is>
          <t>否</t>
        </is>
      </c>
      <c r="K33" s="35" t="inlineStr">
        <is>
          <t>是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郑恩浩</t>
        </is>
      </c>
      <c r="B34" s="14" t="inlineStr">
        <is>
          <t>五年级</t>
        </is>
      </c>
      <c r="C34" s="35" t="inlineStr">
        <is>
          <t>赖浩轩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源能班</t>
        </is>
      </c>
      <c r="G34" s="35" t="inlineStr">
        <is>
          <t>三期</t>
        </is>
      </c>
      <c r="H34" s="35" t="inlineStr">
        <is>
          <t>15:50-18:00</t>
        </is>
      </c>
      <c r="I34" s="35" t="inlineStr">
        <is>
          <t>戎凯01</t>
        </is>
      </c>
      <c r="J34" s="35" t="inlineStr">
        <is>
          <t>否</t>
        </is>
      </c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陈尚槿</t>
        </is>
      </c>
      <c r="B35" s="14" t="inlineStr">
        <is>
          <t>五年级</t>
        </is>
      </c>
      <c r="C35" s="35" t="inlineStr">
        <is>
          <t>赖浩轩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源能班</t>
        </is>
      </c>
      <c r="G35" s="35" t="inlineStr">
        <is>
          <t>三期</t>
        </is>
      </c>
      <c r="H35" s="35" t="inlineStr">
        <is>
          <t>15:50-18:00</t>
        </is>
      </c>
      <c r="I35" s="35" t="inlineStr">
        <is>
          <t>苏丽婷</t>
        </is>
      </c>
      <c r="J35" s="35" t="inlineStr">
        <is>
          <t>否</t>
        </is>
      </c>
      <c r="K35" s="35" t="inlineStr">
        <is>
          <t>是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陶星妤</t>
        </is>
      </c>
      <c r="B36" s="14" t="inlineStr">
        <is>
          <t>五年级</t>
        </is>
      </c>
      <c r="C36" s="35" t="inlineStr">
        <is>
          <t>赖浩轩</t>
        </is>
      </c>
      <c r="D36" s="35" t="inlineStr">
        <is>
          <t>同创汇</t>
        </is>
      </c>
      <c r="E36" s="35" t="inlineStr">
        <is>
          <t>雪球思维</t>
        </is>
      </c>
      <c r="F36" s="35" t="inlineStr">
        <is>
          <t>源能班</t>
        </is>
      </c>
      <c r="G36" s="35" t="inlineStr">
        <is>
          <t>三期</t>
        </is>
      </c>
      <c r="H36" s="35" t="inlineStr">
        <is>
          <t>15:50-18:00</t>
        </is>
      </c>
      <c r="I36" s="35" t="inlineStr">
        <is>
          <t>戎凯01</t>
        </is>
      </c>
      <c r="J36" s="35" t="inlineStr">
        <is>
          <t>否</t>
        </is>
      </c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唐梓轩</t>
        </is>
      </c>
      <c r="B37" s="14" t="inlineStr">
        <is>
          <t>五年级</t>
        </is>
      </c>
      <c r="C37" s="35" t="inlineStr">
        <is>
          <t>赖浩轩</t>
        </is>
      </c>
      <c r="D37" s="35" t="inlineStr">
        <is>
          <t>新宝利大厦</t>
        </is>
      </c>
      <c r="E37" s="35" t="inlineStr">
        <is>
          <t>雪球思维</t>
        </is>
      </c>
      <c r="F37" s="35" t="inlineStr">
        <is>
          <t>源能班</t>
        </is>
      </c>
      <c r="G37" s="35" t="inlineStr">
        <is>
          <t>三期</t>
        </is>
      </c>
      <c r="H37" s="35" t="inlineStr">
        <is>
          <t>10:20-12:30</t>
        </is>
      </c>
      <c r="I37" s="35" t="inlineStr">
        <is>
          <t>张敏烨</t>
        </is>
      </c>
      <c r="J37" s="35" t="inlineStr">
        <is>
          <t>否</t>
        </is>
      </c>
      <c r="K37" s="35" t="inlineStr">
        <is>
          <t>是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安妮</t>
        </is>
      </c>
      <c r="B38" s="14" t="inlineStr">
        <is>
          <t>五年级</t>
        </is>
      </c>
      <c r="C38" s="35" t="inlineStr">
        <is>
          <t>赖浩轩</t>
        </is>
      </c>
      <c r="D38" s="35" t="inlineStr">
        <is>
          <t>新宝利大厦</t>
        </is>
      </c>
      <c r="E38" s="35" t="inlineStr">
        <is>
          <t>雪球思维</t>
        </is>
      </c>
      <c r="F38" s="35" t="inlineStr">
        <is>
          <t>源能班</t>
        </is>
      </c>
      <c r="G38" s="35" t="inlineStr">
        <is>
          <t>三期</t>
        </is>
      </c>
      <c r="H38" s="35" t="inlineStr">
        <is>
          <t>10:20-12:30</t>
        </is>
      </c>
      <c r="I38" s="35" t="inlineStr">
        <is>
          <t>张敏烨</t>
        </is>
      </c>
      <c r="J38" s="35" t="inlineStr">
        <is>
          <t>否</t>
        </is>
      </c>
      <c r="K38" s="35" t="inlineStr">
        <is>
          <t>是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张泽霖</t>
        </is>
      </c>
      <c r="B39" s="14" t="inlineStr">
        <is>
          <t>五年级</t>
        </is>
      </c>
      <c r="C39" s="35" t="inlineStr">
        <is>
          <t>赖浩轩</t>
        </is>
      </c>
      <c r="D39" s="35" t="inlineStr">
        <is>
          <t>新宝利大厦</t>
        </is>
      </c>
      <c r="E39" s="35" t="inlineStr">
        <is>
          <t>雪球思维</t>
        </is>
      </c>
      <c r="F39" s="35" t="inlineStr">
        <is>
          <t>源能班</t>
        </is>
      </c>
      <c r="G39" s="35" t="inlineStr">
        <is>
          <t>三期</t>
        </is>
      </c>
      <c r="H39" s="35" t="inlineStr">
        <is>
          <t>10:20-12:30</t>
        </is>
      </c>
      <c r="I39" s="35" t="inlineStr">
        <is>
          <t>张敏烨</t>
        </is>
      </c>
      <c r="J39" s="35" t="inlineStr">
        <is>
          <t>否</t>
        </is>
      </c>
      <c r="K39" s="35" t="inlineStr">
        <is>
          <t>是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曾凯康</t>
        </is>
      </c>
      <c r="B40" s="14" t="inlineStr">
        <is>
          <t>五年级</t>
        </is>
      </c>
      <c r="C40" s="35" t="inlineStr">
        <is>
          <t>赖浩轩</t>
        </is>
      </c>
      <c r="D40" s="35" t="inlineStr">
        <is>
          <t>新宝利大厦</t>
        </is>
      </c>
      <c r="E40" s="35" t="inlineStr">
        <is>
          <t>雪球思维</t>
        </is>
      </c>
      <c r="F40" s="35" t="inlineStr">
        <is>
          <t>源能班</t>
        </is>
      </c>
      <c r="G40" s="35" t="inlineStr">
        <is>
          <t>三期</t>
        </is>
      </c>
      <c r="H40" s="35" t="inlineStr">
        <is>
          <t>10:20-12:30</t>
        </is>
      </c>
      <c r="I40" s="35" t="inlineStr">
        <is>
          <t>林志豪01</t>
        </is>
      </c>
      <c r="J40" s="35" t="inlineStr">
        <is>
          <t>否</t>
        </is>
      </c>
      <c r="K40" s="35" t="inlineStr">
        <is>
          <t>是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杨乐迪</t>
        </is>
      </c>
      <c r="B41" s="14" t="inlineStr">
        <is>
          <t>五年级</t>
        </is>
      </c>
      <c r="C41" s="35" t="inlineStr">
        <is>
          <t>赖浩轩</t>
        </is>
      </c>
      <c r="D41" s="35" t="inlineStr">
        <is>
          <t>新宝利大厦</t>
        </is>
      </c>
      <c r="E41" s="35" t="inlineStr">
        <is>
          <t>雪球思维</t>
        </is>
      </c>
      <c r="F41" s="35" t="inlineStr">
        <is>
          <t>源能班</t>
        </is>
      </c>
      <c r="G41" s="35" t="inlineStr">
        <is>
          <t>三期</t>
        </is>
      </c>
      <c r="H41" s="35" t="inlineStr">
        <is>
          <t>10:20-12:30</t>
        </is>
      </c>
      <c r="I41" s="35" t="inlineStr">
        <is>
          <t>林志豪01</t>
        </is>
      </c>
      <c r="J41" s="35" t="inlineStr">
        <is>
          <t>否</t>
        </is>
      </c>
      <c r="K41" s="35" t="inlineStr">
        <is>
          <t>是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林俊熙</t>
        </is>
      </c>
      <c r="B42" s="14" t="inlineStr">
        <is>
          <t>五年级</t>
        </is>
      </c>
      <c r="C42" s="35" t="inlineStr">
        <is>
          <t>赖浩轩</t>
        </is>
      </c>
      <c r="D42" s="35" t="inlineStr">
        <is>
          <t>新宝利大厦</t>
        </is>
      </c>
      <c r="E42" s="35" t="inlineStr">
        <is>
          <t>雪球思维</t>
        </is>
      </c>
      <c r="F42" s="35" t="inlineStr">
        <is>
          <t>源能班</t>
        </is>
      </c>
      <c r="G42" s="35" t="inlineStr">
        <is>
          <t>三期</t>
        </is>
      </c>
      <c r="H42" s="35" t="inlineStr">
        <is>
          <t>10:20-12:30</t>
        </is>
      </c>
      <c r="I42" s="35" t="inlineStr">
        <is>
          <t>张敏烨</t>
        </is>
      </c>
      <c r="J42" s="35" t="inlineStr">
        <is>
          <t>否</t>
        </is>
      </c>
      <c r="K42" s="35" t="inlineStr">
        <is>
          <t>是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皓博</t>
        </is>
      </c>
      <c r="B43" s="14" t="inlineStr">
        <is>
          <t>五年级</t>
        </is>
      </c>
      <c r="C43" s="35" t="inlineStr">
        <is>
          <t>赖浩轩</t>
        </is>
      </c>
      <c r="D43" s="35" t="inlineStr">
        <is>
          <t>新宝利大厦</t>
        </is>
      </c>
      <c r="E43" s="35" t="inlineStr">
        <is>
          <t>雪球思维</t>
        </is>
      </c>
      <c r="F43" s="35" t="inlineStr">
        <is>
          <t>源能班</t>
        </is>
      </c>
      <c r="G43" s="35" t="inlineStr">
        <is>
          <t>三期</t>
        </is>
      </c>
      <c r="H43" s="35" t="inlineStr">
        <is>
          <t>10:20-12:30</t>
        </is>
      </c>
      <c r="I43" s="35" t="inlineStr">
        <is>
          <t>张敏烨</t>
        </is>
      </c>
      <c r="J43" s="35" t="inlineStr">
        <is>
          <t>是</t>
        </is>
      </c>
      <c r="K43" s="35" t="inlineStr">
        <is>
          <t>否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  <row r="44" ht="16.5" customHeight="1" s="81">
      <c r="A44" s="26" t="inlineStr">
        <is>
          <t>胡牧雅</t>
        </is>
      </c>
      <c r="B44" s="14" t="inlineStr">
        <is>
          <t>五年级</t>
        </is>
      </c>
      <c r="C44" s="35" t="inlineStr">
        <is>
          <t>赖浩轩</t>
        </is>
      </c>
      <c r="D44" s="35" t="inlineStr">
        <is>
          <t>新宝利大厦</t>
        </is>
      </c>
      <c r="E44" s="35" t="inlineStr">
        <is>
          <t>雪球思维</t>
        </is>
      </c>
      <c r="F44" s="35" t="inlineStr">
        <is>
          <t>源能班</t>
        </is>
      </c>
      <c r="G44" s="35" t="inlineStr">
        <is>
          <t>三期</t>
        </is>
      </c>
      <c r="H44" s="35" t="inlineStr">
        <is>
          <t>10:20-12:30</t>
        </is>
      </c>
      <c r="I44" s="35" t="inlineStr">
        <is>
          <t>张敏烨</t>
        </is>
      </c>
      <c r="J44" s="35" t="inlineStr">
        <is>
          <t>否</t>
        </is>
      </c>
      <c r="K44" s="35" t="inlineStr">
        <is>
          <t>是</t>
        </is>
      </c>
      <c r="L44" s="15" t="n"/>
      <c r="M44" s="15" t="n"/>
      <c r="N44" s="15" t="n"/>
      <c r="O44" s="15" t="n"/>
      <c r="P44" s="36" t="n"/>
      <c r="Q44" s="36" t="n"/>
      <c r="R44" s="11" t="n"/>
      <c r="S44" s="45" t="n"/>
      <c r="T44" s="45" t="n"/>
      <c r="U44" s="39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</row>
    <row r="45" ht="16.5" customHeight="1" s="81">
      <c r="A45" s="26" t="inlineStr">
        <is>
          <t>韩萱徽</t>
        </is>
      </c>
      <c r="B45" s="14" t="inlineStr">
        <is>
          <t>五年级</t>
        </is>
      </c>
      <c r="C45" s="35" t="inlineStr">
        <is>
          <t>赖浩轩</t>
        </is>
      </c>
      <c r="D45" s="35" t="inlineStr">
        <is>
          <t>新宝利大厦</t>
        </is>
      </c>
      <c r="E45" s="35" t="inlineStr">
        <is>
          <t>雪球思维</t>
        </is>
      </c>
      <c r="F45" s="35" t="inlineStr">
        <is>
          <t>源能班</t>
        </is>
      </c>
      <c r="G45" s="35" t="inlineStr">
        <is>
          <t>三期</t>
        </is>
      </c>
      <c r="H45" s="35" t="inlineStr">
        <is>
          <t>10:20-12:30</t>
        </is>
      </c>
      <c r="I45" s="35" t="inlineStr">
        <is>
          <t>张敏烨</t>
        </is>
      </c>
      <c r="J45" s="35" t="inlineStr">
        <is>
          <t>是</t>
        </is>
      </c>
      <c r="K45" s="35" t="inlineStr">
        <is>
          <t>否</t>
        </is>
      </c>
      <c r="L45" s="15" t="n"/>
      <c r="M45" s="15" t="n"/>
      <c r="N45" s="15" t="n"/>
      <c r="O45" s="15" t="n"/>
      <c r="P45" s="36" t="n"/>
      <c r="Q45" s="36" t="n"/>
      <c r="R45" s="11" t="n"/>
      <c r="S45" s="45" t="n"/>
      <c r="T45" s="45" t="n"/>
      <c r="U45" s="39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严梓肇</t>
        </is>
      </c>
      <c r="B3" s="14" t="inlineStr">
        <is>
          <t>初二</t>
        </is>
      </c>
      <c r="C3" s="35" t="inlineStr">
        <is>
          <t>高心怡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10:20-12:30</t>
        </is>
      </c>
      <c r="I3" s="35" t="inlineStr">
        <is>
          <t>林志豪01</t>
        </is>
      </c>
      <c r="J3" s="35" t="inlineStr">
        <is>
          <t>是</t>
        </is>
      </c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李牧蔻</t>
        </is>
      </c>
      <c r="B4" s="14" t="inlineStr">
        <is>
          <t>初二</t>
        </is>
      </c>
      <c r="C4" s="35" t="inlineStr">
        <is>
          <t>高心怡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10:20-12:30</t>
        </is>
      </c>
      <c r="I4" s="35" t="inlineStr">
        <is>
          <t>林志豪01</t>
        </is>
      </c>
      <c r="J4" s="35" t="inlineStr">
        <is>
          <t>是</t>
        </is>
      </c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林科锦</t>
        </is>
      </c>
      <c r="B5" s="14" t="inlineStr">
        <is>
          <t>初二</t>
        </is>
      </c>
      <c r="C5" s="35" t="inlineStr">
        <is>
          <t>高心怡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10:20-12:30</t>
        </is>
      </c>
      <c r="I5" s="35" t="inlineStr">
        <is>
          <t>张敏烨</t>
        </is>
      </c>
      <c r="J5" s="35" t="inlineStr">
        <is>
          <t>是</t>
        </is>
      </c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汤汶睿</t>
        </is>
      </c>
      <c r="B6" s="14" t="inlineStr">
        <is>
          <t>初二</t>
        </is>
      </c>
      <c r="C6" s="35" t="inlineStr">
        <is>
          <t>高心怡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10:20-12:30</t>
        </is>
      </c>
      <c r="I6" s="35" t="inlineStr">
        <is>
          <t>林志豪01</t>
        </is>
      </c>
      <c r="J6" s="35" t="inlineStr">
        <is>
          <t>是</t>
        </is>
      </c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冯浩然</t>
        </is>
      </c>
      <c r="B7" s="14" t="inlineStr">
        <is>
          <t>初二</t>
        </is>
      </c>
      <c r="C7" s="35" t="inlineStr">
        <is>
          <t>高心怡</t>
        </is>
      </c>
      <c r="D7" s="35" t="inlineStr">
        <is>
          <t>同创汇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三期</t>
        </is>
      </c>
      <c r="H7" s="35" t="inlineStr">
        <is>
          <t>15:50-18:00</t>
        </is>
      </c>
      <c r="I7" s="35" t="inlineStr">
        <is>
          <t>戎凯01</t>
        </is>
      </c>
      <c r="J7" s="35" t="inlineStr">
        <is>
          <t>是</t>
        </is>
      </c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刘倬伊</t>
        </is>
      </c>
      <c r="B8" s="14" t="inlineStr">
        <is>
          <t>初二</t>
        </is>
      </c>
      <c r="C8" s="35" t="inlineStr">
        <is>
          <t>高心怡</t>
        </is>
      </c>
      <c r="D8" s="35" t="inlineStr">
        <is>
          <t>同创汇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三期</t>
        </is>
      </c>
      <c r="H8" s="35" t="inlineStr">
        <is>
          <t>15:50-18:00</t>
        </is>
      </c>
      <c r="I8" s="35" t="inlineStr">
        <is>
          <t>戎凯01</t>
        </is>
      </c>
      <c r="J8" s="35" t="inlineStr">
        <is>
          <t>是</t>
        </is>
      </c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曾汝杨</t>
        </is>
      </c>
      <c r="B9" s="14" t="inlineStr">
        <is>
          <t>初二</t>
        </is>
      </c>
      <c r="C9" s="35" t="inlineStr">
        <is>
          <t>高心怡</t>
        </is>
      </c>
      <c r="D9" s="35" t="inlineStr">
        <is>
          <t>同创汇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三期</t>
        </is>
      </c>
      <c r="H9" s="35" t="inlineStr">
        <is>
          <t>15:50-18:00</t>
        </is>
      </c>
      <c r="I9" s="35" t="inlineStr">
        <is>
          <t>苏丽婷</t>
        </is>
      </c>
      <c r="J9" s="35" t="inlineStr">
        <is>
          <t>是</t>
        </is>
      </c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王宥然</t>
        </is>
      </c>
      <c r="B10" s="14" t="inlineStr">
        <is>
          <t>初二</t>
        </is>
      </c>
      <c r="C10" s="35" t="inlineStr">
        <is>
          <t>高心怡</t>
        </is>
      </c>
      <c r="D10" s="35" t="inlineStr">
        <is>
          <t>同创汇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三期</t>
        </is>
      </c>
      <c r="H10" s="35" t="inlineStr">
        <is>
          <t>15:50-18:00</t>
        </is>
      </c>
      <c r="I10" s="35" t="inlineStr">
        <is>
          <t>王丽</t>
        </is>
      </c>
      <c r="J10" s="35" t="inlineStr">
        <is>
          <t>是</t>
        </is>
      </c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谷浩成</t>
        </is>
      </c>
      <c r="B11" s="14" t="inlineStr">
        <is>
          <t>初二</t>
        </is>
      </c>
      <c r="C11" s="35" t="inlineStr">
        <is>
          <t>高心怡</t>
        </is>
      </c>
      <c r="D11" s="35" t="inlineStr">
        <is>
          <t>同创汇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三期</t>
        </is>
      </c>
      <c r="H11" s="35" t="inlineStr">
        <is>
          <t>15:50-18:00</t>
        </is>
      </c>
      <c r="I11" s="35" t="inlineStr">
        <is>
          <t>王丽</t>
        </is>
      </c>
      <c r="J11" s="35" t="inlineStr">
        <is>
          <t>否</t>
        </is>
      </c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陈明炜</t>
        </is>
      </c>
      <c r="B12" s="14" t="inlineStr">
        <is>
          <t>初二</t>
        </is>
      </c>
      <c r="C12" s="35" t="inlineStr">
        <is>
          <t>高心怡</t>
        </is>
      </c>
      <c r="D12" s="35" t="inlineStr">
        <is>
          <t>同创汇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三期</t>
        </is>
      </c>
      <c r="H12" s="35" t="inlineStr">
        <is>
          <t>15:50-18:00</t>
        </is>
      </c>
      <c r="I12" s="35" t="inlineStr">
        <is>
          <t>戎凯01</t>
        </is>
      </c>
      <c r="J12" s="35" t="inlineStr">
        <is>
          <t>是</t>
        </is>
      </c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陈明煊</t>
        </is>
      </c>
      <c r="B13" s="14" t="inlineStr">
        <is>
          <t>初二</t>
        </is>
      </c>
      <c r="C13" s="35" t="inlineStr">
        <is>
          <t>高心怡</t>
        </is>
      </c>
      <c r="D13" s="35" t="inlineStr">
        <is>
          <t>同创汇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三期</t>
        </is>
      </c>
      <c r="H13" s="35" t="inlineStr">
        <is>
          <t>15:50-18:00</t>
        </is>
      </c>
      <c r="I13" s="35" t="inlineStr">
        <is>
          <t>林志豪01</t>
        </is>
      </c>
      <c r="J13" s="35" t="inlineStr">
        <is>
          <t>是</t>
        </is>
      </c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2026-07-05T05:39:38Z</dcterms:modified>
  <cp:lastModifiedBy>DingTalk</cp:lastModifiedBy>
</cp:coreProperties>
</file>
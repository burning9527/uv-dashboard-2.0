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9.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UV台帐" sheetId="3" r:id="rId3"/>
    <sheet name="一期·老师反馈跟进" sheetId="4" r:id="rId4"/>
    <sheet name="零期·UV电访分配" sheetId="5" r:id="rId5" state="hidden"/>
    <sheet name="零期·续报追单表" sheetId="6" r:id="rId6" state="hidden"/>
    <sheet name="零期家长满意度调查" sheetId="7" r:id="rId7" state="hidden"/>
    <sheet name="陈中帅" sheetId="8" r:id="rId8"/>
    <sheet name="FBK短期班" sheetId="9" r:id="rId9" state="hidden"/>
    <sheet name="何咏04" sheetId="10" r:id="rId10"/>
    <sheet name="田雨涵01" sheetId="11" r:id="rId11"/>
    <sheet name="宗志鹏" sheetId="12" r:id="rId12"/>
    <sheet name="李润" sheetId="13" r:id="rId13"/>
    <sheet name="陈南05" sheetId="14" r:id="rId14"/>
    <sheet name="黄铭怡" sheetId="15" r:id="rId15"/>
    <sheet name="王芷烨" sheetId="16" r:id="rId16"/>
    <sheet name="肖锐03" sheetId="17" r:id="rId17"/>
    <sheet name="高心怡04" sheetId="18" r:id="rId18"/>
    <sheet name="刘希子" sheetId="19" r:id="rId1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<sst xmlns="http://schemas.openxmlformats.org/spreadsheetml/2006/main">
  <si>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</si>
  <si>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</si>
  <si>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</si>
  <si>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</si>
  <si>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</si>
  <si>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</si>
  <si>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</si>
  <si>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</si>
  <si>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</si>
  <si>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</si>
  <si>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</si>
  <si>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</si>
  <si>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</si>
  <si>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</si>
  <si>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</si>
  <si>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</si>
  <si>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</si>
  <si>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</si>
  <si>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</si>
  <si>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</si>
  <si>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</si>
  <si>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</si>
  <si>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</si>
  <si>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</si>
  <si>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</si>
  <si>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</si>
  <si>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</si>
  <si>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</si>
  <si>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</si>
  <si>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</si>
  <si>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</si>
  <si>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</si>
  <si>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</si>
  <si>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</si>
  <si>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</si>
  <si>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</si>
  <si>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</si>
  <si>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</si>
  <si>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</si>
  <si>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</si>
  <si>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</si>
  <si>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</si>
  <si>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</si>
  <si>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</si>
  <si>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</si>
  <si>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</si>
  <si>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</si>
  <si>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</si>
  <si>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</si>
  <si>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</si>
  <si>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</si>
  <si>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</si>
  <si>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</si>
  <si>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</si>
  <si>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</si>
  <si>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</si>
  <si>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</si>
  <si>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</si>
  <si>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</si>
  <si>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</si>
  <si>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</si>
  <si>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</si>
  <si>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</si>
  <si>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</si>
  <si>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</si>
  <si>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</si>
  <si>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</si>
  <si>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</si>
  <si>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</si>
  <si>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</si>
  <si>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</si>
  <si>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</si>
  <si>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</si>
  <si>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</si>
  <si>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</si>
  <si>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</si>
  <si>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</si>
  <si>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</si>
  <si>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</si>
  <si>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</si>
  <si>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</si>
  <si>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</si>
  <si>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</si>
  <si>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</si>
  <si>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</si>
  <si>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</si>
  <si>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</si>
  <si>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</si>
  <si>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</si>
  <si>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</si>
  <si>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</si>
  <si>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</si>
  <si>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</si>
  <si>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</si>
  <si>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</si>
  <si>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</si>
  <si>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</si>
  <si>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</si>
  <si>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</si>
  <si>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</si>
  <si>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</si>
  <si>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</si>
  <si>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</si>
  <si>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</si>
  <si>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</si>
  <si>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</si>
  <si>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</si>
  <si>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</si>
  <si>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</si>
  <si>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</si>
  <si>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</si>
  <si>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</si>
  <si>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</si>
  <si>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</si>
  <si>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</si>
  <si>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</si>
  <si>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</si>
  <si>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</si>
  <si>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</si>
  <si>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</si>
  <si>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</si>
  <si>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</si>
  <si>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</si>
  <si>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</si>
  <si>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</si>
  <si>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</si>
  <si>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</si>
  <si>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</si>
  <si>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</si>
  <si>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</si>
  <si>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</si>
  <si>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</si>
  <si>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</si>
  <si>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</si>
  <si>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</si>
  <si>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</si>
  <si>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</si>
  <si>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</si>
  <si>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</si>
  <si>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</si>
  <si>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</si>
  <si>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</si>
  <si>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</si>
  <si>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</si>
  <si>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</si>
  <si>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</si>
  <si>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</si>
  <si>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</si>
  <si>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</si>
  <si>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</si>
  <si>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</si>
  <si>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</si>
  <si>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</si>
  <si>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</si>
  <si>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</si>
  <si>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</si>
  <si>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</si>
  <si>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</si>
  <si>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</si>
  <si>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</si>
  <si>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</si>
  <si>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</si>
  <si>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</si>
  <si>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</si>
  <si>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</si>
  <si>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</si>
  <si>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</si>
  <si>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</si>
  <si>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</si>
  <si>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</si>
  <si>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</si>
  <si>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</si>
  <si>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</si>
  <si>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</si>
  <si>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</si>
  <si>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</si>
  <si>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</si>
  <si>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</si>
  <si>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</si>
  <si>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</si>
  <si>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</si>
  <si>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</si>
  <si>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</si>
  <si>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</si>
  <si>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</si>
  <si>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</si>
  <si>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</si>
  <si>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</si>
  <si>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</si>
  <si>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</si>
  <si>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</si>
  <si>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</si>
  <si>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</si>
  <si>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</si>
  <si>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</si>
  <si>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</si>
  <si>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</si>
  <si>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</si>
  <si>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</si>
  <si>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</si>
  <si>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</si>
  <si>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</si>
  <si>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</si>
  <si>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</si>
  <si>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</si>
  <si>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</si>
  <si>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</si>
  <si>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</si>
  <si>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</si>
  <si>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</si>
  <si>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</si>
  <si>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</si>
  <si>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</si>
  <si>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</si>
  <si>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</si>
  <si>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10:20-12:30</t>
  </si>
  <si>
    <t>13:20-15:30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</si>
  <si>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</si>
  <si>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</si>
  <si>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</si>
  <si>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</si>
  <si>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</si>
  <si>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</si>
  <si>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</si>
  <si>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</si>
  <si>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</si>
  <si>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</si>
  <si>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</si>
  <si>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</si>
  <si>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</si>
  <si>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</si>
  <si>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</si>
  <si>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</si>
  <si>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15:50-18:00</t>
  </si>
  <si>
    <t>启能班</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</si>
  <si>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</si>
  <si>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</si>
  <si>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</si>
  <si>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</si>
  <si>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</si>
  <si>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</si>
  <si>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</si>
  <si>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</si>
  <si>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语文，不稳定，阅读（关注，分析什么薄弱），写作（关注孩子的，框架），英语口语好重点关注。作文课留下来做完。</t>
  </si>
  <si>
    <t>许文铠</t>
  </si>
  <si>
    <t>10:30-12:40</t>
  </si>
  <si>
    <t>07:50-10:00</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</si>
  <si>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</si>
  <si>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</si>
  <si>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</si>
  <si>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</si>
  <si>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</si>
  <si>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</si>
  <si>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</si>
  <si>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</si>
  <si>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</si>
  <si>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</si>
  <si>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</si>
  <si>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</si>
  <si>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</si>
  <si>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</si>
  <si>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</si>
  <si>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</si>
  <si>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</si>
  <si>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</si>
  <si>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</si>
  <si>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</si>
  <si>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</si>
  <si>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</si>
  <si>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</si>
  <si>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</si>
  <si>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</si>
  <si>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</si>
  <si>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</si>
  <si>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</si>
  <si>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</si>
  <si>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</si>
  <si>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</si>
  <si>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</si>
  <si>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</si>
  <si>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</si>
  <si>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</si>
  <si>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</si>
  <si>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</si>
  <si>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</si>
  <si>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</si>
  <si>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</si>
  <si>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</si>
  <si>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</si>
  <si>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</si>
  <si>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</si>
  <si>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</si>
  <si>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</si>
  <si>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</si>
  <si>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</si>
  <si>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</si>
  <si>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</si>
  <si>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</si>
  <si>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</si>
  <si>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</si>
  <si>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</si>
  <si>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</si>
  <si>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</si>
  <si>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</si>
  <si>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</si>
  <si>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</si>
  <si>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</si>
  <si>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</si>
  <si>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</si>
  <si>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</si>
  <si>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</si>
  <si>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</si>
  <si>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</si>
  <si>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</si>
  <si>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</si>
  <si>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</si>
  <si>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</si>
  <si>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</si>
  <si>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</si>
  <si>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</si>
  <si>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</si>
  <si>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</si>
  <si>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</si>
  <si>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</si>
  <si>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</si>
  <si>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</si>
  <si>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</si>
  <si>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</si>
  <si>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</si>
  <si>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</si>
  <si>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</si>
  <si>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</si>
  <si>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</si>
  <si>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</si>
  <si>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</si>
  <si>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</si>
  <si>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</si>
  <si>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</si>
  <si>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</si>
  <si>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</si>
  <si>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</si>
  <si>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</si>
  <si>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</si>
  <si>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</si>
  <si>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</si>
  <si>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</si>
  <si>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</si>
  <si>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</si>
  <si>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刘玺君</t>
  </si>
  <si>
    <t>熊天宝01</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</si>
  <si>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</si>
  <si>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</si>
  <si>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</si>
  <si>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</si>
  <si>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</si>
  <si>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</si>
  <si>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</si>
  <si>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</si>
  <si>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</si>
  <si>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</si>
  <si>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</si>
  <si>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</si>
  <si>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</si>
  <si>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陈骏骁</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</si>
  <si>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</si>
  <si>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</si>
  <si>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</si>
  <si>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</si>
  <si>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</si>
  <si>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</si>
  <si>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</si>
  <si>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</si>
  <si>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</si>
  <si>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</si>
  <si>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</si>
  <si>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</si>
  <si>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</si>
  <si>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</si>
  <si>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</si>
  <si>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</si>
  <si>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</si>
  <si>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</si>
  <si>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</si>
  <si>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</si>
  <si>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</si>
  <si>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</si>
  <si>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</si>
  <si>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</si>
  <si>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</si>
  <si>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</si>
  <si>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</si>
  <si>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</si>
  <si>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</si>
  <si>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</si>
  <si>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</si>
  <si>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</si>
  <si>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</si>
  <si>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</si>
  <si>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</si>
  <si>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</si>
  <si>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</si>
  <si>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</si>
  <si>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</si>
  <si>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</si>
  <si>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</si>
  <si>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</si>
  <si>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</si>
  <si>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</si>
  <si>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</si>
  <si>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</si>
  <si>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</si>
  <si>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</si>
  <si>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</si>
  <si>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</si>
  <si>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</si>
  <si>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</si>
  <si>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</si>
  <si>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</si>
  <si>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</si>
  <si>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</si>
  <si>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</si>
  <si>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</si>
  <si>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</si>
  <si>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</si>
  <si>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</si>
  <si>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</si>
  <si>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</si>
  <si>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</si>
  <si>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</si>
  <si>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</si>
  <si>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</si>
  <si>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</si>
  <si>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</si>
  <si>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</si>
  <si>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</si>
  <si>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</si>
  <si>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</si>
  <si>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</si>
  <si>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</si>
  <si>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</si>
  <si>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</si>
  <si>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</si>
  <si>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</si>
  <si>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</si>
  <si>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</si>
  <si>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</si>
  <si>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</si>
  <si>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</si>
  <si>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</si>
  <si>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</si>
  <si>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</si>
  <si>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</si>
  <si>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</si>
  <si>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</si>
  <si>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</si>
  <si>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</si>
  <si>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</si>
  <si>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</si>
  <si>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</si>
  <si>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</si>
  <si>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</si>
  <si>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</si>
  <si>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</si>
  <si>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</si>
  <si>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</si>
  <si>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</si>
  <si>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</si>
  <si>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</si>
  <si>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</si>
  <si>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</si>
  <si>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</si>
  <si>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</si>
  <si>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</si>
  <si>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</si>
  <si>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</si>
  <si>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</si>
  <si>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</si>
  <si>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</si>
  <si>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</si>
  <si>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</si>
  <si>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</si>
  <si>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</si>
  <si>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</si>
  <si>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</si>
  <si>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</si>
  <si>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</si>
  <si>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</si>
  <si>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</si>
  <si>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</si>
  <si>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</si>
  <si>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</si>
  <si>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</si>
  <si>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</si>
  <si>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</si>
  <si>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</si>
  <si>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</si>
  <si>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</si>
  <si>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</si>
  <si>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</si>
  <si>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</si>
  <si>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</si>
  <si>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</si>
  <si>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</si>
  <si>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</si>
  <si>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</si>
  <si>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</si>
  <si>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</si>
  <si>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</si>
  <si>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</si>
  <si>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</si>
  <si>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</si>
  <si>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</si>
  <si>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</si>
  <si>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</si>
  <si>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</si>
  <si>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</si>
  <si>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</si>
  <si>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</si>
  <si>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</si>
  <si>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</si>
  <si>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</si>
  <si>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</si>
  <si>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</si>
  <si>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</si>
  <si>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</si>
  <si>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</si>
  <si>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</si>
  <si>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</si>
  <si>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</si>
  <si>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</si>
  <si>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</si>
  <si>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</si>
  <si>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</si>
  <si>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</si>
  <si>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</si>
  <si>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</si>
  <si>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</si>
  <si>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</si>
  <si>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</si>
  <si>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</si>
  <si>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</si>
  <si>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</si>
  <si>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</si>
  <si>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</si>
  <si>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</si>
  <si>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</si>
  <si>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</si>
  <si>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</si>
  <si>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</si>
  <si>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</si>
  <si>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</si>
  <si>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</si>
  <si>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</si>
  <si>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</si>
  <si>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</si>
  <si>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</si>
  <si>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</si>
  <si>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</si>
  <si>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</si>
  <si>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</si>
  <si>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</si>
  <si>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</si>
  <si>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</si>
  <si>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</si>
  <si>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</si>
  <si>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</si>
  <si>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</si>
  <si>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</si>
  <si>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</si>
  <si>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</si>
  <si>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</si>
  <si>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</si>
  <si>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</si>
  <si>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</si>
  <si>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</si>
  <si>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</si>
  <si>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</si>
  <si>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</si>
  <si>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</si>
  <si>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</si>
  <si>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</si>
  <si>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</si>
  <si>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</si>
  <si>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孙睿熙</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</si>
  <si>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</si>
  <si>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</si>
  <si>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</si>
  <si>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</si>
  <si>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</si>
  <si>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</si>
  <si>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</si>
  <si>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</si>
  <si>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</si>
  <si>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</si>
  <si>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</si>
  <si>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</si>
  <si>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</si>
  <si>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</si>
  <si>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</si>
  <si>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</si>
  <si>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</si>
  <si>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</si>
  <si>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</si>
  <si>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</si>
  <si>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</si>
  <si>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</si>
  <si>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</si>
  <si>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</si>
  <si>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</si>
  <si>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</si>
  <si>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</si>
  <si>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</si>
  <si>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</si>
  <si>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</si>
  <si>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</si>
  <si>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</si>
  <si>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</si>
  <si>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</si>
  <si>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</si>
  <si>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</si>
  <si>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</si>
  <si>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</si>
  <si>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</si>
  <si>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</si>
  <si>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</si>
  <si>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</si>
  <si>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</si>
  <si>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</si>
  <si>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</si>
  <si>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</si>
  <si>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</si>
  <si>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</si>
  <si>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</si>
  <si>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</si>
  <si>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</si>
  <si>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</si>
  <si>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</si>
  <si>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</si>
  <si>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</si>
  <si>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</si>
  <si>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</si>
  <si>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</si>
  <si>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</si>
  <si>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</si>
  <si>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</si>
  <si>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</si>
  <si>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</si>
  <si>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</si>
  <si>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</si>
  <si>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</si>
  <si>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</si>
  <si>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</si>
  <si>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</si>
  <si>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</si>
  <si>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</si>
  <si>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</si>
  <si>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</si>
  <si>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</si>
  <si>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</si>
  <si>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</si>
  <si>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</si>
  <si>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</si>
  <si>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</si>
  <si>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</si>
  <si>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</si>
  <si>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</si>
  <si>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</si>
  <si>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</si>
  <si>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</si>
  <si>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</si>
  <si>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</si>
  <si>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</si>
  <si>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</si>
  <si>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</si>
  <si>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</si>
  <si>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</si>
  <si>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</si>
  <si>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</si>
  <si>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</si>
  <si>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</si>
  <si>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</si>
  <si>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</si>
  <si>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</si>
  <si>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</si>
  <si>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</si>
  <si>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</si>
  <si>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</si>
  <si>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</si>
  <si>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</si>
  <si>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</si>
  <si>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</si>
  <si>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</si>
  <si>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</si>
  <si>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</si>
  <si>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</si>
  <si>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</si>
  <si>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</si>
  <si>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</si>
  <si>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</si>
  <si>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</si>
  <si>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</si>
  <si>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</si>
  <si>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</si>
  <si>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</si>
  <si>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</si>
  <si>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</si>
  <si>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</si>
  <si>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</si>
  <si>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</si>
  <si>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</si>
  <si>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</si>
  <si>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</si>
  <si>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</si>
  <si>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</si>
  <si>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</si>
  <si>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</si>
  <si>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</si>
  <si>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</si>
  <si>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</si>
  <si>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</si>
  <si>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</si>
  <si>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</si>
  <si>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</si>
  <si>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</si>
  <si>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</si>
  <si>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</si>
  <si>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</si>
  <si>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</si>
  <si>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</si>
  <si>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</si>
  <si>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</si>
  <si>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</si>
  <si>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</si>
  <si>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</si>
  <si>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</si>
  <si>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</si>
  <si>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</si>
  <si>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</si>
  <si>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</si>
  <si>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</si>
  <si>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</si>
  <si>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</si>
  <si>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</si>
  <si>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</si>
  <si>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</si>
  <si>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</si>
  <si>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</si>
  <si>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</si>
  <si>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</si>
  <si>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</si>
  <si>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</si>
  <si>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</si>
  <si>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</si>
  <si>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</si>
  <si>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</si>
  <si>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</si>
  <si>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</si>
  <si>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</si>
  <si>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</si>
  <si>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</si>
  <si>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</si>
  <si>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 xml:space="preserve"> </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</si>
  <si>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</si>
  <si>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</si>
  <si>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</si>
  <si>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</si>
  <si>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</si>
  <si>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</si>
  <si>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</si>
  <si>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</si>
  <si>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</si>
  <si>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</si>
  <si>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</si>
  <si>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</si>
  <si>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</si>
  <si>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</si>
  <si>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</si>
  <si>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</si>
  <si>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</si>
  <si>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</si>
  <si>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</si>
  <si>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</si>
  <si>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</si>
  <si>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</si>
  <si>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</si>
  <si>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陈衍信</t>
  </si>
  <si>
    <t>八一希望小学</t>
  </si>
  <si>
    <t>语95数95英95</t>
  </si>
  <si>
    <t>已报</t>
  </si>
  <si>
    <t>零期学员已续报</t>
  </si>
  <si>
    <t>已续费</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</si>
  <si>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</si>
  <si>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</si>
  <si>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</si>
  <si>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</si>
  <si>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</si>
  <si>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</si>
  <si>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</si>
  <si>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</si>
  <si>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</si>
  <si>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</si>
  <si>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</si>
  <si>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</si>
  <si>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</si>
  <si>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</si>
  <si>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</si>
  <si>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</si>
  <si>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</si>
  <si>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</si>
  <si>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</si>
  <si>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</si>
  <si>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</si>
  <si>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</si>
  <si>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</si>
  <si>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</si>
  <si>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</si>
  <si>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</si>
  <si>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</si>
  <si>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</si>
  <si>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</si>
  <si>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</si>
  <si>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</si>
  <si>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</si>
  <si>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</si>
  <si>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</si>
  <si>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</si>
  <si>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</si>
  <si>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</si>
  <si>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</si>
  <si>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</si>
  <si>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</si>
  <si>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</si>
  <si>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</si>
  <si>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</si>
  <si>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</si>
  <si>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</si>
  <si>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</si>
  <si>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</si>
  <si>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</si>
  <si>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</si>
  <si>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</si>
  <si>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</si>
  <si>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</si>
  <si>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</si>
  <si>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</si>
  <si>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</si>
  <si>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</si>
  <si>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</si>
  <si>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</si>
  <si>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</si>
  <si>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</si>
  <si>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</si>
  <si>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</si>
  <si>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</si>
  <si>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</si>
  <si>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</si>
  <si>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</si>
  <si>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</si>
  <si>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</si>
  <si>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</si>
  <si>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</si>
  <si>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</si>
  <si>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</si>
  <si>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</si>
  <si>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</si>
  <si>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</si>
  <si>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</si>
  <si>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</si>
  <si>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</si>
  <si>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</si>
  <si>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</si>
  <si>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</si>
  <si>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</si>
  <si>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</si>
  <si>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</si>
  <si>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</si>
  <si>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</si>
  <si>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</si>
  <si>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</si>
  <si>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</si>
  <si>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</si>
  <si>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</si>
  <si>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</si>
  <si>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</si>
  <si>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</si>
  <si>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</si>
  <si>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</si>
  <si>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</si>
  <si>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</si>
  <si>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</si>
  <si>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</si>
  <si>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</si>
  <si>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</si>
  <si>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</si>
  <si>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</si>
  <si>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</si>
  <si>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</si>
  <si>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</si>
  <si>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</si>
  <si>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</si>
  <si>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</si>
  <si>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</si>
  <si>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</si>
  <si>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</si>
  <si>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</si>
  <si>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</si>
  <si>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</si>
  <si>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</si>
  <si>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</si>
  <si>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</si>
  <si>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</si>
  <si>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</si>
  <si>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</si>
  <si>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</si>
  <si>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</si>
  <si>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</si>
  <si>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</si>
  <si>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</si>
  <si>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</si>
  <si>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</si>
  <si>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</si>
  <si>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</si>
  <si>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</si>
  <si>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</si>
  <si>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</si>
  <si>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</si>
  <si>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</si>
  <si>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</si>
  <si>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</si>
  <si>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</si>
  <si>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</si>
  <si>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</si>
  <si>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</si>
  <si>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</si>
  <si>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</si>
  <si>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</si>
  <si>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</si>
  <si>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</si>
  <si>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</si>
  <si>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</si>
  <si>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</si>
  <si>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</si>
  <si>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</si>
  <si>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</si>
  <si>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</si>
  <si>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</si>
  <si>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</si>
  <si>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</si>
  <si>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</si>
  <si>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</si>
  <si>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</si>
  <si>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</si>
  <si>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</si>
  <si>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</si>
  <si>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</si>
  <si>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</si>
  <si>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</si>
  <si>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</si>
  <si>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</si>
  <si>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</si>
  <si>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</si>
  <si>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</si>
  <si>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</si>
  <si>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</si>
  <si>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</si>
  <si>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</si>
  <si>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</si>
  <si>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</si>
  <si>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</si>
  <si>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</si>
  <si>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</si>
  <si>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</si>
  <si>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渠道来源</t>
  </si>
  <si>
    <t>备注</t>
  </si>
  <si>
    <t>UV在读情况</t>
  </si>
  <si>
    <t>是否加入VIP群</t>
  </si>
  <si>
    <t>家长会</t>
  </si>
  <si>
    <t>报读月份</t>
  </si>
  <si>
    <t>秋季UV留存</t>
  </si>
  <si>
    <t>班级id</t>
  </si>
  <si>
    <t>成绩来源</t>
  </si>
  <si>
    <t>校内未加权</t>
  </si>
  <si>
    <t>教室</t>
  </si>
  <si>
    <t>是否续秋</t>
  </si>
  <si>
    <t>许希泽</t>
  </si>
  <si>
    <t>教室5</t>
  </si>
  <si>
    <t>教室2</t>
  </si>
  <si>
    <t>教室3</t>
  </si>
  <si>
    <t>李思逸</t>
  </si>
  <si>
    <t>01智慧林</t>
  </si>
  <si>
    <t>冼扬皓</t>
  </si>
  <si>
    <t>03品尚</t>
  </si>
  <si>
    <t>诗睿</t>
  </si>
  <si>
    <t>辉辉</t>
  </si>
  <si>
    <t>赵宏达</t>
  </si>
  <si>
    <t>吴宸宇</t>
  </si>
  <si>
    <t>许嘉言</t>
  </si>
  <si>
    <t>02彩虹桥</t>
  </si>
  <si>
    <t>方嘉怡</t>
  </si>
  <si>
    <t>范昕</t>
  </si>
  <si>
    <t>郑惠雅</t>
  </si>
  <si>
    <t>马诗涵</t>
  </si>
  <si>
    <t>闫睿欣</t>
  </si>
  <si>
    <t>顾玉瑶</t>
  </si>
  <si>
    <t>高凯文</t>
  </si>
  <si>
    <t>彦华</t>
  </si>
  <si>
    <t>龙柳橙</t>
  </si>
  <si>
    <t>叶晓静</t>
  </si>
  <si>
    <t>张俊健</t>
  </si>
  <si>
    <t>李浩林</t>
  </si>
  <si>
    <t>郭梓爱</t>
  </si>
  <si>
    <t>梁静彤</t>
  </si>
  <si>
    <t>林梓博</t>
  </si>
  <si>
    <t>廖宇轩</t>
  </si>
  <si>
    <t>张权</t>
  </si>
  <si>
    <t>穆邵瀚</t>
  </si>
  <si>
    <t>善美</t>
  </si>
  <si>
    <t>梁诗晨</t>
  </si>
  <si>
    <t>严佩瑶</t>
  </si>
  <si>
    <t>郑熙芸</t>
  </si>
  <si>
    <t>李梓滔</t>
  </si>
  <si>
    <t>陈昊璟</t>
  </si>
  <si>
    <t>黄乐怡</t>
  </si>
  <si>
    <t>郭一言</t>
  </si>
  <si>
    <t>潘俊羽</t>
  </si>
  <si>
    <t>薛家茹</t>
  </si>
  <si>
    <t>林紫琪</t>
  </si>
  <si>
    <t>黄思源</t>
  </si>
  <si>
    <t>洋洋</t>
  </si>
  <si>
    <t>戴圆圆</t>
  </si>
  <si>
    <t>教室4</t>
  </si>
  <si>
    <t>朱美如</t>
  </si>
  <si>
    <t>聂志浩</t>
  </si>
  <si>
    <t>兰美熙</t>
  </si>
  <si>
    <t>03识海阁</t>
  </si>
  <si>
    <t>林正越</t>
  </si>
  <si>
    <t>唐羽芯</t>
  </si>
  <si>
    <t>刘子填</t>
  </si>
  <si>
    <t>马邦耀</t>
  </si>
  <si>
    <t>巴子轩</t>
  </si>
  <si>
    <t>张皓铭</t>
  </si>
  <si>
    <t>严健天</t>
  </si>
  <si>
    <t>徐安琪</t>
  </si>
  <si>
    <t>温培烨</t>
  </si>
  <si>
    <t>家谊</t>
  </si>
  <si>
    <t>梁雅茹</t>
  </si>
  <si>
    <t>肖尧</t>
  </si>
  <si>
    <t>文犀</t>
  </si>
  <si>
    <t>李宸熙</t>
  </si>
  <si>
    <t>汪泽烨</t>
  </si>
  <si>
    <t>黄春瀚</t>
  </si>
  <si>
    <t>蒋沁原</t>
  </si>
  <si>
    <t>范熙宗</t>
  </si>
  <si>
    <t>尹思韬</t>
  </si>
  <si>
    <t>曾泓皓</t>
  </si>
  <si>
    <t>吴俊康</t>
  </si>
  <si>
    <t>刘映彤</t>
  </si>
  <si>
    <t>郑睿雯</t>
  </si>
  <si>
    <t>刘诗语</t>
  </si>
  <si>
    <t>陈铱帆</t>
  </si>
  <si>
    <t>苏紫盈</t>
  </si>
  <si>
    <t>杨舒窈</t>
  </si>
  <si>
    <t>吴丹妮</t>
  </si>
  <si>
    <t>戴鸿杰</t>
  </si>
  <si>
    <t>梁诺桓</t>
  </si>
  <si>
    <t>梁锐洲</t>
  </si>
  <si>
    <t>叶梦扶</t>
  </si>
  <si>
    <t>赵子赫</t>
  </si>
  <si>
    <t>陈加杰</t>
  </si>
  <si>
    <t>王勃昊</t>
  </si>
  <si>
    <t>刘雯涵</t>
  </si>
  <si>
    <t>金思宇</t>
  </si>
  <si>
    <t>零期/三期</t>
  </si>
  <si>
    <t>邓翔升</t>
  </si>
  <si>
    <t>逸贤</t>
  </si>
  <si>
    <t>润轩</t>
  </si>
  <si>
    <t>吴承谦</t>
  </si>
  <si>
    <t>谢希羲</t>
  </si>
  <si>
    <t>谢明真</t>
  </si>
  <si>
    <t>一期/二期</t>
  </si>
  <si>
    <t>梁晨曦</t>
  </si>
  <si>
    <t>刘芷霖</t>
  </si>
  <si>
    <t>林芊悦1</t>
  </si>
  <si>
    <t>芷榕</t>
  </si>
  <si>
    <t>马雅辛</t>
  </si>
  <si>
    <t>马佳音</t>
  </si>
  <si>
    <t>朱凯纶</t>
  </si>
  <si>
    <t>施钰平</t>
  </si>
  <si>
    <t>程雅涵</t>
  </si>
  <si>
    <t>许玮庭</t>
  </si>
  <si>
    <t>邹艾琳</t>
  </si>
  <si>
    <t>陈力维</t>
  </si>
  <si>
    <t>牛然希</t>
  </si>
  <si>
    <t>朱俊烨</t>
  </si>
  <si>
    <t>黄钰淇</t>
  </si>
  <si>
    <t>刘智烜</t>
  </si>
  <si>
    <t>谭皓轩</t>
  </si>
  <si>
    <t>张垲承</t>
  </si>
  <si>
    <t>冯晴昕</t>
  </si>
  <si>
    <t>罗悦庭</t>
  </si>
  <si>
    <t>黄彦超</t>
  </si>
  <si>
    <t>梁思雅</t>
  </si>
  <si>
    <t>陈梓熙</t>
  </si>
  <si>
    <t>于耀杰</t>
  </si>
  <si>
    <t>杨梓俊</t>
  </si>
  <si>
    <t>黄嘉琳</t>
  </si>
  <si>
    <t>陈淽宜</t>
  </si>
  <si>
    <t>马伊露斯</t>
  </si>
  <si>
    <t>陆泳霖</t>
  </si>
  <si>
    <t>王诗瑜</t>
  </si>
  <si>
    <t>黄若桐</t>
  </si>
  <si>
    <t>黄亦君</t>
  </si>
  <si>
    <t>赖展辉</t>
  </si>
  <si>
    <t>麦紫蕊</t>
  </si>
  <si>
    <t>钱芮汐</t>
  </si>
  <si>
    <t>周梓琳</t>
  </si>
  <si>
    <t>马悦雯</t>
  </si>
  <si>
    <t>黎睿蓓</t>
  </si>
  <si>
    <t>杨梓恒</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</si>
  <si>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</si>
  <si>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</si>
  <si>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</si>
  <si>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</si>
  <si>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</si>
  <si>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</si>
  <si>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</si>
  <si>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</si>
  <si>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</si>
  <si>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</si>
  <si>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</si>
  <si>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</si>
  <si>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</si>
  <si>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</si>
  <si>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</si>
  <si>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</si>
  <si>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</si>
  <si>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</si>
  <si>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</si>
  <si>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段雨芯</t>
  </si>
  <si>
    <t>杨恩桐</t>
  </si>
  <si>
    <t>魏汀瑶</t>
  </si>
  <si>
    <t>沈锦涵</t>
  </si>
  <si>
    <t>王宣蕴</t>
  </si>
  <si>
    <t>丘雅萱</t>
  </si>
  <si>
    <t>何柏禧</t>
  </si>
  <si>
    <t>多次短期班转化，25年秋季正价后流失</t>
  </si>
  <si>
    <t>刘永承</t>
  </si>
  <si>
    <t>赖雨甜</t>
  </si>
  <si>
    <t>于婧芸</t>
  </si>
  <si>
    <t>林怿霖</t>
  </si>
  <si>
    <t>叶湖萍</t>
  </si>
  <si>
    <t>官沛霖</t>
  </si>
  <si>
    <t>译译</t>
  </si>
  <si>
    <t>陈柯珉</t>
  </si>
  <si>
    <t>辰悦</t>
  </si>
  <si>
    <t>罗雅茵</t>
  </si>
  <si>
    <t>杨婧茹</t>
  </si>
  <si>
    <t>林彦辰</t>
  </si>
  <si>
    <t>詹馨宁</t>
  </si>
  <si>
    <t>杨芊羽</t>
  </si>
  <si>
    <t>黄俊熙</t>
  </si>
  <si>
    <t>李思锊</t>
  </si>
  <si>
    <t>李仪璐</t>
  </si>
  <si>
    <t>26寒特惠学员，未转化</t>
  </si>
  <si>
    <t>白锦泽</t>
  </si>
  <si>
    <t>陈家誉</t>
  </si>
  <si>
    <t>詹培琳</t>
  </si>
  <si>
    <t>王喆奎</t>
  </si>
  <si>
    <t>朱哲辰</t>
  </si>
  <si>
    <t>黄泓宇</t>
  </si>
  <si>
    <t>薅羊毛，海珠学员，大概率不会到课，目前其他科目在别的机构在读</t>
  </si>
  <si>
    <t>伦铭聪</t>
  </si>
  <si>
    <t>周加尉</t>
  </si>
  <si>
    <t>陈韵蓉</t>
  </si>
  <si>
    <t>庄梓轩</t>
  </si>
  <si>
    <t>孟庆宇</t>
  </si>
  <si>
    <t>李柏贤</t>
  </si>
  <si>
    <t>郭艺霖</t>
  </si>
  <si>
    <t>冉梓月</t>
  </si>
  <si>
    <t>陈语希</t>
  </si>
  <si>
    <t>曲睿希</t>
  </si>
  <si>
    <t>马伊惠</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</si>
  <si>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</si>
  <si>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</si>
  <si>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</si>
  <si>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</si>
  <si>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</si>
  <si>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</si>
  <si>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</si>
  <si>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</si>
  <si>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</si>
  <si>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</si>
  <si>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</si>
  <si>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</si>
  <si>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</si>
  <si>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</si>
  <si>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</si>
  <si>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</si>
  <si>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</si>
  <si>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</si>
  <si>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</si>
  <si>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</si>
  <si>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</si>
  <si>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</si>
  <si>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杨元博</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</si>
  <si>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</si>
  <si>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</si>
  <si>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</si>
  <si>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</si>
  <si>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</si>
  <si>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</si>
  <si>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</si>
  <si>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</si>
  <si>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</si>
  <si>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</si>
  <si>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黄思睿</t>
  </si>
  <si>
    <t>周芷萱</t>
  </si>
  <si>
    <t>尚歆01</t>
  </si>
  <si>
    <t>司徒嘉瑷</t>
  </si>
  <si>
    <t>25春、25暑多次特惠未转化</t>
  </si>
  <si>
    <t>曹腾烽</t>
  </si>
  <si>
    <t>邢婧萱</t>
  </si>
  <si>
    <t>周炜婷</t>
  </si>
  <si>
    <t>苏晋扬</t>
  </si>
  <si>
    <t>刘芯妍</t>
  </si>
  <si>
    <t>张宸</t>
  </si>
  <si>
    <t>文文</t>
  </si>
  <si>
    <t>李玥宣</t>
  </si>
  <si>
    <t>杨利娟10</t>
  </si>
  <si>
    <t>梁跃曦</t>
  </si>
  <si>
    <t>陆芷琳</t>
  </si>
  <si>
    <t>林小逗</t>
  </si>
  <si>
    <t>张晨睿</t>
  </si>
  <si>
    <t>爸爸是新东方市场渠道负责人，拒绝线下诊断。大概率是咨单获取情报</t>
  </si>
  <si>
    <t>吴皓霖</t>
  </si>
  <si>
    <t>张思宇</t>
  </si>
  <si>
    <t>黄歆越</t>
  </si>
  <si>
    <t>从5年级到初一，只报低价课</t>
  </si>
  <si>
    <t>陈霖锋</t>
  </si>
  <si>
    <t>黄芷瑶</t>
  </si>
  <si>
    <t>黄佩仪</t>
  </si>
  <si>
    <t>陈可欣</t>
  </si>
  <si>
    <t>李尔然</t>
  </si>
  <si>
    <t>叶梓琳</t>
  </si>
  <si>
    <t>陈艺凡</t>
  </si>
  <si>
    <t>张桓</t>
  </si>
  <si>
    <t>魔丸，自然流失未做续费动作</t>
  </si>
  <si>
    <t>ID异常，疑似换手机号报名</t>
  </si>
  <si>
    <t>朗朗</t>
  </si>
  <si>
    <t>梁嘉轩</t>
  </si>
  <si>
    <t>赖奕鹏</t>
  </si>
  <si>
    <t>家庭支付能力差</t>
  </si>
  <si>
    <t>詹婉琦</t>
  </si>
  <si>
    <t>郭芃泽</t>
  </si>
  <si>
    <t>吴季礼</t>
  </si>
  <si>
    <t>张樽昊</t>
  </si>
  <si>
    <t>叶羽宸</t>
  </si>
  <si>
    <t>成绩极差，曾被劝退。且现场中帅有告知明确不收</t>
  </si>
  <si>
    <t>梁悦轩</t>
  </si>
  <si>
    <t>钟宥廷</t>
  </si>
  <si>
    <t>张进桐</t>
  </si>
  <si>
    <t>李晴曦</t>
  </si>
  <si>
    <t>小诺</t>
  </si>
  <si>
    <t>新宝利第一批特惠学员，未转化。龙凤胎，跟小恩一起</t>
  </si>
  <si>
    <t>马嘉浩</t>
  </si>
  <si>
    <t>王奕皓</t>
  </si>
  <si>
    <t>罗玉玲</t>
  </si>
  <si>
    <t>钟瑞佑</t>
  </si>
  <si>
    <t>冯晨茵</t>
  </si>
  <si>
    <t>新宝利第一批特惠学员，未转化</t>
  </si>
  <si>
    <t>陈一依</t>
  </si>
  <si>
    <t>卿子蕙</t>
  </si>
  <si>
    <t>杜欣雨</t>
  </si>
  <si>
    <t>徐子尧</t>
  </si>
  <si>
    <t>马宇成</t>
  </si>
  <si>
    <t>莫琳珊</t>
  </si>
  <si>
    <t>曾被劝退学员</t>
  </si>
  <si>
    <t>闫卓熙</t>
  </si>
  <si>
    <t>刘庭玮</t>
  </si>
  <si>
    <t>萧嘉骏</t>
  </si>
  <si>
    <t>萌萌</t>
  </si>
  <si>
    <t>宸郗</t>
  </si>
  <si>
    <t>傅梓轩</t>
  </si>
  <si>
    <t>许博然</t>
  </si>
  <si>
    <t>方一鸣</t>
  </si>
  <si>
    <t>安安</t>
  </si>
  <si>
    <t>李倬承转介绍</t>
  </si>
  <si>
    <t>李植圳</t>
  </si>
  <si>
    <t>张瑞茜</t>
  </si>
  <si>
    <t>李奕萱</t>
  </si>
  <si>
    <t>春雨</t>
  </si>
  <si>
    <t>奇锋</t>
  </si>
  <si>
    <t>李恩</t>
  </si>
  <si>
    <t>已转班</t>
  </si>
  <si>
    <t>高若曦</t>
  </si>
  <si>
    <t>曹梓晴</t>
  </si>
  <si>
    <t>李亦翔</t>
  </si>
  <si>
    <t>米诺</t>
  </si>
  <si>
    <t>胡力扬</t>
  </si>
  <si>
    <t>纯薅羊毛，曾经报过5节低价课，从5年到7年级</t>
  </si>
  <si>
    <t>姚一新</t>
  </si>
  <si>
    <t>江逸飞</t>
  </si>
  <si>
    <t>黄馨可</t>
  </si>
  <si>
    <t>李泓睿</t>
  </si>
  <si>
    <t>张翊昕</t>
  </si>
  <si>
    <t>二期/三期</t>
  </si>
  <si>
    <t>于彦臻</t>
  </si>
  <si>
    <t>李许晨</t>
  </si>
  <si>
    <t>毕子媛</t>
  </si>
  <si>
    <t>肖宸熙</t>
  </si>
  <si>
    <t>洛汐</t>
  </si>
  <si>
    <t>汐汐</t>
  </si>
  <si>
    <t>王佳44</t>
  </si>
  <si>
    <t>周芷帆</t>
  </si>
  <si>
    <t>王梓骏</t>
  </si>
  <si>
    <t>小恩</t>
  </si>
  <si>
    <t>新宝利第一批特惠学员，未转化。龙凤胎，跟小诺一起</t>
  </si>
  <si>
    <t>陈玥伊</t>
  </si>
  <si>
    <t>徐浩轩</t>
  </si>
  <si>
    <t>团长，转介绍7人</t>
  </si>
  <si>
    <t>陈君羡</t>
  </si>
  <si>
    <t>周名扬</t>
  </si>
  <si>
    <t>梁流楷</t>
  </si>
  <si>
    <t>魏绍恒</t>
  </si>
  <si>
    <t>潘一宁</t>
  </si>
  <si>
    <t>升学渠道</t>
  </si>
  <si>
    <t>雷斐然</t>
  </si>
  <si>
    <t>果儿</t>
  </si>
  <si>
    <t>苏颖旋</t>
  </si>
  <si>
    <t>姚诗琳</t>
  </si>
  <si>
    <t>李志轩</t>
  </si>
  <si>
    <t>钟森伦</t>
  </si>
  <si>
    <t>何施乐</t>
  </si>
  <si>
    <t>张曦元</t>
  </si>
  <si>
    <t>黄雨桐</t>
  </si>
  <si>
    <t>黎晶晶</t>
  </si>
  <si>
    <t>双胞胎，支付能力差</t>
  </si>
  <si>
    <t>黎莹莹</t>
  </si>
  <si>
    <t>苏家颖</t>
  </si>
  <si>
    <t>何子越</t>
  </si>
  <si>
    <t>张安然</t>
  </si>
  <si>
    <t>李庚联</t>
  </si>
  <si>
    <t>学员姓名</t>
  </si>
  <si>
    <t>已续报</t>
  </si>
  <si>
    <t>首课电联老师</t>
  </si>
  <si>
    <t>首课电访（U3）-顾问</t>
  </si>
  <si>
    <t>U1</t>
  </si>
  <si>
    <t>U2</t>
  </si>
  <si>
    <t>U3</t>
  </si>
  <si>
    <t>邀约人（U4）</t>
  </si>
  <si>
    <t>到场情况</t>
  </si>
  <si>
    <t>李润,高心怡04</t>
  </si>
  <si>
    <t>未接2</t>
  </si>
  <si>
    <t>没人聊上，妈妈是决策人，听完讲座就走了。</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</si>
  <si>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</si>
  <si>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</si>
  <si>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</si>
  <si>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</si>
  <si>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</si>
  <si>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</si>
  <si>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</si>
  <si>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</si>
  <si>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</si>
  <si>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</si>
  <si>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</si>
  <si>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</si>
  <si>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</si>
  <si>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</si>
  <si>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</si>
  <si>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</si>
  <si>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</si>
  <si>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</si>
  <si>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</si>
  <si>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</si>
  <si>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</si>
  <si>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</si>
  <si>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</si>
  <si>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</si>
  <si>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</si>
  <si>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</si>
  <si>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</si>
  <si>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已报名</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</si>
  <si>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</si>
  <si>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</si>
  <si>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</si>
  <si>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</si>
  <si>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</si>
  <si>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</si>
  <si>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</si>
  <si>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</si>
  <si>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</si>
  <si>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</si>
  <si>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未接，已留言</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</si>
  <si>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</si>
  <si>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</si>
  <si>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</si>
  <si>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</si>
  <si>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</si>
  <si>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</si>
  <si>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</si>
  <si>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</si>
  <si>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</si>
  <si>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</si>
  <si>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</si>
  <si>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</si>
  <si>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</si>
  <si>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</si>
  <si>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</si>
  <si>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</si>
  <si>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</si>
  <si>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</si>
  <si>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</si>
  <si>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</si>
  <si>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</si>
  <si>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</si>
  <si>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</si>
  <si>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0期来上语文英语，2期上数学</t>
  </si>
  <si>
    <t>妈妈认识到初中的重要性，家里还有一个四年级的弟弟，需要在下一下危机，没有说后续不学秋季，目前只上了一次课，需要在上几次，看一下孩子的提升点</t>
  </si>
  <si>
    <t>没来</t>
  </si>
  <si>
    <t>未回复</t>
  </si>
  <si>
    <t>老生</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</si>
  <si>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</si>
  <si>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</si>
  <si>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</si>
  <si>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</si>
  <si>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</si>
  <si>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</si>
  <si>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</si>
  <si>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</si>
  <si>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</si>
  <si>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</si>
  <si>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</si>
  <si>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</si>
  <si>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</si>
  <si>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</si>
  <si>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</si>
  <si>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</si>
  <si>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</si>
  <si>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</si>
  <si>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</si>
  <si>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</si>
  <si>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</si>
  <si>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田雨涵01,高心怡04</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</si>
  <si>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</si>
  <si>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</si>
  <si>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</si>
  <si>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</si>
  <si>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</si>
  <si>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</si>
  <si>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</si>
  <si>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</si>
  <si>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</si>
  <si>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</si>
  <si>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</si>
  <si>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</si>
  <si>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</si>
  <si>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</si>
  <si>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</si>
  <si>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</si>
  <si>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</si>
  <si>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</si>
  <si>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</si>
  <si>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</si>
  <si>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</si>
  <si>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</si>
  <si>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</si>
  <si>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</si>
  <si>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</si>
  <si>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</si>
  <si>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</si>
  <si>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未接，微信沟通孩子第一天不适应，语文调去二期了，第二天要好一些了，基础偏弱一些</t>
  </si>
  <si>
    <t>数学英语：基础较弱，有进步</t>
  </si>
  <si>
    <t>李卓成报名了，转介绍都报名了；英语16分，作文表述我不喜欢英语</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</si>
  <si>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</si>
  <si>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</si>
  <si>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</si>
  <si>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</si>
  <si>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</si>
  <si>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</si>
  <si>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</si>
  <si>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</si>
  <si>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</si>
  <si>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</si>
  <si>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</si>
  <si>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</si>
  <si>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</si>
  <si>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</si>
  <si>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</si>
  <si>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</si>
  <si>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</si>
  <si>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</si>
  <si>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</si>
  <si>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</si>
  <si>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</si>
  <si>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</si>
  <si>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</si>
  <si>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</si>
  <si>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</si>
  <si>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不打了，已转化了三科</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</si>
  <si>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</si>
  <si>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</si>
  <si>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</si>
  <si>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</si>
  <si>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</si>
  <si>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</si>
  <si>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</si>
  <si>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</si>
  <si>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</si>
  <si>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</si>
  <si>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</si>
  <si>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</si>
  <si>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</si>
  <si>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</si>
  <si>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</si>
  <si>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</si>
  <si>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</si>
  <si>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</si>
  <si>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</si>
  <si>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</si>
  <si>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</si>
  <si>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</si>
  <si>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</si>
  <si>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</si>
  <si>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</si>
  <si>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家长不让打电话</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</si>
  <si>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</si>
  <si>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</si>
  <si>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</si>
  <si>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</si>
  <si>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</si>
  <si>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</si>
  <si>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</si>
  <si>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</si>
  <si>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</si>
  <si>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</si>
  <si>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</si>
  <si>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</si>
  <si>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</si>
  <si>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</si>
  <si>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</si>
  <si>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</si>
  <si>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</si>
  <si>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</si>
  <si>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</si>
  <si>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美华</t>
  </si>
  <si>
    <t>孩子成绩还不错，但是这次摇号结果很心寒，预备着初一都补，但是担心孩子太累，卡点时间</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</si>
  <si>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</si>
  <si>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</si>
  <si>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</si>
  <si>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</si>
  <si>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</si>
  <si>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</si>
  <si>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</si>
  <si>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</si>
  <si>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</si>
  <si>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</si>
  <si>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</si>
  <si>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</si>
  <si>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</si>
  <si>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</si>
  <si>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</si>
  <si>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</si>
  <si>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</si>
  <si>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</si>
  <si>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</si>
  <si>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</si>
  <si>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</si>
  <si>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</si>
  <si>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</si>
  <si>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</si>
  <si>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</si>
  <si>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</si>
  <si>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</si>
  <si>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</si>
  <si>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</si>
  <si>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</si>
  <si>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</si>
  <si>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</si>
  <si>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</si>
  <si>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</si>
  <si>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</si>
  <si>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</si>
  <si>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</si>
  <si>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</si>
  <si>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</si>
  <si>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</si>
  <si>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</si>
  <si>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</si>
  <si>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</si>
  <si>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</si>
  <si>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</si>
  <si>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</si>
  <si>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</si>
  <si>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</si>
  <si>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</si>
  <si>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</si>
  <si>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</si>
  <si>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2026/7/10要返校，不知道要不要去一天，家长更倾向于补课，调课因为时间原因调不了</t>
  </si>
  <si>
    <t>孩子回家打卡安排。</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</si>
  <si>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</si>
  <si>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</si>
  <si>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</si>
  <si>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</si>
  <si>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</si>
  <si>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</si>
  <si>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</si>
  <si>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</si>
  <si>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</si>
  <si>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</si>
  <si>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</si>
  <si>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</si>
  <si>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</si>
  <si>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</si>
  <si>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</si>
  <si>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</si>
  <si>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</si>
  <si>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</si>
  <si>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</si>
  <si>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</si>
  <si>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</si>
  <si>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</si>
  <si>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</si>
  <si>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</si>
  <si>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</si>
  <si>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</si>
  <si>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</si>
  <si>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</si>
  <si>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</si>
  <si>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</si>
  <si>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</si>
  <si>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</si>
  <si>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</si>
  <si>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</si>
  <si>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</si>
  <si>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</si>
  <si>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</si>
  <si>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</si>
  <si>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</si>
  <si>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7.8号下午回校</t>
  </si>
  <si>
    <t>老生已经续报暑秋</t>
  </si>
  <si>
    <t>老生以转化</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</si>
  <si>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</si>
  <si>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</si>
  <si>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</si>
  <si>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</si>
  <si>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</si>
  <si>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</si>
  <si>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</si>
  <si>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</si>
  <si>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</si>
  <si>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</si>
  <si>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</si>
  <si>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</si>
  <si>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</si>
  <si>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</si>
  <si>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</si>
  <si>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</si>
  <si>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</si>
  <si>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</si>
  <si>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</si>
  <si>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</si>
  <si>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</si>
  <si>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</si>
  <si>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</si>
  <si>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</si>
  <si>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</si>
  <si>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</si>
  <si>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</si>
  <si>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</si>
  <si>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</si>
  <si>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</si>
  <si>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</si>
  <si>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</si>
  <si>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</si>
  <si>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</si>
  <si>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</si>
  <si>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</si>
  <si>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</si>
  <si>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</si>
  <si>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孩子之前上线上课，没有上过线下课，最近都没和孩子聊过，今晚回去问问感受，塑危知用，需要多加餐，</t>
  </si>
  <si>
    <t>1、孩子主动性不够强2、家长之前之上线上课有价格对比3、满意度不错4、去了不好的学校有明显的危机感</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</si>
  <si>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</si>
  <si>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</si>
  <si>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</si>
  <si>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</si>
  <si>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</si>
  <si>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</si>
  <si>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</si>
  <si>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</si>
  <si>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</si>
  <si>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</si>
  <si>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</si>
  <si>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已通知</t>
  </si>
  <si>
    <t>第一轮未接老师已沟通，明天在进行回访，未接</t>
  </si>
  <si>
    <t>无法和家长建联，在家长群上家长是有回复的，但是这两天换时段打电话都是接了就挂，发微信不回复</t>
  </si>
  <si>
    <t>刘希子,黄铭怡</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</si>
  <si>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</si>
  <si>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</si>
  <si>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</si>
  <si>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</si>
  <si>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</si>
  <si>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</si>
  <si>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</si>
  <si>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</si>
  <si>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</si>
  <si>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</si>
  <si>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</si>
  <si>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</si>
  <si>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</si>
  <si>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</si>
  <si>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</si>
  <si>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</si>
  <si>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</si>
  <si>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</si>
  <si>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</si>
  <si>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</si>
  <si>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</si>
  <si>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</si>
  <si>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</si>
  <si>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</si>
  <si>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</si>
  <si>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</si>
  <si>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</si>
  <si>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</si>
  <si>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</si>
  <si>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</si>
  <si>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</si>
  <si>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</si>
  <si>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</si>
  <si>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</si>
  <si>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</si>
  <si>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</si>
  <si>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</si>
  <si>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</si>
  <si>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</si>
  <si>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9号和10号上午有事情，调一期或者开通回放都可以，具体再看看学校安排</t>
  </si>
  <si>
    <t>孩子妈妈电话没接，孩子上课比较乖</t>
  </si>
  <si>
    <t>语文：电话没接，孩子学习习惯很好</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</si>
  <si>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</si>
  <si>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</si>
  <si>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</si>
  <si>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</si>
  <si>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</si>
  <si>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</si>
  <si>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</si>
  <si>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</si>
  <si>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</si>
  <si>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</si>
  <si>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</si>
  <si>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</si>
  <si>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</si>
  <si>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</si>
  <si>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</si>
  <si>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</si>
  <si>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</si>
  <si>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</si>
  <si>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</si>
  <si>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</si>
  <si>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</si>
  <si>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</si>
  <si>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</si>
  <si>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</si>
  <si>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</si>
  <si>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</si>
  <si>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</si>
  <si>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</si>
  <si>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</si>
  <si>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</si>
  <si>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</si>
  <si>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</si>
  <si>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</si>
  <si>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关机..微信留言</t>
  </si>
  <si>
    <t>数学：孩子爸爸一直打击孩子，需要鼓励多一些</t>
  </si>
  <si>
    <t>家长不怎么管孩子，有同学一起读；群里互动挺多。英语意向最低，英语学到了初三，进度匹配度低；需要多表扬孩子，正向引导；</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</si>
  <si>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</si>
  <si>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</si>
  <si>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</si>
  <si>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</si>
  <si>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</si>
  <si>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</si>
  <si>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</si>
  <si>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</si>
  <si>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</si>
  <si>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</si>
  <si>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</si>
  <si>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r>
      <rPr>
        <sz val="9"/>
      </rPr>
      <t xml:space="preserve">爸爸第一次来，回去跟妈妈商量一下，说是今晚可以报，未反馈有卡点或不合适，需要顾问今晚再追一下</t>
    </r>
    <r>
      <rPr>
        <color rgb="FF0563C1"/>
      </rPr>
      <t xml:space="preserve"> @戎凯01(戎凯)</t>
    </r>
  </si>
  <si>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</si>
  <si>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</si>
  <si>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</si>
  <si>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</si>
  <si>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</si>
  <si>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数学主讲</t>
  </si>
  <si>
    <t>续报意愿</t>
  </si>
  <si>
    <t>是否已追</t>
  </si>
  <si>
    <t>语文主讲</t>
  </si>
  <si>
    <t>是否续报</t>
  </si>
  <si>
    <t>英语主讲</t>
  </si>
  <si>
    <t>跟进人</t>
  </si>
  <si>
    <t>未续报原因</t>
  </si>
  <si>
    <t>续报率</t>
  </si>
  <si>
    <t>A学员</t>
  </si>
  <si>
    <t>B学员</t>
  </si>
  <si>
    <t>C学员</t>
  </si>
  <si>
    <t>零期在读</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</si>
  <si>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</si>
  <si>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</si>
  <si>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</si>
  <si>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</si>
  <si>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</si>
  <si>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</si>
  <si>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</si>
  <si>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</si>
  <si>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</si>
  <si>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</si>
  <si>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</si>
  <si>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</si>
  <si>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</si>
  <si>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</si>
  <si>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</si>
  <si>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</si>
  <si>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</si>
  <si>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</si>
  <si>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</si>
  <si>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</si>
  <si>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</si>
  <si>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</si>
  <si>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</si>
  <si>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</si>
  <si>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</si>
  <si>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</si>
  <si>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</si>
  <si>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</si>
  <si>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</si>
  <si>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</si>
  <si>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</si>
  <si>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</si>
  <si>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</si>
  <si>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</si>
  <si>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</si>
  <si>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</si>
  <si>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</si>
  <si>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</si>
  <si>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</si>
  <si>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</si>
  <si>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</si>
  <si>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</si>
  <si>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</si>
  <si>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</si>
  <si>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</si>
  <si>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</si>
  <si>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</si>
  <si>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</si>
  <si>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</si>
  <si>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</si>
  <si>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</si>
  <si>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</si>
  <si>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</si>
  <si>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</si>
  <si>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</si>
  <si>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</si>
  <si>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</si>
  <si>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</si>
  <si>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</si>
  <si>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</si>
  <si>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</si>
  <si>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</si>
  <si>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</si>
  <si>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</si>
  <si>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</si>
  <si>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</si>
  <si>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</si>
  <si>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</si>
  <si>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</si>
  <si>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</si>
  <si>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</si>
  <si>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</si>
  <si>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</si>
  <si>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</si>
  <si>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</si>
  <si>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</si>
  <si>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</si>
  <si>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</si>
  <si>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</si>
  <si>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</si>
  <si>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</si>
  <si>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</si>
  <si>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</si>
  <si>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</si>
  <si>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</si>
  <si>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</si>
  <si>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</si>
  <si>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</si>
  <si>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</si>
  <si>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</si>
  <si>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</si>
  <si>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</si>
  <si>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</si>
  <si>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</si>
  <si>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</si>
  <si>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</si>
  <si>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</si>
  <si>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</si>
  <si>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</si>
  <si>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</si>
  <si>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</si>
  <si>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</si>
  <si>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</si>
  <si>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</si>
  <si>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</si>
  <si>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</si>
  <si>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</si>
  <si>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</si>
  <si>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</si>
  <si>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</si>
  <si>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</si>
  <si>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</si>
  <si>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</si>
  <si>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</si>
  <si>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</si>
  <si>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</si>
  <si>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</si>
  <si>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</si>
  <si>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</si>
  <si>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</si>
  <si>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</si>
  <si>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</si>
  <si>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</si>
  <si>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</si>
  <si>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</si>
  <si>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</si>
  <si>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</si>
  <si>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</si>
  <si>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</si>
  <si>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</si>
  <si>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</si>
  <si>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</si>
  <si>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</si>
  <si>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</si>
  <si>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</si>
  <si>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</si>
  <si>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</si>
  <si>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</si>
  <si>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</si>
  <si>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</si>
  <si>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</si>
  <si>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</si>
  <si>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</si>
  <si>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</si>
  <si>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</si>
  <si>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</si>
  <si>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</si>
  <si>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</si>
  <si>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</si>
  <si>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</si>
  <si>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</si>
  <si>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</si>
  <si>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</si>
  <si>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</si>
  <si>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</si>
  <si>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</si>
  <si>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</si>
  <si>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</si>
  <si>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</si>
  <si>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</si>
  <si>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</si>
  <si>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</si>
  <si>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</si>
  <si>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</si>
  <si>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</si>
  <si>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</si>
  <si>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</si>
  <si>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</si>
  <si>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</si>
  <si>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</si>
  <si>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</si>
  <si>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</si>
  <si>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</si>
  <si>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</si>
  <si>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</si>
  <si>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</si>
  <si>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</si>
  <si>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</si>
  <si>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</si>
  <si>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</si>
  <si>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</si>
  <si>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</si>
  <si>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</si>
  <si>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</si>
  <si>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</si>
  <si>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</si>
  <si>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</si>
  <si>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</si>
  <si>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</si>
  <si>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</si>
  <si>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</si>
  <si>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</si>
  <si>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</si>
  <si>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</si>
  <si>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</si>
  <si>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</si>
  <si>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</si>
  <si>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</si>
  <si>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</si>
  <si>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</si>
  <si>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</si>
  <si>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</si>
  <si>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</si>
  <si>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</si>
  <si>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</si>
  <si>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</si>
  <si>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</si>
  <si>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</si>
  <si>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</si>
  <si>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</si>
  <si>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</si>
  <si>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</si>
  <si>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</si>
  <si>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</si>
  <si>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</si>
  <si>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</si>
  <si>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</si>
  <si>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</si>
  <si>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</si>
  <si>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</si>
  <si>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</si>
  <si>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</si>
  <si>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</si>
  <si>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</si>
  <si>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</si>
  <si>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</si>
  <si>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</si>
  <si>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</si>
  <si>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</si>
  <si>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</si>
  <si>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</si>
  <si>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</si>
  <si>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</si>
  <si>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</si>
  <si>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</si>
  <si>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</si>
  <si>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</si>
  <si>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</si>
  <si>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</si>
  <si>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</si>
  <si>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</si>
  <si>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</si>
  <si>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</si>
  <si>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</si>
  <si>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</si>
  <si>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</si>
  <si>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</si>
  <si>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</si>
  <si>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</si>
  <si>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</si>
  <si>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</si>
  <si>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</si>
  <si>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</si>
  <si>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</si>
  <si>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</si>
  <si>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</si>
  <si>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</si>
  <si>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</si>
  <si>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</si>
  <si>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</si>
  <si>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</si>
  <si>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</si>
  <si>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</si>
  <si>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</si>
  <si>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</si>
  <si>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</si>
  <si>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</si>
  <si>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</si>
  <si>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</si>
  <si>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</si>
  <si>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</si>
  <si>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</si>
  <si>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</si>
  <si>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</si>
  <si>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序号</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</si>
  <si>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</si>
  <si>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</si>
  <si>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</si>
  <si>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</si>
  <si>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</si>
  <si>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</si>
  <si>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</si>
  <si>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</si>
  <si>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</si>
  <si>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</si>
  <si>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</si>
  <si>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</si>
  <si>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</si>
  <si>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</si>
  <si>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</si>
  <si>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</si>
  <si>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</si>
  <si>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</si>
  <si>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</si>
  <si>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</si>
  <si>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</si>
  <si>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</si>
  <si>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</si>
  <si>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</si>
  <si>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</si>
  <si>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</si>
  <si>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</si>
  <si>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</si>
  <si>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</si>
  <si>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</si>
  <si>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</si>
  <si>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</si>
  <si>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</si>
  <si>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</si>
  <si>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</si>
  <si>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</si>
  <si>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</si>
  <si>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</si>
  <si>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</si>
  <si>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</si>
  <si>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</si>
  <si>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</si>
  <si>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</si>
  <si>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</si>
  <si>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</si>
  <si>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</si>
  <si>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</si>
  <si>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</si>
  <si>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</si>
  <si>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</si>
  <si>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</si>
  <si>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</si>
  <si>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</si>
  <si>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</si>
  <si>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</si>
  <si>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</si>
  <si>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</si>
  <si>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</si>
  <si>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</si>
  <si>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</si>
  <si>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</si>
  <si>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</si>
  <si>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</si>
  <si>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</si>
  <si>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</si>
  <si>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</si>
  <si>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</si>
  <si>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</si>
  <si>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</si>
  <si>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</si>
  <si>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</si>
  <si>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</si>
  <si>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</si>
  <si>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</si>
  <si>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</si>
  <si>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</si>
  <si>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</si>
  <si>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</si>
  <si>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</si>
  <si>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</si>
  <si>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</si>
  <si>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</si>
  <si>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</si>
  <si>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</si>
  <si>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</si>
  <si>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</si>
  <si>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</si>
  <si>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</si>
  <si>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</si>
  <si>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</si>
  <si>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</si>
  <si>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</si>
  <si>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</si>
  <si>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</si>
  <si>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</si>
  <si>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</si>
  <si>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</si>
  <si>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</si>
  <si>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</si>
  <si>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</si>
  <si>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</si>
  <si>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</si>
  <si>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</si>
  <si>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</si>
  <si>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</si>
  <si>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</si>
  <si>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</si>
  <si>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</si>
  <si>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</si>
  <si>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</si>
  <si>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</si>
  <si>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</si>
  <si>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</si>
  <si>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</si>
  <si>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</si>
  <si>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</si>
  <si>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</si>
  <si>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</si>
  <si>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</si>
  <si>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</si>
  <si>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</si>
  <si>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</si>
  <si>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</si>
  <si>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</si>
  <si>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</si>
  <si>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</si>
  <si>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</si>
  <si>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</si>
  <si>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</si>
  <si>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</si>
  <si>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</si>
  <si>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</si>
  <si>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</si>
  <si>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</si>
  <si>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</si>
  <si>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</si>
  <si>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</si>
  <si>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</si>
  <si>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</si>
  <si>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</si>
  <si>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</si>
  <si>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</si>
  <si>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</si>
  <si>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</si>
  <si>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</si>
  <si>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</si>
  <si>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</si>
  <si>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</si>
  <si>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</si>
  <si>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</si>
  <si>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</si>
  <si>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</si>
  <si>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</si>
  <si>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</si>
  <si>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</si>
  <si>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</si>
  <si>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</si>
  <si>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</si>
  <si>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</si>
  <si>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</si>
  <si>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</si>
  <si>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</si>
  <si>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</si>
  <si>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</si>
  <si>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</si>
  <si>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</si>
  <si>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</si>
  <si>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</si>
  <si>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</si>
  <si>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</si>
  <si>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</si>
  <si>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</si>
  <si>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</si>
  <si>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</si>
  <si>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</si>
  <si>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</si>
  <si>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</si>
  <si>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</si>
  <si>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</si>
  <si>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</si>
  <si>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</si>
  <si>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</si>
  <si>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</si>
  <si>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</si>
  <si>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</si>
  <si>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</si>
  <si>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</si>
  <si>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</si>
  <si>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</si>
  <si>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</si>
  <si>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</si>
  <si>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</si>
  <si>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</si>
  <si>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</si>
  <si>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</si>
  <si>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</si>
  <si>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</si>
  <si>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</si>
  <si>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</si>
  <si>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</si>
  <si>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</si>
  <si>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</si>
  <si>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</si>
  <si>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</si>
  <si>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</si>
  <si>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</si>
  <si>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</si>
  <si>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</si>
  <si>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</si>
  <si>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</si>
  <si>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</si>
  <si>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</si>
  <si>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</si>
  <si>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</si>
  <si>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</si>
  <si>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</si>
  <si>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</si>
  <si>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</si>
  <si>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</si>
  <si>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</si>
  <si>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</si>
  <si>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</si>
  <si>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</si>
  <si>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</si>
  <si>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</si>
  <si>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</si>
  <si>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</si>
  <si>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</si>
  <si>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</si>
  <si>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</si>
  <si>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</si>
  <si>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</si>
  <si>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</si>
  <si>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</si>
  <si>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</si>
  <si>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</si>
  <si>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</si>
  <si>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</si>
  <si>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</si>
  <si>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</si>
  <si>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</si>
  <si>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</si>
  <si>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</si>
  <si>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</si>
  <si>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</si>
  <si>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</si>
  <si>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</si>
  <si>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</si>
  <si>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</si>
  <si>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</si>
  <si>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</si>
  <si>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</si>
  <si>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</si>
  <si>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</si>
  <si>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</si>
  <si>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</si>
  <si>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</si>
  <si>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</si>
  <si>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</si>
  <si>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</si>
  <si>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</si>
  <si>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</si>
  <si>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</si>
  <si>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</si>
  <si>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</si>
  <si>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</si>
  <si>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</si>
  <si>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</si>
  <si>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</si>
  <si>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</si>
  <si>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</si>
  <si>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</si>
  <si>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</si>
  <si>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</si>
  <si>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</si>
  <si>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</si>
  <si>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</si>
  <si>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</si>
  <si>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</si>
  <si>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</si>
  <si>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</si>
  <si>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</si>
  <si>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</si>
  <si>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</si>
  <si>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</si>
  <si>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</si>
  <si>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</si>
  <si>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</si>
  <si>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</si>
  <si>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</si>
  <si>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</si>
  <si>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</si>
  <si>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</si>
  <si>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</si>
  <si>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</si>
  <si>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</si>
  <si>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</si>
  <si>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</si>
  <si>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</si>
  <si>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</si>
  <si>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</si>
  <si>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</si>
  <si>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</si>
  <si>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</si>
  <si>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</si>
  <si>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</si>
  <si>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</si>
  <si>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</si>
  <si>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</si>
  <si>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</si>
  <si>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</si>
  <si>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</si>
  <si>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</si>
  <si>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</si>
  <si>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</si>
  <si>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</si>
  <si>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</si>
  <si>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</si>
  <si>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</si>
  <si>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</si>
  <si>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</si>
  <si>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</si>
  <si>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</si>
  <si>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</si>
  <si>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</si>
  <si>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</si>
  <si>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</si>
  <si>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</si>
  <si>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</si>
  <si>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</si>
  <si>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</si>
  <si>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</si>
  <si>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</si>
  <si>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</si>
  <si>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</si>
  <si>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</si>
  <si>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</si>
  <si>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</si>
  <si>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</si>
  <si>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</si>
  <si>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</si>
  <si>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</si>
  <si>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</si>
  <si>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</si>
  <si>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</si>
  <si>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</si>
  <si>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</si>
  <si>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</si>
  <si>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</si>
  <si>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</si>
  <si>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</si>
  <si>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</si>
  <si>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</si>
  <si>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</si>
  <si>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</si>
  <si>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</si>
  <si>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</si>
  <si>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</si>
  <si>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</si>
  <si>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</si>
  <si>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</si>
  <si>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</si>
  <si>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</si>
  <si>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</si>
  <si>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</si>
  <si>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</si>
  <si>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</si>
  <si>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</si>
  <si>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</si>
  <si>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</si>
  <si>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</si>
  <si>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</si>
  <si>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</si>
  <si>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</si>
  <si>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</si>
  <si>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</si>
  <si>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</si>
  <si>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</si>
  <si>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</si>
  <si>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</si>
  <si>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</si>
  <si>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</si>
  <si>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</si>
  <si>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</si>
  <si>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</si>
  <si>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</si>
  <si>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</si>
  <si>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</si>
  <si>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</si>
  <si>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</si>
  <si>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</si>
  <si>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</si>
  <si>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</si>
  <si>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</si>
  <si>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</si>
  <si>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</si>
  <si>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</si>
  <si>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</si>
  <si>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</si>
  <si>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</si>
  <si>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</si>
  <si>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</si>
  <si>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</si>
  <si>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</si>
  <si>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</si>
  <si>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</si>
  <si>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</si>
  <si>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</si>
  <si>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</si>
  <si>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</si>
  <si>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</si>
  <si>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</si>
  <si>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</si>
  <si>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</si>
  <si>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</si>
  <si>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</si>
  <si>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</si>
  <si>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</si>
  <si>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</si>
  <si>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</si>
  <si>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</si>
  <si>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</si>
  <si>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</si>
  <si>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</si>
  <si>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</si>
  <si>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</si>
  <si>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</si>
  <si>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</si>
  <si>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</si>
  <si>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</si>
  <si>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</si>
  <si>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</si>
  <si>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</si>
  <si>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</si>
  <si>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</si>
  <si>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</si>
  <si>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</si>
  <si>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</si>
  <si>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</si>
  <si>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</si>
  <si>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</si>
  <si>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</si>
  <si>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</si>
  <si>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</si>
  <si>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</si>
  <si>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</si>
  <si>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</si>
  <si>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</si>
  <si>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</si>
  <si>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</si>
  <si>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</si>
  <si>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</si>
  <si>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</si>
  <si>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</si>
  <si>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</si>
  <si>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</si>
  <si>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</si>
  <si>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</si>
  <si>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</si>
  <si>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</si>
  <si>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</si>
  <si>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</si>
  <si>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</si>
  <si>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</si>
  <si>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</si>
  <si>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</si>
  <si>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</si>
  <si>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</si>
  <si>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</si>
  <si>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</si>
  <si>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</si>
  <si>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</si>
  <si>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</si>
  <si>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</si>
  <si>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</si>
  <si>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</si>
  <si>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</si>
  <si>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</si>
  <si>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</si>
  <si>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</si>
  <si>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</si>
  <si>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</si>
  <si>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</si>
  <si>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</si>
  <si>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</si>
  <si>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</si>
  <si>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</si>
  <si>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</si>
  <si>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</si>
  <si>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</si>
  <si>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</si>
  <si>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</si>
  <si>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</si>
  <si>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</si>
  <si>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</si>
  <si>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</si>
  <si>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</si>
  <si>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</si>
  <si>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</si>
  <si>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</si>
  <si>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</si>
  <si>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</si>
  <si>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</si>
  <si>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</si>
  <si>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</si>
  <si>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</si>
  <si>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</si>
  <si>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孙同学</t>
  </si>
  <si>
    <t>联系不上</t>
  </si>
  <si>
    <t>基本信息</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</si>
  <si>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</si>
  <si>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</si>
  <si>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</si>
  <si>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</si>
  <si>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</si>
  <si>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</si>
  <si>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</si>
  <si>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</si>
  <si>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</si>
  <si>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</si>
  <si>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</si>
  <si>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</si>
  <si>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</si>
  <si>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</si>
  <si>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</si>
  <si>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</si>
  <si>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</si>
  <si>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</si>
  <si>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</si>
  <si>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</si>
  <si>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</si>
  <si>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</si>
  <si>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</si>
  <si>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</si>
  <si>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</si>
  <si>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</si>
  <si>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</si>
  <si>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</si>
  <si>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</si>
  <si>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</si>
  <si>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</si>
  <si>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</si>
  <si>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</si>
  <si>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</si>
  <si>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</si>
  <si>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</si>
  <si>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</si>
  <si>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</si>
  <si>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</si>
  <si>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</si>
  <si>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</si>
  <si>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</si>
  <si>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</si>
  <si>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</si>
  <si>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</si>
  <si>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</si>
  <si>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</si>
  <si>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</si>
  <si>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</si>
  <si>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</si>
  <si>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</si>
  <si>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</si>
  <si>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</si>
  <si>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</si>
  <si>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</si>
  <si>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</si>
  <si>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</si>
  <si>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</si>
  <si>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</si>
  <si>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</si>
  <si>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</si>
  <si>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</si>
  <si>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</si>
  <si>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</si>
  <si>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</si>
  <si>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</si>
  <si>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</si>
  <si>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</si>
  <si>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</si>
  <si>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</si>
  <si>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</si>
  <si>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</si>
  <si>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</si>
  <si>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</si>
  <si>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</si>
  <si>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</si>
  <si>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</si>
  <si>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</si>
  <si>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</si>
  <si>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</si>
  <si>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</si>
  <si>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</si>
  <si>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</si>
  <si>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</si>
  <si>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</si>
  <si>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</si>
  <si>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</si>
  <si>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</si>
  <si>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</si>
  <si>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</si>
  <si>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</si>
  <si>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</si>
  <si>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</si>
  <si>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</si>
  <si>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</si>
  <si>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</si>
  <si>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</si>
  <si>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</si>
  <si>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</si>
  <si>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</si>
  <si>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</si>
  <si>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</si>
  <si>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</si>
  <si>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</si>
  <si>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</si>
  <si>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</si>
  <si>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</si>
  <si>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</si>
  <si>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</si>
  <si>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</si>
  <si>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</si>
  <si>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</si>
  <si>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</si>
  <si>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</si>
  <si>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</si>
  <si>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</si>
  <si>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</si>
  <si>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</si>
  <si>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</si>
  <si>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</si>
  <si>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</si>
  <si>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</si>
  <si>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</si>
  <si>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</si>
  <si>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</si>
  <si>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</si>
  <si>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</si>
  <si>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</si>
  <si>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</si>
  <si>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</si>
  <si>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</si>
  <si>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</si>
  <si>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</si>
  <si>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</si>
  <si>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</si>
  <si>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</si>
  <si>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</si>
  <si>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</si>
  <si>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</si>
  <si>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</si>
  <si>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</si>
  <si>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</si>
  <si>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</si>
  <si>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</si>
  <si>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</si>
  <si>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</si>
  <si>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</si>
  <si>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</si>
  <si>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</si>
  <si>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</si>
  <si>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</si>
  <si>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</si>
  <si>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</si>
  <si>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</si>
  <si>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</si>
  <si>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</si>
  <si>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</si>
  <si>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</si>
  <si>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</si>
  <si>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</si>
  <si>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</si>
  <si>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</si>
  <si>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</si>
  <si>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</si>
  <si>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</si>
  <si>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</si>
  <si>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</si>
  <si>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</si>
  <si>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</si>
  <si>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</si>
  <si>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</si>
  <si>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</si>
  <si>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</si>
  <si>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</si>
  <si>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</si>
  <si>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</si>
  <si>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</si>
  <si>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</si>
  <si>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</si>
  <si>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</si>
  <si>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</si>
  <si>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</si>
  <si>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</si>
  <si>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</si>
  <si>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</si>
  <si>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</si>
  <si>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</si>
  <si>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</si>
  <si>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</si>
  <si>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</si>
  <si>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</si>
  <si>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</si>
  <si>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</si>
  <si>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</si>
  <si>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</si>
  <si>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</si>
  <si>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</si>
  <si>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</si>
  <si>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</si>
  <si>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</si>
  <si>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</si>
  <si>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</si>
  <si>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</si>
  <si>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</si>
  <si>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</si>
  <si>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</si>
  <si>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</si>
  <si>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</si>
  <si>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</si>
  <si>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</si>
  <si>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</si>
  <si>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</si>
  <si>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</si>
  <si>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</si>
  <si>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</si>
  <si>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</si>
  <si>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</si>
  <si>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</si>
  <si>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</si>
  <si>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</si>
  <si>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</si>
  <si>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</si>
  <si>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</si>
  <si>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</si>
  <si>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</si>
  <si>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</si>
  <si>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</si>
  <si>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</si>
  <si>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</si>
  <si>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</si>
  <si>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</si>
  <si>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</si>
  <si>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</si>
  <si>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</si>
  <si>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</si>
  <si>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</si>
  <si>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</si>
  <si>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</si>
  <si>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</si>
  <si>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</si>
  <si>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</si>
  <si>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</si>
  <si>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</si>
  <si>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</si>
  <si>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</si>
  <si>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</si>
  <si>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</si>
  <si>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</si>
  <si>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</si>
  <si>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</si>
  <si>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</si>
  <si>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</si>
  <si>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</si>
  <si>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</si>
  <si>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</si>
  <si>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</si>
  <si>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</si>
  <si>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</si>
  <si>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</si>
  <si>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</si>
  <si>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</si>
  <si>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</si>
  <si>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</si>
  <si>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</si>
  <si>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</si>
  <si>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</si>
  <si>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</si>
  <si>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</si>
  <si>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</si>
  <si>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</si>
  <si>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</si>
  <si>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</si>
  <si>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</si>
  <si>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</si>
  <si>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</si>
  <si>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</si>
  <si>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</si>
  <si>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</si>
  <si>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</si>
  <si>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</si>
  <si>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</si>
  <si>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</si>
  <si>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</si>
  <si>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</si>
  <si>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</si>
  <si>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</si>
  <si>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</si>
  <si>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</si>
  <si>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</si>
  <si>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</si>
  <si>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</si>
  <si>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</si>
  <si>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</si>
  <si>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</si>
  <si>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</si>
  <si>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</si>
  <si>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</si>
  <si>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</si>
  <si>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</si>
  <si>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</si>
  <si>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</si>
  <si>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</si>
  <si>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</si>
  <si>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</si>
  <si>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</si>
  <si>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</si>
  <si>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</si>
  <si>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</si>
  <si>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</si>
  <si>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</si>
  <si>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</si>
  <si>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</si>
  <si>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</si>
  <si>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</si>
  <si>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</si>
  <si>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</si>
  <si>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</si>
  <si>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</si>
  <si>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</si>
  <si>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</si>
  <si>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</si>
  <si>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</si>
  <si>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</si>
  <si>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</si>
  <si>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</si>
  <si>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</si>
  <si>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</si>
  <si>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</si>
  <si>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</si>
  <si>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</si>
  <si>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</si>
  <si>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</si>
  <si>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</si>
  <si>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</si>
  <si>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</si>
  <si>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</si>
  <si>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</si>
  <si>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</si>
  <si>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</si>
  <si>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</si>
  <si>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</si>
  <si>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</si>
  <si>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</si>
  <si>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</si>
  <si>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</si>
  <si>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</si>
  <si>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</si>
  <si>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</si>
  <si>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</si>
  <si>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</si>
  <si>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</si>
  <si>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</si>
  <si>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</si>
  <si>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</si>
  <si>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</si>
  <si>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</si>
  <si>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</si>
  <si>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</si>
  <si>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</si>
  <si>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</si>
  <si>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</si>
  <si>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</si>
  <si>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</si>
  <si>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</si>
  <si>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</si>
  <si>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</si>
  <si>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</si>
  <si>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</si>
  <si>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</si>
  <si>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</si>
  <si>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</si>
  <si>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</si>
  <si>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</si>
  <si>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</si>
  <si>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</si>
  <si>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</si>
  <si>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</si>
  <si>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</si>
  <si>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</si>
  <si>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</si>
  <si>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</si>
  <si>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</si>
  <si>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</si>
  <si>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</si>
  <si>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</si>
  <si>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</si>
  <si>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</si>
  <si>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</si>
  <si>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</si>
  <si>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</si>
  <si>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</si>
  <si>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</si>
  <si>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</si>
  <si>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</si>
  <si>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</si>
  <si>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</si>
  <si>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</si>
  <si>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</si>
  <si>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</si>
  <si>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</si>
  <si>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</si>
  <si>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</si>
  <si>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</si>
  <si>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</si>
  <si>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</si>
  <si>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</si>
  <si>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</si>
  <si>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</si>
  <si>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</si>
  <si>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</si>
  <si>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</si>
  <si>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</si>
  <si>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</si>
  <si>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</si>
  <si>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</si>
  <si>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</si>
  <si>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</si>
  <si>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</si>
  <si>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</si>
  <si>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</si>
  <si>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</si>
  <si>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</si>
  <si>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</si>
  <si>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</si>
  <si>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</si>
  <si>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</si>
  <si>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</si>
  <si>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</si>
  <si>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</si>
  <si>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</si>
  <si>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</si>
  <si>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</si>
  <si>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</si>
  <si>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</si>
  <si>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</si>
  <si>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</si>
  <si>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</si>
  <si>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</si>
  <si>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</si>
  <si>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</si>
  <si>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</si>
  <si>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</si>
  <si>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</si>
  <si>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</si>
  <si>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</si>
  <si>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</si>
  <si>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</si>
  <si>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</si>
  <si>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</si>
  <si>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</si>
  <si>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</si>
  <si>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</si>
  <si>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</si>
  <si>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</si>
  <si>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</si>
  <si>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</si>
  <si>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</si>
  <si>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</si>
  <si>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</si>
  <si>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</si>
  <si>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</si>
  <si>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</si>
  <si>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</si>
  <si>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</si>
  <si>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</si>
  <si>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</si>
  <si>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</si>
  <si>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</si>
  <si>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</si>
  <si>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</si>
  <si>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</si>
  <si>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</si>
  <si>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</si>
  <si>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</si>
  <si>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</si>
  <si>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</si>
  <si>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</si>
  <si>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</si>
  <si>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</si>
  <si>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</si>
  <si>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</si>
  <si>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</si>
  <si>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</si>
  <si>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</si>
  <si>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</si>
  <si>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</si>
  <si>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</si>
  <si>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</si>
  <si>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</si>
  <si>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</si>
  <si>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</si>
  <si>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</si>
  <si>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</si>
  <si>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</si>
  <si>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</si>
  <si>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</si>
  <si>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</si>
  <si>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</si>
  <si>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</si>
  <si>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</si>
  <si>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</si>
  <si>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</si>
  <si>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</si>
  <si>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</si>
  <si>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</si>
  <si>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</si>
  <si>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</si>
  <si>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</si>
  <si>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</si>
  <si>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</si>
  <si>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</si>
  <si>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</si>
  <si>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</si>
  <si>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</si>
  <si>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</si>
  <si>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</si>
  <si>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</si>
  <si>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</si>
  <si>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</si>
  <si>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</si>
  <si>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</si>
  <si>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</si>
  <si>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</si>
  <si>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</si>
  <si>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</si>
  <si>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</si>
  <si>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</si>
  <si>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</si>
  <si>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</si>
  <si>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</si>
  <si>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</si>
  <si>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</si>
  <si>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</si>
  <si>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</si>
  <si>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</si>
  <si>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</si>
  <si>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</si>
  <si>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</si>
  <si>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</si>
  <si>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</si>
  <si>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</si>
  <si>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</si>
  <si>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</si>
  <si>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</si>
  <si>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</si>
  <si>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</si>
  <si>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</si>
  <si>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</si>
  <si>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</si>
  <si>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</si>
  <si>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</si>
  <si>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</si>
  <si>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</si>
  <si>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</si>
  <si>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</si>
  <si>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</si>
  <si>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</si>
  <si>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</si>
  <si>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</si>
  <si>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</si>
  <si>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</si>
  <si>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</si>
  <si>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</si>
  <si>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</si>
  <si>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</si>
  <si>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</si>
  <si>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</si>
  <si>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</si>
  <si>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</si>
  <si>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</si>
  <si>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</si>
  <si>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</si>
  <si>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</si>
  <si>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</si>
  <si>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</si>
  <si>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</si>
  <si>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</si>
  <si>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</si>
  <si>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</si>
  <si>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</si>
  <si>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</si>
  <si>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</si>
  <si>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</si>
  <si>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</si>
  <si>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</si>
  <si>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</si>
  <si>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</si>
  <si>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</si>
  <si>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</si>
  <si>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</si>
  <si>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</si>
  <si>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</si>
  <si>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</si>
  <si>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</si>
  <si>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</si>
  <si>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</si>
  <si>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</si>
  <si>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</si>
  <si>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</si>
  <si>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</si>
  <si>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</si>
  <si>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</si>
  <si>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</si>
  <si>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</si>
  <si>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</si>
  <si>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</si>
  <si>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</si>
  <si>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</si>
  <si>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</si>
  <si>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</si>
  <si>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</si>
  <si>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</si>
  <si>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</si>
  <si>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</si>
  <si>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</si>
  <si>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</si>
  <si>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</si>
  <si>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</si>
  <si>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</si>
  <si>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</si>
  <si>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</si>
  <si>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</si>
  <si>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</si>
  <si>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</si>
  <si>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</si>
  <si>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</si>
  <si>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</si>
  <si>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</si>
  <si>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</si>
  <si>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</si>
  <si>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</si>
  <si>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</si>
  <si>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</si>
  <si>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</si>
  <si>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</si>
  <si>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</si>
  <si>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</si>
  <si>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</si>
  <si>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</si>
  <si>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</si>
  <si>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</si>
  <si>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</si>
  <si>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</si>
  <si>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</si>
  <si>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</si>
  <si>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</si>
  <si>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</si>
  <si>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</si>
  <si>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</si>
  <si>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</si>
  <si>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</si>
  <si>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</si>
  <si>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</si>
  <si>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</si>
  <si>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</si>
  <si>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</si>
  <si>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</si>
  <si>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</si>
  <si>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</si>
  <si>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</si>
  <si>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</si>
  <si>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</si>
  <si>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</si>
  <si>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</si>
  <si>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</si>
  <si>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</si>
  <si>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</si>
  <si>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</si>
  <si>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</si>
  <si>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</si>
  <si>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</si>
  <si>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</si>
  <si>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</si>
  <si>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</si>
  <si>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</si>
  <si>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</si>
  <si>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</si>
  <si>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</si>
  <si>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</si>
  <si>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</si>
  <si>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</si>
  <si>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</si>
  <si>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</si>
  <si>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</si>
  <si>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</si>
  <si>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</si>
  <si>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</si>
  <si>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</si>
  <si>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</si>
  <si>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</si>
  <si>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</si>
  <si>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</si>
  <si>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</si>
  <si>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</si>
  <si>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</si>
  <si>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</si>
  <si>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</si>
  <si>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</si>
  <si>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</si>
  <si>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</si>
  <si>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</si>
  <si>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</si>
  <si>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</si>
  <si>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</si>
  <si>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</si>
  <si>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</si>
  <si>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</si>
  <si>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</si>
  <si>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</si>
  <si>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</si>
  <si>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</si>
  <si>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</si>
  <si>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</si>
  <si>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</si>
  <si>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</si>
  <si>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</si>
  <si>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</si>
  <si>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</si>
  <si>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</si>
  <si>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</si>
  <si>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</si>
  <si>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</si>
  <si>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</si>
  <si>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</si>
  <si>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</si>
  <si>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</si>
  <si>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</si>
  <si>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</si>
  <si>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</si>
  <si>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</si>
  <si>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</si>
  <si>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</si>
  <si>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</si>
  <si>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</si>
  <si>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</si>
  <si>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</si>
  <si>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</si>
  <si>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</si>
  <si>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</si>
  <si>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</si>
  <si>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</si>
  <si>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</si>
  <si>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</si>
  <si>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</si>
  <si>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</si>
  <si>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</si>
  <si>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</si>
  <si>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</si>
  <si>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</si>
  <si>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</si>
  <si>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</si>
  <si>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</si>
  <si>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</si>
  <si>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</si>
  <si>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</si>
  <si>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</si>
  <si>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</si>
  <si>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</si>
  <si>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</si>
  <si>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</si>
  <si>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</si>
  <si>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</si>
  <si>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</si>
  <si>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</si>
  <si>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</si>
  <si>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</si>
  <si>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</si>
  <si>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</si>
  <si>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</si>
  <si>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</si>
  <si>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</si>
  <si>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</si>
  <si>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</si>
  <si>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</si>
  <si>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</si>
  <si>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</si>
  <si>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</si>
  <si>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</si>
  <si>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</si>
  <si>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</si>
  <si>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</si>
  <si>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</si>
  <si>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</si>
  <si>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</si>
  <si>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</si>
  <si>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</si>
  <si>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</si>
  <si>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</si>
  <si>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</si>
  <si>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</si>
  <si>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</si>
  <si>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</si>
  <si>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</si>
  <si>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</si>
  <si>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</si>
  <si>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</si>
  <si>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</si>
  <si>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</si>
  <si>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</si>
  <si>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</si>
  <si>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</si>
  <si>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</si>
  <si>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</si>
  <si>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</si>
  <si>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</si>
  <si>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</si>
  <si>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</si>
  <si>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</si>
  <si>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</si>
  <si>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</si>
  <si>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</si>
  <si>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</si>
  <si>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</si>
  <si>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</si>
  <si>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</si>
  <si>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</si>
  <si>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</si>
  <si>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</si>
  <si>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</si>
  <si>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</si>
  <si>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</si>
  <si>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</si>
  <si>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</si>
  <si>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</si>
  <si>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</si>
  <si>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</si>
  <si>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</si>
  <si>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</si>
  <si>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</si>
  <si>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</si>
  <si>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</si>
  <si>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</si>
  <si>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</si>
  <si>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</si>
  <si>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</si>
  <si>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</si>
  <si>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</si>
  <si>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</si>
  <si>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</si>
  <si>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</si>
  <si>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</si>
  <si>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</si>
  <si>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</si>
  <si>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</si>
  <si>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</si>
  <si>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</si>
  <si>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</si>
  <si>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</si>
  <si>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</si>
  <si>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</si>
  <si>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</si>
  <si>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</si>
  <si>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</si>
  <si>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</si>
  <si>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</si>
  <si>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</si>
  <si>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</si>
  <si>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</si>
  <si>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</si>
  <si>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</si>
  <si>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</si>
  <si>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</si>
  <si>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</si>
  <si>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</si>
  <si>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</si>
  <si>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</si>
  <si>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</si>
  <si>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</si>
  <si>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</si>
  <si>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</si>
  <si>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</si>
  <si>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</si>
  <si>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</si>
  <si>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</si>
  <si>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</si>
  <si>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</si>
  <si>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</si>
  <si>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</si>
  <si>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</si>
  <si>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</si>
  <si>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</si>
  <si>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</si>
  <si>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</si>
  <si>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</si>
  <si>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</si>
  <si>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</si>
  <si>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</si>
  <si>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</si>
  <si>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</si>
  <si>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</si>
  <si>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</si>
  <si>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</si>
  <si>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</si>
  <si>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</si>
  <si>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</si>
  <si>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</si>
  <si>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</si>
  <si>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</si>
  <si>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</si>
  <si>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</si>
  <si>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</si>
  <si>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</si>
  <si>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</si>
  <si>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</si>
  <si>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</si>
  <si>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</si>
  <si>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</si>
  <si>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</si>
  <si>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</si>
  <si>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</si>
  <si>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</si>
  <si>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</si>
  <si>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</si>
  <si>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</si>
  <si>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王芷烨</t>
  </si>
  <si>
    <t>续费评级</t>
  </si>
  <si>
    <t>出勤情况</t>
  </si>
  <si>
    <t>小学英语学习情况</t>
  </si>
  <si>
    <t>希望课程重点解决哪些问题/核心诉求</t>
  </si>
  <si>
    <t>L1</t>
  </si>
  <si>
    <t>L2</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</si>
  <si>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</si>
  <si>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</si>
  <si>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</si>
  <si>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</si>
  <si>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</si>
  <si>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</si>
  <si>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</si>
  <si>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</si>
  <si>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</si>
  <si>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</si>
  <si>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</si>
  <si>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</si>
  <si>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</si>
  <si>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</si>
  <si>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</si>
  <si>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</si>
  <si>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</si>
  <si>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</si>
  <si>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</si>
  <si>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</si>
  <si>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</si>
  <si>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</si>
  <si>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</si>
  <si>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</si>
  <si>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</si>
  <si>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</si>
  <si>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</si>
  <si>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</si>
  <si>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</si>
  <si>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</si>
  <si>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</si>
  <si>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</si>
  <si>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</si>
  <si>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</si>
  <si>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</si>
  <si>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</si>
  <si>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</si>
  <si>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</si>
  <si>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</si>
  <si>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</si>
  <si>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</si>
  <si>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</si>
  <si>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</si>
  <si>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</si>
  <si>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</si>
  <si>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</si>
  <si>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</si>
  <si>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</si>
  <si>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</si>
  <si>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</si>
  <si>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</si>
  <si>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</si>
  <si>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</si>
  <si>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</si>
  <si>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3132899</t>
  </si>
  <si>
    <r>
      <rPr>
        <sz val="10"/>
      </rPr>
      <t xml:space="preserve">290。过了PET，明德实验9星（重点班）。</t>
    </r>
    <r>
      <rPr>
        <color rgb="FFFE0300"/>
        <sz val="10"/>
      </rPr>
      <t xml:space="preserve">规划学习路径（UNLOCK3？）</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</si>
  <si>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</si>
  <si>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</si>
  <si>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</si>
  <si>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</si>
  <si>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</si>
  <si>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</si>
  <si>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</si>
  <si>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</si>
  <si>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</si>
  <si>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</si>
  <si>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</si>
  <si>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</si>
  <si>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</si>
  <si>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</si>
  <si>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</si>
  <si>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</si>
  <si>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</si>
  <si>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</si>
  <si>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</si>
  <si>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</si>
  <si>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蒋光鼎纪念小学</t>
  </si>
  <si>
    <t>荔湾。91-92。没试卷。二年级-现在，同步校内。小动作多。家长会因为同时间有其他课程，参加不了，发回放。</t>
  </si>
  <si>
    <t>7月4日分班测。</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</si>
  <si>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</si>
  <si>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</si>
  <si>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</si>
  <si>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</si>
  <si>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</si>
  <si>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</si>
  <si>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</si>
  <si>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</si>
  <si>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</si>
  <si>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</si>
  <si>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</si>
  <si>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</si>
  <si>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</si>
  <si>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</si>
  <si>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</si>
  <si>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</si>
  <si>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</si>
  <si>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</si>
  <si>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</si>
  <si>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</si>
  <si>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</si>
  <si>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</si>
  <si>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白云永泰。妈妈做生意。基于妈妈未来的规划再深聊。文科不强。讲清楚必要性！</t>
  </si>
  <si>
    <t>6个人一起的</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</si>
  <si>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</si>
  <si>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</si>
  <si>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</si>
  <si>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</si>
  <si>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</si>
  <si>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</si>
  <si>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补充语法</t>
  </si>
  <si>
    <t>过了PET</t>
  </si>
  <si>
    <t>分层测。</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</si>
  <si>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</si>
  <si>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</si>
  <si>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</si>
  <si>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</si>
  <si>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</si>
  <si>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</si>
  <si>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</si>
  <si>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</si>
  <si>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</si>
  <si>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</si>
  <si>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</si>
  <si>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</si>
  <si>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</si>
  <si>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</si>
  <si>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</si>
  <si>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</si>
  <si>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</si>
  <si>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t>语法弱一点</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</si>
  <si>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</si>
  <si>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</si>
  <si>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</si>
  <si>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</si>
  <si>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</si>
  <si>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</si>
  <si>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</si>
  <si>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</si>
  <si>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</si>
  <si>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</si>
  <si>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</si>
  <si>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</si>
  <si>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</si>
  <si>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</si>
  <si>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</si>
  <si>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</si>
  <si>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</si>
  <si>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</si>
  <si>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</si>
  <si>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时态</t>
  </si>
  <si>
    <t>交钱困难。B-用户；英语最差，时态和人称混淆。内向。报过线上辅导班。
家长说不需要打电话，英语基础不好，</t>
  </si>
  <si>
    <t>不清楚，校内不发成绩</t>
  </si>
  <si>
    <t>没预设目标</t>
  </si>
  <si>
    <t>这学期还好。语法薄弱（没学懂），其他方面还可以，有时候也不认真。KET通过，PET在学。主动询问秋季班人数。</t>
  </si>
  <si>
    <t>语法！</t>
  </si>
  <si>
    <t>补基础</t>
  </si>
  <si>
    <t>没补过课程</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</si>
  <si>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</si>
  <si>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</si>
  <si>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</si>
  <si>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</si>
  <si>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</si>
  <si>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</si>
  <si>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</si>
  <si>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</si>
  <si>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</si>
  <si>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</si>
  <si>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</si>
  <si>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</si>
  <si>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</si>
  <si>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</si>
  <si>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</si>
  <si>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</si>
  <si>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</si>
  <si>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</si>
  <si>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寄宿学校</t>
  </si>
  <si>
    <t>在整体提升</t>
  </si>
  <si>
    <r>
      <rPr>
        <color rgb="FFFE0300"/>
        <sz val="10"/>
      </rPr>
      <t xml:space="preserve">番禺。</t>
    </r>
    <r>
      <rPr>
        <sz val="10"/>
      </rPr>
      <t xml:space="preserve">独立，KP在读，没考。语文差一点</t>
    </r>
  </si>
  <si>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</si>
  <si>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</si>
  <si>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</si>
  <si>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</si>
  <si>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</si>
  <si>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</si>
  <si>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</si>
  <si>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</si>
  <si>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</si>
  <si>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</si>
  <si>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</si>
  <si>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</si>
  <si>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</si>
  <si>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</si>
  <si>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</si>
  <si>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</si>
  <si>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</si>
  <si>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</si>
  <si>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</si>
  <si>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</si>
  <si>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</si>
  <si>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</si>
  <si>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</si>
  <si>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</si>
  <si>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</si>
  <si>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</si>
  <si>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</si>
  <si>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</si>
  <si>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</si>
  <si>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</si>
  <si>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</si>
  <si>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</si>
  <si>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</si>
  <si>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</si>
  <si>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</si>
  <si>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</si>
  <si>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</si>
  <si>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</si>
  <si>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</si>
  <si>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</si>
  <si>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</si>
  <si>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</si>
  <si>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</si>
  <si>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</si>
  <si>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</si>
  <si>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</si>
  <si>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</si>
  <si>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</si>
  <si>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</si>
  <si>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主动性可以</t>
  </si>
  <si>
    <t>没有补习过</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</si>
  <si>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</si>
  <si>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</si>
  <si>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</si>
  <si>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</si>
  <si>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</si>
  <si>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</si>
  <si>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</si>
  <si>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</si>
  <si>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</si>
  <si>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</si>
  <si>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</si>
  <si>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</si>
  <si>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</si>
  <si>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</si>
  <si>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</si>
  <si>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</si>
  <si>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</si>
  <si>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</si>
  <si>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</si>
  <si>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</si>
  <si>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</si>
  <si>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</si>
  <si>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</si>
  <si>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</si>
  <si>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</si>
  <si>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</si>
  <si>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</si>
  <si>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</si>
  <si>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</si>
  <si>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时态不行</t>
  </si>
  <si>
    <t>没补课</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</si>
  <si>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</si>
  <si>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</si>
  <si>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</si>
  <si>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</si>
  <si>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</si>
  <si>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</si>
  <si>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</si>
  <si>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</si>
  <si>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</si>
  <si>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不怎么努力不读不背。课堂纪律不好。会钻空子。</t>
  </si>
  <si>
    <t>听课习惯，态度</t>
  </si>
  <si>
    <t>C；家长对于学情犹豫，不怎么关注的样子</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</si>
  <si>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</si>
  <si>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</si>
  <si>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</si>
  <si>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</si>
  <si>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</si>
  <si>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</si>
  <si>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</si>
  <si>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</si>
  <si>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</si>
  <si>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</si>
  <si>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</si>
  <si>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</si>
  <si>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</si>
  <si>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</si>
  <si>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</si>
  <si>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</si>
  <si>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自主性，自己完成。</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</si>
  <si>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</si>
  <si>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</si>
  <si>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</si>
  <si>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</si>
  <si>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</si>
  <si>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</si>
  <si>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</si>
  <si>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</si>
  <si>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</si>
  <si>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</si>
  <si>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</si>
  <si>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</si>
  <si>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</si>
  <si>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3132888</t>
  </si>
  <si>
    <t>S。
前3讲强化书写差，第6讲给一个质的突破。下危机。和孩子聊天。</t>
  </si>
  <si>
    <t>提前打基础，初中学校比较好，怕孩子跟不上</t>
  </si>
  <si>
    <t>KET通过；PET差3分；听力</t>
  </si>
  <si>
    <t>终于加上微信了，但是家长暂时没空，周日上午打电话</t>
  </si>
  <si>
    <t>96-98</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</si>
  <si>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</si>
  <si>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裸考PET，是KET水平</t>
  </si>
  <si>
    <t>预习</t>
  </si>
  <si>
    <t>98.5-100</t>
  </si>
  <si>
    <t>很自觉，考F</t>
  </si>
  <si>
    <t>已经过p，备考F</t>
  </si>
  <si>
    <t>只因为低价。孩子考P了，家长明确说因为便宜才来，大概率不会报课</t>
  </si>
  <si>
    <t>孩子调皮吴俊希陈泊儒是好朋友，纪律不好。关注数学。</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</si>
  <si>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</si>
  <si>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</si>
  <si>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</si>
  <si>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</si>
  <si>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</si>
  <si>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</si>
  <si>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</si>
  <si>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</si>
  <si>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r>
      <rPr>
        <sz val="10"/>
      </rPr>
      <t xml:space="preserve">成绩295，七中实验重点班（三梯队），目标进前50。</t>
    </r>
    <r>
      <rPr>
        <color rgb="FFFE0300"/>
        <sz val="10"/>
      </rPr>
      <t xml:space="preserve">讲规划！！</t>
    </r>
  </si>
  <si>
    <r>
      <rPr>
        <sz val="10"/>
      </rPr>
      <t xml:space="preserve">价格敏感。英语95，习惯不好，</t>
    </r>
    <r>
      <rPr>
        <color rgb="FFFE0300"/>
        <sz val="10"/>
      </rPr>
      <t xml:space="preserve">做作业需要督促</t>
    </r>
    <r>
      <rPr>
        <sz val="10"/>
      </rPr>
      <t xml:space="preserve">。学习习惯的改善。</t>
    </r>
  </si>
  <si>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</si>
  <si>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</si>
  <si>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</si>
  <si>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</si>
  <si>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</si>
  <si>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</si>
  <si>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</si>
  <si>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</si>
  <si>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r>
      <rPr>
        <sz val="10"/>
      </rPr>
      <t xml:space="preserve">重点关注。（和钟文可、林骏锋是团）积分统筹入学，知用中学。孩子抗拒，问过英语！B，</t>
    </r>
    <r>
      <rPr>
        <color rgb="FFFE0300"/>
        <sz val="10"/>
      </rPr>
      <t xml:space="preserve">英语背单词！不爱背书！</t>
    </r>
  </si>
  <si>
    <t>不需要探需，反馈做到极致！！</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</si>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</sst>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67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sz val="9"/>
      <color rgb="FF000000"/>
      <name val="default"/>
    </font>
    <font>
      <sz val="9"/>
      <color rgb="FFFE0300"/>
      <name val="default"/>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10"/>
      <color rgb="FFFFFFFF"/>
      <name val="default"/>
    </font>
    <font>
      <sz val="9"/>
      <name val="Microsoft YaHei"/>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9"/>
      <color rgb="FFFFFFFF"/>
    </font>
    <font>
      <b/>
      <sz val="10"/>
      <name val="Microsoft YaHei"/>
    </font>
    <font>
      <b/>
      <sz val="9"/>
    </font>
    <font>
      <b/>
      <sz val="10"/>
      <color rgb="FFFFFFFF"/>
      <name val="等线"/>
    </font>
    <font>
      <sz val="10"/>
      <color rgb="FFFE0300"/>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0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0" fontId="8" fillId="0" borderId="1" xfId="0"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12" fillId="0" borderId="0" xfId="0" applyFont="1">
      <alignment horizontal="center" vertical="center" wrapText="1"/>
    </xf>
    <xf numFmtId="0" fontId="4" fillId="0" borderId="7" xfId="0" applyFont="1" applyBorder="1" applyProtection="1">
      <alignment vertical="center"/>
    </xf>
    <xf numFmtId="0" fontId="13" fillId="0" borderId="0" xfId="0" applyFont="1">
      <alignment horizontal="left" vertical="center" wrapText="1"/>
    </xf>
    <xf numFmtId="0" fontId="10" fillId="3" borderId="1" xfId="0" applyFont="1" applyFill="1" applyBorder="1" applyProtection="1">
      <alignment horizontal="center" vertical="center"/>
    </xf>
    <xf numFmtId="0" fontId="4" fillId="0" borderId="8" xfId="0" applyFont="1" applyBorder="1" applyProtection="1">
      <alignment horizontal="center" vertical="center"/>
    </xf>
    <xf numFmtId="0" fontId="4" fillId="0" borderId="9" xfId="0" applyFont="1" applyBorder="1" applyProtection="1">
      <alignment horizontal="center" vertical="center"/>
    </xf>
    <xf numFmtId="0" fontId="9" fillId="5" borderId="10" xfId="0" applyFont="1" applyFill="1" applyBorder="1" applyProtection="1">
      <alignment horizontal="center" vertical="center"/>
    </xf>
    <xf numFmtId="0" fontId="10" fillId="8" borderId="11" xfId="0" applyFont="1" applyFill="1" applyBorder="1" applyProtection="1">
      <alignment horizontal="center" vertical="center"/>
    </xf>
    <xf numFmtId="0" fontId="9" fillId="9" borderId="2" xfId="0" applyFont="1" applyFill="1" applyBorder="1" applyProtection="1">
      <alignment horizontal="center" vertical="center"/>
    </xf>
    <xf numFmtId="0" fontId="7" fillId="0" borderId="0" xfId="0" applyFont="1">
      <alignment horizontal="left" vertical="center"/>
    </xf>
    <xf numFmtId="0" fontId="9" fillId="2" borderId="11" xfId="0" applyFont="1" applyFill="1" applyBorder="1" applyProtection="1">
      <alignment horizontal="center" vertical="center"/>
    </xf>
    <xf numFmtId="0" fontId="14" fillId="10" borderId="1" xfId="0" applyFont="1" applyFill="1" applyBorder="1" applyProtection="1">
      <alignment horizontal="center" vertical="center"/>
    </xf>
    <xf numFmtId="0" fontId="4" fillId="0" borderId="0" xfId="0" applyFont="1">
      <alignment vertical="center"/>
    </xf>
    <xf numFmtId="0" fontId="15" fillId="2" borderId="12" xfId="0" applyFont="1" applyFill="1" applyBorder="1" applyProtection="1">
      <alignment horizontal="center" vertical="center"/>
    </xf>
    <xf numFmtId="0" fontId="16" fillId="11" borderId="1" xfId="0" applyFont="1" applyFill="1" applyBorder="1" applyProtection="1">
      <alignment horizontal="center" vertical="center"/>
    </xf>
    <xf numFmtId="0" fontId="16"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7" fillId="0" borderId="1" xfId="0" applyFont="1" applyBorder="1" applyProtection="1">
      <alignment horizontal="center" vertical="center"/>
    </xf>
    <xf numFmtId="0" fontId="4" fillId="0" borderId="13" xfId="0" applyFont="1" applyBorder="1" applyProtection="1">
      <alignment horizontal="center" vertical="center"/>
    </xf>
    <xf numFmtId="0" fontId="18" fillId="5" borderId="1" xfId="0" applyFont="1" applyFill="1" applyBorder="1" applyProtection="1">
      <alignment horizontal="center" vertical="center"/>
    </xf>
    <xf numFmtId="0" fontId="19" fillId="0" borderId="1" xfId="0" applyFont="1" applyBorder="1" applyProtection="1">
      <alignment horizontal="center" vertical="center"/>
    </xf>
    <xf numFmtId="0" fontId="10" fillId="3" borderId="14" xfId="0" applyFont="1" applyFill="1" applyBorder="1" applyProtection="1">
      <alignment horizontal="center" vertical="center"/>
    </xf>
    <xf numFmtId="0" fontId="18" fillId="5" borderId="2" xfId="0" applyFont="1" applyFill="1" applyBorder="1" applyProtection="1">
      <alignment horizontal="center" vertical="center"/>
    </xf>
    <xf numFmtId="0" fontId="17" fillId="0" borderId="1" xfId="0" applyFont="1" applyBorder="1" applyProtection="1">
      <alignment horizontal="center" vertical="center"/>
    </xf>
    <xf numFmtId="0" fontId="20" fillId="0" borderId="0" xfId="0" applyFont="1">
      <alignment vertical="center"/>
    </xf>
    <xf numFmtId="0" fontId="4" fillId="0" borderId="15" xfId="0" applyFont="1" applyBorder="1" applyProtection="1">
      <alignment horizontal="center" vertical="center"/>
    </xf>
    <xf numFmtId="0" fontId="4" fillId="12" borderId="8" xfId="0" applyFont="1" applyFill="1" applyBorder="1" applyProtection="1">
      <alignment horizontal="center" vertical="center"/>
    </xf>
    <xf numFmtId="0" fontId="9" fillId="13"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4" fillId="0" borderId="17" xfId="0" applyFont="1" applyBorder="1" applyProtection="1">
      <alignment horizontal="center" vertical="center"/>
    </xf>
    <xf numFmtId="0" fontId="9" fillId="14" borderId="14" xfId="0" applyFont="1" applyFill="1" applyBorder="1" applyProtection="1">
      <alignment horizontal="center" vertical="center" wrapText="1"/>
    </xf>
    <xf numFmtId="0" fontId="4" fillId="15"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5" borderId="2" xfId="0" applyNumberFormat="1" applyFont="1" applyFill="1" applyBorder="1" applyProtection="1">
      <alignment horizontal="center" vertical="center"/>
    </xf>
    <xf numFmtId="0" fontId="4" fillId="12" borderId="2" xfId="0" applyFont="1" applyFill="1" applyBorder="1" applyProtection="1">
      <alignment horizontal="center" vertical="center"/>
    </xf>
    <xf numFmtId="164" fontId="4" fillId="12" borderId="2" xfId="0" applyNumberFormat="1" applyFont="1" applyFill="1" applyBorder="1" applyProtection="1">
      <alignment horizontal="center" vertical="center"/>
    </xf>
    <xf numFmtId="0" fontId="20" fillId="0" borderId="17" xfId="0" applyFont="1" applyBorder="1" applyProtection="1">
      <alignment horizontal="center" vertical="center"/>
    </xf>
    <xf numFmtId="164" fontId="4" fillId="15"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6"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4" borderId="2" xfId="0" applyFont="1" applyFill="1" applyBorder="1" applyProtection="1">
      <alignment horizontal="center" vertical="center"/>
    </xf>
    <xf numFmtId="0" fontId="20" fillId="12" borderId="0" xfId="0" applyFont="1" applyFill="1">
      <alignment horizontal="center" vertical="center"/>
    </xf>
    <xf numFmtId="0" fontId="4" fillId="17" borderId="2" xfId="0" applyFont="1" applyFill="1" applyBorder="1" applyProtection="1">
      <alignment horizontal="center" vertical="center"/>
    </xf>
    <xf numFmtId="9" fontId="4" fillId="17" borderId="2" xfId="0" applyNumberFormat="1" applyFont="1" applyFill="1" applyBorder="1" applyProtection="1">
      <alignment horizontal="center" vertical="center"/>
    </xf>
    <xf numFmtId="164" fontId="4" fillId="17" borderId="2" xfId="0" applyNumberFormat="1" applyFont="1" applyFill="1" applyBorder="1" applyProtection="1">
      <alignment horizontal="center" vertical="center"/>
    </xf>
    <xf numFmtId="0" fontId="9" fillId="5" borderId="11" xfId="0" applyFont="1" applyFill="1" applyBorder="1" applyProtection="1">
      <alignment horizontal="center" vertical="center"/>
    </xf>
    <xf numFmtId="0" fontId="21" fillId="14" borderId="11" xfId="0" applyFont="1" applyFill="1" applyBorder="1" applyProtection="1">
      <alignment horizontal="center" vertical="center"/>
    </xf>
    <xf numFmtId="164" fontId="9" fillId="13" borderId="18" xfId="0" applyNumberFormat="1" applyFont="1" applyFill="1" applyBorder="1" applyProtection="1">
      <alignment horizontal="center" vertical="center"/>
    </xf>
    <xf numFmtId="0" fontId="6" fillId="12" borderId="0" xfId="0" applyFont="1" applyFill="1">
      <alignment horizontal="center" vertical="center" wrapText="1"/>
    </xf>
    <xf numFmtId="0" fontId="7" fillId="12" borderId="0" xfId="0" applyFont="1" applyFill="1">
      <alignment horizontal="center" vertical="center"/>
    </xf>
    <xf numFmtId="164" fontId="4" fillId="0" borderId="16" xfId="0" applyNumberFormat="1" applyFont="1" applyBorder="1" applyProtection="1">
      <alignment horizontal="center" vertical="center"/>
    </xf>
    <xf numFmtId="164" fontId="4" fillId="15" borderId="16" xfId="0" applyNumberFormat="1" applyFont="1" applyFill="1" applyBorder="1" applyProtection="1">
      <alignment horizontal="center" vertical="center"/>
    </xf>
    <xf numFmtId="164" fontId="4" fillId="17" borderId="16" xfId="0" applyNumberFormat="1" applyFont="1" applyFill="1" applyBorder="1" applyProtection="1">
      <alignment horizontal="center" vertical="center"/>
    </xf>
    <xf numFmtId="0" fontId="4" fillId="0" borderId="3" xfId="0" applyFont="1" applyBorder="1" applyProtection="1">
      <alignment vertical="center"/>
    </xf>
    <xf numFmtId="0" fontId="20" fillId="18" borderId="0" xfId="0" applyFont="1" applyFill="1">
      <alignment horizontal="center" vertical="center"/>
    </xf>
    <xf numFmtId="0" fontId="4" fillId="0" borderId="19" xfId="0" applyFont="1" applyBorder="1" applyProtection="1">
      <alignment vertical="center"/>
    </xf>
    <xf numFmtId="0" fontId="15" fillId="2" borderId="12" xfId="0" applyFont="1" applyFill="1" applyBorder="1" applyProtection="1">
      <alignment horizontal="center" vertical="center" wrapText="1"/>
    </xf>
    <xf numFmtId="0" fontId="9" fillId="9" borderId="16" xfId="0" applyFont="1" applyFill="1" applyBorder="1" applyProtection="1">
      <alignment horizontal="center" vertical="center"/>
    </xf>
    <xf numFmtId="0" fontId="22" fillId="4" borderId="1" xfId="0" applyFont="1" applyFill="1" applyBorder="1" applyProtection="1">
      <alignment horizontal="center" vertical="center"/>
    </xf>
    <xf numFmtId="0" fontId="9" fillId="9" borderId="14" xfId="0" applyFont="1" applyFill="1" applyBorder="1" applyProtection="1">
      <alignment horizontal="center" vertical="center" wrapText="1"/>
    </xf>
    <xf numFmtId="0" fontId="9" fillId="16" borderId="16" xfId="0" applyFont="1" applyFill="1" applyBorder="1" applyProtection="1">
      <alignment horizontal="center" vertical="center"/>
    </xf>
    <xf numFmtId="0" fontId="4" fillId="16" borderId="3" xfId="0" applyFont="1" applyFill="1" applyBorder="1" applyProtection="1">
      <alignment vertical="center"/>
    </xf>
    <xf numFmtId="0" fontId="9" fillId="5" borderId="16" xfId="0" applyFont="1" applyFill="1" applyBorder="1" applyProtection="1">
      <alignment horizontal="center" vertical="center"/>
    </xf>
    <xf numFmtId="0" fontId="21" fillId="15" borderId="11"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1" fillId="19" borderId="11" xfId="0" applyFont="1" applyFill="1" applyBorder="1" applyProtection="1">
      <alignment horizontal="center" vertical="center"/>
    </xf>
    <xf numFmtId="0" fontId="4" fillId="9" borderId="3" xfId="0" applyFont="1" applyFill="1" applyBorder="1" applyProtection="1">
      <alignment vertical="center"/>
    </xf>
    <xf numFmtId="0" fontId="22" fillId="4" borderId="12"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3" borderId="21" xfId="0" applyNumberFormat="1" applyFont="1" applyFill="1" applyBorder="1" applyProtection="1">
      <alignment horizontal="center" vertical="center"/>
    </xf>
    <xf numFmtId="0" fontId="9" fillId="13" borderId="6" xfId="0" applyFont="1" applyFill="1" applyBorder="1" applyProtection="1">
      <alignment horizontal="center" vertical="center"/>
    </xf>
    <xf numFmtId="0" fontId="12" fillId="0" borderId="0" xfId="0" applyFont="1">
      <alignment horizontal="left" vertical="center" wrapText="1"/>
    </xf>
    <xf numFmtId="0" fontId="4" fillId="0" borderId="22" xfId="0" applyFont="1" applyBorder="1" applyProtection="1">
      <alignment vertical="center"/>
    </xf>
    <xf numFmtId="0" fontId="19" fillId="0" borderId="12" xfId="0" applyFont="1" applyBorder="1" applyProtection="1">
      <alignment horizontal="center" vertical="center"/>
    </xf>
    <xf numFmtId="0" fontId="9" fillId="5" borderId="22" xfId="0" applyFont="1" applyFill="1" applyBorder="1" applyProtection="1">
      <alignment horizontal="center" vertical="center"/>
    </xf>
    <xf numFmtId="0" fontId="17" fillId="0" borderId="20" xfId="0" applyFont="1" applyBorder="1" applyProtection="1">
      <alignment horizontal="center" vertical="center"/>
    </xf>
    <xf numFmtId="0" fontId="20" fillId="0" borderId="0" xfId="0" applyFont="1">
      <alignment horizontal="center" vertical="center"/>
    </xf>
    <xf numFmtId="0" fontId="4" fillId="0" borderId="1" xfId="0" applyFont="1" applyBorder="1" applyProtection="1">
      <alignment horizontal="center" vertical="center"/>
    </xf>
    <xf numFmtId="0" fontId="9" fillId="20" borderId="22" xfId="0" applyFont="1" applyFill="1" applyBorder="1" applyProtection="1">
      <alignment horizontal="center" vertical="center"/>
    </xf>
    <xf numFmtId="0" fontId="9" fillId="16" borderId="22" xfId="0" applyFont="1" applyFill="1" applyBorder="1" applyProtection="1">
      <alignment horizontal="center" vertical="center"/>
    </xf>
    <xf numFmtId="0" fontId="9" fillId="9"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2" xfId="0" applyFont="1" applyBorder="1" applyProtection="1">
      <alignment horizontal="center" vertical="center"/>
    </xf>
    <xf numFmtId="0" fontId="18" fillId="5" borderId="12"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4" fillId="0" borderId="24" xfId="0" applyFont="1" applyBorder="1" applyProtection="1">
      <alignment horizontal="center" vertical="center"/>
    </xf>
    <xf numFmtId="0" fontId="9" fillId="16" borderId="11" xfId="0" applyFont="1" applyFill="1" applyBorder="1" applyProtection="1">
      <alignment horizontal="center" vertical="center"/>
    </xf>
    <xf numFmtId="0" fontId="20" fillId="0" borderId="24" xfId="0" applyFont="1" applyBorder="1" applyProtection="1">
      <alignment horizontal="center" vertical="center"/>
    </xf>
    <xf numFmtId="0" fontId="9" fillId="3" borderId="11" xfId="0" applyFont="1" applyFill="1" applyBorder="1" applyProtection="1">
      <alignment horizontal="center" vertical="center"/>
    </xf>
    <xf numFmtId="0" fontId="23" fillId="0" borderId="1" xfId="0" applyFont="1" applyBorder="1" applyProtection="1">
      <alignment vertical="center"/>
    </xf>
    <xf numFmtId="0" fontId="24" fillId="5" borderId="25" xfId="0" applyFont="1" applyFill="1" applyBorder="1" applyProtection="1">
      <alignment horizontal="center" vertical="center" wrapText="1"/>
    </xf>
    <xf numFmtId="0" fontId="9" fillId="5" borderId="19" xfId="0" applyFont="1" applyFill="1" applyBorder="1" applyProtection="1">
      <alignment horizontal="center" vertical="center"/>
    </xf>
    <xf numFmtId="0" fontId="24" fillId="21" borderId="25" xfId="0" applyFont="1" applyFill="1" applyBorder="1" applyProtection="1">
      <alignment horizontal="center" vertical="center" wrapText="1"/>
    </xf>
    <xf numFmtId="0" fontId="9" fillId="4" borderId="26" xfId="0" applyFont="1" applyFill="1" applyBorder="1" applyProtection="1">
      <alignment horizontal="center" vertical="center"/>
    </xf>
    <xf numFmtId="0" fontId="9" fillId="13" borderId="18" xfId="0" applyFont="1" applyFill="1" applyBorder="1" applyProtection="1">
      <alignment horizontal="center" vertical="center"/>
    </xf>
    <xf numFmtId="0" fontId="25" fillId="0" borderId="27" xfId="0" applyFont="1" applyBorder="1" applyProtection="1">
      <alignment vertical="center"/>
    </xf>
    <xf numFmtId="0" fontId="19" fillId="0" borderId="1" xfId="0" applyFont="1" applyBorder="1" applyProtection="1">
      <alignment vertical="center" wrapText="1"/>
    </xf>
    <xf numFmtId="0" fontId="9" fillId="4" borderId="18" xfId="0" applyFont="1" applyFill="1" applyBorder="1" applyProtection="1">
      <alignment horizontal="center" vertical="center"/>
    </xf>
    <xf numFmtId="0" fontId="9" fillId="22" borderId="11" xfId="0" applyFont="1" applyFill="1" applyBorder="1" applyProtection="1">
      <alignment horizontal="center" vertical="center"/>
    </xf>
    <xf numFmtId="0" fontId="4" fillId="0" borderId="28"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5" borderId="2" xfId="0" applyFont="1" applyFill="1" applyBorder="1" applyProtection="1">
      <alignment vertical="center"/>
    </xf>
    <xf numFmtId="0" fontId="4" fillId="17" borderId="2" xfId="0" applyFont="1" applyFill="1" applyBorder="1" applyProtection="1">
      <alignment vertical="center"/>
    </xf>
    <xf numFmtId="0" fontId="24" fillId="13" borderId="1" xfId="0" applyFont="1" applyFill="1" applyBorder="1" applyProtection="1">
      <alignment horizontal="center" vertical="center"/>
    </xf>
    <xf numFmtId="0" fontId="24" fillId="5" borderId="6" xfId="0" applyFont="1" applyFill="1" applyBorder="1" applyProtection="1">
      <alignment horizontal="left" vertical="center"/>
    </xf>
    <xf numFmtId="0" fontId="25" fillId="0" borderId="0" xfId="0" applyFont="1">
      <alignment vertical="center"/>
    </xf>
    <xf numFmtId="0" fontId="20" fillId="0" borderId="0" xfId="0" applyFont="1">
      <alignment horizontal="left" vertical="center" wrapText="1"/>
    </xf>
    <xf numFmtId="0" fontId="25" fillId="0" borderId="29" xfId="0" applyFont="1" applyBorder="1" applyProtection="1">
      <alignment vertical="center"/>
    </xf>
    <xf numFmtId="0" fontId="26" fillId="0" borderId="29" xfId="0" applyFont="1" applyBorder="1" applyProtection="1">
      <alignment vertical="center"/>
    </xf>
    <xf numFmtId="164" fontId="4" fillId="0" borderId="21" xfId="0" applyNumberFormat="1" applyFont="1" applyBorder="1" applyProtection="1">
      <alignment horizontal="right" vertical="center"/>
    </xf>
    <xf numFmtId="0" fontId="4" fillId="0" borderId="28" xfId="0" applyFont="1" applyBorder="1" applyProtection="1">
      <alignment vertical="center" wrapText="1"/>
    </xf>
    <xf numFmtId="0" fontId="9" fillId="4" borderId="12"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5" borderId="21" xfId="0" applyNumberFormat="1" applyFont="1" applyFill="1" applyBorder="1" applyProtection="1">
      <alignment horizontal="right" vertical="center"/>
    </xf>
    <xf numFmtId="0" fontId="27" fillId="0" borderId="0" xfId="0" applyFont="1">
      <alignment horizontal="center" vertical="center"/>
    </xf>
    <xf numFmtId="0" fontId="9" fillId="4" borderId="14" xfId="0" applyFont="1" applyFill="1" applyBorder="1" applyProtection="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5" borderId="18" xfId="0" applyNumberFormat="1" applyFont="1" applyFill="1" applyBorder="1" applyProtection="1">
      <alignment horizontal="right" vertical="center"/>
    </xf>
    <xf numFmtId="164" fontId="4" fillId="17" borderId="18" xfId="0" applyNumberFormat="1" applyFont="1" applyFill="1" applyBorder="1" applyProtection="1">
      <alignment horizontal="right" vertical="center"/>
    </xf>
    <xf numFmtId="0" fontId="30" fillId="2" borderId="0" xfId="0" applyFont="1" applyFill="1">
      <alignment horizontal="center" vertical="center"/>
    </xf>
    <xf numFmtId="0" fontId="9" fillId="13" borderId="1" xfId="0" applyFont="1" applyFill="1" applyBorder="1" applyProtection="1">
      <alignment horizontal="center" vertical="center"/>
    </xf>
    <xf numFmtId="0" fontId="9" fillId="5" borderId="26"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31" fillId="3" borderId="1" xfId="0" applyFont="1" applyFill="1" applyBorder="1" applyProtection="1">
      <alignment horizontal="center" vertical="center"/>
    </xf>
    <xf numFmtId="3" fontId="9" fillId="4" borderId="18" xfId="0" applyNumberFormat="1" applyFont="1" applyFill="1" applyBorder="1" applyProtection="1">
      <alignment horizontal="center" vertical="center"/>
    </xf>
    <xf numFmtId="0" fontId="15" fillId="2" borderId="5" xfId="0" applyFont="1" applyFill="1" applyBorder="1" applyProtection="1">
      <alignment horizontal="center" vertical="center"/>
    </xf>
    <xf numFmtId="0" fontId="32" fillId="0" borderId="0" xfId="0" applyFont="1">
      <alignment horizontal="center" vertical="center"/>
    </xf>
    <xf numFmtId="164" fontId="9" fillId="4" borderId="18" xfId="0" applyNumberFormat="1" applyFont="1" applyFill="1" applyBorder="1" applyProtection="1">
      <alignment horizontal="center" vertical="center"/>
    </xf>
    <xf numFmtId="3" fontId="9" fillId="13" borderId="18" xfId="0" applyNumberFormat="1" applyFont="1" applyFill="1" applyBorder="1" applyProtection="1">
      <alignment horizontal="center" vertical="center"/>
    </xf>
    <xf numFmtId="3" fontId="9" fillId="16" borderId="18" xfId="0" applyNumberFormat="1" applyFont="1" applyFill="1" applyBorder="1" applyProtection="1">
      <alignment horizontal="center" vertical="center"/>
    </xf>
    <xf numFmtId="0" fontId="4" fillId="5" borderId="3" xfId="0" applyFont="1" applyFill="1" applyBorder="1" applyProtection="1">
      <alignment vertical="center"/>
    </xf>
    <xf numFmtId="0" fontId="15" fillId="2" borderId="12" xfId="0" applyFont="1" applyFill="1" applyBorder="1" applyProtection="1">
      <alignment horizontal="center" vertical="center"/>
    </xf>
    <xf numFmtId="0" fontId="8" fillId="0" borderId="1" xfId="0" applyFont="1" applyBorder="1" applyProtection="1">
      <alignment horizontal="center" vertical="center"/>
    </xf>
    <xf numFmtId="0" fontId="4" fillId="0" borderId="30" xfId="0" applyFont="1" applyBorder="1" applyProtection="1">
      <alignment vertical="center"/>
    </xf>
    <xf numFmtId="0" fontId="4" fillId="0" borderId="31" xfId="0" applyFont="1" applyBorder="1" applyProtection="1">
      <alignment vertical="center"/>
    </xf>
    <xf numFmtId="0" fontId="20" fillId="0" borderId="0" xfId="0" applyFont="1">
      <alignment horizontal="left" vertical="center"/>
    </xf>
    <xf numFmtId="0" fontId="4" fillId="0" borderId="32" xfId="0" applyFont="1" applyBorder="1" applyProtection="1">
      <alignment vertical="center" wrapText="1"/>
    </xf>
    <xf numFmtId="0" fontId="4" fillId="0" borderId="1" xfId="0" applyFont="1" applyBorder="1" applyProtection="1">
      <alignment horizontal="center" vertical="center" wrapText="1"/>
    </xf>
    <xf numFmtId="0" fontId="9" fillId="5" borderId="14"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3" xfId="0" applyFont="1" applyBorder="1" applyProtection="1">
      <alignment vertical="center" wrapText="1"/>
    </xf>
    <xf numFmtId="0" fontId="15" fillId="3" borderId="0" xfId="0" applyFont="1" applyFill="1">
      <alignment horizontal="center" vertical="center" wrapText="1"/>
    </xf>
    <xf numFmtId="0" fontId="9" fillId="9" borderId="6" xfId="0" applyFont="1" applyFill="1" applyBorder="1" applyProtection="1">
      <alignment horizontal="center" vertical="center" wrapText="1"/>
    </xf>
    <xf numFmtId="164" fontId="9" fillId="16"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6" borderId="18" xfId="0" applyFont="1" applyFill="1" applyBorder="1" applyProtection="1">
      <alignment horizontal="center" vertical="center"/>
    </xf>
    <xf numFmtId="0" fontId="10" fillId="8" borderId="1" xfId="0" applyFont="1" applyFill="1" applyBorder="1" applyProtection="1">
      <alignment horizontal="center" vertical="center"/>
    </xf>
    <xf numFmtId="0" fontId="13" fillId="23" borderId="0" xfId="0" applyFont="1" applyFill="1">
      <alignment horizontal="left" vertical="center" wrapText="1"/>
    </xf>
    <xf numFmtId="0" fontId="4" fillId="0" borderId="1" xfId="0" applyFont="1" applyBorder="1" applyProtection="1">
      <alignment horizontal="center" vertical="center" wrapText="1"/>
    </xf>
    <xf numFmtId="0" fontId="24" fillId="21" borderId="6" xfId="0" applyFont="1" applyFill="1" applyBorder="1" applyProtection="1">
      <alignment horizontal="center" vertical="center" wrapText="1"/>
    </xf>
    <xf numFmtId="0" fontId="4" fillId="14" borderId="1" xfId="0" applyFont="1" applyFill="1" applyBorder="1" applyProtection="1">
      <alignment horizontal="center" vertical="center" wrapText="1"/>
    </xf>
    <xf numFmtId="0" fontId="23" fillId="24" borderId="0" xfId="0" applyFont="1" applyFill="1">
      <alignment horizontal="center" vertical="center" wrapText="1"/>
    </xf>
    <xf numFmtId="3" fontId="9" fillId="13" borderId="21" xfId="0" applyNumberFormat="1" applyFont="1" applyFill="1" applyBorder="1" applyProtection="1">
      <alignment horizontal="center" vertical="center"/>
    </xf>
    <xf numFmtId="0" fontId="9" fillId="13" borderId="21" xfId="0" applyFont="1" applyFill="1" applyBorder="1" applyProtection="1">
      <alignment horizontal="center" vertical="center"/>
    </xf>
    <xf numFmtId="0" fontId="19" fillId="25" borderId="1" xfId="0" applyFont="1" applyFill="1" applyBorder="1" applyProtection="1">
      <alignment horizontal="center" vertical="center"/>
    </xf>
    <xf numFmtId="9" fontId="19" fillId="25" borderId="1" xfId="0" applyNumberFormat="1" applyFont="1" applyFill="1" applyBorder="1" applyProtection="1">
      <alignment horizontal="center" vertical="center"/>
    </xf>
    <xf numFmtId="0" fontId="19" fillId="11" borderId="1" xfId="0" applyFont="1" applyFill="1" applyBorder="1" applyProtection="1">
      <alignment horizontal="center" vertical="center"/>
    </xf>
    <xf numFmtId="0" fontId="33" fillId="14" borderId="34" xfId="0" applyFont="1" applyFill="1" applyBorder="1" applyProtection="1">
      <alignment horizontal="center" vertical="center"/>
    </xf>
    <xf numFmtId="9" fontId="19" fillId="11" borderId="1" xfId="0" applyNumberFormat="1" applyFont="1" applyFill="1" applyBorder="1" applyProtection="1">
      <alignment horizontal="center" vertical="center"/>
    </xf>
    <xf numFmtId="0" fontId="12" fillId="23" borderId="0" xfId="0" applyFont="1" applyFill="1">
      <alignment horizontal="left" vertical="center" wrapText="1"/>
    </xf>
    <xf numFmtId="0" fontId="19" fillId="26" borderId="1" xfId="0" applyFont="1" applyFill="1" applyBorder="1" applyProtection="1">
      <alignment horizontal="center" vertical="center"/>
    </xf>
    <xf numFmtId="0" fontId="8" fillId="0" borderId="0" xfId="0" applyFont="1">
      <alignment vertical="center"/>
    </xf>
    <xf numFmtId="9" fontId="19" fillId="26" borderId="1" xfId="0" applyNumberFormat="1" applyFont="1" applyFill="1" applyBorder="1" applyProtection="1">
      <alignment horizontal="center" vertical="center"/>
    </xf>
    <xf numFmtId="0" fontId="7" fillId="0" borderId="0" xfId="0" applyFont="1">
      <alignment horizontal="center" vertical="center" wrapText="1"/>
    </xf>
    <xf numFmtId="0" fontId="24" fillId="3" borderId="25" xfId="0" applyFont="1" applyFill="1" applyBorder="1" applyProtection="1">
      <alignment horizontal="center" vertical="center" wrapText="1"/>
    </xf>
    <xf numFmtId="0" fontId="4" fillId="0" borderId="0" xfId="0" applyFont="1">
      <alignment horizontal="left" vertical="center" wrapText="1"/>
    </xf>
    <xf numFmtId="0" fontId="9" fillId="14" borderId="34" xfId="0" applyFont="1" applyFill="1" applyBorder="1" applyProtection="1">
      <alignment vertical="center"/>
    </xf>
    <xf numFmtId="0" fontId="5" fillId="0" borderId="5" xfId="0" applyFont="1" applyBorder="1" applyProtection="1">
      <alignment horizontal="center" vertical="center"/>
    </xf>
    <xf numFmtId="0" fontId="4" fillId="3" borderId="1" xfId="0" applyFont="1" applyFill="1" applyBorder="1" applyProtection="1">
      <alignment horizontal="center" vertical="center" wrapText="1"/>
    </xf>
    <xf numFmtId="0" fontId="4" fillId="0" borderId="25" xfId="0" applyFont="1" applyBorder="1" applyProtection="1">
      <alignment vertical="center"/>
    </xf>
    <xf numFmtId="0" fontId="4" fillId="26" borderId="1" xfId="0" applyFont="1" applyFill="1" applyBorder="1" applyProtection="1">
      <alignment horizontal="center" vertical="center"/>
    </xf>
    <xf numFmtId="0" fontId="15" fillId="0" borderId="11" xfId="0" applyFont="1" applyBorder="1" applyProtection="1">
      <alignment horizontal="center" vertical="center"/>
    </xf>
    <xf numFmtId="0" fontId="8" fillId="8" borderId="0" xfId="0" applyFont="1" applyFill="1">
      <alignment horizontal="center" vertical="center"/>
    </xf>
    <xf numFmtId="0" fontId="20" fillId="0" borderId="0" xfId="0" applyFont="1">
      <alignment horizontal="center" vertical="center"/>
    </xf>
    <xf numFmtId="0" fontId="19"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13" fillId="3" borderId="0" xfId="0" applyFont="1" applyFill="1">
      <alignment horizontal="center" vertical="center" wrapText="1"/>
    </xf>
    <xf numFmtId="0" fontId="34" fillId="0" borderId="9" xfId="0" applyFont="1" applyBorder="1" applyProtection="1">
      <alignment horizontal="center" vertical="center"/>
    </xf>
    <xf numFmtId="0" fontId="4" fillId="0" borderId="2" xfId="0" applyFont="1" applyBorder="1" applyProtection="1">
      <alignment vertical="center"/>
    </xf>
    <xf numFmtId="164" fontId="9" fillId="9" borderId="16" xfId="0" applyNumberFormat="1" applyFont="1" applyFill="1" applyBorder="1" applyProtection="1">
      <alignment horizontal="center" vertical="center"/>
    </xf>
    <xf numFmtId="0" fontId="4" fillId="8" borderId="1" xfId="0" applyFont="1" applyFill="1" applyBorder="1" applyProtection="1">
      <alignment horizontal="center" vertical="center"/>
    </xf>
    <xf numFmtId="0" fontId="11" fillId="7" borderId="0" xfId="0" applyFont="1" applyFill="1">
      <alignment horizontal="center" vertical="center"/>
    </xf>
    <xf numFmtId="9" fontId="5" fillId="0" borderId="34" xfId="0" applyNumberFormat="1" applyFont="1" applyBorder="1" applyProtection="1">
      <alignment horizontal="center" vertical="center"/>
    </xf>
    <xf numFmtId="0" fontId="4" fillId="0" borderId="34" xfId="0" applyFont="1" applyBorder="1" applyProtection="1">
      <alignment vertical="center"/>
    </xf>
    <xf numFmtId="0" fontId="24" fillId="8" borderId="11" xfId="0" applyFont="1" applyFill="1" applyBorder="1" applyProtection="1">
      <alignment horizontal="center" vertical="center"/>
    </xf>
    <xf numFmtId="0" fontId="24" fillId="27" borderId="11" xfId="0" applyFont="1" applyFill="1" applyBorder="1" applyProtection="1">
      <alignment horizontal="center" vertical="center"/>
    </xf>
    <xf numFmtId="0" fontId="24" fillId="16"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4" borderId="26" xfId="0" applyFont="1" applyFill="1" applyBorder="1" applyProtection="1">
      <alignment horizontal="center" vertical="center"/>
    </xf>
    <xf numFmtId="0" fontId="15" fillId="3" borderId="35" xfId="0" applyFont="1" applyFill="1" applyBorder="1" applyProtection="1">
      <alignment horizontal="center" vertical="center"/>
    </xf>
    <xf numFmtId="0" fontId="4" fillId="3" borderId="25" xfId="0" applyFont="1" applyFill="1" applyBorder="1" applyProtection="1">
      <alignment horizontal="center" vertical="center"/>
    </xf>
    <xf numFmtId="0" fontId="24" fillId="3" borderId="6" xfId="0" applyFont="1" applyFill="1" applyBorder="1" applyProtection="1">
      <alignment horizontal="center" vertical="center" wrapText="1"/>
    </xf>
    <xf numFmtId="0" fontId="24" fillId="4" borderId="1" xfId="0" applyFont="1" applyFill="1" applyBorder="1" applyProtection="1">
      <alignment horizontal="center" vertical="center"/>
    </xf>
    <xf numFmtId="0" fontId="4" fillId="0" borderId="36" xfId="0" applyFont="1" applyBorder="1" applyProtection="1">
      <alignment vertical="center"/>
    </xf>
    <xf numFmtId="0" fontId="23" fillId="8" borderId="0" xfId="0" applyFont="1" applyFill="1">
      <alignment horizontal="center" vertical="center" wrapText="1"/>
    </xf>
    <xf numFmtId="0" fontId="7" fillId="8" borderId="0" xfId="0" applyFont="1" applyFill="1">
      <alignment horizontal="center" vertical="center"/>
    </xf>
    <xf numFmtId="0" fontId="23" fillId="8" borderId="0" xfId="0" applyFont="1" applyFill="1">
      <alignment horizontal="center" vertical="center"/>
    </xf>
    <xf numFmtId="0" fontId="33" fillId="14" borderId="36" xfId="0" applyFont="1" applyFill="1" applyBorder="1" applyProtection="1">
      <alignment horizontal="center" vertical="center"/>
    </xf>
    <xf numFmtId="0" fontId="9" fillId="14" borderId="36" xfId="0" applyFont="1" applyFill="1" applyBorder="1" applyProtection="1">
      <alignment vertical="center"/>
    </xf>
    <xf numFmtId="0" fontId="15" fillId="2" borderId="12" xfId="0" applyFont="1" applyFill="1" applyBorder="1" applyProtection="1">
      <alignment horizontal="center" vertical="center"/>
    </xf>
    <xf numFmtId="0" fontId="24" fillId="5" borderId="26" xfId="0" applyFont="1" applyFill="1" applyBorder="1" applyProtection="1">
      <alignment horizontal="center" vertical="center" wrapText="1"/>
    </xf>
    <xf numFmtId="0" fontId="33" fillId="13" borderId="36" xfId="0" applyFont="1" applyFill="1" applyBorder="1" applyProtection="1">
      <alignment horizontal="center" vertical="center"/>
    </xf>
    <xf numFmtId="0" fontId="24" fillId="5" borderId="14" xfId="0" applyFont="1" applyFill="1" applyBorder="1" applyProtection="1">
      <alignment horizontal="center" vertical="center" wrapText="1"/>
    </xf>
    <xf numFmtId="0" fontId="7" fillId="0" borderId="0" xfId="0" applyFont="1">
      <alignment horizontal="center" vertical="center"/>
    </xf>
    <xf numFmtId="0" fontId="4" fillId="0" borderId="12" xfId="0" applyFont="1" applyBorder="1" applyProtection="1">
      <alignment horizontal="center" vertical="center"/>
    </xf>
    <xf numFmtId="1" fontId="33" fillId="13" borderId="36" xfId="0" applyNumberFormat="1" applyFont="1" applyFill="1" applyBorder="1" applyProtection="1">
      <alignment horizontal="center" vertical="center"/>
    </xf>
    <xf numFmtId="0" fontId="27" fillId="0" borderId="13" xfId="0" applyFont="1" applyBorder="1" applyProtection="1">
      <alignment horizontal="center" vertical="center"/>
    </xf>
    <xf numFmtId="164" fontId="33" fillId="13" borderId="36" xfId="0" applyNumberFormat="1" applyFont="1" applyFill="1" applyBorder="1" applyProtection="1">
      <alignment horizontal="center" vertical="center"/>
    </xf>
    <xf numFmtId="0" fontId="19" fillId="0" borderId="0" xfId="0" applyFont="1">
      <alignment vertical="center"/>
    </xf>
    <xf numFmtId="0" fontId="23" fillId="0" borderId="0" xfId="0" applyFont="1">
      <alignment horizontal="center" vertical="center" wrapText="1"/>
    </xf>
    <xf numFmtId="0" fontId="23" fillId="0" borderId="0" xfId="0" applyFont="1">
      <alignment horizontal="center" vertical="center"/>
    </xf>
    <xf numFmtId="0" fontId="24" fillId="4" borderId="14" xfId="0" applyFont="1" applyFill="1" applyBorder="1" applyProtection="1">
      <alignment horizontal="center" vertical="center" wrapText="1"/>
    </xf>
    <xf numFmtId="0" fontId="24" fillId="9" borderId="14" xfId="0" applyFont="1" applyFill="1" applyBorder="1" applyProtection="1">
      <alignment horizontal="center" vertical="center" wrapText="1"/>
    </xf>
    <xf numFmtId="0" fontId="19" fillId="0" borderId="0" xfId="0" applyFont="1">
      <alignment horizontal="center" vertical="center"/>
    </xf>
    <xf numFmtId="0" fontId="24" fillId="16" borderId="37" xfId="0" applyFont="1" applyFill="1" applyBorder="1" applyProtection="1">
      <alignment horizontal="center" vertical="center"/>
    </xf>
    <xf numFmtId="0" fontId="24" fillId="3" borderId="37" xfId="0" applyFont="1" applyFill="1" applyBorder="1" applyProtection="1">
      <alignment horizontal="center" vertical="center"/>
    </xf>
    <xf numFmtId="0" fontId="24" fillId="22" borderId="37" xfId="0" applyFont="1" applyFill="1" applyBorder="1" applyProtection="1">
      <alignment horizontal="center" vertical="center"/>
    </xf>
    <xf numFmtId="0" fontId="24" fillId="14" borderId="14" xfId="0" applyFont="1" applyFill="1" applyBorder="1" applyProtection="1">
      <alignment horizontal="center" vertical="center" wrapText="1"/>
    </xf>
    <xf numFmtId="0" fontId="24" fillId="9" borderId="38" xfId="0" applyFont="1" applyFill="1" applyBorder="1" applyProtection="1">
      <alignment horizontal="center" vertical="center"/>
    </xf>
    <xf numFmtId="0" fontId="5" fillId="0" borderId="36" xfId="0" applyFont="1" applyBorder="1" applyProtection="1">
      <alignment horizontal="center" vertical="center"/>
    </xf>
    <xf numFmtId="1" fontId="5" fillId="0" borderId="36" xfId="0" applyNumberFormat="1" applyFont="1" applyBorder="1" applyProtection="1">
      <alignment horizontal="center" vertical="center"/>
    </xf>
    <xf numFmtId="0" fontId="15" fillId="8" borderId="11" xfId="0" applyFont="1" applyFill="1" applyBorder="1" applyProtection="1">
      <alignment horizontal="center" vertical="center"/>
    </xf>
    <xf numFmtId="0" fontId="15" fillId="0" borderId="11" xfId="0" applyFont="1" applyBorder="1" applyProtection="1">
      <alignment horizontal="center" vertical="center"/>
    </xf>
    <xf numFmtId="0" fontId="24" fillId="16"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2" borderId="11" xfId="0" applyFont="1" applyFill="1" applyBorder="1" applyProtection="1">
      <alignment horizontal="center" vertical="center"/>
    </xf>
    <xf numFmtId="0" fontId="24" fillId="2" borderId="26" xfId="0" applyFont="1" applyFill="1" applyBorder="1" applyProtection="1">
      <alignment horizontal="center" vertical="center"/>
    </xf>
    <xf numFmtId="0" fontId="15" fillId="0" borderId="39" xfId="0" applyFont="1" applyBorder="1" applyProtection="1">
      <alignment horizontal="center" vertical="center" wrapText="1"/>
    </xf>
    <xf numFmtId="0" fontId="15" fillId="0" borderId="6" xfId="0" applyFont="1" applyBorder="1" applyProtection="1">
      <alignment horizontal="center" vertical="center" wrapText="1"/>
    </xf>
    <xf numFmtId="0" fontId="15" fillId="0" borderId="14" xfId="0" applyFont="1" applyBorder="1" applyProtection="1">
      <alignment horizontal="center" vertical="center" wrapText="1"/>
    </xf>
    <xf numFmtId="0" fontId="24" fillId="13" borderId="1" xfId="0" applyFont="1" applyFill="1" applyBorder="1" applyProtection="1">
      <alignment horizontal="center" vertical="center"/>
    </xf>
    <xf numFmtId="0" fontId="23" fillId="19" borderId="0" xfId="0" applyFont="1" applyFill="1">
      <alignment horizontal="center" vertical="center" wrapText="1"/>
    </xf>
    <xf numFmtId="0" fontId="24" fillId="4" borderId="12" xfId="0" applyFont="1" applyFill="1" applyBorder="1" applyProtection="1">
      <alignment horizontal="center" vertical="center"/>
    </xf>
    <xf numFmtId="0" fontId="23" fillId="0" borderId="0" xfId="0" applyFont="1">
      <alignment horizontal="center" vertical="center"/>
    </xf>
    <xf numFmtId="0" fontId="24" fillId="5" borderId="11" xfId="0" applyFont="1" applyFill="1" applyBorder="1" applyProtection="1">
      <alignment horizontal="center" vertical="center" wrapText="1"/>
    </xf>
    <xf numFmtId="0" fontId="24" fillId="5" borderId="6" xfId="0" applyFont="1" applyFill="1" applyBorder="1" applyProtection="1">
      <alignment horizontal="center" vertical="center" wrapText="1"/>
    </xf>
    <xf numFmtId="0" fontId="24" fillId="9" borderId="6" xfId="0" applyFont="1" applyFill="1" applyBorder="1" applyProtection="1">
      <alignment horizontal="center" vertical="center" wrapText="1"/>
    </xf>
    <xf numFmtId="0" fontId="27" fillId="0" borderId="1" xfId="0" applyFont="1" applyBorder="1" applyProtection="1">
      <alignment horizontal="center" vertical="center"/>
    </xf>
    <xf numFmtId="0" fontId="27" fillId="0" borderId="1" xfId="0" applyFont="1" applyBorder="1" applyProtection="1">
      <alignment horizontal="center" vertical="center" wrapText="1"/>
    </xf>
    <xf numFmtId="0" fontId="27" fillId="0" borderId="1" xfId="0" applyFont="1" applyBorder="1" applyProtection="1">
      <alignment horizontal="center" vertical="center"/>
    </xf>
    <xf numFmtId="0" fontId="27" fillId="0" borderId="12" xfId="0" applyFont="1" applyBorder="1" applyProtection="1">
      <alignment horizontal="center" vertical="center"/>
    </xf>
    <xf numFmtId="0" fontId="35" fillId="0" borderId="34" xfId="0" applyFont="1" applyBorder="1" applyProtection="1">
      <alignment horizontal="center" vertical="center" wrapText="1"/>
    </xf>
    <xf numFmtId="0" fontId="35" fillId="28" borderId="34" xfId="0" applyFont="1" applyFill="1" applyBorder="1" applyProtection="1">
      <alignment horizontal="center" vertical="center"/>
    </xf>
    <xf numFmtId="0" fontId="35" fillId="19" borderId="34" xfId="0" applyFont="1" applyFill="1" applyBorder="1" applyProtection="1">
      <alignment horizontal="center" vertical="center"/>
    </xf>
    <xf numFmtId="0" fontId="35" fillId="17" borderId="34" xfId="0" applyFont="1" applyFill="1" applyBorder="1" applyProtection="1">
      <alignment horizontal="center" vertical="center"/>
    </xf>
    <xf numFmtId="0" fontId="24" fillId="9" borderId="30" xfId="0" applyFont="1" applyFill="1" applyBorder="1" applyProtection="1">
      <alignment horizontal="center" vertical="center"/>
    </xf>
    <xf numFmtId="0" fontId="24" fillId="9" borderId="5" xfId="0" applyFont="1" applyFill="1" applyBorder="1" applyProtection="1">
      <alignment horizontal="center" vertical="center"/>
    </xf>
    <xf numFmtId="0" fontId="20" fillId="29" borderId="0" xfId="0" applyFont="1" applyFill="1">
      <alignment horizontal="center" vertical="center" wrapText="1"/>
    </xf>
    <xf numFmtId="0" fontId="5" fillId="17" borderId="36"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19" borderId="0" xfId="0" applyFont="1" applyFill="1">
      <alignment horizontal="center" vertical="center"/>
    </xf>
    <xf numFmtId="0" fontId="23" fillId="19" borderId="0" xfId="0" applyFont="1" applyFill="1">
      <alignment horizontal="center" vertical="center"/>
    </xf>
    <xf numFmtId="9" fontId="5" fillId="0" borderId="36" xfId="0" applyNumberFormat="1" applyFont="1" applyBorder="1" applyProtection="1">
      <alignment horizontal="center" vertical="center"/>
    </xf>
    <xf numFmtId="0" fontId="33" fillId="9" borderId="36" xfId="0" applyFont="1" applyFill="1" applyBorder="1" applyProtection="1">
      <alignment horizontal="center" vertical="center"/>
    </xf>
    <xf numFmtId="0" fontId="9" fillId="9" borderId="36" xfId="0" applyFont="1" applyFill="1" applyBorder="1" applyProtection="1">
      <alignment vertical="center"/>
    </xf>
    <xf numFmtId="1" fontId="33" fillId="9" borderId="36" xfId="0" applyNumberFormat="1" applyFont="1" applyFill="1" applyBorder="1" applyProtection="1">
      <alignment horizontal="center" vertical="center"/>
    </xf>
    <xf numFmtId="0" fontId="20" fillId="12" borderId="0" xfId="0" applyFont="1" applyFill="1">
      <alignment horizontal="center" vertical="center" wrapText="1"/>
    </xf>
    <xf numFmtId="164" fontId="33" fillId="9" borderId="36" xfId="0" applyNumberFormat="1" applyFont="1" applyFill="1" applyBorder="1" applyProtection="1">
      <alignment horizontal="center" vertical="center"/>
    </xf>
    <xf numFmtId="0" fontId="20" fillId="0" borderId="0" xfId="0" applyFont="1">
      <alignment horizontal="center" vertical="center" wrapText="1"/>
    </xf>
    <xf numFmtId="0" fontId="33" fillId="16" borderId="36" xfId="0" applyFont="1" applyFill="1" applyBorder="1" applyProtection="1">
      <alignment horizontal="center" vertical="center"/>
    </xf>
    <xf numFmtId="0" fontId="9" fillId="16" borderId="36" xfId="0" applyFont="1" applyFill="1" applyBorder="1" applyProtection="1">
      <alignment vertical="center"/>
    </xf>
    <xf numFmtId="1" fontId="33" fillId="16" borderId="36" xfId="0" applyNumberFormat="1" applyFont="1" applyFill="1" applyBorder="1" applyProtection="1">
      <alignment horizontal="center" vertical="center"/>
    </xf>
    <xf numFmtId="0" fontId="4" fillId="0" borderId="25" xfId="0" applyFont="1" applyBorder="1" applyProtection="1">
      <alignment vertical="center"/>
    </xf>
    <xf numFmtId="0" fontId="4" fillId="0" borderId="35" xfId="0" applyFont="1" applyBorder="1" applyProtection="1">
      <alignment vertical="center"/>
    </xf>
    <xf numFmtId="164" fontId="33" fillId="16" borderId="36" xfId="0" applyNumberFormat="1" applyFont="1" applyFill="1" applyBorder="1" applyProtection="1">
      <alignment horizontal="center" vertical="center"/>
    </xf>
    <xf numFmtId="0" fontId="33" fillId="3" borderId="36" xfId="0" applyFont="1" applyFill="1" applyBorder="1" applyProtection="1">
      <alignment horizontal="center" vertical="center"/>
    </xf>
    <xf numFmtId="0" fontId="4" fillId="0" borderId="5" xfId="0" applyFont="1" applyBorder="1" applyProtection="1">
      <alignment vertical="center"/>
    </xf>
    <xf numFmtId="0" fontId="9" fillId="3" borderId="36" xfId="0" applyFont="1" applyFill="1" applyBorder="1" applyProtection="1">
      <alignment vertical="center"/>
    </xf>
    <xf numFmtId="1" fontId="33" fillId="3" borderId="36" xfId="0" applyNumberFormat="1" applyFont="1" applyFill="1" applyBorder="1" applyProtection="1">
      <alignment horizontal="center" vertical="center"/>
    </xf>
    <xf numFmtId="164" fontId="33" fillId="3" borderId="36" xfId="0" applyNumberFormat="1" applyFont="1" applyFill="1" applyBorder="1" applyProtection="1">
      <alignment horizontal="center" vertical="center"/>
    </xf>
    <xf numFmtId="0" fontId="4" fillId="0" borderId="1" xfId="0" applyFont="1" applyBorder="1" applyProtection="1">
      <alignment horizontal="center" vertical="center"/>
    </xf>
    <xf numFmtId="0" fontId="19" fillId="0" borderId="1" xfId="0" applyFont="1" applyBorder="1" applyProtection="1">
      <alignment horizontal="center" vertical="center"/>
    </xf>
    <xf numFmtId="0" fontId="24" fillId="5" borderId="25" xfId="0" applyFont="1" applyFill="1" applyBorder="1" applyProtection="1">
      <alignment horizontal="center" vertical="center"/>
    </xf>
    <xf numFmtId="0" fontId="9" fillId="9" borderId="38"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30" xfId="0" applyFont="1" applyBorder="1" applyProtection="1">
      <alignment vertical="center"/>
    </xf>
    <xf numFmtId="0" fontId="4" fillId="0" borderId="1" xfId="0" applyFont="1" applyBorder="1" applyProtection="1">
      <alignment horizontal="center" vertical="center"/>
    </xf>
    <xf numFmtId="0" fontId="13" fillId="23" borderId="0" xfId="0" applyFont="1" applyFill="1">
      <alignment horizontal="left" vertical="center"/>
    </xf>
    <xf numFmtId="3" fontId="19" fillId="0" borderId="1" xfId="0" applyNumberFormat="1" applyFont="1" applyBorder="1" applyProtection="1">
      <alignment horizontal="center" vertical="center"/>
    </xf>
    <xf numFmtId="0" fontId="19" fillId="24" borderId="1" xfId="0" applyFont="1" applyFill="1" applyBorder="1" applyProtection="1">
      <alignment horizontal="center" vertical="center"/>
    </xf>
    <xf numFmtId="0" fontId="9" fillId="9" borderId="5" xfId="0" applyFont="1" applyFill="1" applyBorder="1" applyProtection="1">
      <alignment horizontal="center" vertical="center"/>
    </xf>
    <xf numFmtId="3" fontId="19" fillId="24" borderId="1" xfId="0" applyNumberFormat="1" applyFont="1" applyFill="1" applyBorder="1" applyProtection="1">
      <alignment horizontal="center" vertical="center"/>
    </xf>
    <xf numFmtId="0" fontId="19" fillId="0" borderId="1" xfId="0" applyFont="1" applyBorder="1" applyProtection="1">
      <alignment vertical="center"/>
    </xf>
    <xf numFmtId="0" fontId="20" fillId="0" borderId="0" xfId="0" applyFont="1">
      <alignment horizontal="left" vertical="center"/>
    </xf>
    <xf numFmtId="0" fontId="4" fillId="0" borderId="35" xfId="0" applyFont="1" applyBorder="1" applyProtection="1">
      <alignment vertical="center"/>
    </xf>
    <xf numFmtId="0" fontId="20" fillId="0" borderId="9" xfId="0" applyFont="1" applyBorder="1" applyProtection="1">
      <alignment horizontal="center" vertical="center"/>
    </xf>
    <xf numFmtId="0" fontId="20" fillId="23" borderId="9" xfId="0" applyFont="1" applyFill="1" applyBorder="1" applyProtection="1">
      <alignment horizontal="center" vertical="center"/>
    </xf>
    <xf numFmtId="0" fontId="36" fillId="0" borderId="0" xfId="0" applyFont="1">
      <alignment horizontal="center" vertical="center" wrapText="1"/>
    </xf>
    <xf numFmtId="0" fontId="20" fillId="0" borderId="0" xfId="0" applyFont="1">
      <alignment horizontal="left" vertical="center"/>
    </xf>
    <xf numFmtId="0" fontId="20" fillId="0" borderId="0" xfId="0" applyFont="1">
      <alignment horizontal="left" vertical="center"/>
    </xf>
    <xf numFmtId="0" fontId="37" fillId="0" borderId="0" xfId="0" applyFont="1">
      <alignment vertical="center"/>
    </xf>
    <xf numFmtId="0" fontId="38" fillId="0" borderId="0" xfId="0" applyFont="1">
      <alignment vertical="center" wrapText="1"/>
    </xf>
    <xf numFmtId="0" fontId="39" fillId="0" borderId="0" xfId="0" applyFont="1">
      <alignment horizontal="center" vertical="center" wrapText="1"/>
    </xf>
    <xf numFmtId="0" fontId="11" fillId="7" borderId="20" xfId="0" applyFont="1" applyFill="1" applyBorder="1" applyProtection="1">
      <alignment horizontal="center" vertical="center" wrapText="1"/>
    </xf>
    <xf numFmtId="0" fontId="4" fillId="0" borderId="9" xfId="0" applyFont="1" applyBorder="1" applyProtection="1">
      <alignment vertical="center"/>
    </xf>
    <xf numFmtId="0" fontId="4" fillId="0" borderId="9" xfId="0" applyFont="1" applyBorder="1" applyProtection="1">
      <alignment horizontal="center" vertical="center"/>
    </xf>
    <xf numFmtId="0" fontId="18" fillId="5" borderId="1" xfId="0" applyFont="1" applyFill="1" applyBorder="1" applyProtection="1">
      <alignment horizontal="center" vertical="center"/>
    </xf>
    <xf numFmtId="0" fontId="40" fillId="0" borderId="0" xfId="0" applyFont="1">
      <alignment horizontal="center" vertical="center" wrapText="1"/>
    </xf>
    <xf numFmtId="0" fontId="23" fillId="0" borderId="0" xfId="0" applyFont="1">
      <alignment horizontal="left" vertical="center" wrapText="1"/>
    </xf>
    <xf numFmtId="0" fontId="39" fillId="0" borderId="0" xfId="0" applyFont="1">
      <alignment horizontal="left" vertical="center" wrapText="1"/>
    </xf>
    <xf numFmtId="0" fontId="4" fillId="17" borderId="1" xfId="0" applyFont="1" applyFill="1" applyBorder="1" applyProtection="1">
      <alignment horizontal="center" vertical="center"/>
    </xf>
    <xf numFmtId="0" fontId="41" fillId="5" borderId="11" xfId="0" applyFont="1" applyFill="1" applyBorder="1" applyProtection="1">
      <alignment horizontal="center" vertical="center" wrapText="1"/>
    </xf>
    <xf numFmtId="0" fontId="41" fillId="5" borderId="6" xfId="0" applyFont="1" applyFill="1" applyBorder="1" applyProtection="1">
      <alignment horizontal="center" vertical="center" wrapText="1"/>
    </xf>
    <xf numFmtId="0" fontId="4" fillId="19" borderId="1" xfId="0" applyFont="1" applyFill="1" applyBorder="1" applyProtection="1">
      <alignment horizontal="center" vertical="center"/>
    </xf>
    <xf numFmtId="0" fontId="18" fillId="5" borderId="20" xfId="0" applyFont="1" applyFill="1" applyBorder="1" applyProtection="1">
      <alignment horizontal="center" vertical="center"/>
    </xf>
    <xf numFmtId="0" fontId="18" fillId="14" borderId="22" xfId="0" applyFont="1" applyFill="1" applyBorder="1" applyProtection="1">
      <alignment horizontal="center" vertical="center"/>
    </xf>
    <xf numFmtId="0" fontId="18" fillId="4" borderId="22" xfId="0" applyFont="1" applyFill="1" applyBorder="1" applyProtection="1">
      <alignment horizontal="center" vertical="center"/>
    </xf>
    <xf numFmtId="0" fontId="18"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4" borderId="22" xfId="0" applyFont="1" applyFill="1" applyBorder="1" applyProtection="1">
      <alignment horizontal="center" vertical="center"/>
    </xf>
    <xf numFmtId="0" fontId="19" fillId="8" borderId="0" xfId="0" applyFont="1" applyFill="1">
      <alignment vertical="center"/>
    </xf>
    <xf numFmtId="0" fontId="25" fillId="8" borderId="27" xfId="0" applyFont="1" applyFill="1" applyBorder="1" applyProtection="1">
      <alignment vertical="center"/>
    </xf>
    <xf numFmtId="0" fontId="19" fillId="8" borderId="0" xfId="0" applyFont="1" applyFill="1">
      <alignment horizontal="center" vertical="center"/>
    </xf>
    <xf numFmtId="0" fontId="42" fillId="27" borderId="11" xfId="0" applyFont="1" applyFill="1" applyBorder="1" applyProtection="1">
      <alignment horizontal="center" vertical="center" wrapText="1"/>
    </xf>
    <xf numFmtId="0" fontId="4" fillId="3" borderId="22" xfId="0" applyFont="1" applyFill="1" applyBorder="1" applyProtection="1">
      <alignment horizontal="center" vertical="center"/>
    </xf>
    <xf numFmtId="9" fontId="4" fillId="0" borderId="22" xfId="0" applyNumberFormat="1" applyFont="1" applyBorder="1" applyProtection="1">
      <alignment horizontal="center" vertical="center"/>
    </xf>
    <xf numFmtId="0" fontId="27" fillId="0" borderId="25" xfId="0" applyFont="1" applyBorder="1" applyProtection="1">
      <alignment horizontal="center" vertical="center"/>
    </xf>
    <xf numFmtId="164" fontId="4" fillId="0" borderId="22" xfId="0" applyNumberFormat="1" applyFont="1" applyBorder="1" applyProtection="1">
      <alignment horizontal="center" vertical="center"/>
    </xf>
    <xf numFmtId="0" fontId="4" fillId="30" borderId="22" xfId="0" applyFont="1" applyFill="1" applyBorder="1" applyProtection="1">
      <alignment horizontal="center" vertical="center"/>
    </xf>
    <xf numFmtId="0" fontId="27" fillId="0" borderId="5" xfId="0" applyFont="1" applyBorder="1" applyProtection="1">
      <alignment horizontal="center" vertical="center"/>
    </xf>
    <xf numFmtId="0" fontId="27" fillId="0" borderId="33" xfId="0" applyFont="1" applyBorder="1" applyProtection="1">
      <alignment horizontal="center" vertical="center" wrapText="1"/>
    </xf>
    <xf numFmtId="0" fontId="27" fillId="0" borderId="32" xfId="0" applyFont="1" applyBorder="1" applyProtection="1">
      <alignment horizontal="center" vertical="center" wrapText="1"/>
    </xf>
    <xf numFmtId="0" fontId="23" fillId="9" borderId="0" xfId="0" applyFont="1" applyFill="1">
      <alignment horizontal="center" vertical="center" wrapText="1"/>
    </xf>
    <xf numFmtId="9" fontId="4" fillId="30" borderId="22" xfId="0" applyNumberFormat="1" applyFont="1" applyFill="1" applyBorder="1" applyProtection="1">
      <alignment horizontal="center" vertical="center"/>
    </xf>
    <xf numFmtId="0" fontId="27" fillId="0" borderId="28" xfId="0" applyFont="1" applyBorder="1" applyProtection="1">
      <alignment horizontal="center" vertical="center"/>
    </xf>
    <xf numFmtId="0" fontId="7" fillId="31" borderId="0" xfId="0" applyFont="1" applyFill="1">
      <alignment horizontal="center" vertical="center"/>
    </xf>
    <xf numFmtId="0" fontId="6" fillId="31" borderId="0" xfId="0" applyFont="1" applyFill="1">
      <alignment horizontal="center" vertical="center" wrapText="1"/>
    </xf>
    <xf numFmtId="0" fontId="23" fillId="31" borderId="0" xfId="0" applyFont="1" applyFill="1">
      <alignment horizontal="center" vertical="center" wrapText="1"/>
    </xf>
    <xf numFmtId="0" fontId="27" fillId="0" borderId="30" xfId="0" applyFont="1" applyBorder="1" applyProtection="1">
      <alignment horizontal="center" vertical="center"/>
    </xf>
    <xf numFmtId="0" fontId="23" fillId="31" borderId="0" xfId="0" applyFont="1" applyFill="1">
      <alignment horizontal="center" vertical="center"/>
    </xf>
    <xf numFmtId="164" fontId="4" fillId="30" borderId="22" xfId="0" applyNumberFormat="1" applyFont="1" applyFill="1" applyBorder="1" applyProtection="1">
      <alignment horizontal="center" vertical="center"/>
    </xf>
    <xf numFmtId="0" fontId="8" fillId="0" borderId="20" xfId="0" applyFont="1" applyBorder="1" applyProtection="1">
      <alignment vertical="center"/>
    </xf>
    <xf numFmtId="0" fontId="43" fillId="32" borderId="9" xfId="0" applyFont="1" applyFill="1" applyBorder="1" applyProtection="1">
      <alignment horizontal="center" vertical="center"/>
    </xf>
    <xf numFmtId="0" fontId="43" fillId="33" borderId="9" xfId="0" applyFont="1" applyFill="1" applyBorder="1" applyProtection="1">
      <alignment horizontal="center" vertical="center"/>
    </xf>
    <xf numFmtId="0" fontId="43" fillId="34" borderId="9" xfId="0" applyFont="1" applyFill="1" applyBorder="1" applyProtection="1">
      <alignment horizontal="center" vertical="center"/>
    </xf>
    <xf numFmtId="0" fontId="43" fillId="20" borderId="9" xfId="0" applyFont="1" applyFill="1" applyBorder="1" applyProtection="1">
      <alignment horizontal="center" vertical="center"/>
    </xf>
    <xf numFmtId="0" fontId="11" fillId="7" borderId="20" xfId="0" applyFont="1" applyFill="1" applyBorder="1" applyProtection="1">
      <alignment horizontal="center" vertical="center" wrapText="1"/>
    </xf>
    <xf numFmtId="0" fontId="8" fillId="0" borderId="40" xfId="0" applyFont="1" applyBorder="1" applyProtection="1">
      <alignment vertical="center"/>
    </xf>
    <xf numFmtId="0" fontId="4" fillId="0" borderId="9" xfId="0" applyFont="1" applyBorder="1" applyProtection="1">
      <alignment horizontal="center" vertical="center"/>
    </xf>
    <xf numFmtId="0" fontId="8" fillId="0" borderId="40" xfId="0" applyFont="1" applyBorder="1" applyProtection="1">
      <alignment horizontal="center" vertical="center"/>
    </xf>
    <xf numFmtId="0" fontId="41" fillId="16" borderId="1" xfId="0" applyFont="1" applyFill="1" applyBorder="1" applyProtection="1">
      <alignment vertical="center"/>
    </xf>
    <xf numFmtId="0" fontId="41" fillId="16" borderId="1" xfId="0" applyFont="1" applyFill="1" applyBorder="1" applyProtection="1">
      <alignment horizontal="center" vertical="center"/>
    </xf>
    <xf numFmtId="10" fontId="41" fillId="16" borderId="1" xfId="0" applyNumberFormat="1" applyFont="1" applyFill="1" applyBorder="1" applyProtection="1">
      <alignment horizontal="center" vertical="center"/>
    </xf>
    <xf numFmtId="9" fontId="41" fillId="16" borderId="1" xfId="0" applyNumberFormat="1" applyFont="1" applyFill="1" applyBorder="1" applyProtection="1">
      <alignment horizontal="center" vertical="center"/>
    </xf>
    <xf numFmtId="0" fontId="44" fillId="7" borderId="9" xfId="0" applyFont="1" applyFill="1" applyBorder="1" applyProtection="1">
      <alignment horizontal="center" vertical="center"/>
    </xf>
    <xf numFmtId="0" fontId="23" fillId="8" borderId="0" xfId="0" applyFont="1" applyFill="1">
      <alignment horizontal="left" vertical="center" wrapText="1"/>
    </xf>
    <xf numFmtId="0" fontId="39" fillId="8" borderId="0" xfId="0" applyFont="1" applyFill="1">
      <alignment horizontal="left" vertical="center" wrapText="1"/>
    </xf>
    <xf numFmtId="0" fontId="23" fillId="19" borderId="0" xfId="0" applyFont="1" applyFill="1">
      <alignment horizontal="left" vertical="center" wrapText="1"/>
    </xf>
    <xf numFmtId="0" fontId="23" fillId="31" borderId="0" xfId="0" applyFont="1" applyFill="1">
      <alignment horizontal="left" vertical="center" wrapText="1"/>
    </xf>
    <xf numFmtId="0" fontId="36" fillId="8" borderId="0" xfId="0" applyFont="1" applyFill="1">
      <alignment horizontal="center" vertical="center" wrapText="1"/>
    </xf>
    <xf numFmtId="0" fontId="4" fillId="0" borderId="41" xfId="0" applyFont="1" applyBorder="1" applyProtection="1">
      <alignment vertical="center"/>
    </xf>
    <xf numFmtId="0" fontId="4" fillId="0" borderId="40" xfId="0" applyFont="1" applyBorder="1" applyProtection="1">
      <alignment vertical="center"/>
    </xf>
    <xf numFmtId="0" fontId="8" fillId="0" borderId="9" xfId="0" applyFont="1" applyBorder="1" applyProtection="1">
      <alignment horizontal="center" vertical="center"/>
    </xf>
    <xf numFmtId="0" fontId="4" fillId="12" borderId="1" xfId="0" applyFont="1" applyFill="1" applyBorder="1" applyProtection="1">
      <alignment horizontal="center" vertical="center"/>
    </xf>
    <xf numFmtId="0" fontId="20" fillId="35" borderId="9" xfId="0" applyFont="1" applyFill="1" applyBorder="1" applyProtection="1">
      <alignment horizontal="center" vertical="center"/>
    </xf>
    <xf numFmtId="164" fontId="4" fillId="12" borderId="1" xfId="0" applyNumberFormat="1" applyFont="1" applyFill="1" applyBorder="1" applyProtection="1">
      <alignment horizontal="right" vertical="center"/>
    </xf>
    <xf numFmtId="0" fontId="4" fillId="0" borderId="12" xfId="0" applyFont="1" applyBorder="1" applyProtection="1">
      <alignment horizontal="center" vertical="center"/>
    </xf>
    <xf numFmtId="0" fontId="18" fillId="5" borderId="23" xfId="0" applyFont="1" applyFill="1" applyBorder="1" applyProtection="1">
      <alignment horizontal="center" vertical="center"/>
    </xf>
    <xf numFmtId="164" fontId="4" fillId="12" borderId="12" xfId="0" applyNumberFormat="1" applyFont="1" applyFill="1" applyBorder="1" applyProtection="1">
      <alignment horizontal="right" vertical="center"/>
    </xf>
    <xf numFmtId="164" fontId="18" fillId="5" borderId="1" xfId="0" applyNumberFormat="1" applyFont="1" applyFill="1" applyBorder="1" applyProtection="1">
      <alignment horizontal="center" vertical="center"/>
    </xf>
    <xf numFmtId="0" fontId="4" fillId="19" borderId="20" xfId="0" applyFont="1" applyFill="1" applyBorder="1" applyProtection="1">
      <alignment horizontal="center" vertical="center"/>
    </xf>
    <xf numFmtId="0" fontId="18" fillId="14" borderId="1" xfId="0" applyFont="1" applyFill="1" applyBorder="1" applyProtection="1">
      <alignment horizontal="center" vertical="center"/>
    </xf>
    <xf numFmtId="0" fontId="4" fillId="0" borderId="42" xfId="0" applyFont="1" applyBorder="1" applyProtection="1">
      <alignment vertical="center"/>
    </xf>
    <xf numFmtId="0" fontId="10" fillId="0" borderId="11" xfId="0" applyFont="1" applyBorder="1" applyProtection="1">
      <alignment horizontal="center" vertical="center" wrapText="1"/>
    </xf>
    <xf numFmtId="0" fontId="18" fillId="5" borderId="21" xfId="0" applyFont="1" applyFill="1" applyBorder="1" applyProtection="1">
      <alignment horizontal="center" vertical="center"/>
    </xf>
    <xf numFmtId="0" fontId="4" fillId="0" borderId="25" xfId="0" applyFont="1" applyBorder="1" applyProtection="1">
      <alignment horizontal="center" vertical="center"/>
    </xf>
    <xf numFmtId="0" fontId="9" fillId="2" borderId="11" xfId="0" applyFont="1" applyFill="1" applyBorder="1" applyProtection="1">
      <alignment horizontal="center" vertical="center"/>
    </xf>
    <xf numFmtId="0" fontId="9" fillId="4" borderId="11" xfId="0" applyFont="1" applyFill="1" applyBorder="1" applyProtection="1">
      <alignment horizontal="center" vertical="center"/>
    </xf>
    <xf numFmtId="0" fontId="10" fillId="16" borderId="11" xfId="0" applyFont="1" applyFill="1" applyBorder="1" applyProtection="1">
      <alignment horizontal="center" vertical="center"/>
    </xf>
    <xf numFmtId="0" fontId="10" fillId="3" borderId="11" xfId="0" applyFont="1" applyFill="1" applyBorder="1" applyProtection="1">
      <alignment horizontal="center" vertical="center"/>
    </xf>
    <xf numFmtId="0" fontId="10" fillId="22"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33" fillId="5" borderId="18" xfId="0" applyFont="1" applyFill="1" applyBorder="1" applyProtection="1">
      <alignment horizontal="center" vertical="center"/>
    </xf>
    <xf numFmtId="0" fontId="5" fillId="0" borderId="18" xfId="0" applyFont="1" applyBorder="1" applyProtection="1">
      <alignment horizontal="center" vertical="center"/>
    </xf>
    <xf numFmtId="1" fontId="5" fillId="0" borderId="18" xfId="0" applyNumberFormat="1" applyFont="1" applyBorder="1" applyProtection="1">
      <alignment horizontal="center" vertical="center"/>
    </xf>
    <xf numFmtId="164" fontId="5" fillId="0" borderId="18" xfId="0" applyNumberFormat="1" applyFont="1" applyBorder="1" applyProtection="1">
      <alignment horizontal="center" vertical="center"/>
    </xf>
    <xf numFmtId="0" fontId="5" fillId="6" borderId="18" xfId="0" applyFont="1" applyFill="1" applyBorder="1" applyProtection="1">
      <alignment horizontal="center" vertical="center"/>
    </xf>
    <xf numFmtId="1" fontId="5" fillId="6" borderId="18" xfId="0" applyNumberFormat="1" applyFont="1" applyFill="1" applyBorder="1" applyProtection="1">
      <alignment horizontal="center" vertical="center"/>
    </xf>
    <xf numFmtId="164" fontId="5" fillId="6" borderId="18" xfId="0" applyNumberFormat="1" applyFont="1" applyFill="1" applyBorder="1" applyProtection="1">
      <alignment horizontal="center" vertical="center"/>
    </xf>
    <xf numFmtId="164" fontId="33" fillId="13" borderId="43" xfId="0" applyNumberFormat="1" applyFont="1" applyFill="1" applyBorder="1" applyProtection="1">
      <alignment horizontal="center" vertical="center"/>
    </xf>
    <xf numFmtId="9" fontId="5" fillId="0" borderId="43" xfId="0" applyNumberFormat="1" applyFont="1" applyBorder="1" applyProtection="1">
      <alignment horizontal="center" vertical="center"/>
    </xf>
    <xf numFmtId="164" fontId="33" fillId="9" borderId="43" xfId="0" applyNumberFormat="1" applyFont="1" applyFill="1" applyBorder="1" applyProtection="1">
      <alignment horizontal="center" vertical="center"/>
    </xf>
    <xf numFmtId="164" fontId="33" fillId="16" borderId="43" xfId="0" applyNumberFormat="1" applyFont="1" applyFill="1" applyBorder="1" applyProtection="1">
      <alignment horizontal="center" vertical="center"/>
    </xf>
    <xf numFmtId="164" fontId="33" fillId="3" borderId="43" xfId="0" applyNumberFormat="1" applyFont="1" applyFill="1" applyBorder="1" applyProtection="1">
      <alignment horizontal="center" vertical="center"/>
    </xf>
    <xf numFmtId="0" fontId="10" fillId="0" borderId="11" xfId="0" applyFont="1" applyBorder="1" applyProtection="1">
      <alignment horizontal="center" vertical="center"/>
    </xf>
    <xf numFmtId="0" fontId="42" fillId="8" borderId="11" xfId="0" applyFont="1" applyFill="1" applyBorder="1" applyProtection="1">
      <alignment horizontal="center" vertical="center"/>
    </xf>
    <xf numFmtId="0" fontId="42" fillId="27" borderId="11" xfId="0" applyFont="1" applyFill="1" applyBorder="1" applyProtection="1">
      <alignment horizontal="center" vertical="center"/>
    </xf>
    <xf numFmtId="0" fontId="42" fillId="16" borderId="11" xfId="0" applyFont="1" applyFill="1" applyBorder="1" applyProtection="1">
      <alignment horizontal="center" vertical="center"/>
    </xf>
    <xf numFmtId="0" fontId="42" fillId="3" borderId="11" xfId="0" applyFont="1" applyFill="1" applyBorder="1" applyProtection="1">
      <alignment horizontal="center" vertical="center"/>
    </xf>
    <xf numFmtId="0" fontId="42" fillId="22"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10" fillId="0" borderId="11" xfId="0" applyFont="1" applyBorder="1" applyProtection="1">
      <alignment horizontal="center" vertical="center"/>
    </xf>
    <xf numFmtId="0" fontId="8" fillId="0" borderId="0" xfId="0" applyFont="1">
      <alignment vertical="center"/>
    </xf>
    <xf numFmtId="0" fontId="8" fillId="0" borderId="0" xfId="0" applyFont="1">
      <alignment horizontal="center" vertical="center"/>
    </xf>
    <xf numFmtId="0" fontId="18" fillId="14" borderId="36" xfId="0" applyFont="1" applyFill="1" applyBorder="1" applyProtection="1">
      <alignment horizontal="center" vertical="center"/>
    </xf>
    <xf numFmtId="0" fontId="4" fillId="0" borderId="36" xfId="0" applyFont="1" applyBorder="1" applyProtection="1">
      <alignment horizontal="center" vertical="center"/>
    </xf>
    <xf numFmtId="0" fontId="9" fillId="4" borderId="26" xfId="0" applyFont="1" applyFill="1" applyBorder="1" applyProtection="1">
      <alignment horizontal="center" vertical="center"/>
    </xf>
    <xf numFmtId="0" fontId="18" fillId="8" borderId="36" xfId="0" applyFont="1" applyFill="1" applyBorder="1" applyProtection="1">
      <alignment horizontal="center" vertical="center"/>
    </xf>
    <xf numFmtId="0" fontId="18" fillId="3" borderId="36" xfId="0" applyFont="1" applyFill="1" applyBorder="1" applyProtection="1">
      <alignment horizontal="center" vertical="center"/>
    </xf>
    <xf numFmtId="0" fontId="18" fillId="9" borderId="36" xfId="0" applyFont="1" applyFill="1" applyBorder="1" applyProtection="1">
      <alignment horizontal="center" vertical="center"/>
    </xf>
    <xf numFmtId="0" fontId="4" fillId="36" borderId="36" xfId="0" applyFont="1" applyFill="1" applyBorder="1" applyProtection="1">
      <alignment horizontal="center" vertical="center"/>
    </xf>
    <xf numFmtId="164" fontId="4" fillId="0" borderId="36" xfId="0" applyNumberFormat="1" applyFont="1" applyBorder="1" applyProtection="1">
      <alignment horizontal="right" vertical="center"/>
    </xf>
    <xf numFmtId="0" fontId="4" fillId="17" borderId="36" xfId="0" applyFont="1" applyFill="1" applyBorder="1" applyProtection="1">
      <alignment horizontal="center" vertical="center"/>
    </xf>
    <xf numFmtId="9" fontId="4" fillId="0" borderId="36" xfId="0" applyNumberFormat="1" applyFont="1" applyBorder="1" applyProtection="1">
      <alignment horizontal="right" vertical="center"/>
    </xf>
    <xf numFmtId="0" fontId="4" fillId="19" borderId="36" xfId="0" applyFont="1" applyFill="1" applyBorder="1" applyProtection="1">
      <alignment horizontal="center" vertical="center"/>
    </xf>
    <xf numFmtId="9" fontId="4" fillId="0" borderId="36" xfId="0" applyNumberFormat="1" applyFont="1" applyBorder="1" applyProtection="1">
      <alignment vertical="center"/>
    </xf>
    <xf numFmtId="0" fontId="4" fillId="37" borderId="36" xfId="0" applyFont="1" applyFill="1" applyBorder="1" applyProtection="1">
      <alignment horizontal="center" vertical="center"/>
    </xf>
    <xf numFmtId="0" fontId="4" fillId="12" borderId="36" xfId="0" applyFont="1" applyFill="1" applyBorder="1" applyProtection="1">
      <alignment horizontal="center" vertical="center"/>
    </xf>
    <xf numFmtId="164" fontId="4" fillId="12" borderId="36" xfId="0" applyNumberFormat="1" applyFont="1" applyFill="1" applyBorder="1" applyProtection="1">
      <alignment horizontal="right" vertical="center"/>
    </xf>
    <xf numFmtId="9" fontId="4" fillId="12" borderId="36" xfId="0" applyNumberFormat="1" applyFont="1" applyFill="1" applyBorder="1" applyProtection="1">
      <alignment horizontal="right" vertical="center"/>
    </xf>
    <xf numFmtId="9" fontId="4" fillId="12" borderId="36" xfId="0" applyNumberFormat="1" applyFont="1" applyFill="1" applyBorder="1" applyProtection="1">
      <alignment vertical="center"/>
    </xf>
    <xf numFmtId="0" fontId="9" fillId="13" borderId="36" xfId="0" applyFont="1" applyFill="1" applyBorder="1" applyProtection="1">
      <alignment horizontal="center" vertical="center"/>
    </xf>
    <xf numFmtId="0" fontId="10" fillId="0" borderId="36" xfId="0" applyFont="1" applyBorder="1" applyProtection="1">
      <alignment vertical="center"/>
    </xf>
    <xf numFmtId="0" fontId="20" fillId="0" borderId="0" xfId="0" applyFont="1">
      <alignment horizontal="center" vertical="center"/>
    </xf>
    <xf numFmtId="0" fontId="10" fillId="0" borderId="44" xfId="0" applyFont="1" applyBorder="1" applyProtection="1">
      <alignment vertical="center"/>
    </xf>
    <xf numFmtId="0" fontId="10" fillId="0" borderId="28" xfId="0" applyFont="1" applyBorder="1" applyProtection="1">
      <alignment vertical="center"/>
    </xf>
    <xf numFmtId="0" fontId="10" fillId="0" borderId="30" xfId="0" applyFont="1" applyBorder="1" applyProtection="1">
      <alignment vertical="center"/>
    </xf>
    <xf numFmtId="0" fontId="4" fillId="38" borderId="1" xfId="0" applyFont="1" applyFill="1" applyBorder="1" applyProtection="1">
      <alignment horizontal="center" vertical="center"/>
    </xf>
    <xf numFmtId="0" fontId="4" fillId="9" borderId="9" xfId="0" applyFont="1" applyFill="1" applyBorder="1" applyProtection="1">
      <alignment vertical="center"/>
    </xf>
    <xf numFmtId="0" fontId="4" fillId="3" borderId="25" xfId="0" applyFont="1" applyFill="1" applyBorder="1" applyProtection="1">
      <alignment horizontal="left" vertical="center" wrapText="1"/>
    </xf>
    <xf numFmtId="0" fontId="4" fillId="14" borderId="1" xfId="0" applyFont="1" applyFill="1" applyBorder="1" applyProtection="1">
      <alignment horizontal="center" vertical="center"/>
    </xf>
    <xf numFmtId="0" fontId="44" fillId="7" borderId="0" xfId="0" applyFont="1" applyFill="1">
      <alignment horizontal="center" vertical="center" wrapText="1"/>
    </xf>
    <xf numFmtId="0" fontId="20" fillId="0" borderId="0" xfId="0" applyFont="1">
      <alignment horizontal="left" vertical="center" wrapText="1"/>
    </xf>
    <xf numFmtId="0" fontId="4" fillId="17" borderId="9" xfId="0" applyFont="1" applyFill="1" applyBorder="1" applyProtection="1">
      <alignment vertical="center"/>
    </xf>
    <xf numFmtId="0" fontId="4" fillId="39" borderId="1" xfId="0" applyFont="1" applyFill="1" applyBorder="1" applyProtection="1">
      <alignment horizontal="center" vertical="center"/>
    </xf>
    <xf numFmtId="0" fontId="20" fillId="3" borderId="0" xfId="0" applyFont="1" applyFill="1">
      <alignment horizontal="center" vertical="center" wrapText="1"/>
    </xf>
    <xf numFmtId="0" fontId="34" fillId="0" borderId="1" xfId="0" applyFont="1" applyBorder="1" applyProtection="1">
      <alignment horizontal="center" vertical="center"/>
    </xf>
    <xf numFmtId="0" fontId="45" fillId="32" borderId="1" xfId="0" applyFont="1" applyFill="1" applyBorder="1" applyProtection="1">
      <alignment horizontal="center" vertical="center" wrapText="1"/>
    </xf>
    <xf numFmtId="0" fontId="8" fillId="0" borderId="0" xfId="0" applyFont="1">
      <alignment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46" fillId="0" borderId="0" xfId="0" applyFont="1">
      <alignment horizontal="center" vertical="center"/>
    </xf>
    <xf numFmtId="0" fontId="45"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5" fillId="32" borderId="0" xfId="0" applyFont="1" applyFill="1">
      <alignment horizontal="center" vertical="center" wrapText="1"/>
    </xf>
    <xf numFmtId="0" fontId="45" fillId="33" borderId="0" xfId="0" applyFont="1" applyFill="1">
      <alignment horizontal="center" vertical="center" wrapText="1"/>
    </xf>
    <xf numFmtId="0" fontId="45" fillId="34" borderId="0" xfId="0" applyFont="1" applyFill="1">
      <alignment horizontal="center" vertical="center" wrapText="1"/>
    </xf>
    <xf numFmtId="0" fontId="45" fillId="20" borderId="0" xfId="0" applyFont="1" applyFill="1">
      <alignment horizontal="center" vertical="center" wrapText="1"/>
    </xf>
    <xf numFmtId="0" fontId="8" fillId="0" borderId="0" xfId="0" applyFont="1">
      <alignment vertical="center"/>
    </xf>
    <xf numFmtId="0" fontId="45" fillId="33" borderId="0" xfId="0" applyFont="1" applyFill="1">
      <alignment horizontal="center" vertical="center"/>
    </xf>
    <xf numFmtId="0" fontId="45" fillId="20"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19" borderId="0" xfId="0" applyFont="1" applyFill="1">
      <alignment horizontal="center" vertical="center" wrapText="1"/>
    </xf>
    <xf numFmtId="0" fontId="38" fillId="0" borderId="0" xfId="0" applyFont="1">
      <alignment vertical="center"/>
    </xf>
    <xf numFmtId="0" fontId="47" fillId="32" borderId="0" xfId="0" applyFont="1" applyFill="1">
      <alignment horizontal="center" vertical="center" wrapText="1"/>
    </xf>
    <xf numFmtId="0" fontId="38" fillId="0" borderId="0" xfId="0" applyFont="1">
      <alignment horizontal="center" vertical="center"/>
    </xf>
    <xf numFmtId="0" fontId="47" fillId="33" borderId="0" xfId="0" applyFont="1" applyFill="1">
      <alignment horizontal="center" vertical="center" wrapText="1"/>
    </xf>
    <xf numFmtId="0" fontId="38" fillId="0" borderId="0" xfId="0" applyFont="1">
      <alignment horizontal="center" vertical="center" wrapText="1"/>
    </xf>
    <xf numFmtId="0" fontId="38" fillId="0" borderId="0" xfId="0" applyFont="1">
      <alignment vertical="center" wrapText="1"/>
    </xf>
    <xf numFmtId="0" fontId="47" fillId="34" borderId="0" xfId="0" applyFont="1" applyFill="1">
      <alignment horizontal="center" vertical="center" wrapText="1"/>
    </xf>
    <xf numFmtId="0" fontId="47" fillId="20" borderId="0" xfId="0" applyFont="1" applyFill="1">
      <alignment horizontal="center" vertical="center" wrapText="1"/>
    </xf>
    <xf numFmtId="0" fontId="47" fillId="7" borderId="0" xfId="0" applyFont="1" applyFill="1">
      <alignment horizontal="center" vertical="center" wrapText="1"/>
    </xf>
    <xf numFmtId="0" fontId="8" fillId="19" borderId="0" xfId="0" applyFont="1" applyFill="1">
      <alignment horizontal="center" vertical="center"/>
    </xf>
    <xf numFmtId="0" fontId="20" fillId="0" borderId="0" xfId="0" applyFont="1">
      <alignment horizontal="center" vertical="center" wrapText="1"/>
    </xf>
    <xf numFmtId="0" fontId="43" fillId="32" borderId="0" xfId="0" applyFont="1" applyFill="1">
      <alignment horizontal="center" vertical="center"/>
    </xf>
    <xf numFmtId="0" fontId="43" fillId="33" borderId="0" xfId="0" applyFont="1" applyFill="1">
      <alignment horizontal="center" vertical="center"/>
    </xf>
    <xf numFmtId="0" fontId="43" fillId="34" borderId="0" xfId="0" applyFont="1" applyFill="1">
      <alignment horizontal="center" vertical="center"/>
    </xf>
    <xf numFmtId="0" fontId="43" fillId="20" borderId="0" xfId="0" applyFont="1" applyFill="1">
      <alignment horizontal="center" vertical="center"/>
    </xf>
    <xf numFmtId="0" fontId="44" fillId="7" borderId="0" xfId="0" applyFont="1" applyFill="1">
      <alignment horizontal="center" vertical="center"/>
    </xf>
    <xf numFmtId="0" fontId="33" fillId="13" borderId="34" xfId="0" applyFont="1" applyFill="1" applyBorder="1" applyProtection="1">
      <alignment horizontal="center" vertical="center"/>
    </xf>
    <xf numFmtId="1" fontId="33" fillId="13" borderId="34" xfId="0" applyNumberFormat="1" applyFont="1" applyFill="1" applyBorder="1" applyProtection="1">
      <alignment horizontal="center" vertical="center"/>
    </xf>
    <xf numFmtId="0" fontId="33" fillId="9" borderId="34" xfId="0" applyFont="1" applyFill="1" applyBorder="1" applyProtection="1">
      <alignment horizontal="center" vertical="center"/>
    </xf>
    <xf numFmtId="0" fontId="9" fillId="9" borderId="34" xfId="0" applyFont="1" applyFill="1" applyBorder="1" applyProtection="1">
      <alignment vertical="center"/>
    </xf>
    <xf numFmtId="1" fontId="33" fillId="9" borderId="34" xfId="0" applyNumberFormat="1" applyFont="1" applyFill="1" applyBorder="1" applyProtection="1">
      <alignment horizontal="center" vertical="center"/>
    </xf>
    <xf numFmtId="0" fontId="33" fillId="16" borderId="34" xfId="0" applyFont="1" applyFill="1" applyBorder="1" applyProtection="1">
      <alignment horizontal="center" vertical="center"/>
    </xf>
    <xf numFmtId="0" fontId="9" fillId="16" borderId="34" xfId="0" applyFont="1" applyFill="1" applyBorder="1" applyProtection="1">
      <alignment vertical="center"/>
    </xf>
    <xf numFmtId="1" fontId="33" fillId="16" borderId="34" xfId="0" applyNumberFormat="1" applyFont="1" applyFill="1" applyBorder="1" applyProtection="1">
      <alignment horizontal="center" vertical="center"/>
    </xf>
    <xf numFmtId="0" fontId="5" fillId="19" borderId="34" xfId="0" applyFont="1" applyFill="1" applyBorder="1" applyProtection="1">
      <alignment horizontal="center" vertical="center"/>
    </xf>
    <xf numFmtId="0" fontId="33" fillId="3" borderId="34" xfId="0" applyFont="1" applyFill="1" applyBorder="1" applyProtection="1">
      <alignment horizontal="center" vertical="center"/>
    </xf>
    <xf numFmtId="0" fontId="9" fillId="3" borderId="34" xfId="0" applyFont="1" applyFill="1" applyBorder="1" applyProtection="1">
      <alignment vertical="center"/>
    </xf>
    <xf numFmtId="1" fontId="33" fillId="3" borderId="34" xfId="0" applyNumberFormat="1" applyFont="1" applyFill="1" applyBorder="1" applyProtection="1">
      <alignment horizontal="center" vertical="center"/>
    </xf>
    <xf numFmtId="0" fontId="5" fillId="0" borderId="34" xfId="0" applyFont="1" applyBorder="1" applyProtection="1">
      <alignment horizontal="center" vertical="center"/>
    </xf>
    <xf numFmtId="0" fontId="17" fillId="0" borderId="0" xfId="0" applyFont="1">
      <alignment vertical="bottom"/>
    </xf>
    <xf numFmtId="0" fontId="17" fillId="0" borderId="0" xfId="0" quotePrefix="1" applyFont="1">
      <alignment vertical="bottom"/>
    </xf>
    <xf numFmtId="165" fontId="17" fillId="0" borderId="0" xfId="0" applyNumberFormat="1" applyFont="1">
      <alignment vertical="bottom"/>
    </xf>
    <xf numFmtId="1" fontId="5" fillId="0" borderId="34"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3" fillId="13" borderId="34" xfId="0" applyNumberFormat="1" applyFont="1" applyFill="1" applyBorder="1" applyProtection="1">
      <alignment horizontal="center" vertical="center"/>
    </xf>
    <xf numFmtId="164" fontId="33" fillId="9" borderId="34" xfId="0" applyNumberFormat="1" applyFont="1" applyFill="1" applyBorder="1" applyProtection="1">
      <alignment horizontal="center" vertical="center"/>
    </xf>
    <xf numFmtId="164" fontId="33" fillId="16" borderId="34" xfId="0" applyNumberFormat="1" applyFont="1" applyFill="1" applyBorder="1" applyProtection="1">
      <alignment horizontal="center" vertical="center"/>
    </xf>
    <xf numFmtId="164" fontId="33" fillId="3" borderId="34" xfId="0" applyNumberFormat="1" applyFont="1" applyFill="1" applyBorder="1" applyProtection="1">
      <alignment horizontal="center" vertical="center"/>
    </xf>
    <xf numFmtId="0" fontId="9" fillId="16" borderId="37" xfId="0" applyFont="1" applyFill="1" applyBorder="1" applyProtection="1">
      <alignment horizontal="center" vertical="center"/>
    </xf>
    <xf numFmtId="0" fontId="9" fillId="3" borderId="37" xfId="0" applyFont="1" applyFill="1" applyBorder="1" applyProtection="1">
      <alignment horizontal="center" vertical="center"/>
    </xf>
    <xf numFmtId="0" fontId="9" fillId="22" borderId="37" xfId="0" applyFont="1" applyFill="1" applyBorder="1" applyProtection="1">
      <alignment horizontal="center" vertical="center"/>
    </xf>
    <xf numFmtId="0" fontId="4" fillId="0" borderId="12" xfId="0" applyFont="1" applyBorder="1" applyProtection="1">
      <alignment horizontal="center" vertical="center"/>
    </xf>
    <xf numFmtId="0" fontId="9" fillId="9" borderId="30" xfId="0" applyFont="1" applyFill="1" applyBorder="1" applyProtection="1">
      <alignment horizontal="center" vertical="center"/>
    </xf>
    <xf numFmtId="0" fontId="48" fillId="0" borderId="34" xfId="0" applyFont="1" applyBorder="1" applyProtection="1">
      <alignment horizontal="center" vertical="center" wrapText="1"/>
    </xf>
    <xf numFmtId="0" fontId="48" fillId="28" borderId="34" xfId="0" applyFont="1" applyFill="1" applyBorder="1" applyProtection="1">
      <alignment horizontal="center" vertical="center"/>
    </xf>
    <xf numFmtId="0" fontId="48" fillId="19" borderId="34" xfId="0" applyFont="1" applyFill="1" applyBorder="1" applyProtection="1">
      <alignment horizontal="center" vertical="center"/>
    </xf>
    <xf numFmtId="0" fontId="48" fillId="17" borderId="34" xfId="0" applyFont="1" applyFill="1" applyBorder="1" applyProtection="1">
      <alignment horizontal="center" vertical="center"/>
    </xf>
    <xf numFmtId="0" fontId="9" fillId="14" borderId="5" xfId="0" applyFont="1" applyFill="1" applyBorder="1" applyProtection="1">
      <alignment horizontal="center" vertical="center"/>
    </xf>
    <xf numFmtId="0" fontId="33" fillId="5" borderId="5" xfId="0" applyFont="1" applyFill="1" applyBorder="1" applyProtection="1">
      <alignment horizontal="center" vertical="center"/>
    </xf>
    <xf numFmtId="0" fontId="9" fillId="13"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4" xfId="0" applyFont="1" applyBorder="1" applyProtection="1">
      <alignment vertical="center"/>
    </xf>
    <xf numFmtId="0" fontId="33" fillId="5" borderId="38" xfId="0" applyFont="1" applyFill="1" applyBorder="1" applyProtection="1">
      <alignment horizontal="center" vertical="center"/>
    </xf>
    <xf numFmtId="0" fontId="9" fillId="13" borderId="38" xfId="0" applyFont="1" applyFill="1" applyBorder="1" applyProtection="1">
      <alignment horizontal="center" vertical="center"/>
    </xf>
    <xf numFmtId="0" fontId="9" fillId="0" borderId="38" xfId="0" applyFont="1" applyBorder="1" applyProtection="1">
      <alignment horizontal="center" vertical="center"/>
    </xf>
    <xf numFmtId="9" fontId="4" fillId="0" borderId="38" xfId="0" applyNumberFormat="1" applyFont="1" applyBorder="1" applyProtection="1">
      <alignment horizontal="center" vertical="center"/>
    </xf>
    <xf numFmtId="9" fontId="4" fillId="6" borderId="38" xfId="0" applyNumberFormat="1" applyFont="1" applyFill="1" applyBorder="1" applyProtection="1">
      <alignment horizontal="center" vertical="center"/>
    </xf>
    <xf numFmtId="0" fontId="18" fillId="3" borderId="5" xfId="0" applyFont="1" applyFill="1" applyBorder="1" applyProtection="1">
      <alignment horizontal="center" vertical="center"/>
    </xf>
    <xf numFmtId="0" fontId="18" fillId="9" borderId="5" xfId="0" applyFont="1" applyFill="1" applyBorder="1" applyProtection="1">
      <alignment horizontal="center" vertical="center"/>
    </xf>
    <xf numFmtId="0" fontId="4" fillId="19" borderId="5" xfId="0" applyFont="1" applyFill="1" applyBorder="1" applyProtection="1">
      <alignment horizontal="center" vertical="center"/>
    </xf>
    <xf numFmtId="0" fontId="4" fillId="37" borderId="5" xfId="0" applyFont="1" applyFill="1" applyBorder="1" applyProtection="1">
      <alignment horizontal="center" vertical="center"/>
    </xf>
    <xf numFmtId="0" fontId="4" fillId="12" borderId="5" xfId="0" applyFont="1" applyFill="1" applyBorder="1" applyProtection="1">
      <alignment horizontal="center" vertical="center"/>
    </xf>
    <xf numFmtId="0" fontId="18" fillId="13" borderId="38" xfId="0" applyFont="1" applyFill="1" applyBorder="1" applyProtection="1">
      <alignment horizontal="center" vertical="center"/>
    </xf>
    <xf numFmtId="0" fontId="18" fillId="14" borderId="38" xfId="0" applyFont="1" applyFill="1" applyBorder="1" applyProtection="1">
      <alignment horizontal="center" vertical="center"/>
    </xf>
    <xf numFmtId="0" fontId="4" fillId="36" borderId="38" xfId="0" applyFont="1" applyFill="1" applyBorder="1" applyProtection="1">
      <alignment horizontal="center" vertical="center"/>
    </xf>
    <xf numFmtId="0" fontId="4" fillId="12" borderId="38" xfId="0" applyFont="1" applyFill="1" applyBorder="1" applyProtection="1">
      <alignment horizontal="center" vertical="center"/>
    </xf>
    <xf numFmtId="0" fontId="18" fillId="8" borderId="30" xfId="0" applyFont="1" applyFill="1" applyBorder="1" applyProtection="1">
      <alignment horizontal="center" vertical="center"/>
    </xf>
    <xf numFmtId="0" fontId="4" fillId="17" borderId="30" xfId="0" applyFont="1" applyFill="1" applyBorder="1" applyProtection="1">
      <alignment horizontal="center" vertical="center"/>
    </xf>
    <xf numFmtId="0" fontId="4" fillId="12" borderId="30"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5" borderId="18" xfId="0" applyNumberFormat="1" applyFont="1" applyFill="1" applyBorder="1" applyProtection="1">
      <alignment horizontal="center" vertical="center"/>
    </xf>
    <xf numFmtId="3" fontId="4" fillId="17" borderId="18" xfId="0" applyNumberFormat="1" applyFont="1" applyFill="1" applyBorder="1" applyProtection="1">
      <alignment horizontal="center" vertical="center"/>
    </xf>
    <xf numFmtId="164" fontId="4" fillId="12" borderId="5" xfId="0" applyNumberFormat="1" applyFont="1" applyFill="1" applyBorder="1" applyProtection="1">
      <alignment horizontal="right" vertical="center"/>
    </xf>
    <xf numFmtId="9" fontId="4" fillId="12" borderId="0" xfId="0" applyNumberFormat="1" applyFont="1" applyFill="1">
      <alignment vertical="center"/>
    </xf>
    <xf numFmtId="9" fontId="4" fillId="0" borderId="0" xfId="0" applyNumberFormat="1" applyFont="1">
      <alignment horizontal="right" vertical="center"/>
    </xf>
    <xf numFmtId="9" fontId="4" fillId="12" borderId="0" xfId="0" applyNumberFormat="1" applyFont="1" applyFill="1">
      <alignment horizontal="right" vertical="center"/>
    </xf>
    <xf numFmtId="0" fontId="49" fillId="0" borderId="0" xfId="0" applyFont="1">
      <alignment horizontal="center" vertical="center"/>
    </xf>
    <xf numFmtId="0" fontId="50" fillId="13" borderId="38" xfId="0" applyFont="1" applyFill="1" applyBorder="1" applyProtection="1">
      <alignment horizontal="center" vertical="center" wrapText="1"/>
    </xf>
    <xf numFmtId="0" fontId="51" fillId="13" borderId="38" xfId="0" applyFont="1" applyFill="1" applyBorder="1" applyProtection="1">
      <alignment horizontal="center" vertical="center" wrapText="1"/>
    </xf>
    <xf numFmtId="0" fontId="52" fillId="3" borderId="6" xfId="0" applyFont="1" applyFill="1" applyBorder="1" applyProtection="1">
      <alignment horizontal="center" vertical="center" wrapText="1"/>
    </xf>
    <xf numFmtId="0" fontId="53" fillId="0" borderId="0" xfId="0" applyFont="1">
      <alignment horizontal="left" vertical="center" wrapText="1"/>
    </xf>
    <xf numFmtId="0" fontId="54" fillId="0" borderId="0" xfId="0" applyFont="1">
      <alignment horizontal="left" vertical="center" wrapText="1"/>
    </xf>
    <xf numFmtId="0" fontId="55" fillId="0" borderId="0" xfId="0" applyFont="1">
      <alignment horizontal="left" vertical="center" wrapText="1"/>
    </xf>
    <xf numFmtId="0" fontId="56" fillId="0" borderId="0" xfId="0" applyFont="1">
      <alignment horizontal="left" vertical="center" wrapText="1"/>
    </xf>
    <xf numFmtId="0" fontId="57" fillId="0" borderId="0" xfId="0" applyFont="1">
      <alignment horizontal="left" vertical="center" wrapText="1"/>
    </xf>
    <xf numFmtId="0" fontId="58" fillId="0" borderId="0" xfId="0" applyFont="1">
      <alignment horizontal="left"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left"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left" vertical="center" wrapText="1"/>
    </xf>
    <xf numFmtId="0" fontId="67" fillId="0" borderId="0" xfId="0" applyFont="1">
      <alignment horizontal="left" vertical="center" wrapText="1"/>
    </xf>
    <xf numFmtId="0" fontId="68" fillId="0" borderId="0" xfId="0" applyFont="1">
      <alignment horizontal="left" vertical="center" wrapText="1"/>
    </xf>
    <xf numFmtId="0" fontId="69" fillId="0" borderId="0" xfId="0" applyFont="1">
      <alignment horizontal="left" vertical="center" wrapText="1"/>
    </xf>
    <xf numFmtId="0" fontId="70" fillId="0" borderId="0" xfId="0" applyFont="1">
      <alignment horizontal="left" vertical="center" wrapText="1"/>
    </xf>
    <xf numFmtId="0" fontId="71" fillId="0" borderId="0" xfId="0" applyFont="1">
      <alignment horizontal="left" vertical="center" wrapText="1"/>
    </xf>
    <xf numFmtId="0" fontId="72" fillId="0" borderId="0" xfId="0" applyFont="1">
      <alignment horizontal="left" vertical="center" wrapText="1"/>
    </xf>
    <xf numFmtId="0" fontId="73" fillId="0" borderId="0" xfId="0" applyFont="1">
      <alignment horizontal="left"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left" vertical="center" wrapText="1"/>
    </xf>
    <xf numFmtId="0" fontId="77" fillId="0" borderId="0" xfId="0" applyFont="1">
      <alignment horizontal="left" vertical="center" wrapText="1"/>
    </xf>
    <xf numFmtId="0" fontId="78" fillId="0" borderId="0" xfId="0" applyFont="1">
      <alignment horizontal="left" vertical="center" wrapText="1"/>
    </xf>
    <xf numFmtId="0" fontId="79" fillId="0" borderId="0" xfId="0" applyFont="1">
      <alignment horizontal="left" vertical="center" wrapText="1"/>
    </xf>
    <xf numFmtId="0" fontId="80" fillId="0" borderId="0" xfId="0" applyFont="1">
      <alignment horizontal="left" vertical="center" wrapText="1"/>
    </xf>
    <xf numFmtId="0" fontId="81" fillId="0" borderId="0" xfId="0" applyFont="1">
      <alignment horizontal="left" vertical="center" wrapText="1"/>
    </xf>
    <xf numFmtId="0" fontId="82" fillId="0" borderId="0" xfId="0" applyFont="1">
      <alignment horizontal="left" vertical="center" wrapText="1"/>
    </xf>
    <xf numFmtId="0" fontId="83" fillId="0" borderId="0" xfId="0" applyFont="1">
      <alignment horizontal="left" vertical="center" wrapText="1"/>
    </xf>
    <xf numFmtId="0" fontId="84" fillId="0" borderId="0" xfId="0" applyFont="1">
      <alignment horizontal="left" vertical="center" wrapText="1"/>
    </xf>
    <xf numFmtId="0" fontId="85" fillId="0" borderId="0" xfId="0" applyFont="1">
      <alignment horizontal="left" vertical="center" wrapText="1"/>
    </xf>
    <xf numFmtId="0" fontId="86" fillId="0" borderId="0" xfId="0" applyFont="1">
      <alignment horizontal="left"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left" vertical="center" wrapText="1"/>
    </xf>
    <xf numFmtId="0" fontId="90" fillId="0" borderId="0" xfId="0" applyFont="1">
      <alignment horizontal="left" vertical="center" wrapText="1"/>
    </xf>
    <xf numFmtId="0" fontId="91" fillId="0" borderId="0" xfId="0" applyFont="1">
      <alignment horizontal="left" vertical="center" wrapText="1"/>
    </xf>
    <xf numFmtId="0" fontId="92" fillId="0" borderId="0" xfId="0" applyFont="1">
      <alignment horizontal="left" vertical="center" wrapText="1"/>
    </xf>
    <xf numFmtId="0" fontId="93" fillId="0" borderId="0" xfId="0" applyFont="1">
      <alignment horizontal="left" vertical="center" wrapText="1"/>
    </xf>
    <xf numFmtId="0" fontId="94" fillId="0" borderId="0" xfId="0" applyFont="1">
      <alignment horizontal="left" vertical="center" wrapText="1"/>
    </xf>
    <xf numFmtId="0" fontId="95" fillId="0" borderId="0" xfId="0" applyFont="1">
      <alignment horizontal="left"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left" vertical="center" wrapText="1"/>
    </xf>
    <xf numFmtId="0" fontId="99" fillId="0" borderId="0" xfId="0" applyFont="1">
      <alignment horizontal="left" vertical="center" wrapText="1"/>
    </xf>
    <xf numFmtId="0" fontId="100" fillId="0" borderId="0" xfId="0" applyFont="1">
      <alignment horizontal="left"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left"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left" vertical="center" wrapText="1"/>
    </xf>
    <xf numFmtId="0" fontId="109" fillId="0" borderId="0" xfId="0" applyFont="1">
      <alignment horizontal="left"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left" vertical="center" wrapText="1"/>
    </xf>
    <xf numFmtId="0" fontId="114" fillId="0" borderId="0" xfId="0" applyFont="1">
      <alignment horizontal="left" vertical="center" wrapText="1"/>
    </xf>
    <xf numFmtId="0" fontId="115" fillId="0" borderId="0" xfId="0" applyFont="1">
      <alignment horizontal="left" vertical="center" wrapText="1"/>
    </xf>
    <xf numFmtId="0" fontId="116" fillId="0" borderId="0" xfId="0" applyFont="1">
      <alignment horizontal="left" vertical="center" wrapText="1"/>
    </xf>
    <xf numFmtId="0" fontId="117" fillId="0" borderId="0" xfId="0" applyFont="1">
      <alignment vertical="center" wrapText="1"/>
    </xf>
    <xf numFmtId="0" fontId="118" fillId="0" borderId="0" xfId="0" applyFont="1">
      <alignment horizontal="center" vertical="center" wrapText="1"/>
    </xf>
    <xf numFmtId="0" fontId="119" fillId="0" borderId="0" xfId="0" applyFont="1">
      <alignment horizontal="center"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horizontal="center" vertical="center" wrapText="1"/>
    </xf>
    <xf numFmtId="0" fontId="123" fillId="0" borderId="0" xfId="0" applyFont="1">
      <alignment horizontal="center" vertical="center" wrapText="1"/>
    </xf>
    <xf numFmtId="0" fontId="124" fillId="0" borderId="0" xfId="0" applyFont="1">
      <alignment vertical="center" wrapText="1"/>
    </xf>
    <xf numFmtId="0" fontId="125" fillId="0" borderId="0" xfId="0" applyFont="1">
      <alignment horizontal="center"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0" xfId="0" applyFont="1">
      <alignment horizontal="center" vertical="center" wrapText="1"/>
    </xf>
    <xf numFmtId="0" fontId="137" fillId="0" borderId="0" xfId="0" applyFont="1">
      <alignment horizontal="center" vertical="center" wrapText="1"/>
    </xf>
    <xf numFmtId="0" fontId="138" fillId="0" borderId="0" xfId="0" applyFont="1">
      <alignment vertical="center" wrapText="1"/>
    </xf>
    <xf numFmtId="0" fontId="139" fillId="0" borderId="0" xfId="0" applyFont="1">
      <alignment horizontal="center" vertical="center" wrapText="1"/>
    </xf>
    <xf numFmtId="0" fontId="140" fillId="0" borderId="0" xfId="0" applyFont="1">
      <alignment horizontal="center"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horizontal="center" vertical="center" wrapText="1"/>
    </xf>
    <xf numFmtId="0" fontId="145" fillId="0" borderId="0" xfId="0" applyFont="1">
      <alignment horizontal="center" vertical="center" wrapText="1"/>
    </xf>
    <xf numFmtId="0" fontId="146" fillId="0" borderId="0" xfId="0" applyFont="1">
      <alignment horizontal="center" vertical="center" wrapText="1"/>
    </xf>
    <xf numFmtId="0" fontId="147" fillId="0" borderId="0" xfId="0" applyFont="1">
      <alignment horizontal="center" vertical="center" wrapText="1"/>
    </xf>
    <xf numFmtId="0" fontId="148" fillId="0" borderId="0" xfId="0" applyFont="1">
      <alignment vertical="center" wrapText="1"/>
    </xf>
    <xf numFmtId="0" fontId="149" fillId="19" borderId="0" xfId="0" applyFont="1" applyFill="1">
      <alignment horizontal="center" vertical="center" wrapText="1"/>
    </xf>
    <xf numFmtId="0" fontId="150" fillId="19" borderId="0" xfId="0" applyFont="1" applyFill="1">
      <alignment horizontal="center" vertical="center" wrapText="1"/>
    </xf>
    <xf numFmtId="0" fontId="151" fillId="0" borderId="0" xfId="0" applyFont="1">
      <alignment horizontal="center" vertical="center" wrapText="1"/>
    </xf>
    <xf numFmtId="0" fontId="152" fillId="0" borderId="0" xfId="0" applyFont="1">
      <alignment horizontal="center" vertical="center" wrapText="1"/>
    </xf>
    <xf numFmtId="0" fontId="153" fillId="0" borderId="0" xfId="0" applyFont="1">
      <alignment horizontal="center" vertical="center" wrapText="1"/>
    </xf>
    <xf numFmtId="0" fontId="154" fillId="0" borderId="0" xfId="0" applyFont="1">
      <alignment horizontal="center" vertical="center" wrapText="1"/>
    </xf>
    <xf numFmtId="0" fontId="155" fillId="0" borderId="0" xfId="0" applyFont="1">
      <alignment horizontal="center" vertical="center" wrapText="1"/>
    </xf>
    <xf numFmtId="0" fontId="156" fillId="0" borderId="0" xfId="0" applyFont="1">
      <alignment horizontal="center" vertical="center" wrapText="1"/>
    </xf>
    <xf numFmtId="0" fontId="157" fillId="0" borderId="0" xfId="0" applyFont="1">
      <alignment horizontal="center" vertical="center" wrapText="1"/>
    </xf>
    <xf numFmtId="0" fontId="158" fillId="0" borderId="0" xfId="0" applyFont="1">
      <alignment horizontal="center" vertical="center" wrapText="1"/>
    </xf>
    <xf numFmtId="0" fontId="159" fillId="0" borderId="0" xfId="0" applyFont="1">
      <alignment horizontal="center" vertical="center" wrapText="1"/>
    </xf>
    <xf numFmtId="0" fontId="160" fillId="0" borderId="0" xfId="0" applyFont="1">
      <alignment horizontal="center" vertical="center" wrapText="1"/>
    </xf>
    <xf numFmtId="0" fontId="161" fillId="0" borderId="0" xfId="0" applyFont="1">
      <alignment horizontal="left" vertical="center" wrapText="1"/>
    </xf>
    <xf numFmtId="0" fontId="162" fillId="0" borderId="0" xfId="0" applyFont="1">
      <alignment horizontal="center" vertical="center" wrapText="1"/>
    </xf>
    <xf numFmtId="0" fontId="163" fillId="0" borderId="0" xfId="0" applyFont="1">
      <alignment horizontal="center" vertical="center" wrapText="1"/>
    </xf>
    <xf numFmtId="0" fontId="164" fillId="24" borderId="0" xfId="0" applyFont="1" applyFill="1">
      <alignment horizontal="center" vertical="center" wrapText="1"/>
    </xf>
    <xf numFmtId="0" fontId="165" fillId="0" borderId="0" xfId="0" applyFont="1">
      <alignment horizontal="center" vertical="center" wrapText="1"/>
    </xf>
    <xf numFmtId="0" fontId="166" fillId="0" borderId="0" xfId="0" applyFont="1">
      <alignment horizontal="center" vertical="center" wrapText="1"/>
    </xf>
    <xf numFmtId="0" fontId="167" fillId="0" borderId="0" xfId="0" applyFont="1">
      <alignment horizontal="center" vertical="center" wrapText="1"/>
    </xf>
    <xf numFmtId="0" fontId="168" fillId="0" borderId="0" xfId="0" applyFont="1">
      <alignment horizontal="center" vertical="center" wrapText="1"/>
    </xf>
    <xf numFmtId="0" fontId="169" fillId="0" borderId="0" xfId="0" applyFont="1">
      <alignment horizontal="center" vertical="center" wrapText="1"/>
    </xf>
    <xf numFmtId="0" fontId="170" fillId="0" borderId="0" xfId="0" applyFont="1">
      <alignment horizontal="left" vertical="center" wrapText="1"/>
    </xf>
    <xf numFmtId="0" fontId="171" fillId="0" borderId="0" xfId="0" applyFont="1">
      <alignment horizontal="center" vertical="center" wrapText="1"/>
    </xf>
    <xf numFmtId="0" fontId="172" fillId="0" borderId="0" xfId="0" applyFont="1">
      <alignment horizontal="left" vertical="center" wrapText="1"/>
    </xf>
    <xf numFmtId="0" fontId="173" fillId="0" borderId="0" xfId="0" applyFont="1">
      <alignment horizontal="left" vertical="center" wrapText="1"/>
    </xf>
    <xf numFmtId="0" fontId="174" fillId="0" borderId="0" xfId="0" applyFont="1">
      <alignment horizontal="center" vertical="center" wrapText="1"/>
    </xf>
    <xf numFmtId="0" fontId="175" fillId="0" borderId="0" xfId="0" applyFont="1">
      <alignment horizontal="center" vertical="center" wrapText="1"/>
    </xf>
    <xf numFmtId="0" fontId="176" fillId="0" borderId="0" xfId="0" applyFont="1">
      <alignment horizontal="left" vertical="center" wrapText="1"/>
    </xf>
    <xf numFmtId="0" fontId="177" fillId="0" borderId="0" xfId="0" applyFont="1">
      <alignment horizontal="center" vertical="center" wrapText="1"/>
    </xf>
    <xf numFmtId="0" fontId="178" fillId="0" borderId="0" xfId="0" applyFont="1">
      <alignment horizontal="center" vertical="center" wrapText="1"/>
    </xf>
    <xf numFmtId="0" fontId="179" fillId="0" borderId="0" xfId="0" applyFont="1">
      <alignment horizontal="left" vertical="center" wrapText="1"/>
    </xf>
    <xf numFmtId="0" fontId="180" fillId="0" borderId="0" xfId="0" applyFont="1">
      <alignment horizontal="left" vertical="center" wrapText="1"/>
    </xf>
    <xf numFmtId="0" fontId="181" fillId="0" borderId="0" xfId="0" applyFont="1">
      <alignment horizontal="left" vertical="center" wrapText="1"/>
    </xf>
    <xf numFmtId="0" fontId="182" fillId="0" borderId="0" xfId="0" applyFont="1">
      <alignment horizontal="center" vertical="center" wrapText="1"/>
    </xf>
    <xf numFmtId="0" fontId="183" fillId="7" borderId="20" xfId="0" applyFont="1" applyFill="1" applyBorder="1" applyProtection="1">
      <alignment horizontal="center" vertical="center" wrapText="1"/>
    </xf>
    <xf numFmtId="0" fontId="184" fillId="0" borderId="9" xfId="0" applyFont="1" applyBorder="1" applyProtection="1">
      <alignment vertical="center" wrapText="1"/>
    </xf>
    <xf numFmtId="0" fontId="185" fillId="0" borderId="9" xfId="0" applyFont="1" applyBorder="1" applyProtection="1">
      <alignment vertical="center" wrapText="1"/>
    </xf>
    <xf numFmtId="0" fontId="186" fillId="0" borderId="9" xfId="0" applyFont="1" applyBorder="1" applyProtection="1">
      <alignment vertical="center" wrapText="1"/>
    </xf>
    <xf numFmtId="0" fontId="187" fillId="0" borderId="9" xfId="0" applyFont="1" applyBorder="1" applyProtection="1">
      <alignment vertical="center" wrapText="1"/>
    </xf>
    <xf numFmtId="0" fontId="188" fillId="0" borderId="9" xfId="0" applyFont="1" applyBorder="1" applyProtection="1">
      <alignment vertical="center" wrapText="1"/>
    </xf>
    <xf numFmtId="0" fontId="189" fillId="0" borderId="9" xfId="0" applyFont="1" applyBorder="1" applyProtection="1">
      <alignment vertical="center" wrapText="1"/>
    </xf>
    <xf numFmtId="0" fontId="190" fillId="0" borderId="9" xfId="0" applyFont="1" applyBorder="1" applyProtection="1">
      <alignment vertical="center" wrapText="1"/>
    </xf>
    <xf numFmtId="0" fontId="191" fillId="0" borderId="9" xfId="0" applyFont="1" applyBorder="1" applyProtection="1">
      <alignment vertical="center" wrapText="1"/>
    </xf>
    <xf numFmtId="0" fontId="192" fillId="0" borderId="9" xfId="0" applyFont="1" applyBorder="1" applyProtection="1">
      <alignment vertical="center" wrapText="1"/>
    </xf>
    <xf numFmtId="0" fontId="193" fillId="0" borderId="9" xfId="0" applyFont="1" applyBorder="1" applyProtection="1">
      <alignment vertical="center" wrapText="1"/>
    </xf>
    <xf numFmtId="0" fontId="194" fillId="0" borderId="9" xfId="0" applyFont="1" applyBorder="1" applyProtection="1">
      <alignment vertical="center" wrapText="1"/>
    </xf>
    <xf numFmtId="0" fontId="195" fillId="0" borderId="9" xfId="0" applyFont="1" applyBorder="1" applyProtection="1">
      <alignment vertical="center" wrapText="1"/>
    </xf>
    <xf numFmtId="0" fontId="196" fillId="0" borderId="9" xfId="0" applyFont="1" applyBorder="1" applyProtection="1">
      <alignment vertical="center" wrapText="1"/>
    </xf>
    <xf numFmtId="0" fontId="197" fillId="0" borderId="9" xfId="0" applyFont="1" applyBorder="1" applyProtection="1">
      <alignment vertical="center" wrapText="1"/>
    </xf>
    <xf numFmtId="0" fontId="198" fillId="0" borderId="9" xfId="0" applyFont="1" applyBorder="1" applyProtection="1">
      <alignment vertical="center" wrapText="1"/>
    </xf>
    <xf numFmtId="0" fontId="199" fillId="0" borderId="9" xfId="0" applyFont="1" applyBorder="1" applyProtection="1">
      <alignment vertical="center" wrapText="1"/>
    </xf>
    <xf numFmtId="0" fontId="200" fillId="0" borderId="9" xfId="0" applyFont="1" applyBorder="1" applyProtection="1">
      <alignment vertical="center" wrapText="1"/>
    </xf>
    <xf numFmtId="0" fontId="201" fillId="0" borderId="9" xfId="0" applyFont="1" applyBorder="1" applyProtection="1">
      <alignment vertical="center" wrapText="1"/>
    </xf>
    <xf numFmtId="0" fontId="202" fillId="0" borderId="9" xfId="0" applyFont="1" applyBorder="1" applyProtection="1">
      <alignment vertical="center" wrapText="1"/>
    </xf>
    <xf numFmtId="0" fontId="203" fillId="0" borderId="9" xfId="0" applyFont="1" applyBorder="1" applyProtection="1">
      <alignment vertical="center" wrapText="1"/>
    </xf>
    <xf numFmtId="0" fontId="204" fillId="0" borderId="9" xfId="0" applyFont="1" applyBorder="1" applyProtection="1">
      <alignment vertical="center" wrapText="1"/>
    </xf>
    <xf numFmtId="0" fontId="205" fillId="0" borderId="9" xfId="0" applyFont="1" applyBorder="1" applyProtection="1">
      <alignment vertical="center" wrapText="1"/>
    </xf>
    <xf numFmtId="0" fontId="206" fillId="0" borderId="9" xfId="0" applyFont="1" applyBorder="1" applyProtection="1">
      <alignment vertical="center" wrapText="1"/>
    </xf>
    <xf numFmtId="0" fontId="207" fillId="0" borderId="9" xfId="0" applyFont="1" applyBorder="1" applyProtection="1">
      <alignment vertical="center" wrapText="1"/>
    </xf>
    <xf numFmtId="0" fontId="208" fillId="0" borderId="9" xfId="0" applyFont="1" applyBorder="1" applyProtection="1">
      <alignment vertical="center" wrapText="1"/>
    </xf>
    <xf numFmtId="0" fontId="209" fillId="0" borderId="9" xfId="0" applyFont="1" applyBorder="1" applyProtection="1">
      <alignment vertical="center" wrapText="1"/>
    </xf>
    <xf numFmtId="0" fontId="210" fillId="0" borderId="9" xfId="0" applyFont="1" applyBorder="1" applyProtection="1">
      <alignment vertical="center" wrapText="1"/>
    </xf>
    <xf numFmtId="0" fontId="211" fillId="0" borderId="9" xfId="0" applyFont="1" applyBorder="1" applyProtection="1">
      <alignment vertical="center" wrapText="1"/>
    </xf>
    <xf numFmtId="0" fontId="212" fillId="0" borderId="9" xfId="0" applyFont="1" applyBorder="1" applyProtection="1">
      <alignment vertical="center" wrapText="1"/>
    </xf>
    <xf numFmtId="0" fontId="213" fillId="0" borderId="9" xfId="0" applyFont="1" applyBorder="1" applyProtection="1">
      <alignment vertical="center" wrapText="1"/>
    </xf>
    <xf numFmtId="0" fontId="214" fillId="0" borderId="9" xfId="0" applyFont="1" applyBorder="1" applyProtection="1">
      <alignment vertical="center" wrapText="1"/>
    </xf>
    <xf numFmtId="0" fontId="215" fillId="0" borderId="9" xfId="0" applyFont="1" applyBorder="1" applyProtection="1">
      <alignment vertical="center" wrapText="1"/>
    </xf>
    <xf numFmtId="0" fontId="216" fillId="0" borderId="9" xfId="0" applyFont="1" applyBorder="1" applyProtection="1">
      <alignment vertical="center" wrapText="1"/>
    </xf>
    <xf numFmtId="0" fontId="217" fillId="0" borderId="9" xfId="0" applyFont="1" applyBorder="1" applyProtection="1">
      <alignment vertical="center" wrapText="1"/>
    </xf>
    <xf numFmtId="0" fontId="218" fillId="0" borderId="9" xfId="0" applyFont="1" applyBorder="1" applyProtection="1">
      <alignment vertical="center" wrapText="1"/>
    </xf>
    <xf numFmtId="0" fontId="219" fillId="0" borderId="9" xfId="0" applyFont="1" applyBorder="1" applyProtection="1">
      <alignment vertical="center" wrapText="1"/>
    </xf>
    <xf numFmtId="0" fontId="220" fillId="0" borderId="9" xfId="0" applyFont="1" applyBorder="1" applyProtection="1">
      <alignment vertical="center" wrapText="1"/>
    </xf>
    <xf numFmtId="0" fontId="221" fillId="0" borderId="9" xfId="0" applyFont="1" applyBorder="1" applyProtection="1">
      <alignment vertical="center" wrapText="1"/>
    </xf>
    <xf numFmtId="0" fontId="222" fillId="0" borderId="9" xfId="0" applyFont="1" applyBorder="1" applyProtection="1">
      <alignment vertical="center" wrapText="1"/>
    </xf>
    <xf numFmtId="0" fontId="223" fillId="0" borderId="9" xfId="0" applyFont="1" applyBorder="1" applyProtection="1">
      <alignment vertical="center" wrapText="1"/>
    </xf>
    <xf numFmtId="0" fontId="224" fillId="0" borderId="9" xfId="0" applyFont="1" applyBorder="1" applyProtection="1">
      <alignment vertical="center" wrapText="1"/>
    </xf>
    <xf numFmtId="0" fontId="225" fillId="0" borderId="9" xfId="0" applyFont="1" applyBorder="1" applyProtection="1">
      <alignment vertical="center" wrapText="1"/>
    </xf>
    <xf numFmtId="0" fontId="226" fillId="0" borderId="9" xfId="0" applyFont="1" applyBorder="1" applyProtection="1">
      <alignment vertical="center" wrapText="1"/>
    </xf>
    <xf numFmtId="0" fontId="227" fillId="0" borderId="9" xfId="0" applyFont="1" applyBorder="1" applyProtection="1">
      <alignment vertical="center" wrapText="1"/>
    </xf>
    <xf numFmtId="0" fontId="228" fillId="0" borderId="9" xfId="0" applyFont="1" applyBorder="1" applyProtection="1">
      <alignment vertical="center" wrapText="1"/>
    </xf>
    <xf numFmtId="0" fontId="229" fillId="0" borderId="9" xfId="0" applyFont="1" applyBorder="1" applyProtection="1">
      <alignment vertical="center" wrapText="1"/>
    </xf>
    <xf numFmtId="0" fontId="230" fillId="0" borderId="9" xfId="0" applyFont="1" applyBorder="1" applyProtection="1">
      <alignment vertical="center" wrapText="1"/>
    </xf>
    <xf numFmtId="0" fontId="231" fillId="0" borderId="9" xfId="0" applyFont="1" applyBorder="1" applyProtection="1">
      <alignment vertical="center" wrapText="1"/>
    </xf>
    <xf numFmtId="0" fontId="232" fillId="0" borderId="9" xfId="0" applyFont="1" applyBorder="1" applyProtection="1">
      <alignment vertical="center" wrapText="1"/>
    </xf>
    <xf numFmtId="0" fontId="233" fillId="0" borderId="9" xfId="0" applyFont="1" applyBorder="1" applyProtection="1">
      <alignment vertical="center" wrapText="1"/>
    </xf>
    <xf numFmtId="0" fontId="234" fillId="0" borderId="9" xfId="0" applyFont="1" applyBorder="1" applyProtection="1">
      <alignment vertical="center" wrapText="1"/>
    </xf>
    <xf numFmtId="0" fontId="235" fillId="0" borderId="9" xfId="0" applyFont="1" applyBorder="1" applyProtection="1">
      <alignment vertical="center" wrapText="1"/>
    </xf>
    <xf numFmtId="0" fontId="236" fillId="0" borderId="9" xfId="0" applyFont="1" applyBorder="1" applyProtection="1">
      <alignment vertical="center" wrapText="1"/>
    </xf>
    <xf numFmtId="0" fontId="237" fillId="0" borderId="9" xfId="0" applyFont="1" applyBorder="1" applyProtection="1">
      <alignment vertical="center" wrapText="1"/>
    </xf>
    <xf numFmtId="0" fontId="238" fillId="0" borderId="9" xfId="0" applyFont="1" applyBorder="1" applyProtection="1">
      <alignment vertical="center" wrapText="1"/>
    </xf>
    <xf numFmtId="0" fontId="239" fillId="0" borderId="9" xfId="0" applyFont="1" applyBorder="1" applyProtection="1">
      <alignment vertical="center" wrapText="1"/>
    </xf>
    <xf numFmtId="0" fontId="240" fillId="0" borderId="9" xfId="0" applyFont="1" applyBorder="1" applyProtection="1">
      <alignment vertical="center" wrapText="1"/>
    </xf>
    <xf numFmtId="0" fontId="241" fillId="0" borderId="9" xfId="0" applyFont="1" applyBorder="1" applyProtection="1">
      <alignment vertical="center" wrapText="1"/>
    </xf>
    <xf numFmtId="0" fontId="242" fillId="0" borderId="9" xfId="0" applyFont="1" applyBorder="1" applyProtection="1">
      <alignment vertical="center" wrapText="1"/>
    </xf>
    <xf numFmtId="0" fontId="243" fillId="0" borderId="9" xfId="0" applyFont="1" applyBorder="1" applyProtection="1">
      <alignment vertical="center" wrapText="1"/>
    </xf>
    <xf numFmtId="0" fontId="244" fillId="0" borderId="9" xfId="0" applyFont="1" applyBorder="1" applyProtection="1">
      <alignment vertical="center" wrapText="1"/>
    </xf>
    <xf numFmtId="0" fontId="245" fillId="0" borderId="9" xfId="0" applyFont="1" applyBorder="1" applyProtection="1">
      <alignment vertical="center" wrapText="1"/>
    </xf>
    <xf numFmtId="0" fontId="246" fillId="0" borderId="9" xfId="0" applyFont="1" applyBorder="1" applyProtection="1">
      <alignment vertical="center" wrapText="1"/>
    </xf>
    <xf numFmtId="0" fontId="247" fillId="0" borderId="9" xfId="0" applyFont="1" applyBorder="1" applyProtection="1">
      <alignment vertical="center" wrapText="1"/>
    </xf>
    <xf numFmtId="0" fontId="248" fillId="0" borderId="9" xfId="0" applyFont="1" applyBorder="1" applyProtection="1">
      <alignment vertical="center" wrapText="1"/>
    </xf>
    <xf numFmtId="0" fontId="249" fillId="0" borderId="9" xfId="0" applyFont="1" applyBorder="1" applyProtection="1">
      <alignment vertical="center" wrapText="1"/>
    </xf>
    <xf numFmtId="0" fontId="250" fillId="0" borderId="9" xfId="0" applyFont="1" applyBorder="1" applyProtection="1">
      <alignment vertical="center" wrapText="1"/>
    </xf>
    <xf numFmtId="0" fontId="251" fillId="0" borderId="9" xfId="0" applyFont="1" applyBorder="1" applyProtection="1">
      <alignment vertical="center" wrapText="1"/>
    </xf>
    <xf numFmtId="0" fontId="252" fillId="0" borderId="9" xfId="0" applyFont="1" applyBorder="1" applyProtection="1">
      <alignment vertical="center" wrapText="1"/>
    </xf>
    <xf numFmtId="0" fontId="253" fillId="0" borderId="9" xfId="0" applyFont="1" applyBorder="1" applyProtection="1">
      <alignment vertical="center" wrapText="1"/>
    </xf>
    <xf numFmtId="0" fontId="254" fillId="0" borderId="9" xfId="0" applyFont="1" applyBorder="1" applyProtection="1">
      <alignment vertical="center" wrapText="1"/>
    </xf>
    <xf numFmtId="0" fontId="255" fillId="0" borderId="9" xfId="0" applyFont="1" applyBorder="1" applyProtection="1">
      <alignment vertical="center" wrapText="1"/>
    </xf>
    <xf numFmtId="0" fontId="256" fillId="0" borderId="9" xfId="0" applyFont="1" applyBorder="1" applyProtection="1">
      <alignment vertical="center" wrapText="1"/>
    </xf>
    <xf numFmtId="0" fontId="257" fillId="0" borderId="9" xfId="0" applyFont="1" applyBorder="1" applyProtection="1">
      <alignment vertical="center" wrapText="1"/>
    </xf>
    <xf numFmtId="0" fontId="258" fillId="0" borderId="9" xfId="0" applyFont="1" applyBorder="1" applyProtection="1">
      <alignment vertical="center" wrapText="1"/>
    </xf>
    <xf numFmtId="0" fontId="259" fillId="0" borderId="9" xfId="0" applyFont="1" applyBorder="1" applyProtection="1">
      <alignment vertical="center" wrapText="1"/>
    </xf>
    <xf numFmtId="0" fontId="260" fillId="0" borderId="9" xfId="0" applyFont="1" applyBorder="1" applyProtection="1">
      <alignment vertical="center" wrapText="1"/>
    </xf>
    <xf numFmtId="0" fontId="261" fillId="0" borderId="9" xfId="0" applyFont="1" applyBorder="1" applyProtection="1">
      <alignment vertical="center" wrapText="1"/>
    </xf>
    <xf numFmtId="0" fontId="262" fillId="0" borderId="9" xfId="0" applyFont="1" applyBorder="1" applyProtection="1">
      <alignment vertical="center" wrapText="1"/>
    </xf>
    <xf numFmtId="0" fontId="263" fillId="0" borderId="9" xfId="0" applyFont="1" applyBorder="1" applyProtection="1">
      <alignment vertical="center" wrapText="1"/>
    </xf>
    <xf numFmtId="0" fontId="264" fillId="0" borderId="9" xfId="0" applyFont="1" applyBorder="1" applyProtection="1">
      <alignment vertical="center" wrapText="1"/>
    </xf>
    <xf numFmtId="0" fontId="265" fillId="0" borderId="9" xfId="0" applyFont="1" applyBorder="1" applyProtection="1">
      <alignment vertical="center" wrapText="1"/>
    </xf>
    <xf numFmtId="0" fontId="266" fillId="0" borderId="9" xfId="0" applyFont="1" applyBorder="1" applyProtection="1">
      <alignment vertical="center" wrapText="1"/>
    </xf>
    <xf numFmtId="0" fontId="267" fillId="0" borderId="9" xfId="0" applyFont="1" applyBorder="1" applyProtection="1">
      <alignment vertical="center" wrapText="1"/>
    </xf>
    <xf numFmtId="0" fontId="268" fillId="0" borderId="9" xfId="0" applyFont="1" applyBorder="1" applyProtection="1">
      <alignment vertical="center" wrapText="1"/>
    </xf>
    <xf numFmtId="0" fontId="269" fillId="0" borderId="9" xfId="0" applyFont="1" applyBorder="1" applyProtection="1">
      <alignment vertical="center" wrapText="1"/>
    </xf>
    <xf numFmtId="0" fontId="270" fillId="0" borderId="9" xfId="0" applyFont="1" applyBorder="1" applyProtection="1">
      <alignment vertical="center" wrapText="1"/>
    </xf>
    <xf numFmtId="0" fontId="271" fillId="0" borderId="9" xfId="0" applyFont="1" applyBorder="1" applyProtection="1">
      <alignment vertical="center" wrapText="1"/>
    </xf>
    <xf numFmtId="0" fontId="272" fillId="0" borderId="9" xfId="0" applyFont="1" applyBorder="1" applyProtection="1">
      <alignment vertical="center" wrapText="1"/>
    </xf>
    <xf numFmtId="0" fontId="273" fillId="0" borderId="9" xfId="0" applyFont="1" applyBorder="1" applyProtection="1">
      <alignment vertical="center" wrapText="1"/>
    </xf>
    <xf numFmtId="0" fontId="274" fillId="0" borderId="9" xfId="0" applyFont="1" applyBorder="1" applyProtection="1">
      <alignment vertical="center" wrapText="1"/>
    </xf>
    <xf numFmtId="0" fontId="275" fillId="0" borderId="9" xfId="0" applyFont="1" applyBorder="1" applyProtection="1">
      <alignment vertical="center" wrapText="1"/>
    </xf>
    <xf numFmtId="0" fontId="276" fillId="0" borderId="9" xfId="0" applyFont="1" applyBorder="1" applyProtection="1">
      <alignment vertical="center" wrapText="1"/>
    </xf>
    <xf numFmtId="0" fontId="277" fillId="0" borderId="9" xfId="0" applyFont="1" applyBorder="1" applyProtection="1">
      <alignment vertical="center" wrapText="1"/>
    </xf>
    <xf numFmtId="0" fontId="278" fillId="0" borderId="9" xfId="0" applyFont="1" applyBorder="1" applyProtection="1">
      <alignment vertical="center" wrapText="1"/>
    </xf>
    <xf numFmtId="0" fontId="279" fillId="0" borderId="9" xfId="0" applyFont="1" applyBorder="1" applyProtection="1">
      <alignment vertical="center" wrapText="1"/>
    </xf>
    <xf numFmtId="0" fontId="280" fillId="0" borderId="9" xfId="0" applyFont="1" applyBorder="1" applyProtection="1">
      <alignment vertical="center" wrapText="1"/>
    </xf>
    <xf numFmtId="0" fontId="281" fillId="0" borderId="9" xfId="0" applyFont="1" applyBorder="1" applyProtection="1">
      <alignment vertical="center" wrapText="1"/>
    </xf>
    <xf numFmtId="0" fontId="282" fillId="0" borderId="9" xfId="0" applyFont="1" applyBorder="1" applyProtection="1">
      <alignment vertical="center" wrapText="1"/>
    </xf>
    <xf numFmtId="0" fontId="283" fillId="0" borderId="9" xfId="0" applyFont="1" applyBorder="1" applyProtection="1">
      <alignment vertical="center" wrapText="1"/>
    </xf>
    <xf numFmtId="0" fontId="284" fillId="0" borderId="9" xfId="0" applyFont="1" applyBorder="1" applyProtection="1">
      <alignment vertical="center" wrapText="1"/>
    </xf>
    <xf numFmtId="0" fontId="285" fillId="0" borderId="9" xfId="0" applyFont="1" applyBorder="1" applyProtection="1">
      <alignment vertical="center" wrapText="1"/>
    </xf>
    <xf numFmtId="0" fontId="286" fillId="0" borderId="9" xfId="0" applyFont="1" applyBorder="1" applyProtection="1">
      <alignment vertical="center" wrapText="1"/>
    </xf>
    <xf numFmtId="0" fontId="287" fillId="7" borderId="0" xfId="0" applyFont="1" applyFill="1">
      <alignment horizontal="center" vertical="center" wrapText="1"/>
    </xf>
    <xf numFmtId="0" fontId="288" fillId="0" borderId="9" xfId="0" applyFont="1" applyBorder="1" applyProtection="1">
      <alignment horizontal="center" vertical="center" wrapText="1"/>
    </xf>
    <xf numFmtId="0" fontId="289" fillId="0" borderId="9" xfId="0" applyFont="1" applyBorder="1" applyProtection="1">
      <alignment horizontal="center" vertical="center" wrapText="1"/>
    </xf>
    <xf numFmtId="0" fontId="290" fillId="0" borderId="9" xfId="0" applyFont="1" applyBorder="1" applyProtection="1">
      <alignment horizontal="center" vertical="center" wrapText="1"/>
    </xf>
    <xf numFmtId="0" fontId="291" fillId="0" borderId="9" xfId="0" applyFont="1" applyBorder="1" applyProtection="1">
      <alignment horizontal="center" vertical="center" wrapText="1"/>
    </xf>
    <xf numFmtId="0" fontId="292" fillId="0" borderId="9" xfId="0" applyFont="1" applyBorder="1" applyProtection="1">
      <alignment horizontal="center" vertical="center" wrapText="1"/>
    </xf>
    <xf numFmtId="0" fontId="293" fillId="0" borderId="9" xfId="0" applyFont="1" applyBorder="1" applyProtection="1">
      <alignment horizontal="center" vertical="center" wrapText="1"/>
    </xf>
    <xf numFmtId="0" fontId="294" fillId="0" borderId="9" xfId="0" applyFont="1" applyBorder="1" applyProtection="1">
      <alignment horizontal="center" vertical="center" wrapText="1"/>
    </xf>
    <xf numFmtId="0" fontId="295" fillId="0" borderId="9" xfId="0" applyFont="1" applyBorder="1" applyProtection="1">
      <alignment horizontal="center" vertical="center" wrapText="1"/>
    </xf>
    <xf numFmtId="0" fontId="296" fillId="0" borderId="9" xfId="0" applyFont="1" applyBorder="1" applyProtection="1">
      <alignment horizontal="center" vertical="center" wrapText="1"/>
    </xf>
    <xf numFmtId="0" fontId="297" fillId="0" borderId="9" xfId="0" applyFont="1" applyBorder="1" applyProtection="1">
      <alignment horizontal="center" vertical="center" wrapText="1"/>
    </xf>
    <xf numFmtId="0" fontId="298" fillId="0" borderId="9" xfId="0" applyFont="1" applyBorder="1" applyProtection="1">
      <alignment horizontal="center" vertical="center" wrapText="1"/>
    </xf>
    <xf numFmtId="0" fontId="299" fillId="0" borderId="9" xfId="0" applyFont="1" applyBorder="1" applyProtection="1">
      <alignment horizontal="center" vertical="center" wrapText="1"/>
    </xf>
    <xf numFmtId="0" fontId="300" fillId="0" borderId="9" xfId="0" applyFont="1" applyBorder="1" applyProtection="1">
      <alignment horizontal="center" vertical="center" wrapText="1"/>
    </xf>
    <xf numFmtId="0" fontId="301" fillId="0" borderId="9" xfId="0" applyFont="1" applyBorder="1" applyProtection="1">
      <alignment horizontal="center" vertical="center" wrapText="1"/>
    </xf>
    <xf numFmtId="0" fontId="302" fillId="0" borderId="9" xfId="0" applyFont="1" applyBorder="1" applyProtection="1">
      <alignment horizontal="center" vertical="center" wrapText="1"/>
    </xf>
    <xf numFmtId="0" fontId="303" fillId="0" borderId="9" xfId="0" applyFont="1" applyBorder="1" applyProtection="1">
      <alignment horizontal="center" vertical="center" wrapText="1"/>
    </xf>
    <xf numFmtId="0" fontId="304" fillId="0" borderId="9" xfId="0" applyFont="1" applyBorder="1" applyProtection="1">
      <alignment horizontal="center" vertical="center" wrapText="1"/>
    </xf>
    <xf numFmtId="0" fontId="305" fillId="0" borderId="9" xfId="0" applyFont="1" applyBorder="1" applyProtection="1">
      <alignment horizontal="center" vertical="center" wrapText="1"/>
    </xf>
    <xf numFmtId="0" fontId="306" fillId="0" borderId="9" xfId="0" applyFont="1" applyBorder="1" applyProtection="1">
      <alignment horizontal="center" vertical="center" wrapText="1"/>
    </xf>
    <xf numFmtId="0" fontId="307" fillId="0" borderId="9" xfId="0" applyFont="1" applyBorder="1" applyProtection="1">
      <alignment horizontal="center" vertical="center" wrapText="1"/>
    </xf>
    <xf numFmtId="0" fontId="308" fillId="0" borderId="9" xfId="0" applyFont="1" applyBorder="1" applyProtection="1">
      <alignment horizontal="center" vertical="center" wrapText="1"/>
    </xf>
    <xf numFmtId="0" fontId="309" fillId="0" borderId="9" xfId="0" applyFont="1" applyBorder="1" applyProtection="1">
      <alignment horizontal="center" vertical="center" wrapText="1"/>
    </xf>
    <xf numFmtId="0" fontId="310" fillId="0" borderId="9" xfId="0" applyFont="1" applyBorder="1" applyProtection="1">
      <alignment horizontal="center" vertical="center" wrapText="1"/>
    </xf>
    <xf numFmtId="0" fontId="311" fillId="0" borderId="9" xfId="0" applyFont="1" applyBorder="1" applyProtection="1">
      <alignment horizontal="center" vertical="center" wrapText="1"/>
    </xf>
    <xf numFmtId="0" fontId="312" fillId="0" borderId="9" xfId="0" applyFont="1" applyBorder="1" applyProtection="1">
      <alignment horizontal="center" vertical="center" wrapText="1"/>
    </xf>
    <xf numFmtId="0" fontId="313" fillId="0" borderId="9" xfId="0" applyFont="1" applyBorder="1" applyProtection="1">
      <alignment horizontal="center" vertical="center" wrapText="1"/>
    </xf>
    <xf numFmtId="0" fontId="314" fillId="0" borderId="9" xfId="0" applyFont="1" applyBorder="1" applyProtection="1">
      <alignment horizontal="center" vertical="center" wrapText="1"/>
    </xf>
    <xf numFmtId="0" fontId="315" fillId="0" borderId="9" xfId="0" applyFont="1" applyBorder="1" applyProtection="1">
      <alignment horizontal="center" vertical="center" wrapText="1"/>
    </xf>
    <xf numFmtId="0" fontId="316" fillId="0" borderId="9" xfId="0" applyFont="1" applyBorder="1" applyProtection="1">
      <alignment horizontal="center" vertical="center" wrapText="1"/>
    </xf>
    <xf numFmtId="0" fontId="317" fillId="0" borderId="9" xfId="0" applyFont="1" applyBorder="1" applyProtection="1">
      <alignment horizontal="center" vertical="center" wrapText="1"/>
    </xf>
    <xf numFmtId="0" fontId="318" fillId="0" borderId="9" xfId="0" applyFont="1" applyBorder="1" applyProtection="1">
      <alignment horizontal="center" vertical="center" wrapText="1"/>
    </xf>
    <xf numFmtId="0" fontId="319" fillId="0" borderId="9" xfId="0" applyFont="1" applyBorder="1" applyProtection="1">
      <alignment horizontal="center" vertical="center" wrapText="1"/>
    </xf>
    <xf numFmtId="0" fontId="320" fillId="0" borderId="9" xfId="0" applyFont="1" applyBorder="1" applyProtection="1">
      <alignment horizontal="center" vertical="center" wrapText="1"/>
    </xf>
    <xf numFmtId="0" fontId="321" fillId="0" borderId="9" xfId="0" applyFont="1" applyBorder="1" applyProtection="1">
      <alignment horizontal="center" vertical="center" wrapText="1"/>
    </xf>
    <xf numFmtId="0" fontId="322" fillId="0" borderId="9" xfId="0" applyFont="1" applyBorder="1" applyProtection="1">
      <alignment horizontal="center" vertical="center" wrapText="1"/>
    </xf>
    <xf numFmtId="0" fontId="323" fillId="0" borderId="9" xfId="0" applyFont="1" applyBorder="1" applyProtection="1">
      <alignment horizontal="center" vertical="center" wrapText="1"/>
    </xf>
    <xf numFmtId="0" fontId="324" fillId="0" borderId="9" xfId="0" applyFont="1" applyBorder="1" applyProtection="1">
      <alignment horizontal="center" vertical="center" wrapText="1"/>
    </xf>
    <xf numFmtId="0" fontId="325" fillId="0" borderId="9" xfId="0" applyFont="1" applyBorder="1" applyProtection="1">
      <alignment horizontal="center" vertical="center" wrapText="1"/>
    </xf>
    <xf numFmtId="0" fontId="326" fillId="0" borderId="9" xfId="0" applyFont="1" applyBorder="1" applyProtection="1">
      <alignment horizontal="center" vertical="center" wrapText="1"/>
    </xf>
    <xf numFmtId="0" fontId="327" fillId="0" borderId="9" xfId="0" applyFont="1" applyBorder="1" applyProtection="1">
      <alignment horizontal="center" vertical="center" wrapText="1"/>
    </xf>
    <xf numFmtId="0" fontId="328" fillId="0" borderId="9" xfId="0" applyFont="1" applyBorder="1" applyProtection="1">
      <alignment horizontal="center" vertical="center" wrapText="1"/>
    </xf>
    <xf numFmtId="0" fontId="329" fillId="0" borderId="9" xfId="0" applyFont="1" applyBorder="1" applyProtection="1">
      <alignment horizontal="center" vertical="center" wrapText="1"/>
    </xf>
    <xf numFmtId="0" fontId="330" fillId="0" borderId="9" xfId="0" applyFont="1" applyBorder="1" applyProtection="1">
      <alignment horizontal="center" vertical="center" wrapText="1"/>
    </xf>
    <xf numFmtId="0" fontId="331" fillId="0" borderId="9" xfId="0" applyFont="1" applyBorder="1" applyProtection="1">
      <alignment horizontal="center" vertical="center" wrapText="1"/>
    </xf>
    <xf numFmtId="0" fontId="332" fillId="0" borderId="9" xfId="0" applyFont="1" applyBorder="1" applyProtection="1">
      <alignment horizontal="center" vertical="center" wrapText="1"/>
    </xf>
    <xf numFmtId="0" fontId="333" fillId="0" borderId="9" xfId="0" applyFont="1" applyBorder="1" applyProtection="1">
      <alignment horizontal="center" vertical="center" wrapText="1"/>
    </xf>
    <xf numFmtId="0" fontId="334" fillId="0" borderId="9" xfId="0" applyFont="1" applyBorder="1" applyProtection="1">
      <alignment horizontal="center" vertical="center" wrapText="1"/>
    </xf>
    <xf numFmtId="0" fontId="335" fillId="0" borderId="9" xfId="0" applyFont="1" applyBorder="1" applyProtection="1">
      <alignment horizontal="center" vertical="center" wrapText="1"/>
    </xf>
    <xf numFmtId="0" fontId="336" fillId="0" borderId="9" xfId="0" applyFont="1" applyBorder="1" applyProtection="1">
      <alignment horizontal="center" vertical="center" wrapText="1"/>
    </xf>
    <xf numFmtId="0" fontId="337" fillId="0" borderId="9" xfId="0" applyFont="1" applyBorder="1" applyProtection="1">
      <alignment horizontal="center" vertical="center" wrapText="1"/>
    </xf>
    <xf numFmtId="0" fontId="338" fillId="0" borderId="9" xfId="0" applyFont="1" applyBorder="1" applyProtection="1">
      <alignment horizontal="center" vertical="center" wrapText="1"/>
    </xf>
    <xf numFmtId="0" fontId="339" fillId="0" borderId="9" xfId="0" applyFont="1" applyBorder="1" applyProtection="1">
      <alignment horizontal="center" vertical="center" wrapText="1"/>
    </xf>
    <xf numFmtId="0" fontId="340" fillId="0" borderId="9" xfId="0" applyFont="1" applyBorder="1" applyProtection="1">
      <alignment horizontal="center" vertical="center" wrapText="1"/>
    </xf>
    <xf numFmtId="0" fontId="341" fillId="0" borderId="9" xfId="0" applyFont="1" applyBorder="1" applyProtection="1">
      <alignment horizontal="center" vertical="center" wrapText="1"/>
    </xf>
    <xf numFmtId="0" fontId="342" fillId="0" borderId="9" xfId="0" applyFont="1" applyBorder="1" applyProtection="1">
      <alignment horizontal="center" vertical="center" wrapText="1"/>
    </xf>
    <xf numFmtId="0" fontId="343" fillId="0" borderId="9" xfId="0" applyFont="1" applyBorder="1" applyProtection="1">
      <alignment horizontal="center" vertical="center" wrapText="1"/>
    </xf>
    <xf numFmtId="0" fontId="344" fillId="0" borderId="9" xfId="0" applyFont="1" applyBorder="1" applyProtection="1">
      <alignment horizontal="center" vertical="center" wrapText="1"/>
    </xf>
    <xf numFmtId="0" fontId="345" fillId="0" borderId="9" xfId="0" applyFont="1" applyBorder="1" applyProtection="1">
      <alignment horizontal="center" vertical="center" wrapText="1"/>
    </xf>
    <xf numFmtId="0" fontId="346" fillId="0" borderId="9" xfId="0" applyFont="1" applyBorder="1" applyProtection="1">
      <alignment horizontal="center" vertical="center" wrapText="1"/>
    </xf>
    <xf numFmtId="0" fontId="347" fillId="0" borderId="9" xfId="0" applyFont="1" applyBorder="1" applyProtection="1">
      <alignment horizontal="center" vertical="center" wrapText="1"/>
    </xf>
    <xf numFmtId="0" fontId="348" fillId="0" borderId="9" xfId="0" applyFont="1" applyBorder="1" applyProtection="1">
      <alignment horizontal="center" vertical="center" wrapText="1"/>
    </xf>
    <xf numFmtId="0" fontId="349" fillId="0" borderId="9" xfId="0" applyFont="1" applyBorder="1" applyProtection="1">
      <alignment horizontal="center" vertical="center" wrapText="1"/>
    </xf>
    <xf numFmtId="0" fontId="350" fillId="0" borderId="9" xfId="0" applyFont="1" applyBorder="1" applyProtection="1">
      <alignment horizontal="center" vertical="center" wrapText="1"/>
    </xf>
    <xf numFmtId="0" fontId="351" fillId="0" borderId="9" xfId="0" applyFont="1" applyBorder="1" applyProtection="1">
      <alignment horizontal="center" vertical="center" wrapText="1"/>
    </xf>
    <xf numFmtId="0" fontId="352" fillId="0" borderId="9" xfId="0" applyFont="1" applyBorder="1" applyProtection="1">
      <alignment horizontal="center" vertical="center" wrapText="1"/>
    </xf>
    <xf numFmtId="0" fontId="353" fillId="0" borderId="9" xfId="0" applyFont="1" applyBorder="1" applyProtection="1">
      <alignment horizontal="center" vertical="center" wrapText="1"/>
    </xf>
    <xf numFmtId="0" fontId="354" fillId="0" borderId="9" xfId="0" applyFont="1" applyBorder="1" applyProtection="1">
      <alignment horizontal="center" vertical="center" wrapText="1"/>
    </xf>
    <xf numFmtId="0" fontId="355" fillId="0" borderId="9" xfId="0" applyFont="1" applyBorder="1" applyProtection="1">
      <alignment horizontal="center" vertical="center" wrapText="1"/>
    </xf>
    <xf numFmtId="0" fontId="356" fillId="0" borderId="9" xfId="0" applyFont="1" applyBorder="1" applyProtection="1">
      <alignment horizontal="center" vertical="center" wrapText="1"/>
    </xf>
    <xf numFmtId="0" fontId="357" fillId="0" borderId="9" xfId="0" applyFont="1" applyBorder="1" applyProtection="1">
      <alignment horizontal="center" vertical="center" wrapText="1"/>
    </xf>
    <xf numFmtId="0" fontId="358" fillId="0" borderId="9" xfId="0" applyFont="1" applyBorder="1" applyProtection="1">
      <alignment horizontal="center" vertical="center" wrapText="1"/>
    </xf>
    <xf numFmtId="0" fontId="359" fillId="0" borderId="9" xfId="0" applyFont="1" applyBorder="1" applyProtection="1">
      <alignment horizontal="center" vertical="center" wrapText="1"/>
    </xf>
    <xf numFmtId="0" fontId="360" fillId="0" borderId="9" xfId="0" applyFont="1" applyBorder="1" applyProtection="1">
      <alignment horizontal="center" vertical="center" wrapText="1"/>
    </xf>
    <xf numFmtId="0" fontId="361" fillId="0" borderId="9" xfId="0" applyFont="1" applyBorder="1" applyProtection="1">
      <alignment horizontal="center" vertical="center" wrapText="1"/>
    </xf>
    <xf numFmtId="0" fontId="362" fillId="0" borderId="9" xfId="0" applyFont="1" applyBorder="1" applyProtection="1">
      <alignment horizontal="center" vertical="center" wrapText="1"/>
    </xf>
    <xf numFmtId="0" fontId="363" fillId="0" borderId="9" xfId="0" applyFont="1" applyBorder="1" applyProtection="1">
      <alignment horizontal="center" vertical="center" wrapText="1"/>
    </xf>
    <xf numFmtId="0" fontId="364" fillId="0" borderId="9" xfId="0" applyFont="1" applyBorder="1" applyProtection="1">
      <alignment horizontal="center" vertical="center" wrapText="1"/>
    </xf>
    <xf numFmtId="0" fontId="365" fillId="0" borderId="9" xfId="0" applyFont="1" applyBorder="1" applyProtection="1">
      <alignment horizontal="center" vertical="center" wrapText="1"/>
    </xf>
    <xf numFmtId="0" fontId="366" fillId="0" borderId="9" xfId="0" applyFont="1" applyBorder="1" applyProtection="1">
      <alignment horizontal="center" vertical="center" wrapText="1"/>
    </xf>
    <xf numFmtId="0" fontId="367" fillId="0" borderId="9" xfId="0" applyFont="1" applyBorder="1" applyProtection="1">
      <alignment horizontal="center" vertical="center" wrapText="1"/>
    </xf>
    <xf numFmtId="0" fontId="368" fillId="0" borderId="9" xfId="0" applyFont="1" applyBorder="1" applyProtection="1">
      <alignment horizontal="center" vertical="center" wrapText="1"/>
    </xf>
    <xf numFmtId="0" fontId="369" fillId="0" borderId="9" xfId="0" applyFont="1" applyBorder="1" applyProtection="1">
      <alignment horizontal="center" vertical="center" wrapText="1"/>
    </xf>
    <xf numFmtId="0" fontId="370" fillId="0" borderId="9" xfId="0" applyFont="1" applyBorder="1" applyProtection="1">
      <alignment horizontal="center" vertical="center" wrapText="1"/>
    </xf>
    <xf numFmtId="0" fontId="371" fillId="0" borderId="9" xfId="0" applyFont="1" applyBorder="1" applyProtection="1">
      <alignment horizontal="center" vertical="center" wrapText="1"/>
    </xf>
    <xf numFmtId="0" fontId="372" fillId="0" borderId="9" xfId="0" applyFont="1" applyBorder="1" applyProtection="1">
      <alignment horizontal="center" vertical="center" wrapText="1"/>
    </xf>
    <xf numFmtId="0" fontId="373" fillId="0" borderId="9" xfId="0" applyFont="1" applyBorder="1" applyProtection="1">
      <alignment horizontal="center" vertical="center" wrapText="1"/>
    </xf>
    <xf numFmtId="0" fontId="374" fillId="0" borderId="9" xfId="0" applyFont="1" applyBorder="1" applyProtection="1">
      <alignment horizontal="center" vertical="center" wrapText="1"/>
    </xf>
    <xf numFmtId="0" fontId="375" fillId="0" borderId="9" xfId="0" applyFont="1" applyBorder="1" applyProtection="1">
      <alignment horizontal="center" vertical="center" wrapText="1"/>
    </xf>
    <xf numFmtId="0" fontId="376" fillId="0" borderId="9" xfId="0" applyFont="1" applyBorder="1" applyProtection="1">
      <alignment horizontal="center" vertical="center" wrapText="1"/>
    </xf>
    <xf numFmtId="0" fontId="377" fillId="0" borderId="9" xfId="0" applyFont="1" applyBorder="1" applyProtection="1">
      <alignment horizontal="center" vertical="center" wrapText="1"/>
    </xf>
    <xf numFmtId="0" fontId="378" fillId="0" borderId="9" xfId="0" applyFont="1" applyBorder="1" applyProtection="1">
      <alignment horizontal="center" vertical="center" wrapText="1"/>
    </xf>
    <xf numFmtId="0" fontId="379" fillId="0" borderId="9" xfId="0" applyFont="1" applyBorder="1" applyProtection="1">
      <alignment horizontal="center" vertical="center" wrapText="1"/>
    </xf>
    <xf numFmtId="0" fontId="380" fillId="0" borderId="9" xfId="0" applyFont="1" applyBorder="1" applyProtection="1">
      <alignment horizontal="center" vertical="center" wrapText="1"/>
    </xf>
    <xf numFmtId="0" fontId="381" fillId="0" borderId="9" xfId="0" applyFont="1" applyBorder="1" applyProtection="1">
      <alignment horizontal="center" vertical="center" wrapText="1"/>
    </xf>
    <xf numFmtId="0" fontId="382" fillId="0" borderId="9" xfId="0" applyFont="1" applyBorder="1" applyProtection="1">
      <alignment horizontal="center" vertical="center" wrapText="1"/>
    </xf>
    <xf numFmtId="0" fontId="383" fillId="0" borderId="9" xfId="0" applyFont="1" applyBorder="1" applyProtection="1">
      <alignment horizontal="center" vertical="center" wrapText="1"/>
    </xf>
    <xf numFmtId="0" fontId="384" fillId="0" borderId="9" xfId="0" applyFont="1" applyBorder="1" applyProtection="1">
      <alignment horizontal="center" vertical="center" wrapText="1"/>
    </xf>
    <xf numFmtId="0" fontId="385" fillId="0" borderId="9" xfId="0" applyFont="1" applyBorder="1" applyProtection="1">
      <alignment horizontal="center" vertical="center" wrapText="1"/>
    </xf>
    <xf numFmtId="0" fontId="386" fillId="0" borderId="9" xfId="0" applyFont="1" applyBorder="1" applyProtection="1">
      <alignment horizontal="center" vertical="center" wrapText="1"/>
    </xf>
    <xf numFmtId="0" fontId="387" fillId="0" borderId="9" xfId="0" applyFont="1" applyBorder="1" applyProtection="1">
      <alignment horizontal="center" vertical="center" wrapText="1"/>
    </xf>
    <xf numFmtId="0" fontId="388" fillId="0" borderId="9" xfId="0" applyFont="1" applyBorder="1" applyProtection="1">
      <alignment horizontal="center" vertical="center" wrapText="1"/>
    </xf>
    <xf numFmtId="0" fontId="389" fillId="0" borderId="9" xfId="0" applyFont="1" applyBorder="1" applyProtection="1">
      <alignment horizontal="center" vertical="center" wrapText="1"/>
    </xf>
    <xf numFmtId="0" fontId="390" fillId="0" borderId="9" xfId="0" applyFont="1" applyBorder="1" applyProtection="1">
      <alignment horizontal="center" vertical="center" wrapText="1"/>
    </xf>
    <xf numFmtId="0" fontId="391" fillId="0" borderId="9" xfId="0" applyFont="1" applyBorder="1" applyProtection="1">
      <alignment horizontal="center" vertical="center" wrapText="1"/>
    </xf>
    <xf numFmtId="0" fontId="392" fillId="0" borderId="9" xfId="0" applyFont="1" applyBorder="1" applyProtection="1">
      <alignment horizontal="center" vertical="center" wrapText="1"/>
    </xf>
    <xf numFmtId="0" fontId="393" fillId="0" borderId="9" xfId="0" applyFont="1" applyBorder="1" applyProtection="1">
      <alignment horizontal="center" vertical="center" wrapText="1"/>
    </xf>
    <xf numFmtId="0" fontId="394" fillId="0" borderId="9" xfId="0" applyFont="1" applyBorder="1" applyProtection="1">
      <alignment horizontal="center" vertical="center" wrapText="1"/>
    </xf>
    <xf numFmtId="0" fontId="395" fillId="0" borderId="9" xfId="0" applyFont="1" applyBorder="1" applyProtection="1">
      <alignment horizontal="center" vertical="center" wrapText="1"/>
    </xf>
    <xf numFmtId="0" fontId="396" fillId="0" borderId="9" xfId="0" applyFont="1" applyBorder="1" applyProtection="1">
      <alignment horizontal="center" vertical="center" wrapText="1"/>
    </xf>
    <xf numFmtId="0" fontId="397" fillId="0" borderId="9" xfId="0" applyFont="1" applyBorder="1" applyProtection="1">
      <alignment horizontal="center" vertical="center" wrapText="1"/>
    </xf>
    <xf numFmtId="0" fontId="398" fillId="0" borderId="9" xfId="0" applyFont="1" applyBorder="1" applyProtection="1">
      <alignment horizontal="center" vertical="center" wrapText="1"/>
    </xf>
    <xf numFmtId="0" fontId="399" fillId="0" borderId="9" xfId="0" applyFont="1" applyBorder="1" applyProtection="1">
      <alignment horizontal="center" vertical="center" wrapText="1"/>
    </xf>
    <xf numFmtId="0" fontId="400" fillId="0" borderId="9" xfId="0" applyFont="1" applyBorder="1" applyProtection="1">
      <alignment horizontal="center" vertical="center" wrapText="1"/>
    </xf>
    <xf numFmtId="0" fontId="401" fillId="0" borderId="9" xfId="0" applyFont="1" applyBorder="1" applyProtection="1">
      <alignment horizontal="center" vertical="center" wrapText="1"/>
    </xf>
    <xf numFmtId="0" fontId="402" fillId="0" borderId="9" xfId="0" applyFont="1" applyBorder="1" applyProtection="1">
      <alignment horizontal="center" vertical="center" wrapText="1"/>
    </xf>
    <xf numFmtId="0" fontId="403" fillId="0" borderId="9" xfId="0" applyFont="1" applyBorder="1" applyProtection="1">
      <alignment horizontal="center" vertical="center" wrapText="1"/>
    </xf>
    <xf numFmtId="0" fontId="404" fillId="0" borderId="9" xfId="0" applyFont="1" applyBorder="1" applyProtection="1">
      <alignment horizontal="center" vertical="center" wrapText="1"/>
    </xf>
    <xf numFmtId="0" fontId="405" fillId="0" borderId="9" xfId="0" applyFont="1" applyBorder="1" applyProtection="1">
      <alignment horizontal="center" vertical="center" wrapText="1"/>
    </xf>
    <xf numFmtId="0" fontId="406" fillId="0" borderId="9" xfId="0" applyFont="1" applyBorder="1" applyProtection="1">
      <alignment horizontal="center" vertical="center" wrapText="1"/>
    </xf>
    <xf numFmtId="0" fontId="407" fillId="0" borderId="9" xfId="0" applyFont="1" applyBorder="1" applyProtection="1">
      <alignment horizontal="center" vertical="center" wrapText="1"/>
    </xf>
    <xf numFmtId="0" fontId="408" fillId="0" borderId="9" xfId="0" applyFont="1" applyBorder="1" applyProtection="1">
      <alignment horizontal="center" vertical="center" wrapText="1"/>
    </xf>
    <xf numFmtId="0" fontId="409" fillId="0" borderId="9" xfId="0" applyFont="1" applyBorder="1" applyProtection="1">
      <alignment horizontal="center" vertical="center" wrapText="1"/>
    </xf>
    <xf numFmtId="0" fontId="410" fillId="0" borderId="9" xfId="0" applyFont="1" applyBorder="1" applyProtection="1">
      <alignment horizontal="center" vertical="center" wrapText="1"/>
    </xf>
    <xf numFmtId="0" fontId="411" fillId="0" borderId="9" xfId="0" applyFont="1" applyBorder="1" applyProtection="1">
      <alignment horizontal="center" vertical="center" wrapText="1"/>
    </xf>
    <xf numFmtId="0" fontId="412" fillId="0" borderId="9" xfId="0" applyFont="1" applyBorder="1" applyProtection="1">
      <alignment horizontal="center" vertical="center" wrapText="1"/>
    </xf>
    <xf numFmtId="0" fontId="413" fillId="0" borderId="9" xfId="0" applyFont="1" applyBorder="1" applyProtection="1">
      <alignment horizontal="center" vertical="center" wrapText="1"/>
    </xf>
    <xf numFmtId="0" fontId="414" fillId="0" borderId="9" xfId="0" applyFont="1" applyBorder="1" applyProtection="1">
      <alignment horizontal="center" vertical="center" wrapText="1"/>
    </xf>
    <xf numFmtId="0" fontId="415" fillId="0" borderId="9" xfId="0" applyFont="1" applyBorder="1" applyProtection="1">
      <alignment horizontal="center" vertical="center" wrapText="1"/>
    </xf>
    <xf numFmtId="0" fontId="416" fillId="0" borderId="9" xfId="0" applyFont="1" applyBorder="1" applyProtection="1">
      <alignment horizontal="center" vertical="center" wrapText="1"/>
    </xf>
    <xf numFmtId="0" fontId="417" fillId="0" borderId="9" xfId="0" applyFont="1" applyBorder="1" applyProtection="1">
      <alignment horizontal="center" vertical="center" wrapText="1"/>
    </xf>
    <xf numFmtId="0" fontId="418" fillId="0" borderId="9" xfId="0" applyFont="1" applyBorder="1" applyProtection="1">
      <alignment horizontal="center" vertical="center" wrapText="1"/>
    </xf>
    <xf numFmtId="0" fontId="419" fillId="0" borderId="9" xfId="0" applyFont="1" applyBorder="1" applyProtection="1">
      <alignment horizontal="center" vertical="center" wrapText="1"/>
    </xf>
    <xf numFmtId="0" fontId="420" fillId="0" borderId="9" xfId="0" applyFont="1" applyBorder="1" applyProtection="1">
      <alignment horizontal="center" vertical="center" wrapText="1"/>
    </xf>
    <xf numFmtId="0" fontId="421" fillId="0" borderId="9" xfId="0" applyFont="1" applyBorder="1" applyProtection="1">
      <alignment horizontal="center" vertical="center" wrapText="1"/>
    </xf>
    <xf numFmtId="0" fontId="422" fillId="0" borderId="9" xfId="0" applyFont="1" applyBorder="1" applyProtection="1">
      <alignment horizontal="center" vertical="center" wrapText="1"/>
    </xf>
    <xf numFmtId="0" fontId="423" fillId="0" borderId="9" xfId="0" applyFont="1" applyBorder="1" applyProtection="1">
      <alignment horizontal="center" vertical="center" wrapText="1"/>
    </xf>
    <xf numFmtId="0" fontId="424" fillId="0" borderId="9" xfId="0" applyFont="1" applyBorder="1" applyProtection="1">
      <alignment horizontal="center" vertical="center" wrapText="1"/>
    </xf>
    <xf numFmtId="0" fontId="425" fillId="0" borderId="9" xfId="0" applyFont="1" applyBorder="1" applyProtection="1">
      <alignment horizontal="center" vertical="center" wrapText="1"/>
    </xf>
    <xf numFmtId="0" fontId="426" fillId="0" borderId="9" xfId="0" applyFont="1" applyBorder="1" applyProtection="1">
      <alignment horizontal="center" vertical="center" wrapText="1"/>
    </xf>
    <xf numFmtId="0" fontId="427" fillId="0" borderId="9" xfId="0" applyFont="1" applyBorder="1" applyProtection="1">
      <alignment horizontal="center" vertical="center" wrapText="1"/>
    </xf>
    <xf numFmtId="0" fontId="428" fillId="0" borderId="9" xfId="0" applyFont="1" applyBorder="1" applyProtection="1">
      <alignment horizontal="center" vertical="center" wrapText="1"/>
    </xf>
    <xf numFmtId="0" fontId="429" fillId="0" borderId="9" xfId="0" applyFont="1" applyBorder="1" applyProtection="1">
      <alignment horizontal="center" vertical="center" wrapText="1"/>
    </xf>
    <xf numFmtId="0" fontId="430" fillId="7" borderId="9" xfId="0" applyFont="1" applyFill="1" applyBorder="1" applyProtection="1">
      <alignment horizontal="center" vertical="center" wrapText="1"/>
    </xf>
    <xf numFmtId="0" fontId="431" fillId="0" borderId="9" xfId="0" applyFont="1" applyBorder="1" applyProtection="1">
      <alignment horizontal="center" vertical="center" wrapText="1"/>
    </xf>
    <xf numFmtId="0" fontId="432" fillId="0" borderId="9" xfId="0" applyFont="1" applyBorder="1" applyProtection="1">
      <alignment horizontal="center" vertical="center" wrapText="1"/>
    </xf>
    <xf numFmtId="0" fontId="433" fillId="0" borderId="9" xfId="0" applyFont="1" applyBorder="1" applyProtection="1">
      <alignment horizontal="center" vertical="center" wrapText="1"/>
    </xf>
    <xf numFmtId="0" fontId="434" fillId="0" borderId="9" xfId="0" applyFont="1" applyBorder="1" applyProtection="1">
      <alignment horizontal="center" vertical="center" wrapText="1"/>
    </xf>
    <xf numFmtId="0" fontId="435" fillId="0" borderId="1" xfId="0" applyFont="1" applyBorder="1" applyProtection="1">
      <alignment vertical="center" wrapText="1"/>
    </xf>
    <xf numFmtId="0" fontId="436" fillId="0" borderId="1" xfId="0" applyFont="1" applyBorder="1" applyProtection="1">
      <alignment vertical="center" wrapText="1"/>
    </xf>
    <xf numFmtId="0" fontId="437" fillId="0" borderId="1" xfId="0" applyFont="1" applyBorder="1" applyProtection="1">
      <alignment vertical="center" wrapText="1"/>
    </xf>
    <xf numFmtId="0" fontId="438" fillId="0" borderId="1" xfId="0" applyFont="1" applyBorder="1" applyProtection="1">
      <alignment vertical="center" wrapText="1"/>
    </xf>
    <xf numFmtId="0" fontId="439" fillId="0" borderId="9" xfId="0" applyFont="1" applyBorder="1" applyProtection="1">
      <alignment horizontal="center" vertical="center" wrapText="1"/>
    </xf>
    <xf numFmtId="0" fontId="440" fillId="0" borderId="9" xfId="0" applyFont="1" applyBorder="1" applyProtection="1">
      <alignment horizontal="center" vertical="center" wrapText="1"/>
    </xf>
    <xf numFmtId="0" fontId="441" fillId="0" borderId="9" xfId="0" applyFont="1" applyBorder="1" applyProtection="1">
      <alignment horizontal="center" vertical="center" wrapText="1"/>
    </xf>
    <xf numFmtId="0" fontId="442" fillId="0" borderId="9" xfId="0" applyFont="1" applyBorder="1" applyProtection="1">
      <alignment horizontal="center" vertical="center" wrapText="1"/>
    </xf>
    <xf numFmtId="0" fontId="443" fillId="0" borderId="9" xfId="0" applyFont="1" applyBorder="1" applyProtection="1">
      <alignment horizontal="center" vertical="center" wrapText="1"/>
    </xf>
    <xf numFmtId="0" fontId="444" fillId="0" borderId="1" xfId="0" applyFont="1" applyBorder="1" applyProtection="1">
      <alignment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vertical="center" wrapText="1"/>
    </xf>
    <xf numFmtId="0" fontId="448" fillId="0" borderId="1" xfId="0" applyFont="1" applyBorder="1" applyProtection="1">
      <alignment vertical="center" wrapText="1"/>
    </xf>
    <xf numFmtId="0" fontId="449" fillId="0" borderId="1" xfId="0" applyFont="1" applyBorder="1" applyProtection="1">
      <alignment vertical="center" wrapText="1"/>
    </xf>
    <xf numFmtId="0" fontId="450" fillId="0" borderId="1" xfId="0" applyFont="1" applyBorder="1" applyProtection="1">
      <alignment vertical="center" wrapText="1"/>
    </xf>
    <xf numFmtId="0" fontId="451" fillId="0" borderId="1" xfId="0" applyFont="1" applyBorder="1" applyProtection="1">
      <alignment vertical="center" wrapText="1"/>
    </xf>
    <xf numFmtId="0" fontId="452" fillId="0" borderId="1" xfId="0" applyFont="1" applyBorder="1" applyProtection="1">
      <alignment vertical="center" wrapText="1"/>
    </xf>
    <xf numFmtId="0" fontId="453" fillId="7" borderId="1" xfId="0" applyFont="1" applyFill="1" applyBorder="1" applyProtection="1">
      <alignment horizontal="center" vertical="center" wrapText="1"/>
    </xf>
    <xf numFmtId="0" fontId="454" fillId="7" borderId="20" xfId="0" applyFont="1" applyFill="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0" borderId="1" xfId="0" applyFont="1" applyBorder="1" applyProtection="1">
      <alignment horizontal="center" vertical="center" wrapText="1"/>
    </xf>
    <xf numFmtId="0" fontId="464" fillId="0" borderId="1" xfId="0" applyFont="1" applyBorder="1" applyProtection="1">
      <alignment horizontal="center" vertical="center" wrapText="1"/>
    </xf>
    <xf numFmtId="0" fontId="465" fillId="7" borderId="0" xfId="0" applyFont="1" applyFill="1">
      <alignment horizontal="center" vertical="center" wrapText="1"/>
    </xf>
    <xf numFmtId="0" fontId="466" fillId="0" borderId="1" xfId="0" applyFont="1" applyBorder="1" applyProtection="1">
      <alignment horizontal="center" vertical="center" wrapText="1"/>
    </xf>
    <xf numFmtId="0" fontId="467" fillId="7" borderId="20" xfId="0" applyFont="1" applyFill="1" applyBorder="1" applyProtection="1">
      <alignment horizontal="center"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horizontal="center"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center"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center" vertical="center" wrapText="1"/>
    </xf>
    <xf numFmtId="0" fontId="484" fillId="7" borderId="20" xfId="0" applyFont="1" applyFill="1" applyBorder="1" applyProtection="1">
      <alignment horizontal="center"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center" vertical="center" wrapText="1"/>
    </xf>
    <xf numFmtId="0" fontId="487" fillId="0" borderId="1" xfId="0" applyFont="1" applyBorder="1" applyProtection="1">
      <alignment horizontal="center"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center"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center"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center"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center"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center"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0" borderId="1" xfId="0" applyFont="1" applyBorder="1" applyProtection="1">
      <alignment horizontal="center" vertical="center" wrapText="1"/>
    </xf>
    <xf numFmtId="0" fontId="516" fillId="0" borderId="1" xfId="0" applyFont="1" applyBorder="1" applyProtection="1">
      <alignment horizontal="center" vertical="center" wrapText="1"/>
    </xf>
    <xf numFmtId="0" fontId="517" fillId="0" borderId="1" xfId="0" applyFont="1" applyBorder="1" applyProtection="1">
      <alignment horizontal="center" vertical="center" wrapText="1"/>
    </xf>
    <xf numFmtId="0" fontId="518" fillId="0" borderId="1" xfId="0" applyFont="1" applyBorder="1" applyProtection="1">
      <alignment horizontal="center" vertical="center" wrapText="1"/>
    </xf>
    <xf numFmtId="0" fontId="519" fillId="0" borderId="1" xfId="0" applyFont="1" applyBorder="1" applyProtection="1">
      <alignment horizontal="center" vertical="center" wrapText="1"/>
    </xf>
    <xf numFmtId="0" fontId="520" fillId="0" borderId="1" xfId="0" applyFont="1" applyBorder="1" applyProtection="1">
      <alignment horizontal="center" vertical="center" wrapText="1"/>
    </xf>
    <xf numFmtId="0" fontId="521" fillId="0" borderId="1" xfId="0" applyFont="1" applyBorder="1" applyProtection="1">
      <alignment horizontal="center" vertical="center" wrapText="1"/>
    </xf>
    <xf numFmtId="0" fontId="522" fillId="0" borderId="1" xfId="0" applyFont="1" applyBorder="1" applyProtection="1">
      <alignment horizontal="center" vertical="center" wrapText="1"/>
    </xf>
    <xf numFmtId="0" fontId="523" fillId="0" borderId="1" xfId="0" applyFont="1" applyBorder="1" applyProtection="1">
      <alignment horizontal="center" vertical="center" wrapText="1"/>
    </xf>
    <xf numFmtId="0" fontId="524" fillId="0" borderId="1" xfId="0" applyFont="1" applyBorder="1" applyProtection="1">
      <alignment horizontal="center" vertical="center" wrapText="1"/>
    </xf>
    <xf numFmtId="0" fontId="525" fillId="0" borderId="1" xfId="0" applyFont="1" applyBorder="1" applyProtection="1">
      <alignment horizontal="center" vertical="center" wrapText="1"/>
    </xf>
    <xf numFmtId="0" fontId="526" fillId="0" borderId="1" xfId="0" applyFont="1" applyBorder="1" applyProtection="1">
      <alignment horizontal="center" vertical="center" wrapText="1"/>
    </xf>
    <xf numFmtId="0" fontId="527" fillId="0" borderId="1" xfId="0" applyFont="1" applyBorder="1" applyProtection="1">
      <alignment horizontal="center" vertical="center" wrapText="1"/>
    </xf>
    <xf numFmtId="0" fontId="528" fillId="7" borderId="0" xfId="0" applyFont="1" applyFill="1">
      <alignment horizontal="center" vertical="center" wrapText="1"/>
    </xf>
    <xf numFmtId="0" fontId="529" fillId="0" borderId="1" xfId="0" applyFont="1" applyBorder="1" applyProtection="1">
      <alignment horizontal="center" vertical="center" wrapText="1"/>
    </xf>
    <xf numFmtId="0" fontId="530" fillId="0" borderId="1" xfId="0" applyFont="1" applyBorder="1" applyProtection="1">
      <alignment horizontal="center" vertical="center" wrapText="1"/>
    </xf>
    <xf numFmtId="0" fontId="531" fillId="0" borderId="1" xfId="0" applyFont="1" applyBorder="1" applyProtection="1">
      <alignment horizontal="center" vertical="center" wrapText="1"/>
    </xf>
    <xf numFmtId="0" fontId="532" fillId="0" borderId="1" xfId="0" applyFont="1" applyBorder="1" applyProtection="1">
      <alignment horizontal="center" vertical="center" wrapText="1"/>
    </xf>
    <xf numFmtId="0" fontId="533" fillId="0" borderId="1" xfId="0" applyFont="1" applyBorder="1" applyProtection="1">
      <alignment horizontal="center" vertical="center" wrapText="1"/>
    </xf>
    <xf numFmtId="0" fontId="534" fillId="0" borderId="1" xfId="0" applyFont="1" applyBorder="1" applyProtection="1">
      <alignment horizontal="center" vertical="center" wrapText="1"/>
    </xf>
    <xf numFmtId="0" fontId="535" fillId="0" borderId="1" xfId="0" applyFont="1" applyBorder="1" applyProtection="1">
      <alignment horizontal="center" vertical="center" wrapText="1"/>
    </xf>
    <xf numFmtId="0" fontId="536" fillId="0" borderId="1" xfId="0" applyFont="1" applyBorder="1" applyProtection="1">
      <alignment horizontal="center" vertical="center" wrapText="1"/>
    </xf>
    <xf numFmtId="0" fontId="537" fillId="0" borderId="1" xfId="0" applyFont="1" applyBorder="1" applyProtection="1">
      <alignment horizontal="center" vertical="center" wrapText="1"/>
    </xf>
    <xf numFmtId="0" fontId="538" fillId="0" borderId="1" xfId="0" applyFont="1" applyBorder="1" applyProtection="1">
      <alignment horizontal="center" vertical="center" wrapText="1"/>
    </xf>
    <xf numFmtId="0" fontId="539" fillId="0" borderId="1" xfId="0" applyFont="1" applyBorder="1" applyProtection="1">
      <alignment horizontal="center" vertical="center" wrapText="1"/>
    </xf>
    <xf numFmtId="0" fontId="540" fillId="0" borderId="1" xfId="0" applyFont="1" applyBorder="1" applyProtection="1">
      <alignment horizontal="center" vertical="center" wrapText="1"/>
    </xf>
    <xf numFmtId="0" fontId="541" fillId="0" borderId="1" xfId="0" applyFont="1" applyBorder="1" applyProtection="1">
      <alignment horizontal="center" vertical="center" wrapText="1"/>
    </xf>
    <xf numFmtId="0" fontId="542" fillId="0" borderId="1" xfId="0" applyFont="1" applyBorder="1" applyProtection="1">
      <alignment horizontal="center" vertical="center" wrapText="1"/>
    </xf>
    <xf numFmtId="0" fontId="543" fillId="0" borderId="1" xfId="0" applyFont="1" applyBorder="1" applyProtection="1">
      <alignment horizontal="center" vertical="center" wrapText="1"/>
    </xf>
    <xf numFmtId="0" fontId="544" fillId="0" borderId="1" xfId="0" applyFont="1" applyBorder="1" applyProtection="1">
      <alignment horizontal="center" vertical="center" wrapText="1"/>
    </xf>
    <xf numFmtId="0" fontId="545" fillId="38" borderId="1" xfId="0" applyFont="1" applyFill="1" applyBorder="1" applyProtection="1">
      <alignment horizontal="center" vertical="center" wrapText="1"/>
    </xf>
    <xf numFmtId="0" fontId="546" fillId="0" borderId="1" xfId="0" applyFont="1" applyBorder="1" applyProtection="1">
      <alignment horizontal="center" vertical="center" wrapText="1"/>
    </xf>
    <xf numFmtId="0" fontId="547" fillId="0" borderId="1" xfId="0" applyFont="1" applyBorder="1" applyProtection="1">
      <alignment horizontal="center" vertical="center" wrapText="1"/>
    </xf>
    <xf numFmtId="0" fontId="548" fillId="0" borderId="1" xfId="0" applyFont="1" applyBorder="1" applyProtection="1">
      <alignment horizontal="center" vertical="center" wrapText="1"/>
    </xf>
    <xf numFmtId="0" fontId="549" fillId="0" borderId="1" xfId="0" applyFont="1" applyBorder="1" applyProtection="1">
      <alignment horizontal="center" vertical="center" wrapText="1"/>
    </xf>
    <xf numFmtId="0" fontId="550" fillId="0" borderId="1" xfId="0" applyFont="1" applyBorder="1" applyProtection="1">
      <alignment horizontal="center" vertical="center" wrapText="1"/>
    </xf>
    <xf numFmtId="0" fontId="551" fillId="0" borderId="1" xfId="0" applyFont="1" applyBorder="1" applyProtection="1">
      <alignment horizontal="center" vertical="center" wrapText="1"/>
    </xf>
    <xf numFmtId="0" fontId="552" fillId="0" borderId="1" xfId="0" applyFont="1" applyBorder="1" applyProtection="1">
      <alignment horizontal="center" vertical="center" wrapText="1"/>
    </xf>
    <xf numFmtId="0" fontId="553" fillId="0" borderId="1" xfId="0" applyFont="1" applyBorder="1" applyProtection="1">
      <alignment horizontal="center" vertical="center" wrapText="1"/>
    </xf>
    <xf numFmtId="0" fontId="554" fillId="0" borderId="1" xfId="0" applyFont="1" applyBorder="1" applyProtection="1">
      <alignment horizontal="center" vertical="center" wrapText="1"/>
    </xf>
    <xf numFmtId="0" fontId="555" fillId="0" borderId="1" xfId="0" applyFont="1" applyBorder="1" applyProtection="1">
      <alignment horizontal="center" vertical="center" wrapText="1"/>
    </xf>
    <xf numFmtId="0" fontId="556" fillId="0" borderId="1" xfId="0" applyFont="1" applyBorder="1" applyProtection="1">
      <alignment horizontal="center" vertical="center" wrapText="1"/>
    </xf>
    <xf numFmtId="0" fontId="557" fillId="0" borderId="1" xfId="0" applyFont="1" applyBorder="1" applyProtection="1">
      <alignment horizontal="center" vertical="center" wrapText="1"/>
    </xf>
    <xf numFmtId="0" fontId="558" fillId="0" borderId="1" xfId="0" applyFont="1" applyBorder="1" applyProtection="1">
      <alignment horizontal="center" vertical="center" wrapText="1"/>
    </xf>
    <xf numFmtId="0" fontId="559" fillId="0" borderId="1" xfId="0" applyFont="1" applyBorder="1" applyProtection="1">
      <alignment horizontal="center" vertical="center" wrapText="1"/>
    </xf>
    <xf numFmtId="0" fontId="560" fillId="0" borderId="1" xfId="0" applyFont="1" applyBorder="1" applyProtection="1">
      <alignment horizontal="center" vertical="center" wrapText="1"/>
    </xf>
    <xf numFmtId="0" fontId="561" fillId="0" borderId="1" xfId="0" applyFont="1" applyBorder="1" applyProtection="1">
      <alignment horizontal="center" vertical="center" wrapText="1"/>
    </xf>
    <xf numFmtId="0" fontId="562" fillId="0" borderId="1" xfId="0" applyFont="1" applyBorder="1" applyProtection="1">
      <alignment horizontal="center" vertical="center" wrapText="1"/>
    </xf>
    <xf numFmtId="0" fontId="563" fillId="0" borderId="1" xfId="0" applyFont="1" applyBorder="1" applyProtection="1">
      <alignment horizontal="center" vertical="center" wrapText="1"/>
    </xf>
    <xf numFmtId="0" fontId="564" fillId="0" borderId="1" xfId="0" applyFont="1" applyBorder="1" applyProtection="1">
      <alignment horizontal="center" vertical="center" wrapText="1"/>
    </xf>
    <xf numFmtId="0" fontId="565" fillId="0" borderId="1" xfId="0" applyFont="1" applyBorder="1" applyProtection="1">
      <alignment horizontal="center" vertical="center" wrapText="1"/>
    </xf>
    <xf numFmtId="0" fontId="566" fillId="0" borderId="1" xfId="0" applyFont="1" applyBorder="1" applyProtection="1">
      <alignment horizontal="center" vertical="center" wrapText="1"/>
    </xf>
    <xf numFmtId="0" fontId="567" fillId="0" borderId="1" xfId="0" applyFont="1" applyBorder="1" applyProtection="1">
      <alignment horizontal="center" vertical="center" wrapText="1"/>
    </xf>
    <xf numFmtId="0" fontId="568" fillId="0" borderId="1" xfId="0" applyFont="1" applyBorder="1" applyProtection="1">
      <alignment horizontal="center" vertical="center" wrapText="1"/>
    </xf>
    <xf numFmtId="0" fontId="569" fillId="0" borderId="1" xfId="0" applyFont="1" applyBorder="1" applyProtection="1">
      <alignment horizontal="center" vertical="center" wrapText="1"/>
    </xf>
    <xf numFmtId="0" fontId="570" fillId="0" borderId="1" xfId="0" applyFont="1" applyBorder="1" applyProtection="1">
      <alignment horizontal="center" vertical="center" wrapText="1"/>
    </xf>
    <xf numFmtId="0" fontId="571" fillId="0" borderId="1" xfId="0" applyFont="1" applyBorder="1" applyProtection="1">
      <alignment horizontal="center" vertical="center" wrapText="1"/>
    </xf>
    <xf numFmtId="0" fontId="572" fillId="0" borderId="1" xfId="0" applyFont="1" applyBorder="1" applyProtection="1">
      <alignment horizontal="center" vertical="center" wrapText="1"/>
    </xf>
    <xf numFmtId="0" fontId="573" fillId="0" borderId="1" xfId="0" applyFont="1" applyBorder="1" applyProtection="1">
      <alignment horizontal="center" vertical="center" wrapText="1"/>
    </xf>
    <xf numFmtId="0" fontId="574" fillId="0" borderId="1" xfId="0" applyFont="1" applyBorder="1" applyProtection="1">
      <alignment horizontal="center" vertical="center" wrapText="1"/>
    </xf>
    <xf numFmtId="0" fontId="575" fillId="0" borderId="1" xfId="0" applyFont="1" applyBorder="1" applyProtection="1">
      <alignment horizontal="center" vertical="center" wrapText="1"/>
    </xf>
    <xf numFmtId="0" fontId="576" fillId="7" borderId="0" xfId="0" applyFont="1" applyFill="1">
      <alignment horizontal="center" vertical="center" wrapText="1"/>
    </xf>
    <xf numFmtId="0" fontId="577" fillId="0" borderId="1" xfId="0" applyFont="1" applyBorder="1" applyProtection="1">
      <alignment horizontal="center" vertical="center" wrapText="1"/>
    </xf>
    <xf numFmtId="0" fontId="578" fillId="0" borderId="1" xfId="0" applyFont="1" applyBorder="1" applyProtection="1">
      <alignment horizontal="center" vertical="center" wrapText="1"/>
    </xf>
    <xf numFmtId="0" fontId="579" fillId="0" borderId="1" xfId="0" applyFont="1" applyBorder="1" applyProtection="1">
      <alignment horizontal="center" vertical="center" wrapText="1"/>
    </xf>
    <xf numFmtId="0" fontId="580" fillId="0" borderId="1" xfId="0" applyFont="1" applyBorder="1" applyProtection="1">
      <alignment horizontal="center" vertical="center" wrapText="1"/>
    </xf>
    <xf numFmtId="0" fontId="581" fillId="0" borderId="1" xfId="0" applyFont="1" applyBorder="1" applyProtection="1">
      <alignment horizontal="center" vertical="center" wrapText="1"/>
    </xf>
    <xf numFmtId="0" fontId="582" fillId="0" borderId="1" xfId="0" applyFont="1" applyBorder="1" applyProtection="1">
      <alignment horizontal="center" vertical="center" wrapText="1"/>
    </xf>
    <xf numFmtId="0" fontId="583" fillId="0" borderId="1" xfId="0" applyFont="1" applyBorder="1" applyProtection="1">
      <alignment horizontal="center" vertical="center" wrapText="1"/>
    </xf>
    <xf numFmtId="0" fontId="584" fillId="0" borderId="1" xfId="0" applyFont="1" applyBorder="1" applyProtection="1">
      <alignment horizontal="center" vertical="center" wrapText="1"/>
    </xf>
    <xf numFmtId="0" fontId="585" fillId="0" borderId="1" xfId="0" applyFont="1" applyBorder="1" applyProtection="1">
      <alignment horizontal="center" vertical="center" wrapText="1"/>
    </xf>
    <xf numFmtId="0" fontId="586" fillId="0" borderId="1" xfId="0" applyFont="1" applyBorder="1" applyProtection="1">
      <alignment horizontal="center" vertical="center" wrapText="1"/>
    </xf>
    <xf numFmtId="0" fontId="587" fillId="0" borderId="1" xfId="0" applyFont="1" applyBorder="1" applyProtection="1">
      <alignment horizontal="center" vertical="center" wrapText="1"/>
    </xf>
    <xf numFmtId="0" fontId="588" fillId="0" borderId="1" xfId="0" applyFont="1" applyBorder="1" applyProtection="1">
      <alignment horizontal="center" vertical="center" wrapText="1"/>
    </xf>
    <xf numFmtId="0" fontId="589" fillId="0" borderId="1" xfId="0" applyFont="1" applyBorder="1" applyProtection="1">
      <alignment horizontal="center" vertical="center" wrapText="1"/>
    </xf>
    <xf numFmtId="0" fontId="590" fillId="0" borderId="1" xfId="0" applyFont="1" applyBorder="1" applyProtection="1">
      <alignment horizontal="center" vertical="center" wrapText="1"/>
    </xf>
    <xf numFmtId="0" fontId="591" fillId="0" borderId="1" xfId="0" applyFont="1" applyBorder="1" applyProtection="1">
      <alignment horizontal="center" vertical="center" wrapText="1"/>
    </xf>
    <xf numFmtId="0" fontId="592" fillId="0" borderId="1" xfId="0" applyFont="1" applyBorder="1" applyProtection="1">
      <alignment horizontal="center" vertical="center" wrapText="1"/>
    </xf>
    <xf numFmtId="0" fontId="593" fillId="0" borderId="1" xfId="0" applyFont="1" applyBorder="1" applyProtection="1">
      <alignment horizontal="center" vertical="center" wrapText="1"/>
    </xf>
    <xf numFmtId="0" fontId="594" fillId="0" borderId="1" xfId="0" applyFont="1" applyBorder="1" applyProtection="1">
      <alignment horizontal="center" vertical="center" wrapText="1"/>
    </xf>
    <xf numFmtId="0" fontId="595" fillId="0" borderId="1" xfId="0" applyFont="1" applyBorder="1" applyProtection="1">
      <alignment horizontal="center" vertical="center" wrapText="1"/>
    </xf>
    <xf numFmtId="0" fontId="596" fillId="0" borderId="1" xfId="0" applyFont="1" applyBorder="1" applyProtection="1">
      <alignment horizontal="center" vertical="center" wrapText="1"/>
    </xf>
    <xf numFmtId="0" fontId="597" fillId="0" borderId="1" xfId="0" applyFont="1" applyBorder="1" applyProtection="1">
      <alignment horizontal="center" vertical="center" wrapText="1"/>
    </xf>
    <xf numFmtId="0" fontId="598" fillId="0" borderId="1" xfId="0" applyFont="1" applyBorder="1" applyProtection="1">
      <alignment horizontal="center" vertical="center" wrapText="1"/>
    </xf>
    <xf numFmtId="0" fontId="599" fillId="0" borderId="1" xfId="0" applyFont="1" applyBorder="1" applyProtection="1">
      <alignment horizontal="center" vertical="center" wrapText="1"/>
    </xf>
    <xf numFmtId="0" fontId="600" fillId="0" borderId="1" xfId="0" applyFont="1" applyBorder="1" applyProtection="1">
      <alignment horizontal="center" vertical="center" wrapText="1"/>
    </xf>
    <xf numFmtId="0" fontId="601" fillId="0" borderId="1" xfId="0" applyFont="1" applyBorder="1" applyProtection="1">
      <alignment horizontal="center" vertical="center" wrapText="1"/>
    </xf>
    <xf numFmtId="0" fontId="602" fillId="0" borderId="1" xfId="0" applyFont="1" applyBorder="1" applyProtection="1">
      <alignment horizontal="center" vertical="center" wrapText="1"/>
    </xf>
    <xf numFmtId="0" fontId="603" fillId="0" borderId="1" xfId="0" applyFont="1" applyBorder="1" applyProtection="1">
      <alignment horizontal="center" vertical="center" wrapText="1"/>
    </xf>
    <xf numFmtId="0" fontId="604" fillId="0" borderId="1" xfId="0" applyFont="1" applyBorder="1" applyProtection="1">
      <alignment horizontal="center" vertical="center" wrapText="1"/>
    </xf>
    <xf numFmtId="0" fontId="605" fillId="0" borderId="1" xfId="0" applyFont="1" applyBorder="1" applyProtection="1">
      <alignment horizontal="center" vertical="center" wrapText="1"/>
    </xf>
    <xf numFmtId="0" fontId="606" fillId="0" borderId="1" xfId="0" applyFont="1" applyBorder="1" applyProtection="1">
      <alignment horizontal="center" vertical="center" wrapText="1"/>
    </xf>
    <xf numFmtId="0" fontId="607" fillId="0" borderId="1" xfId="0" applyFont="1" applyBorder="1" applyProtection="1">
      <alignment horizontal="center" vertical="center" wrapText="1"/>
    </xf>
    <xf numFmtId="0" fontId="608" fillId="0" borderId="1" xfId="0" applyFont="1" applyBorder="1" applyProtection="1">
      <alignment horizontal="center" vertical="center" wrapText="1"/>
    </xf>
    <xf numFmtId="0" fontId="609" fillId="0" borderId="1" xfId="0" applyFont="1" applyBorder="1" applyProtection="1">
      <alignment horizontal="center" vertical="center" wrapText="1"/>
    </xf>
    <xf numFmtId="0" fontId="610" fillId="0" borderId="1" xfId="0" applyFont="1" applyBorder="1" applyProtection="1">
      <alignment horizontal="center" vertical="center" wrapText="1"/>
    </xf>
    <xf numFmtId="0" fontId="611" fillId="0" borderId="1" xfId="0" applyFont="1" applyBorder="1" applyProtection="1">
      <alignment horizontal="center" vertical="center" wrapText="1"/>
    </xf>
    <xf numFmtId="0" fontId="612" fillId="0" borderId="1" xfId="0" applyFont="1" applyBorder="1" applyProtection="1">
      <alignment horizontal="center" vertical="center" wrapText="1"/>
    </xf>
    <xf numFmtId="0" fontId="613" fillId="0" borderId="1" xfId="0" applyFont="1" applyBorder="1" applyProtection="1">
      <alignment horizontal="center" vertical="center" wrapText="1"/>
    </xf>
    <xf numFmtId="0" fontId="614" fillId="0" borderId="1" xfId="0" applyFont="1" applyBorder="1" applyProtection="1">
      <alignment horizontal="center" vertical="center" wrapText="1"/>
    </xf>
    <xf numFmtId="0" fontId="615" fillId="0" borderId="1" xfId="0" applyFont="1" applyBorder="1" applyProtection="1">
      <alignment horizontal="center" vertical="center" wrapText="1"/>
    </xf>
    <xf numFmtId="0" fontId="616" fillId="0" borderId="1" xfId="0" applyFont="1" applyBorder="1" applyProtection="1">
      <alignment horizontal="center" vertical="center" wrapText="1"/>
    </xf>
    <xf numFmtId="0" fontId="617" fillId="0" borderId="1" xfId="0" applyFont="1" applyBorder="1" applyProtection="1">
      <alignment horizontal="center" vertical="center" wrapText="1"/>
    </xf>
    <xf numFmtId="0" fontId="618" fillId="0" borderId="1" xfId="0" applyFont="1" applyBorder="1" applyProtection="1">
      <alignment horizontal="center" vertical="center" wrapText="1"/>
    </xf>
    <xf numFmtId="0" fontId="619" fillId="0" borderId="1" xfId="0" applyFont="1" applyBorder="1" applyProtection="1">
      <alignment horizontal="center" vertical="center" wrapText="1"/>
    </xf>
    <xf numFmtId="0" fontId="620" fillId="0" borderId="1" xfId="0" applyFont="1" applyBorder="1" applyProtection="1">
      <alignment horizontal="center" vertical="center" wrapText="1"/>
    </xf>
    <xf numFmtId="0" fontId="621" fillId="0" borderId="1" xfId="0" applyFont="1" applyBorder="1" applyProtection="1">
      <alignment horizontal="center" vertical="center" wrapText="1"/>
    </xf>
    <xf numFmtId="0" fontId="622" fillId="0" borderId="1" xfId="0" applyFont="1" applyBorder="1" applyProtection="1">
      <alignment horizontal="center" vertical="center" wrapText="1"/>
    </xf>
    <xf numFmtId="0" fontId="623" fillId="0" borderId="1" xfId="0" applyFont="1" applyBorder="1" applyProtection="1">
      <alignment horizontal="center" vertical="center" wrapText="1"/>
    </xf>
    <xf numFmtId="0" fontId="624" fillId="0" borderId="1" xfId="0" applyFont="1" applyBorder="1" applyProtection="1">
      <alignment horizontal="center" vertical="center" wrapText="1"/>
    </xf>
    <xf numFmtId="0" fontId="625" fillId="0" borderId="1" xfId="0" applyFont="1" applyBorder="1" applyProtection="1">
      <alignment horizontal="center" vertical="center" wrapText="1"/>
    </xf>
    <xf numFmtId="0" fontId="626" fillId="0" borderId="1" xfId="0" applyFont="1" applyBorder="1" applyProtection="1">
      <alignment horizontal="center" vertical="center" wrapText="1"/>
    </xf>
    <xf numFmtId="0" fontId="627" fillId="0" borderId="1" xfId="0" applyFont="1" applyBorder="1" applyProtection="1">
      <alignment horizontal="center" vertical="center" wrapText="1"/>
    </xf>
    <xf numFmtId="0" fontId="628" fillId="0" borderId="1" xfId="0" applyFont="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0" borderId="1" xfId="0" applyFont="1" applyBorder="1" applyProtection="1">
      <alignment horizontal="center" vertical="center" wrapText="1"/>
    </xf>
    <xf numFmtId="0" fontId="640" fillId="0" borderId="1" xfId="0" applyFont="1" applyBorder="1" applyProtection="1">
      <alignment horizontal="center" vertical="center" wrapText="1"/>
    </xf>
    <xf numFmtId="0" fontId="641" fillId="0" borderId="1" xfId="0" applyFont="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0" borderId="1" xfId="0" applyFont="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xf numFmtId="0" fontId="668" fillId="0" borderId="1" xfId="0" applyFont="1" applyBorder="1" applyProtection="1">
      <alignment horizontal="center" vertical="center" wrapText="1"/>
    </xf>
    <xf numFmtId="0" fontId="669" fillId="0" borderId="1" xfId="0" applyFont="1" applyBorder="1" applyProtection="1">
      <alignment horizontal="center" vertical="center" wrapText="1"/>
    </xf>
    <xf numFmtId="0" fontId="670"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2" Type="http://schemas.openxmlformats.org/officeDocument/2006/relationships/theme" Target="theme/theme1.xml"/><Relationship Id="rId7" Type="http://schemas.openxmlformats.org/officeDocument/2006/relationships/worksheet" Target="worksheets/sheet7.xml"/><Relationship Id="rId20"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1"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55" t="s">
        <v>0</v>
      </c>
      <c r="C2" s="133"/>
      <c r="D2" s="55" t="n">
        <f>SUM(D4:D16)/2</f>
        <v>49</v>
      </c>
      <c r="E2" s="55" t="n">
        <f>E8+E12+E16</f>
        <v>1089</v>
      </c>
      <c r="F2" s="91" t="n">
        <f>E2/(25*D2)</f>
        <v>0.888979591836735</v>
      </c>
      <c r="G2" s="55" t="n">
        <f>G8+G12+G16</f>
        <v>156</v>
      </c>
      <c r="H2" s="91" t="n">
        <f>G2/E2</f>
        <v>0.143250688705234</v>
      </c>
      <c r="I2" s="28" t="n">
        <f>SUM(I4:I16)/2</f>
        <v>102</v>
      </c>
      <c r="J2" s="115" t="n">
        <f>I2/(E2+I2)</f>
        <v>0.0856423173803527</v>
      </c>
      <c r="K2" s="74" t="n">
        <f>(K8*$E$8+K12*$E$12+K16*$E$16)/$E$2</f>
        <v>0.700642791551883</v>
      </c>
      <c r="L2" s="74" t="n">
        <f>(L8*$E$8+L12*$E$12+L16*$E$16)/$E$2</f>
        <v>0.445362718089991</v>
      </c>
      <c r="M2" s="74" t="n">
        <f>(M8*$E$8+M12*$E$12+M16*$E$16)/$E$2</f>
        <v>0.370064279155188</v>
      </c>
      <c r="O2" s="235" t="s">
        <v>1</v>
      </c>
      <c r="P2" s="236"/>
      <c r="Q2" s="239" t="n">
        <f>Q8+Q12+Q16</f>
        <v>155</v>
      </c>
      <c r="R2" s="239" t="n">
        <f>SUM(R4:R16)/2</f>
        <v>25</v>
      </c>
      <c r="S2" s="239" t="n">
        <f>Q2-R2</f>
        <v>130</v>
      </c>
      <c r="T2" s="243" t="n">
        <f>S2*55%</f>
        <v>71.5</v>
      </c>
      <c r="U2" s="239" t="n">
        <f>SUM(U4:U16)/2</f>
        <v>3</v>
      </c>
      <c r="V2" s="245" t="n">
        <f>U2/S2</f>
        <v>0.0230769230769231</v>
      </c>
      <c r="W2" s="423" t="n">
        <f>U2/T2</f>
        <v>0.041958041958042</v>
      </c>
      <c r="X2" s="455" t="s">
        <v>2</v>
      </c>
      <c r="Y2" s="456"/>
      <c r="Z2" s="456"/>
      <c r="AA2" s="456"/>
      <c r="AB2" s="456"/>
      <c r="AC2" s="456"/>
      <c r="AD2" s="456"/>
      <c r="AE2" s="456"/>
      <c r="AL2" s="193" t="s">
        <v>3</v>
      </c>
      <c r="AM2" s="202"/>
      <c r="AN2" s="514" t="n">
        <f>AN8+AN12+AN16</f>
        <v>295</v>
      </c>
      <c r="AO2" s="514" t="n">
        <f>SUM(AO4:AO16)/2</f>
        <v>42</v>
      </c>
      <c r="AP2" s="514" t="n">
        <f>AN2-AO2</f>
        <v>253</v>
      </c>
      <c r="AQ2" s="515" t="n">
        <f>AP2*55%</f>
        <v>139.15</v>
      </c>
      <c r="AR2" s="514" t="n">
        <f>SUM(AR4:AR16)/2</f>
        <v>57</v>
      </c>
      <c r="AS2" s="533" t="n">
        <f>AR2/AP2</f>
        <v>0.225296442687747</v>
      </c>
      <c r="AT2" s="533" t="n">
        <f>AR2/AQ2</f>
        <v>0.409629895795904</v>
      </c>
    </row>
    <row r="3" ht="24" customHeight="1">
      <c r="B3" s="55" t="s">
        <v>4</v>
      </c>
      <c r="C3" s="55" t="s">
        <v>5</v>
      </c>
      <c r="D3" s="55" t="s">
        <v>6</v>
      </c>
      <c r="E3" s="55" t="s">
        <v>7</v>
      </c>
      <c r="F3" s="55" t="s">
        <v>8</v>
      </c>
      <c r="G3" s="55" t="s">
        <v>9</v>
      </c>
      <c r="H3" s="55" t="s">
        <v>10</v>
      </c>
      <c r="I3" s="28" t="s">
        <v>11</v>
      </c>
      <c r="J3" s="84" t="s">
        <v>12</v>
      </c>
      <c r="K3" s="125" t="s">
        <v>13</v>
      </c>
      <c r="L3" s="125" t="s">
        <v>14</v>
      </c>
      <c r="M3" s="125" t="s">
        <v>15</v>
      </c>
      <c r="O3" s="239" t="s">
        <v>16</v>
      </c>
      <c r="P3" s="239" t="s">
        <v>17</v>
      </c>
      <c r="Q3" s="239" t="s">
        <v>18</v>
      </c>
      <c r="R3" s="239" t="s">
        <v>19</v>
      </c>
      <c r="S3" s="239" t="s">
        <v>20</v>
      </c>
      <c r="T3" s="239" t="s">
        <v>21</v>
      </c>
      <c r="U3" s="239" t="s">
        <v>22</v>
      </c>
      <c r="V3" s="245" t="s">
        <v>23</v>
      </c>
      <c r="W3" s="423" t="s">
        <v>24</v>
      </c>
      <c r="X3" s="438" t="s">
        <v>25</v>
      </c>
      <c r="Y3" s="439" t="s">
        <v>26</v>
      </c>
      <c r="Z3" s="441" t="s">
        <v>27</v>
      </c>
      <c r="AA3" s="439" t="s">
        <v>26</v>
      </c>
      <c r="AB3" s="442" t="s">
        <v>28</v>
      </c>
      <c r="AC3" s="439" t="s">
        <v>26</v>
      </c>
      <c r="AD3" s="443" t="s">
        <v>29</v>
      </c>
      <c r="AE3" s="439" t="s">
        <v>26</v>
      </c>
      <c r="AL3" s="514" t="s">
        <v>16</v>
      </c>
      <c r="AM3" s="514" t="s">
        <v>17</v>
      </c>
      <c r="AN3" s="514" t="s">
        <v>30</v>
      </c>
      <c r="AO3" s="514" t="s">
        <v>19</v>
      </c>
      <c r="AP3" s="514" t="s">
        <v>20</v>
      </c>
      <c r="AQ3" s="514" t="s">
        <v>21</v>
      </c>
      <c r="AR3" s="514" t="s">
        <v>22</v>
      </c>
      <c r="AS3" s="533" t="s">
        <v>23</v>
      </c>
      <c r="AT3" s="533" t="s">
        <v>24</v>
      </c>
    </row>
    <row r="4" ht="24" customHeight="1">
      <c r="B4" s="56" t="s">
        <v>31</v>
      </c>
      <c r="C4" s="56" t="s">
        <v>32</v>
      </c>
      <c r="D4" s="56" t="n">
        <v>7</v>
      </c>
      <c r="E4" s="56" t="n">
        <f>COUNTIFS('UV台帐'!N:N,B4,'UV台帐'!S:S,"在读")</f>
        <v>142</v>
      </c>
      <c r="F4" s="66" t="n">
        <f>E4/(D4*25)</f>
        <v>0.811428571428571</v>
      </c>
      <c r="G4" s="56" t="n">
        <f>SUMPRODUCT(('UV台帐'!N:N=B4)*('UV台帐'!T:T="是"))</f>
        <v>48</v>
      </c>
      <c r="H4" s="57" t="n">
        <f>G4/E4</f>
        <v>0.338028169014085</v>
      </c>
      <c r="I4" s="56" t="n">
        <f>COUNTIFS('UV台帐'!N:N,B4,'UV台帐'!S:S,"课前退")</f>
        <v>16</v>
      </c>
      <c r="J4" s="77" t="n">
        <f>I4/(E4+I4)</f>
        <v>0.10126582278481</v>
      </c>
      <c r="K4" s="151" t="n">
        <f>COUNTIF('陈中帅'!T:T,"是")/E4</f>
        <v>0.943661971830986</v>
      </c>
      <c r="L4" s="151" t="n">
        <f>COUNTIF('陈中帅'!U:U,"是")/E4</f>
        <v>0.401408450704225</v>
      </c>
      <c r="M4" s="151" t="n">
        <f>COUNTIF('陈中帅'!V:V,"是")/E4</f>
        <v>0.422535211267606</v>
      </c>
      <c r="O4" s="257" t="s">
        <v>33</v>
      </c>
      <c r="P4" s="257" t="s">
        <v>34</v>
      </c>
      <c r="Q4" s="257" t="n">
        <f>SUMIF('一期·UV电访分配'!BF:BF,P4,'一期·UV电访分配'!BR:ATS)</f>
        <v>11</v>
      </c>
      <c r="R4" s="257" t="n">
        <v>0</v>
      </c>
      <c r="S4" s="257" t="n">
        <f>Q4-R4</f>
        <v>11</v>
      </c>
      <c r="T4" s="258" t="n">
        <f>S4*55%</f>
        <v>6.05</v>
      </c>
      <c r="U4" s="289" t="n">
        <f>SUMIF('一期·UV电访分配'!BF:BF,P4,'一期·UV电访分配'!BW:BW)-R4</f>
        <v>3</v>
      </c>
      <c r="V4" s="295" t="n">
        <f>U4/S4</f>
        <v>0.272727272727273</v>
      </c>
      <c r="W4" s="424" t="n">
        <f>U4/T4</f>
        <v>0.495867768595041</v>
      </c>
      <c r="X4" s="444" t="n">
        <f>COUNTIFS('一期·UV电访分配'!BF:BF,P4,'一期·UV电访分配'!AJ:AJ,"*S*")</f>
        <v>2</v>
      </c>
      <c r="Y4" s="445" t="n">
        <f>X4/(Z4+AB4+AD4+X4)</f>
        <v>0.285714285714286</v>
      </c>
      <c r="Z4" s="446" t="n">
        <f>COUNTIFS('一期·UV电访分配'!BF:BF,P4,'一期·UV电访分配'!AJ:AJ,"*A*")</f>
        <v>2</v>
      </c>
      <c r="AA4" s="447" t="n">
        <f>Z4/(Z4+AB4+AD4+X4)</f>
        <v>0.285714285714286</v>
      </c>
      <c r="AB4" s="448" t="n">
        <f>COUNTIFS('一期·UV电访分配'!BF:BF,P4,'一期·UV电访分配'!AJ:AJ,"*B*")</f>
        <v>2</v>
      </c>
      <c r="AC4" s="449" t="n">
        <f>AB4/(Z4+AB4+AD4+X4)</f>
        <v>0.285714285714286</v>
      </c>
      <c r="AD4" s="450" t="n">
        <f>COUNTIFS('一期·UV电访分配'!BF:BF,P4,'一期·UV电访分配'!AJ:AJ,"*C*")</f>
        <v>1</v>
      </c>
      <c r="AE4" s="449" t="n">
        <f>AD4/(Z4+AB4+AD4+X4)</f>
        <v>0.142857142857143</v>
      </c>
      <c r="AL4" s="526" t="s">
        <v>33</v>
      </c>
      <c r="AM4" s="526" t="s">
        <v>34</v>
      </c>
      <c r="AN4" s="526" t="n">
        <f>SUMIF('零期·UV电访分配'!AE:AE,AM4,'零期·UV电访分配'!AS:AS)</f>
        <v>8</v>
      </c>
      <c r="AO4" s="526"/>
      <c r="AP4" s="526" t="n">
        <f>AN4-AO4</f>
        <v>8</v>
      </c>
      <c r="AQ4" s="530" t="n">
        <f>AP4*55%</f>
        <v>4.4</v>
      </c>
      <c r="AR4" s="526" t="n">
        <f>SUMIF('零期·UV电访分配'!AE:AE,AM4,'零期·UV电访分配'!AX:AX)-AO4</f>
        <v>4</v>
      </c>
      <c r="AS4" s="219" t="n">
        <f>AR4/AP4</f>
        <v>0.5</v>
      </c>
      <c r="AT4" s="219" t="n">
        <f>AR4/AQ4</f>
        <v>0.909090909090909</v>
      </c>
    </row>
    <row r="5" ht="24" customHeight="1">
      <c r="B5" s="56" t="s">
        <v>35</v>
      </c>
      <c r="C5" s="56" t="s">
        <v>32</v>
      </c>
      <c r="D5" s="56" t="n">
        <v>4</v>
      </c>
      <c r="E5" s="56" t="n">
        <f>COUNTIFS('UV台帐'!N:N,B5,'UV台帐'!S:S,"在读")</f>
        <v>91</v>
      </c>
      <c r="F5" s="66" t="n">
        <f>E5/(D5*25)</f>
        <v>0.91</v>
      </c>
      <c r="G5" s="56" t="n">
        <f>SUMPRODUCT(('UV台帐'!N:N=B5)*('UV台帐'!T:T="是"))</f>
        <v>3</v>
      </c>
      <c r="H5" s="57" t="n">
        <f>G5/E5</f>
        <v>0.032967032967033</v>
      </c>
      <c r="I5" s="56" t="n">
        <f>COUNTIFS('UV台帐'!N:N,B5,'UV台帐'!S:S,"课前退")</f>
        <v>8</v>
      </c>
      <c r="J5" s="77" t="n">
        <f>I5/(E5+I5)</f>
        <v>0.0808080808080808</v>
      </c>
      <c r="K5" s="151" t="n">
        <f>COUNTIF('何咏04'!T:T,"是")/E5</f>
        <v>0.879120879120879</v>
      </c>
      <c r="L5" s="151" t="n">
        <f>COUNTIF('何咏04'!U:U,"是")/E5</f>
        <v>0.78021978021978</v>
      </c>
      <c r="M5" s="151" t="n">
        <f>COUNTIF('何咏04'!V:V,"是")/E5</f>
        <v>0.0659340659340659</v>
      </c>
      <c r="O5" s="231"/>
      <c r="P5" s="257" t="s">
        <v>36</v>
      </c>
      <c r="Q5" s="257" t="n">
        <f>SUMIF('一期·UV电访分配'!BF:BF,P5,'一期·UV电访分配'!BR:BR)</f>
        <v>11</v>
      </c>
      <c r="R5" s="257" t="n">
        <v>5</v>
      </c>
      <c r="S5" s="257" t="n">
        <f>Q5-R5</f>
        <v>6</v>
      </c>
      <c r="T5" s="258" t="n">
        <f>S5*55%</f>
        <v>3.3</v>
      </c>
      <c r="U5" s="289" t="n">
        <f>SUMIF('一期·UV电访分配'!BF:BF,P5,'一期·UV电访分配'!BW:BW)-R5</f>
        <v>0</v>
      </c>
      <c r="V5" s="295" t="n">
        <f>U5/S5</f>
        <v>0</v>
      </c>
      <c r="W5" s="424" t="n">
        <f>U5/T5</f>
        <v>0</v>
      </c>
      <c r="X5" s="444" t="n">
        <f>COUNTIFS('一期·UV电访分配'!BF:BF,P5,'一期·UV电访分配'!AJ:AJ,"*S*")</f>
        <v>3</v>
      </c>
      <c r="Y5" s="445" t="n">
        <f>X5/(Z5+AB5+AD5+X5)</f>
        <v>0.333333333333333</v>
      </c>
      <c r="Z5" s="446" t="n">
        <f>COUNTIFS('一期·UV电访分配'!BF:BF,P5,'一期·UV电访分配'!AJ:AJ,"*A*")</f>
        <v>3</v>
      </c>
      <c r="AA5" s="447" t="n">
        <f>Z5/(Z5+AB5+AD5+X5)</f>
        <v>0.333333333333333</v>
      </c>
      <c r="AB5" s="448" t="n">
        <f>COUNTIFS('一期·UV电访分配'!BF:BF,P5,'一期·UV电访分配'!AJ:AJ,"*B*")</f>
        <v>2</v>
      </c>
      <c r="AC5" s="449" t="n">
        <f>AB5/(Z5+AB5+AD5+X5)</f>
        <v>0.222222222222222</v>
      </c>
      <c r="AD5" s="450" t="n">
        <f>COUNTIFS('一期·UV电访分配'!BF:BF,P5,'一期·UV电访分配'!AJ:AJ,"*C*")</f>
        <v>1</v>
      </c>
      <c r="AE5" s="449" t="n">
        <f>AD5/(Z5+AB5+AD5+X5)</f>
        <v>0.111111111111111</v>
      </c>
      <c r="AL5" s="220"/>
      <c r="AM5" s="526" t="s">
        <v>36</v>
      </c>
      <c r="AN5" s="526" t="n">
        <f>SUMIF('零期·UV电访分配'!AE:AE,AM5,'零期·UV电访分配'!AS:AS)</f>
        <v>20</v>
      </c>
      <c r="AO5" s="526"/>
      <c r="AP5" s="526" t="n">
        <f>AN5-AO5</f>
        <v>20</v>
      </c>
      <c r="AQ5" s="530" t="n">
        <f>AP5*55%</f>
        <v>11</v>
      </c>
      <c r="AR5" s="526" t="n">
        <f>SUMIF('零期·UV电访分配'!AE:AE,AM5,'零期·UV电访分配'!AX:AX)-AO5</f>
        <v>8</v>
      </c>
      <c r="AS5" s="219" t="n">
        <f>AR5/AP5</f>
        <v>0.4</v>
      </c>
      <c r="AT5" s="219" t="n">
        <f>AR5/AQ5</f>
        <v>0.727272727272727</v>
      </c>
    </row>
    <row r="6" ht="24" customHeight="1">
      <c r="B6" s="56" t="s">
        <v>37</v>
      </c>
      <c r="C6" s="56" t="s">
        <v>32</v>
      </c>
      <c r="D6" s="56" t="n">
        <v>5</v>
      </c>
      <c r="E6" s="56" t="n">
        <f>COUNTIFS('UV台帐'!N:N,B6,'UV台帐'!S:S,"在读")</f>
        <v>111</v>
      </c>
      <c r="F6" s="66" t="n">
        <f>E6/(D6*25)</f>
        <v>0.888</v>
      </c>
      <c r="G6" s="56" t="n">
        <f>SUMPRODUCT(('UV台帐'!N:N=B6)*('UV台帐'!T:T="是"))</f>
        <v>14</v>
      </c>
      <c r="H6" s="57" t="n">
        <f>G6/E6</f>
        <v>0.126126126126126</v>
      </c>
      <c r="I6" s="56" t="n">
        <f>COUNTIFS('UV台帐'!N:N,B6,'UV台帐'!S:S,"课前退")</f>
        <v>9</v>
      </c>
      <c r="J6" s="77" t="n">
        <f>I6/(E6+I6)</f>
        <v>0.075</v>
      </c>
      <c r="K6" s="151" t="n">
        <f>COUNTIF('田雨涵01'!T:T,"是")/E6</f>
        <v>0.711711711711712</v>
      </c>
      <c r="L6" s="151" t="n">
        <f>COUNTIF('田雨涵01'!U:U,"是")/E6</f>
        <v>0.36036036036036</v>
      </c>
      <c r="M6" s="151" t="n">
        <f>COUNTIF('田雨涵01'!V:V,"是")/E6</f>
        <v>0.558558558558559</v>
      </c>
      <c r="O6" s="231"/>
      <c r="P6" s="257" t="s">
        <v>38</v>
      </c>
      <c r="Q6" s="257" t="n">
        <f>SUMIF('一期·UV电访分配'!BF:BF,P6,'一期·UV电访分配'!BR:BR)</f>
        <v>17</v>
      </c>
      <c r="R6" s="257" t="n">
        <v>1</v>
      </c>
      <c r="S6" s="257" t="n">
        <f>Q6-R6</f>
        <v>16</v>
      </c>
      <c r="T6" s="258" t="n">
        <f>S6*55%</f>
        <v>8.8</v>
      </c>
      <c r="U6" s="289" t="n">
        <f>SUMIF('一期·UV电访分配'!BF:BF,P6,'一期·UV电访分配'!BW:BW)-R6</f>
        <v>0</v>
      </c>
      <c r="V6" s="295" t="n">
        <f>U6/S6</f>
        <v>0</v>
      </c>
      <c r="W6" s="424" t="n">
        <f>U6/T6</f>
        <v>0</v>
      </c>
      <c r="X6" s="444" t="n">
        <f>COUNTIFS('一期·UV电访分配'!BF:BF,P6,'一期·UV电访分配'!AJ:AJ,"*S*")</f>
        <v>2</v>
      </c>
      <c r="Y6" s="445" t="n">
        <f>X6/(Z6+AB6+AD6+X6)</f>
        <v>0.2</v>
      </c>
      <c r="Z6" s="446" t="n">
        <f>COUNTIFS('一期·UV电访分配'!BF:BF,P6,'一期·UV电访分配'!AJ:AJ,"*A*")</f>
        <v>3</v>
      </c>
      <c r="AA6" s="447" t="n">
        <f>Z6/(Z6+AB6+AD6+X6)</f>
        <v>0.3</v>
      </c>
      <c r="AB6" s="448" t="n">
        <f>COUNTIFS('一期·UV电访分配'!BF:BF,P6,'一期·UV电访分配'!AJ:AJ,"*B*")</f>
        <v>4</v>
      </c>
      <c r="AC6" s="449" t="n">
        <f>AB6/(Z6+AB6+AD6+X6)</f>
        <v>0.4</v>
      </c>
      <c r="AD6" s="450" t="n">
        <f>COUNTIFS('一期·UV电访分配'!BF:BF,P6,'一期·UV电访分配'!AJ:AJ,"*C*")</f>
        <v>1</v>
      </c>
      <c r="AE6" s="449" t="n">
        <f>AD6/(Z6+AB6+AD6+X6)</f>
        <v>0.1</v>
      </c>
      <c r="AL6" s="220"/>
      <c r="AM6" s="526" t="s">
        <v>38</v>
      </c>
      <c r="AN6" s="526" t="n">
        <f>SUMIF('零期·UV电访分配'!AE:AE,AM6,'零期·UV电访分配'!AS:AS)</f>
        <v>14</v>
      </c>
      <c r="AO6" s="526" t="n">
        <v>2</v>
      </c>
      <c r="AP6" s="526" t="n">
        <f>AN6-AO6</f>
        <v>12</v>
      </c>
      <c r="AQ6" s="530" t="n">
        <f>AP6*55%</f>
        <v>6.6</v>
      </c>
      <c r="AR6" s="526" t="n">
        <f>SUMIF('零期·UV电访分配'!AE:AE,AM6,'零期·UV电访分配'!AX:AX)-AO6</f>
        <v>0</v>
      </c>
      <c r="AS6" s="219" t="n">
        <f>AR6/AP6</f>
        <v>0</v>
      </c>
      <c r="AT6" s="219" t="n">
        <f>AR6/AQ6</f>
        <v>0</v>
      </c>
    </row>
    <row r="7" ht="24" customHeight="1">
      <c r="B7" s="56" t="s">
        <v>39</v>
      </c>
      <c r="C7" s="56" t="s">
        <v>32</v>
      </c>
      <c r="D7" s="56" t="n">
        <v>1</v>
      </c>
      <c r="E7" s="56" t="n">
        <f>COUNTIFS('UV台帐'!N:N,B7,'UV台帐'!S:S,"在读")</f>
        <v>23</v>
      </c>
      <c r="F7" s="66" t="n">
        <f>E7/(D7*25)</f>
        <v>0.92</v>
      </c>
      <c r="G7" s="56" t="n">
        <f>SUMPRODUCT(('UV台帐'!N:N=B7)*('UV台帐'!T:T="是"))</f>
        <v>4</v>
      </c>
      <c r="H7" s="57" t="n">
        <f>G7/E7</f>
        <v>0.173913043478261</v>
      </c>
      <c r="I7" s="56" t="n">
        <f>COUNTIFS('UV台帐'!N:N,B7,'UV台帐'!S:S,"课前退")</f>
        <v>1</v>
      </c>
      <c r="J7" s="77" t="n">
        <f>I7/(E7+I7)</f>
        <v>0.0416666666666667</v>
      </c>
      <c r="K7" s="151" t="n">
        <f>COUNTIF('宗志鹏'!T:T,"是")/E7</f>
        <v>0</v>
      </c>
      <c r="L7" s="151" t="n">
        <f>COUNTIF('宗志鹏'!U:U,"是")/E7</f>
        <v>0</v>
      </c>
      <c r="M7" s="151" t="n">
        <f>COUNTIF('宗志鹏'!V:V,"是")/E7</f>
        <v>0</v>
      </c>
      <c r="O7" s="231"/>
      <c r="P7" s="257" t="s">
        <v>40</v>
      </c>
      <c r="Q7" s="257" t="n">
        <f>SUMIF('一期·UV电访分配'!BF:BF,P7,'一期·UV电访分配'!BR:BR)</f>
        <v>3</v>
      </c>
      <c r="R7" s="257" t="n">
        <v>3</v>
      </c>
      <c r="S7" s="257" t="n">
        <f>Q7-R7</f>
        <v>0</v>
      </c>
      <c r="T7" s="258" t="n">
        <f>S7*55%</f>
        <v>0</v>
      </c>
      <c r="U7" s="289" t="n">
        <f>SUMIF('一期·UV电访分配'!BF:BF,P7,'一期·UV电访分配'!BW:BW)-R7</f>
        <v>0</v>
      </c>
      <c r="V7" s="295" t="n">
        <f>IFERROR(U7/S7,0)</f>
        <v>0</v>
      </c>
      <c r="W7" s="424" t="n">
        <f>IFERROR(U7/T7,0)</f>
        <v>0</v>
      </c>
      <c r="X7" s="444" t="n">
        <f>COUNTIFS('一期·UV电访分配'!BF:BF,P7,'一期·UV电访分配'!AJ:AJ,"*S*")</f>
        <v>0</v>
      </c>
      <c r="Y7" s="445" t="n">
        <f>IFERROR(X7/(Z7+AB7+AD7+X7),0)</f>
        <v>0</v>
      </c>
      <c r="Z7" s="446" t="n">
        <f>COUNTIFS('一期·UV电访分配'!BF:BF,P7,'一期·UV电访分配'!AJ:AJ,"*A*")</f>
        <v>0</v>
      </c>
      <c r="AA7" s="447" t="n">
        <f>IFERROR(Z7/(Z7+AB7+AD7+X7),0)</f>
        <v>0</v>
      </c>
      <c r="AB7" s="448" t="n">
        <f>COUNTIFS('一期·UV电访分配'!BF:BF,P7,'一期·UV电访分配'!AJ:AJ,"*B*")</f>
        <v>0</v>
      </c>
      <c r="AC7" s="449" t="n">
        <f>IFERROR(AB7/(Z7+AB7+AD7+X7),0)</f>
        <v>0</v>
      </c>
      <c r="AD7" s="450" t="n">
        <f>COUNTIFS('一期·UV电访分配'!BF:BF,P7,'一期·UV电访分配'!AJ:AJ,"*C*")</f>
        <v>0</v>
      </c>
      <c r="AE7" s="449" t="n">
        <f>IFERROR(AD7/(Z7+AB7+AD7+X7),0)</f>
        <v>0</v>
      </c>
      <c r="AL7" s="220"/>
      <c r="AM7" s="526" t="s">
        <v>40</v>
      </c>
      <c r="AN7" s="526" t="n">
        <f>SUMIF('零期·UV电访分配'!AE:AE,AM7,'零期·UV电访分配'!AS:AS)</f>
        <v>3</v>
      </c>
      <c r="AO7" s="526"/>
      <c r="AP7" s="526" t="n">
        <f>AN7-AO7</f>
        <v>3</v>
      </c>
      <c r="AQ7" s="530" t="n">
        <f>AP7*55%</f>
        <v>1.65</v>
      </c>
      <c r="AR7" s="526" t="n">
        <f>SUMIF('零期·UV电访分配'!AE:AE,AM7,'零期·UV电访分配'!AX:AX)-AO7</f>
        <v>0</v>
      </c>
      <c r="AS7" s="219" t="n">
        <f>AR7/AP7</f>
        <v>0</v>
      </c>
      <c r="AT7" s="219" t="n">
        <f>AR7/AQ7</f>
        <v>0</v>
      </c>
    </row>
    <row r="8" ht="24" customHeight="1">
      <c r="B8" s="53" t="s">
        <v>41</v>
      </c>
      <c r="C8" s="134"/>
      <c r="D8" s="53" t="n">
        <f>SUM(D4:D7)</f>
        <v>17</v>
      </c>
      <c r="E8" s="53" t="n">
        <f>SUM(E4:E7)</f>
        <v>367</v>
      </c>
      <c r="F8" s="58" t="n">
        <f>E8/(D8*25)</f>
        <v>0.863529411764706</v>
      </c>
      <c r="G8" s="53" t="n">
        <f>SUM(G4:G7)</f>
        <v>69</v>
      </c>
      <c r="H8" s="62" t="n">
        <f>G8/E8</f>
        <v>0.188010899182561</v>
      </c>
      <c r="I8" s="53" t="n">
        <f>SUM(I4:I7)</f>
        <v>34</v>
      </c>
      <c r="J8" s="78" t="n">
        <f>I8/(E8+I8)</f>
        <v>0.084788029925187</v>
      </c>
      <c r="K8" s="153" t="n">
        <f>(K4*$E$4+K5*$E$5+K6*$E$6+K7*$E$7)/$E$8</f>
        <v>0.798365122615804</v>
      </c>
      <c r="L8" s="153" t="n">
        <f>(L4*$E$4+L5*$E$5+L6*$E$6+L7*$E$7)/$E$8</f>
        <v>0.457765667574932</v>
      </c>
      <c r="M8" s="153" t="n">
        <f>(M4*$E$4+M5*$E$5+M6*$E$6+M7*$E$7)/$E$8</f>
        <v>0.348773841961853</v>
      </c>
      <c r="O8" s="296" t="s">
        <v>42</v>
      </c>
      <c r="P8" s="297"/>
      <c r="Q8" s="296" t="n">
        <f>SUM(Q4:Q7)</f>
        <v>42</v>
      </c>
      <c r="R8" s="296" t="n">
        <f>SUM(R4:R7)</f>
        <v>9</v>
      </c>
      <c r="S8" s="296" t="n">
        <f>Q8-R8</f>
        <v>33</v>
      </c>
      <c r="T8" s="298" t="n">
        <f>S8*55%</f>
        <v>18.15</v>
      </c>
      <c r="U8" s="296" t="n">
        <f>SUM(U4:U7)</f>
        <v>3</v>
      </c>
      <c r="V8" s="300" t="n">
        <f>U8/S8</f>
        <v>0.0909090909090909</v>
      </c>
      <c r="W8" s="425" t="n">
        <f>U8/T8</f>
        <v>0.165289256198347</v>
      </c>
      <c r="X8" s="451" t="n">
        <f>SUM(X4:X7)</f>
        <v>7</v>
      </c>
      <c r="Y8" s="452" t="n">
        <f>X8/(Z8+AB8+AD8+X8)</f>
        <v>0.269230769230769</v>
      </c>
      <c r="Z8" s="451" t="n">
        <f>SUM(Z4:Z7)</f>
        <v>8</v>
      </c>
      <c r="AA8" s="453" t="n">
        <f>Z8/(Z8+AB8+AD8+X8)</f>
        <v>0.307692307692308</v>
      </c>
      <c r="AB8" s="451" t="n">
        <f>SUM(AB4:AB7)</f>
        <v>8</v>
      </c>
      <c r="AC8" s="454" t="n">
        <f>AB8/(Z8+AB8+AD8+X8)</f>
        <v>0.307692307692308</v>
      </c>
      <c r="AD8" s="451" t="n">
        <f>SUM(AD4:AD7)</f>
        <v>3</v>
      </c>
      <c r="AE8" s="454" t="n">
        <f>AD8/(Z8+AB8+AD8+X8)</f>
        <v>0.115384615384615</v>
      </c>
      <c r="AL8" s="516" t="s">
        <v>42</v>
      </c>
      <c r="AM8" s="517"/>
      <c r="AN8" s="516" t="n">
        <f>SUM(AN4:AN7)</f>
        <v>45</v>
      </c>
      <c r="AO8" s="516" t="n">
        <f>SUM(AO4:AO7)</f>
        <v>2</v>
      </c>
      <c r="AP8" s="516" t="n">
        <f>AN8-AO8</f>
        <v>43</v>
      </c>
      <c r="AQ8" s="518" t="n">
        <f>AP8*55%</f>
        <v>23.65</v>
      </c>
      <c r="AR8" s="516" t="n">
        <f>SUM(AR4:AR7)</f>
        <v>12</v>
      </c>
      <c r="AS8" s="534" t="n">
        <f>AR8/AP8</f>
        <v>0.27906976744186</v>
      </c>
      <c r="AT8" s="534" t="n">
        <f>AR8/AQ8</f>
        <v>0.507399577167019</v>
      </c>
    </row>
    <row r="9" ht="24" customHeight="1">
      <c r="B9" s="56" t="s">
        <v>43</v>
      </c>
      <c r="C9" s="56" t="s">
        <v>44</v>
      </c>
      <c r="D9" s="56" t="n">
        <v>5</v>
      </c>
      <c r="E9" s="56" t="n">
        <f>COUNTIFS('UV台帐'!W:W,B9,'UV台帐'!AB:AB,"在读")</f>
        <v>103</v>
      </c>
      <c r="F9" s="66" t="n">
        <f>E9/(D9*25)</f>
        <v>0.824</v>
      </c>
      <c r="G9" s="56" t="n">
        <f>SUMPRODUCT(('UV台帐'!W:W=B9)*('UV台帐'!AC:AC="是"))</f>
        <v>33</v>
      </c>
      <c r="H9" s="57" t="n">
        <f>G9/E9</f>
        <v>0.320388349514563</v>
      </c>
      <c r="I9" s="56" t="n">
        <f>COUNTIFS('UV台帐'!W:W,B9,'UV台帐'!AB:AB,"课前退")</f>
        <v>8</v>
      </c>
      <c r="J9" s="77" t="n">
        <f>I9/(E9+I9)</f>
        <v>0.0720720720720721</v>
      </c>
      <c r="K9" s="151" t="n">
        <f>COUNTIF('黄铭怡'!T:T,"是")/E9</f>
        <v>0.669902912621359</v>
      </c>
      <c r="L9" s="151" t="n">
        <f>COUNTIF('黄铭怡'!U:U,"是")/E9</f>
        <v>0.485436893203884</v>
      </c>
      <c r="M9" s="151" t="n">
        <f>COUNTIF('黄铭怡'!V:V,"是")/E9</f>
        <v>0.572815533980583</v>
      </c>
      <c r="O9" s="257" t="s">
        <v>45</v>
      </c>
      <c r="P9" s="257" t="s">
        <v>46</v>
      </c>
      <c r="Q9" s="257" t="n">
        <f>SUMIF('一期·UV电访分配'!BF:BF,P9,'一期·UV电访分配'!BR:BR)</f>
        <v>35</v>
      </c>
      <c r="R9" s="257" t="n">
        <v>8</v>
      </c>
      <c r="S9" s="257" t="n">
        <f>Q9-R9</f>
        <v>27</v>
      </c>
      <c r="T9" s="258" t="n">
        <f>S9*55%</f>
        <v>14.85</v>
      </c>
      <c r="U9" s="289" t="n">
        <f>SUMIF('一期·UV电访分配'!BF:BF,P9,'一期·UV电访分配'!BW:BW)-R9</f>
        <v>0</v>
      </c>
      <c r="V9" s="295" t="n">
        <f>U9/S9</f>
        <v>0</v>
      </c>
      <c r="W9" s="424" t="n">
        <f>U9/T9</f>
        <v>0</v>
      </c>
      <c r="X9" s="444" t="n">
        <f>COUNTIFS('一期·UV电访分配'!BF:BF,P9,'一期·UV电访分配'!AJ:AJ,"*S*")</f>
        <v>1</v>
      </c>
      <c r="Y9" s="445" t="n">
        <f>X9/(Z9+AB9+AD9+X9)</f>
        <v>0.0526315789473684</v>
      </c>
      <c r="Z9" s="446" t="n">
        <f>COUNTIFS('一期·UV电访分配'!BF:BF,P9,'一期·UV电访分配'!AJ:AJ,"*A*")</f>
        <v>9</v>
      </c>
      <c r="AA9" s="447" t="n">
        <f>Z9/(Z9+AB9+AD9+X9)</f>
        <v>0.473684210526316</v>
      </c>
      <c r="AB9" s="448" t="n">
        <f>COUNTIFS('一期·UV电访分配'!BF:BF,P9,'一期·UV电访分配'!AJ:AJ,"*B*")</f>
        <v>8</v>
      </c>
      <c r="AC9" s="449" t="n">
        <f>AB9/(Z9+AB9+AD9+X9)</f>
        <v>0.421052631578947</v>
      </c>
      <c r="AD9" s="450" t="n">
        <f>COUNTIFS('一期·UV电访分配'!BF:BF,P9,'一期·UV电访分配'!AJ:AJ,"*C*")</f>
        <v>1</v>
      </c>
      <c r="AE9" s="449" t="n">
        <f>AD9/(Z9+AB9+AD9+X9)</f>
        <v>0.0526315789473684</v>
      </c>
      <c r="AL9" s="526" t="s">
        <v>45</v>
      </c>
      <c r="AM9" s="526" t="s">
        <v>46</v>
      </c>
      <c r="AN9" s="526" t="n">
        <f>SUMIF('零期·UV电访分配'!AE:AE,AM9,'零期·UV电访分配'!AS:AS)</f>
        <v>54</v>
      </c>
      <c r="AO9" s="526" t="n">
        <v>7</v>
      </c>
      <c r="AP9" s="526" t="n">
        <f>AN9-AO9</f>
        <v>47</v>
      </c>
      <c r="AQ9" s="530" t="n">
        <f>AP9*55%</f>
        <v>25.85</v>
      </c>
      <c r="AR9" s="526" t="n">
        <f>SUMIF('零期·UV电访分配'!AE:AE,AM9,'零期·UV电访分配'!AX:AX)-AO9</f>
        <v>19</v>
      </c>
      <c r="AS9" s="219" t="n">
        <f>AR9/AP9</f>
        <v>0.404255319148936</v>
      </c>
      <c r="AT9" s="219" t="n">
        <f>AR9/AQ9</f>
        <v>0.735009671179884</v>
      </c>
    </row>
    <row r="10" ht="24" customHeight="1">
      <c r="B10" s="56" t="s">
        <v>47</v>
      </c>
      <c r="C10" s="56" t="s">
        <v>44</v>
      </c>
      <c r="D10" s="56" t="n">
        <v>7</v>
      </c>
      <c r="E10" s="56" t="n">
        <f>COUNTIFS('UV台帐'!W:W,B10,'UV台帐'!AB:AB,"在读")</f>
        <v>174</v>
      </c>
      <c r="F10" s="66" t="n">
        <f>E10/(D10*25)</f>
        <v>0.994285714285714</v>
      </c>
      <c r="G10" s="56" t="n">
        <f>SUMPRODUCT(('UV台帐'!W:W=B10)*('UV台帐'!AC:AC="是"))</f>
        <v>8</v>
      </c>
      <c r="H10" s="57" t="n">
        <f>G10/E10</f>
        <v>0.0459770114942529</v>
      </c>
      <c r="I10" s="56" t="n">
        <f>COUNTIFS('UV台帐'!W:W,B10,'UV台帐'!AB:AB,"课前退")</f>
        <v>17</v>
      </c>
      <c r="J10" s="77" t="n">
        <f>I10/(E10+I10)</f>
        <v>0.0890052356020942</v>
      </c>
      <c r="K10" s="151" t="n">
        <f>COUNTIF('李润'!T:T,"是")/E10</f>
        <v>0.804597701149425</v>
      </c>
      <c r="L10" s="151" t="n">
        <f>COUNTIF('李润'!U:U,"是")/E10</f>
        <v>0.632183908045977</v>
      </c>
      <c r="M10" s="151" t="n">
        <f>COUNTIF('李润'!V:V,"是")/E10</f>
        <v>0.264367816091954</v>
      </c>
      <c r="O10" s="231"/>
      <c r="P10" s="257" t="s">
        <v>48</v>
      </c>
      <c r="Q10" s="257" t="n">
        <f>SUMIF('一期·UV电访分配'!BF:BF,P10,'一期·UV电访分配'!BR:BR)</f>
        <v>21</v>
      </c>
      <c r="R10" s="257" t="n">
        <v>6</v>
      </c>
      <c r="S10" s="257" t="n">
        <f>Q10-R10</f>
        <v>15</v>
      </c>
      <c r="T10" s="258" t="n">
        <f>S10*55%</f>
        <v>8.25</v>
      </c>
      <c r="U10" s="289" t="n">
        <f>SUMIF('一期·UV电访分配'!BF:BF,P10,'一期·UV电访分配'!BW:BW)-R10</f>
        <v>0</v>
      </c>
      <c r="V10" s="295" t="n">
        <f>U10/S10</f>
        <v>0</v>
      </c>
      <c r="W10" s="424" t="n">
        <f>U10/T10</f>
        <v>0</v>
      </c>
      <c r="X10" s="444" t="n">
        <f>COUNTIFS('一期·UV电访分配'!BF:BF,P10,'一期·UV电访分配'!AJ:AJ,"*S*")</f>
        <v>0</v>
      </c>
      <c r="Y10" s="445" t="n">
        <f>X10/(Z10+AB10+AD10+X10)</f>
        <v>0</v>
      </c>
      <c r="Z10" s="446" t="n">
        <f>COUNTIFS('一期·UV电访分配'!BF:BF,P10,'一期·UV电访分配'!AJ:AJ,"*A*")</f>
        <v>6</v>
      </c>
      <c r="AA10" s="447" t="n">
        <f>Z10/(Z10+AB10+AD10+X10)</f>
        <v>0.545454545454545</v>
      </c>
      <c r="AB10" s="448" t="n">
        <f>COUNTIFS('一期·UV电访分配'!BF:BF,P10,'一期·UV电访分配'!AJ:AJ,"*B*")</f>
        <v>5</v>
      </c>
      <c r="AC10" s="449" t="n">
        <f>AB10/(Z10+AB10+AD10+X10)</f>
        <v>0.454545454545455</v>
      </c>
      <c r="AD10" s="450" t="n">
        <f>COUNTIFS('一期·UV电访分配'!BF:BF,P10,'一期·UV电访分配'!AJ:AJ,"*C*")</f>
        <v>0</v>
      </c>
      <c r="AE10" s="449" t="n">
        <f>AD10/(Z10+AB10+AD10+X10)</f>
        <v>0</v>
      </c>
      <c r="AL10" s="220"/>
      <c r="AM10" s="526" t="s">
        <v>48</v>
      </c>
      <c r="AN10" s="526" t="n">
        <f>SUMIF('零期·UV电访分配'!AE:AE,AM10,'零期·UV电访分配'!AS:AS)</f>
        <v>76</v>
      </c>
      <c r="AO10" s="526" t="n">
        <v>17</v>
      </c>
      <c r="AP10" s="526" t="n">
        <f>AN10-AO10</f>
        <v>59</v>
      </c>
      <c r="AQ10" s="530" t="n">
        <f>AP10*55%</f>
        <v>32.45</v>
      </c>
      <c r="AR10" s="526" t="n">
        <f>SUMIF('零期·UV电访分配'!AE:AE,AM10,'零期·UV电访分配'!AX:AX)-AO10</f>
        <v>15</v>
      </c>
      <c r="AS10" s="219" t="n">
        <f>AR10/AP10</f>
        <v>0.254237288135593</v>
      </c>
      <c r="AT10" s="219" t="n">
        <f>AR10/AQ10</f>
        <v>0.462249614791988</v>
      </c>
    </row>
    <row r="11" ht="24" customHeight="1">
      <c r="B11" s="56" t="s">
        <v>49</v>
      </c>
      <c r="C11" s="56" t="s">
        <v>44</v>
      </c>
      <c r="D11" s="56" t="n">
        <v>4</v>
      </c>
      <c r="E11" s="56" t="n">
        <f>COUNTIFS('UV台帐'!W:W,B11,'UV台帐'!AB:AB,"在读")</f>
        <v>89</v>
      </c>
      <c r="F11" s="66" t="n">
        <f>E11/(D11*25)</f>
        <v>0.89</v>
      </c>
      <c r="G11" s="56" t="n">
        <f>SUMPRODUCT(('UV台帐'!W:W=B11)*('UV台帐'!AC:AC="是"))</f>
        <v>5</v>
      </c>
      <c r="H11" s="57" t="n">
        <f>G11/E11</f>
        <v>0.0561797752808989</v>
      </c>
      <c r="I11" s="56" t="n">
        <f>COUNTIFS('UV台帐'!W:W,B11,'UV台帐'!AB:AB,"课前退")</f>
        <v>9</v>
      </c>
      <c r="J11" s="77" t="n">
        <f>I11/(E11+I11)</f>
        <v>0.0918367346938776</v>
      </c>
      <c r="K11" s="151" t="n">
        <f>COUNTIF('陈南05'!T:T,"是")/E11</f>
        <v>0.865168539325843</v>
      </c>
      <c r="L11" s="151" t="n">
        <f>COUNTIF('陈南05'!U:U,"是")/E11</f>
        <v>0.51685393258427</v>
      </c>
      <c r="M11" s="151" t="n">
        <f>COUNTIF('陈南05'!V:V,"是")/E11</f>
        <v>0.157303370786517</v>
      </c>
      <c r="O11" s="231"/>
      <c r="P11" s="257" t="s">
        <v>50</v>
      </c>
      <c r="Q11" s="257" t="n">
        <f>SUMIF('一期·UV电访分配'!BF:BF,P11,'一期·UV电访分配'!BR:BR)</f>
        <v>7</v>
      </c>
      <c r="R11" s="257" t="n">
        <v>0</v>
      </c>
      <c r="S11" s="257" t="n">
        <f>Q11-R11</f>
        <v>7</v>
      </c>
      <c r="T11" s="258" t="n">
        <f>S11*55%</f>
        <v>3.85</v>
      </c>
      <c r="U11" s="289" t="n">
        <f>SUMIF('一期·UV电访分配'!BF:BF,P11,'一期·UV电访分配'!BW:BW)-R11</f>
        <v>0</v>
      </c>
      <c r="V11" s="295" t="n">
        <f>U11/S11</f>
        <v>0</v>
      </c>
      <c r="W11" s="424" t="n">
        <f>U11/T11</f>
        <v>0</v>
      </c>
      <c r="X11" s="444" t="n">
        <f>COUNTIFS('一期·UV电访分配'!BF:BF,P11,'一期·UV电访分配'!AJ:AJ,"*S*")</f>
        <v>1</v>
      </c>
      <c r="Y11" s="445" t="n">
        <f>X11/(Z11+AB11+AD11+X11)</f>
        <v>0.142857142857143</v>
      </c>
      <c r="Z11" s="446" t="n">
        <f>COUNTIFS('一期·UV电访分配'!BF:BF,P11,'一期·UV电访分配'!AJ:AJ,"*A*")</f>
        <v>3</v>
      </c>
      <c r="AA11" s="447" t="n">
        <f>Z11/(Z11+AB11+AD11+X11)</f>
        <v>0.428571428571429</v>
      </c>
      <c r="AB11" s="448" t="n">
        <f>COUNTIFS('一期·UV电访分配'!BF:BF,P11,'一期·UV电访分配'!AJ:AJ,"*B*")</f>
        <v>3</v>
      </c>
      <c r="AC11" s="449" t="n">
        <f>AB11/(Z11+AB11+AD11+X11)</f>
        <v>0.428571428571429</v>
      </c>
      <c r="AD11" s="450" t="n">
        <f>COUNTIFS('一期·UV电访分配'!BF:BF,P11,'一期·UV电访分配'!AJ:AJ,"*C*")</f>
        <v>0</v>
      </c>
      <c r="AE11" s="449" t="n">
        <f>AD11/(Z11+AB11+AD11+X11)</f>
        <v>0</v>
      </c>
      <c r="AL11" s="220"/>
      <c r="AM11" s="526" t="s">
        <v>50</v>
      </c>
      <c r="AN11" s="526" t="n">
        <f>SUMIF('零期·UV电访分配'!AE:AE,AM11,'零期·UV电访分配'!AS:AS)</f>
        <v>25</v>
      </c>
      <c r="AO11" s="526" t="n">
        <v>1</v>
      </c>
      <c r="AP11" s="526" t="n">
        <f>AN11-AO11</f>
        <v>24</v>
      </c>
      <c r="AQ11" s="530" t="n">
        <f>AP11*55%</f>
        <v>13.2</v>
      </c>
      <c r="AR11" s="526" t="n">
        <f>SUMIF('零期·UV电访分配'!AE:AE,AM11,'零期·UV电访分配'!AX:AX)-AO11</f>
        <v>4</v>
      </c>
      <c r="AS11" s="219" t="n">
        <f>AR11/AP11</f>
        <v>0.166666666666667</v>
      </c>
      <c r="AT11" s="219" t="n">
        <f>AR11/AQ11</f>
        <v>0.303030303030303</v>
      </c>
    </row>
    <row r="12" ht="24" customHeight="1">
      <c r="B12" s="69" t="s">
        <v>51</v>
      </c>
      <c r="C12" s="135"/>
      <c r="D12" s="69" t="n">
        <f>SUM(D9:D11)</f>
        <v>16</v>
      </c>
      <c r="E12" s="69" t="n">
        <f>SUM(E9:E11)</f>
        <v>366</v>
      </c>
      <c r="F12" s="70" t="n">
        <f>E12/(D12*25)</f>
        <v>0.915</v>
      </c>
      <c r="G12" s="69" t="n">
        <f>SUM(G9:G11)</f>
        <v>46</v>
      </c>
      <c r="H12" s="71" t="n">
        <f>G12/E12</f>
        <v>0.12568306010929</v>
      </c>
      <c r="I12" s="69" t="n">
        <f>SUM(I9:I11)</f>
        <v>34</v>
      </c>
      <c r="J12" s="79" t="n">
        <f>I12/(E12+I12)</f>
        <v>0.085</v>
      </c>
      <c r="K12" s="154" t="n">
        <f>(K9*$E$9+K10*$E$10+K11*$E$11)/$E$12</f>
        <v>0.781420765027322</v>
      </c>
      <c r="L12" s="154" t="n">
        <f>(L9*$E$9+L10*$E$10+L11*$E$11)/$E$12</f>
        <v>0.562841530054645</v>
      </c>
      <c r="M12" s="154" t="n">
        <f>(M9*$E$9+M10*$E$10+M11*$E$11)/$E$12</f>
        <v>0.325136612021858</v>
      </c>
      <c r="O12" s="302" t="s">
        <v>42</v>
      </c>
      <c r="P12" s="303"/>
      <c r="Q12" s="302" t="n">
        <f>SUM(Q9:Q11)</f>
        <v>63</v>
      </c>
      <c r="R12" s="302" t="n">
        <f>SUM(R9:R11)</f>
        <v>14</v>
      </c>
      <c r="S12" s="302" t="n">
        <f>Q12-R12</f>
        <v>49</v>
      </c>
      <c r="T12" s="304" t="n">
        <f>S12*55%</f>
        <v>26.95</v>
      </c>
      <c r="U12" s="302" t="n">
        <f>SUM(U9:U11)</f>
        <v>0</v>
      </c>
      <c r="V12" s="307" t="n">
        <f>U12/S12</f>
        <v>0</v>
      </c>
      <c r="W12" s="426" t="n">
        <f>U12/T12</f>
        <v>0</v>
      </c>
      <c r="X12" s="451" t="n">
        <f>SUM(X9:X11)</f>
        <v>2</v>
      </c>
      <c r="Y12" s="452" t="n">
        <f>X12/(Z12+AB12+AD12+X12)</f>
        <v>0.0540540540540541</v>
      </c>
      <c r="Z12" s="451" t="n">
        <f>SUM(Z9:Z11)</f>
        <v>18</v>
      </c>
      <c r="AA12" s="453" t="n">
        <f>Z12/(Z12+AB12+AD12+X12)</f>
        <v>0.486486486486487</v>
      </c>
      <c r="AB12" s="451" t="n">
        <f>SUM(AB9:AB11)</f>
        <v>16</v>
      </c>
      <c r="AC12" s="454" t="n">
        <f>AB12/(Z12+AB12+AD12+X12)</f>
        <v>0.432432432432432</v>
      </c>
      <c r="AD12" s="451" t="n">
        <f>SUM(AD9:AD11)</f>
        <v>1</v>
      </c>
      <c r="AE12" s="454" t="n">
        <f>AD12/(Z12+AB12+AD12+X12)</f>
        <v>0.027027027027027</v>
      </c>
      <c r="AL12" s="519" t="s">
        <v>42</v>
      </c>
      <c r="AM12" s="520"/>
      <c r="AN12" s="519" t="n">
        <f>SUM(AN9:AN11)</f>
        <v>155</v>
      </c>
      <c r="AO12" s="519" t="n">
        <f>SUM(AO9:AO11)</f>
        <v>25</v>
      </c>
      <c r="AP12" s="519" t="n">
        <f>AN12-AO12</f>
        <v>130</v>
      </c>
      <c r="AQ12" s="521" t="n">
        <f>AP12*55%</f>
        <v>71.5</v>
      </c>
      <c r="AR12" s="519" t="n">
        <f>SUM(AR9:AR11)</f>
        <v>38</v>
      </c>
      <c r="AS12" s="535" t="n">
        <f>AR12/AP12</f>
        <v>0.292307692307692</v>
      </c>
      <c r="AT12" s="535" t="n">
        <f>AR12/AQ12</f>
        <v>0.531468531468532</v>
      </c>
    </row>
    <row r="13" ht="24" customHeight="1">
      <c r="B13" s="56" t="s">
        <v>52</v>
      </c>
      <c r="C13" s="56" t="s">
        <v>53</v>
      </c>
      <c r="D13" s="56" t="n">
        <v>6</v>
      </c>
      <c r="E13" s="56" t="n">
        <f>COUNTIFS('UV台帐'!AF:AF,B13,'UV台帐'!AK:AK,"在读")</f>
        <v>85</v>
      </c>
      <c r="F13" s="66" t="n">
        <f>E13/(D13*25)</f>
        <v>0.566666666666667</v>
      </c>
      <c r="G13" s="56" t="n">
        <f>SUMPRODUCT(('UV台帐'!AF:AF=B13)*('UV台帐'!AL:AL="是"))</f>
        <v>15</v>
      </c>
      <c r="H13" s="57" t="n">
        <f>G13/E13</f>
        <v>0.176470588235294</v>
      </c>
      <c r="I13" s="56" t="n">
        <f>COUNTIFS('UV台帐'!AF:AF,B13,'UV台帐'!AK:AK,"课前退")</f>
        <v>12</v>
      </c>
      <c r="J13" s="77" t="n">
        <f>I13/(E13+I13)</f>
        <v>0.123711340206186</v>
      </c>
      <c r="K13" s="151" t="n">
        <f>COUNTIF('刘希子'!T:T,"是")/E13</f>
        <v>0.564705882352941</v>
      </c>
      <c r="L13" s="151" t="n">
        <f>COUNTIF('刘希子'!U:U,"是")/E13</f>
        <v>0.458823529411765</v>
      </c>
      <c r="M13" s="151" t="n">
        <f>COUNTIF('刘希子'!V:V,"是")/E13</f>
        <v>0.588235294117647</v>
      </c>
      <c r="O13" s="257" t="s">
        <v>54</v>
      </c>
      <c r="P13" s="257" t="s">
        <v>55</v>
      </c>
      <c r="Q13" s="257" t="n">
        <f>SUMIF('一期·UV电访分配'!BF:BF,P13,'一期·UV电访分配'!BR:BR)</f>
        <v>15</v>
      </c>
      <c r="R13" s="257" t="n">
        <v>1</v>
      </c>
      <c r="S13" s="257" t="n">
        <f>Q13-R13</f>
        <v>14</v>
      </c>
      <c r="T13" s="258" t="n">
        <f>S13*55%</f>
        <v>7.7</v>
      </c>
      <c r="U13" s="289" t="n">
        <f>SUMIF('一期·UV电访分配'!BF:BF,P13,'一期·UV电访分配'!BW:BW)-R13</f>
        <v>0</v>
      </c>
      <c r="V13" s="295" t="n">
        <f>U13/S13</f>
        <v>0</v>
      </c>
      <c r="W13" s="424" t="n">
        <f>U13/T13</f>
        <v>0</v>
      </c>
      <c r="X13" s="444" t="n">
        <f>COUNTIFS('一期·UV电访分配'!BF:BF,P13,'一期·UV电访分配'!AJ:AJ,"*S*")</f>
        <v>0</v>
      </c>
      <c r="Y13" s="445" t="n">
        <f>X13/(Z13+AB13+AD13+X13)</f>
        <v>0</v>
      </c>
      <c r="Z13" s="446" t="n">
        <f>COUNTIFS('一期·UV电访分配'!BF:BF,P13,'一期·UV电访分配'!AJ:AJ,"*A*")</f>
        <v>5</v>
      </c>
      <c r="AA13" s="447" t="n">
        <f>Z13/(Z13+AB13+AD13+X13)</f>
        <v>0.454545454545455</v>
      </c>
      <c r="AB13" s="448" t="n">
        <f>COUNTIFS('一期·UV电访分配'!BF:BF,P13,'一期·UV电访分配'!AJ:AJ,"*B*")</f>
        <v>3</v>
      </c>
      <c r="AC13" s="449" t="n">
        <f>AB13/(Z13+AB13+AD13+X13)</f>
        <v>0.272727272727273</v>
      </c>
      <c r="AD13" s="450" t="n">
        <f>COUNTIFS('一期·UV电访分配'!BF:BF,P13,'一期·UV电访分配'!AJ:AJ,"*C*")</f>
        <v>3</v>
      </c>
      <c r="AE13" s="449" t="n">
        <f>AD13/(Z13+AB13+AD13+X13)</f>
        <v>0.272727272727273</v>
      </c>
      <c r="AL13" s="526" t="s">
        <v>54</v>
      </c>
      <c r="AM13" s="526" t="s">
        <v>55</v>
      </c>
      <c r="AN13" s="526" t="n">
        <f>SUMIF('零期·UV电访分配'!AE:AE,AM13,'零期·UV电访分配'!AS:AS)</f>
        <v>21</v>
      </c>
      <c r="AO13" s="526"/>
      <c r="AP13" s="526" t="n">
        <f>AN13-AO13</f>
        <v>21</v>
      </c>
      <c r="AQ13" s="530" t="n">
        <f>AP13*55%</f>
        <v>11.55</v>
      </c>
      <c r="AR13" s="526" t="n">
        <f>SUMIF('零期·UV电访分配'!AE:AE,AM13,'零期·UV电访分配'!AX:AX)-AO13</f>
        <v>1</v>
      </c>
      <c r="AS13" s="219" t="n">
        <f>AR13/AP13</f>
        <v>0.0476190476190476</v>
      </c>
      <c r="AT13" s="219" t="n">
        <f>AR13/AQ13</f>
        <v>0.0865800865800866</v>
      </c>
    </row>
    <row r="14" ht="24" customHeight="1">
      <c r="B14" s="56" t="s">
        <v>56</v>
      </c>
      <c r="C14" s="56" t="s">
        <v>53</v>
      </c>
      <c r="D14" s="56" t="n">
        <v>7</v>
      </c>
      <c r="E14" s="56" t="n">
        <f>COUNTIFS('UV台帐'!AF:AF,B14,'UV台帐'!AK:AK,"在读")</f>
        <v>137</v>
      </c>
      <c r="F14" s="66" t="n">
        <f>E14/(D14*25)</f>
        <v>0.782857142857143</v>
      </c>
      <c r="G14" s="56" t="n">
        <f>SUMPRODUCT(('UV台帐'!AF:AF=B14)*('UV台帐'!AL:AL="是"))</f>
        <v>13</v>
      </c>
      <c r="H14" s="57" t="n">
        <f>G14/E14</f>
        <v>0.0948905109489051</v>
      </c>
      <c r="I14" s="56" t="n">
        <f>COUNTIFS('UV台帐'!AF:AF,B14,'UV台帐'!AK:AK,"课前退")</f>
        <v>9</v>
      </c>
      <c r="J14" s="77" t="n">
        <f>I14/(E14+I14)</f>
        <v>0.0616438356164384</v>
      </c>
      <c r="K14" s="151" t="n">
        <f>COUNTIF('肖锐03'!T:T,"是")/E14</f>
        <v>0.605839416058394</v>
      </c>
      <c r="L14" s="151" t="n">
        <f>COUNTIF('肖锐03'!U:U,"是")/E14</f>
        <v>0.306569343065693</v>
      </c>
      <c r="M14" s="151" t="n">
        <f>COUNTIF('肖锐03'!V:V,"是")/E14</f>
        <v>0.35036496350365</v>
      </c>
      <c r="O14" s="231"/>
      <c r="P14" s="257" t="s">
        <v>57</v>
      </c>
      <c r="Q14" s="257" t="n">
        <f>SUMIF('一期·UV电访分配'!BF:BF,P14,'一期·UV电访分配'!BR:BR)</f>
        <v>16</v>
      </c>
      <c r="R14" s="257" t="n">
        <v>0</v>
      </c>
      <c r="S14" s="257" t="n">
        <f>Q14-R14</f>
        <v>16</v>
      </c>
      <c r="T14" s="258" t="n">
        <f>S14*55%</f>
        <v>8.8</v>
      </c>
      <c r="U14" s="289" t="n">
        <f>SUMIF('一期·UV电访分配'!BF:BF,P14,'一期·UV电访分配'!BW:BW)-R14</f>
        <v>0</v>
      </c>
      <c r="V14" s="295" t="n">
        <f>U14/S14</f>
        <v>0</v>
      </c>
      <c r="W14" s="424" t="n">
        <f>U14/T14</f>
        <v>0</v>
      </c>
      <c r="X14" s="444" t="n">
        <f>COUNTIFS('一期·UV电访分配'!BF:BF,P14,'一期·UV电访分配'!AJ:AJ,"*S*")</f>
        <v>2</v>
      </c>
      <c r="Y14" s="445" t="n">
        <f>X14/(Z14+AB14+AD14+X14)</f>
        <v>0.142857142857143</v>
      </c>
      <c r="Z14" s="446" t="n">
        <f>COUNTIFS('一期·UV电访分配'!BF:BF,P14,'一期·UV电访分配'!AJ:AJ,"*A*")</f>
        <v>5</v>
      </c>
      <c r="AA14" s="447" t="n">
        <f>Z14/(Z14+AB14+AD14+X14)</f>
        <v>0.357142857142857</v>
      </c>
      <c r="AB14" s="448" t="n">
        <f>COUNTIFS('一期·UV电访分配'!BF:BF,P14,'一期·UV电访分配'!AJ:AJ,"*B*")</f>
        <v>6</v>
      </c>
      <c r="AC14" s="449" t="n">
        <f>AB14/(Z14+AB14+AD14+X14)</f>
        <v>0.428571428571429</v>
      </c>
      <c r="AD14" s="450" t="n">
        <f>COUNTIFS('一期·UV电访分配'!BF:BF,P14,'一期·UV电访分配'!AJ:AJ,"*C*")</f>
        <v>1</v>
      </c>
      <c r="AE14" s="449" t="n">
        <f>AD14/(Z14+AB14+AD14+X14)</f>
        <v>0.0714285714285714</v>
      </c>
      <c r="AL14" s="220"/>
      <c r="AM14" s="526" t="s">
        <v>57</v>
      </c>
      <c r="AN14" s="526" t="n">
        <f>SUMIF('零期·UV电访分配'!AE:AE,AM14,'零期·UV电访分配'!AS:AS)</f>
        <v>58</v>
      </c>
      <c r="AO14" s="526" t="n">
        <v>12</v>
      </c>
      <c r="AP14" s="526" t="n">
        <f>AN14-AO14</f>
        <v>46</v>
      </c>
      <c r="AQ14" s="530" t="n">
        <f>AP14*55%</f>
        <v>25.3</v>
      </c>
      <c r="AR14" s="526" t="n">
        <f>SUMIF('零期·UV电访分配'!AE:AE,AM14,'零期·UV电访分配'!AX:AX)-AO14</f>
        <v>6</v>
      </c>
      <c r="AS14" s="219" t="n">
        <f>AR14/AP14</f>
        <v>0.130434782608696</v>
      </c>
      <c r="AT14" s="219" t="n">
        <f>AR14/AQ14</f>
        <v>0.237154150197628</v>
      </c>
    </row>
    <row r="15" ht="24" customHeight="1">
      <c r="B15" s="56" t="s">
        <v>58</v>
      </c>
      <c r="C15" s="56" t="s">
        <v>53</v>
      </c>
      <c r="D15" s="56" t="n">
        <v>6</v>
      </c>
      <c r="E15" s="56" t="n">
        <f>COUNTIFS('UV台帐'!AF:AF,B15,'UV台帐'!AK:AK,"在读")</f>
        <v>134</v>
      </c>
      <c r="F15" s="66" t="n">
        <f>E15/(D15*25)</f>
        <v>0.893333333333333</v>
      </c>
      <c r="G15" s="56" t="n">
        <f>SUMPRODUCT(('UV台帐'!AF:AF=B15)*('UV台帐'!AL:AL="是"))</f>
        <v>13</v>
      </c>
      <c r="H15" s="57" t="n">
        <f>G15/E15</f>
        <v>0.0970149253731343</v>
      </c>
      <c r="I15" s="56" t="n">
        <f>COUNTIFS('UV台帐'!AF:AF,B15,'UV台帐'!AK:AK,"课前退")</f>
        <v>13</v>
      </c>
      <c r="J15" s="77" t="n">
        <f>I15/(E15+I15)</f>
        <v>0.0884353741496599</v>
      </c>
      <c r="K15" s="151" t="n">
        <f>COUNTIF('高心怡04'!T:T,"是")/E15</f>
        <v>0.395522388059701</v>
      </c>
      <c r="L15" s="151" t="n">
        <f>COUNTIF('高心怡04'!U:U,"是")/E15</f>
        <v>0.223880597014925</v>
      </c>
      <c r="M15" s="151" t="n">
        <f>COUNTIF('高心怡04'!V:V,"是")/E15</f>
        <v>0.432835820895522</v>
      </c>
      <c r="O15" s="231"/>
      <c r="P15" s="257" t="s">
        <v>59</v>
      </c>
      <c r="Q15" s="257" t="n">
        <f>SUMIF('一期·UV电访分配'!BF:BF,P15,'一期·UV电访分配'!BR:BR)</f>
        <v>19</v>
      </c>
      <c r="R15" s="257" t="n">
        <v>1</v>
      </c>
      <c r="S15" s="257" t="n">
        <f>Q15-R15</f>
        <v>18</v>
      </c>
      <c r="T15" s="258" t="n">
        <f>S15*55%</f>
        <v>9.9</v>
      </c>
      <c r="U15" s="289" t="n">
        <f>SUMIF('一期·UV电访分配'!BF:BF,P15,'一期·UV电访分配'!BW:BW)-R15</f>
        <v>0</v>
      </c>
      <c r="V15" s="295" t="n">
        <f>U15/S15</f>
        <v>0</v>
      </c>
      <c r="W15" s="424" t="n">
        <f>U15/T15</f>
        <v>0</v>
      </c>
      <c r="X15" s="444" t="n">
        <f>COUNTIFS('一期·UV电访分配'!BF:BF,P15,'一期·UV电访分配'!AJ:AJ,"*S*")</f>
        <v>2</v>
      </c>
      <c r="Y15" s="445" t="n">
        <f>X15/(Z15+AB15+AD15+X15)</f>
        <v>0.105263157894737</v>
      </c>
      <c r="Z15" s="446" t="n">
        <f>COUNTIFS('一期·UV电访分配'!BF:BF,P15,'一期·UV电访分配'!AJ:AJ,"*A*")</f>
        <v>5</v>
      </c>
      <c r="AA15" s="447" t="n">
        <f>Z15/(Z15+AB15+AD15+X15)</f>
        <v>0.263157894736842</v>
      </c>
      <c r="AB15" s="448" t="n">
        <f>COUNTIFS('一期·UV电访分配'!BF:BF,P15,'一期·UV电访分配'!AJ:AJ,"*B*")</f>
        <v>10</v>
      </c>
      <c r="AC15" s="449" t="n">
        <f>AB15/(Z15+AB15+AD15+X15)</f>
        <v>0.526315789473684</v>
      </c>
      <c r="AD15" s="450" t="n">
        <f>COUNTIFS('一期·UV电访分配'!BF:BF,P15,'一期·UV电访分配'!AJ:AJ,"*C*")</f>
        <v>2</v>
      </c>
      <c r="AE15" s="449" t="n">
        <f>AD15/(Z15+AB15+AD15+X15)</f>
        <v>0.105263157894737</v>
      </c>
      <c r="AL15" s="220"/>
      <c r="AM15" s="526" t="s">
        <v>59</v>
      </c>
      <c r="AN15" s="526" t="n">
        <f>SUMIF('零期·UV电访分配'!AE:AE,AM15,'零期·UV电访分配'!AS:AS)</f>
        <v>16</v>
      </c>
      <c r="AO15" s="526" t="n">
        <v>3</v>
      </c>
      <c r="AP15" s="526" t="n">
        <f>AN15-AO15</f>
        <v>13</v>
      </c>
      <c r="AQ15" s="530" t="n">
        <f>AP15*55%</f>
        <v>7.15</v>
      </c>
      <c r="AR15" s="526" t="n">
        <f>SUMIF('零期·UV电访分配'!AE:AE,AM15,'零期·UV电访分配'!AX:AX)-AO15</f>
        <v>0</v>
      </c>
      <c r="AS15" s="219" t="n">
        <f>AR15/AP15</f>
        <v>0</v>
      </c>
      <c r="AT15" s="219" t="n">
        <f>AR15/AQ15</f>
        <v>0</v>
      </c>
    </row>
    <row r="16" ht="24" customHeight="1">
      <c r="B16" s="53" t="s">
        <v>60</v>
      </c>
      <c r="C16" s="134"/>
      <c r="D16" s="53" t="n">
        <f>SUM(D13:D14)</f>
        <v>13</v>
      </c>
      <c r="E16" s="53" t="n">
        <f>SUM(E13:E15)</f>
        <v>356</v>
      </c>
      <c r="F16" s="58" t="n">
        <f>E16/(D16*25)</f>
        <v>1.09538461538462</v>
      </c>
      <c r="G16" s="53" t="n">
        <f>SUM(G13:G15)</f>
        <v>41</v>
      </c>
      <c r="H16" s="62" t="n">
        <f>G16/E16</f>
        <v>0.115168539325843</v>
      </c>
      <c r="I16" s="53" t="n">
        <f>SUM(I13:I15)</f>
        <v>34</v>
      </c>
      <c r="J16" s="78" t="n">
        <f>I16/(E16+I16)</f>
        <v>0.0871794871794872</v>
      </c>
      <c r="K16" s="153" t="n">
        <f>(K13*$E$13+K14*$E$14+K15*$E$15)/$E$16</f>
        <v>0.51685393258427</v>
      </c>
      <c r="L16" s="153" t="n">
        <f>(L13*$E$13+L14*$E$14+L15*$E$15)/$E$16</f>
        <v>0.311797752808989</v>
      </c>
      <c r="M16" s="153" t="n">
        <f>(M13*$E$13+M14*$E$14+M15*$E$15)/$E$16</f>
        <v>0.438202247191011</v>
      </c>
      <c r="O16" s="308" t="s">
        <v>42</v>
      </c>
      <c r="P16" s="310"/>
      <c r="Q16" s="308" t="n">
        <f>SUM(Q13:Q15)</f>
        <v>50</v>
      </c>
      <c r="R16" s="308" t="n">
        <f>SUM(R13:R15)</f>
        <v>2</v>
      </c>
      <c r="S16" s="308" t="n">
        <f>Q16-R16</f>
        <v>48</v>
      </c>
      <c r="T16" s="311" t="n">
        <f>S16*55%</f>
        <v>26.4</v>
      </c>
      <c r="U16" s="308" t="n">
        <f>SUM(U13:U15)</f>
        <v>0</v>
      </c>
      <c r="V16" s="312" t="n">
        <f>U16/S16</f>
        <v>0</v>
      </c>
      <c r="W16" s="427" t="n">
        <f>U16/T16</f>
        <v>0</v>
      </c>
      <c r="X16" s="451" t="n">
        <f>SUM(X13:X15)</f>
        <v>4</v>
      </c>
      <c r="Y16" s="452" t="n">
        <f>X16/(Z16+AB16+AD16+X16)</f>
        <v>0.0909090909090909</v>
      </c>
      <c r="Z16" s="451" t="n">
        <f>SUM(Z13:Z15)</f>
        <v>15</v>
      </c>
      <c r="AA16" s="453" t="n">
        <f>Z16/(Z16+AB16+AD16+X16)</f>
        <v>0.340909090909091</v>
      </c>
      <c r="AB16" s="451" t="n">
        <f>SUM(AB13:AB15)</f>
        <v>19</v>
      </c>
      <c r="AC16" s="454" t="n">
        <f>AB16/(Z16+AB16+AD16+X16)</f>
        <v>0.431818181818182</v>
      </c>
      <c r="AD16" s="451" t="n">
        <f>SUM(AD13:AD15)</f>
        <v>6</v>
      </c>
      <c r="AE16" s="454" t="n">
        <f>AD16/(Z16+AB16+AD16+X16)</f>
        <v>0.136363636363636</v>
      </c>
      <c r="AL16" s="523" t="s">
        <v>42</v>
      </c>
      <c r="AM16" s="524"/>
      <c r="AN16" s="523" t="n">
        <f>SUM(AN13:AN15)</f>
        <v>95</v>
      </c>
      <c r="AO16" s="523" t="n">
        <f>SUM(AO13:AO15)</f>
        <v>15</v>
      </c>
      <c r="AP16" s="523" t="n">
        <f>AN16-AO16</f>
        <v>80</v>
      </c>
      <c r="AQ16" s="525" t="n">
        <f>AP16*55%</f>
        <v>44</v>
      </c>
      <c r="AR16" s="523" t="n">
        <f>SUM(AR13:AR15)</f>
        <v>7</v>
      </c>
      <c r="AS16" s="536" t="n">
        <f>AR16/AP16</f>
        <v>0.0875</v>
      </c>
      <c r="AT16" s="536" t="n">
        <f>AR16/AQ16</f>
        <v>0.159090909090909</v>
      </c>
    </row>
    <row r="17" ht="24" customHeight="1"/>
    <row r="18" ht="24" customHeight="1">
      <c r="B18" s="67" t="s">
        <v>61</v>
      </c>
      <c r="C18" s="215"/>
      <c r="D18" s="55" t="s">
        <v>62</v>
      </c>
      <c r="E18" s="55"/>
      <c r="F18" s="55"/>
      <c r="G18" s="55"/>
      <c r="H18" s="55"/>
      <c r="I18" s="55"/>
      <c r="J18" s="89"/>
      <c r="K18" s="408" t="s">
        <v>63</v>
      </c>
      <c r="L18" s="170"/>
      <c r="M18" s="406"/>
      <c r="N18" s="180" t="s">
        <v>64</v>
      </c>
      <c r="O18" s="170"/>
      <c r="P18" s="170"/>
      <c r="Q18" s="170"/>
      <c r="R18" s="170"/>
      <c r="S18" s="170"/>
      <c r="T18" s="170"/>
      <c r="U18" s="170"/>
      <c r="V18" s="170"/>
      <c r="W18" s="170"/>
      <c r="Y18" s="546" t="s">
        <v>65</v>
      </c>
      <c r="Z18" s="556" t="s">
        <v>66</v>
      </c>
      <c r="AA18" s="169"/>
      <c r="AB18" s="548" t="s">
        <v>15</v>
      </c>
      <c r="AC18" s="548" t="s">
        <v>67</v>
      </c>
      <c r="AD18" s="548"/>
      <c r="AE18" s="549" t="s">
        <v>68</v>
      </c>
      <c r="AF18" s="549"/>
      <c r="AG18" s="582" t="s">
        <v>69</v>
      </c>
      <c r="AH18" s="557" t="s">
        <v>70</v>
      </c>
      <c r="AI18" s="458"/>
      <c r="AJ18" s="459"/>
      <c r="AK18" s="459"/>
      <c r="AL18" s="459"/>
      <c r="AM18" s="459"/>
      <c r="AN18" s="459"/>
      <c r="AO18" s="460"/>
    </row>
    <row r="19" ht="24" customHeight="1">
      <c r="B19" s="215"/>
      <c r="C19" s="215"/>
      <c r="D19" s="55" t="n">
        <f>SUM(D21:D33)/2</f>
        <v>15</v>
      </c>
      <c r="E19" s="55" t="n">
        <f>E25+E29+E33</f>
        <v>155</v>
      </c>
      <c r="F19" s="91" t="n">
        <f>E19/(25*D19)</f>
        <v>0.413333333333333</v>
      </c>
      <c r="G19" s="55" t="n">
        <f>G25+G29+G33</f>
        <v>28</v>
      </c>
      <c r="H19" s="91" t="n">
        <f>G19/E19</f>
        <v>0.180645161290323</v>
      </c>
      <c r="I19" s="28" t="n">
        <f>SUM(I21:I33)/2</f>
        <v>42</v>
      </c>
      <c r="J19" s="216" t="n">
        <f>I19/(E19+I19)</f>
        <v>0.213197969543147</v>
      </c>
      <c r="K19" s="74" t="n">
        <f>(K25*$E$49+K29*$E$53+K33*$E$57)/$E$43</f>
        <v>1.6297713548179</v>
      </c>
      <c r="L19" s="74" t="n">
        <f>(L25*$E$49+L29*$E$53+L33*$E$57)/$E$43</f>
        <v>0.350258906908637</v>
      </c>
      <c r="M19" s="74" t="n">
        <f>(M25*$E$49+M29*$E$53+M33*$E$57)/$E$43</f>
        <v>0.800320794001709</v>
      </c>
      <c r="N19" s="188" t="n">
        <f>SUM(N21:N33)/2</f>
        <v>0</v>
      </c>
      <c r="O19" s="97" t="n">
        <f>N19/E19</f>
        <v>0</v>
      </c>
      <c r="P19" s="160" t="n">
        <f>SUM(P21:P33)/2</f>
        <v>63</v>
      </c>
      <c r="Q19" s="160" t="n">
        <f>SUM(Q21:Q33)/2</f>
        <v>0</v>
      </c>
      <c r="R19" s="163" t="n">
        <f>Q19/P19</f>
        <v>0</v>
      </c>
      <c r="S19" s="164" t="n">
        <f>SUM(S21:S33)/2</f>
        <v>47</v>
      </c>
      <c r="T19" s="164" t="n">
        <f>SUM(T21:T33)/2</f>
        <v>0</v>
      </c>
      <c r="U19" s="74" t="n">
        <f>T19/S19</f>
        <v>0</v>
      </c>
      <c r="V19" s="165" t="n">
        <f>SUM(V21:V33)/2</f>
        <v>0</v>
      </c>
      <c r="W19" s="179" t="n">
        <f>V19/E19</f>
        <v>0</v>
      </c>
      <c r="Y19" s="547" t="s">
        <v>71</v>
      </c>
      <c r="Z19" s="547" t="s">
        <v>72</v>
      </c>
      <c r="AA19" s="547" t="s">
        <v>73</v>
      </c>
      <c r="AB19" s="550"/>
      <c r="AC19" s="548" t="s">
        <v>74</v>
      </c>
      <c r="AD19" s="548" t="s">
        <v>75</v>
      </c>
      <c r="AE19" s="549" t="s">
        <v>76</v>
      </c>
      <c r="AF19" s="549" t="s">
        <v>77</v>
      </c>
      <c r="AG19" s="558"/>
      <c r="AH19" s="567" t="s">
        <v>25</v>
      </c>
      <c r="AI19" s="552" t="s">
        <v>26</v>
      </c>
      <c r="AJ19" s="570" t="s">
        <v>27</v>
      </c>
      <c r="AK19" s="37" t="s">
        <v>26</v>
      </c>
      <c r="AL19" s="561" t="s">
        <v>28</v>
      </c>
      <c r="AM19" s="37" t="s">
        <v>26</v>
      </c>
      <c r="AN19" s="562" t="s">
        <v>29</v>
      </c>
      <c r="AO19" s="37" t="s">
        <v>26</v>
      </c>
    </row>
    <row r="20" ht="24" customHeight="1">
      <c r="B20" s="55" t="s">
        <v>4</v>
      </c>
      <c r="C20" s="55" t="s">
        <v>5</v>
      </c>
      <c r="D20" s="55" t="s">
        <v>6</v>
      </c>
      <c r="E20" s="55" t="s">
        <v>7</v>
      </c>
      <c r="F20" s="55" t="s">
        <v>8</v>
      </c>
      <c r="G20" s="55" t="s">
        <v>9</v>
      </c>
      <c r="H20" s="55" t="s">
        <v>10</v>
      </c>
      <c r="I20" s="28" t="s">
        <v>11</v>
      </c>
      <c r="J20" s="84" t="s">
        <v>12</v>
      </c>
      <c r="K20" s="125" t="s">
        <v>13</v>
      </c>
      <c r="L20" s="125" t="s">
        <v>14</v>
      </c>
      <c r="M20" s="125" t="s">
        <v>15</v>
      </c>
      <c r="N20" s="189" t="s">
        <v>76</v>
      </c>
      <c r="O20" s="189" t="s">
        <v>78</v>
      </c>
      <c r="P20" s="128" t="s">
        <v>79</v>
      </c>
      <c r="Q20" s="128" t="s">
        <v>80</v>
      </c>
      <c r="R20" s="128" t="s">
        <v>81</v>
      </c>
      <c r="S20" s="125" t="s">
        <v>82</v>
      </c>
      <c r="T20" s="125" t="s">
        <v>83</v>
      </c>
      <c r="U20" s="125" t="s">
        <v>81</v>
      </c>
      <c r="V20" s="181" t="s">
        <v>84</v>
      </c>
      <c r="W20" s="181" t="s">
        <v>81</v>
      </c>
      <c r="Y20" s="203" t="s">
        <v>85</v>
      </c>
      <c r="Z20" s="203" t="n">
        <f>SUMIF('一期·UV电访分配'!A:A,Y20,'一期·UV电访分配'!BR:BR)</f>
        <v>21</v>
      </c>
      <c r="AA20" s="203" t="n">
        <f>COUNTIF('一期·UV电访分配'!A:A,Y20)</f>
        <v>15</v>
      </c>
      <c r="AB20" s="551" t="n">
        <f>IFERROR(COUNTIFS('一期·UV电访分配'!A:A,Y20,'一期·UV电访分配'!R:R,"是")/AA20,0)</f>
        <v>1</v>
      </c>
      <c r="AC20" s="551" t="n">
        <f>IFERROR(COUNTIFS('一期·UV电访分配'!A:A,Y20,'一期·UV电访分配'!AL:AL,"是")/AA20,0)</f>
        <v>0.866666666666667</v>
      </c>
      <c r="AD20" s="551" t="n">
        <f>IFERROR(COUNTIFS('一期·UV电访分配'!A:A,Y20,'一期·UV电访分配'!AM:AM,"是")/AA20,0)</f>
        <v>0</v>
      </c>
      <c r="AE20" s="551" t="n">
        <f>IFERROR(COUNTIFS('一期·UV电访分配'!A:A,Y20,'一期·UV电访分配'!AY:AY,"是")/AA20,0)</f>
        <v>0</v>
      </c>
      <c r="AF20" s="15" t="n">
        <f>IFERROR(COUNTIFS('一期·UV电访分配'!A:A,Y20,'一期·UV电访分配'!BE:BE,"是")/AA20,0)</f>
        <v>0</v>
      </c>
      <c r="AG20" s="559" t="n">
        <f>IFERROR(SUMIF('一期·UV电访分配'!A:A,Y20,'一期·UV电访分配'!BW:BW)/Z20,0)</f>
        <v>0.380952380952381</v>
      </c>
      <c r="AH20" s="568" t="n">
        <f>COUNTIFS('一期·UV电访分配'!A:A,Y20,'一期·UV电访分配'!AJ:AJ,"*S*")</f>
        <v>4</v>
      </c>
      <c r="AI20" s="573" t="n">
        <f>IFERROR(AH20/Z20,0)</f>
        <v>0.19047619047619</v>
      </c>
      <c r="AJ20" s="571" t="n">
        <f>COUNTIFS('一期·UV电访分配'!A:A,Y20,'一期·UV电访分配'!AJ:AJ,"*A*")</f>
        <v>3</v>
      </c>
      <c r="AK20" s="579" t="n">
        <f>IFERROR(AJ20/Z20,0)</f>
        <v>0.142857142857143</v>
      </c>
      <c r="AL20" s="563" t="n">
        <f>COUNTIFS('一期·UV电访分配'!A:A,Y20,'一期·UV电访分配'!AJ:AJ,"*B*")</f>
        <v>4</v>
      </c>
      <c r="AM20" s="531" t="n">
        <f>IFERROR(AL20/Z20,0)</f>
        <v>0.19047619047619</v>
      </c>
      <c r="AN20" s="564" t="n">
        <f>COUNTIFS('一期·UV电访分配'!A:A,Y20,'一期·UV电访分配'!AJ:AJ,"*C*")</f>
        <v>0</v>
      </c>
      <c r="AO20" s="531" t="n">
        <f>IFERROR(AN20/Z20,0)</f>
        <v>0</v>
      </c>
    </row>
    <row r="21" ht="24" customHeight="1">
      <c r="B21" s="56" t="s">
        <v>31</v>
      </c>
      <c r="C21" s="56" t="s">
        <v>32</v>
      </c>
      <c r="D21" s="56" t="n">
        <v>2</v>
      </c>
      <c r="E21" s="56" t="n">
        <f>COUNTIFS('UV台帐'!N:N,B21,'UV台帐'!S:S,"在读",'UV台帐'!R:R,"一期")</f>
        <v>21</v>
      </c>
      <c r="F21" s="66" t="n">
        <f>E21/(D21*25)</f>
        <v>0.42</v>
      </c>
      <c r="G21" s="56" t="n">
        <f>SUMPRODUCT(('UV台帐'!N:N=B21)*('UV台帐'!T:T="是")*('UV台帐'!R:R="一期"))</f>
        <v>10</v>
      </c>
      <c r="H21" s="57" t="n">
        <f>G21/E21</f>
        <v>0.476190476190476</v>
      </c>
      <c r="I21" s="56" t="n">
        <f>COUNTIFS('UV台帐'!N:N,B21,'UV台帐'!S:S,"课前退",'UV台帐'!R:R,"一期")</f>
        <v>10</v>
      </c>
      <c r="J21" s="77" t="n">
        <f>I21/(E21+I21)</f>
        <v>0.32258064516129</v>
      </c>
      <c r="K21" s="151" t="n">
        <f>IFERROR(COUNTIFS('陈中帅'!T:T,"是",'陈中帅'!B:B,"一期")/E21,"")</f>
        <v>1.42857142857143</v>
      </c>
      <c r="L21" s="151" t="n">
        <f>COUNTIFS('陈中帅'!U:U,"是",'陈中帅'!B:B,"一期")/E21</f>
        <v>0.0952380952380952</v>
      </c>
      <c r="M21" s="151" t="n">
        <f>COUNTIFS('陈中帅'!V:V,"是",'陈中帅'!B:B,"一期")/E21</f>
        <v>0.0476190476190476</v>
      </c>
      <c r="N21" s="574" t="n">
        <f>COUNTIFS('一期·UV电访分配'!E:E,B21,'一期·UV电访分配'!AY:AY,"是")</f>
        <v>0</v>
      </c>
      <c r="O21" s="142" t="n">
        <f>N21/E21</f>
        <v>0</v>
      </c>
      <c r="P21" s="574" t="n">
        <f>COUNTIFS('一期·UV电访分配'!E:E,B21,'一期·UV电访分配'!I:I,"在读",'一期·UV电访分配'!H:H,"一期",'一期·UV电访分配'!A:A,"同创汇")</f>
        <v>11</v>
      </c>
      <c r="Q21" s="574" t="n">
        <f>COUNTIFS('一期·UV电访分配'!E:E,B21,'一期·UV电访分配'!I:I,"在读",'一期·UV电访分配'!H:H,"一期",'一期·UV电访分配'!A:A,"同创汇",'一期·UV电访分配'!BE:BE,"是")</f>
        <v>0</v>
      </c>
      <c r="R21" s="151" t="n">
        <f>Q21/P21</f>
        <v>0</v>
      </c>
      <c r="S21" s="574" t="n">
        <f>COUNTIFS('一期·UV电访分配'!E:E,B21,'一期·UV电访分配'!I:I,"在读",'一期·UV电访分配'!H:H,"一期",'一期·UV电访分配'!A:A,"新宝利")</f>
        <v>0</v>
      </c>
      <c r="T21" s="574" t="n">
        <f>COUNTIFS('一期·UV电访分配'!E:E,B21,'一期·UV电访分配'!I:I,"在读",'一期·UV电访分配'!H:H,"一期",'一期·UV电访分配'!A:A,"新宝利",'一期·UV电访分配'!BE:BE,"是")</f>
        <v>0</v>
      </c>
      <c r="U21" s="151" t="n">
        <f>IFERROR(T21/S21,0)</f>
        <v>0</v>
      </c>
      <c r="V21" s="574" t="n">
        <f>T21+Q21</f>
        <v>0</v>
      </c>
      <c r="W21" s="151" t="n">
        <f>V21/E21</f>
        <v>0</v>
      </c>
      <c r="Y21" s="203" t="s">
        <v>45</v>
      </c>
      <c r="Z21" s="203" t="n">
        <f>SUMIF('一期·UV电访分配'!A:A,Y21,'一期·UV电访分配'!BR:BR)</f>
        <v>63</v>
      </c>
      <c r="AA21" s="203" t="n">
        <f>COUNTIF('一期·UV电访分配'!A:A,Y21)</f>
        <v>44</v>
      </c>
      <c r="AB21" s="551" t="n">
        <f>COUNTIFS('一期·UV电访分配'!A:A,Y21,'一期·UV电访分配'!R:R,"是")/AA21</f>
        <v>0.977272727272727</v>
      </c>
      <c r="AC21" s="551" t="n">
        <f>COUNTIFS('一期·UV电访分配'!A:A,Y21,'一期·UV电访分配'!AL:AL,"是")/AA21</f>
        <v>0.318181818181818</v>
      </c>
      <c r="AD21" s="551" t="n">
        <f>COUNTIFS('一期·UV电访分配'!A:A,Y21,'一期·UV电访分配'!AM:AM,"是")/AA21</f>
        <v>0</v>
      </c>
      <c r="AE21" s="551" t="n">
        <f>COUNTIFS('一期·UV电访分配'!A:A,Y21,'一期·UV电访分配'!AY:AY,"是")/AA21</f>
        <v>0</v>
      </c>
      <c r="AF21" s="15" t="n">
        <f>COUNTIFS('一期·UV电访分配'!A:A,Y21,'一期·UV电访分配'!BE:BE,"是")/AA21</f>
        <v>0</v>
      </c>
      <c r="AG21" s="559" t="n">
        <f>SUMIF('一期·UV电访分配'!A:A,Y21,'一期·UV电访分配'!BW:BW)/Z21</f>
        <v>0.222222222222222</v>
      </c>
      <c r="AH21" s="568" t="n">
        <f>COUNTIFS('一期·UV电访分配'!A:A,Y21,'一期·UV电访分配'!AJ:AJ,"*S*")</f>
        <v>2</v>
      </c>
      <c r="AI21" s="573" t="n">
        <f>AH21/Z21</f>
        <v>0.0317460317460317</v>
      </c>
      <c r="AJ21" s="571" t="n">
        <f>COUNTIFS('一期·UV电访分配'!A:A,Y21,'一期·UV电访分配'!AJ:AJ,"*A*")</f>
        <v>18</v>
      </c>
      <c r="AK21" s="579" t="n">
        <f>AJ21/Z21</f>
        <v>0.285714285714286</v>
      </c>
      <c r="AL21" s="563" t="n">
        <f>COUNTIFS('一期·UV电访分配'!A:A,Y21,'一期·UV电访分配'!AJ:AJ,"*B*")</f>
        <v>17</v>
      </c>
      <c r="AM21" s="531" t="n">
        <f>AL21/Z21</f>
        <v>0.26984126984127</v>
      </c>
      <c r="AN21" s="564" t="n">
        <f>COUNTIFS('一期·UV电访分配'!A:A,Y21,'一期·UV电访分配'!AJ:AJ,"*C*")</f>
        <v>1</v>
      </c>
      <c r="AO21" s="531" t="n">
        <f>AN21/Z21</f>
        <v>0.0158730158730159</v>
      </c>
    </row>
    <row r="22" ht="24" customHeight="1">
      <c r="B22" s="56" t="s">
        <v>35</v>
      </c>
      <c r="C22" s="56" t="s">
        <v>32</v>
      </c>
      <c r="D22" s="56" t="n">
        <v>2</v>
      </c>
      <c r="E22" s="56" t="n">
        <f>COUNTIFS('UV台帐'!N:N,B22,'UV台帐'!S:S,"在读",'UV台帐'!R:R,"一期")</f>
        <v>24</v>
      </c>
      <c r="F22" s="66" t="n">
        <f>IFERROR(E22/(D22*25),"0")</f>
        <v>0.48</v>
      </c>
      <c r="G22" s="56" t="n">
        <f>SUMPRODUCT(('UV台帐'!N:N=B22)*('UV台帐'!T:T="是")*('UV台帐'!R:R="一期"))</f>
        <v>3</v>
      </c>
      <c r="H22" s="57" t="n">
        <f>IFERROR(G22/E22,"0")</f>
        <v>0.125</v>
      </c>
      <c r="I22" s="56" t="n">
        <f>COUNTIFS('UV台帐'!N:N,B22,'UV台帐'!S:S,"课前退",'UV台帐'!R:R,"一期")</f>
        <v>4</v>
      </c>
      <c r="J22" s="77" t="n">
        <f>IFERROR(I22/(E22+I22),"0")</f>
        <v>0.142857142857143</v>
      </c>
      <c r="K22" s="151" t="n">
        <f>IFERROR(COUNTIFS('何咏04'!T:T,"是",'何咏04'!B:B,"一期")/E22,"0")</f>
        <v>2.04166666666667</v>
      </c>
      <c r="L22" s="151" t="n">
        <f>IFERROR(COUNTIFS('何咏04'!U:U,"是",'何咏04'!B:B,"一期")/E22,"0")</f>
        <v>1.66666666666667</v>
      </c>
      <c r="M22" s="151" t="n">
        <f>IFERROR(COUNTIFS('何咏04'!V:V,"是",'何咏04'!B:B,"一期")/E22,"0")</f>
        <v>0.25</v>
      </c>
      <c r="N22" s="574" t="n">
        <f>COUNTIFS('一期·UV电访分配'!E:E,B22,'一期·UV电访分配'!AY:AY,"是")</f>
        <v>0</v>
      </c>
      <c r="O22" s="142" t="n">
        <f>N22/E22</f>
        <v>0</v>
      </c>
      <c r="P22" s="574" t="n">
        <f>COUNTIFS('一期·UV电访分配'!E:E,B22,'一期·UV电访分配'!I:I,"在读",'一期·UV电访分配'!H:H,"一期",'一期·UV电访分配'!A:A,"同创汇")</f>
        <v>0</v>
      </c>
      <c r="Q22" s="574" t="n">
        <f>COUNTIFS('一期·UV电访分配'!E:E,B22,'一期·UV电访分配'!I:I,"在读",'一期·UV电访分配'!H:H,"一期",'一期·UV电访分配'!A:A,"同创汇",'一期·UV电访分配'!BE:BE,"是")</f>
        <v>0</v>
      </c>
      <c r="R22" s="151" t="e">
        <f>Q22/P22</f>
        <v>#DIV/0!</v>
      </c>
      <c r="S22" s="574"/>
      <c r="T22" s="574" t="n">
        <v>0</v>
      </c>
      <c r="U22" s="151" t="n">
        <f>IFERROR(T22/S22,0)</f>
        <v>0</v>
      </c>
      <c r="V22" s="574" t="n">
        <f>T22+Q22</f>
        <v>0</v>
      </c>
      <c r="W22" s="151" t="n">
        <f>V22/E22</f>
        <v>0</v>
      </c>
      <c r="Y22" s="203" t="s">
        <v>54</v>
      </c>
      <c r="Z22" s="203" t="n">
        <f>SUMIF('一期·UV电访分配'!A:A,Y22,'一期·UV电访分配'!BR:BR)</f>
        <v>71</v>
      </c>
      <c r="AA22" s="203" t="n">
        <f>COUNTIF('一期·UV电访分配'!A:A,Y22)</f>
        <v>58</v>
      </c>
      <c r="AB22" s="551" t="n">
        <f>COUNTIFS('一期·UV电访分配'!A:A,Y22,'一期·UV电访分配'!R:R,"是")/AA22</f>
        <v>1</v>
      </c>
      <c r="AC22" s="551" t="n">
        <f>COUNTIFS('一期·UV电访分配'!A:A,Y22,'一期·UV电访分配'!AL:AL,"是")/AA22</f>
        <v>0.689655172413793</v>
      </c>
      <c r="AD22" s="551" t="n">
        <f>COUNTIFS('一期·UV电访分配'!A:A,Y22,'一期·UV电访分配'!AM:AM,"是")/AA22</f>
        <v>0</v>
      </c>
      <c r="AE22" s="551" t="n">
        <f>COUNTIFS('一期·UV电访分配'!A:A,Y22,'一期·UV电访分配'!AY:AY,"是")/AA22</f>
        <v>0</v>
      </c>
      <c r="AF22" s="15" t="n">
        <f>COUNTIFS('一期·UV电访分配'!A:A,Y22,'一期·UV电访分配'!BE:BE,"是")/AA22</f>
        <v>0</v>
      </c>
      <c r="AG22" s="559" t="n">
        <f>SUMIF('一期·UV电访分配'!A:A,Y22,'一期·UV电访分配'!BW:BW)/Z22</f>
        <v>0.0845070422535211</v>
      </c>
      <c r="AH22" s="568" t="n">
        <f>COUNTIFS('一期·UV电访分配'!A:A,Y22,'一期·UV电访分配'!AJ:AJ,"*S*")</f>
        <v>7</v>
      </c>
      <c r="AI22" s="573" t="n">
        <f>AH22/Z22</f>
        <v>0.0985915492957746</v>
      </c>
      <c r="AJ22" s="571" t="n">
        <f>COUNTIFS('一期·UV电访分配'!A:A,Y22,'一期·UV电访分配'!AJ:AJ,"*A*")</f>
        <v>20</v>
      </c>
      <c r="AK22" s="579" t="n">
        <f>AJ22/Z22</f>
        <v>0.28169014084507</v>
      </c>
      <c r="AL22" s="563" t="n">
        <f>COUNTIFS('一期·UV电访分配'!A:A,Y22,'一期·UV电访分配'!AJ:AJ,"*B*")</f>
        <v>22</v>
      </c>
      <c r="AM22" s="531" t="n">
        <f>AL22/Z22</f>
        <v>0.309859154929577</v>
      </c>
      <c r="AN22" s="564" t="n">
        <f>COUNTIFS('一期·UV电访分配'!A:A,Y22,'一期·UV电访分配'!AJ:AJ,"*C*")</f>
        <v>9</v>
      </c>
      <c r="AO22" s="531" t="n">
        <f>AN22/Z22</f>
        <v>0.126760563380282</v>
      </c>
    </row>
    <row r="23" ht="24" customHeight="1">
      <c r="B23" s="56" t="s">
        <v>37</v>
      </c>
      <c r="C23" s="56" t="s">
        <v>32</v>
      </c>
      <c r="D23" s="56" t="n">
        <v>1</v>
      </c>
      <c r="E23" s="56" t="n">
        <f>COUNTIFS('UV台帐'!N:N,B23,'UV台帐'!S:S,"在读",'UV台帐'!R:R,"一期")</f>
        <v>9</v>
      </c>
      <c r="F23" s="66" t="n">
        <f>E23/(D23*25)</f>
        <v>0.36</v>
      </c>
      <c r="G23" s="56" t="n">
        <f>SUMPRODUCT(('UV台帐'!N:N=B23)*('UV台帐'!T:T="是")*('UV台帐'!R:R="一期"))</f>
        <v>1</v>
      </c>
      <c r="H23" s="57" t="n">
        <f>G23/E23</f>
        <v>0.111111111111111</v>
      </c>
      <c r="I23" s="56" t="n">
        <f>COUNTIFS('UV台帐'!N:N,B23,'UV台帐'!S:S,"课前退",'UV台帐'!R:R,"一期")</f>
        <v>1</v>
      </c>
      <c r="J23" s="77" t="n">
        <f>I23/(E23+I23)</f>
        <v>0.1</v>
      </c>
      <c r="K23" s="151" t="n">
        <f>COUNTIFS('田雨涵01'!T:T,"是",'田雨涵01'!B:B,"一期")/E23</f>
        <v>1.88888888888889</v>
      </c>
      <c r="L23" s="151" t="n">
        <f>COUNTIFS('田雨涵01'!U:U,"是",'田雨涵01'!B:B,"一期")/E23</f>
        <v>0.111111111111111</v>
      </c>
      <c r="M23" s="151" t="n">
        <f>COUNTIFS('田雨涵01'!V:V,"是",'田雨涵01'!B:B,"一期")/E23</f>
        <v>1.88888888888889</v>
      </c>
      <c r="N23" s="574" t="n">
        <f>COUNTIFS('一期·UV电访分配'!E:E,B23,'一期·UV电访分配'!AY:AY,"是")</f>
        <v>0</v>
      </c>
      <c r="O23" s="142" t="n">
        <f>N23/E23</f>
        <v>0</v>
      </c>
      <c r="P23" s="574" t="n">
        <f>COUNTIFS('一期·UV电访分配'!E:E,B23,'一期·UV电访分配'!I:I,"在读",'一期·UV电访分配'!H:H,"一期",'一期·UV电访分配'!A:A,"同创汇")</f>
        <v>9</v>
      </c>
      <c r="Q23" s="574" t="n">
        <f>COUNTIFS('一期·UV电访分配'!E:E,B23,'一期·UV电访分配'!I:I,"在读",'一期·UV电访分配'!H:H,"一期",'一期·UV电访分配'!A:A,"同创汇",'一期·UV电访分配'!BE:BE,"是")</f>
        <v>0</v>
      </c>
      <c r="R23" s="151" t="n">
        <f>Q23/P23</f>
        <v>0</v>
      </c>
      <c r="S23" s="574" t="n">
        <f>COUNTIFS('一期·UV电访分配'!E:E,B23,'一期·UV电访分配'!I:I,"在读",'一期·UV电访分配'!H:H,"一期",'一期·UV电访分配'!A:A,"新宝利")</f>
        <v>0</v>
      </c>
      <c r="T23" s="574" t="n">
        <f>COUNTIFS('一期·UV电访分配'!E:E,B23,'一期·UV电访分配'!I:I,"在读",'一期·UV电访分配'!H:H,"一期",'一期·UV电访分配'!A:A,"新宝利",'一期·UV电访分配'!BE:BE,"是")</f>
        <v>0</v>
      </c>
      <c r="U23" s="151" t="n">
        <f>IFERROR(T23/S23,0)</f>
        <v>0</v>
      </c>
      <c r="V23" s="574" t="n">
        <f>T23+Q23</f>
        <v>0</v>
      </c>
      <c r="W23" s="151" t="n">
        <f>V23/E23</f>
        <v>0</v>
      </c>
      <c r="Y23" s="553" t="s">
        <v>86</v>
      </c>
      <c r="Z23" s="553" t="n">
        <f>SUM(Z20:Z22)</f>
        <v>155</v>
      </c>
      <c r="AA23" s="553" t="n">
        <f>SUM(AA20:AA22)</f>
        <v>117</v>
      </c>
      <c r="AB23" s="554" t="n">
        <f>COUNTIF('一期·UV电访分配'!R:R,"是")/AA23</f>
        <v>0.991452991452992</v>
      </c>
      <c r="AC23" s="554" t="n">
        <f>COUNTIF('一期·UV电访分配'!AL:AL,"是")/AA23</f>
        <v>0.572649572649573</v>
      </c>
      <c r="AD23" s="554" t="n">
        <f>COUNTIF('一期·UV电访分配'!AM:AM,"是")/AA23</f>
        <v>0</v>
      </c>
      <c r="AE23" s="554" t="n">
        <f>COUNTIF('一期·UV电访分配'!AY:AY,"是")/AA23</f>
        <v>0</v>
      </c>
      <c r="AF23" s="17" t="n">
        <f>COUNTIF('一期·UV电访分配'!BE:BE,"是")/AA23</f>
        <v>0</v>
      </c>
      <c r="AG23" s="560" t="n">
        <f>SUM('一期·UV电访分配'!BW:BW)/Z23</f>
        <v>0.361290322580645</v>
      </c>
      <c r="AH23" s="569" t="n">
        <f>SUM(AH20:AH22)</f>
        <v>13</v>
      </c>
      <c r="AI23" s="577" t="n">
        <f>AH23/Z23</f>
        <v>0.0838709677419355</v>
      </c>
      <c r="AJ23" s="572" t="n">
        <f>SUM(AJ20:AJ22)</f>
        <v>41</v>
      </c>
      <c r="AK23" s="580" t="n">
        <f>AJ23/Z23</f>
        <v>0.264516129032258</v>
      </c>
      <c r="AL23" s="565" t="n">
        <f>SUM(AL20:AL22)</f>
        <v>43</v>
      </c>
      <c r="AM23" s="578" t="n">
        <f>AL23/Z23</f>
        <v>0.27741935483871</v>
      </c>
      <c r="AN23" s="565" t="n">
        <f>SUM(AN20:AN22)</f>
        <v>10</v>
      </c>
      <c r="AO23" s="578" t="n">
        <f>AN23/Z23</f>
        <v>0.0645161290322581</v>
      </c>
    </row>
    <row r="24" ht="24" customHeight="1" hidden="1">
      <c r="B24" s="56" t="s">
        <v>39</v>
      </c>
      <c r="C24" s="56" t="s">
        <v>32</v>
      </c>
      <c r="D24" s="56" t="n">
        <v>0</v>
      </c>
      <c r="E24" s="56" t="n">
        <f>COUNTIFS('UV台帐'!N:N,B24,'UV台帐'!S:S,"在读",'UV台帐'!R:R,"一期")</f>
        <v>0</v>
      </c>
      <c r="F24" s="66" t="s">
        <f>IFERROR(E24/(D24*25),"0")</f>
        <v>87</v>
      </c>
      <c r="G24" s="56" t="n">
        <f>SUMPRODUCT(('UV台帐'!N:N=B24)*('UV台帐'!T:T="是")*('UV台帐'!R:R="一期"))</f>
        <v>0</v>
      </c>
      <c r="H24" s="57" t="s">
        <f>IFERROR(G24/E24,"0")</f>
        <v>87</v>
      </c>
      <c r="I24" s="56" t="n">
        <f>COUNTIFS('UV台帐'!N:N,B24,'UV台帐'!S:S,"课前退",'UV台帐'!R:R,"一期")</f>
        <v>0</v>
      </c>
      <c r="J24" s="77" t="s">
        <f>IFERROR(I24/(E24+I24),"0")</f>
        <v>87</v>
      </c>
      <c r="K24" s="151" t="s">
        <f>IFERROR(COUNTIFS('宗志鹏'!T:T,"是",'宗志鹏'!B:B,"一期")/E24,"0")</f>
        <v>87</v>
      </c>
      <c r="L24" s="151" t="s">
        <f>IFERROR(COUNTIFS('宗志鹏'!U:U,"是",'宗志鹏'!B:B,"一期")/E24,"0")</f>
        <v>87</v>
      </c>
      <c r="M24" s="151" t="s">
        <f>IFERROR(COUNTIFS('宗志鹏'!V:V,"是",'宗志鹏'!B:B,"一期")/E24,"0")</f>
        <v>87</v>
      </c>
      <c r="N24" s="574" t="n">
        <f>COUNTIFS('一期·UV电访分配'!E:E,B24,'一期·UV电访分配'!AY:AY,"是")</f>
        <v>0</v>
      </c>
      <c r="O24" s="142" t="e">
        <f>N24/E24</f>
        <v>#DIV/0!</v>
      </c>
      <c r="P24" s="574" t="n">
        <f>COUNTIFS('一期·UV电访分配'!E:E,B24,'一期·UV电访分配'!I:I,"在读",'一期·UV电访分配'!H:H,"一期",'一期·UV电访分配'!A:A,"同创汇")</f>
        <v>0</v>
      </c>
      <c r="Q24" s="574" t="n">
        <v>0</v>
      </c>
      <c r="R24" s="151" t="e">
        <f>Q24/P24</f>
        <v>#DIV/0!</v>
      </c>
      <c r="S24" s="574"/>
      <c r="T24" s="574" t="n">
        <v>0</v>
      </c>
      <c r="U24" s="151" t="e">
        <f>T24/S24</f>
        <v>#DIV/0!</v>
      </c>
      <c r="V24" s="574" t="n">
        <f>T24+Q24</f>
        <v>0</v>
      </c>
      <c r="W24" s="151" t="e">
        <f>V24/E24</f>
        <v>#DIV/0!</v>
      </c>
    </row>
    <row r="25" ht="24" customHeight="1">
      <c r="B25" s="53" t="s">
        <v>41</v>
      </c>
      <c r="C25" s="134"/>
      <c r="D25" s="53" t="n">
        <f>SUM(D21:D24)</f>
        <v>5</v>
      </c>
      <c r="E25" s="53" t="n">
        <f>SUM(E21:E24)</f>
        <v>54</v>
      </c>
      <c r="F25" s="58" t="n">
        <f>E25/(D25*25)</f>
        <v>0.432</v>
      </c>
      <c r="G25" s="53" t="n">
        <f>SUM(G21:G24)</f>
        <v>14</v>
      </c>
      <c r="H25" s="62" t="n">
        <f>G25/E25</f>
        <v>0.259259259259259</v>
      </c>
      <c r="I25" s="53" t="n">
        <f>SUM(I21:I24)</f>
        <v>15</v>
      </c>
      <c r="J25" s="78" t="n">
        <f>I25/(E25+I25)</f>
        <v>0.217391304347826</v>
      </c>
      <c r="K25" s="153" t="n">
        <f>(K21*$E$45+K22*$E$46+K23*$E$47+K24*$E$48)/$E$49</f>
        <v>1.61645610625203</v>
      </c>
      <c r="L25" s="153" t="n">
        <f>(L21*$E$45+L22*$E$46+L23*$E$47+L24*$E$48)/$E$49</f>
        <v>0.101716877227081</v>
      </c>
      <c r="M25" s="153" t="n">
        <f>(M21*$E$45+M22*$E$46+M23*$E$47+M24*$E$48)/$E$49</f>
        <v>0.799157758341433</v>
      </c>
      <c r="N25" s="575" t="n">
        <f>SUM(N21:N23)</f>
        <v>0</v>
      </c>
      <c r="O25" s="146" t="n">
        <f>N25/E25</f>
        <v>0</v>
      </c>
      <c r="P25" s="575" t="n">
        <f>SUM(P21:P23)</f>
        <v>20</v>
      </c>
      <c r="Q25" s="575" t="n">
        <f>SUM(Q21:Q23)</f>
        <v>0</v>
      </c>
      <c r="R25" s="153" t="n">
        <f>Q25/P25</f>
        <v>0</v>
      </c>
      <c r="S25" s="575" t="n">
        <f>SUM(S21:S23)</f>
        <v>0</v>
      </c>
      <c r="T25" s="575" t="n">
        <f>SUM(T21:T23)</f>
        <v>0</v>
      </c>
      <c r="U25" s="153" t="n">
        <f>IFERROR(T25/S25,0)</f>
        <v>0</v>
      </c>
      <c r="V25" s="575" t="n">
        <f>T25+Q25</f>
        <v>0</v>
      </c>
      <c r="W25" s="153" t="n">
        <f>V25/E25</f>
        <v>0</v>
      </c>
    </row>
    <row r="26" ht="24" customHeight="1">
      <c r="B26" s="56" t="s">
        <v>43</v>
      </c>
      <c r="C26" s="56" t="s">
        <v>44</v>
      </c>
      <c r="D26" s="56" t="n">
        <v>1</v>
      </c>
      <c r="E26" s="56" t="n">
        <f>COUNTIFS('UV台帐'!W:W,B26,'UV台帐'!AB:AB,"在读",'UV台帐'!AA:AA,"一期")</f>
        <v>12</v>
      </c>
      <c r="F26" s="66" t="n">
        <f>E26/(D26*25)</f>
        <v>0.48</v>
      </c>
      <c r="G26" s="56" t="n">
        <f>SUMPRODUCT(('UV台帐'!W:W=B26)*('UV台帐'!AC:AC="是")*('UV台帐'!AA:AA="一期"))</f>
        <v>6</v>
      </c>
      <c r="H26" s="57" t="n">
        <f>G26/E26</f>
        <v>0.5</v>
      </c>
      <c r="I26" s="56" t="n">
        <f>COUNTIFS('UV台帐'!W:W,B26,'UV台帐'!AB:AB,"课前退",'UV台帐'!AA:AA,"一期")</f>
        <v>3</v>
      </c>
      <c r="J26" s="77" t="n">
        <f>I26/(E26+I26)</f>
        <v>0.2</v>
      </c>
      <c r="K26" s="151" t="n">
        <f>COUNTIFS('黄铭怡'!T:T,"是",'黄铭怡'!B:B,"一期")/E26</f>
        <v>1.5</v>
      </c>
      <c r="L26" s="151" t="n">
        <f>COUNTIFS('黄铭怡'!U:U,"是",'黄铭怡'!B:B,"一期")/E26</f>
        <v>0.5</v>
      </c>
      <c r="M26" s="151" t="n">
        <f>COUNTIFS('黄铭怡'!V:V,"是",'黄铭怡'!B:B,"一期")/E26</f>
        <v>1.41666666666667</v>
      </c>
      <c r="N26" s="574" t="n">
        <f>COUNTIFS('一期·UV电访分配'!J:J,B26,'一期·UV电访分配'!AY:AY,"是")</f>
        <v>0</v>
      </c>
      <c r="O26" s="142" t="n">
        <f>N26/E26</f>
        <v>0</v>
      </c>
      <c r="P26" s="574" t="n">
        <f>COUNTIFS('一期·UV电访分配'!J:J,B26,'一期·UV电访分配'!M:M,"在读",'一期·UV电访分配'!L:L,"一期",'一期·UV电访分配'!A:A,"同创汇")</f>
        <v>12</v>
      </c>
      <c r="Q26" s="574" t="n">
        <f>COUNTIFS('一期·UV电访分配'!J:J,B26,'一期·UV电访分配'!M:M,"在读",'一期·UV电访分配'!L:L,"一期",'一期·UV电访分配'!A:A,"同创汇",'一期·UV电访分配'!BE:BE,"是")</f>
        <v>0</v>
      </c>
      <c r="R26" s="151" t="n">
        <f>Q26/P26</f>
        <v>0</v>
      </c>
      <c r="S26" s="574" t="n">
        <f>COUNTIFS('一期·UV电访分配'!J:J,B26,'一期·UV电访分配'!M:M,"在读",'一期·UV电访分配'!L:L,"一期",'一期·UV电访分配'!A:A,"新宝利")</f>
        <v>0</v>
      </c>
      <c r="T26" s="574" t="n">
        <f>COUNTIFS('一期·UV电访分配'!J:J,B26,'一期·UV电访分配'!M:M,"在读",'一期·UV电访分配'!L:L,"一期",'一期·UV电访分配'!A:A,"新宝利",'一期·UV电访分配'!BE:BE,"是")</f>
        <v>0</v>
      </c>
      <c r="U26" s="151" t="n">
        <f>IFERROR(T26/S26,0)</f>
        <v>0</v>
      </c>
      <c r="V26" s="574" t="n">
        <f>T26+Q26</f>
        <v>0</v>
      </c>
      <c r="W26" s="151" t="n">
        <f>V26/E26</f>
        <v>0</v>
      </c>
    </row>
    <row r="27" ht="24" customHeight="1">
      <c r="B27" s="56" t="s">
        <v>47</v>
      </c>
      <c r="C27" s="56" t="s">
        <v>44</v>
      </c>
      <c r="D27" s="56" t="n">
        <v>2</v>
      </c>
      <c r="E27" s="56" t="n">
        <f>COUNTIFS('UV台帐'!W:W,B27,'UV台帐'!AB:AB,"在读",'UV台帐'!AA:AA,"一期")</f>
        <v>19</v>
      </c>
      <c r="F27" s="66" t="n">
        <f>E27/(D27*25)</f>
        <v>0.38</v>
      </c>
      <c r="G27" s="56" t="n">
        <f>SUMPRODUCT(('UV台帐'!W:W=B27)*('UV台帐'!AC:AC="是")*('UV台帐'!AA:AA="一期"))</f>
        <v>0</v>
      </c>
      <c r="H27" s="57" t="n">
        <f>G27/E27</f>
        <v>0</v>
      </c>
      <c r="I27" s="56" t="n">
        <f>COUNTIFS('UV台帐'!W:W,B27,'UV台帐'!AB:AB,"课前退",'UV台帐'!AA:AA,"一期")</f>
        <v>8</v>
      </c>
      <c r="J27" s="77" t="n">
        <f>I27/(E27+I27)</f>
        <v>0.296296296296296</v>
      </c>
      <c r="K27" s="151" t="n">
        <f>COUNTIFS('李润'!T:T,"是",'李润'!B:B,"一期")/E27</f>
        <v>1.78947368421053</v>
      </c>
      <c r="L27" s="151" t="n">
        <f>COUNTIFS('李润'!U:U,"是",'李润'!B:B,"一期")/E27</f>
        <v>1.10526315789474</v>
      </c>
      <c r="M27" s="151" t="n">
        <f>COUNTIFS('李润'!V:V,"是",'李润'!B:B,"一期")/E27</f>
        <v>0.105263157894737</v>
      </c>
      <c r="N27" s="574" t="n">
        <f>COUNTIFS('一期·UV电访分配'!J:J,B27,'一期·UV电访分配'!AY:AY,"是")</f>
        <v>0</v>
      </c>
      <c r="O27" s="142" t="n">
        <f>N27/E27</f>
        <v>0</v>
      </c>
      <c r="P27" s="574" t="n">
        <f>COUNTIFS('一期·UV电访分配'!J:J,B27,'一期·UV电访分配'!M:M,"在读",'一期·UV电访分配'!L:L,"一期",'一期·UV电访分配'!A:A,"同创汇")</f>
        <v>0</v>
      </c>
      <c r="Q27" s="574" t="n">
        <f>COUNTIFS('一期·UV电访分配'!J:J,B27,'一期·UV电访分配'!M:M,"在读",'一期·UV电访分配'!L:L,"一期",'一期·UV电访分配'!A:A,"同创汇",'一期·UV电访分配'!BE:BE,"是")</f>
        <v>0</v>
      </c>
      <c r="R27" s="151" t="n">
        <f>IFERROR(Q27/P27,0)</f>
        <v>0</v>
      </c>
      <c r="S27" s="574" t="n">
        <f>COUNTIFS('一期·UV电访分配'!J:J,B27,'一期·UV电访分配'!M:M,"在读",'一期·UV电访分配'!L:L,"一期",'一期·UV电访分配'!A:A,"新宝利")</f>
        <v>16</v>
      </c>
      <c r="T27" s="574" t="n">
        <f>COUNTIFS('一期·UV电访分配'!J:J,B27,'一期·UV电访分配'!M:M,"在读",'一期·UV电访分配'!L:L,"一期",'一期·UV电访分配'!A:A,"新宝利",'一期·UV电访分配'!BE:BE,"是")</f>
        <v>0</v>
      </c>
      <c r="U27" s="151" t="n">
        <f>T27/S27</f>
        <v>0</v>
      </c>
      <c r="V27" s="574" t="n">
        <f>T27+Q27</f>
        <v>0</v>
      </c>
      <c r="W27" s="151" t="n">
        <f>V27/E27</f>
        <v>0</v>
      </c>
    </row>
    <row r="28" ht="24" customHeight="1">
      <c r="B28" s="56" t="s">
        <v>49</v>
      </c>
      <c r="C28" s="56" t="s">
        <v>44</v>
      </c>
      <c r="D28" s="56" t="n">
        <v>2</v>
      </c>
      <c r="E28" s="56" t="n">
        <f>COUNTIFS('UV台帐'!W:W,B28,'UV台帐'!AB:AB,"在读",'UV台帐'!AA:AA,"一期")</f>
        <v>23</v>
      </c>
      <c r="F28" s="66" t="n">
        <f>E28/(D28*25)</f>
        <v>0.46</v>
      </c>
      <c r="G28" s="56" t="n">
        <f>SUMPRODUCT(('UV台帐'!W:W=B28)*('UV台帐'!AC:AC="是")*('UV台帐'!AA:AA="一期"))</f>
        <v>2</v>
      </c>
      <c r="H28" s="57" t="n">
        <f>G28/E28</f>
        <v>0.0869565217391304</v>
      </c>
      <c r="I28" s="56" t="n">
        <f>COUNTIFS('UV台帐'!W:W,B28,'UV台帐'!AB:AB,"课前退",'UV台帐'!AA:AA,"一期")</f>
        <v>4</v>
      </c>
      <c r="J28" s="77" t="n">
        <f>I28/(E28+I28)</f>
        <v>0.148148148148148</v>
      </c>
      <c r="K28" s="151" t="n">
        <f>COUNTIFS('陈南05'!T:T,"是",'陈南05'!B:B,"一期")/E28</f>
        <v>1.73913043478261</v>
      </c>
      <c r="L28" s="151" t="n">
        <f>COUNTIFS('陈南05'!U:U,"是",'陈南05'!B:B,"一期")/E28</f>
        <v>0.478260869565217</v>
      </c>
      <c r="M28" s="151" t="n">
        <f>COUNTIFS('陈南05'!V:V,"是",'陈南05'!B:B,"一期")/E28</f>
        <v>0.0434782608695652</v>
      </c>
      <c r="N28" s="574" t="n">
        <f>COUNTIFS('一期·UV电访分配'!J:J,B28,'一期·UV电访分配'!AY:AY,"是")</f>
        <v>0</v>
      </c>
      <c r="O28" s="142" t="n">
        <f>N28/E28</f>
        <v>0</v>
      </c>
      <c r="P28" s="574" t="n">
        <f>COUNTIFS('一期·UV电访分配'!J:J,B28,'一期·UV电访分配'!M:M,"在读",'一期·UV电访分配'!L:L,"一期",'一期·UV电访分配'!A:A,"同创汇")</f>
        <v>11</v>
      </c>
      <c r="Q28" s="574" t="n">
        <f>COUNTIFS('一期·UV电访分配'!J:J,B28,'一期·UV电访分配'!M:M,"在读",'一期·UV电访分配'!L:L,"一期",'一期·UV电访分配'!A:A,"同创汇",'一期·UV电访分配'!BE:BE,"是")</f>
        <v>0</v>
      </c>
      <c r="R28" s="151" t="n">
        <f>Q28/P28</f>
        <v>0</v>
      </c>
      <c r="S28" s="574" t="n">
        <f>COUNTIFS('一期·UV电访分配'!J:J,B28,'一期·UV电访分配'!M:M,"在读",'一期·UV电访分配'!L:L,"一期",'一期·UV电访分配'!A:A,"新宝利")</f>
        <v>12</v>
      </c>
      <c r="T28" s="574" t="n">
        <f>COUNTIFS('一期·UV电访分配'!J:J,B28,'一期·UV电访分配'!M:M,"在读",'一期·UV电访分配'!L:L,"一期",'一期·UV电访分配'!A:A,"新宝利",'一期·UV电访分配'!BE:BE,"是")</f>
        <v>0</v>
      </c>
      <c r="U28" s="151" t="n">
        <f>IFERROR(T28/S28,0)</f>
        <v>0</v>
      </c>
      <c r="V28" s="574" t="n">
        <f>T28+Q28</f>
        <v>0</v>
      </c>
      <c r="W28" s="151" t="n">
        <f>V28/E28</f>
        <v>0</v>
      </c>
    </row>
    <row r="29" ht="24" customHeight="1">
      <c r="B29" s="69" t="s">
        <v>51</v>
      </c>
      <c r="C29" s="135"/>
      <c r="D29" s="69" t="n">
        <f>SUM(D26:D28)</f>
        <v>5</v>
      </c>
      <c r="E29" s="69" t="n">
        <f>SUM(E26:E28)</f>
        <v>54</v>
      </c>
      <c r="F29" s="70" t="n">
        <f>E29/(D29*25)</f>
        <v>0.432</v>
      </c>
      <c r="G29" s="69" t="n">
        <f>SUM(G26:G28)</f>
        <v>8</v>
      </c>
      <c r="H29" s="71" t="n">
        <f>G29/E29</f>
        <v>0.148148148148148</v>
      </c>
      <c r="I29" s="69" t="n">
        <f>SUM(I26:I28)</f>
        <v>15</v>
      </c>
      <c r="J29" s="79" t="n">
        <f>I29/(E29+I29)</f>
        <v>0.217391304347826</v>
      </c>
      <c r="K29" s="154" t="n">
        <f>(K26*$E$50+K27*$E$51+K28*$E$52)/$E$53</f>
        <v>1.66400886727689</v>
      </c>
      <c r="L29" s="154" t="n">
        <f>(L26*$E$50+L27*$E$51+L28*$E$52)/$E$53</f>
        <v>0.761405892448515</v>
      </c>
      <c r="M29" s="154" t="n">
        <f>(M26*$E$50+M27*$E$51+M28*$E$52)/$E$53</f>
        <v>0.628366943173152</v>
      </c>
      <c r="N29" s="576" t="n">
        <f>SUM(N26:N28)</f>
        <v>0</v>
      </c>
      <c r="O29" s="158" t="n">
        <f>N29/E29</f>
        <v>0</v>
      </c>
      <c r="P29" s="576" t="n">
        <f>SUM(P26:P28)</f>
        <v>23</v>
      </c>
      <c r="Q29" s="576" t="n">
        <f>SUM(Q26:Q28)</f>
        <v>0</v>
      </c>
      <c r="R29" s="154" t="n">
        <f>Q29/P29</f>
        <v>0</v>
      </c>
      <c r="S29" s="576" t="n">
        <f>SUM(S26:S28)</f>
        <v>28</v>
      </c>
      <c r="T29" s="576" t="n">
        <f>SUM(T26:T28)</f>
        <v>0</v>
      </c>
      <c r="U29" s="154" t="n">
        <f>T29/S29</f>
        <v>0</v>
      </c>
      <c r="V29" s="576" t="n">
        <f>T29+Q29</f>
        <v>0</v>
      </c>
      <c r="W29" s="154" t="n">
        <f>V29/E29</f>
        <v>0</v>
      </c>
    </row>
    <row r="30" ht="24" customHeight="1">
      <c r="B30" s="56" t="s">
        <v>52</v>
      </c>
      <c r="C30" s="56" t="s">
        <v>53</v>
      </c>
      <c r="D30" s="56" t="n">
        <v>1</v>
      </c>
      <c r="E30" s="56" t="n">
        <f>COUNTIFS('UV台帐'!AF:AF,B30,'UV台帐'!AK:AK,"在读",'UV台帐'!AJ:AJ,"一期")</f>
        <v>8</v>
      </c>
      <c r="F30" s="66" t="n">
        <f>E30/(D30*25)</f>
        <v>0.32</v>
      </c>
      <c r="G30" s="56" t="n">
        <f>SUMPRODUCT(('UV台帐'!AF:AF=B30)*('UV台帐'!AL:AL="是")*('UV台帐'!AJ:AJ="一期"))</f>
        <v>2</v>
      </c>
      <c r="H30" s="57" t="n">
        <f>G30/E30</f>
        <v>0.25</v>
      </c>
      <c r="I30" s="56" t="n">
        <f>COUNTIFS('UV台帐'!AF:AF,B30,'UV台帐'!AK:AK,"课前退",'UV台帐'!AJ:AJ,"一期")</f>
        <v>4</v>
      </c>
      <c r="J30" s="77" t="n">
        <f>I30/(E30+I30)</f>
        <v>0.333333333333333</v>
      </c>
      <c r="K30" s="151" t="n">
        <f>COUNTIFS('刘希子'!T:T,"是",'刘希子'!B:B,"一期")/E30</f>
        <v>1.125</v>
      </c>
      <c r="L30" s="151" t="n">
        <f>COUNTIFS('刘希子'!U:U,"是",'刘希子'!B:B,"一期")/E30</f>
        <v>0</v>
      </c>
      <c r="M30" s="151" t="n">
        <f>COUNTIFS('刘希子'!V:V,"是",'刘希子'!B:B,"一期")/E30</f>
        <v>1.375</v>
      </c>
      <c r="N30" s="574" t="n">
        <f>COUNTIFS('一期·UV电访分配'!N:N,B30,'一期·UV电访分配'!AY:AY,"是")</f>
        <v>0</v>
      </c>
      <c r="O30" s="142" t="n">
        <f>N30/E30</f>
        <v>0</v>
      </c>
      <c r="P30" s="574" t="n">
        <f>COUNTIFS('一期·UV电访分配'!N:N,B30,'一期·UV电访分配'!Q:Q,"在读",'一期·UV电访分配'!P:P,"一期",'一期·UV电访分配'!A:A,"同创汇")</f>
        <v>0</v>
      </c>
      <c r="Q30" s="574" t="n">
        <f>COUNTIFS('一期·UV电访分配'!N:N,B30,'一期·UV电访分配'!Q:Q,"在读",'一期·UV电访分配'!P:P,"一期",'一期·UV电访分配'!A:A,"同创汇",'一期·UV电访分配'!BE:BE,"是")</f>
        <v>0</v>
      </c>
      <c r="R30" s="151" t="n">
        <f>IFERROR(Q30/P30,0)</f>
        <v>0</v>
      </c>
      <c r="S30" s="574" t="n">
        <f>COUNTIFS('一期·UV电访分配'!N:N,B30,'一期·UV电访分配'!Q:Q,"在读",'一期·UV电访分配'!P:P,"一期",'一期·UV电访分配'!A:A,"新宝利")</f>
        <v>0</v>
      </c>
      <c r="T30" s="574" t="n">
        <f>COUNTIFS('一期·UV电访分配'!N:N,B30,'一期·UV电访分配'!Q:Q,"在读",'一期·UV电访分配'!P:P,"一期",'一期·UV电访分配'!A:A,"新宝利",'一期·UV电访分配'!BE:BE,"是")</f>
        <v>0</v>
      </c>
      <c r="U30" s="151" t="n">
        <f>IFERROR(T30/S30,0)</f>
        <v>0</v>
      </c>
      <c r="V30" s="574" t="n">
        <f>T30+Q30</f>
        <v>0</v>
      </c>
      <c r="W30" s="151" t="n">
        <f>V30/E30</f>
        <v>0</v>
      </c>
    </row>
    <row r="31" ht="24" customHeight="1">
      <c r="B31" s="56" t="s">
        <v>56</v>
      </c>
      <c r="C31" s="56" t="s">
        <v>53</v>
      </c>
      <c r="D31" s="56" t="n">
        <v>2</v>
      </c>
      <c r="E31" s="56" t="n">
        <f>COUNTIFS('UV台帐'!AF:AF,B31,'UV台帐'!AK:AK,"在读",'UV台帐'!AJ:AJ,"一期")</f>
        <v>19</v>
      </c>
      <c r="F31" s="66" t="n">
        <f>E31/(D31*25)</f>
        <v>0.38</v>
      </c>
      <c r="G31" s="56" t="n">
        <f>SUMPRODUCT(('UV台帐'!AF:AF=B31)*('UV台帐'!AL:AL="是")*('UV台帐'!AJ:AJ="一期"))</f>
        <v>2</v>
      </c>
      <c r="H31" s="57" t="n">
        <f>G31/E31</f>
        <v>0.105263157894737</v>
      </c>
      <c r="I31" s="56" t="n">
        <f>COUNTIFS('UV台帐'!AF:AF,B31,'UV台帐'!AK:AK,"课前退",'UV台帐'!AJ:AJ,"一期")</f>
        <v>3</v>
      </c>
      <c r="J31" s="77" t="n">
        <f>I31/(E31+I31)</f>
        <v>0.136363636363636</v>
      </c>
      <c r="K31" s="151" t="n">
        <f>COUNTIFS('肖锐03'!T:T,"是",'肖锐03'!B:B,"一期")/E31</f>
        <v>2</v>
      </c>
      <c r="L31" s="151" t="n">
        <f>COUNTIFS('肖锐03'!U:U,"是",'肖锐03'!B:B,"一期")/E31</f>
        <v>0.210526315789474</v>
      </c>
      <c r="M31" s="151" t="n">
        <f>COUNTIFS('肖锐03'!V:V,"是",'肖锐03'!B:B,"一期")/E31</f>
        <v>0.263157894736842</v>
      </c>
      <c r="N31" s="574" t="n">
        <f>COUNTIFS('一期·UV电访分配'!N:N,B31,'一期·UV电访分配'!AY:AY,"是")</f>
        <v>0</v>
      </c>
      <c r="O31" s="142" t="n">
        <f>N31/E31</f>
        <v>0</v>
      </c>
      <c r="P31" s="574" t="n">
        <f>COUNTIFS('一期·UV电访分配'!N:N,B31,'一期·UV电访分配'!Q:Q,"在读",'一期·UV电访分配'!P:P,"一期",'一期·UV电访分配'!A:A,"同创汇")</f>
        <v>0</v>
      </c>
      <c r="Q31" s="574" t="n">
        <f>COUNTIFS('一期·UV电访分配'!N:N,B31,'一期·UV电访分配'!Q:Q,"在读",'一期·UV电访分配'!P:P,"一期",'一期·UV电访分配'!A:A,"同创汇",'一期·UV电访分配'!BE:BE,"是")</f>
        <v>0</v>
      </c>
      <c r="R31" s="151" t="n">
        <f>IFERROR(Q31/P31,0)</f>
        <v>0</v>
      </c>
      <c r="S31" s="574" t="n">
        <f>COUNTIFS('一期·UV电访分配'!N:N,B31,'一期·UV电访分配'!Q:Q,"在读",'一期·UV电访分配'!P:P,"一期",'一期·UV电访分配'!A:A,"新宝利")</f>
        <v>19</v>
      </c>
      <c r="T31" s="574" t="n">
        <f>COUNTIFS('一期·UV电访分配'!N:N,B31,'一期·UV电访分配'!Q:Q,"在读",'一期·UV电访分配'!P:P,"一期",'一期·UV电访分配'!A:A,"新宝利",'一期·UV电访分配'!BE:BE,"是")</f>
        <v>0</v>
      </c>
      <c r="U31" s="151" t="n">
        <f>T31/S31</f>
        <v>0</v>
      </c>
      <c r="V31" s="574" t="n">
        <f>T31+Q31</f>
        <v>0</v>
      </c>
      <c r="W31" s="151" t="n">
        <f>V31/E31</f>
        <v>0</v>
      </c>
    </row>
    <row r="32" ht="24" customHeight="1">
      <c r="B32" s="56" t="s">
        <v>58</v>
      </c>
      <c r="C32" s="56" t="s">
        <v>53</v>
      </c>
      <c r="D32" s="56" t="n">
        <v>2</v>
      </c>
      <c r="E32" s="56" t="n">
        <f>COUNTIFS('UV台帐'!AF:AF,B32,'UV台帐'!AK:AK,"在读",'UV台帐'!AJ:AJ,"一期")</f>
        <v>20</v>
      </c>
      <c r="F32" s="66" t="n">
        <f>E32/(D32*25)</f>
        <v>0.4</v>
      </c>
      <c r="G32" s="56" t="n">
        <f>SUMPRODUCT(('UV台帐'!AF:AF=B32)*('UV台帐'!AL:AL="是")*('UV台帐'!AJ:AJ="一期"))</f>
        <v>2</v>
      </c>
      <c r="H32" s="57" t="n">
        <f>G32/E32</f>
        <v>0.1</v>
      </c>
      <c r="I32" s="56" t="n">
        <f>COUNTIFS('UV台帐'!AF:AF,B32,'UV台帐'!AK:AK,"课前退",'UV台帐'!AJ:AJ,"一期")</f>
        <v>5</v>
      </c>
      <c r="J32" s="77" t="n">
        <f>I32/(E32+I32)</f>
        <v>0.2</v>
      </c>
      <c r="K32" s="151" t="n">
        <f>COUNTIFS('高心怡04'!T:T,"是",'高心怡04'!B:B,"一期")/E32</f>
        <v>1.65</v>
      </c>
      <c r="L32" s="151" t="n">
        <f>COUNTIFS('高心怡04'!U:U,"是",'高心怡04'!B:B,"一期")/E32</f>
        <v>0.55</v>
      </c>
      <c r="M32" s="151" t="n">
        <f>COUNTIFS('高心怡04'!V:V,"是",'高心怡04'!B:B,"一期")/E32</f>
        <v>1.75</v>
      </c>
      <c r="N32" s="574" t="n">
        <f>COUNTIFS('一期·UV电访分配'!N:N,B32,'一期·UV电访分配'!AY:AY,"是")</f>
        <v>0</v>
      </c>
      <c r="O32" s="142" t="n">
        <f>N32/E32</f>
        <v>0</v>
      </c>
      <c r="P32" s="574" t="n">
        <f>COUNTIFS('一期·UV电访分配'!N:N,B32,'一期·UV电访分配'!Q:Q,"在读",'一期·UV电访分配'!P:P,"一期",'一期·UV电访分配'!A:A,"同创汇")</f>
        <v>20</v>
      </c>
      <c r="Q32" s="574" t="n">
        <f>COUNTIFS('一期·UV电访分配'!N:N,B32,'一期·UV电访分配'!Q:Q,"在读",'一期·UV电访分配'!P:P,"一期",'一期·UV电访分配'!A:A,"同创汇",'一期·UV电访分配'!BE:BE,"是")</f>
        <v>0</v>
      </c>
      <c r="R32" s="151" t="n">
        <f>Q32/P32</f>
        <v>0</v>
      </c>
      <c r="S32" s="574" t="n">
        <f>COUNTIFS('一期·UV电访分配'!N:N,B32,'一期·UV电访分配'!Q:Q,"在读",'一期·UV电访分配'!P:P,"一期",'一期·UV电访分配'!A:A,"新宝利")</f>
        <v>0</v>
      </c>
      <c r="T32" s="574" t="n">
        <f>COUNTIFS('一期·UV电访分配'!N:N,B32,'一期·UV电访分配'!Q:Q,"在读",'一期·UV电访分配'!P:P,"一期",'一期·UV电访分配'!A:A,"新宝利",'一期·UV电访分配'!BE:BE,"是")</f>
        <v>0</v>
      </c>
      <c r="U32" s="151" t="n">
        <f>IFERROR(T32/S32,0)</f>
        <v>0</v>
      </c>
      <c r="V32" s="574" t="n">
        <f>T32+Q32</f>
        <v>0</v>
      </c>
      <c r="W32" s="151" t="n">
        <f>V32/E32</f>
        <v>0</v>
      </c>
    </row>
    <row r="33" ht="24" customHeight="1">
      <c r="B33" s="53" t="s">
        <v>60</v>
      </c>
      <c r="C33" s="134"/>
      <c r="D33" s="53" t="n">
        <f>SUM(D30:D32)</f>
        <v>5</v>
      </c>
      <c r="E33" s="53" t="n">
        <f>SUM(E30:E32)</f>
        <v>47</v>
      </c>
      <c r="F33" s="58" t="n">
        <f>E33/(D33*25)</f>
        <v>0.376</v>
      </c>
      <c r="G33" s="53" t="n">
        <f>SUM(G30:G32)</f>
        <v>6</v>
      </c>
      <c r="H33" s="62" t="n">
        <f>G33/E33</f>
        <v>0.127659574468085</v>
      </c>
      <c r="I33" s="53" t="n">
        <f>SUM(I30:I32)</f>
        <v>12</v>
      </c>
      <c r="J33" s="78" t="n">
        <f>I33/(E33+I33)</f>
        <v>0.203389830508475</v>
      </c>
      <c r="K33" s="153" t="n">
        <f>(K30*$E$54+K31*$E$55+K32*$E$56)/$E$57</f>
        <v>1.61014851485149</v>
      </c>
      <c r="L33" s="153" t="n">
        <f>(L30*$E$54+L31*$E$55+L32*$E$56)/$E$57</f>
        <v>0.200625325690464</v>
      </c>
      <c r="M33" s="153" t="n">
        <f>(M30*$E$54+M31*$E$55+M32*$E$56)/$E$57</f>
        <v>0.964890568004168</v>
      </c>
      <c r="N33" s="575" t="n">
        <f>SUM(N30:N32)</f>
        <v>0</v>
      </c>
      <c r="O33" s="146" t="n">
        <f>N33/E33</f>
        <v>0</v>
      </c>
      <c r="P33" s="575" t="n">
        <f>SUM(P30:P32)</f>
        <v>20</v>
      </c>
      <c r="Q33" s="575" t="n">
        <f>SUM(Q30:Q32)</f>
        <v>0</v>
      </c>
      <c r="R33" s="153" t="n">
        <f>Q33/P33</f>
        <v>0</v>
      </c>
      <c r="S33" s="575" t="n">
        <f>SUM(S30:S32)</f>
        <v>19</v>
      </c>
      <c r="T33" s="575" t="n">
        <f>SUM(T30:T32)</f>
        <v>0</v>
      </c>
      <c r="U33" s="153" t="n">
        <f>T33/S33</f>
        <v>0</v>
      </c>
      <c r="V33" s="575" t="n">
        <f>T33+Q33</f>
        <v>0</v>
      </c>
      <c r="W33" s="153" t="n">
        <f>V33/E33</f>
        <v>0</v>
      </c>
    </row>
    <row r="34" ht="24" customHeight="1"/>
    <row r="35" ht="24" customHeight="1">
      <c r="B35" s="546" t="s">
        <v>88</v>
      </c>
      <c r="C35" s="556" t="s">
        <v>66</v>
      </c>
      <c r="D35" s="169"/>
      <c r="E35" s="548" t="s">
        <v>15</v>
      </c>
      <c r="F35" s="548" t="s">
        <v>67</v>
      </c>
      <c r="G35" s="548"/>
      <c r="H35" s="549" t="s">
        <v>68</v>
      </c>
      <c r="I35" s="549"/>
      <c r="J35" s="583" t="s">
        <v>69</v>
      </c>
      <c r="K35" s="566" t="s">
        <v>70</v>
      </c>
      <c r="L35" s="555"/>
      <c r="M35" s="130"/>
      <c r="N35" s="130"/>
      <c r="O35" s="130"/>
      <c r="P35" s="130"/>
      <c r="Q35" s="130"/>
      <c r="R35" s="169"/>
    </row>
    <row r="36" ht="24" customHeight="1">
      <c r="B36" s="547" t="s">
        <v>71</v>
      </c>
      <c r="C36" s="547" t="s">
        <v>72</v>
      </c>
      <c r="D36" s="547" t="s">
        <v>73</v>
      </c>
      <c r="E36" s="550"/>
      <c r="F36" s="548" t="s">
        <v>74</v>
      </c>
      <c r="G36" s="548" t="s">
        <v>75</v>
      </c>
      <c r="H36" s="549" t="s">
        <v>76</v>
      </c>
      <c r="I36" s="549" t="s">
        <v>77</v>
      </c>
      <c r="J36" s="558"/>
      <c r="K36" s="567" t="s">
        <v>25</v>
      </c>
      <c r="L36" s="552" t="s">
        <v>26</v>
      </c>
      <c r="M36" s="570" t="s">
        <v>27</v>
      </c>
      <c r="N36" s="37" t="s">
        <v>26</v>
      </c>
      <c r="O36" s="561" t="s">
        <v>28</v>
      </c>
      <c r="P36" s="37" t="s">
        <v>26</v>
      </c>
      <c r="Q36" s="562" t="s">
        <v>29</v>
      </c>
      <c r="R36" s="37" t="s">
        <v>26</v>
      </c>
    </row>
    <row r="37" ht="24" customHeight="1">
      <c r="B37" s="203" t="s">
        <v>85</v>
      </c>
      <c r="C37" s="203" t="n">
        <f>SUMIF('零期·UV电访分配'!A:A,B37,'零期·UV电访分配'!AS:AS)</f>
        <v>0</v>
      </c>
      <c r="D37" s="203" t="n">
        <f>COUNTIF('零期·UV电访分配'!A:A,B37)</f>
        <v>0</v>
      </c>
      <c r="E37" s="551" t="n">
        <f>IFERROR(COUNTIFS('零期·UV电访分配'!A:A,B37,'零期·UV电访分配'!AH:AH,"是")/D37,0)</f>
        <v>0</v>
      </c>
      <c r="F37" s="551" t="n">
        <f>IFERROR(COUNTIFS('零期·UV电访分配'!A:A,B37,'零期·UV电访分配'!S:S,"是")/D37,0)</f>
        <v>0</v>
      </c>
      <c r="G37" s="551" t="n">
        <f>IFERROR(COUNTIFS('零期·UV电访分配'!A:A,B37,'零期·UV电访分配'!T:T,"是")/D37,0)</f>
        <v>0</v>
      </c>
      <c r="H37" s="551" t="n">
        <f>IFERROR(COUNTIFS('零期·UV电访分配'!A:A,B37,'零期·UV电访分配'!AB:AB,"是")/D37,0)</f>
        <v>0</v>
      </c>
      <c r="I37" s="15" t="n">
        <f>IFERROR(COUNTIFS('零期·UV电访分配'!A:A,B37,'零期·UV电访分配'!AD:AD,"是")/D37,0)</f>
        <v>0</v>
      </c>
      <c r="J37" s="559" t="n">
        <f>IFERROR(SUMIF('零期·UV电访分配'!A:A,B37,'零期·UV电访分配'!AX:AX)/C37,0)</f>
        <v>0</v>
      </c>
      <c r="K37" s="568" t="n">
        <f>COUNTIFS('零期·UV电访分配'!A:A,B37,'零期·UV电访分配'!AM:AM,"S")+COUNTIFS('零期·UV电访分配'!A:A,B37,'零期·UV电访分配'!AN:AN,"S")+COUNTIFS('零期·UV电访分配'!A:A,B37,'零期·UV电访分配'!AO:AO,"S")</f>
        <v>0</v>
      </c>
      <c r="L37" s="573" t="n">
        <f>IFERROR(K37/C37,0)</f>
        <v>0</v>
      </c>
      <c r="M37" s="571" t="n">
        <f>COUNTIFS('零期·UV电访分配'!A:A,B37,'零期·UV电访分配'!AM:AM,"A")+COUNTIFS('零期·UV电访分配'!A:A,B37,'零期·UV电访分配'!AN:AN,"A")+COUNTIFS('零期·UV电访分配'!A:A,B37,'零期·UV电访分配'!AO:AO,"A")</f>
        <v>0</v>
      </c>
      <c r="N37" s="579" t="n">
        <f>IFERROR(M37/C37,0)</f>
        <v>0</v>
      </c>
      <c r="O37" s="563" t="n">
        <f>COUNTIFS('零期·UV电访分配'!A:A,B37,'零期·UV电访分配'!AM:AM,"B")+COUNTIFS('零期·UV电访分配'!A:A,B37,'零期·UV电访分配'!AN:AN,"B")+COUNTIFS('零期·UV电访分配'!A:A,B37,'零期·UV电访分配'!AO:AO,"B")</f>
        <v>0</v>
      </c>
      <c r="P37" s="531" t="n">
        <f>IFERROR(O37/C37,0)</f>
        <v>0</v>
      </c>
      <c r="Q37" s="564" t="n">
        <f>COUNTIFS('零期·UV电访分配'!A:A,B37,'零期·UV电访分配'!AM:AM,"C")+COUNTIFS('零期·UV电访分配'!A:A,B37,'零期·UV电访分配'!AN:AN,"C")+COUNTIFS('零期·UV电访分配'!A:A,B37,'零期·UV电访分配'!AO:AO,"C")</f>
        <v>0</v>
      </c>
      <c r="R37" s="531" t="n">
        <f>IFERROR(Q37/C37,0)</f>
        <v>0</v>
      </c>
    </row>
    <row r="38" ht="24" customHeight="1">
      <c r="B38" s="203" t="s">
        <v>45</v>
      </c>
      <c r="C38" s="203" t="n">
        <f>SUMIF('零期·UV电访分配'!A:A,B38,'零期·UV电访分配'!AS:AS)</f>
        <v>168</v>
      </c>
      <c r="D38" s="203" t="n">
        <f>COUNTIF('零期·UV电访分配'!A:A,B38)</f>
        <v>66</v>
      </c>
      <c r="E38" s="551" t="n">
        <f>COUNTIFS('零期·UV电访分配'!A:A,B38,'零期·UV电访分配'!AH:AH,"是")/D38</f>
        <v>1</v>
      </c>
      <c r="F38" s="551" t="n">
        <f>COUNTIFS('零期·UV电访分配'!A:A,B38,'零期·UV电访分配'!S:S,"是")/D38</f>
        <v>0.681818181818182</v>
      </c>
      <c r="G38" s="551" t="n">
        <f>COUNTIFS('零期·UV电访分配'!A:A,B38,'零期·UV电访分配'!T:T,"是")/D38</f>
        <v>0.545454545454545</v>
      </c>
      <c r="H38" s="551" t="n">
        <f>COUNTIFS('零期·UV电访分配'!A:A,B38,'零期·UV电访分配'!AB:AB,"是")/D38</f>
        <v>0.666666666666667</v>
      </c>
      <c r="I38" s="15" t="n">
        <f>COUNTIFS('零期·UV电访分配'!A:A,B38,'零期·UV电访分配'!AD:AD,"是")/D38</f>
        <v>0.621212121212121</v>
      </c>
      <c r="J38" s="559" t="n">
        <f>SUMIF('零期·UV电访分配'!A:A,B38,'零期·UV电访分配'!AX:AX)/C38</f>
        <v>0.386904761904762</v>
      </c>
      <c r="K38" s="568" t="n">
        <f>COUNTIFS('零期·UV电访分配'!A:A,B38,'零期·UV电访分配'!AM:AM,"S")+COUNTIFS('零期·UV电访分配'!A:A,B38,'零期·UV电访分配'!AN:AN,"S")+COUNTIFS('零期·UV电访分配'!A:A,B38,'零期·UV电访分配'!AO:AO,"S")</f>
        <v>17</v>
      </c>
      <c r="L38" s="573" t="n">
        <f>K38/C38</f>
        <v>0.101190476190476</v>
      </c>
      <c r="M38" s="571" t="n">
        <f>COUNTIFS('零期·UV电访分配'!A:A,B38,'零期·UV电访分配'!AM:AM,"A")+COUNTIFS('零期·UV电访分配'!A:A,B38,'零期·UV电访分配'!AN:AN,"A")+COUNTIFS('零期·UV电访分配'!A:A,B38,'零期·UV电访分配'!AO:AO,"A")</f>
        <v>37</v>
      </c>
      <c r="N38" s="579" t="n">
        <f>M38/C38</f>
        <v>0.220238095238095</v>
      </c>
      <c r="O38" s="563" t="n">
        <f>COUNTIFS('零期·UV电访分配'!A:A,B38,'零期·UV电访分配'!AM:AM,"B")+COUNTIFS('零期·UV电访分配'!A:A,B38,'零期·UV电访分配'!AN:AN,"B")+COUNTIFS('零期·UV电访分配'!A:A,B38,'零期·UV电访分配'!AO:AO,"B")</f>
        <v>59</v>
      </c>
      <c r="P38" s="531" t="n">
        <f>O38/C38</f>
        <v>0.351190476190476</v>
      </c>
      <c r="Q38" s="564" t="n">
        <f>COUNTIFS('零期·UV电访分配'!A:A,B38,'零期·UV电访分配'!AM:AM,"C")+COUNTIFS('零期·UV电访分配'!A:A,B38,'零期·UV电访分配'!AN:AN,"C")+COUNTIFS('零期·UV电访分配'!A:A,B38,'零期·UV电访分配'!AO:AO,"C")</f>
        <v>18</v>
      </c>
      <c r="R38" s="531" t="n">
        <f>Q38/C38</f>
        <v>0.107142857142857</v>
      </c>
    </row>
    <row r="39" ht="24" customHeight="1">
      <c r="B39" s="203" t="s">
        <v>54</v>
      </c>
      <c r="C39" s="203" t="n">
        <f>SUMIF('零期·UV电访分配'!A:A,B39,'零期·UV电访分配'!AS:AS)</f>
        <v>127</v>
      </c>
      <c r="D39" s="203" t="n">
        <f>COUNTIF('零期·UV电访分配'!A:A,B39)</f>
        <v>54</v>
      </c>
      <c r="E39" s="551" t="n">
        <f>COUNTIFS('零期·UV电访分配'!A:A,B39,'零期·UV电访分配'!AH:AH,"是")/D39</f>
        <v>1</v>
      </c>
      <c r="F39" s="551" t="n">
        <f>COUNTIFS('零期·UV电访分配'!A:A,B39,'零期·UV电访分配'!S:S,"是")/D39</f>
        <v>0.907407407407407</v>
      </c>
      <c r="G39" s="551" t="n">
        <f>COUNTIFS('零期·UV电访分配'!A:A,B39,'零期·UV电访分配'!T:T,"是")/D39</f>
        <v>0.611111111111111</v>
      </c>
      <c r="H39" s="551" t="n">
        <f>COUNTIFS('零期·UV电访分配'!A:A,B39,'零期·UV电访分配'!AB:AB,"是")/D39</f>
        <v>0.666666666666667</v>
      </c>
      <c r="I39" s="15" t="n">
        <f>COUNTIFS('零期·UV电访分配'!A:A,B39,'零期·UV电访分配'!AD:AD,"是")/D39</f>
        <v>0.555555555555556</v>
      </c>
      <c r="J39" s="559" t="n">
        <f>SUMIF('零期·UV电访分配'!A:A,B39,'零期·UV电访分配'!AX:AX)/C39</f>
        <v>0.267716535433071</v>
      </c>
      <c r="K39" s="568" t="n">
        <f>COUNTIFS('零期·UV电访分配'!A:A,B39,'零期·UV电访分配'!AM:AM,"S")+COUNTIFS('零期·UV电访分配'!A:A,B39,'零期·UV电访分配'!AN:AN,"S")+COUNTIFS('零期·UV电访分配'!A:A,B39,'零期·UV电访分配'!AO:AO,"S")</f>
        <v>12</v>
      </c>
      <c r="L39" s="573" t="n">
        <f>K39/C39</f>
        <v>0.094488188976378</v>
      </c>
      <c r="M39" s="571" t="n">
        <f>COUNTIFS('零期·UV电访分配'!A:A,B39,'零期·UV电访分配'!AM:AM,"A")+COUNTIFS('零期·UV电访分配'!A:A,B39,'零期·UV电访分配'!AN:AN,"A")+COUNTIFS('零期·UV电访分配'!A:A,B39,'零期·UV电访分配'!AO:AO,"A")</f>
        <v>38</v>
      </c>
      <c r="N39" s="579" t="n">
        <f>M39/C39</f>
        <v>0.299212598425197</v>
      </c>
      <c r="O39" s="563" t="n">
        <f>COUNTIFS('零期·UV电访分配'!A:A,B39,'零期·UV电访分配'!AM:AM,"B")+COUNTIFS('零期·UV电访分配'!A:A,B39,'零期·UV电访分配'!AN:AN,"B")+COUNTIFS('零期·UV电访分配'!A:A,B39,'零期·UV电访分配'!AO:AO,"B")</f>
        <v>42</v>
      </c>
      <c r="P39" s="531" t="n">
        <f>O39/C39</f>
        <v>0.330708661417323</v>
      </c>
      <c r="Q39" s="564" t="n">
        <f>COUNTIFS('零期·UV电访分配'!A:A,B39,'零期·UV电访分配'!AM:AM,"C")+COUNTIFS('零期·UV电访分配'!A:A,B39,'零期·UV电访分配'!AN:AN,"C")+COUNTIFS('零期·UV电访分配'!A:A,B39,'零期·UV电访分配'!AO:AO,"C")</f>
        <v>27</v>
      </c>
      <c r="R39" s="531" t="n">
        <f>Q39/C39</f>
        <v>0.21259842519685</v>
      </c>
    </row>
    <row r="40" ht="24" customHeight="1">
      <c r="B40" s="553" t="s">
        <v>86</v>
      </c>
      <c r="C40" s="553" t="n">
        <f>SUM(C37:C39)</f>
        <v>295</v>
      </c>
      <c r="D40" s="553" t="n">
        <f>SUM(D37:D39)</f>
        <v>120</v>
      </c>
      <c r="E40" s="554" t="n">
        <f>COUNTIF('零期·UV电访分配'!AH:AH,"是")/D40</f>
        <v>1</v>
      </c>
      <c r="F40" s="554" t="n">
        <f>COUNTIF('零期·UV电访分配'!S:S,"是")/D40</f>
        <v>0.783333333333333</v>
      </c>
      <c r="G40" s="554" t="n">
        <f>COUNTIF('零期·UV电访分配'!T:T,"是")/D40</f>
        <v>0.575</v>
      </c>
      <c r="H40" s="554" t="n">
        <f>COUNTIF('零期·UV电访分配'!AB:AB,"是")/D40</f>
        <v>0.666666666666667</v>
      </c>
      <c r="I40" s="17" t="n">
        <f>COUNTIF('零期·UV电访分配'!AD:AD,"是")/D40</f>
        <v>0.591666666666667</v>
      </c>
      <c r="J40" s="560" t="n">
        <f>'零期·UV电访分配'!AX10/C40</f>
        <v>0.00677966101694915</v>
      </c>
      <c r="K40" s="569" t="n">
        <f>SUM(K37:K39)</f>
        <v>29</v>
      </c>
      <c r="L40" s="577" t="n">
        <f>K40/C40</f>
        <v>0.0983050847457627</v>
      </c>
      <c r="M40" s="572" t="n">
        <f>SUM(M37:M39)</f>
        <v>75</v>
      </c>
      <c r="N40" s="580" t="n">
        <f>M40/C40</f>
        <v>0.254237288135593</v>
      </c>
      <c r="O40" s="565" t="n">
        <f>SUM(O37:O39)</f>
        <v>101</v>
      </c>
      <c r="P40" s="578" t="n">
        <f>O40/C40</f>
        <v>0.342372881355932</v>
      </c>
      <c r="Q40" s="565" t="n">
        <f>SUM(Q37:Q39)</f>
        <v>45</v>
      </c>
      <c r="R40" s="578" t="n">
        <f>Q40/C40</f>
        <v>0.152542372881356</v>
      </c>
    </row>
    <row r="41" ht="24" customHeight="1"/>
    <row r="42" ht="24" customHeight="1">
      <c r="B42" s="67" t="s">
        <v>89</v>
      </c>
      <c r="C42" s="215"/>
      <c r="D42" s="55" t="s">
        <v>62</v>
      </c>
      <c r="E42" s="55"/>
      <c r="F42" s="55"/>
      <c r="G42" s="55"/>
      <c r="H42" s="55"/>
      <c r="I42" s="55"/>
      <c r="J42" s="89"/>
      <c r="K42" s="408" t="s">
        <v>63</v>
      </c>
      <c r="L42" s="170"/>
      <c r="M42" s="406"/>
      <c r="N42" s="180" t="s">
        <v>64</v>
      </c>
      <c r="O42" s="170"/>
      <c r="P42" s="170"/>
      <c r="Q42" s="170"/>
      <c r="R42" s="170"/>
      <c r="S42" s="170"/>
      <c r="T42" s="170"/>
      <c r="U42" s="170"/>
      <c r="V42" s="170"/>
      <c r="W42" s="170"/>
    </row>
    <row r="43" ht="24" customHeight="1">
      <c r="B43" s="215"/>
      <c r="C43" s="215"/>
      <c r="D43" s="55" t="n">
        <f>SUM(D45:D57)/2</f>
        <v>15</v>
      </c>
      <c r="E43" s="55" t="n">
        <f>E49+E53+E57</f>
        <v>295</v>
      </c>
      <c r="F43" s="91" t="n">
        <f>E43/(25*D43)</f>
        <v>0.786666666666667</v>
      </c>
      <c r="G43" s="55" t="n">
        <f>G49+G53+G57</f>
        <v>99</v>
      </c>
      <c r="H43" s="91" t="n">
        <f>G43/E43</f>
        <v>0.335593220338983</v>
      </c>
      <c r="I43" s="28" t="n">
        <f>SUM(I45:I57)/2</f>
        <v>37</v>
      </c>
      <c r="J43" s="216" t="n">
        <f>I43/(E43+I43)</f>
        <v>0.11144578313253</v>
      </c>
      <c r="K43" s="74" t="n">
        <f>(K49*$E$49+K53*$E$53+K57*$E$57)/$E$43</f>
        <v>1.01016949152542</v>
      </c>
      <c r="L43" s="74" t="n">
        <f>(L49*$E$49+L53*$E$53+L57*$E$57)/$E$43</f>
        <v>0.938983050847458</v>
      </c>
      <c r="M43" s="74" t="n">
        <f>(M49*$E$49+M53*$E$53+M57*$E$57)/$E$43</f>
        <v>1.00677966101695</v>
      </c>
      <c r="N43" s="188" t="n">
        <f>SUM(N45:N57)/2</f>
        <v>229</v>
      </c>
      <c r="O43" s="97" t="n">
        <f>N43/E43</f>
        <v>0.776271186440678</v>
      </c>
      <c r="P43" s="160" t="n">
        <f>SUM(P45:P57)/2</f>
        <v>168</v>
      </c>
      <c r="Q43" s="160" t="n">
        <f>SUM(Q45:Q57)/2</f>
        <v>109</v>
      </c>
      <c r="R43" s="163" t="n">
        <f>Q43/P43</f>
        <v>0.648809523809524</v>
      </c>
      <c r="S43" s="164" t="n">
        <f>SUM(S45:S57)/2</f>
        <v>127</v>
      </c>
      <c r="T43" s="164" t="n">
        <f>SUM(T45:T57)/2</f>
        <v>73</v>
      </c>
      <c r="U43" s="74" t="n">
        <f>T43/S43</f>
        <v>0.574803149606299</v>
      </c>
      <c r="V43" s="165" t="n">
        <f>SUM(V45:V57)/2</f>
        <v>182</v>
      </c>
      <c r="W43" s="179" t="n">
        <f>V43/E43</f>
        <v>0.616949152542373</v>
      </c>
    </row>
    <row r="44" ht="24" customHeight="1">
      <c r="B44" s="55" t="s">
        <v>4</v>
      </c>
      <c r="C44" s="55" t="s">
        <v>5</v>
      </c>
      <c r="D44" s="55" t="s">
        <v>6</v>
      </c>
      <c r="E44" s="55" t="s">
        <v>7</v>
      </c>
      <c r="F44" s="55" t="s">
        <v>8</v>
      </c>
      <c r="G44" s="55" t="s">
        <v>9</v>
      </c>
      <c r="H44" s="55" t="s">
        <v>10</v>
      </c>
      <c r="I44" s="28" t="s">
        <v>11</v>
      </c>
      <c r="J44" s="84" t="s">
        <v>12</v>
      </c>
      <c r="K44" s="125" t="s">
        <v>13</v>
      </c>
      <c r="L44" s="125" t="s">
        <v>14</v>
      </c>
      <c r="M44" s="125" t="s">
        <v>15</v>
      </c>
      <c r="N44" s="189" t="s">
        <v>76</v>
      </c>
      <c r="O44" s="189" t="s">
        <v>78</v>
      </c>
      <c r="P44" s="128" t="s">
        <v>90</v>
      </c>
      <c r="Q44" s="128" t="s">
        <v>91</v>
      </c>
      <c r="R44" s="128" t="s">
        <v>81</v>
      </c>
      <c r="S44" s="125" t="s">
        <v>92</v>
      </c>
      <c r="T44" s="125" t="s">
        <v>93</v>
      </c>
      <c r="U44" s="125" t="s">
        <v>81</v>
      </c>
      <c r="V44" s="181" t="s">
        <v>84</v>
      </c>
      <c r="W44" s="181" t="s">
        <v>81</v>
      </c>
    </row>
    <row r="45" ht="24" customHeight="1">
      <c r="B45" s="56" t="s">
        <v>31</v>
      </c>
      <c r="C45" s="56" t="s">
        <v>32</v>
      </c>
      <c r="D45" s="56" t="n">
        <v>3</v>
      </c>
      <c r="E45" s="56" t="n">
        <f>COUNTIFS('UV台帐'!N:N,B45,'UV台帐'!S:S,"在读",'UV台帐'!R:R,"零期")</f>
        <v>58</v>
      </c>
      <c r="F45" s="66" t="n">
        <f>E45/(D45*25)</f>
        <v>0.773333333333333</v>
      </c>
      <c r="G45" s="56" t="n">
        <f>SUMPRODUCT(('UV台帐'!N:N=B45)*('UV台帐'!T:T="是")*('UV台帐'!R:R="零期"))</f>
        <v>30</v>
      </c>
      <c r="H45" s="57" t="n">
        <f>G45/E45</f>
        <v>0.517241379310345</v>
      </c>
      <c r="I45" s="56" t="n">
        <f>COUNTIFS('UV台帐'!N:N,B45,'UV台帐'!S:S,"课前退",'UV台帐'!R:R,"零期")</f>
        <v>6</v>
      </c>
      <c r="J45" s="77" t="n">
        <f>I45/(E45+I45)</f>
        <v>0.09375</v>
      </c>
      <c r="K45" s="151" t="n">
        <f>IFERROR(COUNTIFS('陈中帅'!T:T,"是",'陈中帅'!B:B,"零期")/E45,"")</f>
        <v>1</v>
      </c>
      <c r="L45" s="151" t="n">
        <f>COUNTIFS('陈中帅'!U:U,"是",'陈中帅'!B:B,"零期")/E45</f>
        <v>0.931034482758621</v>
      </c>
      <c r="M45" s="151" t="n">
        <f>COUNTIFS('陈中帅'!V:V,"是",'陈中帅'!B:B,"零期")/E45</f>
        <v>1</v>
      </c>
      <c r="N45" s="574" t="n">
        <f>COUNTIFS('零期·UV电访分配'!E:E,B45,'零期·UV电访分配'!AB:AB,"是")</f>
        <v>43</v>
      </c>
      <c r="O45" s="142" t="n">
        <f>N45/E45</f>
        <v>0.741379310344828</v>
      </c>
      <c r="P45" s="574" t="n">
        <f>COUNTIFS('零期·UV电访分配'!E:E,B45,'零期·UV电访分配'!I:I,"在读",'零期·UV电访分配'!H:H,"零期",'零期·UV电访分配'!A:A,"同创汇")</f>
        <v>40</v>
      </c>
      <c r="Q45" s="574" t="n">
        <f>COUNTIFS('零期·UV电访分配'!E:E,B45,'零期·UV电访分配'!I:I,"在读",'零期·UV电访分配'!H:H,"零期",'零期·UV电访分配'!A:A,"同创汇",'零期·UV电访分配'!AD:AD,"是")</f>
        <v>27</v>
      </c>
      <c r="R45" s="151" t="n">
        <f>Q45/P45</f>
        <v>0.675</v>
      </c>
      <c r="S45" s="574" t="n">
        <f>COUNTIFS('零期·UV电访分配'!E:E,B45,'零期·UV电访分配'!I:I,"在读",'零期·UV电访分配'!H:H,"零期",'零期·UV电访分配'!A:A,"新宝利")</f>
        <v>18</v>
      </c>
      <c r="T45" s="574" t="n">
        <f>COUNTIFS('零期·UV电访分配'!E:E,B45,'零期·UV电访分配'!I:I,"在读",'零期·UV电访分配'!H:H,"零期",'零期·UV电访分配'!A:A,"新宝利",'零期·UV电访分配'!AD:AD,"是")</f>
        <v>12</v>
      </c>
      <c r="U45" s="151" t="n">
        <f>T45/S45</f>
        <v>0.666666666666667</v>
      </c>
      <c r="V45" s="574" t="n">
        <f>T45+Q45</f>
        <v>39</v>
      </c>
      <c r="W45" s="151" t="n">
        <f>V45/E45</f>
        <v>0.672413793103448</v>
      </c>
    </row>
    <row r="46" ht="24" customHeight="1">
      <c r="B46" s="56" t="s">
        <v>35</v>
      </c>
      <c r="C46" s="56" t="s">
        <v>32</v>
      </c>
      <c r="D46" s="56" t="n">
        <v>0</v>
      </c>
      <c r="E46" s="56" t="n">
        <f>COUNTIFS('UV台帐'!N:N,B46,'UV台帐'!S:S,"在读",'UV台帐'!R:R,"零期")</f>
        <v>0</v>
      </c>
      <c r="F46" s="66" t="s">
        <f>IFERROR(E46/(D46*25),"0")</f>
        <v>87</v>
      </c>
      <c r="G46" s="56" t="n">
        <f>SUMPRODUCT(('UV台帐'!N:N=B46)*('UV台帐'!T:T="是")*('UV台帐'!R:R="零期"))</f>
        <v>0</v>
      </c>
      <c r="H46" s="57" t="s">
        <f>IFERROR(G46/E46,"0")</f>
        <v>87</v>
      </c>
      <c r="I46" s="56" t="n">
        <f>COUNTIFS('UV台帐'!N:N,B46,'UV台帐'!S:S,"课前退",'UV台帐'!R:R,"零期")</f>
        <v>0</v>
      </c>
      <c r="J46" s="77" t="s">
        <f>IFERROR(I46/(E46+I46),"0")</f>
        <v>87</v>
      </c>
      <c r="K46" s="151" t="s">
        <f>IFERROR(COUNTIFS('何咏04'!T:T,"是",'何咏04'!B:B,"零期")/E46,"0")</f>
        <v>87</v>
      </c>
      <c r="L46" s="151" t="s">
        <f>IFERROR(COUNTIFS('何咏04'!U:U,"是",'何咏04'!B:B,"零期")/E46,"0")</f>
        <v>87</v>
      </c>
      <c r="M46" s="151" t="s">
        <f>IFERROR(COUNTIFS('何咏04'!V:V,"是",'何咏04'!B:B,"零期")/E46,"0")</f>
        <v>87</v>
      </c>
      <c r="N46" s="574" t="n">
        <f>COUNTIFS('零期·UV电访分配'!E:E,B46,'零期·UV电访分配'!AB:AB,"是")</f>
        <v>3</v>
      </c>
      <c r="O46" s="142" t="n">
        <f>IFERROR(N46/E46,0)</f>
        <v>0</v>
      </c>
      <c r="P46" s="574" t="n">
        <f>COUNTIFS('零期·UV电访分配'!E:E,B46,'零期·UV电访分配'!I:I,"在读",'零期·UV电访分配'!H:H,"零期",'零期·UV电访分配'!A:A,"同创汇")</f>
        <v>0</v>
      </c>
      <c r="Q46" s="574" t="n">
        <f>COUNTIFS('零期·UV电访分配'!E:E,B46,'零期·UV电访分配'!I:I,"在读",'零期·UV电访分配'!H:H,"零期",'零期·UV电访分配'!A:A,"同创汇",'零期·UV电访分配'!AD:AD,"是")</f>
        <v>0</v>
      </c>
      <c r="R46" s="151" t="n">
        <f>IFERROR(Q46/P46,0)</f>
        <v>0</v>
      </c>
      <c r="S46" s="574"/>
      <c r="T46" s="574" t="n">
        <v>0</v>
      </c>
      <c r="U46" s="151" t="n">
        <f>IFERROR(T46/S46,0)</f>
        <v>0</v>
      </c>
      <c r="V46" s="574" t="n">
        <f>T46+Q46</f>
        <v>0</v>
      </c>
      <c r="W46" s="151" t="n">
        <f>IFERROR(V46/E46,0)</f>
        <v>0</v>
      </c>
    </row>
    <row r="47" ht="24" customHeight="1">
      <c r="B47" s="56" t="s">
        <v>37</v>
      </c>
      <c r="C47" s="56" t="s">
        <v>32</v>
      </c>
      <c r="D47" s="56" t="n">
        <v>2</v>
      </c>
      <c r="E47" s="56" t="n">
        <f>COUNTIFS('UV台帐'!N:N,B47,'UV台帐'!S:S,"在读",'UV台帐'!R:R,"零期")</f>
        <v>40</v>
      </c>
      <c r="F47" s="66" t="n">
        <f>E47/(D47*25)</f>
        <v>0.8</v>
      </c>
      <c r="G47" s="56" t="n">
        <f>SUMPRODUCT(('UV台帐'!N:N=B47)*('UV台帐'!T:T="是")*('UV台帐'!R:R="零期"))</f>
        <v>11</v>
      </c>
      <c r="H47" s="57" t="n">
        <f>G47/E47</f>
        <v>0.275</v>
      </c>
      <c r="I47" s="56" t="n">
        <f>COUNTIFS('UV台帐'!N:N,B47,'UV台帐'!S:S,"课前退",'UV台帐'!R:R,"零期")</f>
        <v>5</v>
      </c>
      <c r="J47" s="77" t="n">
        <f>I47/(E47+I47)</f>
        <v>0.111111111111111</v>
      </c>
      <c r="K47" s="151" t="n">
        <f>COUNTIFS('田雨涵01'!T:T,"是",'田雨涵01'!B:B,"零期")/E47</f>
        <v>1.075</v>
      </c>
      <c r="L47" s="151" t="n">
        <f>COUNTIFS('田雨涵01'!U:U,"是",'田雨涵01'!B:B,"零期")/E47</f>
        <v>0.925</v>
      </c>
      <c r="M47" s="151" t="n">
        <f>COUNTIFS('田雨涵01'!V:V,"是",'田雨涵01'!B:B,"零期")/E47</f>
        <v>1.075</v>
      </c>
      <c r="N47" s="574" t="n">
        <f>COUNTIFS('零期·UV电访分配'!E:E,B47,'零期·UV电访分配'!AB:AB,"是")</f>
        <v>30</v>
      </c>
      <c r="O47" s="142" t="n">
        <f>N47/E47</f>
        <v>0.75</v>
      </c>
      <c r="P47" s="574" t="n">
        <f>COUNTIFS('零期·UV电访分配'!E:E,B47,'零期·UV电访分配'!I:I,"在读",'零期·UV电访分配'!H:H,"零期",'零期·UV电访分配'!A:A,"同创汇")</f>
        <v>18</v>
      </c>
      <c r="Q47" s="574" t="n">
        <f>COUNTIFS('零期·UV电访分配'!E:E,B47,'零期·UV电访分配'!I:I,"在读",'零期·UV电访分配'!H:H,"零期",'零期·UV电访分配'!A:A,"同创汇",'零期·UV电访分配'!AD:AD,"是")</f>
        <v>12</v>
      </c>
      <c r="R47" s="151" t="n">
        <f>Q47/P47</f>
        <v>0.666666666666667</v>
      </c>
      <c r="S47" s="574" t="n">
        <f>COUNTIFS('零期·UV电访分配'!E:E,B47,'零期·UV电访分配'!I:I,"在读",'零期·UV电访分配'!H:H,"零期",'零期·UV电访分配'!A:A,"新宝利")</f>
        <v>22</v>
      </c>
      <c r="T47" s="574" t="n">
        <f>COUNTIFS('零期·UV电访分配'!E:E,B47,'零期·UV电访分配'!I:I,"在读",'零期·UV电访分配'!H:H,"零期",'零期·UV电访分配'!A:A,"新宝利",'零期·UV电访分配'!AD:AD,"是")</f>
        <v>12</v>
      </c>
      <c r="U47" s="151" t="n">
        <f>T47/S47</f>
        <v>0.545454545454545</v>
      </c>
      <c r="V47" s="574" t="n">
        <f>T47+Q47</f>
        <v>24</v>
      </c>
      <c r="W47" s="151" t="n">
        <f>V47/E47</f>
        <v>0.6</v>
      </c>
    </row>
    <row r="48" ht="24" customHeight="1">
      <c r="B48" s="56" t="s">
        <v>39</v>
      </c>
      <c r="C48" s="56" t="s">
        <v>32</v>
      </c>
      <c r="D48" s="56" t="n">
        <v>0</v>
      </c>
      <c r="E48" s="56" t="n">
        <f>COUNTIFS('UV台帐'!N:N,B48,'UV台帐'!S:S,"在读",'UV台帐'!R:R,"零期")</f>
        <v>0</v>
      </c>
      <c r="F48" s="66" t="s">
        <f>IFERROR(E48/(D48*25),"0")</f>
        <v>87</v>
      </c>
      <c r="G48" s="56" t="n">
        <f>SUMPRODUCT(('UV台帐'!N:N=B48)*('UV台帐'!T:T="是")*('UV台帐'!R:R="零期"))</f>
        <v>0</v>
      </c>
      <c r="H48" s="57" t="s">
        <f>IFERROR(G48/E48,"0")</f>
        <v>87</v>
      </c>
      <c r="I48" s="56" t="n">
        <f>COUNTIFS('UV台帐'!N:N,B48,'UV台帐'!S:S,"课前退",'UV台帐'!R:R,"零期")</f>
        <v>0</v>
      </c>
      <c r="J48" s="77" t="s">
        <f>IFERROR(I48/(E48+I48),"0")</f>
        <v>87</v>
      </c>
      <c r="K48" s="151" t="s">
        <f>IFERROR(COUNTIFS('宗志鹏'!T:T,"是",'宗志鹏'!B:B,"零期")/E48,"0")</f>
        <v>87</v>
      </c>
      <c r="L48" s="151" t="s">
        <f>IFERROR(COUNTIFS('宗志鹏'!U:U,"是",'宗志鹏'!B:B,"零期")/E48,"0")</f>
        <v>87</v>
      </c>
      <c r="M48" s="151" t="s">
        <f>IFERROR(COUNTIFS('宗志鹏'!V:V,"是",'宗志鹏'!B:B,"零期")/E48,"0")</f>
        <v>87</v>
      </c>
      <c r="N48" s="574" t="n">
        <f>COUNTIFS('零期·UV电访分配'!E:E,B48,'零期·UV电访分配'!AB:AB,"是")</f>
        <v>0</v>
      </c>
      <c r="O48" s="142" t="n">
        <f>IFERROR(N48/E48,0)</f>
        <v>0</v>
      </c>
      <c r="P48" s="574" t="n">
        <f>COUNTIFS('零期·UV电访分配'!E:E,B48,'零期·UV电访分配'!I:I,"在读",'零期·UV电访分配'!H:H,"零期",'零期·UV电访分配'!A:A,"同创汇")</f>
        <v>0</v>
      </c>
      <c r="Q48" s="574" t="n">
        <v>0</v>
      </c>
      <c r="R48" s="151" t="n">
        <f>IFERROR(Q48/P48,0)</f>
        <v>0</v>
      </c>
      <c r="S48" s="574"/>
      <c r="T48" s="574" t="n">
        <v>0</v>
      </c>
      <c r="U48" s="151" t="n">
        <f>IFERROR(T48/S48,0)</f>
        <v>0</v>
      </c>
      <c r="V48" s="574" t="n">
        <f>T48+Q48</f>
        <v>0</v>
      </c>
      <c r="W48" s="151" t="n">
        <f>IFERROR(V48/E48,0)</f>
        <v>0</v>
      </c>
    </row>
    <row r="49" ht="24" customHeight="1">
      <c r="B49" s="53" t="s">
        <v>41</v>
      </c>
      <c r="C49" s="134"/>
      <c r="D49" s="53" t="n">
        <f>SUM(D45:D48)</f>
        <v>5</v>
      </c>
      <c r="E49" s="53" t="n">
        <f>SUM(E45:E48)</f>
        <v>98</v>
      </c>
      <c r="F49" s="58" t="n">
        <f>E49/(D49*25)</f>
        <v>0.784</v>
      </c>
      <c r="G49" s="53" t="n">
        <f>SUM(G45:G48)</f>
        <v>41</v>
      </c>
      <c r="H49" s="62" t="n">
        <f>G49/E49</f>
        <v>0.418367346938776</v>
      </c>
      <c r="I49" s="53" t="n">
        <f>SUM(I45:I48)</f>
        <v>11</v>
      </c>
      <c r="J49" s="78" t="n">
        <f>I49/(E49+I49)</f>
        <v>0.100917431192661</v>
      </c>
      <c r="K49" s="153" t="n">
        <f>(K45*$E$45+K46*$E$46+K47*$E$47+K48*$E$48)/$E$49</f>
        <v>1.03061224489796</v>
      </c>
      <c r="L49" s="153" t="n">
        <f>(L45*$E$45+L46*$E$46+L47*$E$47+L48*$E$48)/$E$49</f>
        <v>0.928571428571429</v>
      </c>
      <c r="M49" s="153" t="n">
        <f>(M45*$E$45+M46*$E$46+M47*$E$47+M48*$E$48)/$E$49</f>
        <v>1.03061224489796</v>
      </c>
      <c r="N49" s="575" t="n">
        <f>SUM(N45:N47)</f>
        <v>76</v>
      </c>
      <c r="O49" s="146" t="n">
        <f>N49/E49</f>
        <v>0.775510204081633</v>
      </c>
      <c r="P49" s="575" t="n">
        <f>SUM(P45:P47)</f>
        <v>58</v>
      </c>
      <c r="Q49" s="575" t="n">
        <f>SUM(Q45:Q47)</f>
        <v>39</v>
      </c>
      <c r="R49" s="153" t="n">
        <f>Q49/P49</f>
        <v>0.672413793103448</v>
      </c>
      <c r="S49" s="575" t="n">
        <f>SUM(S45:S47)</f>
        <v>40</v>
      </c>
      <c r="T49" s="575" t="n">
        <f>SUM(T45:T47)</f>
        <v>24</v>
      </c>
      <c r="U49" s="153" t="n">
        <f>T49/S49</f>
        <v>0.6</v>
      </c>
      <c r="V49" s="575" t="n">
        <f>T49+Q49</f>
        <v>63</v>
      </c>
      <c r="W49" s="153" t="n">
        <f>V49/E49</f>
        <v>0.642857142857143</v>
      </c>
    </row>
    <row r="50" ht="24" customHeight="1">
      <c r="B50" s="56" t="s">
        <v>43</v>
      </c>
      <c r="C50" s="56" t="s">
        <v>44</v>
      </c>
      <c r="D50" s="56" t="n">
        <v>2</v>
      </c>
      <c r="E50" s="56" t="n">
        <f>COUNTIFS('UV台帐'!W:W,B50,'UV台帐'!AB:AB,"在读",'UV台帐'!AA:AA,"零期")</f>
        <v>39</v>
      </c>
      <c r="F50" s="66" t="n">
        <f>E50/(D50*25)</f>
        <v>0.78</v>
      </c>
      <c r="G50" s="56" t="n">
        <f>SUMPRODUCT(('UV台帐'!W:W=B50)*('UV台帐'!AC:AC="是")*('UV台帐'!AA:AA="零期"))</f>
        <v>19</v>
      </c>
      <c r="H50" s="57" t="n">
        <f>G50/E50</f>
        <v>0.487179487179487</v>
      </c>
      <c r="I50" s="56" t="n">
        <f>COUNTIFS('UV台帐'!W:W,B50,'UV台帐'!AB:AB,"课前退",'UV台帐'!AA:AA,"零期")</f>
        <v>4</v>
      </c>
      <c r="J50" s="77" t="n">
        <f>I50/(E50+I50)</f>
        <v>0.0930232558139535</v>
      </c>
      <c r="K50" s="151" t="n">
        <f>COUNTIFS('黄铭怡'!T:T,"是",'黄铭怡'!B:B,"零期")/E50</f>
        <v>1</v>
      </c>
      <c r="L50" s="151" t="n">
        <f>COUNTIFS('黄铭怡'!U:U,"是",'黄铭怡'!B:B,"零期")/E50</f>
        <v>0.923076923076923</v>
      </c>
      <c r="M50" s="151" t="n">
        <f>COUNTIFS('黄铭怡'!V:V,"是",'黄铭怡'!B:B,"零期")/E50</f>
        <v>1</v>
      </c>
      <c r="N50" s="574" t="n">
        <f>COUNTIFS('零期·UV电访分配'!J:J,B50,'零期·UV电访分配'!AB:AB,"是")</f>
        <v>29</v>
      </c>
      <c r="O50" s="142" t="n">
        <f>N50/E50</f>
        <v>0.743589743589744</v>
      </c>
      <c r="P50" s="574" t="n">
        <f>COUNTIFS('零期·UV电访分配'!J:J,B50,'零期·UV电访分配'!M:M,"在读",'零期·UV电访分配'!L:L,"零期",'零期·UV电访分配'!A:A,"同创汇")</f>
        <v>18</v>
      </c>
      <c r="Q50" s="574" t="n">
        <f>COUNTIFS('零期·UV电访分配'!J:J,B50,'零期·UV电访分配'!M:M,"在读",'零期·UV电访分配'!L:L,"零期",'零期·UV电访分配'!A:A,"同创汇",'零期·UV电访分配'!AD:AD,"是")</f>
        <v>12</v>
      </c>
      <c r="R50" s="151" t="n">
        <f>Q50/P50</f>
        <v>0.666666666666667</v>
      </c>
      <c r="S50" s="574" t="n">
        <f>COUNTIFS('零期·UV电访分配'!J:J,B50,'零期·UV电访分配'!M:M,"在读",'零期·UV电访分配'!L:L,"零期",'零期·UV电访分配'!A:A,"新宝利")</f>
        <v>21</v>
      </c>
      <c r="T50" s="574" t="n">
        <f>COUNTIFS('零期·UV电访分配'!J:J,B50,'零期·UV电访分配'!M:M,"在读",'零期·UV电访分配'!L:L,"零期",'零期·UV电访分配'!A:A,"新宝利",'零期·UV电访分配'!AD:AD,"是")</f>
        <v>10</v>
      </c>
      <c r="U50" s="151" t="n">
        <f>T50/S50</f>
        <v>0.476190476190476</v>
      </c>
      <c r="V50" s="574" t="n">
        <f>T50+Q50</f>
        <v>22</v>
      </c>
      <c r="W50" s="151" t="n">
        <f>V50/E50</f>
        <v>0.564102564102564</v>
      </c>
    </row>
    <row r="51" ht="24" customHeight="1">
      <c r="B51" s="56" t="s">
        <v>47</v>
      </c>
      <c r="C51" s="56" t="s">
        <v>44</v>
      </c>
      <c r="D51" s="56" t="n">
        <v>2</v>
      </c>
      <c r="E51" s="56" t="n">
        <f>COUNTIFS('UV台帐'!W:W,B51,'UV台帐'!AB:AB,"在读",'UV台帐'!AA:AA,"零期")</f>
        <v>42</v>
      </c>
      <c r="F51" s="66" t="n">
        <f>E51/(D51*25)</f>
        <v>0.84</v>
      </c>
      <c r="G51" s="56" t="n">
        <f>SUMPRODUCT(('UV台帐'!W:W=B51)*('UV台帐'!AC:AC="是")*('UV台帐'!AA:AA="零期"))</f>
        <v>4</v>
      </c>
      <c r="H51" s="57" t="n">
        <f>G51/E51</f>
        <v>0.0952380952380952</v>
      </c>
      <c r="I51" s="56" t="n">
        <f>COUNTIFS('UV台帐'!W:W,B51,'UV台帐'!AB:AB,"课前退",'UV台帐'!AA:AA,"零期")</f>
        <v>7</v>
      </c>
      <c r="J51" s="77" t="n">
        <f>I51/(E51+I51)</f>
        <v>0.142857142857143</v>
      </c>
      <c r="K51" s="151" t="n">
        <f>COUNTIFS('李润'!T:T,"是",'李润'!B:B,"零期")/E51</f>
        <v>1</v>
      </c>
      <c r="L51" s="151" t="n">
        <f>COUNTIFS('李润'!U:U,"是",'李润'!B:B,"零期")/E51</f>
        <v>0.952380952380952</v>
      </c>
      <c r="M51" s="151" t="n">
        <f>COUNTIFS('李润'!V:V,"是",'李润'!B:B,"零期")/E51</f>
        <v>1</v>
      </c>
      <c r="N51" s="574" t="n">
        <f>COUNTIFS('零期·UV电访分配'!J:J,B51,'零期·UV电访分配'!AB:AB,"是")</f>
        <v>31</v>
      </c>
      <c r="O51" s="142" t="n">
        <f>N51/E51</f>
        <v>0.738095238095238</v>
      </c>
      <c r="P51" s="574" t="n">
        <f>COUNTIFS('零期·UV电访分配'!J:J,B51,'零期·UV电访分配'!M:M,"在读",'零期·UV电访分配'!L:L,"零期",'零期·UV电访分配'!A:A,"同创汇")</f>
        <v>20</v>
      </c>
      <c r="Q51" s="574" t="n">
        <f>COUNTIFS('零期·UV电访分配'!J:J,B51,'零期·UV电访分配'!M:M,"在读",'零期·UV电访分配'!L:L,"零期",'零期·UV电访分配'!A:A,"同创汇",'零期·UV电访分配'!AD:AD,"是")</f>
        <v>12</v>
      </c>
      <c r="R51" s="151" t="n">
        <f>Q51/P51</f>
        <v>0.6</v>
      </c>
      <c r="S51" s="574" t="n">
        <f>COUNTIFS('零期·UV电访分配'!J:J,B51,'零期·UV电访分配'!M:M,"在读",'零期·UV电访分配'!L:L,"零期",'零期·UV电访分配'!A:A,"新宝利")</f>
        <v>22</v>
      </c>
      <c r="T51" s="574" t="n">
        <f>COUNTIFS('零期·UV电访分配'!J:J,B51,'零期·UV电访分配'!M:M,"在读",'零期·UV电访分配'!L:L,"零期",'零期·UV电访分配'!A:A,"新宝利",'零期·UV电访分配'!AD:AD,"是")</f>
        <v>12</v>
      </c>
      <c r="U51" s="151" t="n">
        <f>T51/S51</f>
        <v>0.545454545454545</v>
      </c>
      <c r="V51" s="574" t="n">
        <f>T51+Q51</f>
        <v>24</v>
      </c>
      <c r="W51" s="151" t="n">
        <f>V51/E51</f>
        <v>0.571428571428571</v>
      </c>
    </row>
    <row r="52" ht="24" customHeight="1">
      <c r="B52" s="56" t="s">
        <v>49</v>
      </c>
      <c r="C52" s="56" t="s">
        <v>44</v>
      </c>
      <c r="D52" s="56" t="n">
        <v>1</v>
      </c>
      <c r="E52" s="56" t="n">
        <f>COUNTIFS('UV台帐'!W:W,B52,'UV台帐'!AB:AB,"在读",'UV台帐'!AA:AA,"零期")</f>
        <v>15</v>
      </c>
      <c r="F52" s="66" t="n">
        <f>E52/(D52*25)</f>
        <v>0.6</v>
      </c>
      <c r="G52" s="56" t="n">
        <f>SUMPRODUCT(('UV台帐'!W:W=B52)*('UV台帐'!AC:AC="是")*('UV台帐'!AA:AA="零期"))</f>
        <v>3</v>
      </c>
      <c r="H52" s="57" t="n">
        <f>G52/E52</f>
        <v>0.2</v>
      </c>
      <c r="I52" s="56" t="n">
        <f>COUNTIFS('UV台帐'!W:W,B52,'UV台帐'!AB:AB,"课前退",'UV台帐'!AA:AA,"零期")</f>
        <v>3</v>
      </c>
      <c r="J52" s="77" t="n">
        <f>I52/(E52+I52)</f>
        <v>0.166666666666667</v>
      </c>
      <c r="K52" s="151" t="n">
        <f>COUNTIFS('陈南05'!T:T,"是",'陈南05'!B:B,"零期")/E52</f>
        <v>0.933333333333333</v>
      </c>
      <c r="L52" s="151" t="n">
        <f>COUNTIFS('陈南05'!U:U,"是",'陈南05'!B:B,"零期")/E52</f>
        <v>0.933333333333333</v>
      </c>
      <c r="M52" s="151" t="n">
        <f>COUNTIFS('陈南05'!V:V,"是",'陈南05'!B:B,"零期")/E52</f>
        <v>0.866666666666667</v>
      </c>
      <c r="N52" s="574" t="n">
        <f>COUNTIFS('零期·UV电访分配'!J:J,B52,'零期·UV电访分配'!AB:AB,"是")</f>
        <v>15</v>
      </c>
      <c r="O52" s="142" t="n">
        <f>N52/E52</f>
        <v>1</v>
      </c>
      <c r="P52" s="574" t="n">
        <f>COUNTIFS('零期·UV电访分配'!J:J,B52,'零期·UV电访分配'!M:M,"在读",'零期·UV电访分配'!L:L,"零期",'零期·UV电访分配'!A:A,"同创汇")</f>
        <v>15</v>
      </c>
      <c r="Q52" s="574" t="n">
        <f>COUNTIFS('零期·UV电访分配'!J:J,B52,'零期·UV电访分配'!M:M,"在读",'零期·UV电访分配'!L:L,"零期",'零期·UV电访分配'!A:A,"同创汇",'零期·UV电访分配'!AD:AD,"是")</f>
        <v>11</v>
      </c>
      <c r="R52" s="151" t="n">
        <f>Q52/P52</f>
        <v>0.733333333333333</v>
      </c>
      <c r="S52" s="574" t="n">
        <f>COUNTIFS('零期·UV电访分配'!J:J,B52,'零期·UV电访分配'!M:M,"在读",'零期·UV电访分配'!L:L,"零期",'零期·UV电访分配'!A:A,"新宝利")</f>
        <v>0</v>
      </c>
      <c r="T52" s="574" t="n">
        <f>COUNTIFS('零期·UV电访分配'!J:J,B52,'零期·UV电访分配'!M:M,"在读",'零期·UV电访分配'!L:L,"零期",'零期·UV电访分配'!A:A,"新宝利",'零期·UV电访分配'!AD:AD,"是")</f>
        <v>0</v>
      </c>
      <c r="U52" s="151" t="n">
        <f>IFERROR(T52/S52,0)</f>
        <v>0</v>
      </c>
      <c r="V52" s="574" t="n">
        <f>T52+Q52</f>
        <v>11</v>
      </c>
      <c r="W52" s="151" t="n">
        <f>V52/E52</f>
        <v>0.733333333333333</v>
      </c>
    </row>
    <row r="53" ht="24" customHeight="1">
      <c r="B53" s="69" t="s">
        <v>51</v>
      </c>
      <c r="C53" s="135"/>
      <c r="D53" s="69" t="n">
        <f>SUM(D50:D52)</f>
        <v>5</v>
      </c>
      <c r="E53" s="69" t="n">
        <f>SUM(E50:E52)</f>
        <v>96</v>
      </c>
      <c r="F53" s="70" t="n">
        <f>E53/(D53*25)</f>
        <v>0.768</v>
      </c>
      <c r="G53" s="69" t="n">
        <f>SUM(G50:G52)</f>
        <v>26</v>
      </c>
      <c r="H53" s="71" t="n">
        <f>G53/E53</f>
        <v>0.270833333333333</v>
      </c>
      <c r="I53" s="69" t="n">
        <f>SUM(I50:I52)</f>
        <v>14</v>
      </c>
      <c r="J53" s="79" t="n">
        <f>I53/(E53+I53)</f>
        <v>0.127272727272727</v>
      </c>
      <c r="K53" s="154" t="n">
        <f>(K50*$E$50+K51*$E$51+K52*$E$52)/$E$53</f>
        <v>0.989583333333333</v>
      </c>
      <c r="L53" s="154" t="n">
        <f>(L50*$E$50+L51*$E$51+L52*$E$52)/$E$53</f>
        <v>0.9375</v>
      </c>
      <c r="M53" s="154" t="n">
        <f>(M50*$E$50+M51*$E$51+M52*$E$52)/$E$53</f>
        <v>0.979166666666667</v>
      </c>
      <c r="N53" s="576" t="n">
        <f>SUM(N50:N52)</f>
        <v>75</v>
      </c>
      <c r="O53" s="158" t="n">
        <f>N53/E53</f>
        <v>0.78125</v>
      </c>
      <c r="P53" s="576" t="n">
        <f>SUM(P50:P52)</f>
        <v>53</v>
      </c>
      <c r="Q53" s="576" t="n">
        <f>SUM(Q50:Q52)</f>
        <v>35</v>
      </c>
      <c r="R53" s="154" t="n">
        <f>Q53/P53</f>
        <v>0.660377358490566</v>
      </c>
      <c r="S53" s="576" t="n">
        <f>SUM(S50:S52)</f>
        <v>43</v>
      </c>
      <c r="T53" s="576" t="n">
        <f>SUM(T50:T52)</f>
        <v>22</v>
      </c>
      <c r="U53" s="154" t="n">
        <f>T53/S53</f>
        <v>0.511627906976744</v>
      </c>
      <c r="V53" s="576" t="n">
        <f>T53+Q53</f>
        <v>57</v>
      </c>
      <c r="W53" s="154" t="n">
        <f>V53/E53</f>
        <v>0.59375</v>
      </c>
      <c r="Y53" s="416" t="s">
        <v>71</v>
      </c>
      <c r="Z53" s="416" t="s">
        <v>30</v>
      </c>
      <c r="AA53" s="416" t="s">
        <v>19</v>
      </c>
      <c r="AB53" s="416" t="s">
        <v>20</v>
      </c>
      <c r="AC53" s="416" t="s">
        <v>21</v>
      </c>
      <c r="AD53" s="416" t="s">
        <v>22</v>
      </c>
      <c r="AE53" s="416" t="s">
        <v>23</v>
      </c>
      <c r="AF53" s="416" t="s">
        <v>24</v>
      </c>
    </row>
    <row r="54" ht="24" customHeight="1">
      <c r="B54" s="56" t="s">
        <v>52</v>
      </c>
      <c r="C54" s="56" t="s">
        <v>53</v>
      </c>
      <c r="D54" s="56" t="n">
        <v>2</v>
      </c>
      <c r="E54" s="56" t="n">
        <f>COUNTIFS('UV台帐'!AF:AF,B54,'UV台帐'!AK:AK,"在读",'UV台帐'!AJ:AJ,"零期")</f>
        <v>37</v>
      </c>
      <c r="F54" s="66" t="n">
        <f>E54/(D54*25)</f>
        <v>0.74</v>
      </c>
      <c r="G54" s="56" t="n">
        <f>SUMPRODUCT(('UV台帐'!AF:AF=B54)*('UV台帐'!AL:AL="是")*('UV台帐'!AJ:AJ="零期"))</f>
        <v>12</v>
      </c>
      <c r="H54" s="57" t="n">
        <f>G54/E54</f>
        <v>0.324324324324324</v>
      </c>
      <c r="I54" s="56" t="n">
        <f>COUNTIFS('UV台帐'!AF:AF,B54,'UV台帐'!AK:AK,"课前退",'UV台帐'!AJ:AJ,"零期")</f>
        <v>6</v>
      </c>
      <c r="J54" s="77" t="n">
        <f>I54/(E54+I54)</f>
        <v>0.13953488372093</v>
      </c>
      <c r="K54" s="151" t="n">
        <f>COUNTIFS('刘希子'!T:T,"是",'刘希子'!B:B,"零期")/E54</f>
        <v>1.05405405405405</v>
      </c>
      <c r="L54" s="151" t="n">
        <f>COUNTIFS('刘希子'!U:U,"是",'刘希子'!B:B,"零期")/E54</f>
        <v>1.05405405405405</v>
      </c>
      <c r="M54" s="151" t="n">
        <f>COUNTIFS('刘希子'!V:V,"是",'刘希子'!B:B,"零期")/E54</f>
        <v>1.05405405405405</v>
      </c>
      <c r="N54" s="574" t="n">
        <f>COUNTIFS('零期·UV电访分配'!N:N,B54,'零期·UV电访分配'!AB:AB,"是")</f>
        <v>30</v>
      </c>
      <c r="O54" s="142" t="n">
        <f>N54/E54</f>
        <v>0.810810810810811</v>
      </c>
      <c r="P54" s="574" t="n">
        <f>COUNTIFS('零期·UV电访分配'!N:N,B54,'零期·UV电访分配'!Q:Q,"在读",'零期·UV电访分配'!P:P,"零期",'零期·UV电访分配'!A:A,"同创汇")</f>
        <v>37</v>
      </c>
      <c r="Q54" s="574" t="n">
        <f>COUNTIFS('零期·UV电访分配'!N:N,B54,'零期·UV电访分配'!Q:Q,"在读",'零期·UV电访分配'!P:P,"零期",'零期·UV电访分配'!A:A,"同创汇",'零期·UV电访分配'!AD:AD,"是")</f>
        <v>24</v>
      </c>
      <c r="R54" s="151" t="n">
        <f>Q54/P54</f>
        <v>0.648648648648649</v>
      </c>
      <c r="S54" s="574" t="n">
        <f>COUNTIFS('零期·UV电访分配'!N:N,B54,'零期·UV电访分配'!Q:Q,"在读",'零期·UV电访分配'!P:P,"零期",'零期·UV电访分配'!A:A,"新宝利")</f>
        <v>0</v>
      </c>
      <c r="T54" s="574" t="n">
        <f>COUNTIFS('零期·UV电访分配'!N:N,B54,'零期·UV电访分配'!Q:Q,"在读",'零期·UV电访分配'!P:P,"零期",'零期·UV电访分配'!A:A,"新宝利",'零期·UV电访分配'!AD:AD,"是")</f>
        <v>0</v>
      </c>
      <c r="U54" s="151" t="n">
        <f>IFERROR(T54/S54,0)</f>
        <v>0</v>
      </c>
      <c r="V54" s="574" t="n">
        <f>T54+Q54</f>
        <v>24</v>
      </c>
      <c r="W54" s="151" t="n">
        <f>V54/E54</f>
        <v>0.648648648648649</v>
      </c>
      <c r="Y54" s="417" t="s">
        <v>85</v>
      </c>
      <c r="Z54" s="417" t="n">
        <f>SUMIF('零期·UV电访分配'!A:A,Y54,'零期·UV电访分配'!AS:AS)</f>
        <v>0</v>
      </c>
      <c r="AA54" s="417" t="n">
        <v>0</v>
      </c>
      <c r="AB54" s="417" t="n">
        <f>Z54-AA54</f>
        <v>0</v>
      </c>
      <c r="AC54" s="418" t="n">
        <f>AB54*55%</f>
        <v>0</v>
      </c>
      <c r="AD54" s="417" t="n">
        <f>SUMIF('零期·UV电访分配'!A:A,Y54,'零期·UV电访分配'!AX:AX)-AA54</f>
        <v>0</v>
      </c>
      <c r="AE54" s="419" t="n">
        <f>IFERROR(AD54/AB54,0)</f>
        <v>0</v>
      </c>
      <c r="AF54" s="419" t="n">
        <f>IFERROR(AD54/AC54,0)</f>
        <v>0</v>
      </c>
    </row>
    <row r="55" ht="24" customHeight="1">
      <c r="B55" s="56" t="s">
        <v>56</v>
      </c>
      <c r="C55" s="56" t="s">
        <v>53</v>
      </c>
      <c r="D55" s="56" t="n">
        <v>2</v>
      </c>
      <c r="E55" s="56" t="n">
        <f>COUNTIFS('UV台帐'!AF:AF,B55,'UV台帐'!AK:AK,"在读",'UV台帐'!AJ:AJ,"零期")</f>
        <v>44</v>
      </c>
      <c r="F55" s="66" t="n">
        <f>E55/(D55*25)</f>
        <v>0.88</v>
      </c>
      <c r="G55" s="56" t="n">
        <f>SUMPRODUCT(('UV台帐'!AF:AF=B55)*('UV台帐'!AL:AL="是")*('UV台帐'!AJ:AJ="零期"))</f>
        <v>11</v>
      </c>
      <c r="H55" s="57" t="n">
        <f>G55/E55</f>
        <v>0.25</v>
      </c>
      <c r="I55" s="56" t="n">
        <f>COUNTIFS('UV台帐'!AF:AF,B55,'UV台帐'!AK:AK,"课前退",'UV台帐'!AJ:AJ,"零期")</f>
        <v>2</v>
      </c>
      <c r="J55" s="77" t="n">
        <f>I55/(E55+I55)</f>
        <v>0.0434782608695652</v>
      </c>
      <c r="K55" s="151" t="n">
        <f>COUNTIFS('肖锐03'!T:T,"是",'肖锐03'!B:B,"零期")/E55</f>
        <v>0.977272727272727</v>
      </c>
      <c r="L55" s="151" t="n">
        <f>COUNTIFS('肖锐03'!U:U,"是",'肖锐03'!B:B,"零期")/E55</f>
        <v>0.863636363636364</v>
      </c>
      <c r="M55" s="151" t="n">
        <f>COUNTIFS('肖锐03'!V:V,"是",'肖锐03'!B:B,"零期")/E55</f>
        <v>0.977272727272727</v>
      </c>
      <c r="N55" s="574" t="n">
        <f>COUNTIFS('零期·UV电访分配'!N:N,B55,'零期·UV电访分配'!AB:AB,"是")</f>
        <v>33</v>
      </c>
      <c r="O55" s="142" t="n">
        <f>N55/E55</f>
        <v>0.75</v>
      </c>
      <c r="P55" s="574" t="n">
        <f>COUNTIFS('零期·UV电访分配'!N:N,B55,'零期·UV电访分配'!Q:Q,"在读",'零期·UV电访分配'!P:P,"零期",'零期·UV电访分配'!A:A,"同创汇")</f>
        <v>0</v>
      </c>
      <c r="Q55" s="574" t="n">
        <f>COUNTIFS('零期·UV电访分配'!N:N,B55,'零期·UV电访分配'!Q:Q,"在读",'零期·UV电访分配'!P:P,"零期",'零期·UV电访分配'!A:A,"同创汇",'零期·UV电访分配'!AD:AD,"是")</f>
        <v>0</v>
      </c>
      <c r="R55" s="151" t="n">
        <f>IFERROR(Q55/P55,0)</f>
        <v>0</v>
      </c>
      <c r="S55" s="574" t="n">
        <f>COUNTIFS('零期·UV电访分配'!N:N,B55,'零期·UV电访分配'!Q:Q,"在读",'零期·UV电访分配'!P:P,"零期",'零期·UV电访分配'!A:A,"新宝利")</f>
        <v>44</v>
      </c>
      <c r="T55" s="574" t="n">
        <f>COUNTIFS('零期·UV电访分配'!N:N,B55,'零期·UV电访分配'!Q:Q,"在读",'零期·UV电访分配'!P:P,"零期",'零期·UV电访分配'!A:A,"新宝利",'零期·UV电访分配'!AD:AD,"是")</f>
        <v>27</v>
      </c>
      <c r="U55" s="151" t="n">
        <f>T55/S55</f>
        <v>0.613636363636364</v>
      </c>
      <c r="V55" s="574" t="n">
        <f>T55+Q55</f>
        <v>27</v>
      </c>
      <c r="W55" s="151" t="n">
        <f>V55/E55</f>
        <v>0.613636363636364</v>
      </c>
      <c r="Y55" s="417" t="s">
        <v>45</v>
      </c>
      <c r="Z55" s="417" t="n">
        <f>SUMIF('零期·UV电访分配'!A:A,Y55,'零期·UV电访分配'!AS:AS)</f>
        <v>168</v>
      </c>
      <c r="AA55" s="417" t="n">
        <v>28</v>
      </c>
      <c r="AB55" s="417" t="n">
        <f>Z55-AA55</f>
        <v>140</v>
      </c>
      <c r="AC55" s="418" t="n">
        <f>AB55*55%</f>
        <v>77</v>
      </c>
      <c r="AD55" s="417" t="n">
        <f>SUMIF('零期·UV电访分配'!A:A,Y55,'零期·UV电访分配'!AX:AX)-AA55</f>
        <v>37</v>
      </c>
      <c r="AE55" s="419" t="n">
        <f>AD55/AB55</f>
        <v>0.264285714285714</v>
      </c>
      <c r="AF55" s="419" t="n">
        <f>AD55/AC55</f>
        <v>0.480519480519481</v>
      </c>
    </row>
    <row r="56" ht="24" customHeight="1">
      <c r="B56" s="56" t="s">
        <v>58</v>
      </c>
      <c r="C56" s="56" t="s">
        <v>53</v>
      </c>
      <c r="D56" s="56" t="n">
        <v>1</v>
      </c>
      <c r="E56" s="56" t="n">
        <f>COUNTIFS('UV台帐'!AF:AF,B56,'UV台帐'!AK:AK,"在读",'UV台帐'!AJ:AJ,"零期")</f>
        <v>20</v>
      </c>
      <c r="F56" s="66" t="n">
        <f>E56/(D56*25)</f>
        <v>0.8</v>
      </c>
      <c r="G56" s="56" t="n">
        <f>SUMPRODUCT(('UV台帐'!AF:AF=B56)*('UV台帐'!AL:AL="是")*('UV台帐'!AJ:AJ="零期"))</f>
        <v>9</v>
      </c>
      <c r="H56" s="57" t="n">
        <f>G56/E56</f>
        <v>0.45</v>
      </c>
      <c r="I56" s="56" t="n">
        <f>COUNTIFS('UV台帐'!AF:AF,B56,'UV台帐'!AK:AK,"课前退",'UV台帐'!AJ:AJ,"零期")</f>
        <v>4</v>
      </c>
      <c r="J56" s="77" t="n">
        <f>I56/(E56+I56)</f>
        <v>0.166666666666667</v>
      </c>
      <c r="K56" s="151" t="n">
        <f>COUNTIFS('高心怡04'!T:T,"是",'高心怡04'!B:B,"零期")/E56</f>
        <v>1</v>
      </c>
      <c r="L56" s="151" t="n">
        <f>COUNTIFS('高心怡04'!U:U,"是",'高心怡04'!B:B,"零期")/E56</f>
        <v>0.95</v>
      </c>
      <c r="M56" s="151" t="n">
        <f>COUNTIFS('高心怡04'!V:V,"是",'高心怡04'!B:B,"零期")/E56</f>
        <v>1</v>
      </c>
      <c r="N56" s="574" t="n">
        <f>COUNTIFS('零期·UV电访分配'!N:N,B56,'零期·UV电访分配'!AB:AB,"是")</f>
        <v>15</v>
      </c>
      <c r="O56" s="142" t="n">
        <f>N56/E56</f>
        <v>0.75</v>
      </c>
      <c r="P56" s="574" t="n">
        <f>COUNTIFS('零期·UV电访分配'!N:N,B56,'零期·UV电访分配'!Q:Q,"在读",'零期·UV电访分配'!P:P,"零期",'零期·UV电访分配'!A:A,"同创汇")</f>
        <v>20</v>
      </c>
      <c r="Q56" s="574" t="n">
        <f>COUNTIFS('零期·UV电访分配'!N:N,B56,'零期·UV电访分配'!Q:Q,"在读",'零期·UV电访分配'!P:P,"零期",'零期·UV电访分配'!A:A,"同创汇",'零期·UV电访分配'!AD:AD,"是")</f>
        <v>11</v>
      </c>
      <c r="R56" s="151" t="n">
        <f>Q56/P56</f>
        <v>0.55</v>
      </c>
      <c r="S56" s="574" t="n">
        <f>COUNTIFS('零期·UV电访分配'!N:N,B56,'零期·UV电访分配'!Q:Q,"在读",'零期·UV电访分配'!P:P,"零期",'零期·UV电访分配'!A:A,"新宝利")</f>
        <v>0</v>
      </c>
      <c r="T56" s="574" t="n">
        <f>COUNTIFS('零期·UV电访分配'!N:N,B56,'零期·UV电访分配'!Q:Q,"在读",'零期·UV电访分配'!P:P,"零期",'零期·UV电访分配'!A:A,"新宝利",'零期·UV电访分配'!AD:AD,"是")</f>
        <v>0</v>
      </c>
      <c r="U56" s="151" t="n">
        <f>IFERROR(T56/S56,0)</f>
        <v>0</v>
      </c>
      <c r="V56" s="574" t="n">
        <f>T56+Q56</f>
        <v>11</v>
      </c>
      <c r="W56" s="151" t="n">
        <f>V56/E56</f>
        <v>0.55</v>
      </c>
      <c r="Y56" s="417" t="s">
        <v>54</v>
      </c>
      <c r="Z56" s="417" t="n">
        <f>SUMIF('零期·UV电访分配'!A:A,Y56,'零期·UV电访分配'!AS:AS)</f>
        <v>127</v>
      </c>
      <c r="AA56" s="417" t="n">
        <v>14</v>
      </c>
      <c r="AB56" s="417" t="n">
        <f>Z56-AA56</f>
        <v>113</v>
      </c>
      <c r="AC56" s="418" t="n">
        <f>AB56*55%</f>
        <v>62.15</v>
      </c>
      <c r="AD56" s="417" t="n">
        <f>SUMIF('零期·UV电访分配'!A:A,Y56,'零期·UV电访分配'!AX:AX)-AA56</f>
        <v>20</v>
      </c>
      <c r="AE56" s="419" t="n">
        <f>AD56/AB56</f>
        <v>0.176991150442478</v>
      </c>
      <c r="AF56" s="419" t="n">
        <f>AD56/AC56</f>
        <v>0.321802091713596</v>
      </c>
    </row>
    <row r="57" ht="24" customHeight="1">
      <c r="B57" s="53" t="s">
        <v>60</v>
      </c>
      <c r="C57" s="134"/>
      <c r="D57" s="53" t="n">
        <f>SUM(D54:D56)</f>
        <v>5</v>
      </c>
      <c r="E57" s="53" t="n">
        <f>SUM(E54:E56)</f>
        <v>101</v>
      </c>
      <c r="F57" s="58" t="n">
        <f>E57/(D57*25)</f>
        <v>0.808</v>
      </c>
      <c r="G57" s="53" t="n">
        <f>SUM(G54:G56)</f>
        <v>32</v>
      </c>
      <c r="H57" s="62" t="n">
        <f>G57/E57</f>
        <v>0.316831683168317</v>
      </c>
      <c r="I57" s="53" t="n">
        <f>SUM(I54:I56)</f>
        <v>12</v>
      </c>
      <c r="J57" s="78" t="n">
        <f>I57/(E57+I57)</f>
        <v>0.106194690265487</v>
      </c>
      <c r="K57" s="153" t="n">
        <f>(K54*$E$54+K55*$E$55+K56*$E$56)/$E$57</f>
        <v>1.00990099009901</v>
      </c>
      <c r="L57" s="153" t="n">
        <f>(L54*$E$54+L55*$E$55+L56*$E$56)/$E$57</f>
        <v>0.95049504950495</v>
      </c>
      <c r="M57" s="153" t="n">
        <f>(M54*$E$54+M55*$E$55+M56*$E$56)/$E$57</f>
        <v>1.00990099009901</v>
      </c>
      <c r="N57" s="575" t="n">
        <f>SUM(N54:N56)</f>
        <v>78</v>
      </c>
      <c r="O57" s="146" t="n">
        <f>N57/E57</f>
        <v>0.772277227722772</v>
      </c>
      <c r="P57" s="575" t="n">
        <f>SUM(P54:P56)</f>
        <v>57</v>
      </c>
      <c r="Q57" s="575" t="n">
        <f>SUM(Q54:Q56)</f>
        <v>35</v>
      </c>
      <c r="R57" s="153" t="n">
        <f>Q57/P57</f>
        <v>0.614035087719298</v>
      </c>
      <c r="S57" s="575" t="n">
        <f>SUM(S54:S56)</f>
        <v>44</v>
      </c>
      <c r="T57" s="575" t="n">
        <f>SUM(T54:T56)</f>
        <v>27</v>
      </c>
      <c r="U57" s="153" t="n">
        <f>T57/S57</f>
        <v>0.613636363636364</v>
      </c>
      <c r="V57" s="575" t="n">
        <f>T57+Q57</f>
        <v>62</v>
      </c>
      <c r="W57" s="153" t="n">
        <f>V57/E57</f>
        <v>0.613861386138614</v>
      </c>
      <c r="Y57" s="420" t="s">
        <v>86</v>
      </c>
      <c r="Z57" s="420" t="n">
        <f>SUM(Z54:Z56)</f>
        <v>295</v>
      </c>
      <c r="AA57" s="420" t="n">
        <f>SUM(AA54:AA56)</f>
        <v>42</v>
      </c>
      <c r="AB57" s="420" t="n">
        <f>Z57-AA57</f>
        <v>253</v>
      </c>
      <c r="AC57" s="421" t="n">
        <f>AB57*55%</f>
        <v>139.15</v>
      </c>
      <c r="AD57" s="420" t="n">
        <f>SUM(AD54:AD56)</f>
        <v>57</v>
      </c>
      <c r="AE57" s="422" t="n">
        <f>AD57/AB57</f>
        <v>0.225296442687747</v>
      </c>
      <c r="AF57" s="422" t="n">
        <f>AD57/AC57</f>
        <v>0.409629895795904</v>
      </c>
    </row>
    <row r="58" ht="24" customHeight="1"/>
    <row r="59" ht="24" customHeight="1"/>
    <row r="60" ht="24" customHeight="1">
      <c r="B60" s="72" t="s">
        <v>94</v>
      </c>
      <c r="C60" s="13" t="s">
        <v>95</v>
      </c>
      <c r="D60" s="89" t="s">
        <v>96</v>
      </c>
      <c r="E60" s="82"/>
      <c r="F60" s="82"/>
      <c r="G60" s="82"/>
      <c r="H60" s="82"/>
      <c r="I60" s="82"/>
      <c r="J60" s="82"/>
      <c r="K60" s="82"/>
      <c r="L60" s="82"/>
      <c r="M60" s="82"/>
      <c r="N60" s="82"/>
      <c r="O60" s="82"/>
      <c r="P60" s="82"/>
      <c r="Q60" s="82"/>
      <c r="R60" s="82"/>
      <c r="S60" s="80"/>
      <c r="U60" s="55" t="s">
        <v>97</v>
      </c>
      <c r="V60" s="89" t="s">
        <v>98</v>
      </c>
      <c r="W60" s="166"/>
      <c r="X60" s="49" t="s">
        <v>54</v>
      </c>
      <c r="Y60" s="50"/>
      <c r="Z60" s="87" t="s">
        <v>45</v>
      </c>
      <c r="AA60" s="88"/>
      <c r="AB60" s="84" t="s">
        <v>85</v>
      </c>
      <c r="AC60" s="93"/>
    </row>
    <row r="61" ht="24" customHeight="1">
      <c r="B61" s="72"/>
      <c r="C61" s="13"/>
      <c r="D61" s="55" t="s">
        <v>99</v>
      </c>
      <c r="E61" s="11" t="s">
        <v>54</v>
      </c>
      <c r="F61" s="11" t="s">
        <v>88</v>
      </c>
      <c r="G61" s="11" t="s">
        <v>65</v>
      </c>
      <c r="H61" s="11" t="s">
        <v>100</v>
      </c>
      <c r="I61" s="11" t="s">
        <v>101</v>
      </c>
      <c r="J61" s="64" t="s">
        <v>45</v>
      </c>
      <c r="K61" s="64" t="s">
        <v>88</v>
      </c>
      <c r="L61" s="64" t="s">
        <v>65</v>
      </c>
      <c r="M61" s="64" t="s">
        <v>100</v>
      </c>
      <c r="N61" s="64" t="s">
        <v>101</v>
      </c>
      <c r="O61" s="28" t="s">
        <v>85</v>
      </c>
      <c r="P61" s="28" t="s">
        <v>88</v>
      </c>
      <c r="Q61" s="28" t="s">
        <v>65</v>
      </c>
      <c r="R61" s="28" t="s">
        <v>100</v>
      </c>
      <c r="S61" s="28" t="s">
        <v>101</v>
      </c>
      <c r="U61" s="55"/>
      <c r="V61" s="55" t="s">
        <v>73</v>
      </c>
      <c r="W61" s="55" t="s">
        <v>26</v>
      </c>
      <c r="X61" s="11" t="s">
        <v>73</v>
      </c>
      <c r="Y61" s="11" t="s">
        <v>26</v>
      </c>
      <c r="Z61" s="64" t="s">
        <v>73</v>
      </c>
      <c r="AA61" s="64" t="s">
        <v>26</v>
      </c>
      <c r="AB61" s="28" t="s">
        <v>73</v>
      </c>
      <c r="AC61" s="28" t="s">
        <v>26</v>
      </c>
    </row>
    <row r="62" ht="24" customHeight="1">
      <c r="B62" s="73" t="s">
        <v>102</v>
      </c>
      <c r="C62" s="13" t="s">
        <v>103</v>
      </c>
      <c r="D62" s="43" t="n">
        <f>E62+J62+O62</f>
        <v>29</v>
      </c>
      <c r="E62" s="59" t="n">
        <f>COUNTIFS('UV台帐'!A:A,$E$61,'UV台帐'!L:L,"&gt;=95")</f>
        <v>16</v>
      </c>
      <c r="F62" s="56" t="n">
        <f>COUNTIFS('UV台帐'!A:A,$E$61,'UV台帐'!L:L,"&gt;=95",'UV台帐'!R:R,"零期")</f>
        <v>4</v>
      </c>
      <c r="G62" s="56" t="n">
        <f>COUNTIFS('UV台帐'!A:A,$E$61,'UV台帐'!L:L,"&gt;=95",'UV台帐'!R:R,"一期")</f>
        <v>1</v>
      </c>
      <c r="H62" s="56" t="n">
        <f>COUNTIFS('UV台帐'!A:A,$E$61,'UV台帐'!L:L,"&gt;=95",'UV台帐'!R:R,"二期")</f>
        <v>2</v>
      </c>
      <c r="I62" s="56" t="n">
        <f>COUNTIFS('UV台帐'!A:A,$E$61,'UV台帐'!L:L,"&gt;=95",'UV台帐'!R:R,"三期")</f>
        <v>9</v>
      </c>
      <c r="J62" s="59" t="n">
        <f>COUNTIFS('UV台帐'!A:A,$J$61,'UV台帐'!L:L,"&gt;=95")</f>
        <v>10</v>
      </c>
      <c r="K62" s="56" t="n">
        <f>COUNTIFS('UV台帐'!A:A,"同创汇",'UV台帐'!L:L,"&gt;=95",'UV台帐'!R:R,"零期")</f>
        <v>7</v>
      </c>
      <c r="L62" s="56" t="n">
        <f>COUNTIFS('UV台帐'!A:A,"同创汇",'UV台帐'!L:L,"&gt;=95",'UV台帐'!R:R,"一期")</f>
        <v>3</v>
      </c>
      <c r="M62" s="56" t="n">
        <f>COUNTIFS('UV台帐'!A:A,"同创汇",'UV台帐'!L:L,"&gt;=95",'UV台帐'!R:R,"二期")</f>
        <v>0</v>
      </c>
      <c r="N62" s="56" t="n">
        <f>COUNTIFS('UV台帐'!A:A,"同创汇",'UV台帐'!L:L,"&gt;=95",'UV台帐'!R:R,"三期")</f>
        <v>0</v>
      </c>
      <c r="O62" s="59" t="n">
        <f>COUNTIFS('UV台帐'!A:A,$O$61,'UV台帐'!L:L,"&gt;=95")</f>
        <v>3</v>
      </c>
      <c r="P62" s="56" t="n">
        <f>COUNTIFS('UV台帐'!A:A,"天成大厦",'UV台帐'!L:L,"&gt;=95",'UV台帐'!R:R,"零期")</f>
        <v>0</v>
      </c>
      <c r="Q62" s="56" t="n">
        <f>COUNTIFS('UV台帐'!A:A,"天成大厦",'UV台帐'!L:L,"&gt;=95",'UV台帐'!R:R,"一期")</f>
        <v>1</v>
      </c>
      <c r="R62" s="56" t="n">
        <f>COUNTIFS('UV台帐'!A:A,"天成大厦",'UV台帐'!L:L,"&gt;=95",'UV台帐'!R:R,"二期")</f>
        <v>0</v>
      </c>
      <c r="S62" s="56" t="n">
        <f>COUNTIFS('UV台帐'!A:A,"天成大厦",'UV台帐'!L:L,"&gt;=95",'UV台帐'!R:R,"三期")</f>
        <v>2</v>
      </c>
      <c r="U62" s="54" t="s">
        <v>104</v>
      </c>
      <c r="V62" s="56" t="n">
        <f>X62+Z62+AB62</f>
        <v>260</v>
      </c>
      <c r="W62" s="63" t="n">
        <f>V62/$V$68</f>
        <v>0.604651162790698</v>
      </c>
      <c r="X62" s="56" t="n">
        <f>COUNTIFS('UV台帐'!A:A,$X$60,'UV台帐'!E:E,U62)</f>
        <v>160</v>
      </c>
      <c r="Y62" s="63" t="n">
        <f>X62/$X$68</f>
        <v>0.594795539033457</v>
      </c>
      <c r="Z62" s="56" t="n">
        <f>COUNTIFS('UV台帐'!A:A,$Z$60,'UV台帐'!E:E,U62)</f>
        <v>73</v>
      </c>
      <c r="AA62" s="63" t="n">
        <f>Z62/$Z$68</f>
        <v>0.640350877192982</v>
      </c>
      <c r="AB62" s="56" t="n">
        <f>COUNTIFS('UV台帐'!A:A,$AB$60,'UV台帐'!E:E,U62)</f>
        <v>27</v>
      </c>
      <c r="AC62" s="63" t="n">
        <f>AB62/$AB$68</f>
        <v>0.574468085106383</v>
      </c>
    </row>
    <row r="63" ht="24" customHeight="1">
      <c r="B63" s="73"/>
      <c r="C63" s="13" t="s">
        <v>105</v>
      </c>
      <c r="D63" s="43" t="n">
        <f>E63+J63+O63</f>
        <v>113</v>
      </c>
      <c r="E63" s="59" t="n">
        <f>COUNTIFS('UV台帐'!A:A,$E$61,'UV台帐'!L:L,"&gt;=80",'UV台帐'!L:L,"&lt;95")</f>
        <v>68</v>
      </c>
      <c r="F63" s="56" t="n">
        <f>COUNTIFS('UV台帐'!A:A,$E$61,'UV台帐'!L:L,"&gt;=80",'UV台帐'!L:L,"&lt;95",'UV台帐'!R:R,"零期")</f>
        <v>11</v>
      </c>
      <c r="G63" s="56" t="n">
        <f>COUNTIFS('UV台帐'!A:A,$E$61,'UV台帐'!L:L,"&gt;=80",'UV台帐'!L:L,"&lt;95",'UV台帐'!R:R,"一期")</f>
        <v>10</v>
      </c>
      <c r="H63" s="56" t="n">
        <f>COUNTIFS('UV台帐'!A:A,$E$61,'UV台帐'!L:L,"&gt;=80",'UV台帐'!L:L,"&lt;95",'UV台帐'!R:R,"二期")</f>
        <v>15</v>
      </c>
      <c r="I63" s="56" t="n">
        <f>COUNTIFS('UV台帐'!A:A,$E$61,'UV台帐'!L:L,"&gt;=80",'UV台帐'!L:L,"&lt;95",'UV台帐'!R:R,"三期")</f>
        <v>32</v>
      </c>
      <c r="J63" s="59" t="n">
        <f>COUNTIFS('UV台帐'!A:A,$J$61,'UV台帐'!L:L,"&gt;=80",'UV台帐'!L:L,"&lt;95")</f>
        <v>29</v>
      </c>
      <c r="K63" s="56" t="n">
        <f>COUNTIFS('UV台帐'!A:A,"同创汇",'UV台帐'!L:L,"&gt;=80",'UV台帐'!L:L,"&lt;95",'UV台帐'!R:R,"零期")</f>
        <v>17</v>
      </c>
      <c r="L63" s="56" t="n">
        <f>COUNTIFS('UV台帐'!A:A,"同创汇",'UV台帐'!L:L,"&gt;=80",'UV台帐'!L:L,"&lt;95",'UV台帐'!R:R,"一期")</f>
        <v>9</v>
      </c>
      <c r="M63" s="56" t="n">
        <f>COUNTIFS('UV台帐'!A:A,"同创汇",'UV台帐'!L:L,"&gt;=80",'UV台帐'!L:L,"&lt;95",'UV台帐'!R:R,"二期")</f>
        <v>3</v>
      </c>
      <c r="N63" s="56" t="n">
        <f>COUNTIFS('UV台帐'!A:A,"同创汇",'UV台帐'!L:L,"&gt;=80",'UV台帐'!L:L,"&lt;95",'UV台帐'!R:R,"三期")</f>
        <v>0</v>
      </c>
      <c r="O63" s="59" t="n">
        <f>COUNTIFS('UV台帐'!A:A,$O$61,'UV台帐'!L:L,"&gt;=80",'UV台帐'!L:L,"&lt;95")</f>
        <v>16</v>
      </c>
      <c r="P63" s="56" t="n">
        <f>COUNTIFS('UV台帐'!A:A,"天成大厦",'UV台帐'!L:L,"&gt;=80",'UV台帐'!L:L,"&lt;95",'UV台帐'!R:R,"零期")</f>
        <v>0</v>
      </c>
      <c r="Q63" s="56" t="n">
        <f>COUNTIFS('UV台帐'!A:A,"天成大厦",'UV台帐'!L:L,"&gt;=80",'UV台帐'!L:L,"&lt;95",'UV台帐'!R:R,"一期")</f>
        <v>5</v>
      </c>
      <c r="R63" s="56" t="n">
        <f>COUNTIFS('UV台帐'!A:A,"天成大厦",'UV台帐'!L:L,"&gt;=80",'UV台帐'!L:L,"&lt;95",'UV台帐'!R:R,"二期")</f>
        <v>6</v>
      </c>
      <c r="S63" s="56" t="n">
        <f>COUNTIFS('UV台帐'!A:A,"天成大厦",'UV台帐'!L:L,"&gt;=80",'UV台帐'!L:L,"&lt;95",'UV台帐'!R:R,"三期")</f>
        <v>5</v>
      </c>
      <c r="U63" s="54" t="s">
        <v>106</v>
      </c>
      <c r="V63" s="56" t="n">
        <f>X63+Z63+AB63</f>
        <v>56</v>
      </c>
      <c r="W63" s="63" t="n">
        <f>V63/$V$68</f>
        <v>0.130232558139535</v>
      </c>
      <c r="X63" s="56" t="n">
        <f>COUNTIFS('UV台帐'!A:A,$X$60,'UV台帐'!E:E,U63)</f>
        <v>23</v>
      </c>
      <c r="Y63" s="63" t="n">
        <f>X63/$X$68</f>
        <v>0.0855018587360595</v>
      </c>
      <c r="Z63" s="56" t="n">
        <f>COUNTIFS('UV台帐'!A:A,$Z$60,'UV台帐'!E:E,U63)</f>
        <v>24</v>
      </c>
      <c r="AA63" s="63" t="n">
        <f>Z63/$Z$68</f>
        <v>0.210526315789474</v>
      </c>
      <c r="AB63" s="56" t="n">
        <f>COUNTIFS('UV台帐'!A:A,$AB$60,'UV台帐'!E:E,U63)</f>
        <v>9</v>
      </c>
      <c r="AC63" s="63" t="n">
        <f>AB63/$AB$68</f>
        <v>0.191489361702128</v>
      </c>
    </row>
    <row r="64" ht="24" customHeight="1">
      <c r="B64" s="90" t="s">
        <v>107</v>
      </c>
      <c r="C64" s="13" t="s">
        <v>108</v>
      </c>
      <c r="D64" s="43" t="n">
        <f>E64+J64+O64</f>
        <v>216</v>
      </c>
      <c r="E64" s="59" t="n">
        <f>COUNTIFS('UV台帐'!A:A,$E$61,'UV台帐'!L:L,"&gt;=60",'UV台帐'!L:L,"&lt;80")</f>
        <v>141</v>
      </c>
      <c r="F64" s="56" t="n">
        <f>COUNTIFS('UV台帐'!A:A,$E$61,'UV台帐'!L:L,"&gt;=60",'UV台帐'!L:L,"&lt;80",'UV台帐'!R:R,"零期")</f>
        <v>27</v>
      </c>
      <c r="G64" s="56" t="n">
        <f>COUNTIFS('UV台帐'!A:A,$E$61,'UV台帐'!L:L,"&gt;=60",'UV台帐'!L:L,"&lt;80",'UV台帐'!R:R,"一期")</f>
        <v>13</v>
      </c>
      <c r="H64" s="56" t="n">
        <f>COUNTIFS('UV台帐'!A:A,$E$61,'UV台帐'!L:L,"&gt;=60",'UV台帐'!L:L,"&lt;80",'UV台帐'!R:R,"二期")</f>
        <v>32</v>
      </c>
      <c r="I64" s="56" t="n">
        <f>COUNTIFS('UV台帐'!A:A,$E$61,'UV台帐'!L:L,"&gt;=60",'UV台帐'!L:L,"&lt;80",'UV台帐'!R:R,"三期")</f>
        <v>69</v>
      </c>
      <c r="J64" s="59" t="n">
        <f>COUNTIFS('UV台帐'!A:A,$J$61,'UV台帐'!L:L,"&gt;=60",'UV台帐'!L:L,"&lt;80")</f>
        <v>55</v>
      </c>
      <c r="K64" s="56" t="n">
        <f>COUNTIFS('UV台帐'!A:A,"同创汇",'UV台帐'!L:L,"&gt;=60",'UV台帐'!L:L,"&lt;80",'UV台帐'!R:R,"零期")</f>
        <v>28</v>
      </c>
      <c r="L64" s="56" t="n">
        <f>COUNTIFS('UV台帐'!A:A,"同创汇",'UV台帐'!L:L,"&gt;=60",'UV台帐'!L:L,"&lt;80",'UV台帐'!R:R,"一期")</f>
        <v>13</v>
      </c>
      <c r="M64" s="56" t="n">
        <f>COUNTIFS('UV台帐'!A:A,"同创汇",'UV台帐'!L:L,"&gt;=60",'UV台帐'!L:L,"&lt;80",'UV台帐'!R:R,"二期")</f>
        <v>14</v>
      </c>
      <c r="N64" s="56" t="n">
        <f>COUNTIFS('UV台帐'!A:A,"同创汇",'UV台帐'!L:L,"&gt;=60",'UV台帐'!L:L,"&lt;80",'UV台帐'!R:R,"三期")</f>
        <v>0</v>
      </c>
      <c r="O64" s="59" t="n">
        <f>COUNTIFS('UV台帐'!A:A,$O$61,'UV台帐'!L:L,"&gt;=60",'UV台帐'!L:L,"&lt;80")</f>
        <v>20</v>
      </c>
      <c r="P64" s="56" t="n">
        <f>COUNTIFS('UV台帐'!A:A,"天成大厦",'UV台帐'!L:L,"&gt;=60",'UV台帐'!L:L,"&lt;80",'UV台帐'!R:R,"零期")</f>
        <v>1</v>
      </c>
      <c r="Q64" s="56" t="n">
        <f>COUNTIFS('UV台帐'!A:A,"天成大厦",'UV台帐'!L:L,"&gt;=60",'UV台帐'!L:L,"&lt;80",'UV台帐'!R:R,"一期")</f>
        <v>5</v>
      </c>
      <c r="R64" s="56" t="n">
        <f>COUNTIFS('UV台帐'!A:A,"天成大厦",'UV台帐'!L:L,"&gt;=60",'UV台帐'!L:L,"&lt;80",'UV台帐'!R:R,"二期")</f>
        <v>9</v>
      </c>
      <c r="S64" s="56" t="n">
        <f>COUNTIFS('UV台帐'!A:A,"天成大厦",'UV台帐'!L:L,"&gt;=60",'UV台帐'!L:L,"&lt;80",'UV台帐'!R:R,"三期")</f>
        <v>5</v>
      </c>
      <c r="U64" s="54" t="s">
        <v>109</v>
      </c>
      <c r="V64" s="56" t="n">
        <f>X64+Z64+AB64</f>
        <v>8</v>
      </c>
      <c r="W64" s="63" t="n">
        <f>V64/$V$68</f>
        <v>0.0186046511627907</v>
      </c>
      <c r="X64" s="56" t="n">
        <f>COUNTIFS('UV台帐'!A:A,$X$60,'UV台帐'!E:E,U64)</f>
        <v>5</v>
      </c>
      <c r="Y64" s="63" t="n">
        <f>X64/$X$68</f>
        <v>0.0185873605947955</v>
      </c>
      <c r="Z64" s="56" t="n">
        <f>COUNTIFS('UV台帐'!A:A,$Z$60,'UV台帐'!E:E,U64)</f>
        <v>2</v>
      </c>
      <c r="AA64" s="63" t="n">
        <f>Z64/$Z$68</f>
        <v>0.0175438596491228</v>
      </c>
      <c r="AB64" s="56" t="n">
        <f>COUNTIFS('UV台帐'!A:A,$AB$60,'UV台帐'!E:E,U64)</f>
        <v>1</v>
      </c>
      <c r="AC64" s="63" t="n">
        <f>AB64/$AB$68</f>
        <v>0.0212765957446809</v>
      </c>
    </row>
    <row r="65" ht="24" customHeight="1">
      <c r="B65" s="92" t="s">
        <v>110</v>
      </c>
      <c r="C65" s="13" t="s">
        <v>111</v>
      </c>
      <c r="D65" s="43" t="n">
        <f>E65+J65+O65</f>
        <v>24</v>
      </c>
      <c r="E65" s="59" t="n">
        <f>COUNTIFS('UV台帐'!A:A,$E$61,'UV台帐'!L:L,"&gt;=40",'UV台帐'!L:L,"&lt;=59")</f>
        <v>13</v>
      </c>
      <c r="F65" s="56" t="n">
        <f>COUNTIFS('UV台帐'!A:A,$E$61,'UV台帐'!L:L,"&gt;=40",'UV台帐'!L:L,"&lt;=59",'UV台帐'!R:R,"零期")</f>
        <v>0</v>
      </c>
      <c r="G65" s="56" t="n">
        <f>COUNTIFS('UV台帐'!A:A,$E$61,'UV台帐'!L:L,"&gt;=40",'UV台帐'!L:L,"&lt;=59",'UV台帐'!R:R,"一期")</f>
        <v>1</v>
      </c>
      <c r="H65" s="56" t="n">
        <f>COUNTIFS('UV台帐'!A:A,$E$61,'UV台帐'!L:L,"&gt;=40",'UV台帐'!L:L,"&lt;=59",'UV台帐'!R:R,"二期")</f>
        <v>3</v>
      </c>
      <c r="I65" s="56" t="n">
        <f>COUNTIFS('UV台帐'!A:A,$E$61,'UV台帐'!L:L,"&gt;=40",'UV台帐'!L:L,"&lt;=59",'UV台帐'!R:R,"三期")</f>
        <v>9</v>
      </c>
      <c r="J65" s="59" t="n">
        <f>COUNTIFS('UV台帐'!A:A,$J$61,'UV台帐'!L:L,"&gt;=40",'UV台帐'!L:L,"&lt;=59")</f>
        <v>9</v>
      </c>
      <c r="K65" s="56" t="n">
        <f>COUNTIFS('UV台帐'!A:A,"同创汇",'UV台帐'!L:L,"&gt;=40",'UV台帐'!L:L,"&lt;=59",'UV台帐'!R:R,"零期")</f>
        <v>8</v>
      </c>
      <c r="L65" s="56" t="n">
        <f>COUNTIFS('UV台帐'!A:A,"同创汇",'UV台帐'!L:L,"&gt;=40",'UV台帐'!L:L,"&lt;=59",'UV台帐'!R:R,"一期")</f>
        <v>0</v>
      </c>
      <c r="M65" s="56" t="n">
        <f>COUNTIFS('UV台帐'!A:A,"同创汇",'UV台帐'!L:L,"&gt;=40",'UV台帐'!L:L,"&lt;=59",'UV台帐'!R:R,"二期")</f>
        <v>1</v>
      </c>
      <c r="N65" s="56" t="n">
        <f>COUNTIFS('UV台帐'!A:A,"同创汇",'UV台帐'!L:L,"&gt;=40",'UV台帐'!L:L,"&lt;=59",'UV台帐'!R:R,"三期")</f>
        <v>0</v>
      </c>
      <c r="O65" s="59" t="n">
        <f>COUNTIFS('UV台帐'!A:A,$O$61,'UV台帐'!L:L,"&gt;=40",'UV台帐'!L:L,"&lt;=59")</f>
        <v>2</v>
      </c>
      <c r="P65" s="56" t="n">
        <f>COUNTIFS('UV台帐'!A:A,"天成大厦",'UV台帐'!L:L,"&gt;=40",'UV台帐'!L:L,"&lt;=59",'UV台帐'!R:R,"零期")</f>
        <v>0</v>
      </c>
      <c r="Q65" s="56" t="n">
        <f>COUNTIFS('UV台帐'!A:A,"天成大厦",'UV台帐'!L:L,"&gt;=40",'UV台帐'!L:L,"&lt;=59",'UV台帐'!R:R,"一期")</f>
        <v>1</v>
      </c>
      <c r="R65" s="56" t="n">
        <f>COUNTIFS('UV台帐'!A:A,"天成大厦",'UV台帐'!L:L,"&gt;=40",'UV台帐'!L:L,"&lt;=59",'UV台帐'!R:R,"二期")</f>
        <v>0</v>
      </c>
      <c r="S65" s="56" t="n">
        <f>COUNTIFS('UV台帐'!A:A,"天成大厦",'UV台帐'!L:L,"&gt;=40",'UV台帐'!L:L,"&lt;=59",'UV台帐'!R:R,"三期")</f>
        <v>1</v>
      </c>
      <c r="U65" s="54" t="s">
        <v>112</v>
      </c>
      <c r="V65" s="56" t="n">
        <f>X65+Z65+AB65</f>
        <v>78</v>
      </c>
      <c r="W65" s="63" t="n">
        <f>V65/$V$68</f>
        <v>0.181395348837209</v>
      </c>
      <c r="X65" s="56" t="n">
        <f>COUNTIFS('UV台帐'!A:A,$X$60,'UV台帐'!E:E,U65)</f>
        <v>62</v>
      </c>
      <c r="Y65" s="63" t="n">
        <f>X65/$X$68</f>
        <v>0.230483271375465</v>
      </c>
      <c r="Z65" s="56" t="n">
        <f>COUNTIFS('UV台帐'!A:A,$Z$60,'UV台帐'!E:E,U65)</f>
        <v>12</v>
      </c>
      <c r="AA65" s="63" t="n">
        <f>Z65/$Z$68</f>
        <v>0.105263157894737</v>
      </c>
      <c r="AB65" s="56" t="n">
        <f>COUNTIFS('UV台帐'!A:A,$AB$60,'UV台帐'!E:E,U65)</f>
        <v>4</v>
      </c>
      <c r="AC65" s="63" t="n">
        <f>AB65/$AB$68</f>
        <v>0.0851063829787234</v>
      </c>
    </row>
    <row r="66" ht="24" customHeight="1">
      <c r="B66" s="92"/>
      <c r="C66" s="26" t="s">
        <v>113</v>
      </c>
      <c r="D66" s="43" t="n">
        <f>E66+J66+O66</f>
        <v>11</v>
      </c>
      <c r="E66" s="47" t="n">
        <f>COUNTIFS('UV台帐'!A:A,$E$61,'UV台帐'!L:L,"&gt;1",'UV台帐'!L:L,"&lt;=39")</f>
        <v>9</v>
      </c>
      <c r="F66" s="24" t="n">
        <f>COUNTIFS('UV台帐'!A:A,$E$61,'UV台帐'!L:L,"&gt;1",'UV台帐'!L:L,"&lt;=39",'UV台帐'!R:R,"零期")</f>
        <v>2</v>
      </c>
      <c r="G66" s="24" t="n">
        <f>COUNTIFS('UV台帐'!A:A,$E$61,'UV台帐'!L:L,"&gt;1",'UV台帐'!L:L,"&lt;=39",'UV台帐'!R:R,"一期")</f>
        <v>2</v>
      </c>
      <c r="H66" s="24" t="n">
        <f>COUNTIFS('UV台帐'!A:A,$E$61,'UV台帐'!L:L,"&gt;1",'UV台帐'!L:L,"&lt;=39",'UV台帐'!R:R,"二期")</f>
        <v>2</v>
      </c>
      <c r="I66" s="24" t="n">
        <f>COUNTIFS('UV台帐'!A:A,$E$61,'UV台帐'!L:L,"&gt;1",'UV台帐'!L:L,"&lt;=39",'UV台帐'!R:R,"三期")</f>
        <v>3</v>
      </c>
      <c r="J66" s="47" t="n">
        <f>COUNTIFS('UV台帐'!A:A,$J$61,'UV台帐'!L:L,"&gt;1",'UV台帐'!L:L,"&lt;=39")</f>
        <v>2</v>
      </c>
      <c r="K66" s="24" t="n">
        <f>COUNTIFS('UV台帐'!A:A,"同创汇",'UV台帐'!L:L,"&gt;1",'UV台帐'!L:L,"&lt;=39",'UV台帐'!R:R,"零期")</f>
        <v>2</v>
      </c>
      <c r="L66" s="24" t="n">
        <f>COUNTIFS('UV台帐'!A:A,"同创汇",'UV台帐'!L:L,"&gt;1",'UV台帐'!L:L,"&lt;=39",'UV台帐'!R:R,"一期")</f>
        <v>0</v>
      </c>
      <c r="M66" s="24" t="n">
        <f>COUNTIFS('UV台帐'!A:A,"同创汇",'UV台帐'!L:L,"&gt;1",'UV台帐'!L:L,"&lt;=39",'UV台帐'!R:R,"二期")</f>
        <v>0</v>
      </c>
      <c r="N66" s="24" t="n">
        <f>COUNTIFS('UV台帐'!A:A,"同创汇",'UV台帐'!L:L,"&gt;1",'UV台帐'!L:L,"&lt;=39",'UV台帐'!R:R,"三期")</f>
        <v>0</v>
      </c>
      <c r="O66" s="47" t="n">
        <f>COUNTIFS('UV台帐'!A:A,$O$61,'UV台帐'!L:L,"&gt;1",'UV台帐'!L:L,"&lt;=39")</f>
        <v>0</v>
      </c>
      <c r="P66" s="24" t="n">
        <f>COUNTIFS('UV台帐'!A:A,"天成大厦",'UV台帐'!L:L,"&gt;1",'UV台帐'!L:L,"&lt;=39",'UV台帐'!R:R,"零期")</f>
        <v>0</v>
      </c>
      <c r="Q66" s="24" t="n">
        <f>COUNTIFS('UV台帐'!O:O,"天成大厦",'UV台帐'!L:L,"&gt;1",'UV台帐'!L:L,"&lt;=39",'UV台帐'!R:R,"一期")</f>
        <v>0</v>
      </c>
      <c r="R66" s="24" t="n">
        <f>COUNTIFS('UV台帐'!O:O,"天成大厦",'UV台帐'!L:L,"&gt;1",'UV台帐'!L:L,"&lt;=39",'UV台帐'!R:R,"二期")</f>
        <v>0</v>
      </c>
      <c r="S66" s="24" t="n">
        <f>COUNTIFS('UV台帐'!O:O,"天成大厦",'UV台帐'!L:L,"&gt;1",'UV台帐'!L:L,"&lt;=39",'UV台帐'!R:R,"三期")</f>
        <v>0</v>
      </c>
      <c r="U66" s="54" t="s">
        <v>114</v>
      </c>
      <c r="V66" s="56" t="n">
        <f>X66+Z66+AB66</f>
        <v>18</v>
      </c>
      <c r="W66" s="63" t="n">
        <f>V66/$V$68</f>
        <v>0.0418604651162791</v>
      </c>
      <c r="X66" s="56" t="n">
        <f>COUNTIFS('UV台帐'!A:A,$X$60,'UV台帐'!E:E,U66)</f>
        <v>15</v>
      </c>
      <c r="Y66" s="63" t="n">
        <f>X66/$X$68</f>
        <v>0.0557620817843866</v>
      </c>
      <c r="Z66" s="56" t="n">
        <f>COUNTIFS('UV台帐'!A:A,$Z$60,'UV台帐'!E:E,U66)</f>
        <v>2</v>
      </c>
      <c r="AA66" s="63" t="n">
        <f>Z66/$Z$68</f>
        <v>0.0175438596491228</v>
      </c>
      <c r="AB66" s="56" t="n">
        <f>COUNTIFS('UV台帐'!A:A,$AB$60,'UV台帐'!E:E,U66)</f>
        <v>1</v>
      </c>
      <c r="AC66" s="63" t="n">
        <f>AB66/$AB$68</f>
        <v>0.0212765957446809</v>
      </c>
    </row>
    <row r="67" ht="24" customHeight="1">
      <c r="B67" s="122" t="s">
        <v>42</v>
      </c>
      <c r="C67" s="80"/>
      <c r="D67" s="43" t="n">
        <f>SUM(D62:D66)</f>
        <v>393</v>
      </c>
      <c r="E67" s="59" t="n">
        <f>SUM(E62:E66)</f>
        <v>247</v>
      </c>
      <c r="F67" s="56" t="n">
        <f>SUM(F62:F66)</f>
        <v>44</v>
      </c>
      <c r="G67" s="56" t="n">
        <f>SUM(G62:G66)</f>
        <v>27</v>
      </c>
      <c r="H67" s="56" t="n">
        <f>SUM(H62:H66)</f>
        <v>54</v>
      </c>
      <c r="I67" s="56" t="n">
        <f>SUM(I62:I66)</f>
        <v>122</v>
      </c>
      <c r="J67" s="59" t="n">
        <f>SUM(J62:J66)</f>
        <v>105</v>
      </c>
      <c r="K67" s="56" t="n">
        <f>SUM(K62:K66)</f>
        <v>62</v>
      </c>
      <c r="L67" s="56" t="n">
        <f>SUM(L62:L66)</f>
        <v>25</v>
      </c>
      <c r="M67" s="56" t="n">
        <f>SUM(M62:M66)</f>
        <v>18</v>
      </c>
      <c r="N67" s="56" t="n">
        <f>SUM(N62:N66)</f>
        <v>0</v>
      </c>
      <c r="O67" s="59" t="n">
        <f>SUM(O62:O66)</f>
        <v>41</v>
      </c>
      <c r="P67" s="56" t="n">
        <f>SUM(P62:P66)</f>
        <v>1</v>
      </c>
      <c r="Q67" s="56" t="n">
        <f>SUM(Q62:Q66)</f>
        <v>12</v>
      </c>
      <c r="R67" s="56" t="n">
        <f>SUM(R62:R66)</f>
        <v>15</v>
      </c>
      <c r="S67" s="56" t="n">
        <f>SUM(S62:S66)</f>
        <v>13</v>
      </c>
      <c r="U67" s="54" t="s">
        <v>115</v>
      </c>
      <c r="V67" s="56" t="n">
        <f>X67+Z67+AB67</f>
        <v>10</v>
      </c>
      <c r="W67" s="63" t="n">
        <f>V67/$V$68</f>
        <v>0.0232558139534884</v>
      </c>
      <c r="X67" s="56" t="n">
        <f>COUNTIFS('UV台帐'!A:A,$X$60,'UV台帐'!E:E,U67)</f>
        <v>4</v>
      </c>
      <c r="Y67" s="63" t="n">
        <f>X67/$X$68</f>
        <v>0.0148698884758364</v>
      </c>
      <c r="Z67" s="56" t="n">
        <f>COUNTIFS('UV台帐'!A:A,$Z$60,'UV台帐'!E:E,U67)</f>
        <v>1</v>
      </c>
      <c r="AA67" s="63" t="n">
        <f>Z67/$Z$68</f>
        <v>0.0087719298245614</v>
      </c>
      <c r="AB67" s="56" t="n">
        <f>COUNTIFS('UV台帐'!A:A,$AB$60,'UV台帐'!E:E,U67)</f>
        <v>5</v>
      </c>
      <c r="AC67" s="63" t="n">
        <f>AB67/$AB$68</f>
        <v>0.106382978723404</v>
      </c>
    </row>
    <row r="68" ht="24" customHeight="1">
      <c r="U68" s="56" t="s">
        <v>42</v>
      </c>
      <c r="V68" s="56" t="n">
        <f>X68+Z68+AB68</f>
        <v>430</v>
      </c>
      <c r="W68" s="56" t="s">
        <v>116</v>
      </c>
      <c r="X68" s="56" t="n">
        <f>SUM(X62:X67)</f>
        <v>269</v>
      </c>
      <c r="Y68" s="56" t="s">
        <v>116</v>
      </c>
      <c r="Z68" s="56" t="n">
        <f>SUM(Z62:Z67)</f>
        <v>114</v>
      </c>
      <c r="AA68" s="56" t="s">
        <v>116</v>
      </c>
      <c r="AB68" s="56" t="n">
        <f>SUM(AB62:AB67)</f>
        <v>47</v>
      </c>
      <c r="AC68" s="56" t="s">
        <v>116</v>
      </c>
    </row>
    <row r="69" ht="24" customHeight="1"/>
    <row r="70" ht="24" customHeight="1">
      <c r="B70" s="55" t="s">
        <v>117</v>
      </c>
      <c r="C70" s="55" t="s">
        <v>118</v>
      </c>
      <c r="D70" s="55" t="s">
        <v>7</v>
      </c>
      <c r="E70" s="55"/>
      <c r="F70" s="55"/>
      <c r="G70" s="55"/>
      <c r="H70" s="55"/>
      <c r="I70" s="55"/>
      <c r="J70" s="55"/>
      <c r="K70" s="55"/>
      <c r="L70" s="55"/>
      <c r="M70" s="55"/>
      <c r="N70" s="55"/>
      <c r="O70" s="55"/>
    </row>
    <row r="71" ht="24" customHeight="1">
      <c r="B71" s="55"/>
      <c r="C71" s="55"/>
      <c r="D71" s="55" t="s">
        <v>119</v>
      </c>
      <c r="E71" s="55" t="s">
        <v>120</v>
      </c>
      <c r="F71" s="55" t="s">
        <v>121</v>
      </c>
      <c r="G71" s="64" t="s">
        <v>32</v>
      </c>
      <c r="H71" s="64" t="s">
        <v>120</v>
      </c>
      <c r="I71" s="64" t="s">
        <v>10</v>
      </c>
      <c r="J71" s="67" t="s">
        <v>44</v>
      </c>
      <c r="K71" s="67" t="s">
        <v>120</v>
      </c>
      <c r="L71" s="67" t="s">
        <v>10</v>
      </c>
      <c r="M71" s="64" t="s">
        <v>53</v>
      </c>
      <c r="N71" s="64" t="s">
        <v>120</v>
      </c>
      <c r="O71" s="64" t="s">
        <v>10</v>
      </c>
      <c r="Q71" s="102" t="s">
        <v>122</v>
      </c>
      <c r="R71" s="102" t="s">
        <v>123</v>
      </c>
      <c r="S71" s="102" t="s">
        <v>26</v>
      </c>
      <c r="T71" s="106" t="s">
        <v>54</v>
      </c>
      <c r="U71" s="107" t="s">
        <v>45</v>
      </c>
      <c r="V71" s="108" t="s">
        <v>85</v>
      </c>
    </row>
    <row r="72" ht="24" customHeight="1">
      <c r="B72" s="56" t="s">
        <v>54</v>
      </c>
      <c r="C72" s="56" t="n">
        <f>COUNTIFS('UV台帐'!A:A,B72,'UV台帐'!H:H,"在读")</f>
        <v>260</v>
      </c>
      <c r="D72" s="56" t="n">
        <f>G72+J72+M72</f>
        <v>709</v>
      </c>
      <c r="E72" s="56" t="n">
        <f>H72+K72+N72</f>
        <v>98</v>
      </c>
      <c r="F72" s="57" t="n">
        <f>E72/D72</f>
        <v>0.138222849083216</v>
      </c>
      <c r="G72" s="56" t="n">
        <f>COUNTIFS('UV台帐'!A:A,B72,'UV台帐'!S:S,"在读")</f>
        <v>235</v>
      </c>
      <c r="H72" s="56" t="n">
        <f>SUMPRODUCT(('UV台帐'!A:A=B72)*('UV台帐'!T$3:T528="是"))</f>
        <v>40</v>
      </c>
      <c r="I72" s="57" t="n">
        <f>H72/G72</f>
        <v>0.170212765957447</v>
      </c>
      <c r="J72" s="56" t="n">
        <f>COUNTIFS('UV台帐'!A:A,B72,'UV台帐'!AB:AB,"在读")</f>
        <v>242</v>
      </c>
      <c r="K72" s="56" t="n">
        <f>SUMPRODUCT(('UV台帐'!A:A=B72)*('UV台帐'!AC$3:AC528="是"))</f>
        <v>35</v>
      </c>
      <c r="L72" s="57" t="n">
        <f>K72/J72</f>
        <v>0.144628099173554</v>
      </c>
      <c r="M72" s="56" t="n">
        <f>COUNTIFS('UV台帐'!A:A,B72,'UV台帐'!AK:AK,"在读")</f>
        <v>232</v>
      </c>
      <c r="N72" s="56" t="n">
        <f>SUMPRODUCT(('UV台帐'!A:A=B72)*('UV台帐'!AL$3:AL528="是"))</f>
        <v>23</v>
      </c>
      <c r="O72" s="57" t="n">
        <f>N72/M72</f>
        <v>0.0991379310344828</v>
      </c>
      <c r="Q72" s="100" t="s">
        <v>124</v>
      </c>
      <c r="R72" s="110" t="n">
        <f>COUNTIF('UV台帐'!K:K,"老师预估")</f>
        <v>31</v>
      </c>
      <c r="S72" s="109" t="n">
        <f>R72/$R$75</f>
        <v>0.0788804071246819</v>
      </c>
      <c r="T72" s="110" t="n">
        <f>COUNTIFS('UV台帐'!K:K,"老师预估",'UV台帐'!A:A,"新宝利")</f>
        <v>8</v>
      </c>
      <c r="U72" s="110" t="n">
        <f>COUNTIFS('UV台帐'!K:K,"老师预估",'UV台帐'!A:A,"同创汇")</f>
        <v>17</v>
      </c>
      <c r="V72" s="110" t="n">
        <f>COUNTIFS('UV台帐'!K:K,"老师预估",'UV台帐'!A:A,"天成大厦")</f>
        <v>6</v>
      </c>
    </row>
    <row r="73" ht="24" customHeight="1">
      <c r="B73" s="56" t="s">
        <v>45</v>
      </c>
      <c r="C73" s="56" t="n">
        <f>COUNTIFS('UV台帐'!A:A,B73,'UV台帐'!H:H,"在读")</f>
        <v>100</v>
      </c>
      <c r="D73" s="56" t="n">
        <f>G73+J73+M73</f>
        <v>275</v>
      </c>
      <c r="E73" s="56" t="n">
        <f>H73+K73+N73</f>
        <v>37</v>
      </c>
      <c r="F73" s="57" t="n">
        <f>E73/D73</f>
        <v>0.134545454545455</v>
      </c>
      <c r="G73" s="56" t="n">
        <f>COUNTIFS('UV台帐'!A:A,B73,'UV台帐'!S:S,"在读")</f>
        <v>94</v>
      </c>
      <c r="H73" s="56" t="n">
        <f>SUMPRODUCT(('UV台帐'!A:A=B73)*('UV台帐'!T$3:T528="是"))</f>
        <v>17</v>
      </c>
      <c r="I73" s="57" t="n">
        <f>H73/G73</f>
        <v>0.180851063829787</v>
      </c>
      <c r="J73" s="56" t="n">
        <f>COUNTIFS('UV台帐'!A:A,B73,'UV台帐'!AB:AB,"在读")</f>
        <v>91</v>
      </c>
      <c r="K73" s="56" t="n">
        <f>SUMPRODUCT(('UV台帐'!A:A=B73)*('UV台帐'!AC$3:AC528="是"))</f>
        <v>9</v>
      </c>
      <c r="L73" s="57" t="n">
        <f>K73/J73</f>
        <v>0.0989010989010989</v>
      </c>
      <c r="M73" s="56" t="n">
        <f>COUNTIFS('UV台帐'!A:A,B73,'UV台帐'!AK:AK,"在读")</f>
        <v>90</v>
      </c>
      <c r="N73" s="56" t="n">
        <f>SUMPRODUCT(('UV台帐'!A:A=B73)*('UV台帐'!AL$3:AL528="是"))</f>
        <v>11</v>
      </c>
      <c r="O73" s="57" t="n">
        <f>N73/M73</f>
        <v>0.122222222222222</v>
      </c>
      <c r="Q73" s="100" t="s">
        <v>125</v>
      </c>
      <c r="R73" s="110" t="n">
        <f>COUNTIF('UV台帐'!K:K,"报前测成绩")</f>
        <v>161</v>
      </c>
      <c r="S73" s="109" t="n">
        <f>R73/$R$75</f>
        <v>0.409669211195929</v>
      </c>
      <c r="T73" s="110" t="n">
        <f>COUNTIFS('UV台帐'!K:K,"报前测成绩",'UV台帐'!A:A,"新宝利")</f>
        <v>105</v>
      </c>
      <c r="U73" s="110" t="n">
        <f>COUNTIFS('UV台帐'!K:K,"报前测成绩",'UV台帐'!A:A,"同创汇")</f>
        <v>43</v>
      </c>
      <c r="V73" s="110" t="n">
        <f>COUNTIFS('UV台帐'!K:K,"报前测成绩",'UV台帐'!A:A,"天成大厦")</f>
        <v>13</v>
      </c>
    </row>
    <row r="74" ht="24" customHeight="1">
      <c r="B74" s="56" t="s">
        <v>85</v>
      </c>
      <c r="C74" s="56" t="n">
        <f>COUNTIFS('UV台帐'!A:A,B74,'UV台帐'!H:H,"在读")</f>
        <v>41</v>
      </c>
      <c r="D74" s="56" t="n">
        <f>G74+J74+M74</f>
        <v>105</v>
      </c>
      <c r="E74" s="56" t="n">
        <f>H74+K74+N74</f>
        <v>20</v>
      </c>
      <c r="F74" s="57" t="n">
        <f>E74/D74</f>
        <v>0.19047619047619</v>
      </c>
      <c r="G74" s="56" t="n">
        <f>COUNTIFS('UV台帐'!A:A,B74,'UV台帐'!S:S,"在读")</f>
        <v>38</v>
      </c>
      <c r="H74" s="56" t="n">
        <f>SUMPRODUCT(('UV台帐'!A:A=B74)*('UV台帐'!T$3:T528="是"))</f>
        <v>11</v>
      </c>
      <c r="I74" s="57" t="n">
        <f>H74/G74</f>
        <v>0.289473684210526</v>
      </c>
      <c r="J74" s="56" t="n">
        <f>COUNTIFS('UV台帐'!A:A,B74,'UV台帐'!AB:AB,"在读")</f>
        <v>33</v>
      </c>
      <c r="K74" s="56" t="n">
        <f>SUMPRODUCT(('UV台帐'!A:A=B74)*('UV台帐'!AC$3:AC528="是"))</f>
        <v>2</v>
      </c>
      <c r="L74" s="57" t="n">
        <f>K74/J74</f>
        <v>0.0606060606060606</v>
      </c>
      <c r="M74" s="56" t="n">
        <f>COUNTIFS('UV台帐'!A:A,B74,'UV台帐'!AK:AK,"在读")</f>
        <v>34</v>
      </c>
      <c r="N74" s="56" t="n">
        <f>SUMPRODUCT(('UV台帐'!A:A=B74)*('UV台帐'!AL$3:AL528="是"))</f>
        <v>7</v>
      </c>
      <c r="O74" s="57" t="n">
        <f>N74/M74</f>
        <v>0.205882352941176</v>
      </c>
      <c r="Q74" s="100" t="s">
        <v>126</v>
      </c>
      <c r="R74" s="110" t="n">
        <f>COUNTIF('UV台帐'!K:K,"校内成绩")</f>
        <v>201</v>
      </c>
      <c r="S74" s="109" t="n">
        <f>R74/$R$75</f>
        <v>0.511450381679389</v>
      </c>
      <c r="T74" s="110" t="n">
        <f>COUNTIFS('UV台帐'!K:K,"校内成绩",'UV台帐'!A:A,"新宝利")</f>
        <v>134</v>
      </c>
      <c r="U74" s="110" t="n">
        <f>COUNTIFS('UV台帐'!K:K,"校内成绩",'UV台帐'!A:A,"同创汇")</f>
        <v>45</v>
      </c>
      <c r="V74" s="110" t="n">
        <f>COUNTIFS('UV台帐'!K:K,"校内成绩",'UV台帐'!A:A,"天成大厦")</f>
        <v>22</v>
      </c>
    </row>
    <row r="75" ht="24" customHeight="1">
      <c r="B75" s="59" t="s">
        <v>42</v>
      </c>
      <c r="C75" s="59" t="n">
        <f>SUM(C72:C74)</f>
        <v>401</v>
      </c>
      <c r="D75" s="59" t="n">
        <f>SUM(D72:D74)</f>
        <v>1089</v>
      </c>
      <c r="E75" s="59" t="n">
        <f>SUM(E72:E74)</f>
        <v>155</v>
      </c>
      <c r="F75" s="60" t="n">
        <f>E75/D75</f>
        <v>0.142332415059688</v>
      </c>
      <c r="G75" s="59" t="n">
        <f>SUM(G72:G74)</f>
        <v>367</v>
      </c>
      <c r="H75" s="59" t="n">
        <f>SUM(H72:H74)</f>
        <v>68</v>
      </c>
      <c r="I75" s="60" t="n">
        <f>H75/G75</f>
        <v>0.185286103542234</v>
      </c>
      <c r="J75" s="59" t="n">
        <f>SUM(J72:J74)</f>
        <v>366</v>
      </c>
      <c r="K75" s="59" t="n">
        <f>SUM(K72:K74)</f>
        <v>46</v>
      </c>
      <c r="L75" s="60" t="n">
        <f>K75/J75</f>
        <v>0.12568306010929</v>
      </c>
      <c r="M75" s="59" t="n">
        <f>SUM(M72:M74)</f>
        <v>356</v>
      </c>
      <c r="N75" s="59" t="n">
        <f>SUM(N72:N74)</f>
        <v>41</v>
      </c>
      <c r="O75" s="60" t="n">
        <f>N75/M75</f>
        <v>0.115168539325843</v>
      </c>
      <c r="Q75" s="100" t="s">
        <v>42</v>
      </c>
      <c r="R75" s="110" t="n">
        <f>SUM(R72:R74)</f>
        <v>393</v>
      </c>
      <c r="S75" s="110" t="s">
        <v>116</v>
      </c>
      <c r="T75" s="110" t="n">
        <f>SUM(T72:T74)</f>
        <v>247</v>
      </c>
      <c r="U75" s="110" t="n">
        <f>SUM(U72:U74)</f>
        <v>105</v>
      </c>
      <c r="V75" s="110" t="n">
        <f>SUM(V72:V74)</f>
        <v>41</v>
      </c>
    </row>
    <row r="76" ht="24" customHeight="1"/>
    <row r="77" ht="24" customHeight="1"/>
    <row r="78" ht="24" customHeight="1"/>
    <row r="79" ht="24" customHeight="1"/>
    <row r="80" ht="24" customHeight="1">
      <c r="P80" s="349" t="s">
        <v>88</v>
      </c>
      <c r="Q80" s="350" t="s">
        <v>73</v>
      </c>
      <c r="R80" s="350"/>
      <c r="S80" s="350"/>
      <c r="T80" s="351" t="s">
        <v>72</v>
      </c>
      <c r="U80" s="351"/>
      <c r="V80" s="351"/>
      <c r="W80" s="351"/>
      <c r="X80" s="351"/>
      <c r="Y80" s="351"/>
      <c r="Z80" s="351"/>
      <c r="AA80" s="351"/>
      <c r="AB80" s="351"/>
    </row>
    <row r="81" ht="24" customHeight="1">
      <c r="P81" s="100"/>
      <c r="Q81" s="349" t="s">
        <v>73</v>
      </c>
      <c r="R81" s="349" t="s">
        <v>127</v>
      </c>
      <c r="S81" s="349" t="s">
        <v>128</v>
      </c>
      <c r="T81" s="352" t="s">
        <v>32</v>
      </c>
      <c r="U81" s="352" t="s">
        <v>129</v>
      </c>
      <c r="V81" s="353" t="s">
        <v>53</v>
      </c>
      <c r="W81" s="353" t="s">
        <v>129</v>
      </c>
      <c r="X81" s="358" t="s">
        <v>44</v>
      </c>
      <c r="Y81" s="358" t="s">
        <v>129</v>
      </c>
      <c r="Z81" s="351" t="s">
        <v>130</v>
      </c>
      <c r="AA81" s="351" t="s">
        <v>131</v>
      </c>
      <c r="AB81" s="351" t="s">
        <v>132</v>
      </c>
    </row>
    <row r="82" ht="24" customHeight="1">
      <c r="P82" s="110" t="s">
        <v>133</v>
      </c>
      <c r="Q82" s="110" t="n">
        <v>47</v>
      </c>
      <c r="R82" s="110" t="n">
        <v>15</v>
      </c>
      <c r="S82" s="359" t="n">
        <f>R82/Q82</f>
        <v>0.319148936170213</v>
      </c>
      <c r="T82" s="110" t="n">
        <v>30</v>
      </c>
      <c r="U82" s="110" t="n">
        <v>15</v>
      </c>
      <c r="V82" s="110" t="n">
        <v>43</v>
      </c>
      <c r="W82" s="110" t="n">
        <v>9</v>
      </c>
      <c r="X82" s="110" t="n">
        <v>44</v>
      </c>
      <c r="Y82" s="110" t="n">
        <v>11</v>
      </c>
      <c r="Z82" s="110" t="n">
        <f>T82+V82+X82</f>
        <v>117</v>
      </c>
      <c r="AA82" s="110" t="n">
        <f>U82+W82+Y82</f>
        <v>35</v>
      </c>
      <c r="AB82" s="361" t="n">
        <f>AA82/Z82</f>
        <v>0.299145299145299</v>
      </c>
    </row>
    <row r="83" ht="24" customHeight="1">
      <c r="C83" s="404" t="s">
        <v>134</v>
      </c>
      <c r="D83" s="397" t="s">
        <v>135</v>
      </c>
      <c r="E83" s="399" t="n">
        <f>E84/$J$84</f>
        <v>0.051948051948052</v>
      </c>
      <c r="F83" s="399" t="n">
        <f>F84/$J$84</f>
        <v>0.372294372294372</v>
      </c>
      <c r="G83" s="399" t="n">
        <f>G84/$J$84</f>
        <v>0.251082251082251</v>
      </c>
      <c r="H83" s="399" t="n">
        <f>H84/$J$84</f>
        <v>0.324675324675325</v>
      </c>
      <c r="I83" s="402" t="n">
        <f>I84/$J$84</f>
        <v>0</v>
      </c>
      <c r="J83" s="340" t="s">
        <v>42</v>
      </c>
      <c r="P83" s="362" t="s">
        <v>136</v>
      </c>
      <c r="Q83" s="362" t="n">
        <v>37</v>
      </c>
      <c r="R83" s="362" t="n">
        <v>7</v>
      </c>
      <c r="S83" s="367" t="n">
        <f>R83/Q83</f>
        <v>0.189189189189189</v>
      </c>
      <c r="T83" s="362" t="n">
        <v>38</v>
      </c>
      <c r="U83" s="362" t="n">
        <v>8</v>
      </c>
      <c r="V83" s="362" t="n">
        <v>40</v>
      </c>
      <c r="W83" s="362" t="n">
        <v>4</v>
      </c>
      <c r="X83" s="362" t="n">
        <v>39</v>
      </c>
      <c r="Y83" s="362" t="n">
        <v>7</v>
      </c>
      <c r="Z83" s="362" t="n">
        <f>T83+V83+X83</f>
        <v>117</v>
      </c>
      <c r="AA83" s="362" t="n">
        <f>U83+W83+Y83</f>
        <v>19</v>
      </c>
      <c r="AB83" s="374" t="n">
        <f>AA83/Z83</f>
        <v>0.162393162393162</v>
      </c>
    </row>
    <row r="84" ht="24" customHeight="1">
      <c r="C84" s="394"/>
      <c r="D84" s="347" t="s">
        <v>72</v>
      </c>
      <c r="E84" s="96"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96"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96"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96"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400"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340" t="n">
        <f>SUM(E84:I84)</f>
        <v>231</v>
      </c>
    </row>
    <row r="85" ht="24" customHeight="1">
      <c r="C85" s="395"/>
      <c r="D85" s="347" t="s">
        <v>73</v>
      </c>
      <c r="E85" s="96" t="n">
        <f>COUNTIFS('UV台帐'!AR:AR,"三月",'UV台帐'!E:E,"&lt;&gt;春季在读老生",'UV台帐'!I:I,"*零期*")</f>
        <v>4</v>
      </c>
      <c r="F85" s="96" t="n">
        <f>COUNTIFS('UV台帐'!AR:AR,"四月",'UV台帐'!E:E,"&lt;&gt;春季在读老生",'UV台帐'!I:I,"*零期*")</f>
        <v>35</v>
      </c>
      <c r="G85" s="96" t="n">
        <f>COUNTIFS('UV台帐'!AR:AR,"五月",'UV台帐'!E:E,"&lt;&gt;春季在读老生",'UV台帐'!I:I,"*零期*")</f>
        <v>22</v>
      </c>
      <c r="H85" s="96" t="n">
        <f>COUNTIFS('UV台帐'!AR:AR,"六月",'UV台帐'!E:E,"&lt;&gt;春季在读老生",'UV台帐'!I:I,"*零期*")</f>
        <v>28</v>
      </c>
      <c r="I85" s="400" t="n">
        <f>COUNTIFS('UV台帐'!AR:AR,"七月",'UV台帐'!E:E,"&lt;&gt;春季在读老生",'UV台帐'!I:I,"*零期*")</f>
        <v>0</v>
      </c>
      <c r="J85" s="340" t="n">
        <f>SUM(E85:I85)</f>
        <v>89</v>
      </c>
    </row>
    <row r="86" ht="24" customHeight="1">
      <c r="C86" s="348" t="s">
        <v>137</v>
      </c>
      <c r="D86" s="348"/>
      <c r="E86" s="348" t="s">
        <v>138</v>
      </c>
      <c r="F86" s="348" t="s">
        <v>139</v>
      </c>
      <c r="G86" s="348" t="s">
        <v>140</v>
      </c>
      <c r="H86" s="348" t="s">
        <v>141</v>
      </c>
      <c r="I86" s="401" t="s">
        <v>142</v>
      </c>
      <c r="J86" s="405" t="s">
        <v>88</v>
      </c>
    </row>
    <row r="87" ht="24" customHeight="1">
      <c r="C87" s="344" t="s">
        <v>143</v>
      </c>
      <c r="D87" s="344" t="s">
        <v>73</v>
      </c>
      <c r="E87" s="96" t="n">
        <f>COUNTIFS('UV台帐'!AR:AR,"三月",'UV台帐'!E:E,"&lt;&gt;春季在读老生",'UV台帐'!AS:AS,"是",'UV台帐'!I:I,"*零期*")</f>
        <v>1</v>
      </c>
      <c r="F87" s="96" t="n">
        <f>COUNTIFS('UV台帐'!AR:AR,"四月",'UV台帐'!E:E,"&lt;&gt;春季在读老生",'UV台帐'!AS:AS,"是",'UV台帐'!I:I,"*零期*")</f>
        <v>13</v>
      </c>
      <c r="G87" s="96" t="n">
        <f>COUNTIFS('UV台帐'!AR:AR,"五月",'UV台帐'!E:E,"&lt;&gt;春季在读老生",'UV台帐'!AS:AS,"是",'UV台帐'!I:I,"*零期*")</f>
        <v>7</v>
      </c>
      <c r="H87" s="96" t="n">
        <f>COUNTIFS('UV台帐'!AR:AR,"六月",'UV台帐'!E:E,"&lt;&gt;春季在读老生",'UV台帐'!AS:AS,"是",'UV台帐'!I:I,"*零期*")</f>
        <v>5</v>
      </c>
      <c r="I87" s="400" t="n">
        <f>COUNTIFS('UV台帐'!AR:AR,"七月",'UV台帐'!E:E,"&lt;&gt;春季在读老生",'UV台帐'!AS:AS,"是",'UV台帐'!I:I,"*零期*")</f>
        <v>0</v>
      </c>
      <c r="J87" s="340" t="n">
        <f>SUM(E87:I87)</f>
        <v>26</v>
      </c>
    </row>
    <row r="88" ht="24" customHeight="1">
      <c r="C88" s="96"/>
      <c r="D88" s="397" t="s">
        <v>144</v>
      </c>
      <c r="E88" s="399" t="n">
        <f>E87/E85</f>
        <v>0.25</v>
      </c>
      <c r="F88" s="399" t="n">
        <f>F87/F85</f>
        <v>0.371428571428571</v>
      </c>
      <c r="G88" s="399" t="n">
        <f>G87/G85</f>
        <v>0.318181818181818</v>
      </c>
      <c r="H88" s="399" t="n">
        <f>H87/H85</f>
        <v>0.178571428571429</v>
      </c>
      <c r="I88" s="402" t="n">
        <f>IFERROR(I87/I85,0)</f>
        <v>0</v>
      </c>
      <c r="J88" s="403" t="n">
        <f>J87/J85</f>
        <v>0.292134831460674</v>
      </c>
    </row>
    <row r="89" ht="24" customHeight="1">
      <c r="C89" s="96"/>
      <c r="D89" s="344" t="s">
        <v>72</v>
      </c>
      <c r="E89" s="96"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96"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30</v>
      </c>
      <c r="G89" s="96"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12</v>
      </c>
      <c r="H89" s="96"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10</v>
      </c>
      <c r="I89" s="400"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340" t="n">
        <f>SUM(E89:I89)</f>
        <v>54</v>
      </c>
    </row>
    <row r="90" ht="24" customHeight="1">
      <c r="C90" s="96"/>
      <c r="D90" s="397" t="s">
        <v>145</v>
      </c>
      <c r="E90" s="399" t="n">
        <f>E89/E84</f>
        <v>0.0833333333333333</v>
      </c>
      <c r="F90" s="399" t="n">
        <f>F89/F84</f>
        <v>0.348837209302326</v>
      </c>
      <c r="G90" s="399" t="n">
        <f>G89/G84</f>
        <v>0.206896551724138</v>
      </c>
      <c r="H90" s="399" t="n">
        <f>H89/H84</f>
        <v>0.133333333333333</v>
      </c>
      <c r="I90" s="402" t="n">
        <f>IFERROR(I89/I84,0)</f>
        <v>0</v>
      </c>
      <c r="J90" s="403" t="n">
        <f>J89/J84</f>
        <v>0.233766233766234</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58" type="dataBar">
      <dataBar>
        <cfvo type="min"/>
        <cfvo type="max"/>
        <color rgb="FFF99570"/>
      </dataBar>
      <extLst>
        <ext xmlns:x14="http://schemas.microsoft.com/office/spreadsheetml/2009/9/main" uri="{B025F937-C7B1-47D3-B67F-A62EFF666E3E}">
          <x14:id>{E37EC892-71A9-4FE1-E685-7B89A7BB506C}</x14:id>
        </ext>
      </extLst>
    </cfRule>
  </conditionalFormatting>
  <conditionalFormatting sqref="AA62:AA67">
    <cfRule priority="258" type="dataBar">
      <dataBar>
        <cfvo type="min"/>
        <cfvo type="max"/>
        <color rgb="FFF99570"/>
      </dataBar>
      <extLst>
        <ext xmlns:x14="http://schemas.microsoft.com/office/spreadsheetml/2009/9/main" uri="{B025F937-C7B1-47D3-B67F-A62EFF666E3E}">
          <x14:id>{32FC54A9-B940-973C-F578-F3A364F0EFFD}</x14:id>
        </ext>
      </extLst>
    </cfRule>
  </conditionalFormatting>
  <conditionalFormatting sqref="AC62:AC67">
    <cfRule priority="258" type="dataBar">
      <dataBar>
        <cfvo type="min"/>
        <cfvo type="max"/>
        <color rgb="FFF99570"/>
      </dataBar>
      <extLst>
        <ext xmlns:x14="http://schemas.microsoft.com/office/spreadsheetml/2009/9/main" uri="{B025F937-C7B1-47D3-B67F-A62EFF666E3E}">
          <x14:id>{DF1AEA5F-E5C4-BC61-445D-6766C66E1D6B}</x14:id>
        </ext>
      </extLst>
    </cfRule>
  </conditionalFormatting>
  <conditionalFormatting sqref="Y62:Y67">
    <cfRule priority="259" type="dataBar">
      <dataBar>
        <cfvo type="min"/>
        <cfvo type="max"/>
        <color rgb="FFBAC6F8"/>
      </dataBar>
      <extLst>
        <ext xmlns:x14="http://schemas.microsoft.com/office/spreadsheetml/2009/9/main" uri="{B025F937-C7B1-47D3-B67F-A62EFF666E3E}">
          <x14:id>{0DE0F6BF-540E-671F-C8F7-C0D435377A54}</x14:id>
        </ext>
      </extLst>
    </cfRule>
  </conditionalFormatting>
  <conditionalFormatting sqref="AA62:AA67">
    <cfRule priority="259" type="dataBar">
      <dataBar>
        <cfvo type="min"/>
        <cfvo type="max"/>
        <color rgb="FFBAC6F8"/>
      </dataBar>
      <extLst>
        <ext xmlns:x14="http://schemas.microsoft.com/office/spreadsheetml/2009/9/main" uri="{B025F937-C7B1-47D3-B67F-A62EFF666E3E}">
          <x14:id>{8A824259-9F8E-80EB-60E9-6B1D3847D700}</x14:id>
        </ext>
      </extLst>
    </cfRule>
  </conditionalFormatting>
  <conditionalFormatting sqref="AC62:AC67">
    <cfRule priority="259" type="dataBar">
      <dataBar>
        <cfvo type="min"/>
        <cfvo type="max"/>
        <color rgb="FFBAC6F8"/>
      </dataBar>
      <extLst>
        <ext xmlns:x14="http://schemas.microsoft.com/office/spreadsheetml/2009/9/main" uri="{B025F937-C7B1-47D3-B67F-A62EFF666E3E}">
          <x14:id>{03F04122-C46B-F095-ADE4-6D02E79B35B6}</x14:id>
        </ext>
      </extLst>
    </cfRule>
  </conditionalFormatting>
  <conditionalFormatting sqref="Y62:Y67">
    <cfRule priority="260" type="dataBar">
      <dataBar>
        <cfvo type="min"/>
        <cfvo type="max"/>
        <color rgb="FFFCDA7B"/>
      </dataBar>
      <extLst>
        <ext xmlns:x14="http://schemas.microsoft.com/office/spreadsheetml/2009/9/main" uri="{B025F937-C7B1-47D3-B67F-A62EFF666E3E}">
          <x14:id>{E1221918-2288-F7CC-6C19-BFC4FF223E4E}</x14:id>
        </ext>
      </extLst>
    </cfRule>
  </conditionalFormatting>
  <conditionalFormatting sqref="AA62:AA67">
    <cfRule priority="260" type="dataBar">
      <dataBar>
        <cfvo type="min"/>
        <cfvo type="max"/>
        <color rgb="FFFCDA7B"/>
      </dataBar>
      <extLst>
        <ext xmlns:x14="http://schemas.microsoft.com/office/spreadsheetml/2009/9/main" uri="{B025F937-C7B1-47D3-B67F-A62EFF666E3E}">
          <x14:id>{2EDAA285-B8B6-910A-E96C-1D77435F5120}</x14:id>
        </ext>
      </extLst>
    </cfRule>
  </conditionalFormatting>
  <conditionalFormatting sqref="AC62:AC67">
    <cfRule priority="260" type="dataBar">
      <dataBar>
        <cfvo type="min"/>
        <cfvo type="max"/>
        <color rgb="FFFCDA7B"/>
      </dataBar>
      <extLst>
        <ext xmlns:x14="http://schemas.microsoft.com/office/spreadsheetml/2009/9/main" uri="{B025F937-C7B1-47D3-B67F-A62EFF666E3E}">
          <x14:id>{2720E3D6-73C4-E963-6F3D-A9DB27A36ACD}</x14:id>
        </ext>
      </extLst>
    </cfRule>
  </conditionalFormatting>
  <conditionalFormatting sqref="Y62:Y67">
    <cfRule priority="261" type="dataBar">
      <dataBar>
        <cfvo type="min"/>
        <cfvo type="max"/>
        <color rgb="FFBAC6F8"/>
      </dataBar>
      <extLst>
        <ext xmlns:x14="http://schemas.microsoft.com/office/spreadsheetml/2009/9/main" uri="{B025F937-C7B1-47D3-B67F-A62EFF666E3E}">
          <x14:id>{3A7B18A3-5C92-3F64-08AE-144A5BB9BDC4}</x14:id>
        </ext>
      </extLst>
    </cfRule>
  </conditionalFormatting>
  <conditionalFormatting sqref="AA62:AA67">
    <cfRule priority="261" type="dataBar">
      <dataBar>
        <cfvo type="min"/>
        <cfvo type="max"/>
        <color rgb="FFBAC6F8"/>
      </dataBar>
      <extLst>
        <ext xmlns:x14="http://schemas.microsoft.com/office/spreadsheetml/2009/9/main" uri="{B025F937-C7B1-47D3-B67F-A62EFF666E3E}">
          <x14:id>{5613023D-5DC4-BCD1-BBA7-81BF868F08D0}</x14:id>
        </ext>
      </extLst>
    </cfRule>
  </conditionalFormatting>
  <conditionalFormatting sqref="AC62:AC67">
    <cfRule priority="261" type="dataBar">
      <dataBar>
        <cfvo type="min"/>
        <cfvo type="max"/>
        <color rgb="FFBAC6F8"/>
      </dataBar>
      <extLst>
        <ext xmlns:x14="http://schemas.microsoft.com/office/spreadsheetml/2009/9/main" uri="{B025F937-C7B1-47D3-B67F-A62EFF666E3E}">
          <x14:id>{C568E87E-A336-0D29-81AC-DBE4DEEF7166}</x14:id>
        </ext>
      </extLst>
    </cfRule>
  </conditionalFormatting>
  <conditionalFormatting sqref="W62:W67">
    <cfRule priority="258" type="dataBar">
      <dataBar>
        <cfvo type="min"/>
        <cfvo type="max"/>
        <color rgb="FFF99570"/>
      </dataBar>
      <extLst>
        <ext xmlns:x14="http://schemas.microsoft.com/office/spreadsheetml/2009/9/main" uri="{B025F937-C7B1-47D3-B67F-A62EFF666E3E}">
          <x14:id>{2525536B-77EE-B991-6776-14A30E425ECF}</x14:id>
        </ext>
      </extLst>
    </cfRule>
  </conditionalFormatting>
  <conditionalFormatting sqref="W62:W67">
    <cfRule priority="259" type="dataBar">
      <dataBar>
        <cfvo type="min"/>
        <cfvo type="max"/>
        <color rgb="FFBAC6F8"/>
      </dataBar>
      <extLst>
        <ext xmlns:x14="http://schemas.microsoft.com/office/spreadsheetml/2009/9/main" uri="{B025F937-C7B1-47D3-B67F-A62EFF666E3E}">
          <x14:id>{EE71E1DE-D496-707C-8F65-9F40EA9C3401}</x14:id>
        </ext>
      </extLst>
    </cfRule>
  </conditionalFormatting>
  <conditionalFormatting sqref="W62:W67">
    <cfRule priority="260" type="dataBar">
      <dataBar>
        <cfvo type="min"/>
        <cfvo type="max"/>
        <color rgb="FFFCDA7B"/>
      </dataBar>
      <extLst>
        <ext xmlns:x14="http://schemas.microsoft.com/office/spreadsheetml/2009/9/main" uri="{B025F937-C7B1-47D3-B67F-A62EFF666E3E}">
          <x14:id>{56B6ABC8-CB6B-5344-E792-BA978B49D8BA}</x14:id>
        </ext>
      </extLst>
    </cfRule>
  </conditionalFormatting>
  <conditionalFormatting sqref="W62:W67">
    <cfRule priority="261" type="dataBar">
      <dataBar>
        <cfvo type="min"/>
        <cfvo type="max"/>
        <color rgb="FFBAC6F8"/>
      </dataBar>
      <extLst>
        <ext xmlns:x14="http://schemas.microsoft.com/office/spreadsheetml/2009/9/main" uri="{B025F937-C7B1-47D3-B67F-A62EFF666E3E}">
          <x14:id>{D32E2E9C-1D92-41DD-AD1F-D85108BF9F5D}</x14:id>
        </ext>
      </extLst>
    </cfRule>
  </conditionalFormatting>
  <conditionalFormatting sqref="S72:S74">
    <cfRule priority="258" type="dataBar">
      <dataBar>
        <cfvo type="min"/>
        <cfvo type="max"/>
        <color rgb="FFF99570"/>
      </dataBar>
      <extLst>
        <ext xmlns:x14="http://schemas.microsoft.com/office/spreadsheetml/2009/9/main" uri="{B025F937-C7B1-47D3-B67F-A62EFF666E3E}">
          <x14:id>{F1059D3E-8DF7-370B-3154-AE22E87CC330}</x14:id>
        </ext>
      </extLst>
    </cfRule>
  </conditionalFormatting>
  <conditionalFormatting sqref="S72:S74">
    <cfRule priority="259" type="dataBar">
      <dataBar>
        <cfvo type="min"/>
        <cfvo type="max"/>
        <color rgb="FFBAC6F8"/>
      </dataBar>
      <extLst>
        <ext xmlns:x14="http://schemas.microsoft.com/office/spreadsheetml/2009/9/main" uri="{B025F937-C7B1-47D3-B67F-A62EFF666E3E}">
          <x14:id>{2E1A742F-0961-034E-CF1F-45D37625A10C}</x14:id>
        </ext>
      </extLst>
    </cfRule>
  </conditionalFormatting>
  <conditionalFormatting sqref="S72:S74">
    <cfRule priority="260" type="dataBar">
      <dataBar>
        <cfvo type="min"/>
        <cfvo type="max"/>
        <color rgb="FFFCDA7B"/>
      </dataBar>
      <extLst>
        <ext xmlns:x14="http://schemas.microsoft.com/office/spreadsheetml/2009/9/main" uri="{B025F937-C7B1-47D3-B67F-A62EFF666E3E}">
          <x14:id>{7C51A4AC-C2AF-581B-FE76-10A387222921}</x14:id>
        </ext>
      </extLst>
    </cfRule>
  </conditionalFormatting>
  <conditionalFormatting sqref="S72:S74">
    <cfRule priority="261" type="dataBar">
      <dataBar>
        <cfvo type="min"/>
        <cfvo type="max"/>
        <color rgb="FFBAC6F8"/>
      </dataBar>
      <extLst>
        <ext xmlns:x14="http://schemas.microsoft.com/office/spreadsheetml/2009/9/main" uri="{B025F937-C7B1-47D3-B67F-A62EFF666E3E}">
          <x14:id>{90E5D2F9-BC9F-2ABE-ACB4-9AD0716ADB18}</x14:id>
        </ext>
      </extLst>
    </cfRule>
  </conditionalFormatting>
  <conditionalFormatting sqref="K4:K16">
    <cfRule priority="73" type="dataBar">
      <dataBar>
        <cfvo type="num" val="0"/>
        <cfvo type="num" val="1"/>
        <color rgb="FFFCDA7B"/>
      </dataBar>
      <extLst>
        <ext xmlns:x14="http://schemas.microsoft.com/office/spreadsheetml/2009/9/main" uri="{B025F937-C7B1-47D3-B67F-A62EFF666E3E}">
          <x14:id>{A4862A7E-FF06-01A3-A4AB-2E6D0EF2C481}</x14:id>
        </ext>
      </extLst>
    </cfRule>
  </conditionalFormatting>
  <conditionalFormatting sqref="K4:K16">
    <cfRule priority="74" type="dataBar">
      <dataBar>
        <cfvo type="min"/>
        <cfvo type="max"/>
        <color rgb="FFFCDA7B"/>
      </dataBar>
      <extLst>
        <ext xmlns:x14="http://schemas.microsoft.com/office/spreadsheetml/2009/9/main" uri="{B025F937-C7B1-47D3-B67F-A62EFF666E3E}">
          <x14:id>{EB39A224-621A-C2FE-56CA-9F8B2B55883E}</x14:id>
        </ext>
      </extLst>
    </cfRule>
  </conditionalFormatting>
  <conditionalFormatting sqref="K4:K16">
    <cfRule priority="75" type="dataBar">
      <dataBar>
        <cfvo type="min"/>
        <cfvo type="max"/>
        <color rgb="FFFCDA7B"/>
      </dataBar>
      <extLst>
        <ext xmlns:x14="http://schemas.microsoft.com/office/spreadsheetml/2009/9/main" uri="{B025F937-C7B1-47D3-B67F-A62EFF666E3E}">
          <x14:id>{C7A8B57E-A196-2D73-C09A-5884182BF064}</x14:id>
        </ext>
      </extLst>
    </cfRule>
  </conditionalFormatting>
  <conditionalFormatting sqref="K4:K16">
    <cfRule priority="76" type="dataBar">
      <dataBar>
        <cfvo type="min"/>
        <cfvo type="max"/>
        <color rgb="FFFCDA7B"/>
      </dataBar>
      <extLst>
        <ext xmlns:x14="http://schemas.microsoft.com/office/spreadsheetml/2009/9/main" uri="{B025F937-C7B1-47D3-B67F-A62EFF666E3E}">
          <x14:id>{A54E8CBD-F292-DD6C-6BFA-A5BCA01F8C12}</x14:id>
        </ext>
      </extLst>
    </cfRule>
  </conditionalFormatting>
  <conditionalFormatting sqref="K4:K16">
    <cfRule priority="78" type="dataBar">
      <dataBar>
        <cfvo type="min"/>
        <cfvo type="max"/>
        <color rgb="FFFCDA7B"/>
      </dataBar>
      <extLst>
        <ext xmlns:x14="http://schemas.microsoft.com/office/spreadsheetml/2009/9/main" uri="{B025F937-C7B1-47D3-B67F-A62EFF666E3E}">
          <x14:id>{9C8F53D2-F873-EDC5-0B9D-E173D57B0C4A}</x14:id>
        </ext>
      </extLst>
    </cfRule>
  </conditionalFormatting>
  <conditionalFormatting sqref="E88:I88">
    <cfRule priority="13" type="dataBar">
      <dataBar>
        <cfvo type="min"/>
        <cfvo type="max"/>
        <color rgb="FFFCDA7B"/>
      </dataBar>
      <extLst>
        <ext xmlns:x14="http://schemas.microsoft.com/office/spreadsheetml/2009/9/main" uri="{B025F937-C7B1-47D3-B67F-A62EFF666E3E}">
          <x14:id>{0877CB3C-81D2-5A8A-0397-DBCA1634200C}</x14:id>
        </ext>
      </extLst>
    </cfRule>
  </conditionalFormatting>
  <conditionalFormatting sqref="E90:I90">
    <cfRule priority="12" type="dataBar">
      <dataBar>
        <cfvo type="min"/>
        <cfvo type="max"/>
        <color rgb="FFFCDA7B"/>
      </dataBar>
      <extLst>
        <ext xmlns:x14="http://schemas.microsoft.com/office/spreadsheetml/2009/9/main" uri="{B025F937-C7B1-47D3-B67F-A62EFF666E3E}">
          <x14:id>{62F41AAE-5884-D606-B151-3AC15B9D0C7B}</x14:id>
        </ext>
      </extLst>
    </cfRule>
  </conditionalFormatting>
  <conditionalFormatting sqref="J88">
    <cfRule priority="11" type="dataBar">
      <dataBar>
        <cfvo type="min"/>
        <cfvo type="max"/>
        <color rgb="FFFCDA7B"/>
      </dataBar>
      <extLst>
        <ext xmlns:x14="http://schemas.microsoft.com/office/spreadsheetml/2009/9/main" uri="{B025F937-C7B1-47D3-B67F-A62EFF666E3E}">
          <x14:id>{B18D4B28-4AA1-844B-73D8-1A9340D47BC6}</x14:id>
        </ext>
      </extLst>
    </cfRule>
  </conditionalFormatting>
  <conditionalFormatting sqref="J90">
    <cfRule priority="10" type="dataBar">
      <dataBar>
        <cfvo type="min"/>
        <cfvo type="max"/>
        <color rgb="FFFCDA7B"/>
      </dataBar>
      <extLst>
        <ext xmlns:x14="http://schemas.microsoft.com/office/spreadsheetml/2009/9/main" uri="{B025F937-C7B1-47D3-B67F-A62EFF666E3E}">
          <x14:id>{ADC5A65D-DECB-8C35-2C9A-73B9AF0CC797}</x14:id>
        </ext>
      </extLst>
    </cfRule>
  </conditionalFormatting>
  <conditionalFormatting sqref="E83:I83">
    <cfRule priority="13" type="dataBar">
      <dataBar>
        <cfvo type="min"/>
        <cfvo type="max"/>
        <color rgb="FFFCDA7B"/>
      </dataBar>
      <extLst>
        <ext xmlns:x14="http://schemas.microsoft.com/office/spreadsheetml/2009/9/main" uri="{B025F937-C7B1-47D3-B67F-A62EFF666E3E}">
          <x14:id>{B7EB5BDD-26AD-8751-6724-59188B654236}</x14:id>
        </ext>
      </extLst>
    </cfRule>
  </conditionalFormatting>
  <conditionalFormatting sqref="O45:O48 O50:O52 O54:O56">
    <cfRule priority="73" type="dataBar">
      <dataBar>
        <cfvo type="num" val="0"/>
        <cfvo type="num" val="1"/>
        <color rgb="FFFCDA7B"/>
      </dataBar>
      <extLst>
        <ext xmlns:x14="http://schemas.microsoft.com/office/spreadsheetml/2009/9/main" uri="{B025F937-C7B1-47D3-B67F-A62EFF666E3E}">
          <x14:id>{9B8FD4B1-84CF-1145-2B90-1721907BB948}</x14:id>
        </ext>
      </extLst>
    </cfRule>
  </conditionalFormatting>
  <conditionalFormatting sqref="O49 O53 O57">
    <cfRule priority="73" type="dataBar">
      <dataBar>
        <cfvo type="num" val="0"/>
        <cfvo type="num" val="1"/>
        <color rgb="FFFCDA7B"/>
      </dataBar>
      <extLst>
        <ext xmlns:x14="http://schemas.microsoft.com/office/spreadsheetml/2009/9/main" uri="{B025F937-C7B1-47D3-B67F-A62EFF666E3E}">
          <x14:id>{8A769259-98D2-4135-6D67-E6541CC6E2ED}</x14:id>
        </ext>
      </extLst>
    </cfRule>
  </conditionalFormatting>
  <conditionalFormatting sqref="R45:R48 R50:R52 R54:R56">
    <cfRule priority="73" type="dataBar">
      <dataBar>
        <cfvo type="num" val="0"/>
        <cfvo type="num" val="1"/>
        <color rgb="FFFCDA7B"/>
      </dataBar>
      <extLst>
        <ext xmlns:x14="http://schemas.microsoft.com/office/spreadsheetml/2009/9/main" uri="{B025F937-C7B1-47D3-B67F-A62EFF666E3E}">
          <x14:id>{502001BE-5DB6-03CF-6149-60FC45AD3E0C}</x14:id>
        </ext>
      </extLst>
    </cfRule>
  </conditionalFormatting>
  <conditionalFormatting sqref="R49 R53 R57">
    <cfRule priority="73" type="dataBar">
      <dataBar>
        <cfvo type="num" val="0"/>
        <cfvo type="num" val="1"/>
        <color rgb="FFFCDA7B"/>
      </dataBar>
      <extLst>
        <ext xmlns:x14="http://schemas.microsoft.com/office/spreadsheetml/2009/9/main" uri="{B025F937-C7B1-47D3-B67F-A62EFF666E3E}">
          <x14:id>{9D0CB679-551B-F1FE-0CA5-871931FF0103}</x14:id>
        </ext>
      </extLst>
    </cfRule>
  </conditionalFormatting>
  <conditionalFormatting sqref="U45:U48 U50:U52 U54:U56">
    <cfRule priority="73" type="dataBar">
      <dataBar>
        <cfvo type="num" val="0"/>
        <cfvo type="num" val="1"/>
        <color rgb="FFFCDA7B"/>
      </dataBar>
      <extLst>
        <ext xmlns:x14="http://schemas.microsoft.com/office/spreadsheetml/2009/9/main" uri="{B025F937-C7B1-47D3-B67F-A62EFF666E3E}">
          <x14:id>{BF8848DC-3E54-66C8-A0FD-769E4DA22F62}</x14:id>
        </ext>
      </extLst>
    </cfRule>
  </conditionalFormatting>
  <conditionalFormatting sqref="U49 U53 U57">
    <cfRule priority="73" type="dataBar">
      <dataBar>
        <cfvo type="num" val="0"/>
        <cfvo type="num" val="1"/>
        <color rgb="FFFCDA7B"/>
      </dataBar>
      <extLst>
        <ext xmlns:x14="http://schemas.microsoft.com/office/spreadsheetml/2009/9/main" uri="{B025F937-C7B1-47D3-B67F-A62EFF666E3E}">
          <x14:id>{886A4345-0CE7-FAD8-0E85-8E33FAF5874E}</x14:id>
        </ext>
      </extLst>
    </cfRule>
  </conditionalFormatting>
  <conditionalFormatting sqref="W45:W48 W50:W52 W54:W56">
    <cfRule priority="73" type="dataBar">
      <dataBar>
        <cfvo type="num" val="0"/>
        <cfvo type="num" val="1"/>
        <color rgb="FFFCDA7B"/>
      </dataBar>
      <extLst>
        <ext xmlns:x14="http://schemas.microsoft.com/office/spreadsheetml/2009/9/main" uri="{B025F937-C7B1-47D3-B67F-A62EFF666E3E}">
          <x14:id>{3DB04274-FBF8-8F9D-0EC3-9B3925DDFAAD}</x14:id>
        </ext>
      </extLst>
    </cfRule>
  </conditionalFormatting>
  <conditionalFormatting sqref="W49 W53 W57">
    <cfRule priority="73" type="dataBar">
      <dataBar>
        <cfvo type="num" val="0"/>
        <cfvo type="num" val="1"/>
        <color rgb="FFFCDA7B"/>
      </dataBar>
      <extLst>
        <ext xmlns:x14="http://schemas.microsoft.com/office/spreadsheetml/2009/9/main" uri="{B025F937-C7B1-47D3-B67F-A62EFF666E3E}">
          <x14:id>{7BA7C51C-89AE-0C8C-6F99-003FE3C18083}</x14:id>
        </ext>
      </extLst>
    </cfRule>
  </conditionalFormatting>
  <conditionalFormatting sqref="O45:O48 O50:O52 O54:O56">
    <cfRule priority="74" type="dataBar">
      <dataBar>
        <cfvo type="min"/>
        <cfvo type="max"/>
        <color rgb="FFFCDA7B"/>
      </dataBar>
      <extLst>
        <ext xmlns:x14="http://schemas.microsoft.com/office/spreadsheetml/2009/9/main" uri="{B025F937-C7B1-47D3-B67F-A62EFF666E3E}">
          <x14:id>{84CDA8FD-4788-4078-2971-6411EDB432BD}</x14:id>
        </ext>
      </extLst>
    </cfRule>
  </conditionalFormatting>
  <conditionalFormatting sqref="O49 O53 O57">
    <cfRule priority="74" type="dataBar">
      <dataBar>
        <cfvo type="min"/>
        <cfvo type="max"/>
        <color rgb="FFFCDA7B"/>
      </dataBar>
      <extLst>
        <ext xmlns:x14="http://schemas.microsoft.com/office/spreadsheetml/2009/9/main" uri="{B025F937-C7B1-47D3-B67F-A62EFF666E3E}">
          <x14:id>{49CC62D3-7C89-5F2A-36BC-836D0F616DCE}</x14:id>
        </ext>
      </extLst>
    </cfRule>
  </conditionalFormatting>
  <conditionalFormatting sqref="R45:R48 R50:R52 R54:R56">
    <cfRule priority="74" type="dataBar">
      <dataBar>
        <cfvo type="min"/>
        <cfvo type="max"/>
        <color rgb="FFFCDA7B"/>
      </dataBar>
      <extLst>
        <ext xmlns:x14="http://schemas.microsoft.com/office/spreadsheetml/2009/9/main" uri="{B025F937-C7B1-47D3-B67F-A62EFF666E3E}">
          <x14:id>{E8A50616-EC2A-A325-9ED1-2368C3F4701D}</x14:id>
        </ext>
      </extLst>
    </cfRule>
  </conditionalFormatting>
  <conditionalFormatting sqref="R49 R53 R57">
    <cfRule priority="74" type="dataBar">
      <dataBar>
        <cfvo type="min"/>
        <cfvo type="max"/>
        <color rgb="FFFCDA7B"/>
      </dataBar>
      <extLst>
        <ext xmlns:x14="http://schemas.microsoft.com/office/spreadsheetml/2009/9/main" uri="{B025F937-C7B1-47D3-B67F-A62EFF666E3E}">
          <x14:id>{A4E060D3-E2FB-CCC3-911A-5C63A59D7B24}</x14:id>
        </ext>
      </extLst>
    </cfRule>
  </conditionalFormatting>
  <conditionalFormatting sqref="U45:U48 U50:U52 U54:U56">
    <cfRule priority="74" type="dataBar">
      <dataBar>
        <cfvo type="min"/>
        <cfvo type="max"/>
        <color rgb="FFFCDA7B"/>
      </dataBar>
      <extLst>
        <ext xmlns:x14="http://schemas.microsoft.com/office/spreadsheetml/2009/9/main" uri="{B025F937-C7B1-47D3-B67F-A62EFF666E3E}">
          <x14:id>{5956D8DE-B368-9568-8B71-03E161D5F362}</x14:id>
        </ext>
      </extLst>
    </cfRule>
  </conditionalFormatting>
  <conditionalFormatting sqref="U49 U53 U57">
    <cfRule priority="74" type="dataBar">
      <dataBar>
        <cfvo type="min"/>
        <cfvo type="max"/>
        <color rgb="FFFCDA7B"/>
      </dataBar>
      <extLst>
        <ext xmlns:x14="http://schemas.microsoft.com/office/spreadsheetml/2009/9/main" uri="{B025F937-C7B1-47D3-B67F-A62EFF666E3E}">
          <x14:id>{0D764364-A1E4-99FB-4D10-032AB143CFF9}</x14:id>
        </ext>
      </extLst>
    </cfRule>
  </conditionalFormatting>
  <conditionalFormatting sqref="W45:W48 W50:W52 W54:W56">
    <cfRule priority="74" type="dataBar">
      <dataBar>
        <cfvo type="min"/>
        <cfvo type="max"/>
        <color rgb="FFFCDA7B"/>
      </dataBar>
      <extLst>
        <ext xmlns:x14="http://schemas.microsoft.com/office/spreadsheetml/2009/9/main" uri="{B025F937-C7B1-47D3-B67F-A62EFF666E3E}">
          <x14:id>{0FC31C4C-42FF-C900-EF0C-B3F34A4B8169}</x14:id>
        </ext>
      </extLst>
    </cfRule>
  </conditionalFormatting>
  <conditionalFormatting sqref="W49 W53 W57">
    <cfRule priority="74" type="dataBar">
      <dataBar>
        <cfvo type="min"/>
        <cfvo type="max"/>
        <color rgb="FFFCDA7B"/>
      </dataBar>
      <extLst>
        <ext xmlns:x14="http://schemas.microsoft.com/office/spreadsheetml/2009/9/main" uri="{B025F937-C7B1-47D3-B67F-A62EFF666E3E}">
          <x14:id>{75A50A99-9B15-C22C-B12A-879DE1D7CDB8}</x14:id>
        </ext>
      </extLst>
    </cfRule>
  </conditionalFormatting>
  <conditionalFormatting sqref="O45:O48 O50:O52 O54:O56">
    <cfRule priority="75" type="dataBar">
      <dataBar>
        <cfvo type="min"/>
        <cfvo type="max"/>
        <color rgb="FFFCDA7B"/>
      </dataBar>
      <extLst>
        <ext xmlns:x14="http://schemas.microsoft.com/office/spreadsheetml/2009/9/main" uri="{B025F937-C7B1-47D3-B67F-A62EFF666E3E}">
          <x14:id>{3F2406F4-7D9D-0827-6165-9CA5A744996A}</x14:id>
        </ext>
      </extLst>
    </cfRule>
  </conditionalFormatting>
  <conditionalFormatting sqref="O49 O53 O57">
    <cfRule priority="75" type="dataBar">
      <dataBar>
        <cfvo type="min"/>
        <cfvo type="max"/>
        <color rgb="FFFCDA7B"/>
      </dataBar>
      <extLst>
        <ext xmlns:x14="http://schemas.microsoft.com/office/spreadsheetml/2009/9/main" uri="{B025F937-C7B1-47D3-B67F-A62EFF666E3E}">
          <x14:id>{2296E4A6-56B1-3163-A3CC-8CF3481808F1}</x14:id>
        </ext>
      </extLst>
    </cfRule>
  </conditionalFormatting>
  <conditionalFormatting sqref="R45:R48 R50:R52 R54:R56">
    <cfRule priority="75" type="dataBar">
      <dataBar>
        <cfvo type="min"/>
        <cfvo type="max"/>
        <color rgb="FFFCDA7B"/>
      </dataBar>
      <extLst>
        <ext xmlns:x14="http://schemas.microsoft.com/office/spreadsheetml/2009/9/main" uri="{B025F937-C7B1-47D3-B67F-A62EFF666E3E}">
          <x14:id>{C06A2C77-8D19-2139-B4A8-8C247EED51C3}</x14:id>
        </ext>
      </extLst>
    </cfRule>
  </conditionalFormatting>
  <conditionalFormatting sqref="R49 R53 R57">
    <cfRule priority="75" type="dataBar">
      <dataBar>
        <cfvo type="min"/>
        <cfvo type="max"/>
        <color rgb="FFFCDA7B"/>
      </dataBar>
      <extLst>
        <ext xmlns:x14="http://schemas.microsoft.com/office/spreadsheetml/2009/9/main" uri="{B025F937-C7B1-47D3-B67F-A62EFF666E3E}">
          <x14:id>{6EDD701D-756E-A94E-5F9E-C726A09F7D2E}</x14:id>
        </ext>
      </extLst>
    </cfRule>
  </conditionalFormatting>
  <conditionalFormatting sqref="U45:U48 U50:U52 U54:U56">
    <cfRule priority="75" type="dataBar">
      <dataBar>
        <cfvo type="min"/>
        <cfvo type="max"/>
        <color rgb="FFFCDA7B"/>
      </dataBar>
      <extLst>
        <ext xmlns:x14="http://schemas.microsoft.com/office/spreadsheetml/2009/9/main" uri="{B025F937-C7B1-47D3-B67F-A62EFF666E3E}">
          <x14:id>{7BC3A62E-3BE2-2A4C-7C14-95182284B6C2}</x14:id>
        </ext>
      </extLst>
    </cfRule>
  </conditionalFormatting>
  <conditionalFormatting sqref="U49 U53 U57">
    <cfRule priority="75" type="dataBar">
      <dataBar>
        <cfvo type="min"/>
        <cfvo type="max"/>
        <color rgb="FFFCDA7B"/>
      </dataBar>
      <extLst>
        <ext xmlns:x14="http://schemas.microsoft.com/office/spreadsheetml/2009/9/main" uri="{B025F937-C7B1-47D3-B67F-A62EFF666E3E}">
          <x14:id>{8A6D1489-7BB0-F29A-0FC5-33ADA852AB5D}</x14:id>
        </ext>
      </extLst>
    </cfRule>
  </conditionalFormatting>
  <conditionalFormatting sqref="W45:W48 W50:W52 W54:W56">
    <cfRule priority="75" type="dataBar">
      <dataBar>
        <cfvo type="min"/>
        <cfvo type="max"/>
        <color rgb="FFFCDA7B"/>
      </dataBar>
      <extLst>
        <ext xmlns:x14="http://schemas.microsoft.com/office/spreadsheetml/2009/9/main" uri="{B025F937-C7B1-47D3-B67F-A62EFF666E3E}">
          <x14:id>{430B9D4B-B2C1-B0C0-A5C9-4678B1F441ED}</x14:id>
        </ext>
      </extLst>
    </cfRule>
  </conditionalFormatting>
  <conditionalFormatting sqref="W49 W53 W57">
    <cfRule priority="75" type="dataBar">
      <dataBar>
        <cfvo type="min"/>
        <cfvo type="max"/>
        <color rgb="FFFCDA7B"/>
      </dataBar>
      <extLst>
        <ext xmlns:x14="http://schemas.microsoft.com/office/spreadsheetml/2009/9/main" uri="{B025F937-C7B1-47D3-B67F-A62EFF666E3E}">
          <x14:id>{8523EA7A-5904-6050-0F79-837E84F39C8E}</x14:id>
        </ext>
      </extLst>
    </cfRule>
  </conditionalFormatting>
  <conditionalFormatting sqref="O45:O48 O50:O52 O54:O56">
    <cfRule priority="76" type="dataBar">
      <dataBar>
        <cfvo type="min"/>
        <cfvo type="max"/>
        <color rgb="FFFCDA7B"/>
      </dataBar>
      <extLst>
        <ext xmlns:x14="http://schemas.microsoft.com/office/spreadsheetml/2009/9/main" uri="{B025F937-C7B1-47D3-B67F-A62EFF666E3E}">
          <x14:id>{E6743D7F-8A96-DCC6-339E-A99DA5166BBD}</x14:id>
        </ext>
      </extLst>
    </cfRule>
  </conditionalFormatting>
  <conditionalFormatting sqref="O49 O53 O57">
    <cfRule priority="76" type="dataBar">
      <dataBar>
        <cfvo type="min"/>
        <cfvo type="max"/>
        <color rgb="FFFCDA7B"/>
      </dataBar>
      <extLst>
        <ext xmlns:x14="http://schemas.microsoft.com/office/spreadsheetml/2009/9/main" uri="{B025F937-C7B1-47D3-B67F-A62EFF666E3E}">
          <x14:id>{9D11B500-EDA5-4A0F-276E-117308598233}</x14:id>
        </ext>
      </extLst>
    </cfRule>
  </conditionalFormatting>
  <conditionalFormatting sqref="R45:R48 R50:R52 R54:R56">
    <cfRule priority="76" type="dataBar">
      <dataBar>
        <cfvo type="min"/>
        <cfvo type="max"/>
        <color rgb="FFFCDA7B"/>
      </dataBar>
      <extLst>
        <ext xmlns:x14="http://schemas.microsoft.com/office/spreadsheetml/2009/9/main" uri="{B025F937-C7B1-47D3-B67F-A62EFF666E3E}">
          <x14:id>{5C6F3E98-72BE-A918-E359-6EC7B49C4ADA}</x14:id>
        </ext>
      </extLst>
    </cfRule>
  </conditionalFormatting>
  <conditionalFormatting sqref="R49 R53 R57">
    <cfRule priority="76" type="dataBar">
      <dataBar>
        <cfvo type="min"/>
        <cfvo type="max"/>
        <color rgb="FFFCDA7B"/>
      </dataBar>
      <extLst>
        <ext xmlns:x14="http://schemas.microsoft.com/office/spreadsheetml/2009/9/main" uri="{B025F937-C7B1-47D3-B67F-A62EFF666E3E}">
          <x14:id>{D2AD5EFF-30F3-7BD2-600C-EFCD1A9470EA}</x14:id>
        </ext>
      </extLst>
    </cfRule>
  </conditionalFormatting>
  <conditionalFormatting sqref="U45:U48 U50:U52 U54:U56">
    <cfRule priority="76" type="dataBar">
      <dataBar>
        <cfvo type="min"/>
        <cfvo type="max"/>
        <color rgb="FFFCDA7B"/>
      </dataBar>
      <extLst>
        <ext xmlns:x14="http://schemas.microsoft.com/office/spreadsheetml/2009/9/main" uri="{B025F937-C7B1-47D3-B67F-A62EFF666E3E}">
          <x14:id>{0A5C281D-5790-F11C-624B-44145CB49B34}</x14:id>
        </ext>
      </extLst>
    </cfRule>
  </conditionalFormatting>
  <conditionalFormatting sqref="U49 U53 U57">
    <cfRule priority="76" type="dataBar">
      <dataBar>
        <cfvo type="min"/>
        <cfvo type="max"/>
        <color rgb="FFFCDA7B"/>
      </dataBar>
      <extLst>
        <ext xmlns:x14="http://schemas.microsoft.com/office/spreadsheetml/2009/9/main" uri="{B025F937-C7B1-47D3-B67F-A62EFF666E3E}">
          <x14:id>{48C27323-0A14-38C6-976A-BD1DAEC28A13}</x14:id>
        </ext>
      </extLst>
    </cfRule>
  </conditionalFormatting>
  <conditionalFormatting sqref="W45:W48 W50:W52 W54:W56">
    <cfRule priority="76" type="dataBar">
      <dataBar>
        <cfvo type="min"/>
        <cfvo type="max"/>
        <color rgb="FFFCDA7B"/>
      </dataBar>
      <extLst>
        <ext xmlns:x14="http://schemas.microsoft.com/office/spreadsheetml/2009/9/main" uri="{B025F937-C7B1-47D3-B67F-A62EFF666E3E}">
          <x14:id>{34AA1AB9-B252-FAE3-736C-E9E238703BBE}</x14:id>
        </ext>
      </extLst>
    </cfRule>
  </conditionalFormatting>
  <conditionalFormatting sqref="W49 W53 W57">
    <cfRule priority="76" type="dataBar">
      <dataBar>
        <cfvo type="min"/>
        <cfvo type="max"/>
        <color rgb="FFFCDA7B"/>
      </dataBar>
      <extLst>
        <ext xmlns:x14="http://schemas.microsoft.com/office/spreadsheetml/2009/9/main" uri="{B025F937-C7B1-47D3-B67F-A62EFF666E3E}">
          <x14:id>{6B37DAE0-1C42-95EC-994E-C6CE49AFB539}</x14:id>
        </ext>
      </extLst>
    </cfRule>
  </conditionalFormatting>
  <conditionalFormatting sqref="O45:O48 O50:O52 O54:O56">
    <cfRule priority="78" type="dataBar">
      <dataBar>
        <cfvo type="min"/>
        <cfvo type="max"/>
        <color rgb="FFFCDA7B"/>
      </dataBar>
      <extLst>
        <ext xmlns:x14="http://schemas.microsoft.com/office/spreadsheetml/2009/9/main" uri="{B025F937-C7B1-47D3-B67F-A62EFF666E3E}">
          <x14:id>{78ECE5F5-4532-50E5-B462-DB8E51289A99}</x14:id>
        </ext>
      </extLst>
    </cfRule>
  </conditionalFormatting>
  <conditionalFormatting sqref="O49 O53 O57">
    <cfRule priority="78" type="dataBar">
      <dataBar>
        <cfvo type="min"/>
        <cfvo type="max"/>
        <color rgb="FFFCDA7B"/>
      </dataBar>
      <extLst>
        <ext xmlns:x14="http://schemas.microsoft.com/office/spreadsheetml/2009/9/main" uri="{B025F937-C7B1-47D3-B67F-A62EFF666E3E}">
          <x14:id>{C8E24A9F-6A31-93E9-C81F-66E21970D227}</x14:id>
        </ext>
      </extLst>
    </cfRule>
  </conditionalFormatting>
  <conditionalFormatting sqref="R45:R48 R50:R52 R54:R56">
    <cfRule priority="78" type="dataBar">
      <dataBar>
        <cfvo type="min"/>
        <cfvo type="max"/>
        <color rgb="FFFCDA7B"/>
      </dataBar>
      <extLst>
        <ext xmlns:x14="http://schemas.microsoft.com/office/spreadsheetml/2009/9/main" uri="{B025F937-C7B1-47D3-B67F-A62EFF666E3E}">
          <x14:id>{F7BC6F6C-036D-0989-3A15-071315462B1E}</x14:id>
        </ext>
      </extLst>
    </cfRule>
  </conditionalFormatting>
  <conditionalFormatting sqref="R49 R53 R57">
    <cfRule priority="78" type="dataBar">
      <dataBar>
        <cfvo type="min"/>
        <cfvo type="max"/>
        <color rgb="FFFCDA7B"/>
      </dataBar>
      <extLst>
        <ext xmlns:x14="http://schemas.microsoft.com/office/spreadsheetml/2009/9/main" uri="{B025F937-C7B1-47D3-B67F-A62EFF666E3E}">
          <x14:id>{5B7A4AB0-284C-9CA3-2F9D-6E88EE7FD346}</x14:id>
        </ext>
      </extLst>
    </cfRule>
  </conditionalFormatting>
  <conditionalFormatting sqref="U45:U48 U50:U52 U54:U56">
    <cfRule priority="78" type="dataBar">
      <dataBar>
        <cfvo type="min"/>
        <cfvo type="max"/>
        <color rgb="FFFCDA7B"/>
      </dataBar>
      <extLst>
        <ext xmlns:x14="http://schemas.microsoft.com/office/spreadsheetml/2009/9/main" uri="{B025F937-C7B1-47D3-B67F-A62EFF666E3E}">
          <x14:id>{EB4CC133-81E2-C107-264C-565634FB6D28}</x14:id>
        </ext>
      </extLst>
    </cfRule>
  </conditionalFormatting>
  <conditionalFormatting sqref="U49 U53 U57">
    <cfRule priority="78" type="dataBar">
      <dataBar>
        <cfvo type="min"/>
        <cfvo type="max"/>
        <color rgb="FFFCDA7B"/>
      </dataBar>
      <extLst>
        <ext xmlns:x14="http://schemas.microsoft.com/office/spreadsheetml/2009/9/main" uri="{B025F937-C7B1-47D3-B67F-A62EFF666E3E}">
          <x14:id>{33C55E50-7088-A6E2-8BFA-C93BA0E3AFD1}</x14:id>
        </ext>
      </extLst>
    </cfRule>
  </conditionalFormatting>
  <conditionalFormatting sqref="W45:W48 W50:W52 W54:W56">
    <cfRule priority="78" type="dataBar">
      <dataBar>
        <cfvo type="min"/>
        <cfvo type="max"/>
        <color rgb="FFFCDA7B"/>
      </dataBar>
      <extLst>
        <ext xmlns:x14="http://schemas.microsoft.com/office/spreadsheetml/2009/9/main" uri="{B025F937-C7B1-47D3-B67F-A62EFF666E3E}">
          <x14:id>{0CCF1581-63A4-7DFF-5399-7E62690687D6}</x14:id>
        </ext>
      </extLst>
    </cfRule>
  </conditionalFormatting>
  <conditionalFormatting sqref="W49 W53 W57">
    <cfRule priority="78" type="dataBar">
      <dataBar>
        <cfvo type="min"/>
        <cfvo type="max"/>
        <color rgb="FFFCDA7B"/>
      </dataBar>
      <extLst>
        <ext xmlns:x14="http://schemas.microsoft.com/office/spreadsheetml/2009/9/main" uri="{B025F937-C7B1-47D3-B67F-A62EFF666E3E}">
          <x14:id>{F2E75BF4-7F1A-208E-8A1B-718FF4C432EA}</x14:id>
        </ext>
      </extLst>
    </cfRule>
  </conditionalFormatting>
  <conditionalFormatting sqref="L45:M48 L50:M52 L54:M56">
    <cfRule priority="73" type="dataBar">
      <dataBar>
        <cfvo type="num" val="0"/>
        <cfvo type="num" val="1"/>
        <color rgb="FFFCDA7B"/>
      </dataBar>
      <extLst>
        <ext xmlns:x14="http://schemas.microsoft.com/office/spreadsheetml/2009/9/main" uri="{B025F937-C7B1-47D3-B67F-A62EFF666E3E}">
          <x14:id>{E60F325A-E5ED-C9B3-B319-02AF33B86A0B}</x14:id>
        </ext>
      </extLst>
    </cfRule>
  </conditionalFormatting>
  <conditionalFormatting sqref="K45:K57 L49:M49 L53:M53 L57:M57">
    <cfRule priority="73" type="dataBar">
      <dataBar>
        <cfvo type="num" val="0"/>
        <cfvo type="num" val="1"/>
        <color rgb="FFFCDA7B"/>
      </dataBar>
      <extLst>
        <ext xmlns:x14="http://schemas.microsoft.com/office/spreadsheetml/2009/9/main" uri="{B025F937-C7B1-47D3-B67F-A62EFF666E3E}">
          <x14:id>{B32771B5-C46B-D21D-700D-43AE8A33BBAE}</x14:id>
        </ext>
      </extLst>
    </cfRule>
  </conditionalFormatting>
  <conditionalFormatting sqref="L45:M48 L50:M52 L54:M56">
    <cfRule priority="74" type="dataBar">
      <dataBar>
        <cfvo type="min"/>
        <cfvo type="max"/>
        <color rgb="FFFCDA7B"/>
      </dataBar>
      <extLst>
        <ext xmlns:x14="http://schemas.microsoft.com/office/spreadsheetml/2009/9/main" uri="{B025F937-C7B1-47D3-B67F-A62EFF666E3E}">
          <x14:id>{598617C1-4BEB-CCAF-22E0-E4D1A3F3F707}</x14:id>
        </ext>
      </extLst>
    </cfRule>
  </conditionalFormatting>
  <conditionalFormatting sqref="K45:K57 L49:M49 L53:M53 L57:M57">
    <cfRule priority="74" type="dataBar">
      <dataBar>
        <cfvo type="min"/>
        <cfvo type="max"/>
        <color rgb="FFFCDA7B"/>
      </dataBar>
      <extLst>
        <ext xmlns:x14="http://schemas.microsoft.com/office/spreadsheetml/2009/9/main" uri="{B025F937-C7B1-47D3-B67F-A62EFF666E3E}">
          <x14:id>{D965D10A-DE31-498D-2474-221D0CAA534C}</x14:id>
        </ext>
      </extLst>
    </cfRule>
  </conditionalFormatting>
  <conditionalFormatting sqref="L45:M48 L50:M52 L54:M56">
    <cfRule priority="75" type="dataBar">
      <dataBar>
        <cfvo type="min"/>
        <cfvo type="max"/>
        <color rgb="FFFCDA7B"/>
      </dataBar>
      <extLst>
        <ext xmlns:x14="http://schemas.microsoft.com/office/spreadsheetml/2009/9/main" uri="{B025F937-C7B1-47D3-B67F-A62EFF666E3E}">
          <x14:id>{44FADC85-D76D-3207-A1D7-B52E1617FA24}</x14:id>
        </ext>
      </extLst>
    </cfRule>
  </conditionalFormatting>
  <conditionalFormatting sqref="K45:K57 L49:M49 L53:M53 L57:M57">
    <cfRule priority="75" type="dataBar">
      <dataBar>
        <cfvo type="min"/>
        <cfvo type="max"/>
        <color rgb="FFFCDA7B"/>
      </dataBar>
      <extLst>
        <ext xmlns:x14="http://schemas.microsoft.com/office/spreadsheetml/2009/9/main" uri="{B025F937-C7B1-47D3-B67F-A62EFF666E3E}">
          <x14:id>{85B38E08-111E-D468-6D91-6E59E7AD3F7E}</x14:id>
        </ext>
      </extLst>
    </cfRule>
  </conditionalFormatting>
  <conditionalFormatting sqref="L45:M48 L50:M52 L54:M56">
    <cfRule priority="76" type="dataBar">
      <dataBar>
        <cfvo type="min"/>
        <cfvo type="max"/>
        <color rgb="FFFCDA7B"/>
      </dataBar>
      <extLst>
        <ext xmlns:x14="http://schemas.microsoft.com/office/spreadsheetml/2009/9/main" uri="{B025F937-C7B1-47D3-B67F-A62EFF666E3E}">
          <x14:id>{21CFBEB7-A19E-05D4-BC34-96F4A3BE112B}</x14:id>
        </ext>
      </extLst>
    </cfRule>
  </conditionalFormatting>
  <conditionalFormatting sqref="K45:K57 L49:M49 L53:M53 L57:M57">
    <cfRule priority="76" type="dataBar">
      <dataBar>
        <cfvo type="min"/>
        <cfvo type="max"/>
        <color rgb="FFFCDA7B"/>
      </dataBar>
      <extLst>
        <ext xmlns:x14="http://schemas.microsoft.com/office/spreadsheetml/2009/9/main" uri="{B025F937-C7B1-47D3-B67F-A62EFF666E3E}">
          <x14:id>{F789D9BD-D9F6-FBCF-33C8-88BBC414BD85}</x14:id>
        </ext>
      </extLst>
    </cfRule>
  </conditionalFormatting>
  <conditionalFormatting sqref="L45:M48 L50:M52 L54:M56">
    <cfRule priority="78" type="dataBar">
      <dataBar>
        <cfvo type="min"/>
        <cfvo type="max"/>
        <color rgb="FFFCDA7B"/>
      </dataBar>
      <extLst>
        <ext xmlns:x14="http://schemas.microsoft.com/office/spreadsheetml/2009/9/main" uri="{B025F937-C7B1-47D3-B67F-A62EFF666E3E}">
          <x14:id>{CBCA7408-BC53-B228-AE4B-15A60CF6F1A2}</x14:id>
        </ext>
      </extLst>
    </cfRule>
  </conditionalFormatting>
  <conditionalFormatting sqref="K45:K57 L49:M49 L53:M53 L57:M57">
    <cfRule priority="78" type="dataBar">
      <dataBar>
        <cfvo type="min"/>
        <cfvo type="max"/>
        <color rgb="FFFCDA7B"/>
      </dataBar>
      <extLst>
        <ext xmlns:x14="http://schemas.microsoft.com/office/spreadsheetml/2009/9/main" uri="{B025F937-C7B1-47D3-B67F-A62EFF666E3E}">
          <x14:id>{4F72AB08-26E1-FB99-7230-A999F2C11B95}</x14:id>
        </ext>
      </extLst>
    </cfRule>
  </conditionalFormatting>
  <conditionalFormatting sqref="L21:M24 L26:M28 L30:M32">
    <cfRule priority="73" type="dataBar">
      <dataBar>
        <cfvo type="num" val="0"/>
        <cfvo type="num" val="1"/>
        <color rgb="FFFCDA7B"/>
      </dataBar>
      <extLst>
        <ext xmlns:x14="http://schemas.microsoft.com/office/spreadsheetml/2009/9/main" uri="{B025F937-C7B1-47D3-B67F-A62EFF666E3E}">
          <x14:id>{50D14AD1-5625-4E45-9DA6-A47CC8BF2C26}</x14:id>
        </ext>
      </extLst>
    </cfRule>
  </conditionalFormatting>
  <conditionalFormatting sqref="K21:K33 L25:M25 L29:M29 L33:M33">
    <cfRule priority="73" type="dataBar">
      <dataBar>
        <cfvo type="num" val="0"/>
        <cfvo type="num" val="1"/>
        <color rgb="FFFCDA7B"/>
      </dataBar>
      <extLst>
        <ext xmlns:x14="http://schemas.microsoft.com/office/spreadsheetml/2009/9/main" uri="{B025F937-C7B1-47D3-B67F-A62EFF666E3E}">
          <x14:id>{1CF4682F-DDE2-8F56-084A-0420AF6FE81B}</x14:id>
        </ext>
      </extLst>
    </cfRule>
  </conditionalFormatting>
  <conditionalFormatting sqref="L21:M24 L26:M28 L30:M32">
    <cfRule priority="74" type="dataBar">
      <dataBar>
        <cfvo type="min"/>
        <cfvo type="max"/>
        <color rgb="FFFCDA7B"/>
      </dataBar>
      <extLst>
        <ext xmlns:x14="http://schemas.microsoft.com/office/spreadsheetml/2009/9/main" uri="{B025F937-C7B1-47D3-B67F-A62EFF666E3E}">
          <x14:id>{4EB74C00-0588-4048-75DF-3A1D42354BE5}</x14:id>
        </ext>
      </extLst>
    </cfRule>
  </conditionalFormatting>
  <conditionalFormatting sqref="K21:K33 L25:M25 L29:M29 L33:M33">
    <cfRule priority="74" type="dataBar">
      <dataBar>
        <cfvo type="min"/>
        <cfvo type="max"/>
        <color rgb="FFFCDA7B"/>
      </dataBar>
      <extLst>
        <ext xmlns:x14="http://schemas.microsoft.com/office/spreadsheetml/2009/9/main" uri="{B025F937-C7B1-47D3-B67F-A62EFF666E3E}">
          <x14:id>{15409F0B-670F-D08E-9C3C-0B08E2129516}</x14:id>
        </ext>
      </extLst>
    </cfRule>
  </conditionalFormatting>
  <conditionalFormatting sqref="L21:M24 L26:M28 L30:M32">
    <cfRule priority="75" type="dataBar">
      <dataBar>
        <cfvo type="min"/>
        <cfvo type="max"/>
        <color rgb="FFFCDA7B"/>
      </dataBar>
      <extLst>
        <ext xmlns:x14="http://schemas.microsoft.com/office/spreadsheetml/2009/9/main" uri="{B025F937-C7B1-47D3-B67F-A62EFF666E3E}">
          <x14:id>{0E9F98F2-5AEA-6749-3AD0-82F27B83B4DC}</x14:id>
        </ext>
      </extLst>
    </cfRule>
  </conditionalFormatting>
  <conditionalFormatting sqref="K21:K33 L25:M25 L29:M29 L33:M33">
    <cfRule priority="75" type="dataBar">
      <dataBar>
        <cfvo type="min"/>
        <cfvo type="max"/>
        <color rgb="FFFCDA7B"/>
      </dataBar>
      <extLst>
        <ext xmlns:x14="http://schemas.microsoft.com/office/spreadsheetml/2009/9/main" uri="{B025F937-C7B1-47D3-B67F-A62EFF666E3E}">
          <x14:id>{AA22EC21-F375-8104-D3AE-7ADD182C8B45}</x14:id>
        </ext>
      </extLst>
    </cfRule>
  </conditionalFormatting>
  <conditionalFormatting sqref="L21:M24 L26:M28 L30:M32">
    <cfRule priority="76" type="dataBar">
      <dataBar>
        <cfvo type="min"/>
        <cfvo type="max"/>
        <color rgb="FFFCDA7B"/>
      </dataBar>
      <extLst>
        <ext xmlns:x14="http://schemas.microsoft.com/office/spreadsheetml/2009/9/main" uri="{B025F937-C7B1-47D3-B67F-A62EFF666E3E}">
          <x14:id>{B9553098-9796-910E-96FF-039FD9E19140}</x14:id>
        </ext>
      </extLst>
    </cfRule>
  </conditionalFormatting>
  <conditionalFormatting sqref="K21:K33 L25:M25 L29:M29 L33:M33">
    <cfRule priority="76" type="dataBar">
      <dataBar>
        <cfvo type="min"/>
        <cfvo type="max"/>
        <color rgb="FFFCDA7B"/>
      </dataBar>
      <extLst>
        <ext xmlns:x14="http://schemas.microsoft.com/office/spreadsheetml/2009/9/main" uri="{B025F937-C7B1-47D3-B67F-A62EFF666E3E}">
          <x14:id>{A6BD5387-AE5A-4800-A076-353BA4F9BBCE}</x14:id>
        </ext>
      </extLst>
    </cfRule>
  </conditionalFormatting>
  <conditionalFormatting sqref="L21:M24 L26:M28 L30:M32">
    <cfRule priority="78" type="dataBar">
      <dataBar>
        <cfvo type="min"/>
        <cfvo type="max"/>
        <color rgb="FFFCDA7B"/>
      </dataBar>
      <extLst>
        <ext xmlns:x14="http://schemas.microsoft.com/office/spreadsheetml/2009/9/main" uri="{B025F937-C7B1-47D3-B67F-A62EFF666E3E}">
          <x14:id>{2C0D550F-8425-D401-388B-F4C0A12DE16C}</x14:id>
        </ext>
      </extLst>
    </cfRule>
  </conditionalFormatting>
  <conditionalFormatting sqref="K21:K33 L25:M25 L29:M29 L33:M33">
    <cfRule priority="78" type="dataBar">
      <dataBar>
        <cfvo type="min"/>
        <cfvo type="max"/>
        <color rgb="FFFCDA7B"/>
      </dataBar>
      <extLst>
        <ext xmlns:x14="http://schemas.microsoft.com/office/spreadsheetml/2009/9/main" uri="{B025F937-C7B1-47D3-B67F-A62EFF666E3E}">
          <x14:id>{D615C2F7-6EEB-CB4F-3248-574289866BA3}</x14:id>
        </ext>
      </extLst>
    </cfRule>
  </conditionalFormatting>
  <conditionalFormatting sqref="O21:O24 O26:O28 O30:O32">
    <cfRule priority="73" type="dataBar">
      <dataBar>
        <cfvo type="num" val="0"/>
        <cfvo type="num" val="1"/>
        <color rgb="FFFCDA7B"/>
      </dataBar>
      <extLst>
        <ext xmlns:x14="http://schemas.microsoft.com/office/spreadsheetml/2009/9/main" uri="{B025F937-C7B1-47D3-B67F-A62EFF666E3E}">
          <x14:id>{67CC80EB-BDAC-2A8E-72DE-5C955E05FF6A}</x14:id>
        </ext>
      </extLst>
    </cfRule>
  </conditionalFormatting>
  <conditionalFormatting sqref="O25 O29 O33">
    <cfRule priority="73" type="dataBar">
      <dataBar>
        <cfvo type="num" val="0"/>
        <cfvo type="num" val="1"/>
        <color rgb="FFFCDA7B"/>
      </dataBar>
      <extLst>
        <ext xmlns:x14="http://schemas.microsoft.com/office/spreadsheetml/2009/9/main" uri="{B025F937-C7B1-47D3-B67F-A62EFF666E3E}">
          <x14:id>{648A2508-8296-EFCD-9321-904AA902940E}</x14:id>
        </ext>
      </extLst>
    </cfRule>
  </conditionalFormatting>
  <conditionalFormatting sqref="R21:R24 R26:R28 R30:R32">
    <cfRule priority="73" type="dataBar">
      <dataBar>
        <cfvo type="num" val="0"/>
        <cfvo type="num" val="1"/>
        <color rgb="FFFCDA7B"/>
      </dataBar>
      <extLst>
        <ext xmlns:x14="http://schemas.microsoft.com/office/spreadsheetml/2009/9/main" uri="{B025F937-C7B1-47D3-B67F-A62EFF666E3E}">
          <x14:id>{036BEFF1-E721-F136-2404-3E408AA23933}</x14:id>
        </ext>
      </extLst>
    </cfRule>
  </conditionalFormatting>
  <conditionalFormatting sqref="R25 R29 R33">
    <cfRule priority="73" type="dataBar">
      <dataBar>
        <cfvo type="num" val="0"/>
        <cfvo type="num" val="1"/>
        <color rgb="FFFCDA7B"/>
      </dataBar>
      <extLst>
        <ext xmlns:x14="http://schemas.microsoft.com/office/spreadsheetml/2009/9/main" uri="{B025F937-C7B1-47D3-B67F-A62EFF666E3E}">
          <x14:id>{5136CF2E-A85E-9D65-80CC-B5816BBC938D}</x14:id>
        </ext>
      </extLst>
    </cfRule>
  </conditionalFormatting>
  <conditionalFormatting sqref="U21:U24 U26:U28 U30:U32">
    <cfRule priority="73" type="dataBar">
      <dataBar>
        <cfvo type="num" val="0"/>
        <cfvo type="num" val="1"/>
        <color rgb="FFFCDA7B"/>
      </dataBar>
      <extLst>
        <ext xmlns:x14="http://schemas.microsoft.com/office/spreadsheetml/2009/9/main" uri="{B025F937-C7B1-47D3-B67F-A62EFF666E3E}">
          <x14:id>{B3862FE3-B7E2-BEC9-315E-44B18EF92547}</x14:id>
        </ext>
      </extLst>
    </cfRule>
  </conditionalFormatting>
  <conditionalFormatting sqref="U25 U29 U33">
    <cfRule priority="73" type="dataBar">
      <dataBar>
        <cfvo type="num" val="0"/>
        <cfvo type="num" val="1"/>
        <color rgb="FFFCDA7B"/>
      </dataBar>
      <extLst>
        <ext xmlns:x14="http://schemas.microsoft.com/office/spreadsheetml/2009/9/main" uri="{B025F937-C7B1-47D3-B67F-A62EFF666E3E}">
          <x14:id>{B96923E3-B5C7-AB41-2224-6A5425B510DC}</x14:id>
        </ext>
      </extLst>
    </cfRule>
  </conditionalFormatting>
  <conditionalFormatting sqref="W21:W24 W26:W28 W30:W32">
    <cfRule priority="73" type="dataBar">
      <dataBar>
        <cfvo type="num" val="0"/>
        <cfvo type="num" val="1"/>
        <color rgb="FFFCDA7B"/>
      </dataBar>
      <extLst>
        <ext xmlns:x14="http://schemas.microsoft.com/office/spreadsheetml/2009/9/main" uri="{B025F937-C7B1-47D3-B67F-A62EFF666E3E}">
          <x14:id>{33D4B76C-A9C6-D6FB-7CBA-74AB906E19D2}</x14:id>
        </ext>
      </extLst>
    </cfRule>
  </conditionalFormatting>
  <conditionalFormatting sqref="W25 W29 W33">
    <cfRule priority="73" type="dataBar">
      <dataBar>
        <cfvo type="num" val="0"/>
        <cfvo type="num" val="1"/>
        <color rgb="FFFCDA7B"/>
      </dataBar>
      <extLst>
        <ext xmlns:x14="http://schemas.microsoft.com/office/spreadsheetml/2009/9/main" uri="{B025F937-C7B1-47D3-B67F-A62EFF666E3E}">
          <x14:id>{B2B74A6D-58C8-852F-B853-F92E0AF739B0}</x14:id>
        </ext>
      </extLst>
    </cfRule>
  </conditionalFormatting>
  <conditionalFormatting sqref="O21:O24 O26:O28 O30:O32">
    <cfRule priority="74" type="dataBar">
      <dataBar>
        <cfvo type="min"/>
        <cfvo type="max"/>
        <color rgb="FFFCDA7B"/>
      </dataBar>
      <extLst>
        <ext xmlns:x14="http://schemas.microsoft.com/office/spreadsheetml/2009/9/main" uri="{B025F937-C7B1-47D3-B67F-A62EFF666E3E}">
          <x14:id>{51082365-C233-C7B9-B54F-AF3301B32DE6}</x14:id>
        </ext>
      </extLst>
    </cfRule>
  </conditionalFormatting>
  <conditionalFormatting sqref="O25 O29 O33">
    <cfRule priority="74" type="dataBar">
      <dataBar>
        <cfvo type="min"/>
        <cfvo type="max"/>
        <color rgb="FFFCDA7B"/>
      </dataBar>
      <extLst>
        <ext xmlns:x14="http://schemas.microsoft.com/office/spreadsheetml/2009/9/main" uri="{B025F937-C7B1-47D3-B67F-A62EFF666E3E}">
          <x14:id>{B2ECD2E6-3413-D834-71B3-40D12C2C5603}</x14:id>
        </ext>
      </extLst>
    </cfRule>
  </conditionalFormatting>
  <conditionalFormatting sqref="R21:R24 R26:R28 R30:R32">
    <cfRule priority="74" type="dataBar">
      <dataBar>
        <cfvo type="min"/>
        <cfvo type="max"/>
        <color rgb="FFFCDA7B"/>
      </dataBar>
      <extLst>
        <ext xmlns:x14="http://schemas.microsoft.com/office/spreadsheetml/2009/9/main" uri="{B025F937-C7B1-47D3-B67F-A62EFF666E3E}">
          <x14:id>{4022AB2D-1A0A-DF84-E82A-19D5D522C8EF}</x14:id>
        </ext>
      </extLst>
    </cfRule>
  </conditionalFormatting>
  <conditionalFormatting sqref="R25 R29 R33">
    <cfRule priority="74" type="dataBar">
      <dataBar>
        <cfvo type="min"/>
        <cfvo type="max"/>
        <color rgb="FFFCDA7B"/>
      </dataBar>
      <extLst>
        <ext xmlns:x14="http://schemas.microsoft.com/office/spreadsheetml/2009/9/main" uri="{B025F937-C7B1-47D3-B67F-A62EFF666E3E}">
          <x14:id>{9125454A-1537-4D48-04CC-5A0138BC622E}</x14:id>
        </ext>
      </extLst>
    </cfRule>
  </conditionalFormatting>
  <conditionalFormatting sqref="U21:U24 U26:U28 U30:U32">
    <cfRule priority="74" type="dataBar">
      <dataBar>
        <cfvo type="min"/>
        <cfvo type="max"/>
        <color rgb="FFFCDA7B"/>
      </dataBar>
      <extLst>
        <ext xmlns:x14="http://schemas.microsoft.com/office/spreadsheetml/2009/9/main" uri="{B025F937-C7B1-47D3-B67F-A62EFF666E3E}">
          <x14:id>{74EE45FD-A9CD-A57E-BCF0-6C0DE7197D47}</x14:id>
        </ext>
      </extLst>
    </cfRule>
  </conditionalFormatting>
  <conditionalFormatting sqref="U25 U29 U33">
    <cfRule priority="74" type="dataBar">
      <dataBar>
        <cfvo type="min"/>
        <cfvo type="max"/>
        <color rgb="FFFCDA7B"/>
      </dataBar>
      <extLst>
        <ext xmlns:x14="http://schemas.microsoft.com/office/spreadsheetml/2009/9/main" uri="{B025F937-C7B1-47D3-B67F-A62EFF666E3E}">
          <x14:id>{2E0AC94E-D56B-F0F1-15BA-B325D84107FB}</x14:id>
        </ext>
      </extLst>
    </cfRule>
  </conditionalFormatting>
  <conditionalFormatting sqref="W21:W24 W26:W28 W30:W32">
    <cfRule priority="74" type="dataBar">
      <dataBar>
        <cfvo type="min"/>
        <cfvo type="max"/>
        <color rgb="FFFCDA7B"/>
      </dataBar>
      <extLst>
        <ext xmlns:x14="http://schemas.microsoft.com/office/spreadsheetml/2009/9/main" uri="{B025F937-C7B1-47D3-B67F-A62EFF666E3E}">
          <x14:id>{3B939FCF-9AF1-B9B8-F207-F0B0219BFB9E}</x14:id>
        </ext>
      </extLst>
    </cfRule>
  </conditionalFormatting>
  <conditionalFormatting sqref="W25 W29 W33">
    <cfRule priority="74" type="dataBar">
      <dataBar>
        <cfvo type="min"/>
        <cfvo type="max"/>
        <color rgb="FFFCDA7B"/>
      </dataBar>
      <extLst>
        <ext xmlns:x14="http://schemas.microsoft.com/office/spreadsheetml/2009/9/main" uri="{B025F937-C7B1-47D3-B67F-A62EFF666E3E}">
          <x14:id>{DE1DAD9E-6FC0-4FC8-E21D-F72F560F1149}</x14:id>
        </ext>
      </extLst>
    </cfRule>
  </conditionalFormatting>
  <conditionalFormatting sqref="O21:O24 O26:O28 O30:O32">
    <cfRule priority="75" type="dataBar">
      <dataBar>
        <cfvo type="min"/>
        <cfvo type="max"/>
        <color rgb="FFFCDA7B"/>
      </dataBar>
      <extLst>
        <ext xmlns:x14="http://schemas.microsoft.com/office/spreadsheetml/2009/9/main" uri="{B025F937-C7B1-47D3-B67F-A62EFF666E3E}">
          <x14:id>{04C088CC-10E9-477F-8E81-11A90FF0A587}</x14:id>
        </ext>
      </extLst>
    </cfRule>
  </conditionalFormatting>
  <conditionalFormatting sqref="O25 O29 O33">
    <cfRule priority="75" type="dataBar">
      <dataBar>
        <cfvo type="min"/>
        <cfvo type="max"/>
        <color rgb="FFFCDA7B"/>
      </dataBar>
      <extLst>
        <ext xmlns:x14="http://schemas.microsoft.com/office/spreadsheetml/2009/9/main" uri="{B025F937-C7B1-47D3-B67F-A62EFF666E3E}">
          <x14:id>{DFC993ED-ED36-DF38-DC12-4DD31EC13713}</x14:id>
        </ext>
      </extLst>
    </cfRule>
  </conditionalFormatting>
  <conditionalFormatting sqref="R21:R24 R26:R28 R30:R32">
    <cfRule priority="75" type="dataBar">
      <dataBar>
        <cfvo type="min"/>
        <cfvo type="max"/>
        <color rgb="FFFCDA7B"/>
      </dataBar>
      <extLst>
        <ext xmlns:x14="http://schemas.microsoft.com/office/spreadsheetml/2009/9/main" uri="{B025F937-C7B1-47D3-B67F-A62EFF666E3E}">
          <x14:id>{791BF5C5-1A70-1ACE-AD94-B73243C5C7A1}</x14:id>
        </ext>
      </extLst>
    </cfRule>
  </conditionalFormatting>
  <conditionalFormatting sqref="R25 R29 R33">
    <cfRule priority="75" type="dataBar">
      <dataBar>
        <cfvo type="min"/>
        <cfvo type="max"/>
        <color rgb="FFFCDA7B"/>
      </dataBar>
      <extLst>
        <ext xmlns:x14="http://schemas.microsoft.com/office/spreadsheetml/2009/9/main" uri="{B025F937-C7B1-47D3-B67F-A62EFF666E3E}">
          <x14:id>{41FE84EC-4200-96EE-489B-BE31216DF210}</x14:id>
        </ext>
      </extLst>
    </cfRule>
  </conditionalFormatting>
  <conditionalFormatting sqref="U21:U24 U26:U28 U30:U32">
    <cfRule priority="75" type="dataBar">
      <dataBar>
        <cfvo type="min"/>
        <cfvo type="max"/>
        <color rgb="FFFCDA7B"/>
      </dataBar>
      <extLst>
        <ext xmlns:x14="http://schemas.microsoft.com/office/spreadsheetml/2009/9/main" uri="{B025F937-C7B1-47D3-B67F-A62EFF666E3E}">
          <x14:id>{349978A3-1DBD-95F2-6063-053F566AFB5B}</x14:id>
        </ext>
      </extLst>
    </cfRule>
  </conditionalFormatting>
  <conditionalFormatting sqref="U25 U29 U33">
    <cfRule priority="75" type="dataBar">
      <dataBar>
        <cfvo type="min"/>
        <cfvo type="max"/>
        <color rgb="FFFCDA7B"/>
      </dataBar>
      <extLst>
        <ext xmlns:x14="http://schemas.microsoft.com/office/spreadsheetml/2009/9/main" uri="{B025F937-C7B1-47D3-B67F-A62EFF666E3E}">
          <x14:id>{53BE8E28-6F08-4FBF-D11C-296B397FADA6}</x14:id>
        </ext>
      </extLst>
    </cfRule>
  </conditionalFormatting>
  <conditionalFormatting sqref="W21:W24 W26:W28 W30:W32">
    <cfRule priority="75" type="dataBar">
      <dataBar>
        <cfvo type="min"/>
        <cfvo type="max"/>
        <color rgb="FFFCDA7B"/>
      </dataBar>
      <extLst>
        <ext xmlns:x14="http://schemas.microsoft.com/office/spreadsheetml/2009/9/main" uri="{B025F937-C7B1-47D3-B67F-A62EFF666E3E}">
          <x14:id>{FF2B2210-109A-5FB1-D7ED-37E72D8A8838}</x14:id>
        </ext>
      </extLst>
    </cfRule>
  </conditionalFormatting>
  <conditionalFormatting sqref="W25 W29 W33">
    <cfRule priority="75" type="dataBar">
      <dataBar>
        <cfvo type="min"/>
        <cfvo type="max"/>
        <color rgb="FFFCDA7B"/>
      </dataBar>
      <extLst>
        <ext xmlns:x14="http://schemas.microsoft.com/office/spreadsheetml/2009/9/main" uri="{B025F937-C7B1-47D3-B67F-A62EFF666E3E}">
          <x14:id>{9EF7CE71-AA99-CC00-4E58-57556F7ADB92}</x14:id>
        </ext>
      </extLst>
    </cfRule>
  </conditionalFormatting>
  <conditionalFormatting sqref="O21:O24 O26:O28 O30:O32">
    <cfRule priority="76" type="dataBar">
      <dataBar>
        <cfvo type="min"/>
        <cfvo type="max"/>
        <color rgb="FFFCDA7B"/>
      </dataBar>
      <extLst>
        <ext xmlns:x14="http://schemas.microsoft.com/office/spreadsheetml/2009/9/main" uri="{B025F937-C7B1-47D3-B67F-A62EFF666E3E}">
          <x14:id>{2671AAB4-818F-AC48-AF3A-591FBCA8E37D}</x14:id>
        </ext>
      </extLst>
    </cfRule>
  </conditionalFormatting>
  <conditionalFormatting sqref="O25 O29 O33">
    <cfRule priority="76" type="dataBar">
      <dataBar>
        <cfvo type="min"/>
        <cfvo type="max"/>
        <color rgb="FFFCDA7B"/>
      </dataBar>
      <extLst>
        <ext xmlns:x14="http://schemas.microsoft.com/office/spreadsheetml/2009/9/main" uri="{B025F937-C7B1-47D3-B67F-A62EFF666E3E}">
          <x14:id>{45F1C054-3E04-F768-939F-721C8D72D2C5}</x14:id>
        </ext>
      </extLst>
    </cfRule>
  </conditionalFormatting>
  <conditionalFormatting sqref="R21:R24 R26:R28 R30:R32">
    <cfRule priority="76" type="dataBar">
      <dataBar>
        <cfvo type="min"/>
        <cfvo type="max"/>
        <color rgb="FFFCDA7B"/>
      </dataBar>
      <extLst>
        <ext xmlns:x14="http://schemas.microsoft.com/office/spreadsheetml/2009/9/main" uri="{B025F937-C7B1-47D3-B67F-A62EFF666E3E}">
          <x14:id>{9B194CE3-87D4-103A-1503-47AA879A223A}</x14:id>
        </ext>
      </extLst>
    </cfRule>
  </conditionalFormatting>
  <conditionalFormatting sqref="R25 R29 R33">
    <cfRule priority="76" type="dataBar">
      <dataBar>
        <cfvo type="min"/>
        <cfvo type="max"/>
        <color rgb="FFFCDA7B"/>
      </dataBar>
      <extLst>
        <ext xmlns:x14="http://schemas.microsoft.com/office/spreadsheetml/2009/9/main" uri="{B025F937-C7B1-47D3-B67F-A62EFF666E3E}">
          <x14:id>{B975EB7C-172C-4C69-69F0-5BAB9618D4EC}</x14:id>
        </ext>
      </extLst>
    </cfRule>
  </conditionalFormatting>
  <conditionalFormatting sqref="U21:U24 U26:U28 U30:U32">
    <cfRule priority="76" type="dataBar">
      <dataBar>
        <cfvo type="min"/>
        <cfvo type="max"/>
        <color rgb="FFFCDA7B"/>
      </dataBar>
      <extLst>
        <ext xmlns:x14="http://schemas.microsoft.com/office/spreadsheetml/2009/9/main" uri="{B025F937-C7B1-47D3-B67F-A62EFF666E3E}">
          <x14:id>{0E249640-9429-5B60-2D4D-B02CF7732A7E}</x14:id>
        </ext>
      </extLst>
    </cfRule>
  </conditionalFormatting>
  <conditionalFormatting sqref="U25 U29 U33">
    <cfRule priority="76" type="dataBar">
      <dataBar>
        <cfvo type="min"/>
        <cfvo type="max"/>
        <color rgb="FFFCDA7B"/>
      </dataBar>
      <extLst>
        <ext xmlns:x14="http://schemas.microsoft.com/office/spreadsheetml/2009/9/main" uri="{B025F937-C7B1-47D3-B67F-A62EFF666E3E}">
          <x14:id>{08217012-6F05-0455-4D25-2FB225022D85}</x14:id>
        </ext>
      </extLst>
    </cfRule>
  </conditionalFormatting>
  <conditionalFormatting sqref="W21:W24 W26:W28 W30:W32">
    <cfRule priority="76" type="dataBar">
      <dataBar>
        <cfvo type="min"/>
        <cfvo type="max"/>
        <color rgb="FFFCDA7B"/>
      </dataBar>
      <extLst>
        <ext xmlns:x14="http://schemas.microsoft.com/office/spreadsheetml/2009/9/main" uri="{B025F937-C7B1-47D3-B67F-A62EFF666E3E}">
          <x14:id>{4A0CD2F8-A4DB-8B34-985E-572A52D4859A}</x14:id>
        </ext>
      </extLst>
    </cfRule>
  </conditionalFormatting>
  <conditionalFormatting sqref="W25 W29 W33">
    <cfRule priority="76" type="dataBar">
      <dataBar>
        <cfvo type="min"/>
        <cfvo type="max"/>
        <color rgb="FFFCDA7B"/>
      </dataBar>
      <extLst>
        <ext xmlns:x14="http://schemas.microsoft.com/office/spreadsheetml/2009/9/main" uri="{B025F937-C7B1-47D3-B67F-A62EFF666E3E}">
          <x14:id>{E8B15B18-2B95-9DE2-E2A5-1E9044D1EE1E}</x14:id>
        </ext>
      </extLst>
    </cfRule>
  </conditionalFormatting>
  <conditionalFormatting sqref="O21:O24 O26:O28 O30:O32">
    <cfRule priority="78" type="dataBar">
      <dataBar>
        <cfvo type="min"/>
        <cfvo type="max"/>
        <color rgb="FFFCDA7B"/>
      </dataBar>
      <extLst>
        <ext xmlns:x14="http://schemas.microsoft.com/office/spreadsheetml/2009/9/main" uri="{B025F937-C7B1-47D3-B67F-A62EFF666E3E}">
          <x14:id>{241B04E4-61C4-C5C0-4260-B7F9E3FBFA8A}</x14:id>
        </ext>
      </extLst>
    </cfRule>
  </conditionalFormatting>
  <conditionalFormatting sqref="O25 O29 O33">
    <cfRule priority="78" type="dataBar">
      <dataBar>
        <cfvo type="min"/>
        <cfvo type="max"/>
        <color rgb="FFFCDA7B"/>
      </dataBar>
      <extLst>
        <ext xmlns:x14="http://schemas.microsoft.com/office/spreadsheetml/2009/9/main" uri="{B025F937-C7B1-47D3-B67F-A62EFF666E3E}">
          <x14:id>{C990769E-7C7C-6619-0B19-6DEEA598DF3D}</x14:id>
        </ext>
      </extLst>
    </cfRule>
  </conditionalFormatting>
  <conditionalFormatting sqref="R21:R24 R26:R28 R30:R32">
    <cfRule priority="78" type="dataBar">
      <dataBar>
        <cfvo type="min"/>
        <cfvo type="max"/>
        <color rgb="FFFCDA7B"/>
      </dataBar>
      <extLst>
        <ext xmlns:x14="http://schemas.microsoft.com/office/spreadsheetml/2009/9/main" uri="{B025F937-C7B1-47D3-B67F-A62EFF666E3E}">
          <x14:id>{0DBB0C60-312B-A0E0-376F-E5D1C548EFD3}</x14:id>
        </ext>
      </extLst>
    </cfRule>
  </conditionalFormatting>
  <conditionalFormatting sqref="R25 R29 R33">
    <cfRule priority="78" type="dataBar">
      <dataBar>
        <cfvo type="min"/>
        <cfvo type="max"/>
        <color rgb="FFFCDA7B"/>
      </dataBar>
      <extLst>
        <ext xmlns:x14="http://schemas.microsoft.com/office/spreadsheetml/2009/9/main" uri="{B025F937-C7B1-47D3-B67F-A62EFF666E3E}">
          <x14:id>{22984938-EF59-7C7F-7277-6C792A50BC83}</x14:id>
        </ext>
      </extLst>
    </cfRule>
  </conditionalFormatting>
  <conditionalFormatting sqref="U21:U24 U26:U28 U30:U32">
    <cfRule priority="78" type="dataBar">
      <dataBar>
        <cfvo type="min"/>
        <cfvo type="max"/>
        <color rgb="FFFCDA7B"/>
      </dataBar>
      <extLst>
        <ext xmlns:x14="http://schemas.microsoft.com/office/spreadsheetml/2009/9/main" uri="{B025F937-C7B1-47D3-B67F-A62EFF666E3E}">
          <x14:id>{0A728AA6-1F02-6044-CB1A-0127D39BC4F2}</x14:id>
        </ext>
      </extLst>
    </cfRule>
  </conditionalFormatting>
  <conditionalFormatting sqref="U25 U29 U33">
    <cfRule priority="78" type="dataBar">
      <dataBar>
        <cfvo type="min"/>
        <cfvo type="max"/>
        <color rgb="FFFCDA7B"/>
      </dataBar>
      <extLst>
        <ext xmlns:x14="http://schemas.microsoft.com/office/spreadsheetml/2009/9/main" uri="{B025F937-C7B1-47D3-B67F-A62EFF666E3E}">
          <x14:id>{72D3545D-4124-E29E-FF3D-587D171BF8A7}</x14:id>
        </ext>
      </extLst>
    </cfRule>
  </conditionalFormatting>
  <conditionalFormatting sqref="W21:W24 W26:W28 W30:W32">
    <cfRule priority="78" type="dataBar">
      <dataBar>
        <cfvo type="min"/>
        <cfvo type="max"/>
        <color rgb="FFFCDA7B"/>
      </dataBar>
      <extLst>
        <ext xmlns:x14="http://schemas.microsoft.com/office/spreadsheetml/2009/9/main" uri="{B025F937-C7B1-47D3-B67F-A62EFF666E3E}">
          <x14:id>{74F83D1B-98CE-63DF-87ED-54B4D0489BDE}</x14:id>
        </ext>
      </extLst>
    </cfRule>
  </conditionalFormatting>
  <conditionalFormatting sqref="W25 W29 W33">
    <cfRule priority="78" type="dataBar">
      <dataBar>
        <cfvo type="min"/>
        <cfvo type="max"/>
        <color rgb="FFFCDA7B"/>
      </dataBar>
      <extLst>
        <ext xmlns:x14="http://schemas.microsoft.com/office/spreadsheetml/2009/9/main" uri="{B025F937-C7B1-47D3-B67F-A62EFF666E3E}">
          <x14:id>{26CFBDED-0C8E-B023-0A1F-4C63C57A5943}</x14:id>
        </ext>
      </extLst>
    </cfRule>
  </conditionalFormatting>
  <conditionalFormatting sqref="L4:M16">
    <cfRule priority="73" type="dataBar">
      <dataBar>
        <cfvo type="num" val="0"/>
        <cfvo type="num" val="1"/>
        <color rgb="FFFCDA7B"/>
      </dataBar>
      <extLst>
        <ext xmlns:x14="http://schemas.microsoft.com/office/spreadsheetml/2009/9/main" uri="{B025F937-C7B1-47D3-B67F-A62EFF666E3E}">
          <x14:id>{DCCE77B4-ABC4-B856-D53C-1F28E333CEBF}</x14:id>
        </ext>
      </extLst>
    </cfRule>
  </conditionalFormatting>
  <conditionalFormatting sqref="L4:M16">
    <cfRule priority="74" type="dataBar">
      <dataBar>
        <cfvo type="min"/>
        <cfvo type="max"/>
        <color rgb="FFFCDA7B"/>
      </dataBar>
      <extLst>
        <ext xmlns:x14="http://schemas.microsoft.com/office/spreadsheetml/2009/9/main" uri="{B025F937-C7B1-47D3-B67F-A62EFF666E3E}">
          <x14:id>{F92703D9-9C9B-6C4C-0414-FF344012A007}</x14:id>
        </ext>
      </extLst>
    </cfRule>
  </conditionalFormatting>
  <conditionalFormatting sqref="L4:M16">
    <cfRule priority="75" type="dataBar">
      <dataBar>
        <cfvo type="min"/>
        <cfvo type="max"/>
        <color rgb="FFFCDA7B"/>
      </dataBar>
      <extLst>
        <ext xmlns:x14="http://schemas.microsoft.com/office/spreadsheetml/2009/9/main" uri="{B025F937-C7B1-47D3-B67F-A62EFF666E3E}">
          <x14:id>{DB2B678A-07DA-3639-B977-C7E0769D546E}</x14:id>
        </ext>
      </extLst>
    </cfRule>
  </conditionalFormatting>
  <conditionalFormatting sqref="L4:M16">
    <cfRule priority="76" type="dataBar">
      <dataBar>
        <cfvo type="min"/>
        <cfvo type="max"/>
        <color rgb="FFFCDA7B"/>
      </dataBar>
      <extLst>
        <ext xmlns:x14="http://schemas.microsoft.com/office/spreadsheetml/2009/9/main" uri="{B025F937-C7B1-47D3-B67F-A62EFF666E3E}">
          <x14:id>{63EB41F3-8001-4ADC-50A3-E1BAEE34B797}</x14:id>
        </ext>
      </extLst>
    </cfRule>
  </conditionalFormatting>
  <conditionalFormatting sqref="L4:M16">
    <cfRule priority="78" type="dataBar">
      <dataBar>
        <cfvo type="min"/>
        <cfvo type="max"/>
        <color rgb="FFFCDA7B"/>
      </dataBar>
      <extLst>
        <ext xmlns:x14="http://schemas.microsoft.com/office/spreadsheetml/2009/9/main" uri="{B025F937-C7B1-47D3-B67F-A62EFF666E3E}">
          <x14:id>{47F4FF90-78CC-99FB-8594-A4625E4C0499}</x14:id>
        </ext>
      </extLst>
    </cfRule>
  </conditionalFormatting>
  <conditionalFormatting sqref="L37:L40">
    <cfRule priority="24" type="dataBar">
      <dataBar>
        <cfvo type="num" val="0"/>
        <cfvo type="num" val="1"/>
        <color rgb="FFFCDA7B"/>
      </dataBar>
      <extLst>
        <ext xmlns:x14="http://schemas.microsoft.com/office/spreadsheetml/2009/9/main" uri="{B025F937-C7B1-47D3-B67F-A62EFF666E3E}">
          <x14:id>{66B462F0-BA36-24CC-7105-67FB54F4FF4D}</x14:id>
        </ext>
      </extLst>
    </cfRule>
  </conditionalFormatting>
  <conditionalFormatting sqref="AI20:AI23">
    <cfRule priority="24" type="dataBar">
      <dataBar>
        <cfvo type="num" val="0"/>
        <cfvo type="num" val="1"/>
        <color rgb="FFFCDA7B"/>
      </dataBar>
      <extLst>
        <ext xmlns:x14="http://schemas.microsoft.com/office/spreadsheetml/2009/9/main" uri="{B025F937-C7B1-47D3-B67F-A62EFF666E3E}">
          <x14:id>{A482B277-D78D-51D0-766C-0294E524D17E}</x14:id>
        </ext>
      </extLst>
    </cfRule>
  </conditionalFormatting>
  <conditionalFormatting sqref="AF54:AF57">
    <cfRule priority="25" type="dataBar">
      <dataBar>
        <cfvo type="num" val="0"/>
        <cfvo type="num" val="1"/>
        <color rgb="FFFCDA7B"/>
      </dataBar>
      <extLst>
        <ext xmlns:x14="http://schemas.microsoft.com/office/spreadsheetml/2009/9/main" uri="{B025F937-C7B1-47D3-B67F-A62EFF666E3E}">
          <x14:id>{4413C675-1541-8B37-D6E3-9F0E03158044}</x14:id>
        </ext>
      </extLst>
    </cfRule>
  </conditionalFormatting>
  <conditionalFormatting sqref="W2:W16">
    <cfRule priority="26" type="dataBar">
      <dataBar>
        <cfvo type="num" val="0"/>
        <cfvo type="num" val="1"/>
        <color rgb="FF70AD48"/>
      </dataBar>
      <extLst>
        <ext xmlns:x14="http://schemas.microsoft.com/office/spreadsheetml/2009/9/main" uri="{B025F937-C7B1-47D3-B67F-A62EFF666E3E}">
          <x14:id>{0A610AE3-F6F1-AC10-4C97-D4CB99A7C299}</x14:id>
        </ext>
      </extLst>
    </cfRule>
  </conditionalFormatting>
  <conditionalFormatting sqref="AT2:AT16">
    <cfRule priority="26" type="dataBar">
      <dataBar>
        <cfvo type="num" val="0"/>
        <cfvo type="num" val="1"/>
        <color rgb="FF70AD48"/>
      </dataBar>
      <extLst>
        <ext xmlns:x14="http://schemas.microsoft.com/office/spreadsheetml/2009/9/main" uri="{B025F937-C7B1-47D3-B67F-A62EFF666E3E}">
          <x14:id>{58FFD595-D72C-5542-9A46-177327C5D8A4}</x14:id>
        </ext>
      </extLst>
    </cfRule>
  </conditionalFormatting>
  <conditionalFormatting sqref="Y4:Y7">
    <cfRule priority="24" type="dataBar">
      <dataBar>
        <cfvo type="num" val="0"/>
        <cfvo type="num" val="1"/>
        <color rgb="FFFCDA7B"/>
      </dataBar>
      <extLst>
        <ext xmlns:x14="http://schemas.microsoft.com/office/spreadsheetml/2009/9/main" uri="{B025F937-C7B1-47D3-B67F-A62EFF666E3E}">
          <x14:id>{47BCA9A2-72A1-00AF-09CD-DF83A4C03CB8}</x14:id>
        </ext>
      </extLst>
    </cfRule>
  </conditionalFormatting>
  <conditionalFormatting sqref="Y9:Y11">
    <cfRule priority="24" type="dataBar">
      <dataBar>
        <cfvo type="num" val="0"/>
        <cfvo type="num" val="1"/>
        <color rgb="FFFCDA7B"/>
      </dataBar>
      <extLst>
        <ext xmlns:x14="http://schemas.microsoft.com/office/spreadsheetml/2009/9/main" uri="{B025F937-C7B1-47D3-B67F-A62EFF666E3E}">
          <x14:id>{12AD74C4-BDC0-7F9F-C0D9-E42A2C2AABDB}</x14:id>
        </ext>
      </extLst>
    </cfRule>
  </conditionalFormatting>
  <conditionalFormatting sqref="Y13:Y15">
    <cfRule priority="24" type="dataBar">
      <dataBar>
        <cfvo type="num" val="0"/>
        <cfvo type="num" val="1"/>
        <color rgb="FFFCDA7B"/>
      </dataBar>
      <extLst>
        <ext xmlns:x14="http://schemas.microsoft.com/office/spreadsheetml/2009/9/main" uri="{B025F937-C7B1-47D3-B67F-A62EFF666E3E}">
          <x14:id>{02F12F00-46B8-B77E-7711-2E877384B05F}</x14:id>
        </ext>
      </extLst>
    </cfRule>
  </conditionalFormatting>
  <conditionalFormatting sqref="AK20:AK23">
    <cfRule priority="5" type="dataBar">
      <dataBar>
        <cfvo type="min"/>
        <cfvo type="max"/>
        <color rgb="FFFCDA7B"/>
      </dataBar>
      <extLst>
        <ext xmlns:x14="http://schemas.microsoft.com/office/spreadsheetml/2009/9/main" uri="{B025F937-C7B1-47D3-B67F-A62EFF666E3E}">
          <x14:id>{A6BA429C-2F40-5583-5696-02B1C02F6A09}</x14:id>
        </ext>
      </extLst>
    </cfRule>
  </conditionalFormatting>
  <conditionalFormatting sqref="AM20:AM23">
    <cfRule priority="4" type="dataBar">
      <dataBar>
        <cfvo type="min"/>
        <cfvo type="max"/>
        <color rgb="FFFCDA7B"/>
      </dataBar>
      <extLst>
        <ext xmlns:x14="http://schemas.microsoft.com/office/spreadsheetml/2009/9/main" uri="{B025F937-C7B1-47D3-B67F-A62EFF666E3E}">
          <x14:id>{050D16F0-7021-1BEF-13B2-1043D7E2F215}</x14:id>
        </ext>
      </extLst>
    </cfRule>
  </conditionalFormatting>
  <conditionalFormatting sqref="AO20:AO23">
    <cfRule priority="3" type="dataBar">
      <dataBar>
        <cfvo type="min"/>
        <cfvo type="max"/>
        <color rgb="FFFCDA7B"/>
      </dataBar>
      <extLst>
        <ext xmlns:x14="http://schemas.microsoft.com/office/spreadsheetml/2009/9/main" uri="{B025F937-C7B1-47D3-B67F-A62EFF666E3E}">
          <x14:id>{08B4F6D2-FEE3-48CC-A801-A70CF4343B06}</x14:id>
        </ext>
      </extLst>
    </cfRule>
  </conditionalFormatting>
  <conditionalFormatting sqref="AC4:AC7">
    <cfRule priority="4" type="dataBar">
      <dataBar>
        <cfvo type="min"/>
        <cfvo type="max"/>
        <color rgb="FFFCDA7B"/>
      </dataBar>
      <extLst>
        <ext xmlns:x14="http://schemas.microsoft.com/office/spreadsheetml/2009/9/main" uri="{B025F937-C7B1-47D3-B67F-A62EFF666E3E}">
          <x14:id>{BA267167-D007-3A81-E7D6-F6B683F952EB}</x14:id>
        </ext>
      </extLst>
    </cfRule>
  </conditionalFormatting>
  <conditionalFormatting sqref="AC9:AC11">
    <cfRule priority="4" type="dataBar">
      <dataBar>
        <cfvo type="min"/>
        <cfvo type="max"/>
        <color rgb="FFFCDA7B"/>
      </dataBar>
      <extLst>
        <ext xmlns:x14="http://schemas.microsoft.com/office/spreadsheetml/2009/9/main" uri="{B025F937-C7B1-47D3-B67F-A62EFF666E3E}">
          <x14:id>{D91EF301-79CF-7D83-CB91-A2F7E468F852}</x14:id>
        </ext>
      </extLst>
    </cfRule>
  </conditionalFormatting>
  <conditionalFormatting sqref="AC13:AC15">
    <cfRule priority="4" type="dataBar">
      <dataBar>
        <cfvo type="min"/>
        <cfvo type="max"/>
        <color rgb="FFFCDA7B"/>
      </dataBar>
      <extLst>
        <ext xmlns:x14="http://schemas.microsoft.com/office/spreadsheetml/2009/9/main" uri="{B025F937-C7B1-47D3-B67F-A62EFF666E3E}">
          <x14:id>{B6C8A33F-F520-5EA7-0231-0F0129EA2748}</x14:id>
        </ext>
      </extLst>
    </cfRule>
  </conditionalFormatting>
  <conditionalFormatting sqref="AE4:AE7">
    <cfRule priority="3" type="dataBar">
      <dataBar>
        <cfvo type="min"/>
        <cfvo type="max"/>
        <color rgb="FFFCDA7B"/>
      </dataBar>
      <extLst>
        <ext xmlns:x14="http://schemas.microsoft.com/office/spreadsheetml/2009/9/main" uri="{B025F937-C7B1-47D3-B67F-A62EFF666E3E}">
          <x14:id>{02520DDB-FD08-995A-F9DD-93BC52BD6C89}</x14:id>
        </ext>
      </extLst>
    </cfRule>
  </conditionalFormatting>
  <conditionalFormatting sqref="AE9:AE11">
    <cfRule priority="3" type="dataBar">
      <dataBar>
        <cfvo type="min"/>
        <cfvo type="max"/>
        <color rgb="FFFCDA7B"/>
      </dataBar>
      <extLst>
        <ext xmlns:x14="http://schemas.microsoft.com/office/spreadsheetml/2009/9/main" uri="{B025F937-C7B1-47D3-B67F-A62EFF666E3E}">
          <x14:id>{288787D0-0EEC-0E3E-10B3-60C27F73B75D}</x14:id>
        </ext>
      </extLst>
    </cfRule>
  </conditionalFormatting>
  <conditionalFormatting sqref="AE13:AE15">
    <cfRule priority="3" type="dataBar">
      <dataBar>
        <cfvo type="min"/>
        <cfvo type="max"/>
        <color rgb="FFFCDA7B"/>
      </dataBar>
      <extLst>
        <ext xmlns:x14="http://schemas.microsoft.com/office/spreadsheetml/2009/9/main" uri="{B025F937-C7B1-47D3-B67F-A62EFF666E3E}">
          <x14:id>{74F321C6-9EF8-AD53-9619-9BAEC3DC9905}</x14:id>
        </ext>
      </extLst>
    </cfRule>
  </conditionalFormatting>
  <conditionalFormatting sqref="AE8">
    <cfRule priority="3" type="dataBar">
      <dataBar>
        <cfvo type="min"/>
        <cfvo type="max"/>
        <color rgb="FFFCDA7B"/>
      </dataBar>
      <extLst>
        <ext xmlns:x14="http://schemas.microsoft.com/office/spreadsheetml/2009/9/main" uri="{B025F937-C7B1-47D3-B67F-A62EFF666E3E}">
          <x14:id>{2822A277-1A78-20A0-A312-BFDB689A2C07}</x14:id>
        </ext>
      </extLst>
    </cfRule>
  </conditionalFormatting>
  <conditionalFormatting sqref="AC8">
    <cfRule priority="4" type="dataBar">
      <dataBar>
        <cfvo type="min"/>
        <cfvo type="max"/>
        <color rgb="FFFCDA7B"/>
      </dataBar>
      <extLst>
        <ext xmlns:x14="http://schemas.microsoft.com/office/spreadsheetml/2009/9/main" uri="{B025F937-C7B1-47D3-B67F-A62EFF666E3E}">
          <x14:id>{8B164E18-BB5D-91B4-FB78-397B6916A0F9}</x14:id>
        </ext>
      </extLst>
    </cfRule>
  </conditionalFormatting>
  <conditionalFormatting sqref="AA8">
    <cfRule priority="5" type="dataBar">
      <dataBar>
        <cfvo type="min"/>
        <cfvo type="max"/>
        <color rgb="FFFCDA7B"/>
      </dataBar>
      <extLst>
        <ext xmlns:x14="http://schemas.microsoft.com/office/spreadsheetml/2009/9/main" uri="{B025F937-C7B1-47D3-B67F-A62EFF666E3E}">
          <x14:id>{922C5886-6474-3699-4828-68FDE22DAA61}</x14:id>
        </ext>
      </extLst>
    </cfRule>
  </conditionalFormatting>
  <conditionalFormatting sqref="Y8">
    <cfRule priority="24" type="dataBar">
      <dataBar>
        <cfvo type="num" val="0"/>
        <cfvo type="num" val="1"/>
        <color rgb="FFFCDA7B"/>
      </dataBar>
      <extLst>
        <ext xmlns:x14="http://schemas.microsoft.com/office/spreadsheetml/2009/9/main" uri="{B025F937-C7B1-47D3-B67F-A62EFF666E3E}">
          <x14:id>{CA207C7E-4028-7177-C7B1-13CBBCD5F601}</x14:id>
        </ext>
      </extLst>
    </cfRule>
  </conditionalFormatting>
  <conditionalFormatting sqref="AE12">
    <cfRule priority="3" type="dataBar">
      <dataBar>
        <cfvo type="min"/>
        <cfvo type="max"/>
        <color rgb="FFFCDA7B"/>
      </dataBar>
      <extLst>
        <ext xmlns:x14="http://schemas.microsoft.com/office/spreadsheetml/2009/9/main" uri="{B025F937-C7B1-47D3-B67F-A62EFF666E3E}">
          <x14:id>{B89B8B16-2381-F2F9-131D-7482BCD3CA1F}</x14:id>
        </ext>
      </extLst>
    </cfRule>
  </conditionalFormatting>
  <conditionalFormatting sqref="AC12">
    <cfRule priority="4" type="dataBar">
      <dataBar>
        <cfvo type="min"/>
        <cfvo type="max"/>
        <color rgb="FFFCDA7B"/>
      </dataBar>
      <extLst>
        <ext xmlns:x14="http://schemas.microsoft.com/office/spreadsheetml/2009/9/main" uri="{B025F937-C7B1-47D3-B67F-A62EFF666E3E}">
          <x14:id>{A807EBE8-6D39-E5BF-C01A-1F8719B64AB5}</x14:id>
        </ext>
      </extLst>
    </cfRule>
  </conditionalFormatting>
  <conditionalFormatting sqref="AA12">
    <cfRule priority="5" type="dataBar">
      <dataBar>
        <cfvo type="min"/>
        <cfvo type="max"/>
        <color rgb="FFFCDA7B"/>
      </dataBar>
      <extLst>
        <ext xmlns:x14="http://schemas.microsoft.com/office/spreadsheetml/2009/9/main" uri="{B025F937-C7B1-47D3-B67F-A62EFF666E3E}">
          <x14:id>{D81A38E1-DFB3-3944-99B2-D9450E644FA5}</x14:id>
        </ext>
      </extLst>
    </cfRule>
  </conditionalFormatting>
  <conditionalFormatting sqref="Y12">
    <cfRule priority="24" type="dataBar">
      <dataBar>
        <cfvo type="num" val="0"/>
        <cfvo type="num" val="1"/>
        <color rgb="FFFCDA7B"/>
      </dataBar>
      <extLst>
        <ext xmlns:x14="http://schemas.microsoft.com/office/spreadsheetml/2009/9/main" uri="{B025F937-C7B1-47D3-B67F-A62EFF666E3E}">
          <x14:id>{5221F541-C33D-5802-186E-C1FFE5E15392}</x14:id>
        </ext>
      </extLst>
    </cfRule>
  </conditionalFormatting>
  <conditionalFormatting sqref="AE16">
    <cfRule priority="3" type="dataBar">
      <dataBar>
        <cfvo type="min"/>
        <cfvo type="max"/>
        <color rgb="FFFCDA7B"/>
      </dataBar>
      <extLst>
        <ext xmlns:x14="http://schemas.microsoft.com/office/spreadsheetml/2009/9/main" uri="{B025F937-C7B1-47D3-B67F-A62EFF666E3E}">
          <x14:id>{6C74D8F6-41A3-F84B-C0A1-D62E3A856A9C}</x14:id>
        </ext>
      </extLst>
    </cfRule>
  </conditionalFormatting>
  <conditionalFormatting sqref="AC16">
    <cfRule priority="4" type="dataBar">
      <dataBar>
        <cfvo type="min"/>
        <cfvo type="max"/>
        <color rgb="FFFCDA7B"/>
      </dataBar>
      <extLst>
        <ext xmlns:x14="http://schemas.microsoft.com/office/spreadsheetml/2009/9/main" uri="{B025F937-C7B1-47D3-B67F-A62EFF666E3E}">
          <x14:id>{93497532-C48E-91B4-283D-A0B196090128}</x14:id>
        </ext>
      </extLst>
    </cfRule>
  </conditionalFormatting>
  <conditionalFormatting sqref="AA16">
    <cfRule priority="5" type="dataBar">
      <dataBar>
        <cfvo type="min"/>
        <cfvo type="max"/>
        <color rgb="FFFCDA7B"/>
      </dataBar>
      <extLst>
        <ext xmlns:x14="http://schemas.microsoft.com/office/spreadsheetml/2009/9/main" uri="{B025F937-C7B1-47D3-B67F-A62EFF666E3E}">
          <x14:id>{48A89D99-C055-C474-2ADC-2E41D1FA5D52}</x14:id>
        </ext>
      </extLst>
    </cfRule>
  </conditionalFormatting>
  <conditionalFormatting sqref="Y16">
    <cfRule priority="24" type="dataBar">
      <dataBar>
        <cfvo type="num" val="0"/>
        <cfvo type="num" val="1"/>
        <color rgb="FFFCDA7B"/>
      </dataBar>
      <extLst>
        <ext xmlns:x14="http://schemas.microsoft.com/office/spreadsheetml/2009/9/main" uri="{B025F937-C7B1-47D3-B67F-A62EFF666E3E}">
          <x14:id>{3F39BD6F-0393-DA03-5A9A-C47C57718D69}</x14:id>
        </ext>
      </extLst>
    </cfRule>
  </conditionalFormatting>
  <conditionalFormatting sqref="AA4:AA7 AA9:AA11 AA13:AA15">
    <cfRule priority="6" type="dataBar">
      <dataBar>
        <cfvo type="min"/>
        <cfvo type="max"/>
        <color rgb="FFFCDA7B"/>
      </dataBar>
      <extLst>
        <ext xmlns:x14="http://schemas.microsoft.com/office/spreadsheetml/2009/9/main" uri="{B025F937-C7B1-47D3-B67F-A62EFF666E3E}">
          <x14:id>{A5F1573E-88B6-1368-B419-0124F41A39E4}</x14:id>
        </ext>
      </extLst>
    </cfRule>
  </conditionalFormatting>
  <conditionalFormatting sqref="AA4:AA7 AA9:AA11 AA13:AA15">
    <cfRule priority="7" type="dataBar">
      <dataBar>
        <cfvo type="min"/>
        <cfvo type="max"/>
        <color rgb="FFFCDA7B"/>
      </dataBar>
      <extLst>
        <ext xmlns:x14="http://schemas.microsoft.com/office/spreadsheetml/2009/9/main" uri="{B025F937-C7B1-47D3-B67F-A62EFF666E3E}">
          <x14:id>{21B0E023-0E14-1C56-C28F-3204E507FEE0}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7EC892-71A9-4FE1-E685-7B89A7BB506C}">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32FC54A9-B940-973C-F578-F3A364F0EFFD}">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DF1AEA5F-E5C4-BC61-445D-6766C66E1D6B}">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0DE0F6BF-540E-671F-C8F7-C0D435377A54}">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8A824259-9F8E-80EB-60E9-6B1D3847D700}">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03F04122-C46B-F095-ADE4-6D02E79B35B6}">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E1221918-2288-F7CC-6C19-BFC4FF223E4E}">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2EDAA285-B8B6-910A-E96C-1D77435F5120}">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2720E3D6-73C4-E963-6F3D-A9DB27A36ACD}">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3A7B18A3-5C92-3F64-08AE-144A5BB9BDC4}">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5613023D-5DC4-BCD1-BBA7-81BF868F08D0}">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C568E87E-A336-0D29-81AC-DBE4DEEF7166}">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2525536B-77EE-B991-6776-14A30E425ECF}">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EE71E1DE-D496-707C-8F65-9F40EA9C3401}">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56B6ABC8-CB6B-5344-E792-BA978B49D8BA}">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D32E2E9C-1D92-41DD-AD1F-D85108BF9F5D}">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F1059D3E-8DF7-370B-3154-AE22E87CC330}">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2E1A742F-0961-034E-CF1F-45D37625A10C}">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C51A4AC-C2AF-581B-FE76-10A387222921}">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90E5D2F9-BC9F-2ABE-ACB4-9AD0716ADB18}">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A4862A7E-FF06-01A3-A4AB-2E6D0EF2C481}">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EB39A224-621A-C2FE-56CA-9F8B2B55883E}">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C7A8B57E-A196-2D73-C09A-5884182BF064}">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A54E8CBD-F292-DD6C-6BFA-A5BCA01F8C12}">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9C8F53D2-F873-EDC5-0B9D-E173D57B0C4A}">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0877CB3C-81D2-5A8A-0397-DBCA1634200C}">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62F41AAE-5884-D606-B151-3AC15B9D0C7B}">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B18D4B28-4AA1-844B-73D8-1A9340D47BC6}">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ADC5A65D-DECB-8C35-2C9A-73B9AF0CC797}">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B7EB5BDD-26AD-8751-6724-59188B654236}">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9B8FD4B1-84CF-1145-2B90-1721907BB948}">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8A769259-98D2-4135-6D67-E6541CC6E2ED}">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502001BE-5DB6-03CF-6149-60FC45AD3E0C}">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9D0CB679-551B-F1FE-0CA5-871931FF0103}">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BF8848DC-3E54-66C8-A0FD-769E4DA22F62}">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886A4345-0CE7-FAD8-0E85-8E33FAF5874E}">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3DB04274-FBF8-8F9D-0EC3-9B3925DDFAAD}">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7BA7C51C-89AE-0C8C-6F99-003FE3C18083}">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84CDA8FD-4788-4078-2971-6411EDB432BD}">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49CC62D3-7C89-5F2A-36BC-836D0F616DCE}">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E8A50616-EC2A-A325-9ED1-2368C3F4701D}">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A4E060D3-E2FB-CCC3-911A-5C63A59D7B24}">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5956D8DE-B368-9568-8B71-03E161D5F362}">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0D764364-A1E4-99FB-4D10-032AB143CFF9}">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0FC31C4C-42FF-C900-EF0C-B3F34A4B8169}">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75A50A99-9B15-C22C-B12A-879DE1D7CDB8}">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3F2406F4-7D9D-0827-6165-9CA5A744996A}">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2296E4A6-56B1-3163-A3CC-8CF3481808F1}">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C06A2C77-8D19-2139-B4A8-8C247EED51C3}">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6EDD701D-756E-A94E-5F9E-C726A09F7D2E}">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7BC3A62E-3BE2-2A4C-7C14-95182284B6C2}">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8A6D1489-7BB0-F29A-0FC5-33ADA852AB5D}">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430B9D4B-B2C1-B0C0-A5C9-4678B1F441ED}">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8523EA7A-5904-6050-0F79-837E84F39C8E}">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E6743D7F-8A96-DCC6-339E-A99DA5166BBD}">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9D11B500-EDA5-4A0F-276E-117308598233}">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5C6F3E98-72BE-A918-E359-6EC7B49C4ADA}">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D2AD5EFF-30F3-7BD2-600C-EFCD1A9470EA}">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0A5C281D-5790-F11C-624B-44145CB49B34}">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48C27323-0A14-38C6-976A-BD1DAEC28A13}">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34AA1AB9-B252-FAE3-736C-E9E238703BBE}">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6B37DAE0-1C42-95EC-994E-C6CE49AFB539}">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78ECE5F5-4532-50E5-B462-DB8E51289A99}">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C8E24A9F-6A31-93E9-C81F-66E21970D227}">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F7BC6F6C-036D-0989-3A15-071315462B1E}">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5B7A4AB0-284C-9CA3-2F9D-6E88EE7FD346}">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EB4CC133-81E2-C107-264C-565634FB6D28}">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33C55E50-7088-A6E2-8BFA-C93BA0E3AFD1}">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0CCF1581-63A4-7DFF-5399-7E62690687D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F2E75BF4-7F1A-208E-8A1B-718FF4C432EA}">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E60F325A-E5ED-C9B3-B319-02AF33B86A0B}">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B32771B5-C46B-D21D-700D-43AE8A33BBAE}">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598617C1-4BEB-CCAF-22E0-E4D1A3F3F707}">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D965D10A-DE31-498D-2474-221D0CAA534C}">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44FADC85-D76D-3207-A1D7-B52E1617FA24}">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85B38E08-111E-D468-6D91-6E59E7AD3F7E}">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21CFBEB7-A19E-05D4-BC34-96F4A3BE112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F789D9BD-D9F6-FBCF-33C8-88BBC414BD85}">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CBCA7408-BC53-B228-AE4B-15A60CF6F1A2}">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4F72AB08-26E1-FB99-7230-A999F2C11B95}">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50D14AD1-5625-4E45-9DA6-A47CC8BF2C26}">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1CF4682F-DDE2-8F56-084A-0420AF6FE81B}">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4EB74C00-0588-4048-75DF-3A1D42354BE5}">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15409F0B-670F-D08E-9C3C-0B08E2129516}">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0E9F98F2-5AEA-6749-3AD0-82F27B83B4DC}">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AA22EC21-F375-8104-D3AE-7ADD182C8B45}">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B9553098-9796-910E-96FF-039FD9E19140}">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A6BD5387-AE5A-4800-A076-353BA4F9BBCE}">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2C0D550F-8425-D401-388B-F4C0A12DE16C}">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D615C2F7-6EEB-CB4F-3248-574289866BA3}">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67CC80EB-BDAC-2A8E-72DE-5C955E05FF6A}">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648A2508-8296-EFCD-9321-904AA902940E}">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036BEFF1-E721-F136-2404-3E408AA23933}">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5136CF2E-A85E-9D65-80CC-B5816BBC938D}">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B3862FE3-B7E2-BEC9-315E-44B18EF92547}">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B96923E3-B5C7-AB41-2224-6A5425B510DC}">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33D4B76C-A9C6-D6FB-7CBA-74AB906E19D2}">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B2B74A6D-58C8-852F-B853-F92E0AF739B0}">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51082365-C233-C7B9-B54F-AF3301B32DE6}">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B2ECD2E6-3413-D834-71B3-40D12C2C5603}">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4022AB2D-1A0A-DF84-E82A-19D5D522C8EF}">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9125454A-1537-4D48-04CC-5A0138BC622E}">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74EE45FD-A9CD-A57E-BCF0-6C0DE7197D47}">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2E0AC94E-D56B-F0F1-15BA-B325D84107FB}">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3B939FCF-9AF1-B9B8-F207-F0B0219BFB9E}">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DE1DAD9E-6FC0-4FC8-E21D-F72F560F1149}">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04C088CC-10E9-477F-8E81-11A90FF0A587}">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DFC993ED-ED36-DF38-DC12-4DD31EC13713}">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791BF5C5-1A70-1ACE-AD94-B73243C5C7A1}">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41FE84EC-4200-96EE-489B-BE31216DF210}">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349978A3-1DBD-95F2-6063-053F566AFB5B}">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53BE8E28-6F08-4FBF-D11C-296B397FADA6}">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FF2B2210-109A-5FB1-D7ED-37E72D8A8838}">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9EF7CE71-AA99-CC00-4E58-57556F7ADB92}">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2671AAB4-818F-AC48-AF3A-591FBCA8E37D}">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45F1C054-3E04-F768-939F-721C8D72D2C5}">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9B194CE3-87D4-103A-1503-47AA879A223A}">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B975EB7C-172C-4C69-69F0-5BAB9618D4EC}">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0E249640-9429-5B60-2D4D-B02CF7732A7E}">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08217012-6F05-0455-4D25-2FB225022D85}">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4A0CD2F8-A4DB-8B34-985E-572A52D4859A}">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E8B15B18-2B95-9DE2-E2A5-1E9044D1EE1E}">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241B04E4-61C4-C5C0-4260-B7F9E3FBFA8A}">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C990769E-7C7C-6619-0B19-6DEEA598DF3D}">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0DBB0C60-312B-A0E0-376F-E5D1C548EFD3}">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22984938-EF59-7C7F-7277-6C792A50BC83}">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0A728AA6-1F02-6044-CB1A-0127D39BC4F2}">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72D3545D-4124-E29E-FF3D-587D171BF8A7}">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74F83D1B-98CE-63DF-87ED-54B4D0489BDE}">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26CFBDED-0C8E-B023-0A1F-4C63C57A5943}">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DCCE77B4-ABC4-B856-D53C-1F28E333CEBF}">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F92703D9-9C9B-6C4C-0414-FF344012A007}">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DB2B678A-07DA-3639-B977-C7E0769D546E}">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63EB41F3-8001-4ADC-50A3-E1BAEE34B797}">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47F4FF90-78CC-99FB-8594-A4625E4C0499}">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66B462F0-BA36-24CC-7105-67FB54F4FF4D}">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A482B277-D78D-51D0-766C-0294E524D17E}">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4413C675-1541-8B37-D6E3-9F0E03158044}">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0A610AE3-F6F1-AC10-4C97-D4CB99A7C299}">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58FFD595-D72C-5542-9A46-177327C5D8A4}">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47BCA9A2-72A1-00AF-09CD-DF83A4C03CB8}">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12AD74C4-BDC0-7F9F-C0D9-E42A2C2AABDB}">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02F12F00-46B8-B77E-7711-2E877384B05F}">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A6BA429C-2F40-5583-5696-02B1C02F6A09}">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050D16F0-7021-1BEF-13B2-1043D7E2F215}">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08B4F6D2-FEE3-48CC-A801-A70CF4343B06}">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BA267167-D007-3A81-E7D6-F6B683F952EB}">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D91EF301-79CF-7D83-CB91-A2F7E468F852}">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B6C8A33F-F520-5EA7-0231-0F0129EA2748}">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02520DDB-FD08-995A-F9DD-93BC52BD6C89}">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288787D0-0EEC-0E3E-10B3-60C27F73B75D}">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74F321C6-9EF8-AD53-9619-9BAEC3DC9905}">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2822A277-1A78-20A0-A312-BFDB689A2C07}">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8B164E18-BB5D-91B4-FB78-397B6916A0F9}">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922C5886-6474-3699-4828-68FDE22DAA61}">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CA207C7E-4028-7177-C7B1-13CBBCD5F601}">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B89B8B16-2381-F2F9-131D-7482BCD3CA1F}">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A807EBE8-6D39-E5BF-C01A-1F8719B64AB5}">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D81A38E1-DFB3-3944-99B2-D9450E644FA5}">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5221F541-C33D-5802-186E-C1FFE5E15392}">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6C74D8F6-41A3-F84B-C0A1-D62E3A856A9C}">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93497532-C48E-91B4-283D-A0B196090128}">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48A89D99-C055-C474-2ADC-2E41D1FA5D52}">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3F39BD6F-0393-DA03-5A9A-C47C57718D69}">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A5F1573E-88B6-1368-B419-0124F41A39E4}">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21B0E023-0E14-1C56-C28F-3204E507FEE0}">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508"/>
    <col min="22" max="22" width="16.9189453125" customWidth="1" style="508"/>
    <col min="23" max="24" width="12.9404296875" customWidth="1" style="466"/>
    <col min="25" max="25" width="17.4404296875" customWidth="1" style="466"/>
    <col min="26" max="26" width="23.3759765625" customWidth="1" style="171"/>
    <col min="27" max="27" width="11.501953125" customWidth="1" style="466"/>
    <col min="28" max="28" width="63.29296875" customWidth="1" style="466"/>
    <col min="29" max="29" width="12.1259765625" customWidth="1" style="466"/>
    <col min="30" max="30" width="61.751953125" customWidth="1" style="466"/>
    <col min="31" max="31" width="12.3779296875" customWidth="1" style="466"/>
    <col min="32" max="32" width="11.9560546875" style="466"/>
    <col min="33" max="33" width="9.7529296875" customWidth="1" style="466"/>
    <col min="34" max="34" width="11.876953125" customWidth="1" style="466"/>
    <col min="35" max="35" width="11.9560546875" style="466"/>
    <col min="36" max="36" width="9.7529296875" customWidth="1" style="466"/>
    <col min="37" max="37" width="10"/>
    <col min="40" max="40" width="14.0771484375" customWidth="1"/>
    <col min="41" max="41" width="8.009765625" customWidth="1"/>
    <col min="42" max="42" width="17.431640625" customWidth="1"/>
    <col min="43" max="43" width="14.0771484375" customWidth="1"/>
    <col min="44" max="44" width="6.6240234375" customWidth="1" style="301"/>
    <col min="45" max="45" width="17.3935546875" customWidth="1" style="301"/>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104"/>
    <col min="57" max="57" width="15.123046875" customWidth="1" style="104"/>
    <col min="61" max="62" width="15.75" customWidth="1" style="508"/>
    <col min="63" max="63" width="9.873046875" customWidth="1" style="104"/>
    <col min="64" max="66" width="6.498046875" customWidth="1" style="104"/>
    <col min="67" max="67" width="18.75" customWidth="1" style="508"/>
    <col min="68" max="68" width="17.25" customWidth="1"/>
    <col min="69" max="69" width="21.873046875" customWidth="1"/>
    <col min="70" max="75" width="6.41015625" customWidth="1"/>
    <col min="76" max="79" width="16.248046875" customWidth="1"/>
  </cols>
  <sheetData>
    <row r="1" s="207" customFormat="1" ht="26.25" customHeight="1">
      <c r="A1" s="221" t="s">
        <v>146</v>
      </c>
      <c r="B1" s="222" t="s">
        <v>147</v>
      </c>
      <c r="C1" s="222" t="s">
        <v>148</v>
      </c>
      <c r="D1" s="222" t="s">
        <v>149</v>
      </c>
      <c r="E1" s="223" t="s">
        <v>150</v>
      </c>
      <c r="F1" s="223"/>
      <c r="G1" s="223"/>
      <c r="H1" s="223"/>
      <c r="I1" s="223"/>
      <c r="J1" s="224" t="s">
        <v>151</v>
      </c>
      <c r="K1" s="224"/>
      <c r="L1" s="224"/>
      <c r="M1" s="224"/>
      <c r="N1" s="225" t="s">
        <v>152</v>
      </c>
      <c r="O1" s="225"/>
      <c r="P1" s="225"/>
      <c r="Q1" s="225"/>
      <c r="R1" s="238" t="s">
        <v>153</v>
      </c>
      <c r="S1" s="121"/>
      <c r="T1" s="121"/>
      <c r="U1" s="121"/>
      <c r="V1" s="121"/>
      <c r="W1" s="121"/>
      <c r="X1" s="121"/>
      <c r="Y1" s="121"/>
      <c r="Z1" s="315"/>
      <c r="AA1" s="200" t="s">
        <v>154</v>
      </c>
      <c r="AB1" s="463"/>
      <c r="AC1" s="228"/>
      <c r="AD1" s="200" t="s">
        <v>155</v>
      </c>
      <c r="AE1" s="123" t="s">
        <v>156</v>
      </c>
      <c r="AF1" s="205"/>
      <c r="AG1" s="205"/>
      <c r="AH1" s="205"/>
      <c r="AI1" s="205"/>
      <c r="AJ1" s="205"/>
      <c r="AK1" s="226" t="s">
        <v>157</v>
      </c>
      <c r="AL1" s="360"/>
      <c r="AM1" s="360"/>
      <c r="AN1" s="227" t="s">
        <v>158</v>
      </c>
      <c r="AO1" s="328"/>
      <c r="AP1" s="328"/>
      <c r="AQ1" s="328"/>
      <c r="AR1" s="328"/>
      <c r="AS1" s="328"/>
      <c r="AT1" s="328"/>
      <c r="AU1" s="328"/>
      <c r="AV1" s="328"/>
      <c r="AW1" s="328"/>
      <c r="AX1" s="328"/>
      <c r="AY1" s="328"/>
      <c r="AZ1" s="328"/>
      <c r="BA1" s="328"/>
      <c r="BB1" s="328"/>
      <c r="BC1" s="328"/>
      <c r="BD1" s="85" t="s">
        <v>159</v>
      </c>
      <c r="BE1" s="94"/>
      <c r="BF1" s="161" t="s">
        <v>160</v>
      </c>
      <c r="BG1" s="363"/>
      <c r="BH1" s="363"/>
      <c r="BI1" s="240" t="s">
        <v>161</v>
      </c>
      <c r="BJ1" s="364"/>
      <c r="BK1" s="33" t="s">
        <v>162</v>
      </c>
      <c r="BL1" s="244"/>
      <c r="BM1" s="244"/>
      <c r="BN1" s="244"/>
      <c r="BO1" s="365"/>
      <c r="BP1" s="167" t="s">
        <v>163</v>
      </c>
      <c r="BQ1" s="167" t="s">
        <v>164</v>
      </c>
      <c r="BR1" s="249" t="s">
        <v>165</v>
      </c>
      <c r="BS1" s="250" t="s">
        <v>166</v>
      </c>
      <c r="BT1" s="252" t="s">
        <v>167</v>
      </c>
      <c r="BU1" s="253" t="s">
        <v>168</v>
      </c>
      <c r="BV1" s="254" t="s">
        <v>169</v>
      </c>
      <c r="BW1" s="255" t="s">
        <v>170</v>
      </c>
      <c r="BX1" s="256" t="s">
        <v>171</v>
      </c>
      <c r="BY1" s="368"/>
      <c r="BZ1" s="372"/>
      <c r="CA1" s="256"/>
    </row>
    <row r="2" s="207" customFormat="1" ht="26.25" customHeight="1">
      <c r="A2" s="259"/>
      <c r="D2" s="260"/>
      <c r="E2" s="261" t="s">
        <v>172</v>
      </c>
      <c r="F2" s="261" t="s">
        <v>173</v>
      </c>
      <c r="G2" s="262" t="s">
        <v>94</v>
      </c>
      <c r="H2" s="261" t="s">
        <v>174</v>
      </c>
      <c r="I2" s="261" t="s">
        <v>175</v>
      </c>
      <c r="J2" s="263" t="s">
        <v>172</v>
      </c>
      <c r="K2" s="263" t="s">
        <v>173</v>
      </c>
      <c r="L2" s="263" t="s">
        <v>174</v>
      </c>
      <c r="M2" s="263" t="s">
        <v>175</v>
      </c>
      <c r="N2" s="264" t="s">
        <v>172</v>
      </c>
      <c r="O2" s="264" t="s">
        <v>173</v>
      </c>
      <c r="P2" s="264" t="s">
        <v>174</v>
      </c>
      <c r="Q2" s="264" t="s">
        <v>175</v>
      </c>
      <c r="R2" s="275" t="s">
        <v>176</v>
      </c>
      <c r="S2" s="276" t="s">
        <v>177</v>
      </c>
      <c r="T2" s="276" t="s">
        <v>178</v>
      </c>
      <c r="U2" s="276" t="s">
        <v>179</v>
      </c>
      <c r="V2" s="276" t="s">
        <v>180</v>
      </c>
      <c r="W2" s="276" t="s">
        <v>126</v>
      </c>
      <c r="X2" s="276" t="s">
        <v>181</v>
      </c>
      <c r="Y2" s="276" t="s">
        <v>182</v>
      </c>
      <c r="Z2" s="137" t="s">
        <v>183</v>
      </c>
      <c r="AA2" s="229" t="s">
        <v>184</v>
      </c>
      <c r="AB2" s="229" t="s">
        <v>185</v>
      </c>
      <c r="AC2" s="229" t="s">
        <v>186</v>
      </c>
      <c r="AD2" s="584" t="s">
        <v>187</v>
      </c>
      <c r="AE2" s="185" t="s">
        <v>188</v>
      </c>
      <c r="AF2" s="185" t="s">
        <v>189</v>
      </c>
      <c r="AG2" s="185" t="s">
        <v>190</v>
      </c>
      <c r="AH2" s="185" t="s">
        <v>191</v>
      </c>
      <c r="AI2" s="185" t="s">
        <v>192</v>
      </c>
      <c r="AJ2" s="185" t="s">
        <v>193</v>
      </c>
      <c r="AK2" s="265" t="s">
        <v>194</v>
      </c>
      <c r="AL2" s="266" t="s">
        <v>74</v>
      </c>
      <c r="AM2" s="267" t="s">
        <v>75</v>
      </c>
      <c r="AN2" s="136" t="s">
        <v>195</v>
      </c>
      <c r="AO2" s="268" t="s">
        <v>196</v>
      </c>
      <c r="AP2" s="268" t="s">
        <v>197</v>
      </c>
      <c r="AQ2" s="136" t="s">
        <v>198</v>
      </c>
      <c r="AR2" s="269" t="s">
        <v>196</v>
      </c>
      <c r="AS2" s="269" t="s">
        <v>197</v>
      </c>
      <c r="AT2" s="136" t="s">
        <v>199</v>
      </c>
      <c r="AU2" s="270" t="s">
        <v>196</v>
      </c>
      <c r="AV2" s="270" t="s">
        <v>197</v>
      </c>
      <c r="AW2" s="136" t="s">
        <v>200</v>
      </c>
      <c r="AX2" s="270" t="s">
        <v>196</v>
      </c>
      <c r="AY2" s="230" t="s">
        <v>76</v>
      </c>
      <c r="AZ2" s="270" t="s">
        <v>197</v>
      </c>
      <c r="BA2" s="136" t="s">
        <v>201</v>
      </c>
      <c r="BB2" s="270" t="s">
        <v>196</v>
      </c>
      <c r="BC2" s="270" t="s">
        <v>197</v>
      </c>
      <c r="BD2" s="271" t="s">
        <v>202</v>
      </c>
      <c r="BE2" s="273" t="s">
        <v>77</v>
      </c>
      <c r="BF2" s="161" t="s">
        <v>17</v>
      </c>
      <c r="BG2" s="161" t="s">
        <v>203</v>
      </c>
      <c r="BH2" s="161" t="s">
        <v>204</v>
      </c>
      <c r="BI2" s="276" t="s">
        <v>205</v>
      </c>
      <c r="BJ2" s="277" t="s">
        <v>206</v>
      </c>
      <c r="BK2" s="278" t="s">
        <v>207</v>
      </c>
      <c r="BL2" s="278" t="s">
        <v>32</v>
      </c>
      <c r="BM2" s="278" t="s">
        <v>44</v>
      </c>
      <c r="BN2" s="278" t="s">
        <v>53</v>
      </c>
      <c r="BO2" s="279" t="s">
        <v>208</v>
      </c>
      <c r="BP2" s="280" t="s">
        <v>209</v>
      </c>
      <c r="BQ2" s="281" t="s">
        <v>210</v>
      </c>
      <c r="BR2" s="282" t="n">
        <f>SUM(BR3:BR128)</f>
        <v>155</v>
      </c>
      <c r="BS2" s="282" t="n">
        <f>SUM(BS3:BS128)</f>
        <v>127</v>
      </c>
      <c r="BT2" s="283" t="n">
        <f>COUNTIF(BT3:BT128,"是")</f>
        <v>19</v>
      </c>
      <c r="BU2" s="284" t="n">
        <f>COUNTIF(BU3:BU128,"是")</f>
        <v>12</v>
      </c>
      <c r="BV2" s="285" t="n">
        <f>COUNTIF(BV3:BV128,"是")</f>
        <v>9</v>
      </c>
      <c r="BW2" s="282" t="n">
        <f>SUM(BW3:BW128)</f>
        <v>28</v>
      </c>
      <c r="BX2" s="286" t="s">
        <v>211</v>
      </c>
      <c r="BY2" s="287" t="s">
        <v>212</v>
      </c>
      <c r="BZ2" s="287" t="s">
        <v>213</v>
      </c>
      <c r="CA2" s="287"/>
    </row>
    <row r="3" ht="26.25" customHeight="1">
      <c r="A3" s="508" t="s">
        <v>54</v>
      </c>
      <c r="B3" s="508" t="n">
        <v>2341143960</v>
      </c>
      <c r="C3" s="508" t="s">
        <f>VLOOKUP(B3,'UV台帐'!B:AL,2,0)</f>
        <v>214</v>
      </c>
      <c r="D3" s="508" t="s">
        <f>VLOOKUP(B3,'UV台帐'!B:AL,3,0)</f>
        <v>55</v>
      </c>
      <c r="E3" s="288" t="s">
        <f>VLOOKUP(B3,'UV台帐'!B:AL,13,0)</f>
        <v>116</v>
      </c>
      <c r="F3" s="288" t="s">
        <f>VLOOKUP(B3,'UV台帐'!B:AL,15,0)</f>
        <v>116</v>
      </c>
      <c r="G3" s="288" t="s">
        <f>VLOOKUP(B3,'UV台帐'!B:AL,16,0)</f>
        <v>116</v>
      </c>
      <c r="H3" s="288" t="s">
        <f>VLOOKUP(B3,'UV台帐'!B:AL,17,0)</f>
        <v>116</v>
      </c>
      <c r="I3" s="288" t="s">
        <f>VLOOKUP(B3,'UV台帐'!B:AL,18,0)</f>
        <v>116</v>
      </c>
      <c r="J3" s="508" t="s">
        <f>VLOOKUP(B3,'UV台帐'!B:AL,22,0)</f>
        <v>49</v>
      </c>
      <c r="K3" s="508" t="s">
        <f>VLOOKUP(B3,'UV台帐'!B:AL,24,0)</f>
        <v>215</v>
      </c>
      <c r="L3" s="508" t="s">
        <f>VLOOKUP(B3,'UV台帐'!B:AL,26,0)</f>
        <v>101</v>
      </c>
      <c r="M3" s="508" t="s">
        <f>VLOOKUP(B3,'UV台帐'!B:AL,27,0)</f>
        <v>165</v>
      </c>
      <c r="N3" s="508" t="s">
        <f>VLOOKUP(B3,'UV台帐'!B:AL,31,0)</f>
        <v>56</v>
      </c>
      <c r="O3" s="508" t="s">
        <f>VLOOKUP(B3,'UV台帐'!B:AL,33,0)</f>
        <v>216</v>
      </c>
      <c r="P3" s="508" t="s">
        <f>VLOOKUP(B3,'UV台帐'!B:AL,35,0)</f>
        <v>101</v>
      </c>
      <c r="Q3" s="508" t="s">
        <f>VLOOKUP(B3,'UV台帐'!B:AL,36,0)</f>
        <v>165</v>
      </c>
      <c r="R3" s="104" t="s">
        <v>217</v>
      </c>
      <c r="S3" s="104" t="s">
        <v>28</v>
      </c>
      <c r="T3" s="104" t="s">
        <v>217</v>
      </c>
      <c r="U3" s="104" t="s">
        <v>218</v>
      </c>
      <c r="V3" s="104"/>
      <c r="W3" s="332" t="s">
        <v>219</v>
      </c>
      <c r="X3" s="332" t="s">
        <v>220</v>
      </c>
      <c r="Y3" s="332" t="s">
        <v>221</v>
      </c>
      <c r="Z3" s="171" t="s">
        <v>222</v>
      </c>
      <c r="AA3" s="332" t="s">
        <v>223</v>
      </c>
      <c r="AB3" s="171" t="s">
        <v>224</v>
      </c>
      <c r="AC3" s="332"/>
      <c r="AD3" s="332" t="s">
        <v>225</v>
      </c>
      <c r="AE3" s="332" t="s">
        <v>226</v>
      </c>
      <c r="AF3" s="332" t="s">
        <v>227</v>
      </c>
      <c r="AG3" s="332" t="s">
        <v>228</v>
      </c>
      <c r="AH3" s="332" t="s">
        <v>229</v>
      </c>
      <c r="AI3" s="332" t="s">
        <v>230</v>
      </c>
      <c r="AJ3" s="332" t="s">
        <v>231</v>
      </c>
      <c r="AK3" s="104" t="s">
        <v>49</v>
      </c>
      <c r="AL3" s="104" t="s">
        <v>217</v>
      </c>
      <c r="AM3" s="104"/>
      <c r="AN3" s="5"/>
      <c r="AO3" s="5"/>
      <c r="AP3" s="5"/>
      <c r="AQ3" s="5"/>
      <c r="AR3" s="5"/>
      <c r="AS3" s="5"/>
      <c r="AT3" s="5"/>
      <c r="AU3" s="5"/>
      <c r="AV3" s="5"/>
      <c r="AW3" s="5"/>
      <c r="AX3" s="5"/>
      <c r="AY3" s="5"/>
      <c r="AZ3" s="5"/>
      <c r="BA3" s="5"/>
      <c r="BB3" s="508"/>
      <c r="BC3" s="508"/>
      <c r="BF3" s="104" t="s">
        <v>55</v>
      </c>
      <c r="BG3" s="104" t="n">
        <f>VLOOKUP(B3,'UV台帐'!B:G,6,0)</f>
        <v>0</v>
      </c>
      <c r="BH3" s="104"/>
      <c r="BR3" s="104" t="n">
        <f>COUNTIFS(H3,"一期",I3,"在读")+COUNTIFS(L3,"一期",M3,"在读")+COUNTIFS(P3,"一期",Q3,"在读")</f>
        <v>0</v>
      </c>
      <c r="BS3" s="104" t="n">
        <f>BR3-BW3</f>
        <v>0</v>
      </c>
      <c r="BT3" s="209" t="s">
        <f>VLOOKUP(B3,'UV台帐'!B:AL,19,0)</f>
        <v>116</v>
      </c>
      <c r="BU3" s="209" t="s">
        <f>VLOOKUP(B3,'UV台帐'!B:AL,28,0)</f>
        <v>116</v>
      </c>
      <c r="BV3" s="209" t="s">
        <f>VLOOKUP(B3,'UV台帐'!B:AL,37,0)</f>
        <v>116</v>
      </c>
      <c r="BW3" s="104" t="n">
        <f>COUNTIFS(H3,"一期",BT3,"是")+COUNTIFS(L3,"一期",BU3,"是")+COUNTIFS(P3,"一期",BV3,"是")</f>
        <v>0</v>
      </c>
      <c r="CA3" s="16" t="n">
        <v>2341143960</v>
      </c>
    </row>
    <row r="4" ht="26.25" customHeight="1">
      <c r="A4" s="508" t="s">
        <v>54</v>
      </c>
      <c r="B4" s="508" t="n">
        <v>2649629431</v>
      </c>
      <c r="C4" s="508" t="s">
        <f>VLOOKUP(B4,'UV台帐'!B:AL,2,0)</f>
        <v>232</v>
      </c>
      <c r="D4" s="508" t="s">
        <f>VLOOKUP(B4,'UV台帐'!B:AL,3,0)</f>
        <v>57</v>
      </c>
      <c r="E4" s="508" t="s">
        <f>VLOOKUP(B4,'UV台帐'!B:AL,13,0)</f>
        <v>35</v>
      </c>
      <c r="F4" s="508" t="s">
        <f>VLOOKUP(B4,'UV台帐'!B:AL,15,0)</f>
        <v>233</v>
      </c>
      <c r="G4" s="508" t="s">
        <f>VLOOKUP(B4,'UV台帐'!B:AL,16,0)</f>
        <v>234</v>
      </c>
      <c r="H4" s="508" t="s">
        <f>VLOOKUP(B4,'UV台帐'!B:AL,17,0)</f>
        <v>101</v>
      </c>
      <c r="I4" s="508" t="s">
        <f>VLOOKUP(B4,'UV台帐'!B:AL,18,0)</f>
        <v>165</v>
      </c>
      <c r="J4" s="508" t="s">
        <f>VLOOKUP(B4,'UV台帐'!B:AL,22,0)</f>
        <v>49</v>
      </c>
      <c r="K4" s="508" t="s">
        <f>VLOOKUP(B4,'UV台帐'!B:AL,24,0)</f>
        <v>215</v>
      </c>
      <c r="L4" s="508" t="s">
        <f>VLOOKUP(B4,'UV台帐'!B:AL,26,0)</f>
        <v>101</v>
      </c>
      <c r="M4" s="508" t="s">
        <f>VLOOKUP(B4,'UV台帐'!B:AL,27,0)</f>
        <v>165</v>
      </c>
      <c r="N4" s="508" t="s">
        <f>VLOOKUP(B4,'UV台帐'!B:AL,31,0)</f>
        <v>56</v>
      </c>
      <c r="O4" s="508" t="s">
        <f>VLOOKUP(B4,'UV台帐'!B:AL,33,0)</f>
        <v>216</v>
      </c>
      <c r="P4" s="508" t="s">
        <f>VLOOKUP(B4,'UV台帐'!B:AL,35,0)</f>
        <v>101</v>
      </c>
      <c r="Q4" s="508" t="s">
        <f>VLOOKUP(B4,'UV台帐'!B:AL,36,0)</f>
        <v>165</v>
      </c>
      <c r="R4" s="104" t="s">
        <v>217</v>
      </c>
      <c r="S4" s="104" t="s">
        <v>28</v>
      </c>
      <c r="T4" s="104" t="s">
        <v>217</v>
      </c>
      <c r="U4" s="104" t="s">
        <v>217</v>
      </c>
      <c r="V4" s="332" t="s">
        <v>235</v>
      </c>
      <c r="W4" s="332" t="s">
        <v>236</v>
      </c>
      <c r="X4" s="104"/>
      <c r="Y4" s="332" t="s">
        <v>237</v>
      </c>
      <c r="Z4" s="171" t="s">
        <v>238</v>
      </c>
      <c r="AA4" s="332" t="s">
        <v>223</v>
      </c>
      <c r="AB4" s="585" t="s">
        <v>239</v>
      </c>
      <c r="AC4" s="332" t="s">
        <v>169</v>
      </c>
      <c r="AD4" s="209" t="s">
        <v>225</v>
      </c>
      <c r="AE4" s="332" t="s">
        <v>240</v>
      </c>
      <c r="AF4" s="332" t="s">
        <v>241</v>
      </c>
      <c r="AG4" s="332" t="s">
        <v>228</v>
      </c>
      <c r="AH4" s="332" t="s">
        <v>228</v>
      </c>
      <c r="AI4" s="332" t="s">
        <v>230</v>
      </c>
      <c r="AJ4" s="332" t="s">
        <v>242</v>
      </c>
      <c r="AK4" s="104" t="s">
        <v>35</v>
      </c>
      <c r="AL4" s="104" t="s">
        <v>217</v>
      </c>
      <c r="AM4" s="104"/>
      <c r="AN4" s="5"/>
      <c r="AO4" s="5"/>
      <c r="AP4" s="5"/>
      <c r="AQ4" s="5"/>
      <c r="AR4" s="5"/>
      <c r="AS4" s="5"/>
      <c r="AT4" s="5"/>
      <c r="AU4" s="5"/>
      <c r="AV4" s="5"/>
      <c r="AW4" s="5"/>
      <c r="AX4" s="5"/>
      <c r="AY4" s="5"/>
      <c r="AZ4" s="5"/>
      <c r="BA4" s="5"/>
      <c r="BB4" s="104"/>
      <c r="BC4" s="104"/>
      <c r="BF4" s="104" t="s">
        <v>57</v>
      </c>
      <c r="BG4" s="104" t="n">
        <f>VLOOKUP(B4,'UV台帐'!B:G,6,0)</f>
        <v>0</v>
      </c>
      <c r="BH4" s="104"/>
      <c r="BR4" s="104" t="n">
        <f>COUNTIFS(H4,"一期",I4,"在读")+COUNTIFS(L4,"一期",M4,"在读")+COUNTIFS(P4,"一期",Q4,"在读")</f>
        <v>0</v>
      </c>
      <c r="BS4" s="104" t="n">
        <f>BR4-BW4</f>
        <v>0</v>
      </c>
      <c r="BT4" s="209" t="s">
        <f>VLOOKUP(B4,'UV台帐'!B:AL,19,0)</f>
        <v>116</v>
      </c>
      <c r="BU4" s="209" t="s">
        <f>VLOOKUP(B4,'UV台帐'!B:AL,28,0)</f>
        <v>116</v>
      </c>
      <c r="BV4" s="209" t="s">
        <f>VLOOKUP(B4,'UV台帐'!B:AL,37,0)</f>
        <v>116</v>
      </c>
      <c r="BW4" s="104" t="n">
        <f>COUNTIFS(H4,"一期",BT4,"是")+COUNTIFS(L4,"一期",BU4,"是")+COUNTIFS(P4,"一期",BV4,"是")</f>
        <v>0</v>
      </c>
      <c r="BX4" s="209" t="s">
        <v>243</v>
      </c>
      <c r="CA4" s="16" t="n">
        <v>2649629431</v>
      </c>
    </row>
    <row r="5" ht="26.25" customHeight="1">
      <c r="A5" s="508" t="s">
        <v>54</v>
      </c>
      <c r="B5" s="508" t="n">
        <v>2704638904</v>
      </c>
      <c r="C5" s="508" t="s">
        <f>VLOOKUP(B5,'UV台帐'!B:AL,2,0)</f>
        <v>244</v>
      </c>
      <c r="D5" s="508" t="s">
        <f>VLOOKUP(B5,'UV台帐'!B:AL,3,0)</f>
        <v>57</v>
      </c>
      <c r="E5" s="508" t="s">
        <f>VLOOKUP(B5,'UV台帐'!B:AL,13,0)</f>
        <v>35</v>
      </c>
      <c r="F5" s="508" t="s">
        <f>VLOOKUP(B5,'UV台帐'!B:AL,15,0)</f>
        <v>245</v>
      </c>
      <c r="G5" s="508" t="s">
        <f>VLOOKUP(B5,'UV台帐'!B:AL,16,0)</f>
        <v>234</v>
      </c>
      <c r="H5" s="508" t="s">
        <f>VLOOKUP(B5,'UV台帐'!B:AL,17,0)</f>
        <v>65</v>
      </c>
      <c r="I5" s="508" t="s">
        <f>VLOOKUP(B5,'UV台帐'!B:AL,18,0)</f>
        <v>165</v>
      </c>
      <c r="J5" s="508" t="s">
        <f>VLOOKUP(B5,'UV台帐'!B:AL,22,0)</f>
        <v>49</v>
      </c>
      <c r="K5" s="508" t="s">
        <f>VLOOKUP(B5,'UV台帐'!B:AL,24,0)</f>
        <v>233</v>
      </c>
      <c r="L5" s="508" t="s">
        <f>VLOOKUP(B5,'UV台帐'!B:AL,26,0)</f>
        <v>65</v>
      </c>
      <c r="M5" s="508" t="s">
        <f>VLOOKUP(B5,'UV台帐'!B:AL,27,0)</f>
        <v>165</v>
      </c>
      <c r="N5" s="508" t="s">
        <f>VLOOKUP(B5,'UV台帐'!B:AL,31,0)</f>
        <v>56</v>
      </c>
      <c r="O5" s="508" t="s">
        <f>VLOOKUP(B5,'UV台帐'!B:AL,33,0)</f>
        <v>246</v>
      </c>
      <c r="P5" s="508" t="s">
        <f>VLOOKUP(B5,'UV台帐'!B:AL,35,0)</f>
        <v>65</v>
      </c>
      <c r="Q5" s="508" t="s">
        <f>VLOOKUP(B5,'UV台帐'!B:AL,36,0)</f>
        <v>165</v>
      </c>
      <c r="R5" s="104" t="s">
        <v>217</v>
      </c>
      <c r="S5" s="104" t="s">
        <v>28</v>
      </c>
      <c r="T5" s="104" t="s">
        <v>217</v>
      </c>
      <c r="U5" s="104" t="s">
        <v>217</v>
      </c>
      <c r="V5" s="332" t="s">
        <v>235</v>
      </c>
      <c r="W5" s="332" t="s">
        <v>247</v>
      </c>
      <c r="X5" s="332"/>
      <c r="Y5" s="332" t="s">
        <v>248</v>
      </c>
      <c r="Z5" s="171" t="s">
        <v>249</v>
      </c>
      <c r="AA5" s="332" t="s">
        <v>223</v>
      </c>
      <c r="AB5" s="586" t="s">
        <v>250</v>
      </c>
      <c r="AC5" s="332" t="s">
        <v>251</v>
      </c>
      <c r="AD5" s="209" t="s">
        <v>252</v>
      </c>
      <c r="AE5" s="332" t="s">
        <v>253</v>
      </c>
      <c r="AF5" s="332" t="s">
        <v>241</v>
      </c>
      <c r="AG5" s="332" t="s">
        <v>228</v>
      </c>
      <c r="AH5" s="332" t="s">
        <v>229</v>
      </c>
      <c r="AI5" s="332" t="s">
        <v>254</v>
      </c>
      <c r="AJ5" s="332" t="s">
        <v>255</v>
      </c>
      <c r="AK5" s="104" t="s">
        <v>35</v>
      </c>
      <c r="AL5" s="104" t="s">
        <v>217</v>
      </c>
      <c r="AM5" s="104"/>
      <c r="AN5" s="5"/>
      <c r="AO5" s="5"/>
      <c r="AP5" s="5"/>
      <c r="AQ5" s="5"/>
      <c r="AR5" s="5"/>
      <c r="AS5" s="5"/>
      <c r="AT5" s="5"/>
      <c r="AU5" s="5"/>
      <c r="AV5" s="5"/>
      <c r="AW5" s="5"/>
      <c r="AX5" s="5"/>
      <c r="AY5" s="5"/>
      <c r="AZ5" s="5"/>
      <c r="BA5" s="5"/>
      <c r="BB5" s="508"/>
      <c r="BC5" s="508"/>
      <c r="BF5" s="104" t="s">
        <v>57</v>
      </c>
      <c r="BG5" s="104" t="n">
        <f>VLOOKUP(B5,'UV台帐'!B:G,6,0)</f>
        <v>0</v>
      </c>
      <c r="BH5" s="104"/>
      <c r="BR5" s="104" t="n">
        <f>COUNTIFS(H5,"一期",I5,"在读")+COUNTIFS(L5,"一期",M5,"在读")+COUNTIFS(P5,"一期",Q5,"在读")</f>
        <v>3</v>
      </c>
      <c r="BS5" s="104" t="n">
        <f>BR5-BW5</f>
        <v>3</v>
      </c>
      <c r="BT5" s="209" t="s">
        <f>VLOOKUP(B5,'UV台帐'!B:AL,19,0)</f>
        <v>116</v>
      </c>
      <c r="BU5" s="209" t="s">
        <f>VLOOKUP(B5,'UV台帐'!B:AL,28,0)</f>
        <v>116</v>
      </c>
      <c r="BV5" s="209" t="s">
        <f>VLOOKUP(B5,'UV台帐'!B:AL,37,0)</f>
        <v>116</v>
      </c>
      <c r="BW5" s="104" t="n">
        <f>COUNTIFS(H5,"一期",BT5,"是")+COUNTIFS(L5,"一期",BU5,"是")+COUNTIFS(P5,"一期",BV5,"是")</f>
        <v>0</v>
      </c>
      <c r="BX5" s="209" t="s">
        <v>256</v>
      </c>
      <c r="CA5" s="16" t="n">
        <v>2715584701</v>
      </c>
    </row>
    <row r="6" ht="26.25" customHeight="1">
      <c r="A6" s="508" t="s">
        <v>54</v>
      </c>
      <c r="B6" s="508" t="n">
        <v>2260449861</v>
      </c>
      <c r="C6" s="508" t="s">
        <f>VLOOKUP(B6,'UV台帐'!B:AL,2,0)</f>
        <v>257</v>
      </c>
      <c r="D6" s="508" t="s">
        <f>VLOOKUP(B6,'UV台帐'!B:AL,3,0)</f>
        <v>55</v>
      </c>
      <c r="E6" s="508" t="s">
        <f>VLOOKUP(B6,'UV台帐'!B:AL,13,0)</f>
        <v>35</v>
      </c>
      <c r="F6" s="508" t="s">
        <f>VLOOKUP(B6,'UV台帐'!B:AL,15,0)</f>
        <v>245</v>
      </c>
      <c r="G6" s="508" t="s">
        <f>VLOOKUP(B6,'UV台帐'!B:AL,16,0)</f>
        <v>234</v>
      </c>
      <c r="H6" s="508" t="s">
        <f>VLOOKUP(B6,'UV台帐'!B:AL,17,0)</f>
        <v>65</v>
      </c>
      <c r="I6" s="508" t="s">
        <f>VLOOKUP(B6,'UV台帐'!B:AL,18,0)</f>
        <v>165</v>
      </c>
      <c r="J6" s="508" t="s">
        <f>VLOOKUP(B6,'UV台帐'!B:AL,22,0)</f>
        <v>49</v>
      </c>
      <c r="K6" s="508" t="s">
        <f>VLOOKUP(B6,'UV台帐'!B:AL,24,0)</f>
        <v>233</v>
      </c>
      <c r="L6" s="508" t="s">
        <f>VLOOKUP(B6,'UV台帐'!B:AL,26,0)</f>
        <v>65</v>
      </c>
      <c r="M6" s="508" t="s">
        <f>VLOOKUP(B6,'UV台帐'!B:AL,27,0)</f>
        <v>165</v>
      </c>
      <c r="N6" s="508" t="s">
        <f>VLOOKUP(B6,'UV台帐'!B:AL,31,0)</f>
        <v>56</v>
      </c>
      <c r="O6" s="508" t="s">
        <f>VLOOKUP(B6,'UV台帐'!B:AL,33,0)</f>
        <v>246</v>
      </c>
      <c r="P6" s="508" t="s">
        <f>VLOOKUP(B6,'UV台帐'!B:AL,35,0)</f>
        <v>65</v>
      </c>
      <c r="Q6" s="508" t="s">
        <f>VLOOKUP(B6,'UV台帐'!B:AL,36,0)</f>
        <v>165</v>
      </c>
      <c r="R6" s="104" t="s">
        <v>217</v>
      </c>
      <c r="S6" s="104" t="s">
        <v>27</v>
      </c>
      <c r="T6" s="104" t="s">
        <v>218</v>
      </c>
      <c r="U6" s="104" t="s">
        <v>217</v>
      </c>
      <c r="V6" s="104" t="s">
        <v>258</v>
      </c>
      <c r="W6" s="332" t="s">
        <v>259</v>
      </c>
      <c r="X6" s="332" t="s">
        <v>260</v>
      </c>
      <c r="Y6" s="332" t="s">
        <v>261</v>
      </c>
      <c r="Z6" s="171" t="s">
        <v>262</v>
      </c>
      <c r="AA6" s="332" t="s">
        <v>223</v>
      </c>
      <c r="AB6" s="171" t="s">
        <v>263</v>
      </c>
      <c r="AC6" s="332" t="s">
        <v>264</v>
      </c>
      <c r="AD6" s="332" t="s">
        <v>265</v>
      </c>
      <c r="AE6" s="332" t="s">
        <v>240</v>
      </c>
      <c r="AF6" s="332" t="s">
        <v>241</v>
      </c>
      <c r="AG6" s="332" t="s">
        <v>266</v>
      </c>
      <c r="AH6" s="332" t="s">
        <v>229</v>
      </c>
      <c r="AI6" s="332" t="s">
        <v>254</v>
      </c>
      <c r="AJ6" s="332" t="s">
        <v>255</v>
      </c>
      <c r="AK6" s="104" t="s">
        <v>35</v>
      </c>
      <c r="AL6" s="104" t="s">
        <v>217</v>
      </c>
      <c r="AM6" s="104"/>
      <c r="AN6" s="5"/>
      <c r="AO6" s="5"/>
      <c r="AP6" s="5"/>
      <c r="AQ6" s="5"/>
      <c r="AR6" s="5"/>
      <c r="AS6" s="5"/>
      <c r="AT6" s="5"/>
      <c r="AU6" s="5"/>
      <c r="AV6" s="5"/>
      <c r="AW6" s="5"/>
      <c r="AX6" s="5"/>
      <c r="AY6" s="5"/>
      <c r="AZ6" s="5"/>
      <c r="BA6" s="5"/>
      <c r="BB6" s="104"/>
      <c r="BC6" s="104"/>
      <c r="BF6" s="104" t="s">
        <v>55</v>
      </c>
      <c r="BG6" s="104" t="n">
        <f>VLOOKUP(B6,'UV台帐'!B:G,6,0)</f>
        <v>0</v>
      </c>
      <c r="BH6" s="104" t="s">
        <v>267</v>
      </c>
      <c r="BR6" s="104" t="n">
        <f>COUNTIFS(H6,"一期",I6,"在读")+COUNTIFS(L6,"一期",M6,"在读")+COUNTIFS(P6,"一期",Q6,"在读")</f>
        <v>3</v>
      </c>
      <c r="BS6" s="104" t="n">
        <f>BR6-BW6</f>
        <v>3</v>
      </c>
      <c r="BT6" s="209" t="s">
        <f>VLOOKUP(B6,'UV台帐'!B:AL,19,0)</f>
        <v>116</v>
      </c>
      <c r="BU6" s="209" t="s">
        <f>VLOOKUP(B6,'UV台帐'!B:AL,28,0)</f>
        <v>116</v>
      </c>
      <c r="BV6" s="209" t="s">
        <f>VLOOKUP(B6,'UV台帐'!B:AL,37,0)</f>
        <v>116</v>
      </c>
      <c r="BW6" s="104" t="n">
        <f>COUNTIFS(H6,"一期",BT6,"是")+COUNTIFS(L6,"一期",BU6,"是")+COUNTIFS(P6,"一期",BV6,"是")</f>
        <v>0</v>
      </c>
      <c r="CA6" s="16" t="n">
        <v>4103453629</v>
      </c>
    </row>
    <row r="7" ht="26.25" customHeight="1">
      <c r="A7" s="508" t="s">
        <v>45</v>
      </c>
      <c r="B7" s="508" t="n">
        <v>2715584701</v>
      </c>
      <c r="C7" s="508" t="s">
        <f>VLOOKUP(B7,'UV台帐'!B:AL,2,0)</f>
        <v>268</v>
      </c>
      <c r="D7" s="508" t="s">
        <f>VLOOKUP(B7,'UV台帐'!B:AL,3,0)</f>
        <v>57</v>
      </c>
      <c r="E7" s="508" t="s">
        <f>VLOOKUP(B7,'UV台帐'!B:AL,13,0)</f>
        <v>35</v>
      </c>
      <c r="F7" s="508" t="s">
        <f>VLOOKUP(B7,'UV台帐'!B:AL,15,0)</f>
        <v>233</v>
      </c>
      <c r="G7" s="508" t="s">
        <f>VLOOKUP(B7,'UV台帐'!B:AL,16,0)</f>
        <v>234</v>
      </c>
      <c r="H7" s="508" t="s">
        <f>VLOOKUP(B7,'UV台帐'!B:AL,17,0)</f>
        <v>101</v>
      </c>
      <c r="I7" s="508" t="s">
        <f>VLOOKUP(B7,'UV台帐'!B:AL,18,0)</f>
        <v>165</v>
      </c>
      <c r="J7" s="288" t="s">
        <f>VLOOKUP(B7,'UV台帐'!B:AL,22,0)</f>
        <v>47</v>
      </c>
      <c r="K7" s="288" t="s">
        <f>VLOOKUP(B7,'UV台帐'!B:AL,24,0)</f>
        <v>216</v>
      </c>
      <c r="L7" s="288" t="s">
        <f>VLOOKUP(B7,'UV台帐'!B:AL,26,0)</f>
        <v>101</v>
      </c>
      <c r="M7" s="288" t="s">
        <f>VLOOKUP(B7,'UV台帐'!B:AL,27,0)</f>
        <v>165</v>
      </c>
      <c r="N7" s="288" t="s">
        <f>VLOOKUP(B7,'UV台帐'!B:AL,31,0)</f>
        <v>52</v>
      </c>
      <c r="O7" s="288" t="s">
        <f>VLOOKUP(B7,'UV台帐'!B:AL,33,0)</f>
        <v>233</v>
      </c>
      <c r="P7" s="288" t="s">
        <f>VLOOKUP(B7,'UV台帐'!B:AL,35,0)</f>
        <v>101</v>
      </c>
      <c r="Q7" s="288" t="s">
        <f>VLOOKUP(B7,'UV台帐'!B:AL,36,0)</f>
        <v>165</v>
      </c>
      <c r="R7" s="104" t="s">
        <v>217</v>
      </c>
      <c r="S7" s="104" t="s">
        <v>28</v>
      </c>
      <c r="T7" s="104" t="s">
        <v>218</v>
      </c>
      <c r="U7" s="104" t="s">
        <v>218</v>
      </c>
      <c r="V7" s="332"/>
      <c r="W7" s="332" t="s">
        <v>269</v>
      </c>
      <c r="X7" s="332" t="s">
        <v>270</v>
      </c>
      <c r="Y7" s="332" t="s">
        <v>271</v>
      </c>
      <c r="Z7" s="171" t="s">
        <v>272</v>
      </c>
      <c r="AA7" s="332" t="s">
        <v>223</v>
      </c>
      <c r="AB7" s="587" t="s">
        <v>273</v>
      </c>
      <c r="AC7" s="332" t="s">
        <v>251</v>
      </c>
      <c r="AD7" s="332" t="s">
        <v>274</v>
      </c>
      <c r="AE7" s="332" t="s">
        <v>240</v>
      </c>
      <c r="AF7" s="332" t="s">
        <v>241</v>
      </c>
      <c r="AG7" s="332" t="s">
        <v>228</v>
      </c>
      <c r="AH7" s="332" t="s">
        <v>229</v>
      </c>
      <c r="AI7" s="332" t="s">
        <v>230</v>
      </c>
      <c r="AJ7" s="332" t="s">
        <v>242</v>
      </c>
      <c r="AK7" s="104" t="s">
        <v>35</v>
      </c>
      <c r="AL7" s="104" t="s">
        <v>217</v>
      </c>
      <c r="AM7" s="104"/>
      <c r="AN7" s="5"/>
      <c r="AO7" s="5"/>
      <c r="AP7" s="5"/>
      <c r="AQ7" s="5"/>
      <c r="AR7" s="5"/>
      <c r="AS7" s="5"/>
      <c r="AT7" s="5"/>
      <c r="AU7" s="5"/>
      <c r="AV7" s="5"/>
      <c r="AW7" s="5"/>
      <c r="AX7" s="5"/>
      <c r="AY7" s="5"/>
      <c r="AZ7" s="5"/>
      <c r="BA7" s="5"/>
      <c r="BB7" s="104"/>
      <c r="BC7" s="104"/>
      <c r="BF7" s="104" t="s">
        <v>57</v>
      </c>
      <c r="BG7" s="104" t="n">
        <f>VLOOKUP(B7,'UV台帐'!B:G,6,0)</f>
        <v>0</v>
      </c>
      <c r="BH7" s="104" t="s">
        <v>275</v>
      </c>
      <c r="BR7" s="104" t="n">
        <f>COUNTIFS(H7,"一期",I7,"在读")+COUNTIFS(L7,"一期",M7,"在读")+COUNTIFS(P7,"一期",Q7,"在读")</f>
        <v>0</v>
      </c>
      <c r="BS7" s="104" t="n">
        <f>BR7-BW7</f>
        <v>0</v>
      </c>
      <c r="BT7" s="209" t="s">
        <f>VLOOKUP(B7,'UV台帐'!B:AL,19,0)</f>
        <v>116</v>
      </c>
      <c r="BU7" s="209" t="s">
        <f>VLOOKUP(B7,'UV台帐'!B:AL,28,0)</f>
        <v>116</v>
      </c>
      <c r="BV7" s="209" t="s">
        <f>VLOOKUP(B7,'UV台帐'!B:AL,37,0)</f>
        <v>116</v>
      </c>
      <c r="BW7" s="104" t="n">
        <f>COUNTIFS(H7,"一期",BT7,"是")+COUNTIFS(L7,"一期",BU7,"是")+COUNTIFS(P7,"一期",BV7,"是")</f>
        <v>0</v>
      </c>
      <c r="CA7" s="16" t="n">
        <v>2489383127</v>
      </c>
    </row>
    <row r="8" ht="26.25" customHeight="1">
      <c r="A8" s="508" t="s">
        <v>45</v>
      </c>
      <c r="B8" s="508" t="n">
        <v>2743981182</v>
      </c>
      <c r="C8" s="508" t="s">
        <f>VLOOKUP(B8,'UV台帐'!B:AL,2,0)</f>
        <v>276</v>
      </c>
      <c r="D8" s="508" t="s">
        <f>VLOOKUP(B8,'UV台帐'!B:AL,3,0)</f>
        <v>48</v>
      </c>
      <c r="E8" s="288" t="s">
        <f>VLOOKUP(B8,'UV台帐'!B:AL,13,0)</f>
        <v>116</v>
      </c>
      <c r="F8" s="288" t="s">
        <f>VLOOKUP(B8,'UV台帐'!B:AL,15,0)</f>
        <v>116</v>
      </c>
      <c r="G8" s="288" t="s">
        <f>VLOOKUP(B8,'UV台帐'!B:AL,16,0)</f>
        <v>116</v>
      </c>
      <c r="H8" s="288" t="s">
        <f>VLOOKUP(B8,'UV台帐'!B:AL,17,0)</f>
        <v>116</v>
      </c>
      <c r="I8" s="288" t="s">
        <f>VLOOKUP(B8,'UV台帐'!B:AL,18,0)</f>
        <v>116</v>
      </c>
      <c r="J8" s="508" t="s">
        <f>VLOOKUP(B8,'UV台帐'!B:AL,22,0)</f>
        <v>49</v>
      </c>
      <c r="K8" s="508" t="s">
        <f>VLOOKUP(B8,'UV台帐'!B:AL,24,0)</f>
        <v>215</v>
      </c>
      <c r="L8" s="508" t="s">
        <f>VLOOKUP(B8,'UV台帐'!B:AL,26,0)</f>
        <v>65</v>
      </c>
      <c r="M8" s="508" t="s">
        <f>VLOOKUP(B8,'UV台帐'!B:AL,27,0)</f>
        <v>165</v>
      </c>
      <c r="N8" s="508" t="s">
        <f>VLOOKUP(B8,'UV台帐'!B:AL,31,0)</f>
        <v>58</v>
      </c>
      <c r="O8" s="508" t="s">
        <f>VLOOKUP(B8,'UV台帐'!B:AL,33,0)</f>
        <v>216</v>
      </c>
      <c r="P8" s="508" t="s">
        <f>VLOOKUP(B8,'UV台帐'!B:AL,35,0)</f>
        <v>65</v>
      </c>
      <c r="Q8" s="508" t="s">
        <f>VLOOKUP(B8,'UV台帐'!B:AL,36,0)</f>
        <v>165</v>
      </c>
      <c r="R8" s="104" t="s">
        <v>217</v>
      </c>
      <c r="S8" s="104" t="s">
        <v>28</v>
      </c>
      <c r="T8" s="104" t="s">
        <v>218</v>
      </c>
      <c r="U8" s="104" t="s">
        <v>218</v>
      </c>
      <c r="V8" s="332"/>
      <c r="W8" s="466" t="s">
        <v>28</v>
      </c>
      <c r="X8" s="5"/>
      <c r="Y8" s="466" t="s">
        <v>277</v>
      </c>
      <c r="Z8" s="171" t="s">
        <v>278</v>
      </c>
      <c r="AA8" s="332" t="s">
        <v>223</v>
      </c>
      <c r="AB8" s="466" t="s">
        <v>279</v>
      </c>
      <c r="AC8" s="332" t="s">
        <v>251</v>
      </c>
      <c r="AD8" s="332" t="s">
        <v>280</v>
      </c>
      <c r="AE8" s="332" t="s">
        <v>240</v>
      </c>
      <c r="AF8" s="332" t="s">
        <v>241</v>
      </c>
      <c r="AG8" s="332" t="s">
        <v>228</v>
      </c>
      <c r="AH8" s="332" t="s">
        <v>229</v>
      </c>
      <c r="AI8" s="332" t="s">
        <v>230</v>
      </c>
      <c r="AJ8" s="332" t="s">
        <v>242</v>
      </c>
      <c r="AK8" s="104" t="s">
        <v>49</v>
      </c>
      <c r="AL8" s="104"/>
      <c r="AM8" s="104"/>
      <c r="AN8" s="5"/>
      <c r="AO8" s="5"/>
      <c r="AP8" s="5"/>
      <c r="AQ8" s="5"/>
      <c r="AR8" s="5"/>
      <c r="AS8" s="5"/>
      <c r="AT8" s="5"/>
      <c r="AU8" s="5"/>
      <c r="AV8" s="5"/>
      <c r="AW8" s="5"/>
      <c r="AX8" s="5"/>
      <c r="AY8" s="5"/>
      <c r="AZ8" s="5"/>
      <c r="BA8" s="5"/>
      <c r="BB8" s="104"/>
      <c r="BC8" s="104"/>
      <c r="BD8" s="508"/>
      <c r="BE8" s="508"/>
      <c r="BF8" s="104" t="s">
        <v>48</v>
      </c>
      <c r="BG8" s="104" t="n">
        <f>VLOOKUP(B8,'UV台帐'!B:G,6,0)</f>
        <v>0</v>
      </c>
      <c r="BH8" s="104" t="s">
        <v>281</v>
      </c>
      <c r="BR8" s="104" t="n">
        <f>COUNTIFS(H8,"一期",I8,"在读")+COUNTIFS(L8,"一期",M8,"在读")+COUNTIFS(P8,"一期",Q8,"在读")</f>
        <v>2</v>
      </c>
      <c r="BS8" s="104" t="n">
        <f>BR8-BW8</f>
        <v>2</v>
      </c>
      <c r="BT8" s="209" t="s">
        <f>VLOOKUP(B8,'UV台帐'!B:AL,19,0)</f>
        <v>116</v>
      </c>
      <c r="BU8" s="209" t="s">
        <f>VLOOKUP(B8,'UV台帐'!B:AL,28,0)</f>
        <v>116</v>
      </c>
      <c r="BV8" s="209" t="s">
        <f>VLOOKUP(B8,'UV台帐'!B:AL,37,0)</f>
        <v>116</v>
      </c>
      <c r="BW8" s="104" t="n">
        <f>COUNTIFS(H8,"一期",BT8,"是")+COUNTIFS(L8,"一期",BU8,"是")+COUNTIFS(P8,"一期",BV8,"是")</f>
        <v>0</v>
      </c>
      <c r="CA8" s="16" t="n">
        <v>2554261157</v>
      </c>
    </row>
    <row r="9" ht="26.25" customHeight="1">
      <c r="A9" s="508" t="s">
        <v>45</v>
      </c>
      <c r="B9" s="508" t="n">
        <v>4103453629</v>
      </c>
      <c r="C9" s="508" t="s">
        <f>VLOOKUP(B9,'UV台帐'!B:AL,2,0)</f>
        <v>282</v>
      </c>
      <c r="D9" s="508" t="s">
        <f>VLOOKUP(B9,'UV台帐'!B:AL,3,0)</f>
        <v>50</v>
      </c>
      <c r="E9" s="508" t="s">
        <f>VLOOKUP(B9,'UV台帐'!B:AL,13,0)</f>
        <v>37</v>
      </c>
      <c r="F9" s="508" t="s">
        <f>VLOOKUP(B9,'UV台帐'!B:AL,15,0)</f>
        <v>215</v>
      </c>
      <c r="G9" s="508" t="s">
        <f>VLOOKUP(B9,'UV台帐'!B:AL,16,0)</f>
        <v>283</v>
      </c>
      <c r="H9" s="508" t="s">
        <f>VLOOKUP(B9,'UV台帐'!B:AL,17,0)</f>
        <v>101</v>
      </c>
      <c r="I9" s="508" t="s">
        <f>VLOOKUP(B9,'UV台帐'!B:AL,18,0)</f>
        <v>165</v>
      </c>
      <c r="J9" s="508" t="s">
        <f>VLOOKUP(B9,'UV台帐'!B:AL,22,0)</f>
        <v>49</v>
      </c>
      <c r="K9" s="508" t="s">
        <f>VLOOKUP(B9,'UV台帐'!B:AL,24,0)</f>
        <v>215</v>
      </c>
      <c r="L9" s="508" t="s">
        <f>VLOOKUP(B9,'UV台帐'!B:AL,26,0)</f>
        <v>101</v>
      </c>
      <c r="M9" s="508" t="s">
        <f>VLOOKUP(B9,'UV台帐'!B:AL,27,0)</f>
        <v>165</v>
      </c>
      <c r="N9" s="508" t="s">
        <f>VLOOKUP(B9,'UV台帐'!B:AL,31,0)</f>
        <v>58</v>
      </c>
      <c r="O9" s="508" t="s">
        <f>VLOOKUP(B9,'UV台帐'!B:AL,33,0)</f>
        <v>215</v>
      </c>
      <c r="P9" s="508" t="s">
        <f>VLOOKUP(B9,'UV台帐'!B:AL,35,0)</f>
        <v>101</v>
      </c>
      <c r="Q9" s="508" t="s">
        <f>VLOOKUP(B9,'UV台帐'!B:AL,36,0)</f>
        <v>165</v>
      </c>
      <c r="R9" s="104" t="s">
        <v>217</v>
      </c>
      <c r="S9" s="104" t="s">
        <v>28</v>
      </c>
      <c r="T9" s="104" t="s">
        <v>218</v>
      </c>
      <c r="U9" s="104" t="s">
        <v>217</v>
      </c>
      <c r="V9" s="332" t="s">
        <v>284</v>
      </c>
      <c r="W9" s="332" t="n">
        <v>285</v>
      </c>
      <c r="X9" s="588" t="s">
        <v>285</v>
      </c>
      <c r="Y9" s="466" t="s">
        <v>286</v>
      </c>
      <c r="Z9" s="589" t="s">
        <v>287</v>
      </c>
      <c r="AA9" s="332" t="s">
        <v>223</v>
      </c>
      <c r="AB9" s="590" t="s">
        <v>288</v>
      </c>
      <c r="AC9" s="332" t="s">
        <v>289</v>
      </c>
      <c r="AD9" s="332" t="s">
        <v>290</v>
      </c>
      <c r="AE9" s="332" t="s">
        <v>240</v>
      </c>
      <c r="AF9" s="332" t="s">
        <v>241</v>
      </c>
      <c r="AG9" s="332" t="s">
        <v>228</v>
      </c>
      <c r="AH9" s="332" t="s">
        <v>229</v>
      </c>
      <c r="AI9" s="332" t="s">
        <v>230</v>
      </c>
      <c r="AJ9" s="332" t="s">
        <v>242</v>
      </c>
      <c r="AK9" s="104" t="s">
        <v>49</v>
      </c>
      <c r="AL9" s="104"/>
      <c r="AM9" s="104"/>
      <c r="AN9" s="5"/>
      <c r="AO9" s="5"/>
      <c r="AP9" s="5"/>
      <c r="AQ9" s="5"/>
      <c r="AR9" s="5"/>
      <c r="AS9" s="5"/>
      <c r="AT9" s="5"/>
      <c r="AU9" s="5"/>
      <c r="AV9" s="5"/>
      <c r="AW9" s="5"/>
      <c r="AX9" s="5"/>
      <c r="AY9" s="5"/>
      <c r="AZ9" s="5"/>
      <c r="BA9" s="5"/>
      <c r="BF9" s="104" t="s">
        <v>50</v>
      </c>
      <c r="BG9" s="104" t="n">
        <f>VLOOKUP(B9,'UV台帐'!B:G,6,0)</f>
        <v>0</v>
      </c>
      <c r="BH9" s="104" t="s">
        <v>291</v>
      </c>
      <c r="BR9" s="104" t="n">
        <f>COUNTIFS(H9,"一期",I9,"在读")+COUNTIFS(L9,"一期",M9,"在读")+COUNTIFS(P9,"一期",Q9,"在读")</f>
        <v>0</v>
      </c>
      <c r="BS9" s="104" t="n">
        <f>BR9-BW9</f>
        <v>0</v>
      </c>
      <c r="BT9" s="209" t="s">
        <f>VLOOKUP(B9,'UV台帐'!B:AL,19,0)</f>
        <v>116</v>
      </c>
      <c r="BU9" s="209" t="s">
        <f>VLOOKUP(B9,'UV台帐'!B:AL,28,0)</f>
        <v>116</v>
      </c>
      <c r="BV9" s="209" t="s">
        <f>VLOOKUP(B9,'UV台帐'!B:AL,37,0)</f>
        <v>116</v>
      </c>
      <c r="BW9" s="104" t="n">
        <f>COUNTIFS(H9,"一期",BT9,"是")+COUNTIFS(L9,"一期",BU9,"是")+COUNTIFS(P9,"一期",BV9,"是")</f>
        <v>0</v>
      </c>
      <c r="CA9" s="16" t="n">
        <v>2579947640</v>
      </c>
    </row>
    <row r="10" ht="37.5" customHeight="1">
      <c r="A10" s="508" t="s">
        <v>45</v>
      </c>
      <c r="B10" s="508" t="n">
        <v>2489383127</v>
      </c>
      <c r="C10" s="508" t="s">
        <f>VLOOKUP(B10,'UV台帐'!B:AL,2,0)</f>
        <v>292</v>
      </c>
      <c r="D10" s="508" t="s">
        <f>VLOOKUP(B10,'UV台帐'!B:AL,3,0)</f>
        <v>59</v>
      </c>
      <c r="E10" s="508" t="s">
        <f>VLOOKUP(B10,'UV台帐'!B:AL,13,0)</f>
        <v>37</v>
      </c>
      <c r="F10" s="508" t="s">
        <f>VLOOKUP(B10,'UV台帐'!B:AL,15,0)</f>
        <v>215</v>
      </c>
      <c r="G10" s="508" t="s">
        <f>VLOOKUP(B10,'UV台帐'!B:AL,16,0)</f>
        <v>283</v>
      </c>
      <c r="H10" s="508" t="s">
        <f>VLOOKUP(B10,'UV台帐'!B:AL,17,0)</f>
        <v>101</v>
      </c>
      <c r="I10" s="508" t="s">
        <f>VLOOKUP(B10,'UV台帐'!B:AL,18,0)</f>
        <v>165</v>
      </c>
      <c r="J10" s="508" t="s">
        <f>VLOOKUP(B10,'UV台帐'!B:AL,22,0)</f>
        <v>49</v>
      </c>
      <c r="K10" s="508" t="s">
        <f>VLOOKUP(B10,'UV台帐'!B:AL,24,0)</f>
        <v>215</v>
      </c>
      <c r="L10" s="508" t="s">
        <f>VLOOKUP(B10,'UV台帐'!B:AL,26,0)</f>
        <v>101</v>
      </c>
      <c r="M10" s="508" t="s">
        <f>VLOOKUP(B10,'UV台帐'!B:AL,27,0)</f>
        <v>165</v>
      </c>
      <c r="N10" s="508" t="s">
        <f>VLOOKUP(B10,'UV台帐'!B:AL,31,0)</f>
        <v>58</v>
      </c>
      <c r="O10" s="508" t="s">
        <f>VLOOKUP(B10,'UV台帐'!B:AL,33,0)</f>
        <v>215</v>
      </c>
      <c r="P10" s="508" t="s">
        <f>VLOOKUP(B10,'UV台帐'!B:AL,35,0)</f>
        <v>101</v>
      </c>
      <c r="Q10" s="508" t="s">
        <f>VLOOKUP(B10,'UV台帐'!B:AL,36,0)</f>
        <v>165</v>
      </c>
      <c r="R10" s="104" t="s">
        <v>217</v>
      </c>
      <c r="S10" s="104" t="s">
        <v>28</v>
      </c>
      <c r="T10" s="104" t="s">
        <v>218</v>
      </c>
      <c r="U10" s="104" t="s">
        <v>217</v>
      </c>
      <c r="V10" s="332"/>
      <c r="W10" s="466" t="s">
        <v>293</v>
      </c>
      <c r="X10" s="466" t="s">
        <v>294</v>
      </c>
      <c r="Y10" s="591" t="s">
        <v>295</v>
      </c>
      <c r="Z10" s="592" t="s">
        <v>296</v>
      </c>
      <c r="AA10" s="332" t="s">
        <v>223</v>
      </c>
      <c r="AB10" s="593" t="s">
        <v>297</v>
      </c>
      <c r="AC10" s="332" t="s">
        <v>289</v>
      </c>
      <c r="AD10" s="332" t="s">
        <v>225</v>
      </c>
      <c r="AE10" s="332" t="s">
        <v>240</v>
      </c>
      <c r="AF10" s="332" t="s">
        <v>241</v>
      </c>
      <c r="AG10" s="332" t="s">
        <v>228</v>
      </c>
      <c r="AH10" s="332" t="s">
        <v>229</v>
      </c>
      <c r="AI10" s="332" t="s">
        <v>230</v>
      </c>
      <c r="AJ10" s="332" t="s">
        <v>242</v>
      </c>
      <c r="AK10" s="104" t="s">
        <v>49</v>
      </c>
      <c r="AL10" s="104"/>
      <c r="AM10" s="104"/>
      <c r="AN10" s="5"/>
      <c r="AO10" s="5"/>
      <c r="AP10" s="5"/>
      <c r="AQ10" s="5"/>
      <c r="AR10" s="5"/>
      <c r="AS10" s="5"/>
      <c r="AT10" s="5"/>
      <c r="AU10" s="5"/>
      <c r="AV10" s="5"/>
      <c r="AW10" s="5"/>
      <c r="AX10" s="5"/>
      <c r="AY10" s="5"/>
      <c r="AZ10" s="5"/>
      <c r="BA10" s="5"/>
      <c r="BB10" s="104"/>
      <c r="BC10" s="104"/>
      <c r="BD10" s="508"/>
      <c r="BE10" s="508"/>
      <c r="BF10" s="104" t="s">
        <v>59</v>
      </c>
      <c r="BG10" s="104" t="s">
        <f>VLOOKUP(B10,'UV台帐'!B:G,6,0)</f>
        <v>298</v>
      </c>
      <c r="BH10" s="104"/>
      <c r="BR10" s="104" t="n">
        <f>COUNTIFS(H10,"一期",I10,"在读")+COUNTIFS(L10,"一期",M10,"在读")+COUNTIFS(P10,"一期",Q10,"在读")</f>
        <v>0</v>
      </c>
      <c r="BS10" s="104" t="n">
        <f>BR10-BW10</f>
        <v>0</v>
      </c>
      <c r="BT10" s="209" t="s">
        <f>VLOOKUP(B10,'UV台帐'!B:AL,19,0)</f>
        <v>116</v>
      </c>
      <c r="BU10" s="209" t="s">
        <f>VLOOKUP(B10,'UV台帐'!B:AL,28,0)</f>
        <v>116</v>
      </c>
      <c r="BV10" s="209" t="s">
        <f>VLOOKUP(B10,'UV台帐'!B:AL,37,0)</f>
        <v>116</v>
      </c>
      <c r="BW10" s="104" t="n">
        <f>COUNTIFS(H10,"一期",BT10,"是")+COUNTIFS(L10,"一期",BU10,"是")+COUNTIFS(P10,"一期",BV10,"是")</f>
        <v>0</v>
      </c>
      <c r="CA10" s="16" t="n">
        <v>2446527834</v>
      </c>
    </row>
    <row r="11" ht="26.25" customHeight="1">
      <c r="A11" s="508" t="s">
        <v>45</v>
      </c>
      <c r="B11" s="508" t="n">
        <v>2554261157</v>
      </c>
      <c r="C11" s="508" t="s">
        <f>VLOOKUP(B11,'UV台帐'!B:AL,2,0)</f>
        <v>299</v>
      </c>
      <c r="D11" s="508" t="s">
        <f>VLOOKUP(B11,'UV台帐'!B:AL,3,0)</f>
        <v>46</v>
      </c>
      <c r="E11" s="508" t="s">
        <f>VLOOKUP(B11,'UV台帐'!B:AL,13,0)</f>
        <v>37</v>
      </c>
      <c r="F11" s="508" t="s">
        <f>VLOOKUP(B11,'UV台帐'!B:AL,15,0)</f>
        <v>215</v>
      </c>
      <c r="G11" s="508" t="s">
        <f>VLOOKUP(B11,'UV台帐'!B:AL,16,0)</f>
        <v>283</v>
      </c>
      <c r="H11" s="508" t="s">
        <f>VLOOKUP(B11,'UV台帐'!B:AL,17,0)</f>
        <v>101</v>
      </c>
      <c r="I11" s="508" t="s">
        <f>VLOOKUP(B11,'UV台帐'!B:AL,18,0)</f>
        <v>165</v>
      </c>
      <c r="J11" s="508" t="s">
        <f>VLOOKUP(B11,'UV台帐'!B:AL,22,0)</f>
        <v>49</v>
      </c>
      <c r="K11" s="508" t="s">
        <f>VLOOKUP(B11,'UV台帐'!B:AL,24,0)</f>
        <v>215</v>
      </c>
      <c r="L11" s="508" t="s">
        <f>VLOOKUP(B11,'UV台帐'!B:AL,26,0)</f>
        <v>101</v>
      </c>
      <c r="M11" s="508" t="s">
        <f>VLOOKUP(B11,'UV台帐'!B:AL,27,0)</f>
        <v>165</v>
      </c>
      <c r="N11" s="508" t="s">
        <f>VLOOKUP(B11,'UV台帐'!B:AL,31,0)</f>
        <v>58</v>
      </c>
      <c r="O11" s="508" t="s">
        <f>VLOOKUP(B11,'UV台帐'!B:AL,33,0)</f>
        <v>215</v>
      </c>
      <c r="P11" s="508" t="s">
        <f>VLOOKUP(B11,'UV台帐'!B:AL,35,0)</f>
        <v>101</v>
      </c>
      <c r="Q11" s="508" t="s">
        <f>VLOOKUP(B11,'UV台帐'!B:AL,36,0)</f>
        <v>165</v>
      </c>
      <c r="R11" s="104" t="s">
        <v>217</v>
      </c>
      <c r="S11" s="104" t="s">
        <v>28</v>
      </c>
      <c r="T11" s="104"/>
      <c r="U11" s="104" t="s">
        <v>217</v>
      </c>
      <c r="V11" s="332" t="s">
        <v>300</v>
      </c>
      <c r="W11" s="332" t="n">
        <v>286</v>
      </c>
      <c r="X11" s="332" t="s">
        <v>301</v>
      </c>
      <c r="Y11" s="332" t="s">
        <v>302</v>
      </c>
      <c r="Z11" s="171" t="s">
        <v>303</v>
      </c>
      <c r="AA11" s="332" t="s">
        <v>223</v>
      </c>
      <c r="AB11" s="332" t="s">
        <v>304</v>
      </c>
      <c r="AC11" s="332" t="s">
        <v>289</v>
      </c>
      <c r="AD11" s="332" t="s">
        <v>305</v>
      </c>
      <c r="AE11" s="332" t="s">
        <v>240</v>
      </c>
      <c r="AF11" s="332" t="s">
        <v>306</v>
      </c>
      <c r="AG11" s="332" t="s">
        <v>228</v>
      </c>
      <c r="AH11" s="332" t="s">
        <v>307</v>
      </c>
      <c r="AI11" s="332" t="s">
        <v>230</v>
      </c>
      <c r="AJ11" s="332" t="s">
        <v>242</v>
      </c>
      <c r="AK11" s="104" t="s">
        <v>49</v>
      </c>
      <c r="AL11" s="104"/>
      <c r="AM11" s="104"/>
      <c r="AN11" s="5"/>
      <c r="AO11" s="5"/>
      <c r="AP11" s="5"/>
      <c r="AQ11" s="5"/>
      <c r="AR11" s="5"/>
      <c r="AS11" s="5"/>
      <c r="AT11" s="5"/>
      <c r="AU11" s="5"/>
      <c r="AV11" s="5"/>
      <c r="AW11" s="5"/>
      <c r="AX11" s="5"/>
      <c r="AY11" s="5"/>
      <c r="AZ11" s="5"/>
      <c r="BA11" s="5"/>
      <c r="BB11" s="508"/>
      <c r="BC11" s="508"/>
      <c r="BD11" s="508"/>
      <c r="BE11" s="508"/>
      <c r="BF11" s="104" t="s">
        <v>46</v>
      </c>
      <c r="BG11" s="104" t="n">
        <f>VLOOKUP(B11,'UV台帐'!B:G,6,0)</f>
        <v>0</v>
      </c>
      <c r="BH11" s="104"/>
      <c r="BR11" s="104" t="n">
        <f>COUNTIFS(H11,"一期",I11,"在读")+COUNTIFS(L11,"一期",M11,"在读")+COUNTIFS(P11,"一期",Q11,"在读")</f>
        <v>0</v>
      </c>
      <c r="BS11" s="104" t="n">
        <f>BR11-BW11</f>
        <v>0</v>
      </c>
      <c r="BT11" s="209" t="s">
        <f>VLOOKUP(B11,'UV台帐'!B:AL,19,0)</f>
        <v>116</v>
      </c>
      <c r="BU11" s="209" t="s">
        <f>VLOOKUP(B11,'UV台帐'!B:AL,28,0)</f>
        <v>116</v>
      </c>
      <c r="BV11" s="209" t="s">
        <f>VLOOKUP(B11,'UV台帐'!B:AL,37,0)</f>
        <v>116</v>
      </c>
      <c r="BW11" s="104" t="n">
        <f>COUNTIFS(H11,"一期",BT11,"是")+COUNTIFS(L11,"一期",BU11,"是")+COUNTIFS(P11,"一期",BV11,"是")</f>
        <v>0</v>
      </c>
      <c r="CA11" s="16" t="n">
        <v>2519148407</v>
      </c>
    </row>
    <row r="12" ht="26.25" customHeight="1">
      <c r="A12" s="508" t="s">
        <v>54</v>
      </c>
      <c r="B12" s="508" t="n">
        <v>4860505150</v>
      </c>
      <c r="C12" s="469" t="s">
        <f>VLOOKUP(B12,'UV台帐'!B:AL,2,0)</f>
        <v>308</v>
      </c>
      <c r="D12" s="508" t="s">
        <f>VLOOKUP(B12,'UV台帐'!B:AL,3,0)</f>
        <v>34</v>
      </c>
      <c r="E12" s="508" t="s">
        <f>VLOOKUP(B12,'UV台帐'!B:AL,13,0)</f>
        <v>35</v>
      </c>
      <c r="F12" s="508" t="s">
        <f>VLOOKUP(B12,'UV台帐'!B:AL,15,0)</f>
        <v>216</v>
      </c>
      <c r="G12" s="508" t="s">
        <f>VLOOKUP(B12,'UV台帐'!B:AL,16,0)</f>
        <v>283</v>
      </c>
      <c r="H12" s="508" t="s">
        <f>VLOOKUP(B12,'UV台帐'!B:AL,17,0)</f>
        <v>65</v>
      </c>
      <c r="I12" s="508" t="s">
        <f>VLOOKUP(B12,'UV台帐'!B:AL,18,0)</f>
        <v>165</v>
      </c>
      <c r="J12" s="508" t="s">
        <f>VLOOKUP(B12,'UV台帐'!B:AL,22,0)</f>
        <v>49</v>
      </c>
      <c r="K12" s="508" t="s">
        <f>VLOOKUP(B12,'UV台帐'!B:AL,24,0)</f>
        <v>233</v>
      </c>
      <c r="L12" s="508" t="s">
        <f>VLOOKUP(B12,'UV台帐'!B:AL,26,0)</f>
        <v>65</v>
      </c>
      <c r="M12" s="508" t="s">
        <f>VLOOKUP(B12,'UV台帐'!B:AL,27,0)</f>
        <v>165</v>
      </c>
      <c r="N12" s="508" t="s">
        <f>VLOOKUP(B12,'UV台帐'!B:AL,31,0)</f>
        <v>56</v>
      </c>
      <c r="O12" s="508" t="s">
        <f>VLOOKUP(B12,'UV台帐'!B:AL,33,0)</f>
        <v>215</v>
      </c>
      <c r="P12" s="508" t="s">
        <f>VLOOKUP(B12,'UV台帐'!B:AL,35,0)</f>
        <v>65</v>
      </c>
      <c r="Q12" s="508" t="s">
        <f>VLOOKUP(B12,'UV台帐'!B:AL,36,0)</f>
        <v>165</v>
      </c>
      <c r="R12" s="104" t="s">
        <v>217</v>
      </c>
      <c r="S12" s="508" t="s">
        <v>25</v>
      </c>
      <c r="T12" s="508" t="s">
        <v>218</v>
      </c>
      <c r="U12" s="104" t="s">
        <v>217</v>
      </c>
      <c r="V12" s="466" t="s">
        <v>309</v>
      </c>
      <c r="W12" s="466" t="n">
        <v>280</v>
      </c>
      <c r="X12" s="466" t="s">
        <v>310</v>
      </c>
      <c r="Y12" s="466" t="s">
        <v>311</v>
      </c>
      <c r="Z12" s="171" t="s">
        <v>312</v>
      </c>
      <c r="AA12" s="466" t="s">
        <v>223</v>
      </c>
      <c r="AB12" s="594" t="s">
        <v>313</v>
      </c>
      <c r="AC12" s="466" t="s">
        <v>289</v>
      </c>
      <c r="AD12" s="466" t="s">
        <v>314</v>
      </c>
      <c r="AE12" s="466" t="s">
        <v>253</v>
      </c>
      <c r="AF12" s="466" t="s">
        <v>306</v>
      </c>
      <c r="AG12" s="466" t="s">
        <v>228</v>
      </c>
      <c r="AH12" s="466" t="s">
        <v>315</v>
      </c>
      <c r="AI12" s="466" t="s">
        <v>254</v>
      </c>
      <c r="AJ12" s="466" t="s">
        <v>316</v>
      </c>
      <c r="AK12" s="104" t="s">
        <v>35</v>
      </c>
      <c r="AL12" s="104" t="s">
        <v>217</v>
      </c>
      <c r="AM12" s="104"/>
      <c r="AN12" s="5"/>
      <c r="AO12" s="5"/>
      <c r="AP12" s="5"/>
      <c r="AQ12" s="5"/>
      <c r="AR12" s="5"/>
      <c r="AS12" s="5"/>
      <c r="AT12" s="5"/>
      <c r="AU12" s="5"/>
      <c r="AV12" s="5"/>
      <c r="AW12" s="5"/>
      <c r="AX12" s="5"/>
      <c r="AY12" s="5"/>
      <c r="AZ12" s="5"/>
      <c r="BA12" s="5"/>
      <c r="BF12" s="104" t="s">
        <v>34</v>
      </c>
      <c r="BG12" s="104" t="s">
        <f>VLOOKUP(B12,'UV台帐'!B:G,6,0)</f>
        <v>317</v>
      </c>
      <c r="BH12" s="104" t="s">
        <v>318</v>
      </c>
      <c r="BR12" s="104" t="n">
        <f>COUNTIFS(H12,"一期",I12,"在读")+COUNTIFS(L12,"一期",M12,"在读")+COUNTIFS(P12,"一期",Q12,"在读")</f>
        <v>3</v>
      </c>
      <c r="BS12" s="104" t="n">
        <f>BR12-BW12</f>
        <v>0</v>
      </c>
      <c r="BT12" s="209" t="s">
        <f>VLOOKUP(B12,'UV台帐'!B:AL,19,0)</f>
        <v>217</v>
      </c>
      <c r="BU12" s="209" t="s">
        <f>VLOOKUP(B12,'UV台帐'!B:AL,28,0)</f>
        <v>217</v>
      </c>
      <c r="BV12" s="209" t="s">
        <f>VLOOKUP(B12,'UV台帐'!B:AL,37,0)</f>
        <v>217</v>
      </c>
      <c r="BW12" s="104" t="n">
        <f>COUNTIFS(H12,"一期",BT12,"是")+COUNTIFS(L12,"一期",BU12,"是")+COUNTIFS(P12,"一期",BV12,"是")</f>
        <v>3</v>
      </c>
      <c r="CA12" s="16" t="n">
        <v>2524361673</v>
      </c>
    </row>
    <row r="13" ht="26.25" customHeight="1">
      <c r="A13" s="508" t="s">
        <v>45</v>
      </c>
      <c r="B13" s="508" t="n">
        <v>2446527834</v>
      </c>
      <c r="C13" s="508" t="s">
        <f>VLOOKUP(B13,'UV台帐'!B:AL,2,0)</f>
        <v>319</v>
      </c>
      <c r="D13" s="508" t="s">
        <f>VLOOKUP(B13,'UV台帐'!B:AL,3,0)</f>
        <v>46</v>
      </c>
      <c r="E13" s="508" t="s">
        <f>VLOOKUP(B13,'UV台帐'!B:AL,13,0)</f>
        <v>37</v>
      </c>
      <c r="F13" s="508" t="s">
        <f>VLOOKUP(B13,'UV台帐'!B:AL,15,0)</f>
        <v>215</v>
      </c>
      <c r="G13" s="508" t="s">
        <f>VLOOKUP(B13,'UV台帐'!B:AL,16,0)</f>
        <v>283</v>
      </c>
      <c r="H13" s="508" t="s">
        <f>VLOOKUP(B13,'UV台帐'!B:AL,17,0)</f>
        <v>101</v>
      </c>
      <c r="I13" s="508" t="s">
        <f>VLOOKUP(B13,'UV台帐'!B:AL,18,0)</f>
        <v>165</v>
      </c>
      <c r="J13" s="508" t="s">
        <f>VLOOKUP(B13,'UV台帐'!B:AL,22,0)</f>
        <v>49</v>
      </c>
      <c r="K13" s="508" t="s">
        <f>VLOOKUP(B13,'UV台帐'!B:AL,24,0)</f>
        <v>215</v>
      </c>
      <c r="L13" s="508" t="s">
        <f>VLOOKUP(B13,'UV台帐'!B:AL,26,0)</f>
        <v>101</v>
      </c>
      <c r="M13" s="508" t="s">
        <f>VLOOKUP(B13,'UV台帐'!B:AL,27,0)</f>
        <v>165</v>
      </c>
      <c r="N13" s="508" t="s">
        <f>VLOOKUP(B13,'UV台帐'!B:AL,31,0)</f>
        <v>58</v>
      </c>
      <c r="O13" s="508" t="s">
        <f>VLOOKUP(B13,'UV台帐'!B:AL,33,0)</f>
        <v>215</v>
      </c>
      <c r="P13" s="508" t="s">
        <f>VLOOKUP(B13,'UV台帐'!B:AL,35,0)</f>
        <v>101</v>
      </c>
      <c r="Q13" s="508" t="s">
        <f>VLOOKUP(B13,'UV台帐'!B:AL,36,0)</f>
        <v>165</v>
      </c>
      <c r="R13" s="104" t="s">
        <v>217</v>
      </c>
      <c r="S13" s="104" t="s">
        <v>28</v>
      </c>
      <c r="T13" s="104"/>
      <c r="U13" s="104" t="s">
        <v>217</v>
      </c>
      <c r="V13" s="332"/>
      <c r="W13" s="332" t="s">
        <v>320</v>
      </c>
      <c r="X13" s="332"/>
      <c r="Y13" s="332" t="s">
        <v>321</v>
      </c>
      <c r="Z13" s="171" t="s">
        <v>322</v>
      </c>
      <c r="AA13" s="332" t="s">
        <v>223</v>
      </c>
      <c r="AB13" s="595" t="s">
        <v>323</v>
      </c>
      <c r="AC13" s="332" t="s">
        <v>289</v>
      </c>
      <c r="AD13" s="332" t="s">
        <v>280</v>
      </c>
      <c r="AE13" s="332" t="s">
        <v>240</v>
      </c>
      <c r="AF13" s="332" t="s">
        <v>241</v>
      </c>
      <c r="AG13" s="332" t="s">
        <v>266</v>
      </c>
      <c r="AH13" s="332" t="s">
        <v>229</v>
      </c>
      <c r="AI13" s="332" t="s">
        <v>230</v>
      </c>
      <c r="AJ13" s="332" t="s">
        <v>242</v>
      </c>
      <c r="AK13" s="104" t="s">
        <v>49</v>
      </c>
      <c r="AL13" s="104"/>
      <c r="AM13" s="104"/>
      <c r="AN13" s="5"/>
      <c r="AO13" s="5"/>
      <c r="AP13" s="5"/>
      <c r="AQ13" s="5"/>
      <c r="AR13" s="5"/>
      <c r="AS13" s="5"/>
      <c r="AT13" s="5"/>
      <c r="AU13" s="5"/>
      <c r="AV13" s="5"/>
      <c r="AW13" s="5"/>
      <c r="AX13" s="5"/>
      <c r="AY13" s="5"/>
      <c r="AZ13" s="5"/>
      <c r="BA13" s="5"/>
      <c r="BF13" s="104" t="s">
        <v>46</v>
      </c>
      <c r="BG13" s="104" t="n">
        <f>VLOOKUP(B13,'UV台帐'!B:G,6,0)</f>
        <v>0</v>
      </c>
      <c r="BH13" s="104"/>
      <c r="BR13" s="104" t="n">
        <f>COUNTIFS(H13,"一期",I13,"在读")+COUNTIFS(L13,"一期",M13,"在读")+COUNTIFS(P13,"一期",Q13,"在读")</f>
        <v>0</v>
      </c>
      <c r="BS13" s="104" t="n">
        <f>BR13-BW13</f>
        <v>0</v>
      </c>
      <c r="BT13" s="209" t="s">
        <f>VLOOKUP(B13,'UV台帐'!B:AL,19,0)</f>
        <v>116</v>
      </c>
      <c r="BU13" s="209" t="s">
        <f>VLOOKUP(B13,'UV台帐'!B:AL,28,0)</f>
        <v>116</v>
      </c>
      <c r="BV13" s="209" t="s">
        <f>VLOOKUP(B13,'UV台帐'!B:AL,37,0)</f>
        <v>116</v>
      </c>
      <c r="BW13" s="104" t="n">
        <f>COUNTIFS(H13,"一期",BT13,"是")+COUNTIFS(L13,"一期",BU13,"是")+COUNTIFS(P13,"一期",BV13,"是")</f>
        <v>0</v>
      </c>
      <c r="CA13" s="16" t="n">
        <v>2578457931</v>
      </c>
    </row>
    <row r="14" ht="26.25" customHeight="1">
      <c r="A14" s="508" t="s">
        <v>45</v>
      </c>
      <c r="B14" s="508" t="n">
        <v>4834944316</v>
      </c>
      <c r="C14" s="508" t="s">
        <f>VLOOKUP(B14,'UV台帐'!B:AL,2,0)</f>
        <v>324</v>
      </c>
      <c r="D14" s="508" t="s">
        <f>VLOOKUP(B14,'UV台帐'!B:AL,3,0)</f>
        <v>50</v>
      </c>
      <c r="E14" s="508" t="s">
        <f>VLOOKUP(B14,'UV台帐'!B:AL,13,0)</f>
        <v>37</v>
      </c>
      <c r="F14" s="508" t="s">
        <f>VLOOKUP(B14,'UV台帐'!B:AL,15,0)</f>
        <v>233</v>
      </c>
      <c r="G14" s="508" t="s">
        <f>VLOOKUP(B14,'UV台帐'!B:AL,16,0)</f>
        <v>283</v>
      </c>
      <c r="H14" s="508" t="s">
        <f>VLOOKUP(B14,'UV台帐'!B:AL,17,0)</f>
        <v>65</v>
      </c>
      <c r="I14" s="508" t="s">
        <f>VLOOKUP(B14,'UV台帐'!B:AL,18,0)</f>
        <v>165</v>
      </c>
      <c r="J14" s="508" t="s">
        <f>VLOOKUP(B14,'UV台帐'!B:AL,22,0)</f>
        <v>49</v>
      </c>
      <c r="K14" s="508" t="s">
        <f>VLOOKUP(B14,'UV台帐'!B:AL,24,0)</f>
        <v>215</v>
      </c>
      <c r="L14" s="508" t="s">
        <f>VLOOKUP(B14,'UV台帐'!B:AL,26,0)</f>
        <v>65</v>
      </c>
      <c r="M14" s="508" t="s">
        <f>VLOOKUP(B14,'UV台帐'!B:AL,27,0)</f>
        <v>165</v>
      </c>
      <c r="N14" s="508" t="s">
        <f>VLOOKUP(B14,'UV台帐'!B:AL,31,0)</f>
        <v>58</v>
      </c>
      <c r="O14" s="508" t="s">
        <f>VLOOKUP(B14,'UV台帐'!B:AL,33,0)</f>
        <v>216</v>
      </c>
      <c r="P14" s="508" t="s">
        <f>VLOOKUP(B14,'UV台帐'!B:AL,35,0)</f>
        <v>65</v>
      </c>
      <c r="Q14" s="508" t="s">
        <f>VLOOKUP(B14,'UV台帐'!B:AL,36,0)</f>
        <v>165</v>
      </c>
      <c r="R14" s="104" t="s">
        <v>217</v>
      </c>
      <c r="S14" s="104" t="s">
        <v>27</v>
      </c>
      <c r="T14" s="104" t="s">
        <v>218</v>
      </c>
      <c r="U14" s="104" t="s">
        <v>217</v>
      </c>
      <c r="V14" s="332" t="s">
        <v>325</v>
      </c>
      <c r="W14" s="332" t="s">
        <v>326</v>
      </c>
      <c r="X14" s="332" t="s">
        <v>327</v>
      </c>
      <c r="Y14" s="466" t="s">
        <v>328</v>
      </c>
      <c r="Z14" s="171" t="s">
        <v>329</v>
      </c>
      <c r="AA14" s="332" t="s">
        <v>223</v>
      </c>
      <c r="AB14" s="596" t="s">
        <v>330</v>
      </c>
      <c r="AC14" s="332" t="s">
        <v>289</v>
      </c>
      <c r="AD14" s="332" t="s">
        <v>331</v>
      </c>
      <c r="AE14" s="332" t="s">
        <v>240</v>
      </c>
      <c r="AF14" s="332" t="s">
        <v>306</v>
      </c>
      <c r="AG14" s="332" t="s">
        <v>228</v>
      </c>
      <c r="AH14" s="332" t="s">
        <v>229</v>
      </c>
      <c r="AI14" s="332" t="s">
        <v>254</v>
      </c>
      <c r="AJ14" s="332" t="s">
        <v>255</v>
      </c>
      <c r="AK14" s="104" t="s">
        <v>49</v>
      </c>
      <c r="AL14" s="104"/>
      <c r="AM14" s="104"/>
      <c r="AN14" s="5"/>
      <c r="AO14" s="5"/>
      <c r="AP14" s="5"/>
      <c r="AQ14" s="5"/>
      <c r="AR14" s="5"/>
      <c r="AS14" s="5"/>
      <c r="AT14" s="5"/>
      <c r="AU14" s="5"/>
      <c r="AV14" s="5"/>
      <c r="AW14" s="5"/>
      <c r="AX14" s="5"/>
      <c r="AY14" s="5"/>
      <c r="AZ14" s="5"/>
      <c r="BA14" s="5"/>
      <c r="BB14" s="104"/>
      <c r="BC14" s="104"/>
      <c r="BF14" s="104" t="s">
        <v>50</v>
      </c>
      <c r="BG14" s="104" t="n">
        <f>VLOOKUP(B14,'UV台帐'!B:G,6,0)</f>
        <v>0</v>
      </c>
      <c r="BH14" s="104" t="s">
        <v>325</v>
      </c>
      <c r="BR14" s="104" t="n">
        <f>COUNTIFS(H14,"一期",I14,"在读")+COUNTIFS(L14,"一期",M14,"在读")+COUNTIFS(P14,"一期",Q14,"在读")</f>
        <v>3</v>
      </c>
      <c r="BS14" s="104" t="n">
        <f>BR14-BW14</f>
        <v>3</v>
      </c>
      <c r="BT14" s="209" t="s">
        <f>VLOOKUP(B14,'UV台帐'!B:AL,19,0)</f>
        <v>116</v>
      </c>
      <c r="BU14" s="209" t="s">
        <f>VLOOKUP(B14,'UV台帐'!B:AL,28,0)</f>
        <v>116</v>
      </c>
      <c r="BV14" s="209" t="s">
        <f>VLOOKUP(B14,'UV台帐'!B:AL,37,0)</f>
        <v>116</v>
      </c>
      <c r="BW14" s="104" t="n">
        <f>COUNTIFS(H14,"一期",BT14,"是")+COUNTIFS(L14,"一期",BU14,"是")+COUNTIFS(P14,"一期",BV14,"是")</f>
        <v>0</v>
      </c>
      <c r="CA14" s="16" t="n">
        <v>2937587526</v>
      </c>
    </row>
    <row r="15" ht="26.25" customHeight="1">
      <c r="A15" s="508" t="s">
        <v>45</v>
      </c>
      <c r="B15" s="508" t="n">
        <v>2519148407</v>
      </c>
      <c r="C15" s="508" t="s">
        <f>VLOOKUP(B15,'UV台帐'!B:AL,2,0)</f>
        <v>332</v>
      </c>
      <c r="D15" s="508" t="s">
        <f>VLOOKUP(B15,'UV台帐'!B:AL,3,0)</f>
        <v>50</v>
      </c>
      <c r="E15" s="508" t="s">
        <f>VLOOKUP(B15,'UV台帐'!B:AL,13,0)</f>
        <v>37</v>
      </c>
      <c r="F15" s="508" t="s">
        <f>VLOOKUP(B15,'UV台帐'!B:AL,15,0)</f>
        <v>215</v>
      </c>
      <c r="G15" s="508" t="s">
        <f>VLOOKUP(B15,'UV台帐'!B:AL,16,0)</f>
        <v>283</v>
      </c>
      <c r="H15" s="508" t="s">
        <f>VLOOKUP(B15,'UV台帐'!B:AL,17,0)</f>
        <v>101</v>
      </c>
      <c r="I15" s="508" t="s">
        <f>VLOOKUP(B15,'UV台帐'!B:AL,18,0)</f>
        <v>165</v>
      </c>
      <c r="J15" s="508" t="s">
        <f>VLOOKUP(B15,'UV台帐'!B:AL,22,0)</f>
        <v>49</v>
      </c>
      <c r="K15" s="508" t="s">
        <f>VLOOKUP(B15,'UV台帐'!B:AL,24,0)</f>
        <v>215</v>
      </c>
      <c r="L15" s="508" t="s">
        <f>VLOOKUP(B15,'UV台帐'!B:AL,26,0)</f>
        <v>101</v>
      </c>
      <c r="M15" s="508" t="s">
        <f>VLOOKUP(B15,'UV台帐'!B:AL,27,0)</f>
        <v>165</v>
      </c>
      <c r="N15" s="508" t="s">
        <f>VLOOKUP(B15,'UV台帐'!B:AL,31,0)</f>
        <v>58</v>
      </c>
      <c r="O15" s="508" t="s">
        <f>VLOOKUP(B15,'UV台帐'!B:AL,33,0)</f>
        <v>215</v>
      </c>
      <c r="P15" s="508" t="s">
        <f>VLOOKUP(B15,'UV台帐'!B:AL,35,0)</f>
        <v>101</v>
      </c>
      <c r="Q15" s="508" t="s">
        <f>VLOOKUP(B15,'UV台帐'!B:AL,36,0)</f>
        <v>165</v>
      </c>
      <c r="R15" s="37" t="s">
        <v>217</v>
      </c>
      <c r="S15" s="37" t="s">
        <v>28</v>
      </c>
      <c r="T15" s="104" t="s">
        <v>218</v>
      </c>
      <c r="U15" s="104" t="s">
        <v>217</v>
      </c>
      <c r="V15" s="332" t="s">
        <v>333</v>
      </c>
      <c r="W15" s="332" t="s">
        <v>334</v>
      </c>
      <c r="X15" s="332" t="s">
        <v>335</v>
      </c>
      <c r="Y15" s="466" t="s">
        <v>336</v>
      </c>
      <c r="Z15" s="171" t="s">
        <v>337</v>
      </c>
      <c r="AA15" s="332" t="s">
        <v>223</v>
      </c>
      <c r="AB15" s="597" t="s">
        <v>338</v>
      </c>
      <c r="AC15" s="332" t="s">
        <v>289</v>
      </c>
      <c r="AD15" s="332" t="s">
        <v>290</v>
      </c>
      <c r="AE15" s="332" t="s">
        <v>240</v>
      </c>
      <c r="AF15" s="332" t="s">
        <v>241</v>
      </c>
      <c r="AG15" s="332" t="s">
        <v>266</v>
      </c>
      <c r="AH15" s="332" t="s">
        <v>315</v>
      </c>
      <c r="AI15" s="332" t="s">
        <v>230</v>
      </c>
      <c r="AJ15" s="332" t="s">
        <v>255</v>
      </c>
      <c r="AK15" s="104" t="s">
        <v>49</v>
      </c>
      <c r="AL15" s="104" t="s">
        <v>217</v>
      </c>
      <c r="AM15" s="104"/>
      <c r="AN15" s="5"/>
      <c r="AO15" s="5"/>
      <c r="AP15" s="5"/>
      <c r="AQ15" s="5"/>
      <c r="AR15" s="5"/>
      <c r="AS15" s="5"/>
      <c r="AT15" s="5"/>
      <c r="AU15" s="5"/>
      <c r="AV15" s="5"/>
      <c r="AW15" s="5"/>
      <c r="AX15" s="5"/>
      <c r="AY15" s="5"/>
      <c r="AZ15" s="5"/>
      <c r="BA15" s="5"/>
      <c r="BB15" s="104"/>
      <c r="BC15" s="104"/>
      <c r="BF15" s="104" t="s">
        <v>50</v>
      </c>
      <c r="BG15" s="104" t="n">
        <f>VLOOKUP(B15,'UV台帐'!B:G,6,0)</f>
        <v>0</v>
      </c>
      <c r="BH15" s="104" t="s">
        <v>339</v>
      </c>
      <c r="BR15" s="104" t="n">
        <f>COUNTIFS(H15,"一期",I15,"在读")+COUNTIFS(L15,"一期",M15,"在读")+COUNTIFS(P15,"一期",Q15,"在读")</f>
        <v>0</v>
      </c>
      <c r="BS15" s="104" t="n">
        <f>BR15-BW15</f>
        <v>0</v>
      </c>
      <c r="BT15" s="209" t="s">
        <f>VLOOKUP(B15,'UV台帐'!B:AL,19,0)</f>
        <v>116</v>
      </c>
      <c r="BU15" s="209" t="s">
        <f>VLOOKUP(B15,'UV台帐'!B:AL,28,0)</f>
        <v>116</v>
      </c>
      <c r="BV15" s="209" t="s">
        <f>VLOOKUP(B15,'UV台帐'!B:AL,37,0)</f>
        <v>116</v>
      </c>
      <c r="BW15" s="104" t="n">
        <f>COUNTIFS(H15,"一期",BT15,"是")+COUNTIFS(L15,"一期",BU15,"是")+COUNTIFS(P15,"一期",BV15,"是")</f>
        <v>0</v>
      </c>
      <c r="CA15" s="16" t="n">
        <v>4399390086</v>
      </c>
    </row>
    <row r="16" ht="26.25" customHeight="1">
      <c r="A16" s="104" t="s">
        <v>54</v>
      </c>
      <c r="B16" s="104" t="n">
        <v>4156594850</v>
      </c>
      <c r="C16" s="508" t="s">
        <f>VLOOKUP(B16,'UV台帐'!B:AL,2,0)</f>
        <v>340</v>
      </c>
      <c r="D16" s="508" t="s">
        <f>VLOOKUP(B16,'UV台帐'!B:AL,3,0)</f>
        <v>57</v>
      </c>
      <c r="E16" s="508" t="s">
        <f>VLOOKUP(B16,'UV台帐'!B:AL,13,0)</f>
        <v>35</v>
      </c>
      <c r="F16" s="508" t="s">
        <f>VLOOKUP(B16,'UV台帐'!B:AL,15,0)</f>
        <v>216</v>
      </c>
      <c r="G16" s="508" t="s">
        <f>VLOOKUP(B16,'UV台帐'!B:AL,16,0)</f>
        <v>283</v>
      </c>
      <c r="H16" s="508" t="s">
        <f>VLOOKUP(B16,'UV台帐'!B:AL,17,0)</f>
        <v>65</v>
      </c>
      <c r="I16" s="508" t="s">
        <f>VLOOKUP(B16,'UV台帐'!B:AL,18,0)</f>
        <v>165</v>
      </c>
      <c r="J16" s="508" t="s">
        <f>VLOOKUP(B16,'UV台帐'!B:AL,22,0)</f>
        <v>49</v>
      </c>
      <c r="K16" s="508" t="s">
        <f>VLOOKUP(B16,'UV台帐'!B:AL,24,0)</f>
        <v>233</v>
      </c>
      <c r="L16" s="508" t="s">
        <f>VLOOKUP(B16,'UV台帐'!B:AL,26,0)</f>
        <v>65</v>
      </c>
      <c r="M16" s="508" t="s">
        <f>VLOOKUP(B16,'UV台帐'!B:AL,27,0)</f>
        <v>165</v>
      </c>
      <c r="N16" s="508" t="s">
        <f>VLOOKUP(B16,'UV台帐'!B:AL,31,0)</f>
        <v>56</v>
      </c>
      <c r="O16" s="508" t="s">
        <f>VLOOKUP(B16,'UV台帐'!B:AL,33,0)</f>
        <v>215</v>
      </c>
      <c r="P16" s="508" t="s">
        <f>VLOOKUP(B16,'UV台帐'!B:AL,35,0)</f>
        <v>65</v>
      </c>
      <c r="Q16" s="508" t="s">
        <f>VLOOKUP(B16,'UV台帐'!B:AL,36,0)</f>
        <v>165</v>
      </c>
      <c r="R16" s="104" t="s">
        <v>217</v>
      </c>
      <c r="S16" s="104" t="s">
        <v>27</v>
      </c>
      <c r="T16" s="104" t="s">
        <v>218</v>
      </c>
      <c r="U16" s="104" t="s">
        <v>217</v>
      </c>
      <c r="V16" s="332" t="s">
        <v>341</v>
      </c>
      <c r="W16" s="332" t="s">
        <v>342</v>
      </c>
      <c r="X16" s="332" t="s">
        <v>343</v>
      </c>
      <c r="Y16" s="332" t="s">
        <v>344</v>
      </c>
      <c r="Z16" s="171" t="s">
        <v>345</v>
      </c>
      <c r="AA16" s="332" t="s">
        <v>223</v>
      </c>
      <c r="AB16" s="598" t="s">
        <v>346</v>
      </c>
      <c r="AC16" s="332" t="s">
        <v>289</v>
      </c>
      <c r="AD16" s="332" t="s">
        <v>347</v>
      </c>
      <c r="AE16" s="332" t="s">
        <v>240</v>
      </c>
      <c r="AF16" s="332" t="s">
        <v>306</v>
      </c>
      <c r="AG16" s="332" t="s">
        <v>228</v>
      </c>
      <c r="AH16" s="332" t="s">
        <v>229</v>
      </c>
      <c r="AI16" s="332" t="s">
        <v>254</v>
      </c>
      <c r="AJ16" s="332" t="s">
        <v>255</v>
      </c>
      <c r="AK16" s="104" t="s">
        <v>35</v>
      </c>
      <c r="AL16" s="104" t="s">
        <v>217</v>
      </c>
      <c r="AM16" s="104"/>
      <c r="AN16" s="5"/>
      <c r="AO16" s="5"/>
      <c r="AP16" s="5"/>
      <c r="AQ16" s="5"/>
      <c r="AR16" s="5"/>
      <c r="AS16" s="5"/>
      <c r="AT16" s="5"/>
      <c r="AU16" s="5"/>
      <c r="AV16" s="5"/>
      <c r="AW16" s="5"/>
      <c r="AX16" s="5"/>
      <c r="AY16" s="5"/>
      <c r="AZ16" s="5"/>
      <c r="BA16" s="5"/>
      <c r="BB16" s="104"/>
      <c r="BC16" s="104"/>
      <c r="BF16" s="104" t="s">
        <v>57</v>
      </c>
      <c r="BG16" s="104" t="n">
        <f>VLOOKUP(B16,'UV台帐'!B:G,6,0)</f>
        <v>0</v>
      </c>
      <c r="BH16" s="104"/>
      <c r="BR16" s="104" t="n">
        <f>COUNTIFS(H16,"一期",I16,"在读")+COUNTIFS(L16,"一期",M16,"在读")+COUNTIFS(P16,"一期",Q16,"在读")</f>
        <v>3</v>
      </c>
      <c r="BS16" s="104" t="n">
        <f>BR16-BW16</f>
        <v>3</v>
      </c>
      <c r="BT16" s="209" t="s">
        <f>VLOOKUP(B16,'UV台帐'!B:AL,19,0)</f>
        <v>116</v>
      </c>
      <c r="BU16" s="209" t="s">
        <f>VLOOKUP(B16,'UV台帐'!B:AL,28,0)</f>
        <v>116</v>
      </c>
      <c r="BV16" s="209" t="s">
        <f>VLOOKUP(B16,'UV台帐'!B:AL,37,0)</f>
        <v>116</v>
      </c>
      <c r="BW16" s="104" t="n">
        <f>COUNTIFS(H16,"一期",BT16,"是")+COUNTIFS(L16,"一期",BU16,"是")+COUNTIFS(P16,"一期",BV16,"是")</f>
        <v>0</v>
      </c>
      <c r="CA16" s="16" t="n">
        <v>4850707583</v>
      </c>
    </row>
    <row r="17" ht="26.25" customHeight="1">
      <c r="A17" s="104" t="s">
        <v>45</v>
      </c>
      <c r="B17" s="104" t="n">
        <v>2524361673</v>
      </c>
      <c r="C17" s="508" t="s">
        <f>VLOOKUP(B17,'UV台帐'!B:AL,2,0)</f>
        <v>348</v>
      </c>
      <c r="D17" s="508" t="s">
        <f>VLOOKUP(B17,'UV台帐'!B:AL,3,0)</f>
        <v>349</v>
      </c>
      <c r="E17" s="508" t="s">
        <f>VLOOKUP(B17,'UV台帐'!B:AL,13,0)</f>
        <v>31</v>
      </c>
      <c r="F17" s="508" t="s">
        <f>VLOOKUP(B17,'UV台帐'!B:AL,15,0)</f>
        <v>216</v>
      </c>
      <c r="G17" s="508" t="s">
        <f>VLOOKUP(B17,'UV台帐'!B:AL,16,0)</f>
        <v>283</v>
      </c>
      <c r="H17" s="508" t="s">
        <f>VLOOKUP(B17,'UV台帐'!B:AL,17,0)</f>
        <v>101</v>
      </c>
      <c r="I17" s="508" t="s">
        <f>VLOOKUP(B17,'UV台帐'!B:AL,18,0)</f>
        <v>165</v>
      </c>
      <c r="J17" s="508" t="s">
        <f>VLOOKUP(B17,'UV台帐'!B:AL,22,0)</f>
        <v>49</v>
      </c>
      <c r="K17" s="508" t="s">
        <f>VLOOKUP(B17,'UV台帐'!B:AL,24,0)</f>
        <v>215</v>
      </c>
      <c r="L17" s="508" t="s">
        <f>VLOOKUP(B17,'UV台帐'!B:AL,26,0)</f>
        <v>101</v>
      </c>
      <c r="M17" s="508" t="s">
        <f>VLOOKUP(B17,'UV台帐'!B:AL,27,0)</f>
        <v>165</v>
      </c>
      <c r="N17" s="508" t="s">
        <f>VLOOKUP(B17,'UV台帐'!B:AL,31,0)</f>
        <v>58</v>
      </c>
      <c r="O17" s="508" t="s">
        <f>VLOOKUP(B17,'UV台帐'!B:AL,33,0)</f>
        <v>215</v>
      </c>
      <c r="P17" s="508" t="s">
        <f>VLOOKUP(B17,'UV台帐'!B:AL,35,0)</f>
        <v>101</v>
      </c>
      <c r="Q17" s="508" t="s">
        <f>VLOOKUP(B17,'UV台帐'!B:AL,36,0)</f>
        <v>165</v>
      </c>
      <c r="R17" s="104" t="s">
        <v>217</v>
      </c>
      <c r="S17" s="104"/>
      <c r="T17" s="104"/>
      <c r="U17" s="104" t="s">
        <v>217</v>
      </c>
      <c r="V17" s="332"/>
      <c r="W17" s="332"/>
      <c r="X17" s="332"/>
      <c r="Y17" s="332"/>
      <c r="AA17" s="332" t="s">
        <v>350</v>
      </c>
      <c r="AB17" s="599" t="s">
        <v>351</v>
      </c>
      <c r="AC17" s="332" t="s">
        <v>289</v>
      </c>
      <c r="AD17" s="332" t="s">
        <v>352</v>
      </c>
      <c r="AE17" s="332" t="s">
        <v>240</v>
      </c>
      <c r="AF17" s="332" t="s">
        <v>306</v>
      </c>
      <c r="AG17" s="332" t="s">
        <v>266</v>
      </c>
      <c r="AH17" s="332" t="s">
        <v>315</v>
      </c>
      <c r="AI17" s="332" t="s">
        <v>230</v>
      </c>
      <c r="AJ17" s="332" t="s">
        <v>255</v>
      </c>
      <c r="AK17" s="104" t="s">
        <v>58</v>
      </c>
      <c r="AL17" s="104" t="s">
        <v>353</v>
      </c>
      <c r="AM17" s="104"/>
      <c r="AN17" s="5"/>
      <c r="AO17" s="5"/>
      <c r="AP17" s="5"/>
      <c r="AQ17" s="5"/>
      <c r="AR17" s="5"/>
      <c r="AS17" s="5"/>
      <c r="AT17" s="5"/>
      <c r="AU17" s="104"/>
      <c r="AV17" s="104"/>
      <c r="AW17" s="5"/>
      <c r="AX17" s="104"/>
      <c r="AY17" s="104"/>
      <c r="AZ17" s="104"/>
      <c r="BA17" s="5"/>
      <c r="BB17" s="104"/>
      <c r="BC17" s="104"/>
      <c r="BF17" s="104" t="s">
        <v>46</v>
      </c>
      <c r="BG17" s="104" t="n">
        <f>VLOOKUP(B17,'UV台帐'!B:G,6,0)</f>
        <v>0</v>
      </c>
      <c r="BH17" s="104"/>
      <c r="BR17" s="104" t="n">
        <f>COUNTIFS(H17,"一期",I17,"在读")+COUNTIFS(L17,"一期",M17,"在读")+COUNTIFS(P17,"一期",Q17,"在读")</f>
        <v>0</v>
      </c>
      <c r="BS17" s="104" t="n">
        <f>BR17-BW17</f>
        <v>0</v>
      </c>
      <c r="BT17" s="209" t="s">
        <f>VLOOKUP(B17,'UV台帐'!B:AL,19,0)</f>
        <v>116</v>
      </c>
      <c r="BU17" s="209" t="s">
        <f>VLOOKUP(B17,'UV台帐'!B:AL,28,0)</f>
        <v>116</v>
      </c>
      <c r="BV17" s="209" t="s">
        <f>VLOOKUP(B17,'UV台帐'!B:AL,37,0)</f>
        <v>116</v>
      </c>
      <c r="BW17" s="104" t="n">
        <f>COUNTIFS(H17,"一期",BT17,"是")+COUNTIFS(L17,"一期",BU17,"是")+COUNTIFS(P17,"一期",BV17,"是")</f>
        <v>0</v>
      </c>
      <c r="CA17" s="16" t="n">
        <v>4315733010</v>
      </c>
    </row>
    <row r="18" ht="26.25" customHeight="1">
      <c r="A18" s="104" t="s">
        <v>45</v>
      </c>
      <c r="B18" s="104" t="n">
        <v>2578457931</v>
      </c>
      <c r="C18" s="508" t="s">
        <f>VLOOKUP(B18,'UV台帐'!B:AL,2,0)</f>
        <v>354</v>
      </c>
      <c r="D18" s="508" t="s">
        <f>VLOOKUP(B18,'UV台帐'!B:AL,3,0)</f>
        <v>46</v>
      </c>
      <c r="E18" s="508" t="s">
        <f>VLOOKUP(B18,'UV台帐'!B:AL,13,0)</f>
        <v>31</v>
      </c>
      <c r="F18" s="508" t="s">
        <f>VLOOKUP(B18,'UV台帐'!B:AL,15,0)</f>
        <v>216</v>
      </c>
      <c r="G18" s="508" t="s">
        <f>VLOOKUP(B18,'UV台帐'!B:AL,16,0)</f>
        <v>283</v>
      </c>
      <c r="H18" s="508" t="s">
        <f>VLOOKUP(B18,'UV台帐'!B:AL,17,0)</f>
        <v>101</v>
      </c>
      <c r="I18" s="508" t="s">
        <f>VLOOKUP(B18,'UV台帐'!B:AL,18,0)</f>
        <v>165</v>
      </c>
      <c r="J18" s="508" t="s">
        <f>VLOOKUP(B18,'UV台帐'!B:AL,22,0)</f>
        <v>49</v>
      </c>
      <c r="K18" s="508" t="s">
        <f>VLOOKUP(B18,'UV台帐'!B:AL,24,0)</f>
        <v>215</v>
      </c>
      <c r="L18" s="508" t="s">
        <f>VLOOKUP(B18,'UV台帐'!B:AL,26,0)</f>
        <v>101</v>
      </c>
      <c r="M18" s="508" t="s">
        <f>VLOOKUP(B18,'UV台帐'!B:AL,27,0)</f>
        <v>165</v>
      </c>
      <c r="N18" s="508" t="s">
        <f>VLOOKUP(B18,'UV台帐'!B:AL,31,0)</f>
        <v>58</v>
      </c>
      <c r="O18" s="508" t="s">
        <f>VLOOKUP(B18,'UV台帐'!B:AL,33,0)</f>
        <v>215</v>
      </c>
      <c r="P18" s="508" t="s">
        <f>VLOOKUP(B18,'UV台帐'!B:AL,35,0)</f>
        <v>101</v>
      </c>
      <c r="Q18" s="508" t="s">
        <f>VLOOKUP(B18,'UV台帐'!B:AL,36,0)</f>
        <v>165</v>
      </c>
      <c r="R18" s="104" t="s">
        <v>217</v>
      </c>
      <c r="S18" s="104" t="s">
        <v>27</v>
      </c>
      <c r="T18" s="104"/>
      <c r="U18" s="104" t="s">
        <v>217</v>
      </c>
      <c r="V18" s="332"/>
      <c r="W18" s="332" t="s">
        <v>355</v>
      </c>
      <c r="X18" s="332" t="s">
        <v>356</v>
      </c>
      <c r="Y18" s="332" t="s">
        <v>357</v>
      </c>
      <c r="Z18" s="171" t="s">
        <v>358</v>
      </c>
      <c r="AA18" s="332" t="s">
        <v>350</v>
      </c>
      <c r="AB18" s="332" t="s">
        <v>359</v>
      </c>
      <c r="AC18" s="332" t="s">
        <v>289</v>
      </c>
      <c r="AD18" s="332" t="s">
        <v>360</v>
      </c>
      <c r="AE18" s="332" t="s">
        <v>240</v>
      </c>
      <c r="AF18" s="332" t="s">
        <v>241</v>
      </c>
      <c r="AG18" s="332" t="s">
        <v>228</v>
      </c>
      <c r="AH18" s="332" t="s">
        <v>229</v>
      </c>
      <c r="AI18" s="332" t="s">
        <v>230</v>
      </c>
      <c r="AJ18" s="332" t="s">
        <v>242</v>
      </c>
      <c r="AK18" s="104" t="s">
        <v>58</v>
      </c>
      <c r="AL18" s="104" t="s">
        <v>353</v>
      </c>
      <c r="AM18" s="104"/>
      <c r="AN18" s="5"/>
      <c r="AO18" s="5"/>
      <c r="AP18" s="5"/>
      <c r="AQ18" s="5"/>
      <c r="AR18" s="5"/>
      <c r="AS18" s="5"/>
      <c r="AT18" s="5"/>
      <c r="AU18" s="104"/>
      <c r="AV18" s="104"/>
      <c r="AW18" s="5"/>
      <c r="AX18" s="104"/>
      <c r="AY18" s="104"/>
      <c r="AZ18" s="104"/>
      <c r="BA18" s="5"/>
      <c r="BB18" s="104"/>
      <c r="BC18" s="104"/>
      <c r="BF18" s="104" t="s">
        <v>46</v>
      </c>
      <c r="BG18" s="104" t="s">
        <f>VLOOKUP(B18,'UV台帐'!B:G,6,0)</f>
        <v>361</v>
      </c>
      <c r="BH18" s="104" t="s">
        <v>362</v>
      </c>
      <c r="BR18" s="104" t="n">
        <f>COUNTIFS(H18,"一期",I18,"在读")+COUNTIFS(L18,"一期",M18,"在读")+COUNTIFS(P18,"一期",Q18,"在读")</f>
        <v>0</v>
      </c>
      <c r="BS18" s="104" t="n">
        <f>BR18-BW18</f>
        <v>0</v>
      </c>
      <c r="BT18" s="209" t="s">
        <f>VLOOKUP(B18,'UV台帐'!B:AL,19,0)</f>
        <v>116</v>
      </c>
      <c r="BU18" s="209" t="s">
        <f>VLOOKUP(B18,'UV台帐'!B:AL,28,0)</f>
        <v>116</v>
      </c>
      <c r="BV18" s="209" t="s">
        <f>VLOOKUP(B18,'UV台帐'!B:AL,37,0)</f>
        <v>116</v>
      </c>
      <c r="BW18" s="104" t="n">
        <f>COUNTIFS(H18,"一期",BT18,"是")+COUNTIFS(L18,"一期",BU18,"是")+COUNTIFS(P18,"一期",BV18,"是")</f>
        <v>0</v>
      </c>
      <c r="CA18" s="16" t="n">
        <v>4843140524</v>
      </c>
    </row>
    <row r="19" ht="26.25" customHeight="1">
      <c r="A19" s="104" t="s">
        <v>45</v>
      </c>
      <c r="B19" s="104" t="n">
        <v>2937587526</v>
      </c>
      <c r="C19" s="508" t="s">
        <f>VLOOKUP(B19,'UV台帐'!B:AL,2,0)</f>
        <v>363</v>
      </c>
      <c r="D19" s="508" t="s">
        <f>VLOOKUP(B19,'UV台帐'!B:AL,3,0)</f>
        <v>349</v>
      </c>
      <c r="E19" s="508" t="s">
        <f>VLOOKUP(B19,'UV台帐'!B:AL,13,0)</f>
        <v>31</v>
      </c>
      <c r="F19" s="508" t="s">
        <f>VLOOKUP(B19,'UV台帐'!B:AL,15,0)</f>
        <v>216</v>
      </c>
      <c r="G19" s="508" t="s">
        <f>VLOOKUP(B19,'UV台帐'!B:AL,16,0)</f>
        <v>283</v>
      </c>
      <c r="H19" s="508" t="s">
        <f>VLOOKUP(B19,'UV台帐'!B:AL,17,0)</f>
        <v>101</v>
      </c>
      <c r="I19" s="508" t="s">
        <f>VLOOKUP(B19,'UV台帐'!B:AL,18,0)</f>
        <v>165</v>
      </c>
      <c r="J19" s="508" t="s">
        <f>VLOOKUP(B19,'UV台帐'!B:AL,22,0)</f>
        <v>49</v>
      </c>
      <c r="K19" s="508" t="s">
        <f>VLOOKUP(B19,'UV台帐'!B:AL,24,0)</f>
        <v>215</v>
      </c>
      <c r="L19" s="508" t="s">
        <f>VLOOKUP(B19,'UV台帐'!B:AL,26,0)</f>
        <v>101</v>
      </c>
      <c r="M19" s="508" t="s">
        <f>VLOOKUP(B19,'UV台帐'!B:AL,27,0)</f>
        <v>165</v>
      </c>
      <c r="N19" s="508" t="s">
        <f>VLOOKUP(B19,'UV台帐'!B:AL,31,0)</f>
        <v>58</v>
      </c>
      <c r="O19" s="508" t="s">
        <f>VLOOKUP(B19,'UV台帐'!B:AL,33,0)</f>
        <v>215</v>
      </c>
      <c r="P19" s="508" t="s">
        <f>VLOOKUP(B19,'UV台帐'!B:AL,35,0)</f>
        <v>101</v>
      </c>
      <c r="Q19" s="508" t="s">
        <f>VLOOKUP(B19,'UV台帐'!B:AL,36,0)</f>
        <v>165</v>
      </c>
      <c r="R19" s="104"/>
      <c r="S19" s="104"/>
      <c r="T19" s="104"/>
      <c r="U19" s="104" t="s">
        <v>217</v>
      </c>
      <c r="V19" s="332"/>
      <c r="W19" s="332"/>
      <c r="X19" s="332"/>
      <c r="Y19" s="332"/>
      <c r="AA19" s="332" t="s">
        <v>350</v>
      </c>
      <c r="AB19" s="332"/>
      <c r="AC19" s="332"/>
      <c r="AD19" s="332"/>
      <c r="AE19" s="332"/>
      <c r="AF19" s="332"/>
      <c r="AG19" s="332"/>
      <c r="AH19" s="332"/>
      <c r="AI19" s="332"/>
      <c r="AJ19" s="332" t="s">
        <v>231</v>
      </c>
      <c r="AK19" s="104" t="s">
        <v>58</v>
      </c>
      <c r="AL19" s="104" t="s">
        <v>353</v>
      </c>
      <c r="AM19" s="104"/>
      <c r="AN19" s="5"/>
      <c r="AO19" s="5"/>
      <c r="AP19" s="5"/>
      <c r="AQ19" s="5"/>
      <c r="AR19" s="5"/>
      <c r="AS19" s="5"/>
      <c r="AT19" s="5"/>
      <c r="AU19" s="508"/>
      <c r="AV19" s="508"/>
      <c r="AW19" s="5"/>
      <c r="AX19" s="508"/>
      <c r="AY19" s="508"/>
      <c r="AZ19" s="508"/>
      <c r="BA19" s="5"/>
      <c r="BB19" s="508"/>
      <c r="BC19" s="508"/>
      <c r="BF19" s="104" t="s">
        <v>46</v>
      </c>
      <c r="BG19" s="104" t="n">
        <f>VLOOKUP(B19,'UV台帐'!B:G,6,0)</f>
        <v>0</v>
      </c>
      <c r="BH19" s="104"/>
      <c r="BR19" s="104" t="n">
        <f>COUNTIFS(H19,"一期",I19,"在读")+COUNTIFS(L19,"一期",M19,"在读")+COUNTIFS(P19,"一期",Q19,"在读")</f>
        <v>0</v>
      </c>
      <c r="BS19" s="104" t="n">
        <f>BR19-BW19</f>
        <v>0</v>
      </c>
      <c r="BT19" s="209" t="s">
        <f>VLOOKUP(B19,'UV台帐'!B:AL,19,0)</f>
        <v>116</v>
      </c>
      <c r="BU19" s="209" t="s">
        <f>VLOOKUP(B19,'UV台帐'!B:AL,28,0)</f>
        <v>116</v>
      </c>
      <c r="BV19" s="209" t="s">
        <f>VLOOKUP(B19,'UV台帐'!B:AL,37,0)</f>
        <v>116</v>
      </c>
      <c r="BW19" s="104" t="n">
        <f>COUNTIFS(H19,"一期",BT19,"是")+COUNTIFS(L19,"一期",BU19,"是")+COUNTIFS(P19,"一期",BV19,"是")</f>
        <v>0</v>
      </c>
      <c r="CA19" s="16" t="n">
        <v>2544969370</v>
      </c>
    </row>
    <row r="20" ht="26.25" customHeight="1">
      <c r="A20" s="104" t="s">
        <v>45</v>
      </c>
      <c r="B20" s="104" t="n">
        <v>4399390086</v>
      </c>
      <c r="C20" s="508" t="s">
        <f>VLOOKUP(B20,'UV台帐'!B:AL,2,0)</f>
        <v>364</v>
      </c>
      <c r="D20" s="508" t="s">
        <f>VLOOKUP(B20,'UV台帐'!B:AL,3,0)</f>
        <v>48</v>
      </c>
      <c r="E20" s="508" t="s">
        <f>VLOOKUP(B20,'UV台帐'!B:AL,13,0)</f>
        <v>37</v>
      </c>
      <c r="F20" s="508" t="s">
        <f>VLOOKUP(B20,'UV台帐'!B:AL,15,0)</f>
        <v>215</v>
      </c>
      <c r="G20" s="508" t="s">
        <f>VLOOKUP(B20,'UV台帐'!B:AL,16,0)</f>
        <v>283</v>
      </c>
      <c r="H20" s="508" t="s">
        <f>VLOOKUP(B20,'UV台帐'!B:AL,17,0)</f>
        <v>101</v>
      </c>
      <c r="I20" s="508" t="s">
        <f>VLOOKUP(B20,'UV台帐'!B:AL,18,0)</f>
        <v>165</v>
      </c>
      <c r="J20" s="288" t="s">
        <f>VLOOKUP(B20,'UV台帐'!B:AL,22,0)</f>
        <v>47</v>
      </c>
      <c r="K20" s="288" t="s">
        <f>VLOOKUP(B20,'UV台帐'!B:AL,24,0)</f>
        <v>216</v>
      </c>
      <c r="L20" s="288" t="s">
        <f>VLOOKUP(B20,'UV台帐'!B:AL,26,0)</f>
        <v>101</v>
      </c>
      <c r="M20" s="288" t="s">
        <f>VLOOKUP(B20,'UV台帐'!B:AL,27,0)</f>
        <v>165</v>
      </c>
      <c r="N20" s="508" t="s">
        <f>VLOOKUP(B20,'UV台帐'!B:AL,31,0)</f>
        <v>58</v>
      </c>
      <c r="O20" s="508" t="s">
        <f>VLOOKUP(B20,'UV台帐'!B:AL,33,0)</f>
        <v>215</v>
      </c>
      <c r="P20" s="508" t="s">
        <f>VLOOKUP(B20,'UV台帐'!B:AL,35,0)</f>
        <v>101</v>
      </c>
      <c r="Q20" s="508" t="s">
        <f>VLOOKUP(B20,'UV台帐'!B:AL,36,0)</f>
        <v>165</v>
      </c>
      <c r="R20" s="104" t="s">
        <v>217</v>
      </c>
      <c r="S20" s="104" t="s">
        <v>28</v>
      </c>
      <c r="T20" s="104" t="s">
        <v>218</v>
      </c>
      <c r="U20" s="104" t="s">
        <v>218</v>
      </c>
      <c r="V20" s="332"/>
      <c r="W20" s="466" t="s">
        <v>365</v>
      </c>
      <c r="X20" s="332"/>
      <c r="Y20" s="466" t="s">
        <v>366</v>
      </c>
      <c r="Z20" s="171" t="s">
        <v>367</v>
      </c>
      <c r="AA20" s="332" t="s">
        <v>350</v>
      </c>
      <c r="AB20" s="466" t="s">
        <v>368</v>
      </c>
      <c r="AC20" s="332" t="s">
        <v>289</v>
      </c>
      <c r="AD20" s="332" t="s">
        <v>265</v>
      </c>
      <c r="AE20" s="332" t="s">
        <v>240</v>
      </c>
      <c r="AF20" s="332" t="s">
        <v>241</v>
      </c>
      <c r="AG20" s="332" t="s">
        <v>228</v>
      </c>
      <c r="AH20" s="332" t="s">
        <v>229</v>
      </c>
      <c r="AI20" s="332" t="s">
        <v>230</v>
      </c>
      <c r="AJ20" s="332" t="s">
        <v>242</v>
      </c>
      <c r="AK20" s="104" t="s">
        <v>58</v>
      </c>
      <c r="AL20" s="104" t="s">
        <v>353</v>
      </c>
      <c r="AM20" s="104"/>
      <c r="AN20" s="5"/>
      <c r="AO20" s="5"/>
      <c r="AP20" s="5"/>
      <c r="AQ20" s="5"/>
      <c r="AR20" s="5"/>
      <c r="AS20" s="5"/>
      <c r="AT20" s="5"/>
      <c r="AU20" s="104"/>
      <c r="AV20" s="104"/>
      <c r="AW20" s="5"/>
      <c r="AX20" s="104"/>
      <c r="AY20" s="104"/>
      <c r="AZ20" s="104"/>
      <c r="BA20" s="5"/>
      <c r="BB20" s="104"/>
      <c r="BC20" s="104"/>
      <c r="BD20" s="508"/>
      <c r="BE20" s="508"/>
      <c r="BF20" s="104" t="s">
        <v>48</v>
      </c>
      <c r="BG20" s="104" t="n">
        <f>VLOOKUP(B20,'UV台帐'!B:G,6,0)</f>
        <v>0</v>
      </c>
      <c r="BH20" s="104"/>
      <c r="BR20" s="104" t="n">
        <f>COUNTIFS(H20,"一期",I20,"在读")+COUNTIFS(L20,"一期",M20,"在读")+COUNTIFS(P20,"一期",Q20,"在读")</f>
        <v>0</v>
      </c>
      <c r="BS20" s="104" t="n">
        <f>BR20-BW20</f>
        <v>0</v>
      </c>
      <c r="BT20" s="209" t="s">
        <f>VLOOKUP(B20,'UV台帐'!B:AL,19,0)</f>
        <v>116</v>
      </c>
      <c r="BU20" s="209" t="s">
        <f>VLOOKUP(B20,'UV台帐'!B:AL,28,0)</f>
        <v>116</v>
      </c>
      <c r="BV20" s="209" t="s">
        <f>VLOOKUP(B20,'UV台帐'!B:AL,37,0)</f>
        <v>116</v>
      </c>
      <c r="BW20" s="104" t="n">
        <f>COUNTIFS(H20,"一期",BT20,"是")+COUNTIFS(L20,"一期",BU20,"是")+COUNTIFS(P20,"一期",BV20,"是")</f>
        <v>0</v>
      </c>
      <c r="CA20" s="16" t="n">
        <v>4467119064</v>
      </c>
    </row>
    <row r="21" ht="26.25" customHeight="1">
      <c r="A21" s="104" t="s">
        <v>54</v>
      </c>
      <c r="B21" s="104" t="n">
        <v>4850707583</v>
      </c>
      <c r="C21" s="508" t="s">
        <f>VLOOKUP(B21,'UV台帐'!B:AL,2,0)</f>
        <v>369</v>
      </c>
      <c r="D21" s="508" t="s">
        <f>VLOOKUP(B21,'UV台帐'!B:AL,3,0)</f>
        <v>57</v>
      </c>
      <c r="E21" s="508" t="s">
        <f>VLOOKUP(B21,'UV台帐'!B:AL,13,0)</f>
        <v>35</v>
      </c>
      <c r="F21" s="508" t="s">
        <f>VLOOKUP(B21,'UV台帐'!B:AL,15,0)</f>
        <v>233</v>
      </c>
      <c r="G21" s="508" t="s">
        <f>VLOOKUP(B21,'UV台帐'!B:AL,16,0)</f>
        <v>234</v>
      </c>
      <c r="H21" s="508" t="s">
        <f>VLOOKUP(B21,'UV台帐'!B:AL,17,0)</f>
        <v>101</v>
      </c>
      <c r="I21" s="508" t="s">
        <f>VLOOKUP(B21,'UV台帐'!B:AL,18,0)</f>
        <v>165</v>
      </c>
      <c r="J21" s="508" t="s">
        <f>VLOOKUP(B21,'UV台帐'!B:AL,22,0)</f>
        <v>49</v>
      </c>
      <c r="K21" s="508" t="s">
        <f>VLOOKUP(B21,'UV台帐'!B:AL,24,0)</f>
        <v>215</v>
      </c>
      <c r="L21" s="508" t="s">
        <f>VLOOKUP(B21,'UV台帐'!B:AL,26,0)</f>
        <v>101</v>
      </c>
      <c r="M21" s="508" t="s">
        <f>VLOOKUP(B21,'UV台帐'!B:AL,27,0)</f>
        <v>165</v>
      </c>
      <c r="N21" s="508" t="s">
        <f>VLOOKUP(B21,'UV台帐'!B:AL,31,0)</f>
        <v>56</v>
      </c>
      <c r="O21" s="508" t="s">
        <f>VLOOKUP(B21,'UV台帐'!B:AL,33,0)</f>
        <v>216</v>
      </c>
      <c r="P21" s="508" t="s">
        <f>VLOOKUP(B21,'UV台帐'!B:AL,35,0)</f>
        <v>101</v>
      </c>
      <c r="Q21" s="508" t="s">
        <f>VLOOKUP(B21,'UV台帐'!B:AL,36,0)</f>
        <v>165</v>
      </c>
      <c r="R21" s="104" t="s">
        <v>217</v>
      </c>
      <c r="S21" s="104" t="s">
        <v>28</v>
      </c>
      <c r="T21" s="104" t="s">
        <v>218</v>
      </c>
      <c r="U21" s="104" t="s">
        <v>217</v>
      </c>
      <c r="V21" s="332" t="s">
        <v>370</v>
      </c>
      <c r="W21" s="332" t="s">
        <v>371</v>
      </c>
      <c r="X21" s="332" t="s">
        <v>372</v>
      </c>
      <c r="Y21" s="332" t="s">
        <v>373</v>
      </c>
      <c r="Z21" s="171" t="s">
        <v>374</v>
      </c>
      <c r="AA21" s="332" t="s">
        <v>223</v>
      </c>
      <c r="AB21" s="600" t="s">
        <v>375</v>
      </c>
      <c r="AC21" s="332" t="s">
        <v>169</v>
      </c>
      <c r="AD21" s="332" t="s">
        <v>376</v>
      </c>
      <c r="AE21" s="332" t="s">
        <v>240</v>
      </c>
      <c r="AF21" s="332" t="s">
        <v>241</v>
      </c>
      <c r="AG21" s="332" t="s">
        <v>228</v>
      </c>
      <c r="AH21" s="332" t="s">
        <v>228</v>
      </c>
      <c r="AI21" s="332" t="s">
        <v>230</v>
      </c>
      <c r="AJ21" s="332" t="s">
        <v>242</v>
      </c>
      <c r="AK21" s="104" t="s">
        <v>35</v>
      </c>
      <c r="AL21" s="104" t="s">
        <v>217</v>
      </c>
      <c r="AM21" s="104"/>
      <c r="AN21" s="5"/>
      <c r="AO21" s="5"/>
      <c r="AP21" s="5"/>
      <c r="AQ21" s="5"/>
      <c r="AR21" s="5"/>
      <c r="AS21" s="5"/>
      <c r="AT21" s="5"/>
      <c r="AW21" s="5"/>
      <c r="BA21" s="5"/>
      <c r="BF21" s="104" t="s">
        <v>57</v>
      </c>
      <c r="BG21" s="104" t="s">
        <f>VLOOKUP(B21,'UV台帐'!B:G,6,0)</f>
        <v>377</v>
      </c>
      <c r="BH21" s="104"/>
      <c r="BR21" s="104" t="n">
        <f>COUNTIFS(H21,"一期",I21,"在读")+COUNTIFS(L21,"一期",M21,"在读")+COUNTIFS(P21,"一期",Q21,"在读")</f>
        <v>0</v>
      </c>
      <c r="BS21" s="104" t="n">
        <f>BR21-BW21</f>
        <v>0</v>
      </c>
      <c r="BT21" s="209" t="s">
        <f>VLOOKUP(B21,'UV台帐'!B:AL,19,0)</f>
        <v>116</v>
      </c>
      <c r="BU21" s="209" t="s">
        <f>VLOOKUP(B21,'UV台帐'!B:AL,28,0)</f>
        <v>116</v>
      </c>
      <c r="BV21" s="209" t="s">
        <f>VLOOKUP(B21,'UV台帐'!B:AL,37,0)</f>
        <v>116</v>
      </c>
      <c r="BW21" s="104" t="n">
        <f>COUNTIFS(H21,"一期",BT21,"是")+COUNTIFS(L21,"一期",BU21,"是")+COUNTIFS(P21,"一期",BV21,"是")</f>
        <v>0</v>
      </c>
      <c r="CA21" s="16" t="n">
        <v>4070489080</v>
      </c>
    </row>
    <row r="22" ht="26.25" customHeight="1">
      <c r="A22" s="104" t="s">
        <v>45</v>
      </c>
      <c r="B22" s="104" t="n">
        <v>2558217051</v>
      </c>
      <c r="C22" s="508" t="s">
        <f>VLOOKUP(B22,'UV台帐'!B:AL,2,0)</f>
        <v>378</v>
      </c>
      <c r="D22" s="508" t="s">
        <f>VLOOKUP(B22,'UV台帐'!B:AL,3,0)</f>
        <v>46</v>
      </c>
      <c r="E22" s="508" t="s">
        <f>VLOOKUP(B22,'UV台帐'!B:AL,13,0)</f>
        <v>37</v>
      </c>
      <c r="F22" s="508" t="s">
        <f>VLOOKUP(B22,'UV台帐'!B:AL,15,0)</f>
        <v>233</v>
      </c>
      <c r="G22" s="508" t="s">
        <f>VLOOKUP(B22,'UV台帐'!B:AL,16,0)</f>
        <v>283</v>
      </c>
      <c r="H22" s="508" t="s">
        <f>VLOOKUP(B22,'UV台帐'!B:AL,17,0)</f>
        <v>65</v>
      </c>
      <c r="I22" s="508" t="s">
        <f>VLOOKUP(B22,'UV台帐'!B:AL,18,0)</f>
        <v>165</v>
      </c>
      <c r="J22" s="508" t="s">
        <f>VLOOKUP(B22,'UV台帐'!B:AL,22,0)</f>
        <v>49</v>
      </c>
      <c r="K22" s="508" t="s">
        <f>VLOOKUP(B22,'UV台帐'!B:AL,24,0)</f>
        <v>215</v>
      </c>
      <c r="L22" s="508" t="s">
        <f>VLOOKUP(B22,'UV台帐'!B:AL,26,0)</f>
        <v>65</v>
      </c>
      <c r="M22" s="508" t="s">
        <f>VLOOKUP(B22,'UV台帐'!B:AL,27,0)</f>
        <v>165</v>
      </c>
      <c r="N22" s="508" t="s">
        <f>VLOOKUP(B22,'UV台帐'!B:AL,31,0)</f>
        <v>58</v>
      </c>
      <c r="O22" s="508" t="s">
        <f>VLOOKUP(B22,'UV台帐'!B:AL,33,0)</f>
        <v>216</v>
      </c>
      <c r="P22" s="508" t="s">
        <f>VLOOKUP(B22,'UV台帐'!B:AL,35,0)</f>
        <v>65</v>
      </c>
      <c r="Q22" s="508" t="s">
        <f>VLOOKUP(B22,'UV台帐'!B:AL,36,0)</f>
        <v>165</v>
      </c>
      <c r="R22" s="104" t="s">
        <v>217</v>
      </c>
      <c r="S22" s="104" t="s">
        <v>28</v>
      </c>
      <c r="T22" s="104"/>
      <c r="U22" s="104" t="s">
        <v>217</v>
      </c>
      <c r="V22" s="332" t="s">
        <v>379</v>
      </c>
      <c r="W22" s="332" t="s">
        <v>380</v>
      </c>
      <c r="X22" s="332" t="s">
        <v>381</v>
      </c>
      <c r="Y22" s="332" t="s">
        <v>382</v>
      </c>
      <c r="Z22" s="171" t="s">
        <v>383</v>
      </c>
      <c r="AA22" s="332" t="s">
        <v>223</v>
      </c>
      <c r="AB22" s="601" t="s">
        <v>384</v>
      </c>
      <c r="AC22" s="332" t="s">
        <v>289</v>
      </c>
      <c r="AD22" s="332" t="s">
        <v>385</v>
      </c>
      <c r="AE22" s="332" t="s">
        <v>240</v>
      </c>
      <c r="AF22" s="332" t="s">
        <v>241</v>
      </c>
      <c r="AG22" s="332" t="s">
        <v>228</v>
      </c>
      <c r="AH22" s="332" t="s">
        <v>229</v>
      </c>
      <c r="AI22" s="332" t="s">
        <v>230</v>
      </c>
      <c r="AJ22" s="332" t="s">
        <v>242</v>
      </c>
      <c r="AK22" s="104" t="s">
        <v>49</v>
      </c>
      <c r="AL22" s="104"/>
      <c r="AM22" s="104"/>
      <c r="AN22" s="5"/>
      <c r="AO22" s="5"/>
      <c r="AP22" s="5"/>
      <c r="AQ22" s="5"/>
      <c r="AR22" s="5"/>
      <c r="AS22" s="5"/>
      <c r="AT22" s="5"/>
      <c r="AU22" s="104"/>
      <c r="AV22" s="104"/>
      <c r="AW22" s="5"/>
      <c r="AX22" s="104"/>
      <c r="AY22" s="104"/>
      <c r="AZ22" s="104"/>
      <c r="BA22" s="5"/>
      <c r="BB22" s="104"/>
      <c r="BC22" s="104"/>
      <c r="BF22" s="104" t="s">
        <v>46</v>
      </c>
      <c r="BG22" s="104" t="n">
        <f>VLOOKUP(B22,'UV台帐'!B:G,6,0)</f>
        <v>0</v>
      </c>
      <c r="BH22" s="104" t="s">
        <v>386</v>
      </c>
      <c r="BR22" s="104" t="n">
        <f>COUNTIFS(H22,"一期",I22,"在读")+COUNTIFS(L22,"一期",M22,"在读")+COUNTIFS(P22,"一期",Q22,"在读")</f>
        <v>3</v>
      </c>
      <c r="BS22" s="104" t="n">
        <f>BR22-BW22</f>
        <v>3</v>
      </c>
      <c r="BT22" s="209" t="s">
        <f>VLOOKUP(B22,'UV台帐'!B:AL,19,0)</f>
        <v>116</v>
      </c>
      <c r="BU22" s="209" t="s">
        <f>VLOOKUP(B22,'UV台帐'!B:AL,28,0)</f>
        <v>116</v>
      </c>
      <c r="BV22" s="209" t="s">
        <f>VLOOKUP(B22,'UV台帐'!B:AL,37,0)</f>
        <v>116</v>
      </c>
      <c r="BW22" s="104" t="n">
        <f>COUNTIFS(H22,"一期",BT22,"是")+COUNTIFS(L22,"一期",BU22,"是")+COUNTIFS(P22,"一期",BV22,"是")</f>
        <v>0</v>
      </c>
      <c r="CA22" s="16" t="n">
        <v>4773663119</v>
      </c>
    </row>
    <row r="23" ht="26.25" customHeight="1">
      <c r="A23" s="104" t="s">
        <v>54</v>
      </c>
      <c r="B23" s="104" t="n">
        <v>2563540579</v>
      </c>
      <c r="C23" s="508" t="s">
        <f>VLOOKUP(B23,'UV台帐'!B:AL,2,0)</f>
        <v>387</v>
      </c>
      <c r="D23" s="508" t="s">
        <f>VLOOKUP(B23,'UV台帐'!B:AL,3,0)</f>
        <v>57</v>
      </c>
      <c r="E23" s="508" t="s">
        <f>VLOOKUP(B23,'UV台帐'!B:AL,13,0)</f>
        <v>35</v>
      </c>
      <c r="F23" s="508" t="s">
        <f>VLOOKUP(B23,'UV台帐'!B:AL,15,0)</f>
        <v>216</v>
      </c>
      <c r="G23" s="508" t="s">
        <f>VLOOKUP(B23,'UV台帐'!B:AL,16,0)</f>
        <v>283</v>
      </c>
      <c r="H23" s="508" t="s">
        <f>VLOOKUP(B23,'UV台帐'!B:AL,17,0)</f>
        <v>65</v>
      </c>
      <c r="I23" s="508" t="s">
        <f>VLOOKUP(B23,'UV台帐'!B:AL,18,0)</f>
        <v>165</v>
      </c>
      <c r="J23" s="508" t="s">
        <f>VLOOKUP(B23,'UV台帐'!B:AL,22,0)</f>
        <v>49</v>
      </c>
      <c r="K23" s="508" t="s">
        <f>VLOOKUP(B23,'UV台帐'!B:AL,24,0)</f>
        <v>233</v>
      </c>
      <c r="L23" s="508" t="s">
        <f>VLOOKUP(B23,'UV台帐'!B:AL,26,0)</f>
        <v>65</v>
      </c>
      <c r="M23" s="508" t="s">
        <f>VLOOKUP(B23,'UV台帐'!B:AL,27,0)</f>
        <v>165</v>
      </c>
      <c r="N23" s="508" t="s">
        <f>VLOOKUP(B23,'UV台帐'!B:AL,31,0)</f>
        <v>56</v>
      </c>
      <c r="O23" s="508" t="s">
        <f>VLOOKUP(B23,'UV台帐'!B:AL,33,0)</f>
        <v>215</v>
      </c>
      <c r="P23" s="508" t="s">
        <f>VLOOKUP(B23,'UV台帐'!B:AL,35,0)</f>
        <v>65</v>
      </c>
      <c r="Q23" s="508" t="s">
        <f>VLOOKUP(B23,'UV台帐'!B:AL,36,0)</f>
        <v>165</v>
      </c>
      <c r="R23" s="104" t="s">
        <v>217</v>
      </c>
      <c r="S23" s="213" t="s">
        <v>25</v>
      </c>
      <c r="T23" s="20" t="s">
        <v>217</v>
      </c>
      <c r="U23" s="104" t="s">
        <v>217</v>
      </c>
      <c r="V23" s="99" t="s">
        <v>388</v>
      </c>
      <c r="W23" s="99" t="s">
        <v>389</v>
      </c>
      <c r="X23" s="99" t="s">
        <v>390</v>
      </c>
      <c r="Y23" s="99" t="s">
        <v>391</v>
      </c>
      <c r="Z23" s="321" t="s">
        <v>392</v>
      </c>
      <c r="AA23" s="183" t="s">
        <v>223</v>
      </c>
      <c r="AB23" s="602" t="s">
        <v>393</v>
      </c>
      <c r="AC23" s="195" t="s">
        <v>289</v>
      </c>
      <c r="AD23" s="195" t="s">
        <v>394</v>
      </c>
      <c r="AE23" s="195" t="s">
        <v>253</v>
      </c>
      <c r="AF23" s="195" t="s">
        <v>306</v>
      </c>
      <c r="AG23" s="195" t="s">
        <v>228</v>
      </c>
      <c r="AH23" s="195" t="s">
        <v>315</v>
      </c>
      <c r="AI23" s="195" t="s">
        <v>254</v>
      </c>
      <c r="AJ23" s="195" t="s">
        <v>316</v>
      </c>
      <c r="AK23" s="104" t="s">
        <v>35</v>
      </c>
      <c r="AL23" s="104" t="s">
        <v>217</v>
      </c>
      <c r="AM23" s="104"/>
      <c r="AN23" s="5"/>
      <c r="AO23" s="5"/>
      <c r="AP23" s="5"/>
      <c r="AQ23" s="5"/>
      <c r="AR23" s="5"/>
      <c r="AS23" s="5"/>
      <c r="AT23" s="5"/>
      <c r="AU23" s="104"/>
      <c r="AV23" s="104"/>
      <c r="AW23" s="5"/>
      <c r="AX23" s="104"/>
      <c r="AY23" s="104"/>
      <c r="AZ23" s="104"/>
      <c r="BA23" s="5"/>
      <c r="BB23" s="104"/>
      <c r="BC23" s="104"/>
      <c r="BD23" s="508"/>
      <c r="BE23" s="508"/>
      <c r="BF23" s="104" t="s">
        <v>57</v>
      </c>
      <c r="BG23" s="104" t="n">
        <f>VLOOKUP(B23,'UV台帐'!B:G,6,0)</f>
        <v>0</v>
      </c>
      <c r="BH23" s="104" t="s">
        <v>395</v>
      </c>
      <c r="BR23" s="104" t="n">
        <f>COUNTIFS(H23,"一期",I23,"在读")+COUNTIFS(L23,"一期",M23,"在读")+COUNTIFS(P23,"一期",Q23,"在读")</f>
        <v>3</v>
      </c>
      <c r="BS23" s="104" t="n">
        <f>BR23-BW23</f>
        <v>3</v>
      </c>
      <c r="BT23" s="209" t="s">
        <f>VLOOKUP(B23,'UV台帐'!B:AL,19,0)</f>
        <v>116</v>
      </c>
      <c r="BU23" s="209" t="s">
        <f>VLOOKUP(B23,'UV台帐'!B:AL,28,0)</f>
        <v>116</v>
      </c>
      <c r="BV23" s="209" t="s">
        <f>VLOOKUP(B23,'UV台帐'!B:AL,37,0)</f>
        <v>116</v>
      </c>
      <c r="BW23" s="104" t="n">
        <f>COUNTIFS(H23,"一期",BT23,"是")+COUNTIFS(L23,"一期",BU23,"是")+COUNTIFS(P23,"一期",BV23,"是")</f>
        <v>0</v>
      </c>
      <c r="CA23" s="16" t="n">
        <v>4090630208</v>
      </c>
    </row>
    <row r="24" ht="26.25" customHeight="1">
      <c r="A24" s="104" t="s">
        <v>54</v>
      </c>
      <c r="B24" s="104" t="n">
        <v>4847554796</v>
      </c>
      <c r="C24" s="508" t="s">
        <f>VLOOKUP(B24,'UV台帐'!B:AL,2,0)</f>
        <v>396</v>
      </c>
      <c r="D24" s="508" t="s">
        <f>VLOOKUP(B24,'UV台帐'!B:AL,3,0)</f>
        <v>59</v>
      </c>
      <c r="E24" s="288" t="s">
        <f>VLOOKUP(B24,'UV台帐'!B:AL,13,0)</f>
        <v>116</v>
      </c>
      <c r="F24" s="288" t="s">
        <f>VLOOKUP(B24,'UV台帐'!B:AL,15,0)</f>
        <v>116</v>
      </c>
      <c r="G24" s="288" t="s">
        <f>VLOOKUP(B24,'UV台帐'!B:AL,16,0)</f>
        <v>116</v>
      </c>
      <c r="H24" s="288" t="s">
        <f>VLOOKUP(B24,'UV台帐'!B:AL,17,0)</f>
        <v>116</v>
      </c>
      <c r="I24" s="288" t="s">
        <f>VLOOKUP(B24,'UV台帐'!B:AL,18,0)</f>
        <v>116</v>
      </c>
      <c r="J24" s="508" t="s">
        <f>VLOOKUP(B24,'UV台帐'!B:AL,22,0)</f>
        <v>47</v>
      </c>
      <c r="K24" s="508" t="s">
        <f>VLOOKUP(B24,'UV台帐'!B:AL,24,0)</f>
        <v>216</v>
      </c>
      <c r="L24" s="508" t="s">
        <f>VLOOKUP(B24,'UV台帐'!B:AL,26,0)</f>
        <v>65</v>
      </c>
      <c r="M24" s="508" t="s">
        <f>VLOOKUP(B24,'UV台帐'!B:AL,27,0)</f>
        <v>165</v>
      </c>
      <c r="N24" s="288" t="s">
        <f>VLOOKUP(B24,'UV台帐'!B:AL,31,0)</f>
        <v>116</v>
      </c>
      <c r="O24" s="288" t="s">
        <f>VLOOKUP(B24,'UV台帐'!B:AL,33,0)</f>
        <v>116</v>
      </c>
      <c r="P24" s="288" t="s">
        <f>VLOOKUP(B24,'UV台帐'!B:AL,35,0)</f>
        <v>116</v>
      </c>
      <c r="Q24" s="288" t="s">
        <f>VLOOKUP(B24,'UV台帐'!B:AL,36,0)</f>
        <v>116</v>
      </c>
      <c r="R24" s="104" t="s">
        <v>217</v>
      </c>
      <c r="S24" s="104" t="s">
        <v>28</v>
      </c>
      <c r="T24" s="104" t="s">
        <v>218</v>
      </c>
      <c r="U24" s="104" t="s">
        <v>217</v>
      </c>
      <c r="V24" s="332" t="s">
        <v>397</v>
      </c>
      <c r="W24" s="332" t="s">
        <v>398</v>
      </c>
      <c r="X24" s="466" t="s">
        <v>399</v>
      </c>
      <c r="Y24" s="466" t="s">
        <v>400</v>
      </c>
      <c r="Z24" s="466" t="s">
        <v>401</v>
      </c>
      <c r="AA24" s="332" t="s">
        <v>223</v>
      </c>
      <c r="AB24" s="603" t="s">
        <v>402</v>
      </c>
      <c r="AC24" s="332" t="s">
        <v>168</v>
      </c>
      <c r="AD24" s="332" t="s">
        <v>403</v>
      </c>
      <c r="AE24" s="332" t="s">
        <v>240</v>
      </c>
      <c r="AF24" s="332" t="s">
        <v>306</v>
      </c>
      <c r="AG24" s="332" t="s">
        <v>404</v>
      </c>
      <c r="AH24" s="332" t="s">
        <v>229</v>
      </c>
      <c r="AI24" s="332" t="s">
        <v>254</v>
      </c>
      <c r="AJ24" s="332" t="s">
        <v>255</v>
      </c>
      <c r="AK24" s="104" t="s">
        <v>47</v>
      </c>
      <c r="AL24" s="104"/>
      <c r="AM24" s="104"/>
      <c r="AN24" s="5"/>
      <c r="AO24" s="5"/>
      <c r="AP24" s="5"/>
      <c r="AQ24" s="5"/>
      <c r="AR24" s="5"/>
      <c r="AS24" s="5"/>
      <c r="AT24" s="5"/>
      <c r="AU24" s="104"/>
      <c r="AV24" s="104"/>
      <c r="AW24" s="5"/>
      <c r="AX24" s="104"/>
      <c r="AY24" s="104"/>
      <c r="AZ24" s="104"/>
      <c r="BA24" s="5"/>
      <c r="BB24" s="104"/>
      <c r="BC24" s="104"/>
      <c r="BF24" s="104" t="s">
        <v>59</v>
      </c>
      <c r="BG24" s="104" t="s">
        <f>VLOOKUP(B24,'UV台帐'!B:G,6,0)</f>
        <v>405</v>
      </c>
      <c r="BH24" s="104"/>
      <c r="BR24" s="104" t="n">
        <f>COUNTIFS(H24,"一期",I24,"在读")+COUNTIFS(L24,"一期",M24,"在读")+COUNTIFS(P24,"一期",Q24,"在读")</f>
        <v>1</v>
      </c>
      <c r="BS24" s="104" t="n">
        <f>BR24-BW24</f>
        <v>1</v>
      </c>
      <c r="BT24" s="209" t="s">
        <f>VLOOKUP(B24,'UV台帐'!B:AL,19,0)</f>
        <v>116</v>
      </c>
      <c r="BU24" s="209" t="s">
        <f>VLOOKUP(B24,'UV台帐'!B:AL,28,0)</f>
        <v>116</v>
      </c>
      <c r="BV24" s="209" t="s">
        <f>VLOOKUP(B24,'UV台帐'!B:AL,37,0)</f>
        <v>116</v>
      </c>
      <c r="BW24" s="104" t="n">
        <f>COUNTIFS(H24,"一期",BT24,"是")+COUNTIFS(L24,"一期",BU24,"是")+COUNTIFS(P24,"一期",BV24,"是")</f>
        <v>0</v>
      </c>
      <c r="CA24" s="16" t="n">
        <v>2922308038</v>
      </c>
    </row>
    <row r="25" ht="26.25" customHeight="1">
      <c r="A25" s="104" t="s">
        <v>45</v>
      </c>
      <c r="B25" s="104" t="n">
        <v>4315733010</v>
      </c>
      <c r="C25" s="508" t="s">
        <f>VLOOKUP(B25,'UV台帐'!B:AL,2,0)</f>
        <v>406</v>
      </c>
      <c r="D25" s="508" t="s">
        <f>VLOOKUP(B25,'UV台帐'!B:AL,3,0)</f>
        <v>48</v>
      </c>
      <c r="E25" s="508" t="s">
        <f>VLOOKUP(B25,'UV台帐'!B:AL,13,0)</f>
        <v>37</v>
      </c>
      <c r="F25" s="508" t="s">
        <f>VLOOKUP(B25,'UV台帐'!B:AL,15,0)</f>
        <v>215</v>
      </c>
      <c r="G25" s="508" t="s">
        <f>VLOOKUP(B25,'UV台帐'!B:AL,16,0)</f>
        <v>283</v>
      </c>
      <c r="H25" s="508" t="s">
        <f>VLOOKUP(B25,'UV台帐'!B:AL,17,0)</f>
        <v>101</v>
      </c>
      <c r="I25" s="508" t="s">
        <f>VLOOKUP(B25,'UV台帐'!B:AL,18,0)</f>
        <v>165</v>
      </c>
      <c r="J25" s="508" t="s">
        <f>VLOOKUP(B25,'UV台帐'!B:AL,22,0)</f>
        <v>49</v>
      </c>
      <c r="K25" s="508" t="s">
        <f>VLOOKUP(B25,'UV台帐'!B:AL,24,0)</f>
        <v>215</v>
      </c>
      <c r="L25" s="508" t="s">
        <f>VLOOKUP(B25,'UV台帐'!B:AL,26,0)</f>
        <v>101</v>
      </c>
      <c r="M25" s="508" t="s">
        <f>VLOOKUP(B25,'UV台帐'!B:AL,27,0)</f>
        <v>165</v>
      </c>
      <c r="N25" s="508" t="s">
        <f>VLOOKUP(B25,'UV台帐'!B:AL,31,0)</f>
        <v>58</v>
      </c>
      <c r="O25" s="508" t="s">
        <f>VLOOKUP(B25,'UV台帐'!B:AL,33,0)</f>
        <v>215</v>
      </c>
      <c r="P25" s="508" t="s">
        <f>VLOOKUP(B25,'UV台帐'!B:AL,35,0)</f>
        <v>101</v>
      </c>
      <c r="Q25" s="508" t="s">
        <f>VLOOKUP(B25,'UV台帐'!B:AL,36,0)</f>
        <v>165</v>
      </c>
      <c r="R25" s="104" t="s">
        <v>217</v>
      </c>
      <c r="S25" s="104" t="s">
        <v>28</v>
      </c>
      <c r="T25" s="104" t="s">
        <v>217</v>
      </c>
      <c r="U25" s="104" t="s">
        <v>217</v>
      </c>
      <c r="V25" s="332" t="s">
        <v>407</v>
      </c>
      <c r="W25" s="466" t="s">
        <v>408</v>
      </c>
      <c r="X25" s="332"/>
      <c r="Y25" s="332" t="s">
        <v>409</v>
      </c>
      <c r="Z25" s="171" t="s">
        <v>367</v>
      </c>
      <c r="AA25" s="332" t="s">
        <v>223</v>
      </c>
      <c r="AB25" s="466" t="s">
        <v>410</v>
      </c>
      <c r="AC25" s="332" t="s">
        <v>289</v>
      </c>
      <c r="AD25" s="332" t="s">
        <v>280</v>
      </c>
      <c r="AE25" s="332" t="s">
        <v>240</v>
      </c>
      <c r="AF25" s="332" t="s">
        <v>241</v>
      </c>
      <c r="AG25" s="332" t="s">
        <v>228</v>
      </c>
      <c r="AH25" s="332" t="s">
        <v>229</v>
      </c>
      <c r="AI25" s="332" t="s">
        <v>230</v>
      </c>
      <c r="AJ25" s="332" t="s">
        <v>242</v>
      </c>
      <c r="AK25" s="104" t="s">
        <v>49</v>
      </c>
      <c r="AL25" s="104"/>
      <c r="AM25" s="104"/>
      <c r="AN25" s="5"/>
      <c r="AO25" s="5"/>
      <c r="AP25" s="5"/>
      <c r="AQ25" s="5"/>
      <c r="AR25" s="5"/>
      <c r="AS25" s="5"/>
      <c r="AT25" s="5"/>
      <c r="AU25" s="508"/>
      <c r="AV25" s="508"/>
      <c r="AW25" s="5"/>
      <c r="AX25" s="508"/>
      <c r="AY25" s="508"/>
      <c r="AZ25" s="508"/>
      <c r="BA25" s="5"/>
      <c r="BB25" s="508"/>
      <c r="BC25" s="508"/>
      <c r="BF25" s="104" t="s">
        <v>48</v>
      </c>
      <c r="BG25" s="104" t="n">
        <f>VLOOKUP(B25,'UV台帐'!B:G,6,0)</f>
        <v>0</v>
      </c>
      <c r="BH25" s="104"/>
      <c r="BR25" s="104" t="n">
        <f>COUNTIFS(H25,"一期",I25,"在读")+COUNTIFS(L25,"一期",M25,"在读")+COUNTIFS(P25,"一期",Q25,"在读")</f>
        <v>0</v>
      </c>
      <c r="BS25" s="104" t="n">
        <f>BR25-BW25</f>
        <v>0</v>
      </c>
      <c r="BT25" s="209" t="s">
        <f>VLOOKUP(B25,'UV台帐'!B:AL,19,0)</f>
        <v>116</v>
      </c>
      <c r="BU25" s="209" t="s">
        <f>VLOOKUP(B25,'UV台帐'!B:AL,28,0)</f>
        <v>116</v>
      </c>
      <c r="BV25" s="209" t="s">
        <f>VLOOKUP(B25,'UV台帐'!B:AL,37,0)</f>
        <v>116</v>
      </c>
      <c r="BW25" s="104" t="n">
        <f>COUNTIFS(H25,"一期",BT25,"是")+COUNTIFS(L25,"一期",BU25,"是")+COUNTIFS(P25,"一期",BV25,"是")</f>
        <v>0</v>
      </c>
      <c r="CA25" s="16" t="n">
        <v>4060101914</v>
      </c>
    </row>
    <row r="26" ht="26.25" customHeight="1">
      <c r="A26" s="104" t="s">
        <v>45</v>
      </c>
      <c r="B26" s="104" t="n">
        <v>4522580433</v>
      </c>
      <c r="C26" s="508" t="s">
        <f>VLOOKUP(B26,'UV台帐'!B:AL,2,0)</f>
        <v>411</v>
      </c>
      <c r="D26" s="508" t="s">
        <f>VLOOKUP(B26,'UV台帐'!B:AL,3,0)</f>
        <v>50</v>
      </c>
      <c r="E26" s="508" t="s">
        <f>VLOOKUP(B26,'UV台帐'!B:AL,13,0)</f>
        <v>31</v>
      </c>
      <c r="F26" s="508" t="s">
        <f>VLOOKUP(B26,'UV台帐'!B:AL,15,0)</f>
        <v>216</v>
      </c>
      <c r="G26" s="508" t="s">
        <f>VLOOKUP(B26,'UV台帐'!B:AL,16,0)</f>
        <v>234</v>
      </c>
      <c r="H26" s="508" t="s">
        <f>VLOOKUP(B26,'UV台帐'!B:AL,17,0)</f>
        <v>65</v>
      </c>
      <c r="I26" s="508" t="s">
        <f>VLOOKUP(B26,'UV台帐'!B:AL,18,0)</f>
        <v>165</v>
      </c>
      <c r="J26" s="288" t="s">
        <f>VLOOKUP(B26,'UV台帐'!B:AL,22,0)</f>
        <v>47</v>
      </c>
      <c r="K26" s="288" t="s">
        <f>VLOOKUP(B26,'UV台帐'!B:AL,24,0)</f>
        <v>215</v>
      </c>
      <c r="L26" s="288" t="s">
        <f>VLOOKUP(B26,'UV台帐'!B:AL,26,0)</f>
        <v>100</v>
      </c>
      <c r="M26" s="288" t="s">
        <f>VLOOKUP(B26,'UV台帐'!B:AL,27,0)</f>
        <v>165</v>
      </c>
      <c r="N26" s="508" t="s">
        <f>VLOOKUP(B26,'UV台帐'!B:AL,31,0)</f>
        <v>58</v>
      </c>
      <c r="O26" s="508" t="s">
        <f>VLOOKUP(B26,'UV台帐'!B:AL,33,0)</f>
        <v>233</v>
      </c>
      <c r="P26" s="508" t="s">
        <f>VLOOKUP(B26,'UV台帐'!B:AL,35,0)</f>
        <v>65</v>
      </c>
      <c r="Q26" s="508" t="s">
        <f>VLOOKUP(B26,'UV台帐'!B:AL,36,0)</f>
        <v>165</v>
      </c>
      <c r="R26" s="104" t="s">
        <v>217</v>
      </c>
      <c r="S26" s="104" t="s">
        <v>27</v>
      </c>
      <c r="T26" s="104" t="s">
        <v>217</v>
      </c>
      <c r="U26" s="104" t="s">
        <v>218</v>
      </c>
      <c r="V26" s="332" t="s">
        <v>325</v>
      </c>
      <c r="W26" s="332" t="s">
        <v>412</v>
      </c>
      <c r="X26" s="332" t="s">
        <v>413</v>
      </c>
      <c r="Y26" s="466" t="s">
        <v>414</v>
      </c>
      <c r="Z26" s="604" t="s">
        <v>415</v>
      </c>
      <c r="AA26" s="332" t="s">
        <v>223</v>
      </c>
      <c r="AB26" s="332" t="s">
        <v>416</v>
      </c>
      <c r="AC26" s="332" t="s">
        <v>289</v>
      </c>
      <c r="AD26" s="332" t="s">
        <v>385</v>
      </c>
      <c r="AE26" s="332" t="s">
        <v>240</v>
      </c>
      <c r="AF26" s="332" t="s">
        <v>306</v>
      </c>
      <c r="AG26" s="332" t="s">
        <v>266</v>
      </c>
      <c r="AH26" s="332" t="s">
        <v>315</v>
      </c>
      <c r="AI26" s="332" t="s">
        <v>230</v>
      </c>
      <c r="AJ26" s="332" t="s">
        <v>255</v>
      </c>
      <c r="AK26" s="104" t="s">
        <v>58</v>
      </c>
      <c r="AL26" s="104" t="s">
        <v>217</v>
      </c>
      <c r="AM26" s="104"/>
      <c r="AN26" s="5"/>
      <c r="AO26" s="5"/>
      <c r="AP26" s="5"/>
      <c r="AQ26" s="5"/>
      <c r="AR26" s="5"/>
      <c r="AS26" s="5"/>
      <c r="AT26" s="5"/>
      <c r="AU26" s="104"/>
      <c r="AV26" s="104"/>
      <c r="AW26" s="5"/>
      <c r="AX26" s="104"/>
      <c r="AY26" s="104"/>
      <c r="AZ26" s="104"/>
      <c r="BA26" s="5"/>
      <c r="BB26" s="104"/>
      <c r="BC26" s="104"/>
      <c r="BF26" s="104" t="s">
        <v>50</v>
      </c>
      <c r="BG26" s="104" t="n">
        <f>VLOOKUP(B26,'UV台帐'!B:G,6,0)</f>
        <v>0</v>
      </c>
      <c r="BH26" s="104" t="s">
        <v>325</v>
      </c>
      <c r="BR26" s="104" t="n">
        <f>COUNTIFS(H26,"一期",I26,"在读")+COUNTIFS(L26,"一期",M26,"在读")+COUNTIFS(P26,"一期",Q26,"在读")</f>
        <v>2</v>
      </c>
      <c r="BS26" s="104" t="n">
        <f>BR26-BW26</f>
        <v>2</v>
      </c>
      <c r="BT26" s="209" t="s">
        <f>VLOOKUP(B26,'UV台帐'!B:AL,19,0)</f>
        <v>116</v>
      </c>
      <c r="BU26" s="209" t="s">
        <f>VLOOKUP(B26,'UV台帐'!B:AL,28,0)</f>
        <v>116</v>
      </c>
      <c r="BV26" s="209" t="s">
        <f>VLOOKUP(B26,'UV台帐'!B:AL,37,0)</f>
        <v>116</v>
      </c>
      <c r="BW26" s="104" t="n">
        <f>COUNTIFS(H26,"一期",BT26,"是")+COUNTIFS(L26,"一期",BU26,"是")+COUNTIFS(P26,"一期",BV26,"是")</f>
        <v>0</v>
      </c>
      <c r="CA26" s="16" t="n">
        <v>2553608227</v>
      </c>
    </row>
    <row r="27" ht="26.25" customHeight="1">
      <c r="A27" s="104" t="s">
        <v>54</v>
      </c>
      <c r="B27" s="104" t="n">
        <v>4016827369</v>
      </c>
      <c r="C27" s="508" t="s">
        <f>VLOOKUP(B27,'UV台帐'!B:AL,2,0)</f>
        <v>417</v>
      </c>
      <c r="D27" s="508" t="s">
        <f>VLOOKUP(B27,'UV台帐'!B:AL,3,0)</f>
        <v>38</v>
      </c>
      <c r="E27" s="508" t="s">
        <f>VLOOKUP(B27,'UV台帐'!B:AL,13,0)</f>
        <v>35</v>
      </c>
      <c r="F27" s="508" t="s">
        <f>VLOOKUP(B27,'UV台帐'!B:AL,15,0)</f>
        <v>245</v>
      </c>
      <c r="G27" s="508" t="s">
        <f>VLOOKUP(B27,'UV台帐'!B:AL,16,0)</f>
        <v>234</v>
      </c>
      <c r="H27" s="508" t="s">
        <f>VLOOKUP(B27,'UV台帐'!B:AL,17,0)</f>
        <v>65</v>
      </c>
      <c r="I27" s="508" t="s">
        <f>VLOOKUP(B27,'UV台帐'!B:AL,18,0)</f>
        <v>165</v>
      </c>
      <c r="J27" s="508" t="s">
        <f>VLOOKUP(B27,'UV台帐'!B:AL,22,0)</f>
        <v>47</v>
      </c>
      <c r="K27" s="508" t="s">
        <f>VLOOKUP(B27,'UV台帐'!B:AL,24,0)</f>
        <v>216</v>
      </c>
      <c r="L27" s="508" t="s">
        <f>VLOOKUP(B27,'UV台帐'!B:AL,26,0)</f>
        <v>65</v>
      </c>
      <c r="M27" s="508" t="s">
        <f>VLOOKUP(B27,'UV台帐'!B:AL,27,0)</f>
        <v>165</v>
      </c>
      <c r="N27" s="288" t="s">
        <f>VLOOKUP(B27,'UV台帐'!B:AL,31,0)</f>
        <v>58</v>
      </c>
      <c r="O27" s="288" t="s">
        <f>VLOOKUP(B27,'UV台帐'!B:AL,33,0)</f>
        <v>233</v>
      </c>
      <c r="P27" s="288" t="s">
        <f>VLOOKUP(B27,'UV台帐'!B:AL,35,0)</f>
        <v>100</v>
      </c>
      <c r="Q27" s="288" t="s">
        <f>VLOOKUP(B27,'UV台帐'!B:AL,36,0)</f>
        <v>165</v>
      </c>
      <c r="R27" s="104" t="s">
        <v>217</v>
      </c>
      <c r="S27" s="104" t="s">
        <v>28</v>
      </c>
      <c r="T27" s="104" t="s">
        <v>217</v>
      </c>
      <c r="U27" s="104" t="s">
        <v>217</v>
      </c>
      <c r="V27" s="332" t="s">
        <v>418</v>
      </c>
      <c r="W27" s="332" t="s">
        <v>419</v>
      </c>
      <c r="X27" s="332" t="s">
        <v>420</v>
      </c>
      <c r="Y27" s="332" t="s">
        <v>421</v>
      </c>
      <c r="Z27" s="171" t="s">
        <v>422</v>
      </c>
      <c r="AA27" s="332" t="s">
        <v>223</v>
      </c>
      <c r="AB27" s="605" t="s">
        <v>423</v>
      </c>
      <c r="AC27" s="332" t="s">
        <v>264</v>
      </c>
      <c r="AD27" s="332" t="s">
        <v>424</v>
      </c>
      <c r="AE27" s="332" t="s">
        <v>240</v>
      </c>
      <c r="AF27" s="332" t="s">
        <v>241</v>
      </c>
      <c r="AG27" s="332" t="s">
        <v>228</v>
      </c>
      <c r="AH27" s="332" t="s">
        <v>229</v>
      </c>
      <c r="AI27" s="332" t="s">
        <v>230</v>
      </c>
      <c r="AJ27" s="332" t="s">
        <v>242</v>
      </c>
      <c r="AK27" s="104" t="s">
        <v>35</v>
      </c>
      <c r="AL27" s="104" t="s">
        <v>217</v>
      </c>
      <c r="AM27" s="104"/>
      <c r="AN27" s="5"/>
      <c r="AO27" s="5"/>
      <c r="AP27" s="5"/>
      <c r="AQ27" s="5"/>
      <c r="AR27" s="5"/>
      <c r="AS27" s="5"/>
      <c r="AT27" s="5"/>
      <c r="AW27" s="5"/>
      <c r="BA27" s="5"/>
      <c r="BF27" s="104" t="s">
        <v>38</v>
      </c>
      <c r="BG27" s="104" t="n">
        <f>VLOOKUP(B27,'UV台帐'!B:G,6,0)</f>
        <v>0</v>
      </c>
      <c r="BH27" s="104"/>
      <c r="BR27" s="104" t="n">
        <f>COUNTIFS(H27,"一期",I27,"在读")+COUNTIFS(L27,"一期",M27,"在读")+COUNTIFS(P27,"一期",Q27,"在读")</f>
        <v>2</v>
      </c>
      <c r="BS27" s="104" t="n">
        <f>BR27-BW27</f>
        <v>2</v>
      </c>
      <c r="BT27" s="209" t="s">
        <f>VLOOKUP(B27,'UV台帐'!B:AL,19,0)</f>
        <v>116</v>
      </c>
      <c r="BU27" s="209" t="s">
        <f>VLOOKUP(B27,'UV台帐'!B:AL,28,0)</f>
        <v>116</v>
      </c>
      <c r="BV27" s="209" t="s">
        <f>VLOOKUP(B27,'UV台帐'!B:AL,37,0)</f>
        <v>116</v>
      </c>
      <c r="BW27" s="104" t="n">
        <f>COUNTIFS(H27,"一期",BT27,"是")+COUNTIFS(L27,"一期",BU27,"是")+COUNTIFS(P27,"一期",BV27,"是")</f>
        <v>0</v>
      </c>
      <c r="CA27" s="16" t="n">
        <v>4833286317</v>
      </c>
    </row>
    <row r="28" ht="26.25" customHeight="1">
      <c r="A28" s="104" t="s">
        <v>54</v>
      </c>
      <c r="B28" s="104" t="n">
        <v>2501010500</v>
      </c>
      <c r="C28" s="508" t="s">
        <f>VLOOKUP(B28,'UV台帐'!B:AL,2,0)</f>
        <v>425</v>
      </c>
      <c r="D28" s="508" t="s">
        <f>VLOOKUP(B28,'UV台帐'!B:AL,3,0)</f>
        <v>59</v>
      </c>
      <c r="E28" s="288" t="s">
        <f>VLOOKUP(B28,'UV台帐'!B:AL,13,0)</f>
        <v>116</v>
      </c>
      <c r="F28" s="288" t="s">
        <f>VLOOKUP(B28,'UV台帐'!B:AL,15,0)</f>
        <v>116</v>
      </c>
      <c r="G28" s="288" t="s">
        <f>VLOOKUP(B28,'UV台帐'!B:AL,16,0)</f>
        <v>116</v>
      </c>
      <c r="H28" s="288" t="s">
        <f>VLOOKUP(B28,'UV台帐'!B:AL,17,0)</f>
        <v>116</v>
      </c>
      <c r="I28" s="288" t="s">
        <f>VLOOKUP(B28,'UV台帐'!B:AL,18,0)</f>
        <v>116</v>
      </c>
      <c r="J28" s="508" t="s">
        <f>VLOOKUP(B28,'UV台帐'!B:AL,22,0)</f>
        <v>47</v>
      </c>
      <c r="K28" s="508" t="s">
        <f>VLOOKUP(B28,'UV台帐'!B:AL,24,0)</f>
        <v>216</v>
      </c>
      <c r="L28" s="508" t="s">
        <f>VLOOKUP(B28,'UV台帐'!B:AL,26,0)</f>
        <v>65</v>
      </c>
      <c r="M28" s="508" t="s">
        <f>VLOOKUP(B28,'UV台帐'!B:AL,27,0)</f>
        <v>165</v>
      </c>
      <c r="N28" s="288" t="s">
        <f>VLOOKUP(B28,'UV台帐'!B:AL,31,0)</f>
        <v>116</v>
      </c>
      <c r="O28" s="288" t="s">
        <f>VLOOKUP(B28,'UV台帐'!B:AL,33,0)</f>
        <v>116</v>
      </c>
      <c r="P28" s="288" t="s">
        <f>VLOOKUP(B28,'UV台帐'!B:AL,35,0)</f>
        <v>116</v>
      </c>
      <c r="Q28" s="288" t="s">
        <f>VLOOKUP(B28,'UV台帐'!B:AL,36,0)</f>
        <v>116</v>
      </c>
      <c r="R28" s="104" t="s">
        <v>217</v>
      </c>
      <c r="S28" s="104" t="s">
        <v>28</v>
      </c>
      <c r="T28" s="104" t="s">
        <v>217</v>
      </c>
      <c r="U28" s="104" t="s">
        <v>217</v>
      </c>
      <c r="V28" s="332" t="s">
        <v>397</v>
      </c>
      <c r="W28" s="332" t="s">
        <v>27</v>
      </c>
      <c r="X28" s="332" t="s">
        <v>426</v>
      </c>
      <c r="Y28" s="332" t="s">
        <v>427</v>
      </c>
      <c r="Z28" s="171" t="s">
        <v>428</v>
      </c>
      <c r="AA28" s="332" t="s">
        <v>223</v>
      </c>
      <c r="AB28" s="466" t="s">
        <v>429</v>
      </c>
      <c r="AC28" s="332" t="s">
        <v>168</v>
      </c>
      <c r="AD28" s="332" t="s">
        <v>225</v>
      </c>
      <c r="AE28" s="332" t="s">
        <v>226</v>
      </c>
      <c r="AF28" s="332" t="s">
        <v>306</v>
      </c>
      <c r="AG28" s="332" t="s">
        <v>228</v>
      </c>
      <c r="AH28" s="332" t="s">
        <v>307</v>
      </c>
      <c r="AI28" s="332" t="s">
        <v>254</v>
      </c>
      <c r="AJ28" s="332" t="s">
        <v>242</v>
      </c>
      <c r="AK28" s="104" t="s">
        <v>47</v>
      </c>
      <c r="AL28" s="104"/>
      <c r="AM28" s="104"/>
      <c r="AN28" s="5"/>
      <c r="AO28" s="5"/>
      <c r="AP28" s="5"/>
      <c r="AQ28" s="5"/>
      <c r="AR28" s="5"/>
      <c r="AS28" s="5"/>
      <c r="AT28" s="5"/>
      <c r="AU28" s="104"/>
      <c r="AV28" s="104"/>
      <c r="AW28" s="5"/>
      <c r="AX28" s="104"/>
      <c r="AY28" s="104"/>
      <c r="AZ28" s="104"/>
      <c r="BA28" s="5"/>
      <c r="BB28" s="104"/>
      <c r="BC28" s="104"/>
      <c r="BF28" s="104" t="s">
        <v>59</v>
      </c>
      <c r="BG28" s="104" t="n">
        <f>VLOOKUP(B28,'UV台帐'!B:G,6,0)</f>
        <v>0</v>
      </c>
      <c r="BH28" s="104"/>
      <c r="BR28" s="104" t="n">
        <f>COUNTIFS(H28,"一期",I28,"在读")+COUNTIFS(L28,"一期",M28,"在读")+COUNTIFS(P28,"一期",Q28,"在读")</f>
        <v>1</v>
      </c>
      <c r="BS28" s="104" t="n">
        <f>BR28-BW28</f>
        <v>1</v>
      </c>
      <c r="BT28" s="209" t="s">
        <f>VLOOKUP(B28,'UV台帐'!B:AL,19,0)</f>
        <v>116</v>
      </c>
      <c r="BU28" s="209" t="s">
        <f>VLOOKUP(B28,'UV台帐'!B:AL,28,0)</f>
        <v>116</v>
      </c>
      <c r="BV28" s="209" t="s">
        <f>VLOOKUP(B28,'UV台帐'!B:AL,37,0)</f>
        <v>116</v>
      </c>
      <c r="BW28" s="104" t="n">
        <f>COUNTIFS(H28,"一期",BT28,"是")+COUNTIFS(L28,"一期",BU28,"是")+COUNTIFS(P28,"一期",BV28,"是")</f>
        <v>0</v>
      </c>
      <c r="CA28" s="16" t="n">
        <v>2472389311</v>
      </c>
    </row>
    <row r="29" ht="26.25" customHeight="1">
      <c r="A29" s="104" t="s">
        <v>54</v>
      </c>
      <c r="B29" s="104" t="n">
        <v>4847695021</v>
      </c>
      <c r="C29" s="508" t="s">
        <f>VLOOKUP(B29,'UV台帐'!B:AL,2,0)</f>
        <v>430</v>
      </c>
      <c r="D29" s="508" t="s">
        <f>VLOOKUP(B29,'UV台帐'!B:AL,3,0)</f>
        <v>59</v>
      </c>
      <c r="E29" s="288" t="s">
        <f>VLOOKUP(B29,'UV台帐'!B:AL,13,0)</f>
        <v>116</v>
      </c>
      <c r="F29" s="288" t="s">
        <f>VLOOKUP(B29,'UV台帐'!B:AL,15,0)</f>
        <v>116</v>
      </c>
      <c r="G29" s="288" t="s">
        <f>VLOOKUP(B29,'UV台帐'!B:AL,16,0)</f>
        <v>116</v>
      </c>
      <c r="H29" s="288" t="s">
        <f>VLOOKUP(B29,'UV台帐'!B:AL,17,0)</f>
        <v>116</v>
      </c>
      <c r="I29" s="288" t="s">
        <f>VLOOKUP(B29,'UV台帐'!B:AL,18,0)</f>
        <v>116</v>
      </c>
      <c r="J29" s="508" t="s">
        <f>VLOOKUP(B29,'UV台帐'!B:AL,22,0)</f>
        <v>47</v>
      </c>
      <c r="K29" s="508" t="s">
        <f>VLOOKUP(B29,'UV台帐'!B:AL,24,0)</f>
        <v>216</v>
      </c>
      <c r="L29" s="508" t="s">
        <f>VLOOKUP(B29,'UV台帐'!B:AL,26,0)</f>
        <v>65</v>
      </c>
      <c r="M29" s="508" t="s">
        <f>VLOOKUP(B29,'UV台帐'!B:AL,27,0)</f>
        <v>165</v>
      </c>
      <c r="N29" s="288" t="s">
        <f>VLOOKUP(B29,'UV台帐'!B:AL,31,0)</f>
        <v>116</v>
      </c>
      <c r="O29" s="288" t="s">
        <f>VLOOKUP(B29,'UV台帐'!B:AL,33,0)</f>
        <v>116</v>
      </c>
      <c r="P29" s="288" t="s">
        <f>VLOOKUP(B29,'UV台帐'!B:AL,35,0)</f>
        <v>116</v>
      </c>
      <c r="Q29" s="288" t="s">
        <f>VLOOKUP(B29,'UV台帐'!B:AL,36,0)</f>
        <v>116</v>
      </c>
      <c r="R29" s="104" t="s">
        <v>217</v>
      </c>
      <c r="S29" s="104" t="s">
        <v>28</v>
      </c>
      <c r="T29" s="104" t="s">
        <v>217</v>
      </c>
      <c r="U29" s="104" t="s">
        <v>217</v>
      </c>
      <c r="V29" s="332" t="s">
        <v>397</v>
      </c>
      <c r="W29" s="332" t="s">
        <v>27</v>
      </c>
      <c r="X29" s="332" t="s">
        <v>431</v>
      </c>
      <c r="Y29" s="332" t="s">
        <v>427</v>
      </c>
      <c r="Z29" s="171" t="s">
        <v>432</v>
      </c>
      <c r="AA29" s="332" t="s">
        <v>223</v>
      </c>
      <c r="AB29" s="466" t="s">
        <v>433</v>
      </c>
      <c r="AC29" s="332" t="s">
        <v>168</v>
      </c>
      <c r="AD29" s="332" t="s">
        <v>225</v>
      </c>
      <c r="AE29" s="332" t="s">
        <v>226</v>
      </c>
      <c r="AF29" s="332" t="s">
        <v>306</v>
      </c>
      <c r="AG29" s="332" t="s">
        <v>228</v>
      </c>
      <c r="AH29" s="332" t="s">
        <v>307</v>
      </c>
      <c r="AI29" s="332" t="s">
        <v>254</v>
      </c>
      <c r="AJ29" s="332" t="s">
        <v>242</v>
      </c>
      <c r="AK29" s="104" t="s">
        <v>47</v>
      </c>
      <c r="AL29" s="104"/>
      <c r="AM29" s="104"/>
      <c r="AN29" s="5"/>
      <c r="AO29" s="5"/>
      <c r="AP29" s="5"/>
      <c r="AQ29" s="5"/>
      <c r="AR29" s="5"/>
      <c r="AS29" s="5"/>
      <c r="AT29" s="5"/>
      <c r="AU29" s="104"/>
      <c r="AV29" s="104"/>
      <c r="AW29" s="5"/>
      <c r="AX29" s="104"/>
      <c r="AY29" s="104"/>
      <c r="AZ29" s="104"/>
      <c r="BA29" s="5"/>
      <c r="BB29" s="104"/>
      <c r="BC29" s="104"/>
      <c r="BF29" s="104" t="s">
        <v>59</v>
      </c>
      <c r="BG29" s="104" t="n">
        <f>VLOOKUP(B29,'UV台帐'!B:G,6,0)</f>
        <v>0</v>
      </c>
      <c r="BH29" s="104"/>
      <c r="BQ29" s="301"/>
      <c r="BR29" s="104" t="n">
        <f>COUNTIFS(H29,"一期",I29,"在读")+COUNTIFS(L29,"一期",M29,"在读")+COUNTIFS(P29,"一期",Q29,"在读")</f>
        <v>1</v>
      </c>
      <c r="BS29" s="104" t="n">
        <f>BR29-BW29</f>
        <v>1</v>
      </c>
      <c r="BT29" s="209" t="s">
        <f>VLOOKUP(B29,'UV台帐'!B:AL,19,0)</f>
        <v>116</v>
      </c>
      <c r="BU29" s="209" t="s">
        <f>VLOOKUP(B29,'UV台帐'!B:AL,28,0)</f>
        <v>116</v>
      </c>
      <c r="BV29" s="209" t="s">
        <f>VLOOKUP(B29,'UV台帐'!B:AL,37,0)</f>
        <v>116</v>
      </c>
      <c r="BW29" s="104" t="n">
        <f>COUNTIFS(H29,"一期",BT29,"是")+COUNTIFS(L29,"一期",BU29,"是")+COUNTIFS(P29,"一期",BV29,"是")</f>
        <v>0</v>
      </c>
      <c r="CA29" s="16" t="n">
        <v>4831171617</v>
      </c>
    </row>
    <row r="30" ht="26.25" customHeight="1">
      <c r="A30" s="104" t="s">
        <v>54</v>
      </c>
      <c r="B30" s="104" t="n">
        <v>2401201374</v>
      </c>
      <c r="C30" s="508" t="s">
        <f>VLOOKUP(B30,'UV台帐'!B:AL,2,0)</f>
        <v>405</v>
      </c>
      <c r="D30" s="508" t="s">
        <f>VLOOKUP(B30,'UV台帐'!B:AL,3,0)</f>
        <v>59</v>
      </c>
      <c r="E30" s="288" t="s">
        <f>VLOOKUP(B30,'UV台帐'!B:AL,13,0)</f>
        <v>116</v>
      </c>
      <c r="F30" s="288" t="s">
        <f>VLOOKUP(B30,'UV台帐'!B:AL,15,0)</f>
        <v>116</v>
      </c>
      <c r="G30" s="288" t="s">
        <f>VLOOKUP(B30,'UV台帐'!B:AL,16,0)</f>
        <v>116</v>
      </c>
      <c r="H30" s="288" t="s">
        <f>VLOOKUP(B30,'UV台帐'!B:AL,17,0)</f>
        <v>116</v>
      </c>
      <c r="I30" s="288" t="s">
        <f>VLOOKUP(B30,'UV台帐'!B:AL,18,0)</f>
        <v>116</v>
      </c>
      <c r="J30" s="508" t="s">
        <f>VLOOKUP(B30,'UV台帐'!B:AL,22,0)</f>
        <v>47</v>
      </c>
      <c r="K30" s="508" t="s">
        <f>VLOOKUP(B30,'UV台帐'!B:AL,24,0)</f>
        <v>216</v>
      </c>
      <c r="L30" s="508" t="s">
        <f>VLOOKUP(B30,'UV台帐'!B:AL,26,0)</f>
        <v>65</v>
      </c>
      <c r="M30" s="508" t="s">
        <f>VLOOKUP(B30,'UV台帐'!B:AL,27,0)</f>
        <v>165</v>
      </c>
      <c r="N30" s="288" t="s">
        <f>VLOOKUP(B30,'UV台帐'!B:AL,31,0)</f>
        <v>116</v>
      </c>
      <c r="O30" s="288" t="s">
        <f>VLOOKUP(B30,'UV台帐'!B:AL,33,0)</f>
        <v>116</v>
      </c>
      <c r="P30" s="288" t="s">
        <f>VLOOKUP(B30,'UV台帐'!B:AL,35,0)</f>
        <v>116</v>
      </c>
      <c r="Q30" s="288" t="s">
        <f>VLOOKUP(B30,'UV台帐'!B:AL,36,0)</f>
        <v>116</v>
      </c>
      <c r="R30" s="104" t="s">
        <v>217</v>
      </c>
      <c r="S30" s="104" t="s">
        <v>28</v>
      </c>
      <c r="T30" s="104" t="s">
        <v>217</v>
      </c>
      <c r="U30" s="104" t="s">
        <v>217</v>
      </c>
      <c r="V30" s="332" t="s">
        <v>434</v>
      </c>
      <c r="W30" s="332" t="s">
        <v>27</v>
      </c>
      <c r="X30" s="332" t="s">
        <v>435</v>
      </c>
      <c r="Y30" s="332" t="s">
        <v>427</v>
      </c>
      <c r="Z30" s="171" t="s">
        <v>436</v>
      </c>
      <c r="AA30" s="332" t="s">
        <v>223</v>
      </c>
      <c r="AB30" s="466" t="s">
        <v>437</v>
      </c>
      <c r="AC30" s="332" t="s">
        <v>168</v>
      </c>
      <c r="AD30" s="332" t="s">
        <v>225</v>
      </c>
      <c r="AE30" s="332" t="s">
        <v>226</v>
      </c>
      <c r="AF30" s="332" t="s">
        <v>306</v>
      </c>
      <c r="AG30" s="332" t="s">
        <v>228</v>
      </c>
      <c r="AH30" s="332" t="s">
        <v>307</v>
      </c>
      <c r="AI30" s="332" t="s">
        <v>254</v>
      </c>
      <c r="AJ30" s="332" t="s">
        <v>242</v>
      </c>
      <c r="AK30" s="104" t="s">
        <v>47</v>
      </c>
      <c r="AL30" s="104"/>
      <c r="AM30" s="104"/>
      <c r="AN30" s="5"/>
      <c r="AO30" s="5"/>
      <c r="AP30" s="5"/>
      <c r="AQ30" s="5"/>
      <c r="AR30" s="5"/>
      <c r="AS30" s="5"/>
      <c r="AT30" s="5"/>
      <c r="AU30" s="104"/>
      <c r="AV30" s="104"/>
      <c r="AW30" s="5"/>
      <c r="AX30" s="104"/>
      <c r="AY30" s="104"/>
      <c r="AZ30" s="104"/>
      <c r="BA30" s="5"/>
      <c r="BB30" s="104"/>
      <c r="BC30" s="104"/>
      <c r="BF30" s="104" t="s">
        <v>59</v>
      </c>
      <c r="BG30" s="104" t="n">
        <f>VLOOKUP(B30,'UV台帐'!B:G,6,0)</f>
        <v>0</v>
      </c>
      <c r="BH30" s="104"/>
      <c r="BR30" s="104" t="n">
        <f>COUNTIFS(H30,"一期",I30,"在读")+COUNTIFS(L30,"一期",M30,"在读")+COUNTIFS(P30,"一期",Q30,"在读")</f>
        <v>1</v>
      </c>
      <c r="BS30" s="104" t="n">
        <f>BR30-BW30</f>
        <v>1</v>
      </c>
      <c r="BT30" s="209" t="s">
        <f>VLOOKUP(B30,'UV台帐'!B:AL,19,0)</f>
        <v>116</v>
      </c>
      <c r="BU30" s="209" t="s">
        <f>VLOOKUP(B30,'UV台帐'!B:AL,28,0)</f>
        <v>116</v>
      </c>
      <c r="BV30" s="209" t="s">
        <f>VLOOKUP(B30,'UV台帐'!B:AL,37,0)</f>
        <v>116</v>
      </c>
      <c r="BW30" s="104" t="n">
        <f>COUNTIFS(H30,"一期",BT30,"是")+COUNTIFS(L30,"一期",BU30,"是")+COUNTIFS(P30,"一期",BV30,"是")</f>
        <v>0</v>
      </c>
      <c r="CA30" s="16" t="n">
        <v>4255068106</v>
      </c>
    </row>
    <row r="31" ht="26.25" customHeight="1">
      <c r="A31" s="104" t="s">
        <v>54</v>
      </c>
      <c r="B31" s="104" t="n">
        <v>2530543525</v>
      </c>
      <c r="C31" s="508" t="s">
        <f>VLOOKUP(B31,'UV台帐'!B:AL,2,0)</f>
        <v>438</v>
      </c>
      <c r="D31" s="508" t="s">
        <f>VLOOKUP(B31,'UV台帐'!B:AL,3,0)</f>
        <v>57</v>
      </c>
      <c r="E31" s="288" t="s">
        <f>VLOOKUP(B31,'UV台帐'!B:AL,13,0)</f>
        <v>116</v>
      </c>
      <c r="F31" s="288" t="s">
        <f>VLOOKUP(B31,'UV台帐'!B:AL,15,0)</f>
        <v>116</v>
      </c>
      <c r="G31" s="288" t="s">
        <f>VLOOKUP(B31,'UV台帐'!B:AL,16,0)</f>
        <v>116</v>
      </c>
      <c r="H31" s="288" t="s">
        <f>VLOOKUP(B31,'UV台帐'!B:AL,17,0)</f>
        <v>116</v>
      </c>
      <c r="I31" s="288" t="s">
        <f>VLOOKUP(B31,'UV台帐'!B:AL,18,0)</f>
        <v>116</v>
      </c>
      <c r="J31" s="508" t="s">
        <f>VLOOKUP(B31,'UV台帐'!B:AL,22,0)</f>
        <v>47</v>
      </c>
      <c r="K31" s="508" t="s">
        <f>VLOOKUP(B31,'UV台帐'!B:AL,24,0)</f>
        <v>216</v>
      </c>
      <c r="L31" s="508" t="s">
        <f>VLOOKUP(B31,'UV台帐'!B:AL,26,0)</f>
        <v>65</v>
      </c>
      <c r="M31" s="508" t="s">
        <f>VLOOKUP(B31,'UV台帐'!B:AL,27,0)</f>
        <v>165</v>
      </c>
      <c r="N31" s="288" t="s">
        <f>VLOOKUP(B31,'UV台帐'!B:AL,31,0)</f>
        <v>116</v>
      </c>
      <c r="O31" s="288" t="s">
        <f>VLOOKUP(B31,'UV台帐'!B:AL,33,0)</f>
        <v>116</v>
      </c>
      <c r="P31" s="288" t="s">
        <f>VLOOKUP(B31,'UV台帐'!B:AL,35,0)</f>
        <v>116</v>
      </c>
      <c r="Q31" s="288" t="s">
        <f>VLOOKUP(B31,'UV台帐'!B:AL,36,0)</f>
        <v>116</v>
      </c>
      <c r="R31" s="104" t="s">
        <v>217</v>
      </c>
      <c r="S31" s="104" t="s">
        <v>28</v>
      </c>
      <c r="T31" s="104" t="s">
        <v>217</v>
      </c>
      <c r="U31" s="104" t="s">
        <v>217</v>
      </c>
      <c r="V31" s="332"/>
      <c r="W31" s="332" t="n">
        <v>95</v>
      </c>
      <c r="X31" s="332"/>
      <c r="Y31" s="332" t="s">
        <v>439</v>
      </c>
      <c r="Z31" s="171" t="s">
        <v>440</v>
      </c>
      <c r="AA31" s="332" t="s">
        <v>223</v>
      </c>
      <c r="AB31" s="606" t="s">
        <v>441</v>
      </c>
      <c r="AC31" s="332" t="s">
        <v>168</v>
      </c>
      <c r="AD31" s="332" t="s">
        <v>442</v>
      </c>
      <c r="AE31" s="332" t="s">
        <v>226</v>
      </c>
      <c r="AF31" s="332" t="s">
        <v>306</v>
      </c>
      <c r="AG31" s="332" t="s">
        <v>266</v>
      </c>
      <c r="AH31" s="332" t="s">
        <v>307</v>
      </c>
      <c r="AI31" s="332" t="s">
        <v>254</v>
      </c>
      <c r="AJ31" s="332" t="s">
        <v>242</v>
      </c>
      <c r="AK31" s="104" t="s">
        <v>47</v>
      </c>
      <c r="AL31" s="104"/>
      <c r="AM31" s="104"/>
      <c r="AN31" s="5"/>
      <c r="AO31" s="5"/>
      <c r="AP31" s="5"/>
      <c r="AQ31" s="5"/>
      <c r="AR31" s="5"/>
      <c r="AS31" s="5"/>
      <c r="AT31" s="5"/>
      <c r="AU31" s="508"/>
      <c r="AV31" s="508"/>
      <c r="AW31" s="5"/>
      <c r="AX31" s="508"/>
      <c r="AY31" s="508"/>
      <c r="AZ31" s="508"/>
      <c r="BA31" s="5"/>
      <c r="BB31" s="508"/>
      <c r="BC31" s="508"/>
      <c r="BF31" s="104" t="s">
        <v>57</v>
      </c>
      <c r="BG31" s="104" t="n">
        <f>VLOOKUP(B31,'UV台帐'!B:G,6,0)</f>
        <v>0</v>
      </c>
      <c r="BH31" s="104"/>
      <c r="BR31" s="104" t="n">
        <f>COUNTIFS(H31,"一期",I31,"在读")+COUNTIFS(L31,"一期",M31,"在读")+COUNTIFS(P31,"一期",Q31,"在读")</f>
        <v>1</v>
      </c>
      <c r="BS31" s="104" t="n">
        <f>BR31-BW31</f>
        <v>1</v>
      </c>
      <c r="BT31" s="209" t="s">
        <f>VLOOKUP(B31,'UV台帐'!B:AL,19,0)</f>
        <v>116</v>
      </c>
      <c r="BU31" s="209" t="s">
        <f>VLOOKUP(B31,'UV台帐'!B:AL,28,0)</f>
        <v>116</v>
      </c>
      <c r="BV31" s="209" t="s">
        <f>VLOOKUP(B31,'UV台帐'!B:AL,37,0)</f>
        <v>116</v>
      </c>
      <c r="BW31" s="104" t="n">
        <f>COUNTIFS(H31,"一期",BT31,"是")+COUNTIFS(L31,"一期",BU31,"是")+COUNTIFS(P31,"一期",BV31,"是")</f>
        <v>0</v>
      </c>
      <c r="CA31" s="16" t="n">
        <v>4050031794</v>
      </c>
    </row>
    <row r="32" ht="26.25" customHeight="1">
      <c r="A32" s="104" t="s">
        <v>45</v>
      </c>
      <c r="B32" s="104" t="n">
        <v>2707561257</v>
      </c>
      <c r="C32" s="508" t="s">
        <f>VLOOKUP(B32,'UV台帐'!B:AL,2,0)</f>
        <v>443</v>
      </c>
      <c r="D32" s="508" t="s">
        <f>VLOOKUP(B32,'UV台帐'!B:AL,3,0)</f>
        <v>50</v>
      </c>
      <c r="E32" s="508" t="s">
        <f>VLOOKUP(B32,'UV台帐'!B:AL,13,0)</f>
        <v>37</v>
      </c>
      <c r="F32" s="508" t="s">
        <f>VLOOKUP(B32,'UV台帐'!B:AL,15,0)</f>
        <v>233</v>
      </c>
      <c r="G32" s="508" t="s">
        <f>VLOOKUP(B32,'UV台帐'!B:AL,16,0)</f>
        <v>283</v>
      </c>
      <c r="H32" s="508" t="s">
        <f>VLOOKUP(B32,'UV台帐'!B:AL,17,0)</f>
        <v>65</v>
      </c>
      <c r="I32" s="508" t="s">
        <f>VLOOKUP(B32,'UV台帐'!B:AL,18,0)</f>
        <v>165</v>
      </c>
      <c r="J32" s="508" t="s">
        <f>VLOOKUP(B32,'UV台帐'!B:AL,22,0)</f>
        <v>49</v>
      </c>
      <c r="K32" s="508" t="s">
        <f>VLOOKUP(B32,'UV台帐'!B:AL,24,0)</f>
        <v>215</v>
      </c>
      <c r="L32" s="508" t="s">
        <f>VLOOKUP(B32,'UV台帐'!B:AL,26,0)</f>
        <v>65</v>
      </c>
      <c r="M32" s="508" t="s">
        <f>VLOOKUP(B32,'UV台帐'!B:AL,27,0)</f>
        <v>165</v>
      </c>
      <c r="N32" s="288" t="s">
        <f>VLOOKUP(B32,'UV台帐'!B:AL,31,0)</f>
        <v>52</v>
      </c>
      <c r="O32" s="288" t="s">
        <f>VLOOKUP(B32,'UV台帐'!B:AL,33,0)</f>
        <v>233</v>
      </c>
      <c r="P32" s="288" t="s">
        <f>VLOOKUP(B32,'UV台帐'!B:AL,35,0)</f>
        <v>100</v>
      </c>
      <c r="Q32" s="288" t="s">
        <f>VLOOKUP(B32,'UV台帐'!B:AL,36,0)</f>
        <v>444</v>
      </c>
      <c r="R32" s="104" t="s">
        <v>217</v>
      </c>
      <c r="S32" s="104" t="s">
        <v>27</v>
      </c>
      <c r="T32" s="104" t="s">
        <v>218</v>
      </c>
      <c r="U32" s="104" t="s">
        <v>217</v>
      </c>
      <c r="V32" s="332"/>
      <c r="W32" s="332" t="s">
        <v>445</v>
      </c>
      <c r="X32" s="466" t="s">
        <v>446</v>
      </c>
      <c r="Y32" s="5" t="s">
        <v>447</v>
      </c>
      <c r="Z32" s="171" t="s">
        <v>448</v>
      </c>
      <c r="AA32" s="332" t="s">
        <v>223</v>
      </c>
      <c r="AB32" s="607" t="s">
        <v>449</v>
      </c>
      <c r="AC32" s="332" t="s">
        <v>264</v>
      </c>
      <c r="AD32" s="332" t="s">
        <v>450</v>
      </c>
      <c r="AE32" s="332" t="s">
        <v>253</v>
      </c>
      <c r="AF32" s="332" t="s">
        <v>306</v>
      </c>
      <c r="AG32" s="332" t="s">
        <v>266</v>
      </c>
      <c r="AH32" s="332" t="s">
        <v>315</v>
      </c>
      <c r="AI32" s="332" t="s">
        <v>254</v>
      </c>
      <c r="AJ32" s="332" t="s">
        <v>316</v>
      </c>
      <c r="AK32" s="104" t="s">
        <v>49</v>
      </c>
      <c r="AL32" s="104"/>
      <c r="AM32" s="104"/>
      <c r="AN32" s="5"/>
      <c r="AO32" s="5"/>
      <c r="AP32" s="5"/>
      <c r="AQ32" s="5"/>
      <c r="AR32" s="5"/>
      <c r="AS32" s="5"/>
      <c r="AT32" s="5"/>
      <c r="AU32" s="104"/>
      <c r="AV32" s="104"/>
      <c r="AW32" s="5"/>
      <c r="AX32" s="104"/>
      <c r="AY32" s="104"/>
      <c r="AZ32" s="104"/>
      <c r="BA32" s="5"/>
      <c r="BB32" s="104"/>
      <c r="BC32" s="104"/>
      <c r="BF32" s="104" t="s">
        <v>50</v>
      </c>
      <c r="BG32" s="104" t="n">
        <f>VLOOKUP(B32,'UV台帐'!B:G,6,0)</f>
        <v>0</v>
      </c>
      <c r="BH32" s="104"/>
      <c r="BR32" s="104" t="n">
        <f>COUNTIFS(H32,"一期",I32,"在读")+COUNTIFS(L32,"一期",M32,"在读")+COUNTIFS(P32,"一期",Q32,"在读")</f>
        <v>2</v>
      </c>
      <c r="BS32" s="104" t="n">
        <f>BR32-BW32</f>
        <v>2</v>
      </c>
      <c r="BT32" s="209" t="s">
        <f>VLOOKUP(B32,'UV台帐'!B:AL,19,0)</f>
        <v>116</v>
      </c>
      <c r="BU32" s="209" t="s">
        <f>VLOOKUP(B32,'UV台帐'!B:AL,28,0)</f>
        <v>116</v>
      </c>
      <c r="BV32" s="209" t="s">
        <f>VLOOKUP(B32,'UV台帐'!B:AL,37,0)</f>
        <v>116</v>
      </c>
      <c r="BW32" s="104" t="n">
        <f>COUNTIFS(H32,"一期",BT32,"是")+COUNTIFS(L32,"一期",BU32,"是")+COUNTIFS(P32,"一期",BV32,"是")</f>
        <v>0</v>
      </c>
      <c r="CA32" s="16" t="n">
        <v>2573471597</v>
      </c>
    </row>
    <row r="33" ht="26.25" customHeight="1">
      <c r="A33" s="104" t="s">
        <v>85</v>
      </c>
      <c r="B33" s="104" t="n">
        <v>2616423670</v>
      </c>
      <c r="C33" s="469" t="s">
        <f>VLOOKUP(B33,'UV台帐'!B:AL,2,0)</f>
        <v>451</v>
      </c>
      <c r="D33" s="508" t="s">
        <f>VLOOKUP(B33,'UV台帐'!B:AL,3,0)</f>
        <v>34</v>
      </c>
      <c r="E33" s="508" t="s">
        <f>VLOOKUP(B33,'UV台帐'!B:AL,13,0)</f>
        <v>31</v>
      </c>
      <c r="F33" s="508" t="s">
        <f>VLOOKUP(B33,'UV台帐'!B:AL,15,0)</f>
        <v>215</v>
      </c>
      <c r="G33" s="508" t="s">
        <f>VLOOKUP(B33,'UV台帐'!B:AL,16,0)</f>
        <v>283</v>
      </c>
      <c r="H33" s="508" t="s">
        <f>VLOOKUP(B33,'UV台帐'!B:AL,17,0)</f>
        <v>65</v>
      </c>
      <c r="I33" s="508" t="s">
        <f>VLOOKUP(B33,'UV台帐'!B:AL,18,0)</f>
        <v>165</v>
      </c>
      <c r="J33" s="508" t="s">
        <f>VLOOKUP(B33,'UV台帐'!B:AL,22,0)</f>
        <v>47</v>
      </c>
      <c r="K33" s="508" t="s">
        <f>VLOOKUP(B33,'UV台帐'!B:AL,24,0)</f>
        <v>246</v>
      </c>
      <c r="L33" s="508" t="s">
        <f>VLOOKUP(B33,'UV台帐'!B:AL,26,0)</f>
        <v>65</v>
      </c>
      <c r="M33" s="508" t="s">
        <f>VLOOKUP(B33,'UV台帐'!B:AL,27,0)</f>
        <v>165</v>
      </c>
      <c r="N33" s="508" t="s">
        <f>VLOOKUP(B33,'UV台帐'!B:AL,31,0)</f>
        <v>52</v>
      </c>
      <c r="O33" s="508" t="s">
        <f>VLOOKUP(B33,'UV台帐'!B:AL,33,0)</f>
        <v>216</v>
      </c>
      <c r="P33" s="508" t="s">
        <f>VLOOKUP(B33,'UV台帐'!B:AL,35,0)</f>
        <v>65</v>
      </c>
      <c r="Q33" s="508" t="s">
        <f>VLOOKUP(B33,'UV台帐'!B:AL,36,0)</f>
        <v>165</v>
      </c>
      <c r="R33" s="104" t="s">
        <v>217</v>
      </c>
      <c r="S33" s="213" t="s">
        <v>25</v>
      </c>
      <c r="T33" s="508" t="s">
        <v>217</v>
      </c>
      <c r="U33" s="104" t="s">
        <v>217</v>
      </c>
      <c r="V33" s="466"/>
      <c r="W33" s="466" t="n">
        <v>290</v>
      </c>
      <c r="X33" s="466" t="s">
        <v>452</v>
      </c>
      <c r="Y33" s="466" t="s">
        <v>453</v>
      </c>
      <c r="Z33" s="171" t="s">
        <v>454</v>
      </c>
      <c r="AA33" s="466" t="s">
        <v>223</v>
      </c>
      <c r="AB33" s="608" t="s">
        <v>455</v>
      </c>
      <c r="AC33" s="466" t="s">
        <v>456</v>
      </c>
      <c r="AD33" s="466" t="s">
        <v>457</v>
      </c>
      <c r="AE33" s="466" t="s">
        <v>240</v>
      </c>
      <c r="AF33" s="466" t="s">
        <v>306</v>
      </c>
      <c r="AG33" s="466" t="s">
        <v>266</v>
      </c>
      <c r="AH33" s="466" t="s">
        <v>315</v>
      </c>
      <c r="AI33" s="466" t="s">
        <v>254</v>
      </c>
      <c r="AJ33" s="466" t="s">
        <v>316</v>
      </c>
      <c r="AK33" s="104" t="s">
        <v>52</v>
      </c>
      <c r="AL33" s="104" t="s">
        <v>217</v>
      </c>
      <c r="AM33" s="104"/>
      <c r="AN33" s="5"/>
      <c r="AO33" s="5"/>
      <c r="AP33" s="5"/>
      <c r="AQ33" s="5"/>
      <c r="AR33" s="5"/>
      <c r="AS33" s="5"/>
      <c r="AT33" s="5"/>
      <c r="AU33" s="104"/>
      <c r="AV33" s="104"/>
      <c r="AW33" s="5"/>
      <c r="AX33" s="104"/>
      <c r="AY33" s="104"/>
      <c r="AZ33" s="104"/>
      <c r="BA33" s="5"/>
      <c r="BB33" s="104"/>
      <c r="BC33" s="104"/>
      <c r="BF33" s="104" t="s">
        <v>34</v>
      </c>
      <c r="BG33" s="104" t="n">
        <f>VLOOKUP(B33,'UV台帐'!B:G,6,0)</f>
        <v>0</v>
      </c>
      <c r="BH33" s="104"/>
      <c r="BR33" s="104" t="n">
        <f>COUNTIFS(H33,"一期",I33,"在读")+COUNTIFS(L33,"一期",M33,"在读")+COUNTIFS(P33,"一期",Q33,"在读")</f>
        <v>3</v>
      </c>
      <c r="BS33" s="104" t="n">
        <f>BR33-BW33</f>
        <v>3</v>
      </c>
      <c r="BT33" s="209" t="s">
        <f>VLOOKUP(B33,'UV台帐'!B:AL,19,0)</f>
        <v>116</v>
      </c>
      <c r="BU33" s="209" t="s">
        <f>VLOOKUP(B33,'UV台帐'!B:AL,28,0)</f>
        <v>116</v>
      </c>
      <c r="BV33" s="209" t="s">
        <f>VLOOKUP(B33,'UV台帐'!B:AL,37,0)</f>
        <v>116</v>
      </c>
      <c r="BW33" s="104" t="n">
        <f>COUNTIFS(H33,"一期",BT33,"是")+COUNTIFS(L33,"一期",BU33,"是")+COUNTIFS(P33,"一期",BV33,"是")</f>
        <v>0</v>
      </c>
      <c r="CA33" s="16" t="n">
        <v>2408937171</v>
      </c>
    </row>
    <row r="34" ht="26.25" customHeight="1">
      <c r="A34" s="104" t="s">
        <v>45</v>
      </c>
      <c r="B34" s="104" t="n">
        <v>4845922736</v>
      </c>
      <c r="C34" s="508" t="s">
        <f>VLOOKUP(B34,'UV台帐'!B:AL,2,0)</f>
        <v>458</v>
      </c>
      <c r="D34" s="508" t="s">
        <f>VLOOKUP(B34,'UV台帐'!B:AL,3,0)</f>
        <v>46</v>
      </c>
      <c r="E34" s="288" t="s">
        <f>VLOOKUP(B34,'UV台帐'!B:AL,13,0)</f>
        <v>116</v>
      </c>
      <c r="F34" s="288" t="s">
        <f>VLOOKUP(B34,'UV台帐'!B:AL,15,0)</f>
        <v>116</v>
      </c>
      <c r="G34" s="288" t="s">
        <f>VLOOKUP(B34,'UV台帐'!B:AL,16,0)</f>
        <v>116</v>
      </c>
      <c r="H34" s="288" t="s">
        <f>VLOOKUP(B34,'UV台帐'!B:AL,17,0)</f>
        <v>116</v>
      </c>
      <c r="I34" s="288" t="s">
        <f>VLOOKUP(B34,'UV台帐'!B:AL,18,0)</f>
        <v>116</v>
      </c>
      <c r="J34" s="508" t="s">
        <f>VLOOKUP(B34,'UV台帐'!B:AL,22,0)</f>
        <v>49</v>
      </c>
      <c r="K34" s="508" t="s">
        <f>VLOOKUP(B34,'UV台帐'!B:AL,24,0)</f>
        <v>215</v>
      </c>
      <c r="L34" s="508" t="s">
        <f>VLOOKUP(B34,'UV台帐'!B:AL,26,0)</f>
        <v>65</v>
      </c>
      <c r="M34" s="508" t="s">
        <f>VLOOKUP(B34,'UV台帐'!B:AL,27,0)</f>
        <v>165</v>
      </c>
      <c r="N34" s="508" t="s">
        <f>VLOOKUP(B34,'UV台帐'!B:AL,31,0)</f>
        <v>58</v>
      </c>
      <c r="O34" s="508" t="s">
        <f>VLOOKUP(B34,'UV台帐'!B:AL,33,0)</f>
        <v>216</v>
      </c>
      <c r="P34" s="508" t="s">
        <f>VLOOKUP(B34,'UV台帐'!B:AL,35,0)</f>
        <v>65</v>
      </c>
      <c r="Q34" s="508" t="s">
        <f>VLOOKUP(B34,'UV台帐'!B:AL,36,0)</f>
        <v>165</v>
      </c>
      <c r="R34" s="104" t="s">
        <v>217</v>
      </c>
      <c r="S34" s="104" t="s">
        <v>27</v>
      </c>
      <c r="T34" s="104"/>
      <c r="U34" s="104" t="s">
        <v>217</v>
      </c>
      <c r="V34" s="332"/>
      <c r="W34" s="332" t="s">
        <v>459</v>
      </c>
      <c r="X34" s="332"/>
      <c r="Y34" s="332" t="s">
        <v>460</v>
      </c>
      <c r="Z34" s="609" t="s">
        <v>461</v>
      </c>
      <c r="AA34" s="332" t="s">
        <v>223</v>
      </c>
      <c r="AB34" s="610" t="s">
        <v>462</v>
      </c>
      <c r="AC34" s="332" t="s">
        <v>169</v>
      </c>
      <c r="AD34" s="332" t="s">
        <v>463</v>
      </c>
      <c r="AE34" s="332" t="s">
        <v>240</v>
      </c>
      <c r="AF34" s="332" t="s">
        <v>306</v>
      </c>
      <c r="AG34" s="332" t="s">
        <v>228</v>
      </c>
      <c r="AH34" s="332" t="s">
        <v>229</v>
      </c>
      <c r="AI34" s="332" t="s">
        <v>254</v>
      </c>
      <c r="AJ34" s="332" t="s">
        <v>255</v>
      </c>
      <c r="AK34" s="104" t="s">
        <v>49</v>
      </c>
      <c r="AL34" s="104"/>
      <c r="AM34" s="104"/>
      <c r="AN34" s="5"/>
      <c r="AO34" s="5"/>
      <c r="AP34" s="5"/>
      <c r="AQ34" s="5"/>
      <c r="AR34" s="5"/>
      <c r="AS34" s="5"/>
      <c r="AT34" s="5"/>
      <c r="AU34" s="104"/>
      <c r="AV34" s="104"/>
      <c r="AW34" s="5"/>
      <c r="AX34" s="104"/>
      <c r="AY34" s="104"/>
      <c r="AZ34" s="104"/>
      <c r="BA34" s="5"/>
      <c r="BB34" s="104"/>
      <c r="BC34" s="104"/>
      <c r="BF34" s="104" t="s">
        <v>46</v>
      </c>
      <c r="BG34" s="104" t="n">
        <f>VLOOKUP(B34,'UV台帐'!B:G,6,0)</f>
        <v>0</v>
      </c>
      <c r="BH34" s="104" t="s">
        <v>464</v>
      </c>
      <c r="BR34" s="104" t="n">
        <f>COUNTIFS(H34,"一期",I34,"在读")+COUNTIFS(L34,"一期",M34,"在读")+COUNTIFS(P34,"一期",Q34,"在读")</f>
        <v>2</v>
      </c>
      <c r="BS34" s="104" t="n">
        <f>BR34-BW34</f>
        <v>2</v>
      </c>
      <c r="BT34" s="209" t="s">
        <f>VLOOKUP(B34,'UV台帐'!B:AL,19,0)</f>
        <v>116</v>
      </c>
      <c r="BU34" s="209" t="s">
        <f>VLOOKUP(B34,'UV台帐'!B:AL,28,0)</f>
        <v>116</v>
      </c>
      <c r="BV34" s="209" t="s">
        <f>VLOOKUP(B34,'UV台帐'!B:AL,37,0)</f>
        <v>116</v>
      </c>
      <c r="BW34" s="104" t="n">
        <f>COUNTIFS(H34,"一期",BT34,"是")+COUNTIFS(L34,"一期",BU34,"是")+COUNTIFS(P34,"一期",BV34,"是")</f>
        <v>0</v>
      </c>
      <c r="CA34" s="16" t="n">
        <v>4384813412</v>
      </c>
    </row>
    <row r="35" ht="26.25" customHeight="1">
      <c r="A35" s="104" t="s">
        <v>54</v>
      </c>
      <c r="B35" s="104" t="n">
        <v>4843140524</v>
      </c>
      <c r="C35" s="508" t="s">
        <f>VLOOKUP(B35,'UV台帐'!B:AL,2,0)</f>
        <v>465</v>
      </c>
      <c r="D35" s="508" t="s">
        <f>VLOOKUP(B35,'UV台帐'!B:AL,3,0)</f>
        <v>59</v>
      </c>
      <c r="E35" s="508" t="s">
        <f>VLOOKUP(B35,'UV台帐'!B:AL,13,0)</f>
        <v>35</v>
      </c>
      <c r="F35" s="508" t="s">
        <f>VLOOKUP(B35,'UV台帐'!B:AL,15,0)</f>
        <v>233</v>
      </c>
      <c r="G35" s="508" t="s">
        <f>VLOOKUP(B35,'UV台帐'!B:AL,16,0)</f>
        <v>234</v>
      </c>
      <c r="H35" s="508" t="s">
        <f>VLOOKUP(B35,'UV台帐'!B:AL,17,0)</f>
        <v>101</v>
      </c>
      <c r="I35" s="508" t="s">
        <f>VLOOKUP(B35,'UV台帐'!B:AL,18,0)</f>
        <v>165</v>
      </c>
      <c r="J35" s="508" t="s">
        <f>VLOOKUP(B35,'UV台帐'!B:AL,22,0)</f>
        <v>49</v>
      </c>
      <c r="K35" s="508" t="s">
        <f>VLOOKUP(B35,'UV台帐'!B:AL,24,0)</f>
        <v>215</v>
      </c>
      <c r="L35" s="508" t="s">
        <f>VLOOKUP(B35,'UV台帐'!B:AL,26,0)</f>
        <v>101</v>
      </c>
      <c r="M35" s="508" t="s">
        <f>VLOOKUP(B35,'UV台帐'!B:AL,27,0)</f>
        <v>165</v>
      </c>
      <c r="N35" s="508" t="s">
        <f>VLOOKUP(B35,'UV台帐'!B:AL,31,0)</f>
        <v>56</v>
      </c>
      <c r="O35" s="508" t="s">
        <f>VLOOKUP(B35,'UV台帐'!B:AL,33,0)</f>
        <v>216</v>
      </c>
      <c r="P35" s="508" t="s">
        <f>VLOOKUP(B35,'UV台帐'!B:AL,35,0)</f>
        <v>101</v>
      </c>
      <c r="Q35" s="508" t="s">
        <f>VLOOKUP(B35,'UV台帐'!B:AL,36,0)</f>
        <v>165</v>
      </c>
      <c r="R35" s="104" t="s">
        <v>217</v>
      </c>
      <c r="S35" s="104" t="s">
        <v>28</v>
      </c>
      <c r="T35" s="104" t="s">
        <v>218</v>
      </c>
      <c r="U35" s="104" t="s">
        <v>217</v>
      </c>
      <c r="V35" s="332" t="s">
        <v>466</v>
      </c>
      <c r="W35" s="332" t="s">
        <v>467</v>
      </c>
      <c r="X35" s="332"/>
      <c r="Y35" s="466" t="s">
        <v>468</v>
      </c>
      <c r="Z35" s="466" t="s">
        <v>469</v>
      </c>
      <c r="AA35" s="332" t="s">
        <v>223</v>
      </c>
      <c r="AB35" s="466" t="s">
        <v>470</v>
      </c>
      <c r="AC35" s="332" t="s">
        <v>456</v>
      </c>
      <c r="AD35" s="332" t="s">
        <v>471</v>
      </c>
      <c r="AE35" s="332" t="s">
        <v>226</v>
      </c>
      <c r="AF35" s="332" t="s">
        <v>241</v>
      </c>
      <c r="AG35" s="332" t="s">
        <v>228</v>
      </c>
      <c r="AH35" s="332" t="s">
        <v>229</v>
      </c>
      <c r="AI35" s="332" t="s">
        <v>472</v>
      </c>
      <c r="AJ35" s="332" t="s">
        <v>242</v>
      </c>
      <c r="AK35" s="104" t="s">
        <v>35</v>
      </c>
      <c r="AL35" s="104" t="s">
        <v>217</v>
      </c>
      <c r="AM35" s="104"/>
      <c r="AN35" s="5"/>
      <c r="AO35" s="5"/>
      <c r="AP35" s="5"/>
      <c r="AQ35" s="5"/>
      <c r="AR35" s="5"/>
      <c r="AS35" s="5"/>
      <c r="AT35" s="5"/>
      <c r="AU35" s="104"/>
      <c r="AV35" s="104"/>
      <c r="AW35" s="5"/>
      <c r="AX35" s="104"/>
      <c r="AY35" s="104"/>
      <c r="AZ35" s="104"/>
      <c r="BA35" s="5"/>
      <c r="BB35" s="104"/>
      <c r="BC35" s="104"/>
      <c r="BF35" s="104" t="s">
        <v>59</v>
      </c>
      <c r="BG35" s="104" t="n">
        <f>VLOOKUP(B35,'UV台帐'!B:G,6,0)</f>
        <v>0</v>
      </c>
      <c r="BH35" s="104" t="s">
        <v>473</v>
      </c>
      <c r="BR35" s="104" t="n">
        <f>COUNTIFS(H35,"一期",I35,"在读")+COUNTIFS(L35,"一期",M35,"在读")+COUNTIFS(P35,"一期",Q35,"在读")</f>
        <v>0</v>
      </c>
      <c r="BS35" s="104" t="n">
        <f>BR35-BW35</f>
        <v>0</v>
      </c>
      <c r="BT35" s="209" t="s">
        <f>VLOOKUP(B35,'UV台帐'!B:AL,19,0)</f>
        <v>116</v>
      </c>
      <c r="BU35" s="209" t="s">
        <f>VLOOKUP(B35,'UV台帐'!B:AL,28,0)</f>
        <v>116</v>
      </c>
      <c r="BV35" s="209" t="s">
        <f>VLOOKUP(B35,'UV台帐'!B:AL,37,0)</f>
        <v>116</v>
      </c>
      <c r="BW35" s="104" t="n">
        <f>COUNTIFS(H35,"一期",BT35,"是")+COUNTIFS(L35,"一期",BU35,"是")+COUNTIFS(P35,"一期",BV35,"是")</f>
        <v>0</v>
      </c>
      <c r="CA35" s="16" t="n">
        <v>4218384525</v>
      </c>
    </row>
    <row r="36" ht="26.25" customHeight="1">
      <c r="A36" s="104" t="s">
        <v>54</v>
      </c>
      <c r="B36" s="104" t="n">
        <v>4312380919</v>
      </c>
      <c r="C36" s="508" t="s">
        <f>VLOOKUP(B36,'UV台帐'!B:AL,2,0)</f>
        <v>474</v>
      </c>
      <c r="D36" s="508" t="s">
        <f>VLOOKUP(B36,'UV台帐'!B:AL,3,0)</f>
        <v>38</v>
      </c>
      <c r="E36" s="288" t="s">
        <f>VLOOKUP(B36,'UV台帐'!B:AL,13,0)</f>
        <v>31</v>
      </c>
      <c r="F36" s="288" t="s">
        <f>VLOOKUP(B36,'UV台帐'!B:AL,15,0)</f>
        <v>233</v>
      </c>
      <c r="G36" s="288" t="s">
        <f>VLOOKUP(B36,'UV台帐'!B:AL,16,0)</f>
        <v>234</v>
      </c>
      <c r="H36" s="288" t="s">
        <f>VLOOKUP(B36,'UV台帐'!B:AL,17,0)</f>
        <v>100</v>
      </c>
      <c r="I36" s="288" t="s">
        <f>VLOOKUP(B36,'UV台帐'!B:AL,18,0)</f>
        <v>165</v>
      </c>
      <c r="J36" s="508" t="s">
        <f>VLOOKUP(B36,'UV台帐'!B:AL,22,0)</f>
        <v>47</v>
      </c>
      <c r="K36" s="508" t="s">
        <f>VLOOKUP(B36,'UV台帐'!B:AL,24,0)</f>
        <v>216</v>
      </c>
      <c r="L36" s="508" t="s">
        <f>VLOOKUP(B36,'UV台帐'!B:AL,26,0)</f>
        <v>65</v>
      </c>
      <c r="M36" s="508" t="s">
        <f>VLOOKUP(B36,'UV台帐'!B:AL,27,0)</f>
        <v>165</v>
      </c>
      <c r="N36" s="288" t="s">
        <f>VLOOKUP(B36,'UV台帐'!B:AL,31,0)</f>
        <v>58</v>
      </c>
      <c r="O36" s="288" t="s">
        <f>VLOOKUP(B36,'UV台帐'!B:AL,33,0)</f>
        <v>215</v>
      </c>
      <c r="P36" s="288" t="s">
        <f>VLOOKUP(B36,'UV台帐'!B:AL,35,0)</f>
        <v>100</v>
      </c>
      <c r="Q36" s="288" t="s">
        <f>VLOOKUP(B36,'UV台帐'!B:AL,36,0)</f>
        <v>165</v>
      </c>
      <c r="R36" s="104" t="s">
        <v>217</v>
      </c>
      <c r="S36" s="104" t="s">
        <v>27</v>
      </c>
      <c r="T36" s="104" t="s">
        <v>218</v>
      </c>
      <c r="U36" s="104" t="s">
        <v>218</v>
      </c>
      <c r="V36" s="332" t="s">
        <v>475</v>
      </c>
      <c r="W36" s="332" t="s">
        <v>476</v>
      </c>
      <c r="X36" s="332" t="s">
        <v>477</v>
      </c>
      <c r="Y36" s="332" t="s">
        <v>478</v>
      </c>
      <c r="Z36" s="171" t="s">
        <v>479</v>
      </c>
      <c r="AA36" s="332" t="s">
        <v>223</v>
      </c>
      <c r="AB36" s="611" t="s">
        <v>480</v>
      </c>
      <c r="AC36" s="332" t="s">
        <v>289</v>
      </c>
      <c r="AD36" s="332" t="s">
        <v>481</v>
      </c>
      <c r="AE36" s="332" t="s">
        <v>240</v>
      </c>
      <c r="AF36" s="332" t="s">
        <v>306</v>
      </c>
      <c r="AG36" s="332" t="s">
        <v>228</v>
      </c>
      <c r="AH36" s="332" t="s">
        <v>315</v>
      </c>
      <c r="AI36" s="332" t="s">
        <v>230</v>
      </c>
      <c r="AJ36" s="332" t="s">
        <v>255</v>
      </c>
      <c r="AK36" s="104" t="s">
        <v>47</v>
      </c>
      <c r="AL36" s="104" t="s">
        <v>217</v>
      </c>
      <c r="AM36" s="104"/>
      <c r="AN36" s="5"/>
      <c r="AO36" s="5"/>
      <c r="AP36" s="5"/>
      <c r="AQ36" s="5"/>
      <c r="AR36" s="5"/>
      <c r="AS36" s="5"/>
      <c r="AT36" s="5"/>
      <c r="AU36" s="104"/>
      <c r="AV36" s="104"/>
      <c r="AW36" s="5"/>
      <c r="AX36" s="104"/>
      <c r="AY36" s="104"/>
      <c r="AZ36" s="104"/>
      <c r="BA36" s="5"/>
      <c r="BB36" s="104"/>
      <c r="BC36" s="104"/>
      <c r="BF36" s="104" t="s">
        <v>38</v>
      </c>
      <c r="BG36" s="104" t="n">
        <f>VLOOKUP(B36,'UV台帐'!B:G,6,0)</f>
        <v>0</v>
      </c>
      <c r="BH36" s="104"/>
      <c r="BR36" s="104" t="n">
        <f>COUNTIFS(H36,"一期",I36,"在读")+COUNTIFS(L36,"一期",M36,"在读")+COUNTIFS(P36,"一期",Q36,"在读")</f>
        <v>1</v>
      </c>
      <c r="BS36" s="104" t="n">
        <f>BR36-BW36</f>
        <v>1</v>
      </c>
      <c r="BT36" s="209" t="s">
        <f>VLOOKUP(B36,'UV台帐'!B:AL,19,0)</f>
        <v>116</v>
      </c>
      <c r="BU36" s="209" t="s">
        <f>VLOOKUP(B36,'UV台帐'!B:AL,28,0)</f>
        <v>116</v>
      </c>
      <c r="BV36" s="209" t="s">
        <f>VLOOKUP(B36,'UV台帐'!B:AL,37,0)</f>
        <v>116</v>
      </c>
      <c r="BW36" s="104" t="n">
        <f>COUNTIFS(H36,"一期",BT36,"是")+COUNTIFS(L36,"一期",BU36,"是")+COUNTIFS(P36,"一期",BV36,"是")</f>
        <v>0</v>
      </c>
      <c r="CA36" s="16" t="n">
        <v>4397457478</v>
      </c>
    </row>
    <row r="37" ht="26.25" customHeight="1">
      <c r="A37" s="104" t="s">
        <v>54</v>
      </c>
      <c r="B37" s="104" t="n">
        <v>2544969370</v>
      </c>
      <c r="C37" s="508" t="s">
        <f>VLOOKUP(B37,'UV台帐'!B:AL,2,0)</f>
        <v>482</v>
      </c>
      <c r="D37" s="508" t="s">
        <f>VLOOKUP(B37,'UV台帐'!B:AL,3,0)</f>
        <v>48</v>
      </c>
      <c r="E37" s="508" t="s">
        <f>VLOOKUP(B37,'UV台帐'!B:AL,13,0)</f>
        <v>35</v>
      </c>
      <c r="F37" s="508" t="s">
        <f>VLOOKUP(B37,'UV台帐'!B:AL,15,0)</f>
        <v>233</v>
      </c>
      <c r="G37" s="508" t="s">
        <f>VLOOKUP(B37,'UV台帐'!B:AL,16,0)</f>
        <v>234</v>
      </c>
      <c r="H37" s="508" t="s">
        <f>VLOOKUP(B37,'UV台帐'!B:AL,17,0)</f>
        <v>101</v>
      </c>
      <c r="I37" s="508" t="s">
        <f>VLOOKUP(B37,'UV台帐'!B:AL,18,0)</f>
        <v>165</v>
      </c>
      <c r="J37" s="508" t="s">
        <f>VLOOKUP(B37,'UV台帐'!B:AL,22,0)</f>
        <v>47</v>
      </c>
      <c r="K37" s="508" t="s">
        <f>VLOOKUP(B37,'UV台帐'!B:AL,24,0)</f>
        <v>215</v>
      </c>
      <c r="L37" s="508" t="s">
        <f>VLOOKUP(B37,'UV台帐'!B:AL,26,0)</f>
        <v>101</v>
      </c>
      <c r="M37" s="508" t="s">
        <f>VLOOKUP(B37,'UV台帐'!B:AL,27,0)</f>
        <v>165</v>
      </c>
      <c r="N37" s="508" t="s">
        <f>VLOOKUP(B37,'UV台帐'!B:AL,31,0)</f>
        <v>56</v>
      </c>
      <c r="O37" s="508" t="s">
        <f>VLOOKUP(B37,'UV台帐'!B:AL,33,0)</f>
        <v>216</v>
      </c>
      <c r="P37" s="508" t="s">
        <f>VLOOKUP(B37,'UV台帐'!B:AL,35,0)</f>
        <v>101</v>
      </c>
      <c r="Q37" s="508" t="s">
        <f>VLOOKUP(B37,'UV台帐'!B:AL,36,0)</f>
        <v>165</v>
      </c>
      <c r="R37" s="104" t="s">
        <v>217</v>
      </c>
      <c r="S37" s="104" t="s">
        <v>28</v>
      </c>
      <c r="T37" s="104" t="s">
        <v>218</v>
      </c>
      <c r="U37" s="104" t="s">
        <v>217</v>
      </c>
      <c r="V37" s="332" t="s">
        <v>483</v>
      </c>
      <c r="W37" s="466" t="s">
        <v>484</v>
      </c>
      <c r="X37" s="332"/>
      <c r="Y37" s="332" t="s">
        <v>485</v>
      </c>
      <c r="Z37" s="171" t="s">
        <v>486</v>
      </c>
      <c r="AA37" s="332" t="s">
        <v>223</v>
      </c>
      <c r="AB37" s="332" t="s">
        <v>487</v>
      </c>
      <c r="AC37" s="332" t="s">
        <v>289</v>
      </c>
      <c r="AD37" s="332" t="s">
        <v>252</v>
      </c>
      <c r="AE37" s="332" t="s">
        <v>240</v>
      </c>
      <c r="AF37" s="332" t="s">
        <v>241</v>
      </c>
      <c r="AG37" s="332" t="s">
        <v>228</v>
      </c>
      <c r="AH37" s="332" t="s">
        <v>229</v>
      </c>
      <c r="AI37" s="332" t="s">
        <v>230</v>
      </c>
      <c r="AJ37" s="332" t="s">
        <v>242</v>
      </c>
      <c r="AK37" s="104" t="s">
        <v>35</v>
      </c>
      <c r="AL37" s="104" t="s">
        <v>217</v>
      </c>
      <c r="AM37" s="104"/>
      <c r="AN37" s="5"/>
      <c r="AO37" s="5"/>
      <c r="AP37" s="5"/>
      <c r="AQ37" s="5"/>
      <c r="AR37" s="5"/>
      <c r="AS37" s="5"/>
      <c r="AT37" s="5"/>
      <c r="AU37" s="104"/>
      <c r="AV37" s="104"/>
      <c r="AW37" s="5"/>
      <c r="AX37" s="104"/>
      <c r="AY37" s="104"/>
      <c r="AZ37" s="104"/>
      <c r="BA37" s="5"/>
      <c r="BB37" s="104"/>
      <c r="BC37" s="104"/>
      <c r="BF37" s="104" t="s">
        <v>48</v>
      </c>
      <c r="BG37" s="104" t="n">
        <f>VLOOKUP(B37,'UV台帐'!B:G,6,0)</f>
        <v>0</v>
      </c>
      <c r="BH37" s="104"/>
      <c r="BR37" s="104" t="n">
        <f>COUNTIFS(H37,"一期",I37,"在读")+COUNTIFS(L37,"一期",M37,"在读")+COUNTIFS(P37,"一期",Q37,"在读")</f>
        <v>0</v>
      </c>
      <c r="BS37" s="104" t="n">
        <f>BR37-BW37</f>
        <v>0</v>
      </c>
      <c r="BT37" s="209" t="s">
        <f>VLOOKUP(B37,'UV台帐'!B:AL,19,0)</f>
        <v>116</v>
      </c>
      <c r="BU37" s="209" t="s">
        <f>VLOOKUP(B37,'UV台帐'!B:AL,28,0)</f>
        <v>116</v>
      </c>
      <c r="BV37" s="209" t="s">
        <f>VLOOKUP(B37,'UV台帐'!B:AL,37,0)</f>
        <v>116</v>
      </c>
      <c r="BW37" s="104" t="n">
        <f>COUNTIFS(H37,"一期",BT37,"是")+COUNTIFS(L37,"一期",BU37,"是")+COUNTIFS(P37,"一期",BV37,"是")</f>
        <v>0</v>
      </c>
      <c r="CA37" s="16" t="n">
        <v>4129826988</v>
      </c>
    </row>
    <row r="38" ht="26.25" customHeight="1">
      <c r="A38" s="104" t="s">
        <v>45</v>
      </c>
      <c r="B38" s="104" t="n">
        <v>2714018258</v>
      </c>
      <c r="C38" s="508" t="s">
        <f>VLOOKUP(B38,'UV台帐'!B:AL,2,0)</f>
        <v>361</v>
      </c>
      <c r="D38" s="508" t="s">
        <f>VLOOKUP(B38,'UV台帐'!B:AL,3,0)</f>
        <v>46</v>
      </c>
      <c r="E38" s="508" t="s">
        <f>VLOOKUP(B38,'UV台帐'!B:AL,13,0)</f>
        <v>31</v>
      </c>
      <c r="F38" s="508" t="s">
        <f>VLOOKUP(B38,'UV台帐'!B:AL,15,0)</f>
        <v>216</v>
      </c>
      <c r="G38" s="508" t="s">
        <f>VLOOKUP(B38,'UV台帐'!B:AL,16,0)</f>
        <v>234</v>
      </c>
      <c r="H38" s="508" t="s">
        <f>VLOOKUP(B38,'UV台帐'!B:AL,17,0)</f>
        <v>65</v>
      </c>
      <c r="I38" s="508" t="s">
        <f>VLOOKUP(B38,'UV台帐'!B:AL,18,0)</f>
        <v>165</v>
      </c>
      <c r="J38" s="508" t="s">
        <f>VLOOKUP(B38,'UV台帐'!B:AL,22,0)</f>
        <v>43</v>
      </c>
      <c r="K38" s="508" t="s">
        <f>VLOOKUP(B38,'UV台帐'!B:AL,24,0)</f>
        <v>215</v>
      </c>
      <c r="L38" s="508" t="s">
        <f>VLOOKUP(B38,'UV台帐'!B:AL,26,0)</f>
        <v>65</v>
      </c>
      <c r="M38" s="508" t="s">
        <f>VLOOKUP(B38,'UV台帐'!B:AL,27,0)</f>
        <v>165</v>
      </c>
      <c r="N38" s="508" t="s">
        <f>VLOOKUP(B38,'UV台帐'!B:AL,31,0)</f>
        <v>58</v>
      </c>
      <c r="O38" s="508" t="s">
        <f>VLOOKUP(B38,'UV台帐'!B:AL,33,0)</f>
        <v>233</v>
      </c>
      <c r="P38" s="508" t="s">
        <f>VLOOKUP(B38,'UV台帐'!B:AL,35,0)</f>
        <v>65</v>
      </c>
      <c r="Q38" s="508" t="s">
        <f>VLOOKUP(B38,'UV台帐'!B:AL,36,0)</f>
        <v>165</v>
      </c>
      <c r="R38" s="104" t="s">
        <v>217</v>
      </c>
      <c r="S38" s="104" t="s">
        <v>27</v>
      </c>
      <c r="T38" s="104"/>
      <c r="U38" s="104" t="s">
        <v>217</v>
      </c>
      <c r="V38" s="332"/>
      <c r="W38" s="332" t="s">
        <v>488</v>
      </c>
      <c r="X38" s="332" t="s">
        <v>489</v>
      </c>
      <c r="Y38" s="332" t="s">
        <v>490</v>
      </c>
      <c r="Z38" s="612" t="s">
        <v>491</v>
      </c>
      <c r="AA38" s="332" t="s">
        <v>223</v>
      </c>
      <c r="AB38" s="613" t="s">
        <v>492</v>
      </c>
      <c r="AC38" s="332" t="s">
        <v>289</v>
      </c>
      <c r="AD38" s="332" t="s">
        <v>493</v>
      </c>
      <c r="AE38" s="332" t="s">
        <v>240</v>
      </c>
      <c r="AF38" s="332" t="s">
        <v>241</v>
      </c>
      <c r="AG38" s="332" t="s">
        <v>228</v>
      </c>
      <c r="AH38" s="332" t="s">
        <v>229</v>
      </c>
      <c r="AI38" s="332" t="s">
        <v>254</v>
      </c>
      <c r="AJ38" s="332" t="s">
        <v>255</v>
      </c>
      <c r="AK38" s="104" t="s">
        <v>58</v>
      </c>
      <c r="AL38" s="104" t="s">
        <v>217</v>
      </c>
      <c r="AM38" s="104"/>
      <c r="AN38" s="5"/>
      <c r="AO38" s="5"/>
      <c r="AP38" s="5"/>
      <c r="AQ38" s="5"/>
      <c r="AR38" s="5"/>
      <c r="AS38" s="5"/>
      <c r="AT38" s="5"/>
      <c r="AU38" s="508"/>
      <c r="AV38" s="508"/>
      <c r="AW38" s="5"/>
      <c r="AX38" s="508"/>
      <c r="AY38" s="508"/>
      <c r="AZ38" s="508"/>
      <c r="BA38" s="5"/>
      <c r="BB38" s="508"/>
      <c r="BC38" s="508"/>
      <c r="BF38" s="104" t="s">
        <v>46</v>
      </c>
      <c r="BG38" s="104" t="s">
        <f>VLOOKUP(B38,'UV台帐'!B:G,6,0)</f>
        <v>494</v>
      </c>
      <c r="BH38" s="104" t="s">
        <v>495</v>
      </c>
      <c r="BR38" s="104" t="n">
        <f>COUNTIFS(H38,"一期",I38,"在读")+COUNTIFS(L38,"一期",M38,"在读")+COUNTIFS(P38,"一期",Q38,"在读")</f>
        <v>3</v>
      </c>
      <c r="BS38" s="104" t="n">
        <f>BR38-BW38</f>
        <v>3</v>
      </c>
      <c r="BT38" s="209" t="s">
        <f>VLOOKUP(B38,'UV台帐'!B:AL,19,0)</f>
        <v>116</v>
      </c>
      <c r="BU38" s="209" t="s">
        <f>VLOOKUP(B38,'UV台帐'!B:AL,28,0)</f>
        <v>116</v>
      </c>
      <c r="BV38" s="209" t="s">
        <f>VLOOKUP(B38,'UV台帐'!B:AL,37,0)</f>
        <v>116</v>
      </c>
      <c r="BW38" s="104" t="n">
        <f>COUNTIFS(H38,"一期",BT38,"是")+COUNTIFS(L38,"一期",BU38,"是")+COUNTIFS(P38,"一期",BV38,"是")</f>
        <v>0</v>
      </c>
      <c r="CA38" s="16" t="n">
        <v>4817190059</v>
      </c>
    </row>
    <row r="39" ht="26.25" customHeight="1">
      <c r="A39" s="104" t="s">
        <v>85</v>
      </c>
      <c r="B39" s="104" t="n">
        <v>4442600800</v>
      </c>
      <c r="C39" s="508" t="s">
        <f>VLOOKUP(B39,'UV台帐'!B:AL,2,0)</f>
        <v>496</v>
      </c>
      <c r="D39" s="508" t="s">
        <f>VLOOKUP(B39,'UV台帐'!B:AL,3,0)</f>
        <v>34</v>
      </c>
      <c r="E39" s="288" t="s">
        <f>VLOOKUP(B39,'UV台帐'!B:AL,13,0)</f>
        <v>39</v>
      </c>
      <c r="F39" s="288" t="s">
        <f>VLOOKUP(B39,'UV台帐'!B:AL,15,0)</f>
        <v>216</v>
      </c>
      <c r="G39" s="288" t="s">
        <f>VLOOKUP(B39,'UV台帐'!B:AL,16,0)</f>
        <v>283</v>
      </c>
      <c r="H39" s="288" t="s">
        <f>VLOOKUP(B39,'UV台帐'!B:AL,17,0)</f>
        <v>100</v>
      </c>
      <c r="I39" s="288" t="s">
        <f>VLOOKUP(B39,'UV台帐'!B:AL,18,0)</f>
        <v>165</v>
      </c>
      <c r="J39" s="288" t="s">
        <f>VLOOKUP(B39,'UV台帐'!B:AL,22,0)</f>
        <v>47</v>
      </c>
      <c r="K39" s="288" t="s">
        <f>VLOOKUP(B39,'UV台帐'!B:AL,24,0)</f>
        <v>233</v>
      </c>
      <c r="L39" s="288" t="s">
        <f>VLOOKUP(B39,'UV台帐'!B:AL,26,0)</f>
        <v>100</v>
      </c>
      <c r="M39" s="288" t="s">
        <f>VLOOKUP(B39,'UV台帐'!B:AL,27,0)</f>
        <v>165</v>
      </c>
      <c r="N39" s="508" t="s">
        <f>VLOOKUP(B39,'UV台帐'!B:AL,31,0)</f>
        <v>52</v>
      </c>
      <c r="O39" s="508" t="s">
        <f>VLOOKUP(B39,'UV台帐'!B:AL,33,0)</f>
        <v>216</v>
      </c>
      <c r="P39" s="508" t="s">
        <f>VLOOKUP(B39,'UV台帐'!B:AL,35,0)</f>
        <v>65</v>
      </c>
      <c r="Q39" s="508" t="s">
        <f>VLOOKUP(B39,'UV台帐'!B:AL,36,0)</f>
        <v>165</v>
      </c>
      <c r="R39" s="104" t="s">
        <v>217</v>
      </c>
      <c r="S39" s="508" t="s">
        <v>27</v>
      </c>
      <c r="T39" s="508" t="s">
        <v>218</v>
      </c>
      <c r="U39" s="508" t="s">
        <v>218</v>
      </c>
      <c r="V39" s="466" t="s">
        <v>497</v>
      </c>
      <c r="W39" s="466" t="n">
        <v>280</v>
      </c>
      <c r="X39" s="466" t="s">
        <v>498</v>
      </c>
      <c r="Y39" s="466" t="s">
        <v>499</v>
      </c>
      <c r="Z39" s="171" t="s">
        <v>500</v>
      </c>
      <c r="AA39" s="466" t="s">
        <v>223</v>
      </c>
      <c r="AB39" s="614" t="s">
        <v>501</v>
      </c>
      <c r="AC39" s="466" t="s">
        <v>169</v>
      </c>
      <c r="AD39" s="466" t="s">
        <v>314</v>
      </c>
      <c r="AE39" s="466" t="s">
        <v>253</v>
      </c>
      <c r="AF39" s="466" t="s">
        <v>241</v>
      </c>
      <c r="AG39" s="466" t="s">
        <v>228</v>
      </c>
      <c r="AH39" s="466" t="s">
        <v>229</v>
      </c>
      <c r="AI39" s="466" t="s">
        <v>230</v>
      </c>
      <c r="AJ39" s="466" t="s">
        <v>255</v>
      </c>
      <c r="AK39" s="104" t="s">
        <v>52</v>
      </c>
      <c r="AL39" s="104" t="s">
        <v>217</v>
      </c>
      <c r="AM39" s="104"/>
      <c r="AN39" s="5"/>
      <c r="AO39" s="5"/>
      <c r="AP39" s="5"/>
      <c r="AQ39" s="5"/>
      <c r="AR39" s="5"/>
      <c r="AS39" s="5"/>
      <c r="AT39" s="5"/>
      <c r="AU39" s="104"/>
      <c r="AV39" s="104"/>
      <c r="AW39" s="5"/>
      <c r="AX39" s="104"/>
      <c r="AY39" s="104"/>
      <c r="AZ39" s="104"/>
      <c r="BA39" s="5"/>
      <c r="BB39" s="104"/>
      <c r="BC39" s="104"/>
      <c r="BF39" s="104" t="s">
        <v>34</v>
      </c>
      <c r="BG39" s="104" t="n">
        <f>VLOOKUP(B39,'UV台帐'!B:G,6,0)</f>
        <v>0</v>
      </c>
      <c r="BH39" s="104"/>
      <c r="BR39" s="104" t="n">
        <f>COUNTIFS(H39,"一期",I39,"在读")+COUNTIFS(L39,"一期",M39,"在读")+COUNTIFS(P39,"一期",Q39,"在读")</f>
        <v>1</v>
      </c>
      <c r="BS39" s="104" t="n">
        <f>BR39-BW39</f>
        <v>1</v>
      </c>
      <c r="BT39" s="209" t="s">
        <f>VLOOKUP(B39,'UV台帐'!B:AL,19,0)</f>
        <v>116</v>
      </c>
      <c r="BU39" s="209" t="s">
        <f>VLOOKUP(B39,'UV台帐'!B:AL,28,0)</f>
        <v>116</v>
      </c>
      <c r="BV39" s="209" t="s">
        <f>VLOOKUP(B39,'UV台帐'!B:AL,37,0)</f>
        <v>116</v>
      </c>
      <c r="BW39" s="104" t="n">
        <f>COUNTIFS(H39,"一期",BT39,"是")+COUNTIFS(L39,"一期",BU39,"是")+COUNTIFS(P39,"一期",BV39,"是")</f>
        <v>0</v>
      </c>
      <c r="CA39" s="16" t="n">
        <v>2529696621</v>
      </c>
    </row>
    <row r="40" ht="26.25" customHeight="1">
      <c r="A40" s="104" t="s">
        <v>54</v>
      </c>
      <c r="B40" s="104" t="n">
        <v>4467119064</v>
      </c>
      <c r="C40" s="508" t="s">
        <f>VLOOKUP(B40,'UV台帐'!B:AL,2,0)</f>
        <v>502</v>
      </c>
      <c r="D40" s="508" t="s">
        <f>VLOOKUP(B40,'UV台帐'!B:AL,3,0)</f>
        <v>55</v>
      </c>
      <c r="E40" s="508" t="s">
        <f>VLOOKUP(B40,'UV台帐'!B:AL,13,0)</f>
        <v>35</v>
      </c>
      <c r="F40" s="508" t="s">
        <f>VLOOKUP(B40,'UV台帐'!B:AL,15,0)</f>
        <v>233</v>
      </c>
      <c r="G40" s="508" t="s">
        <f>VLOOKUP(B40,'UV台帐'!B:AL,16,0)</f>
        <v>234</v>
      </c>
      <c r="H40" s="508" t="s">
        <f>VLOOKUP(B40,'UV台帐'!B:AL,17,0)</f>
        <v>101</v>
      </c>
      <c r="I40" s="508" t="s">
        <f>VLOOKUP(B40,'UV台帐'!B:AL,18,0)</f>
        <v>165</v>
      </c>
      <c r="J40" s="508" t="s">
        <f>VLOOKUP(B40,'UV台帐'!B:AL,22,0)</f>
        <v>49</v>
      </c>
      <c r="K40" s="508" t="s">
        <f>VLOOKUP(B40,'UV台帐'!B:AL,24,0)</f>
        <v>215</v>
      </c>
      <c r="L40" s="508" t="s">
        <f>VLOOKUP(B40,'UV台帐'!B:AL,26,0)</f>
        <v>101</v>
      </c>
      <c r="M40" s="508" t="s">
        <f>VLOOKUP(B40,'UV台帐'!B:AL,27,0)</f>
        <v>165</v>
      </c>
      <c r="N40" s="508" t="s">
        <f>VLOOKUP(B40,'UV台帐'!B:AL,31,0)</f>
        <v>58</v>
      </c>
      <c r="O40" s="508" t="s">
        <f>VLOOKUP(B40,'UV台帐'!B:AL,33,0)</f>
        <v>215</v>
      </c>
      <c r="P40" s="508" t="s">
        <f>VLOOKUP(B40,'UV台帐'!B:AL,35,0)</f>
        <v>101</v>
      </c>
      <c r="Q40" s="508" t="s">
        <f>VLOOKUP(B40,'UV台帐'!B:AL,36,0)</f>
        <v>165</v>
      </c>
      <c r="R40" s="104" t="s">
        <v>217</v>
      </c>
      <c r="S40" s="104" t="s">
        <v>28</v>
      </c>
      <c r="T40" s="104" t="s">
        <v>218</v>
      </c>
      <c r="U40" s="104" t="s">
        <v>217</v>
      </c>
      <c r="V40" s="104" t="s">
        <v>503</v>
      </c>
      <c r="W40" s="332" t="s">
        <v>504</v>
      </c>
      <c r="X40" s="332" t="s">
        <v>505</v>
      </c>
      <c r="Y40" s="332" t="s">
        <v>221</v>
      </c>
      <c r="Z40" s="615" t="s">
        <v>506</v>
      </c>
      <c r="AA40" s="332" t="s">
        <v>223</v>
      </c>
      <c r="AB40" s="616" t="s">
        <v>507</v>
      </c>
      <c r="AC40" s="332"/>
      <c r="AD40" s="332" t="s">
        <v>508</v>
      </c>
      <c r="AE40" s="332" t="s">
        <v>226</v>
      </c>
      <c r="AF40" s="332" t="s">
        <v>241</v>
      </c>
      <c r="AG40" s="332" t="s">
        <v>228</v>
      </c>
      <c r="AH40" s="332" t="s">
        <v>229</v>
      </c>
      <c r="AI40" s="332" t="s">
        <v>472</v>
      </c>
      <c r="AJ40" s="332" t="s">
        <v>242</v>
      </c>
      <c r="AK40" s="104" t="s">
        <v>35</v>
      </c>
      <c r="AL40" s="104" t="s">
        <v>217</v>
      </c>
      <c r="AM40" s="104"/>
      <c r="AN40" s="5"/>
      <c r="AO40" s="5"/>
      <c r="AP40" s="5"/>
      <c r="AQ40" s="5"/>
      <c r="AR40" s="5"/>
      <c r="AS40" s="5"/>
      <c r="AT40" s="5"/>
      <c r="AW40" s="5"/>
      <c r="BA40" s="5"/>
      <c r="BF40" s="104" t="s">
        <v>55</v>
      </c>
      <c r="BG40" s="104" t="n">
        <f>VLOOKUP(B40,'UV台帐'!B:G,6,0)</f>
        <v>0</v>
      </c>
      <c r="BH40" s="104"/>
      <c r="BR40" s="104" t="n">
        <f>COUNTIFS(H40,"一期",I40,"在读")+COUNTIFS(L40,"一期",M40,"在读")+COUNTIFS(P40,"一期",Q40,"在读")</f>
        <v>0</v>
      </c>
      <c r="BS40" s="104" t="n">
        <f>BR40-BW40</f>
        <v>0</v>
      </c>
      <c r="BT40" s="209" t="s">
        <f>VLOOKUP(B40,'UV台帐'!B:AL,19,0)</f>
        <v>116</v>
      </c>
      <c r="BU40" s="209" t="s">
        <f>VLOOKUP(B40,'UV台帐'!B:AL,28,0)</f>
        <v>116</v>
      </c>
      <c r="BV40" s="209" t="s">
        <f>VLOOKUP(B40,'UV台帐'!B:AL,37,0)</f>
        <v>116</v>
      </c>
      <c r="BW40" s="104" t="n">
        <f>COUNTIFS(H40,"一期",BT40,"是")+COUNTIFS(L40,"一期",BU40,"是")+COUNTIFS(P40,"一期",BV40,"是")</f>
        <v>0</v>
      </c>
      <c r="CA40" s="16" t="n">
        <v>4310026061</v>
      </c>
    </row>
    <row r="41" ht="26.25" customHeight="1">
      <c r="A41" s="104" t="s">
        <v>54</v>
      </c>
      <c r="B41" s="104" t="n">
        <v>4070489080</v>
      </c>
      <c r="C41" s="508" t="s">
        <f>VLOOKUP(B41,'UV台帐'!B:AL,2,0)</f>
        <v>509</v>
      </c>
      <c r="D41" s="508" t="s">
        <f>VLOOKUP(B41,'UV台帐'!B:AL,3,0)</f>
        <v>59</v>
      </c>
      <c r="E41" s="508" t="s">
        <f>VLOOKUP(B41,'UV台帐'!B:AL,13,0)</f>
        <v>35</v>
      </c>
      <c r="F41" s="508" t="s">
        <f>VLOOKUP(B41,'UV台帐'!B:AL,15,0)</f>
        <v>233</v>
      </c>
      <c r="G41" s="508" t="s">
        <f>VLOOKUP(B41,'UV台帐'!B:AL,16,0)</f>
        <v>234</v>
      </c>
      <c r="H41" s="508" t="s">
        <f>VLOOKUP(B41,'UV台帐'!B:AL,17,0)</f>
        <v>101</v>
      </c>
      <c r="I41" s="508" t="s">
        <f>VLOOKUP(B41,'UV台帐'!B:AL,18,0)</f>
        <v>165</v>
      </c>
      <c r="J41" s="288" t="s">
        <f>VLOOKUP(B41,'UV台帐'!B:AL,22,0)</f>
        <v>116</v>
      </c>
      <c r="K41" s="288" t="s">
        <f>VLOOKUP(B41,'UV台帐'!B:AL,24,0)</f>
        <v>116</v>
      </c>
      <c r="L41" s="288" t="s">
        <f>VLOOKUP(B41,'UV台帐'!B:AL,26,0)</f>
        <v>116</v>
      </c>
      <c r="M41" s="288" t="s">
        <f>VLOOKUP(B41,'UV台帐'!B:AL,27,0)</f>
        <v>116</v>
      </c>
      <c r="N41" s="288" t="s">
        <f>VLOOKUP(B41,'UV台帐'!B:AL,31,0)</f>
        <v>116</v>
      </c>
      <c r="O41" s="288" t="s">
        <f>VLOOKUP(B41,'UV台帐'!B:AL,33,0)</f>
        <v>116</v>
      </c>
      <c r="P41" s="288" t="s">
        <f>VLOOKUP(B41,'UV台帐'!B:AL,35,0)</f>
        <v>116</v>
      </c>
      <c r="Q41" s="288" t="s">
        <f>VLOOKUP(B41,'UV台帐'!B:AL,36,0)</f>
        <v>116</v>
      </c>
      <c r="R41" s="104" t="s">
        <v>217</v>
      </c>
      <c r="S41" s="104" t="s">
        <v>28</v>
      </c>
      <c r="T41" s="104" t="s">
        <v>217</v>
      </c>
      <c r="U41" s="104" t="s">
        <v>217</v>
      </c>
      <c r="V41" s="332" t="s">
        <v>510</v>
      </c>
      <c r="W41" s="332" t="s">
        <v>27</v>
      </c>
      <c r="X41" s="466" t="s">
        <v>511</v>
      </c>
      <c r="Y41" s="466" t="s">
        <v>512</v>
      </c>
      <c r="Z41" s="466" t="s">
        <v>513</v>
      </c>
      <c r="AA41" s="332" t="s">
        <v>223</v>
      </c>
      <c r="AB41" s="466" t="s">
        <v>514</v>
      </c>
      <c r="AC41" s="332" t="s">
        <v>167</v>
      </c>
      <c r="AD41" s="332" t="s">
        <v>515</v>
      </c>
      <c r="AE41" s="332" t="s">
        <v>226</v>
      </c>
      <c r="AF41" s="332" t="s">
        <v>241</v>
      </c>
      <c r="AG41" s="332" t="s">
        <v>228</v>
      </c>
      <c r="AH41" s="332" t="s">
        <v>229</v>
      </c>
      <c r="AI41" s="332" t="s">
        <v>230</v>
      </c>
      <c r="AJ41" s="332" t="s">
        <v>242</v>
      </c>
      <c r="AK41" s="104" t="s">
        <v>35</v>
      </c>
      <c r="AL41" s="104" t="s">
        <v>217</v>
      </c>
      <c r="AM41" s="104"/>
      <c r="AN41" s="5"/>
      <c r="AO41" s="5"/>
      <c r="AP41" s="5"/>
      <c r="AQ41" s="5"/>
      <c r="AR41" s="5"/>
      <c r="AS41" s="5"/>
      <c r="AT41" s="5"/>
      <c r="AU41" s="104"/>
      <c r="AV41" s="104"/>
      <c r="AW41" s="5"/>
      <c r="AX41" s="104"/>
      <c r="AY41" s="104"/>
      <c r="AZ41" s="104"/>
      <c r="BA41" s="5"/>
      <c r="BB41" s="104"/>
      <c r="BC41" s="104"/>
      <c r="BF41" s="104" t="s">
        <v>59</v>
      </c>
      <c r="BG41" s="104" t="s">
        <f>VLOOKUP(B41,'UV台帐'!B:G,6,0)</f>
        <v>516</v>
      </c>
      <c r="BH41" s="104" t="s">
        <v>517</v>
      </c>
      <c r="BR41" s="104" t="n">
        <f>COUNTIFS(H41,"一期",I41,"在读")+COUNTIFS(L41,"一期",M41,"在读")+COUNTIFS(P41,"一期",Q41,"在读")</f>
        <v>0</v>
      </c>
      <c r="BS41" s="104" t="n">
        <f>BR41-BW41</f>
        <v>0</v>
      </c>
      <c r="BT41" s="209" t="s">
        <f>VLOOKUP(B41,'UV台帐'!B:AL,19,0)</f>
        <v>116</v>
      </c>
      <c r="BU41" s="209" t="s">
        <f>VLOOKUP(B41,'UV台帐'!B:AL,28,0)</f>
        <v>116</v>
      </c>
      <c r="BV41" s="209" t="s">
        <f>VLOOKUP(B41,'UV台帐'!B:AL,37,0)</f>
        <v>116</v>
      </c>
      <c r="BW41" s="104" t="n">
        <f>COUNTIFS(H41,"一期",BT41,"是")+COUNTIFS(L41,"一期",BU41,"是")+COUNTIFS(P41,"一期",BV41,"是")</f>
        <v>0</v>
      </c>
      <c r="CA41" s="16" t="n">
        <v>2515578569</v>
      </c>
    </row>
    <row r="42" ht="26.25" customHeight="1">
      <c r="A42" s="104" t="s">
        <v>54</v>
      </c>
      <c r="B42" s="104" t="n">
        <v>4838041163</v>
      </c>
      <c r="C42" s="508" t="s">
        <f>VLOOKUP(B42,'UV台帐'!B:AL,2,0)</f>
        <v>516</v>
      </c>
      <c r="D42" s="508" t="s">
        <f>VLOOKUP(B42,'UV台帐'!B:AL,3,0)</f>
        <v>59</v>
      </c>
      <c r="E42" s="508" t="s">
        <f>VLOOKUP(B42,'UV台帐'!B:AL,13,0)</f>
        <v>35</v>
      </c>
      <c r="F42" s="508" t="s">
        <f>VLOOKUP(B42,'UV台帐'!B:AL,15,0)</f>
        <v>216</v>
      </c>
      <c r="G42" s="508" t="s">
        <f>VLOOKUP(B42,'UV台帐'!B:AL,16,0)</f>
        <v>283</v>
      </c>
      <c r="H42" s="508" t="s">
        <f>VLOOKUP(B42,'UV台帐'!B:AL,17,0)</f>
        <v>65</v>
      </c>
      <c r="I42" s="508" t="s">
        <f>VLOOKUP(B42,'UV台帐'!B:AL,18,0)</f>
        <v>165</v>
      </c>
      <c r="J42" s="508" t="s">
        <f>VLOOKUP(B42,'UV台帐'!B:AL,22,0)</f>
        <v>49</v>
      </c>
      <c r="K42" s="508" t="s">
        <f>VLOOKUP(B42,'UV台帐'!B:AL,24,0)</f>
        <v>233</v>
      </c>
      <c r="L42" s="508" t="s">
        <f>VLOOKUP(B42,'UV台帐'!B:AL,26,0)</f>
        <v>65</v>
      </c>
      <c r="M42" s="508" t="s">
        <f>VLOOKUP(B42,'UV台帐'!B:AL,27,0)</f>
        <v>165</v>
      </c>
      <c r="N42" s="508" t="s">
        <f>VLOOKUP(B42,'UV台帐'!B:AL,31,0)</f>
        <v>56</v>
      </c>
      <c r="O42" s="508" t="s">
        <f>VLOOKUP(B42,'UV台帐'!B:AL,33,0)</f>
        <v>215</v>
      </c>
      <c r="P42" s="508" t="s">
        <f>VLOOKUP(B42,'UV台帐'!B:AL,35,0)</f>
        <v>65</v>
      </c>
      <c r="Q42" s="508" t="s">
        <f>VLOOKUP(B42,'UV台帐'!B:AL,36,0)</f>
        <v>165</v>
      </c>
      <c r="R42" s="104" t="s">
        <v>217</v>
      </c>
      <c r="S42" s="104" t="s">
        <v>27</v>
      </c>
      <c r="T42" s="104" t="s">
        <v>217</v>
      </c>
      <c r="U42" s="104" t="s">
        <v>217</v>
      </c>
      <c r="V42" s="332" t="s">
        <v>473</v>
      </c>
      <c r="W42" s="466" t="s">
        <v>518</v>
      </c>
      <c r="X42" s="466" t="s">
        <v>519</v>
      </c>
      <c r="Y42" s="466" t="s">
        <v>520</v>
      </c>
      <c r="Z42" s="466" t="s">
        <v>521</v>
      </c>
      <c r="AA42" s="332" t="s">
        <v>223</v>
      </c>
      <c r="AB42" s="466" t="s">
        <v>522</v>
      </c>
      <c r="AC42" s="332" t="s">
        <v>456</v>
      </c>
      <c r="AD42" s="332" t="s">
        <v>523</v>
      </c>
      <c r="AE42" s="332" t="s">
        <v>240</v>
      </c>
      <c r="AF42" s="332" t="s">
        <v>241</v>
      </c>
      <c r="AG42" s="332" t="s">
        <v>228</v>
      </c>
      <c r="AH42" s="332" t="s">
        <v>229</v>
      </c>
      <c r="AI42" s="332" t="s">
        <v>230</v>
      </c>
      <c r="AJ42" s="332" t="s">
        <v>242</v>
      </c>
      <c r="AK42" s="104" t="s">
        <v>35</v>
      </c>
      <c r="AL42" s="104" t="s">
        <v>217</v>
      </c>
      <c r="AM42" s="104"/>
      <c r="AN42" s="5"/>
      <c r="AO42" s="5"/>
      <c r="AP42" s="5"/>
      <c r="AQ42" s="5"/>
      <c r="AR42" s="5"/>
      <c r="AS42" s="5"/>
      <c r="AT42" s="5"/>
      <c r="AU42" s="508"/>
      <c r="AV42" s="508"/>
      <c r="AW42" s="5"/>
      <c r="AX42" s="508"/>
      <c r="AY42" s="508"/>
      <c r="AZ42" s="508"/>
      <c r="BA42" s="5"/>
      <c r="BB42" s="508"/>
      <c r="BC42" s="508"/>
      <c r="BF42" s="104" t="s">
        <v>59</v>
      </c>
      <c r="BG42" s="104" t="s">
        <f>VLOOKUP(B42,'UV台帐'!B:G,6,0)</f>
        <v>524</v>
      </c>
      <c r="BH42" s="104"/>
      <c r="BR42" s="104" t="n">
        <f>COUNTIFS(H42,"一期",I42,"在读")+COUNTIFS(L42,"一期",M42,"在读")+COUNTIFS(P42,"一期",Q42,"在读")</f>
        <v>3</v>
      </c>
      <c r="BS42" s="104" t="n">
        <f>BR42-BW42</f>
        <v>3</v>
      </c>
      <c r="BT42" s="209" t="s">
        <f>VLOOKUP(B42,'UV台帐'!B:AL,19,0)</f>
        <v>116</v>
      </c>
      <c r="BU42" s="209" t="s">
        <f>VLOOKUP(B42,'UV台帐'!B:AL,28,0)</f>
        <v>116</v>
      </c>
      <c r="BV42" s="209" t="s">
        <f>VLOOKUP(B42,'UV台帐'!B:AL,37,0)</f>
        <v>116</v>
      </c>
      <c r="BW42" s="104" t="n">
        <f>COUNTIFS(H42,"一期",BT42,"是")+COUNTIFS(L42,"一期",BU42,"是")+COUNTIFS(P42,"一期",BV42,"是")</f>
        <v>0</v>
      </c>
      <c r="CA42" s="16" t="n">
        <v>4370732289</v>
      </c>
    </row>
    <row r="43" ht="26.25" customHeight="1">
      <c r="A43" s="104" t="s">
        <v>54</v>
      </c>
      <c r="B43" s="104" t="n">
        <v>4836856814</v>
      </c>
      <c r="C43" s="508" t="s">
        <f>VLOOKUP(B43,'UV台帐'!B:AL,2,0)</f>
        <v>525</v>
      </c>
      <c r="D43" s="508" t="s">
        <f>VLOOKUP(B43,'UV台帐'!B:AL,3,0)</f>
        <v>55</v>
      </c>
      <c r="E43" s="508" t="s">
        <f>VLOOKUP(B43,'UV台帐'!B:AL,13,0)</f>
        <v>35</v>
      </c>
      <c r="F43" s="508" t="s">
        <f>VLOOKUP(B43,'UV台帐'!B:AL,15,0)</f>
        <v>245</v>
      </c>
      <c r="G43" s="508" t="s">
        <f>VLOOKUP(B43,'UV台帐'!B:AL,16,0)</f>
        <v>234</v>
      </c>
      <c r="H43" s="508" t="s">
        <f>VLOOKUP(B43,'UV台帐'!B:AL,17,0)</f>
        <v>65</v>
      </c>
      <c r="I43" s="508" t="s">
        <f>VLOOKUP(B43,'UV台帐'!B:AL,18,0)</f>
        <v>165</v>
      </c>
      <c r="J43" s="508" t="s">
        <f>VLOOKUP(B43,'UV台帐'!B:AL,22,0)</f>
        <v>47</v>
      </c>
      <c r="K43" s="508" t="s">
        <f>VLOOKUP(B43,'UV台帐'!B:AL,24,0)</f>
        <v>216</v>
      </c>
      <c r="L43" s="508" t="s">
        <f>VLOOKUP(B43,'UV台帐'!B:AL,26,0)</f>
        <v>65</v>
      </c>
      <c r="M43" s="508" t="s">
        <f>VLOOKUP(B43,'UV台帐'!B:AL,27,0)</f>
        <v>165</v>
      </c>
      <c r="N43" s="508" t="s">
        <f>VLOOKUP(B43,'UV台帐'!B:AL,31,0)</f>
        <v>56</v>
      </c>
      <c r="O43" s="508" t="s">
        <f>VLOOKUP(B43,'UV台帐'!B:AL,33,0)</f>
        <v>246</v>
      </c>
      <c r="P43" s="508" t="s">
        <f>VLOOKUP(B43,'UV台帐'!B:AL,35,0)</f>
        <v>65</v>
      </c>
      <c r="Q43" s="508" t="s">
        <f>VLOOKUP(B43,'UV台帐'!B:AL,36,0)</f>
        <v>165</v>
      </c>
      <c r="R43" s="104" t="s">
        <v>217</v>
      </c>
      <c r="S43" s="104" t="s">
        <v>27</v>
      </c>
      <c r="T43" s="104" t="s">
        <v>217</v>
      </c>
      <c r="U43" s="104" t="s">
        <v>217</v>
      </c>
      <c r="V43" s="104" t="s">
        <v>526</v>
      </c>
      <c r="W43" s="332" t="s">
        <v>527</v>
      </c>
      <c r="X43" s="332" t="s">
        <v>528</v>
      </c>
      <c r="Y43" s="332" t="s">
        <v>529</v>
      </c>
      <c r="Z43" s="171" t="s">
        <v>530</v>
      </c>
      <c r="AA43" s="332" t="s">
        <v>223</v>
      </c>
      <c r="AB43" s="617" t="s">
        <v>531</v>
      </c>
      <c r="AC43" s="332" t="s">
        <v>456</v>
      </c>
      <c r="AD43" s="332" t="s">
        <v>532</v>
      </c>
      <c r="AE43" s="332" t="s">
        <v>240</v>
      </c>
      <c r="AF43" s="332" t="s">
        <v>241</v>
      </c>
      <c r="AG43" s="332" t="s">
        <v>228</v>
      </c>
      <c r="AH43" s="332" t="s">
        <v>229</v>
      </c>
      <c r="AI43" s="332" t="s">
        <v>472</v>
      </c>
      <c r="AJ43" s="332" t="s">
        <v>242</v>
      </c>
      <c r="AK43" s="104" t="s">
        <v>35</v>
      </c>
      <c r="AL43" s="104" t="s">
        <v>217</v>
      </c>
      <c r="AM43" s="104"/>
      <c r="AN43" s="5"/>
      <c r="AO43" s="5"/>
      <c r="AP43" s="5"/>
      <c r="AQ43" s="5"/>
      <c r="AR43" s="5"/>
      <c r="AS43" s="5"/>
      <c r="AT43" s="5"/>
      <c r="AW43" s="5"/>
      <c r="BA43" s="5"/>
      <c r="BF43" s="104" t="s">
        <v>55</v>
      </c>
      <c r="BG43" s="104" t="n">
        <f>VLOOKUP(B43,'UV台帐'!B:G,6,0)</f>
        <v>0</v>
      </c>
      <c r="BH43" s="104"/>
      <c r="BR43" s="104" t="n">
        <f>COUNTIFS(H43,"一期",I43,"在读")+COUNTIFS(L43,"一期",M43,"在读")+COUNTIFS(P43,"一期",Q43,"在读")</f>
        <v>3</v>
      </c>
      <c r="BS43" s="104" t="n">
        <f>BR43-BW43</f>
        <v>3</v>
      </c>
      <c r="BT43" s="209" t="s">
        <f>VLOOKUP(B43,'UV台帐'!B:AL,19,0)</f>
        <v>116</v>
      </c>
      <c r="BU43" s="209" t="s">
        <f>VLOOKUP(B43,'UV台帐'!B:AL,28,0)</f>
        <v>116</v>
      </c>
      <c r="BV43" s="209" t="s">
        <f>VLOOKUP(B43,'UV台帐'!B:AL,37,0)</f>
        <v>116</v>
      </c>
      <c r="BW43" s="104" t="n">
        <f>COUNTIFS(H43,"一期",BT43,"是")+COUNTIFS(L43,"一期",BU43,"是")+COUNTIFS(P43,"一期",BV43,"是")</f>
        <v>0</v>
      </c>
      <c r="CA43" s="16" t="n">
        <v>4581996547</v>
      </c>
    </row>
    <row r="44" ht="26.25" customHeight="1">
      <c r="A44" s="104" t="s">
        <v>54</v>
      </c>
      <c r="B44" s="104" t="n">
        <v>4486277372</v>
      </c>
      <c r="C44" s="508" t="s">
        <f>VLOOKUP(B44,'UV台帐'!B:AL,2,0)</f>
        <v>533</v>
      </c>
      <c r="D44" s="508" t="s">
        <f>VLOOKUP(B44,'UV台帐'!B:AL,3,0)</f>
        <v>59</v>
      </c>
      <c r="E44" s="508" t="s">
        <f>VLOOKUP(B44,'UV台帐'!B:AL,13,0)</f>
        <v>35</v>
      </c>
      <c r="F44" s="508" t="s">
        <f>VLOOKUP(B44,'UV台帐'!B:AL,15,0)</f>
        <v>245</v>
      </c>
      <c r="G44" s="508" t="s">
        <f>VLOOKUP(B44,'UV台帐'!B:AL,16,0)</f>
        <v>234</v>
      </c>
      <c r="H44" s="508" t="s">
        <f>VLOOKUP(B44,'UV台帐'!B:AL,17,0)</f>
        <v>65</v>
      </c>
      <c r="I44" s="508" t="s">
        <f>VLOOKUP(B44,'UV台帐'!B:AL,18,0)</f>
        <v>165</v>
      </c>
      <c r="J44" s="508" t="s">
        <f>VLOOKUP(B44,'UV台帐'!B:AL,22,0)</f>
        <v>47</v>
      </c>
      <c r="K44" s="508" t="s">
        <f>VLOOKUP(B44,'UV台帐'!B:AL,24,0)</f>
        <v>216</v>
      </c>
      <c r="L44" s="508" t="s">
        <f>VLOOKUP(B44,'UV台帐'!B:AL,26,0)</f>
        <v>65</v>
      </c>
      <c r="M44" s="508" t="s">
        <f>VLOOKUP(B44,'UV台帐'!B:AL,27,0)</f>
        <v>165</v>
      </c>
      <c r="N44" s="508" t="s">
        <f>VLOOKUP(B44,'UV台帐'!B:AL,31,0)</f>
        <v>56</v>
      </c>
      <c r="O44" s="508" t="s">
        <f>VLOOKUP(B44,'UV台帐'!B:AL,33,0)</f>
        <v>246</v>
      </c>
      <c r="P44" s="508" t="s">
        <f>VLOOKUP(B44,'UV台帐'!B:AL,35,0)</f>
        <v>65</v>
      </c>
      <c r="Q44" s="508" t="s">
        <f>VLOOKUP(B44,'UV台帐'!B:AL,36,0)</f>
        <v>165</v>
      </c>
      <c r="R44" s="104" t="s">
        <v>217</v>
      </c>
      <c r="S44" s="104" t="s">
        <v>27</v>
      </c>
      <c r="T44" s="104" t="s">
        <v>218</v>
      </c>
      <c r="U44" s="104" t="s">
        <v>217</v>
      </c>
      <c r="V44" s="332" t="s">
        <v>534</v>
      </c>
      <c r="W44" s="466" t="s">
        <v>535</v>
      </c>
      <c r="X44" s="466" t="s">
        <v>536</v>
      </c>
      <c r="Y44" s="466" t="s">
        <v>537</v>
      </c>
      <c r="Z44" s="466" t="s">
        <v>538</v>
      </c>
      <c r="AA44" s="332" t="s">
        <v>223</v>
      </c>
      <c r="AB44" s="466" t="s">
        <v>539</v>
      </c>
      <c r="AC44" s="332" t="s">
        <v>456</v>
      </c>
      <c r="AD44" s="332" t="s">
        <v>540</v>
      </c>
      <c r="AE44" s="332" t="s">
        <v>253</v>
      </c>
      <c r="AF44" s="332" t="s">
        <v>306</v>
      </c>
      <c r="AG44" s="332" t="s">
        <v>228</v>
      </c>
      <c r="AH44" s="332" t="s">
        <v>229</v>
      </c>
      <c r="AI44" s="332" t="s">
        <v>254</v>
      </c>
      <c r="AJ44" s="332" t="s">
        <v>255</v>
      </c>
      <c r="AK44" s="104" t="s">
        <v>35</v>
      </c>
      <c r="AL44" s="104"/>
      <c r="AM44" s="104"/>
      <c r="AN44" s="5"/>
      <c r="AO44" s="5"/>
      <c r="AP44" s="5"/>
      <c r="AQ44" s="5"/>
      <c r="AR44" s="5"/>
      <c r="AS44" s="5"/>
      <c r="AT44" s="5"/>
      <c r="AU44" s="104"/>
      <c r="AV44" s="104"/>
      <c r="AW44" s="5"/>
      <c r="AX44" s="104"/>
      <c r="AY44" s="104"/>
      <c r="AZ44" s="104"/>
      <c r="BA44" s="5"/>
      <c r="BB44" s="104"/>
      <c r="BC44" s="104"/>
      <c r="BF44" s="104" t="s">
        <v>59</v>
      </c>
      <c r="BG44" s="104" t="n">
        <f>VLOOKUP(B44,'UV台帐'!B:G,6,0)</f>
        <v>0</v>
      </c>
      <c r="BH44" s="104"/>
      <c r="BR44" s="104" t="n">
        <f>COUNTIFS(H44,"一期",I44,"在读")+COUNTIFS(L44,"一期",M44,"在读")+COUNTIFS(P44,"一期",Q44,"在读")</f>
        <v>3</v>
      </c>
      <c r="BS44" s="104" t="n">
        <f>BR44-BW44</f>
        <v>3</v>
      </c>
      <c r="BT44" s="209" t="s">
        <f>VLOOKUP(B44,'UV台帐'!B:AL,19,0)</f>
        <v>116</v>
      </c>
      <c r="BU44" s="209" t="s">
        <f>VLOOKUP(B44,'UV台帐'!B:AL,28,0)</f>
        <v>116</v>
      </c>
      <c r="BV44" s="209" t="s">
        <f>VLOOKUP(B44,'UV台帐'!B:AL,37,0)</f>
        <v>116</v>
      </c>
      <c r="BW44" s="104" t="n">
        <f>COUNTIFS(H44,"一期",BT44,"是")+COUNTIFS(L44,"一期",BU44,"是")+COUNTIFS(P44,"一期",BV44,"是")</f>
        <v>0</v>
      </c>
      <c r="CA44" s="16" t="n">
        <v>2577817187</v>
      </c>
    </row>
    <row r="45" ht="26.25" customHeight="1">
      <c r="A45" s="104" t="s">
        <v>54</v>
      </c>
      <c r="B45" s="104" t="n">
        <v>4837163177</v>
      </c>
      <c r="C45" s="508" t="s">
        <f>VLOOKUP(B45,'UV台帐'!B:AL,2,0)</f>
        <v>541</v>
      </c>
      <c r="D45" s="508" t="s">
        <f>VLOOKUP(B45,'UV台帐'!B:AL,3,0)</f>
        <v>55</v>
      </c>
      <c r="E45" s="508" t="s">
        <f>VLOOKUP(B45,'UV台帐'!B:AL,13,0)</f>
        <v>35</v>
      </c>
      <c r="F45" s="508" t="s">
        <f>VLOOKUP(B45,'UV台帐'!B:AL,15,0)</f>
        <v>216</v>
      </c>
      <c r="G45" s="508" t="s">
        <f>VLOOKUP(B45,'UV台帐'!B:AL,16,0)</f>
        <v>283</v>
      </c>
      <c r="H45" s="508" t="s">
        <f>VLOOKUP(B45,'UV台帐'!B:AL,17,0)</f>
        <v>65</v>
      </c>
      <c r="I45" s="508" t="s">
        <f>VLOOKUP(B45,'UV台帐'!B:AL,18,0)</f>
        <v>165</v>
      </c>
      <c r="J45" s="508" t="s">
        <f>VLOOKUP(B45,'UV台帐'!B:AL,22,0)</f>
        <v>49</v>
      </c>
      <c r="K45" s="508" t="s">
        <f>VLOOKUP(B45,'UV台帐'!B:AL,24,0)</f>
        <v>233</v>
      </c>
      <c r="L45" s="508" t="s">
        <f>VLOOKUP(B45,'UV台帐'!B:AL,26,0)</f>
        <v>65</v>
      </c>
      <c r="M45" s="508" t="s">
        <f>VLOOKUP(B45,'UV台帐'!B:AL,27,0)</f>
        <v>165</v>
      </c>
      <c r="N45" s="508" t="s">
        <f>VLOOKUP(B45,'UV台帐'!B:AL,31,0)</f>
        <v>56</v>
      </c>
      <c r="O45" s="508" t="s">
        <f>VLOOKUP(B45,'UV台帐'!B:AL,33,0)</f>
        <v>215</v>
      </c>
      <c r="P45" s="508" t="s">
        <f>VLOOKUP(B45,'UV台帐'!B:AL,35,0)</f>
        <v>65</v>
      </c>
      <c r="Q45" s="508" t="s">
        <f>VLOOKUP(B45,'UV台帐'!B:AL,36,0)</f>
        <v>165</v>
      </c>
      <c r="R45" s="104" t="s">
        <v>217</v>
      </c>
      <c r="S45" s="508" t="s">
        <v>27</v>
      </c>
      <c r="T45" s="508" t="s">
        <v>217</v>
      </c>
      <c r="U45" s="104" t="s">
        <v>217</v>
      </c>
      <c r="V45" s="508" t="s">
        <v>473</v>
      </c>
      <c r="W45" s="466" t="s">
        <v>542</v>
      </c>
      <c r="X45" s="466" t="s">
        <v>543</v>
      </c>
      <c r="Y45" s="466" t="s">
        <v>544</v>
      </c>
      <c r="Z45" s="618" t="s">
        <v>545</v>
      </c>
      <c r="AA45" s="466" t="s">
        <v>223</v>
      </c>
      <c r="AB45" s="619" t="s">
        <v>546</v>
      </c>
      <c r="AC45" s="466" t="s">
        <v>289</v>
      </c>
      <c r="AD45" s="466" t="s">
        <v>515</v>
      </c>
      <c r="AE45" s="466" t="s">
        <v>253</v>
      </c>
      <c r="AF45" s="466" t="s">
        <v>241</v>
      </c>
      <c r="AG45" s="466" t="s">
        <v>228</v>
      </c>
      <c r="AH45" s="466" t="s">
        <v>315</v>
      </c>
      <c r="AI45" s="466" t="s">
        <v>254</v>
      </c>
      <c r="AJ45" s="466" t="s">
        <v>255</v>
      </c>
      <c r="AK45" s="104" t="s">
        <v>35</v>
      </c>
      <c r="AL45" s="104" t="s">
        <v>217</v>
      </c>
      <c r="AM45" s="104"/>
      <c r="AN45" s="5"/>
      <c r="AO45" s="5"/>
      <c r="AP45" s="5"/>
      <c r="AQ45" s="5"/>
      <c r="AR45" s="5"/>
      <c r="AS45" s="5"/>
      <c r="AT45" s="5"/>
      <c r="AW45" s="5"/>
      <c r="BA45" s="5"/>
      <c r="BD45" s="508"/>
      <c r="BE45" s="508"/>
      <c r="BF45" s="104" t="s">
        <v>55</v>
      </c>
      <c r="BG45" s="104" t="n">
        <f>VLOOKUP(B45,'UV台帐'!B:G,6,0)</f>
        <v>0</v>
      </c>
      <c r="BH45" s="104" t="s">
        <v>547</v>
      </c>
      <c r="BR45" s="104" t="n">
        <f>COUNTIFS(H45,"一期",I45,"在读")+COUNTIFS(L45,"一期",M45,"在读")+COUNTIFS(P45,"一期",Q45,"在读")</f>
        <v>3</v>
      </c>
      <c r="BS45" s="104" t="n">
        <f>BR45-BW45</f>
        <v>3</v>
      </c>
      <c r="BT45" s="209" t="s">
        <f>VLOOKUP(B45,'UV台帐'!B:AL,19,0)</f>
        <v>116</v>
      </c>
      <c r="BU45" s="209" t="s">
        <f>VLOOKUP(B45,'UV台帐'!B:AL,28,0)</f>
        <v>116</v>
      </c>
      <c r="BV45" s="209" t="s">
        <f>VLOOKUP(B45,'UV台帐'!B:AL,37,0)</f>
        <v>116</v>
      </c>
      <c r="BW45" s="104" t="n">
        <f>COUNTIFS(H45,"一期",BT45,"是")+COUNTIFS(L45,"一期",BU45,"是")+COUNTIFS(P45,"一期",BV45,"是")</f>
        <v>0</v>
      </c>
      <c r="CA45" s="16" t="n">
        <v>2717412875</v>
      </c>
    </row>
    <row r="46" ht="26.25" customHeight="1">
      <c r="A46" s="104" t="s">
        <v>54</v>
      </c>
      <c r="B46" s="104" t="n">
        <v>4090630208</v>
      </c>
      <c r="C46" s="508" t="s">
        <f>VLOOKUP(B46,'UV台帐'!B:AL,2,0)</f>
        <v>548</v>
      </c>
      <c r="D46" s="508" t="s">
        <f>VLOOKUP(B46,'UV台帐'!B:AL,3,0)</f>
        <v>55</v>
      </c>
      <c r="E46" s="508" t="s">
        <f>VLOOKUP(B46,'UV台帐'!B:AL,13,0)</f>
        <v>35</v>
      </c>
      <c r="F46" s="508" t="s">
        <f>VLOOKUP(B46,'UV台帐'!B:AL,15,0)</f>
        <v>233</v>
      </c>
      <c r="G46" s="508" t="s">
        <f>VLOOKUP(B46,'UV台帐'!B:AL,16,0)</f>
        <v>234</v>
      </c>
      <c r="H46" s="508" t="s">
        <f>VLOOKUP(B46,'UV台帐'!B:AL,17,0)</f>
        <v>101</v>
      </c>
      <c r="I46" s="508" t="s">
        <f>VLOOKUP(B46,'UV台帐'!B:AL,18,0)</f>
        <v>165</v>
      </c>
      <c r="J46" s="288" t="s">
        <f>VLOOKUP(B46,'UV台帐'!B:AL,22,0)</f>
        <v>116</v>
      </c>
      <c r="K46" s="288" t="s">
        <f>VLOOKUP(B46,'UV台帐'!B:AL,24,0)</f>
        <v>116</v>
      </c>
      <c r="L46" s="288" t="s">
        <f>VLOOKUP(B46,'UV台帐'!B:AL,26,0)</f>
        <v>116</v>
      </c>
      <c r="M46" s="288" t="s">
        <f>VLOOKUP(B46,'UV台帐'!B:AL,27,0)</f>
        <v>116</v>
      </c>
      <c r="N46" s="288" t="s">
        <f>VLOOKUP(B46,'UV台帐'!B:AL,31,0)</f>
        <v>116</v>
      </c>
      <c r="O46" s="288" t="s">
        <f>VLOOKUP(B46,'UV台帐'!B:AL,33,0)</f>
        <v>116</v>
      </c>
      <c r="P46" s="288" t="s">
        <f>VLOOKUP(B46,'UV台帐'!B:AL,35,0)</f>
        <v>116</v>
      </c>
      <c r="Q46" s="288" t="s">
        <f>VLOOKUP(B46,'UV台帐'!B:AL,36,0)</f>
        <v>116</v>
      </c>
      <c r="R46" s="104" t="s">
        <v>217</v>
      </c>
      <c r="S46" s="104" t="s">
        <v>28</v>
      </c>
      <c r="T46" s="104" t="s">
        <v>218</v>
      </c>
      <c r="U46" s="104" t="s">
        <v>217</v>
      </c>
      <c r="V46" s="104"/>
      <c r="W46" s="332"/>
      <c r="X46" s="332"/>
      <c r="Y46" s="332"/>
      <c r="Z46" s="171" t="s">
        <v>549</v>
      </c>
      <c r="AA46" s="332" t="s">
        <v>223</v>
      </c>
      <c r="AB46" s="466" t="s">
        <v>550</v>
      </c>
      <c r="AC46" s="332" t="s">
        <v>167</v>
      </c>
      <c r="AD46" s="332" t="s">
        <v>551</v>
      </c>
      <c r="AE46" s="332" t="s">
        <v>240</v>
      </c>
      <c r="AF46" s="332" t="s">
        <v>241</v>
      </c>
      <c r="AG46" s="332" t="s">
        <v>266</v>
      </c>
      <c r="AH46" s="332" t="s">
        <v>315</v>
      </c>
      <c r="AI46" s="332" t="s">
        <v>230</v>
      </c>
      <c r="AJ46" s="332" t="s">
        <v>242</v>
      </c>
      <c r="AK46" s="104" t="s">
        <v>35</v>
      </c>
      <c r="AL46" s="104"/>
      <c r="AM46" s="104"/>
      <c r="AN46" s="5"/>
      <c r="AO46" s="5"/>
      <c r="AP46" s="5"/>
      <c r="AQ46" s="5"/>
      <c r="AR46" s="5"/>
      <c r="AS46" s="5"/>
      <c r="AT46" s="5"/>
      <c r="AU46" s="104"/>
      <c r="AV46" s="104"/>
      <c r="AW46" s="5"/>
      <c r="AX46" s="104"/>
      <c r="AY46" s="104"/>
      <c r="AZ46" s="104"/>
      <c r="BA46" s="5"/>
      <c r="BB46" s="104"/>
      <c r="BC46" s="104"/>
      <c r="BF46" s="104" t="s">
        <v>55</v>
      </c>
      <c r="BG46" s="104" t="n">
        <f>VLOOKUP(B46,'UV台帐'!B:G,6,0)</f>
        <v>0</v>
      </c>
      <c r="BH46" s="104"/>
      <c r="BR46" s="104" t="n">
        <f>COUNTIFS(H46,"一期",I46,"在读")+COUNTIFS(L46,"一期",M46,"在读")+COUNTIFS(P46,"一期",Q46,"在读")</f>
        <v>0</v>
      </c>
      <c r="BS46" s="104" t="n">
        <f>BR46-BW46</f>
        <v>0</v>
      </c>
      <c r="BT46" s="209" t="s">
        <f>VLOOKUP(B46,'UV台帐'!B:AL,19,0)</f>
        <v>116</v>
      </c>
      <c r="BU46" s="209" t="s">
        <f>VLOOKUP(B46,'UV台帐'!B:AL,28,0)</f>
        <v>116</v>
      </c>
      <c r="BV46" s="209" t="s">
        <f>VLOOKUP(B46,'UV台帐'!B:AL,37,0)</f>
        <v>116</v>
      </c>
      <c r="BW46" s="104" t="n">
        <f>COUNTIFS(H46,"一期",BT46,"是")+COUNTIFS(L46,"一期",BU46,"是")+COUNTIFS(P46,"一期",BV46,"是")</f>
        <v>0</v>
      </c>
      <c r="CA46" s="16" t="n">
        <v>2579177783</v>
      </c>
    </row>
    <row r="47" ht="26.25" customHeight="1">
      <c r="A47" s="104" t="s">
        <v>54</v>
      </c>
      <c r="B47" s="104" t="n">
        <v>2922308038</v>
      </c>
      <c r="C47" s="508" t="s">
        <f>VLOOKUP(B47,'UV台帐'!B:AL,2,0)</f>
        <v>552</v>
      </c>
      <c r="D47" s="508" t="s">
        <f>VLOOKUP(B47,'UV台帐'!B:AL,3,0)</f>
        <v>55</v>
      </c>
      <c r="E47" s="508" t="s">
        <f>VLOOKUP(B47,'UV台帐'!B:AL,13,0)</f>
        <v>35</v>
      </c>
      <c r="F47" s="508" t="s">
        <f>VLOOKUP(B47,'UV台帐'!B:AL,15,0)</f>
        <v>233</v>
      </c>
      <c r="G47" s="508" t="s">
        <f>VLOOKUP(B47,'UV台帐'!B:AL,16,0)</f>
        <v>234</v>
      </c>
      <c r="H47" s="508" t="s">
        <f>VLOOKUP(B47,'UV台帐'!B:AL,17,0)</f>
        <v>101</v>
      </c>
      <c r="I47" s="508" t="s">
        <f>VLOOKUP(B47,'UV台帐'!B:AL,18,0)</f>
        <v>165</v>
      </c>
      <c r="J47" s="508" t="s">
        <f>VLOOKUP(B47,'UV台帐'!B:AL,22,0)</f>
        <v>47</v>
      </c>
      <c r="K47" s="508" t="s">
        <f>VLOOKUP(B47,'UV台帐'!B:AL,24,0)</f>
        <v>216</v>
      </c>
      <c r="L47" s="508" t="s">
        <f>VLOOKUP(B47,'UV台帐'!B:AL,26,0)</f>
        <v>101</v>
      </c>
      <c r="M47" s="508" t="s">
        <f>VLOOKUP(B47,'UV台帐'!B:AL,27,0)</f>
        <v>165</v>
      </c>
      <c r="N47" s="508" t="s">
        <f>VLOOKUP(B47,'UV台帐'!B:AL,31,0)</f>
        <v>56</v>
      </c>
      <c r="O47" s="508" t="s">
        <f>VLOOKUP(B47,'UV台帐'!B:AL,33,0)</f>
        <v>233</v>
      </c>
      <c r="P47" s="508" t="s">
        <f>VLOOKUP(B47,'UV台帐'!B:AL,35,0)</f>
        <v>101</v>
      </c>
      <c r="Q47" s="508" t="s">
        <f>VLOOKUP(B47,'UV台帐'!B:AL,36,0)</f>
        <v>165</v>
      </c>
      <c r="R47" s="104" t="s">
        <v>217</v>
      </c>
      <c r="S47" s="104" t="s">
        <v>28</v>
      </c>
      <c r="T47" s="104" t="s">
        <v>217</v>
      </c>
      <c r="U47" s="104" t="s">
        <v>217</v>
      </c>
      <c r="V47" s="104" t="s">
        <v>553</v>
      </c>
      <c r="W47" s="332" t="s">
        <v>554</v>
      </c>
      <c r="X47" s="332" t="s">
        <v>505</v>
      </c>
      <c r="Y47" s="332" t="s">
        <v>221</v>
      </c>
      <c r="Z47" s="171" t="s">
        <v>555</v>
      </c>
      <c r="AA47" s="332" t="s">
        <v>223</v>
      </c>
      <c r="AB47" s="171" t="s">
        <v>556</v>
      </c>
      <c r="AC47" s="332" t="s">
        <v>289</v>
      </c>
      <c r="AD47" s="332" t="s">
        <v>265</v>
      </c>
      <c r="AE47" s="332" t="s">
        <v>240</v>
      </c>
      <c r="AF47" s="332" t="s">
        <v>241</v>
      </c>
      <c r="AG47" s="332" t="s">
        <v>228</v>
      </c>
      <c r="AH47" s="332" t="s">
        <v>229</v>
      </c>
      <c r="AI47" s="332" t="s">
        <v>254</v>
      </c>
      <c r="AJ47" s="332" t="s">
        <v>255</v>
      </c>
      <c r="AK47" s="104" t="s">
        <v>35</v>
      </c>
      <c r="AL47" s="104" t="s">
        <v>217</v>
      </c>
      <c r="AM47" s="104"/>
      <c r="AN47" s="5"/>
      <c r="AO47" s="5"/>
      <c r="AP47" s="5"/>
      <c r="AQ47" s="5"/>
      <c r="AR47" s="5"/>
      <c r="AS47" s="5"/>
      <c r="AT47" s="5"/>
      <c r="AW47" s="5"/>
      <c r="BA47" s="5"/>
      <c r="BF47" s="104" t="s">
        <v>55</v>
      </c>
      <c r="BG47" s="104" t="n">
        <f>VLOOKUP(B47,'UV台帐'!B:G,6,0)</f>
        <v>0</v>
      </c>
      <c r="BH47" s="104" t="s">
        <v>553</v>
      </c>
      <c r="BR47" s="104" t="n">
        <f>COUNTIFS(H47,"一期",I47,"在读")+COUNTIFS(L47,"一期",M47,"在读")+COUNTIFS(P47,"一期",Q47,"在读")</f>
        <v>0</v>
      </c>
      <c r="BS47" s="104" t="n">
        <f>BR47-BW47</f>
        <v>0</v>
      </c>
      <c r="BT47" s="209" t="s">
        <f>VLOOKUP(B47,'UV台帐'!B:AL,19,0)</f>
        <v>116</v>
      </c>
      <c r="BU47" s="209" t="s">
        <f>VLOOKUP(B47,'UV台帐'!B:AL,28,0)</f>
        <v>116</v>
      </c>
      <c r="BV47" s="209" t="s">
        <f>VLOOKUP(B47,'UV台帐'!B:AL,37,0)</f>
        <v>116</v>
      </c>
      <c r="BW47" s="104" t="n">
        <f>COUNTIFS(H47,"一期",BT47,"是")+COUNTIFS(L47,"一期",BU47,"是")+COUNTIFS(P47,"一期",BV47,"是")</f>
        <v>0</v>
      </c>
      <c r="CA47" s="16" t="n">
        <v>2457332134</v>
      </c>
    </row>
    <row r="48" ht="26.25" customHeight="1">
      <c r="A48" s="104" t="s">
        <v>85</v>
      </c>
      <c r="B48" s="104" t="n">
        <v>4060101914</v>
      </c>
      <c r="C48" s="469" t="s">
        <f>VLOOKUP(B48,'UV台帐'!B:AL,2,0)</f>
        <v>557</v>
      </c>
      <c r="D48" s="508" t="s">
        <f>VLOOKUP(B48,'UV台帐'!B:AL,3,0)</f>
        <v>34</v>
      </c>
      <c r="E48" s="508" t="s">
        <f>VLOOKUP(B48,'UV台帐'!B:AL,13,0)</f>
        <v>31</v>
      </c>
      <c r="F48" s="508" t="s">
        <f>VLOOKUP(B48,'UV台帐'!B:AL,15,0)</f>
        <v>216</v>
      </c>
      <c r="G48" s="508" t="s">
        <f>VLOOKUP(B48,'UV台帐'!B:AL,16,0)</f>
        <v>283</v>
      </c>
      <c r="H48" s="508" t="s">
        <f>VLOOKUP(B48,'UV台帐'!B:AL,17,0)</f>
        <v>101</v>
      </c>
      <c r="I48" s="508" t="s">
        <f>VLOOKUP(B48,'UV台帐'!B:AL,18,0)</f>
        <v>165</v>
      </c>
      <c r="J48" s="508" t="s">
        <f>VLOOKUP(B48,'UV台帐'!B:AL,22,0)</f>
        <v>47</v>
      </c>
      <c r="K48" s="508" t="s">
        <f>VLOOKUP(B48,'UV台帐'!B:AL,24,0)</f>
        <v>215</v>
      </c>
      <c r="L48" s="508" t="s">
        <f>VLOOKUP(B48,'UV台帐'!B:AL,26,0)</f>
        <v>101</v>
      </c>
      <c r="M48" s="508" t="s">
        <f>VLOOKUP(B48,'UV台帐'!B:AL,27,0)</f>
        <v>165</v>
      </c>
      <c r="N48" s="508" t="s">
        <f>VLOOKUP(B48,'UV台帐'!B:AL,31,0)</f>
        <v>52</v>
      </c>
      <c r="O48" s="508" t="s">
        <f>VLOOKUP(B48,'UV台帐'!B:AL,33,0)</f>
        <v>233</v>
      </c>
      <c r="P48" s="508" t="s">
        <f>VLOOKUP(B48,'UV台帐'!B:AL,35,0)</f>
        <v>101</v>
      </c>
      <c r="Q48" s="508" t="s">
        <f>VLOOKUP(B48,'UV台帐'!B:AL,36,0)</f>
        <v>165</v>
      </c>
      <c r="R48" s="104" t="s">
        <v>217</v>
      </c>
      <c r="S48" s="104" t="s">
        <v>28</v>
      </c>
      <c r="T48" s="104" t="s">
        <v>217</v>
      </c>
      <c r="U48" s="104" t="s">
        <v>217</v>
      </c>
      <c r="V48" s="332"/>
      <c r="W48" s="332" t="n">
        <v>295</v>
      </c>
      <c r="X48" s="332" t="s">
        <v>558</v>
      </c>
      <c r="Y48" s="332" t="s">
        <v>559</v>
      </c>
      <c r="Z48" s="171" t="s">
        <v>560</v>
      </c>
      <c r="AA48" s="332" t="s">
        <v>561</v>
      </c>
      <c r="AB48" s="466" t="s">
        <v>562</v>
      </c>
      <c r="AC48" s="332"/>
      <c r="AD48" s="332"/>
      <c r="AE48" s="332" t="s">
        <v>240</v>
      </c>
      <c r="AF48" s="332" t="s">
        <v>241</v>
      </c>
      <c r="AG48" s="332" t="s">
        <v>228</v>
      </c>
      <c r="AH48" s="332" t="s">
        <v>229</v>
      </c>
      <c r="AI48" s="332" t="s">
        <v>230</v>
      </c>
      <c r="AJ48" s="332" t="s">
        <v>242</v>
      </c>
      <c r="AK48" s="104" t="s">
        <v>52</v>
      </c>
      <c r="AL48" s="104" t="s">
        <v>217</v>
      </c>
      <c r="AM48" s="104"/>
      <c r="AN48" s="5"/>
      <c r="AO48" s="5"/>
      <c r="AP48" s="5"/>
      <c r="AQ48" s="5"/>
      <c r="AR48" s="5"/>
      <c r="AS48" s="5"/>
      <c r="AT48" s="5"/>
      <c r="AU48" s="104"/>
      <c r="AV48" s="104"/>
      <c r="AW48" s="5"/>
      <c r="AX48" s="104"/>
      <c r="AY48" s="104"/>
      <c r="AZ48" s="104"/>
      <c r="BA48" s="5"/>
      <c r="BB48" s="104"/>
      <c r="BC48" s="104"/>
      <c r="BD48" s="508"/>
      <c r="BE48" s="508"/>
      <c r="BF48" s="104" t="s">
        <v>34</v>
      </c>
      <c r="BG48" s="104" t="n">
        <f>VLOOKUP(B48,'UV台帐'!B:G,6,0)</f>
        <v>0</v>
      </c>
      <c r="BH48" s="104"/>
      <c r="BR48" s="104" t="n">
        <f>COUNTIFS(H48,"一期",I48,"在读")+COUNTIFS(L48,"一期",M48,"在读")+COUNTIFS(P48,"一期",Q48,"在读")</f>
        <v>0</v>
      </c>
      <c r="BS48" s="104" t="n">
        <f>BR48-BW48</f>
        <v>0</v>
      </c>
      <c r="BT48" s="209" t="s">
        <f>VLOOKUP(B48,'UV台帐'!B:AL,19,0)</f>
        <v>116</v>
      </c>
      <c r="BU48" s="209" t="s">
        <f>VLOOKUP(B48,'UV台帐'!B:AL,28,0)</f>
        <v>116</v>
      </c>
      <c r="BV48" s="209" t="s">
        <f>VLOOKUP(B48,'UV台帐'!B:AL,37,0)</f>
        <v>116</v>
      </c>
      <c r="BW48" s="104" t="n">
        <f>COUNTIFS(H48,"一期",BT48,"是")+COUNTIFS(L48,"一期",BU48,"是")+COUNTIFS(P48,"一期",BV48,"是")</f>
        <v>0</v>
      </c>
      <c r="CA48" s="16" t="n">
        <v>4108975188</v>
      </c>
    </row>
    <row r="49" ht="26.25" customHeight="1">
      <c r="A49" s="104" t="s">
        <v>54</v>
      </c>
      <c r="B49" s="104" t="n">
        <v>2516986556</v>
      </c>
      <c r="C49" s="508" t="s">
        <f>VLOOKUP(B49,'UV台帐'!B:AL,2,0)</f>
        <v>563</v>
      </c>
      <c r="D49" s="508" t="s">
        <f>VLOOKUP(B49,'UV台帐'!B:AL,3,0)</f>
        <v>38</v>
      </c>
      <c r="E49" s="288" t="s">
        <f>VLOOKUP(B49,'UV台帐'!B:AL,13,0)</f>
        <v>31</v>
      </c>
      <c r="F49" s="288" t="s">
        <f>VLOOKUP(B49,'UV台帐'!B:AL,15,0)</f>
        <v>233</v>
      </c>
      <c r="G49" s="288" t="s">
        <f>VLOOKUP(B49,'UV台帐'!B:AL,16,0)</f>
        <v>234</v>
      </c>
      <c r="H49" s="288" t="s">
        <f>VLOOKUP(B49,'UV台帐'!B:AL,17,0)</f>
        <v>100</v>
      </c>
      <c r="I49" s="288" t="s">
        <f>VLOOKUP(B49,'UV台帐'!B:AL,18,0)</f>
        <v>165</v>
      </c>
      <c r="J49" s="508" t="s">
        <f>VLOOKUP(B49,'UV台帐'!B:AL,22,0)</f>
        <v>47</v>
      </c>
      <c r="K49" s="508" t="s">
        <f>VLOOKUP(B49,'UV台帐'!B:AL,24,0)</f>
        <v>216</v>
      </c>
      <c r="L49" s="508" t="s">
        <f>VLOOKUP(B49,'UV台帐'!B:AL,26,0)</f>
        <v>65</v>
      </c>
      <c r="M49" s="508" t="s">
        <f>VLOOKUP(B49,'UV台帐'!B:AL,27,0)</f>
        <v>165</v>
      </c>
      <c r="N49" s="288" t="s">
        <f>VLOOKUP(B49,'UV台帐'!B:AL,31,0)</f>
        <v>58</v>
      </c>
      <c r="O49" s="288" t="s">
        <f>VLOOKUP(B49,'UV台帐'!B:AL,33,0)</f>
        <v>215</v>
      </c>
      <c r="P49" s="288" t="s">
        <f>VLOOKUP(B49,'UV台帐'!B:AL,35,0)</f>
        <v>100</v>
      </c>
      <c r="Q49" s="288" t="s">
        <f>VLOOKUP(B49,'UV台帐'!B:AL,36,0)</f>
        <v>165</v>
      </c>
      <c r="R49" s="104" t="s">
        <v>217</v>
      </c>
      <c r="S49" s="104" t="s">
        <v>27</v>
      </c>
      <c r="T49" s="104" t="s">
        <v>217</v>
      </c>
      <c r="U49" s="104" t="s">
        <v>218</v>
      </c>
      <c r="V49" s="332" t="s">
        <v>267</v>
      </c>
      <c r="W49" s="332" t="s">
        <v>564</v>
      </c>
      <c r="X49" s="332" t="s">
        <v>565</v>
      </c>
      <c r="Y49" s="332" t="s">
        <v>566</v>
      </c>
      <c r="Z49" s="171" t="s">
        <v>567</v>
      </c>
      <c r="AA49" s="332" t="s">
        <v>223</v>
      </c>
      <c r="AB49" s="620" t="s">
        <v>568</v>
      </c>
      <c r="AC49" s="332" t="s">
        <v>289</v>
      </c>
      <c r="AD49" s="332" t="s">
        <v>305</v>
      </c>
      <c r="AE49" s="332" t="s">
        <v>240</v>
      </c>
      <c r="AF49" s="332" t="s">
        <v>306</v>
      </c>
      <c r="AG49" s="332" t="s">
        <v>266</v>
      </c>
      <c r="AH49" s="332" t="s">
        <v>315</v>
      </c>
      <c r="AI49" s="332" t="s">
        <v>230</v>
      </c>
      <c r="AJ49" s="332" t="s">
        <v>316</v>
      </c>
      <c r="AK49" s="104" t="s">
        <v>47</v>
      </c>
      <c r="AL49" s="104" t="s">
        <v>217</v>
      </c>
      <c r="AM49" s="104"/>
      <c r="AN49" s="5"/>
      <c r="AO49" s="5"/>
      <c r="AP49" s="5"/>
      <c r="AQ49" s="5"/>
      <c r="AR49" s="5"/>
      <c r="AS49" s="5"/>
      <c r="AT49" s="5"/>
      <c r="AU49" s="508"/>
      <c r="AV49" s="508"/>
      <c r="AW49" s="5"/>
      <c r="AX49" s="508"/>
      <c r="AY49" s="508"/>
      <c r="AZ49" s="508"/>
      <c r="BA49" s="5"/>
      <c r="BB49" s="508"/>
      <c r="BC49" s="508"/>
      <c r="BF49" s="104" t="s">
        <v>38</v>
      </c>
      <c r="BG49" s="104" t="n">
        <f>VLOOKUP(B49,'UV台帐'!B:G,6,0)</f>
        <v>0</v>
      </c>
      <c r="BH49" s="104"/>
      <c r="BR49" s="104" t="n">
        <f>COUNTIFS(H49,"一期",I49,"在读")+COUNTIFS(L49,"一期",M49,"在读")+COUNTIFS(P49,"一期",Q49,"在读")</f>
        <v>1</v>
      </c>
      <c r="BS49" s="104" t="n">
        <f>BR49-BW49</f>
        <v>1</v>
      </c>
      <c r="BT49" s="209" t="s">
        <f>VLOOKUP(B49,'UV台帐'!B:AL,19,0)</f>
        <v>116</v>
      </c>
      <c r="BU49" s="209" t="s">
        <f>VLOOKUP(B49,'UV台帐'!B:AL,28,0)</f>
        <v>116</v>
      </c>
      <c r="BV49" s="209" t="s">
        <f>VLOOKUP(B49,'UV台帐'!B:AL,37,0)</f>
        <v>116</v>
      </c>
      <c r="BW49" s="104" t="n">
        <f>COUNTIFS(H49,"一期",BT49,"是")+COUNTIFS(L49,"一期",BU49,"是")+COUNTIFS(P49,"一期",BV49,"是")</f>
        <v>0</v>
      </c>
      <c r="CA49" s="16" t="n">
        <v>4380980083</v>
      </c>
    </row>
    <row r="50" ht="26.25" customHeight="1">
      <c r="A50" s="104" t="s">
        <v>54</v>
      </c>
      <c r="B50" s="104" t="n">
        <v>2500666341</v>
      </c>
      <c r="C50" s="508" t="s">
        <f>VLOOKUP(B50,'UV台帐'!B:AL,2,0)</f>
        <v>569</v>
      </c>
      <c r="D50" s="508" t="s">
        <f>VLOOKUP(B50,'UV台帐'!B:AL,3,0)</f>
        <v>59</v>
      </c>
      <c r="E50" s="508" t="s">
        <f>VLOOKUP(B50,'UV台帐'!B:AL,13,0)</f>
        <v>35</v>
      </c>
      <c r="F50" s="508" t="s">
        <f>VLOOKUP(B50,'UV台帐'!B:AL,15,0)</f>
        <v>245</v>
      </c>
      <c r="G50" s="508" t="s">
        <f>VLOOKUP(B50,'UV台帐'!B:AL,16,0)</f>
        <v>234</v>
      </c>
      <c r="H50" s="508" t="s">
        <f>VLOOKUP(B50,'UV台帐'!B:AL,17,0)</f>
        <v>65</v>
      </c>
      <c r="I50" s="508" t="s">
        <f>VLOOKUP(B50,'UV台帐'!B:AL,18,0)</f>
        <v>165</v>
      </c>
      <c r="J50" s="508" t="s">
        <f>VLOOKUP(B50,'UV台帐'!B:AL,22,0)</f>
        <v>47</v>
      </c>
      <c r="K50" s="508" t="s">
        <f>VLOOKUP(B50,'UV台帐'!B:AL,24,0)</f>
        <v>216</v>
      </c>
      <c r="L50" s="508" t="s">
        <f>VLOOKUP(B50,'UV台帐'!B:AL,26,0)</f>
        <v>65</v>
      </c>
      <c r="M50" s="508" t="s">
        <f>VLOOKUP(B50,'UV台帐'!B:AL,27,0)</f>
        <v>165</v>
      </c>
      <c r="N50" s="508" t="s">
        <f>VLOOKUP(B50,'UV台帐'!B:AL,31,0)</f>
        <v>56</v>
      </c>
      <c r="O50" s="508" t="s">
        <f>VLOOKUP(B50,'UV台帐'!B:AL,33,0)</f>
        <v>246</v>
      </c>
      <c r="P50" s="508" t="s">
        <f>VLOOKUP(B50,'UV台帐'!B:AL,35,0)</f>
        <v>65</v>
      </c>
      <c r="Q50" s="508" t="s">
        <f>VLOOKUP(B50,'UV台帐'!B:AL,36,0)</f>
        <v>165</v>
      </c>
      <c r="R50" s="104" t="s">
        <v>217</v>
      </c>
      <c r="S50" s="104" t="s">
        <v>27</v>
      </c>
      <c r="T50" s="104" t="s">
        <v>217</v>
      </c>
      <c r="U50" s="104" t="s">
        <v>217</v>
      </c>
      <c r="V50" s="332" t="s">
        <v>570</v>
      </c>
      <c r="W50" s="466" t="s">
        <v>571</v>
      </c>
      <c r="X50" s="466" t="s">
        <v>572</v>
      </c>
      <c r="Y50" s="466" t="s">
        <v>573</v>
      </c>
      <c r="Z50" s="466" t="s">
        <v>574</v>
      </c>
      <c r="AA50" s="332" t="s">
        <v>223</v>
      </c>
      <c r="AB50" s="466" t="s">
        <v>575</v>
      </c>
      <c r="AC50" s="332" t="s">
        <v>167</v>
      </c>
      <c r="AD50" s="332" t="s">
        <v>471</v>
      </c>
      <c r="AE50" s="332" t="s">
        <v>253</v>
      </c>
      <c r="AF50" s="332" t="s">
        <v>241</v>
      </c>
      <c r="AG50" s="332" t="s">
        <v>266</v>
      </c>
      <c r="AH50" s="332" t="s">
        <v>315</v>
      </c>
      <c r="AI50" s="332" t="s">
        <v>230</v>
      </c>
      <c r="AJ50" s="332" t="s">
        <v>255</v>
      </c>
      <c r="AK50" s="104" t="s">
        <v>35</v>
      </c>
      <c r="AL50" s="104" t="s">
        <v>217</v>
      </c>
      <c r="AM50" s="104"/>
      <c r="AN50" s="5"/>
      <c r="AO50" s="5"/>
      <c r="AP50" s="5"/>
      <c r="AQ50" s="5"/>
      <c r="AR50" s="5"/>
      <c r="AS50" s="5"/>
      <c r="AT50" s="5"/>
      <c r="AW50" s="5"/>
      <c r="BA50" s="5"/>
      <c r="BF50" s="104" t="s">
        <v>59</v>
      </c>
      <c r="BG50" s="104" t="n">
        <f>VLOOKUP(B50,'UV台帐'!B:G,6,0)</f>
        <v>0</v>
      </c>
      <c r="BH50" s="104"/>
      <c r="BR50" s="104" t="n">
        <f>COUNTIFS(H50,"一期",I50,"在读")+COUNTIFS(L50,"一期",M50,"在读")+COUNTIFS(P50,"一期",Q50,"在读")</f>
        <v>3</v>
      </c>
      <c r="BS50" s="104" t="n">
        <f>BR50-BW50</f>
        <v>3</v>
      </c>
      <c r="BT50" s="209" t="s">
        <f>VLOOKUP(B50,'UV台帐'!B:AL,19,0)</f>
        <v>116</v>
      </c>
      <c r="BU50" s="209" t="s">
        <f>VLOOKUP(B50,'UV台帐'!B:AL,28,0)</f>
        <v>116</v>
      </c>
      <c r="BV50" s="209" t="s">
        <f>VLOOKUP(B50,'UV台帐'!B:AL,37,0)</f>
        <v>116</v>
      </c>
      <c r="BW50" s="104" t="n">
        <f>COUNTIFS(H50,"一期",BT50,"是")+COUNTIFS(L50,"一期",BU50,"是")+COUNTIFS(P50,"一期",BV50,"是")</f>
        <v>0</v>
      </c>
      <c r="CA50" s="16" t="n">
        <v>4827301500</v>
      </c>
    </row>
    <row r="51" ht="26.25" customHeight="1">
      <c r="A51" s="104" t="s">
        <v>54</v>
      </c>
      <c r="B51" s="104" t="n">
        <v>2553608227</v>
      </c>
      <c r="C51" s="508" t="s">
        <f>VLOOKUP(B51,'UV台帐'!B:AL,2,0)</f>
        <v>576</v>
      </c>
      <c r="D51" s="508" t="s">
        <f>VLOOKUP(B51,'UV台帐'!B:AL,3,0)</f>
        <v>59</v>
      </c>
      <c r="E51" s="508" t="s">
        <f>VLOOKUP(B51,'UV台帐'!B:AL,13,0)</f>
        <v>35</v>
      </c>
      <c r="F51" s="508" t="s">
        <f>VLOOKUP(B51,'UV台帐'!B:AL,15,0)</f>
        <v>233</v>
      </c>
      <c r="G51" s="508" t="s">
        <f>VLOOKUP(B51,'UV台帐'!B:AL,16,0)</f>
        <v>234</v>
      </c>
      <c r="H51" s="508" t="s">
        <f>VLOOKUP(B51,'UV台帐'!B:AL,17,0)</f>
        <v>101</v>
      </c>
      <c r="I51" s="508" t="s">
        <f>VLOOKUP(B51,'UV台帐'!B:AL,18,0)</f>
        <v>165</v>
      </c>
      <c r="J51" s="508" t="s">
        <f>VLOOKUP(B51,'UV台帐'!B:AL,22,0)</f>
        <v>47</v>
      </c>
      <c r="K51" s="508" t="s">
        <f>VLOOKUP(B51,'UV台帐'!B:AL,24,0)</f>
        <v>215</v>
      </c>
      <c r="L51" s="508" t="s">
        <f>VLOOKUP(B51,'UV台帐'!B:AL,26,0)</f>
        <v>101</v>
      </c>
      <c r="M51" s="508" t="s">
        <f>VLOOKUP(B51,'UV台帐'!B:AL,27,0)</f>
        <v>165</v>
      </c>
      <c r="N51" s="508" t="s">
        <f>VLOOKUP(B51,'UV台帐'!B:AL,31,0)</f>
        <v>56</v>
      </c>
      <c r="O51" s="508" t="s">
        <f>VLOOKUP(B51,'UV台帐'!B:AL,33,0)</f>
        <v>216</v>
      </c>
      <c r="P51" s="508" t="s">
        <f>VLOOKUP(B51,'UV台帐'!B:AL,35,0)</f>
        <v>101</v>
      </c>
      <c r="Q51" s="508" t="s">
        <f>VLOOKUP(B51,'UV台帐'!B:AL,36,0)</f>
        <v>165</v>
      </c>
      <c r="R51" s="104" t="s">
        <v>217</v>
      </c>
      <c r="S51" s="104" t="s">
        <v>28</v>
      </c>
      <c r="T51" s="104" t="s">
        <v>217</v>
      </c>
      <c r="U51" s="104" t="s">
        <v>217</v>
      </c>
      <c r="V51" s="332" t="s">
        <v>577</v>
      </c>
      <c r="W51" s="332" t="s">
        <v>554</v>
      </c>
      <c r="X51" s="466" t="s">
        <v>578</v>
      </c>
      <c r="Y51" s="466" t="s">
        <v>579</v>
      </c>
      <c r="Z51" s="466" t="s">
        <v>580</v>
      </c>
      <c r="AA51" s="332" t="s">
        <v>223</v>
      </c>
      <c r="AB51" s="466" t="s">
        <v>581</v>
      </c>
      <c r="AC51" s="332" t="s">
        <v>167</v>
      </c>
      <c r="AD51" s="332" t="s">
        <v>471</v>
      </c>
      <c r="AE51" s="332" t="s">
        <v>240</v>
      </c>
      <c r="AF51" s="332" t="s">
        <v>227</v>
      </c>
      <c r="AG51" s="332" t="s">
        <v>266</v>
      </c>
      <c r="AH51" s="332" t="s">
        <v>315</v>
      </c>
      <c r="AI51" s="332" t="s">
        <v>230</v>
      </c>
      <c r="AJ51" s="332" t="s">
        <v>242</v>
      </c>
      <c r="AK51" s="104" t="s">
        <v>35</v>
      </c>
      <c r="AL51" s="104" t="s">
        <v>217</v>
      </c>
      <c r="AM51" s="104"/>
      <c r="AN51" s="5"/>
      <c r="AO51" s="5"/>
      <c r="AP51" s="5"/>
      <c r="AQ51" s="5"/>
      <c r="AR51" s="5"/>
      <c r="AS51" s="5"/>
      <c r="AT51" s="5"/>
      <c r="AU51" s="104"/>
      <c r="AV51" s="104"/>
      <c r="AW51" s="5"/>
      <c r="AX51" s="104"/>
      <c r="AY51" s="104"/>
      <c r="AZ51" s="104"/>
      <c r="BA51" s="5"/>
      <c r="BB51" s="104"/>
      <c r="BC51" s="104"/>
      <c r="BF51" s="104" t="s">
        <v>59</v>
      </c>
      <c r="BG51" s="104" t="s">
        <f>VLOOKUP(B51,'UV台帐'!B:G,6,0)</f>
        <v>569</v>
      </c>
      <c r="BH51" s="104" t="s">
        <v>582</v>
      </c>
      <c r="BR51" s="104" t="n">
        <f>COUNTIFS(H51,"一期",I51,"在读")+COUNTIFS(L51,"一期",M51,"在读")+COUNTIFS(P51,"一期",Q51,"在读")</f>
        <v>0</v>
      </c>
      <c r="BS51" s="104" t="n">
        <f>BR51-BW51</f>
        <v>0</v>
      </c>
      <c r="BT51" s="209" t="s">
        <f>VLOOKUP(B51,'UV台帐'!B:AL,19,0)</f>
        <v>116</v>
      </c>
      <c r="BU51" s="209" t="s">
        <f>VLOOKUP(B51,'UV台帐'!B:AL,28,0)</f>
        <v>116</v>
      </c>
      <c r="BV51" s="209" t="s">
        <f>VLOOKUP(B51,'UV台帐'!B:AL,37,0)</f>
        <v>116</v>
      </c>
      <c r="BW51" s="104" t="n">
        <f>COUNTIFS(H51,"一期",BT51,"是")+COUNTIFS(L51,"一期",BU51,"是")+COUNTIFS(P51,"一期",BV51,"是")</f>
        <v>0</v>
      </c>
      <c r="CA51" s="318"/>
    </row>
    <row r="52" ht="26.25" customHeight="1">
      <c r="A52" s="104" t="s">
        <v>54</v>
      </c>
      <c r="B52" s="104" t="n">
        <v>4357245184</v>
      </c>
      <c r="C52" s="508" t="s">
        <f>VLOOKUP(B52,'UV台帐'!B:AL,2,0)</f>
        <v>583</v>
      </c>
      <c r="D52" s="508" t="s">
        <f>VLOOKUP(B52,'UV台帐'!B:AL,3,0)</f>
        <v>57</v>
      </c>
      <c r="E52" s="508" t="s">
        <f>VLOOKUP(B52,'UV台帐'!B:AL,13,0)</f>
        <v>35</v>
      </c>
      <c r="F52" s="508" t="s">
        <f>VLOOKUP(B52,'UV台帐'!B:AL,15,0)</f>
        <v>245</v>
      </c>
      <c r="G52" s="508" t="s">
        <f>VLOOKUP(B52,'UV台帐'!B:AL,16,0)</f>
        <v>234</v>
      </c>
      <c r="H52" s="508" t="s">
        <f>VLOOKUP(B52,'UV台帐'!B:AL,17,0)</f>
        <v>65</v>
      </c>
      <c r="I52" s="508" t="s">
        <f>VLOOKUP(B52,'UV台帐'!B:AL,18,0)</f>
        <v>165</v>
      </c>
      <c r="J52" s="508" t="s">
        <f>VLOOKUP(B52,'UV台帐'!B:AL,22,0)</f>
        <v>47</v>
      </c>
      <c r="K52" s="508" t="s">
        <f>VLOOKUP(B52,'UV台帐'!B:AL,24,0)</f>
        <v>216</v>
      </c>
      <c r="L52" s="508" t="s">
        <f>VLOOKUP(B52,'UV台帐'!B:AL,26,0)</f>
        <v>65</v>
      </c>
      <c r="M52" s="508" t="s">
        <f>VLOOKUP(B52,'UV台帐'!B:AL,27,0)</f>
        <v>165</v>
      </c>
      <c r="N52" s="288" t="s">
        <f>VLOOKUP(B52,'UV台帐'!B:AL,31,0)</f>
        <v>116</v>
      </c>
      <c r="O52" s="288" t="s">
        <f>VLOOKUP(B52,'UV台帐'!B:AL,33,0)</f>
        <v>116</v>
      </c>
      <c r="P52" s="288" t="s">
        <f>VLOOKUP(B52,'UV台帐'!B:AL,35,0)</f>
        <v>116</v>
      </c>
      <c r="Q52" s="288" t="s">
        <f>VLOOKUP(B52,'UV台帐'!B:AL,36,0)</f>
        <v>116</v>
      </c>
      <c r="R52" s="104" t="s">
        <v>217</v>
      </c>
      <c r="S52" s="104" t="s">
        <v>28</v>
      </c>
      <c r="T52" s="104" t="s">
        <v>218</v>
      </c>
      <c r="U52" s="104" t="s">
        <v>217</v>
      </c>
      <c r="V52" s="332" t="s">
        <v>584</v>
      </c>
      <c r="W52" s="332" t="s">
        <v>585</v>
      </c>
      <c r="X52" s="332" t="s">
        <v>586</v>
      </c>
      <c r="Y52" s="332" t="s">
        <v>587</v>
      </c>
      <c r="Z52" s="171" t="s">
        <v>588</v>
      </c>
      <c r="AA52" s="332" t="s">
        <v>223</v>
      </c>
      <c r="AB52" s="621" t="s">
        <v>589</v>
      </c>
      <c r="AC52" s="332" t="s">
        <v>167</v>
      </c>
      <c r="AD52" s="332" t="s">
        <v>590</v>
      </c>
      <c r="AE52" s="332" t="s">
        <v>240</v>
      </c>
      <c r="AF52" s="332" t="s">
        <v>306</v>
      </c>
      <c r="AG52" s="332" t="s">
        <v>266</v>
      </c>
      <c r="AH52" s="332" t="s">
        <v>307</v>
      </c>
      <c r="AI52" s="332" t="s">
        <v>254</v>
      </c>
      <c r="AJ52" s="332" t="s">
        <v>255</v>
      </c>
      <c r="AK52" s="104" t="s">
        <v>35</v>
      </c>
      <c r="AL52" s="104"/>
      <c r="AM52" s="104"/>
      <c r="AN52" s="5"/>
      <c r="AO52" s="5"/>
      <c r="AP52" s="5"/>
      <c r="AQ52" s="5"/>
      <c r="AR52" s="5"/>
      <c r="AS52" s="5"/>
      <c r="AT52" s="5"/>
      <c r="AU52" s="104"/>
      <c r="AV52" s="104"/>
      <c r="AW52" s="5"/>
      <c r="AX52" s="104"/>
      <c r="AY52" s="104"/>
      <c r="AZ52" s="104"/>
      <c r="BA52" s="5"/>
      <c r="BB52" s="104"/>
      <c r="BC52" s="104"/>
      <c r="BD52" s="508"/>
      <c r="BE52" s="508"/>
      <c r="BF52" s="104" t="s">
        <v>57</v>
      </c>
      <c r="BG52" s="104" t="n">
        <f>VLOOKUP(B52,'UV台帐'!B:G,6,0)</f>
        <v>0</v>
      </c>
      <c r="BH52" s="104"/>
      <c r="BR52" s="104" t="n">
        <f>COUNTIFS(H52,"一期",I52,"在读")+COUNTIFS(L52,"一期",M52,"在读")+COUNTIFS(P52,"一期",Q52,"在读")</f>
        <v>2</v>
      </c>
      <c r="BS52" s="104" t="n">
        <f>BR52-BW52</f>
        <v>2</v>
      </c>
      <c r="BT52" s="209" t="s">
        <f>VLOOKUP(B52,'UV台帐'!B:AL,19,0)</f>
        <v>116</v>
      </c>
      <c r="BU52" s="209" t="s">
        <f>VLOOKUP(B52,'UV台帐'!B:AL,28,0)</f>
        <v>116</v>
      </c>
      <c r="BV52" s="209" t="s">
        <f>VLOOKUP(B52,'UV台帐'!B:AL,37,0)</f>
        <v>116</v>
      </c>
      <c r="BW52" s="104" t="n">
        <f>COUNTIFS(H52,"一期",BT52,"是")+COUNTIFS(L52,"一期",BU52,"是")+COUNTIFS(P52,"一期",BV52,"是")</f>
        <v>0</v>
      </c>
      <c r="CA52" s="318"/>
    </row>
    <row r="53" ht="26.25" customHeight="1">
      <c r="A53" s="104" t="s">
        <v>45</v>
      </c>
      <c r="B53" s="104" t="n">
        <v>4303763811</v>
      </c>
      <c r="C53" s="508" t="s">
        <f>VLOOKUP(B53,'UV台帐'!B:AL,2,0)</f>
        <v>591</v>
      </c>
      <c r="D53" s="508" t="s">
        <f>VLOOKUP(B53,'UV台帐'!B:AL,3,0)</f>
        <v>46</v>
      </c>
      <c r="E53" s="508" t="s">
        <f>VLOOKUP(B53,'UV台帐'!B:AL,13,0)</f>
        <v>31</v>
      </c>
      <c r="F53" s="508" t="s">
        <f>VLOOKUP(B53,'UV台帐'!B:AL,15,0)</f>
        <v>216</v>
      </c>
      <c r="G53" s="508" t="s">
        <f>VLOOKUP(B53,'UV台帐'!B:AL,16,0)</f>
        <v>234</v>
      </c>
      <c r="H53" s="508" t="s">
        <f>VLOOKUP(B53,'UV台帐'!B:AL,17,0)</f>
        <v>65</v>
      </c>
      <c r="I53" s="508" t="s">
        <f>VLOOKUP(B53,'UV台帐'!B:AL,18,0)</f>
        <v>165</v>
      </c>
      <c r="J53" s="508" t="s">
        <f>VLOOKUP(B53,'UV台帐'!B:AL,22,0)</f>
        <v>43</v>
      </c>
      <c r="K53" s="508" t="s">
        <f>VLOOKUP(B53,'UV台帐'!B:AL,24,0)</f>
        <v>215</v>
      </c>
      <c r="L53" s="508" t="s">
        <f>VLOOKUP(B53,'UV台帐'!B:AL,26,0)</f>
        <v>65</v>
      </c>
      <c r="M53" s="508" t="s">
        <f>VLOOKUP(B53,'UV台帐'!B:AL,27,0)</f>
        <v>165</v>
      </c>
      <c r="N53" s="508" t="s">
        <f>VLOOKUP(B53,'UV台帐'!B:AL,31,0)</f>
        <v>58</v>
      </c>
      <c r="O53" s="508" t="s">
        <f>VLOOKUP(B53,'UV台帐'!B:AL,33,0)</f>
        <v>233</v>
      </c>
      <c r="P53" s="508" t="s">
        <f>VLOOKUP(B53,'UV台帐'!B:AL,35,0)</f>
        <v>65</v>
      </c>
      <c r="Q53" s="508" t="s">
        <f>VLOOKUP(B53,'UV台帐'!B:AL,36,0)</f>
        <v>165</v>
      </c>
      <c r="R53" s="104" t="s">
        <v>217</v>
      </c>
      <c r="S53" s="508" t="s">
        <v>27</v>
      </c>
      <c r="U53" s="104" t="s">
        <v>217</v>
      </c>
      <c r="V53" s="466" t="s">
        <v>592</v>
      </c>
      <c r="W53" s="466" t="s">
        <v>484</v>
      </c>
      <c r="Y53" s="466" t="s">
        <v>593</v>
      </c>
      <c r="Z53" s="171" t="s">
        <v>594</v>
      </c>
      <c r="AA53" s="466" t="s">
        <v>223</v>
      </c>
      <c r="AB53" s="622" t="s">
        <v>595</v>
      </c>
      <c r="AC53" s="466" t="s">
        <v>289</v>
      </c>
      <c r="AD53" s="466" t="s">
        <v>596</v>
      </c>
      <c r="AE53" s="466" t="s">
        <v>253</v>
      </c>
      <c r="AF53" s="466" t="s">
        <v>306</v>
      </c>
      <c r="AG53" s="466" t="s">
        <v>228</v>
      </c>
      <c r="AH53" s="466" t="s">
        <v>229</v>
      </c>
      <c r="AI53" s="466" t="s">
        <v>254</v>
      </c>
      <c r="AJ53" s="466" t="s">
        <v>255</v>
      </c>
      <c r="AK53" s="104" t="s">
        <v>58</v>
      </c>
      <c r="AL53" s="104" t="s">
        <v>353</v>
      </c>
      <c r="AM53" s="104"/>
      <c r="AN53" s="5"/>
      <c r="AO53" s="5"/>
      <c r="AP53" s="5"/>
      <c r="AQ53" s="5"/>
      <c r="AR53" s="5"/>
      <c r="AS53" s="5"/>
      <c r="AT53" s="5"/>
      <c r="AU53" s="508"/>
      <c r="AV53" s="508"/>
      <c r="AW53" s="5"/>
      <c r="AX53" s="508"/>
      <c r="AY53" s="508"/>
      <c r="AZ53" s="508"/>
      <c r="BA53" s="5"/>
      <c r="BB53" s="508"/>
      <c r="BC53" s="508"/>
      <c r="BF53" s="104" t="s">
        <v>46</v>
      </c>
      <c r="BG53" s="104" t="n">
        <f>VLOOKUP(B53,'UV台帐'!B:G,6,0)</f>
        <v>0</v>
      </c>
      <c r="BH53" s="104" t="s">
        <v>597</v>
      </c>
      <c r="BR53" s="104" t="n">
        <f>COUNTIFS(H53,"一期",I53,"在读")+COUNTIFS(L53,"一期",M53,"在读")+COUNTIFS(P53,"一期",Q53,"在读")</f>
        <v>3</v>
      </c>
      <c r="BS53" s="104" t="n">
        <f>BR53-BW53</f>
        <v>3</v>
      </c>
      <c r="BT53" s="209" t="s">
        <f>VLOOKUP(B53,'UV台帐'!B:AL,19,0)</f>
        <v>116</v>
      </c>
      <c r="BU53" s="209" t="s">
        <f>VLOOKUP(B53,'UV台帐'!B:AL,28,0)</f>
        <v>116</v>
      </c>
      <c r="BV53" s="209" t="s">
        <f>VLOOKUP(B53,'UV台帐'!B:AL,37,0)</f>
        <v>116</v>
      </c>
      <c r="BW53" s="104" t="n">
        <f>COUNTIFS(H53,"一期",BT53,"是")+COUNTIFS(L53,"一期",BU53,"是")+COUNTIFS(P53,"一期",BV53,"是")</f>
        <v>0</v>
      </c>
      <c r="CA53" s="318"/>
    </row>
    <row r="54" ht="26.25" customHeight="1">
      <c r="A54" s="104" t="s">
        <v>54</v>
      </c>
      <c r="B54" s="104" t="n">
        <v>4833286317</v>
      </c>
      <c r="C54" s="508" t="s">
        <f>VLOOKUP(B54,'UV台帐'!B:AL,2,0)</f>
        <v>598</v>
      </c>
      <c r="D54" s="508" t="s">
        <f>VLOOKUP(B54,'UV台帐'!B:AL,3,0)</f>
        <v>57</v>
      </c>
      <c r="E54" s="508" t="s">
        <f>VLOOKUP(B54,'UV台帐'!B:AL,13,0)</f>
        <v>35</v>
      </c>
      <c r="F54" s="508" t="s">
        <f>VLOOKUP(B54,'UV台帐'!B:AL,15,0)</f>
        <v>233</v>
      </c>
      <c r="G54" s="508" t="s">
        <f>VLOOKUP(B54,'UV台帐'!B:AL,16,0)</f>
        <v>234</v>
      </c>
      <c r="H54" s="508" t="s">
        <f>VLOOKUP(B54,'UV台帐'!B:AL,17,0)</f>
        <v>101</v>
      </c>
      <c r="I54" s="508" t="s">
        <f>VLOOKUP(B54,'UV台帐'!B:AL,18,0)</f>
        <v>165</v>
      </c>
      <c r="J54" s="508" t="s">
        <f>VLOOKUP(B54,'UV台帐'!B:AL,22,0)</f>
        <v>49</v>
      </c>
      <c r="K54" s="508" t="s">
        <f>VLOOKUP(B54,'UV台帐'!B:AL,24,0)</f>
        <v>215</v>
      </c>
      <c r="L54" s="508" t="s">
        <f>VLOOKUP(B54,'UV台帐'!B:AL,26,0)</f>
        <v>101</v>
      </c>
      <c r="M54" s="508" t="s">
        <f>VLOOKUP(B54,'UV台帐'!B:AL,27,0)</f>
        <v>165</v>
      </c>
      <c r="N54" s="508" t="s">
        <f>VLOOKUP(B54,'UV台帐'!B:AL,31,0)</f>
        <v>56</v>
      </c>
      <c r="O54" s="508" t="s">
        <f>VLOOKUP(B54,'UV台帐'!B:AL,33,0)</f>
        <v>216</v>
      </c>
      <c r="P54" s="508" t="s">
        <f>VLOOKUP(B54,'UV台帐'!B:AL,35,0)</f>
        <v>101</v>
      </c>
      <c r="Q54" s="508" t="s">
        <f>VLOOKUP(B54,'UV台帐'!B:AL,36,0)</f>
        <v>165</v>
      </c>
      <c r="R54" s="104" t="s">
        <v>217</v>
      </c>
      <c r="S54" s="104" t="s">
        <v>28</v>
      </c>
      <c r="T54" s="104" t="s">
        <v>218</v>
      </c>
      <c r="U54" s="104" t="s">
        <v>217</v>
      </c>
      <c r="V54" s="332" t="s">
        <v>599</v>
      </c>
      <c r="W54" s="332" t="s">
        <v>600</v>
      </c>
      <c r="X54" s="332" t="s">
        <v>601</v>
      </c>
      <c r="Y54" s="332" t="s">
        <v>602</v>
      </c>
      <c r="Z54" s="171" t="s">
        <v>603</v>
      </c>
      <c r="AA54" s="332" t="s">
        <v>223</v>
      </c>
      <c r="AB54" s="623" t="s">
        <v>604</v>
      </c>
      <c r="AC54" s="332" t="s">
        <v>456</v>
      </c>
      <c r="AD54" s="332" t="s">
        <v>252</v>
      </c>
      <c r="AE54" s="332" t="s">
        <v>240</v>
      </c>
      <c r="AF54" s="332" t="s">
        <v>227</v>
      </c>
      <c r="AG54" s="332" t="s">
        <v>228</v>
      </c>
      <c r="AH54" s="332" t="s">
        <v>229</v>
      </c>
      <c r="AI54" s="332" t="s">
        <v>254</v>
      </c>
      <c r="AJ54" s="332" t="s">
        <v>231</v>
      </c>
      <c r="AK54" s="104" t="s">
        <v>35</v>
      </c>
      <c r="AL54" s="104"/>
      <c r="AM54" s="104"/>
      <c r="AN54" s="5"/>
      <c r="AO54" s="5"/>
      <c r="AP54" s="5"/>
      <c r="AQ54" s="5"/>
      <c r="AR54" s="5"/>
      <c r="AS54" s="5"/>
      <c r="AT54" s="5"/>
      <c r="AU54" s="104"/>
      <c r="AV54" s="104"/>
      <c r="AW54" s="5"/>
      <c r="AX54" s="104"/>
      <c r="AY54" s="104"/>
      <c r="AZ54" s="104"/>
      <c r="BA54" s="5"/>
      <c r="BB54" s="104"/>
      <c r="BC54" s="104"/>
      <c r="BF54" s="104" t="s">
        <v>57</v>
      </c>
      <c r="BG54" s="104" t="n">
        <f>VLOOKUP(B54,'UV台帐'!B:G,6,0)</f>
        <v>0</v>
      </c>
      <c r="BH54" s="104"/>
      <c r="BR54" s="104" t="n">
        <f>COUNTIFS(H54,"一期",I54,"在读")+COUNTIFS(L54,"一期",M54,"在读")+COUNTIFS(P54,"一期",Q54,"在读")</f>
        <v>0</v>
      </c>
      <c r="BS54" s="104" t="n">
        <f>BR54-BW54</f>
        <v>0</v>
      </c>
      <c r="BT54" s="209" t="s">
        <f>VLOOKUP(B54,'UV台帐'!B:AL,19,0)</f>
        <v>116</v>
      </c>
      <c r="BU54" s="209" t="s">
        <f>VLOOKUP(B54,'UV台帐'!B:AL,28,0)</f>
        <v>116</v>
      </c>
      <c r="BV54" s="209" t="s">
        <f>VLOOKUP(B54,'UV台帐'!B:AL,37,0)</f>
        <v>116</v>
      </c>
      <c r="BW54" s="104" t="n">
        <f>COUNTIFS(H54,"一期",BT54,"是")+COUNTIFS(L54,"一期",BU54,"是")+COUNTIFS(P54,"一期",BV54,"是")</f>
        <v>0</v>
      </c>
      <c r="CA54" s="318"/>
    </row>
    <row r="55" ht="26.25" customHeight="1">
      <c r="A55" s="104" t="s">
        <v>54</v>
      </c>
      <c r="B55" s="104" t="n">
        <v>4100299520</v>
      </c>
      <c r="C55" s="469" t="s">
        <f>VLOOKUP(B55,'UV台帐'!B:AL,2,0)</f>
        <v>605</v>
      </c>
      <c r="D55" s="508" t="s">
        <f>VLOOKUP(B55,'UV台帐'!B:AL,3,0)</f>
        <v>34</v>
      </c>
      <c r="E55" s="508" t="s">
        <f>VLOOKUP(B55,'UV台帐'!B:AL,13,0)</f>
        <v>35</v>
      </c>
      <c r="F55" s="508" t="s">
        <f>VLOOKUP(B55,'UV台帐'!B:AL,15,0)</f>
        <v>245</v>
      </c>
      <c r="G55" s="508" t="s">
        <f>VLOOKUP(B55,'UV台帐'!B:AL,16,0)</f>
        <v>234</v>
      </c>
      <c r="H55" s="508" t="s">
        <f>VLOOKUP(B55,'UV台帐'!B:AL,17,0)</f>
        <v>65</v>
      </c>
      <c r="I55" s="508" t="s">
        <f>VLOOKUP(B55,'UV台帐'!B:AL,18,0)</f>
        <v>165</v>
      </c>
      <c r="J55" s="288" t="s">
        <f>VLOOKUP(B55,'UV台帐'!B:AL,22,0)</f>
        <v>47</v>
      </c>
      <c r="K55" s="288" t="s">
        <f>VLOOKUP(B55,'UV台帐'!B:AL,24,0)</f>
        <v>215</v>
      </c>
      <c r="L55" s="288" t="s">
        <f>VLOOKUP(B55,'UV台帐'!B:AL,26,0)</f>
        <v>88</v>
      </c>
      <c r="M55" s="288" t="s">
        <f>VLOOKUP(B55,'UV台帐'!B:AL,27,0)</f>
        <v>165</v>
      </c>
      <c r="N55" s="288" t="s">
        <f>VLOOKUP(B55,'UV台帐'!B:AL,31,0)</f>
        <v>56</v>
      </c>
      <c r="O55" s="288" t="s">
        <f>VLOOKUP(B55,'UV台帐'!B:AL,33,0)</f>
        <v>216</v>
      </c>
      <c r="P55" s="288" t="s">
        <f>VLOOKUP(B55,'UV台帐'!B:AL,35,0)</f>
        <v>88</v>
      </c>
      <c r="Q55" s="288" t="s">
        <f>VLOOKUP(B55,'UV台帐'!B:AL,36,0)</f>
        <v>165</v>
      </c>
      <c r="R55" s="104" t="s">
        <v>217</v>
      </c>
      <c r="S55" s="104" t="s">
        <v>27</v>
      </c>
      <c r="T55" s="104" t="s">
        <v>217</v>
      </c>
      <c r="U55" s="104" t="s">
        <v>218</v>
      </c>
      <c r="V55" s="332" t="s">
        <v>606</v>
      </c>
      <c r="W55" s="332" t="n">
        <v>290</v>
      </c>
      <c r="X55" s="466" t="s">
        <v>607</v>
      </c>
      <c r="Y55" s="466" t="s">
        <v>608</v>
      </c>
      <c r="Z55" s="171" t="s">
        <v>609</v>
      </c>
      <c r="AA55" s="332" t="s">
        <v>223</v>
      </c>
      <c r="AB55" s="624" t="s">
        <v>610</v>
      </c>
      <c r="AC55" s="332" t="s">
        <v>251</v>
      </c>
      <c r="AD55" s="332" t="s">
        <v>540</v>
      </c>
      <c r="AE55" s="332" t="s">
        <v>253</v>
      </c>
      <c r="AF55" s="332" t="s">
        <v>306</v>
      </c>
      <c r="AG55" s="332" t="s">
        <v>228</v>
      </c>
      <c r="AH55" s="332" t="s">
        <v>229</v>
      </c>
      <c r="AI55" s="332" t="s">
        <v>254</v>
      </c>
      <c r="AJ55" s="332" t="s">
        <v>255</v>
      </c>
      <c r="AK55" s="104" t="s">
        <v>35</v>
      </c>
      <c r="AL55" s="104" t="s">
        <v>217</v>
      </c>
      <c r="AM55" s="104"/>
      <c r="AN55" s="5"/>
      <c r="AO55" s="5"/>
      <c r="AP55" s="5"/>
      <c r="AQ55" s="5"/>
      <c r="AR55" s="5"/>
      <c r="AS55" s="5"/>
      <c r="AT55" s="5"/>
      <c r="AU55" s="104"/>
      <c r="AV55" s="104"/>
      <c r="AW55" s="5"/>
      <c r="AX55" s="104"/>
      <c r="AY55" s="104"/>
      <c r="AZ55" s="104"/>
      <c r="BA55" s="5"/>
      <c r="BB55" s="104"/>
      <c r="BC55" s="104"/>
      <c r="BF55" s="104" t="s">
        <v>34</v>
      </c>
      <c r="BG55" s="104" t="n">
        <f>VLOOKUP(B55,'UV台帐'!B:G,6,0)</f>
        <v>0</v>
      </c>
      <c r="BH55" s="104" t="s">
        <v>611</v>
      </c>
      <c r="BR55" s="104" t="n">
        <f>COUNTIFS(H55,"一期",I55,"在读")+COUNTIFS(L55,"一期",M55,"在读")+COUNTIFS(P55,"一期",Q55,"在读")</f>
        <v>1</v>
      </c>
      <c r="BS55" s="104" t="n">
        <f>BR55-BW55</f>
        <v>1</v>
      </c>
      <c r="BT55" s="209" t="s">
        <f>VLOOKUP(B55,'UV台帐'!B:AL,19,0)</f>
        <v>116</v>
      </c>
      <c r="BU55" s="209" t="s">
        <f>VLOOKUP(B55,'UV台帐'!B:AL,28,0)</f>
        <v>116</v>
      </c>
      <c r="BV55" s="209" t="s">
        <f>VLOOKUP(B55,'UV台帐'!B:AL,37,0)</f>
        <v>116</v>
      </c>
      <c r="BW55" s="104" t="n">
        <f>COUNTIFS(H55,"一期",BT55,"是")+COUNTIFS(L55,"一期",BU55,"是")+COUNTIFS(P55,"一期",BV55,"是")</f>
        <v>0</v>
      </c>
      <c r="CA55" s="318"/>
    </row>
    <row r="56" ht="26.25" customHeight="1">
      <c r="A56" s="104" t="s">
        <v>54</v>
      </c>
      <c r="B56" s="104" t="n">
        <v>2958659528</v>
      </c>
      <c r="C56" s="508" t="s">
        <f>VLOOKUP(B56,'UV台帐'!B:AL,2,0)</f>
        <v>612</v>
      </c>
      <c r="D56" s="508" t="s">
        <f>VLOOKUP(B56,'UV台帐'!B:AL,3,0)</f>
        <v>36</v>
      </c>
      <c r="E56" s="508" t="s">
        <f>VLOOKUP(B56,'UV台帐'!B:AL,13,0)</f>
        <v>35</v>
      </c>
      <c r="F56" s="508" t="s">
        <f>VLOOKUP(B56,'UV台帐'!B:AL,15,0)</f>
        <v>245</v>
      </c>
      <c r="G56" s="508" t="s">
        <f>VLOOKUP(B56,'UV台帐'!B:AL,16,0)</f>
        <v>234</v>
      </c>
      <c r="H56" s="508" t="s">
        <f>VLOOKUP(B56,'UV台帐'!B:AL,17,0)</f>
        <v>65</v>
      </c>
      <c r="I56" s="508" t="s">
        <f>VLOOKUP(B56,'UV台帐'!B:AL,18,0)</f>
        <v>165</v>
      </c>
      <c r="J56" s="508" t="s">
        <f>VLOOKUP(B56,'UV台帐'!B:AL,22,0)</f>
        <v>47</v>
      </c>
      <c r="K56" s="508" t="s">
        <f>VLOOKUP(B56,'UV台帐'!B:AL,24,0)</f>
        <v>216</v>
      </c>
      <c r="L56" s="508" t="s">
        <f>VLOOKUP(B56,'UV台帐'!B:AL,26,0)</f>
        <v>65</v>
      </c>
      <c r="M56" s="508" t="s">
        <f>VLOOKUP(B56,'UV台帐'!B:AL,27,0)</f>
        <v>165</v>
      </c>
      <c r="N56" s="508" t="s">
        <f>VLOOKUP(B56,'UV台帐'!B:AL,31,0)</f>
        <v>56</v>
      </c>
      <c r="O56" s="508" t="s">
        <f>VLOOKUP(B56,'UV台帐'!B:AL,33,0)</f>
        <v>246</v>
      </c>
      <c r="P56" s="508" t="s">
        <f>VLOOKUP(B56,'UV台帐'!B:AL,35,0)</f>
        <v>65</v>
      </c>
      <c r="Q56" s="508" t="s">
        <f>VLOOKUP(B56,'UV台帐'!B:AL,36,0)</f>
        <v>165</v>
      </c>
      <c r="R56" s="104" t="s">
        <v>217</v>
      </c>
      <c r="S56" s="104" t="s">
        <v>27</v>
      </c>
      <c r="T56" s="104"/>
      <c r="U56" s="104" t="s">
        <v>217</v>
      </c>
      <c r="V56" s="332" t="s">
        <v>613</v>
      </c>
      <c r="W56" s="332" t="s">
        <v>614</v>
      </c>
      <c r="X56" s="332" t="s">
        <v>615</v>
      </c>
      <c r="Y56" s="332" t="s">
        <v>616</v>
      </c>
      <c r="Z56" s="171" t="s">
        <v>617</v>
      </c>
      <c r="AA56" s="332" t="s">
        <v>223</v>
      </c>
      <c r="AB56" s="332" t="s">
        <v>618</v>
      </c>
      <c r="AC56" s="332" t="s">
        <v>456</v>
      </c>
      <c r="AD56" s="332" t="s">
        <v>619</v>
      </c>
      <c r="AE56" s="332" t="s">
        <v>240</v>
      </c>
      <c r="AF56" s="332" t="s">
        <v>306</v>
      </c>
      <c r="AG56" s="332" t="s">
        <v>228</v>
      </c>
      <c r="AH56" s="332" t="s">
        <v>229</v>
      </c>
      <c r="AI56" s="332" t="s">
        <v>230</v>
      </c>
      <c r="AJ56" s="332" t="s">
        <v>255</v>
      </c>
      <c r="AK56" s="104" t="s">
        <v>35</v>
      </c>
      <c r="AL56" s="104" t="s">
        <v>217</v>
      </c>
      <c r="AM56" s="104"/>
      <c r="AN56" s="5"/>
      <c r="AO56" s="5"/>
      <c r="AP56" s="5"/>
      <c r="AQ56" s="5"/>
      <c r="AR56" s="5"/>
      <c r="AS56" s="5"/>
      <c r="AT56" s="5"/>
      <c r="AU56" s="104"/>
      <c r="AV56" s="104"/>
      <c r="AW56" s="5"/>
      <c r="AX56" s="104"/>
      <c r="AY56" s="104"/>
      <c r="AZ56" s="104"/>
      <c r="BA56" s="5"/>
      <c r="BB56" s="104"/>
      <c r="BC56" s="104"/>
      <c r="BD56" s="508"/>
      <c r="BE56" s="508"/>
      <c r="BF56" s="104" t="s">
        <v>36</v>
      </c>
      <c r="BG56" s="104" t="n">
        <f>VLOOKUP(B56,'UV台帐'!B:G,6,0)</f>
        <v>0</v>
      </c>
      <c r="BH56" s="104"/>
      <c r="BR56" s="104" t="n">
        <f>COUNTIFS(H56,"一期",I56,"在读")+COUNTIFS(L56,"一期",M56,"在读")+COUNTIFS(P56,"一期",Q56,"在读")</f>
        <v>3</v>
      </c>
      <c r="BS56" s="104" t="n">
        <f>BR56-BW56</f>
        <v>3</v>
      </c>
      <c r="BT56" s="209" t="s">
        <f>VLOOKUP(B56,'UV台帐'!B:AL,19,0)</f>
        <v>116</v>
      </c>
      <c r="BU56" s="209" t="s">
        <f>VLOOKUP(B56,'UV台帐'!B:AL,28,0)</f>
        <v>116</v>
      </c>
      <c r="BV56" s="209" t="s">
        <f>VLOOKUP(B56,'UV台帐'!B:AL,37,0)</f>
        <v>116</v>
      </c>
      <c r="BW56" s="104" t="n">
        <f>COUNTIFS(H56,"一期",BT56,"是")+COUNTIFS(L56,"一期",BU56,"是")+COUNTIFS(P56,"一期",BV56,"是")</f>
        <v>0</v>
      </c>
      <c r="CA56" s="318"/>
    </row>
    <row r="57" ht="26.25" customHeight="1">
      <c r="A57" s="104" t="s">
        <v>45</v>
      </c>
      <c r="B57" s="104" t="n">
        <v>2472389311</v>
      </c>
      <c r="C57" s="508" t="s">
        <f>VLOOKUP(B57,'UV台帐'!B:AL,2,0)</f>
        <v>620</v>
      </c>
      <c r="D57" s="508" t="s">
        <f>VLOOKUP(B57,'UV台帐'!B:AL,3,0)</f>
        <v>46</v>
      </c>
      <c r="E57" s="508" t="s">
        <f>VLOOKUP(B57,'UV台帐'!B:AL,13,0)</f>
        <v>31</v>
      </c>
      <c r="F57" s="508" t="s">
        <f>VLOOKUP(B57,'UV台帐'!B:AL,15,0)</f>
        <v>216</v>
      </c>
      <c r="G57" s="508" t="s">
        <f>VLOOKUP(B57,'UV台帐'!B:AL,16,0)</f>
        <v>283</v>
      </c>
      <c r="H57" s="508" t="s">
        <f>VLOOKUP(B57,'UV台帐'!B:AL,17,0)</f>
        <v>101</v>
      </c>
      <c r="I57" s="508" t="s">
        <f>VLOOKUP(B57,'UV台帐'!B:AL,18,0)</f>
        <v>165</v>
      </c>
      <c r="J57" s="288" t="s">
        <f>VLOOKUP(B57,'UV台帐'!B:AL,22,0)</f>
        <v>47</v>
      </c>
      <c r="K57" s="288" t="s">
        <f>VLOOKUP(B57,'UV台帐'!B:AL,24,0)</f>
        <v>233</v>
      </c>
      <c r="L57" s="288" t="s">
        <f>VLOOKUP(B57,'UV台帐'!B:AL,26,0)</f>
        <v>88</v>
      </c>
      <c r="M57" s="288" t="s">
        <f>VLOOKUP(B57,'UV台帐'!B:AL,27,0)</f>
        <v>165</v>
      </c>
      <c r="N57" s="508" t="s">
        <f>VLOOKUP(B57,'UV台帐'!B:AL,31,0)</f>
        <v>58</v>
      </c>
      <c r="O57" s="508" t="s">
        <f>VLOOKUP(B57,'UV台帐'!B:AL,33,0)</f>
        <v>215</v>
      </c>
      <c r="P57" s="508" t="s">
        <f>VLOOKUP(B57,'UV台帐'!B:AL,35,0)</f>
        <v>101</v>
      </c>
      <c r="Q57" s="508" t="s">
        <f>VLOOKUP(B57,'UV台帐'!B:AL,36,0)</f>
        <v>165</v>
      </c>
      <c r="R57" s="104" t="s">
        <v>217</v>
      </c>
      <c r="S57" s="104" t="s">
        <v>28</v>
      </c>
      <c r="T57" s="104"/>
      <c r="U57" s="104"/>
      <c r="V57" s="332" t="s">
        <v>621</v>
      </c>
      <c r="W57" s="332" t="s">
        <v>622</v>
      </c>
      <c r="X57" s="332" t="s">
        <v>623</v>
      </c>
      <c r="Y57" s="332" t="s">
        <v>624</v>
      </c>
      <c r="Z57" s="171" t="s">
        <v>625</v>
      </c>
      <c r="AA57" s="332" t="s">
        <v>223</v>
      </c>
      <c r="AB57" s="625" t="s">
        <v>626</v>
      </c>
      <c r="AC57" s="332" t="s">
        <v>289</v>
      </c>
      <c r="AD57" s="332" t="s">
        <v>627</v>
      </c>
      <c r="AE57" s="332" t="s">
        <v>240</v>
      </c>
      <c r="AF57" s="332" t="s">
        <v>306</v>
      </c>
      <c r="AG57" s="332" t="s">
        <v>228</v>
      </c>
      <c r="AH57" s="332" t="s">
        <v>315</v>
      </c>
      <c r="AI57" s="332" t="s">
        <v>230</v>
      </c>
      <c r="AJ57" s="332" t="s">
        <v>255</v>
      </c>
      <c r="AK57" s="104" t="s">
        <v>58</v>
      </c>
      <c r="AL57" s="104" t="s">
        <v>353</v>
      </c>
      <c r="AM57" s="104"/>
      <c r="AN57" s="5"/>
      <c r="AO57" s="5"/>
      <c r="AP57" s="5"/>
      <c r="AQ57" s="5"/>
      <c r="AR57" s="5"/>
      <c r="AS57" s="5"/>
      <c r="AT57" s="5"/>
      <c r="AU57" s="104"/>
      <c r="AV57" s="104"/>
      <c r="AW57" s="5"/>
      <c r="AX57" s="104"/>
      <c r="AY57" s="104"/>
      <c r="AZ57" s="104"/>
      <c r="BA57" s="5"/>
      <c r="BB57" s="104"/>
      <c r="BC57" s="104"/>
      <c r="BF57" s="104" t="s">
        <v>46</v>
      </c>
      <c r="BG57" s="104" t="n">
        <f>VLOOKUP(B57,'UV台帐'!B:G,6,0)</f>
        <v>0</v>
      </c>
      <c r="BH57" s="104" t="s">
        <v>495</v>
      </c>
      <c r="BR57" s="104" t="n">
        <f>COUNTIFS(H57,"一期",I57,"在读")+COUNTIFS(L57,"一期",M57,"在读")+COUNTIFS(P57,"一期",Q57,"在读")</f>
        <v>0</v>
      </c>
      <c r="BS57" s="104" t="n">
        <f>BR57-BW57</f>
        <v>0</v>
      </c>
      <c r="BT57" s="209" t="s">
        <f>VLOOKUP(B57,'UV台帐'!B:AL,19,0)</f>
        <v>116</v>
      </c>
      <c r="BU57" s="209" t="s">
        <f>VLOOKUP(B57,'UV台帐'!B:AL,28,0)</f>
        <v>116</v>
      </c>
      <c r="BV57" s="209" t="s">
        <f>VLOOKUP(B57,'UV台帐'!B:AL,37,0)</f>
        <v>116</v>
      </c>
      <c r="BW57" s="104" t="n">
        <f>COUNTIFS(H57,"一期",BT57,"是")+COUNTIFS(L57,"一期",BU57,"是")+COUNTIFS(P57,"一期",BV57,"是")</f>
        <v>0</v>
      </c>
      <c r="CA57" s="318"/>
    </row>
    <row r="58" ht="26.25" customHeight="1">
      <c r="A58" s="104" t="s">
        <v>54</v>
      </c>
      <c r="B58" s="104" t="n">
        <v>4193294263</v>
      </c>
      <c r="C58" s="508" t="s">
        <f>VLOOKUP(B58,'UV台帐'!B:AL,2,0)</f>
        <v>628</v>
      </c>
      <c r="D58" s="508" t="s">
        <f>VLOOKUP(B58,'UV台帐'!B:AL,3,0)</f>
        <v>57</v>
      </c>
      <c r="E58" s="288" t="s">
        <f>VLOOKUP(B58,'UV台帐'!B:AL,13,0)</f>
        <v>31</v>
      </c>
      <c r="F58" s="288" t="s">
        <f>VLOOKUP(B58,'UV台帐'!B:AL,15,0)</f>
        <v>233</v>
      </c>
      <c r="G58" s="288" t="s">
        <f>VLOOKUP(B58,'UV台帐'!B:AL,16,0)</f>
        <v>234</v>
      </c>
      <c r="H58" s="288" t="s">
        <f>VLOOKUP(B58,'UV台帐'!B:AL,17,0)</f>
        <v>100</v>
      </c>
      <c r="I58" s="288" t="s">
        <f>VLOOKUP(B58,'UV台帐'!B:AL,18,0)</f>
        <v>165</v>
      </c>
      <c r="J58" s="508" t="s">
        <f>VLOOKUP(B58,'UV台帐'!B:AL,22,0)</f>
        <v>47</v>
      </c>
      <c r="K58" s="508" t="s">
        <f>VLOOKUP(B58,'UV台帐'!B:AL,24,0)</f>
        <v>216</v>
      </c>
      <c r="L58" s="508" t="s">
        <f>VLOOKUP(B58,'UV台帐'!B:AL,26,0)</f>
        <v>65</v>
      </c>
      <c r="M58" s="508" t="s">
        <f>VLOOKUP(B58,'UV台帐'!B:AL,27,0)</f>
        <v>165</v>
      </c>
      <c r="N58" s="508" t="s">
        <f>VLOOKUP(B58,'UV台帐'!B:AL,31,0)</f>
        <v>56</v>
      </c>
      <c r="O58" s="508" t="s">
        <f>VLOOKUP(B58,'UV台帐'!B:AL,33,0)</f>
        <v>215</v>
      </c>
      <c r="P58" s="508" t="s">
        <f>VLOOKUP(B58,'UV台帐'!B:AL,35,0)</f>
        <v>65</v>
      </c>
      <c r="Q58" s="508" t="s">
        <f>VLOOKUP(B58,'UV台帐'!B:AL,36,0)</f>
        <v>165</v>
      </c>
      <c r="R58" s="104" t="s">
        <v>217</v>
      </c>
      <c r="S58" s="508" t="s">
        <v>25</v>
      </c>
      <c r="T58" s="508" t="s">
        <v>217</v>
      </c>
      <c r="U58" s="104" t="s">
        <v>217</v>
      </c>
      <c r="V58" s="466" t="s">
        <v>629</v>
      </c>
      <c r="W58" s="466" t="s">
        <v>630</v>
      </c>
      <c r="X58" s="466" t="s">
        <v>631</v>
      </c>
      <c r="Y58" s="466" t="s">
        <v>632</v>
      </c>
      <c r="Z58" s="171" t="s">
        <v>633</v>
      </c>
      <c r="AA58" s="466" t="s">
        <v>223</v>
      </c>
      <c r="AB58" s="626" t="s">
        <v>634</v>
      </c>
      <c r="AC58" s="466" t="s">
        <v>169</v>
      </c>
      <c r="AD58" s="466" t="s">
        <v>635</v>
      </c>
      <c r="AE58" s="466" t="s">
        <v>253</v>
      </c>
      <c r="AF58" s="466" t="s">
        <v>241</v>
      </c>
      <c r="AG58" s="466" t="s">
        <v>266</v>
      </c>
      <c r="AH58" s="466" t="s">
        <v>315</v>
      </c>
      <c r="AI58" s="466" t="s">
        <v>254</v>
      </c>
      <c r="AJ58" s="466" t="s">
        <v>316</v>
      </c>
      <c r="AK58" s="104" t="s">
        <v>47</v>
      </c>
      <c r="AL58" s="104"/>
      <c r="AM58" s="104"/>
      <c r="AN58" s="5"/>
      <c r="AO58" s="5"/>
      <c r="AP58" s="5"/>
      <c r="AQ58" s="5"/>
      <c r="AR58" s="5"/>
      <c r="AS58" s="5"/>
      <c r="AT58" s="5"/>
      <c r="AU58" s="104"/>
      <c r="AV58" s="104"/>
      <c r="AW58" s="5"/>
      <c r="AX58" s="104"/>
      <c r="AY58" s="104"/>
      <c r="AZ58" s="104"/>
      <c r="BA58" s="5"/>
      <c r="BB58" s="104"/>
      <c r="BC58" s="104"/>
      <c r="BF58" s="104" t="s">
        <v>57</v>
      </c>
      <c r="BG58" s="104" t="n">
        <f>VLOOKUP(B58,'UV台帐'!B:G,6,0)</f>
        <v>0</v>
      </c>
      <c r="BH58" s="104"/>
      <c r="BR58" s="104" t="n">
        <f>COUNTIFS(H58,"一期",I58,"在读")+COUNTIFS(L58,"一期",M58,"在读")+COUNTIFS(P58,"一期",Q58,"在读")</f>
        <v>2</v>
      </c>
      <c r="BS58" s="104" t="n">
        <f>BR58-BW58</f>
        <v>2</v>
      </c>
      <c r="BT58" s="209" t="s">
        <f>VLOOKUP(B58,'UV台帐'!B:AL,19,0)</f>
        <v>217</v>
      </c>
      <c r="BU58" s="209" t="s">
        <f>VLOOKUP(B58,'UV台帐'!B:AL,28,0)</f>
        <v>116</v>
      </c>
      <c r="BV58" s="209" t="s">
        <f>VLOOKUP(B58,'UV台帐'!B:AL,37,0)</f>
        <v>116</v>
      </c>
      <c r="BW58" s="104" t="n">
        <f>COUNTIFS(H58,"一期",BT58,"是")+COUNTIFS(L58,"一期",BU58,"是")+COUNTIFS(P58,"一期",BV58,"是")</f>
        <v>0</v>
      </c>
      <c r="CA58" s="318"/>
    </row>
    <row r="59" ht="26.25" customHeight="1">
      <c r="A59" s="104" t="s">
        <v>45</v>
      </c>
      <c r="B59" s="104" t="n">
        <v>4829563345</v>
      </c>
      <c r="C59" s="508" t="s">
        <f>VLOOKUP(B59,'UV台帐'!B:AL,2,0)</f>
        <v>636</v>
      </c>
      <c r="D59" s="508" t="s">
        <f>VLOOKUP(B59,'UV台帐'!B:AL,3,0)</f>
        <v>48</v>
      </c>
      <c r="E59" s="508" t="s">
        <f>VLOOKUP(B59,'UV台帐'!B:AL,13,0)</f>
        <v>37</v>
      </c>
      <c r="F59" s="508" t="s">
        <f>VLOOKUP(B59,'UV台帐'!B:AL,15,0)</f>
        <v>233</v>
      </c>
      <c r="G59" s="508" t="s">
        <f>VLOOKUP(B59,'UV台帐'!B:AL,16,0)</f>
        <v>283</v>
      </c>
      <c r="H59" s="508" t="s">
        <f>VLOOKUP(B59,'UV台帐'!B:AL,17,0)</f>
        <v>65</v>
      </c>
      <c r="I59" s="508" t="s">
        <f>VLOOKUP(B59,'UV台帐'!B:AL,18,0)</f>
        <v>165</v>
      </c>
      <c r="J59" s="508" t="s">
        <f>VLOOKUP(B59,'UV台帐'!B:AL,22,0)</f>
        <v>49</v>
      </c>
      <c r="K59" s="508" t="s">
        <f>VLOOKUP(B59,'UV台帐'!B:AL,24,0)</f>
        <v>215</v>
      </c>
      <c r="L59" s="508" t="s">
        <f>VLOOKUP(B59,'UV台帐'!B:AL,26,0)</f>
        <v>65</v>
      </c>
      <c r="M59" s="508" t="s">
        <f>VLOOKUP(B59,'UV台帐'!B:AL,27,0)</f>
        <v>165</v>
      </c>
      <c r="N59" s="288" t="s">
        <f>VLOOKUP(B59,'UV台帐'!B:AL,31,0)</f>
        <v>52</v>
      </c>
      <c r="O59" s="288" t="s">
        <f>VLOOKUP(B59,'UV台帐'!B:AL,33,0)</f>
        <v>233</v>
      </c>
      <c r="P59" s="288" t="s">
        <f>VLOOKUP(B59,'UV台帐'!B:AL,35,0)</f>
        <v>88</v>
      </c>
      <c r="Q59" s="288" t="s">
        <f>VLOOKUP(B59,'UV台帐'!B:AL,36,0)</f>
        <v>165</v>
      </c>
      <c r="R59" s="104" t="s">
        <v>217</v>
      </c>
      <c r="S59" s="104" t="s">
        <v>25</v>
      </c>
      <c r="T59" s="104" t="s">
        <v>217</v>
      </c>
      <c r="U59" s="104" t="s">
        <v>217</v>
      </c>
      <c r="V59" s="332" t="s">
        <v>407</v>
      </c>
      <c r="W59" s="466" t="s">
        <v>484</v>
      </c>
      <c r="X59" s="332"/>
      <c r="Y59" s="332" t="s">
        <v>637</v>
      </c>
      <c r="Z59" s="171" t="s">
        <v>638</v>
      </c>
      <c r="AA59" s="332" t="s">
        <v>223</v>
      </c>
      <c r="AB59" s="332" t="s">
        <v>639</v>
      </c>
      <c r="AC59" s="332" t="s">
        <v>289</v>
      </c>
      <c r="AD59" s="332"/>
      <c r="AE59" s="332"/>
      <c r="AF59" s="332"/>
      <c r="AG59" s="332"/>
      <c r="AH59" s="332"/>
      <c r="AI59" s="332"/>
      <c r="AJ59" s="332"/>
      <c r="AK59" s="104" t="s">
        <v>49</v>
      </c>
      <c r="AL59" s="104" t="s">
        <v>640</v>
      </c>
      <c r="AM59" s="104"/>
      <c r="AN59" s="5"/>
      <c r="AO59" s="5"/>
      <c r="AP59" s="5"/>
      <c r="AQ59" s="5"/>
      <c r="AR59" s="5"/>
      <c r="AS59" s="5"/>
      <c r="AT59" s="5"/>
      <c r="AU59" s="104"/>
      <c r="AV59" s="104"/>
      <c r="AW59" s="5"/>
      <c r="AX59" s="104"/>
      <c r="AY59" s="104"/>
      <c r="AZ59" s="104"/>
      <c r="BA59" s="5"/>
      <c r="BB59" s="104"/>
      <c r="BC59" s="104"/>
      <c r="BF59" s="104" t="s">
        <v>48</v>
      </c>
      <c r="BG59" s="104" t="s">
        <f>VLOOKUP(B59,'UV台帐'!B:G,6,0)</f>
        <v>641</v>
      </c>
      <c r="BH59" s="104"/>
      <c r="BR59" s="104" t="n">
        <f>COUNTIFS(H59,"一期",I59,"在读")+COUNTIFS(L59,"一期",M59,"在读")+COUNTIFS(P59,"一期",Q59,"在读")</f>
        <v>2</v>
      </c>
      <c r="BS59" s="104" t="n">
        <f>BR59-BW59</f>
        <v>0</v>
      </c>
      <c r="BT59" s="209" t="s">
        <f>VLOOKUP(B59,'UV台帐'!B:AL,19,0)</f>
        <v>217</v>
      </c>
      <c r="BU59" s="209" t="s">
        <f>VLOOKUP(B59,'UV台帐'!B:AL,28,0)</f>
        <v>217</v>
      </c>
      <c r="BV59" s="209" t="s">
        <f>VLOOKUP(B59,'UV台帐'!B:AL,37,0)</f>
        <v>217</v>
      </c>
      <c r="BW59" s="104" t="n">
        <f>COUNTIFS(H59,"一期",BT59,"是")+COUNTIFS(L59,"一期",BU59,"是")+COUNTIFS(P59,"一期",BV59,"是")</f>
        <v>2</v>
      </c>
      <c r="CA59" s="318"/>
    </row>
    <row r="60" ht="26.25" customHeight="1">
      <c r="A60" s="104" t="s">
        <v>54</v>
      </c>
      <c r="B60" s="104" t="n">
        <v>4831171617</v>
      </c>
      <c r="C60" s="508" t="s">
        <f>VLOOKUP(B60,'UV台帐'!B:AL,2,0)</f>
        <v>642</v>
      </c>
      <c r="D60" s="508" t="s">
        <f>VLOOKUP(B60,'UV台帐'!B:AL,3,0)</f>
        <v>59</v>
      </c>
      <c r="E60" s="508" t="s">
        <f>VLOOKUP(B60,'UV台帐'!B:AL,13,0)</f>
        <v>35</v>
      </c>
      <c r="F60" s="508" t="s">
        <f>VLOOKUP(B60,'UV台帐'!B:AL,15,0)</f>
        <v>233</v>
      </c>
      <c r="G60" s="508" t="s">
        <f>VLOOKUP(B60,'UV台帐'!B:AL,16,0)</f>
        <v>234</v>
      </c>
      <c r="H60" s="508" t="s">
        <f>VLOOKUP(B60,'UV台帐'!B:AL,17,0)</f>
        <v>101</v>
      </c>
      <c r="I60" s="508" t="s">
        <f>VLOOKUP(B60,'UV台帐'!B:AL,18,0)</f>
        <v>165</v>
      </c>
      <c r="J60" s="508" t="s">
        <f>VLOOKUP(B60,'UV台帐'!B:AL,22,0)</f>
        <v>47</v>
      </c>
      <c r="K60" s="508" t="s">
        <f>VLOOKUP(B60,'UV台帐'!B:AL,24,0)</f>
        <v>215</v>
      </c>
      <c r="L60" s="508" t="s">
        <f>VLOOKUP(B60,'UV台帐'!B:AL,26,0)</f>
        <v>101</v>
      </c>
      <c r="M60" s="508" t="s">
        <f>VLOOKUP(B60,'UV台帐'!B:AL,27,0)</f>
        <v>165</v>
      </c>
      <c r="N60" s="508" t="s">
        <f>VLOOKUP(B60,'UV台帐'!B:AL,31,0)</f>
        <v>56</v>
      </c>
      <c r="O60" s="508" t="s">
        <f>VLOOKUP(B60,'UV台帐'!B:AL,33,0)</f>
        <v>216</v>
      </c>
      <c r="P60" s="508" t="s">
        <f>VLOOKUP(B60,'UV台帐'!B:AL,35,0)</f>
        <v>101</v>
      </c>
      <c r="Q60" s="508" t="s">
        <f>VLOOKUP(B60,'UV台帐'!B:AL,36,0)</f>
        <v>165</v>
      </c>
      <c r="R60" s="104" t="s">
        <v>217</v>
      </c>
      <c r="S60" s="104" t="s">
        <v>28</v>
      </c>
      <c r="T60" s="104" t="s">
        <v>217</v>
      </c>
      <c r="U60" s="104" t="s">
        <v>217</v>
      </c>
      <c r="V60" s="332" t="s">
        <v>643</v>
      </c>
      <c r="W60" s="466" t="s">
        <v>644</v>
      </c>
      <c r="X60" s="466" t="s">
        <v>645</v>
      </c>
      <c r="Y60" s="466" t="s">
        <v>646</v>
      </c>
      <c r="Z60" s="466" t="s">
        <v>647</v>
      </c>
      <c r="AA60" s="332" t="s">
        <v>223</v>
      </c>
      <c r="AB60" s="466" t="s">
        <v>648</v>
      </c>
      <c r="AC60" s="332" t="s">
        <v>167</v>
      </c>
      <c r="AD60" s="332" t="s">
        <v>463</v>
      </c>
      <c r="AE60" s="332" t="s">
        <v>240</v>
      </c>
      <c r="AF60" s="332" t="s">
        <v>241</v>
      </c>
      <c r="AG60" s="332" t="s">
        <v>228</v>
      </c>
      <c r="AH60" s="332" t="s">
        <v>307</v>
      </c>
      <c r="AI60" s="332" t="s">
        <v>230</v>
      </c>
      <c r="AJ60" s="332" t="s">
        <v>242</v>
      </c>
      <c r="AK60" s="104" t="s">
        <v>35</v>
      </c>
      <c r="AL60" s="104" t="s">
        <v>217</v>
      </c>
      <c r="AM60" s="104"/>
      <c r="AN60" s="5"/>
      <c r="AO60" s="5"/>
      <c r="AP60" s="5"/>
      <c r="AQ60" s="5"/>
      <c r="AR60" s="5"/>
      <c r="AS60" s="5"/>
      <c r="AT60" s="5"/>
      <c r="AU60" s="104"/>
      <c r="AV60" s="104"/>
      <c r="AW60" s="5"/>
      <c r="AX60" s="104"/>
      <c r="AY60" s="104"/>
      <c r="AZ60" s="104"/>
      <c r="BA60" s="5"/>
      <c r="BB60" s="104"/>
      <c r="BC60" s="104"/>
      <c r="BD60" s="508"/>
      <c r="BE60" s="508"/>
      <c r="BF60" s="104" t="s">
        <v>59</v>
      </c>
      <c r="BG60" s="104" t="s">
        <f>VLOOKUP(B60,'UV台帐'!B:G,6,0)</f>
        <v>649</v>
      </c>
      <c r="BH60" s="104"/>
      <c r="BR60" s="104" t="n">
        <f>COUNTIFS(H60,"一期",I60,"在读")+COUNTIFS(L60,"一期",M60,"在读")+COUNTIFS(P60,"一期",Q60,"在读")</f>
        <v>0</v>
      </c>
      <c r="BS60" s="104" t="n">
        <f>BR60-BW60</f>
        <v>0</v>
      </c>
      <c r="BT60" s="209" t="s">
        <f>VLOOKUP(B60,'UV台帐'!B:AL,19,0)</f>
        <v>116</v>
      </c>
      <c r="BU60" s="209" t="s">
        <f>VLOOKUP(B60,'UV台帐'!B:AL,28,0)</f>
        <v>116</v>
      </c>
      <c r="BV60" s="209" t="s">
        <f>VLOOKUP(B60,'UV台帐'!B:AL,37,0)</f>
        <v>116</v>
      </c>
      <c r="BW60" s="104" t="n">
        <f>COUNTIFS(H60,"一期",BT60,"是")+COUNTIFS(L60,"一期",BU60,"是")+COUNTIFS(P60,"一期",BV60,"是")</f>
        <v>0</v>
      </c>
      <c r="CA60" s="318"/>
    </row>
    <row r="61" ht="26.25" customHeight="1">
      <c r="A61" s="104" t="s">
        <v>85</v>
      </c>
      <c r="B61" s="104" t="n">
        <v>2514140816</v>
      </c>
      <c r="C61" s="508" t="s">
        <f>VLOOKUP(B61,'UV台帐'!B:AL,2,0)</f>
        <v>650</v>
      </c>
      <c r="D61" s="508" t="s">
        <f>VLOOKUP(B61,'UV台帐'!B:AL,3,0)</f>
        <v>38</v>
      </c>
      <c r="E61" s="508" t="s">
        <f>VLOOKUP(B61,'UV台帐'!B:AL,13,0)</f>
        <v>31</v>
      </c>
      <c r="F61" s="508" t="s">
        <f>VLOOKUP(B61,'UV台帐'!B:AL,15,0)</f>
        <v>215</v>
      </c>
      <c r="G61" s="508" t="s">
        <f>VLOOKUP(B61,'UV台帐'!B:AL,16,0)</f>
        <v>283</v>
      </c>
      <c r="H61" s="508" t="s">
        <f>VLOOKUP(B61,'UV台帐'!B:AL,17,0)</f>
        <v>65</v>
      </c>
      <c r="I61" s="508" t="s">
        <f>VLOOKUP(B61,'UV台帐'!B:AL,18,0)</f>
        <v>165</v>
      </c>
      <c r="J61" s="508" t="s">
        <f>VLOOKUP(B61,'UV台帐'!B:AL,22,0)</f>
        <v>47</v>
      </c>
      <c r="K61" s="508" t="s">
        <f>VLOOKUP(B61,'UV台帐'!B:AL,24,0)</f>
        <v>246</v>
      </c>
      <c r="L61" s="508" t="s">
        <f>VLOOKUP(B61,'UV台帐'!B:AL,26,0)</f>
        <v>65</v>
      </c>
      <c r="M61" s="508" t="s">
        <f>VLOOKUP(B61,'UV台帐'!B:AL,27,0)</f>
        <v>165</v>
      </c>
      <c r="N61" s="508" t="s">
        <f>VLOOKUP(B61,'UV台帐'!B:AL,31,0)</f>
        <v>52</v>
      </c>
      <c r="O61" s="508" t="s">
        <f>VLOOKUP(B61,'UV台帐'!B:AL,33,0)</f>
        <v>216</v>
      </c>
      <c r="P61" s="508" t="s">
        <f>VLOOKUP(B61,'UV台帐'!B:AL,35,0)</f>
        <v>65</v>
      </c>
      <c r="Q61" s="508" t="s">
        <f>VLOOKUP(B61,'UV台帐'!B:AL,36,0)</f>
        <v>165</v>
      </c>
      <c r="R61" s="104" t="s">
        <v>217</v>
      </c>
      <c r="S61" s="104" t="s">
        <v>27</v>
      </c>
      <c r="T61" s="104" t="s">
        <v>217</v>
      </c>
      <c r="U61" s="104" t="s">
        <v>217</v>
      </c>
      <c r="V61" s="332" t="s">
        <v>651</v>
      </c>
      <c r="W61" s="332" t="s">
        <v>652</v>
      </c>
      <c r="X61" s="332" t="s">
        <v>653</v>
      </c>
      <c r="Y61" s="332" t="s">
        <v>654</v>
      </c>
      <c r="Z61" s="171" t="s">
        <v>655</v>
      </c>
      <c r="AA61" s="332" t="s">
        <v>223</v>
      </c>
      <c r="AB61" s="627" t="s">
        <v>656</v>
      </c>
      <c r="AC61" s="332" t="s">
        <v>289</v>
      </c>
      <c r="AD61" s="332" t="s">
        <v>424</v>
      </c>
      <c r="AE61" s="332" t="s">
        <v>240</v>
      </c>
      <c r="AF61" s="332" t="s">
        <v>241</v>
      </c>
      <c r="AG61" s="332" t="s">
        <v>228</v>
      </c>
      <c r="AH61" s="332" t="s">
        <v>229</v>
      </c>
      <c r="AI61" s="332" t="s">
        <v>230</v>
      </c>
      <c r="AJ61" s="332" t="s">
        <v>242</v>
      </c>
      <c r="AK61" s="104" t="s">
        <v>52</v>
      </c>
      <c r="AL61" s="104" t="s">
        <v>217</v>
      </c>
      <c r="AM61" s="104"/>
      <c r="AN61" s="5"/>
      <c r="AO61" s="5"/>
      <c r="AP61" s="5"/>
      <c r="AQ61" s="5"/>
      <c r="AR61" s="5"/>
      <c r="AS61" s="5"/>
      <c r="AT61" s="5"/>
      <c r="AU61" s="104"/>
      <c r="AV61" s="104"/>
      <c r="AW61" s="5"/>
      <c r="AX61" s="104"/>
      <c r="AY61" s="104"/>
      <c r="AZ61" s="104"/>
      <c r="BA61" s="5"/>
      <c r="BB61" s="104"/>
      <c r="BC61" s="104"/>
      <c r="BF61" s="104" t="s">
        <v>38</v>
      </c>
      <c r="BG61" s="104" t="n">
        <f>VLOOKUP(B61,'UV台帐'!B:G,6,0)</f>
        <v>0</v>
      </c>
      <c r="BH61" s="104"/>
      <c r="BR61" s="104" t="n">
        <f>COUNTIFS(H61,"一期",I61,"在读")+COUNTIFS(L61,"一期",M61,"在读")+COUNTIFS(P61,"一期",Q61,"在读")</f>
        <v>3</v>
      </c>
      <c r="BS61" s="104" t="n">
        <f>BR61-BW61</f>
        <v>3</v>
      </c>
      <c r="BT61" s="209" t="s">
        <f>VLOOKUP(B61,'UV台帐'!B:AL,19,0)</f>
        <v>116</v>
      </c>
      <c r="BU61" s="209" t="s">
        <f>VLOOKUP(B61,'UV台帐'!B:AL,28,0)</f>
        <v>116</v>
      </c>
      <c r="BV61" s="209" t="s">
        <f>VLOOKUP(B61,'UV台帐'!B:AL,37,0)</f>
        <v>116</v>
      </c>
      <c r="BW61" s="104" t="n">
        <f>COUNTIFS(H61,"一期",BT61,"是")+COUNTIFS(L61,"一期",BU61,"是")+COUNTIFS(P61,"一期",BV61,"是")</f>
        <v>0</v>
      </c>
      <c r="CA61" s="318"/>
    </row>
    <row r="62" ht="26.25" customHeight="1">
      <c r="A62" s="104" t="s">
        <v>85</v>
      </c>
      <c r="B62" s="104" t="n">
        <v>4373949634</v>
      </c>
      <c r="C62" s="508" t="s">
        <f>VLOOKUP(B62,'UV台帐'!B:AL,2,0)</f>
        <v>657</v>
      </c>
      <c r="D62" s="508" t="s">
        <f>VLOOKUP(B62,'UV台帐'!B:AL,3,0)</f>
        <v>38</v>
      </c>
      <c r="E62" s="288" t="s">
        <f>VLOOKUP(B62,'UV台帐'!B:AL,13,0)</f>
        <v>31</v>
      </c>
      <c r="F62" s="288" t="s">
        <f>VLOOKUP(B62,'UV台帐'!B:AL,15,0)</f>
        <v>215</v>
      </c>
      <c r="G62" s="288" t="s">
        <f>VLOOKUP(B62,'UV台帐'!B:AL,16,0)</f>
        <v>283</v>
      </c>
      <c r="H62" s="288" t="s">
        <f>VLOOKUP(B62,'UV台帐'!B:AL,17,0)</f>
        <v>88</v>
      </c>
      <c r="I62" s="288" t="s">
        <f>VLOOKUP(B62,'UV台帐'!B:AL,18,0)</f>
        <v>165</v>
      </c>
      <c r="J62" s="288" t="s">
        <f>VLOOKUP(B62,'UV台帐'!B:AL,22,0)</f>
        <v>43</v>
      </c>
      <c r="K62" s="288" t="s">
        <f>VLOOKUP(B62,'UV台帐'!B:AL,24,0)</f>
        <v>216</v>
      </c>
      <c r="L62" s="288" t="s">
        <f>VLOOKUP(B62,'UV台帐'!B:AL,26,0)</f>
        <v>88</v>
      </c>
      <c r="M62" s="288" t="s">
        <f>VLOOKUP(B62,'UV台帐'!B:AL,27,0)</f>
        <v>165</v>
      </c>
      <c r="N62" s="508" t="s">
        <f>VLOOKUP(B62,'UV台帐'!B:AL,31,0)</f>
        <v>52</v>
      </c>
      <c r="O62" s="508" t="s">
        <f>VLOOKUP(B62,'UV台帐'!B:AL,33,0)</f>
        <v>216</v>
      </c>
      <c r="P62" s="508" t="s">
        <f>VLOOKUP(B62,'UV台帐'!B:AL,35,0)</f>
        <v>65</v>
      </c>
      <c r="Q62" s="508" t="s">
        <f>VLOOKUP(B62,'UV台帐'!B:AL,36,0)</f>
        <v>165</v>
      </c>
      <c r="R62" s="104" t="s">
        <v>217</v>
      </c>
      <c r="S62" s="508" t="s">
        <v>25</v>
      </c>
      <c r="T62" s="508" t="s">
        <v>217</v>
      </c>
      <c r="U62" s="508" t="s">
        <v>217</v>
      </c>
      <c r="V62" s="466" t="s">
        <v>658</v>
      </c>
      <c r="W62" s="466" t="n">
        <v>280</v>
      </c>
      <c r="Y62" s="466" t="s">
        <v>659</v>
      </c>
      <c r="Z62" s="171" t="s">
        <v>660</v>
      </c>
      <c r="AA62" s="466" t="s">
        <v>223</v>
      </c>
      <c r="AB62" s="628" t="s">
        <v>661</v>
      </c>
      <c r="AC62" s="466" t="s">
        <v>169</v>
      </c>
      <c r="AD62" s="466" t="s">
        <v>662</v>
      </c>
      <c r="AE62" s="466" t="s">
        <v>253</v>
      </c>
      <c r="AF62" s="332" t="s">
        <v>306</v>
      </c>
      <c r="AG62" s="332" t="s">
        <v>266</v>
      </c>
      <c r="AH62" s="332" t="s">
        <v>315</v>
      </c>
      <c r="AI62" s="466" t="s">
        <v>254</v>
      </c>
      <c r="AJ62" s="466" t="s">
        <v>316</v>
      </c>
      <c r="AK62" s="104" t="s">
        <v>52</v>
      </c>
      <c r="AL62" s="104" t="s">
        <v>217</v>
      </c>
      <c r="AM62" s="104"/>
      <c r="AN62" s="5"/>
      <c r="AO62" s="5"/>
      <c r="AP62" s="5"/>
      <c r="AQ62" s="5"/>
      <c r="AR62" s="5"/>
      <c r="AS62" s="5"/>
      <c r="AT62" s="5"/>
      <c r="AU62" s="104"/>
      <c r="AV62" s="104"/>
      <c r="AW62" s="5"/>
      <c r="AX62" s="104"/>
      <c r="AY62" s="104"/>
      <c r="AZ62" s="104"/>
      <c r="BA62" s="5"/>
      <c r="BB62" s="104"/>
      <c r="BC62" s="104"/>
      <c r="BF62" s="104" t="s">
        <v>38</v>
      </c>
      <c r="BG62" s="104" t="n">
        <f>VLOOKUP(B62,'UV台帐'!B:G,6,0)</f>
        <v>0</v>
      </c>
      <c r="BH62" s="104"/>
      <c r="BR62" s="104" t="n">
        <f>COUNTIFS(H62,"一期",I62,"在读")+COUNTIFS(L62,"一期",M62,"在读")+COUNTIFS(P62,"一期",Q62,"在读")</f>
        <v>1</v>
      </c>
      <c r="BS62" s="104" t="n">
        <f>BR62-BW62</f>
        <v>1</v>
      </c>
      <c r="BT62" s="209" t="s">
        <f>VLOOKUP(B62,'UV台帐'!B:AL,19,0)</f>
        <v>217</v>
      </c>
      <c r="BU62" s="209" t="s">
        <f>VLOOKUP(B62,'UV台帐'!B:AL,28,0)</f>
        <v>217</v>
      </c>
      <c r="BV62" s="209" t="s">
        <f>VLOOKUP(B62,'UV台帐'!B:AL,37,0)</f>
        <v>116</v>
      </c>
      <c r="BW62" s="104" t="n">
        <f>COUNTIFS(H62,"一期",BT62,"是")+COUNTIFS(L62,"一期",BU62,"是")+COUNTIFS(P62,"一期",BV62,"是")</f>
        <v>0</v>
      </c>
      <c r="CA62" s="318"/>
    </row>
    <row r="63" ht="26.25" customHeight="1">
      <c r="A63" s="104" t="s">
        <v>45</v>
      </c>
      <c r="B63" s="104" t="n">
        <v>2181270054</v>
      </c>
      <c r="C63" s="508" t="s">
        <f>VLOOKUP(B63,'UV台帐'!B:AL,2,0)</f>
        <v>663</v>
      </c>
      <c r="D63" s="508" t="s">
        <f>VLOOKUP(B63,'UV台帐'!B:AL,3,0)</f>
        <v>48</v>
      </c>
      <c r="E63" s="508" t="s">
        <f>VLOOKUP(B63,'UV台帐'!B:AL,13,0)</f>
        <v>31</v>
      </c>
      <c r="F63" s="508" t="s">
        <f>VLOOKUP(B63,'UV台帐'!B:AL,15,0)</f>
        <v>216</v>
      </c>
      <c r="G63" s="508" t="s">
        <f>VLOOKUP(B63,'UV台帐'!B:AL,16,0)</f>
        <v>234</v>
      </c>
      <c r="H63" s="508" t="s">
        <f>VLOOKUP(B63,'UV台帐'!B:AL,17,0)</f>
        <v>65</v>
      </c>
      <c r="I63" s="508" t="s">
        <f>VLOOKUP(B63,'UV台帐'!B:AL,18,0)</f>
        <v>165</v>
      </c>
      <c r="J63" s="508" t="s">
        <f>VLOOKUP(B63,'UV台帐'!B:AL,22,0)</f>
        <v>43</v>
      </c>
      <c r="K63" s="508" t="s">
        <f>VLOOKUP(B63,'UV台帐'!B:AL,24,0)</f>
        <v>215</v>
      </c>
      <c r="L63" s="508" t="s">
        <f>VLOOKUP(B63,'UV台帐'!B:AL,26,0)</f>
        <v>65</v>
      </c>
      <c r="M63" s="508" t="s">
        <f>VLOOKUP(B63,'UV台帐'!B:AL,27,0)</f>
        <v>165</v>
      </c>
      <c r="N63" s="508" t="s">
        <f>VLOOKUP(B63,'UV台帐'!B:AL,31,0)</f>
        <v>58</v>
      </c>
      <c r="O63" s="508" t="s">
        <f>VLOOKUP(B63,'UV台帐'!B:AL,33,0)</f>
        <v>233</v>
      </c>
      <c r="P63" s="508" t="s">
        <f>VLOOKUP(B63,'UV台帐'!B:AL,35,0)</f>
        <v>65</v>
      </c>
      <c r="Q63" s="508" t="s">
        <f>VLOOKUP(B63,'UV台帐'!B:AL,36,0)</f>
        <v>165</v>
      </c>
      <c r="R63" s="104" t="s">
        <v>217</v>
      </c>
      <c r="S63" s="104" t="s">
        <v>27</v>
      </c>
      <c r="T63" s="104" t="s">
        <v>217</v>
      </c>
      <c r="U63" s="104" t="s">
        <v>217</v>
      </c>
      <c r="V63" s="45" t="s">
        <v>664</v>
      </c>
      <c r="W63" s="466" t="s">
        <v>665</v>
      </c>
      <c r="X63" s="332"/>
      <c r="Y63" s="332" t="s">
        <v>666</v>
      </c>
      <c r="Z63" s="171" t="s">
        <v>667</v>
      </c>
      <c r="AA63" s="332" t="s">
        <v>223</v>
      </c>
      <c r="AB63" s="466" t="s">
        <v>668</v>
      </c>
      <c r="AC63" s="332" t="s">
        <v>289</v>
      </c>
      <c r="AD63" s="332" t="s">
        <v>280</v>
      </c>
      <c r="AE63" s="332" t="s">
        <v>240</v>
      </c>
      <c r="AF63" s="332" t="s">
        <v>306</v>
      </c>
      <c r="AG63" s="332" t="s">
        <v>228</v>
      </c>
      <c r="AH63" s="332" t="s">
        <v>315</v>
      </c>
      <c r="AI63" s="332" t="s">
        <v>230</v>
      </c>
      <c r="AJ63" s="332" t="s">
        <v>255</v>
      </c>
      <c r="AK63" s="104" t="s">
        <v>58</v>
      </c>
      <c r="AL63" s="104" t="s">
        <v>217</v>
      </c>
      <c r="AM63" s="104"/>
      <c r="AN63" s="5"/>
      <c r="AO63" s="5"/>
      <c r="AP63" s="5"/>
      <c r="AQ63" s="5"/>
      <c r="AR63" s="5"/>
      <c r="AS63" s="5"/>
      <c r="AT63" s="5"/>
      <c r="AU63" s="104"/>
      <c r="AV63" s="104"/>
      <c r="AW63" s="5"/>
      <c r="AX63" s="104"/>
      <c r="AY63" s="104"/>
      <c r="AZ63" s="104"/>
      <c r="BA63" s="5"/>
      <c r="BB63" s="104"/>
      <c r="BC63" s="104"/>
      <c r="BF63" s="104" t="s">
        <v>48</v>
      </c>
      <c r="BG63" s="104" t="n">
        <f>VLOOKUP(B63,'UV台帐'!B:G,6,0)</f>
        <v>0</v>
      </c>
      <c r="BH63" s="104"/>
      <c r="BR63" s="104" t="n">
        <f>COUNTIFS(H63,"一期",I63,"在读")+COUNTIFS(L63,"一期",M63,"在读")+COUNTIFS(P63,"一期",Q63,"在读")</f>
        <v>3</v>
      </c>
      <c r="BS63" s="104" t="n">
        <f>BR63-BW63</f>
        <v>2</v>
      </c>
      <c r="BT63" s="209" t="s">
        <f>VLOOKUP(B63,'UV台帐'!B:AL,19,0)</f>
        <v>217</v>
      </c>
      <c r="BU63" s="209" t="s">
        <f>VLOOKUP(B63,'UV台帐'!B:AL,28,0)</f>
        <v>116</v>
      </c>
      <c r="BV63" s="209" t="s">
        <f>VLOOKUP(B63,'UV台帐'!B:AL,37,0)</f>
        <v>116</v>
      </c>
      <c r="BW63" s="104" t="n">
        <f>COUNTIFS(H63,"一期",BT63,"是")+COUNTIFS(L63,"一期",BU63,"是")+COUNTIFS(P63,"一期",BV63,"是")</f>
        <v>1</v>
      </c>
      <c r="CA63" s="318"/>
    </row>
    <row r="64" ht="26.25" customHeight="1">
      <c r="A64" s="104" t="s">
        <v>45</v>
      </c>
      <c r="B64" s="104" t="n">
        <v>4050031794</v>
      </c>
      <c r="C64" s="508" t="s">
        <f>VLOOKUP(B64,'UV台帐'!B:AL,2,0)</f>
        <v>494</v>
      </c>
      <c r="D64" s="508" t="s">
        <f>VLOOKUP(B64,'UV台帐'!B:AL,3,0)</f>
        <v>46</v>
      </c>
      <c r="E64" s="288" t="s">
        <f>VLOOKUP(B64,'UV台帐'!B:AL,13,0)</f>
        <v>116</v>
      </c>
      <c r="F64" s="288" t="s">
        <f>VLOOKUP(B64,'UV台帐'!B:AL,15,0)</f>
        <v>116</v>
      </c>
      <c r="G64" s="288" t="s">
        <f>VLOOKUP(B64,'UV台帐'!B:AL,16,0)</f>
        <v>116</v>
      </c>
      <c r="H64" s="288" t="s">
        <f>VLOOKUP(B64,'UV台帐'!B:AL,17,0)</f>
        <v>116</v>
      </c>
      <c r="I64" s="288" t="s">
        <f>VLOOKUP(B64,'UV台帐'!B:AL,18,0)</f>
        <v>116</v>
      </c>
      <c r="J64" s="508" t="s">
        <f>VLOOKUP(B64,'UV台帐'!B:AL,22,0)</f>
        <v>49</v>
      </c>
      <c r="K64" s="508" t="s">
        <f>VLOOKUP(B64,'UV台帐'!B:AL,24,0)</f>
        <v>215</v>
      </c>
      <c r="L64" s="508" t="s">
        <f>VLOOKUP(B64,'UV台帐'!B:AL,26,0)</f>
        <v>101</v>
      </c>
      <c r="M64" s="508" t="s">
        <f>VLOOKUP(B64,'UV台帐'!B:AL,27,0)</f>
        <v>165</v>
      </c>
      <c r="N64" s="288" t="s">
        <f>VLOOKUP(B64,'UV台帐'!B:AL,31,0)</f>
        <v>52</v>
      </c>
      <c r="O64" s="288" t="s">
        <f>VLOOKUP(B64,'UV台帐'!B:AL,33,0)</f>
        <v>215</v>
      </c>
      <c r="P64" s="288" t="s">
        <f>VLOOKUP(B64,'UV台帐'!B:AL,35,0)</f>
        <v>88</v>
      </c>
      <c r="Q64" s="288" t="s">
        <f>VLOOKUP(B64,'UV台帐'!B:AL,36,0)</f>
        <v>165</v>
      </c>
      <c r="R64" s="104" t="s">
        <v>217</v>
      </c>
      <c r="S64" s="104" t="s">
        <v>27</v>
      </c>
      <c r="T64" s="104"/>
      <c r="U64" s="104" t="s">
        <v>218</v>
      </c>
      <c r="V64" s="332" t="s">
        <v>669</v>
      </c>
      <c r="W64" s="332" t="n">
        <v>289.5</v>
      </c>
      <c r="X64" s="332" t="s">
        <v>670</v>
      </c>
      <c r="Y64" s="332" t="s">
        <v>671</v>
      </c>
      <c r="Z64" s="171" t="s">
        <v>672</v>
      </c>
      <c r="AA64" s="332" t="s">
        <v>223</v>
      </c>
      <c r="AB64" s="332" t="s">
        <v>673</v>
      </c>
      <c r="AC64" s="332" t="s">
        <v>251</v>
      </c>
      <c r="AD64" s="332" t="s">
        <v>627</v>
      </c>
      <c r="AE64" s="332" t="s">
        <v>240</v>
      </c>
      <c r="AF64" s="332" t="s">
        <v>241</v>
      </c>
      <c r="AG64" s="332" t="s">
        <v>404</v>
      </c>
      <c r="AH64" s="332" t="s">
        <v>315</v>
      </c>
      <c r="AI64" s="332" t="s">
        <v>230</v>
      </c>
      <c r="AJ64" s="332" t="s">
        <v>242</v>
      </c>
      <c r="AK64" s="104" t="s">
        <v>43</v>
      </c>
      <c r="AL64" s="104"/>
      <c r="AM64" s="104"/>
      <c r="AN64" s="5"/>
      <c r="AO64" s="5"/>
      <c r="AP64" s="5"/>
      <c r="AQ64" s="5"/>
      <c r="AR64" s="5"/>
      <c r="AS64" s="5"/>
      <c r="AT64" s="5"/>
      <c r="AU64" s="104"/>
      <c r="AV64" s="104"/>
      <c r="AW64" s="5"/>
      <c r="AX64" s="104"/>
      <c r="AY64" s="104"/>
      <c r="AZ64" s="104"/>
      <c r="BA64" s="5"/>
      <c r="BB64" s="104"/>
      <c r="BC64" s="104"/>
      <c r="BF64" s="104" t="s">
        <v>46</v>
      </c>
      <c r="BG64" s="104" t="n">
        <f>VLOOKUP(B64,'UV台帐'!B:G,6,0)</f>
        <v>0</v>
      </c>
      <c r="BH64" s="104"/>
      <c r="BR64" s="104" t="n">
        <f>COUNTIFS(H64,"一期",I64,"在读")+COUNTIFS(L64,"一期",M64,"在读")+COUNTIFS(P64,"一期",Q64,"在读")</f>
        <v>0</v>
      </c>
      <c r="BS64" s="104" t="n">
        <f>BR64-BW64</f>
        <v>0</v>
      </c>
      <c r="BT64" s="209" t="s">
        <f>VLOOKUP(B64,'UV台帐'!B:AL,19,0)</f>
        <v>116</v>
      </c>
      <c r="BU64" s="209" t="s">
        <f>VLOOKUP(B64,'UV台帐'!B:AL,28,0)</f>
        <v>116</v>
      </c>
      <c r="BV64" s="209" t="s">
        <f>VLOOKUP(B64,'UV台帐'!B:AL,37,0)</f>
        <v>116</v>
      </c>
      <c r="BW64" s="104" t="n">
        <f>COUNTIFS(H64,"一期",BT64,"是")+COUNTIFS(L64,"一期",BU64,"是")+COUNTIFS(P64,"一期",BV64,"是")</f>
        <v>0</v>
      </c>
      <c r="CA64" s="318"/>
    </row>
    <row r="65" ht="26.25" customHeight="1">
      <c r="A65" s="104" t="s">
        <v>45</v>
      </c>
      <c r="B65" s="104" t="n">
        <v>2573471597</v>
      </c>
      <c r="C65" s="508" t="s">
        <f>VLOOKUP(B65,'UV台帐'!B:AL,2,0)</f>
        <v>674</v>
      </c>
      <c r="D65" s="508" t="s">
        <f>VLOOKUP(B65,'UV台帐'!B:AL,3,0)</f>
        <v>46</v>
      </c>
      <c r="E65" s="508" t="s">
        <f>VLOOKUP(B65,'UV台帐'!B:AL,13,0)</f>
        <v>31</v>
      </c>
      <c r="F65" s="508" t="s">
        <f>VLOOKUP(B65,'UV台帐'!B:AL,15,0)</f>
        <v>216</v>
      </c>
      <c r="G65" s="508" t="s">
        <f>VLOOKUP(B65,'UV台帐'!B:AL,16,0)</f>
        <v>283</v>
      </c>
      <c r="H65" s="508" t="s">
        <f>VLOOKUP(B65,'UV台帐'!B:AL,17,0)</f>
        <v>101</v>
      </c>
      <c r="I65" s="508" t="s">
        <f>VLOOKUP(B65,'UV台帐'!B:AL,18,0)</f>
        <v>165</v>
      </c>
      <c r="J65" s="508" t="s">
        <f>VLOOKUP(B65,'UV台帐'!B:AL,22,0)</f>
        <v>49</v>
      </c>
      <c r="K65" s="508" t="s">
        <f>VLOOKUP(B65,'UV台帐'!B:AL,24,0)</f>
        <v>215</v>
      </c>
      <c r="L65" s="508" t="s">
        <f>VLOOKUP(B65,'UV台帐'!B:AL,26,0)</f>
        <v>101</v>
      </c>
      <c r="M65" s="508" t="s">
        <f>VLOOKUP(B65,'UV台帐'!B:AL,27,0)</f>
        <v>165</v>
      </c>
      <c r="N65" s="508" t="s">
        <f>VLOOKUP(B65,'UV台帐'!B:AL,31,0)</f>
        <v>58</v>
      </c>
      <c r="O65" s="508" t="s">
        <f>VLOOKUP(B65,'UV台帐'!B:AL,33,0)</f>
        <v>215</v>
      </c>
      <c r="P65" s="508" t="s">
        <f>VLOOKUP(B65,'UV台帐'!B:AL,35,0)</f>
        <v>101</v>
      </c>
      <c r="Q65" s="508" t="s">
        <f>VLOOKUP(B65,'UV台帐'!B:AL,36,0)</f>
        <v>165</v>
      </c>
      <c r="R65" s="104" t="s">
        <v>217</v>
      </c>
      <c r="S65" s="104" t="s">
        <v>28</v>
      </c>
      <c r="T65" s="104"/>
      <c r="U65" s="104" t="s">
        <v>217</v>
      </c>
      <c r="V65" s="332" t="s">
        <v>675</v>
      </c>
      <c r="W65" s="332" t="s">
        <v>676</v>
      </c>
      <c r="X65" s="332" t="s">
        <v>677</v>
      </c>
      <c r="Y65" s="332" t="s">
        <v>678</v>
      </c>
      <c r="Z65" s="171" t="s">
        <v>679</v>
      </c>
      <c r="AA65" s="332" t="s">
        <v>223</v>
      </c>
      <c r="AB65" s="629" t="s">
        <v>680</v>
      </c>
      <c r="AC65" s="332" t="s">
        <v>289</v>
      </c>
      <c r="AD65" s="332" t="s">
        <v>305</v>
      </c>
      <c r="AE65" s="332" t="s">
        <v>240</v>
      </c>
      <c r="AF65" s="332" t="s">
        <v>241</v>
      </c>
      <c r="AG65" s="332" t="s">
        <v>228</v>
      </c>
      <c r="AH65" s="332" t="s">
        <v>229</v>
      </c>
      <c r="AI65" s="332" t="s">
        <v>230</v>
      </c>
      <c r="AJ65" s="332" t="s">
        <v>242</v>
      </c>
      <c r="AK65" s="104" t="s">
        <v>58</v>
      </c>
      <c r="AL65" s="104" t="s">
        <v>353</v>
      </c>
      <c r="AM65" s="104"/>
      <c r="AN65" s="5"/>
      <c r="AO65" s="5"/>
      <c r="AP65" s="5"/>
      <c r="AQ65" s="5"/>
      <c r="AR65" s="5"/>
      <c r="AS65" s="5"/>
      <c r="AT65" s="5"/>
      <c r="AU65" s="104"/>
      <c r="AV65" s="104"/>
      <c r="AW65" s="5"/>
      <c r="AX65" s="104"/>
      <c r="AY65" s="104"/>
      <c r="AZ65" s="104"/>
      <c r="BA65" s="5"/>
      <c r="BB65" s="104"/>
      <c r="BC65" s="104"/>
      <c r="BD65" s="508"/>
      <c r="BE65" s="508"/>
      <c r="BF65" s="104" t="s">
        <v>46</v>
      </c>
      <c r="BG65" s="104" t="n">
        <f>VLOOKUP(B65,'UV台帐'!B:G,6,0)</f>
        <v>0</v>
      </c>
      <c r="BH65" s="104" t="s">
        <v>681</v>
      </c>
      <c r="BR65" s="104" t="n">
        <f>COUNTIFS(H65,"一期",I65,"在读")+COUNTIFS(L65,"一期",M65,"在读")+COUNTIFS(P65,"一期",Q65,"在读")</f>
        <v>0</v>
      </c>
      <c r="BS65" s="104" t="n">
        <f>BR65-BW65</f>
        <v>0</v>
      </c>
      <c r="BT65" s="209" t="s">
        <f>VLOOKUP(B65,'UV台帐'!B:AL,19,0)</f>
        <v>116</v>
      </c>
      <c r="BU65" s="209" t="s">
        <f>VLOOKUP(B65,'UV台帐'!B:AL,28,0)</f>
        <v>116</v>
      </c>
      <c r="BV65" s="209" t="s">
        <f>VLOOKUP(B65,'UV台帐'!B:AL,37,0)</f>
        <v>116</v>
      </c>
      <c r="BW65" s="104" t="n">
        <f>COUNTIFS(H65,"一期",BT65,"是")+COUNTIFS(L65,"一期",BU65,"是")+COUNTIFS(P65,"一期",BV65,"是")</f>
        <v>0</v>
      </c>
      <c r="CA65" s="318"/>
    </row>
    <row r="66" ht="26.25" customHeight="1">
      <c r="A66" s="104" t="s">
        <v>85</v>
      </c>
      <c r="B66" s="104" t="n">
        <v>4720146806</v>
      </c>
      <c r="C66" s="508" t="s">
        <f>VLOOKUP(B66,'UV台帐'!B:AL,2,0)</f>
        <v>682</v>
      </c>
      <c r="D66" s="508" t="s">
        <f>VLOOKUP(B66,'UV台帐'!B:AL,3,0)</f>
        <v>40</v>
      </c>
      <c r="E66" s="508" t="s">
        <f>VLOOKUP(B66,'UV台帐'!B:AL,13,0)</f>
        <v>31</v>
      </c>
      <c r="F66" s="508" t="s">
        <f>VLOOKUP(B66,'UV台帐'!B:AL,15,0)</f>
        <v>215</v>
      </c>
      <c r="G66" s="508" t="s">
        <f>VLOOKUP(B66,'UV台帐'!B:AL,16,0)</f>
        <v>283</v>
      </c>
      <c r="H66" s="508" t="s">
        <f>VLOOKUP(B66,'UV台帐'!B:AL,17,0)</f>
        <v>65</v>
      </c>
      <c r="I66" s="508" t="s">
        <f>VLOOKUP(B66,'UV台帐'!B:AL,18,0)</f>
        <v>165</v>
      </c>
      <c r="J66" s="288" t="s">
        <f>VLOOKUP(B66,'UV台帐'!B:AL,22,0)</f>
        <v>116</v>
      </c>
      <c r="K66" s="288" t="s">
        <f>VLOOKUP(B66,'UV台帐'!B:AL,24,0)</f>
        <v>116</v>
      </c>
      <c r="L66" s="288" t="s">
        <f>VLOOKUP(B66,'UV台帐'!B:AL,26,0)</f>
        <v>116</v>
      </c>
      <c r="M66" s="288" t="s">
        <f>VLOOKUP(B66,'UV台帐'!B:AL,27,0)</f>
        <v>116</v>
      </c>
      <c r="N66" s="288" t="s">
        <f>VLOOKUP(B66,'UV台帐'!B:AL,31,0)</f>
        <v>116</v>
      </c>
      <c r="O66" s="288" t="s">
        <f>VLOOKUP(B66,'UV台帐'!B:AL,33,0)</f>
        <v>116</v>
      </c>
      <c r="P66" s="288" t="s">
        <f>VLOOKUP(B66,'UV台帐'!B:AL,35,0)</f>
        <v>116</v>
      </c>
      <c r="Q66" s="288" t="s">
        <f>VLOOKUP(B66,'UV台帐'!B:AL,36,0)</f>
        <v>116</v>
      </c>
      <c r="R66" s="104" t="s">
        <v>217</v>
      </c>
      <c r="S66" s="104" t="s">
        <v>25</v>
      </c>
      <c r="T66" s="104"/>
      <c r="U66" s="104" t="s">
        <v>217</v>
      </c>
      <c r="V66" s="332"/>
      <c r="W66" s="332"/>
      <c r="X66" s="332"/>
      <c r="Y66" s="332"/>
      <c r="Z66" s="171" t="s">
        <v>683</v>
      </c>
      <c r="AA66" s="332"/>
      <c r="AB66" s="332"/>
      <c r="AC66" s="332"/>
      <c r="AD66" s="332"/>
      <c r="AE66" s="332"/>
      <c r="AF66" s="332"/>
      <c r="AG66" s="332"/>
      <c r="AH66" s="332"/>
      <c r="AI66" s="332"/>
      <c r="AJ66" s="332"/>
      <c r="AK66" s="104" t="s">
        <v>31</v>
      </c>
      <c r="AL66" s="104"/>
      <c r="AM66" s="104"/>
      <c r="AN66" s="5"/>
      <c r="AO66" s="5"/>
      <c r="AP66" s="5"/>
      <c r="AQ66" s="5"/>
      <c r="AR66" s="5"/>
      <c r="AS66" s="5"/>
      <c r="AT66" s="5"/>
      <c r="AU66" s="104"/>
      <c r="AV66" s="104"/>
      <c r="AW66" s="5"/>
      <c r="AX66" s="104"/>
      <c r="AY66" s="104"/>
      <c r="AZ66" s="104"/>
      <c r="BA66" s="5"/>
      <c r="BB66" s="104"/>
      <c r="BC66" s="104"/>
      <c r="BF66" s="104" t="s">
        <v>40</v>
      </c>
      <c r="BG66" s="104" t="n">
        <f>VLOOKUP(B66,'UV台帐'!B:G,6,0)</f>
        <v>0</v>
      </c>
      <c r="BH66" s="104"/>
      <c r="BR66" s="104" t="n">
        <f>COUNTIFS(H66,"一期",I66,"在读")+COUNTIFS(L66,"一期",M66,"在读")+COUNTIFS(P66,"一期",Q66,"在读")</f>
        <v>1</v>
      </c>
      <c r="BS66" s="104" t="n">
        <f>BR66-BW66</f>
        <v>0</v>
      </c>
      <c r="BT66" s="209" t="s">
        <f>VLOOKUP(B66,'UV台帐'!B:AL,19,0)</f>
        <v>217</v>
      </c>
      <c r="BU66" s="209" t="s">
        <f>VLOOKUP(B66,'UV台帐'!B:AL,28,0)</f>
        <v>116</v>
      </c>
      <c r="BV66" s="209" t="s">
        <f>VLOOKUP(B66,'UV台帐'!B:AL,37,0)</f>
        <v>116</v>
      </c>
      <c r="BW66" s="104" t="n">
        <f>COUNTIFS(H66,"一期",BT66,"是")+COUNTIFS(L66,"一期",BU66,"是")+COUNTIFS(P66,"一期",BV66,"是")</f>
        <v>1</v>
      </c>
      <c r="CA66" s="318"/>
    </row>
    <row r="67" ht="26.25" customHeight="1">
      <c r="A67" s="104" t="s">
        <v>54</v>
      </c>
      <c r="B67" s="104" t="n">
        <v>2748308649</v>
      </c>
      <c r="C67" s="508" t="s">
        <f>VLOOKUP(B67,'UV台帐'!B:AL,2,0)</f>
        <v>684</v>
      </c>
      <c r="D67" s="508" t="s">
        <f>VLOOKUP(B67,'UV台帐'!B:AL,3,0)</f>
        <v>59</v>
      </c>
      <c r="E67" s="508" t="s">
        <f>VLOOKUP(B67,'UV台帐'!B:AL,13,0)</f>
        <v>35</v>
      </c>
      <c r="F67" s="508" t="s">
        <f>VLOOKUP(B67,'UV台帐'!B:AL,15,0)</f>
        <v>216</v>
      </c>
      <c r="G67" s="508" t="s">
        <f>VLOOKUP(B67,'UV台帐'!B:AL,16,0)</f>
        <v>283</v>
      </c>
      <c r="H67" s="508" t="s">
        <f>VLOOKUP(B67,'UV台帐'!B:AL,17,0)</f>
        <v>65</v>
      </c>
      <c r="I67" s="508" t="s">
        <f>VLOOKUP(B67,'UV台帐'!B:AL,18,0)</f>
        <v>165</v>
      </c>
      <c r="J67" s="288" t="s">
        <f>VLOOKUP(B67,'UV台帐'!B:AL,22,0)</f>
        <v>116</v>
      </c>
      <c r="K67" s="288" t="s">
        <f>VLOOKUP(B67,'UV台帐'!B:AL,24,0)</f>
        <v>116</v>
      </c>
      <c r="L67" s="288" t="s">
        <f>VLOOKUP(B67,'UV台帐'!B:AL,26,0)</f>
        <v>116</v>
      </c>
      <c r="M67" s="288" t="s">
        <f>VLOOKUP(B67,'UV台帐'!B:AL,27,0)</f>
        <v>116</v>
      </c>
      <c r="N67" s="288" t="s">
        <f>VLOOKUP(B67,'UV台帐'!B:AL,31,0)</f>
        <v>58</v>
      </c>
      <c r="O67" s="288" t="s">
        <f>VLOOKUP(B67,'UV台帐'!B:AL,33,0)</f>
        <v>215</v>
      </c>
      <c r="P67" s="288" t="s">
        <f>VLOOKUP(B67,'UV台帐'!B:AL,35,0)</f>
        <v>100</v>
      </c>
      <c r="Q67" s="288" t="s">
        <f>VLOOKUP(B67,'UV台帐'!B:AL,36,0)</f>
        <v>165</v>
      </c>
      <c r="R67" s="104" t="s">
        <v>217</v>
      </c>
      <c r="S67" s="104" t="s">
        <v>27</v>
      </c>
      <c r="T67" s="104" t="s">
        <v>217</v>
      </c>
      <c r="U67" s="104" t="s">
        <v>217</v>
      </c>
      <c r="V67" s="332" t="s">
        <v>685</v>
      </c>
      <c r="W67" s="332" t="s">
        <v>686</v>
      </c>
      <c r="X67" s="466" t="s">
        <v>687</v>
      </c>
      <c r="Y67" s="466" t="s">
        <v>688</v>
      </c>
      <c r="Z67" s="466" t="s">
        <v>689</v>
      </c>
      <c r="AA67" s="332" t="s">
        <v>223</v>
      </c>
      <c r="AB67" s="466" t="s">
        <v>690</v>
      </c>
      <c r="AC67" s="332" t="s">
        <v>456</v>
      </c>
      <c r="AD67" s="332" t="s">
        <v>691</v>
      </c>
      <c r="AE67" s="332" t="s">
        <v>240</v>
      </c>
      <c r="AF67" s="332" t="s">
        <v>241</v>
      </c>
      <c r="AG67" s="332" t="s">
        <v>228</v>
      </c>
      <c r="AH67" s="332" t="s">
        <v>315</v>
      </c>
      <c r="AI67" s="332" t="s">
        <v>230</v>
      </c>
      <c r="AJ67" s="332" t="s">
        <v>255</v>
      </c>
      <c r="AK67" s="104" t="s">
        <v>35</v>
      </c>
      <c r="AL67" s="104"/>
      <c r="AM67" s="104"/>
      <c r="AN67" s="5"/>
      <c r="AO67" s="5"/>
      <c r="AP67" s="5"/>
      <c r="AQ67" s="5"/>
      <c r="AR67" s="5"/>
      <c r="AS67" s="5"/>
      <c r="AT67" s="5"/>
      <c r="AW67" s="5"/>
      <c r="BA67" s="5"/>
      <c r="BF67" s="104" t="s">
        <v>59</v>
      </c>
      <c r="BG67" s="104" t="n">
        <f>VLOOKUP(B67,'UV台帐'!B:G,6,0)</f>
        <v>0</v>
      </c>
      <c r="BH67" s="104"/>
      <c r="BR67" s="104" t="n">
        <f>COUNTIFS(H67,"一期",I67,"在读")+COUNTIFS(L67,"一期",M67,"在读")+COUNTIFS(P67,"一期",Q67,"在读")</f>
        <v>1</v>
      </c>
      <c r="BS67" s="104" t="n">
        <f>BR67-BW67</f>
        <v>1</v>
      </c>
      <c r="BT67" s="209" t="s">
        <f>VLOOKUP(B67,'UV台帐'!B:AL,19,0)</f>
        <v>116</v>
      </c>
      <c r="BU67" s="209" t="s">
        <f>VLOOKUP(B67,'UV台帐'!B:AL,28,0)</f>
        <v>116</v>
      </c>
      <c r="BV67" s="209" t="s">
        <f>VLOOKUP(B67,'UV台帐'!B:AL,37,0)</f>
        <v>116</v>
      </c>
      <c r="BW67" s="104" t="n">
        <f>COUNTIFS(H67,"一期",BT67,"是")+COUNTIFS(L67,"一期",BU67,"是")+COUNTIFS(P67,"一期",BV67,"是")</f>
        <v>0</v>
      </c>
      <c r="CA67" s="318"/>
    </row>
    <row r="68" ht="26.25" customHeight="1">
      <c r="A68" s="104" t="s">
        <v>54</v>
      </c>
      <c r="B68" s="104" t="n">
        <v>2780082407</v>
      </c>
      <c r="C68" s="508" t="s">
        <f>VLOOKUP(B68,'UV台帐'!B:AL,2,0)</f>
        <v>692</v>
      </c>
      <c r="D68" s="508" t="s">
        <f>VLOOKUP(B68,'UV台帐'!B:AL,3,0)</f>
        <v>38</v>
      </c>
      <c r="E68" s="508" t="s">
        <f>VLOOKUP(B68,'UV台帐'!B:AL,13,0)</f>
        <v>37</v>
      </c>
      <c r="F68" s="508" t="s">
        <f>VLOOKUP(B68,'UV台帐'!B:AL,15,0)</f>
        <v>215</v>
      </c>
      <c r="G68" s="508" t="s">
        <f>VLOOKUP(B68,'UV台帐'!B:AL,16,0)</f>
        <v>283</v>
      </c>
      <c r="H68" s="508" t="s">
        <f>VLOOKUP(B68,'UV台帐'!B:AL,17,0)</f>
        <v>101</v>
      </c>
      <c r="I68" s="508" t="s">
        <f>VLOOKUP(B68,'UV台帐'!B:AL,18,0)</f>
        <v>165</v>
      </c>
      <c r="J68" s="508" t="s">
        <f>VLOOKUP(B68,'UV台帐'!B:AL,22,0)</f>
        <v>47</v>
      </c>
      <c r="K68" s="508" t="s">
        <f>VLOOKUP(B68,'UV台帐'!B:AL,24,0)</f>
        <v>233</v>
      </c>
      <c r="L68" s="508" t="s">
        <f>VLOOKUP(B68,'UV台帐'!B:AL,26,0)</f>
        <v>101</v>
      </c>
      <c r="M68" s="508" t="s">
        <f>VLOOKUP(B68,'UV台帐'!B:AL,27,0)</f>
        <v>165</v>
      </c>
      <c r="N68" s="508" t="s">
        <f>VLOOKUP(B68,'UV台帐'!B:AL,31,0)</f>
        <v>56</v>
      </c>
      <c r="O68" s="508" t="s">
        <f>VLOOKUP(B68,'UV台帐'!B:AL,33,0)</f>
        <v>216</v>
      </c>
      <c r="P68" s="508" t="s">
        <f>VLOOKUP(B68,'UV台帐'!B:AL,35,0)</f>
        <v>101</v>
      </c>
      <c r="Q68" s="508" t="s">
        <f>VLOOKUP(B68,'UV台帐'!B:AL,36,0)</f>
        <v>165</v>
      </c>
      <c r="R68" s="104" t="s">
        <v>217</v>
      </c>
      <c r="S68" s="104" t="s">
        <v>27</v>
      </c>
      <c r="T68" s="104" t="s">
        <v>218</v>
      </c>
      <c r="U68" s="104" t="s">
        <v>217</v>
      </c>
      <c r="V68" s="332" t="s">
        <v>693</v>
      </c>
      <c r="W68" s="332" t="s">
        <v>694</v>
      </c>
      <c r="X68" s="332" t="s">
        <v>695</v>
      </c>
      <c r="Y68" s="332" t="s">
        <v>696</v>
      </c>
      <c r="Z68" s="171" t="s">
        <v>696</v>
      </c>
      <c r="AA68" s="332" t="s">
        <v>223</v>
      </c>
      <c r="AB68" s="630" t="s">
        <v>697</v>
      </c>
      <c r="AC68" s="332" t="s">
        <v>289</v>
      </c>
      <c r="AD68" s="332" t="s">
        <v>424</v>
      </c>
      <c r="AE68" s="332" t="s">
        <v>240</v>
      </c>
      <c r="AF68" s="332" t="s">
        <v>306</v>
      </c>
      <c r="AG68" s="332" t="s">
        <v>404</v>
      </c>
      <c r="AH68" s="332" t="s">
        <v>229</v>
      </c>
      <c r="AI68" s="332" t="s">
        <v>230</v>
      </c>
      <c r="AJ68" s="332" t="s">
        <v>231</v>
      </c>
      <c r="AK68" s="104" t="s">
        <v>35</v>
      </c>
      <c r="AL68" s="104" t="s">
        <v>217</v>
      </c>
      <c r="AM68" s="104"/>
      <c r="AN68" s="5"/>
      <c r="AO68" s="5"/>
      <c r="AP68" s="5"/>
      <c r="AQ68" s="5"/>
      <c r="AR68" s="5"/>
      <c r="AS68" s="5"/>
      <c r="AT68" s="5"/>
      <c r="AU68" s="104"/>
      <c r="AV68" s="104"/>
      <c r="AW68" s="5"/>
      <c r="AX68" s="104"/>
      <c r="AY68" s="104"/>
      <c r="AZ68" s="104"/>
      <c r="BA68" s="5"/>
      <c r="BB68" s="104"/>
      <c r="BC68" s="104"/>
      <c r="BF68" s="104" t="s">
        <v>38</v>
      </c>
      <c r="BG68" s="104" t="n">
        <f>VLOOKUP(B68,'UV台帐'!B:G,6,0)</f>
        <v>0</v>
      </c>
      <c r="BH68" s="104"/>
      <c r="BR68" s="104" t="n">
        <f>COUNTIFS(H68,"一期",I68,"在读")+COUNTIFS(L68,"一期",M68,"在读")+COUNTIFS(P68,"一期",Q68,"在读")</f>
        <v>0</v>
      </c>
      <c r="BS68" s="104" t="n">
        <f>BR68-BW68</f>
        <v>0</v>
      </c>
      <c r="BT68" s="209" t="s">
        <f>VLOOKUP(B68,'UV台帐'!B:AL,19,0)</f>
        <v>116</v>
      </c>
      <c r="BU68" s="209" t="s">
        <f>VLOOKUP(B68,'UV台帐'!B:AL,28,0)</f>
        <v>116</v>
      </c>
      <c r="BV68" s="209" t="s">
        <f>VLOOKUP(B68,'UV台帐'!B:AL,37,0)</f>
        <v>116</v>
      </c>
      <c r="BW68" s="104" t="n">
        <f>COUNTIFS(H68,"一期",BT68,"是")+COUNTIFS(L68,"一期",BU68,"是")+COUNTIFS(P68,"一期",BV68,"是")</f>
        <v>0</v>
      </c>
      <c r="CA68" s="318"/>
    </row>
    <row r="69" ht="26.25" customHeight="1">
      <c r="A69" s="104" t="s">
        <v>54</v>
      </c>
      <c r="B69" s="104" t="n">
        <v>2562161214</v>
      </c>
      <c r="C69" s="469" t="s">
        <f>VLOOKUP(B69,'UV台帐'!B:AL,2,0)</f>
        <v>698</v>
      </c>
      <c r="D69" s="508" t="s">
        <f>VLOOKUP(B69,'UV台帐'!B:AL,3,0)</f>
        <v>34</v>
      </c>
      <c r="E69" s="508" t="s">
        <f>VLOOKUP(B69,'UV台帐'!B:AL,13,0)</f>
        <v>35</v>
      </c>
      <c r="F69" s="508" t="s">
        <f>VLOOKUP(B69,'UV台帐'!B:AL,15,0)</f>
        <v>216</v>
      </c>
      <c r="G69" s="508" t="s">
        <f>VLOOKUP(B69,'UV台帐'!B:AL,16,0)</f>
        <v>283</v>
      </c>
      <c r="H69" s="508" t="s">
        <f>VLOOKUP(B69,'UV台帐'!B:AL,17,0)</f>
        <v>65</v>
      </c>
      <c r="I69" s="508" t="s">
        <f>VLOOKUP(B69,'UV台帐'!B:AL,18,0)</f>
        <v>165</v>
      </c>
      <c r="J69" s="508" t="s">
        <f>VLOOKUP(B69,'UV台帐'!B:AL,22,0)</f>
        <v>49</v>
      </c>
      <c r="K69" s="508" t="s">
        <f>VLOOKUP(B69,'UV台帐'!B:AL,24,0)</f>
        <v>233</v>
      </c>
      <c r="L69" s="508" t="s">
        <f>VLOOKUP(B69,'UV台帐'!B:AL,26,0)</f>
        <v>65</v>
      </c>
      <c r="M69" s="508" t="s">
        <f>VLOOKUP(B69,'UV台帐'!B:AL,27,0)</f>
        <v>165</v>
      </c>
      <c r="N69" s="508" t="s">
        <f>VLOOKUP(B69,'UV台帐'!B:AL,31,0)</f>
        <v>56</v>
      </c>
      <c r="O69" s="508" t="s">
        <f>VLOOKUP(B69,'UV台帐'!B:AL,33,0)</f>
        <v>215</v>
      </c>
      <c r="P69" s="508" t="s">
        <f>VLOOKUP(B69,'UV台帐'!B:AL,35,0)</f>
        <v>65</v>
      </c>
      <c r="Q69" s="508" t="s">
        <f>VLOOKUP(B69,'UV台帐'!B:AL,36,0)</f>
        <v>165</v>
      </c>
      <c r="R69" s="104" t="s">
        <v>217</v>
      </c>
      <c r="S69" s="104" t="s">
        <v>28</v>
      </c>
      <c r="T69" s="104" t="s">
        <v>217</v>
      </c>
      <c r="U69" s="104" t="s">
        <v>217</v>
      </c>
      <c r="V69" s="332" t="s">
        <v>699</v>
      </c>
      <c r="W69" s="332" t="n">
        <v>285</v>
      </c>
      <c r="X69" s="466" t="s">
        <v>700</v>
      </c>
      <c r="Y69" s="466" t="s">
        <v>701</v>
      </c>
      <c r="Z69" s="171" t="s">
        <v>702</v>
      </c>
      <c r="AA69" s="332" t="s">
        <v>223</v>
      </c>
      <c r="AB69" s="631" t="s">
        <v>703</v>
      </c>
      <c r="AC69" s="332" t="s">
        <v>264</v>
      </c>
      <c r="AD69" s="332" t="s">
        <v>314</v>
      </c>
      <c r="AE69" s="332" t="s">
        <v>240</v>
      </c>
      <c r="AF69" s="332" t="s">
        <v>241</v>
      </c>
      <c r="AG69" s="332" t="s">
        <v>228</v>
      </c>
      <c r="AH69" s="332" t="s">
        <v>229</v>
      </c>
      <c r="AI69" s="332" t="s">
        <v>230</v>
      </c>
      <c r="AJ69" s="332" t="s">
        <v>242</v>
      </c>
      <c r="AK69" s="104" t="s">
        <v>35</v>
      </c>
      <c r="AL69" s="104" t="s">
        <v>217</v>
      </c>
      <c r="AM69" s="104"/>
      <c r="AN69" s="5"/>
      <c r="AO69" s="5"/>
      <c r="AP69" s="5"/>
      <c r="AQ69" s="5"/>
      <c r="AR69" s="5"/>
      <c r="AS69" s="5"/>
      <c r="AT69" s="5"/>
      <c r="AU69" s="508"/>
      <c r="AV69" s="508"/>
      <c r="AW69" s="5"/>
      <c r="AX69" s="508"/>
      <c r="AY69" s="508"/>
      <c r="AZ69" s="508"/>
      <c r="BA69" s="5"/>
      <c r="BB69" s="508"/>
      <c r="BC69" s="508"/>
      <c r="BF69" s="104" t="s">
        <v>34</v>
      </c>
      <c r="BG69" s="104" t="n">
        <f>VLOOKUP(B69,'UV台帐'!B:G,6,0)</f>
        <v>0</v>
      </c>
      <c r="BH69" s="104"/>
      <c r="BR69" s="104" t="n">
        <f>COUNTIFS(H69,"一期",I69,"在读")+COUNTIFS(L69,"一期",M69,"在读")+COUNTIFS(P69,"一期",Q69,"在读")</f>
        <v>3</v>
      </c>
      <c r="BS69" s="104" t="n">
        <f>BR69-BW69</f>
        <v>3</v>
      </c>
      <c r="BT69" s="209" t="s">
        <f>VLOOKUP(B69,'UV台帐'!B:AL,19,0)</f>
        <v>116</v>
      </c>
      <c r="BU69" s="209" t="s">
        <f>VLOOKUP(B69,'UV台帐'!B:AL,28,0)</f>
        <v>116</v>
      </c>
      <c r="BV69" s="209" t="s">
        <f>VLOOKUP(B69,'UV台帐'!B:AL,37,0)</f>
        <v>116</v>
      </c>
      <c r="BW69" s="104" t="n">
        <f>COUNTIFS(H69,"一期",BT69,"是")+COUNTIFS(L69,"一期",BU69,"是")+COUNTIFS(P69,"一期",BV69,"是")</f>
        <v>0</v>
      </c>
      <c r="CA69" s="318"/>
    </row>
    <row r="70" ht="26.25" customHeight="1">
      <c r="A70" s="104" t="s">
        <v>54</v>
      </c>
      <c r="B70" s="104" t="n">
        <v>2284879023</v>
      </c>
      <c r="C70" s="508" t="s">
        <f>VLOOKUP(B70,'UV台帐'!B:AL,2,0)</f>
        <v>704</v>
      </c>
      <c r="D70" s="508" t="s">
        <f>VLOOKUP(B70,'UV台帐'!B:AL,3,0)</f>
        <v>36</v>
      </c>
      <c r="E70" s="508" t="s">
        <f>VLOOKUP(B70,'UV台帐'!B:AL,13,0)</f>
        <v>35</v>
      </c>
      <c r="F70" s="508" t="s">
        <f>VLOOKUP(B70,'UV台帐'!B:AL,15,0)</f>
        <v>216</v>
      </c>
      <c r="G70" s="508" t="s">
        <f>VLOOKUP(B70,'UV台帐'!B:AL,16,0)</f>
        <v>283</v>
      </c>
      <c r="H70" s="508" t="s">
        <f>VLOOKUP(B70,'UV台帐'!B:AL,17,0)</f>
        <v>65</v>
      </c>
      <c r="I70" s="508" t="s">
        <f>VLOOKUP(B70,'UV台帐'!B:AL,18,0)</f>
        <v>165</v>
      </c>
      <c r="J70" s="508" t="s">
        <f>VLOOKUP(B70,'UV台帐'!B:AL,22,0)</f>
        <v>49</v>
      </c>
      <c r="K70" s="508" t="s">
        <f>VLOOKUP(B70,'UV台帐'!B:AL,24,0)</f>
        <v>233</v>
      </c>
      <c r="L70" s="508" t="s">
        <f>VLOOKUP(B70,'UV台帐'!B:AL,26,0)</f>
        <v>65</v>
      </c>
      <c r="M70" s="508" t="s">
        <f>VLOOKUP(B70,'UV台帐'!B:AL,27,0)</f>
        <v>165</v>
      </c>
      <c r="N70" s="508" t="s">
        <f>VLOOKUP(B70,'UV台帐'!B:AL,31,0)</f>
        <v>56</v>
      </c>
      <c r="O70" s="508" t="s">
        <f>VLOOKUP(B70,'UV台帐'!B:AL,33,0)</f>
        <v>215</v>
      </c>
      <c r="P70" s="508" t="s">
        <f>VLOOKUP(B70,'UV台帐'!B:AL,35,0)</f>
        <v>65</v>
      </c>
      <c r="Q70" s="508" t="s">
        <f>VLOOKUP(B70,'UV台帐'!B:AL,36,0)</f>
        <v>165</v>
      </c>
      <c r="R70" s="104" t="s">
        <v>217</v>
      </c>
      <c r="S70" s="104" t="s">
        <v>27</v>
      </c>
      <c r="T70" s="104" t="s">
        <v>217</v>
      </c>
      <c r="U70" s="104" t="s">
        <v>217</v>
      </c>
      <c r="V70" s="332" t="s">
        <v>705</v>
      </c>
      <c r="W70" s="332" t="n">
        <v>295</v>
      </c>
      <c r="X70" s="332" t="s">
        <v>706</v>
      </c>
      <c r="Y70" s="332" t="s">
        <v>707</v>
      </c>
      <c r="Z70" s="171" t="s">
        <v>708</v>
      </c>
      <c r="AA70" s="332" t="s">
        <v>223</v>
      </c>
      <c r="AB70" s="332" t="s">
        <v>709</v>
      </c>
      <c r="AC70" s="332" t="s">
        <v>456</v>
      </c>
      <c r="AD70" s="332" t="s">
        <v>710</v>
      </c>
      <c r="AE70" s="332" t="s">
        <v>240</v>
      </c>
      <c r="AF70" s="332" t="s">
        <v>306</v>
      </c>
      <c r="AG70" s="332" t="s">
        <v>228</v>
      </c>
      <c r="AH70" s="332" t="s">
        <v>229</v>
      </c>
      <c r="AI70" s="332" t="s">
        <v>230</v>
      </c>
      <c r="AJ70" s="332" t="s">
        <v>255</v>
      </c>
      <c r="AK70" s="104" t="s">
        <v>35</v>
      </c>
      <c r="AL70" s="104" t="s">
        <v>217</v>
      </c>
      <c r="AM70" s="104"/>
      <c r="AN70" s="5"/>
      <c r="AO70" s="5"/>
      <c r="AP70" s="5"/>
      <c r="AQ70" s="5"/>
      <c r="AR70" s="5"/>
      <c r="AS70" s="5"/>
      <c r="AT70" s="5"/>
      <c r="AU70" s="104"/>
      <c r="AV70" s="104"/>
      <c r="AW70" s="5"/>
      <c r="AX70" s="104"/>
      <c r="AY70" s="104"/>
      <c r="AZ70" s="104"/>
      <c r="BA70" s="5"/>
      <c r="BB70" s="104"/>
      <c r="BC70" s="104"/>
      <c r="BF70" s="104" t="s">
        <v>36</v>
      </c>
      <c r="BG70" s="104" t="n">
        <f>VLOOKUP(B70,'UV台帐'!B:G,6,0)</f>
        <v>0</v>
      </c>
      <c r="BH70" s="104"/>
      <c r="BR70" s="104" t="n">
        <f>COUNTIFS(H70,"一期",I70,"在读")+COUNTIFS(L70,"一期",M70,"在读")+COUNTIFS(P70,"一期",Q70,"在读")</f>
        <v>3</v>
      </c>
      <c r="BS70" s="104" t="n">
        <f>BR70-BW70</f>
        <v>3</v>
      </c>
      <c r="BT70" s="209" t="s">
        <f>VLOOKUP(B70,'UV台帐'!B:AL,19,0)</f>
        <v>116</v>
      </c>
      <c r="BU70" s="209" t="s">
        <f>VLOOKUP(B70,'UV台帐'!B:AL,28,0)</f>
        <v>116</v>
      </c>
      <c r="BV70" s="209" t="s">
        <f>VLOOKUP(B70,'UV台帐'!B:AL,37,0)</f>
        <v>116</v>
      </c>
      <c r="BW70" s="104" t="n">
        <f>COUNTIFS(H70,"一期",BT70,"是")+COUNTIFS(L70,"一期",BU70,"是")+COUNTIFS(P70,"一期",BV70,"是")</f>
        <v>0</v>
      </c>
      <c r="CA70" s="318"/>
    </row>
    <row r="71" ht="26.25" customHeight="1">
      <c r="A71" s="104" t="s">
        <v>54</v>
      </c>
      <c r="B71" s="104" t="n">
        <v>4823986037</v>
      </c>
      <c r="C71" s="508" t="s">
        <f>VLOOKUP(B71,'UV台帐'!B:AL,2,0)</f>
        <v>649</v>
      </c>
      <c r="D71" s="508" t="s">
        <f>VLOOKUP(B71,'UV台帐'!B:AL,3,0)</f>
        <v>59</v>
      </c>
      <c r="E71" s="508" t="s">
        <f>VLOOKUP(B71,'UV台帐'!B:AL,13,0)</f>
        <v>35</v>
      </c>
      <c r="F71" s="508" t="s">
        <f>VLOOKUP(B71,'UV台帐'!B:AL,15,0)</f>
        <v>245</v>
      </c>
      <c r="G71" s="508" t="s">
        <f>VLOOKUP(B71,'UV台帐'!B:AL,16,0)</f>
        <v>234</v>
      </c>
      <c r="H71" s="508" t="s">
        <f>VLOOKUP(B71,'UV台帐'!B:AL,17,0)</f>
        <v>65</v>
      </c>
      <c r="I71" s="508" t="s">
        <f>VLOOKUP(B71,'UV台帐'!B:AL,18,0)</f>
        <v>165</v>
      </c>
      <c r="J71" s="508" t="s">
        <f>VLOOKUP(B71,'UV台帐'!B:AL,22,0)</f>
        <v>47</v>
      </c>
      <c r="K71" s="508" t="s">
        <f>VLOOKUP(B71,'UV台帐'!B:AL,24,0)</f>
        <v>216</v>
      </c>
      <c r="L71" s="508" t="s">
        <f>VLOOKUP(B71,'UV台帐'!B:AL,26,0)</f>
        <v>65</v>
      </c>
      <c r="M71" s="508" t="s">
        <f>VLOOKUP(B71,'UV台帐'!B:AL,27,0)</f>
        <v>165</v>
      </c>
      <c r="N71" s="508" t="s">
        <f>VLOOKUP(B71,'UV台帐'!B:AL,31,0)</f>
        <v>56</v>
      </c>
      <c r="O71" s="508" t="s">
        <f>VLOOKUP(B71,'UV台帐'!B:AL,33,0)</f>
        <v>246</v>
      </c>
      <c r="P71" s="508" t="s">
        <f>VLOOKUP(B71,'UV台帐'!B:AL,35,0)</f>
        <v>65</v>
      </c>
      <c r="Q71" s="508" t="s">
        <f>VLOOKUP(B71,'UV台帐'!B:AL,36,0)</f>
        <v>165</v>
      </c>
      <c r="R71" s="104" t="s">
        <v>217</v>
      </c>
      <c r="S71" s="104" t="s">
        <v>27</v>
      </c>
      <c r="T71" s="104" t="s">
        <v>217</v>
      </c>
      <c r="U71" s="104" t="s">
        <v>217</v>
      </c>
      <c r="V71" s="332" t="s">
        <v>711</v>
      </c>
      <c r="W71" s="466" t="s">
        <v>712</v>
      </c>
      <c r="X71" s="466" t="s">
        <v>713</v>
      </c>
      <c r="Y71" s="466" t="s">
        <v>714</v>
      </c>
      <c r="Z71" s="466" t="s">
        <v>715</v>
      </c>
      <c r="AA71" s="332" t="s">
        <v>223</v>
      </c>
      <c r="AB71" s="466" t="s">
        <v>716</v>
      </c>
      <c r="AC71" s="332" t="s">
        <v>456</v>
      </c>
      <c r="AD71" s="332" t="s">
        <v>717</v>
      </c>
      <c r="AE71" s="332" t="s">
        <v>253</v>
      </c>
      <c r="AF71" s="332" t="s">
        <v>241</v>
      </c>
      <c r="AG71" s="332" t="s">
        <v>228</v>
      </c>
      <c r="AH71" s="332" t="s">
        <v>315</v>
      </c>
      <c r="AI71" s="332" t="s">
        <v>254</v>
      </c>
      <c r="AJ71" s="332" t="s">
        <v>316</v>
      </c>
      <c r="AK71" s="104" t="s">
        <v>35</v>
      </c>
      <c r="AL71" s="104" t="s">
        <v>217</v>
      </c>
      <c r="AM71" s="104"/>
      <c r="AN71" s="5"/>
      <c r="AO71" s="5"/>
      <c r="AP71" s="5"/>
      <c r="AQ71" s="5"/>
      <c r="AR71" s="5"/>
      <c r="AS71" s="5"/>
      <c r="AT71" s="5"/>
      <c r="AU71" s="104"/>
      <c r="AV71" s="104"/>
      <c r="AW71" s="5"/>
      <c r="AX71" s="104"/>
      <c r="AY71" s="104"/>
      <c r="AZ71" s="104"/>
      <c r="BA71" s="5"/>
      <c r="BB71" s="104"/>
      <c r="BC71" s="104"/>
      <c r="BF71" s="104" t="s">
        <v>59</v>
      </c>
      <c r="BG71" s="104" t="n">
        <f>VLOOKUP(B71,'UV台帐'!B:G,6,0)</f>
        <v>0</v>
      </c>
      <c r="BH71" s="104" t="s">
        <v>718</v>
      </c>
      <c r="BR71" s="104" t="n">
        <f>COUNTIFS(H71,"一期",I71,"在读")+COUNTIFS(L71,"一期",M71,"在读")+COUNTIFS(P71,"一期",Q71,"在读")</f>
        <v>3</v>
      </c>
      <c r="BS71" s="104" t="n">
        <f>BR71-BW71</f>
        <v>3</v>
      </c>
      <c r="BT71" s="209" t="s">
        <f>VLOOKUP(B71,'UV台帐'!B:AL,19,0)</f>
        <v>116</v>
      </c>
      <c r="BU71" s="209" t="s">
        <f>VLOOKUP(B71,'UV台帐'!B:AL,28,0)</f>
        <v>116</v>
      </c>
      <c r="BV71" s="209" t="s">
        <f>VLOOKUP(B71,'UV台帐'!B:AL,37,0)</f>
        <v>116</v>
      </c>
      <c r="BW71" s="104" t="n">
        <f>COUNTIFS(H71,"一期",BT71,"是")+COUNTIFS(L71,"一期",BU71,"是")+COUNTIFS(P71,"一期",BV71,"是")</f>
        <v>0</v>
      </c>
      <c r="CA71" s="318"/>
    </row>
    <row r="72" ht="26.25" customHeight="1">
      <c r="A72" s="104" t="s">
        <v>45</v>
      </c>
      <c r="B72" s="104" t="n">
        <v>2946163107</v>
      </c>
      <c r="C72" s="508" t="s">
        <f>VLOOKUP(B72,'UV台帐'!B:AL,2,0)</f>
        <v>719</v>
      </c>
      <c r="D72" s="508" t="s">
        <f>VLOOKUP(B72,'UV台帐'!B:AL,3,0)</f>
        <v>46</v>
      </c>
      <c r="E72" s="288" t="s">
        <f>VLOOKUP(B72,'UV台帐'!B:AL,13,0)</f>
        <v>31</v>
      </c>
      <c r="F72" s="288" t="s">
        <f>VLOOKUP(B72,'UV台帐'!B:AL,15,0)</f>
        <v>233</v>
      </c>
      <c r="G72" s="288" t="s">
        <f>VLOOKUP(B72,'UV台帐'!B:AL,16,0)</f>
        <v>234</v>
      </c>
      <c r="H72" s="288" t="s">
        <f>VLOOKUP(B72,'UV台帐'!B:AL,17,0)</f>
        <v>100</v>
      </c>
      <c r="I72" s="288" t="s">
        <f>VLOOKUP(B72,'UV台帐'!B:AL,18,0)</f>
        <v>165</v>
      </c>
      <c r="J72" s="508" t="s">
        <f>VLOOKUP(B72,'UV台帐'!B:AL,22,0)</f>
        <v>43</v>
      </c>
      <c r="K72" s="508" t="s">
        <f>VLOOKUP(B72,'UV台帐'!B:AL,24,0)</f>
        <v>215</v>
      </c>
      <c r="L72" s="508" t="s">
        <f>VLOOKUP(B72,'UV台帐'!B:AL,26,0)</f>
        <v>65</v>
      </c>
      <c r="M72" s="508" t="s">
        <f>VLOOKUP(B72,'UV台帐'!B:AL,27,0)</f>
        <v>165</v>
      </c>
      <c r="N72" s="508" t="s">
        <f>VLOOKUP(B72,'UV台帐'!B:AL,31,0)</f>
        <v>58</v>
      </c>
      <c r="O72" s="508" t="s">
        <f>VLOOKUP(B72,'UV台帐'!B:AL,33,0)</f>
        <v>233</v>
      </c>
      <c r="P72" s="508" t="s">
        <f>VLOOKUP(B72,'UV台帐'!B:AL,35,0)</f>
        <v>65</v>
      </c>
      <c r="Q72" s="508" t="s">
        <f>VLOOKUP(B72,'UV台帐'!B:AL,36,0)</f>
        <v>165</v>
      </c>
      <c r="R72" s="104" t="s">
        <v>217</v>
      </c>
      <c r="S72" s="508" t="s">
        <v>25</v>
      </c>
      <c r="U72" s="508" t="s">
        <v>218</v>
      </c>
      <c r="V72" s="466"/>
      <c r="Y72" s="466" t="s">
        <v>720</v>
      </c>
      <c r="Z72" s="171" t="s">
        <v>721</v>
      </c>
      <c r="AA72" s="466" t="s">
        <v>223</v>
      </c>
      <c r="AB72" s="466" t="s">
        <v>722</v>
      </c>
      <c r="AC72" s="466" t="s">
        <v>169</v>
      </c>
      <c r="AD72" s="466" t="s">
        <v>723</v>
      </c>
      <c r="AE72" s="466" t="s">
        <v>253</v>
      </c>
      <c r="AF72" s="466" t="s">
        <v>306</v>
      </c>
      <c r="AG72" s="466" t="s">
        <v>228</v>
      </c>
      <c r="AH72" s="466" t="s">
        <v>315</v>
      </c>
      <c r="AI72" s="466" t="s">
        <v>254</v>
      </c>
      <c r="AJ72" s="466" t="s">
        <v>316</v>
      </c>
      <c r="AK72" s="104" t="s">
        <v>58</v>
      </c>
      <c r="AL72" s="104" t="s">
        <v>217</v>
      </c>
      <c r="AM72" s="104"/>
      <c r="AN72" s="5"/>
      <c r="AO72" s="5"/>
      <c r="AP72" s="5"/>
      <c r="AQ72" s="5"/>
      <c r="AR72" s="5"/>
      <c r="AS72" s="5"/>
      <c r="AT72" s="5"/>
      <c r="AU72" s="104"/>
      <c r="AV72" s="104"/>
      <c r="AW72" s="5"/>
      <c r="AX72" s="104"/>
      <c r="AY72" s="104"/>
      <c r="AZ72" s="104"/>
      <c r="BA72" s="5"/>
      <c r="BB72" s="104"/>
      <c r="BC72" s="104"/>
      <c r="BF72" s="104" t="s">
        <v>46</v>
      </c>
      <c r="BG72" s="104" t="n">
        <f>VLOOKUP(B72,'UV台帐'!B:G,6,0)</f>
        <v>0</v>
      </c>
      <c r="BH72" s="104"/>
      <c r="BR72" s="104" t="n">
        <f>COUNTIFS(H72,"一期",I72,"在读")+COUNTIFS(L72,"一期",M72,"在读")+COUNTIFS(P72,"一期",Q72,"在读")</f>
        <v>2</v>
      </c>
      <c r="BS72" s="104" t="n">
        <f>BR72-BW72</f>
        <v>1</v>
      </c>
      <c r="BT72" s="209" t="s">
        <f>VLOOKUP(B72,'UV台帐'!B:AL,19,0)</f>
        <v>217</v>
      </c>
      <c r="BU72" s="209" t="s">
        <f>VLOOKUP(B72,'UV台帐'!B:AL,28,0)</f>
        <v>217</v>
      </c>
      <c r="BV72" s="209" t="s">
        <f>VLOOKUP(B72,'UV台帐'!B:AL,37,0)</f>
        <v>116</v>
      </c>
      <c r="BW72" s="104" t="n">
        <f>COUNTIFS(H72,"一期",BT72,"是")+COUNTIFS(L72,"一期",BU72,"是")+COUNTIFS(P72,"一期",BV72,"是")</f>
        <v>1</v>
      </c>
      <c r="CA72" s="318"/>
    </row>
    <row r="73" ht="26.25" customHeight="1">
      <c r="A73" s="104" t="s">
        <v>45</v>
      </c>
      <c r="B73" s="104" t="n">
        <v>2731869099</v>
      </c>
      <c r="C73" s="508" t="s">
        <f>VLOOKUP(B73,'UV台帐'!B:AL,2,0)</f>
        <v>724</v>
      </c>
      <c r="D73" s="508" t="s">
        <f>VLOOKUP(B73,'UV台帐'!B:AL,3,0)</f>
        <v>46</v>
      </c>
      <c r="E73" s="508" t="s">
        <f>VLOOKUP(B73,'UV台帐'!B:AL,13,0)</f>
        <v>31</v>
      </c>
      <c r="F73" s="508" t="s">
        <f>VLOOKUP(B73,'UV台帐'!B:AL,15,0)</f>
        <v>216</v>
      </c>
      <c r="G73" s="508" t="s">
        <f>VLOOKUP(B73,'UV台帐'!B:AL,16,0)</f>
        <v>234</v>
      </c>
      <c r="H73" s="508" t="s">
        <f>VLOOKUP(B73,'UV台帐'!B:AL,17,0)</f>
        <v>65</v>
      </c>
      <c r="I73" s="508" t="s">
        <f>VLOOKUP(B73,'UV台帐'!B:AL,18,0)</f>
        <v>165</v>
      </c>
      <c r="J73" s="508" t="s">
        <f>VLOOKUP(B73,'UV台帐'!B:AL,22,0)</f>
        <v>43</v>
      </c>
      <c r="K73" s="508" t="s">
        <f>VLOOKUP(B73,'UV台帐'!B:AL,24,0)</f>
        <v>215</v>
      </c>
      <c r="L73" s="508" t="s">
        <f>VLOOKUP(B73,'UV台帐'!B:AL,26,0)</f>
        <v>65</v>
      </c>
      <c r="M73" s="508" t="s">
        <f>VLOOKUP(B73,'UV台帐'!B:AL,27,0)</f>
        <v>165</v>
      </c>
      <c r="N73" s="508" t="s">
        <f>VLOOKUP(B73,'UV台帐'!B:AL,31,0)</f>
        <v>58</v>
      </c>
      <c r="O73" s="508" t="s">
        <f>VLOOKUP(B73,'UV台帐'!B:AL,33,0)</f>
        <v>233</v>
      </c>
      <c r="P73" s="508" t="s">
        <f>VLOOKUP(B73,'UV台帐'!B:AL,35,0)</f>
        <v>65</v>
      </c>
      <c r="Q73" s="508" t="s">
        <f>VLOOKUP(B73,'UV台帐'!B:AL,36,0)</f>
        <v>165</v>
      </c>
      <c r="R73" s="104" t="s">
        <v>217</v>
      </c>
      <c r="S73" s="104" t="s">
        <v>25</v>
      </c>
      <c r="T73" s="104"/>
      <c r="U73" s="104" t="s">
        <v>217</v>
      </c>
      <c r="V73" s="332"/>
      <c r="W73" s="332"/>
      <c r="X73" s="332"/>
      <c r="Y73" s="332" t="s">
        <v>725</v>
      </c>
      <c r="Z73" s="171" t="s">
        <v>726</v>
      </c>
      <c r="AA73" s="332"/>
      <c r="AB73" s="171" t="s">
        <v>726</v>
      </c>
      <c r="AC73" s="332"/>
      <c r="AD73" s="332"/>
      <c r="AE73" s="332"/>
      <c r="AF73" s="332"/>
      <c r="AG73" s="332"/>
      <c r="AH73" s="332"/>
      <c r="AI73" s="332"/>
      <c r="AJ73" s="332"/>
      <c r="AK73" s="104" t="s">
        <v>58</v>
      </c>
      <c r="AL73" s="104" t="s">
        <v>217</v>
      </c>
      <c r="AM73" s="104"/>
      <c r="AN73" s="5"/>
      <c r="AO73" s="5"/>
      <c r="AP73" s="5"/>
      <c r="AQ73" s="5"/>
      <c r="AR73" s="5"/>
      <c r="AS73" s="5"/>
      <c r="AT73" s="5"/>
      <c r="AU73" s="104"/>
      <c r="AV73" s="104"/>
      <c r="AW73" s="5"/>
      <c r="AX73" s="104"/>
      <c r="AY73" s="104"/>
      <c r="AZ73" s="104"/>
      <c r="BA73" s="5"/>
      <c r="BB73" s="104"/>
      <c r="BC73" s="104"/>
      <c r="BD73" s="508"/>
      <c r="BE73" s="508"/>
      <c r="BF73" s="104" t="s">
        <v>46</v>
      </c>
      <c r="BG73" s="104" t="n">
        <f>VLOOKUP(B73,'UV台帐'!B:G,6,0)</f>
        <v>0</v>
      </c>
      <c r="BH73" s="104"/>
      <c r="BR73" s="104" t="n">
        <f>COUNTIFS(H73,"一期",I73,"在读")+COUNTIFS(L73,"一期",M73,"在读")+COUNTIFS(P73,"一期",Q73,"在读")</f>
        <v>3</v>
      </c>
      <c r="BS73" s="104" t="n">
        <f>BR73-BW73</f>
        <v>0</v>
      </c>
      <c r="BT73" s="209" t="s">
        <f>VLOOKUP(B73,'UV台帐'!B:AL,19,0)</f>
        <v>217</v>
      </c>
      <c r="BU73" s="209" t="s">
        <f>VLOOKUP(B73,'UV台帐'!B:AL,28,0)</f>
        <v>217</v>
      </c>
      <c r="BV73" s="209" t="s">
        <f>VLOOKUP(B73,'UV台帐'!B:AL,37,0)</f>
        <v>217</v>
      </c>
      <c r="BW73" s="104" t="n">
        <f>COUNTIFS(H73,"一期",BT73,"是")+COUNTIFS(L73,"一期",BU73,"是")+COUNTIFS(P73,"一期",BV73,"是")</f>
        <v>3</v>
      </c>
      <c r="CA73" s="318"/>
    </row>
    <row r="74" ht="26.25" customHeight="1">
      <c r="A74" s="104" t="s">
        <v>54</v>
      </c>
      <c r="B74" s="104" t="n">
        <v>2408937171</v>
      </c>
      <c r="C74" s="508" t="s">
        <f>VLOOKUP(B74,'UV台帐'!B:AL,2,0)</f>
        <v>727</v>
      </c>
      <c r="D74" s="508" t="s">
        <f>VLOOKUP(B74,'UV台帐'!B:AL,3,0)</f>
        <v>59</v>
      </c>
      <c r="E74" s="508" t="s">
        <f>VLOOKUP(B74,'UV台帐'!B:AL,13,0)</f>
        <v>35</v>
      </c>
      <c r="F74" s="508" t="s">
        <f>VLOOKUP(B74,'UV台帐'!B:AL,15,0)</f>
        <v>233</v>
      </c>
      <c r="G74" s="508" t="s">
        <f>VLOOKUP(B74,'UV台帐'!B:AL,16,0)</f>
        <v>234</v>
      </c>
      <c r="H74" s="508" t="s">
        <f>VLOOKUP(B74,'UV台帐'!B:AL,17,0)</f>
        <v>101</v>
      </c>
      <c r="I74" s="508" t="s">
        <f>VLOOKUP(B74,'UV台帐'!B:AL,18,0)</f>
        <v>165</v>
      </c>
      <c r="J74" s="508" t="s">
        <f>VLOOKUP(B74,'UV台帐'!B:AL,22,0)</f>
        <v>47</v>
      </c>
      <c r="K74" s="508" t="s">
        <f>VLOOKUP(B74,'UV台帐'!B:AL,24,0)</f>
        <v>215</v>
      </c>
      <c r="L74" s="508" t="s">
        <f>VLOOKUP(B74,'UV台帐'!B:AL,26,0)</f>
        <v>101</v>
      </c>
      <c r="M74" s="508" t="s">
        <f>VLOOKUP(B74,'UV台帐'!B:AL,27,0)</f>
        <v>165</v>
      </c>
      <c r="N74" s="508" t="s">
        <f>VLOOKUP(B74,'UV台帐'!B:AL,31,0)</f>
        <v>56</v>
      </c>
      <c r="O74" s="508" t="s">
        <f>VLOOKUP(B74,'UV台帐'!B:AL,33,0)</f>
        <v>216</v>
      </c>
      <c r="P74" s="508" t="s">
        <f>VLOOKUP(B74,'UV台帐'!B:AL,35,0)</f>
        <v>101</v>
      </c>
      <c r="Q74" s="508" t="s">
        <f>VLOOKUP(B74,'UV台帐'!B:AL,36,0)</f>
        <v>165</v>
      </c>
      <c r="R74" s="104" t="s">
        <v>217</v>
      </c>
      <c r="S74" s="104" t="s">
        <v>29</v>
      </c>
      <c r="T74" s="104" t="s">
        <v>218</v>
      </c>
      <c r="U74" s="104" t="s">
        <v>218</v>
      </c>
      <c r="V74" s="332" t="s">
        <v>728</v>
      </c>
      <c r="W74" s="466" t="s">
        <v>729</v>
      </c>
      <c r="X74" s="332"/>
      <c r="Y74" s="466" t="s">
        <v>730</v>
      </c>
      <c r="Z74" s="171" t="s">
        <v>731</v>
      </c>
      <c r="AA74" s="332" t="s">
        <v>223</v>
      </c>
      <c r="AB74" s="466" t="s">
        <v>732</v>
      </c>
      <c r="AC74" s="332" t="s">
        <v>167</v>
      </c>
      <c r="AD74" s="332" t="s">
        <v>225</v>
      </c>
      <c r="AE74" s="332" t="s">
        <v>240</v>
      </c>
      <c r="AF74" s="332" t="s">
        <v>241</v>
      </c>
      <c r="AG74" s="332" t="s">
        <v>228</v>
      </c>
      <c r="AH74" s="332" t="s">
        <v>229</v>
      </c>
      <c r="AI74" s="332" t="s">
        <v>472</v>
      </c>
      <c r="AJ74" s="332" t="s">
        <v>231</v>
      </c>
      <c r="AK74" s="104" t="s">
        <v>35</v>
      </c>
      <c r="AL74" s="104"/>
      <c r="AM74" s="104"/>
      <c r="AN74" s="5"/>
      <c r="AO74" s="5"/>
      <c r="AP74" s="5"/>
      <c r="AQ74" s="5"/>
      <c r="AR74" s="5"/>
      <c r="AS74" s="5"/>
      <c r="AT74" s="5"/>
      <c r="AU74" s="104"/>
      <c r="AV74" s="104"/>
      <c r="AW74" s="5"/>
      <c r="AX74" s="104"/>
      <c r="AY74" s="104"/>
      <c r="AZ74" s="104"/>
      <c r="BA74" s="5"/>
      <c r="BB74" s="104"/>
      <c r="BC74" s="104"/>
      <c r="BF74" s="104" t="s">
        <v>59</v>
      </c>
      <c r="BG74" s="104" t="n">
        <f>VLOOKUP(B74,'UV台帐'!B:G,6,0)</f>
        <v>0</v>
      </c>
      <c r="BH74" s="104"/>
      <c r="BR74" s="104" t="n">
        <f>COUNTIFS(H74,"一期",I74,"在读")+COUNTIFS(L74,"一期",M74,"在读")+COUNTIFS(P74,"一期",Q74,"在读")</f>
        <v>0</v>
      </c>
      <c r="BS74" s="104" t="n">
        <f>BR74-BW74</f>
        <v>0</v>
      </c>
      <c r="BT74" s="209" t="s">
        <f>VLOOKUP(B74,'UV台帐'!B:AL,19,0)</f>
        <v>116</v>
      </c>
      <c r="BU74" s="209" t="s">
        <f>VLOOKUP(B74,'UV台帐'!B:AL,28,0)</f>
        <v>116</v>
      </c>
      <c r="BV74" s="209" t="s">
        <f>VLOOKUP(B74,'UV台帐'!B:AL,37,0)</f>
        <v>116</v>
      </c>
      <c r="BW74" s="104" t="n">
        <f>COUNTIFS(H74,"一期",BT74,"是")+COUNTIFS(L74,"一期",BU74,"是")+COUNTIFS(P74,"一期",BV74,"是")</f>
        <v>0</v>
      </c>
      <c r="CA74" s="318"/>
    </row>
    <row r="75" ht="26.25" customHeight="1">
      <c r="A75" s="104" t="s">
        <v>54</v>
      </c>
      <c r="B75" s="104" t="n">
        <v>4384813412</v>
      </c>
      <c r="C75" s="508" t="s">
        <f>VLOOKUP(B75,'UV台帐'!B:AL,2,0)</f>
        <v>733</v>
      </c>
      <c r="D75" s="508" t="s">
        <f>VLOOKUP(B75,'UV台帐'!B:AL,3,0)</f>
        <v>48</v>
      </c>
      <c r="E75" s="508" t="s">
        <f>VLOOKUP(B75,'UV台帐'!B:AL,13,0)</f>
        <v>35</v>
      </c>
      <c r="F75" s="508" t="s">
        <f>VLOOKUP(B75,'UV台帐'!B:AL,15,0)</f>
        <v>233</v>
      </c>
      <c r="G75" s="508" t="s">
        <f>VLOOKUP(B75,'UV台帐'!B:AL,16,0)</f>
        <v>234</v>
      </c>
      <c r="H75" s="508" t="s">
        <f>VLOOKUP(B75,'UV台帐'!B:AL,17,0)</f>
        <v>101</v>
      </c>
      <c r="I75" s="508" t="s">
        <f>VLOOKUP(B75,'UV台帐'!B:AL,18,0)</f>
        <v>165</v>
      </c>
      <c r="J75" s="508" t="s">
        <f>VLOOKUP(B75,'UV台帐'!B:AL,22,0)</f>
        <v>47</v>
      </c>
      <c r="K75" s="508" t="s">
        <f>VLOOKUP(B75,'UV台帐'!B:AL,24,0)</f>
        <v>215</v>
      </c>
      <c r="L75" s="508" t="s">
        <f>VLOOKUP(B75,'UV台帐'!B:AL,26,0)</f>
        <v>101</v>
      </c>
      <c r="M75" s="508" t="s">
        <f>VLOOKUP(B75,'UV台帐'!B:AL,27,0)</f>
        <v>165</v>
      </c>
      <c r="N75" s="508" t="s">
        <f>VLOOKUP(B75,'UV台帐'!B:AL,31,0)</f>
        <v>56</v>
      </c>
      <c r="O75" s="508" t="s">
        <f>VLOOKUP(B75,'UV台帐'!B:AL,33,0)</f>
        <v>216</v>
      </c>
      <c r="P75" s="508" t="s">
        <f>VLOOKUP(B75,'UV台帐'!B:AL,35,0)</f>
        <v>101</v>
      </c>
      <c r="Q75" s="508" t="s">
        <f>VLOOKUP(B75,'UV台帐'!B:AL,36,0)</f>
        <v>165</v>
      </c>
      <c r="R75" s="104" t="s">
        <v>217</v>
      </c>
      <c r="S75" s="104" t="s">
        <v>28</v>
      </c>
      <c r="T75" s="104" t="s">
        <v>217</v>
      </c>
      <c r="U75" s="104" t="s">
        <v>217</v>
      </c>
      <c r="V75" s="332" t="s">
        <v>734</v>
      </c>
      <c r="W75" s="466" t="s">
        <v>735</v>
      </c>
      <c r="X75" s="332" t="s">
        <v>736</v>
      </c>
      <c r="Y75" s="332" t="s">
        <v>737</v>
      </c>
      <c r="Z75" s="171" t="s">
        <v>738</v>
      </c>
      <c r="AA75" s="332" t="s">
        <v>223</v>
      </c>
      <c r="AB75" s="466" t="s">
        <v>739</v>
      </c>
      <c r="AC75" s="332" t="s">
        <v>289</v>
      </c>
      <c r="AD75" s="332" t="s">
        <v>305</v>
      </c>
      <c r="AE75" s="332" t="s">
        <v>240</v>
      </c>
      <c r="AF75" s="332" t="s">
        <v>241</v>
      </c>
      <c r="AG75" s="332" t="s">
        <v>228</v>
      </c>
      <c r="AH75" s="332" t="s">
        <v>229</v>
      </c>
      <c r="AI75" s="332" t="s">
        <v>230</v>
      </c>
      <c r="AJ75" s="332" t="s">
        <v>242</v>
      </c>
      <c r="AK75" s="104" t="s">
        <v>35</v>
      </c>
      <c r="AL75" s="104" t="s">
        <v>217</v>
      </c>
      <c r="AM75" s="104"/>
      <c r="AN75" s="5"/>
      <c r="AO75" s="5"/>
      <c r="AP75" s="5"/>
      <c r="AQ75" s="5"/>
      <c r="AR75" s="5"/>
      <c r="AS75" s="5"/>
      <c r="AT75" s="5"/>
      <c r="AW75" s="5"/>
      <c r="BA75" s="5"/>
      <c r="BF75" s="104" t="s">
        <v>48</v>
      </c>
      <c r="BG75" s="104" t="n">
        <f>VLOOKUP(B75,'UV台帐'!B:G,6,0)</f>
        <v>0</v>
      </c>
      <c r="BH75" s="104" t="s">
        <v>740</v>
      </c>
      <c r="BR75" s="104" t="n">
        <f>COUNTIFS(H75,"一期",I75,"在读")+COUNTIFS(L75,"一期",M75,"在读")+COUNTIFS(P75,"一期",Q75,"在读")</f>
        <v>0</v>
      </c>
      <c r="BS75" s="104" t="n">
        <f>BR75-BW75</f>
        <v>0</v>
      </c>
      <c r="BT75" s="209" t="s">
        <f>VLOOKUP(B75,'UV台帐'!B:AL,19,0)</f>
        <v>116</v>
      </c>
      <c r="BU75" s="209" t="s">
        <f>VLOOKUP(B75,'UV台帐'!B:AL,28,0)</f>
        <v>116</v>
      </c>
      <c r="BV75" s="209" t="s">
        <f>VLOOKUP(B75,'UV台帐'!B:AL,37,0)</f>
        <v>116</v>
      </c>
      <c r="BW75" s="104" t="n">
        <f>COUNTIFS(H75,"一期",BT75,"是")+COUNTIFS(L75,"一期",BU75,"是")+COUNTIFS(P75,"一期",BV75,"是")</f>
        <v>0</v>
      </c>
      <c r="CA75" s="318"/>
    </row>
    <row r="76" ht="26.25" customHeight="1">
      <c r="A76" s="104" t="s">
        <v>45</v>
      </c>
      <c r="B76" s="104" t="n">
        <v>4481410838</v>
      </c>
      <c r="C76" s="508" t="s">
        <f>VLOOKUP(B76,'UV台帐'!B:AL,2,0)</f>
        <v>741</v>
      </c>
      <c r="D76" s="508" t="s">
        <f>VLOOKUP(B76,'UV台帐'!B:AL,3,0)</f>
        <v>48</v>
      </c>
      <c r="E76" s="508" t="s">
        <f>VLOOKUP(B76,'UV台帐'!B:AL,13,0)</f>
        <v>31</v>
      </c>
      <c r="F76" s="508" t="s">
        <f>VLOOKUP(B76,'UV台帐'!B:AL,15,0)</f>
        <v>216</v>
      </c>
      <c r="G76" s="508" t="s">
        <f>VLOOKUP(B76,'UV台帐'!B:AL,16,0)</f>
        <v>234</v>
      </c>
      <c r="H76" s="508" t="s">
        <f>VLOOKUP(B76,'UV台帐'!B:AL,17,0)</f>
        <v>65</v>
      </c>
      <c r="I76" s="508" t="s">
        <f>VLOOKUP(B76,'UV台帐'!B:AL,18,0)</f>
        <v>165</v>
      </c>
      <c r="J76" s="508" t="s">
        <f>VLOOKUP(B76,'UV台帐'!B:AL,22,0)</f>
        <v>43</v>
      </c>
      <c r="K76" s="508" t="s">
        <f>VLOOKUP(B76,'UV台帐'!B:AL,24,0)</f>
        <v>215</v>
      </c>
      <c r="L76" s="508" t="s">
        <f>VLOOKUP(B76,'UV台帐'!B:AL,26,0)</f>
        <v>65</v>
      </c>
      <c r="M76" s="508" t="s">
        <f>VLOOKUP(B76,'UV台帐'!B:AL,27,0)</f>
        <v>165</v>
      </c>
      <c r="N76" s="508" t="s">
        <f>VLOOKUP(B76,'UV台帐'!B:AL,31,0)</f>
        <v>58</v>
      </c>
      <c r="O76" s="508" t="s">
        <f>VLOOKUP(B76,'UV台帐'!B:AL,33,0)</f>
        <v>233</v>
      </c>
      <c r="P76" s="508" t="s">
        <f>VLOOKUP(B76,'UV台帐'!B:AL,35,0)</f>
        <v>65</v>
      </c>
      <c r="Q76" s="508" t="s">
        <f>VLOOKUP(B76,'UV台帐'!B:AL,36,0)</f>
        <v>165</v>
      </c>
      <c r="R76" s="104" t="s">
        <v>217</v>
      </c>
      <c r="S76" s="104" t="s">
        <v>27</v>
      </c>
      <c r="T76" s="104" t="s">
        <v>217</v>
      </c>
      <c r="U76" s="104" t="s">
        <v>217</v>
      </c>
      <c r="V76" s="332" t="s">
        <v>742</v>
      </c>
      <c r="W76" s="466" t="s">
        <v>743</v>
      </c>
      <c r="X76" s="332" t="s">
        <v>744</v>
      </c>
      <c r="Y76" s="332" t="s">
        <v>737</v>
      </c>
      <c r="Z76" s="171" t="s">
        <v>745</v>
      </c>
      <c r="AA76" s="332" t="s">
        <v>223</v>
      </c>
      <c r="AB76" s="332" t="s">
        <v>746</v>
      </c>
      <c r="AC76" s="332" t="s">
        <v>289</v>
      </c>
      <c r="AD76" s="332" t="s">
        <v>635</v>
      </c>
      <c r="AE76" s="332" t="s">
        <v>240</v>
      </c>
      <c r="AF76" s="332" t="s">
        <v>306</v>
      </c>
      <c r="AG76" s="332" t="s">
        <v>228</v>
      </c>
      <c r="AH76" s="332" t="s">
        <v>229</v>
      </c>
      <c r="AI76" s="332" t="s">
        <v>230</v>
      </c>
      <c r="AJ76" s="332" t="s">
        <v>255</v>
      </c>
      <c r="AK76" s="104" t="s">
        <v>58</v>
      </c>
      <c r="AL76" s="104" t="s">
        <v>217</v>
      </c>
      <c r="AM76" s="104"/>
      <c r="AN76" s="5"/>
      <c r="AO76" s="5"/>
      <c r="AP76" s="5"/>
      <c r="AQ76" s="5"/>
      <c r="AR76" s="5"/>
      <c r="AS76" s="5"/>
      <c r="AT76" s="5"/>
      <c r="AW76" s="5"/>
      <c r="BA76" s="5"/>
      <c r="BF76" s="104" t="s">
        <v>48</v>
      </c>
      <c r="BG76" s="104" t="n">
        <f>VLOOKUP(B76,'UV台帐'!B:G,6,0)</f>
        <v>0</v>
      </c>
      <c r="BH76" s="104"/>
      <c r="BR76" s="104" t="n">
        <f>COUNTIFS(H76,"一期",I76,"在读")+COUNTIFS(L76,"一期",M76,"在读")+COUNTIFS(P76,"一期",Q76,"在读")</f>
        <v>3</v>
      </c>
      <c r="BS76" s="104" t="n">
        <f>BR76-BW76</f>
        <v>3</v>
      </c>
      <c r="BT76" s="209" t="s">
        <f>VLOOKUP(B76,'UV台帐'!B:AL,19,0)</f>
        <v>116</v>
      </c>
      <c r="BU76" s="209" t="s">
        <f>VLOOKUP(B76,'UV台帐'!B:AL,28,0)</f>
        <v>116</v>
      </c>
      <c r="BV76" s="209" t="s">
        <f>VLOOKUP(B76,'UV台帐'!B:AL,37,0)</f>
        <v>116</v>
      </c>
      <c r="BW76" s="104" t="n">
        <f>COUNTIFS(H76,"一期",BT76,"是")+COUNTIFS(L76,"一期",BU76,"是")+COUNTIFS(P76,"一期",BV76,"是")</f>
        <v>0</v>
      </c>
      <c r="CA76" s="318"/>
    </row>
    <row r="77" ht="26.25" customHeight="1">
      <c r="A77" s="104" t="s">
        <v>54</v>
      </c>
      <c r="B77" s="104" t="n">
        <v>4825766381</v>
      </c>
      <c r="C77" s="508" t="s">
        <f>VLOOKUP(B77,'UV台帐'!B:AL,2,0)</f>
        <v>747</v>
      </c>
      <c r="D77" s="508" t="s">
        <f>VLOOKUP(B77,'UV台帐'!B:AL,3,0)</f>
        <v>57</v>
      </c>
      <c r="E77" s="508" t="s">
        <f>VLOOKUP(B77,'UV台帐'!B:AL,13,0)</f>
        <v>35</v>
      </c>
      <c r="F77" s="508" t="s">
        <f>VLOOKUP(B77,'UV台帐'!B:AL,15,0)</f>
        <v>216</v>
      </c>
      <c r="G77" s="508" t="s">
        <f>VLOOKUP(B77,'UV台帐'!B:AL,16,0)</f>
        <v>283</v>
      </c>
      <c r="H77" s="508" t="s">
        <f>VLOOKUP(B77,'UV台帐'!B:AL,17,0)</f>
        <v>65</v>
      </c>
      <c r="I77" s="508" t="s">
        <f>VLOOKUP(B77,'UV台帐'!B:AL,18,0)</f>
        <v>165</v>
      </c>
      <c r="J77" s="288" t="s">
        <f>VLOOKUP(B77,'UV台帐'!B:AL,22,0)</f>
        <v>116</v>
      </c>
      <c r="K77" s="288" t="s">
        <f>VLOOKUP(B77,'UV台帐'!B:AL,24,0)</f>
        <v>116</v>
      </c>
      <c r="L77" s="288" t="s">
        <f>VLOOKUP(B77,'UV台帐'!B:AL,26,0)</f>
        <v>116</v>
      </c>
      <c r="M77" s="288" t="s">
        <f>VLOOKUP(B77,'UV台帐'!B:AL,27,0)</f>
        <v>116</v>
      </c>
      <c r="N77" s="288" t="s">
        <f>VLOOKUP(B77,'UV台帐'!B:AL,31,0)</f>
        <v>116</v>
      </c>
      <c r="O77" s="288" t="s">
        <f>VLOOKUP(B77,'UV台帐'!B:AL,33,0)</f>
        <v>116</v>
      </c>
      <c r="P77" s="288" t="s">
        <f>VLOOKUP(B77,'UV台帐'!B:AL,35,0)</f>
        <v>116</v>
      </c>
      <c r="Q77" s="288" t="s">
        <f>VLOOKUP(B77,'UV台帐'!B:AL,36,0)</f>
        <v>116</v>
      </c>
      <c r="R77" s="104" t="s">
        <v>217</v>
      </c>
      <c r="S77" s="104" t="s">
        <v>27</v>
      </c>
      <c r="T77" s="104" t="s">
        <v>217</v>
      </c>
      <c r="U77" s="104" t="s">
        <v>217</v>
      </c>
      <c r="V77" s="332" t="s">
        <v>748</v>
      </c>
      <c r="W77" s="332" t="s">
        <v>749</v>
      </c>
      <c r="X77" s="332" t="s">
        <v>750</v>
      </c>
      <c r="Y77" s="332" t="s">
        <v>751</v>
      </c>
      <c r="Z77" s="171" t="s">
        <v>752</v>
      </c>
      <c r="AA77" s="332" t="s">
        <v>223</v>
      </c>
      <c r="AB77" s="466" t="s">
        <v>753</v>
      </c>
      <c r="AC77" s="332" t="s">
        <v>167</v>
      </c>
      <c r="AD77" s="332" t="s">
        <v>252</v>
      </c>
      <c r="AE77" s="332" t="s">
        <v>240</v>
      </c>
      <c r="AF77" s="332" t="s">
        <v>241</v>
      </c>
      <c r="AG77" s="332" t="s">
        <v>228</v>
      </c>
      <c r="AH77" s="332" t="s">
        <v>315</v>
      </c>
      <c r="AI77" s="332" t="s">
        <v>254</v>
      </c>
      <c r="AJ77" s="332" t="s">
        <v>255</v>
      </c>
      <c r="AK77" s="104" t="s">
        <v>35</v>
      </c>
      <c r="AL77" s="104" t="s">
        <v>217</v>
      </c>
      <c r="AM77" s="104"/>
      <c r="AN77" s="5"/>
      <c r="AO77" s="5"/>
      <c r="AP77" s="5"/>
      <c r="AQ77" s="5"/>
      <c r="AR77" s="5"/>
      <c r="AS77" s="5"/>
      <c r="AT77" s="5"/>
      <c r="AU77" s="104"/>
      <c r="AV77" s="104"/>
      <c r="AW77" s="5"/>
      <c r="AX77" s="104"/>
      <c r="AY77" s="104"/>
      <c r="AZ77" s="104"/>
      <c r="BA77" s="5"/>
      <c r="BB77" s="104"/>
      <c r="BC77" s="104"/>
      <c r="BD77" s="508"/>
      <c r="BE77" s="508"/>
      <c r="BF77" s="104" t="s">
        <v>57</v>
      </c>
      <c r="BG77" s="104" t="n">
        <f>VLOOKUP(B77,'UV台帐'!B:G,6,0)</f>
        <v>0</v>
      </c>
      <c r="BH77" s="104" t="s">
        <v>754</v>
      </c>
      <c r="BR77" s="104" t="n">
        <f>COUNTIFS(H77,"一期",I77,"在读")+COUNTIFS(L77,"一期",M77,"在读")+COUNTIFS(P77,"一期",Q77,"在读")</f>
        <v>1</v>
      </c>
      <c r="BS77" s="104" t="n">
        <f>BR77-BW77</f>
        <v>1</v>
      </c>
      <c r="BT77" s="209" t="s">
        <f>VLOOKUP(B77,'UV台帐'!B:AL,19,0)</f>
        <v>116</v>
      </c>
      <c r="BU77" s="209" t="s">
        <f>VLOOKUP(B77,'UV台帐'!B:AL,28,0)</f>
        <v>116</v>
      </c>
      <c r="BV77" s="209" t="s">
        <f>VLOOKUP(B77,'UV台帐'!B:AL,37,0)</f>
        <v>116</v>
      </c>
      <c r="BW77" s="104" t="n">
        <f>COUNTIFS(H77,"一期",BT77,"是")+COUNTIFS(L77,"一期",BU77,"是")+COUNTIFS(P77,"一期",BV77,"是")</f>
        <v>0</v>
      </c>
      <c r="CA77" s="318"/>
    </row>
    <row r="78" ht="26.25" customHeight="1">
      <c r="A78" s="104" t="s">
        <v>54</v>
      </c>
      <c r="B78" s="104" t="n">
        <v>2112208710</v>
      </c>
      <c r="C78" s="508" t="s">
        <f>VLOOKUP(B78,'UV台帐'!B:AL,2,0)</f>
        <v>755</v>
      </c>
      <c r="D78" s="508" t="s">
        <f>VLOOKUP(B78,'UV台帐'!B:AL,3,0)</f>
        <v>59</v>
      </c>
      <c r="E78" s="508" t="s">
        <f>VLOOKUP(B78,'UV台帐'!B:AL,13,0)</f>
        <v>35</v>
      </c>
      <c r="F78" s="508" t="s">
        <f>VLOOKUP(B78,'UV台帐'!B:AL,15,0)</f>
        <v>216</v>
      </c>
      <c r="G78" s="508" t="s">
        <f>VLOOKUP(B78,'UV台帐'!B:AL,16,0)</f>
        <v>283</v>
      </c>
      <c r="H78" s="508" t="s">
        <f>VLOOKUP(B78,'UV台帐'!B:AL,17,0)</f>
        <v>65</v>
      </c>
      <c r="I78" s="508" t="s">
        <f>VLOOKUP(B78,'UV台帐'!B:AL,18,0)</f>
        <v>165</v>
      </c>
      <c r="J78" s="508" t="s">
        <f>VLOOKUP(B78,'UV台帐'!B:AL,22,0)</f>
        <v>49</v>
      </c>
      <c r="K78" s="508" t="s">
        <f>VLOOKUP(B78,'UV台帐'!B:AL,24,0)</f>
        <v>233</v>
      </c>
      <c r="L78" s="508" t="s">
        <f>VLOOKUP(B78,'UV台帐'!B:AL,26,0)</f>
        <v>65</v>
      </c>
      <c r="M78" s="508" t="s">
        <f>VLOOKUP(B78,'UV台帐'!B:AL,27,0)</f>
        <v>165</v>
      </c>
      <c r="N78" s="288" t="s">
        <f>VLOOKUP(B78,'UV台帐'!B:AL,31,0)</f>
        <v>58</v>
      </c>
      <c r="O78" s="288" t="s">
        <f>VLOOKUP(B78,'UV台帐'!B:AL,33,0)</f>
        <v>215</v>
      </c>
      <c r="P78" s="288" t="s">
        <f>VLOOKUP(B78,'UV台帐'!B:AL,35,0)</f>
        <v>100</v>
      </c>
      <c r="Q78" s="288" t="s">
        <f>VLOOKUP(B78,'UV台帐'!B:AL,36,0)</f>
        <v>165</v>
      </c>
      <c r="R78" s="104" t="s">
        <v>217</v>
      </c>
      <c r="S78" s="508" t="s">
        <v>25</v>
      </c>
      <c r="T78" s="508" t="s">
        <v>217</v>
      </c>
      <c r="U78" s="508" t="s">
        <v>218</v>
      </c>
      <c r="V78" s="466"/>
      <c r="W78" s="466" t="s">
        <v>756</v>
      </c>
      <c r="X78" s="466" t="s">
        <v>757</v>
      </c>
      <c r="Y78" s="466" t="s">
        <v>758</v>
      </c>
      <c r="Z78" s="171" t="s">
        <v>759</v>
      </c>
      <c r="AA78" s="466" t="s">
        <v>223</v>
      </c>
      <c r="AB78" s="466" t="s">
        <v>760</v>
      </c>
      <c r="AC78" s="466" t="s">
        <v>251</v>
      </c>
      <c r="AD78" s="466" t="s">
        <v>252</v>
      </c>
      <c r="AE78" s="466" t="s">
        <v>253</v>
      </c>
      <c r="AF78" s="466" t="s">
        <v>306</v>
      </c>
      <c r="AG78" s="466" t="s">
        <v>228</v>
      </c>
      <c r="AH78" s="466" t="s">
        <v>315</v>
      </c>
      <c r="AI78" s="466" t="s">
        <v>254</v>
      </c>
      <c r="AJ78" s="466" t="s">
        <v>316</v>
      </c>
      <c r="AK78" s="104" t="s">
        <v>35</v>
      </c>
      <c r="AL78" s="104"/>
      <c r="AM78" s="104"/>
      <c r="AN78" s="5"/>
      <c r="AO78" s="5"/>
      <c r="AP78" s="5"/>
      <c r="AQ78" s="5"/>
      <c r="AR78" s="5"/>
      <c r="AS78" s="5"/>
      <c r="AT78" s="5"/>
      <c r="AW78" s="5"/>
      <c r="BA78" s="5"/>
      <c r="BD78" s="508"/>
      <c r="BE78" s="508"/>
      <c r="BF78" s="104" t="s">
        <v>59</v>
      </c>
      <c r="BG78" s="104" t="n">
        <f>VLOOKUP(B78,'UV台帐'!B:G,6,0)</f>
        <v>0</v>
      </c>
      <c r="BH78" s="104"/>
      <c r="BI78" s="508" t="s">
        <v>761</v>
      </c>
      <c r="BR78" s="104" t="n">
        <f>COUNTIFS(H78,"一期",I78,"在读")+COUNTIFS(L78,"一期",M78,"在读")+COUNTIFS(P78,"一期",Q78,"在读")</f>
        <v>2</v>
      </c>
      <c r="BS78" s="104" t="n">
        <f>BR78-BW78</f>
        <v>1</v>
      </c>
      <c r="BT78" s="209" t="s">
        <f>VLOOKUP(B78,'UV台帐'!B:AL,19,0)</f>
        <v>217</v>
      </c>
      <c r="BU78" s="209" t="s">
        <f>VLOOKUP(B78,'UV台帐'!B:AL,28,0)</f>
        <v>116</v>
      </c>
      <c r="BV78" s="209" t="s">
        <f>VLOOKUP(B78,'UV台帐'!B:AL,37,0)</f>
        <v>116</v>
      </c>
      <c r="BW78" s="104" t="n">
        <f>COUNTIFS(H78,"一期",BT78,"是")+COUNTIFS(L78,"一期",BU78,"是")+COUNTIFS(P78,"一期",BV78,"是")</f>
        <v>1</v>
      </c>
      <c r="CA78" s="318"/>
    </row>
    <row r="79" ht="26.25" customHeight="1">
      <c r="A79" s="104" t="s">
        <v>85</v>
      </c>
      <c r="B79" s="104" t="n">
        <v>4218384525</v>
      </c>
      <c r="C79" s="508" t="s">
        <f>VLOOKUP(B79,'UV台帐'!B:AL,2,0)</f>
        <v>762</v>
      </c>
      <c r="D79" s="508" t="s">
        <f>VLOOKUP(B79,'UV台帐'!B:AL,3,0)</f>
        <v>36</v>
      </c>
      <c r="E79" s="508" t="s">
        <f>VLOOKUP(B79,'UV台帐'!B:AL,13,0)</f>
        <v>31</v>
      </c>
      <c r="F79" s="508" t="s">
        <f>VLOOKUP(B79,'UV台帐'!B:AL,15,0)</f>
        <v>216</v>
      </c>
      <c r="G79" s="508" t="s">
        <f>VLOOKUP(B79,'UV台帐'!B:AL,16,0)</f>
        <v>283</v>
      </c>
      <c r="H79" s="508" t="s">
        <f>VLOOKUP(B79,'UV台帐'!B:AL,17,0)</f>
        <v>101</v>
      </c>
      <c r="I79" s="508" t="s">
        <f>VLOOKUP(B79,'UV台帐'!B:AL,18,0)</f>
        <v>165</v>
      </c>
      <c r="J79" s="508" t="s">
        <f>VLOOKUP(B79,'UV台帐'!B:AL,22,0)</f>
        <v>47</v>
      </c>
      <c r="K79" s="508" t="s">
        <f>VLOOKUP(B79,'UV台帐'!B:AL,24,0)</f>
        <v>215</v>
      </c>
      <c r="L79" s="508" t="s">
        <f>VLOOKUP(B79,'UV台帐'!B:AL,26,0)</f>
        <v>101</v>
      </c>
      <c r="M79" s="508" t="s">
        <f>VLOOKUP(B79,'UV台帐'!B:AL,27,0)</f>
        <v>165</v>
      </c>
      <c r="N79" s="508" t="s">
        <f>VLOOKUP(B79,'UV台帐'!B:AL,31,0)</f>
        <v>52</v>
      </c>
      <c r="O79" s="508" t="s">
        <f>VLOOKUP(B79,'UV台帐'!B:AL,33,0)</f>
        <v>233</v>
      </c>
      <c r="P79" s="508" t="s">
        <f>VLOOKUP(B79,'UV台帐'!B:AL,35,0)</f>
        <v>101</v>
      </c>
      <c r="Q79" s="508" t="s">
        <f>VLOOKUP(B79,'UV台帐'!B:AL,36,0)</f>
        <v>165</v>
      </c>
      <c r="R79" s="104" t="s">
        <v>217</v>
      </c>
      <c r="S79" s="104" t="s">
        <v>28</v>
      </c>
      <c r="T79" s="104" t="s">
        <v>218</v>
      </c>
      <c r="U79" s="104" t="s">
        <v>217</v>
      </c>
      <c r="V79" s="332" t="s">
        <v>763</v>
      </c>
      <c r="W79" s="332" t="s">
        <v>764</v>
      </c>
      <c r="X79" s="332" t="s">
        <v>765</v>
      </c>
      <c r="Y79" s="332" t="s">
        <v>766</v>
      </c>
      <c r="Z79" s="171" t="s">
        <v>767</v>
      </c>
      <c r="AA79" s="332" t="s">
        <v>223</v>
      </c>
      <c r="AB79" s="632" t="s">
        <v>768</v>
      </c>
      <c r="AC79" s="332" t="s">
        <v>289</v>
      </c>
      <c r="AD79" s="332" t="s">
        <v>769</v>
      </c>
      <c r="AE79" s="332" t="s">
        <v>240</v>
      </c>
      <c r="AF79" s="332" t="s">
        <v>241</v>
      </c>
      <c r="AG79" s="332" t="s">
        <v>228</v>
      </c>
      <c r="AH79" s="332" t="s">
        <v>229</v>
      </c>
      <c r="AI79" s="332" t="s">
        <v>230</v>
      </c>
      <c r="AJ79" s="332" t="s">
        <v>242</v>
      </c>
      <c r="AK79" s="104" t="s">
        <v>52</v>
      </c>
      <c r="AL79" s="104" t="s">
        <v>217</v>
      </c>
      <c r="AM79" s="104"/>
      <c r="AN79" s="5"/>
      <c r="AO79" s="5"/>
      <c r="AP79" s="5"/>
      <c r="AQ79" s="5"/>
      <c r="AR79" s="5"/>
      <c r="AS79" s="5"/>
      <c r="AT79" s="5"/>
      <c r="AU79" s="104"/>
      <c r="AV79" s="104"/>
      <c r="AW79" s="5"/>
      <c r="AX79" s="104"/>
      <c r="AY79" s="104"/>
      <c r="AZ79" s="104"/>
      <c r="BA79" s="5"/>
      <c r="BB79" s="104"/>
      <c r="BC79" s="104"/>
      <c r="BF79" s="104" t="s">
        <v>36</v>
      </c>
      <c r="BG79" s="104" t="n">
        <f>VLOOKUP(B79,'UV台帐'!B:G,6,0)</f>
        <v>0</v>
      </c>
      <c r="BH79" s="104"/>
      <c r="BR79" s="104" t="n">
        <f>COUNTIFS(H79,"一期",I79,"在读")+COUNTIFS(L79,"一期",M79,"在读")+COUNTIFS(P79,"一期",Q79,"在读")</f>
        <v>0</v>
      </c>
      <c r="BS79" s="104" t="n">
        <f>BR79-BW79</f>
        <v>0</v>
      </c>
      <c r="BT79" s="209" t="s">
        <f>VLOOKUP(B79,'UV台帐'!B:AL,19,0)</f>
        <v>116</v>
      </c>
      <c r="BU79" s="209" t="s">
        <f>VLOOKUP(B79,'UV台帐'!B:AL,28,0)</f>
        <v>116</v>
      </c>
      <c r="BV79" s="209" t="s">
        <f>VLOOKUP(B79,'UV台帐'!B:AL,37,0)</f>
        <v>116</v>
      </c>
      <c r="BW79" s="104" t="n">
        <f>COUNTIFS(H79,"一期",BT79,"是")+COUNTIFS(L79,"一期",BU79,"是")+COUNTIFS(P79,"一期",BV79,"是")</f>
        <v>0</v>
      </c>
      <c r="CA79" s="318"/>
    </row>
    <row r="80" ht="26.25" customHeight="1">
      <c r="A80" s="104" t="s">
        <v>54</v>
      </c>
      <c r="B80" s="104" t="n">
        <v>2580537342</v>
      </c>
      <c r="C80" s="508" t="s">
        <f>VLOOKUP(B80,'UV台帐'!B:AL,2,0)</f>
        <v>770</v>
      </c>
      <c r="D80" s="508" t="s">
        <f>VLOOKUP(B80,'UV台帐'!B:AL,3,0)</f>
        <v>55</v>
      </c>
      <c r="E80" s="508" t="s">
        <f>VLOOKUP(B80,'UV台帐'!B:AL,13,0)</f>
        <v>35</v>
      </c>
      <c r="F80" s="508" t="s">
        <f>VLOOKUP(B80,'UV台帐'!B:AL,15,0)</f>
        <v>216</v>
      </c>
      <c r="G80" s="508" t="s">
        <f>VLOOKUP(B80,'UV台帐'!B:AL,16,0)</f>
        <v>283</v>
      </c>
      <c r="H80" s="508" t="s">
        <f>VLOOKUP(B80,'UV台帐'!B:AL,17,0)</f>
        <v>65</v>
      </c>
      <c r="I80" s="508" t="s">
        <f>VLOOKUP(B80,'UV台帐'!B:AL,18,0)</f>
        <v>165</v>
      </c>
      <c r="J80" s="508" t="s">
        <f>VLOOKUP(B80,'UV台帐'!B:AL,22,0)</f>
        <v>49</v>
      </c>
      <c r="K80" s="508" t="s">
        <f>VLOOKUP(B80,'UV台帐'!B:AL,24,0)</f>
        <v>233</v>
      </c>
      <c r="L80" s="508" t="s">
        <f>VLOOKUP(B80,'UV台帐'!B:AL,26,0)</f>
        <v>65</v>
      </c>
      <c r="M80" s="508" t="s">
        <f>VLOOKUP(B80,'UV台帐'!B:AL,27,0)</f>
        <v>165</v>
      </c>
      <c r="N80" s="508" t="s">
        <f>VLOOKUP(B80,'UV台帐'!B:AL,31,0)</f>
        <v>56</v>
      </c>
      <c r="O80" s="508" t="s">
        <f>VLOOKUP(B80,'UV台帐'!B:AL,33,0)</f>
        <v>215</v>
      </c>
      <c r="P80" s="508" t="s">
        <f>VLOOKUP(B80,'UV台帐'!B:AL,35,0)</f>
        <v>65</v>
      </c>
      <c r="Q80" s="508" t="s">
        <f>VLOOKUP(B80,'UV台帐'!B:AL,36,0)</f>
        <v>165</v>
      </c>
      <c r="R80" s="104" t="s">
        <v>217</v>
      </c>
      <c r="S80" s="104" t="s">
        <v>27</v>
      </c>
      <c r="T80" s="104" t="s">
        <v>217</v>
      </c>
      <c r="U80" s="104" t="s">
        <v>217</v>
      </c>
      <c r="V80" s="104" t="s">
        <v>771</v>
      </c>
      <c r="W80" s="332" t="s">
        <v>554</v>
      </c>
      <c r="X80" s="332" t="s">
        <v>505</v>
      </c>
      <c r="Y80" s="332" t="s">
        <v>221</v>
      </c>
      <c r="Z80" s="171" t="s">
        <v>772</v>
      </c>
      <c r="AA80" s="332" t="s">
        <v>223</v>
      </c>
      <c r="AB80" s="466" t="s">
        <v>773</v>
      </c>
      <c r="AC80" s="332" t="s">
        <v>264</v>
      </c>
      <c r="AD80" s="332" t="s">
        <v>463</v>
      </c>
      <c r="AE80" s="332" t="s">
        <v>253</v>
      </c>
      <c r="AF80" s="332" t="s">
        <v>306</v>
      </c>
      <c r="AG80" s="332" t="s">
        <v>228</v>
      </c>
      <c r="AH80" s="332" t="s">
        <v>229</v>
      </c>
      <c r="AI80" s="332" t="s">
        <v>254</v>
      </c>
      <c r="AJ80" s="332" t="s">
        <v>255</v>
      </c>
      <c r="AK80" s="104" t="s">
        <v>35</v>
      </c>
      <c r="AL80" s="104" t="s">
        <v>217</v>
      </c>
      <c r="AM80" s="104"/>
      <c r="AN80" s="5"/>
      <c r="AO80" s="5"/>
      <c r="AP80" s="5"/>
      <c r="AQ80" s="5"/>
      <c r="AR80" s="5"/>
      <c r="AS80" s="5"/>
      <c r="AT80" s="5"/>
      <c r="AU80" s="104"/>
      <c r="AV80" s="104"/>
      <c r="AW80" s="5"/>
      <c r="AX80" s="104"/>
      <c r="AY80" s="104"/>
      <c r="AZ80" s="104"/>
      <c r="BA80" s="5"/>
      <c r="BB80" s="104"/>
      <c r="BC80" s="104"/>
      <c r="BF80" s="104" t="s">
        <v>55</v>
      </c>
      <c r="BG80" s="104" t="n">
        <f>VLOOKUP(B80,'UV台帐'!B:G,6,0)</f>
        <v>0</v>
      </c>
      <c r="BH80" s="104"/>
      <c r="BR80" s="104" t="n">
        <f>COUNTIFS(H80,"一期",I80,"在读")+COUNTIFS(L80,"一期",M80,"在读")+COUNTIFS(P80,"一期",Q80,"在读")</f>
        <v>3</v>
      </c>
      <c r="BS80" s="104" t="n">
        <f>BR80-BW80</f>
        <v>2</v>
      </c>
      <c r="BT80" s="209" t="s">
        <f>VLOOKUP(B80,'UV台帐'!B:AL,19,0)</f>
        <v>116</v>
      </c>
      <c r="BU80" s="209" t="s">
        <f>VLOOKUP(B80,'UV台帐'!B:AL,28,0)</f>
        <v>116</v>
      </c>
      <c r="BV80" s="209" t="s">
        <f>VLOOKUP(B80,'UV台帐'!B:AL,37,0)</f>
        <v>217</v>
      </c>
      <c r="BW80" s="104" t="n">
        <f>COUNTIFS(H80,"一期",BT80,"是")+COUNTIFS(L80,"一期",BU80,"是")+COUNTIFS(P80,"一期",BV80,"是")</f>
        <v>1</v>
      </c>
      <c r="CA80" s="318"/>
    </row>
    <row r="81" ht="26.25" customHeight="1">
      <c r="A81" s="104" t="s">
        <v>85</v>
      </c>
      <c r="B81" s="104" t="n">
        <v>4397457478</v>
      </c>
      <c r="C81" s="508" t="s">
        <f>VLOOKUP(B81,'UV台帐'!B:AL,2,0)</f>
        <v>774</v>
      </c>
      <c r="D81" s="508" t="s">
        <f>VLOOKUP(B81,'UV台帐'!B:AL,3,0)</f>
        <v>38</v>
      </c>
      <c r="E81" s="508" t="s">
        <f>VLOOKUP(B81,'UV台帐'!B:AL,13,0)</f>
        <v>31</v>
      </c>
      <c r="F81" s="508" t="s">
        <f>VLOOKUP(B81,'UV台帐'!B:AL,15,0)</f>
        <v>215</v>
      </c>
      <c r="G81" s="508" t="s">
        <f>VLOOKUP(B81,'UV台帐'!B:AL,16,0)</f>
        <v>283</v>
      </c>
      <c r="H81" s="508" t="s">
        <f>VLOOKUP(B81,'UV台帐'!B:AL,17,0)</f>
        <v>65</v>
      </c>
      <c r="I81" s="508" t="s">
        <f>VLOOKUP(B81,'UV台帐'!B:AL,18,0)</f>
        <v>165</v>
      </c>
      <c r="J81" s="288" t="s">
        <f>VLOOKUP(B81,'UV台帐'!B:AL,22,0)</f>
        <v>116</v>
      </c>
      <c r="K81" s="288" t="s">
        <f>VLOOKUP(B81,'UV台帐'!B:AL,24,0)</f>
        <v>116</v>
      </c>
      <c r="L81" s="288" t="s">
        <f>VLOOKUP(B81,'UV台帐'!B:AL,26,0)</f>
        <v>116</v>
      </c>
      <c r="M81" s="288" t="s">
        <f>VLOOKUP(B81,'UV台帐'!B:AL,27,0)</f>
        <v>116</v>
      </c>
      <c r="N81" s="508" t="s">
        <f>VLOOKUP(B81,'UV台帐'!B:AL,31,0)</f>
        <v>52</v>
      </c>
      <c r="O81" s="508" t="s">
        <f>VLOOKUP(B81,'UV台帐'!B:AL,33,0)</f>
        <v>216</v>
      </c>
      <c r="P81" s="508" t="s">
        <f>VLOOKUP(B81,'UV台帐'!B:AL,35,0)</f>
        <v>65</v>
      </c>
      <c r="Q81" s="508" t="s">
        <f>VLOOKUP(B81,'UV台帐'!B:AL,36,0)</f>
        <v>165</v>
      </c>
      <c r="R81" s="104" t="s">
        <v>217</v>
      </c>
      <c r="S81" s="104" t="s">
        <v>27</v>
      </c>
      <c r="U81" s="508" t="s">
        <v>217</v>
      </c>
      <c r="V81" s="466" t="s">
        <v>775</v>
      </c>
      <c r="W81" s="332" t="s">
        <v>776</v>
      </c>
      <c r="X81" s="332" t="s">
        <v>777</v>
      </c>
      <c r="Y81" s="332" t="s">
        <v>778</v>
      </c>
      <c r="Z81" s="171" t="s">
        <v>779</v>
      </c>
      <c r="AA81" s="332" t="s">
        <v>223</v>
      </c>
      <c r="AB81" s="633" t="s">
        <v>780</v>
      </c>
      <c r="AC81" s="332" t="s">
        <v>167</v>
      </c>
      <c r="AD81" s="332" t="s">
        <v>252</v>
      </c>
      <c r="AE81" s="332" t="s">
        <v>240</v>
      </c>
      <c r="AF81" s="332" t="s">
        <v>241</v>
      </c>
      <c r="AG81" s="332" t="s">
        <v>228</v>
      </c>
      <c r="AH81" s="332" t="s">
        <v>229</v>
      </c>
      <c r="AI81" s="332" t="s">
        <v>230</v>
      </c>
      <c r="AJ81" s="332" t="s">
        <v>242</v>
      </c>
      <c r="AK81" s="104" t="s">
        <v>31</v>
      </c>
      <c r="AL81" s="104" t="s">
        <v>217</v>
      </c>
      <c r="AM81" s="104"/>
      <c r="AN81" s="5"/>
      <c r="AO81" s="5"/>
      <c r="AP81" s="5"/>
      <c r="AQ81" s="5"/>
      <c r="AR81" s="5"/>
      <c r="AS81" s="5"/>
      <c r="AT81" s="5"/>
      <c r="AU81" s="104"/>
      <c r="AV81" s="104"/>
      <c r="AW81" s="5"/>
      <c r="AX81" s="104"/>
      <c r="AY81" s="104"/>
      <c r="AZ81" s="104"/>
      <c r="BA81" s="5"/>
      <c r="BB81" s="104"/>
      <c r="BC81" s="104"/>
      <c r="BF81" s="104" t="s">
        <v>38</v>
      </c>
      <c r="BG81" s="104" t="n">
        <f>VLOOKUP(B81,'UV台帐'!B:G,6,0)</f>
        <v>0</v>
      </c>
      <c r="BH81" s="104"/>
      <c r="BR81" s="104" t="n">
        <f>COUNTIFS(H81,"一期",I81,"在读")+COUNTIFS(L81,"一期",M81,"在读")+COUNTIFS(P81,"一期",Q81,"在读")</f>
        <v>2</v>
      </c>
      <c r="BS81" s="104" t="n">
        <f>BR81-BW81</f>
        <v>2</v>
      </c>
      <c r="BT81" s="209" t="s">
        <f>VLOOKUP(B81,'UV台帐'!B:AL,19,0)</f>
        <v>116</v>
      </c>
      <c r="BU81" s="209" t="s">
        <f>VLOOKUP(B81,'UV台帐'!B:AL,28,0)</f>
        <v>116</v>
      </c>
      <c r="BV81" s="209" t="s">
        <f>VLOOKUP(B81,'UV台帐'!B:AL,37,0)</f>
        <v>116</v>
      </c>
      <c r="BW81" s="104" t="n">
        <f>COUNTIFS(H81,"一期",BT81,"是")+COUNTIFS(L81,"一期",BU81,"是")+COUNTIFS(P81,"一期",BV81,"是")</f>
        <v>0</v>
      </c>
      <c r="CA81" s="318"/>
    </row>
    <row r="82" ht="26.25" customHeight="1">
      <c r="A82" s="104" t="s">
        <v>85</v>
      </c>
      <c r="B82" s="104" t="n">
        <v>4129826988</v>
      </c>
      <c r="C82" s="508" t="s">
        <f>VLOOKUP(B82,'UV台帐'!B:AL,2,0)</f>
        <v>781</v>
      </c>
      <c r="D82" s="508" t="s">
        <f>VLOOKUP(B82,'UV台帐'!B:AL,3,0)</f>
        <v>36</v>
      </c>
      <c r="E82" s="508" t="s">
        <f>VLOOKUP(B82,'UV台帐'!B:AL,13,0)</f>
        <v>31</v>
      </c>
      <c r="F82" s="508" t="s">
        <f>VLOOKUP(B82,'UV台帐'!B:AL,15,0)</f>
        <v>216</v>
      </c>
      <c r="G82" s="508" t="s">
        <f>VLOOKUP(B82,'UV台帐'!B:AL,16,0)</f>
        <v>283</v>
      </c>
      <c r="H82" s="508" t="s">
        <f>VLOOKUP(B82,'UV台帐'!B:AL,17,0)</f>
        <v>101</v>
      </c>
      <c r="I82" s="508" t="s">
        <f>VLOOKUP(B82,'UV台帐'!B:AL,18,0)</f>
        <v>165</v>
      </c>
      <c r="J82" s="508" t="s">
        <f>VLOOKUP(B82,'UV台帐'!B:AL,22,0)</f>
        <v>47</v>
      </c>
      <c r="K82" s="508" t="s">
        <f>VLOOKUP(B82,'UV台帐'!B:AL,24,0)</f>
        <v>215</v>
      </c>
      <c r="L82" s="508" t="s">
        <f>VLOOKUP(B82,'UV台帐'!B:AL,26,0)</f>
        <v>101</v>
      </c>
      <c r="M82" s="508" t="s">
        <f>VLOOKUP(B82,'UV台帐'!B:AL,27,0)</f>
        <v>165</v>
      </c>
      <c r="N82" s="508" t="s">
        <f>VLOOKUP(B82,'UV台帐'!B:AL,31,0)</f>
        <v>52</v>
      </c>
      <c r="O82" s="508" t="s">
        <f>VLOOKUP(B82,'UV台帐'!B:AL,33,0)</f>
        <v>233</v>
      </c>
      <c r="P82" s="508" t="s">
        <f>VLOOKUP(B82,'UV台帐'!B:AL,35,0)</f>
        <v>101</v>
      </c>
      <c r="Q82" s="508" t="s">
        <f>VLOOKUP(B82,'UV台帐'!B:AL,36,0)</f>
        <v>165</v>
      </c>
      <c r="R82" s="104" t="s">
        <v>217</v>
      </c>
      <c r="S82" s="104" t="s">
        <v>27</v>
      </c>
      <c r="T82" s="104" t="s">
        <v>218</v>
      </c>
      <c r="U82" s="104" t="s">
        <v>218</v>
      </c>
      <c r="V82" s="332"/>
      <c r="W82" s="332" t="s">
        <v>782</v>
      </c>
      <c r="X82" s="332" t="s">
        <v>765</v>
      </c>
      <c r="Y82" s="332" t="s">
        <v>783</v>
      </c>
      <c r="Z82" s="332" t="s">
        <v>783</v>
      </c>
      <c r="AA82" s="332" t="s">
        <v>561</v>
      </c>
      <c r="AB82" s="332" t="s">
        <v>784</v>
      </c>
      <c r="AC82" s="332" t="s">
        <v>456</v>
      </c>
      <c r="AD82" s="332"/>
      <c r="AE82" s="332" t="s">
        <v>240</v>
      </c>
      <c r="AF82" s="332" t="s">
        <v>241</v>
      </c>
      <c r="AG82" s="332" t="s">
        <v>228</v>
      </c>
      <c r="AH82" s="332" t="s">
        <v>229</v>
      </c>
      <c r="AI82" s="332" t="s">
        <v>254</v>
      </c>
      <c r="AJ82" s="332" t="s">
        <v>255</v>
      </c>
      <c r="AK82" s="104" t="s">
        <v>31</v>
      </c>
      <c r="AL82" s="104" t="s">
        <v>217</v>
      </c>
      <c r="AM82" s="104"/>
      <c r="AN82" s="5"/>
      <c r="AO82" s="5"/>
      <c r="AP82" s="5"/>
      <c r="AQ82" s="5"/>
      <c r="AR82" s="5"/>
      <c r="AS82" s="5"/>
      <c r="AT82" s="5"/>
      <c r="AU82" s="104"/>
      <c r="AV82" s="104"/>
      <c r="AW82" s="5"/>
      <c r="AX82" s="104"/>
      <c r="AY82" s="104"/>
      <c r="AZ82" s="104"/>
      <c r="BA82" s="5"/>
      <c r="BB82" s="104"/>
      <c r="BC82" s="104"/>
      <c r="BF82" s="104" t="s">
        <v>36</v>
      </c>
      <c r="BG82" s="104" t="n">
        <f>VLOOKUP(B82,'UV台帐'!B:G,6,0)</f>
        <v>0</v>
      </c>
      <c r="BH82" s="104"/>
      <c r="BR82" s="104" t="n">
        <f>COUNTIFS(H82,"一期",I82,"在读")+COUNTIFS(L82,"一期",M82,"在读")+COUNTIFS(P82,"一期",Q82,"在读")</f>
        <v>0</v>
      </c>
      <c r="BS82" s="104" t="n">
        <f>BR82-BW82</f>
        <v>0</v>
      </c>
      <c r="BT82" s="209" t="s">
        <f>VLOOKUP(B82,'UV台帐'!B:AL,19,0)</f>
        <v>116</v>
      </c>
      <c r="BU82" s="209" t="s">
        <f>VLOOKUP(B82,'UV台帐'!B:AL,28,0)</f>
        <v>116</v>
      </c>
      <c r="BV82" s="209" t="s">
        <f>VLOOKUP(B82,'UV台帐'!B:AL,37,0)</f>
        <v>116</v>
      </c>
      <c r="BW82" s="104" t="n">
        <f>COUNTIFS(H82,"一期",BT82,"是")+COUNTIFS(L82,"一期",BU82,"是")+COUNTIFS(P82,"一期",BV82,"是")</f>
        <v>0</v>
      </c>
      <c r="CA82" s="318"/>
    </row>
    <row r="83" ht="26.25" customHeight="1">
      <c r="A83" s="104" t="s">
        <v>54</v>
      </c>
      <c r="B83" s="104" t="n">
        <v>4635810658</v>
      </c>
      <c r="C83" s="508" t="s">
        <f>VLOOKUP(B83,'UV台帐'!B:AL,2,0)</f>
        <v>785</v>
      </c>
      <c r="D83" s="508" t="s">
        <f>VLOOKUP(B83,'UV台帐'!B:AL,3,0)</f>
        <v>36</v>
      </c>
      <c r="E83" s="508" t="s">
        <f>VLOOKUP(B83,'UV台帐'!B:AL,13,0)</f>
        <v>35</v>
      </c>
      <c r="F83" s="508" t="s">
        <f>VLOOKUP(B83,'UV台帐'!B:AL,15,0)</f>
        <v>216</v>
      </c>
      <c r="G83" s="508" t="s">
        <f>VLOOKUP(B83,'UV台帐'!B:AL,16,0)</f>
        <v>283</v>
      </c>
      <c r="H83" s="508" t="s">
        <f>VLOOKUP(B83,'UV台帐'!B:AL,17,0)</f>
        <v>65</v>
      </c>
      <c r="I83" s="508" t="s">
        <f>VLOOKUP(B83,'UV台帐'!B:AL,18,0)</f>
        <v>165</v>
      </c>
      <c r="J83" s="288" t="s">
        <f>VLOOKUP(B83,'UV台帐'!B:AL,22,0)</f>
        <v>43</v>
      </c>
      <c r="K83" s="288" t="s">
        <f>VLOOKUP(B83,'UV台帐'!B:AL,24,0)</f>
        <v>215</v>
      </c>
      <c r="L83" s="288" t="s">
        <f>VLOOKUP(B83,'UV台帐'!B:AL,26,0)</f>
        <v>88</v>
      </c>
      <c r="M83" s="288" t="s">
        <f>VLOOKUP(B83,'UV台帐'!B:AL,27,0)</f>
        <v>165</v>
      </c>
      <c r="N83" s="288" t="s">
        <f>VLOOKUP(B83,'UV台帐'!B:AL,31,0)</f>
        <v>56</v>
      </c>
      <c r="O83" s="288" t="s">
        <f>VLOOKUP(B83,'UV台帐'!B:AL,33,0)</f>
        <v>216</v>
      </c>
      <c r="P83" s="288" t="s">
        <f>VLOOKUP(B83,'UV台帐'!B:AL,35,0)</f>
        <v>88</v>
      </c>
      <c r="Q83" s="288" t="s">
        <f>VLOOKUP(B83,'UV台帐'!B:AL,36,0)</f>
        <v>165</v>
      </c>
      <c r="R83" s="104" t="s">
        <v>217</v>
      </c>
      <c r="S83" s="508" t="s">
        <v>25</v>
      </c>
      <c r="T83" s="508" t="s">
        <v>217</v>
      </c>
      <c r="U83" s="508" t="s">
        <v>218</v>
      </c>
      <c r="V83" s="466" t="s">
        <v>786</v>
      </c>
      <c r="W83" s="466" t="s">
        <v>787</v>
      </c>
      <c r="X83" s="466" t="s">
        <v>788</v>
      </c>
      <c r="Z83" s="171" t="s">
        <v>789</v>
      </c>
      <c r="AA83" s="466" t="s">
        <v>223</v>
      </c>
      <c r="AB83" s="466" t="s">
        <v>790</v>
      </c>
      <c r="AC83" s="466" t="s">
        <v>167</v>
      </c>
      <c r="AD83" s="466" t="s">
        <v>791</v>
      </c>
      <c r="AE83" s="466" t="s">
        <v>253</v>
      </c>
      <c r="AF83" s="466" t="s">
        <v>306</v>
      </c>
      <c r="AG83" s="466" t="s">
        <v>266</v>
      </c>
      <c r="AH83" s="466" t="s">
        <v>315</v>
      </c>
      <c r="AI83" s="466" t="s">
        <v>254</v>
      </c>
      <c r="AJ83" s="466" t="s">
        <v>316</v>
      </c>
      <c r="AK83" s="104" t="s">
        <v>35</v>
      </c>
      <c r="AL83" s="104" t="s">
        <v>217</v>
      </c>
      <c r="AM83" s="104"/>
      <c r="AN83" s="5"/>
      <c r="AO83" s="5"/>
      <c r="AP83" s="5"/>
      <c r="AQ83" s="5"/>
      <c r="AR83" s="5"/>
      <c r="AS83" s="5"/>
      <c r="AT83" s="5"/>
      <c r="AU83" s="104"/>
      <c r="AV83" s="104"/>
      <c r="AW83" s="5"/>
      <c r="AX83" s="104"/>
      <c r="AY83" s="104"/>
      <c r="AZ83" s="104"/>
      <c r="BA83" s="5"/>
      <c r="BB83" s="104"/>
      <c r="BC83" s="104"/>
      <c r="BF83" s="104" t="s">
        <v>36</v>
      </c>
      <c r="BG83" s="104" t="n">
        <f>VLOOKUP(B83,'UV台帐'!B:G,6,0)</f>
        <v>0</v>
      </c>
      <c r="BH83" s="104"/>
      <c r="BR83" s="104" t="n">
        <f>COUNTIFS(H83,"一期",I83,"在读")+COUNTIFS(L83,"一期",M83,"在读")+COUNTIFS(P83,"一期",Q83,"在读")</f>
        <v>1</v>
      </c>
      <c r="BS83" s="104" t="n">
        <f>BR83-BW83</f>
        <v>0</v>
      </c>
      <c r="BT83" s="209" t="s">
        <f>VLOOKUP(B83,'UV台帐'!B:AL,19,0)</f>
        <v>217</v>
      </c>
      <c r="BU83" s="209" t="s">
        <f>VLOOKUP(B83,'UV台帐'!B:AL,28,0)</f>
        <v>217</v>
      </c>
      <c r="BV83" s="209" t="s">
        <f>VLOOKUP(B83,'UV台帐'!B:AL,37,0)</f>
        <v>217</v>
      </c>
      <c r="BW83" s="104" t="n">
        <f>COUNTIFS(H83,"一期",BT83,"是")+COUNTIFS(L83,"一期",BU83,"是")+COUNTIFS(P83,"一期",BV83,"是")</f>
        <v>1</v>
      </c>
      <c r="CA83" s="318"/>
    </row>
    <row r="84" ht="26.25" customHeight="1">
      <c r="A84" s="104" t="s">
        <v>54</v>
      </c>
      <c r="B84" s="104" t="n">
        <v>4240904687</v>
      </c>
      <c r="C84" s="508" t="s">
        <f>VLOOKUP(B84,'UV台帐'!B:AL,2,0)</f>
        <v>792</v>
      </c>
      <c r="D84" s="508" t="s">
        <f>VLOOKUP(B84,'UV台帐'!B:AL,3,0)</f>
        <v>38</v>
      </c>
      <c r="E84" s="508" t="s">
        <f>VLOOKUP(B84,'UV台帐'!B:AL,13,0)</f>
        <v>35</v>
      </c>
      <c r="F84" s="508" t="s">
        <f>VLOOKUP(B84,'UV台帐'!B:AL,15,0)</f>
        <v>245</v>
      </c>
      <c r="G84" s="508" t="s">
        <f>VLOOKUP(B84,'UV台帐'!B:AL,16,0)</f>
        <v>234</v>
      </c>
      <c r="H84" s="508" t="s">
        <f>VLOOKUP(B84,'UV台帐'!B:AL,17,0)</f>
        <v>65</v>
      </c>
      <c r="I84" s="508" t="s">
        <f>VLOOKUP(B84,'UV台帐'!B:AL,18,0)</f>
        <v>165</v>
      </c>
      <c r="J84" s="508" t="s">
        <f>VLOOKUP(B84,'UV台帐'!B:AL,22,0)</f>
        <v>47</v>
      </c>
      <c r="K84" s="508" t="s">
        <f>VLOOKUP(B84,'UV台帐'!B:AL,24,0)</f>
        <v>216</v>
      </c>
      <c r="L84" s="508" t="s">
        <f>VLOOKUP(B84,'UV台帐'!B:AL,26,0)</f>
        <v>65</v>
      </c>
      <c r="M84" s="508" t="s">
        <f>VLOOKUP(B84,'UV台帐'!B:AL,27,0)</f>
        <v>165</v>
      </c>
      <c r="N84" s="508" t="s">
        <f>VLOOKUP(B84,'UV台帐'!B:AL,31,0)</f>
        <v>56</v>
      </c>
      <c r="O84" s="508" t="s">
        <f>VLOOKUP(B84,'UV台帐'!B:AL,33,0)</f>
        <v>246</v>
      </c>
      <c r="P84" s="508" t="s">
        <f>VLOOKUP(B84,'UV台帐'!B:AL,35,0)</f>
        <v>65</v>
      </c>
      <c r="Q84" s="508" t="s">
        <f>VLOOKUP(B84,'UV台帐'!B:AL,36,0)</f>
        <v>165</v>
      </c>
      <c r="R84" s="104" t="s">
        <v>217</v>
      </c>
      <c r="S84" s="104" t="s">
        <v>28</v>
      </c>
      <c r="T84" s="104"/>
      <c r="U84" s="104" t="s">
        <v>217</v>
      </c>
      <c r="V84" s="332" t="s">
        <v>267</v>
      </c>
      <c r="W84" s="332" t="n">
        <v>270</v>
      </c>
      <c r="X84" s="332" t="s">
        <v>793</v>
      </c>
      <c r="Y84" s="332" t="s">
        <v>794</v>
      </c>
      <c r="Z84" s="171" t="s">
        <v>795</v>
      </c>
      <c r="AA84" s="332" t="s">
        <v>223</v>
      </c>
      <c r="AB84" s="634" t="s">
        <v>796</v>
      </c>
      <c r="AC84" s="332" t="s">
        <v>289</v>
      </c>
      <c r="AD84" s="332" t="s">
        <v>424</v>
      </c>
      <c r="AE84" s="332" t="s">
        <v>240</v>
      </c>
      <c r="AF84" s="332" t="s">
        <v>241</v>
      </c>
      <c r="AG84" s="332" t="s">
        <v>266</v>
      </c>
      <c r="AH84" s="332" t="s">
        <v>229</v>
      </c>
      <c r="AI84" s="332" t="s">
        <v>230</v>
      </c>
      <c r="AJ84" s="332" t="s">
        <v>255</v>
      </c>
      <c r="AK84" s="104" t="s">
        <v>35</v>
      </c>
      <c r="AL84" s="104" t="s">
        <v>217</v>
      </c>
      <c r="AM84" s="104"/>
      <c r="AN84" s="5"/>
      <c r="AO84" s="5"/>
      <c r="AP84" s="5"/>
      <c r="AQ84" s="5"/>
      <c r="AR84" s="5"/>
      <c r="AS84" s="5"/>
      <c r="AT84" s="5"/>
      <c r="AU84" s="104"/>
      <c r="AV84" s="104"/>
      <c r="AW84" s="5"/>
      <c r="AX84" s="104"/>
      <c r="AY84" s="104"/>
      <c r="AZ84" s="104"/>
      <c r="BA84" s="5"/>
      <c r="BB84" s="104"/>
      <c r="BC84" s="104"/>
      <c r="BF84" s="104" t="s">
        <v>38</v>
      </c>
      <c r="BG84" s="104" t="n">
        <f>VLOOKUP(B84,'UV台帐'!B:G,6,0)</f>
        <v>0</v>
      </c>
      <c r="BH84" s="104"/>
      <c r="BR84" s="104" t="n">
        <f>COUNTIFS(H84,"一期",I84,"在读")+COUNTIFS(L84,"一期",M84,"在读")+COUNTIFS(P84,"一期",Q84,"在读")</f>
        <v>3</v>
      </c>
      <c r="BS84" s="104" t="n">
        <f>BR84-BW84</f>
        <v>3</v>
      </c>
      <c r="BT84" s="209" t="s">
        <f>VLOOKUP(B84,'UV台帐'!B:AL,19,0)</f>
        <v>116</v>
      </c>
      <c r="BU84" s="209" t="s">
        <f>VLOOKUP(B84,'UV台帐'!B:AL,28,0)</f>
        <v>116</v>
      </c>
      <c r="BV84" s="209" t="s">
        <f>VLOOKUP(B84,'UV台帐'!B:AL,37,0)</f>
        <v>116</v>
      </c>
      <c r="BW84" s="104" t="n">
        <f>COUNTIFS(H84,"一期",BT84,"是")+COUNTIFS(L84,"一期",BU84,"是")+COUNTIFS(P84,"一期",BV84,"是")</f>
        <v>0</v>
      </c>
      <c r="CA84" s="318"/>
    </row>
    <row r="85" ht="26.25" customHeight="1">
      <c r="A85" s="104" t="s">
        <v>54</v>
      </c>
      <c r="B85" s="104" t="n">
        <v>4817190059</v>
      </c>
      <c r="C85" s="469" t="s">
        <f>VLOOKUP(B85,'UV台帐'!B:AL,2,0)</f>
        <v>797</v>
      </c>
      <c r="D85" s="508" t="s">
        <f>VLOOKUP(B85,'UV台帐'!B:AL,3,0)</f>
        <v>34</v>
      </c>
      <c r="E85" s="508" t="s">
        <f>VLOOKUP(B85,'UV台帐'!B:AL,13,0)</f>
        <v>35</v>
      </c>
      <c r="F85" s="508" t="s">
        <f>VLOOKUP(B85,'UV台帐'!B:AL,15,0)</f>
        <v>233</v>
      </c>
      <c r="G85" s="508" t="s">
        <f>VLOOKUP(B85,'UV台帐'!B:AL,16,0)</f>
        <v>234</v>
      </c>
      <c r="H85" s="508" t="s">
        <f>VLOOKUP(B85,'UV台帐'!B:AL,17,0)</f>
        <v>101</v>
      </c>
      <c r="I85" s="508" t="s">
        <f>VLOOKUP(B85,'UV台帐'!B:AL,18,0)</f>
        <v>165</v>
      </c>
      <c r="J85" s="508" t="s">
        <f>VLOOKUP(B85,'UV台帐'!B:AL,22,0)</f>
        <v>49</v>
      </c>
      <c r="K85" s="508" t="s">
        <f>VLOOKUP(B85,'UV台帐'!B:AL,24,0)</f>
        <v>215</v>
      </c>
      <c r="L85" s="508" t="s">
        <f>VLOOKUP(B85,'UV台帐'!B:AL,26,0)</f>
        <v>101</v>
      </c>
      <c r="M85" s="508" t="s">
        <f>VLOOKUP(B85,'UV台帐'!B:AL,27,0)</f>
        <v>165</v>
      </c>
      <c r="N85" s="508" t="s">
        <f>VLOOKUP(B85,'UV台帐'!B:AL,31,0)</f>
        <v>56</v>
      </c>
      <c r="O85" s="508" t="s">
        <f>VLOOKUP(B85,'UV台帐'!B:AL,33,0)</f>
        <v>216</v>
      </c>
      <c r="P85" s="508" t="s">
        <f>VLOOKUP(B85,'UV台帐'!B:AL,35,0)</f>
        <v>101</v>
      </c>
      <c r="Q85" s="508" t="s">
        <f>VLOOKUP(B85,'UV台帐'!B:AL,36,0)</f>
        <v>165</v>
      </c>
      <c r="R85" s="104" t="s">
        <v>217</v>
      </c>
      <c r="S85" s="104" t="s">
        <v>28</v>
      </c>
      <c r="T85" s="104" t="s">
        <v>217</v>
      </c>
      <c r="U85" s="104" t="s">
        <v>217</v>
      </c>
      <c r="V85" s="332" t="s">
        <v>798</v>
      </c>
      <c r="W85" s="332" t="n">
        <v>250</v>
      </c>
      <c r="X85" s="466" t="s">
        <v>799</v>
      </c>
      <c r="Y85" s="332" t="s">
        <v>800</v>
      </c>
      <c r="Z85" s="171" t="s">
        <v>801</v>
      </c>
      <c r="AA85" s="332" t="s">
        <v>223</v>
      </c>
      <c r="AB85" s="635" t="s">
        <v>802</v>
      </c>
      <c r="AC85" s="332" t="s">
        <v>167</v>
      </c>
      <c r="AD85" s="332" t="s">
        <v>280</v>
      </c>
      <c r="AE85" s="332" t="s">
        <v>240</v>
      </c>
      <c r="AF85" s="332" t="s">
        <v>241</v>
      </c>
      <c r="AG85" s="332" t="s">
        <v>228</v>
      </c>
      <c r="AH85" s="332" t="s">
        <v>229</v>
      </c>
      <c r="AI85" s="332" t="s">
        <v>472</v>
      </c>
      <c r="AJ85" s="332" t="s">
        <v>231</v>
      </c>
      <c r="AK85" s="104" t="s">
        <v>35</v>
      </c>
      <c r="AL85" s="104" t="s">
        <v>217</v>
      </c>
      <c r="AM85" s="104"/>
      <c r="AN85" s="5"/>
      <c r="AO85" s="5"/>
      <c r="AP85" s="5"/>
      <c r="AQ85" s="5"/>
      <c r="AR85" s="5"/>
      <c r="AS85" s="5"/>
      <c r="AT85" s="5"/>
      <c r="AU85" s="104"/>
      <c r="AV85" s="104"/>
      <c r="AW85" s="5"/>
      <c r="AX85" s="104"/>
      <c r="AY85" s="104"/>
      <c r="AZ85" s="104"/>
      <c r="BA85" s="5"/>
      <c r="BB85" s="104"/>
      <c r="BC85" s="104"/>
      <c r="BF85" s="104" t="s">
        <v>34</v>
      </c>
      <c r="BG85" s="104" t="n">
        <f>VLOOKUP(B85,'UV台帐'!B:G,6,0)</f>
        <v>0</v>
      </c>
      <c r="BH85" s="104" t="s">
        <v>395</v>
      </c>
      <c r="BR85" s="104" t="n">
        <f>COUNTIFS(H85,"一期",I85,"在读")+COUNTIFS(L85,"一期",M85,"在读")+COUNTIFS(P85,"一期",Q85,"在读")</f>
        <v>0</v>
      </c>
      <c r="BS85" s="104" t="n">
        <f>BR85-BW85</f>
        <v>0</v>
      </c>
      <c r="BT85" s="209" t="s">
        <f>VLOOKUP(B85,'UV台帐'!B:AL,19,0)</f>
        <v>116</v>
      </c>
      <c r="BU85" s="209" t="s">
        <f>VLOOKUP(B85,'UV台帐'!B:AL,28,0)</f>
        <v>116</v>
      </c>
      <c r="BV85" s="209" t="s">
        <f>VLOOKUP(B85,'UV台帐'!B:AL,37,0)</f>
        <v>116</v>
      </c>
      <c r="BW85" s="104" t="n">
        <f>COUNTIFS(H85,"一期",BT85,"是")+COUNTIFS(L85,"一期",BU85,"是")+COUNTIFS(P85,"一期",BV85,"是")</f>
        <v>0</v>
      </c>
      <c r="CA85" s="318"/>
    </row>
    <row r="86" ht="26.25" customHeight="1">
      <c r="A86" s="104" t="s">
        <v>54</v>
      </c>
      <c r="B86" s="104" t="n">
        <v>2529696621</v>
      </c>
      <c r="C86" s="508" t="s">
        <f>VLOOKUP(B86,'UV台帐'!B:AL,2,0)</f>
        <v>803</v>
      </c>
      <c r="D86" s="508" t="s">
        <f>VLOOKUP(B86,'UV台帐'!B:AL,3,0)</f>
        <v>36</v>
      </c>
      <c r="E86" s="288" t="s">
        <f>VLOOKUP(B86,'UV台帐'!B:AL,13,0)</f>
        <v>116</v>
      </c>
      <c r="F86" s="288" t="s">
        <f>VLOOKUP(B86,'UV台帐'!B:AL,15,0)</f>
        <v>116</v>
      </c>
      <c r="G86" s="288" t="s">
        <f>VLOOKUP(B86,'UV台帐'!B:AL,16,0)</f>
        <v>116</v>
      </c>
      <c r="H86" s="288" t="s">
        <f>VLOOKUP(B86,'UV台帐'!B:AL,17,0)</f>
        <v>116</v>
      </c>
      <c r="I86" s="288" t="s">
        <f>VLOOKUP(B86,'UV台帐'!B:AL,18,0)</f>
        <v>116</v>
      </c>
      <c r="J86" s="508" t="s">
        <f>VLOOKUP(B86,'UV台帐'!B:AL,22,0)</f>
        <v>47</v>
      </c>
      <c r="K86" s="508" t="s">
        <f>VLOOKUP(B86,'UV台帐'!B:AL,24,0)</f>
        <v>216</v>
      </c>
      <c r="L86" s="508" t="s">
        <f>VLOOKUP(B86,'UV台帐'!B:AL,26,0)</f>
        <v>101</v>
      </c>
      <c r="M86" s="508" t="s">
        <f>VLOOKUP(B86,'UV台帐'!B:AL,27,0)</f>
        <v>165</v>
      </c>
      <c r="N86" s="508" t="s">
        <f>VLOOKUP(B86,'UV台帐'!B:AL,31,0)</f>
        <v>56</v>
      </c>
      <c r="O86" s="508" t="s">
        <f>VLOOKUP(B86,'UV台帐'!B:AL,33,0)</f>
        <v>233</v>
      </c>
      <c r="P86" s="508" t="s">
        <f>VLOOKUP(B86,'UV台帐'!B:AL,35,0)</f>
        <v>101</v>
      </c>
      <c r="Q86" s="508" t="s">
        <f>VLOOKUP(B86,'UV台帐'!B:AL,36,0)</f>
        <v>165</v>
      </c>
      <c r="R86" s="104" t="s">
        <v>217</v>
      </c>
      <c r="S86" s="104" t="s">
        <v>28</v>
      </c>
      <c r="T86" s="104" t="s">
        <v>218</v>
      </c>
      <c r="U86" s="104" t="s">
        <v>217</v>
      </c>
      <c r="V86" s="332" t="s">
        <v>804</v>
      </c>
      <c r="W86" s="332" t="s">
        <v>805</v>
      </c>
      <c r="X86" s="332" t="s">
        <v>806</v>
      </c>
      <c r="Y86" s="332" t="s">
        <v>807</v>
      </c>
      <c r="Z86" s="171" t="s">
        <v>808</v>
      </c>
      <c r="AA86" s="332" t="s">
        <v>223</v>
      </c>
      <c r="AB86" s="636" t="s">
        <v>809</v>
      </c>
      <c r="AC86" s="332" t="s">
        <v>251</v>
      </c>
      <c r="AD86" s="332" t="s">
        <v>225</v>
      </c>
      <c r="AE86" s="332" t="s">
        <v>240</v>
      </c>
      <c r="AF86" s="332" t="s">
        <v>227</v>
      </c>
      <c r="AG86" s="332" t="s">
        <v>228</v>
      </c>
      <c r="AH86" s="332" t="s">
        <v>229</v>
      </c>
      <c r="AI86" s="332" t="s">
        <v>230</v>
      </c>
      <c r="AJ86" s="332" t="s">
        <v>231</v>
      </c>
      <c r="AK86" s="104" t="s">
        <v>47</v>
      </c>
      <c r="AL86" s="104" t="s">
        <v>217</v>
      </c>
      <c r="AM86" s="104"/>
      <c r="AN86" s="5"/>
      <c r="AO86" s="5"/>
      <c r="AP86" s="5"/>
      <c r="AQ86" s="5"/>
      <c r="AR86" s="5"/>
      <c r="AS86" s="5"/>
      <c r="AT86" s="5"/>
      <c r="AU86" s="104"/>
      <c r="AV86" s="104"/>
      <c r="AW86" s="5"/>
      <c r="AX86" s="104"/>
      <c r="AY86" s="104"/>
      <c r="AZ86" s="104"/>
      <c r="BA86" s="5"/>
      <c r="BB86" s="104"/>
      <c r="BC86" s="104"/>
      <c r="BF86" s="104" t="s">
        <v>36</v>
      </c>
      <c r="BG86" s="104" t="n">
        <f>VLOOKUP(B86,'UV台帐'!B:G,6,0)</f>
        <v>0</v>
      </c>
      <c r="BH86" s="104"/>
      <c r="BQ86" s="301"/>
      <c r="BR86" s="104" t="n">
        <f>COUNTIFS(H86,"一期",I86,"在读")+COUNTIFS(L86,"一期",M86,"在读")+COUNTIFS(P86,"一期",Q86,"在读")</f>
        <v>0</v>
      </c>
      <c r="BS86" s="104" t="n">
        <f>BR86-BW86</f>
        <v>0</v>
      </c>
      <c r="BT86" s="209" t="s">
        <f>VLOOKUP(B86,'UV台帐'!B:AL,19,0)</f>
        <v>116</v>
      </c>
      <c r="BU86" s="209" t="s">
        <f>VLOOKUP(B86,'UV台帐'!B:AL,28,0)</f>
        <v>116</v>
      </c>
      <c r="BV86" s="209" t="s">
        <f>VLOOKUP(B86,'UV台帐'!B:AL,37,0)</f>
        <v>116</v>
      </c>
      <c r="BW86" s="104" t="n">
        <f>COUNTIFS(H86,"一期",BT86,"是")+COUNTIFS(L86,"一期",BU86,"是")+COUNTIFS(P86,"一期",BV86,"是")</f>
        <v>0</v>
      </c>
      <c r="CA86" s="318"/>
    </row>
    <row r="87" ht="26.25" customHeight="1">
      <c r="A87" s="104" t="s">
        <v>45</v>
      </c>
      <c r="B87" s="104" t="n">
        <v>2163375170</v>
      </c>
      <c r="C87" s="508" t="s">
        <f>VLOOKUP(B87,'UV台帐'!B:AL,2,0)</f>
        <v>810</v>
      </c>
      <c r="D87" s="508" t="s">
        <f>VLOOKUP(B87,'UV台帐'!B:AL,3,0)</f>
        <v>48</v>
      </c>
      <c r="E87" s="288" t="s">
        <f>VLOOKUP(B87,'UV台帐'!B:AL,13,0)</f>
        <v>37</v>
      </c>
      <c r="F87" s="288" t="s">
        <f>VLOOKUP(B87,'UV台帐'!B:AL,15,0)</f>
        <v>215</v>
      </c>
      <c r="G87" s="288" t="s">
        <f>VLOOKUP(B87,'UV台帐'!B:AL,16,0)</f>
        <v>283</v>
      </c>
      <c r="H87" s="288" t="s">
        <f>VLOOKUP(B87,'UV台帐'!B:AL,17,0)</f>
        <v>88</v>
      </c>
      <c r="I87" s="288" t="s">
        <f>VLOOKUP(B87,'UV台帐'!B:AL,18,0)</f>
        <v>165</v>
      </c>
      <c r="J87" s="288" t="s">
        <f>VLOOKUP(B87,'UV台帐'!B:AL,22,0)</f>
        <v>43</v>
      </c>
      <c r="K87" s="288" t="s">
        <f>VLOOKUP(B87,'UV台帐'!B:AL,24,0)</f>
        <v>216</v>
      </c>
      <c r="L87" s="288" t="s">
        <f>VLOOKUP(B87,'UV台帐'!B:AL,26,0)</f>
        <v>88</v>
      </c>
      <c r="M87" s="288" t="s">
        <f>VLOOKUP(B87,'UV台帐'!B:AL,27,0)</f>
        <v>165</v>
      </c>
      <c r="N87" s="508" t="s">
        <f>VLOOKUP(B87,'UV台帐'!B:AL,31,0)</f>
        <v>58</v>
      </c>
      <c r="O87" s="508" t="s">
        <f>VLOOKUP(B87,'UV台帐'!B:AL,33,0)</f>
        <v>233</v>
      </c>
      <c r="P87" s="508" t="s">
        <f>VLOOKUP(B87,'UV台帐'!B:AL,35,0)</f>
        <v>65</v>
      </c>
      <c r="Q87" s="508" t="s">
        <f>VLOOKUP(B87,'UV台帐'!B:AL,36,0)</f>
        <v>165</v>
      </c>
      <c r="R87" s="104" t="s">
        <v>217</v>
      </c>
      <c r="S87" s="104" t="s">
        <v>27</v>
      </c>
      <c r="T87" s="104" t="s">
        <v>217</v>
      </c>
      <c r="U87" s="104" t="s">
        <v>218</v>
      </c>
      <c r="V87" s="332"/>
      <c r="W87" s="466" t="s">
        <v>743</v>
      </c>
      <c r="X87" s="332" t="s">
        <v>811</v>
      </c>
      <c r="Y87" s="332" t="s">
        <v>666</v>
      </c>
      <c r="Z87" s="171" t="s">
        <v>812</v>
      </c>
      <c r="AA87" s="332" t="s">
        <v>223</v>
      </c>
      <c r="AB87" s="332" t="s">
        <v>813</v>
      </c>
      <c r="AC87" s="332" t="s">
        <v>289</v>
      </c>
      <c r="AD87" s="332" t="s">
        <v>252</v>
      </c>
      <c r="AE87" s="332" t="s">
        <v>240</v>
      </c>
      <c r="AF87" s="332" t="s">
        <v>241</v>
      </c>
      <c r="AG87" s="332" t="s">
        <v>228</v>
      </c>
      <c r="AH87" s="332" t="s">
        <v>315</v>
      </c>
      <c r="AI87" s="332" t="s">
        <v>230</v>
      </c>
      <c r="AJ87" s="332" t="s">
        <v>255</v>
      </c>
      <c r="AK87" s="104" t="s">
        <v>58</v>
      </c>
      <c r="AL87" s="104" t="s">
        <v>640</v>
      </c>
      <c r="AM87" s="104"/>
      <c r="AN87" s="5"/>
      <c r="AO87" s="5"/>
      <c r="AP87" s="5"/>
      <c r="AQ87" s="5"/>
      <c r="AR87" s="5"/>
      <c r="AS87" s="5"/>
      <c r="AT87" s="5"/>
      <c r="AU87" s="508"/>
      <c r="AV87" s="508"/>
      <c r="AW87" s="5"/>
      <c r="AX87" s="508"/>
      <c r="AY87" s="508"/>
      <c r="AZ87" s="508"/>
      <c r="BA87" s="5"/>
      <c r="BB87" s="508"/>
      <c r="BC87" s="508"/>
      <c r="BF87" s="104" t="s">
        <v>48</v>
      </c>
      <c r="BG87" s="104" t="n">
        <f>VLOOKUP(B87,'UV台帐'!B:G,6,0)</f>
        <v>0</v>
      </c>
      <c r="BH87" s="104"/>
      <c r="BR87" s="104" t="n">
        <f>COUNTIFS(H87,"一期",I87,"在读")+COUNTIFS(L87,"一期",M87,"在读")+COUNTIFS(P87,"一期",Q87,"在读")</f>
        <v>1</v>
      </c>
      <c r="BS87" s="104" t="n">
        <f>BR87-BW87</f>
        <v>1</v>
      </c>
      <c r="BT87" s="209" t="s">
        <f>VLOOKUP(B87,'UV台帐'!B:AL,19,0)</f>
        <v>217</v>
      </c>
      <c r="BU87" s="209" t="s">
        <f>VLOOKUP(B87,'UV台帐'!B:AL,28,0)</f>
        <v>217</v>
      </c>
      <c r="BV87" s="209" t="s">
        <f>VLOOKUP(B87,'UV台帐'!B:AL,37,0)</f>
        <v>116</v>
      </c>
      <c r="BW87" s="104" t="n">
        <f>COUNTIFS(H87,"一期",BT87,"是")+COUNTIFS(L87,"一期",BU87,"是")+COUNTIFS(P87,"一期",BV87,"是")</f>
        <v>0</v>
      </c>
      <c r="CA87" s="318"/>
    </row>
    <row r="88" ht="26.25" customHeight="1">
      <c r="A88" s="104" t="s">
        <v>85</v>
      </c>
      <c r="B88" s="104" t="n">
        <v>2226829869</v>
      </c>
      <c r="C88" s="508" t="s">
        <f>VLOOKUP(B88,'UV台帐'!B:AL,2,0)</f>
        <v>814</v>
      </c>
      <c r="D88" s="508" t="s">
        <f>VLOOKUP(B88,'UV台帐'!B:AL,3,0)</f>
        <v>40</v>
      </c>
      <c r="E88" s="508" t="s">
        <f>VLOOKUP(B88,'UV台帐'!B:AL,13,0)</f>
        <v>31</v>
      </c>
      <c r="F88" s="508" t="s">
        <f>VLOOKUP(B88,'UV台帐'!B:AL,15,0)</f>
        <v>215</v>
      </c>
      <c r="G88" s="508" t="s">
        <f>VLOOKUP(B88,'UV台帐'!B:AL,16,0)</f>
        <v>283</v>
      </c>
      <c r="H88" s="508" t="s">
        <f>VLOOKUP(B88,'UV台帐'!B:AL,17,0)</f>
        <v>65</v>
      </c>
      <c r="I88" s="508" t="s">
        <f>VLOOKUP(B88,'UV台帐'!B:AL,18,0)</f>
        <v>165</v>
      </c>
      <c r="J88" s="288" t="s">
        <f>VLOOKUP(B88,'UV台帐'!B:AL,22,0)</f>
        <v>116</v>
      </c>
      <c r="K88" s="288" t="s">
        <f>VLOOKUP(B88,'UV台帐'!B:AL,24,0)</f>
        <v>116</v>
      </c>
      <c r="L88" s="288" t="s">
        <f>VLOOKUP(B88,'UV台帐'!B:AL,26,0)</f>
        <v>116</v>
      </c>
      <c r="M88" s="288" t="s">
        <f>VLOOKUP(B88,'UV台帐'!B:AL,27,0)</f>
        <v>116</v>
      </c>
      <c r="N88" s="508" t="s">
        <f>VLOOKUP(B88,'UV台帐'!B:AL,31,0)</f>
        <v>52</v>
      </c>
      <c r="O88" s="508" t="s">
        <f>VLOOKUP(B88,'UV台帐'!B:AL,33,0)</f>
        <v>216</v>
      </c>
      <c r="P88" s="508" t="s">
        <f>VLOOKUP(B88,'UV台帐'!B:AL,35,0)</f>
        <v>65</v>
      </c>
      <c r="Q88" s="508" t="s">
        <f>VLOOKUP(B88,'UV台帐'!B:AL,36,0)</f>
        <v>165</v>
      </c>
      <c r="R88" s="104" t="s">
        <v>217</v>
      </c>
      <c r="S88" s="104" t="s">
        <v>25</v>
      </c>
      <c r="T88" s="104"/>
      <c r="U88" s="104" t="s">
        <v>217</v>
      </c>
      <c r="V88" s="332" t="s">
        <v>815</v>
      </c>
      <c r="W88" s="332" t="s">
        <v>816</v>
      </c>
      <c r="X88" s="332" t="s">
        <v>817</v>
      </c>
      <c r="Y88" s="332" t="s">
        <v>818</v>
      </c>
      <c r="Z88" s="171" t="s">
        <v>819</v>
      </c>
      <c r="AA88" s="332"/>
      <c r="AB88" s="332"/>
      <c r="AC88" s="332" t="s">
        <v>456</v>
      </c>
      <c r="AD88" s="332"/>
      <c r="AE88" s="332"/>
      <c r="AF88" s="332"/>
      <c r="AG88" s="332"/>
      <c r="AH88" s="332"/>
      <c r="AI88" s="332"/>
      <c r="AJ88" s="332"/>
      <c r="AK88" s="104" t="s">
        <v>31</v>
      </c>
      <c r="AL88" s="104" t="s">
        <v>217</v>
      </c>
      <c r="AM88" s="104"/>
      <c r="AN88" s="5"/>
      <c r="AO88" s="5"/>
      <c r="AP88" s="5"/>
      <c r="AQ88" s="5"/>
      <c r="AR88" s="5"/>
      <c r="AS88" s="5"/>
      <c r="AT88" s="5"/>
      <c r="AU88" s="104"/>
      <c r="AV88" s="104"/>
      <c r="AW88" s="5"/>
      <c r="AX88" s="104"/>
      <c r="AY88" s="104"/>
      <c r="AZ88" s="104"/>
      <c r="BA88" s="5"/>
      <c r="BB88" s="104"/>
      <c r="BC88" s="104"/>
      <c r="BD88" s="508"/>
      <c r="BE88" s="508"/>
      <c r="BF88" s="104" t="s">
        <v>40</v>
      </c>
      <c r="BG88" s="104" t="n">
        <f>VLOOKUP(B88,'UV台帐'!B:G,6,0)</f>
        <v>0</v>
      </c>
      <c r="BH88" s="104"/>
      <c r="BR88" s="104" t="n">
        <f>COUNTIFS(H88,"一期",I88,"在读")+COUNTIFS(L88,"一期",M88,"在读")+COUNTIFS(P88,"一期",Q88,"在读")</f>
        <v>2</v>
      </c>
      <c r="BS88" s="104" t="n">
        <f>BR88-BW88</f>
        <v>0</v>
      </c>
      <c r="BT88" s="209" t="s">
        <f>VLOOKUP(B88,'UV台帐'!B:AL,19,0)</f>
        <v>217</v>
      </c>
      <c r="BU88" s="209" t="s">
        <f>VLOOKUP(B88,'UV台帐'!B:AL,28,0)</f>
        <v>116</v>
      </c>
      <c r="BV88" s="209" t="s">
        <f>VLOOKUP(B88,'UV台帐'!B:AL,37,0)</f>
        <v>217</v>
      </c>
      <c r="BW88" s="104" t="n">
        <f>COUNTIFS(H88,"一期",BT88,"是")+COUNTIFS(L88,"一期",BU88,"是")+COUNTIFS(P88,"一期",BV88,"是")</f>
        <v>2</v>
      </c>
      <c r="CA88" s="318"/>
    </row>
    <row r="89" ht="26.25" customHeight="1">
      <c r="A89" s="104" t="s">
        <v>85</v>
      </c>
      <c r="B89" s="104" t="n">
        <v>4050255637</v>
      </c>
      <c r="C89" s="508" t="s">
        <f>VLOOKUP(B89,'UV台帐'!B:AL,2,0)</f>
        <v>820</v>
      </c>
      <c r="D89" s="508" t="n">
        <f>VLOOKUP(B89,'UV台帐'!B:AL,3,0)</f>
        <v>0</v>
      </c>
      <c r="E89" s="508" t="s">
        <f>VLOOKUP(B89,'UV台帐'!B:AL,13,0)</f>
        <v>31</v>
      </c>
      <c r="F89" s="508" t="s">
        <f>VLOOKUP(B89,'UV台帐'!B:AL,15,0)</f>
        <v>215</v>
      </c>
      <c r="G89" s="508" t="s">
        <f>VLOOKUP(B89,'UV台帐'!B:AL,16,0)</f>
        <v>283</v>
      </c>
      <c r="H89" s="508" t="s">
        <f>VLOOKUP(B89,'UV台帐'!B:AL,17,0)</f>
        <v>65</v>
      </c>
      <c r="I89" s="508" t="s">
        <f>VLOOKUP(B89,'UV台帐'!B:AL,18,0)</f>
        <v>165</v>
      </c>
      <c r="J89" s="288" t="s">
        <f>VLOOKUP(B89,'UV台帐'!B:AL,22,0)</f>
        <v>116</v>
      </c>
      <c r="K89" s="288" t="s">
        <f>VLOOKUP(B89,'UV台帐'!B:AL,24,0)</f>
        <v>116</v>
      </c>
      <c r="L89" s="288" t="s">
        <f>VLOOKUP(B89,'UV台帐'!B:AL,26,0)</f>
        <v>116</v>
      </c>
      <c r="M89" s="288" t="s">
        <f>VLOOKUP(B89,'UV台帐'!B:AL,27,0)</f>
        <v>116</v>
      </c>
      <c r="N89" s="288" t="s">
        <f>VLOOKUP(B89,'UV台帐'!B:AL,31,0)</f>
        <v>116</v>
      </c>
      <c r="O89" s="288" t="s">
        <f>VLOOKUP(B89,'UV台帐'!B:AL,33,0)</f>
        <v>116</v>
      </c>
      <c r="P89" s="288" t="s">
        <f>VLOOKUP(B89,'UV台帐'!B:AL,35,0)</f>
        <v>116</v>
      </c>
      <c r="Q89" s="288" t="s">
        <f>VLOOKUP(B89,'UV台帐'!B:AL,36,0)</f>
        <v>116</v>
      </c>
      <c r="R89" s="104" t="s">
        <v>217</v>
      </c>
      <c r="S89" s="508" t="s">
        <v>25</v>
      </c>
      <c r="U89" s="508" t="s">
        <v>217</v>
      </c>
      <c r="V89" s="466"/>
      <c r="Z89" s="171" t="s">
        <v>683</v>
      </c>
      <c r="AB89" s="466"/>
      <c r="AK89" s="104" t="s">
        <v>31</v>
      </c>
      <c r="AL89" s="104" t="s">
        <v>217</v>
      </c>
      <c r="AM89" s="104"/>
      <c r="AN89" s="5"/>
      <c r="AO89" s="5"/>
      <c r="AP89" s="5"/>
      <c r="AQ89" s="5"/>
      <c r="AR89" s="5"/>
      <c r="AS89" s="5"/>
      <c r="AT89" s="5"/>
      <c r="AU89" s="104"/>
      <c r="AV89" s="104"/>
      <c r="AW89" s="5"/>
      <c r="AX89" s="104"/>
      <c r="AY89" s="104"/>
      <c r="AZ89" s="104"/>
      <c r="BA89" s="5"/>
      <c r="BB89" s="104"/>
      <c r="BC89" s="104"/>
      <c r="BF89" s="104" t="s">
        <v>36</v>
      </c>
      <c r="BG89" s="104" t="n">
        <f>VLOOKUP(B89,'UV台帐'!B:G,6,0)</f>
        <v>0</v>
      </c>
      <c r="BH89" s="104"/>
      <c r="BR89" s="104" t="n">
        <f>COUNTIFS(H89,"一期",I89,"在读")+COUNTIFS(L89,"一期",M89,"在读")+COUNTIFS(P89,"一期",Q89,"在读")</f>
        <v>1</v>
      </c>
      <c r="BS89" s="104" t="n">
        <f>BR89-BW89</f>
        <v>0</v>
      </c>
      <c r="BT89" s="209" t="s">
        <f>VLOOKUP(B89,'UV台帐'!B:AL,19,0)</f>
        <v>217</v>
      </c>
      <c r="BU89" s="209" t="s">
        <f>VLOOKUP(B89,'UV台帐'!B:AL,28,0)</f>
        <v>116</v>
      </c>
      <c r="BV89" s="209" t="s">
        <f>VLOOKUP(B89,'UV台帐'!B:AL,37,0)</f>
        <v>116</v>
      </c>
      <c r="BW89" s="104" t="n">
        <f>COUNTIFS(H89,"一期",BT89,"是")+COUNTIFS(L89,"一期",BU89,"是")+COUNTIFS(P89,"一期",BV89,"是")</f>
        <v>1</v>
      </c>
      <c r="CA89" s="318"/>
    </row>
    <row r="90" ht="26.25" customHeight="1">
      <c r="A90" s="104" t="s">
        <v>45</v>
      </c>
      <c r="B90" s="104" t="n">
        <v>4310026061</v>
      </c>
      <c r="C90" s="508" t="s">
        <f>VLOOKUP(B90,'UV台帐'!B:AL,2,0)</f>
        <v>821</v>
      </c>
      <c r="D90" s="508" t="s">
        <f>VLOOKUP(B90,'UV台帐'!B:AL,3,0)</f>
        <v>50</v>
      </c>
      <c r="E90" s="508" t="s">
        <f>VLOOKUP(B90,'UV台帐'!B:AL,13,0)</f>
        <v>31</v>
      </c>
      <c r="F90" s="508" t="s">
        <f>VLOOKUP(B90,'UV台帐'!B:AL,15,0)</f>
        <v>216</v>
      </c>
      <c r="G90" s="508" t="s">
        <f>VLOOKUP(B90,'UV台帐'!B:AL,16,0)</f>
        <v>283</v>
      </c>
      <c r="H90" s="508" t="s">
        <f>VLOOKUP(B90,'UV台帐'!B:AL,17,0)</f>
        <v>101</v>
      </c>
      <c r="I90" s="508" t="s">
        <f>VLOOKUP(B90,'UV台帐'!B:AL,18,0)</f>
        <v>165</v>
      </c>
      <c r="J90" s="508" t="s">
        <f>VLOOKUP(B90,'UV台帐'!B:AL,22,0)</f>
        <v>49</v>
      </c>
      <c r="K90" s="508" t="s">
        <f>VLOOKUP(B90,'UV台帐'!B:AL,24,0)</f>
        <v>215</v>
      </c>
      <c r="L90" s="508" t="s">
        <f>VLOOKUP(B90,'UV台帐'!B:AL,26,0)</f>
        <v>101</v>
      </c>
      <c r="M90" s="508" t="s">
        <f>VLOOKUP(B90,'UV台帐'!B:AL,27,0)</f>
        <v>165</v>
      </c>
      <c r="N90" s="508" t="s">
        <f>VLOOKUP(B90,'UV台帐'!B:AL,31,0)</f>
        <v>58</v>
      </c>
      <c r="O90" s="508" t="s">
        <f>VLOOKUP(B90,'UV台帐'!B:AL,33,0)</f>
        <v>215</v>
      </c>
      <c r="P90" s="508" t="s">
        <f>VLOOKUP(B90,'UV台帐'!B:AL,35,0)</f>
        <v>101</v>
      </c>
      <c r="Q90" s="508" t="s">
        <f>VLOOKUP(B90,'UV台帐'!B:AL,36,0)</f>
        <v>165</v>
      </c>
      <c r="R90" s="104" t="s">
        <v>217</v>
      </c>
      <c r="S90" s="104" t="s">
        <v>28</v>
      </c>
      <c r="T90" s="104" t="s">
        <v>217</v>
      </c>
      <c r="U90" s="104" t="s">
        <v>217</v>
      </c>
      <c r="V90" s="332"/>
      <c r="W90" s="332" t="s">
        <v>822</v>
      </c>
      <c r="X90" s="332" t="s">
        <v>823</v>
      </c>
      <c r="Y90" s="466" t="s">
        <v>824</v>
      </c>
      <c r="Z90" s="171" t="s">
        <v>825</v>
      </c>
      <c r="AA90" s="332" t="s">
        <v>350</v>
      </c>
      <c r="AB90" s="332" t="s">
        <v>826</v>
      </c>
      <c r="AC90" s="332" t="s">
        <v>289</v>
      </c>
      <c r="AD90" s="332" t="s">
        <v>493</v>
      </c>
      <c r="AE90" s="332" t="s">
        <v>240</v>
      </c>
      <c r="AF90" s="332" t="s">
        <v>241</v>
      </c>
      <c r="AG90" s="332" t="s">
        <v>228</v>
      </c>
      <c r="AH90" s="332" t="s">
        <v>307</v>
      </c>
      <c r="AI90" s="332" t="s">
        <v>230</v>
      </c>
      <c r="AJ90" s="332" t="s">
        <v>242</v>
      </c>
      <c r="AK90" s="104" t="s">
        <v>49</v>
      </c>
      <c r="AL90" s="104" t="s">
        <v>217</v>
      </c>
      <c r="AM90" s="104"/>
      <c r="AN90" s="5"/>
      <c r="AO90" s="5"/>
      <c r="AP90" s="5"/>
      <c r="AQ90" s="5"/>
      <c r="AR90" s="5"/>
      <c r="AS90" s="5"/>
      <c r="AT90" s="5"/>
      <c r="AU90" s="104"/>
      <c r="AV90" s="104"/>
      <c r="AW90" s="5"/>
      <c r="AX90" s="104"/>
      <c r="AY90" s="104"/>
      <c r="AZ90" s="104"/>
      <c r="BA90" s="5"/>
      <c r="BB90" s="104"/>
      <c r="BC90" s="104"/>
      <c r="BF90" s="104" t="s">
        <v>50</v>
      </c>
      <c r="BG90" s="104" t="n">
        <f>VLOOKUP(B90,'UV台帐'!B:G,6,0)</f>
        <v>0</v>
      </c>
      <c r="BH90" s="104"/>
      <c r="BR90" s="104" t="n">
        <f>COUNTIFS(H90,"一期",I90,"在读")+COUNTIFS(L90,"一期",M90,"在读")+COUNTIFS(P90,"一期",Q90,"在读")</f>
        <v>0</v>
      </c>
      <c r="BS90" s="104" t="n">
        <f>BR90-BW90</f>
        <v>0</v>
      </c>
      <c r="BT90" s="209" t="s">
        <f>VLOOKUP(B90,'UV台帐'!B:AL,19,0)</f>
        <v>116</v>
      </c>
      <c r="BU90" s="209" t="s">
        <f>VLOOKUP(B90,'UV台帐'!B:AL,28,0)</f>
        <v>116</v>
      </c>
      <c r="BV90" s="209" t="s">
        <f>VLOOKUP(B90,'UV台帐'!B:AL,37,0)</f>
        <v>116</v>
      </c>
      <c r="BW90" s="104" t="n">
        <f>COUNTIFS(H90,"一期",BT90,"是")+COUNTIFS(L90,"一期",BU90,"是")+COUNTIFS(P90,"一期",BV90,"是")</f>
        <v>0</v>
      </c>
      <c r="CA90" s="318"/>
    </row>
    <row r="91" ht="26.25" customHeight="1">
      <c r="A91" s="104" t="s">
        <v>54</v>
      </c>
      <c r="B91" s="104" t="n">
        <v>2515578569</v>
      </c>
      <c r="C91" s="508" t="s">
        <f>VLOOKUP(B91,'UV台帐'!B:AL,2,0)</f>
        <v>827</v>
      </c>
      <c r="D91" s="508" t="s">
        <f>VLOOKUP(B91,'UV台帐'!B:AL,3,0)</f>
        <v>59</v>
      </c>
      <c r="E91" s="508" t="s">
        <f>VLOOKUP(B91,'UV台帐'!B:AL,13,0)</f>
        <v>35</v>
      </c>
      <c r="F91" s="508" t="s">
        <f>VLOOKUP(B91,'UV台帐'!B:AL,15,0)</f>
        <v>233</v>
      </c>
      <c r="G91" s="508" t="s">
        <f>VLOOKUP(B91,'UV台帐'!B:AL,16,0)</f>
        <v>234</v>
      </c>
      <c r="H91" s="508" t="s">
        <f>VLOOKUP(B91,'UV台帐'!B:AL,17,0)</f>
        <v>101</v>
      </c>
      <c r="I91" s="508" t="s">
        <f>VLOOKUP(B91,'UV台帐'!B:AL,18,0)</f>
        <v>165</v>
      </c>
      <c r="J91" s="508" t="s">
        <f>VLOOKUP(B91,'UV台帐'!B:AL,22,0)</f>
        <v>47</v>
      </c>
      <c r="K91" s="508" t="s">
        <f>VLOOKUP(B91,'UV台帐'!B:AL,24,0)</f>
        <v>215</v>
      </c>
      <c r="L91" s="508" t="s">
        <f>VLOOKUP(B91,'UV台帐'!B:AL,26,0)</f>
        <v>101</v>
      </c>
      <c r="M91" s="508" t="s">
        <f>VLOOKUP(B91,'UV台帐'!B:AL,27,0)</f>
        <v>165</v>
      </c>
      <c r="N91" s="288" t="s">
        <f>VLOOKUP(B91,'UV台帐'!B:AL,31,0)</f>
        <v>56</v>
      </c>
      <c r="O91" s="288" t="s">
        <f>VLOOKUP(B91,'UV台帐'!B:AL,33,0)</f>
        <v>216</v>
      </c>
      <c r="P91" s="288" t="s">
        <f>VLOOKUP(B91,'UV台帐'!B:AL,35,0)</f>
        <v>101</v>
      </c>
      <c r="Q91" s="288" t="s">
        <f>VLOOKUP(B91,'UV台帐'!B:AL,36,0)</f>
        <v>165</v>
      </c>
      <c r="R91" s="104" t="s">
        <v>217</v>
      </c>
      <c r="S91" s="104" t="s">
        <v>29</v>
      </c>
      <c r="T91" s="104" t="s">
        <v>217</v>
      </c>
      <c r="U91" s="104" t="s">
        <v>218</v>
      </c>
      <c r="V91" s="332" t="s">
        <v>267</v>
      </c>
      <c r="W91" s="332" t="s">
        <v>828</v>
      </c>
      <c r="X91" s="466" t="s">
        <v>829</v>
      </c>
      <c r="Y91" s="466" t="s">
        <v>830</v>
      </c>
      <c r="Z91" s="171" t="s">
        <v>831</v>
      </c>
      <c r="AA91" s="332" t="s">
        <v>223</v>
      </c>
      <c r="AB91" s="466" t="s">
        <v>832</v>
      </c>
      <c r="AC91" s="332" t="s">
        <v>456</v>
      </c>
      <c r="AD91" s="332" t="s">
        <v>376</v>
      </c>
      <c r="AE91" s="332" t="s">
        <v>240</v>
      </c>
      <c r="AF91" s="332" t="s">
        <v>227</v>
      </c>
      <c r="AG91" s="332" t="s">
        <v>404</v>
      </c>
      <c r="AH91" s="332" t="s">
        <v>307</v>
      </c>
      <c r="AI91" s="332" t="s">
        <v>230</v>
      </c>
      <c r="AJ91" s="332" t="s">
        <v>231</v>
      </c>
      <c r="AK91" s="104" t="s">
        <v>47</v>
      </c>
      <c r="AL91" s="104"/>
      <c r="AM91" s="104"/>
      <c r="AN91" s="5"/>
      <c r="AO91" s="5"/>
      <c r="AP91" s="5"/>
      <c r="AQ91" s="5"/>
      <c r="AR91" s="5"/>
      <c r="AS91" s="5"/>
      <c r="AT91" s="5"/>
      <c r="AU91" s="104"/>
      <c r="AV91" s="104"/>
      <c r="AW91" s="5"/>
      <c r="AX91" s="104"/>
      <c r="AY91" s="104"/>
      <c r="AZ91" s="104"/>
      <c r="BA91" s="5"/>
      <c r="BB91" s="104"/>
      <c r="BC91" s="104"/>
      <c r="BF91" s="104" t="s">
        <v>59</v>
      </c>
      <c r="BG91" s="104" t="n">
        <f>VLOOKUP(B91,'UV台帐'!B:G,6,0)</f>
        <v>0</v>
      </c>
      <c r="BH91" s="104"/>
      <c r="BR91" s="104" t="n">
        <f>COUNTIFS(H91,"一期",I91,"在读")+COUNTIFS(L91,"一期",M91,"在读")+COUNTIFS(P91,"一期",Q91,"在读")</f>
        <v>0</v>
      </c>
      <c r="BS91" s="104" t="n">
        <f>BR91-BW91</f>
        <v>0</v>
      </c>
      <c r="BT91" s="209" t="s">
        <f>VLOOKUP(B91,'UV台帐'!B:AL,19,0)</f>
        <v>116</v>
      </c>
      <c r="BU91" s="209" t="s">
        <f>VLOOKUP(B91,'UV台帐'!B:AL,28,0)</f>
        <v>217</v>
      </c>
      <c r="BV91" s="209" t="s">
        <f>VLOOKUP(B91,'UV台帐'!B:AL,37,0)</f>
        <v>116</v>
      </c>
      <c r="BW91" s="104" t="n">
        <f>COUNTIFS(H91,"一期",BT91,"是")+COUNTIFS(L91,"一期",BU91,"是")+COUNTIFS(P91,"一期",BV91,"是")</f>
        <v>0</v>
      </c>
      <c r="CA91" s="318"/>
    </row>
    <row r="92" ht="26.25" customHeight="1">
      <c r="A92" s="104" t="s">
        <v>85</v>
      </c>
      <c r="B92" s="104" t="n">
        <v>4396777299</v>
      </c>
      <c r="C92" s="508" t="s">
        <f>VLOOKUP(B92,'UV台帐'!B:AL,2,0)</f>
        <v>833</v>
      </c>
      <c r="D92" s="508" t="s">
        <f>VLOOKUP(B92,'UV台帐'!B:AL,3,0)</f>
        <v>36</v>
      </c>
      <c r="E92" s="508" t="s">
        <f>VLOOKUP(B92,'UV台帐'!B:AL,13,0)</f>
        <v>31</v>
      </c>
      <c r="F92" s="508" t="s">
        <f>VLOOKUP(B92,'UV台帐'!B:AL,15,0)</f>
        <v>215</v>
      </c>
      <c r="G92" s="508" t="s">
        <f>VLOOKUP(B92,'UV台帐'!B:AL,16,0)</f>
        <v>283</v>
      </c>
      <c r="H92" s="508" t="s">
        <f>VLOOKUP(B92,'UV台帐'!B:AL,17,0)</f>
        <v>65</v>
      </c>
      <c r="I92" s="508" t="s">
        <f>VLOOKUP(B92,'UV台帐'!B:AL,18,0)</f>
        <v>165</v>
      </c>
      <c r="J92" s="288" t="s">
        <f>VLOOKUP(B92,'UV台帐'!B:AL,22,0)</f>
        <v>116</v>
      </c>
      <c r="K92" s="288" t="s">
        <f>VLOOKUP(B92,'UV台帐'!B:AL,24,0)</f>
        <v>116</v>
      </c>
      <c r="L92" s="288" t="s">
        <f>VLOOKUP(B92,'UV台帐'!B:AL,26,0)</f>
        <v>116</v>
      </c>
      <c r="M92" s="288" t="s">
        <f>VLOOKUP(B92,'UV台帐'!B:AL,27,0)</f>
        <v>116</v>
      </c>
      <c r="N92" s="508" t="s">
        <f>VLOOKUP(B92,'UV台帐'!B:AL,31,0)</f>
        <v>52</v>
      </c>
      <c r="O92" s="508" t="s">
        <f>VLOOKUP(B92,'UV台帐'!B:AL,33,0)</f>
        <v>216</v>
      </c>
      <c r="P92" s="508" t="s">
        <f>VLOOKUP(B92,'UV台帐'!B:AL,35,0)</f>
        <v>65</v>
      </c>
      <c r="Q92" s="508" t="s">
        <f>VLOOKUP(B92,'UV台帐'!B:AL,36,0)</f>
        <v>165</v>
      </c>
      <c r="R92" s="104" t="s">
        <v>217</v>
      </c>
      <c r="S92" s="508" t="s">
        <v>25</v>
      </c>
      <c r="T92" s="508" t="s">
        <v>217</v>
      </c>
      <c r="V92" s="466" t="s">
        <v>788</v>
      </c>
      <c r="W92" s="466" t="s">
        <v>834</v>
      </c>
      <c r="X92" s="466" t="s">
        <v>788</v>
      </c>
      <c r="Y92" s="466" t="s">
        <v>835</v>
      </c>
      <c r="Z92" s="171" t="s">
        <v>836</v>
      </c>
      <c r="AA92" s="332" t="s">
        <v>223</v>
      </c>
      <c r="AB92" s="466" t="s">
        <v>790</v>
      </c>
      <c r="AC92" s="332" t="s">
        <v>456</v>
      </c>
      <c r="AD92" s="332"/>
      <c r="AE92" s="332" t="s">
        <v>253</v>
      </c>
      <c r="AF92" s="332" t="s">
        <v>306</v>
      </c>
      <c r="AG92" s="332" t="s">
        <v>266</v>
      </c>
      <c r="AH92" s="332" t="s">
        <v>315</v>
      </c>
      <c r="AI92" s="332" t="s">
        <v>254</v>
      </c>
      <c r="AJ92" s="332" t="s">
        <v>316</v>
      </c>
      <c r="AK92" s="104" t="s">
        <v>31</v>
      </c>
      <c r="AL92" s="104" t="s">
        <v>217</v>
      </c>
      <c r="AM92" s="104"/>
      <c r="AN92" s="5"/>
      <c r="AO92" s="5"/>
      <c r="AP92" s="5"/>
      <c r="AQ92" s="5"/>
      <c r="AR92" s="5"/>
      <c r="AS92" s="5"/>
      <c r="AT92" s="5"/>
      <c r="AU92" s="508"/>
      <c r="AV92" s="508"/>
      <c r="AW92" s="5"/>
      <c r="AX92" s="508"/>
      <c r="AY92" s="508"/>
      <c r="AZ92" s="508"/>
      <c r="BA92" s="5"/>
      <c r="BB92" s="508"/>
      <c r="BC92" s="508"/>
      <c r="BF92" s="104" t="s">
        <v>36</v>
      </c>
      <c r="BG92" s="104" t="n">
        <f>VLOOKUP(B92,'UV台帐'!B:G,6,0)</f>
        <v>0</v>
      </c>
      <c r="BH92" s="104"/>
      <c r="BR92" s="104" t="n">
        <f>COUNTIFS(H92,"一期",I92,"在读")+COUNTIFS(L92,"一期",M92,"在读")+COUNTIFS(P92,"一期",Q92,"在读")</f>
        <v>2</v>
      </c>
      <c r="BS92" s="104" t="n">
        <f>BR92-BW92</f>
        <v>0</v>
      </c>
      <c r="BT92" s="209" t="s">
        <f>VLOOKUP(B92,'UV台帐'!B:AL,19,0)</f>
        <v>217</v>
      </c>
      <c r="BU92" s="209" t="s">
        <f>VLOOKUP(B92,'UV台帐'!B:AL,28,0)</f>
        <v>116</v>
      </c>
      <c r="BV92" s="209" t="s">
        <f>VLOOKUP(B92,'UV台帐'!B:AL,37,0)</f>
        <v>217</v>
      </c>
      <c r="BW92" s="104" t="n">
        <f>COUNTIFS(H92,"一期",BT92,"是")+COUNTIFS(L92,"一期",BU92,"是")+COUNTIFS(P92,"一期",BV92,"是")</f>
        <v>2</v>
      </c>
      <c r="CA92" s="318"/>
    </row>
    <row r="93" ht="26.25" customHeight="1">
      <c r="A93" s="104" t="s">
        <v>54</v>
      </c>
      <c r="B93" s="104" t="n">
        <v>4370732289</v>
      </c>
      <c r="C93" s="508" t="s">
        <f>VLOOKUP(B93,'UV台帐'!B:AL,2,0)</f>
        <v>837</v>
      </c>
      <c r="D93" s="508" t="s">
        <f>VLOOKUP(B93,'UV台帐'!B:AL,3,0)</f>
        <v>55</v>
      </c>
      <c r="E93" s="508" t="s">
        <f>VLOOKUP(B93,'UV台帐'!B:AL,13,0)</f>
        <v>35</v>
      </c>
      <c r="F93" s="508" t="s">
        <f>VLOOKUP(B93,'UV台帐'!B:AL,15,0)</f>
        <v>233</v>
      </c>
      <c r="G93" s="508" t="s">
        <f>VLOOKUP(B93,'UV台帐'!B:AL,16,0)</f>
        <v>234</v>
      </c>
      <c r="H93" s="508" t="s">
        <f>VLOOKUP(B93,'UV台帐'!B:AL,17,0)</f>
        <v>101</v>
      </c>
      <c r="I93" s="508" t="s">
        <f>VLOOKUP(B93,'UV台帐'!B:AL,18,0)</f>
        <v>165</v>
      </c>
      <c r="J93" s="288" t="s">
        <f>VLOOKUP(B93,'UV台帐'!B:AL,22,0)</f>
        <v>49</v>
      </c>
      <c r="K93" s="288" t="s">
        <f>VLOOKUP(B93,'UV台帐'!B:AL,24,0)</f>
        <v>215</v>
      </c>
      <c r="L93" s="288" t="s">
        <f>VLOOKUP(B93,'UV台帐'!B:AL,26,0)</f>
        <v>101</v>
      </c>
      <c r="M93" s="288" t="s">
        <f>VLOOKUP(B93,'UV台帐'!B:AL,27,0)</f>
        <v>165</v>
      </c>
      <c r="N93" s="508" t="s">
        <f>VLOOKUP(B93,'UV台帐'!B:AL,31,0)</f>
        <v>56</v>
      </c>
      <c r="O93" s="508" t="s">
        <f>VLOOKUP(B93,'UV台帐'!B:AL,33,0)</f>
        <v>216</v>
      </c>
      <c r="P93" s="508" t="s">
        <f>VLOOKUP(B93,'UV台帐'!B:AL,35,0)</f>
        <v>101</v>
      </c>
      <c r="Q93" s="508" t="s">
        <f>VLOOKUP(B93,'UV台帐'!B:AL,36,0)</f>
        <v>165</v>
      </c>
      <c r="R93" s="104" t="s">
        <v>217</v>
      </c>
      <c r="S93" s="104" t="s">
        <v>29</v>
      </c>
      <c r="T93" s="104" t="s">
        <v>217</v>
      </c>
      <c r="U93" s="104" t="s">
        <v>218</v>
      </c>
      <c r="V93" s="104" t="s">
        <v>547</v>
      </c>
      <c r="W93" s="332" t="s">
        <v>838</v>
      </c>
      <c r="X93" s="332" t="s">
        <v>260</v>
      </c>
      <c r="Y93" s="332" t="s">
        <v>839</v>
      </c>
      <c r="Z93" s="637" t="s">
        <v>840</v>
      </c>
      <c r="AA93" s="332" t="s">
        <v>223</v>
      </c>
      <c r="AB93" s="638" t="s">
        <v>841</v>
      </c>
      <c r="AC93" s="332" t="s">
        <v>251</v>
      </c>
      <c r="AD93" s="332" t="s">
        <v>551</v>
      </c>
      <c r="AE93" s="332" t="s">
        <v>240</v>
      </c>
      <c r="AF93" s="332" t="s">
        <v>227</v>
      </c>
      <c r="AG93" s="332" t="s">
        <v>228</v>
      </c>
      <c r="AH93" s="332" t="s">
        <v>229</v>
      </c>
      <c r="AI93" s="332" t="s">
        <v>472</v>
      </c>
      <c r="AJ93" s="332" t="s">
        <v>231</v>
      </c>
      <c r="AK93" s="104" t="s">
        <v>35</v>
      </c>
      <c r="AL93" s="104" t="s">
        <v>217</v>
      </c>
      <c r="AM93" s="104"/>
      <c r="AN93" s="5"/>
      <c r="AO93" s="5"/>
      <c r="AP93" s="5"/>
      <c r="AQ93" s="5"/>
      <c r="AR93" s="5"/>
      <c r="AS93" s="5"/>
      <c r="AT93" s="5"/>
      <c r="AU93" s="104"/>
      <c r="AV93" s="104"/>
      <c r="AW93" s="5"/>
      <c r="AX93" s="104"/>
      <c r="AY93" s="104"/>
      <c r="AZ93" s="104"/>
      <c r="BA93" s="5"/>
      <c r="BB93" s="104"/>
      <c r="BC93" s="104"/>
      <c r="BF93" s="104" t="s">
        <v>55</v>
      </c>
      <c r="BG93" s="104" t="n">
        <f>VLOOKUP(B93,'UV台帐'!B:G,6,0)</f>
        <v>0</v>
      </c>
      <c r="BH93" s="104"/>
      <c r="BR93" s="104" t="n">
        <f>COUNTIFS(H93,"一期",I93,"在读")+COUNTIFS(L93,"一期",M93,"在读")+COUNTIFS(P93,"一期",Q93,"在读")</f>
        <v>0</v>
      </c>
      <c r="BS93" s="104" t="n">
        <f>BR93-BW93</f>
        <v>0</v>
      </c>
      <c r="BT93" s="209" t="s">
        <f>VLOOKUP(B93,'UV台帐'!B:AL,19,0)</f>
        <v>116</v>
      </c>
      <c r="BU93" s="209" t="s">
        <f>VLOOKUP(B93,'UV台帐'!B:AL,28,0)</f>
        <v>116</v>
      </c>
      <c r="BV93" s="209" t="s">
        <f>VLOOKUP(B93,'UV台帐'!B:AL,37,0)</f>
        <v>116</v>
      </c>
      <c r="BW93" s="104" t="n">
        <f>COUNTIFS(H93,"一期",BT93,"是")+COUNTIFS(L93,"一期",BU93,"是")+COUNTIFS(P93,"一期",BV93,"是")</f>
        <v>0</v>
      </c>
      <c r="CA93" s="318"/>
    </row>
    <row r="94" ht="26.25" customHeight="1">
      <c r="A94" s="104" t="s">
        <v>54</v>
      </c>
      <c r="B94" s="104" t="n">
        <v>4581996547</v>
      </c>
      <c r="C94" s="508" t="s">
        <f>VLOOKUP(B94,'UV台帐'!B:AL,2,0)</f>
        <v>842</v>
      </c>
      <c r="D94" s="508" t="s">
        <f>VLOOKUP(B94,'UV台帐'!B:AL,3,0)</f>
        <v>57</v>
      </c>
      <c r="E94" s="508" t="s">
        <f>VLOOKUP(B94,'UV台帐'!B:AL,13,0)</f>
        <v>35</v>
      </c>
      <c r="F94" s="508" t="s">
        <f>VLOOKUP(B94,'UV台帐'!B:AL,15,0)</f>
        <v>233</v>
      </c>
      <c r="G94" s="508" t="s">
        <f>VLOOKUP(B94,'UV台帐'!B:AL,16,0)</f>
        <v>234</v>
      </c>
      <c r="H94" s="508" t="s">
        <f>VLOOKUP(B94,'UV台帐'!B:AL,17,0)</f>
        <v>101</v>
      </c>
      <c r="I94" s="508" t="s">
        <f>VLOOKUP(B94,'UV台帐'!B:AL,18,0)</f>
        <v>165</v>
      </c>
      <c r="J94" s="508" t="s">
        <f>VLOOKUP(B94,'UV台帐'!B:AL,22,0)</f>
        <v>49</v>
      </c>
      <c r="K94" s="508" t="s">
        <f>VLOOKUP(B94,'UV台帐'!B:AL,24,0)</f>
        <v>215</v>
      </c>
      <c r="L94" s="508" t="s">
        <f>VLOOKUP(B94,'UV台帐'!B:AL,26,0)</f>
        <v>101</v>
      </c>
      <c r="M94" s="508" t="s">
        <f>VLOOKUP(B94,'UV台帐'!B:AL,27,0)</f>
        <v>165</v>
      </c>
      <c r="N94" s="508" t="s">
        <f>VLOOKUP(B94,'UV台帐'!B:AL,31,0)</f>
        <v>56</v>
      </c>
      <c r="O94" s="508" t="s">
        <f>VLOOKUP(B94,'UV台帐'!B:AL,33,0)</f>
        <v>216</v>
      </c>
      <c r="P94" s="508" t="s">
        <f>VLOOKUP(B94,'UV台帐'!B:AL,35,0)</f>
        <v>101</v>
      </c>
      <c r="Q94" s="508" t="s">
        <f>VLOOKUP(B94,'UV台帐'!B:AL,36,0)</f>
        <v>165</v>
      </c>
      <c r="R94" s="104" t="s">
        <v>217</v>
      </c>
      <c r="S94" s="104" t="s">
        <v>28</v>
      </c>
      <c r="T94" s="104" t="s">
        <v>217</v>
      </c>
      <c r="U94" s="104" t="s">
        <v>217</v>
      </c>
      <c r="V94" s="332" t="s">
        <v>370</v>
      </c>
      <c r="W94" s="332" t="s">
        <v>843</v>
      </c>
      <c r="X94" s="332" t="s">
        <v>844</v>
      </c>
      <c r="Y94" s="332" t="s">
        <v>373</v>
      </c>
      <c r="Z94" s="171" t="s">
        <v>845</v>
      </c>
      <c r="AA94" s="332" t="s">
        <v>223</v>
      </c>
      <c r="AB94" s="639" t="s">
        <v>846</v>
      </c>
      <c r="AC94" s="332" t="s">
        <v>169</v>
      </c>
      <c r="AD94" s="332" t="s">
        <v>280</v>
      </c>
      <c r="AE94" s="332" t="s">
        <v>240</v>
      </c>
      <c r="AF94" s="332" t="s">
        <v>241</v>
      </c>
      <c r="AG94" s="332" t="s">
        <v>228</v>
      </c>
      <c r="AH94" s="332" t="s">
        <v>228</v>
      </c>
      <c r="AI94" s="332" t="s">
        <v>230</v>
      </c>
      <c r="AJ94" s="332" t="s">
        <v>242</v>
      </c>
      <c r="AK94" s="104" t="s">
        <v>35</v>
      </c>
      <c r="AL94" s="104" t="s">
        <v>217</v>
      </c>
      <c r="AM94" s="104"/>
      <c r="AN94" s="5"/>
      <c r="AO94" s="5"/>
      <c r="AP94" s="5"/>
      <c r="AQ94" s="5"/>
      <c r="AR94" s="5"/>
      <c r="AS94" s="5"/>
      <c r="AT94" s="5"/>
      <c r="AU94" s="104"/>
      <c r="AV94" s="104"/>
      <c r="AW94" s="5"/>
      <c r="AX94" s="104"/>
      <c r="AY94" s="104"/>
      <c r="AZ94" s="104"/>
      <c r="BA94" s="5"/>
      <c r="BB94" s="104"/>
      <c r="BC94" s="104"/>
      <c r="BF94" s="104" t="s">
        <v>57</v>
      </c>
      <c r="BG94" s="104" t="s">
        <f>VLOOKUP(B94,'UV台帐'!B:G,6,0)</f>
        <v>847</v>
      </c>
      <c r="BH94" s="104"/>
      <c r="BR94" s="104" t="n">
        <f>COUNTIFS(H94,"一期",I94,"在读")+COUNTIFS(L94,"一期",M94,"在读")+COUNTIFS(P94,"一期",Q94,"在读")</f>
        <v>0</v>
      </c>
      <c r="BS94" s="104" t="n">
        <f>BR94-BW94</f>
        <v>0</v>
      </c>
      <c r="BT94" s="209" t="s">
        <f>VLOOKUP(B94,'UV台帐'!B:AL,19,0)</f>
        <v>116</v>
      </c>
      <c r="BU94" s="209" t="s">
        <f>VLOOKUP(B94,'UV台帐'!B:AL,28,0)</f>
        <v>116</v>
      </c>
      <c r="BV94" s="209" t="s">
        <f>VLOOKUP(B94,'UV台帐'!B:AL,37,0)</f>
        <v>116</v>
      </c>
      <c r="BW94" s="104" t="n">
        <f>COUNTIFS(H94,"一期",BT94,"是")+COUNTIFS(L94,"一期",BU94,"是")+COUNTIFS(P94,"一期",BV94,"是")</f>
        <v>0</v>
      </c>
      <c r="CA94" s="318"/>
    </row>
    <row r="95" ht="26.25" customHeight="1">
      <c r="A95" s="104" t="s">
        <v>45</v>
      </c>
      <c r="B95" s="104" t="n">
        <v>4819417495</v>
      </c>
      <c r="C95" s="508" t="s">
        <f>VLOOKUP(B95,'UV台帐'!B:AL,2,0)</f>
        <v>848</v>
      </c>
      <c r="D95" s="508" t="s">
        <f>VLOOKUP(B95,'UV台帐'!B:AL,3,0)</f>
        <v>46</v>
      </c>
      <c r="E95" s="508" t="s">
        <f>VLOOKUP(B95,'UV台帐'!B:AL,13,0)</f>
        <v>31</v>
      </c>
      <c r="F95" s="508" t="s">
        <f>VLOOKUP(B95,'UV台帐'!B:AL,15,0)</f>
        <v>216</v>
      </c>
      <c r="G95" s="508" t="s">
        <f>VLOOKUP(B95,'UV台帐'!B:AL,16,0)</f>
        <v>234</v>
      </c>
      <c r="H95" s="508" t="s">
        <f>VLOOKUP(B95,'UV台帐'!B:AL,17,0)</f>
        <v>65</v>
      </c>
      <c r="I95" s="508" t="s">
        <f>VLOOKUP(B95,'UV台帐'!B:AL,18,0)</f>
        <v>165</v>
      </c>
      <c r="J95" s="508" t="s">
        <f>VLOOKUP(B95,'UV台帐'!B:AL,22,0)</f>
        <v>43</v>
      </c>
      <c r="K95" s="508" t="s">
        <f>VLOOKUP(B95,'UV台帐'!B:AL,24,0)</f>
        <v>215</v>
      </c>
      <c r="L95" s="508" t="s">
        <f>VLOOKUP(B95,'UV台帐'!B:AL,26,0)</f>
        <v>65</v>
      </c>
      <c r="M95" s="508" t="s">
        <f>VLOOKUP(B95,'UV台帐'!B:AL,27,0)</f>
        <v>165</v>
      </c>
      <c r="N95" s="508" t="s">
        <f>VLOOKUP(B95,'UV台帐'!B:AL,31,0)</f>
        <v>58</v>
      </c>
      <c r="O95" s="508" t="s">
        <f>VLOOKUP(B95,'UV台帐'!B:AL,33,0)</f>
        <v>233</v>
      </c>
      <c r="P95" s="508" t="s">
        <f>VLOOKUP(B95,'UV台帐'!B:AL,35,0)</f>
        <v>65</v>
      </c>
      <c r="Q95" s="508" t="s">
        <f>VLOOKUP(B95,'UV台帐'!B:AL,36,0)</f>
        <v>165</v>
      </c>
      <c r="R95" s="104" t="s">
        <v>217</v>
      </c>
      <c r="S95" s="104" t="s">
        <v>27</v>
      </c>
      <c r="T95" s="104"/>
      <c r="U95" s="104" t="s">
        <v>217</v>
      </c>
      <c r="V95" s="332" t="s">
        <v>849</v>
      </c>
      <c r="W95" s="332" t="s">
        <v>850</v>
      </c>
      <c r="X95" s="332"/>
      <c r="Y95" s="332" t="s">
        <v>851</v>
      </c>
      <c r="Z95" s="171" t="s">
        <v>852</v>
      </c>
      <c r="AA95" s="332" t="s">
        <v>223</v>
      </c>
      <c r="AB95" s="332" t="s">
        <v>853</v>
      </c>
      <c r="AC95" s="332" t="s">
        <v>289</v>
      </c>
      <c r="AD95" s="332" t="s">
        <v>305</v>
      </c>
      <c r="AE95" s="332" t="s">
        <v>240</v>
      </c>
      <c r="AF95" s="332" t="s">
        <v>241</v>
      </c>
      <c r="AG95" s="332" t="s">
        <v>228</v>
      </c>
      <c r="AH95" s="332" t="s">
        <v>315</v>
      </c>
      <c r="AI95" s="332" t="s">
        <v>230</v>
      </c>
      <c r="AJ95" s="332" t="s">
        <v>255</v>
      </c>
      <c r="AK95" s="104" t="s">
        <v>58</v>
      </c>
      <c r="AL95" s="104" t="s">
        <v>353</v>
      </c>
      <c r="AM95" s="104"/>
      <c r="AN95" s="5"/>
      <c r="AO95" s="5"/>
      <c r="AP95" s="5"/>
      <c r="AQ95" s="5"/>
      <c r="AR95" s="5"/>
      <c r="AS95" s="5"/>
      <c r="AT95" s="5"/>
      <c r="AU95" s="104"/>
      <c r="AV95" s="104"/>
      <c r="AW95" s="5"/>
      <c r="AX95" s="104"/>
      <c r="AY95" s="104"/>
      <c r="AZ95" s="104"/>
      <c r="BA95" s="5"/>
      <c r="BB95" s="104"/>
      <c r="BC95" s="104"/>
      <c r="BD95" s="508"/>
      <c r="BE95" s="508"/>
      <c r="BF95" s="104" t="s">
        <v>46</v>
      </c>
      <c r="BG95" s="104" t="n">
        <f>VLOOKUP(B95,'UV台帐'!B:G,6,0)</f>
        <v>0</v>
      </c>
      <c r="BH95" s="104"/>
      <c r="BR95" s="104" t="n">
        <f>COUNTIFS(H95,"一期",I95,"在读")+COUNTIFS(L95,"一期",M95,"在读")+COUNTIFS(P95,"一期",Q95,"在读")</f>
        <v>3</v>
      </c>
      <c r="BS95" s="104" t="n">
        <f>BR95-BW95</f>
        <v>3</v>
      </c>
      <c r="BT95" s="209" t="s">
        <f>VLOOKUP(B95,'UV台帐'!B:AL,19,0)</f>
        <v>116</v>
      </c>
      <c r="BU95" s="209" t="s">
        <f>VLOOKUP(B95,'UV台帐'!B:AL,28,0)</f>
        <v>116</v>
      </c>
      <c r="BV95" s="209" t="s">
        <f>VLOOKUP(B95,'UV台帐'!B:AL,37,0)</f>
        <v>116</v>
      </c>
      <c r="BW95" s="104" t="n">
        <f>COUNTIFS(H95,"一期",BT95,"是")+COUNTIFS(L95,"一期",BU95,"是")+COUNTIFS(P95,"一期",BV95,"是")</f>
        <v>0</v>
      </c>
      <c r="CA95" s="318"/>
    </row>
    <row r="96" ht="26.25" customHeight="1">
      <c r="A96" s="104" t="s">
        <v>45</v>
      </c>
      <c r="B96" s="104" t="n">
        <v>4149020827</v>
      </c>
      <c r="C96" s="508" t="s">
        <f>VLOOKUP(B96,'UV台帐'!B:AL,2,0)</f>
        <v>854</v>
      </c>
      <c r="D96" s="508" t="s">
        <f>VLOOKUP(B96,'UV台帐'!B:AL,3,0)</f>
        <v>46</v>
      </c>
      <c r="E96" s="508" t="s">
        <f>VLOOKUP(B96,'UV台帐'!B:AL,13,0)</f>
        <v>31</v>
      </c>
      <c r="F96" s="508" t="s">
        <f>VLOOKUP(B96,'UV台帐'!B:AL,15,0)</f>
        <v>216</v>
      </c>
      <c r="G96" s="508" t="s">
        <f>VLOOKUP(B96,'UV台帐'!B:AL,16,0)</f>
        <v>234</v>
      </c>
      <c r="H96" s="508" t="s">
        <f>VLOOKUP(B96,'UV台帐'!B:AL,17,0)</f>
        <v>65</v>
      </c>
      <c r="I96" s="508" t="s">
        <f>VLOOKUP(B96,'UV台帐'!B:AL,18,0)</f>
        <v>165</v>
      </c>
      <c r="J96" s="508" t="s">
        <f>VLOOKUP(B96,'UV台帐'!B:AL,22,0)</f>
        <v>43</v>
      </c>
      <c r="K96" s="508" t="s">
        <f>VLOOKUP(B96,'UV台帐'!B:AL,24,0)</f>
        <v>215</v>
      </c>
      <c r="L96" s="508" t="s">
        <f>VLOOKUP(B96,'UV台帐'!B:AL,26,0)</f>
        <v>65</v>
      </c>
      <c r="M96" s="508" t="s">
        <f>VLOOKUP(B96,'UV台帐'!B:AL,27,0)</f>
        <v>165</v>
      </c>
      <c r="N96" s="508" t="s">
        <f>VLOOKUP(B96,'UV台帐'!B:AL,31,0)</f>
        <v>58</v>
      </c>
      <c r="O96" s="508" t="s">
        <f>VLOOKUP(B96,'UV台帐'!B:AL,33,0)</f>
        <v>233</v>
      </c>
      <c r="P96" s="508" t="s">
        <f>VLOOKUP(B96,'UV台帐'!B:AL,35,0)</f>
        <v>65</v>
      </c>
      <c r="Q96" s="508" t="s">
        <f>VLOOKUP(B96,'UV台帐'!B:AL,36,0)</f>
        <v>165</v>
      </c>
      <c r="R96" s="104" t="s">
        <v>217</v>
      </c>
      <c r="S96" s="508" t="s">
        <v>25</v>
      </c>
      <c r="U96" s="104" t="s">
        <v>217</v>
      </c>
      <c r="V96" s="466" t="s">
        <v>592</v>
      </c>
      <c r="W96" s="466" t="s">
        <v>855</v>
      </c>
      <c r="Y96" s="466" t="s">
        <v>856</v>
      </c>
      <c r="Z96" s="171" t="s">
        <v>857</v>
      </c>
      <c r="AA96" s="466" t="s">
        <v>223</v>
      </c>
      <c r="AB96" s="466" t="s">
        <v>858</v>
      </c>
      <c r="AC96" s="466" t="s">
        <v>289</v>
      </c>
      <c r="AD96" s="466" t="s">
        <v>305</v>
      </c>
      <c r="AE96" s="466" t="s">
        <v>240</v>
      </c>
      <c r="AF96" s="466" t="s">
        <v>241</v>
      </c>
      <c r="AG96" s="466" t="s">
        <v>228</v>
      </c>
      <c r="AH96" s="466" t="s">
        <v>315</v>
      </c>
      <c r="AI96" s="466" t="s">
        <v>230</v>
      </c>
      <c r="AJ96" s="466" t="s">
        <v>255</v>
      </c>
      <c r="AK96" s="104" t="s">
        <v>58</v>
      </c>
      <c r="AL96" s="104" t="s">
        <v>353</v>
      </c>
      <c r="AM96" s="104"/>
      <c r="AN96" s="5"/>
      <c r="AO96" s="5"/>
      <c r="AP96" s="5"/>
      <c r="AQ96" s="5"/>
      <c r="AR96" s="5"/>
      <c r="AS96" s="5"/>
      <c r="AT96" s="5"/>
      <c r="AU96" s="104"/>
      <c r="AV96" s="104"/>
      <c r="AW96" s="5"/>
      <c r="AX96" s="104"/>
      <c r="AY96" s="104"/>
      <c r="AZ96" s="104"/>
      <c r="BA96" s="5"/>
      <c r="BB96" s="104"/>
      <c r="BC96" s="104"/>
      <c r="BF96" s="104" t="s">
        <v>46</v>
      </c>
      <c r="BG96" s="104" t="n">
        <f>VLOOKUP(B96,'UV台帐'!B:G,6,0)</f>
        <v>0</v>
      </c>
      <c r="BH96" s="104" t="s">
        <v>597</v>
      </c>
      <c r="BR96" s="104" t="n">
        <f>COUNTIFS(H96,"一期",I96,"在读")+COUNTIFS(L96,"一期",M96,"在读")+COUNTIFS(P96,"一期",Q96,"在读")</f>
        <v>3</v>
      </c>
      <c r="BS96" s="104" t="n">
        <f>BR96-BW96</f>
        <v>3</v>
      </c>
      <c r="BT96" s="209" t="s">
        <f>VLOOKUP(B96,'UV台帐'!B:AL,19,0)</f>
        <v>116</v>
      </c>
      <c r="BU96" s="209" t="s">
        <f>VLOOKUP(B96,'UV台帐'!B:AL,28,0)</f>
        <v>116</v>
      </c>
      <c r="BV96" s="209" t="s">
        <f>VLOOKUP(B96,'UV台帐'!B:AL,37,0)</f>
        <v>116</v>
      </c>
      <c r="BW96" s="104" t="n">
        <f>COUNTIFS(H96,"一期",BT96,"是")+COUNTIFS(L96,"一期",BU96,"是")+COUNTIFS(P96,"一期",BV96,"是")</f>
        <v>0</v>
      </c>
      <c r="CA96" s="318"/>
    </row>
    <row r="97" ht="26.25" customHeight="1">
      <c r="A97" s="104" t="s">
        <v>54</v>
      </c>
      <c r="B97" s="104" t="n">
        <v>2577817187</v>
      </c>
      <c r="C97" s="508" t="s">
        <f>VLOOKUP(B97,'UV台帐'!B:AL,2,0)</f>
        <v>377</v>
      </c>
      <c r="D97" s="508" t="s">
        <f>VLOOKUP(B97,'UV台帐'!B:AL,3,0)</f>
        <v>57</v>
      </c>
      <c r="E97" s="508" t="s">
        <f>VLOOKUP(B97,'UV台帐'!B:AL,13,0)</f>
        <v>35</v>
      </c>
      <c r="F97" s="508" t="s">
        <f>VLOOKUP(B97,'UV台帐'!B:AL,15,0)</f>
        <v>233</v>
      </c>
      <c r="G97" s="508" t="s">
        <f>VLOOKUP(B97,'UV台帐'!B:AL,16,0)</f>
        <v>234</v>
      </c>
      <c r="H97" s="508" t="s">
        <f>VLOOKUP(B97,'UV台帐'!B:AL,17,0)</f>
        <v>101</v>
      </c>
      <c r="I97" s="508" t="s">
        <f>VLOOKUP(B97,'UV台帐'!B:AL,18,0)</f>
        <v>165</v>
      </c>
      <c r="J97" s="508" t="s">
        <f>VLOOKUP(B97,'UV台帐'!B:AL,22,0)</f>
        <v>49</v>
      </c>
      <c r="K97" s="508" t="s">
        <f>VLOOKUP(B97,'UV台帐'!B:AL,24,0)</f>
        <v>215</v>
      </c>
      <c r="L97" s="508" t="s">
        <f>VLOOKUP(B97,'UV台帐'!B:AL,26,0)</f>
        <v>101</v>
      </c>
      <c r="M97" s="508" t="s">
        <f>VLOOKUP(B97,'UV台帐'!B:AL,27,0)</f>
        <v>165</v>
      </c>
      <c r="N97" s="508" t="s">
        <f>VLOOKUP(B97,'UV台帐'!B:AL,31,0)</f>
        <v>56</v>
      </c>
      <c r="O97" s="508" t="s">
        <f>VLOOKUP(B97,'UV台帐'!B:AL,33,0)</f>
        <v>216</v>
      </c>
      <c r="P97" s="508" t="s">
        <f>VLOOKUP(B97,'UV台帐'!B:AL,35,0)</f>
        <v>101</v>
      </c>
      <c r="Q97" s="508" t="s">
        <f>VLOOKUP(B97,'UV台帐'!B:AL,36,0)</f>
        <v>165</v>
      </c>
      <c r="R97" s="104" t="s">
        <v>217</v>
      </c>
      <c r="S97" s="104" t="s">
        <v>28</v>
      </c>
      <c r="T97" s="104" t="s">
        <v>217</v>
      </c>
      <c r="U97" s="104" t="s">
        <v>217</v>
      </c>
      <c r="V97" s="332" t="s">
        <v>370</v>
      </c>
      <c r="W97" s="332" t="s">
        <v>859</v>
      </c>
      <c r="X97" s="332" t="s">
        <v>372</v>
      </c>
      <c r="Y97" s="332" t="s">
        <v>373</v>
      </c>
      <c r="Z97" s="171" t="s">
        <v>860</v>
      </c>
      <c r="AA97" s="332" t="s">
        <v>223</v>
      </c>
      <c r="AB97" s="640" t="s">
        <v>861</v>
      </c>
      <c r="AC97" s="332" t="s">
        <v>169</v>
      </c>
      <c r="AD97" s="332" t="s">
        <v>280</v>
      </c>
      <c r="AE97" s="332" t="s">
        <v>240</v>
      </c>
      <c r="AF97" s="332" t="s">
        <v>241</v>
      </c>
      <c r="AG97" s="332" t="s">
        <v>228</v>
      </c>
      <c r="AH97" s="332" t="s">
        <v>228</v>
      </c>
      <c r="AI97" s="332" t="s">
        <v>230</v>
      </c>
      <c r="AJ97" s="332" t="s">
        <v>242</v>
      </c>
      <c r="AK97" s="104" t="s">
        <v>35</v>
      </c>
      <c r="AL97" s="104"/>
      <c r="AM97" s="104"/>
      <c r="AN97" s="5"/>
      <c r="AO97" s="5"/>
      <c r="AP97" s="5"/>
      <c r="AQ97" s="5"/>
      <c r="AR97" s="5"/>
      <c r="AS97" s="5"/>
      <c r="AT97" s="5"/>
      <c r="AU97" s="508"/>
      <c r="AV97" s="508"/>
      <c r="AW97" s="5"/>
      <c r="AX97" s="508"/>
      <c r="AY97" s="508"/>
      <c r="AZ97" s="508"/>
      <c r="BA97" s="5"/>
      <c r="BB97" s="508"/>
      <c r="BC97" s="508"/>
      <c r="BF97" s="104" t="s">
        <v>57</v>
      </c>
      <c r="BG97" s="104" t="n">
        <f>VLOOKUP(B97,'UV台帐'!B:G,6,0)</f>
        <v>0</v>
      </c>
      <c r="BH97" s="104"/>
      <c r="BR97" s="104" t="n">
        <f>COUNTIFS(H97,"一期",I97,"在读")+COUNTIFS(L97,"一期",M97,"在读")+COUNTIFS(P97,"一期",Q97,"在读")</f>
        <v>0</v>
      </c>
      <c r="BS97" s="104" t="n">
        <f>BR97-BW97</f>
        <v>0</v>
      </c>
      <c r="BT97" s="209" t="s">
        <f>VLOOKUP(B97,'UV台帐'!B:AL,19,0)</f>
        <v>116</v>
      </c>
      <c r="BU97" s="209" t="s">
        <f>VLOOKUP(B97,'UV台帐'!B:AL,28,0)</f>
        <v>116</v>
      </c>
      <c r="BV97" s="209" t="s">
        <f>VLOOKUP(B97,'UV台帐'!B:AL,37,0)</f>
        <v>116</v>
      </c>
      <c r="BW97" s="104" t="n">
        <f>COUNTIFS(H97,"一期",BT97,"是")+COUNTIFS(L97,"一期",BU97,"是")+COUNTIFS(P97,"一期",BV97,"是")</f>
        <v>0</v>
      </c>
      <c r="CA97" s="318"/>
    </row>
    <row r="98" ht="26.25" customHeight="1">
      <c r="A98" s="104" t="s">
        <v>45</v>
      </c>
      <c r="B98" s="104" t="n">
        <v>4247653400</v>
      </c>
      <c r="C98" s="508" t="s">
        <f>VLOOKUP(B98,'UV台帐'!B:AL,2,0)</f>
        <v>862</v>
      </c>
      <c r="D98" s="508" t="s">
        <f>VLOOKUP(B98,'UV台帐'!B:AL,3,0)</f>
        <v>48</v>
      </c>
      <c r="E98" s="508" t="s">
        <f>VLOOKUP(B98,'UV台帐'!B:AL,13,0)</f>
        <v>31</v>
      </c>
      <c r="F98" s="508" t="s">
        <f>VLOOKUP(B98,'UV台帐'!B:AL,15,0)</f>
        <v>216</v>
      </c>
      <c r="G98" s="508" t="s">
        <f>VLOOKUP(B98,'UV台帐'!B:AL,16,0)</f>
        <v>234</v>
      </c>
      <c r="H98" s="508" t="s">
        <f>VLOOKUP(B98,'UV台帐'!B:AL,17,0)</f>
        <v>65</v>
      </c>
      <c r="I98" s="508" t="s">
        <f>VLOOKUP(B98,'UV台帐'!B:AL,18,0)</f>
        <v>165</v>
      </c>
      <c r="J98" s="508" t="s">
        <f>VLOOKUP(B98,'UV台帐'!B:AL,22,0)</f>
        <v>43</v>
      </c>
      <c r="K98" s="508" t="s">
        <f>VLOOKUP(B98,'UV台帐'!B:AL,24,0)</f>
        <v>215</v>
      </c>
      <c r="L98" s="508" t="s">
        <f>VLOOKUP(B98,'UV台帐'!B:AL,26,0)</f>
        <v>65</v>
      </c>
      <c r="M98" s="508" t="s">
        <f>VLOOKUP(B98,'UV台帐'!B:AL,27,0)</f>
        <v>165</v>
      </c>
      <c r="N98" s="288" t="s">
        <f>VLOOKUP(B98,'UV台帐'!B:AL,31,0)</f>
        <v>52</v>
      </c>
      <c r="O98" s="288" t="s">
        <f>VLOOKUP(B98,'UV台帐'!B:AL,33,0)</f>
        <v>215</v>
      </c>
      <c r="P98" s="288" t="s">
        <f>VLOOKUP(B98,'UV台帐'!B:AL,35,0)</f>
        <v>88</v>
      </c>
      <c r="Q98" s="288" t="s">
        <f>VLOOKUP(B98,'UV台帐'!B:AL,36,0)</f>
        <v>165</v>
      </c>
      <c r="R98" s="104" t="s">
        <v>217</v>
      </c>
      <c r="S98" s="104" t="s">
        <v>25</v>
      </c>
      <c r="T98" s="104" t="s">
        <v>217</v>
      </c>
      <c r="U98" s="104" t="s">
        <v>218</v>
      </c>
      <c r="V98" s="332"/>
      <c r="W98" s="466" t="s">
        <v>863</v>
      </c>
      <c r="X98" s="332" t="s">
        <v>864</v>
      </c>
      <c r="Y98" s="332" t="s">
        <v>865</v>
      </c>
      <c r="Z98" s="171" t="s">
        <v>866</v>
      </c>
      <c r="AA98" s="332" t="s">
        <v>223</v>
      </c>
      <c r="AB98" s="332" t="s">
        <v>867</v>
      </c>
      <c r="AC98" s="332" t="s">
        <v>264</v>
      </c>
      <c r="AD98" s="332"/>
      <c r="AE98" s="332"/>
      <c r="AF98" s="332"/>
      <c r="AG98" s="332"/>
      <c r="AH98" s="332"/>
      <c r="AI98" s="332"/>
      <c r="AJ98" s="332"/>
      <c r="AK98" s="104" t="s">
        <v>31</v>
      </c>
      <c r="AL98" s="104" t="s">
        <v>217</v>
      </c>
      <c r="AM98" s="104"/>
      <c r="AN98" s="5"/>
      <c r="AO98" s="5"/>
      <c r="AP98" s="5"/>
      <c r="AQ98" s="5"/>
      <c r="AR98" s="5"/>
      <c r="AS98" s="5"/>
      <c r="AT98" s="5"/>
      <c r="AU98" s="104"/>
      <c r="AV98" s="104"/>
      <c r="AW98" s="5"/>
      <c r="AX98" s="104"/>
      <c r="AY98" s="104"/>
      <c r="AZ98" s="104"/>
      <c r="BA98" s="5"/>
      <c r="BB98" s="104"/>
      <c r="BC98" s="104"/>
      <c r="BF98" s="104" t="s">
        <v>48</v>
      </c>
      <c r="BG98" s="104" t="n">
        <f>VLOOKUP(B98,'UV台帐'!B:G,6,0)</f>
        <v>0</v>
      </c>
      <c r="BH98" s="104"/>
      <c r="BR98" s="104" t="n">
        <f>COUNTIFS(H98,"一期",I98,"在读")+COUNTIFS(L98,"一期",M98,"在读")+COUNTIFS(P98,"一期",Q98,"在读")</f>
        <v>2</v>
      </c>
      <c r="BS98" s="104" t="n">
        <f>BR98-BW98</f>
        <v>0</v>
      </c>
      <c r="BT98" s="209" t="s">
        <f>VLOOKUP(B98,'UV台帐'!B:AL,19,0)</f>
        <v>217</v>
      </c>
      <c r="BU98" s="209" t="s">
        <f>VLOOKUP(B98,'UV台帐'!B:AL,28,0)</f>
        <v>217</v>
      </c>
      <c r="BV98" s="209" t="s">
        <f>VLOOKUP(B98,'UV台帐'!B:AL,37,0)</f>
        <v>116</v>
      </c>
      <c r="BW98" s="104" t="n">
        <f>COUNTIFS(H98,"一期",BT98,"是")+COUNTIFS(L98,"一期",BU98,"是")+COUNTIFS(P98,"一期",BV98,"是")</f>
        <v>2</v>
      </c>
      <c r="CA98" s="318"/>
    </row>
    <row r="99" ht="26.25" customHeight="1">
      <c r="A99" s="104" t="s">
        <v>45</v>
      </c>
      <c r="B99" s="104" t="n">
        <v>4709657503</v>
      </c>
      <c r="C99" s="508" t="s">
        <f>VLOOKUP(B99,'UV台帐'!B:AL,2,0)</f>
        <v>868</v>
      </c>
      <c r="D99" s="508" t="n">
        <f>VLOOKUP(B99,'UV台帐'!B:AL,3,0)</f>
        <v>0</v>
      </c>
      <c r="E99" s="288" t="s">
        <f>VLOOKUP(B99,'UV台帐'!B:AL,13,0)</f>
        <v>116</v>
      </c>
      <c r="F99" s="288" t="s">
        <f>VLOOKUP(B99,'UV台帐'!B:AL,15,0)</f>
        <v>116</v>
      </c>
      <c r="G99" s="288" t="s">
        <f>VLOOKUP(B99,'UV台帐'!B:AL,16,0)</f>
        <v>116</v>
      </c>
      <c r="H99" s="288" t="s">
        <f>VLOOKUP(B99,'UV台帐'!B:AL,17,0)</f>
        <v>116</v>
      </c>
      <c r="I99" s="288" t="s">
        <f>VLOOKUP(B99,'UV台帐'!B:AL,18,0)</f>
        <v>116</v>
      </c>
      <c r="J99" s="508" t="s">
        <f>VLOOKUP(B99,'UV台帐'!B:AL,22,0)</f>
        <v>43</v>
      </c>
      <c r="K99" s="508" t="s">
        <f>VLOOKUP(B99,'UV台帐'!B:AL,24,0)</f>
        <v>215</v>
      </c>
      <c r="L99" s="508" t="s">
        <f>VLOOKUP(B99,'UV台帐'!B:AL,26,0)</f>
        <v>65</v>
      </c>
      <c r="M99" s="508" t="s">
        <f>VLOOKUP(B99,'UV台帐'!B:AL,27,0)</f>
        <v>165</v>
      </c>
      <c r="N99" s="288" t="s">
        <f>VLOOKUP(B99,'UV台帐'!B:AL,31,0)</f>
        <v>116</v>
      </c>
      <c r="O99" s="288" t="s">
        <f>VLOOKUP(B99,'UV台帐'!B:AL,33,0)</f>
        <v>116</v>
      </c>
      <c r="P99" s="288" t="s">
        <f>VLOOKUP(B99,'UV台帐'!B:AL,35,0)</f>
        <v>116</v>
      </c>
      <c r="Q99" s="288" t="s">
        <f>VLOOKUP(B99,'UV台帐'!B:AL,36,0)</f>
        <v>116</v>
      </c>
      <c r="R99" s="104" t="s">
        <v>217</v>
      </c>
      <c r="S99" s="104" t="s">
        <v>25</v>
      </c>
      <c r="T99" s="104" t="s">
        <v>217</v>
      </c>
      <c r="U99" s="104" t="s">
        <v>218</v>
      </c>
      <c r="V99" s="332"/>
      <c r="W99" s="332"/>
      <c r="X99" s="332"/>
      <c r="Y99" s="332" t="s">
        <v>683</v>
      </c>
      <c r="Z99" s="171" t="s">
        <v>866</v>
      </c>
      <c r="AA99" s="332" t="s">
        <v>223</v>
      </c>
      <c r="AB99" s="332" t="s">
        <v>867</v>
      </c>
      <c r="AC99" s="332" t="s">
        <v>168</v>
      </c>
      <c r="AD99" s="332"/>
      <c r="AE99" s="332"/>
      <c r="AF99" s="332"/>
      <c r="AG99" s="332"/>
      <c r="AH99" s="332"/>
      <c r="AI99" s="332"/>
      <c r="AJ99" s="332"/>
      <c r="AK99" s="104" t="s">
        <v>43</v>
      </c>
      <c r="AL99" s="104"/>
      <c r="AM99" s="104"/>
      <c r="AN99" s="5"/>
      <c r="AO99" s="5"/>
      <c r="AP99" s="5"/>
      <c r="AQ99" s="5"/>
      <c r="AR99" s="5"/>
      <c r="AS99" s="5"/>
      <c r="AT99" s="5"/>
      <c r="AU99" s="104"/>
      <c r="AV99" s="104"/>
      <c r="AW99" s="5"/>
      <c r="AX99" s="104"/>
      <c r="AY99" s="104"/>
      <c r="AZ99" s="104"/>
      <c r="BA99" s="5"/>
      <c r="BB99" s="104"/>
      <c r="BC99" s="104"/>
      <c r="BF99" s="104" t="s">
        <v>48</v>
      </c>
      <c r="BG99" s="104" t="n">
        <f>VLOOKUP(B99,'UV台帐'!B:G,6,0)</f>
        <v>0</v>
      </c>
      <c r="BH99" s="104"/>
      <c r="BR99" s="104" t="n">
        <f>COUNTIFS(H99,"一期",I99,"在读")+COUNTIFS(L99,"一期",M99,"在读")+COUNTIFS(P99,"一期",Q99,"在读")</f>
        <v>1</v>
      </c>
      <c r="BS99" s="104" t="n">
        <f>BR99-BW99</f>
        <v>0</v>
      </c>
      <c r="BT99" s="209" t="s">
        <f>VLOOKUP(B99,'UV台帐'!B:AL,19,0)</f>
        <v>116</v>
      </c>
      <c r="BU99" s="209" t="s">
        <f>VLOOKUP(B99,'UV台帐'!B:AL,28,0)</f>
        <v>217</v>
      </c>
      <c r="BV99" s="209" t="s">
        <f>VLOOKUP(B99,'UV台帐'!B:AL,37,0)</f>
        <v>116</v>
      </c>
      <c r="BW99" s="104" t="n">
        <f>COUNTIFS(H99,"一期",BT99,"是")+COUNTIFS(L99,"一期",BU99,"是")+COUNTIFS(P99,"一期",BV99,"是")</f>
        <v>1</v>
      </c>
      <c r="CA99" s="318"/>
    </row>
    <row r="100" ht="26.25" customHeight="1">
      <c r="A100" s="104" t="s">
        <v>45</v>
      </c>
      <c r="B100" s="104" t="n">
        <v>2717412875</v>
      </c>
      <c r="C100" s="508" t="s">
        <f>VLOOKUP(B100,'UV台帐'!B:AL,2,0)</f>
        <v>869</v>
      </c>
      <c r="D100" s="508" t="s">
        <f>VLOOKUP(B100,'UV台帐'!B:AL,3,0)</f>
        <v>46</v>
      </c>
      <c r="E100" s="288" t="s">
        <f>VLOOKUP(B100,'UV台帐'!B:AL,13,0)</f>
        <v>31</v>
      </c>
      <c r="F100" s="288" t="s">
        <f>VLOOKUP(B100,'UV台帐'!B:AL,15,0)</f>
        <v>215</v>
      </c>
      <c r="G100" s="288" t="s">
        <f>VLOOKUP(B100,'UV台帐'!B:AL,16,0)</f>
        <v>283</v>
      </c>
      <c r="H100" s="288" t="s">
        <f>VLOOKUP(B100,'UV台帐'!B:AL,17,0)</f>
        <v>88</v>
      </c>
      <c r="I100" s="288" t="s">
        <f>VLOOKUP(B100,'UV台帐'!B:AL,18,0)</f>
        <v>165</v>
      </c>
      <c r="J100" s="288" t="s">
        <f>VLOOKUP(B100,'UV台帐'!B:AL,22,0)</f>
        <v>47</v>
      </c>
      <c r="K100" s="288" t="s">
        <f>VLOOKUP(B100,'UV台帐'!B:AL,24,0)</f>
        <v>233</v>
      </c>
      <c r="L100" s="288" t="s">
        <f>VLOOKUP(B100,'UV台帐'!B:AL,26,0)</f>
        <v>88</v>
      </c>
      <c r="M100" s="288" t="s">
        <f>VLOOKUP(B100,'UV台帐'!B:AL,27,0)</f>
        <v>165</v>
      </c>
      <c r="N100" s="508" t="s">
        <f>VLOOKUP(B100,'UV台帐'!B:AL,31,0)</f>
        <v>58</v>
      </c>
      <c r="O100" s="508" t="s">
        <f>VLOOKUP(B100,'UV台帐'!B:AL,33,0)</f>
        <v>215</v>
      </c>
      <c r="P100" s="508" t="s">
        <f>VLOOKUP(B100,'UV台帐'!B:AL,35,0)</f>
        <v>101</v>
      </c>
      <c r="Q100" s="508" t="s">
        <f>VLOOKUP(B100,'UV台帐'!B:AL,36,0)</f>
        <v>165</v>
      </c>
      <c r="R100" s="104" t="s">
        <v>217</v>
      </c>
      <c r="S100" s="104" t="s">
        <v>28</v>
      </c>
      <c r="T100" s="104"/>
      <c r="U100" s="104" t="s">
        <v>218</v>
      </c>
      <c r="V100" s="332" t="s">
        <v>870</v>
      </c>
      <c r="W100" s="332"/>
      <c r="X100" s="332"/>
      <c r="Y100" s="332" t="s">
        <v>871</v>
      </c>
      <c r="Z100" s="171" t="s">
        <v>872</v>
      </c>
      <c r="AA100" s="332" t="s">
        <v>223</v>
      </c>
      <c r="AB100" s="332" t="s">
        <v>873</v>
      </c>
      <c r="AC100" s="332" t="s">
        <v>251</v>
      </c>
      <c r="AD100" s="332" t="s">
        <v>874</v>
      </c>
      <c r="AE100" s="466" t="s">
        <v>240</v>
      </c>
      <c r="AF100" s="332" t="s">
        <v>241</v>
      </c>
      <c r="AG100" s="332" t="s">
        <v>228</v>
      </c>
      <c r="AH100" s="332" t="s">
        <v>315</v>
      </c>
      <c r="AI100" s="466" t="s">
        <v>230</v>
      </c>
      <c r="AJ100" s="332" t="s">
        <v>255</v>
      </c>
      <c r="AK100" s="104" t="s">
        <v>58</v>
      </c>
      <c r="AL100" s="104" t="s">
        <v>640</v>
      </c>
      <c r="AM100" s="104"/>
      <c r="AN100" s="5"/>
      <c r="AO100" s="5"/>
      <c r="AP100" s="5"/>
      <c r="AQ100" s="5"/>
      <c r="AR100" s="5"/>
      <c r="AS100" s="5"/>
      <c r="AT100" s="5"/>
      <c r="AU100" s="104"/>
      <c r="AV100" s="104"/>
      <c r="AW100" s="5"/>
      <c r="AX100" s="104"/>
      <c r="AY100" s="104"/>
      <c r="AZ100" s="104"/>
      <c r="BA100" s="5"/>
      <c r="BB100" s="104"/>
      <c r="BC100" s="104"/>
      <c r="BF100" s="104" t="s">
        <v>46</v>
      </c>
      <c r="BG100" s="104" t="n">
        <f>VLOOKUP(B100,'UV台帐'!B:G,6,0)</f>
        <v>0</v>
      </c>
      <c r="BH100" s="104" t="s">
        <v>464</v>
      </c>
      <c r="BR100" s="104" t="n">
        <f>COUNTIFS(H100,"一期",I100,"在读")+COUNTIFS(L100,"一期",M100,"在读")+COUNTIFS(P100,"一期",Q100,"在读")</f>
        <v>0</v>
      </c>
      <c r="BS100" s="104" t="n">
        <f>BR100-BW100</f>
        <v>0</v>
      </c>
      <c r="BT100" s="209" t="s">
        <f>VLOOKUP(B100,'UV台帐'!B:AL,19,0)</f>
        <v>217</v>
      </c>
      <c r="BU100" s="209" t="s">
        <f>VLOOKUP(B100,'UV台帐'!B:AL,28,0)</f>
        <v>116</v>
      </c>
      <c r="BV100" s="209" t="s">
        <f>VLOOKUP(B100,'UV台帐'!B:AL,37,0)</f>
        <v>116</v>
      </c>
      <c r="BW100" s="104" t="n">
        <f>COUNTIFS(H100,"一期",BT100,"是")+COUNTIFS(L100,"一期",BU100,"是")+COUNTIFS(P100,"一期",BV100,"是")</f>
        <v>0</v>
      </c>
      <c r="CA100" s="318"/>
    </row>
    <row r="101" ht="26.25" customHeight="1">
      <c r="A101" s="104" t="s">
        <v>45</v>
      </c>
      <c r="B101" s="104" t="n">
        <v>2579177783</v>
      </c>
      <c r="C101" s="508" t="s">
        <f>VLOOKUP(B101,'UV台帐'!B:AL,2,0)</f>
        <v>875</v>
      </c>
      <c r="D101" s="508" t="s">
        <f>VLOOKUP(B101,'UV台帐'!B:AL,3,0)</f>
        <v>50</v>
      </c>
      <c r="E101" s="508" t="s">
        <f>VLOOKUP(B101,'UV台帐'!B:AL,13,0)</f>
        <v>31</v>
      </c>
      <c r="F101" s="508" t="s">
        <f>VLOOKUP(B101,'UV台帐'!B:AL,15,0)</f>
        <v>216</v>
      </c>
      <c r="G101" s="508" t="s">
        <f>VLOOKUP(B101,'UV台帐'!B:AL,16,0)</f>
        <v>283</v>
      </c>
      <c r="H101" s="508" t="s">
        <f>VLOOKUP(B101,'UV台帐'!B:AL,17,0)</f>
        <v>101</v>
      </c>
      <c r="I101" s="508" t="s">
        <f>VLOOKUP(B101,'UV台帐'!B:AL,18,0)</f>
        <v>165</v>
      </c>
      <c r="J101" s="508" t="s">
        <f>VLOOKUP(B101,'UV台帐'!B:AL,22,0)</f>
        <v>49</v>
      </c>
      <c r="K101" s="508" t="s">
        <f>VLOOKUP(B101,'UV台帐'!B:AL,24,0)</f>
        <v>215</v>
      </c>
      <c r="L101" s="508" t="s">
        <f>VLOOKUP(B101,'UV台帐'!B:AL,26,0)</f>
        <v>101</v>
      </c>
      <c r="M101" s="508" t="s">
        <f>VLOOKUP(B101,'UV台帐'!B:AL,27,0)</f>
        <v>165</v>
      </c>
      <c r="N101" s="508" t="s">
        <f>VLOOKUP(B101,'UV台帐'!B:AL,31,0)</f>
        <v>58</v>
      </c>
      <c r="O101" s="508" t="s">
        <f>VLOOKUP(B101,'UV台帐'!B:AL,33,0)</f>
        <v>215</v>
      </c>
      <c r="P101" s="508" t="s">
        <f>VLOOKUP(B101,'UV台帐'!B:AL,35,0)</f>
        <v>101</v>
      </c>
      <c r="Q101" s="508" t="s">
        <f>VLOOKUP(B101,'UV台帐'!B:AL,36,0)</f>
        <v>165</v>
      </c>
      <c r="R101" s="104" t="s">
        <v>217</v>
      </c>
      <c r="S101" s="104" t="s">
        <v>28</v>
      </c>
      <c r="T101" s="104" t="s">
        <v>217</v>
      </c>
      <c r="U101" s="104" t="s">
        <v>217</v>
      </c>
      <c r="V101" s="332"/>
      <c r="W101" s="332" t="s">
        <v>876</v>
      </c>
      <c r="X101" s="332" t="s">
        <v>877</v>
      </c>
      <c r="Y101" s="466" t="s">
        <v>878</v>
      </c>
      <c r="Z101" s="171" t="s">
        <v>879</v>
      </c>
      <c r="AA101" s="332" t="s">
        <v>223</v>
      </c>
      <c r="AB101" s="641" t="s">
        <v>880</v>
      </c>
      <c r="AC101" s="332" t="s">
        <v>289</v>
      </c>
      <c r="AD101" s="332" t="s">
        <v>881</v>
      </c>
      <c r="AE101" s="332" t="s">
        <v>240</v>
      </c>
      <c r="AF101" s="332" t="s">
        <v>241</v>
      </c>
      <c r="AG101" s="332" t="s">
        <v>228</v>
      </c>
      <c r="AH101" s="332" t="s">
        <v>229</v>
      </c>
      <c r="AI101" s="332" t="s">
        <v>230</v>
      </c>
      <c r="AJ101" s="332" t="s">
        <v>242</v>
      </c>
      <c r="AK101" s="104" t="s">
        <v>58</v>
      </c>
      <c r="AL101" s="209" t="s">
        <v>218</v>
      </c>
      <c r="AN101" s="5"/>
      <c r="AO101" s="5"/>
      <c r="AP101" s="5"/>
      <c r="AQ101" s="5"/>
      <c r="AR101" s="5"/>
      <c r="AS101" s="5"/>
      <c r="AT101" s="5"/>
      <c r="AW101" s="5"/>
      <c r="BA101" s="5"/>
      <c r="BF101" s="104" t="s">
        <v>50</v>
      </c>
      <c r="BG101" s="104" t="n">
        <f>VLOOKUP(B101,'UV台帐'!B:G,6,0)</f>
        <v>0</v>
      </c>
      <c r="BR101" s="104" t="n">
        <f>COUNTIFS(H101,"一期",I101,"在读")+COUNTIFS(L101,"一期",M101,"在读")+COUNTIFS(P101,"一期",Q101,"在读")</f>
        <v>0</v>
      </c>
      <c r="BS101" s="104" t="n">
        <f>BR101-BW101</f>
        <v>0</v>
      </c>
      <c r="BT101" s="209" t="s">
        <f>VLOOKUP(B101,'UV台帐'!B:AL,19,0)</f>
        <v>116</v>
      </c>
      <c r="BU101" s="209" t="s">
        <f>VLOOKUP(B101,'UV台帐'!B:AL,28,0)</f>
        <v>116</v>
      </c>
      <c r="BV101" s="209" t="s">
        <f>VLOOKUP(B101,'UV台帐'!B:AL,37,0)</f>
        <v>116</v>
      </c>
      <c r="BW101" s="104" t="n">
        <f>COUNTIFS(H101,"一期",BT101,"是")+COUNTIFS(L101,"一期",BU101,"是")+COUNTIFS(P101,"一期",BV101,"是")</f>
        <v>0</v>
      </c>
      <c r="CA101" s="318"/>
    </row>
    <row r="102" ht="26.25" customHeight="1">
      <c r="A102" s="104" t="s">
        <v>54</v>
      </c>
      <c r="B102" s="104" t="n">
        <v>4820516119</v>
      </c>
      <c r="C102" s="508" t="s">
        <f>VLOOKUP(B102,'UV台帐'!B:AL,2,0)</f>
        <v>882</v>
      </c>
      <c r="D102" s="508" t="s">
        <f>VLOOKUP(B102,'UV台帐'!B:AL,3,0)</f>
        <v>55</v>
      </c>
      <c r="E102" s="508" t="s">
        <f>VLOOKUP(B102,'UV台帐'!B:AL,13,0)</f>
        <v>35</v>
      </c>
      <c r="F102" s="508" t="s">
        <f>VLOOKUP(B102,'UV台帐'!B:AL,15,0)</f>
        <v>216</v>
      </c>
      <c r="G102" s="508" t="s">
        <f>VLOOKUP(B102,'UV台帐'!B:AL,16,0)</f>
        <v>283</v>
      </c>
      <c r="H102" s="508" t="s">
        <f>VLOOKUP(B102,'UV台帐'!B:AL,17,0)</f>
        <v>65</v>
      </c>
      <c r="I102" s="508" t="s">
        <f>VLOOKUP(B102,'UV台帐'!B:AL,18,0)</f>
        <v>165</v>
      </c>
      <c r="J102" s="508" t="s">
        <f>VLOOKUP(B102,'UV台帐'!B:AL,22,0)</f>
        <v>49</v>
      </c>
      <c r="K102" s="508" t="s">
        <f>VLOOKUP(B102,'UV台帐'!B:AL,24,0)</f>
        <v>233</v>
      </c>
      <c r="L102" s="508" t="s">
        <f>VLOOKUP(B102,'UV台帐'!B:AL,26,0)</f>
        <v>65</v>
      </c>
      <c r="M102" s="508" t="s">
        <f>VLOOKUP(B102,'UV台帐'!B:AL,27,0)</f>
        <v>165</v>
      </c>
      <c r="N102" s="508" t="s">
        <f>VLOOKUP(B102,'UV台帐'!B:AL,31,0)</f>
        <v>56</v>
      </c>
      <c r="O102" s="508" t="s">
        <f>VLOOKUP(B102,'UV台帐'!B:AL,33,0)</f>
        <v>215</v>
      </c>
      <c r="P102" s="508" t="s">
        <f>VLOOKUP(B102,'UV台帐'!B:AL,35,0)</f>
        <v>65</v>
      </c>
      <c r="Q102" s="508" t="s">
        <f>VLOOKUP(B102,'UV台帐'!B:AL,36,0)</f>
        <v>165</v>
      </c>
      <c r="R102" s="209" t="s">
        <v>217</v>
      </c>
      <c r="S102" s="209" t="s">
        <v>27</v>
      </c>
      <c r="T102" s="209" t="s">
        <v>217</v>
      </c>
      <c r="U102" s="104" t="s">
        <v>217</v>
      </c>
      <c r="V102" s="209" t="s">
        <v>883</v>
      </c>
      <c r="W102" s="333" t="s">
        <v>884</v>
      </c>
      <c r="X102" s="332" t="s">
        <v>260</v>
      </c>
      <c r="Y102" s="466" t="s">
        <v>544</v>
      </c>
      <c r="Z102" s="327" t="s">
        <v>885</v>
      </c>
      <c r="AA102" s="333" t="s">
        <v>223</v>
      </c>
      <c r="AB102" s="139" t="s">
        <v>886</v>
      </c>
      <c r="AC102" s="333" t="s">
        <v>289</v>
      </c>
      <c r="AD102" s="333" t="s">
        <v>442</v>
      </c>
      <c r="AE102" s="333" t="s">
        <v>240</v>
      </c>
      <c r="AF102" s="333" t="s">
        <v>306</v>
      </c>
      <c r="AG102" s="333" t="s">
        <v>228</v>
      </c>
      <c r="AH102" s="333" t="s">
        <v>315</v>
      </c>
      <c r="AI102" s="333" t="s">
        <v>254</v>
      </c>
      <c r="AJ102" s="333" t="s">
        <v>255</v>
      </c>
      <c r="AK102" s="209" t="s">
        <v>35</v>
      </c>
      <c r="AN102" s="5"/>
      <c r="AO102" s="5"/>
      <c r="AP102" s="5"/>
      <c r="AQ102" s="5"/>
      <c r="AR102" s="5"/>
      <c r="AS102" s="5"/>
      <c r="AT102" s="5"/>
      <c r="AW102" s="5"/>
      <c r="BA102" s="5"/>
      <c r="BF102" s="104" t="s">
        <v>55</v>
      </c>
      <c r="BG102" s="104" t="n">
        <f>VLOOKUP(B102,'UV台帐'!B:G,6,0)</f>
        <v>0</v>
      </c>
      <c r="BR102" s="104" t="n">
        <f>COUNTIFS(H102,"一期",I102,"在读")+COUNTIFS(L102,"一期",M102,"在读")+COUNTIFS(P102,"一期",Q102,"在读")</f>
        <v>3</v>
      </c>
      <c r="BS102" s="104" t="n">
        <f>BR102-BW102</f>
        <v>3</v>
      </c>
      <c r="BT102" s="209" t="s">
        <f>VLOOKUP(B102,'UV台帐'!B:AL,19,0)</f>
        <v>116</v>
      </c>
      <c r="BU102" s="209" t="s">
        <f>VLOOKUP(B102,'UV台帐'!B:AL,28,0)</f>
        <v>116</v>
      </c>
      <c r="BV102" s="209" t="s">
        <f>VLOOKUP(B102,'UV台帐'!B:AL,37,0)</f>
        <v>116</v>
      </c>
      <c r="BW102" s="104" t="n">
        <f>COUNTIFS(H102,"一期",BT102,"是")+COUNTIFS(L102,"一期",BU102,"是")+COUNTIFS(P102,"一期",BV102,"是")</f>
        <v>0</v>
      </c>
      <c r="CA102" s="318"/>
    </row>
    <row r="103" ht="26.25" customHeight="1">
      <c r="A103" s="104" t="s">
        <v>54</v>
      </c>
      <c r="B103" s="104" t="n">
        <v>2457332134</v>
      </c>
      <c r="C103" s="508" t="s">
        <f>VLOOKUP(B103,'UV台帐'!B:AL,2,0)</f>
        <v>887</v>
      </c>
      <c r="D103" s="508" t="s">
        <f>VLOOKUP(B103,'UV台帐'!B:AL,3,0)</f>
        <v>36</v>
      </c>
      <c r="E103" s="508" t="s">
        <f>VLOOKUP(B103,'UV台帐'!B:AL,13,0)</f>
        <v>35</v>
      </c>
      <c r="F103" s="508" t="s">
        <f>VLOOKUP(B103,'UV台帐'!B:AL,15,0)</f>
        <v>233</v>
      </c>
      <c r="G103" s="508" t="s">
        <f>VLOOKUP(B103,'UV台帐'!B:AL,16,0)</f>
        <v>234</v>
      </c>
      <c r="H103" s="508" t="s">
        <f>VLOOKUP(B103,'UV台帐'!B:AL,17,0)</f>
        <v>101</v>
      </c>
      <c r="I103" s="508" t="s">
        <f>VLOOKUP(B103,'UV台帐'!B:AL,18,0)</f>
        <v>165</v>
      </c>
      <c r="J103" s="288" t="s">
        <f>VLOOKUP(B103,'UV台帐'!B:AL,22,0)</f>
        <v>116</v>
      </c>
      <c r="K103" s="288" t="s">
        <f>VLOOKUP(B103,'UV台帐'!B:AL,24,0)</f>
        <v>116</v>
      </c>
      <c r="L103" s="288" t="s">
        <f>VLOOKUP(B103,'UV台帐'!B:AL,26,0)</f>
        <v>116</v>
      </c>
      <c r="M103" s="288" t="s">
        <f>VLOOKUP(B103,'UV台帐'!B:AL,27,0)</f>
        <v>116</v>
      </c>
      <c r="N103" s="508" t="s">
        <f>VLOOKUP(B103,'UV台帐'!B:AL,31,0)</f>
        <v>56</v>
      </c>
      <c r="O103" s="508" t="s">
        <f>VLOOKUP(B103,'UV台帐'!B:AL,33,0)</f>
        <v>216</v>
      </c>
      <c r="P103" s="508" t="s">
        <f>VLOOKUP(B103,'UV台帐'!B:AL,35,0)</f>
        <v>101</v>
      </c>
      <c r="Q103" s="508" t="s">
        <f>VLOOKUP(B103,'UV台帐'!B:AL,36,0)</f>
        <v>165</v>
      </c>
      <c r="R103" s="209" t="s">
        <v>217</v>
      </c>
      <c r="S103" s="209" t="s">
        <v>28</v>
      </c>
      <c r="T103" s="209" t="s">
        <v>217</v>
      </c>
      <c r="U103" s="209" t="s">
        <v>217</v>
      </c>
      <c r="V103" s="333"/>
      <c r="W103" s="333" t="s">
        <v>888</v>
      </c>
      <c r="X103" s="333" t="s">
        <v>889</v>
      </c>
      <c r="Y103" s="333" t="s">
        <v>890</v>
      </c>
      <c r="Z103" s="642" t="s">
        <v>891</v>
      </c>
      <c r="AA103" s="333" t="s">
        <v>223</v>
      </c>
      <c r="AB103" s="643" t="s">
        <v>892</v>
      </c>
      <c r="AC103" s="333" t="s">
        <v>456</v>
      </c>
      <c r="AD103" s="333" t="s">
        <v>314</v>
      </c>
      <c r="AE103" s="333" t="s">
        <v>240</v>
      </c>
      <c r="AF103" s="333" t="s">
        <v>241</v>
      </c>
      <c r="AG103" s="333" t="s">
        <v>228</v>
      </c>
      <c r="AH103" s="333" t="s">
        <v>229</v>
      </c>
      <c r="AI103" s="333" t="s">
        <v>230</v>
      </c>
      <c r="AJ103" s="333" t="s">
        <v>242</v>
      </c>
      <c r="AK103" s="209" t="s">
        <v>35</v>
      </c>
      <c r="AL103" s="209" t="s">
        <v>217</v>
      </c>
      <c r="AN103" s="5"/>
      <c r="AO103" s="5"/>
      <c r="AP103" s="5"/>
      <c r="AQ103" s="5"/>
      <c r="AR103" s="5"/>
      <c r="AS103" s="5"/>
      <c r="AT103" s="5"/>
      <c r="AW103" s="5"/>
      <c r="BA103" s="5"/>
      <c r="BF103" s="104" t="s">
        <v>36</v>
      </c>
      <c r="BG103" s="104" t="n">
        <f>VLOOKUP(B103,'UV台帐'!B:G,6,0)</f>
        <v>0</v>
      </c>
      <c r="BR103" s="104" t="n">
        <f>COUNTIFS(H103,"一期",I103,"在读")+COUNTIFS(L103,"一期",M103,"在读")+COUNTIFS(P103,"一期",Q103,"在读")</f>
        <v>0</v>
      </c>
      <c r="BS103" s="104" t="n">
        <f>BR103-BW103</f>
        <v>0</v>
      </c>
      <c r="BT103" s="209" t="s">
        <f>VLOOKUP(B103,'UV台帐'!B:AL,19,0)</f>
        <v>116</v>
      </c>
      <c r="BU103" s="209" t="s">
        <f>VLOOKUP(B103,'UV台帐'!B:AL,28,0)</f>
        <v>116</v>
      </c>
      <c r="BV103" s="209" t="s">
        <f>VLOOKUP(B103,'UV台帐'!B:AL,37,0)</f>
        <v>116</v>
      </c>
      <c r="BW103" s="104" t="n">
        <f>COUNTIFS(H103,"一期",BT103,"是")+COUNTIFS(L103,"一期",BU103,"是")+COUNTIFS(P103,"一期",BV103,"是")</f>
        <v>0</v>
      </c>
      <c r="CA103" s="318"/>
    </row>
    <row r="104" ht="26.25" customHeight="1">
      <c r="A104" s="104" t="s">
        <v>85</v>
      </c>
      <c r="B104" s="104" t="n">
        <v>4397750353</v>
      </c>
      <c r="C104" s="508" t="s">
        <f>VLOOKUP(B104,'UV台帐'!B:AL,2,0)</f>
        <v>893</v>
      </c>
      <c r="D104" s="508" t="n">
        <f>VLOOKUP(B104,'UV台帐'!B:AL,3,0)</f>
        <v>0</v>
      </c>
      <c r="E104" s="508" t="s">
        <f>VLOOKUP(B104,'UV台帐'!B:AL,13,0)</f>
        <v>31</v>
      </c>
      <c r="F104" s="508" t="s">
        <f>VLOOKUP(B104,'UV台帐'!B:AL,15,0)</f>
        <v>215</v>
      </c>
      <c r="G104" s="508" t="s">
        <f>VLOOKUP(B104,'UV台帐'!B:AL,16,0)</f>
        <v>283</v>
      </c>
      <c r="H104" s="508" t="s">
        <f>VLOOKUP(B104,'UV台帐'!B:AL,17,0)</f>
        <v>65</v>
      </c>
      <c r="I104" s="508" t="s">
        <f>VLOOKUP(B104,'UV台帐'!B:AL,18,0)</f>
        <v>165</v>
      </c>
      <c r="J104" s="288" t="s">
        <f>VLOOKUP(B104,'UV台帐'!B:AL,22,0)</f>
        <v>116</v>
      </c>
      <c r="K104" s="288" t="s">
        <f>VLOOKUP(B104,'UV台帐'!B:AL,24,0)</f>
        <v>116</v>
      </c>
      <c r="L104" s="288" t="s">
        <f>VLOOKUP(B104,'UV台帐'!B:AL,26,0)</f>
        <v>116</v>
      </c>
      <c r="M104" s="288" t="s">
        <f>VLOOKUP(B104,'UV台帐'!B:AL,27,0)</f>
        <v>116</v>
      </c>
      <c r="N104" s="288" t="s">
        <f>VLOOKUP(B104,'UV台帐'!B:AL,31,0)</f>
        <v>116</v>
      </c>
      <c r="O104" s="288" t="s">
        <f>VLOOKUP(B104,'UV台帐'!B:AL,33,0)</f>
        <v>116</v>
      </c>
      <c r="P104" s="288" t="s">
        <f>VLOOKUP(B104,'UV台帐'!B:AL,35,0)</f>
        <v>116</v>
      </c>
      <c r="Q104" s="288" t="s">
        <f>VLOOKUP(B104,'UV台帐'!B:AL,36,0)</f>
        <v>116</v>
      </c>
      <c r="R104" s="104" t="s">
        <v>217</v>
      </c>
      <c r="S104" s="508" t="s">
        <v>25</v>
      </c>
      <c r="U104" s="508" t="s">
        <v>217</v>
      </c>
      <c r="V104" s="466" t="s">
        <v>775</v>
      </c>
      <c r="W104" s="466" t="n">
        <v>280</v>
      </c>
      <c r="Z104" s="171" t="s">
        <v>894</v>
      </c>
      <c r="AB104" s="466"/>
      <c r="AK104" s="104" t="s">
        <v>31</v>
      </c>
      <c r="AN104" s="5"/>
      <c r="AO104" s="5"/>
      <c r="AP104" s="5"/>
      <c r="AQ104" s="5"/>
      <c r="AR104" s="5"/>
      <c r="AS104" s="5"/>
      <c r="AT104" s="5"/>
      <c r="AW104" s="5"/>
      <c r="BA104" s="5"/>
      <c r="BF104" s="104" t="s">
        <v>38</v>
      </c>
      <c r="BG104" s="104" t="n">
        <f>VLOOKUP(B104,'UV台帐'!B:G,6,0)</f>
        <v>0</v>
      </c>
      <c r="BR104" s="104" t="n">
        <f>COUNTIFS(H104,"一期",I104,"在读")+COUNTIFS(L104,"一期",M104,"在读")+COUNTIFS(P104,"一期",Q104,"在读")</f>
        <v>1</v>
      </c>
      <c r="BS104" s="104" t="n">
        <f>BR104-BW104</f>
        <v>0</v>
      </c>
      <c r="BT104" s="209" t="s">
        <f>VLOOKUP(B104,'UV台帐'!B:AL,19,0)</f>
        <v>217</v>
      </c>
      <c r="BU104" s="209" t="s">
        <f>VLOOKUP(B104,'UV台帐'!B:AL,28,0)</f>
        <v>116</v>
      </c>
      <c r="BV104" s="209" t="s">
        <f>VLOOKUP(B104,'UV台帐'!B:AL,37,0)</f>
        <v>116</v>
      </c>
      <c r="BW104" s="104" t="n">
        <f>COUNTIFS(H104,"一期",BT104,"是")+COUNTIFS(L104,"一期",BU104,"是")+COUNTIFS(P104,"一期",BV104,"是")</f>
        <v>1</v>
      </c>
      <c r="CA104" s="318"/>
    </row>
    <row r="105" ht="26.25" customHeight="1">
      <c r="A105" s="104" t="s">
        <v>45</v>
      </c>
      <c r="B105" s="104" t="n">
        <v>4078699077</v>
      </c>
      <c r="C105" s="508" t="s">
        <f>VLOOKUP(B105,'UV台帐'!B:AL,2,0)</f>
        <v>895</v>
      </c>
      <c r="D105" s="508" t="s">
        <f>VLOOKUP(B105,'UV台帐'!B:AL,3,0)</f>
        <v>48</v>
      </c>
      <c r="E105" s="508" t="s">
        <f>VLOOKUP(B105,'UV台帐'!B:AL,13,0)</f>
        <v>31</v>
      </c>
      <c r="F105" s="508" t="s">
        <f>VLOOKUP(B105,'UV台帐'!B:AL,15,0)</f>
        <v>216</v>
      </c>
      <c r="G105" s="508" t="s">
        <f>VLOOKUP(B105,'UV台帐'!B:AL,16,0)</f>
        <v>234</v>
      </c>
      <c r="H105" s="508" t="s">
        <f>VLOOKUP(B105,'UV台帐'!B:AL,17,0)</f>
        <v>65</v>
      </c>
      <c r="I105" s="508" t="s">
        <f>VLOOKUP(B105,'UV台帐'!B:AL,18,0)</f>
        <v>165</v>
      </c>
      <c r="J105" s="288" t="s">
        <f>VLOOKUP(B105,'UV台帐'!B:AL,22,0)</f>
        <v>47</v>
      </c>
      <c r="K105" s="288" t="s">
        <f>VLOOKUP(B105,'UV台帐'!B:AL,24,0)</f>
        <v>233</v>
      </c>
      <c r="L105" s="288" t="s">
        <f>VLOOKUP(B105,'UV台帐'!B:AL,26,0)</f>
        <v>88</v>
      </c>
      <c r="M105" s="288" t="s">
        <f>VLOOKUP(B105,'UV台帐'!B:AL,27,0)</f>
        <v>165</v>
      </c>
      <c r="N105" s="288" t="s">
        <f>VLOOKUP(B105,'UV台帐'!B:AL,31,0)</f>
        <v>58</v>
      </c>
      <c r="O105" s="288" t="s">
        <f>VLOOKUP(B105,'UV台帐'!B:AL,33,0)</f>
        <v>216</v>
      </c>
      <c r="P105" s="288" t="s">
        <f>VLOOKUP(B105,'UV台帐'!B:AL,35,0)</f>
        <v>88</v>
      </c>
      <c r="Q105" s="288" t="s">
        <f>VLOOKUP(B105,'UV台帐'!B:AL,36,0)</f>
        <v>165</v>
      </c>
      <c r="R105" s="104" t="s">
        <v>217</v>
      </c>
      <c r="S105" s="104" t="s">
        <v>27</v>
      </c>
      <c r="T105" s="104" t="s">
        <v>217</v>
      </c>
      <c r="U105" s="104" t="s">
        <v>218</v>
      </c>
      <c r="V105" s="29" t="s">
        <v>325</v>
      </c>
      <c r="W105" s="466" t="s">
        <v>863</v>
      </c>
      <c r="X105" s="332" t="s">
        <v>896</v>
      </c>
      <c r="Y105" s="332" t="s">
        <v>897</v>
      </c>
      <c r="Z105" s="171" t="s">
        <v>898</v>
      </c>
      <c r="AA105" s="332" t="s">
        <v>223</v>
      </c>
      <c r="AB105" s="332" t="s">
        <v>899</v>
      </c>
      <c r="AC105" s="332" t="s">
        <v>289</v>
      </c>
      <c r="AD105" s="332" t="s">
        <v>280</v>
      </c>
      <c r="AE105" s="332" t="s">
        <v>240</v>
      </c>
      <c r="AF105" s="332" t="s">
        <v>241</v>
      </c>
      <c r="AG105" s="332" t="s">
        <v>228</v>
      </c>
      <c r="AH105" s="332" t="s">
        <v>315</v>
      </c>
      <c r="AI105" s="332" t="s">
        <v>230</v>
      </c>
      <c r="AJ105" s="332" t="s">
        <v>255</v>
      </c>
      <c r="AK105" s="104" t="s">
        <v>31</v>
      </c>
      <c r="AL105" s="104" t="s">
        <v>640</v>
      </c>
      <c r="AN105" s="5"/>
      <c r="AO105" s="5"/>
      <c r="AP105" s="5"/>
      <c r="AQ105" s="5"/>
      <c r="AR105" s="5"/>
      <c r="AS105" s="5"/>
      <c r="AT105" s="5"/>
      <c r="AW105" s="5"/>
      <c r="BA105" s="5"/>
      <c r="BF105" s="104" t="s">
        <v>48</v>
      </c>
      <c r="BG105" s="104" t="n">
        <f>VLOOKUP(B105,'UV台帐'!B:G,6,0)</f>
        <v>0</v>
      </c>
      <c r="BR105" s="104" t="n">
        <f>COUNTIFS(H105,"一期",I105,"在读")+COUNTIFS(L105,"一期",M105,"在读")+COUNTIFS(P105,"一期",Q105,"在读")</f>
        <v>1</v>
      </c>
      <c r="BS105" s="104" t="n">
        <f>BR105-BW105</f>
        <v>1</v>
      </c>
      <c r="BT105" s="209" t="s">
        <f>VLOOKUP(B105,'UV台帐'!B:AL,19,0)</f>
        <v>116</v>
      </c>
      <c r="BU105" s="209" t="s">
        <f>VLOOKUP(B105,'UV台帐'!B:AL,28,0)</f>
        <v>116</v>
      </c>
      <c r="BV105" s="209" t="s">
        <f>VLOOKUP(B105,'UV台帐'!B:AL,37,0)</f>
        <v>217</v>
      </c>
      <c r="BW105" s="104" t="n">
        <f>COUNTIFS(H105,"一期",BT105,"是")+COUNTIFS(L105,"一期",BU105,"是")+COUNTIFS(P105,"一期",BV105,"是")</f>
        <v>0</v>
      </c>
      <c r="CA105" s="318"/>
    </row>
    <row r="106" ht="26.25" customHeight="1">
      <c r="A106" s="104" t="s">
        <v>45</v>
      </c>
      <c r="B106" s="104" t="n">
        <v>4779330593</v>
      </c>
      <c r="C106" s="508" t="s">
        <f>VLOOKUP(B106,'UV台帐'!B:AL,2,0)</f>
        <v>900</v>
      </c>
      <c r="D106" s="508" t="s">
        <f>VLOOKUP(B106,'UV台帐'!B:AL,3,0)</f>
        <v>46</v>
      </c>
      <c r="E106" s="508" t="s">
        <f>VLOOKUP(B106,'UV台帐'!B:AL,13,0)</f>
        <v>31</v>
      </c>
      <c r="F106" s="508" t="s">
        <f>VLOOKUP(B106,'UV台帐'!B:AL,15,0)</f>
        <v>216</v>
      </c>
      <c r="G106" s="508" t="s">
        <f>VLOOKUP(B106,'UV台帐'!B:AL,16,0)</f>
        <v>234</v>
      </c>
      <c r="H106" s="508" t="s">
        <f>VLOOKUP(B106,'UV台帐'!B:AL,17,0)</f>
        <v>65</v>
      </c>
      <c r="I106" s="508" t="s">
        <f>VLOOKUP(B106,'UV台帐'!B:AL,18,0)</f>
        <v>165</v>
      </c>
      <c r="J106" s="508" t="s">
        <f>VLOOKUP(B106,'UV台帐'!B:AL,22,0)</f>
        <v>43</v>
      </c>
      <c r="K106" s="508" t="s">
        <f>VLOOKUP(B106,'UV台帐'!B:AL,24,0)</f>
        <v>215</v>
      </c>
      <c r="L106" s="508" t="s">
        <f>VLOOKUP(B106,'UV台帐'!B:AL,26,0)</f>
        <v>65</v>
      </c>
      <c r="M106" s="508" t="s">
        <f>VLOOKUP(B106,'UV台帐'!B:AL,27,0)</f>
        <v>165</v>
      </c>
      <c r="N106" s="508" t="s">
        <f>VLOOKUP(B106,'UV台帐'!B:AL,31,0)</f>
        <v>58</v>
      </c>
      <c r="O106" s="508" t="s">
        <f>VLOOKUP(B106,'UV台帐'!B:AL,33,0)</f>
        <v>233</v>
      </c>
      <c r="P106" s="508" t="s">
        <f>VLOOKUP(B106,'UV台帐'!B:AL,35,0)</f>
        <v>65</v>
      </c>
      <c r="Q106" s="508" t="s">
        <f>VLOOKUP(B106,'UV台帐'!B:AL,36,0)</f>
        <v>165</v>
      </c>
      <c r="R106" s="104" t="s">
        <v>217</v>
      </c>
      <c r="S106" s="104" t="s">
        <v>25</v>
      </c>
      <c r="T106" s="104"/>
      <c r="U106" s="104" t="s">
        <v>217</v>
      </c>
      <c r="V106" s="332" t="s">
        <v>669</v>
      </c>
      <c r="W106" s="332"/>
      <c r="X106" s="332"/>
      <c r="Y106" s="332" t="s">
        <v>725</v>
      </c>
      <c r="Z106" s="171" t="s">
        <v>901</v>
      </c>
      <c r="AA106" s="332"/>
      <c r="AB106" s="171" t="s">
        <v>726</v>
      </c>
      <c r="AC106" s="332"/>
      <c r="AD106" s="332"/>
      <c r="AE106" s="332"/>
      <c r="AF106" s="332"/>
      <c r="AG106" s="332"/>
      <c r="AH106" s="332"/>
      <c r="AI106" s="332"/>
      <c r="AJ106" s="332"/>
      <c r="AK106" s="104" t="s">
        <v>58</v>
      </c>
      <c r="AL106" s="209" t="s">
        <v>217</v>
      </c>
      <c r="AN106" s="5"/>
      <c r="AO106" s="5"/>
      <c r="AP106" s="5"/>
      <c r="AQ106" s="5"/>
      <c r="AR106" s="5"/>
      <c r="AS106" s="5"/>
      <c r="AT106" s="5"/>
      <c r="AW106" s="5"/>
      <c r="BA106" s="5"/>
      <c r="BF106" s="104" t="s">
        <v>46</v>
      </c>
      <c r="BG106" s="104" t="n">
        <f>VLOOKUP(B106,'UV台帐'!B:G,6,0)</f>
        <v>0</v>
      </c>
      <c r="BH106" s="209" t="s">
        <v>483</v>
      </c>
      <c r="BR106" s="104" t="n">
        <f>COUNTIFS(H106,"一期",I106,"在读")+COUNTIFS(L106,"一期",M106,"在读")+COUNTIFS(P106,"一期",Q106,"在读")</f>
        <v>3</v>
      </c>
      <c r="BS106" s="104" t="n">
        <f>BR106-BW106</f>
        <v>0</v>
      </c>
      <c r="BT106" s="209" t="s">
        <f>VLOOKUP(B106,'UV台帐'!B:AL,19,0)</f>
        <v>217</v>
      </c>
      <c r="BU106" s="209" t="s">
        <f>VLOOKUP(B106,'UV台帐'!B:AL,28,0)</f>
        <v>217</v>
      </c>
      <c r="BV106" s="209" t="s">
        <f>VLOOKUP(B106,'UV台帐'!B:AL,37,0)</f>
        <v>217</v>
      </c>
      <c r="BW106" s="104" t="n">
        <f>COUNTIFS(H106,"一期",BT106,"是")+COUNTIFS(L106,"一期",BU106,"是")+COUNTIFS(P106,"一期",BV106,"是")</f>
        <v>3</v>
      </c>
      <c r="CA106" s="318"/>
    </row>
    <row r="107" ht="26.25" customHeight="1">
      <c r="A107" s="104" t="s">
        <v>45</v>
      </c>
      <c r="B107" s="104" t="n">
        <v>4765984969</v>
      </c>
      <c r="C107" s="508" t="s">
        <f>VLOOKUP(B107,'UV台帐'!B:AL,2,0)</f>
        <v>902</v>
      </c>
      <c r="D107" s="508" t="s">
        <f>VLOOKUP(B107,'UV台帐'!B:AL,3,0)</f>
        <v>48</v>
      </c>
      <c r="E107" s="508" t="s">
        <f>VLOOKUP(B107,'UV台帐'!B:AL,13,0)</f>
        <v>37</v>
      </c>
      <c r="F107" s="508" t="s">
        <f>VLOOKUP(B107,'UV台帐'!B:AL,15,0)</f>
        <v>233</v>
      </c>
      <c r="G107" s="508" t="s">
        <f>VLOOKUP(B107,'UV台帐'!B:AL,16,0)</f>
        <v>283</v>
      </c>
      <c r="H107" s="508" t="s">
        <f>VLOOKUP(B107,'UV台帐'!B:AL,17,0)</f>
        <v>65</v>
      </c>
      <c r="I107" s="508" t="s">
        <f>VLOOKUP(B107,'UV台帐'!B:AL,18,0)</f>
        <v>165</v>
      </c>
      <c r="J107" s="508" t="s">
        <f>VLOOKUP(B107,'UV台帐'!B:AL,22,0)</f>
        <v>49</v>
      </c>
      <c r="K107" s="508" t="s">
        <f>VLOOKUP(B107,'UV台帐'!B:AL,24,0)</f>
        <v>215</v>
      </c>
      <c r="L107" s="508" t="s">
        <f>VLOOKUP(B107,'UV台帐'!B:AL,26,0)</f>
        <v>65</v>
      </c>
      <c r="M107" s="508" t="s">
        <f>VLOOKUP(B107,'UV台帐'!B:AL,27,0)</f>
        <v>165</v>
      </c>
      <c r="N107" s="508" t="s">
        <f>VLOOKUP(B107,'UV台帐'!B:AL,31,0)</f>
        <v>58</v>
      </c>
      <c r="O107" s="508" t="s">
        <f>VLOOKUP(B107,'UV台帐'!B:AL,33,0)</f>
        <v>216</v>
      </c>
      <c r="P107" s="508" t="s">
        <f>VLOOKUP(B107,'UV台帐'!B:AL,35,0)</f>
        <v>65</v>
      </c>
      <c r="Q107" s="508" t="s">
        <f>VLOOKUP(B107,'UV台帐'!B:AL,36,0)</f>
        <v>165</v>
      </c>
      <c r="R107" s="104" t="s">
        <v>217</v>
      </c>
      <c r="S107" s="104" t="s">
        <v>27</v>
      </c>
      <c r="T107" s="104" t="s">
        <v>217</v>
      </c>
      <c r="U107" s="104" t="s">
        <v>217</v>
      </c>
      <c r="V107" s="332" t="s">
        <v>903</v>
      </c>
      <c r="W107" s="466" t="s">
        <v>904</v>
      </c>
      <c r="X107" s="332" t="s">
        <v>905</v>
      </c>
      <c r="Y107" s="332" t="s">
        <v>906</v>
      </c>
      <c r="Z107" s="171" t="s">
        <v>907</v>
      </c>
      <c r="AA107" s="332" t="s">
        <v>223</v>
      </c>
      <c r="AB107" s="644" t="s">
        <v>908</v>
      </c>
      <c r="AC107" s="332" t="s">
        <v>289</v>
      </c>
      <c r="AD107" s="332" t="s">
        <v>635</v>
      </c>
      <c r="AE107" s="332" t="s">
        <v>240</v>
      </c>
      <c r="AF107" s="332" t="s">
        <v>306</v>
      </c>
      <c r="AG107" s="332" t="s">
        <v>228</v>
      </c>
      <c r="AH107" s="332" t="s">
        <v>229</v>
      </c>
      <c r="AI107" s="332" t="s">
        <v>230</v>
      </c>
      <c r="AJ107" s="332" t="s">
        <v>255</v>
      </c>
      <c r="AK107" s="104" t="s">
        <v>49</v>
      </c>
      <c r="AL107" s="209" t="s">
        <v>217</v>
      </c>
      <c r="AN107" s="5"/>
      <c r="AO107" s="5"/>
      <c r="AP107" s="5"/>
      <c r="AQ107" s="5"/>
      <c r="AR107" s="5"/>
      <c r="AS107" s="5"/>
      <c r="AT107" s="5"/>
      <c r="AW107" s="5"/>
      <c r="BA107" s="5"/>
      <c r="BF107" s="104" t="s">
        <v>48</v>
      </c>
      <c r="BG107" s="104" t="n">
        <f>VLOOKUP(B107,'UV台帐'!B:G,6,0)</f>
        <v>0</v>
      </c>
      <c r="BR107" s="104" t="n">
        <f>COUNTIFS(H107,"一期",I107,"在读")+COUNTIFS(L107,"一期",M107,"在读")+COUNTIFS(P107,"一期",Q107,"在读")</f>
        <v>3</v>
      </c>
      <c r="BS107" s="104" t="n">
        <f>BR107-BW107</f>
        <v>3</v>
      </c>
      <c r="BT107" s="209" t="s">
        <f>VLOOKUP(B107,'UV台帐'!B:AL,19,0)</f>
        <v>116</v>
      </c>
      <c r="BU107" s="209" t="s">
        <f>VLOOKUP(B107,'UV台帐'!B:AL,28,0)</f>
        <v>116</v>
      </c>
      <c r="BV107" s="209" t="s">
        <f>VLOOKUP(B107,'UV台帐'!B:AL,37,0)</f>
        <v>116</v>
      </c>
      <c r="BW107" s="104" t="n">
        <f>COUNTIFS(H107,"一期",BT107,"是")+COUNTIFS(L107,"一期",BU107,"是")+COUNTIFS(P107,"一期",BV107,"是")</f>
        <v>0</v>
      </c>
      <c r="CA107" s="318"/>
    </row>
    <row r="108" ht="26.25" customHeight="1">
      <c r="A108" s="209" t="s">
        <v>85</v>
      </c>
      <c r="B108" s="209" t="n">
        <v>4046231321</v>
      </c>
      <c r="C108" s="508" t="s">
        <f>VLOOKUP(B108,'UV台帐'!B:AL,2,0)</f>
        <v>909</v>
      </c>
      <c r="D108" s="508" t="s">
        <f>VLOOKUP(B108,'UV台帐'!B:AL,3,0)</f>
        <v>38</v>
      </c>
      <c r="E108" s="508" t="s">
        <f>VLOOKUP(B108,'UV台帐'!B:AL,13,0)</f>
        <v>31</v>
      </c>
      <c r="F108" s="508" t="s">
        <f>VLOOKUP(B108,'UV台帐'!B:AL,15,0)</f>
        <v>215</v>
      </c>
      <c r="G108" s="508" t="s">
        <f>VLOOKUP(B108,'UV台帐'!B:AL,16,0)</f>
        <v>283</v>
      </c>
      <c r="H108" s="508" t="s">
        <f>VLOOKUP(B108,'UV台帐'!B:AL,17,0)</f>
        <v>65</v>
      </c>
      <c r="I108" s="508" t="s">
        <f>VLOOKUP(B108,'UV台帐'!B:AL,18,0)</f>
        <v>165</v>
      </c>
      <c r="J108" s="508" t="s">
        <f>VLOOKUP(B108,'UV台帐'!B:AL,22,0)</f>
        <v>47</v>
      </c>
      <c r="K108" s="508" t="s">
        <f>VLOOKUP(B108,'UV台帐'!B:AL,24,0)</f>
        <v>246</v>
      </c>
      <c r="L108" s="508" t="s">
        <f>VLOOKUP(B108,'UV台帐'!B:AL,26,0)</f>
        <v>65</v>
      </c>
      <c r="M108" s="508" t="s">
        <f>VLOOKUP(B108,'UV台帐'!B:AL,27,0)</f>
        <v>165</v>
      </c>
      <c r="N108" s="508" t="s">
        <f>VLOOKUP(B108,'UV台帐'!B:AL,31,0)</f>
        <v>52</v>
      </c>
      <c r="O108" s="508" t="s">
        <f>VLOOKUP(B108,'UV台帐'!B:AL,33,0)</f>
        <v>216</v>
      </c>
      <c r="P108" s="508" t="s">
        <f>VLOOKUP(B108,'UV台帐'!B:AL,35,0)</f>
        <v>65</v>
      </c>
      <c r="Q108" s="508" t="s">
        <f>VLOOKUP(B108,'UV台帐'!B:AL,36,0)</f>
        <v>165</v>
      </c>
      <c r="R108" s="104" t="s">
        <v>217</v>
      </c>
      <c r="S108" s="104" t="s">
        <v>28</v>
      </c>
      <c r="U108" s="104" t="s">
        <v>217</v>
      </c>
      <c r="V108" s="466" t="s">
        <v>775</v>
      </c>
      <c r="W108" s="332" t="n">
        <v>280</v>
      </c>
      <c r="X108" s="332" t="s">
        <v>910</v>
      </c>
      <c r="Y108" s="332" t="s">
        <v>911</v>
      </c>
      <c r="Z108" s="171" t="s">
        <v>912</v>
      </c>
      <c r="AA108" s="332" t="s">
        <v>223</v>
      </c>
      <c r="AB108" s="645" t="s">
        <v>913</v>
      </c>
      <c r="AC108" s="332" t="s">
        <v>289</v>
      </c>
      <c r="AD108" s="332" t="s">
        <v>424</v>
      </c>
      <c r="AE108" s="332" t="s">
        <v>253</v>
      </c>
      <c r="AF108" s="332" t="s">
        <v>241</v>
      </c>
      <c r="AG108" s="332" t="s">
        <v>228</v>
      </c>
      <c r="AH108" s="332" t="s">
        <v>315</v>
      </c>
      <c r="AI108" s="332" t="s">
        <v>230</v>
      </c>
      <c r="AJ108" s="332" t="s">
        <v>255</v>
      </c>
      <c r="AK108" s="104" t="s">
        <v>52</v>
      </c>
      <c r="AL108" s="104" t="s">
        <v>217</v>
      </c>
      <c r="AN108" s="5"/>
      <c r="AO108" s="5"/>
      <c r="AP108" s="5"/>
      <c r="AQ108" s="5"/>
      <c r="AR108" s="5"/>
      <c r="AS108" s="5"/>
      <c r="AT108" s="5"/>
      <c r="AW108" s="5"/>
      <c r="BA108" s="5"/>
      <c r="BF108" s="104" t="s">
        <v>38</v>
      </c>
      <c r="BG108" s="104" t="n">
        <f>VLOOKUP(B108,'UV台帐'!B:G,6,0)</f>
        <v>0</v>
      </c>
      <c r="BR108" s="104" t="n">
        <f>COUNTIFS(H108,"一期",I108,"在读")+COUNTIFS(L108,"一期",M108,"在读")+COUNTIFS(P108,"一期",Q108,"在读")</f>
        <v>3</v>
      </c>
      <c r="BS108" s="104" t="n">
        <f>BR108-BW108</f>
        <v>3</v>
      </c>
      <c r="BT108" s="209" t="s">
        <f>VLOOKUP(B108,'UV台帐'!B:AL,19,0)</f>
        <v>116</v>
      </c>
      <c r="BU108" s="209" t="s">
        <f>VLOOKUP(B108,'UV台帐'!B:AL,28,0)</f>
        <v>116</v>
      </c>
      <c r="BV108" s="209" t="s">
        <f>VLOOKUP(B108,'UV台帐'!B:AL,37,0)</f>
        <v>116</v>
      </c>
      <c r="BW108" s="104" t="n">
        <f>COUNTIFS(H108,"一期",BT108,"是")+COUNTIFS(L108,"一期",BU108,"是")+COUNTIFS(P108,"一期",BV108,"是")</f>
        <v>0</v>
      </c>
      <c r="CA108" s="318"/>
    </row>
    <row r="109" ht="26.25" customHeight="1">
      <c r="A109" s="209" t="s">
        <v>45</v>
      </c>
      <c r="B109" s="209" t="n">
        <v>4443796286</v>
      </c>
      <c r="C109" s="508" t="s">
        <f>VLOOKUP(B109,'UV台帐'!B:AL,2,0)</f>
        <v>914</v>
      </c>
      <c r="D109" s="508" t="s">
        <f>VLOOKUP(B109,'UV台帐'!B:AL,3,0)</f>
        <v>46</v>
      </c>
      <c r="E109" s="288" t="s">
        <f>VLOOKUP(B109,'UV台帐'!B:AL,13,0)</f>
        <v>116</v>
      </c>
      <c r="F109" s="288" t="s">
        <f>VLOOKUP(B109,'UV台帐'!B:AL,15,0)</f>
        <v>116</v>
      </c>
      <c r="G109" s="288" t="s">
        <f>VLOOKUP(B109,'UV台帐'!B:AL,16,0)</f>
        <v>116</v>
      </c>
      <c r="H109" s="288" t="s">
        <f>VLOOKUP(B109,'UV台帐'!B:AL,17,0)</f>
        <v>116</v>
      </c>
      <c r="I109" s="288" t="s">
        <f>VLOOKUP(B109,'UV台帐'!B:AL,18,0)</f>
        <v>116</v>
      </c>
      <c r="J109" s="508" t="s">
        <f>VLOOKUP(B109,'UV台帐'!B:AL,22,0)</f>
        <v>43</v>
      </c>
      <c r="K109" s="508" t="s">
        <f>VLOOKUP(B109,'UV台帐'!B:AL,24,0)</f>
        <v>215</v>
      </c>
      <c r="L109" s="508" t="s">
        <f>VLOOKUP(B109,'UV台帐'!B:AL,26,0)</f>
        <v>65</v>
      </c>
      <c r="M109" s="508" t="s">
        <f>VLOOKUP(B109,'UV台帐'!B:AL,27,0)</f>
        <v>165</v>
      </c>
      <c r="N109" s="288" t="s">
        <f>VLOOKUP(B109,'UV台帐'!B:AL,31,0)</f>
        <v>52</v>
      </c>
      <c r="O109" s="288" t="s">
        <f>VLOOKUP(B109,'UV台帐'!B:AL,33,0)</f>
        <v>215</v>
      </c>
      <c r="P109" s="288" t="s">
        <f>VLOOKUP(B109,'UV台帐'!B:AL,35,0)</f>
        <v>88</v>
      </c>
      <c r="Q109" s="288" t="s">
        <f>VLOOKUP(B109,'UV台帐'!B:AL,36,0)</f>
        <v>165</v>
      </c>
      <c r="R109" s="209" t="s">
        <v>217</v>
      </c>
      <c r="S109" s="209"/>
      <c r="T109" s="104"/>
      <c r="U109" s="104" t="s">
        <v>218</v>
      </c>
      <c r="V109" s="332" t="s">
        <v>915</v>
      </c>
      <c r="W109" s="333"/>
      <c r="X109" s="333"/>
      <c r="Y109" s="333" t="s">
        <v>916</v>
      </c>
      <c r="Z109" s="327" t="s">
        <v>917</v>
      </c>
      <c r="AA109" s="333"/>
      <c r="AB109" s="333" t="s">
        <v>918</v>
      </c>
      <c r="AC109" s="333"/>
      <c r="AD109" s="333"/>
      <c r="AE109" s="333"/>
      <c r="AF109" s="333"/>
      <c r="AG109" s="333"/>
      <c r="AH109" s="333"/>
      <c r="AI109" s="333"/>
      <c r="AJ109" s="333"/>
      <c r="AK109" s="209" t="s">
        <v>43</v>
      </c>
      <c r="AN109" s="5"/>
      <c r="AO109" s="5"/>
      <c r="AP109" s="5"/>
      <c r="AQ109" s="5"/>
      <c r="AR109" s="5"/>
      <c r="AS109" s="5"/>
      <c r="AT109" s="5"/>
      <c r="AW109" s="5"/>
      <c r="BA109" s="5"/>
      <c r="BF109" s="104" t="s">
        <v>46</v>
      </c>
      <c r="BG109" s="104" t="n">
        <f>VLOOKUP(B109,'UV台帐'!B:G,6,0)</f>
        <v>0</v>
      </c>
      <c r="BH109" s="209" t="s">
        <v>483</v>
      </c>
      <c r="BR109" s="104" t="n">
        <f>COUNTIFS(H109,"一期",I109,"在读")+COUNTIFS(L109,"一期",M109,"在读")+COUNTIFS(P109,"一期",Q109,"在读")</f>
        <v>1</v>
      </c>
      <c r="BS109" s="104" t="n">
        <f>BR109-BW109</f>
        <v>0</v>
      </c>
      <c r="BT109" s="209" t="s">
        <f>VLOOKUP(B109,'UV台帐'!B:AL,19,0)</f>
        <v>116</v>
      </c>
      <c r="BU109" s="209" t="s">
        <f>VLOOKUP(B109,'UV台帐'!B:AL,28,0)</f>
        <v>217</v>
      </c>
      <c r="BV109" s="209" t="s">
        <f>VLOOKUP(B109,'UV台帐'!B:AL,37,0)</f>
        <v>116</v>
      </c>
      <c r="BW109" s="104" t="n">
        <f>COUNTIFS(H109,"一期",BT109,"是")+COUNTIFS(L109,"一期",BU109,"是")+COUNTIFS(P109,"一期",BV109,"是")</f>
        <v>1</v>
      </c>
      <c r="CA109" s="318"/>
    </row>
    <row r="110" ht="26.25" customHeight="1">
      <c r="A110" s="209" t="s">
        <v>45</v>
      </c>
      <c r="B110" s="209" t="n">
        <v>4108975188</v>
      </c>
      <c r="C110" s="508" t="s">
        <f>VLOOKUP(B110,'UV台帐'!B:AL,2,0)</f>
        <v>919</v>
      </c>
      <c r="D110" s="508" t="s">
        <f>VLOOKUP(B110,'UV台帐'!B:AL,3,0)</f>
        <v>38</v>
      </c>
      <c r="E110" s="508" t="s">
        <f>VLOOKUP(B110,'UV台帐'!B:AL,13,0)</f>
        <v>37</v>
      </c>
      <c r="F110" s="508" t="s">
        <f>VLOOKUP(B110,'UV台帐'!B:AL,15,0)</f>
        <v>215</v>
      </c>
      <c r="G110" s="508" t="s">
        <f>VLOOKUP(B110,'UV台帐'!B:AL,16,0)</f>
        <v>283</v>
      </c>
      <c r="H110" s="508" t="s">
        <f>VLOOKUP(B110,'UV台帐'!B:AL,17,0)</f>
        <v>101</v>
      </c>
      <c r="I110" s="508" t="s">
        <f>VLOOKUP(B110,'UV台帐'!B:AL,18,0)</f>
        <v>165</v>
      </c>
      <c r="J110" s="508" t="s">
        <f>VLOOKUP(B110,'UV台帐'!B:AL,22,0)</f>
        <v>49</v>
      </c>
      <c r="K110" s="508" t="s">
        <f>VLOOKUP(B110,'UV台帐'!B:AL,24,0)</f>
        <v>215</v>
      </c>
      <c r="L110" s="508" t="s">
        <f>VLOOKUP(B110,'UV台帐'!B:AL,26,0)</f>
        <v>101</v>
      </c>
      <c r="M110" s="508" t="s">
        <f>VLOOKUP(B110,'UV台帐'!B:AL,27,0)</f>
        <v>165</v>
      </c>
      <c r="N110" s="508" t="s">
        <f>VLOOKUP(B110,'UV台帐'!B:AL,31,0)</f>
        <v>58</v>
      </c>
      <c r="O110" s="508" t="s">
        <f>VLOOKUP(B110,'UV台帐'!B:AL,33,0)</f>
        <v>215</v>
      </c>
      <c r="P110" s="508" t="s">
        <f>VLOOKUP(B110,'UV台帐'!B:AL,35,0)</f>
        <v>101</v>
      </c>
      <c r="Q110" s="508" t="s">
        <f>VLOOKUP(B110,'UV台帐'!B:AL,36,0)</f>
        <v>165</v>
      </c>
      <c r="R110" s="104" t="s">
        <v>217</v>
      </c>
      <c r="S110" s="104" t="s">
        <v>28</v>
      </c>
      <c r="T110" s="104"/>
      <c r="U110" s="104" t="s">
        <v>217</v>
      </c>
      <c r="V110" s="332" t="s">
        <v>920</v>
      </c>
      <c r="W110" s="332" t="s">
        <v>921</v>
      </c>
      <c r="X110" s="332" t="s">
        <v>922</v>
      </c>
      <c r="Y110" s="332" t="s">
        <v>923</v>
      </c>
      <c r="Z110" s="171" t="s">
        <v>924</v>
      </c>
      <c r="AA110" s="332" t="s">
        <v>223</v>
      </c>
      <c r="AB110" s="646" t="s">
        <v>925</v>
      </c>
      <c r="AC110" s="332" t="s">
        <v>167</v>
      </c>
      <c r="AD110" s="332" t="s">
        <v>926</v>
      </c>
      <c r="AE110" s="332" t="s">
        <v>240</v>
      </c>
      <c r="AF110" s="332" t="s">
        <v>241</v>
      </c>
      <c r="AG110" s="332" t="s">
        <v>228</v>
      </c>
      <c r="AH110" s="332" t="s">
        <v>229</v>
      </c>
      <c r="AI110" s="332" t="s">
        <v>230</v>
      </c>
      <c r="AJ110" s="332" t="s">
        <v>242</v>
      </c>
      <c r="AK110" s="104" t="s">
        <v>49</v>
      </c>
      <c r="AL110" s="209" t="s">
        <v>217</v>
      </c>
      <c r="AN110" s="5"/>
      <c r="AO110" s="5"/>
      <c r="AP110" s="5"/>
      <c r="AQ110" s="5"/>
      <c r="AR110" s="5"/>
      <c r="AS110" s="5"/>
      <c r="AT110" s="5"/>
      <c r="AW110" s="5"/>
      <c r="BA110" s="5"/>
      <c r="BF110" s="104" t="s">
        <v>38</v>
      </c>
      <c r="BG110" s="104" t="n">
        <f>VLOOKUP(B110,'UV台帐'!B:G,6,0)</f>
        <v>0</v>
      </c>
      <c r="BR110" s="104" t="n">
        <f>COUNTIFS(H110,"一期",I110,"在读")+COUNTIFS(L110,"一期",M110,"在读")+COUNTIFS(P110,"一期",Q110,"在读")</f>
        <v>0</v>
      </c>
      <c r="BS110" s="104" t="n">
        <f>BR110-BW110</f>
        <v>0</v>
      </c>
      <c r="BT110" s="209" t="s">
        <f>VLOOKUP(B110,'UV台帐'!B:AL,19,0)</f>
        <v>116</v>
      </c>
      <c r="BU110" s="209" t="s">
        <f>VLOOKUP(B110,'UV台帐'!B:AL,28,0)</f>
        <v>116</v>
      </c>
      <c r="BV110" s="209" t="s">
        <f>VLOOKUP(B110,'UV台帐'!B:AL,37,0)</f>
        <v>116</v>
      </c>
      <c r="BW110" s="104" t="n">
        <f>COUNTIFS(H110,"一期",BT110,"是")+COUNTIFS(L110,"一期",BU110,"是")+COUNTIFS(P110,"一期",BV110,"是")</f>
        <v>0</v>
      </c>
      <c r="CA110" s="318"/>
    </row>
    <row r="111" ht="26.25" customHeight="1">
      <c r="A111" s="209" t="s">
        <v>85</v>
      </c>
      <c r="B111" s="209" t="n">
        <v>4396309386</v>
      </c>
      <c r="C111" s="508" t="s">
        <f>VLOOKUP(B111,'UV台帐'!B:AL,2,0)</f>
        <v>927</v>
      </c>
      <c r="D111" s="508" t="s">
        <f>VLOOKUP(B111,'UV台帐'!B:AL,3,0)</f>
        <v>36</v>
      </c>
      <c r="E111" s="508" t="s">
        <f>VLOOKUP(B111,'UV台帐'!B:AL,13,0)</f>
        <v>31</v>
      </c>
      <c r="F111" s="508" t="s">
        <f>VLOOKUP(B111,'UV台帐'!B:AL,15,0)</f>
        <v>215</v>
      </c>
      <c r="G111" s="508" t="s">
        <f>VLOOKUP(B111,'UV台帐'!B:AL,16,0)</f>
        <v>283</v>
      </c>
      <c r="H111" s="508" t="s">
        <f>VLOOKUP(B111,'UV台帐'!B:AL,17,0)</f>
        <v>65</v>
      </c>
      <c r="I111" s="508" t="s">
        <f>VLOOKUP(B111,'UV台帐'!B:AL,18,0)</f>
        <v>165</v>
      </c>
      <c r="J111" s="288" t="s">
        <f>VLOOKUP(B111,'UV台帐'!B:AL,22,0)</f>
        <v>116</v>
      </c>
      <c r="K111" s="288" t="s">
        <f>VLOOKUP(B111,'UV台帐'!B:AL,24,0)</f>
        <v>116</v>
      </c>
      <c r="L111" s="288" t="s">
        <f>VLOOKUP(B111,'UV台帐'!B:AL,26,0)</f>
        <v>116</v>
      </c>
      <c r="M111" s="288" t="s">
        <f>VLOOKUP(B111,'UV台帐'!B:AL,27,0)</f>
        <v>116</v>
      </c>
      <c r="N111" s="288" t="s">
        <f>VLOOKUP(B111,'UV台帐'!B:AL,31,0)</f>
        <v>116</v>
      </c>
      <c r="O111" s="288" t="s">
        <f>VLOOKUP(B111,'UV台帐'!B:AL,33,0)</f>
        <v>116</v>
      </c>
      <c r="P111" s="288" t="s">
        <f>VLOOKUP(B111,'UV台帐'!B:AL,35,0)</f>
        <v>116</v>
      </c>
      <c r="Q111" s="288" t="s">
        <f>VLOOKUP(B111,'UV台帐'!B:AL,36,0)</f>
        <v>116</v>
      </c>
      <c r="R111" s="104" t="s">
        <v>217</v>
      </c>
      <c r="S111" s="508" t="s">
        <v>25</v>
      </c>
      <c r="T111" s="508" t="s">
        <v>217</v>
      </c>
      <c r="U111" s="508" t="s">
        <v>217</v>
      </c>
      <c r="V111" s="466" t="s">
        <v>788</v>
      </c>
      <c r="W111" s="466" t="s">
        <v>928</v>
      </c>
      <c r="X111" s="466" t="s">
        <v>788</v>
      </c>
      <c r="Z111" s="171" t="s">
        <v>836</v>
      </c>
      <c r="AA111" s="466" t="s">
        <v>223</v>
      </c>
      <c r="AB111" s="466" t="s">
        <v>790</v>
      </c>
      <c r="AC111" s="466" t="s">
        <v>167</v>
      </c>
      <c r="AE111" s="466" t="s">
        <v>253</v>
      </c>
      <c r="AF111" s="466" t="s">
        <v>306</v>
      </c>
      <c r="AG111" s="466" t="s">
        <v>266</v>
      </c>
      <c r="AH111" s="466" t="s">
        <v>315</v>
      </c>
      <c r="AI111" s="466" t="s">
        <v>254</v>
      </c>
      <c r="AJ111" s="466" t="s">
        <v>316</v>
      </c>
      <c r="AK111" s="104" t="s">
        <v>31</v>
      </c>
      <c r="AL111" s="209" t="s">
        <v>217</v>
      </c>
      <c r="AN111" s="5"/>
      <c r="AO111" s="5"/>
      <c r="AP111" s="5"/>
      <c r="AQ111" s="5"/>
      <c r="AR111" s="5"/>
      <c r="AS111" s="5"/>
      <c r="AT111" s="5"/>
      <c r="AW111" s="5"/>
      <c r="BA111" s="5"/>
      <c r="BF111" s="104" t="s">
        <v>36</v>
      </c>
      <c r="BG111" s="104" t="n">
        <f>VLOOKUP(B111,'UV台帐'!B:G,6,0)</f>
        <v>0</v>
      </c>
      <c r="BR111" s="104" t="n">
        <f>COUNTIFS(H111,"一期",I111,"在读")+COUNTIFS(L111,"一期",M111,"在读")+COUNTIFS(P111,"一期",Q111,"在读")</f>
        <v>1</v>
      </c>
      <c r="BS111" s="104" t="n">
        <f>BR111-BW111</f>
        <v>0</v>
      </c>
      <c r="BT111" s="209" t="s">
        <f>VLOOKUP(B111,'UV台帐'!B:AL,19,0)</f>
        <v>217</v>
      </c>
      <c r="BU111" s="209" t="s">
        <f>VLOOKUP(B111,'UV台帐'!B:AL,28,0)</f>
        <v>116</v>
      </c>
      <c r="BV111" s="209" t="s">
        <f>VLOOKUP(B111,'UV台帐'!B:AL,37,0)</f>
        <v>116</v>
      </c>
      <c r="BW111" s="104" t="n">
        <f>COUNTIFS(H111,"一期",BT111,"是")+COUNTIFS(L111,"一期",BU111,"是")+COUNTIFS(P111,"一期",BV111,"是")</f>
        <v>1</v>
      </c>
      <c r="CA111" s="318"/>
    </row>
    <row r="112" ht="26.25" customHeight="1">
      <c r="A112" s="508" t="s">
        <v>45</v>
      </c>
      <c r="B112" s="508" t="n">
        <v>4238523947</v>
      </c>
      <c r="C112" s="508" t="s">
        <f>VLOOKUP(B112,'UV台帐'!B:AL,2,0)</f>
        <v>929</v>
      </c>
      <c r="D112" s="508" t="s">
        <f>VLOOKUP(B112,'UV台帐'!B:AL,3,0)</f>
        <v>48</v>
      </c>
      <c r="E112" s="508" t="s">
        <f>VLOOKUP(B112,'UV台帐'!B:AL,13,0)</f>
        <v>37</v>
      </c>
      <c r="F112" s="508" t="s">
        <f>VLOOKUP(B112,'UV台帐'!B:AL,15,0)</f>
        <v>233</v>
      </c>
      <c r="G112" s="508" t="s">
        <f>VLOOKUP(B112,'UV台帐'!B:AL,16,0)</f>
        <v>283</v>
      </c>
      <c r="H112" s="508" t="s">
        <f>VLOOKUP(B112,'UV台帐'!B:AL,17,0)</f>
        <v>65</v>
      </c>
      <c r="I112" s="508" t="s">
        <f>VLOOKUP(B112,'UV台帐'!B:AL,18,0)</f>
        <v>165</v>
      </c>
      <c r="J112" s="508" t="s">
        <f>VLOOKUP(B112,'UV台帐'!B:AL,22,0)</f>
        <v>49</v>
      </c>
      <c r="K112" s="508" t="s">
        <f>VLOOKUP(B112,'UV台帐'!B:AL,24,0)</f>
        <v>215</v>
      </c>
      <c r="L112" s="508" t="s">
        <f>VLOOKUP(B112,'UV台帐'!B:AL,26,0)</f>
        <v>65</v>
      </c>
      <c r="M112" s="508" t="s">
        <f>VLOOKUP(B112,'UV台帐'!B:AL,27,0)</f>
        <v>165</v>
      </c>
      <c r="N112" s="508" t="s">
        <f>VLOOKUP(B112,'UV台帐'!B:AL,31,0)</f>
        <v>58</v>
      </c>
      <c r="O112" s="508" t="s">
        <f>VLOOKUP(B112,'UV台帐'!B:AL,33,0)</f>
        <v>216</v>
      </c>
      <c r="P112" s="508" t="s">
        <f>VLOOKUP(B112,'UV台帐'!B:AL,35,0)</f>
        <v>65</v>
      </c>
      <c r="Q112" s="508" t="s">
        <f>VLOOKUP(B112,'UV台帐'!B:AL,36,0)</f>
        <v>165</v>
      </c>
      <c r="R112" s="104" t="s">
        <v>217</v>
      </c>
      <c r="S112" s="104" t="s">
        <v>27</v>
      </c>
      <c r="T112" s="104" t="s">
        <v>218</v>
      </c>
      <c r="U112" s="104" t="s">
        <v>217</v>
      </c>
      <c r="V112" s="332" t="s">
        <v>930</v>
      </c>
      <c r="W112" s="466" t="s">
        <v>931</v>
      </c>
      <c r="X112" s="332"/>
      <c r="Y112" s="332" t="s">
        <v>932</v>
      </c>
      <c r="Z112" s="171" t="s">
        <v>933</v>
      </c>
      <c r="AA112" s="332" t="s">
        <v>223</v>
      </c>
      <c r="AB112" s="647" t="s">
        <v>934</v>
      </c>
      <c r="AC112" s="332" t="s">
        <v>289</v>
      </c>
      <c r="AD112" s="332" t="s">
        <v>635</v>
      </c>
      <c r="AE112" s="332" t="s">
        <v>240</v>
      </c>
      <c r="AF112" s="332" t="s">
        <v>306</v>
      </c>
      <c r="AG112" s="332" t="s">
        <v>228</v>
      </c>
      <c r="AH112" s="332" t="s">
        <v>229</v>
      </c>
      <c r="AI112" s="332" t="s">
        <v>230</v>
      </c>
      <c r="AJ112" s="332" t="s">
        <v>255</v>
      </c>
      <c r="AK112" s="104" t="s">
        <v>49</v>
      </c>
      <c r="AL112" s="209" t="s">
        <v>217</v>
      </c>
      <c r="AN112" s="5"/>
      <c r="AO112" s="5"/>
      <c r="AP112" s="5"/>
      <c r="AQ112" s="5"/>
      <c r="AR112" s="5"/>
      <c r="AS112" s="5"/>
      <c r="AT112" s="5"/>
      <c r="AW112" s="5"/>
      <c r="BA112" s="5"/>
      <c r="BF112" s="209" t="s">
        <v>48</v>
      </c>
      <c r="BG112" s="104" t="n">
        <f>VLOOKUP(B112,'UV台帐'!B:G,6,0)</f>
        <v>0</v>
      </c>
      <c r="BH112" s="209" t="s">
        <v>386</v>
      </c>
      <c r="BR112" s="104" t="n">
        <f>COUNTIFS(H112,"一期",I112,"在读")+COUNTIFS(L112,"一期",M112,"在读")+COUNTIFS(P112,"一期",Q112,"在读")</f>
        <v>3</v>
      </c>
      <c r="BS112" s="104" t="n">
        <f>BR112-BW112</f>
        <v>3</v>
      </c>
      <c r="BT112" s="209" t="s">
        <f>VLOOKUP(B112,'UV台帐'!B:AL,19,0)</f>
        <v>116</v>
      </c>
      <c r="BU112" s="209" t="s">
        <f>VLOOKUP(B112,'UV台帐'!B:AL,28,0)</f>
        <v>116</v>
      </c>
      <c r="BV112" s="209" t="s">
        <f>VLOOKUP(B112,'UV台帐'!B:AL,37,0)</f>
        <v>116</v>
      </c>
      <c r="BW112" s="104" t="n">
        <f>COUNTIFS(H112,"一期",BT112,"是")+COUNTIFS(L112,"一期",BU112,"是")+COUNTIFS(P112,"一期",BV112,"是")</f>
        <v>0</v>
      </c>
      <c r="CA112" s="318"/>
    </row>
    <row r="113" ht="26.25" customHeight="1">
      <c r="A113" s="508" t="s">
        <v>45</v>
      </c>
      <c r="B113" s="508" t="n">
        <v>2510657138</v>
      </c>
      <c r="C113" s="508" t="s">
        <f>VLOOKUP(B113,'UV台帐'!B:AL,2,0)</f>
        <v>935</v>
      </c>
      <c r="D113" s="508" t="s">
        <f>VLOOKUP(B113,'UV台帐'!B:AL,3,0)</f>
        <v>46</v>
      </c>
      <c r="E113" s="508" t="s">
        <f>VLOOKUP(B113,'UV台帐'!B:AL,13,0)</f>
        <v>37</v>
      </c>
      <c r="F113" s="508" t="s">
        <f>VLOOKUP(B113,'UV台帐'!B:AL,15,0)</f>
        <v>233</v>
      </c>
      <c r="G113" s="508" t="s">
        <f>VLOOKUP(B113,'UV台帐'!B:AL,16,0)</f>
        <v>283</v>
      </c>
      <c r="H113" s="508" t="s">
        <f>VLOOKUP(B113,'UV台帐'!B:AL,17,0)</f>
        <v>65</v>
      </c>
      <c r="I113" s="508" t="s">
        <f>VLOOKUP(B113,'UV台帐'!B:AL,18,0)</f>
        <v>165</v>
      </c>
      <c r="J113" s="508" t="s">
        <f>VLOOKUP(B113,'UV台帐'!B:AL,22,0)</f>
        <v>49</v>
      </c>
      <c r="K113" s="508" t="s">
        <f>VLOOKUP(B113,'UV台帐'!B:AL,24,0)</f>
        <v>215</v>
      </c>
      <c r="L113" s="508" t="s">
        <f>VLOOKUP(B113,'UV台帐'!B:AL,26,0)</f>
        <v>65</v>
      </c>
      <c r="M113" s="508" t="s">
        <f>VLOOKUP(B113,'UV台帐'!B:AL,27,0)</f>
        <v>165</v>
      </c>
      <c r="N113" s="508" t="s">
        <f>VLOOKUP(B113,'UV台帐'!B:AL,31,0)</f>
        <v>58</v>
      </c>
      <c r="O113" s="508" t="s">
        <f>VLOOKUP(B113,'UV台帐'!B:AL,33,0)</f>
        <v>216</v>
      </c>
      <c r="P113" s="508" t="s">
        <f>VLOOKUP(B113,'UV台帐'!B:AL,35,0)</f>
        <v>65</v>
      </c>
      <c r="Q113" s="508" t="s">
        <f>VLOOKUP(B113,'UV台帐'!B:AL,36,0)</f>
        <v>165</v>
      </c>
      <c r="R113" s="104" t="s">
        <v>217</v>
      </c>
      <c r="S113" s="104" t="s">
        <v>28</v>
      </c>
      <c r="T113" s="104"/>
      <c r="U113" s="104" t="s">
        <v>217</v>
      </c>
      <c r="V113" s="332" t="s">
        <v>936</v>
      </c>
      <c r="W113" s="332" t="s">
        <v>937</v>
      </c>
      <c r="X113" s="332"/>
      <c r="Y113" s="332" t="s">
        <v>938</v>
      </c>
      <c r="Z113" s="171" t="s">
        <v>938</v>
      </c>
      <c r="AA113" s="332" t="s">
        <v>223</v>
      </c>
      <c r="AB113" s="332" t="s">
        <v>939</v>
      </c>
      <c r="AC113" s="332" t="s">
        <v>289</v>
      </c>
      <c r="AD113" s="332" t="s">
        <v>940</v>
      </c>
      <c r="AE113" s="332" t="s">
        <v>240</v>
      </c>
      <c r="AF113" s="332" t="s">
        <v>241</v>
      </c>
      <c r="AG113" s="332" t="s">
        <v>266</v>
      </c>
      <c r="AH113" s="332" t="s">
        <v>229</v>
      </c>
      <c r="AI113" s="332" t="s">
        <v>254</v>
      </c>
      <c r="AJ113" s="332" t="s">
        <v>255</v>
      </c>
      <c r="AK113" s="104" t="s">
        <v>49</v>
      </c>
      <c r="AN113" s="5"/>
      <c r="AO113" s="5"/>
      <c r="AP113" s="5"/>
      <c r="AQ113" s="5"/>
      <c r="AR113" s="5"/>
      <c r="AS113" s="5"/>
      <c r="AT113" s="5"/>
      <c r="AW113" s="5"/>
      <c r="BA113" s="5"/>
      <c r="BF113" s="209" t="s">
        <v>46</v>
      </c>
      <c r="BG113" s="104" t="n">
        <f>VLOOKUP(B113,'UV台帐'!B:G,6,0)</f>
        <v>0</v>
      </c>
      <c r="BR113" s="104" t="n">
        <f>COUNTIFS(H113,"一期",I113,"在读")+COUNTIFS(L113,"一期",M113,"在读")+COUNTIFS(P113,"一期",Q113,"在读")</f>
        <v>3</v>
      </c>
      <c r="BS113" s="104" t="n">
        <f>BR113-BW113</f>
        <v>3</v>
      </c>
      <c r="BT113" s="209" t="s">
        <f>VLOOKUP(B113,'UV台帐'!B:AL,19,0)</f>
        <v>116</v>
      </c>
      <c r="BU113" s="209" t="s">
        <f>VLOOKUP(B113,'UV台帐'!B:AL,28,0)</f>
        <v>116</v>
      </c>
      <c r="BV113" s="209" t="s">
        <f>VLOOKUP(B113,'UV台帐'!B:AL,37,0)</f>
        <v>116</v>
      </c>
      <c r="BW113" s="104" t="n">
        <f>COUNTIFS(H113,"一期",BT113,"是")+COUNTIFS(L113,"一期",BU113,"是")+COUNTIFS(P113,"一期",BV113,"是")</f>
        <v>0</v>
      </c>
      <c r="CA113" s="318"/>
    </row>
    <row r="114" ht="26.25" customHeight="1">
      <c r="A114" s="508" t="s">
        <v>45</v>
      </c>
      <c r="B114" s="508" t="n">
        <v>2413160133</v>
      </c>
      <c r="C114" s="508" t="s">
        <f>VLOOKUP(B114,'UV台帐'!B:AL,2,0)</f>
        <v>941</v>
      </c>
      <c r="D114" s="508" t="s">
        <f>VLOOKUP(B114,'UV台帐'!B:AL,3,0)</f>
        <v>46</v>
      </c>
      <c r="E114" s="508" t="s">
        <f>VLOOKUP(B114,'UV台帐'!B:AL,13,0)</f>
        <v>37</v>
      </c>
      <c r="F114" s="508" t="s">
        <f>VLOOKUP(B114,'UV台帐'!B:AL,15,0)</f>
        <v>233</v>
      </c>
      <c r="G114" s="508" t="s">
        <f>VLOOKUP(B114,'UV台帐'!B:AL,16,0)</f>
        <v>283</v>
      </c>
      <c r="H114" s="508" t="s">
        <f>VLOOKUP(B114,'UV台帐'!B:AL,17,0)</f>
        <v>65</v>
      </c>
      <c r="I114" s="508" t="s">
        <f>VLOOKUP(B114,'UV台帐'!B:AL,18,0)</f>
        <v>165</v>
      </c>
      <c r="J114" s="508" t="s">
        <f>VLOOKUP(B114,'UV台帐'!B:AL,22,0)</f>
        <v>49</v>
      </c>
      <c r="K114" s="508" t="s">
        <f>VLOOKUP(B114,'UV台帐'!B:AL,24,0)</f>
        <v>215</v>
      </c>
      <c r="L114" s="508" t="s">
        <f>VLOOKUP(B114,'UV台帐'!B:AL,26,0)</f>
        <v>65</v>
      </c>
      <c r="M114" s="508" t="s">
        <f>VLOOKUP(B114,'UV台帐'!B:AL,27,0)</f>
        <v>165</v>
      </c>
      <c r="N114" s="508" t="s">
        <f>VLOOKUP(B114,'UV台帐'!B:AL,31,0)</f>
        <v>58</v>
      </c>
      <c r="O114" s="508" t="s">
        <f>VLOOKUP(B114,'UV台帐'!B:AL,33,0)</f>
        <v>216</v>
      </c>
      <c r="P114" s="508" t="s">
        <f>VLOOKUP(B114,'UV台帐'!B:AL,35,0)</f>
        <v>65</v>
      </c>
      <c r="Q114" s="508" t="s">
        <f>VLOOKUP(B114,'UV台帐'!B:AL,36,0)</f>
        <v>165</v>
      </c>
      <c r="R114" s="104" t="s">
        <v>217</v>
      </c>
      <c r="S114" s="104" t="s">
        <v>27</v>
      </c>
      <c r="T114" s="104"/>
      <c r="U114" s="104" t="s">
        <v>217</v>
      </c>
      <c r="V114" s="332" t="s">
        <v>483</v>
      </c>
      <c r="W114" s="332" t="s">
        <v>942</v>
      </c>
      <c r="X114" s="332"/>
      <c r="Y114" s="332" t="s">
        <v>943</v>
      </c>
      <c r="Z114" s="171" t="s">
        <v>944</v>
      </c>
      <c r="AA114" s="332" t="s">
        <v>223</v>
      </c>
      <c r="AB114" s="332" t="s">
        <v>945</v>
      </c>
      <c r="AC114" s="332" t="s">
        <v>289</v>
      </c>
      <c r="AD114" s="332" t="s">
        <v>493</v>
      </c>
      <c r="AE114" s="332" t="s">
        <v>240</v>
      </c>
      <c r="AF114" s="332" t="s">
        <v>241</v>
      </c>
      <c r="AG114" s="332" t="s">
        <v>228</v>
      </c>
      <c r="AH114" s="332" t="s">
        <v>229</v>
      </c>
      <c r="AI114" s="332" t="s">
        <v>230</v>
      </c>
      <c r="AJ114" s="332" t="s">
        <v>242</v>
      </c>
      <c r="AK114" s="104" t="s">
        <v>49</v>
      </c>
      <c r="AN114" s="5"/>
      <c r="AO114" s="5"/>
      <c r="AP114" s="5"/>
      <c r="AQ114" s="5"/>
      <c r="AR114" s="5"/>
      <c r="AS114" s="5"/>
      <c r="AT114" s="5"/>
      <c r="AW114" s="5"/>
      <c r="BA114" s="5"/>
      <c r="BF114" s="209" t="s">
        <v>46</v>
      </c>
      <c r="BG114" s="104" t="s">
        <f>VLOOKUP(B114,'UV台帐'!B:G,6,0)</f>
        <v>946</v>
      </c>
      <c r="BR114" s="104" t="n">
        <f>COUNTIFS(H114,"一期",I114,"在读")+COUNTIFS(L114,"一期",M114,"在读")+COUNTIFS(P114,"一期",Q114,"在读")</f>
        <v>3</v>
      </c>
      <c r="BS114" s="104" t="n">
        <f>BR114-BW114</f>
        <v>3</v>
      </c>
      <c r="BT114" s="209" t="s">
        <f>VLOOKUP(B114,'UV台帐'!B:AL,19,0)</f>
        <v>116</v>
      </c>
      <c r="BU114" s="209" t="s">
        <f>VLOOKUP(B114,'UV台帐'!B:AL,28,0)</f>
        <v>116</v>
      </c>
      <c r="BV114" s="209" t="s">
        <f>VLOOKUP(B114,'UV台帐'!B:AL,37,0)</f>
        <v>116</v>
      </c>
      <c r="BW114" s="104" t="n">
        <f>COUNTIFS(H114,"一期",BT114,"是")+COUNTIFS(L114,"一期",BU114,"是")+COUNTIFS(P114,"一期",BV114,"是")</f>
        <v>0</v>
      </c>
      <c r="CA114" s="318"/>
    </row>
    <row r="115" ht="26.25" customHeight="1">
      <c r="A115" s="508" t="s">
        <v>45</v>
      </c>
      <c r="B115" s="508" t="n">
        <v>2701666734</v>
      </c>
      <c r="C115" s="508" t="s">
        <f>VLOOKUP(B115,'UV台帐'!B:AL,2,0)</f>
        <v>946</v>
      </c>
      <c r="D115" s="508" t="s">
        <f>VLOOKUP(B115,'UV台帐'!B:AL,3,0)</f>
        <v>46</v>
      </c>
      <c r="E115" s="508" t="s">
        <f>VLOOKUP(B115,'UV台帐'!B:AL,13,0)</f>
        <v>37</v>
      </c>
      <c r="F115" s="508" t="s">
        <f>VLOOKUP(B115,'UV台帐'!B:AL,15,0)</f>
        <v>233</v>
      </c>
      <c r="G115" s="508" t="s">
        <f>VLOOKUP(B115,'UV台帐'!B:AL,16,0)</f>
        <v>283</v>
      </c>
      <c r="H115" s="508" t="s">
        <f>VLOOKUP(B115,'UV台帐'!B:AL,17,0)</f>
        <v>65</v>
      </c>
      <c r="I115" s="508" t="s">
        <f>VLOOKUP(B115,'UV台帐'!B:AL,18,0)</f>
        <v>165</v>
      </c>
      <c r="J115" s="508" t="s">
        <f>VLOOKUP(B115,'UV台帐'!B:AL,22,0)</f>
        <v>49</v>
      </c>
      <c r="K115" s="508" t="s">
        <f>VLOOKUP(B115,'UV台帐'!B:AL,24,0)</f>
        <v>215</v>
      </c>
      <c r="L115" s="508" t="s">
        <f>VLOOKUP(B115,'UV台帐'!B:AL,26,0)</f>
        <v>65</v>
      </c>
      <c r="M115" s="508" t="s">
        <f>VLOOKUP(B115,'UV台帐'!B:AL,27,0)</f>
        <v>165</v>
      </c>
      <c r="N115" s="508" t="s">
        <f>VLOOKUP(B115,'UV台帐'!B:AL,31,0)</f>
        <v>58</v>
      </c>
      <c r="O115" s="508" t="s">
        <f>VLOOKUP(B115,'UV台帐'!B:AL,33,0)</f>
        <v>216</v>
      </c>
      <c r="P115" s="508" t="s">
        <f>VLOOKUP(B115,'UV台帐'!B:AL,35,0)</f>
        <v>65</v>
      </c>
      <c r="Q115" s="508" t="s">
        <f>VLOOKUP(B115,'UV台帐'!B:AL,36,0)</f>
        <v>165</v>
      </c>
      <c r="R115" s="104" t="s">
        <v>217</v>
      </c>
      <c r="S115" s="104" t="s">
        <v>27</v>
      </c>
      <c r="T115" s="104"/>
      <c r="U115" s="104" t="s">
        <v>217</v>
      </c>
      <c r="V115" s="332" t="s">
        <v>681</v>
      </c>
      <c r="W115" s="332" t="s">
        <v>947</v>
      </c>
      <c r="X115" s="332"/>
      <c r="Y115" s="332" t="s">
        <v>948</v>
      </c>
      <c r="Z115" s="171" t="s">
        <v>949</v>
      </c>
      <c r="AA115" s="332" t="s">
        <v>223</v>
      </c>
      <c r="AB115" s="648" t="s">
        <v>950</v>
      </c>
      <c r="AC115" s="332" t="s">
        <v>289</v>
      </c>
      <c r="AD115" s="332" t="s">
        <v>493</v>
      </c>
      <c r="AE115" s="332" t="s">
        <v>240</v>
      </c>
      <c r="AF115" s="332" t="s">
        <v>241</v>
      </c>
      <c r="AG115" s="332" t="s">
        <v>228</v>
      </c>
      <c r="AH115" s="332" t="s">
        <v>229</v>
      </c>
      <c r="AI115" s="332" t="s">
        <v>230</v>
      </c>
      <c r="AJ115" s="332" t="s">
        <v>242</v>
      </c>
      <c r="AK115" s="104" t="s">
        <v>49</v>
      </c>
      <c r="AN115" s="5"/>
      <c r="AO115" s="5"/>
      <c r="AP115" s="5"/>
      <c r="AQ115" s="5"/>
      <c r="AR115" s="5"/>
      <c r="AS115" s="5"/>
      <c r="AT115" s="5"/>
      <c r="AW115" s="5"/>
      <c r="BA115" s="5"/>
      <c r="BF115" s="209" t="s">
        <v>46</v>
      </c>
      <c r="BG115" s="104" t="s">
        <f>VLOOKUP(B115,'UV台帐'!B:G,6,0)</f>
        <v>494</v>
      </c>
      <c r="BR115" s="104" t="n">
        <f>COUNTIFS(H115,"一期",I115,"在读")+COUNTIFS(L115,"一期",M115,"在读")+COUNTIFS(P115,"一期",Q115,"在读")</f>
        <v>3</v>
      </c>
      <c r="BS115" s="104" t="n">
        <f>BR115-BW115</f>
        <v>3</v>
      </c>
      <c r="BT115" s="209" t="s">
        <f>VLOOKUP(B115,'UV台帐'!B:AL,19,0)</f>
        <v>116</v>
      </c>
      <c r="BU115" s="209" t="s">
        <f>VLOOKUP(B115,'UV台帐'!B:AL,28,0)</f>
        <v>116</v>
      </c>
      <c r="BV115" s="209" t="s">
        <f>VLOOKUP(B115,'UV台帐'!B:AL,37,0)</f>
        <v>116</v>
      </c>
      <c r="BW115" s="104" t="n">
        <f>COUNTIFS(H115,"一期",BT115,"是")+COUNTIFS(L115,"一期",BU115,"是")+COUNTIFS(P115,"一期",BV115,"是")</f>
        <v>0</v>
      </c>
      <c r="CA115" s="290"/>
    </row>
    <row r="116" ht="26.25" customHeight="1">
      <c r="A116" s="508" t="s">
        <v>54</v>
      </c>
      <c r="B116" s="508" t="n">
        <v>4380980083</v>
      </c>
      <c r="C116" s="508" t="s">
        <f>VLOOKUP(B116,'UV台帐'!B:AL,2,0)</f>
        <v>951</v>
      </c>
      <c r="D116" s="508" t="s">
        <f>VLOOKUP(B116,'UV台帐'!B:AL,3,0)</f>
        <v>59</v>
      </c>
      <c r="E116" s="508" t="s">
        <f>VLOOKUP(B116,'UV台帐'!B:AL,13,0)</f>
        <v>35</v>
      </c>
      <c r="F116" s="508" t="s">
        <f>VLOOKUP(B116,'UV台帐'!B:AL,15,0)</f>
        <v>233</v>
      </c>
      <c r="G116" s="508" t="s">
        <f>VLOOKUP(B116,'UV台帐'!B:AL,16,0)</f>
        <v>234</v>
      </c>
      <c r="H116" s="508" t="s">
        <f>VLOOKUP(B116,'UV台帐'!B:AL,17,0)</f>
        <v>101</v>
      </c>
      <c r="I116" s="508" t="s">
        <f>VLOOKUP(B116,'UV台帐'!B:AL,18,0)</f>
        <v>165</v>
      </c>
      <c r="J116" s="299" t="s">
        <f>VLOOKUP(B116,'UV台帐'!B:AL,22,0)</f>
        <v>47</v>
      </c>
      <c r="K116" s="299" t="s">
        <f>VLOOKUP(B116,'UV台帐'!B:AL,24,0)</f>
        <v>215</v>
      </c>
      <c r="L116" s="299" t="s">
        <f>VLOOKUP(B116,'UV台帐'!B:AL,26,0)</f>
        <v>101</v>
      </c>
      <c r="M116" s="299" t="s">
        <f>VLOOKUP(B116,'UV台帐'!B:AL,27,0)</f>
        <v>165</v>
      </c>
      <c r="N116" s="508" t="s">
        <f>VLOOKUP(B116,'UV台帐'!B:AL,31,0)</f>
        <v>56</v>
      </c>
      <c r="O116" s="508" t="s">
        <f>VLOOKUP(B116,'UV台帐'!B:AL,33,0)</f>
        <v>216</v>
      </c>
      <c r="P116" s="508" t="s">
        <f>VLOOKUP(B116,'UV台帐'!B:AL,35,0)</f>
        <v>101</v>
      </c>
      <c r="Q116" s="508" t="s">
        <f>VLOOKUP(B116,'UV台帐'!B:AL,36,0)</f>
        <v>165</v>
      </c>
      <c r="R116" s="209" t="s">
        <v>217</v>
      </c>
      <c r="S116" s="209" t="s">
        <v>28</v>
      </c>
      <c r="T116" s="209" t="s">
        <v>218</v>
      </c>
      <c r="U116" s="209" t="s">
        <v>217</v>
      </c>
      <c r="V116" s="333" t="s">
        <v>475</v>
      </c>
      <c r="W116" s="139" t="s">
        <v>952</v>
      </c>
      <c r="X116" s="139" t="s">
        <v>953</v>
      </c>
      <c r="Y116" s="139" t="s">
        <v>954</v>
      </c>
      <c r="Z116" s="327" t="s">
        <v>955</v>
      </c>
      <c r="AA116" s="333" t="s">
        <v>223</v>
      </c>
      <c r="AB116" s="139" t="s">
        <v>956</v>
      </c>
      <c r="AC116" s="333" t="s">
        <v>456</v>
      </c>
      <c r="AD116" s="333" t="s">
        <v>957</v>
      </c>
      <c r="AE116" s="333" t="s">
        <v>240</v>
      </c>
      <c r="AF116" s="333" t="s">
        <v>241</v>
      </c>
      <c r="AG116" s="333" t="s">
        <v>228</v>
      </c>
      <c r="AH116" s="333" t="s">
        <v>229</v>
      </c>
      <c r="AI116" s="333" t="s">
        <v>230</v>
      </c>
      <c r="AJ116" s="333" t="s">
        <v>242</v>
      </c>
      <c r="AK116" s="209" t="s">
        <v>35</v>
      </c>
      <c r="AL116" s="209" t="s">
        <v>217</v>
      </c>
      <c r="AN116" s="5"/>
      <c r="AO116" s="5"/>
      <c r="AP116" s="5"/>
      <c r="AQ116" s="5"/>
      <c r="AR116" s="5"/>
      <c r="AS116" s="5"/>
      <c r="AT116" s="5"/>
      <c r="AW116" s="5"/>
      <c r="BA116" s="5"/>
      <c r="BF116" s="209" t="s">
        <v>59</v>
      </c>
      <c r="BG116" s="104" t="s">
        <f>VLOOKUP(B116,'UV台帐'!B:G,6,0)</f>
        <v>958</v>
      </c>
      <c r="BR116" s="104" t="n">
        <f>COUNTIFS(H116,"一期",I116,"在读")+COUNTIFS(L116,"一期",M116,"在读")+COUNTIFS(P116,"一期",Q116,"在读")</f>
        <v>0</v>
      </c>
      <c r="BS116" s="104" t="n">
        <f>BR116-BW116</f>
        <v>0</v>
      </c>
      <c r="BT116" s="209" t="s">
        <f>VLOOKUP(B116,'UV台帐'!B:AL,19,0)</f>
        <v>116</v>
      </c>
      <c r="BU116" s="209" t="s">
        <f>VLOOKUP(B116,'UV台帐'!B:AL,28,0)</f>
        <v>116</v>
      </c>
      <c r="BV116" s="209" t="s">
        <f>VLOOKUP(B116,'UV台帐'!B:AL,37,0)</f>
        <v>116</v>
      </c>
      <c r="BW116" s="104" t="n">
        <f>COUNTIFS(H116,"一期",BT116,"是")+COUNTIFS(L116,"一期",BU116,"是")+COUNTIFS(P116,"一期",BV116,"是")</f>
        <v>0</v>
      </c>
      <c r="CA116" s="290"/>
    </row>
    <row r="117" ht="26.25" customHeight="1">
      <c r="A117" s="104" t="s">
        <v>54</v>
      </c>
      <c r="B117" s="104" t="n">
        <v>4827301500</v>
      </c>
      <c r="C117" s="508" t="s">
        <f>VLOOKUP(B117,'UV台帐'!B:AL,2,0)</f>
        <v>959</v>
      </c>
      <c r="D117" s="508" t="s">
        <f>VLOOKUP(B117,'UV台帐'!B:AL,3,0)</f>
        <v>55</v>
      </c>
      <c r="E117" s="508" t="s">
        <f>VLOOKUP(B117,'UV台帐'!B:AL,13,0)</f>
        <v>35</v>
      </c>
      <c r="F117" s="508" t="s">
        <f>VLOOKUP(B117,'UV台帐'!B:AL,15,0)</f>
        <v>233</v>
      </c>
      <c r="G117" s="508" t="s">
        <f>VLOOKUP(B117,'UV台帐'!B:AL,16,0)</f>
        <v>234</v>
      </c>
      <c r="H117" s="508" t="s">
        <f>VLOOKUP(B117,'UV台帐'!B:AL,17,0)</f>
        <v>101</v>
      </c>
      <c r="I117" s="508" t="s">
        <f>VLOOKUP(B117,'UV台帐'!B:AL,18,0)</f>
        <v>165</v>
      </c>
      <c r="J117" s="299" t="s">
        <f>VLOOKUP(B117,'UV台帐'!B:AL,22,0)</f>
        <v>47</v>
      </c>
      <c r="K117" s="299" t="s">
        <f>VLOOKUP(B117,'UV台帐'!B:AL,24,0)</f>
        <v>215</v>
      </c>
      <c r="L117" s="299" t="s">
        <f>VLOOKUP(B117,'UV台帐'!B:AL,26,0)</f>
        <v>88</v>
      </c>
      <c r="M117" s="299" t="s">
        <f>VLOOKUP(B117,'UV台帐'!B:AL,27,0)</f>
        <v>444</v>
      </c>
      <c r="N117" s="508" t="s">
        <f>VLOOKUP(B117,'UV台帐'!B:AL,31,0)</f>
        <v>56</v>
      </c>
      <c r="O117" s="508" t="s">
        <f>VLOOKUP(B117,'UV台帐'!B:AL,33,0)</f>
        <v>216</v>
      </c>
      <c r="P117" s="508" t="s">
        <f>VLOOKUP(B117,'UV台帐'!B:AL,35,0)</f>
        <v>101</v>
      </c>
      <c r="Q117" s="508" t="s">
        <f>VLOOKUP(B117,'UV台帐'!B:AL,36,0)</f>
        <v>165</v>
      </c>
      <c r="R117" s="209" t="s">
        <v>217</v>
      </c>
      <c r="S117" s="209" t="s">
        <v>29</v>
      </c>
      <c r="T117" s="209" t="s">
        <v>218</v>
      </c>
      <c r="U117" s="209" t="s">
        <v>218</v>
      </c>
      <c r="V117" s="209"/>
      <c r="W117" s="333"/>
      <c r="X117" s="333"/>
      <c r="Y117" s="333"/>
      <c r="Z117" s="327" t="s">
        <v>960</v>
      </c>
      <c r="AA117" s="333" t="s">
        <v>350</v>
      </c>
      <c r="AB117" s="139" t="s">
        <v>961</v>
      </c>
      <c r="AC117" s="333"/>
      <c r="AD117" s="333"/>
      <c r="AE117" s="333" t="s">
        <v>226</v>
      </c>
      <c r="AF117" s="333" t="s">
        <v>306</v>
      </c>
      <c r="AG117" s="333" t="s">
        <v>228</v>
      </c>
      <c r="AH117" s="333" t="s">
        <v>229</v>
      </c>
      <c r="AI117" s="333" t="s">
        <v>472</v>
      </c>
      <c r="AJ117" s="333" t="s">
        <v>231</v>
      </c>
      <c r="AK117" s="209" t="s">
        <v>35</v>
      </c>
      <c r="AN117" s="5"/>
      <c r="AO117" s="5"/>
      <c r="AP117" s="5"/>
      <c r="AQ117" s="5"/>
      <c r="AR117" s="5"/>
      <c r="AS117" s="5"/>
      <c r="AT117" s="5"/>
      <c r="AW117" s="5"/>
      <c r="BA117" s="5"/>
      <c r="BF117" s="209" t="s">
        <v>55</v>
      </c>
      <c r="BG117" s="104" t="n">
        <f>VLOOKUP(B117,'UV台帐'!B:G,6,0)</f>
        <v>0</v>
      </c>
      <c r="BR117" s="104" t="n">
        <f>COUNTIFS(H117,"一期",I117,"在读")+COUNTIFS(L117,"一期",M117,"在读")+COUNTIFS(P117,"一期",Q117,"在读")</f>
        <v>0</v>
      </c>
      <c r="BS117" s="104" t="n">
        <f>BR117-BW117</f>
        <v>0</v>
      </c>
      <c r="BT117" s="209" t="s">
        <f>VLOOKUP(B117,'UV台帐'!B:AL,19,0)</f>
        <v>116</v>
      </c>
      <c r="BU117" s="209" t="s">
        <f>VLOOKUP(B117,'UV台帐'!B:AL,28,0)</f>
        <v>116</v>
      </c>
      <c r="BV117" s="209" t="s">
        <f>VLOOKUP(B117,'UV台帐'!B:AL,37,0)</f>
        <v>116</v>
      </c>
      <c r="BW117" s="104" t="n">
        <f>COUNTIFS(H117,"一期",BT117,"是")+COUNTIFS(L117,"一期",BU117,"是")+COUNTIFS(P117,"一期",BV117,"是")</f>
        <v>0</v>
      </c>
      <c r="CA117" s="290"/>
    </row>
    <row r="118" ht="26.25" customHeight="1">
      <c r="A118" s="318" t="s">
        <v>54</v>
      </c>
      <c r="B118" s="318" t="n">
        <v>2572765383</v>
      </c>
      <c r="C118" s="508" t="s">
        <f>VLOOKUP(B118,'UV台帐'!B:AL,2,0)</f>
        <v>962</v>
      </c>
      <c r="D118" s="508" t="s">
        <f>VLOOKUP(B118,'UV台帐'!B:AL,3,0)</f>
        <v>57</v>
      </c>
      <c r="E118" s="508" t="s">
        <f>VLOOKUP(B118,'UV台帐'!B:AL,13,0)</f>
        <v>116</v>
      </c>
      <c r="F118" s="508" t="s">
        <f>VLOOKUP(B118,'UV台帐'!B:AL,15,0)</f>
        <v>116</v>
      </c>
      <c r="G118" s="508" t="s">
        <f>VLOOKUP(B118,'UV台帐'!B:AL,16,0)</f>
        <v>116</v>
      </c>
      <c r="H118" s="508" t="s">
        <f>VLOOKUP(B118,'UV台帐'!B:AL,17,0)</f>
        <v>116</v>
      </c>
      <c r="I118" s="508" t="s">
        <f>VLOOKUP(B118,'UV台帐'!B:AL,18,0)</f>
        <v>116</v>
      </c>
      <c r="J118" s="299" t="s">
        <f>VLOOKUP(B118,'UV台帐'!B:AL,22,0)</f>
        <v>116</v>
      </c>
      <c r="K118" s="299" t="s">
        <f>VLOOKUP(B118,'UV台帐'!B:AL,24,0)</f>
        <v>116</v>
      </c>
      <c r="L118" s="299" t="s">
        <f>VLOOKUP(B118,'UV台帐'!B:AL,26,0)</f>
        <v>116</v>
      </c>
      <c r="M118" s="299" t="s">
        <f>VLOOKUP(B118,'UV台帐'!B:AL,27,0)</f>
        <v>116</v>
      </c>
      <c r="N118" s="508" t="s">
        <f>VLOOKUP(B118,'UV台帐'!B:AL,31,0)</f>
        <v>56</v>
      </c>
      <c r="O118" s="508" t="s">
        <f>VLOOKUP(B118,'UV台帐'!B:AL,33,0)</f>
        <v>215</v>
      </c>
      <c r="P118" s="508" t="s">
        <f>VLOOKUP(B118,'UV台帐'!B:AL,35,0)</f>
        <v>65</v>
      </c>
      <c r="Q118" s="508" t="s">
        <f>VLOOKUP(B118,'UV台帐'!B:AL,36,0)</f>
        <v>165</v>
      </c>
      <c r="R118" s="209" t="s">
        <v>217</v>
      </c>
      <c r="S118" s="209" t="s">
        <v>27</v>
      </c>
      <c r="T118" s="104" t="s">
        <v>218</v>
      </c>
      <c r="U118" s="104" t="s">
        <v>217</v>
      </c>
      <c r="V118" s="333" t="s">
        <v>267</v>
      </c>
      <c r="W118" s="333" t="n">
        <v>80</v>
      </c>
      <c r="X118" s="333" t="s">
        <v>963</v>
      </c>
      <c r="Y118" s="333" t="s">
        <v>964</v>
      </c>
      <c r="Z118" s="333" t="s">
        <v>965</v>
      </c>
      <c r="AA118" s="333" t="s">
        <v>223</v>
      </c>
      <c r="AB118" s="649" t="s">
        <v>966</v>
      </c>
      <c r="AC118" s="332" t="s">
        <v>169</v>
      </c>
      <c r="AD118" s="332" t="s">
        <v>280</v>
      </c>
      <c r="AE118" s="333" t="s">
        <v>253</v>
      </c>
      <c r="AF118" s="333" t="s">
        <v>306</v>
      </c>
      <c r="AG118" s="333" t="s">
        <v>228</v>
      </c>
      <c r="AH118" s="333" t="s">
        <v>307</v>
      </c>
      <c r="AI118" s="333" t="s">
        <v>230</v>
      </c>
      <c r="AJ118" s="333" t="s">
        <v>255</v>
      </c>
      <c r="AN118" s="5"/>
      <c r="AO118" s="5"/>
      <c r="AP118" s="5"/>
      <c r="AQ118" s="5"/>
      <c r="AR118" s="5"/>
      <c r="AS118" s="5"/>
      <c r="AT118" s="5"/>
      <c r="AW118" s="5"/>
      <c r="BA118" s="5"/>
      <c r="BF118" s="209" t="s">
        <v>57</v>
      </c>
      <c r="BG118" s="104" t="n">
        <f>VLOOKUP(B118,'UV台帐'!B:G,6,0)</f>
        <v>0</v>
      </c>
      <c r="BR118" s="104" t="n">
        <f>COUNTIFS(H118,"一期",I118,"在读")+COUNTIFS(L118,"一期",M118,"在读")+COUNTIFS(P118,"一期",Q118,"在读")</f>
        <v>1</v>
      </c>
      <c r="BS118" s="104" t="n">
        <f>BR118-BW118</f>
        <v>1</v>
      </c>
      <c r="BT118" s="209" t="s">
        <f>VLOOKUP(B118,'UV台帐'!B:AL,19,0)</f>
        <v>116</v>
      </c>
      <c r="BU118" s="209" t="s">
        <f>VLOOKUP(B118,'UV台帐'!B:AL,28,0)</f>
        <v>116</v>
      </c>
      <c r="BV118" s="209" t="s">
        <f>VLOOKUP(B118,'UV台帐'!B:AL,37,0)</f>
        <v>116</v>
      </c>
      <c r="BW118" s="104" t="n">
        <f>COUNTIFS(H118,"一期",BT118,"是")+COUNTIFS(L118,"一期",BU118,"是")+COUNTIFS(P118,"一期",BV118,"是")</f>
        <v>0</v>
      </c>
      <c r="CA118" s="290"/>
    </row>
    <row r="119" ht="26.25" customHeight="1">
      <c r="A119" s="318" t="s">
        <v>54</v>
      </c>
      <c r="B119" s="318" t="n">
        <v>4836060237</v>
      </c>
      <c r="C119" s="508" t="s">
        <f>VLOOKUP(B119,'UV台帐'!B:AL,2,0)</f>
        <v>967</v>
      </c>
      <c r="D119" s="508" t="s">
        <f>VLOOKUP(B119,'UV台帐'!B:AL,3,0)</f>
        <v>59</v>
      </c>
      <c r="E119" s="508" t="s">
        <f>VLOOKUP(B119,'UV台帐'!B:AL,13,0)</f>
        <v>35</v>
      </c>
      <c r="F119" s="508" t="s">
        <f>VLOOKUP(B119,'UV台帐'!B:AL,15,0)</f>
        <v>233</v>
      </c>
      <c r="G119" s="508" t="s">
        <f>VLOOKUP(B119,'UV台帐'!B:AL,16,0)</f>
        <v>234</v>
      </c>
      <c r="H119" s="508" t="s">
        <f>VLOOKUP(B119,'UV台帐'!B:AL,17,0)</f>
        <v>101</v>
      </c>
      <c r="I119" s="508" t="s">
        <f>VLOOKUP(B119,'UV台帐'!B:AL,18,0)</f>
        <v>165</v>
      </c>
      <c r="J119" s="299" t="s">
        <f>VLOOKUP(B119,'UV台帐'!B:AL,22,0)</f>
        <v>49</v>
      </c>
      <c r="K119" s="299" t="s">
        <f>VLOOKUP(B119,'UV台帐'!B:AL,24,0)</f>
        <v>215</v>
      </c>
      <c r="L119" s="299" t="s">
        <f>VLOOKUP(B119,'UV台帐'!B:AL,26,0)</f>
        <v>101</v>
      </c>
      <c r="M119" s="299" t="s">
        <f>VLOOKUP(B119,'UV台帐'!B:AL,27,0)</f>
        <v>165</v>
      </c>
      <c r="N119" s="508" t="s">
        <f>VLOOKUP(B119,'UV台帐'!B:AL,31,0)</f>
        <v>56</v>
      </c>
      <c r="O119" s="508" t="s">
        <f>VLOOKUP(B119,'UV台帐'!B:AL,33,0)</f>
        <v>216</v>
      </c>
      <c r="P119" s="508" t="s">
        <f>VLOOKUP(B119,'UV台帐'!B:AL,35,0)</f>
        <v>101</v>
      </c>
      <c r="Q119" s="508" t="s">
        <f>VLOOKUP(B119,'UV台帐'!B:AL,36,0)</f>
        <v>165</v>
      </c>
      <c r="R119" s="209" t="s">
        <v>217</v>
      </c>
      <c r="S119" s="209" t="s">
        <v>28</v>
      </c>
      <c r="T119" s="209" t="s">
        <v>217</v>
      </c>
      <c r="U119" s="209" t="s">
        <v>217</v>
      </c>
      <c r="V119" s="333" t="s">
        <v>968</v>
      </c>
      <c r="W119" s="333" t="s">
        <v>484</v>
      </c>
      <c r="X119" s="333" t="s">
        <v>969</v>
      </c>
      <c r="Y119" s="333"/>
      <c r="Z119" s="327" t="s">
        <v>970</v>
      </c>
      <c r="AA119" s="333" t="s">
        <v>223</v>
      </c>
      <c r="AB119" s="139" t="s">
        <v>971</v>
      </c>
      <c r="AC119" s="333" t="s">
        <v>456</v>
      </c>
      <c r="AD119" s="333" t="s">
        <v>403</v>
      </c>
      <c r="AE119" s="333" t="s">
        <v>253</v>
      </c>
      <c r="AF119" s="333" t="s">
        <v>241</v>
      </c>
      <c r="AG119" s="333" t="s">
        <v>228</v>
      </c>
      <c r="AH119" s="333" t="s">
        <v>229</v>
      </c>
      <c r="AI119" s="333" t="s">
        <v>230</v>
      </c>
      <c r="AJ119" s="333" t="s">
        <v>255</v>
      </c>
      <c r="AL119" s="209" t="s">
        <v>217</v>
      </c>
      <c r="AN119" s="5"/>
      <c r="AO119" s="5"/>
      <c r="AP119" s="5"/>
      <c r="AQ119" s="5"/>
      <c r="AR119" s="5"/>
      <c r="AS119" s="5"/>
      <c r="AT119" s="5"/>
      <c r="AW119" s="5"/>
      <c r="BA119" s="5"/>
      <c r="BF119" s="209" t="s">
        <v>59</v>
      </c>
      <c r="BG119" s="104" t="n">
        <f>VLOOKUP(B119,'UV台帐'!B:G,6,0)</f>
        <v>0</v>
      </c>
      <c r="BR119" s="104" t="n">
        <f>COUNTIFS(H119,"一期",I119,"在读")+COUNTIFS(L119,"一期",M119,"在读")+COUNTIFS(P119,"一期",Q119,"在读")</f>
        <v>0</v>
      </c>
      <c r="BS119" s="104" t="n">
        <f>BR119-BW119</f>
        <v>0</v>
      </c>
      <c r="BT119" s="209" t="s">
        <f>VLOOKUP(B119,'UV台帐'!B:AL,19,0)</f>
        <v>116</v>
      </c>
      <c r="BU119" s="209" t="s">
        <f>VLOOKUP(B119,'UV台帐'!B:AL,28,0)</f>
        <v>116</v>
      </c>
      <c r="BV119" s="209" t="s">
        <f>VLOOKUP(B119,'UV台帐'!B:AL,37,0)</f>
        <v>116</v>
      </c>
      <c r="BW119" s="104" t="n">
        <f>COUNTIFS(H119,"一期",BT119,"是")+COUNTIFS(L119,"一期",BU119,"是")+COUNTIFS(P119,"一期",BV119,"是")</f>
        <v>0</v>
      </c>
      <c r="CA119" s="290"/>
    </row>
    <row r="120" s="5" customFormat="1" ht="26.25" customHeight="1"/>
    <row r="121" s="5" customFormat="1" ht="26.25" customHeight="1"/>
    <row r="122" s="5" customFormat="1" ht="26.25" customHeight="1"/>
    <row r="123" s="5" customFormat="1" ht="26.25" customHeight="1"/>
    <row r="124" ht="26.25" customHeight="1">
      <c r="S124" s="209"/>
      <c r="T124" s="209"/>
      <c r="U124" s="209"/>
      <c r="V124" s="333"/>
      <c r="W124" s="333"/>
      <c r="X124" s="333"/>
      <c r="Y124" s="333"/>
      <c r="Z124" s="327"/>
      <c r="AA124" s="333"/>
      <c r="AB124" s="333"/>
      <c r="AC124" s="333"/>
      <c r="AD124" s="333"/>
      <c r="AE124" s="333"/>
      <c r="AF124" s="333"/>
      <c r="AG124" s="333"/>
      <c r="AH124" s="333"/>
      <c r="AI124" s="333"/>
      <c r="AJ124" s="333"/>
      <c r="AN124" s="5"/>
      <c r="AO124" s="5"/>
      <c r="AP124" s="5"/>
      <c r="AQ124" s="5"/>
      <c r="AR124" s="5"/>
      <c r="AS124" s="5"/>
      <c r="AT124" s="5"/>
      <c r="AW124" s="5"/>
      <c r="BA124" s="5"/>
    </row>
    <row r="125" ht="26.25" customHeight="1">
      <c r="S125" s="209"/>
      <c r="T125" s="209"/>
      <c r="U125" s="209"/>
      <c r="V125" s="333"/>
      <c r="W125" s="333"/>
      <c r="X125" s="333"/>
      <c r="Y125" s="333"/>
      <c r="Z125" s="327"/>
      <c r="AA125" s="333"/>
      <c r="AB125" s="333"/>
      <c r="AC125" s="333"/>
      <c r="AD125" s="333"/>
      <c r="AE125" s="333"/>
      <c r="AF125" s="333"/>
      <c r="AG125" s="333"/>
      <c r="AH125" s="333"/>
      <c r="AI125" s="333"/>
      <c r="AJ125" s="333"/>
      <c r="AN125" s="5"/>
      <c r="AO125" s="5"/>
      <c r="AP125" s="5"/>
      <c r="AQ125" s="5"/>
      <c r="AR125" s="5"/>
      <c r="AS125" s="5"/>
      <c r="AT125" s="5"/>
      <c r="AW125" s="5"/>
      <c r="BA125" s="5"/>
    </row>
    <row r="126" ht="26.25" customHeight="1">
      <c r="S126" s="209"/>
      <c r="T126" s="209"/>
      <c r="U126" s="209"/>
      <c r="V126" s="333"/>
      <c r="W126" s="333"/>
      <c r="X126" s="333"/>
      <c r="Y126" s="333"/>
      <c r="Z126" s="327"/>
      <c r="AA126" s="333"/>
      <c r="AB126" s="333"/>
      <c r="AC126" s="333"/>
      <c r="AD126" s="333"/>
      <c r="AE126" s="333"/>
      <c r="AF126" s="333"/>
      <c r="AG126" s="333"/>
      <c r="AH126" s="333"/>
      <c r="AI126" s="333"/>
      <c r="AJ126" s="333"/>
      <c r="AN126" s="5"/>
      <c r="AO126" s="5"/>
      <c r="AP126" s="5"/>
      <c r="AQ126" s="5"/>
      <c r="AR126" s="5"/>
      <c r="AS126" s="5"/>
      <c r="AT126" s="5"/>
      <c r="AW126" s="5"/>
      <c r="BA126" s="5"/>
    </row>
    <row r="127" ht="26.25" customHeight="1">
      <c r="S127" s="209"/>
      <c r="T127" s="209"/>
      <c r="U127" s="209"/>
      <c r="V127" s="333"/>
      <c r="W127" s="333"/>
      <c r="X127" s="333"/>
      <c r="Y127" s="333"/>
      <c r="Z127" s="327"/>
      <c r="AA127" s="333"/>
      <c r="AB127" s="333"/>
      <c r="AC127" s="333"/>
      <c r="AD127" s="333"/>
      <c r="AE127" s="333"/>
      <c r="AF127" s="333"/>
      <c r="AG127" s="333"/>
      <c r="AH127" s="333"/>
      <c r="AI127" s="333"/>
      <c r="AJ127" s="333"/>
      <c r="AN127" s="5"/>
      <c r="AO127" s="5"/>
      <c r="AP127" s="5"/>
      <c r="AQ127" s="5"/>
      <c r="AR127" s="5"/>
      <c r="AS127" s="5"/>
      <c r="AT127" s="5"/>
      <c r="AW127" s="5"/>
      <c r="BA127" s="5"/>
    </row>
    <row r="128" ht="26.25" customHeight="1">
      <c r="S128" s="209"/>
      <c r="T128" s="209"/>
      <c r="U128" s="209"/>
      <c r="V128" s="333"/>
      <c r="W128" s="333"/>
      <c r="X128" s="333"/>
      <c r="Y128" s="333"/>
      <c r="Z128" s="327"/>
      <c r="AA128" s="333"/>
      <c r="AB128" s="333"/>
      <c r="AC128" s="333"/>
      <c r="AD128" s="333"/>
      <c r="AE128" s="333"/>
      <c r="AF128" s="333"/>
      <c r="AG128" s="333"/>
      <c r="AH128" s="333"/>
      <c r="AI128" s="333"/>
      <c r="AJ128" s="333"/>
      <c r="AN128" s="5"/>
      <c r="AO128" s="5"/>
      <c r="AP128" s="5"/>
      <c r="AQ128" s="5"/>
      <c r="AR128" s="5"/>
      <c r="AS128" s="5"/>
      <c r="AT128" s="5"/>
      <c r="AW128" s="5"/>
      <c r="BA128" s="5"/>
    </row>
    <row r="129" ht="26.25" customHeight="1">
      <c r="S129" s="209"/>
      <c r="T129" s="209"/>
      <c r="U129" s="209"/>
      <c r="V129" s="333"/>
      <c r="W129" s="333"/>
      <c r="X129" s="333"/>
      <c r="Y129" s="333"/>
      <c r="Z129" s="327"/>
      <c r="AA129" s="333"/>
      <c r="AB129" s="333"/>
      <c r="AC129" s="333"/>
      <c r="AD129" s="333"/>
      <c r="AE129" s="333"/>
      <c r="AF129" s="333"/>
      <c r="AG129" s="333"/>
      <c r="AH129" s="333"/>
      <c r="AI129" s="333"/>
      <c r="AJ129" s="333"/>
      <c r="AN129" s="5"/>
      <c r="AO129" s="5"/>
      <c r="AP129" s="5"/>
      <c r="AQ129" s="5"/>
      <c r="AR129" s="5"/>
      <c r="AS129" s="5"/>
      <c r="AT129" s="5"/>
      <c r="AW129" s="5"/>
      <c r="BA129" s="5"/>
    </row>
    <row r="130" ht="16.5" customHeight="1"/>
    <row r="131" ht="16.5" customHeight="1"/>
  </sheetData>
  <autoFilter ref="A2:XFD1048576"/>
  <mergeCells count="16">
    <mergeCell ref="E1:I1"/>
    <mergeCell ref="J1:M1"/>
    <mergeCell ref="N1:Q1"/>
    <mergeCell ref="AK1:AM1"/>
    <mergeCell ref="BD1:BE1"/>
    <mergeCell ref="BI1:BJ1"/>
    <mergeCell ref="BK1:BO1"/>
    <mergeCell ref="BX1:BZ1"/>
    <mergeCell ref="BF1:BH1"/>
    <mergeCell ref="AA1:AC1"/>
    <mergeCell ref="AE1:AJ1"/>
    <mergeCell ref="AN1:BC1"/>
    <mergeCell ref="C1:C2"/>
    <mergeCell ref="D1:D2"/>
    <mergeCell ref="B1:B2"/>
    <mergeCell ref="A1:A2"/>
  </mergeCells>
  <phoneticPr fontId="1" type="noConversion"/>
  <conditionalFormatting sqref="CA1:CA119 CA124:CA131 B1:B119 B124:B131">
    <cfRule priority="1" type="duplicateValues" dxfId="0"/>
  </conditionalFormatting>
  <conditionalFormatting sqref="C1:C119 C124:C129">
    <cfRule priority="28" type="duplicateValues" dxfId="0"/>
  </conditionalFormatting>
  <dataValidations count="42">
    <dataValidation type="list" allowBlank="1" sqref="AL3:AL129">
      <formula1>"是,否"</formula1>
    </dataValidation>
    <dataValidation type="list" allowBlank="1" sqref="AM3:AM129">
      <formula1>"是,否"</formula1>
    </dataValidation>
    <dataValidation type="list" errorStyle="information" allowBlank="1" showErrorMessage="1" sqref="BK3:BK129">
      <formula1>"S,A,B,C"</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allowBlank="1" showErrorMessage="1" sqref="AJ3:AJ129">
      <formula1>"S-14-15,A-11-13,B-8-10,C-小于8"</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7.623046875" style="6"/>
    <col min="47" max="47" width="11.6220703125" style="6"/>
    <col min="48" max="48" width="8.1240234375" style="6"/>
    <col min="49" max="49" width="7.623046875" style="6"/>
  </cols>
  <sheetData>
    <row r="1" s="428" customFormat="1" ht="26.25" customHeight="1">
      <c r="A1" s="429" t="s">
        <v>146</v>
      </c>
      <c r="B1" s="430" t="s">
        <v>147</v>
      </c>
      <c r="C1" s="430" t="s">
        <v>148</v>
      </c>
      <c r="D1" s="430" t="s">
        <v>149</v>
      </c>
      <c r="E1" s="430" t="s">
        <v>972</v>
      </c>
      <c r="F1" s="430" t="s">
        <v>973</v>
      </c>
      <c r="G1" s="430" t="s">
        <v>203</v>
      </c>
      <c r="H1" s="430" t="s">
        <v>974</v>
      </c>
      <c r="I1" s="430" t="s">
        <v>174</v>
      </c>
      <c r="J1" s="431" t="s">
        <v>150</v>
      </c>
      <c r="K1" s="431"/>
      <c r="L1" s="412"/>
      <c r="M1" s="412"/>
      <c r="N1" s="412"/>
      <c r="O1" s="412"/>
      <c r="P1" s="412"/>
      <c r="Q1" s="412"/>
      <c r="R1" s="412"/>
      <c r="S1" s="412"/>
      <c r="T1" s="412"/>
      <c r="U1" s="432" t="s">
        <v>151</v>
      </c>
      <c r="V1" s="413"/>
      <c r="W1" s="413"/>
      <c r="X1" s="413"/>
      <c r="Y1" s="413"/>
      <c r="Z1" s="413"/>
      <c r="AA1" s="413"/>
      <c r="AB1" s="413"/>
      <c r="AC1" s="413"/>
      <c r="AD1" s="433" t="s">
        <v>152</v>
      </c>
      <c r="AE1" s="414"/>
      <c r="AF1" s="414"/>
      <c r="AG1" s="414"/>
      <c r="AH1" s="414"/>
      <c r="AI1" s="414"/>
      <c r="AJ1" s="414"/>
      <c r="AK1" s="414"/>
      <c r="AL1" s="414"/>
      <c r="AM1" s="415" t="s">
        <v>975</v>
      </c>
      <c r="AN1" s="124" t="s">
        <v>976</v>
      </c>
      <c r="AO1" s="409"/>
      <c r="AP1" s="409"/>
      <c r="AQ1" s="409"/>
      <c r="AR1" s="430" t="s">
        <v>977</v>
      </c>
      <c r="AS1" s="357" t="s">
        <v>978</v>
      </c>
      <c r="AT1" s="6"/>
      <c r="AU1" s="6"/>
      <c r="AV1" s="6"/>
      <c r="AW1" s="6"/>
    </row>
    <row r="2" s="428" customFormat="1" ht="26.25" customHeight="1">
      <c r="A2" s="27"/>
      <c r="J2" s="431" t="s">
        <v>979</v>
      </c>
      <c r="K2" s="431" t="s">
        <v>980</v>
      </c>
      <c r="L2" s="431" t="s">
        <v>125</v>
      </c>
      <c r="M2" s="431" t="s">
        <v>981</v>
      </c>
      <c r="N2" s="431" t="s">
        <v>172</v>
      </c>
      <c r="O2" s="431" t="s">
        <v>982</v>
      </c>
      <c r="P2" s="431" t="s">
        <v>173</v>
      </c>
      <c r="Q2" s="431" t="s">
        <v>94</v>
      </c>
      <c r="R2" s="431" t="s">
        <v>174</v>
      </c>
      <c r="S2" s="431" t="s">
        <v>175</v>
      </c>
      <c r="T2" s="431" t="s">
        <v>983</v>
      </c>
      <c r="U2" s="432" t="s">
        <v>979</v>
      </c>
      <c r="V2" s="432" t="s">
        <v>125</v>
      </c>
      <c r="W2" s="432" t="s">
        <v>172</v>
      </c>
      <c r="X2" s="432" t="s">
        <v>982</v>
      </c>
      <c r="Y2" s="432" t="s">
        <v>173</v>
      </c>
      <c r="Z2" s="432" t="s">
        <v>94</v>
      </c>
      <c r="AA2" s="432" t="s">
        <v>174</v>
      </c>
      <c r="AB2" s="432" t="s">
        <v>175</v>
      </c>
      <c r="AC2" s="432" t="s">
        <v>983</v>
      </c>
      <c r="AD2" s="433" t="s">
        <v>979</v>
      </c>
      <c r="AE2" s="433" t="s">
        <v>125</v>
      </c>
      <c r="AF2" s="433" t="s">
        <v>172</v>
      </c>
      <c r="AG2" s="433" t="s">
        <v>982</v>
      </c>
      <c r="AH2" s="433" t="s">
        <v>173</v>
      </c>
      <c r="AI2" s="433" t="s">
        <v>94</v>
      </c>
      <c r="AJ2" s="433" t="s">
        <v>174</v>
      </c>
      <c r="AK2" s="433" t="s">
        <v>175</v>
      </c>
      <c r="AL2" s="433" t="s">
        <v>983</v>
      </c>
      <c r="AM2" s="407"/>
      <c r="AN2" s="410" t="s">
        <v>74</v>
      </c>
      <c r="AO2" s="410" t="s">
        <v>75</v>
      </c>
      <c r="AP2" s="411" t="s">
        <v>76</v>
      </c>
      <c r="AQ2" s="124" t="s">
        <v>77</v>
      </c>
      <c r="AS2" s="407"/>
      <c r="AT2" s="6"/>
      <c r="AU2" s="6"/>
      <c r="AV2" s="6"/>
      <c r="AW2" s="6"/>
    </row>
    <row r="3" ht="26.25" customHeight="1">
      <c r="A3" s="114" t="s">
        <v>54</v>
      </c>
      <c r="B3" s="114" t="n">
        <v>2515091781</v>
      </c>
      <c r="C3" s="114" t="s">
        <v>984</v>
      </c>
      <c r="D3" s="114" t="s">
        <v>50</v>
      </c>
      <c r="E3" s="114" t="s">
        <v>104</v>
      </c>
      <c r="F3" s="114"/>
      <c r="G3" s="114"/>
      <c r="H3" s="114" t="s">
        <v>165</v>
      </c>
      <c r="I3" s="114" t="s">
        <v>101</v>
      </c>
      <c r="J3" s="114" t="n">
        <v>4632447</v>
      </c>
      <c r="K3" s="114" t="s">
        <v>126</v>
      </c>
      <c r="L3" s="114" t="n">
        <v>52</v>
      </c>
      <c r="M3" s="114" t="n">
        <v>70</v>
      </c>
      <c r="N3" s="114" t="s">
        <v>37</v>
      </c>
      <c r="O3" s="114" t="s">
        <v>985</v>
      </c>
      <c r="P3" s="114" t="s">
        <v>215</v>
      </c>
      <c r="Q3" s="114" t="s">
        <v>283</v>
      </c>
      <c r="R3" s="114" t="s">
        <v>101</v>
      </c>
      <c r="S3" s="114" t="s">
        <v>165</v>
      </c>
      <c r="T3" s="114" t="s">
        <v>217</v>
      </c>
      <c r="U3" s="114" t="n">
        <v>5170873</v>
      </c>
      <c r="V3" s="114"/>
      <c r="W3" s="114" t="s">
        <v>47</v>
      </c>
      <c r="X3" s="114" t="s">
        <v>986</v>
      </c>
      <c r="Y3" s="114" t="s">
        <v>216</v>
      </c>
      <c r="Z3" s="114" t="s">
        <v>283</v>
      </c>
      <c r="AA3" s="114" t="s">
        <v>101</v>
      </c>
      <c r="AB3" s="114" t="s">
        <v>165</v>
      </c>
      <c r="AC3" s="114" t="s">
        <v>116</v>
      </c>
      <c r="AD3" s="114" t="n">
        <v>5230821</v>
      </c>
      <c r="AE3" s="114"/>
      <c r="AF3" s="114" t="s">
        <v>56</v>
      </c>
      <c r="AG3" s="114" t="s">
        <v>987</v>
      </c>
      <c r="AH3" s="114" t="s">
        <v>233</v>
      </c>
      <c r="AI3" s="114" t="s">
        <v>283</v>
      </c>
      <c r="AJ3" s="114" t="s">
        <v>101</v>
      </c>
      <c r="AK3" s="114" t="s">
        <v>165</v>
      </c>
      <c r="AL3" s="114" t="s">
        <v>116</v>
      </c>
      <c r="AM3" s="318"/>
      <c r="AN3" s="318"/>
      <c r="AO3" s="318"/>
      <c r="AP3" s="476"/>
      <c r="AQ3" s="476"/>
      <c r="AR3" s="6" t="s">
        <v>142</v>
      </c>
    </row>
    <row r="4" ht="26.25" customHeight="1">
      <c r="A4" s="114" t="s">
        <v>45</v>
      </c>
      <c r="B4" s="114" t="n">
        <v>2650446288</v>
      </c>
      <c r="C4" s="114" t="s">
        <v>988</v>
      </c>
      <c r="D4" s="114" t="s">
        <v>48</v>
      </c>
      <c r="E4" s="114" t="s">
        <v>104</v>
      </c>
      <c r="F4" s="114"/>
      <c r="G4" s="114"/>
      <c r="H4" s="114" t="s">
        <v>165</v>
      </c>
      <c r="I4" s="114" t="s">
        <v>100</v>
      </c>
      <c r="J4" s="114" t="n">
        <v>3132872</v>
      </c>
      <c r="K4" s="114" t="s">
        <v>126</v>
      </c>
      <c r="L4" s="114" t="n">
        <v>72</v>
      </c>
      <c r="M4" s="114" t="n">
        <v>90</v>
      </c>
      <c r="N4" s="114" t="s">
        <v>35</v>
      </c>
      <c r="O4" s="114" t="s">
        <v>989</v>
      </c>
      <c r="P4" s="114" t="s">
        <v>216</v>
      </c>
      <c r="Q4" s="114" t="s">
        <v>283</v>
      </c>
      <c r="R4" s="114" t="s">
        <v>100</v>
      </c>
      <c r="S4" s="114" t="s">
        <v>165</v>
      </c>
      <c r="T4" s="114" t="s">
        <v>116</v>
      </c>
      <c r="U4" s="114" t="s">
        <v>116</v>
      </c>
      <c r="V4" s="114"/>
      <c r="W4" s="114" t="s">
        <v>116</v>
      </c>
      <c r="X4" s="114" t="s">
        <v>116</v>
      </c>
      <c r="Y4" s="114" t="s">
        <v>116</v>
      </c>
      <c r="Z4" s="114" t="s">
        <v>116</v>
      </c>
      <c r="AA4" s="114" t="s">
        <v>116</v>
      </c>
      <c r="AB4" s="114" t="s">
        <v>116</v>
      </c>
      <c r="AC4" s="114" t="s">
        <v>116</v>
      </c>
      <c r="AD4" s="114" t="n">
        <v>3132893</v>
      </c>
      <c r="AE4" s="114"/>
      <c r="AF4" s="114" t="s">
        <v>52</v>
      </c>
      <c r="AG4" s="114" t="s">
        <v>989</v>
      </c>
      <c r="AH4" s="114" t="s">
        <v>233</v>
      </c>
      <c r="AI4" s="114" t="s">
        <v>283</v>
      </c>
      <c r="AJ4" s="114" t="s">
        <v>100</v>
      </c>
      <c r="AK4" s="114" t="s">
        <v>165</v>
      </c>
      <c r="AL4" s="114" t="s">
        <v>116</v>
      </c>
      <c r="AM4" s="318"/>
      <c r="AN4" s="318"/>
      <c r="AO4" s="318"/>
      <c r="AP4" s="476"/>
      <c r="AQ4" s="476"/>
      <c r="AR4" s="6" t="s">
        <v>142</v>
      </c>
    </row>
    <row r="5" ht="26.25" customHeight="1">
      <c r="A5" s="114" t="s">
        <v>85</v>
      </c>
      <c r="B5" s="114" t="n">
        <v>2206008295</v>
      </c>
      <c r="C5" s="114" t="s">
        <v>990</v>
      </c>
      <c r="D5" s="114" t="s">
        <v>55</v>
      </c>
      <c r="E5" s="114" t="s">
        <v>104</v>
      </c>
      <c r="F5" s="114"/>
      <c r="G5" s="114"/>
      <c r="H5" s="114" t="s">
        <v>165</v>
      </c>
      <c r="I5" s="114" t="s">
        <v>101</v>
      </c>
      <c r="J5" s="114" t="n">
        <v>5230801</v>
      </c>
      <c r="K5" s="114" t="s">
        <v>126</v>
      </c>
      <c r="L5" s="114" t="n">
        <v>60</v>
      </c>
      <c r="M5" s="114" t="n">
        <v>80</v>
      </c>
      <c r="N5" s="114" t="s">
        <v>39</v>
      </c>
      <c r="O5" s="114" t="s">
        <v>991</v>
      </c>
      <c r="P5" s="114" t="s">
        <v>216</v>
      </c>
      <c r="Q5" s="114" t="s">
        <v>283</v>
      </c>
      <c r="R5" s="114" t="s">
        <v>101</v>
      </c>
      <c r="S5" s="114" t="s">
        <v>165</v>
      </c>
      <c r="T5" s="114" t="s">
        <v>217</v>
      </c>
      <c r="U5" s="114" t="n">
        <v>5230739</v>
      </c>
      <c r="V5" s="114"/>
      <c r="W5" s="114" t="s">
        <v>47</v>
      </c>
      <c r="X5" s="114" t="s">
        <v>991</v>
      </c>
      <c r="Y5" s="114" t="s">
        <v>215</v>
      </c>
      <c r="Z5" s="114" t="s">
        <v>283</v>
      </c>
      <c r="AA5" s="114" t="s">
        <v>101</v>
      </c>
      <c r="AB5" s="114" t="s">
        <v>165</v>
      </c>
      <c r="AC5" s="114" t="s">
        <v>217</v>
      </c>
      <c r="AD5" s="114" t="n">
        <v>5230788</v>
      </c>
      <c r="AE5" s="114"/>
      <c r="AF5" s="114" t="s">
        <v>52</v>
      </c>
      <c r="AG5" s="114" t="s">
        <v>991</v>
      </c>
      <c r="AH5" s="114" t="s">
        <v>233</v>
      </c>
      <c r="AI5" s="114" t="s">
        <v>283</v>
      </c>
      <c r="AJ5" s="114" t="s">
        <v>101</v>
      </c>
      <c r="AK5" s="114" t="s">
        <v>165</v>
      </c>
      <c r="AL5" s="114" t="s">
        <v>217</v>
      </c>
      <c r="AM5" s="318"/>
      <c r="AN5" s="318"/>
      <c r="AO5" s="318"/>
      <c r="AP5" s="476"/>
      <c r="AQ5" s="476"/>
      <c r="AR5" s="6" t="s">
        <v>142</v>
      </c>
      <c r="AS5" s="6" t="s">
        <v>217</v>
      </c>
    </row>
    <row r="6" ht="26.25" customHeight="1">
      <c r="A6" s="114" t="s">
        <v>45</v>
      </c>
      <c r="B6" s="114" t="n">
        <v>4860491930</v>
      </c>
      <c r="C6" s="114" t="s">
        <v>992</v>
      </c>
      <c r="D6" s="114" t="s">
        <v>55</v>
      </c>
      <c r="E6" s="114" t="s">
        <v>104</v>
      </c>
      <c r="F6" s="114"/>
      <c r="G6" s="114"/>
      <c r="H6" s="114" t="s">
        <v>165</v>
      </c>
      <c r="I6" s="114" t="s">
        <v>100</v>
      </c>
      <c r="J6" s="114" t="n">
        <v>3132872</v>
      </c>
      <c r="K6" s="114" t="s">
        <v>126</v>
      </c>
      <c r="L6" s="114" t="n">
        <v>64</v>
      </c>
      <c r="M6" s="114" t="n">
        <v>85</v>
      </c>
      <c r="N6" s="114" t="s">
        <v>35</v>
      </c>
      <c r="O6" s="114" t="s">
        <v>989</v>
      </c>
      <c r="P6" s="114" t="s">
        <v>216</v>
      </c>
      <c r="Q6" s="114" t="s">
        <v>283</v>
      </c>
      <c r="R6" s="114" t="s">
        <v>100</v>
      </c>
      <c r="S6" s="114" t="s">
        <v>165</v>
      </c>
      <c r="T6" s="114" t="s">
        <v>116</v>
      </c>
      <c r="U6" s="114" t="n">
        <v>5230809</v>
      </c>
      <c r="V6" s="114"/>
      <c r="W6" s="114" t="s">
        <v>47</v>
      </c>
      <c r="X6" s="114" t="s">
        <v>989</v>
      </c>
      <c r="Y6" s="114" t="s">
        <v>215</v>
      </c>
      <c r="Z6" s="114" t="s">
        <v>283</v>
      </c>
      <c r="AA6" s="114" t="s">
        <v>100</v>
      </c>
      <c r="AB6" s="114" t="s">
        <v>165</v>
      </c>
      <c r="AC6" s="114" t="s">
        <v>116</v>
      </c>
      <c r="AD6" s="114" t="n">
        <v>3132893</v>
      </c>
      <c r="AE6" s="114"/>
      <c r="AF6" s="114" t="s">
        <v>52</v>
      </c>
      <c r="AG6" s="114" t="s">
        <v>989</v>
      </c>
      <c r="AH6" s="114" t="s">
        <v>233</v>
      </c>
      <c r="AI6" s="114" t="s">
        <v>283</v>
      </c>
      <c r="AJ6" s="114" t="s">
        <v>100</v>
      </c>
      <c r="AK6" s="114" t="s">
        <v>165</v>
      </c>
      <c r="AL6" s="114" t="s">
        <v>116</v>
      </c>
      <c r="AM6" s="318"/>
      <c r="AN6" s="318"/>
      <c r="AO6" s="318"/>
      <c r="AP6" s="476"/>
      <c r="AQ6" s="476"/>
      <c r="AR6" s="6" t="s">
        <v>142</v>
      </c>
    </row>
    <row r="7" ht="26.25" customHeight="1">
      <c r="A7" s="114" t="s">
        <v>54</v>
      </c>
      <c r="B7" s="114" t="n">
        <v>4859453289</v>
      </c>
      <c r="C7" s="114" t="s">
        <v>993</v>
      </c>
      <c r="D7" s="114" t="s">
        <v>38</v>
      </c>
      <c r="E7" s="114" t="s">
        <v>104</v>
      </c>
      <c r="F7" s="114"/>
      <c r="G7" s="114"/>
      <c r="H7" s="114" t="s">
        <v>165</v>
      </c>
      <c r="I7" s="114" t="s">
        <v>101</v>
      </c>
      <c r="J7" s="114" t="n">
        <v>5111035</v>
      </c>
      <c r="K7" s="114" t="s">
        <v>126</v>
      </c>
      <c r="L7" s="114" t="n">
        <v>86</v>
      </c>
      <c r="M7" s="114" t="n">
        <v>95</v>
      </c>
      <c r="N7" s="114" t="s">
        <v>35</v>
      </c>
      <c r="O7" s="114" t="s">
        <v>986</v>
      </c>
      <c r="P7" s="114" t="s">
        <v>233</v>
      </c>
      <c r="Q7" s="114" t="s">
        <v>234</v>
      </c>
      <c r="R7" s="114" t="s">
        <v>101</v>
      </c>
      <c r="S7" s="114" t="s">
        <v>165</v>
      </c>
      <c r="T7" s="114" t="s">
        <v>116</v>
      </c>
      <c r="U7" s="114" t="n">
        <v>5170873</v>
      </c>
      <c r="V7" s="114"/>
      <c r="W7" s="114" t="s">
        <v>47</v>
      </c>
      <c r="X7" s="114" t="s">
        <v>986</v>
      </c>
      <c r="Y7" s="114" t="s">
        <v>216</v>
      </c>
      <c r="Z7" s="114" t="s">
        <v>283</v>
      </c>
      <c r="AA7" s="114" t="s">
        <v>101</v>
      </c>
      <c r="AB7" s="114" t="s">
        <v>165</v>
      </c>
      <c r="AC7" s="114" t="s">
        <v>116</v>
      </c>
      <c r="AD7" s="114" t="n">
        <v>5170871</v>
      </c>
      <c r="AE7" s="114"/>
      <c r="AF7" s="114" t="s">
        <v>58</v>
      </c>
      <c r="AG7" s="114" t="s">
        <v>986</v>
      </c>
      <c r="AH7" s="114" t="s">
        <v>215</v>
      </c>
      <c r="AI7" s="114" t="s">
        <v>283</v>
      </c>
      <c r="AJ7" s="114" t="s">
        <v>101</v>
      </c>
      <c r="AK7" s="114" t="s">
        <v>165</v>
      </c>
      <c r="AL7" s="114" t="s">
        <v>116</v>
      </c>
      <c r="AM7" s="318"/>
      <c r="AN7" s="318"/>
      <c r="AO7" s="318"/>
      <c r="AP7" s="476"/>
      <c r="AQ7" s="476"/>
      <c r="AR7" s="6" t="s">
        <v>142</v>
      </c>
    </row>
    <row r="8" ht="26.25" customHeight="1">
      <c r="A8" s="114" t="s">
        <v>54</v>
      </c>
      <c r="B8" s="114" t="n">
        <v>2365706460</v>
      </c>
      <c r="C8" s="114" t="s">
        <v>994</v>
      </c>
      <c r="D8" s="114" t="s">
        <v>59</v>
      </c>
      <c r="E8" s="114" t="s">
        <v>104</v>
      </c>
      <c r="F8" s="114"/>
      <c r="G8" s="114"/>
      <c r="H8" s="114" t="s">
        <v>165</v>
      </c>
      <c r="I8" s="114" t="s">
        <v>101</v>
      </c>
      <c r="J8" s="114" t="n">
        <v>4632447</v>
      </c>
      <c r="K8" s="114" t="s">
        <v>126</v>
      </c>
      <c r="L8" s="114" t="n">
        <v>60</v>
      </c>
      <c r="M8" s="114" t="n">
        <v>80</v>
      </c>
      <c r="N8" s="114" t="s">
        <v>37</v>
      </c>
      <c r="O8" s="114" t="s">
        <v>985</v>
      </c>
      <c r="P8" s="114" t="s">
        <v>215</v>
      </c>
      <c r="Q8" s="114" t="s">
        <v>283</v>
      </c>
      <c r="R8" s="114" t="s">
        <v>101</v>
      </c>
      <c r="S8" s="114" t="s">
        <v>165</v>
      </c>
      <c r="T8" s="114" t="s">
        <v>116</v>
      </c>
      <c r="U8" s="114" t="n">
        <v>5111226</v>
      </c>
      <c r="V8" s="114"/>
      <c r="W8" s="114" t="s">
        <v>47</v>
      </c>
      <c r="X8" s="114" t="s">
        <v>985</v>
      </c>
      <c r="Y8" s="114" t="s">
        <v>233</v>
      </c>
      <c r="Z8" s="114" t="s">
        <v>283</v>
      </c>
      <c r="AA8" s="114" t="s">
        <v>101</v>
      </c>
      <c r="AB8" s="114" t="s">
        <v>165</v>
      </c>
      <c r="AC8" s="114" t="s">
        <v>116</v>
      </c>
      <c r="AD8" s="114" t="n">
        <v>4513388</v>
      </c>
      <c r="AE8" s="114"/>
      <c r="AF8" s="114" t="s">
        <v>56</v>
      </c>
      <c r="AG8" s="114" t="s">
        <v>985</v>
      </c>
      <c r="AH8" s="114" t="s">
        <v>216</v>
      </c>
      <c r="AI8" s="114" t="s">
        <v>283</v>
      </c>
      <c r="AJ8" s="114" t="s">
        <v>101</v>
      </c>
      <c r="AK8" s="114" t="s">
        <v>165</v>
      </c>
      <c r="AL8" s="114" t="s">
        <v>116</v>
      </c>
      <c r="AM8" s="318"/>
      <c r="AN8" s="318"/>
      <c r="AO8" s="318"/>
      <c r="AP8" s="476"/>
      <c r="AQ8" s="476"/>
      <c r="AR8" s="6" t="s">
        <v>142</v>
      </c>
    </row>
    <row r="9" ht="26.25" customHeight="1">
      <c r="A9" s="114" t="s">
        <v>54</v>
      </c>
      <c r="B9" s="114" t="n">
        <v>4739786737</v>
      </c>
      <c r="C9" s="114" t="s">
        <v>995</v>
      </c>
      <c r="D9" s="114" t="s">
        <v>48</v>
      </c>
      <c r="E9" s="114" t="s">
        <v>104</v>
      </c>
      <c r="F9" s="114"/>
      <c r="G9" s="114"/>
      <c r="H9" s="114" t="s">
        <v>165</v>
      </c>
      <c r="I9" s="114" t="s">
        <v>101</v>
      </c>
      <c r="J9" s="114" t="n">
        <v>5111035</v>
      </c>
      <c r="K9" s="114" t="s">
        <v>126</v>
      </c>
      <c r="L9" s="114" t="n">
        <v>60</v>
      </c>
      <c r="M9" s="114" t="n">
        <v>80</v>
      </c>
      <c r="N9" s="114" t="s">
        <v>35</v>
      </c>
      <c r="O9" s="114" t="s">
        <v>986</v>
      </c>
      <c r="P9" s="114" t="s">
        <v>233</v>
      </c>
      <c r="Q9" s="114" t="s">
        <v>234</v>
      </c>
      <c r="R9" s="114" t="s">
        <v>101</v>
      </c>
      <c r="S9" s="114" t="s">
        <v>165</v>
      </c>
      <c r="T9" s="114" t="s">
        <v>116</v>
      </c>
      <c r="U9" s="114" t="s">
        <v>116</v>
      </c>
      <c r="V9" s="114"/>
      <c r="W9" s="114" t="s">
        <v>116</v>
      </c>
      <c r="X9" s="114" t="s">
        <v>116</v>
      </c>
      <c r="Y9" s="114" t="s">
        <v>116</v>
      </c>
      <c r="Z9" s="114" t="s">
        <v>116</v>
      </c>
      <c r="AA9" s="114" t="s">
        <v>116</v>
      </c>
      <c r="AB9" s="114" t="s">
        <v>116</v>
      </c>
      <c r="AC9" s="114" t="s">
        <v>116</v>
      </c>
      <c r="AD9" s="114" t="s">
        <v>116</v>
      </c>
      <c r="AE9" s="114"/>
      <c r="AF9" s="114" t="s">
        <v>116</v>
      </c>
      <c r="AG9" s="114" t="s">
        <v>116</v>
      </c>
      <c r="AH9" s="114" t="s">
        <v>116</v>
      </c>
      <c r="AI9" s="114" t="s">
        <v>116</v>
      </c>
      <c r="AJ9" s="114" t="s">
        <v>116</v>
      </c>
      <c r="AK9" s="114" t="s">
        <v>116</v>
      </c>
      <c r="AL9" s="114" t="s">
        <v>116</v>
      </c>
      <c r="AM9" s="318"/>
      <c r="AN9" s="318"/>
      <c r="AO9" s="318"/>
      <c r="AP9" s="476"/>
      <c r="AQ9" s="476"/>
      <c r="AR9" s="6" t="s">
        <v>142</v>
      </c>
    </row>
    <row r="10" ht="26.25" customHeight="1">
      <c r="A10" s="114" t="s">
        <v>85</v>
      </c>
      <c r="B10" s="114" t="n">
        <v>4857404593</v>
      </c>
      <c r="C10" s="114" t="s">
        <v>996</v>
      </c>
      <c r="D10" s="114" t="s">
        <v>40</v>
      </c>
      <c r="E10" s="114" t="s">
        <v>104</v>
      </c>
      <c r="F10" s="114"/>
      <c r="G10" s="114"/>
      <c r="H10" s="114" t="s">
        <v>165</v>
      </c>
      <c r="I10" s="114" t="s">
        <v>101</v>
      </c>
      <c r="J10" s="114" t="n">
        <v>5230801</v>
      </c>
      <c r="K10" s="114" t="s">
        <v>126</v>
      </c>
      <c r="L10" s="114" t="n">
        <v>88</v>
      </c>
      <c r="M10" s="114" t="n">
        <v>98</v>
      </c>
      <c r="N10" s="114" t="s">
        <v>39</v>
      </c>
      <c r="O10" s="114" t="s">
        <v>991</v>
      </c>
      <c r="P10" s="114" t="s">
        <v>216</v>
      </c>
      <c r="Q10" s="114" t="s">
        <v>283</v>
      </c>
      <c r="R10" s="114" t="s">
        <v>101</v>
      </c>
      <c r="S10" s="114" t="s">
        <v>165</v>
      </c>
      <c r="T10" s="114" t="s">
        <v>116</v>
      </c>
      <c r="U10" s="114" t="n">
        <v>5230739</v>
      </c>
      <c r="V10" s="114"/>
      <c r="W10" s="114" t="s">
        <v>47</v>
      </c>
      <c r="X10" s="114" t="s">
        <v>991</v>
      </c>
      <c r="Y10" s="114" t="s">
        <v>215</v>
      </c>
      <c r="Z10" s="114" t="s">
        <v>283</v>
      </c>
      <c r="AA10" s="114" t="s">
        <v>101</v>
      </c>
      <c r="AB10" s="114" t="s">
        <v>165</v>
      </c>
      <c r="AC10" s="114" t="s">
        <v>116</v>
      </c>
      <c r="AD10" s="114" t="n">
        <v>5230788</v>
      </c>
      <c r="AE10" s="114"/>
      <c r="AF10" s="114" t="s">
        <v>52</v>
      </c>
      <c r="AG10" s="114" t="s">
        <v>991</v>
      </c>
      <c r="AH10" s="114" t="s">
        <v>233</v>
      </c>
      <c r="AI10" s="114" t="s">
        <v>283</v>
      </c>
      <c r="AJ10" s="114" t="s">
        <v>101</v>
      </c>
      <c r="AK10" s="114" t="s">
        <v>165</v>
      </c>
      <c r="AL10" s="114" t="s">
        <v>116</v>
      </c>
      <c r="AM10" s="318"/>
      <c r="AN10" s="318"/>
      <c r="AO10" s="318"/>
      <c r="AP10" s="476"/>
      <c r="AQ10" s="476"/>
      <c r="AR10" s="6" t="s">
        <v>142</v>
      </c>
    </row>
    <row r="11" ht="26.25" customHeight="1">
      <c r="A11" s="114" t="s">
        <v>45</v>
      </c>
      <c r="B11" s="114" t="n">
        <v>4238523947</v>
      </c>
      <c r="C11" s="114" t="s">
        <v>929</v>
      </c>
      <c r="D11" s="114" t="s">
        <v>48</v>
      </c>
      <c r="E11" s="114" t="s">
        <v>104</v>
      </c>
      <c r="F11" s="114"/>
      <c r="G11" s="114"/>
      <c r="H11" s="114" t="s">
        <v>165</v>
      </c>
      <c r="I11" s="114" t="s">
        <v>65</v>
      </c>
      <c r="J11" s="114" t="n">
        <v>5230802</v>
      </c>
      <c r="K11" s="114" t="s">
        <v>126</v>
      </c>
      <c r="L11" s="114" t="n">
        <v>72</v>
      </c>
      <c r="M11" s="114" t="n">
        <v>90</v>
      </c>
      <c r="N11" s="114" t="s">
        <v>37</v>
      </c>
      <c r="O11" s="114" t="s">
        <v>997</v>
      </c>
      <c r="P11" s="114" t="s">
        <v>233</v>
      </c>
      <c r="Q11" s="114" t="s">
        <v>283</v>
      </c>
      <c r="R11" s="114" t="s">
        <v>65</v>
      </c>
      <c r="S11" s="114" t="s">
        <v>165</v>
      </c>
      <c r="T11" s="114" t="s">
        <v>116</v>
      </c>
      <c r="U11" s="114" t="n">
        <v>4632448</v>
      </c>
      <c r="V11" s="114"/>
      <c r="W11" s="114" t="s">
        <v>49</v>
      </c>
      <c r="X11" s="114" t="s">
        <v>997</v>
      </c>
      <c r="Y11" s="114" t="s">
        <v>215</v>
      </c>
      <c r="Z11" s="114" t="s">
        <v>283</v>
      </c>
      <c r="AA11" s="114" t="s">
        <v>65</v>
      </c>
      <c r="AB11" s="114" t="s">
        <v>165</v>
      </c>
      <c r="AC11" s="114" t="s">
        <v>116</v>
      </c>
      <c r="AD11" s="114" t="n">
        <v>3132837</v>
      </c>
      <c r="AE11" s="114"/>
      <c r="AF11" s="114" t="s">
        <v>58</v>
      </c>
      <c r="AG11" s="114" t="s">
        <v>997</v>
      </c>
      <c r="AH11" s="114" t="s">
        <v>216</v>
      </c>
      <c r="AI11" s="114" t="s">
        <v>283</v>
      </c>
      <c r="AJ11" s="114" t="s">
        <v>65</v>
      </c>
      <c r="AK11" s="114" t="s">
        <v>165</v>
      </c>
      <c r="AL11" s="114" t="s">
        <v>116</v>
      </c>
      <c r="AM11" s="318"/>
      <c r="AN11" s="318"/>
      <c r="AO11" s="318"/>
      <c r="AP11" s="476"/>
      <c r="AQ11" s="476"/>
      <c r="AR11" s="6" t="s">
        <v>142</v>
      </c>
    </row>
    <row r="12" ht="26.25" customHeight="1">
      <c r="A12" s="114" t="s">
        <v>45</v>
      </c>
      <c r="B12" s="114" t="n">
        <v>2510657138</v>
      </c>
      <c r="C12" s="114" t="s">
        <v>935</v>
      </c>
      <c r="D12" s="114" t="s">
        <v>46</v>
      </c>
      <c r="E12" s="114" t="s">
        <v>104</v>
      </c>
      <c r="F12" s="114"/>
      <c r="G12" s="114"/>
      <c r="H12" s="114" t="s">
        <v>165</v>
      </c>
      <c r="I12" s="114" t="s">
        <v>65</v>
      </c>
      <c r="J12" s="114" t="n">
        <v>5230802</v>
      </c>
      <c r="K12" s="114" t="s">
        <v>126</v>
      </c>
      <c r="L12" s="114" t="n">
        <v>72</v>
      </c>
      <c r="M12" s="114" t="n">
        <v>90</v>
      </c>
      <c r="N12" s="114" t="s">
        <v>37</v>
      </c>
      <c r="O12" s="114" t="s">
        <v>997</v>
      </c>
      <c r="P12" s="114" t="s">
        <v>233</v>
      </c>
      <c r="Q12" s="114" t="s">
        <v>283</v>
      </c>
      <c r="R12" s="114" t="s">
        <v>65</v>
      </c>
      <c r="S12" s="114" t="s">
        <v>165</v>
      </c>
      <c r="T12" s="114" t="s">
        <v>116</v>
      </c>
      <c r="U12" s="114" t="n">
        <v>4632448</v>
      </c>
      <c r="V12" s="114"/>
      <c r="W12" s="114" t="s">
        <v>49</v>
      </c>
      <c r="X12" s="114" t="s">
        <v>997</v>
      </c>
      <c r="Y12" s="114" t="s">
        <v>215</v>
      </c>
      <c r="Z12" s="114" t="s">
        <v>283</v>
      </c>
      <c r="AA12" s="114" t="s">
        <v>65</v>
      </c>
      <c r="AB12" s="114" t="s">
        <v>165</v>
      </c>
      <c r="AC12" s="114" t="s">
        <v>116</v>
      </c>
      <c r="AD12" s="114" t="n">
        <v>3132837</v>
      </c>
      <c r="AE12" s="114"/>
      <c r="AF12" s="114" t="s">
        <v>58</v>
      </c>
      <c r="AG12" s="114" t="s">
        <v>997</v>
      </c>
      <c r="AH12" s="114" t="s">
        <v>216</v>
      </c>
      <c r="AI12" s="114" t="s">
        <v>283</v>
      </c>
      <c r="AJ12" s="114" t="s">
        <v>65</v>
      </c>
      <c r="AK12" s="114" t="s">
        <v>165</v>
      </c>
      <c r="AL12" s="114" t="s">
        <v>116</v>
      </c>
      <c r="AM12" s="318"/>
      <c r="AN12" s="318"/>
      <c r="AO12" s="318"/>
      <c r="AP12" s="476"/>
      <c r="AQ12" s="476"/>
      <c r="AR12" s="6" t="s">
        <v>142</v>
      </c>
    </row>
    <row r="13" ht="26.25" customHeight="1">
      <c r="A13" s="114" t="s">
        <v>45</v>
      </c>
      <c r="B13" s="114" t="n">
        <v>4858371265</v>
      </c>
      <c r="C13" s="114" t="s">
        <v>998</v>
      </c>
      <c r="D13" s="114" t="s">
        <v>46</v>
      </c>
      <c r="E13" s="114" t="s">
        <v>104</v>
      </c>
      <c r="F13" s="114"/>
      <c r="G13" s="114"/>
      <c r="H13" s="114" t="s">
        <v>165</v>
      </c>
      <c r="I13" s="114" t="s">
        <v>100</v>
      </c>
      <c r="J13" s="114" t="n">
        <v>3132872</v>
      </c>
      <c r="K13" s="114" t="s">
        <v>126</v>
      </c>
      <c r="L13" s="114" t="n">
        <v>64</v>
      </c>
      <c r="M13" s="114" t="n">
        <v>85</v>
      </c>
      <c r="N13" s="114" t="s">
        <v>35</v>
      </c>
      <c r="O13" s="114" t="s">
        <v>989</v>
      </c>
      <c r="P13" s="114" t="s">
        <v>216</v>
      </c>
      <c r="Q13" s="114" t="s">
        <v>283</v>
      </c>
      <c r="R13" s="114" t="s">
        <v>100</v>
      </c>
      <c r="S13" s="114" t="s">
        <v>165</v>
      </c>
      <c r="T13" s="114" t="s">
        <v>116</v>
      </c>
      <c r="U13" s="114" t="n">
        <v>5230809</v>
      </c>
      <c r="V13" s="114"/>
      <c r="W13" s="114" t="s">
        <v>47</v>
      </c>
      <c r="X13" s="114" t="s">
        <v>989</v>
      </c>
      <c r="Y13" s="114" t="s">
        <v>215</v>
      </c>
      <c r="Z13" s="114" t="s">
        <v>283</v>
      </c>
      <c r="AA13" s="114" t="s">
        <v>100</v>
      </c>
      <c r="AB13" s="114" t="s">
        <v>165</v>
      </c>
      <c r="AC13" s="114" t="s">
        <v>116</v>
      </c>
      <c r="AD13" s="114" t="n">
        <v>3132893</v>
      </c>
      <c r="AE13" s="114"/>
      <c r="AF13" s="114" t="s">
        <v>52</v>
      </c>
      <c r="AG13" s="114" t="s">
        <v>989</v>
      </c>
      <c r="AH13" s="114" t="s">
        <v>233</v>
      </c>
      <c r="AI13" s="114" t="s">
        <v>283</v>
      </c>
      <c r="AJ13" s="114" t="s">
        <v>100</v>
      </c>
      <c r="AK13" s="114" t="s">
        <v>165</v>
      </c>
      <c r="AL13" s="114" t="s">
        <v>116</v>
      </c>
      <c r="AM13" s="318"/>
      <c r="AN13" s="318"/>
      <c r="AO13" s="318"/>
      <c r="AP13" s="476"/>
      <c r="AQ13" s="476"/>
      <c r="AR13" s="6" t="s">
        <v>142</v>
      </c>
    </row>
    <row r="14" ht="26.25" customHeight="1">
      <c r="A14" s="114" t="s">
        <v>54</v>
      </c>
      <c r="B14" s="114" t="n">
        <v>2341143960</v>
      </c>
      <c r="C14" s="114" t="s">
        <v>214</v>
      </c>
      <c r="D14" s="114" t="s">
        <v>55</v>
      </c>
      <c r="E14" s="114" t="s">
        <v>104</v>
      </c>
      <c r="F14" s="114"/>
      <c r="G14" s="114"/>
      <c r="H14" s="114" t="s">
        <v>165</v>
      </c>
      <c r="I14" s="114" t="s">
        <v>101</v>
      </c>
      <c r="J14" s="114" t="s">
        <v>116</v>
      </c>
      <c r="K14" s="114"/>
      <c r="L14" s="114"/>
      <c r="M14" s="114"/>
      <c r="N14" s="114" t="s">
        <v>116</v>
      </c>
      <c r="O14" s="114" t="s">
        <v>116</v>
      </c>
      <c r="P14" s="114" t="s">
        <v>116</v>
      </c>
      <c r="Q14" s="114" t="s">
        <v>116</v>
      </c>
      <c r="R14" s="114" t="s">
        <v>116</v>
      </c>
      <c r="S14" s="114" t="s">
        <v>116</v>
      </c>
      <c r="T14" s="114" t="s">
        <v>116</v>
      </c>
      <c r="U14" s="114" t="n">
        <v>5230747</v>
      </c>
      <c r="V14" s="114"/>
      <c r="W14" s="114" t="s">
        <v>49</v>
      </c>
      <c r="X14" s="114" t="s">
        <v>987</v>
      </c>
      <c r="Y14" s="114" t="s">
        <v>215</v>
      </c>
      <c r="Z14" s="114" t="s">
        <v>283</v>
      </c>
      <c r="AA14" s="114" t="s">
        <v>101</v>
      </c>
      <c r="AB14" s="114" t="s">
        <v>165</v>
      </c>
      <c r="AC14" s="114" t="s">
        <v>116</v>
      </c>
      <c r="AD14" s="114" t="n">
        <v>4513388</v>
      </c>
      <c r="AE14" s="114"/>
      <c r="AF14" s="114" t="s">
        <v>56</v>
      </c>
      <c r="AG14" s="114" t="s">
        <v>985</v>
      </c>
      <c r="AH14" s="114" t="s">
        <v>216</v>
      </c>
      <c r="AI14" s="114" t="s">
        <v>283</v>
      </c>
      <c r="AJ14" s="114" t="s">
        <v>101</v>
      </c>
      <c r="AK14" s="114" t="s">
        <v>165</v>
      </c>
      <c r="AL14" s="114" t="s">
        <v>116</v>
      </c>
      <c r="AM14" s="318"/>
      <c r="AN14" s="318"/>
      <c r="AO14" s="318"/>
      <c r="AP14" s="476"/>
      <c r="AQ14" s="476"/>
      <c r="AR14" s="6" t="s">
        <v>142</v>
      </c>
    </row>
    <row r="15" ht="26.25" customHeight="1">
      <c r="A15" s="114" t="s">
        <v>54</v>
      </c>
      <c r="B15" s="114" t="n">
        <v>2532873612</v>
      </c>
      <c r="C15" s="114" t="s">
        <v>999</v>
      </c>
      <c r="D15" s="114" t="s">
        <v>55</v>
      </c>
      <c r="E15" s="114" t="s">
        <v>104</v>
      </c>
      <c r="F15" s="114"/>
      <c r="G15" s="114"/>
      <c r="H15" s="114" t="s">
        <v>165</v>
      </c>
      <c r="I15" s="114" t="s">
        <v>101</v>
      </c>
      <c r="J15" s="114" t="n">
        <v>3132902</v>
      </c>
      <c r="K15" s="114" t="s">
        <v>126</v>
      </c>
      <c r="L15" s="114" t="n">
        <v>72</v>
      </c>
      <c r="M15" s="114" t="n">
        <v>90</v>
      </c>
      <c r="N15" s="114" t="s">
        <v>31</v>
      </c>
      <c r="O15" s="114" t="s">
        <v>987</v>
      </c>
      <c r="P15" s="114" t="s">
        <v>216</v>
      </c>
      <c r="Q15" s="114" t="s">
        <v>283</v>
      </c>
      <c r="R15" s="114" t="s">
        <v>101</v>
      </c>
      <c r="S15" s="114" t="s">
        <v>165</v>
      </c>
      <c r="T15" s="114" t="s">
        <v>116</v>
      </c>
      <c r="U15" s="114" t="n">
        <v>5230747</v>
      </c>
      <c r="V15" s="114"/>
      <c r="W15" s="114" t="s">
        <v>49</v>
      </c>
      <c r="X15" s="114" t="s">
        <v>987</v>
      </c>
      <c r="Y15" s="114" t="s">
        <v>215</v>
      </c>
      <c r="Z15" s="114" t="s">
        <v>283</v>
      </c>
      <c r="AA15" s="114" t="s">
        <v>101</v>
      </c>
      <c r="AB15" s="114" t="s">
        <v>165</v>
      </c>
      <c r="AC15" s="114" t="s">
        <v>116</v>
      </c>
      <c r="AD15" s="114" t="n">
        <v>5230821</v>
      </c>
      <c r="AE15" s="114"/>
      <c r="AF15" s="114" t="s">
        <v>56</v>
      </c>
      <c r="AG15" s="114" t="s">
        <v>987</v>
      </c>
      <c r="AH15" s="114" t="s">
        <v>233</v>
      </c>
      <c r="AI15" s="114" t="s">
        <v>283</v>
      </c>
      <c r="AJ15" s="114" t="s">
        <v>101</v>
      </c>
      <c r="AK15" s="114" t="s">
        <v>165</v>
      </c>
      <c r="AL15" s="114" t="s">
        <v>116</v>
      </c>
      <c r="AM15" s="318"/>
      <c r="AN15" s="318"/>
      <c r="AO15" s="318"/>
      <c r="AP15" s="476"/>
      <c r="AQ15" s="476"/>
      <c r="AR15" s="6" t="s">
        <v>142</v>
      </c>
    </row>
    <row r="16" ht="26.25" customHeight="1">
      <c r="A16" s="114" t="s">
        <v>54</v>
      </c>
      <c r="B16" s="114" t="n">
        <v>2649629431</v>
      </c>
      <c r="C16" s="114" t="s">
        <v>232</v>
      </c>
      <c r="D16" s="114" t="s">
        <v>57</v>
      </c>
      <c r="E16" s="114" t="s">
        <v>104</v>
      </c>
      <c r="F16" s="114"/>
      <c r="G16" s="114"/>
      <c r="H16" s="114" t="s">
        <v>165</v>
      </c>
      <c r="I16" s="114" t="s">
        <v>101</v>
      </c>
      <c r="J16" s="114" t="n">
        <v>5111035</v>
      </c>
      <c r="K16" s="114" t="s">
        <v>126</v>
      </c>
      <c r="L16" s="114" t="n">
        <v>86</v>
      </c>
      <c r="M16" s="114" t="n">
        <v>95</v>
      </c>
      <c r="N16" s="114" t="s">
        <v>35</v>
      </c>
      <c r="O16" s="114" t="s">
        <v>986</v>
      </c>
      <c r="P16" s="114" t="s">
        <v>233</v>
      </c>
      <c r="Q16" s="114" t="s">
        <v>234</v>
      </c>
      <c r="R16" s="114" t="s">
        <v>101</v>
      </c>
      <c r="S16" s="114" t="s">
        <v>165</v>
      </c>
      <c r="T16" s="114" t="s">
        <v>116</v>
      </c>
      <c r="U16" s="114" t="n">
        <v>5230747</v>
      </c>
      <c r="V16" s="114"/>
      <c r="W16" s="114" t="s">
        <v>49</v>
      </c>
      <c r="X16" s="114" t="s">
        <v>987</v>
      </c>
      <c r="Y16" s="114" t="s">
        <v>215</v>
      </c>
      <c r="Z16" s="114" t="s">
        <v>283</v>
      </c>
      <c r="AA16" s="114" t="s">
        <v>101</v>
      </c>
      <c r="AB16" s="114" t="s">
        <v>165</v>
      </c>
      <c r="AC16" s="114" t="s">
        <v>116</v>
      </c>
      <c r="AD16" s="114" t="n">
        <v>4513388</v>
      </c>
      <c r="AE16" s="114"/>
      <c r="AF16" s="114" t="s">
        <v>56</v>
      </c>
      <c r="AG16" s="114" t="s">
        <v>985</v>
      </c>
      <c r="AH16" s="114" t="s">
        <v>216</v>
      </c>
      <c r="AI16" s="114" t="s">
        <v>283</v>
      </c>
      <c r="AJ16" s="114" t="s">
        <v>101</v>
      </c>
      <c r="AK16" s="114" t="s">
        <v>165</v>
      </c>
      <c r="AL16" s="114" t="s">
        <v>116</v>
      </c>
      <c r="AM16" s="318"/>
      <c r="AN16" s="318"/>
      <c r="AO16" s="318"/>
      <c r="AP16" s="476"/>
      <c r="AQ16" s="476"/>
      <c r="AR16" s="6" t="s">
        <v>142</v>
      </c>
    </row>
    <row r="17" ht="26.25" customHeight="1">
      <c r="A17" s="114" t="s">
        <v>54</v>
      </c>
      <c r="B17" s="114" t="n">
        <v>2704638904</v>
      </c>
      <c r="C17" s="114" t="s">
        <v>244</v>
      </c>
      <c r="D17" s="114" t="s">
        <v>57</v>
      </c>
      <c r="E17" s="114" t="s">
        <v>104</v>
      </c>
      <c r="F17" s="114"/>
      <c r="G17" s="114"/>
      <c r="H17" s="114" t="s">
        <v>165</v>
      </c>
      <c r="I17" s="114" t="s">
        <v>65</v>
      </c>
      <c r="J17" s="114" t="n">
        <v>5230732</v>
      </c>
      <c r="K17" s="114" t="s">
        <v>126</v>
      </c>
      <c r="L17" s="114" t="n">
        <v>90</v>
      </c>
      <c r="M17" s="114" t="n">
        <v>100</v>
      </c>
      <c r="N17" s="114" t="s">
        <v>35</v>
      </c>
      <c r="O17" s="114" t="s">
        <v>987</v>
      </c>
      <c r="P17" s="114" t="s">
        <v>245</v>
      </c>
      <c r="Q17" s="114" t="s">
        <v>234</v>
      </c>
      <c r="R17" s="114" t="s">
        <v>65</v>
      </c>
      <c r="S17" s="114" t="s">
        <v>165</v>
      </c>
      <c r="T17" s="114" t="s">
        <v>116</v>
      </c>
      <c r="U17" s="114" t="n">
        <v>5230773</v>
      </c>
      <c r="V17" s="114"/>
      <c r="W17" s="114" t="s">
        <v>49</v>
      </c>
      <c r="X17" s="114" t="s">
        <v>986</v>
      </c>
      <c r="Y17" s="114" t="s">
        <v>233</v>
      </c>
      <c r="Z17" s="114" t="s">
        <v>283</v>
      </c>
      <c r="AA17" s="114" t="s">
        <v>65</v>
      </c>
      <c r="AB17" s="114" t="s">
        <v>165</v>
      </c>
      <c r="AC17" s="114" t="s">
        <v>116</v>
      </c>
      <c r="AD17" s="114" t="n">
        <v>3132899</v>
      </c>
      <c r="AE17" s="114"/>
      <c r="AF17" s="114" t="s">
        <v>56</v>
      </c>
      <c r="AG17" s="114" t="s">
        <v>985</v>
      </c>
      <c r="AH17" s="114" t="s">
        <v>246</v>
      </c>
      <c r="AI17" s="114" t="s">
        <v>283</v>
      </c>
      <c r="AJ17" s="114" t="s">
        <v>65</v>
      </c>
      <c r="AK17" s="114" t="s">
        <v>165</v>
      </c>
      <c r="AL17" s="114" t="s">
        <v>116</v>
      </c>
      <c r="AM17" s="318"/>
      <c r="AN17" s="318"/>
      <c r="AO17" s="318"/>
      <c r="AP17" s="476"/>
      <c r="AQ17" s="476"/>
      <c r="AR17" s="6" t="s">
        <v>142</v>
      </c>
    </row>
    <row r="18" ht="26.25" customHeight="1">
      <c r="A18" s="114" t="s">
        <v>54</v>
      </c>
      <c r="B18" s="114" t="n">
        <v>2260449861</v>
      </c>
      <c r="C18" s="114" t="s">
        <v>257</v>
      </c>
      <c r="D18" s="114" t="s">
        <v>55</v>
      </c>
      <c r="E18" s="114" t="s">
        <v>104</v>
      </c>
      <c r="F18" s="114"/>
      <c r="G18" s="114"/>
      <c r="H18" s="114" t="s">
        <v>165</v>
      </c>
      <c r="I18" s="114" t="s">
        <v>65</v>
      </c>
      <c r="J18" s="114" t="n">
        <v>5230732</v>
      </c>
      <c r="K18" s="114" t="s">
        <v>126</v>
      </c>
      <c r="L18" s="114" t="n">
        <v>89</v>
      </c>
      <c r="M18" s="114" t="n">
        <v>99</v>
      </c>
      <c r="N18" s="114" t="s">
        <v>35</v>
      </c>
      <c r="O18" s="114" t="s">
        <v>987</v>
      </c>
      <c r="P18" s="114" t="s">
        <v>245</v>
      </c>
      <c r="Q18" s="114" t="s">
        <v>234</v>
      </c>
      <c r="R18" s="114" t="s">
        <v>65</v>
      </c>
      <c r="S18" s="114" t="s">
        <v>165</v>
      </c>
      <c r="T18" s="114" t="s">
        <v>116</v>
      </c>
      <c r="U18" s="114" t="n">
        <v>5230773</v>
      </c>
      <c r="V18" s="114"/>
      <c r="W18" s="114" t="s">
        <v>49</v>
      </c>
      <c r="X18" s="114" t="s">
        <v>986</v>
      </c>
      <c r="Y18" s="114" t="s">
        <v>233</v>
      </c>
      <c r="Z18" s="114" t="s">
        <v>283</v>
      </c>
      <c r="AA18" s="114" t="s">
        <v>65</v>
      </c>
      <c r="AB18" s="114" t="s">
        <v>165</v>
      </c>
      <c r="AC18" s="114" t="s">
        <v>116</v>
      </c>
      <c r="AD18" s="114" t="n">
        <v>3132899</v>
      </c>
      <c r="AE18" s="114"/>
      <c r="AF18" s="114" t="s">
        <v>56</v>
      </c>
      <c r="AG18" s="114" t="s">
        <v>985</v>
      </c>
      <c r="AH18" s="114" t="s">
        <v>246</v>
      </c>
      <c r="AI18" s="114" t="s">
        <v>283</v>
      </c>
      <c r="AJ18" s="114" t="s">
        <v>65</v>
      </c>
      <c r="AK18" s="114" t="s">
        <v>165</v>
      </c>
      <c r="AL18" s="114" t="s">
        <v>116</v>
      </c>
      <c r="AM18" s="318"/>
      <c r="AN18" s="318"/>
      <c r="AO18" s="318"/>
      <c r="AP18" s="476"/>
      <c r="AQ18" s="476"/>
      <c r="AR18" s="6" t="s">
        <v>142</v>
      </c>
    </row>
    <row r="19" ht="26.25" customHeight="1">
      <c r="A19" s="114" t="s">
        <v>85</v>
      </c>
      <c r="B19" s="114" t="n">
        <v>4490857874</v>
      </c>
      <c r="C19" s="114" t="s">
        <v>1000</v>
      </c>
      <c r="D19" s="114" t="s">
        <v>38</v>
      </c>
      <c r="E19" s="114" t="s">
        <v>112</v>
      </c>
      <c r="F19" s="114"/>
      <c r="G19" s="114" t="s">
        <v>1001</v>
      </c>
      <c r="H19" s="114" t="s">
        <v>165</v>
      </c>
      <c r="I19" s="114" t="s">
        <v>100</v>
      </c>
      <c r="J19" s="114" t="n">
        <v>3132864</v>
      </c>
      <c r="K19" s="114" t="s">
        <v>126</v>
      </c>
      <c r="L19" s="114" t="n">
        <v>86</v>
      </c>
      <c r="M19" s="114" t="n">
        <v>96</v>
      </c>
      <c r="N19" s="114" t="s">
        <v>39</v>
      </c>
      <c r="O19" s="114" t="s">
        <v>991</v>
      </c>
      <c r="P19" s="114" t="s">
        <v>216</v>
      </c>
      <c r="Q19" s="114" t="s">
        <v>283</v>
      </c>
      <c r="R19" s="114" t="s">
        <v>100</v>
      </c>
      <c r="S19" s="114" t="s">
        <v>165</v>
      </c>
      <c r="T19" s="114" t="s">
        <v>116</v>
      </c>
      <c r="U19" s="114" t="n">
        <v>3132810</v>
      </c>
      <c r="V19" s="114"/>
      <c r="W19" s="114" t="s">
        <v>47</v>
      </c>
      <c r="X19" s="114" t="s">
        <v>991</v>
      </c>
      <c r="Y19" s="114" t="s">
        <v>233</v>
      </c>
      <c r="Z19" s="114" t="s">
        <v>283</v>
      </c>
      <c r="AA19" s="114" t="s">
        <v>100</v>
      </c>
      <c r="AB19" s="114" t="s">
        <v>165</v>
      </c>
      <c r="AC19" s="114" t="s">
        <v>116</v>
      </c>
      <c r="AD19" s="114" t="n">
        <v>3132858</v>
      </c>
      <c r="AE19" s="114"/>
      <c r="AF19" s="114" t="s">
        <v>52</v>
      </c>
      <c r="AG19" s="114" t="s">
        <v>991</v>
      </c>
      <c r="AH19" s="114" t="s">
        <v>215</v>
      </c>
      <c r="AI19" s="114" t="s">
        <v>283</v>
      </c>
      <c r="AJ19" s="114" t="s">
        <v>100</v>
      </c>
      <c r="AK19" s="114" t="s">
        <v>165</v>
      </c>
      <c r="AL19" s="114" t="s">
        <v>116</v>
      </c>
      <c r="AM19" s="318"/>
      <c r="AN19" s="318"/>
      <c r="AO19" s="318"/>
      <c r="AP19" s="476"/>
      <c r="AQ19" s="476"/>
      <c r="AR19" s="6" t="s">
        <v>142</v>
      </c>
    </row>
    <row r="20" ht="26.25" customHeight="1">
      <c r="A20" s="114" t="s">
        <v>85</v>
      </c>
      <c r="B20" s="114" t="n">
        <v>2568716390</v>
      </c>
      <c r="C20" s="114" t="s">
        <v>1001</v>
      </c>
      <c r="D20" s="114" t="s">
        <v>38</v>
      </c>
      <c r="E20" s="114" t="s">
        <v>109</v>
      </c>
      <c r="F20" s="114"/>
      <c r="G20" s="114" t="s">
        <v>893</v>
      </c>
      <c r="H20" s="114" t="s">
        <v>165</v>
      </c>
      <c r="I20" s="114" t="s">
        <v>100</v>
      </c>
      <c r="J20" s="114" t="n">
        <v>3132864</v>
      </c>
      <c r="K20" s="114" t="s">
        <v>126</v>
      </c>
      <c r="L20" s="114" t="n">
        <v>90</v>
      </c>
      <c r="M20" s="114" t="n">
        <v>100</v>
      </c>
      <c r="N20" s="114" t="s">
        <v>39</v>
      </c>
      <c r="O20" s="114" t="s">
        <v>991</v>
      </c>
      <c r="P20" s="114" t="s">
        <v>216</v>
      </c>
      <c r="Q20" s="114" t="s">
        <v>283</v>
      </c>
      <c r="R20" s="114" t="s">
        <v>100</v>
      </c>
      <c r="S20" s="114" t="s">
        <v>165</v>
      </c>
      <c r="T20" s="114" t="s">
        <v>116</v>
      </c>
      <c r="U20" s="114" t="n">
        <v>3132810</v>
      </c>
      <c r="V20" s="114"/>
      <c r="W20" s="114" t="s">
        <v>47</v>
      </c>
      <c r="X20" s="114" t="s">
        <v>991</v>
      </c>
      <c r="Y20" s="114" t="s">
        <v>233</v>
      </c>
      <c r="Z20" s="114" t="s">
        <v>283</v>
      </c>
      <c r="AA20" s="114" t="s">
        <v>100</v>
      </c>
      <c r="AB20" s="114" t="s">
        <v>165</v>
      </c>
      <c r="AC20" s="114" t="s">
        <v>116</v>
      </c>
      <c r="AD20" s="114" t="n">
        <v>3132858</v>
      </c>
      <c r="AE20" s="114"/>
      <c r="AF20" s="114" t="s">
        <v>52</v>
      </c>
      <c r="AG20" s="114" t="s">
        <v>991</v>
      </c>
      <c r="AH20" s="114" t="s">
        <v>215</v>
      </c>
      <c r="AI20" s="114" t="s">
        <v>283</v>
      </c>
      <c r="AJ20" s="114" t="s">
        <v>100</v>
      </c>
      <c r="AK20" s="114" t="s">
        <v>165</v>
      </c>
      <c r="AL20" s="114" t="s">
        <v>116</v>
      </c>
      <c r="AM20" s="318"/>
      <c r="AN20" s="318"/>
      <c r="AO20" s="318"/>
      <c r="AP20" s="476"/>
      <c r="AQ20" s="476"/>
      <c r="AR20" s="6" t="s">
        <v>142</v>
      </c>
    </row>
    <row r="21" ht="26.25" customHeight="1">
      <c r="A21" s="114" t="s">
        <v>85</v>
      </c>
      <c r="B21" s="114" t="n">
        <v>2715584701</v>
      </c>
      <c r="C21" s="114" t="s">
        <v>268</v>
      </c>
      <c r="D21" s="114" t="s">
        <v>57</v>
      </c>
      <c r="E21" s="114" t="s">
        <v>104</v>
      </c>
      <c r="F21" s="114"/>
      <c r="G21" s="114"/>
      <c r="H21" s="114" t="s">
        <v>165</v>
      </c>
      <c r="I21" s="114" t="s">
        <v>101</v>
      </c>
      <c r="J21" s="114" t="n">
        <v>5111035</v>
      </c>
      <c r="K21" s="114" t="s">
        <v>126</v>
      </c>
      <c r="L21" s="114" t="n">
        <v>86</v>
      </c>
      <c r="M21" s="114" t="n">
        <v>95</v>
      </c>
      <c r="N21" s="114" t="s">
        <v>35</v>
      </c>
      <c r="O21" s="114" t="s">
        <v>986</v>
      </c>
      <c r="P21" s="114" t="s">
        <v>233</v>
      </c>
      <c r="Q21" s="114" t="s">
        <v>234</v>
      </c>
      <c r="R21" s="114" t="s">
        <v>101</v>
      </c>
      <c r="S21" s="114" t="s">
        <v>165</v>
      </c>
      <c r="T21" s="114" t="s">
        <v>116</v>
      </c>
      <c r="U21" s="114" t="n">
        <v>5170873</v>
      </c>
      <c r="V21" s="114"/>
      <c r="W21" s="114" t="s">
        <v>47</v>
      </c>
      <c r="X21" s="114" t="s">
        <v>986</v>
      </c>
      <c r="Y21" s="114" t="s">
        <v>216</v>
      </c>
      <c r="Z21" s="114" t="s">
        <v>283</v>
      </c>
      <c r="AA21" s="114" t="s">
        <v>101</v>
      </c>
      <c r="AB21" s="114" t="s">
        <v>165</v>
      </c>
      <c r="AC21" s="114" t="s">
        <v>116</v>
      </c>
      <c r="AD21" s="114" t="n">
        <v>5230788</v>
      </c>
      <c r="AE21" s="114"/>
      <c r="AF21" s="114" t="s">
        <v>52</v>
      </c>
      <c r="AG21" s="114" t="s">
        <v>991</v>
      </c>
      <c r="AH21" s="114" t="s">
        <v>233</v>
      </c>
      <c r="AI21" s="114" t="s">
        <v>283</v>
      </c>
      <c r="AJ21" s="114" t="s">
        <v>101</v>
      </c>
      <c r="AK21" s="114" t="s">
        <v>165</v>
      </c>
      <c r="AL21" s="114" t="s">
        <v>116</v>
      </c>
      <c r="AM21" s="318"/>
      <c r="AN21" s="318"/>
      <c r="AO21" s="318"/>
      <c r="AP21" s="476"/>
      <c r="AQ21" s="476"/>
      <c r="AR21" s="6" t="s">
        <v>142</v>
      </c>
    </row>
    <row r="22" ht="26.25" customHeight="1">
      <c r="A22" s="114" t="s">
        <v>45</v>
      </c>
      <c r="B22" s="114" t="n">
        <v>2743981182</v>
      </c>
      <c r="C22" s="114" t="s">
        <v>276</v>
      </c>
      <c r="D22" s="114" t="s">
        <v>48</v>
      </c>
      <c r="E22" s="114" t="s">
        <v>104</v>
      </c>
      <c r="F22" s="114"/>
      <c r="G22" s="114"/>
      <c r="H22" s="114" t="s">
        <v>165</v>
      </c>
      <c r="I22" s="114" t="s">
        <v>65</v>
      </c>
      <c r="J22" s="114" t="s">
        <v>116</v>
      </c>
      <c r="K22" s="114"/>
      <c r="L22" s="114"/>
      <c r="M22" s="114"/>
      <c r="N22" s="114" t="s">
        <v>116</v>
      </c>
      <c r="O22" s="114" t="s">
        <v>116</v>
      </c>
      <c r="P22" s="114" t="s">
        <v>116</v>
      </c>
      <c r="Q22" s="114" t="s">
        <v>116</v>
      </c>
      <c r="R22" s="114" t="s">
        <v>116</v>
      </c>
      <c r="S22" s="114" t="s">
        <v>116</v>
      </c>
      <c r="T22" s="114" t="s">
        <v>116</v>
      </c>
      <c r="U22" s="114" t="n">
        <v>4632448</v>
      </c>
      <c r="V22" s="114"/>
      <c r="W22" s="114" t="s">
        <v>49</v>
      </c>
      <c r="X22" s="114" t="s">
        <v>997</v>
      </c>
      <c r="Y22" s="114" t="s">
        <v>215</v>
      </c>
      <c r="Z22" s="114" t="s">
        <v>283</v>
      </c>
      <c r="AA22" s="114" t="s">
        <v>65</v>
      </c>
      <c r="AB22" s="114" t="s">
        <v>165</v>
      </c>
      <c r="AC22" s="114" t="s">
        <v>116</v>
      </c>
      <c r="AD22" s="114" t="n">
        <v>3132837</v>
      </c>
      <c r="AE22" s="114"/>
      <c r="AF22" s="114" t="s">
        <v>58</v>
      </c>
      <c r="AG22" s="114" t="s">
        <v>997</v>
      </c>
      <c r="AH22" s="114" t="s">
        <v>216</v>
      </c>
      <c r="AI22" s="114" t="s">
        <v>283</v>
      </c>
      <c r="AJ22" s="114" t="s">
        <v>65</v>
      </c>
      <c r="AK22" s="114" t="s">
        <v>165</v>
      </c>
      <c r="AL22" s="114" t="s">
        <v>116</v>
      </c>
      <c r="AM22" s="318"/>
      <c r="AN22" s="318"/>
      <c r="AO22" s="318"/>
      <c r="AP22" s="476"/>
      <c r="AQ22" s="476"/>
      <c r="AR22" s="6" t="s">
        <v>142</v>
      </c>
    </row>
    <row r="23" ht="26.25" customHeight="1">
      <c r="A23" s="114" t="s">
        <v>54</v>
      </c>
      <c r="B23" s="114" t="n">
        <v>4103453629</v>
      </c>
      <c r="C23" s="114" t="s">
        <v>282</v>
      </c>
      <c r="D23" s="114" t="s">
        <v>50</v>
      </c>
      <c r="E23" s="114" t="s">
        <v>104</v>
      </c>
      <c r="F23" s="114"/>
      <c r="G23" s="114"/>
      <c r="H23" s="114" t="s">
        <v>165</v>
      </c>
      <c r="I23" s="114" t="s">
        <v>101</v>
      </c>
      <c r="J23" s="114" t="n">
        <v>4632447</v>
      </c>
      <c r="K23" s="114" t="s">
        <v>126</v>
      </c>
      <c r="L23" s="114" t="n">
        <v>72</v>
      </c>
      <c r="M23" s="114" t="n">
        <v>90</v>
      </c>
      <c r="N23" s="114" t="s">
        <v>37</v>
      </c>
      <c r="O23" s="114" t="s">
        <v>985</v>
      </c>
      <c r="P23" s="114" t="s">
        <v>215</v>
      </c>
      <c r="Q23" s="114" t="s">
        <v>283</v>
      </c>
      <c r="R23" s="114" t="s">
        <v>101</v>
      </c>
      <c r="S23" s="114" t="s">
        <v>165</v>
      </c>
      <c r="T23" s="114" t="s">
        <v>116</v>
      </c>
      <c r="U23" s="114" t="n">
        <v>5230747</v>
      </c>
      <c r="V23" s="114"/>
      <c r="W23" s="114" t="s">
        <v>49</v>
      </c>
      <c r="X23" s="114" t="s">
        <v>987</v>
      </c>
      <c r="Y23" s="114" t="s">
        <v>215</v>
      </c>
      <c r="Z23" s="114" t="s">
        <v>283</v>
      </c>
      <c r="AA23" s="114" t="s">
        <v>101</v>
      </c>
      <c r="AB23" s="114" t="s">
        <v>165</v>
      </c>
      <c r="AC23" s="114" t="s">
        <v>116</v>
      </c>
      <c r="AD23" s="114" t="n">
        <v>5170871</v>
      </c>
      <c r="AE23" s="114"/>
      <c r="AF23" s="114" t="s">
        <v>58</v>
      </c>
      <c r="AG23" s="114" t="s">
        <v>986</v>
      </c>
      <c r="AH23" s="114" t="s">
        <v>215</v>
      </c>
      <c r="AI23" s="114" t="s">
        <v>283</v>
      </c>
      <c r="AJ23" s="114" t="s">
        <v>101</v>
      </c>
      <c r="AK23" s="114" t="s">
        <v>165</v>
      </c>
      <c r="AL23" s="114" t="s">
        <v>116</v>
      </c>
      <c r="AM23" s="318"/>
      <c r="AN23" s="318"/>
      <c r="AO23" s="318"/>
      <c r="AP23" s="476"/>
      <c r="AQ23" s="476"/>
      <c r="AR23" s="6" t="s">
        <v>141</v>
      </c>
    </row>
    <row r="24" ht="26.25" customHeight="1">
      <c r="A24" s="114" t="s">
        <v>54</v>
      </c>
      <c r="B24" s="114" t="n">
        <v>2244875334</v>
      </c>
      <c r="C24" s="114" t="s">
        <v>1002</v>
      </c>
      <c r="D24" s="114" t="s">
        <v>59</v>
      </c>
      <c r="E24" s="114" t="s">
        <v>112</v>
      </c>
      <c r="F24" s="114"/>
      <c r="G24" s="114" t="s">
        <v>1003</v>
      </c>
      <c r="H24" s="114" t="s">
        <v>165</v>
      </c>
      <c r="I24" s="114" t="s">
        <v>101</v>
      </c>
      <c r="J24" s="114" t="n">
        <v>3132902</v>
      </c>
      <c r="K24" s="114" t="s">
        <v>126</v>
      </c>
      <c r="L24" s="114" t="n">
        <v>72</v>
      </c>
      <c r="M24" s="114" t="n">
        <v>90</v>
      </c>
      <c r="N24" s="114" t="s">
        <v>31</v>
      </c>
      <c r="O24" s="114" t="s">
        <v>987</v>
      </c>
      <c r="P24" s="114" t="s">
        <v>216</v>
      </c>
      <c r="Q24" s="114" t="s">
        <v>283</v>
      </c>
      <c r="R24" s="114" t="s">
        <v>101</v>
      </c>
      <c r="S24" s="114" t="s">
        <v>165</v>
      </c>
      <c r="T24" s="114" t="s">
        <v>116</v>
      </c>
      <c r="U24" s="114" t="n">
        <v>5111226</v>
      </c>
      <c r="V24" s="114"/>
      <c r="W24" s="114" t="s">
        <v>47</v>
      </c>
      <c r="X24" s="114" t="s">
        <v>985</v>
      </c>
      <c r="Y24" s="114" t="s">
        <v>233</v>
      </c>
      <c r="Z24" s="114" t="s">
        <v>283</v>
      </c>
      <c r="AA24" s="114" t="s">
        <v>101</v>
      </c>
      <c r="AB24" s="114" t="s">
        <v>165</v>
      </c>
      <c r="AC24" s="114" t="s">
        <v>116</v>
      </c>
      <c r="AD24" s="114" t="n">
        <v>5170871</v>
      </c>
      <c r="AE24" s="114"/>
      <c r="AF24" s="114" t="s">
        <v>58</v>
      </c>
      <c r="AG24" s="114" t="s">
        <v>986</v>
      </c>
      <c r="AH24" s="114" t="s">
        <v>215</v>
      </c>
      <c r="AI24" s="114" t="s">
        <v>283</v>
      </c>
      <c r="AJ24" s="114" t="s">
        <v>101</v>
      </c>
      <c r="AK24" s="114" t="s">
        <v>165</v>
      </c>
      <c r="AL24" s="114" t="s">
        <v>116</v>
      </c>
      <c r="AM24" s="318"/>
      <c r="AN24" s="318"/>
      <c r="AO24" s="318"/>
      <c r="AP24" s="476"/>
      <c r="AQ24" s="476"/>
      <c r="AR24" s="6" t="s">
        <v>141</v>
      </c>
    </row>
    <row r="25" ht="26.25" customHeight="1">
      <c r="A25" s="114" t="s">
        <v>54</v>
      </c>
      <c r="B25" s="114" t="n">
        <v>2489383127</v>
      </c>
      <c r="C25" s="114" t="s">
        <v>292</v>
      </c>
      <c r="D25" s="114" t="s">
        <v>59</v>
      </c>
      <c r="E25" s="114" t="s">
        <v>112</v>
      </c>
      <c r="F25" s="114"/>
      <c r="G25" s="114" t="s">
        <v>298</v>
      </c>
      <c r="H25" s="114" t="s">
        <v>165</v>
      </c>
      <c r="I25" s="114" t="s">
        <v>101</v>
      </c>
      <c r="J25" s="114" t="n">
        <v>4632447</v>
      </c>
      <c r="K25" s="114" t="s">
        <v>126</v>
      </c>
      <c r="L25" s="114" t="n">
        <v>72</v>
      </c>
      <c r="M25" s="114" t="n">
        <v>90</v>
      </c>
      <c r="N25" s="114" t="s">
        <v>37</v>
      </c>
      <c r="O25" s="114" t="s">
        <v>985</v>
      </c>
      <c r="P25" s="114" t="s">
        <v>215</v>
      </c>
      <c r="Q25" s="114" t="s">
        <v>283</v>
      </c>
      <c r="R25" s="114" t="s">
        <v>101</v>
      </c>
      <c r="S25" s="114" t="s">
        <v>165</v>
      </c>
      <c r="T25" s="114" t="s">
        <v>116</v>
      </c>
      <c r="U25" s="114" t="n">
        <v>5230747</v>
      </c>
      <c r="V25" s="114"/>
      <c r="W25" s="114" t="s">
        <v>49</v>
      </c>
      <c r="X25" s="114" t="s">
        <v>987</v>
      </c>
      <c r="Y25" s="114" t="s">
        <v>215</v>
      </c>
      <c r="Z25" s="114" t="s">
        <v>283</v>
      </c>
      <c r="AA25" s="114" t="s">
        <v>101</v>
      </c>
      <c r="AB25" s="114" t="s">
        <v>165</v>
      </c>
      <c r="AC25" s="114" t="s">
        <v>116</v>
      </c>
      <c r="AD25" s="114" t="n">
        <v>5170871</v>
      </c>
      <c r="AE25" s="114"/>
      <c r="AF25" s="114" t="s">
        <v>58</v>
      </c>
      <c r="AG25" s="114" t="s">
        <v>986</v>
      </c>
      <c r="AH25" s="114" t="s">
        <v>215</v>
      </c>
      <c r="AI25" s="114" t="s">
        <v>283</v>
      </c>
      <c r="AJ25" s="114" t="s">
        <v>101</v>
      </c>
      <c r="AK25" s="114" t="s">
        <v>165</v>
      </c>
      <c r="AL25" s="114" t="s">
        <v>116</v>
      </c>
      <c r="AM25" s="318"/>
      <c r="AN25" s="318"/>
      <c r="AO25" s="318"/>
      <c r="AP25" s="476"/>
      <c r="AQ25" s="476"/>
      <c r="AR25" s="6" t="s">
        <v>141</v>
      </c>
    </row>
    <row r="26" ht="26.25" customHeight="1">
      <c r="A26" s="114" t="s">
        <v>45</v>
      </c>
      <c r="B26" s="114" t="n">
        <v>2304918401</v>
      </c>
      <c r="C26" s="114" t="s">
        <v>1004</v>
      </c>
      <c r="D26" s="114" t="s">
        <v>48</v>
      </c>
      <c r="E26" s="114" t="s">
        <v>109</v>
      </c>
      <c r="F26" s="114"/>
      <c r="G26" s="114" t="s">
        <v>641</v>
      </c>
      <c r="H26" s="114" t="s">
        <v>165</v>
      </c>
      <c r="I26" s="318" t="s">
        <v>100</v>
      </c>
      <c r="J26" s="114" t="n">
        <v>3132872</v>
      </c>
      <c r="K26" s="114" t="s">
        <v>126</v>
      </c>
      <c r="L26" s="114" t="n">
        <v>72</v>
      </c>
      <c r="M26" s="114" t="n">
        <v>90</v>
      </c>
      <c r="N26" s="114" t="s">
        <v>35</v>
      </c>
      <c r="O26" s="114" t="s">
        <v>989</v>
      </c>
      <c r="P26" s="114" t="s">
        <v>216</v>
      </c>
      <c r="Q26" s="114" t="s">
        <v>283</v>
      </c>
      <c r="R26" s="114" t="s">
        <v>100</v>
      </c>
      <c r="S26" s="114" t="s">
        <v>165</v>
      </c>
      <c r="T26" s="114" t="s">
        <v>116</v>
      </c>
      <c r="U26" s="114" t="n">
        <v>5230809</v>
      </c>
      <c r="V26" s="114"/>
      <c r="W26" s="114" t="s">
        <v>47</v>
      </c>
      <c r="X26" s="114" t="s">
        <v>989</v>
      </c>
      <c r="Y26" s="114" t="s">
        <v>215</v>
      </c>
      <c r="Z26" s="114" t="s">
        <v>283</v>
      </c>
      <c r="AA26" s="114" t="s">
        <v>100</v>
      </c>
      <c r="AB26" s="114" t="s">
        <v>165</v>
      </c>
      <c r="AC26" s="114" t="s">
        <v>116</v>
      </c>
      <c r="AD26" s="114" t="s">
        <v>116</v>
      </c>
      <c r="AE26" s="114"/>
      <c r="AF26" s="114" t="s">
        <v>116</v>
      </c>
      <c r="AG26" s="114" t="s">
        <v>116</v>
      </c>
      <c r="AH26" s="114" t="s">
        <v>116</v>
      </c>
      <c r="AI26" s="114" t="s">
        <v>116</v>
      </c>
      <c r="AJ26" s="114" t="s">
        <v>116</v>
      </c>
      <c r="AK26" s="114" t="s">
        <v>116</v>
      </c>
      <c r="AL26" s="114" t="s">
        <v>116</v>
      </c>
      <c r="AM26" s="318"/>
      <c r="AN26" s="318"/>
      <c r="AO26" s="318"/>
      <c r="AP26" s="476"/>
      <c r="AQ26" s="476"/>
      <c r="AR26" s="6" t="s">
        <v>141</v>
      </c>
    </row>
    <row r="27" ht="26.25" customHeight="1">
      <c r="A27" s="114" t="s">
        <v>45</v>
      </c>
      <c r="B27" s="114" t="n">
        <v>2414638176</v>
      </c>
      <c r="C27" s="114" t="s">
        <v>1005</v>
      </c>
      <c r="D27" s="114" t="s">
        <v>57</v>
      </c>
      <c r="E27" s="114" t="s">
        <v>104</v>
      </c>
      <c r="F27" s="114"/>
      <c r="G27" s="114"/>
      <c r="H27" s="114" t="s">
        <v>165</v>
      </c>
      <c r="I27" s="114" t="s">
        <v>100</v>
      </c>
      <c r="J27" s="114" t="n">
        <v>3132872</v>
      </c>
      <c r="K27" s="114" t="s">
        <v>126</v>
      </c>
      <c r="L27" s="114" t="n">
        <v>64</v>
      </c>
      <c r="M27" s="114" t="n">
        <v>85</v>
      </c>
      <c r="N27" s="114" t="s">
        <v>35</v>
      </c>
      <c r="O27" s="114" t="s">
        <v>989</v>
      </c>
      <c r="P27" s="114" t="s">
        <v>216</v>
      </c>
      <c r="Q27" s="114" t="s">
        <v>283</v>
      </c>
      <c r="R27" s="114" t="s">
        <v>100</v>
      </c>
      <c r="S27" s="114" t="s">
        <v>165</v>
      </c>
      <c r="T27" s="114" t="s">
        <v>116</v>
      </c>
      <c r="U27" s="114" t="s">
        <v>116</v>
      </c>
      <c r="V27" s="114"/>
      <c r="W27" s="114" t="s">
        <v>116</v>
      </c>
      <c r="X27" s="114" t="s">
        <v>116</v>
      </c>
      <c r="Y27" s="114" t="s">
        <v>116</v>
      </c>
      <c r="Z27" s="114" t="s">
        <v>116</v>
      </c>
      <c r="AA27" s="114" t="s">
        <v>116</v>
      </c>
      <c r="AB27" s="114" t="s">
        <v>116</v>
      </c>
      <c r="AC27" s="114" t="s">
        <v>116</v>
      </c>
      <c r="AD27" s="114" t="s">
        <v>116</v>
      </c>
      <c r="AE27" s="114"/>
      <c r="AF27" s="114" t="s">
        <v>116</v>
      </c>
      <c r="AG27" s="114" t="s">
        <v>116</v>
      </c>
      <c r="AH27" s="114" t="s">
        <v>116</v>
      </c>
      <c r="AI27" s="114" t="s">
        <v>116</v>
      </c>
      <c r="AJ27" s="114" t="s">
        <v>116</v>
      </c>
      <c r="AK27" s="114" t="s">
        <v>116</v>
      </c>
      <c r="AL27" s="114" t="s">
        <v>116</v>
      </c>
      <c r="AM27" s="318"/>
      <c r="AN27" s="318"/>
      <c r="AO27" s="318"/>
      <c r="AP27" s="476"/>
      <c r="AQ27" s="476"/>
      <c r="AR27" s="6" t="s">
        <v>141</v>
      </c>
    </row>
    <row r="28" ht="26.25" customHeight="1">
      <c r="A28" s="114" t="s">
        <v>45</v>
      </c>
      <c r="B28" s="114" t="n">
        <v>4462940335</v>
      </c>
      <c r="C28" s="114" t="s">
        <v>1006</v>
      </c>
      <c r="D28" s="114" t="s">
        <v>40</v>
      </c>
      <c r="E28" s="114" t="s">
        <v>112</v>
      </c>
      <c r="F28" s="114"/>
      <c r="G28" s="114" t="s">
        <v>1007</v>
      </c>
      <c r="H28" s="114" t="s">
        <v>165</v>
      </c>
      <c r="I28" s="114" t="s">
        <v>100</v>
      </c>
      <c r="J28" s="114" t="n">
        <v>3132872</v>
      </c>
      <c r="K28" s="114" t="s">
        <v>125</v>
      </c>
      <c r="L28" s="114" t="n">
        <v>75</v>
      </c>
      <c r="M28" s="114" t="s">
        <v>116</v>
      </c>
      <c r="N28" s="114" t="s">
        <v>35</v>
      </c>
      <c r="O28" s="114" t="s">
        <v>989</v>
      </c>
      <c r="P28" s="114" t="s">
        <v>216</v>
      </c>
      <c r="Q28" s="114" t="s">
        <v>283</v>
      </c>
      <c r="R28" s="114" t="s">
        <v>100</v>
      </c>
      <c r="S28" s="114" t="s">
        <v>165</v>
      </c>
      <c r="T28" s="114" t="s">
        <v>116</v>
      </c>
      <c r="U28" s="114" t="n">
        <v>5230809</v>
      </c>
      <c r="V28" s="114"/>
      <c r="W28" s="114" t="s">
        <v>47</v>
      </c>
      <c r="X28" s="114" t="s">
        <v>989</v>
      </c>
      <c r="Y28" s="114" t="s">
        <v>215</v>
      </c>
      <c r="Z28" s="114" t="s">
        <v>283</v>
      </c>
      <c r="AA28" s="114" t="s">
        <v>100</v>
      </c>
      <c r="AB28" s="114" t="s">
        <v>165</v>
      </c>
      <c r="AC28" s="114" t="s">
        <v>116</v>
      </c>
      <c r="AD28" s="114" t="n">
        <v>3132893</v>
      </c>
      <c r="AE28" s="114"/>
      <c r="AF28" s="114" t="s">
        <v>52</v>
      </c>
      <c r="AG28" s="114" t="s">
        <v>989</v>
      </c>
      <c r="AH28" s="114" t="s">
        <v>233</v>
      </c>
      <c r="AI28" s="114" t="s">
        <v>283</v>
      </c>
      <c r="AJ28" s="114" t="s">
        <v>100</v>
      </c>
      <c r="AK28" s="114" t="s">
        <v>165</v>
      </c>
      <c r="AL28" s="114" t="s">
        <v>116</v>
      </c>
      <c r="AM28" s="318"/>
      <c r="AN28" s="318"/>
      <c r="AO28" s="318"/>
      <c r="AP28" s="476"/>
      <c r="AQ28" s="476"/>
      <c r="AR28" s="6" t="s">
        <v>141</v>
      </c>
    </row>
    <row r="29" ht="26.25" customHeight="1">
      <c r="A29" s="114" t="s">
        <v>45</v>
      </c>
      <c r="B29" s="114" t="n">
        <v>2413160133</v>
      </c>
      <c r="C29" s="114" t="s">
        <v>941</v>
      </c>
      <c r="D29" s="114" t="s">
        <v>46</v>
      </c>
      <c r="E29" s="114" t="s">
        <v>112</v>
      </c>
      <c r="F29" s="114"/>
      <c r="G29" s="114" t="s">
        <v>946</v>
      </c>
      <c r="H29" s="114" t="s">
        <v>165</v>
      </c>
      <c r="I29" s="114" t="s">
        <v>65</v>
      </c>
      <c r="J29" s="114" t="n">
        <v>5230802</v>
      </c>
      <c r="K29" s="114" t="s">
        <v>126</v>
      </c>
      <c r="L29" s="114" t="n">
        <v>72</v>
      </c>
      <c r="M29" s="114" t="n">
        <v>90</v>
      </c>
      <c r="N29" s="114" t="s">
        <v>37</v>
      </c>
      <c r="O29" s="114" t="s">
        <v>997</v>
      </c>
      <c r="P29" s="114" t="s">
        <v>233</v>
      </c>
      <c r="Q29" s="114" t="s">
        <v>283</v>
      </c>
      <c r="R29" s="114" t="s">
        <v>65</v>
      </c>
      <c r="S29" s="114" t="s">
        <v>165</v>
      </c>
      <c r="T29" s="114" t="s">
        <v>116</v>
      </c>
      <c r="U29" s="114" t="n">
        <v>4632448</v>
      </c>
      <c r="V29" s="114"/>
      <c r="W29" s="114" t="s">
        <v>49</v>
      </c>
      <c r="X29" s="114" t="s">
        <v>997</v>
      </c>
      <c r="Y29" s="114" t="s">
        <v>215</v>
      </c>
      <c r="Z29" s="114" t="s">
        <v>283</v>
      </c>
      <c r="AA29" s="114" t="s">
        <v>65</v>
      </c>
      <c r="AB29" s="114" t="s">
        <v>165</v>
      </c>
      <c r="AC29" s="114" t="s">
        <v>116</v>
      </c>
      <c r="AD29" s="114" t="n">
        <v>3132837</v>
      </c>
      <c r="AE29" s="114"/>
      <c r="AF29" s="114" t="s">
        <v>58</v>
      </c>
      <c r="AG29" s="114" t="s">
        <v>997</v>
      </c>
      <c r="AH29" s="114" t="s">
        <v>216</v>
      </c>
      <c r="AI29" s="114" t="s">
        <v>283</v>
      </c>
      <c r="AJ29" s="114" t="s">
        <v>65</v>
      </c>
      <c r="AK29" s="114" t="s">
        <v>165</v>
      </c>
      <c r="AL29" s="114" t="s">
        <v>116</v>
      </c>
      <c r="AM29" s="318"/>
      <c r="AN29" s="318"/>
      <c r="AO29" s="318"/>
      <c r="AP29" s="476"/>
      <c r="AQ29" s="476"/>
      <c r="AR29" s="6" t="s">
        <v>141</v>
      </c>
    </row>
    <row r="30" ht="26.25" customHeight="1">
      <c r="A30" s="114" t="s">
        <v>45</v>
      </c>
      <c r="B30" s="114" t="n">
        <v>2701666734</v>
      </c>
      <c r="C30" s="114" t="s">
        <v>946</v>
      </c>
      <c r="D30" s="114" t="s">
        <v>46</v>
      </c>
      <c r="E30" s="114" t="s">
        <v>112</v>
      </c>
      <c r="F30" s="114"/>
      <c r="G30" s="114" t="s">
        <v>494</v>
      </c>
      <c r="H30" s="114" t="s">
        <v>165</v>
      </c>
      <c r="I30" s="114" t="s">
        <v>65</v>
      </c>
      <c r="J30" s="114" t="n">
        <v>5230802</v>
      </c>
      <c r="K30" s="114" t="s">
        <v>126</v>
      </c>
      <c r="L30" s="114" t="n">
        <v>86</v>
      </c>
      <c r="M30" s="114" t="n">
        <v>96</v>
      </c>
      <c r="N30" s="114" t="s">
        <v>37</v>
      </c>
      <c r="O30" s="114" t="s">
        <v>997</v>
      </c>
      <c r="P30" s="114" t="s">
        <v>233</v>
      </c>
      <c r="Q30" s="114" t="s">
        <v>283</v>
      </c>
      <c r="R30" s="114" t="s">
        <v>65</v>
      </c>
      <c r="S30" s="114" t="s">
        <v>165</v>
      </c>
      <c r="T30" s="114" t="s">
        <v>116</v>
      </c>
      <c r="U30" s="114" t="n">
        <v>4632448</v>
      </c>
      <c r="V30" s="114"/>
      <c r="W30" s="114" t="s">
        <v>49</v>
      </c>
      <c r="X30" s="114" t="s">
        <v>997</v>
      </c>
      <c r="Y30" s="114" t="s">
        <v>215</v>
      </c>
      <c r="Z30" s="114" t="s">
        <v>283</v>
      </c>
      <c r="AA30" s="114" t="s">
        <v>65</v>
      </c>
      <c r="AB30" s="114" t="s">
        <v>165</v>
      </c>
      <c r="AC30" s="114" t="s">
        <v>116</v>
      </c>
      <c r="AD30" s="114" t="n">
        <v>3132837</v>
      </c>
      <c r="AE30" s="114"/>
      <c r="AF30" s="114" t="s">
        <v>58</v>
      </c>
      <c r="AG30" s="114" t="s">
        <v>997</v>
      </c>
      <c r="AH30" s="114" t="s">
        <v>216</v>
      </c>
      <c r="AI30" s="114" t="s">
        <v>283</v>
      </c>
      <c r="AJ30" s="114" t="s">
        <v>65</v>
      </c>
      <c r="AK30" s="114" t="s">
        <v>165</v>
      </c>
      <c r="AL30" s="114" t="s">
        <v>116</v>
      </c>
      <c r="AM30" s="318"/>
      <c r="AN30" s="318"/>
      <c r="AO30" s="318"/>
      <c r="AP30" s="476"/>
      <c r="AQ30" s="476"/>
      <c r="AR30" s="6" t="s">
        <v>141</v>
      </c>
    </row>
    <row r="31" ht="26.25" customHeight="1">
      <c r="A31" s="114" t="s">
        <v>45</v>
      </c>
      <c r="B31" s="114" t="n">
        <v>4198557381</v>
      </c>
      <c r="C31" s="114" t="s">
        <v>1008</v>
      </c>
      <c r="D31" s="114" t="s">
        <v>57</v>
      </c>
      <c r="E31" s="114" t="s">
        <v>112</v>
      </c>
      <c r="F31" s="114"/>
      <c r="G31" s="114" t="s">
        <v>1009</v>
      </c>
      <c r="H31" s="114" t="s">
        <v>165</v>
      </c>
      <c r="I31" s="318" t="s">
        <v>100</v>
      </c>
      <c r="J31" s="114" t="n">
        <v>3132872</v>
      </c>
      <c r="K31" s="114" t="s">
        <v>126</v>
      </c>
      <c r="L31" s="114" t="n">
        <v>72</v>
      </c>
      <c r="M31" s="114" t="n">
        <v>90</v>
      </c>
      <c r="N31" s="114" t="s">
        <v>35</v>
      </c>
      <c r="O31" s="114" t="s">
        <v>989</v>
      </c>
      <c r="P31" s="114" t="s">
        <v>216</v>
      </c>
      <c r="Q31" s="114" t="s">
        <v>283</v>
      </c>
      <c r="R31" s="114" t="s">
        <v>100</v>
      </c>
      <c r="S31" s="114" t="s">
        <v>165</v>
      </c>
      <c r="T31" s="114" t="s">
        <v>116</v>
      </c>
      <c r="U31" s="114" t="n">
        <v>5230809</v>
      </c>
      <c r="V31" s="114"/>
      <c r="W31" s="114" t="s">
        <v>47</v>
      </c>
      <c r="X31" s="114" t="s">
        <v>989</v>
      </c>
      <c r="Y31" s="114" t="s">
        <v>215</v>
      </c>
      <c r="Z31" s="114" t="s">
        <v>283</v>
      </c>
      <c r="AA31" s="114" t="s">
        <v>100</v>
      </c>
      <c r="AB31" s="114" t="s">
        <v>165</v>
      </c>
      <c r="AC31" s="114" t="s">
        <v>116</v>
      </c>
      <c r="AD31" s="114" t="n">
        <v>3132893</v>
      </c>
      <c r="AE31" s="114"/>
      <c r="AF31" s="114" t="s">
        <v>52</v>
      </c>
      <c r="AG31" s="114" t="s">
        <v>989</v>
      </c>
      <c r="AH31" s="114" t="s">
        <v>233</v>
      </c>
      <c r="AI31" s="114" t="s">
        <v>283</v>
      </c>
      <c r="AJ31" s="114" t="s">
        <v>100</v>
      </c>
      <c r="AK31" s="114" t="s">
        <v>165</v>
      </c>
      <c r="AL31" s="114" t="s">
        <v>116</v>
      </c>
      <c r="AM31" s="318"/>
      <c r="AN31" s="318"/>
      <c r="AO31" s="318"/>
      <c r="AP31" s="476"/>
      <c r="AQ31" s="476"/>
      <c r="AR31" s="6" t="s">
        <v>141</v>
      </c>
    </row>
    <row r="32" ht="26.25" customHeight="1">
      <c r="A32" s="114" t="s">
        <v>54</v>
      </c>
      <c r="B32" s="114" t="n">
        <v>2554261157</v>
      </c>
      <c r="C32" s="114" t="s">
        <v>299</v>
      </c>
      <c r="D32" s="114" t="s">
        <v>46</v>
      </c>
      <c r="E32" s="114" t="s">
        <v>104</v>
      </c>
      <c r="F32" s="114"/>
      <c r="G32" s="114"/>
      <c r="H32" s="114" t="s">
        <v>165</v>
      </c>
      <c r="I32" s="114" t="s">
        <v>101</v>
      </c>
      <c r="J32" s="114" t="n">
        <v>4632447</v>
      </c>
      <c r="K32" s="114" t="s">
        <v>126</v>
      </c>
      <c r="L32" s="114" t="n">
        <v>72</v>
      </c>
      <c r="M32" s="114" t="n">
        <v>90</v>
      </c>
      <c r="N32" s="114" t="s">
        <v>37</v>
      </c>
      <c r="O32" s="114" t="s">
        <v>985</v>
      </c>
      <c r="P32" s="114" t="s">
        <v>215</v>
      </c>
      <c r="Q32" s="114" t="s">
        <v>283</v>
      </c>
      <c r="R32" s="114" t="s">
        <v>101</v>
      </c>
      <c r="S32" s="114" t="s">
        <v>165</v>
      </c>
      <c r="T32" s="114" t="s">
        <v>116</v>
      </c>
      <c r="U32" s="114" t="n">
        <v>5230747</v>
      </c>
      <c r="V32" s="114"/>
      <c r="W32" s="114" t="s">
        <v>49</v>
      </c>
      <c r="X32" s="114" t="s">
        <v>987</v>
      </c>
      <c r="Y32" s="114" t="s">
        <v>215</v>
      </c>
      <c r="Z32" s="114" t="s">
        <v>283</v>
      </c>
      <c r="AA32" s="114" t="s">
        <v>101</v>
      </c>
      <c r="AB32" s="114" t="s">
        <v>165</v>
      </c>
      <c r="AC32" s="114" t="s">
        <v>116</v>
      </c>
      <c r="AD32" s="114" t="n">
        <v>5170871</v>
      </c>
      <c r="AE32" s="114"/>
      <c r="AF32" s="114" t="s">
        <v>58</v>
      </c>
      <c r="AG32" s="114" t="s">
        <v>986</v>
      </c>
      <c r="AH32" s="114" t="s">
        <v>215</v>
      </c>
      <c r="AI32" s="114" t="s">
        <v>283</v>
      </c>
      <c r="AJ32" s="114" t="s">
        <v>101</v>
      </c>
      <c r="AK32" s="114" t="s">
        <v>165</v>
      </c>
      <c r="AL32" s="114" t="s">
        <v>116</v>
      </c>
      <c r="AM32" s="318"/>
      <c r="AN32" s="318"/>
      <c r="AO32" s="318"/>
      <c r="AP32" s="476"/>
      <c r="AQ32" s="476"/>
      <c r="AR32" s="6" t="s">
        <v>141</v>
      </c>
    </row>
    <row r="33" ht="26.25" customHeight="1">
      <c r="A33" s="114" t="s">
        <v>54</v>
      </c>
      <c r="B33" s="114" t="n">
        <v>4860505150</v>
      </c>
      <c r="C33" s="114" t="s">
        <v>308</v>
      </c>
      <c r="D33" s="114" t="s">
        <v>34</v>
      </c>
      <c r="E33" s="114" t="s">
        <v>112</v>
      </c>
      <c r="F33" s="114"/>
      <c r="G33" s="114" t="s">
        <v>317</v>
      </c>
      <c r="H33" s="114" t="s">
        <v>165</v>
      </c>
      <c r="I33" s="114" t="s">
        <v>65</v>
      </c>
      <c r="J33" s="114" t="n">
        <v>5230742</v>
      </c>
      <c r="K33" s="114" t="s">
        <v>126</v>
      </c>
      <c r="L33" s="114" t="n">
        <v>72</v>
      </c>
      <c r="M33" s="114" t="n">
        <v>90</v>
      </c>
      <c r="N33" s="114" t="s">
        <v>35</v>
      </c>
      <c r="O33" s="114" t="s">
        <v>986</v>
      </c>
      <c r="P33" s="114" t="s">
        <v>216</v>
      </c>
      <c r="Q33" s="114" t="s">
        <v>283</v>
      </c>
      <c r="R33" s="114" t="s">
        <v>65</v>
      </c>
      <c r="S33" s="114" t="s">
        <v>165</v>
      </c>
      <c r="T33" s="114" t="s">
        <v>217</v>
      </c>
      <c r="U33" s="114" t="n">
        <v>5230773</v>
      </c>
      <c r="V33" s="114"/>
      <c r="W33" s="114" t="s">
        <v>49</v>
      </c>
      <c r="X33" s="114" t="s">
        <v>986</v>
      </c>
      <c r="Y33" s="114" t="s">
        <v>233</v>
      </c>
      <c r="Z33" s="114" t="s">
        <v>283</v>
      </c>
      <c r="AA33" s="114" t="s">
        <v>65</v>
      </c>
      <c r="AB33" s="114" t="s">
        <v>165</v>
      </c>
      <c r="AC33" s="114" t="s">
        <v>217</v>
      </c>
      <c r="AD33" s="114" t="n">
        <v>3132888</v>
      </c>
      <c r="AE33" s="114"/>
      <c r="AF33" s="114" t="s">
        <v>56</v>
      </c>
      <c r="AG33" s="114" t="s">
        <v>986</v>
      </c>
      <c r="AH33" s="114" t="s">
        <v>215</v>
      </c>
      <c r="AI33" s="114" t="s">
        <v>283</v>
      </c>
      <c r="AJ33" s="114" t="s">
        <v>65</v>
      </c>
      <c r="AK33" s="114" t="s">
        <v>165</v>
      </c>
      <c r="AL33" s="114" t="s">
        <v>217</v>
      </c>
      <c r="AM33" s="318"/>
      <c r="AN33" s="318"/>
      <c r="AO33" s="318"/>
      <c r="AP33" s="476"/>
      <c r="AQ33" s="476"/>
      <c r="AR33" s="6" t="s">
        <v>141</v>
      </c>
    </row>
    <row r="34" ht="26.25" customHeight="1">
      <c r="A34" s="114" t="s">
        <v>54</v>
      </c>
      <c r="B34" s="114" t="n">
        <v>2406026641</v>
      </c>
      <c r="C34" s="114" t="s">
        <v>1010</v>
      </c>
      <c r="D34" s="114" t="s">
        <v>59</v>
      </c>
      <c r="E34" s="114" t="s">
        <v>112</v>
      </c>
      <c r="F34" s="114"/>
      <c r="G34" s="114" t="s">
        <v>524</v>
      </c>
      <c r="H34" s="114" t="s">
        <v>165</v>
      </c>
      <c r="I34" s="318" t="s">
        <v>101</v>
      </c>
      <c r="J34" s="114" t="n">
        <v>5111035</v>
      </c>
      <c r="K34" s="114" t="s">
        <v>126</v>
      </c>
      <c r="L34" s="114" t="n">
        <v>86</v>
      </c>
      <c r="M34" s="114" t="n">
        <v>96</v>
      </c>
      <c r="N34" s="114" t="s">
        <v>35</v>
      </c>
      <c r="O34" s="114" t="s">
        <v>986</v>
      </c>
      <c r="P34" s="114" t="s">
        <v>233</v>
      </c>
      <c r="Q34" s="114" t="s">
        <v>234</v>
      </c>
      <c r="R34" s="114" t="s">
        <v>101</v>
      </c>
      <c r="S34" s="114" t="s">
        <v>165</v>
      </c>
      <c r="T34" s="114" t="s">
        <v>116</v>
      </c>
      <c r="U34" s="114" t="n">
        <v>5230747</v>
      </c>
      <c r="V34" s="114"/>
      <c r="W34" s="114" t="s">
        <v>49</v>
      </c>
      <c r="X34" s="114" t="s">
        <v>987</v>
      </c>
      <c r="Y34" s="114" t="s">
        <v>215</v>
      </c>
      <c r="Z34" s="114" t="s">
        <v>283</v>
      </c>
      <c r="AA34" s="114" t="s">
        <v>101</v>
      </c>
      <c r="AB34" s="114" t="s">
        <v>165</v>
      </c>
      <c r="AC34" s="114" t="s">
        <v>116</v>
      </c>
      <c r="AD34" s="114" t="n">
        <v>4513388</v>
      </c>
      <c r="AE34" s="114"/>
      <c r="AF34" s="114" t="s">
        <v>56</v>
      </c>
      <c r="AG34" s="114" t="s">
        <v>985</v>
      </c>
      <c r="AH34" s="114" t="s">
        <v>216</v>
      </c>
      <c r="AI34" s="114" t="s">
        <v>283</v>
      </c>
      <c r="AJ34" s="114" t="s">
        <v>101</v>
      </c>
      <c r="AK34" s="114" t="s">
        <v>165</v>
      </c>
      <c r="AL34" s="114" t="s">
        <v>116</v>
      </c>
      <c r="AM34" s="318"/>
      <c r="AN34" s="318"/>
      <c r="AO34" s="318"/>
      <c r="AP34" s="476"/>
      <c r="AQ34" s="476"/>
      <c r="AR34" s="6" t="s">
        <v>141</v>
      </c>
    </row>
    <row r="35" ht="26.25" customHeight="1">
      <c r="A35" s="114" t="s">
        <v>54</v>
      </c>
      <c r="B35" s="114" t="n">
        <v>2579947640</v>
      </c>
      <c r="C35" s="114" t="s">
        <v>1011</v>
      </c>
      <c r="D35" s="114" t="s">
        <v>59</v>
      </c>
      <c r="E35" s="114" t="s">
        <v>112</v>
      </c>
      <c r="F35" s="114"/>
      <c r="G35" s="114" t="s">
        <v>1012</v>
      </c>
      <c r="H35" s="114" t="s">
        <v>165</v>
      </c>
      <c r="I35" s="318" t="s">
        <v>101</v>
      </c>
      <c r="J35" s="114" t="n">
        <v>5111035</v>
      </c>
      <c r="K35" s="114" t="s">
        <v>126</v>
      </c>
      <c r="L35" s="114" t="n">
        <v>60</v>
      </c>
      <c r="M35" s="114" t="n">
        <v>80</v>
      </c>
      <c r="N35" s="114" t="s">
        <v>35</v>
      </c>
      <c r="O35" s="114" t="s">
        <v>986</v>
      </c>
      <c r="P35" s="114" t="s">
        <v>233</v>
      </c>
      <c r="Q35" s="114" t="s">
        <v>234</v>
      </c>
      <c r="R35" s="114" t="s">
        <v>101</v>
      </c>
      <c r="S35" s="114" t="s">
        <v>165</v>
      </c>
      <c r="T35" s="114" t="s">
        <v>116</v>
      </c>
      <c r="U35" s="114" t="n">
        <v>5230739</v>
      </c>
      <c r="V35" s="114"/>
      <c r="W35" s="114" t="s">
        <v>47</v>
      </c>
      <c r="X35" s="114" t="s">
        <v>991</v>
      </c>
      <c r="Y35" s="114" t="s">
        <v>215</v>
      </c>
      <c r="Z35" s="114" t="s">
        <v>283</v>
      </c>
      <c r="AA35" s="114" t="s">
        <v>101</v>
      </c>
      <c r="AB35" s="114" t="s">
        <v>165</v>
      </c>
      <c r="AC35" s="114" t="s">
        <v>116</v>
      </c>
      <c r="AD35" s="114" t="n">
        <v>4513388</v>
      </c>
      <c r="AE35" s="114"/>
      <c r="AF35" s="114" t="s">
        <v>56</v>
      </c>
      <c r="AG35" s="114" t="s">
        <v>985</v>
      </c>
      <c r="AH35" s="114" t="s">
        <v>216</v>
      </c>
      <c r="AI35" s="114" t="s">
        <v>283</v>
      </c>
      <c r="AJ35" s="114" t="s">
        <v>101</v>
      </c>
      <c r="AK35" s="114" t="s">
        <v>165</v>
      </c>
      <c r="AL35" s="114" t="s">
        <v>116</v>
      </c>
      <c r="AM35" s="318"/>
      <c r="AN35" s="318"/>
      <c r="AO35" s="318"/>
      <c r="AP35" s="476"/>
      <c r="AQ35" s="476"/>
      <c r="AR35" s="6" t="s">
        <v>141</v>
      </c>
    </row>
    <row r="36" ht="26.25" customHeight="1">
      <c r="A36" s="114" t="s">
        <v>45</v>
      </c>
      <c r="B36" s="114" t="n">
        <v>4067487942</v>
      </c>
      <c r="C36" s="114" t="s">
        <v>1013</v>
      </c>
      <c r="D36" s="114" t="s">
        <v>46</v>
      </c>
      <c r="E36" s="114" t="s">
        <v>109</v>
      </c>
      <c r="F36" s="114"/>
      <c r="G36" s="114" t="s">
        <v>1014</v>
      </c>
      <c r="H36" s="114" t="s">
        <v>165</v>
      </c>
      <c r="I36" s="114" t="s">
        <v>88</v>
      </c>
      <c r="J36" s="114" t="n">
        <v>3132897</v>
      </c>
      <c r="K36" s="114" t="s">
        <v>126</v>
      </c>
      <c r="L36" s="114" t="n">
        <v>85</v>
      </c>
      <c r="M36" s="114" t="n">
        <v>95</v>
      </c>
      <c r="N36" s="114" t="s">
        <v>31</v>
      </c>
      <c r="O36" s="114" t="s">
        <v>989</v>
      </c>
      <c r="P36" s="114" t="s">
        <v>215</v>
      </c>
      <c r="Q36" s="114" t="s">
        <v>283</v>
      </c>
      <c r="R36" s="114" t="s">
        <v>88</v>
      </c>
      <c r="S36" s="114" t="s">
        <v>165</v>
      </c>
      <c r="T36" s="114" t="s">
        <v>116</v>
      </c>
      <c r="U36" s="114" t="n">
        <v>5230722</v>
      </c>
      <c r="V36" s="114"/>
      <c r="W36" s="114" t="s">
        <v>47</v>
      </c>
      <c r="X36" s="114" t="s">
        <v>989</v>
      </c>
      <c r="Y36" s="114" t="s">
        <v>233</v>
      </c>
      <c r="Z36" s="114" t="s">
        <v>283</v>
      </c>
      <c r="AA36" s="114" t="s">
        <v>88</v>
      </c>
      <c r="AB36" s="114" t="s">
        <v>165</v>
      </c>
      <c r="AC36" s="114" t="s">
        <v>116</v>
      </c>
      <c r="AD36" s="114" t="n">
        <v>5230737</v>
      </c>
      <c r="AE36" s="114"/>
      <c r="AF36" s="114" t="s">
        <v>58</v>
      </c>
      <c r="AG36" s="114" t="s">
        <v>989</v>
      </c>
      <c r="AH36" s="114" t="s">
        <v>216</v>
      </c>
      <c r="AI36" s="114" t="s">
        <v>283</v>
      </c>
      <c r="AJ36" s="114" t="s">
        <v>88</v>
      </c>
      <c r="AK36" s="114" t="s">
        <v>165</v>
      </c>
      <c r="AL36" s="114" t="s">
        <v>116</v>
      </c>
      <c r="AM36" s="318" t="s">
        <v>217</v>
      </c>
      <c r="AN36" s="318" t="s">
        <v>218</v>
      </c>
      <c r="AO36" s="318" t="s">
        <v>218</v>
      </c>
      <c r="AP36" s="476" t="s">
        <v>217</v>
      </c>
      <c r="AQ36" s="476" t="s">
        <v>217</v>
      </c>
      <c r="AR36" s="6" t="s">
        <v>141</v>
      </c>
    </row>
    <row r="37" ht="26.25" customHeight="1">
      <c r="A37" s="114" t="s">
        <v>54</v>
      </c>
      <c r="B37" s="114" t="n">
        <v>2321411555</v>
      </c>
      <c r="C37" s="114" t="s">
        <v>1012</v>
      </c>
      <c r="D37" s="114" t="s">
        <v>59</v>
      </c>
      <c r="E37" s="114" t="s">
        <v>112</v>
      </c>
      <c r="F37" s="114"/>
      <c r="G37" s="114" t="s">
        <v>1015</v>
      </c>
      <c r="H37" s="114" t="s">
        <v>165</v>
      </c>
      <c r="I37" s="114" t="s">
        <v>101</v>
      </c>
      <c r="J37" s="114" t="n">
        <v>4632447</v>
      </c>
      <c r="K37" s="114" t="s">
        <v>126</v>
      </c>
      <c r="L37" s="114" t="n">
        <v>60</v>
      </c>
      <c r="M37" s="114" t="n">
        <v>80</v>
      </c>
      <c r="N37" s="114" t="s">
        <v>37</v>
      </c>
      <c r="O37" s="114" t="s">
        <v>985</v>
      </c>
      <c r="P37" s="114" t="s">
        <v>215</v>
      </c>
      <c r="Q37" s="114" t="s">
        <v>283</v>
      </c>
      <c r="R37" s="114" t="s">
        <v>101</v>
      </c>
      <c r="S37" s="114" t="s">
        <v>165</v>
      </c>
      <c r="T37" s="114" t="s">
        <v>116</v>
      </c>
      <c r="U37" s="114" t="n">
        <v>5111226</v>
      </c>
      <c r="V37" s="114"/>
      <c r="W37" s="114" t="s">
        <v>47</v>
      </c>
      <c r="X37" s="114" t="s">
        <v>985</v>
      </c>
      <c r="Y37" s="114" t="s">
        <v>233</v>
      </c>
      <c r="Z37" s="114" t="s">
        <v>283</v>
      </c>
      <c r="AA37" s="114" t="s">
        <v>101</v>
      </c>
      <c r="AB37" s="114" t="s">
        <v>165</v>
      </c>
      <c r="AC37" s="114" t="s">
        <v>116</v>
      </c>
      <c r="AD37" s="114" t="n">
        <v>4513388</v>
      </c>
      <c r="AE37" s="114"/>
      <c r="AF37" s="114" t="s">
        <v>56</v>
      </c>
      <c r="AG37" s="114" t="s">
        <v>985</v>
      </c>
      <c r="AH37" s="114" t="s">
        <v>216</v>
      </c>
      <c r="AI37" s="114" t="s">
        <v>283</v>
      </c>
      <c r="AJ37" s="114" t="s">
        <v>101</v>
      </c>
      <c r="AK37" s="114" t="s">
        <v>165</v>
      </c>
      <c r="AL37" s="114" t="s">
        <v>116</v>
      </c>
      <c r="AM37" s="318"/>
      <c r="AN37" s="318"/>
      <c r="AO37" s="318"/>
      <c r="AP37" s="476"/>
      <c r="AQ37" s="476"/>
      <c r="AR37" s="6" t="s">
        <v>141</v>
      </c>
    </row>
    <row r="38" ht="26.25" customHeight="1">
      <c r="A38" s="114" t="s">
        <v>85</v>
      </c>
      <c r="B38" s="114" t="n">
        <v>4858579623</v>
      </c>
      <c r="C38" s="114" t="s">
        <v>1016</v>
      </c>
      <c r="D38" s="114" t="s">
        <v>34</v>
      </c>
      <c r="E38" s="114" t="s">
        <v>112</v>
      </c>
      <c r="F38" s="114"/>
      <c r="G38" s="114" t="s">
        <v>1017</v>
      </c>
      <c r="H38" s="114" t="s">
        <v>165</v>
      </c>
      <c r="I38" s="114" t="s">
        <v>101</v>
      </c>
      <c r="J38" s="114" t="n">
        <v>5230801</v>
      </c>
      <c r="K38" s="114" t="s">
        <v>126</v>
      </c>
      <c r="L38" s="114" t="n">
        <v>60</v>
      </c>
      <c r="M38" s="114" t="n">
        <v>80</v>
      </c>
      <c r="N38" s="114" t="s">
        <v>39</v>
      </c>
      <c r="O38" s="114" t="s">
        <v>991</v>
      </c>
      <c r="P38" s="114" t="s">
        <v>216</v>
      </c>
      <c r="Q38" s="114" t="s">
        <v>283</v>
      </c>
      <c r="R38" s="114" t="s">
        <v>101</v>
      </c>
      <c r="S38" s="114" t="s">
        <v>165</v>
      </c>
      <c r="T38" s="114" t="s">
        <v>116</v>
      </c>
      <c r="U38" s="114" t="n">
        <v>5230739</v>
      </c>
      <c r="V38" s="114"/>
      <c r="W38" s="114" t="s">
        <v>47</v>
      </c>
      <c r="X38" s="114" t="s">
        <v>991</v>
      </c>
      <c r="Y38" s="114" t="s">
        <v>215</v>
      </c>
      <c r="Z38" s="114" t="s">
        <v>283</v>
      </c>
      <c r="AA38" s="114" t="s">
        <v>101</v>
      </c>
      <c r="AB38" s="114" t="s">
        <v>165</v>
      </c>
      <c r="AC38" s="114" t="s">
        <v>116</v>
      </c>
      <c r="AD38" s="114" t="n">
        <v>5230788</v>
      </c>
      <c r="AE38" s="114"/>
      <c r="AF38" s="114" t="s">
        <v>52</v>
      </c>
      <c r="AG38" s="114" t="s">
        <v>991</v>
      </c>
      <c r="AH38" s="114" t="s">
        <v>233</v>
      </c>
      <c r="AI38" s="114" t="s">
        <v>283</v>
      </c>
      <c r="AJ38" s="114" t="s">
        <v>101</v>
      </c>
      <c r="AK38" s="114" t="s">
        <v>165</v>
      </c>
      <c r="AL38" s="114" t="s">
        <v>116</v>
      </c>
      <c r="AM38" s="318"/>
      <c r="AN38" s="318"/>
      <c r="AO38" s="318"/>
      <c r="AP38" s="476"/>
      <c r="AQ38" s="476"/>
      <c r="AR38" s="6" t="s">
        <v>141</v>
      </c>
    </row>
    <row r="39" ht="26.25" customHeight="1">
      <c r="A39" s="114" t="s">
        <v>54</v>
      </c>
      <c r="B39" s="114" t="n">
        <v>2520505537</v>
      </c>
      <c r="C39" s="114" t="s">
        <v>1018</v>
      </c>
      <c r="D39" s="114" t="s">
        <v>48</v>
      </c>
      <c r="E39" s="114" t="s">
        <v>112</v>
      </c>
      <c r="F39" s="114"/>
      <c r="G39" s="114" t="s">
        <v>1019</v>
      </c>
      <c r="H39" s="114" t="s">
        <v>165</v>
      </c>
      <c r="I39" s="114" t="s">
        <v>101</v>
      </c>
      <c r="J39" s="114" t="n">
        <v>4632447</v>
      </c>
      <c r="K39" s="114" t="s">
        <v>126</v>
      </c>
      <c r="L39" s="114" t="n">
        <v>62</v>
      </c>
      <c r="M39" s="114" t="n">
        <v>83</v>
      </c>
      <c r="N39" s="114" t="s">
        <v>37</v>
      </c>
      <c r="O39" s="318" t="s">
        <v>985</v>
      </c>
      <c r="P39" s="318" t="s">
        <v>215</v>
      </c>
      <c r="Q39" s="114" t="s">
        <v>283</v>
      </c>
      <c r="R39" s="114" t="s">
        <v>101</v>
      </c>
      <c r="S39" s="114" t="s">
        <v>165</v>
      </c>
      <c r="T39" s="114" t="s">
        <v>116</v>
      </c>
      <c r="U39" s="114" t="n">
        <v>5111226</v>
      </c>
      <c r="V39" s="114"/>
      <c r="W39" s="114" t="s">
        <v>47</v>
      </c>
      <c r="X39" s="318" t="s">
        <v>985</v>
      </c>
      <c r="Y39" s="318" t="s">
        <v>233</v>
      </c>
      <c r="Z39" s="114" t="s">
        <v>283</v>
      </c>
      <c r="AA39" s="114" t="s">
        <v>101</v>
      </c>
      <c r="AB39" s="114" t="s">
        <v>165</v>
      </c>
      <c r="AC39" s="114" t="s">
        <v>116</v>
      </c>
      <c r="AD39" s="114" t="n">
        <v>4513388</v>
      </c>
      <c r="AE39" s="114"/>
      <c r="AF39" s="114" t="s">
        <v>56</v>
      </c>
      <c r="AG39" s="114" t="s">
        <v>985</v>
      </c>
      <c r="AH39" s="114" t="s">
        <v>216</v>
      </c>
      <c r="AI39" s="114" t="s">
        <v>283</v>
      </c>
      <c r="AJ39" s="114" t="s">
        <v>101</v>
      </c>
      <c r="AK39" s="114" t="s">
        <v>165</v>
      </c>
      <c r="AL39" s="114" t="s">
        <v>116</v>
      </c>
      <c r="AM39" s="318"/>
      <c r="AN39" s="318"/>
      <c r="AO39" s="318"/>
      <c r="AP39" s="476"/>
      <c r="AQ39" s="476"/>
      <c r="AR39" s="6" t="s">
        <v>141</v>
      </c>
    </row>
    <row r="40" ht="26.25" customHeight="1">
      <c r="A40" s="114" t="s">
        <v>54</v>
      </c>
      <c r="B40" s="114" t="n">
        <v>2446527834</v>
      </c>
      <c r="C40" s="114" t="s">
        <v>319</v>
      </c>
      <c r="D40" s="114" t="s">
        <v>46</v>
      </c>
      <c r="E40" s="114" t="s">
        <v>104</v>
      </c>
      <c r="F40" s="114"/>
      <c r="G40" s="114"/>
      <c r="H40" s="114" t="s">
        <v>165</v>
      </c>
      <c r="I40" s="114" t="s">
        <v>101</v>
      </c>
      <c r="J40" s="114" t="n">
        <v>4632447</v>
      </c>
      <c r="K40" s="114" t="s">
        <v>126</v>
      </c>
      <c r="L40" s="114" t="n">
        <v>85</v>
      </c>
      <c r="M40" s="114" t="n">
        <v>95</v>
      </c>
      <c r="N40" s="114" t="s">
        <v>37</v>
      </c>
      <c r="O40" s="114" t="s">
        <v>985</v>
      </c>
      <c r="P40" s="114" t="s">
        <v>215</v>
      </c>
      <c r="Q40" s="114" t="s">
        <v>283</v>
      </c>
      <c r="R40" s="114" t="s">
        <v>101</v>
      </c>
      <c r="S40" s="114" t="s">
        <v>165</v>
      </c>
      <c r="T40" s="114" t="s">
        <v>116</v>
      </c>
      <c r="U40" s="114" t="n">
        <v>5230747</v>
      </c>
      <c r="V40" s="114"/>
      <c r="W40" s="114" t="s">
        <v>49</v>
      </c>
      <c r="X40" s="114" t="s">
        <v>987</v>
      </c>
      <c r="Y40" s="114" t="s">
        <v>215</v>
      </c>
      <c r="Z40" s="114" t="s">
        <v>283</v>
      </c>
      <c r="AA40" s="114" t="s">
        <v>101</v>
      </c>
      <c r="AB40" s="114" t="s">
        <v>165</v>
      </c>
      <c r="AC40" s="114" t="s">
        <v>116</v>
      </c>
      <c r="AD40" s="114" t="n">
        <v>5170871</v>
      </c>
      <c r="AE40" s="114"/>
      <c r="AF40" s="114" t="s">
        <v>58</v>
      </c>
      <c r="AG40" s="114" t="s">
        <v>986</v>
      </c>
      <c r="AH40" s="114" t="s">
        <v>215</v>
      </c>
      <c r="AI40" s="114" t="s">
        <v>283</v>
      </c>
      <c r="AJ40" s="114" t="s">
        <v>101</v>
      </c>
      <c r="AK40" s="114" t="s">
        <v>165</v>
      </c>
      <c r="AL40" s="114" t="s">
        <v>116</v>
      </c>
      <c r="AM40" s="318"/>
      <c r="AN40" s="318"/>
      <c r="AO40" s="318"/>
      <c r="AP40" s="476"/>
      <c r="AQ40" s="476"/>
      <c r="AR40" s="6" t="s">
        <v>141</v>
      </c>
    </row>
    <row r="41" ht="26.25" customHeight="1">
      <c r="A41" s="114" t="s">
        <v>45</v>
      </c>
      <c r="B41" s="114" t="n">
        <v>4834944316</v>
      </c>
      <c r="C41" s="114" t="s">
        <v>324</v>
      </c>
      <c r="D41" s="114" t="s">
        <v>50</v>
      </c>
      <c r="E41" s="114" t="s">
        <v>104</v>
      </c>
      <c r="F41" s="114"/>
      <c r="G41" s="114"/>
      <c r="H41" s="114" t="s">
        <v>165</v>
      </c>
      <c r="I41" s="114" t="s">
        <v>65</v>
      </c>
      <c r="J41" s="114" t="n">
        <v>5230802</v>
      </c>
      <c r="K41" s="114" t="s">
        <v>126</v>
      </c>
      <c r="L41" s="114" t="n">
        <v>72</v>
      </c>
      <c r="M41" s="114" t="n">
        <v>90</v>
      </c>
      <c r="N41" s="114" t="s">
        <v>37</v>
      </c>
      <c r="O41" s="114" t="s">
        <v>997</v>
      </c>
      <c r="P41" s="114" t="s">
        <v>233</v>
      </c>
      <c r="Q41" s="114" t="s">
        <v>283</v>
      </c>
      <c r="R41" s="114" t="s">
        <v>65</v>
      </c>
      <c r="S41" s="114" t="s">
        <v>165</v>
      </c>
      <c r="T41" s="114" t="s">
        <v>116</v>
      </c>
      <c r="U41" s="114" t="n">
        <v>4632448</v>
      </c>
      <c r="V41" s="114"/>
      <c r="W41" s="114" t="s">
        <v>49</v>
      </c>
      <c r="X41" s="114" t="s">
        <v>997</v>
      </c>
      <c r="Y41" s="114" t="s">
        <v>215</v>
      </c>
      <c r="Z41" s="114" t="s">
        <v>283</v>
      </c>
      <c r="AA41" s="114" t="s">
        <v>65</v>
      </c>
      <c r="AB41" s="114" t="s">
        <v>165</v>
      </c>
      <c r="AC41" s="114" t="s">
        <v>116</v>
      </c>
      <c r="AD41" s="114" t="n">
        <v>3132837</v>
      </c>
      <c r="AE41" s="114"/>
      <c r="AF41" s="114" t="s">
        <v>58</v>
      </c>
      <c r="AG41" s="114" t="s">
        <v>997</v>
      </c>
      <c r="AH41" s="114" t="s">
        <v>216</v>
      </c>
      <c r="AI41" s="114" t="s">
        <v>283</v>
      </c>
      <c r="AJ41" s="114" t="s">
        <v>65</v>
      </c>
      <c r="AK41" s="114" t="s">
        <v>165</v>
      </c>
      <c r="AL41" s="114" t="s">
        <v>116</v>
      </c>
      <c r="AM41" s="318"/>
      <c r="AN41" s="318"/>
      <c r="AO41" s="318"/>
      <c r="AP41" s="476"/>
      <c r="AQ41" s="476"/>
      <c r="AR41" s="6" t="s">
        <v>141</v>
      </c>
    </row>
    <row r="42" ht="26.25" customHeight="1">
      <c r="A42" s="114" t="s">
        <v>54</v>
      </c>
      <c r="B42" s="114" t="n">
        <v>4857845454</v>
      </c>
      <c r="C42" s="114" t="s">
        <v>1020</v>
      </c>
      <c r="D42" s="114" t="s">
        <v>57</v>
      </c>
      <c r="E42" s="114" t="s">
        <v>104</v>
      </c>
      <c r="F42" s="114"/>
      <c r="G42" s="114"/>
      <c r="H42" s="114" t="s">
        <v>165</v>
      </c>
      <c r="I42" s="114" t="s">
        <v>101</v>
      </c>
      <c r="J42" s="114" t="n">
        <v>5111035</v>
      </c>
      <c r="K42" s="114" t="s">
        <v>125</v>
      </c>
      <c r="L42" s="114" t="n">
        <v>95</v>
      </c>
      <c r="M42" s="114" t="s">
        <v>116</v>
      </c>
      <c r="N42" s="114" t="s">
        <v>35</v>
      </c>
      <c r="O42" s="114" t="s">
        <v>986</v>
      </c>
      <c r="P42" s="114" t="s">
        <v>233</v>
      </c>
      <c r="Q42" s="114" t="s">
        <v>234</v>
      </c>
      <c r="R42" s="114" t="s">
        <v>101</v>
      </c>
      <c r="S42" s="114" t="s">
        <v>165</v>
      </c>
      <c r="T42" s="114" t="s">
        <v>116</v>
      </c>
      <c r="U42" s="114" t="n">
        <v>5230747</v>
      </c>
      <c r="V42" s="114"/>
      <c r="W42" s="114" t="s">
        <v>49</v>
      </c>
      <c r="X42" s="114" t="s">
        <v>987</v>
      </c>
      <c r="Y42" s="114" t="s">
        <v>215</v>
      </c>
      <c r="Z42" s="114" t="s">
        <v>283</v>
      </c>
      <c r="AA42" s="114" t="s">
        <v>101</v>
      </c>
      <c r="AB42" s="114" t="s">
        <v>165</v>
      </c>
      <c r="AC42" s="114" t="s">
        <v>116</v>
      </c>
      <c r="AD42" s="114" t="n">
        <v>4513388</v>
      </c>
      <c r="AE42" s="114"/>
      <c r="AF42" s="114" t="s">
        <v>56</v>
      </c>
      <c r="AG42" s="114" t="s">
        <v>985</v>
      </c>
      <c r="AH42" s="114" t="s">
        <v>216</v>
      </c>
      <c r="AI42" s="114" t="s">
        <v>283</v>
      </c>
      <c r="AJ42" s="114" t="s">
        <v>101</v>
      </c>
      <c r="AK42" s="114" t="s">
        <v>165</v>
      </c>
      <c r="AL42" s="114" t="s">
        <v>116</v>
      </c>
      <c r="AM42" s="318"/>
      <c r="AN42" s="318"/>
      <c r="AO42" s="318"/>
      <c r="AP42" s="476"/>
      <c r="AQ42" s="476"/>
      <c r="AR42" s="6" t="s">
        <v>141</v>
      </c>
    </row>
    <row r="43" ht="26.25" customHeight="1">
      <c r="A43" s="114" t="s">
        <v>54</v>
      </c>
      <c r="B43" s="114" t="n">
        <v>4834953191</v>
      </c>
      <c r="C43" s="114" t="s">
        <v>1021</v>
      </c>
      <c r="D43" s="114" t="s">
        <v>59</v>
      </c>
      <c r="E43" s="114" t="s">
        <v>112</v>
      </c>
      <c r="F43" s="114"/>
      <c r="G43" s="114" t="s">
        <v>509</v>
      </c>
      <c r="H43" s="114" t="s">
        <v>165</v>
      </c>
      <c r="I43" s="114" t="s">
        <v>101</v>
      </c>
      <c r="J43" s="114" t="n">
        <v>4632447</v>
      </c>
      <c r="K43" s="114" t="s">
        <v>126</v>
      </c>
      <c r="L43" s="114" t="n">
        <v>64</v>
      </c>
      <c r="M43" s="114" t="n">
        <v>85</v>
      </c>
      <c r="N43" s="114" t="s">
        <v>37</v>
      </c>
      <c r="O43" s="114" t="s">
        <v>985</v>
      </c>
      <c r="P43" s="114" t="s">
        <v>215</v>
      </c>
      <c r="Q43" s="114" t="s">
        <v>283</v>
      </c>
      <c r="R43" s="114" t="s">
        <v>101</v>
      </c>
      <c r="S43" s="114" t="s">
        <v>165</v>
      </c>
      <c r="T43" s="114" t="s">
        <v>116</v>
      </c>
      <c r="U43" s="114" t="n">
        <v>5111226</v>
      </c>
      <c r="V43" s="114"/>
      <c r="W43" s="114" t="s">
        <v>47</v>
      </c>
      <c r="X43" s="114" t="s">
        <v>985</v>
      </c>
      <c r="Y43" s="114" t="s">
        <v>233</v>
      </c>
      <c r="Z43" s="114" t="s">
        <v>283</v>
      </c>
      <c r="AA43" s="114" t="s">
        <v>101</v>
      </c>
      <c r="AB43" s="114" t="s">
        <v>165</v>
      </c>
      <c r="AC43" s="114" t="s">
        <v>116</v>
      </c>
      <c r="AD43" s="114" t="n">
        <v>4513388</v>
      </c>
      <c r="AE43" s="114"/>
      <c r="AF43" s="114" t="s">
        <v>56</v>
      </c>
      <c r="AG43" s="114" t="s">
        <v>985</v>
      </c>
      <c r="AH43" s="114" t="s">
        <v>216</v>
      </c>
      <c r="AI43" s="114" t="s">
        <v>283</v>
      </c>
      <c r="AJ43" s="114" t="s">
        <v>101</v>
      </c>
      <c r="AK43" s="114" t="s">
        <v>165</v>
      </c>
      <c r="AL43" s="114" t="s">
        <v>116</v>
      </c>
      <c r="AM43" s="318"/>
      <c r="AN43" s="318"/>
      <c r="AO43" s="318"/>
      <c r="AP43" s="476"/>
      <c r="AQ43" s="476"/>
      <c r="AR43" s="6" t="s">
        <v>141</v>
      </c>
    </row>
    <row r="44" ht="26.25" customHeight="1">
      <c r="A44" s="114" t="s">
        <v>45</v>
      </c>
      <c r="B44" s="114" t="n">
        <v>2170843710</v>
      </c>
      <c r="C44" s="114" t="s">
        <v>1022</v>
      </c>
      <c r="D44" s="114" t="s">
        <v>48</v>
      </c>
      <c r="E44" s="114" t="s">
        <v>104</v>
      </c>
      <c r="F44" s="114"/>
      <c r="G44" s="114"/>
      <c r="H44" s="114" t="s">
        <v>165</v>
      </c>
      <c r="I44" s="114" t="s">
        <v>100</v>
      </c>
      <c r="J44" s="114" t="n">
        <v>3132872</v>
      </c>
      <c r="K44" s="114" t="s">
        <v>126</v>
      </c>
      <c r="L44" s="114" t="n">
        <v>74</v>
      </c>
      <c r="M44" s="114" t="n">
        <v>92</v>
      </c>
      <c r="N44" s="114" t="s">
        <v>35</v>
      </c>
      <c r="O44" s="114" t="s">
        <v>989</v>
      </c>
      <c r="P44" s="114" t="s">
        <v>216</v>
      </c>
      <c r="Q44" s="114" t="s">
        <v>283</v>
      </c>
      <c r="R44" s="114" t="s">
        <v>100</v>
      </c>
      <c r="S44" s="114" t="s">
        <v>165</v>
      </c>
      <c r="T44" s="114" t="s">
        <v>116</v>
      </c>
      <c r="U44" s="114" t="n">
        <v>5230809</v>
      </c>
      <c r="V44" s="114"/>
      <c r="W44" s="114" t="s">
        <v>47</v>
      </c>
      <c r="X44" s="114" t="s">
        <v>989</v>
      </c>
      <c r="Y44" s="114" t="s">
        <v>215</v>
      </c>
      <c r="Z44" s="114" t="s">
        <v>283</v>
      </c>
      <c r="AA44" s="114" t="s">
        <v>100</v>
      </c>
      <c r="AB44" s="114" t="s">
        <v>165</v>
      </c>
      <c r="AC44" s="114" t="s">
        <v>116</v>
      </c>
      <c r="AD44" s="114" t="n">
        <v>3132893</v>
      </c>
      <c r="AE44" s="114"/>
      <c r="AF44" s="114" t="s">
        <v>52</v>
      </c>
      <c r="AG44" s="114" t="s">
        <v>989</v>
      </c>
      <c r="AH44" s="114" t="s">
        <v>233</v>
      </c>
      <c r="AI44" s="114" t="s">
        <v>283</v>
      </c>
      <c r="AJ44" s="114" t="s">
        <v>100</v>
      </c>
      <c r="AK44" s="114" t="s">
        <v>165</v>
      </c>
      <c r="AL44" s="114" t="s">
        <v>116</v>
      </c>
      <c r="AM44" s="318"/>
      <c r="AN44" s="318"/>
      <c r="AO44" s="318"/>
      <c r="AP44" s="476"/>
      <c r="AQ44" s="476"/>
      <c r="AR44" s="6" t="s">
        <v>141</v>
      </c>
    </row>
    <row r="45" ht="26.25" customHeight="1">
      <c r="A45" s="114" t="s">
        <v>54</v>
      </c>
      <c r="B45" s="114" t="n">
        <v>4354560071</v>
      </c>
      <c r="C45" s="114" t="s">
        <v>1023</v>
      </c>
      <c r="D45" s="114" t="s">
        <v>57</v>
      </c>
      <c r="E45" s="114" t="s">
        <v>104</v>
      </c>
      <c r="F45" s="114"/>
      <c r="G45" s="114"/>
      <c r="H45" s="114" t="s">
        <v>165</v>
      </c>
      <c r="I45" s="114" t="s">
        <v>101</v>
      </c>
      <c r="J45" s="114" t="n">
        <v>4632447</v>
      </c>
      <c r="K45" s="114" t="s">
        <v>125</v>
      </c>
      <c r="L45" s="114" t="n">
        <v>80</v>
      </c>
      <c r="M45" s="114" t="s">
        <v>116</v>
      </c>
      <c r="N45" s="114" t="s">
        <v>37</v>
      </c>
      <c r="O45" s="114" t="s">
        <v>985</v>
      </c>
      <c r="P45" s="114" t="s">
        <v>215</v>
      </c>
      <c r="Q45" s="114" t="s">
        <v>283</v>
      </c>
      <c r="R45" s="114" t="s">
        <v>101</v>
      </c>
      <c r="S45" s="114" t="s">
        <v>165</v>
      </c>
      <c r="T45" s="114" t="s">
        <v>116</v>
      </c>
      <c r="U45" s="114" t="n">
        <v>5111226</v>
      </c>
      <c r="V45" s="114"/>
      <c r="W45" s="114" t="s">
        <v>47</v>
      </c>
      <c r="X45" s="114" t="s">
        <v>985</v>
      </c>
      <c r="Y45" s="114" t="s">
        <v>233</v>
      </c>
      <c r="Z45" s="114" t="s">
        <v>283</v>
      </c>
      <c r="AA45" s="114" t="s">
        <v>101</v>
      </c>
      <c r="AB45" s="114" t="s">
        <v>165</v>
      </c>
      <c r="AC45" s="114" t="s">
        <v>116</v>
      </c>
      <c r="AD45" s="114" t="n">
        <v>4513388</v>
      </c>
      <c r="AE45" s="114"/>
      <c r="AF45" s="114" t="s">
        <v>56</v>
      </c>
      <c r="AG45" s="114" t="s">
        <v>985</v>
      </c>
      <c r="AH45" s="114" t="s">
        <v>216</v>
      </c>
      <c r="AI45" s="114" t="s">
        <v>283</v>
      </c>
      <c r="AJ45" s="114" t="s">
        <v>101</v>
      </c>
      <c r="AK45" s="114" t="s">
        <v>165</v>
      </c>
      <c r="AL45" s="114" t="s">
        <v>116</v>
      </c>
      <c r="AM45" s="318"/>
      <c r="AN45" s="318"/>
      <c r="AO45" s="318"/>
      <c r="AP45" s="476"/>
      <c r="AQ45" s="476"/>
      <c r="AR45" s="6" t="s">
        <v>141</v>
      </c>
    </row>
    <row r="46" ht="26.25" customHeight="1">
      <c r="A46" s="114" t="s">
        <v>54</v>
      </c>
      <c r="B46" s="114" t="n">
        <v>4844345754</v>
      </c>
      <c r="C46" s="114" t="s">
        <v>1024</v>
      </c>
      <c r="D46" s="114" t="s">
        <v>57</v>
      </c>
      <c r="E46" s="114" t="s">
        <v>104</v>
      </c>
      <c r="F46" s="114"/>
      <c r="G46" s="114"/>
      <c r="H46" s="114" t="s">
        <v>165</v>
      </c>
      <c r="I46" s="114" t="s">
        <v>101</v>
      </c>
      <c r="J46" s="114" t="n">
        <v>4632447</v>
      </c>
      <c r="K46" s="114" t="s">
        <v>125</v>
      </c>
      <c r="L46" s="114" t="n">
        <v>80</v>
      </c>
      <c r="M46" s="114" t="s">
        <v>116</v>
      </c>
      <c r="N46" s="114" t="s">
        <v>37</v>
      </c>
      <c r="O46" s="114" t="s">
        <v>985</v>
      </c>
      <c r="P46" s="114" t="s">
        <v>215</v>
      </c>
      <c r="Q46" s="114" t="s">
        <v>283</v>
      </c>
      <c r="R46" s="114" t="s">
        <v>101</v>
      </c>
      <c r="S46" s="114" t="s">
        <v>165</v>
      </c>
      <c r="T46" s="114" t="s">
        <v>116</v>
      </c>
      <c r="U46" s="114" t="n">
        <v>5111226</v>
      </c>
      <c r="V46" s="114"/>
      <c r="W46" s="114" t="s">
        <v>47</v>
      </c>
      <c r="X46" s="114" t="s">
        <v>985</v>
      </c>
      <c r="Y46" s="114" t="s">
        <v>233</v>
      </c>
      <c r="Z46" s="114" t="s">
        <v>283</v>
      </c>
      <c r="AA46" s="114" t="s">
        <v>101</v>
      </c>
      <c r="AB46" s="114" t="s">
        <v>165</v>
      </c>
      <c r="AC46" s="114" t="s">
        <v>116</v>
      </c>
      <c r="AD46" s="114" t="n">
        <v>4513388</v>
      </c>
      <c r="AE46" s="114"/>
      <c r="AF46" s="114" t="s">
        <v>56</v>
      </c>
      <c r="AG46" s="114" t="s">
        <v>985</v>
      </c>
      <c r="AH46" s="114" t="s">
        <v>216</v>
      </c>
      <c r="AI46" s="114" t="s">
        <v>283</v>
      </c>
      <c r="AJ46" s="114" t="s">
        <v>101</v>
      </c>
      <c r="AK46" s="114" t="s">
        <v>165</v>
      </c>
      <c r="AL46" s="114" t="s">
        <v>116</v>
      </c>
      <c r="AM46" s="318"/>
      <c r="AN46" s="318"/>
      <c r="AO46" s="318"/>
      <c r="AP46" s="476"/>
      <c r="AQ46" s="476"/>
      <c r="AR46" s="6" t="s">
        <v>141</v>
      </c>
    </row>
    <row r="47" ht="26.25" customHeight="1">
      <c r="A47" s="114" t="s">
        <v>54</v>
      </c>
      <c r="B47" s="114" t="n">
        <v>2528283945</v>
      </c>
      <c r="C47" s="114" t="s">
        <v>1025</v>
      </c>
      <c r="D47" s="114" t="s">
        <v>55</v>
      </c>
      <c r="E47" s="114" t="s">
        <v>112</v>
      </c>
      <c r="F47" s="114"/>
      <c r="G47" s="114" t="s">
        <v>1026</v>
      </c>
      <c r="H47" s="114" t="s">
        <v>165</v>
      </c>
      <c r="I47" s="114" t="s">
        <v>101</v>
      </c>
      <c r="J47" s="114" t="n">
        <v>4632447</v>
      </c>
      <c r="K47" s="114" t="s">
        <v>125</v>
      </c>
      <c r="L47" s="114" t="n">
        <v>70</v>
      </c>
      <c r="M47" s="114" t="s">
        <v>116</v>
      </c>
      <c r="N47" s="114" t="s">
        <v>37</v>
      </c>
      <c r="O47" s="114" t="s">
        <v>985</v>
      </c>
      <c r="P47" s="114" t="s">
        <v>215</v>
      </c>
      <c r="Q47" s="114" t="s">
        <v>283</v>
      </c>
      <c r="R47" s="114" t="s">
        <v>101</v>
      </c>
      <c r="S47" s="114" t="s">
        <v>165</v>
      </c>
      <c r="T47" s="114" t="s">
        <v>116</v>
      </c>
      <c r="U47" s="114" t="n">
        <v>5111226</v>
      </c>
      <c r="V47" s="114"/>
      <c r="W47" s="114" t="s">
        <v>47</v>
      </c>
      <c r="X47" s="114" t="s">
        <v>985</v>
      </c>
      <c r="Y47" s="114" t="s">
        <v>233</v>
      </c>
      <c r="Z47" s="114" t="s">
        <v>283</v>
      </c>
      <c r="AA47" s="114" t="s">
        <v>101</v>
      </c>
      <c r="AB47" s="114" t="s">
        <v>165</v>
      </c>
      <c r="AC47" s="114" t="s">
        <v>116</v>
      </c>
      <c r="AD47" s="114" t="n">
        <v>4513388</v>
      </c>
      <c r="AE47" s="114"/>
      <c r="AF47" s="114" t="s">
        <v>56</v>
      </c>
      <c r="AG47" s="114" t="s">
        <v>985</v>
      </c>
      <c r="AH47" s="114" t="s">
        <v>216</v>
      </c>
      <c r="AI47" s="114" t="s">
        <v>283</v>
      </c>
      <c r="AJ47" s="114" t="s">
        <v>101</v>
      </c>
      <c r="AK47" s="114" t="s">
        <v>165</v>
      </c>
      <c r="AL47" s="114" t="s">
        <v>116</v>
      </c>
      <c r="AM47" s="318"/>
      <c r="AN47" s="318"/>
      <c r="AO47" s="318"/>
      <c r="AP47" s="476"/>
      <c r="AQ47" s="476"/>
      <c r="AR47" s="6" t="s">
        <v>141</v>
      </c>
    </row>
    <row r="48" ht="26.25" customHeight="1">
      <c r="A48" s="114" t="s">
        <v>54</v>
      </c>
      <c r="B48" s="114" t="n">
        <v>2570858260</v>
      </c>
      <c r="C48" s="114" t="s">
        <v>1027</v>
      </c>
      <c r="D48" s="114" t="s">
        <v>55</v>
      </c>
      <c r="E48" s="114" t="s">
        <v>104</v>
      </c>
      <c r="F48" s="114"/>
      <c r="G48" s="114"/>
      <c r="H48" s="114" t="s">
        <v>165</v>
      </c>
      <c r="I48" s="114" t="s">
        <v>101</v>
      </c>
      <c r="J48" s="114" t="n">
        <v>4632447</v>
      </c>
      <c r="K48" s="114" t="s">
        <v>126</v>
      </c>
      <c r="L48" s="114" t="n">
        <v>60</v>
      </c>
      <c r="M48" s="114" t="n">
        <v>80</v>
      </c>
      <c r="N48" s="114" t="s">
        <v>37</v>
      </c>
      <c r="O48" s="114" t="s">
        <v>985</v>
      </c>
      <c r="P48" s="114" t="s">
        <v>215</v>
      </c>
      <c r="Q48" s="114" t="s">
        <v>283</v>
      </c>
      <c r="R48" s="114" t="s">
        <v>101</v>
      </c>
      <c r="S48" s="114" t="s">
        <v>165</v>
      </c>
      <c r="T48" s="114" t="s">
        <v>116</v>
      </c>
      <c r="U48" s="114" t="n">
        <v>5111226</v>
      </c>
      <c r="V48" s="114"/>
      <c r="W48" s="114" t="s">
        <v>47</v>
      </c>
      <c r="X48" s="114" t="s">
        <v>985</v>
      </c>
      <c r="Y48" s="114" t="s">
        <v>233</v>
      </c>
      <c r="Z48" s="114" t="s">
        <v>283</v>
      </c>
      <c r="AA48" s="114" t="s">
        <v>101</v>
      </c>
      <c r="AB48" s="114" t="s">
        <v>165</v>
      </c>
      <c r="AC48" s="114" t="s">
        <v>116</v>
      </c>
      <c r="AD48" s="114" t="n">
        <v>4513388</v>
      </c>
      <c r="AE48" s="114"/>
      <c r="AF48" s="114" t="s">
        <v>56</v>
      </c>
      <c r="AG48" s="114" t="s">
        <v>985</v>
      </c>
      <c r="AH48" s="114" t="s">
        <v>216</v>
      </c>
      <c r="AI48" s="114" t="s">
        <v>283</v>
      </c>
      <c r="AJ48" s="114" t="s">
        <v>101</v>
      </c>
      <c r="AK48" s="114" t="s">
        <v>165</v>
      </c>
      <c r="AL48" s="114" t="s">
        <v>116</v>
      </c>
      <c r="AM48" s="318"/>
      <c r="AN48" s="318"/>
      <c r="AO48" s="318"/>
      <c r="AP48" s="476"/>
      <c r="AQ48" s="476"/>
      <c r="AR48" s="6" t="s">
        <v>141</v>
      </c>
    </row>
    <row r="49" ht="26.25" customHeight="1">
      <c r="A49" s="114" t="s">
        <v>54</v>
      </c>
      <c r="B49" s="114" t="n">
        <v>4067417745</v>
      </c>
      <c r="C49" s="114" t="s">
        <v>1028</v>
      </c>
      <c r="D49" s="114" t="s">
        <v>55</v>
      </c>
      <c r="E49" s="114" t="s">
        <v>112</v>
      </c>
      <c r="F49" s="114"/>
      <c r="G49" s="114" t="s">
        <v>1029</v>
      </c>
      <c r="H49" s="114" t="s">
        <v>165</v>
      </c>
      <c r="I49" s="114" t="s">
        <v>100</v>
      </c>
      <c r="J49" s="114" t="n">
        <v>5111034</v>
      </c>
      <c r="K49" s="114" t="s">
        <v>126</v>
      </c>
      <c r="L49" s="114" t="n">
        <v>60</v>
      </c>
      <c r="M49" s="114" t="n">
        <v>80</v>
      </c>
      <c r="N49" s="114" t="s">
        <v>37</v>
      </c>
      <c r="O49" s="114" t="s">
        <v>1030</v>
      </c>
      <c r="P49" s="114" t="s">
        <v>216</v>
      </c>
      <c r="Q49" s="114" t="s">
        <v>283</v>
      </c>
      <c r="R49" s="114" t="s">
        <v>100</v>
      </c>
      <c r="S49" s="114" t="s">
        <v>165</v>
      </c>
      <c r="T49" s="114" t="s">
        <v>116</v>
      </c>
      <c r="U49" s="114" t="n">
        <v>4513342</v>
      </c>
      <c r="V49" s="114"/>
      <c r="W49" s="114" t="s">
        <v>43</v>
      </c>
      <c r="X49" s="114" t="s">
        <v>1030</v>
      </c>
      <c r="Y49" s="114" t="s">
        <v>215</v>
      </c>
      <c r="Z49" s="114" t="s">
        <v>283</v>
      </c>
      <c r="AA49" s="114" t="s">
        <v>100</v>
      </c>
      <c r="AB49" s="114" t="s">
        <v>165</v>
      </c>
      <c r="AC49" s="114" t="s">
        <v>116</v>
      </c>
      <c r="AD49" s="114" t="n">
        <v>4513340</v>
      </c>
      <c r="AE49" s="114"/>
      <c r="AF49" s="114" t="s">
        <v>58</v>
      </c>
      <c r="AG49" s="114" t="s">
        <v>1030</v>
      </c>
      <c r="AH49" s="114" t="s">
        <v>233</v>
      </c>
      <c r="AI49" s="114" t="s">
        <v>283</v>
      </c>
      <c r="AJ49" s="114" t="s">
        <v>100</v>
      </c>
      <c r="AK49" s="114" t="s">
        <v>165</v>
      </c>
      <c r="AL49" s="114" t="s">
        <v>116</v>
      </c>
      <c r="AM49" s="318"/>
      <c r="AN49" s="318"/>
      <c r="AO49" s="318"/>
      <c r="AP49" s="476"/>
      <c r="AQ49" s="476"/>
      <c r="AR49" s="6" t="s">
        <v>141</v>
      </c>
    </row>
    <row r="50" ht="26.25" customHeight="1">
      <c r="A50" s="114" t="s">
        <v>54</v>
      </c>
      <c r="B50" s="114" t="n">
        <v>4380980083</v>
      </c>
      <c r="C50" s="114" t="s">
        <v>951</v>
      </c>
      <c r="D50" s="114" t="s">
        <v>59</v>
      </c>
      <c r="E50" s="114" t="s">
        <v>112</v>
      </c>
      <c r="F50" s="114"/>
      <c r="G50" s="114" t="s">
        <v>958</v>
      </c>
      <c r="H50" s="114" t="s">
        <v>165</v>
      </c>
      <c r="I50" s="114" t="s">
        <v>101</v>
      </c>
      <c r="J50" s="114" t="n">
        <v>5111035</v>
      </c>
      <c r="K50" s="114" t="s">
        <v>126</v>
      </c>
      <c r="L50" s="114" t="n">
        <v>88</v>
      </c>
      <c r="M50" s="114" t="n">
        <v>98</v>
      </c>
      <c r="N50" s="114" t="s">
        <v>35</v>
      </c>
      <c r="O50" s="114" t="s">
        <v>986</v>
      </c>
      <c r="P50" s="114" t="s">
        <v>233</v>
      </c>
      <c r="Q50" s="114" t="s">
        <v>234</v>
      </c>
      <c r="R50" s="114" t="s">
        <v>101</v>
      </c>
      <c r="S50" s="114" t="s">
        <v>165</v>
      </c>
      <c r="T50" s="114" t="s">
        <v>116</v>
      </c>
      <c r="U50" s="114" t="n">
        <v>5230739</v>
      </c>
      <c r="V50" s="114"/>
      <c r="W50" s="114" t="s">
        <v>47</v>
      </c>
      <c r="X50" s="114" t="s">
        <v>991</v>
      </c>
      <c r="Y50" s="114" t="s">
        <v>215</v>
      </c>
      <c r="Z50" s="114" t="s">
        <v>283</v>
      </c>
      <c r="AA50" s="114" t="s">
        <v>101</v>
      </c>
      <c r="AB50" s="114" t="s">
        <v>165</v>
      </c>
      <c r="AC50" s="114" t="s">
        <v>116</v>
      </c>
      <c r="AD50" s="114" t="n">
        <v>4513388</v>
      </c>
      <c r="AE50" s="114"/>
      <c r="AF50" s="114" t="s">
        <v>56</v>
      </c>
      <c r="AG50" s="114" t="s">
        <v>985</v>
      </c>
      <c r="AH50" s="114" t="s">
        <v>216</v>
      </c>
      <c r="AI50" s="114" t="s">
        <v>283</v>
      </c>
      <c r="AJ50" s="114" t="s">
        <v>101</v>
      </c>
      <c r="AK50" s="114" t="s">
        <v>165</v>
      </c>
      <c r="AL50" s="114" t="s">
        <v>116</v>
      </c>
      <c r="AM50" s="318"/>
      <c r="AN50" s="318"/>
      <c r="AO50" s="318"/>
      <c r="AP50" s="476"/>
      <c r="AQ50" s="476"/>
      <c r="AR50" s="6" t="s">
        <v>141</v>
      </c>
    </row>
    <row r="51" ht="26.25" customHeight="1">
      <c r="A51" s="114" t="s">
        <v>54</v>
      </c>
      <c r="B51" s="114" t="n">
        <v>2106962231</v>
      </c>
      <c r="C51" s="114" t="s">
        <v>1019</v>
      </c>
      <c r="D51" s="114" t="s">
        <v>48</v>
      </c>
      <c r="E51" s="114" t="s">
        <v>104</v>
      </c>
      <c r="F51" s="114"/>
      <c r="G51" s="114"/>
      <c r="H51" s="114" t="s">
        <v>165</v>
      </c>
      <c r="I51" s="114" t="s">
        <v>101</v>
      </c>
      <c r="J51" s="114" t="n">
        <v>4632447</v>
      </c>
      <c r="K51" s="114" t="s">
        <v>125</v>
      </c>
      <c r="L51" s="114" t="n">
        <v>95</v>
      </c>
      <c r="M51" s="114" t="s">
        <v>116</v>
      </c>
      <c r="N51" s="114" t="s">
        <v>37</v>
      </c>
      <c r="O51" s="114" t="s">
        <v>985</v>
      </c>
      <c r="P51" s="114" t="s">
        <v>215</v>
      </c>
      <c r="Q51" s="114" t="s">
        <v>283</v>
      </c>
      <c r="R51" s="114" t="s">
        <v>101</v>
      </c>
      <c r="S51" s="114" t="s">
        <v>165</v>
      </c>
      <c r="T51" s="114" t="s">
        <v>116</v>
      </c>
      <c r="U51" s="114" t="n">
        <v>5111226</v>
      </c>
      <c r="V51" s="114"/>
      <c r="W51" s="114" t="s">
        <v>47</v>
      </c>
      <c r="X51" s="114" t="s">
        <v>985</v>
      </c>
      <c r="Y51" s="114" t="s">
        <v>233</v>
      </c>
      <c r="Z51" s="114" t="s">
        <v>283</v>
      </c>
      <c r="AA51" s="114" t="s">
        <v>101</v>
      </c>
      <c r="AB51" s="114" t="s">
        <v>165</v>
      </c>
      <c r="AC51" s="114" t="s">
        <v>116</v>
      </c>
      <c r="AD51" s="114" t="n">
        <v>4513388</v>
      </c>
      <c r="AE51" s="114"/>
      <c r="AF51" s="114" t="s">
        <v>56</v>
      </c>
      <c r="AG51" s="114" t="s">
        <v>985</v>
      </c>
      <c r="AH51" s="114" t="s">
        <v>216</v>
      </c>
      <c r="AI51" s="114" t="s">
        <v>283</v>
      </c>
      <c r="AJ51" s="114" t="s">
        <v>101</v>
      </c>
      <c r="AK51" s="114" t="s">
        <v>165</v>
      </c>
      <c r="AL51" s="114" t="s">
        <v>116</v>
      </c>
      <c r="AM51" s="318"/>
      <c r="AN51" s="318"/>
      <c r="AO51" s="318"/>
      <c r="AP51" s="476"/>
      <c r="AQ51" s="476"/>
      <c r="AR51" s="6" t="s">
        <v>141</v>
      </c>
    </row>
    <row r="52" ht="26.25" customHeight="1">
      <c r="A52" s="114" t="s">
        <v>54</v>
      </c>
      <c r="B52" s="114" t="n">
        <v>2608985563</v>
      </c>
      <c r="C52" s="114" t="s">
        <v>1031</v>
      </c>
      <c r="D52" s="114" t="s">
        <v>57</v>
      </c>
      <c r="E52" s="114" t="s">
        <v>104</v>
      </c>
      <c r="F52" s="114"/>
      <c r="G52" s="114"/>
      <c r="H52" s="114" t="s">
        <v>165</v>
      </c>
      <c r="I52" s="114" t="s">
        <v>100</v>
      </c>
      <c r="J52" s="114" t="n">
        <v>5111034</v>
      </c>
      <c r="K52" s="114" t="s">
        <v>126</v>
      </c>
      <c r="L52" s="114" t="n">
        <v>72</v>
      </c>
      <c r="M52" s="114" t="n">
        <v>90</v>
      </c>
      <c r="N52" s="114" t="s">
        <v>37</v>
      </c>
      <c r="O52" s="114" t="s">
        <v>1030</v>
      </c>
      <c r="P52" s="114" t="s">
        <v>216</v>
      </c>
      <c r="Q52" s="114" t="s">
        <v>283</v>
      </c>
      <c r="R52" s="114" t="s">
        <v>100</v>
      </c>
      <c r="S52" s="114" t="s">
        <v>165</v>
      </c>
      <c r="T52" s="114" t="s">
        <v>116</v>
      </c>
      <c r="U52" s="114" t="s">
        <v>116</v>
      </c>
      <c r="V52" s="114"/>
      <c r="W52" s="114" t="s">
        <v>116</v>
      </c>
      <c r="X52" s="114" t="s">
        <v>116</v>
      </c>
      <c r="Y52" s="114" t="s">
        <v>116</v>
      </c>
      <c r="Z52" s="114" t="s">
        <v>116</v>
      </c>
      <c r="AA52" s="114" t="s">
        <v>116</v>
      </c>
      <c r="AB52" s="114" t="s">
        <v>116</v>
      </c>
      <c r="AC52" s="114" t="s">
        <v>116</v>
      </c>
      <c r="AD52" s="114" t="n">
        <v>4513340</v>
      </c>
      <c r="AE52" s="114"/>
      <c r="AF52" s="114" t="s">
        <v>58</v>
      </c>
      <c r="AG52" s="114" t="s">
        <v>1030</v>
      </c>
      <c r="AH52" s="114" t="s">
        <v>233</v>
      </c>
      <c r="AI52" s="114" t="s">
        <v>283</v>
      </c>
      <c r="AJ52" s="114" t="s">
        <v>100</v>
      </c>
      <c r="AK52" s="114" t="s">
        <v>165</v>
      </c>
      <c r="AL52" s="114" t="s">
        <v>116</v>
      </c>
      <c r="AM52" s="318"/>
      <c r="AN52" s="318"/>
      <c r="AO52" s="318"/>
      <c r="AP52" s="476"/>
      <c r="AQ52" s="476"/>
      <c r="AR52" s="6" t="s">
        <v>141</v>
      </c>
    </row>
    <row r="53" ht="26.25" customHeight="1">
      <c r="A53" s="114" t="s">
        <v>54</v>
      </c>
      <c r="B53" s="114" t="n">
        <v>4055863669</v>
      </c>
      <c r="C53" s="114" t="s">
        <v>1032</v>
      </c>
      <c r="D53" s="114" t="s">
        <v>59</v>
      </c>
      <c r="E53" s="114" t="s">
        <v>104</v>
      </c>
      <c r="F53" s="114"/>
      <c r="G53" s="114"/>
      <c r="H53" s="114" t="s">
        <v>165</v>
      </c>
      <c r="I53" s="114" t="s">
        <v>101</v>
      </c>
      <c r="J53" s="114" t="n">
        <v>4632447</v>
      </c>
      <c r="K53" s="114" t="s">
        <v>126</v>
      </c>
      <c r="L53" s="114" t="n">
        <v>64</v>
      </c>
      <c r="M53" s="114" t="n">
        <v>85</v>
      </c>
      <c r="N53" s="114" t="s">
        <v>37</v>
      </c>
      <c r="O53" s="114" t="s">
        <v>985</v>
      </c>
      <c r="P53" s="114" t="s">
        <v>215</v>
      </c>
      <c r="Q53" s="114" t="s">
        <v>283</v>
      </c>
      <c r="R53" s="114" t="s">
        <v>101</v>
      </c>
      <c r="S53" s="114" t="s">
        <v>165</v>
      </c>
      <c r="T53" s="114" t="s">
        <v>116</v>
      </c>
      <c r="U53" s="114" t="n">
        <v>5111226</v>
      </c>
      <c r="V53" s="114"/>
      <c r="W53" s="114" t="s">
        <v>47</v>
      </c>
      <c r="X53" s="114" t="s">
        <v>985</v>
      </c>
      <c r="Y53" s="114" t="s">
        <v>233</v>
      </c>
      <c r="Z53" s="114" t="s">
        <v>283</v>
      </c>
      <c r="AA53" s="114" t="s">
        <v>101</v>
      </c>
      <c r="AB53" s="114" t="s">
        <v>165</v>
      </c>
      <c r="AC53" s="114" t="s">
        <v>116</v>
      </c>
      <c r="AD53" s="114" t="n">
        <v>4513388</v>
      </c>
      <c r="AE53" s="114"/>
      <c r="AF53" s="114" t="s">
        <v>56</v>
      </c>
      <c r="AG53" s="114" t="s">
        <v>985</v>
      </c>
      <c r="AH53" s="114" t="s">
        <v>216</v>
      </c>
      <c r="AI53" s="114" t="s">
        <v>283</v>
      </c>
      <c r="AJ53" s="114" t="s">
        <v>101</v>
      </c>
      <c r="AK53" s="114" t="s">
        <v>165</v>
      </c>
      <c r="AL53" s="114" t="s">
        <v>116</v>
      </c>
      <c r="AM53" s="318"/>
      <c r="AN53" s="318"/>
      <c r="AO53" s="318"/>
      <c r="AP53" s="476"/>
      <c r="AQ53" s="476"/>
      <c r="AR53" s="6" t="s">
        <v>141</v>
      </c>
    </row>
    <row r="54" ht="26.25" customHeight="1">
      <c r="A54" s="114" t="s">
        <v>45</v>
      </c>
      <c r="B54" s="114" t="n">
        <v>2566532002</v>
      </c>
      <c r="C54" s="114" t="s">
        <v>1033</v>
      </c>
      <c r="D54" s="114" t="s">
        <v>59</v>
      </c>
      <c r="E54" s="114" t="s">
        <v>112</v>
      </c>
      <c r="F54" s="114"/>
      <c r="G54" s="114" t="s">
        <v>1003</v>
      </c>
      <c r="H54" s="114" t="s">
        <v>165</v>
      </c>
      <c r="I54" s="114" t="s">
        <v>88</v>
      </c>
      <c r="J54" s="114" t="n">
        <v>5230806</v>
      </c>
      <c r="K54" s="114" t="s">
        <v>126</v>
      </c>
      <c r="L54" s="114" t="n">
        <v>64</v>
      </c>
      <c r="M54" s="114" t="n">
        <v>85</v>
      </c>
      <c r="N54" s="114" t="s">
        <v>37</v>
      </c>
      <c r="O54" s="114" t="s">
        <v>1034</v>
      </c>
      <c r="P54" s="114" t="s">
        <v>215</v>
      </c>
      <c r="Q54" s="114" t="s">
        <v>283</v>
      </c>
      <c r="R54" s="114" t="s">
        <v>88</v>
      </c>
      <c r="S54" s="114" t="s">
        <v>165</v>
      </c>
      <c r="T54" s="114" t="s">
        <v>116</v>
      </c>
      <c r="U54" s="114" t="n">
        <v>5170872</v>
      </c>
      <c r="V54" s="114"/>
      <c r="W54" s="114" t="s">
        <v>49</v>
      </c>
      <c r="X54" s="114" t="s">
        <v>1034</v>
      </c>
      <c r="Y54" s="114" t="s">
        <v>216</v>
      </c>
      <c r="Z54" s="114" t="s">
        <v>283</v>
      </c>
      <c r="AA54" s="114" t="s">
        <v>88</v>
      </c>
      <c r="AB54" s="114" t="s">
        <v>165</v>
      </c>
      <c r="AC54" s="114" t="s">
        <v>116</v>
      </c>
      <c r="AD54" s="114" t="n">
        <v>3132865</v>
      </c>
      <c r="AE54" s="114"/>
      <c r="AF54" s="114" t="s">
        <v>52</v>
      </c>
      <c r="AG54" s="114" t="s">
        <v>1034</v>
      </c>
      <c r="AH54" s="114" t="s">
        <v>233</v>
      </c>
      <c r="AI54" s="114" t="s">
        <v>283</v>
      </c>
      <c r="AJ54" s="114" t="s">
        <v>88</v>
      </c>
      <c r="AK54" s="114" t="s">
        <v>165</v>
      </c>
      <c r="AL54" s="114" t="s">
        <v>116</v>
      </c>
      <c r="AM54" s="318" t="s">
        <v>217</v>
      </c>
      <c r="AN54" s="318" t="s">
        <v>218</v>
      </c>
      <c r="AO54" s="318" t="s">
        <v>218</v>
      </c>
      <c r="AP54" s="476" t="s">
        <v>218</v>
      </c>
      <c r="AQ54" s="476" t="s">
        <v>218</v>
      </c>
      <c r="AR54" s="6" t="s">
        <v>141</v>
      </c>
    </row>
    <row r="55" ht="26.25" customHeight="1">
      <c r="A55" s="318" t="s">
        <v>54</v>
      </c>
      <c r="B55" s="318" t="n">
        <v>4856085159</v>
      </c>
      <c r="C55" s="318" t="s">
        <v>1035</v>
      </c>
      <c r="D55" s="318" t="s">
        <v>59</v>
      </c>
      <c r="E55" s="114" t="s">
        <v>112</v>
      </c>
      <c r="F55" s="318"/>
      <c r="G55" s="318" t="s">
        <v>430</v>
      </c>
      <c r="H55" s="318" t="s">
        <v>165</v>
      </c>
      <c r="I55" s="318" t="s">
        <v>101</v>
      </c>
      <c r="J55" s="318" t="n">
        <v>4632447</v>
      </c>
      <c r="K55" s="318" t="s">
        <v>126</v>
      </c>
      <c r="L55" s="318" t="n">
        <v>60</v>
      </c>
      <c r="M55" s="318" t="n">
        <v>80</v>
      </c>
      <c r="N55" s="114" t="s">
        <v>37</v>
      </c>
      <c r="O55" s="318" t="s">
        <v>985</v>
      </c>
      <c r="P55" s="318" t="s">
        <v>215</v>
      </c>
      <c r="Q55" s="318" t="s">
        <v>283</v>
      </c>
      <c r="R55" s="318" t="s">
        <v>101</v>
      </c>
      <c r="S55" s="318" t="s">
        <v>165</v>
      </c>
      <c r="T55" s="318" t="s">
        <v>116</v>
      </c>
      <c r="U55" s="318" t="n">
        <v>5111226</v>
      </c>
      <c r="V55" s="318"/>
      <c r="W55" s="318" t="s">
        <v>47</v>
      </c>
      <c r="X55" s="318" t="s">
        <v>985</v>
      </c>
      <c r="Y55" s="318" t="s">
        <v>233</v>
      </c>
      <c r="Z55" s="318" t="s">
        <v>283</v>
      </c>
      <c r="AA55" s="318" t="s">
        <v>101</v>
      </c>
      <c r="AB55" s="318" t="s">
        <v>165</v>
      </c>
      <c r="AC55" s="318" t="s">
        <v>116</v>
      </c>
      <c r="AD55" s="318" t="n">
        <v>4513388</v>
      </c>
      <c r="AE55" s="318"/>
      <c r="AF55" s="114" t="s">
        <v>56</v>
      </c>
      <c r="AG55" s="318" t="s">
        <v>985</v>
      </c>
      <c r="AH55" s="318" t="s">
        <v>216</v>
      </c>
      <c r="AI55" s="318" t="s">
        <v>283</v>
      </c>
      <c r="AJ55" s="318" t="s">
        <v>101</v>
      </c>
      <c r="AK55" s="318" t="s">
        <v>165</v>
      </c>
      <c r="AL55" s="318" t="s">
        <v>116</v>
      </c>
      <c r="AM55" s="318"/>
      <c r="AN55" s="318"/>
      <c r="AO55" s="318"/>
      <c r="AP55" s="476"/>
      <c r="AQ55" s="476"/>
      <c r="AR55" s="6" t="s">
        <v>141</v>
      </c>
    </row>
    <row r="56" ht="26.25" customHeight="1">
      <c r="A56" s="318" t="s">
        <v>54</v>
      </c>
      <c r="B56" s="318" t="n">
        <v>2716091722</v>
      </c>
      <c r="C56" s="318" t="s">
        <v>1036</v>
      </c>
      <c r="D56" s="318" t="s">
        <v>57</v>
      </c>
      <c r="E56" s="318" t="s">
        <v>112</v>
      </c>
      <c r="F56" s="318"/>
      <c r="G56" s="318" t="s">
        <v>1037</v>
      </c>
      <c r="H56" s="318" t="s">
        <v>165</v>
      </c>
      <c r="I56" s="318" t="s">
        <v>88</v>
      </c>
      <c r="J56" s="318" t="n">
        <v>3132884</v>
      </c>
      <c r="K56" s="318" t="s">
        <v>126</v>
      </c>
      <c r="L56" s="318" t="n">
        <v>60</v>
      </c>
      <c r="M56" s="318" t="n">
        <v>80</v>
      </c>
      <c r="N56" s="114" t="s">
        <v>37</v>
      </c>
      <c r="O56" s="318" t="s">
        <v>987</v>
      </c>
      <c r="P56" s="318" t="s">
        <v>216</v>
      </c>
      <c r="Q56" s="318" t="s">
        <v>283</v>
      </c>
      <c r="R56" s="318" t="s">
        <v>88</v>
      </c>
      <c r="S56" s="318" t="s">
        <v>165</v>
      </c>
      <c r="T56" s="318" t="s">
        <v>217</v>
      </c>
      <c r="U56" s="318" t="n">
        <v>4513265</v>
      </c>
      <c r="V56" s="318"/>
      <c r="W56" s="318" t="s">
        <v>47</v>
      </c>
      <c r="X56" s="318" t="s">
        <v>987</v>
      </c>
      <c r="Y56" s="318" t="s">
        <v>215</v>
      </c>
      <c r="Z56" s="318" t="s">
        <v>283</v>
      </c>
      <c r="AA56" s="318" t="s">
        <v>88</v>
      </c>
      <c r="AB56" s="318" t="s">
        <v>165</v>
      </c>
      <c r="AC56" s="318" t="s">
        <v>116</v>
      </c>
      <c r="AD56" s="318" t="n">
        <v>5230723</v>
      </c>
      <c r="AE56" s="318"/>
      <c r="AF56" s="114" t="s">
        <v>56</v>
      </c>
      <c r="AG56" s="318" t="s">
        <v>987</v>
      </c>
      <c r="AH56" s="318" t="s">
        <v>233</v>
      </c>
      <c r="AI56" s="318" t="s">
        <v>283</v>
      </c>
      <c r="AJ56" s="318" t="s">
        <v>88</v>
      </c>
      <c r="AK56" s="318" t="s">
        <v>165</v>
      </c>
      <c r="AL56" s="318" t="s">
        <v>217</v>
      </c>
      <c r="AM56" s="318" t="s">
        <v>217</v>
      </c>
      <c r="AN56" s="318" t="s">
        <v>217</v>
      </c>
      <c r="AO56" s="318" t="s">
        <v>218</v>
      </c>
      <c r="AP56" s="476" t="s">
        <v>217</v>
      </c>
      <c r="AQ56" s="476" t="s">
        <v>217</v>
      </c>
      <c r="AR56" s="6" t="s">
        <v>141</v>
      </c>
      <c r="AS56" s="6" t="s">
        <v>217</v>
      </c>
    </row>
    <row r="57" ht="26.25" customHeight="1">
      <c r="A57" s="318" t="s">
        <v>54</v>
      </c>
      <c r="B57" s="318" t="n">
        <v>4638864572</v>
      </c>
      <c r="C57" s="318" t="s">
        <v>1038</v>
      </c>
      <c r="D57" s="318" t="s">
        <v>38</v>
      </c>
      <c r="E57" s="318" t="s">
        <v>112</v>
      </c>
      <c r="F57" s="318"/>
      <c r="G57" s="318" t="s">
        <v>1039</v>
      </c>
      <c r="H57" s="318" t="s">
        <v>165</v>
      </c>
      <c r="I57" s="318" t="s">
        <v>88</v>
      </c>
      <c r="J57" s="318" t="n">
        <v>3132884</v>
      </c>
      <c r="K57" s="318" t="s">
        <v>126</v>
      </c>
      <c r="L57" s="318" t="n">
        <v>72</v>
      </c>
      <c r="M57" s="318" t="n">
        <v>90</v>
      </c>
      <c r="N57" s="318" t="s">
        <v>37</v>
      </c>
      <c r="O57" s="318" t="s">
        <v>987</v>
      </c>
      <c r="P57" s="318" t="s">
        <v>216</v>
      </c>
      <c r="Q57" s="318" t="s">
        <v>283</v>
      </c>
      <c r="R57" s="318" t="s">
        <v>88</v>
      </c>
      <c r="S57" s="318" t="s">
        <v>165</v>
      </c>
      <c r="T57" s="318" t="s">
        <v>116</v>
      </c>
      <c r="U57" s="318" t="n">
        <v>3132859</v>
      </c>
      <c r="V57" s="318"/>
      <c r="W57" s="318" t="s">
        <v>43</v>
      </c>
      <c r="X57" s="318" t="s">
        <v>986</v>
      </c>
      <c r="Y57" s="318" t="s">
        <v>215</v>
      </c>
      <c r="Z57" s="318" t="s">
        <v>283</v>
      </c>
      <c r="AA57" s="318" t="s">
        <v>88</v>
      </c>
      <c r="AB57" s="318" t="s">
        <v>165</v>
      </c>
      <c r="AC57" s="318" t="s">
        <v>116</v>
      </c>
      <c r="AD57" s="318" t="n">
        <v>5230723</v>
      </c>
      <c r="AE57" s="318"/>
      <c r="AF57" s="114" t="s">
        <v>56</v>
      </c>
      <c r="AG57" s="318" t="s">
        <v>987</v>
      </c>
      <c r="AH57" s="318" t="s">
        <v>233</v>
      </c>
      <c r="AI57" s="318" t="s">
        <v>283</v>
      </c>
      <c r="AJ57" s="318" t="s">
        <v>88</v>
      </c>
      <c r="AK57" s="318" t="s">
        <v>165</v>
      </c>
      <c r="AL57" s="318" t="s">
        <v>116</v>
      </c>
      <c r="AM57" s="318" t="s">
        <v>217</v>
      </c>
      <c r="AN57" s="318" t="s">
        <v>217</v>
      </c>
      <c r="AO57" s="318" t="s">
        <v>217</v>
      </c>
      <c r="AP57" s="476" t="s">
        <v>218</v>
      </c>
      <c r="AQ57" s="476" t="s">
        <v>218</v>
      </c>
      <c r="AR57" s="6" t="s">
        <v>141</v>
      </c>
    </row>
    <row r="58" ht="26.25" customHeight="1">
      <c r="A58" s="318" t="s">
        <v>54</v>
      </c>
      <c r="B58" s="318" t="n">
        <v>4854640403</v>
      </c>
      <c r="C58" s="318" t="s">
        <v>1009</v>
      </c>
      <c r="D58" s="318" t="s">
        <v>57</v>
      </c>
      <c r="E58" s="318" t="s">
        <v>104</v>
      </c>
      <c r="F58" s="318"/>
      <c r="G58" s="318"/>
      <c r="H58" s="318" t="s">
        <v>165</v>
      </c>
      <c r="I58" s="318" t="s">
        <v>88</v>
      </c>
      <c r="J58" s="318" t="s">
        <v>116</v>
      </c>
      <c r="K58" s="318"/>
      <c r="L58" s="318"/>
      <c r="M58" s="318"/>
      <c r="N58" s="318" t="s">
        <v>116</v>
      </c>
      <c r="O58" s="318" t="s">
        <v>116</v>
      </c>
      <c r="P58" s="318" t="s">
        <v>116</v>
      </c>
      <c r="Q58" s="318" t="s">
        <v>116</v>
      </c>
      <c r="R58" s="318" t="s">
        <v>116</v>
      </c>
      <c r="S58" s="318" t="s">
        <v>116</v>
      </c>
      <c r="T58" s="318" t="s">
        <v>116</v>
      </c>
      <c r="U58" s="318" t="n">
        <v>3132859</v>
      </c>
      <c r="V58" s="318"/>
      <c r="W58" s="318" t="s">
        <v>43</v>
      </c>
      <c r="X58" s="318" t="s">
        <v>986</v>
      </c>
      <c r="Y58" s="318" t="s">
        <v>215</v>
      </c>
      <c r="Z58" s="318" t="s">
        <v>283</v>
      </c>
      <c r="AA58" s="318" t="s">
        <v>88</v>
      </c>
      <c r="AB58" s="318" t="s">
        <v>165</v>
      </c>
      <c r="AC58" s="318" t="s">
        <v>116</v>
      </c>
      <c r="AD58" s="318" t="n">
        <v>5230727</v>
      </c>
      <c r="AE58" s="318"/>
      <c r="AF58" s="318" t="s">
        <v>56</v>
      </c>
      <c r="AG58" s="318" t="s">
        <v>986</v>
      </c>
      <c r="AH58" s="318" t="s">
        <v>216</v>
      </c>
      <c r="AI58" s="318" t="s">
        <v>283</v>
      </c>
      <c r="AJ58" s="318" t="s">
        <v>88</v>
      </c>
      <c r="AK58" s="318" t="s">
        <v>165</v>
      </c>
      <c r="AL58" s="318" t="s">
        <v>116</v>
      </c>
      <c r="AM58" s="318" t="s">
        <v>217</v>
      </c>
      <c r="AN58" s="318" t="s">
        <v>217</v>
      </c>
      <c r="AO58" s="318" t="s">
        <v>217</v>
      </c>
      <c r="AP58" s="476" t="s">
        <v>217</v>
      </c>
      <c r="AQ58" s="476" t="s">
        <v>218</v>
      </c>
      <c r="AR58" s="6" t="s">
        <v>141</v>
      </c>
    </row>
    <row r="59" ht="26.25" customHeight="1">
      <c r="A59" s="318" t="s">
        <v>54</v>
      </c>
      <c r="B59" s="318" t="n">
        <v>4226652053</v>
      </c>
      <c r="C59" s="318" t="s">
        <v>1040</v>
      </c>
      <c r="D59" s="318" t="s">
        <v>57</v>
      </c>
      <c r="E59" s="318" t="s">
        <v>112</v>
      </c>
      <c r="F59" s="318"/>
      <c r="G59" s="318" t="s">
        <v>1009</v>
      </c>
      <c r="H59" s="318" t="s">
        <v>165</v>
      </c>
      <c r="I59" s="318" t="s">
        <v>101</v>
      </c>
      <c r="J59" s="318" t="n">
        <v>4632447</v>
      </c>
      <c r="K59" s="318" t="s">
        <v>125</v>
      </c>
      <c r="L59" s="318" t="n">
        <v>71</v>
      </c>
      <c r="M59" s="318" t="s">
        <v>116</v>
      </c>
      <c r="N59" s="114" t="s">
        <v>37</v>
      </c>
      <c r="O59" s="318" t="s">
        <v>985</v>
      </c>
      <c r="P59" s="318" t="s">
        <v>215</v>
      </c>
      <c r="Q59" s="318" t="s">
        <v>283</v>
      </c>
      <c r="R59" s="318" t="s">
        <v>101</v>
      </c>
      <c r="S59" s="318" t="s">
        <v>165</v>
      </c>
      <c r="T59" s="318" t="s">
        <v>116</v>
      </c>
      <c r="U59" s="318" t="n">
        <v>5111226</v>
      </c>
      <c r="V59" s="318"/>
      <c r="W59" s="318" t="s">
        <v>47</v>
      </c>
      <c r="X59" s="318" t="s">
        <v>985</v>
      </c>
      <c r="Y59" s="318" t="s">
        <v>233</v>
      </c>
      <c r="Z59" s="318" t="s">
        <v>283</v>
      </c>
      <c r="AA59" s="318" t="s">
        <v>101</v>
      </c>
      <c r="AB59" s="318" t="s">
        <v>165</v>
      </c>
      <c r="AC59" s="318" t="s">
        <v>116</v>
      </c>
      <c r="AD59" s="318" t="n">
        <v>4513388</v>
      </c>
      <c r="AE59" s="318"/>
      <c r="AF59" s="114" t="s">
        <v>56</v>
      </c>
      <c r="AG59" s="318" t="s">
        <v>985</v>
      </c>
      <c r="AH59" s="318" t="s">
        <v>216</v>
      </c>
      <c r="AI59" s="318" t="s">
        <v>283</v>
      </c>
      <c r="AJ59" s="318" t="s">
        <v>101</v>
      </c>
      <c r="AK59" s="318" t="s">
        <v>165</v>
      </c>
      <c r="AL59" s="318" t="s">
        <v>116</v>
      </c>
      <c r="AM59" s="318"/>
      <c r="AN59" s="318"/>
      <c r="AO59" s="318"/>
      <c r="AP59" s="476"/>
      <c r="AQ59" s="476"/>
      <c r="AR59" s="6" t="s">
        <v>141</v>
      </c>
    </row>
    <row r="60" ht="26.25" customHeight="1">
      <c r="A60" s="318" t="s">
        <v>54</v>
      </c>
      <c r="B60" s="318" t="n">
        <v>2519148407</v>
      </c>
      <c r="C60" s="318" t="s">
        <v>332</v>
      </c>
      <c r="D60" s="318" t="s">
        <v>50</v>
      </c>
      <c r="E60" s="318" t="s">
        <v>104</v>
      </c>
      <c r="F60" s="318"/>
      <c r="G60" s="318"/>
      <c r="H60" s="318" t="s">
        <v>165</v>
      </c>
      <c r="I60" s="318" t="s">
        <v>101</v>
      </c>
      <c r="J60" s="318" t="n">
        <v>4632447</v>
      </c>
      <c r="K60" s="318" t="s">
        <v>126</v>
      </c>
      <c r="L60" s="318" t="n">
        <v>72</v>
      </c>
      <c r="M60" s="318" t="n">
        <v>90</v>
      </c>
      <c r="N60" s="318" t="s">
        <v>37</v>
      </c>
      <c r="O60" s="318" t="s">
        <v>985</v>
      </c>
      <c r="P60" s="318" t="s">
        <v>215</v>
      </c>
      <c r="Q60" s="318" t="s">
        <v>283</v>
      </c>
      <c r="R60" s="318" t="s">
        <v>101</v>
      </c>
      <c r="S60" s="318" t="s">
        <v>165</v>
      </c>
      <c r="T60" s="318" t="s">
        <v>116</v>
      </c>
      <c r="U60" s="318" t="n">
        <v>5230747</v>
      </c>
      <c r="V60" s="318"/>
      <c r="W60" s="318" t="s">
        <v>49</v>
      </c>
      <c r="X60" s="318" t="s">
        <v>987</v>
      </c>
      <c r="Y60" s="318" t="s">
        <v>215</v>
      </c>
      <c r="Z60" s="318" t="s">
        <v>283</v>
      </c>
      <c r="AA60" s="318" t="s">
        <v>101</v>
      </c>
      <c r="AB60" s="318" t="s">
        <v>165</v>
      </c>
      <c r="AC60" s="318" t="s">
        <v>116</v>
      </c>
      <c r="AD60" s="318" t="n">
        <v>5170871</v>
      </c>
      <c r="AE60" s="318"/>
      <c r="AF60" s="114" t="s">
        <v>58</v>
      </c>
      <c r="AG60" s="318" t="s">
        <v>986</v>
      </c>
      <c r="AH60" s="318" t="s">
        <v>215</v>
      </c>
      <c r="AI60" s="318" t="s">
        <v>283</v>
      </c>
      <c r="AJ60" s="318" t="s">
        <v>101</v>
      </c>
      <c r="AK60" s="318" t="s">
        <v>165</v>
      </c>
      <c r="AL60" s="318" t="s">
        <v>116</v>
      </c>
      <c r="AM60" s="318"/>
      <c r="AN60" s="318"/>
      <c r="AO60" s="318"/>
      <c r="AP60" s="476"/>
      <c r="AQ60" s="476"/>
      <c r="AR60" s="6" t="s">
        <v>141</v>
      </c>
    </row>
    <row r="61" ht="26.25" customHeight="1">
      <c r="A61" s="318" t="s">
        <v>85</v>
      </c>
      <c r="B61" s="318" t="n">
        <v>4859583036</v>
      </c>
      <c r="C61" s="318" t="s">
        <v>1041</v>
      </c>
      <c r="D61" s="318" t="s">
        <v>38</v>
      </c>
      <c r="E61" s="318" t="s">
        <v>104</v>
      </c>
      <c r="F61" s="318"/>
      <c r="G61" s="318"/>
      <c r="H61" s="318" t="s">
        <v>165</v>
      </c>
      <c r="I61" s="318" t="s">
        <v>101</v>
      </c>
      <c r="J61" s="318" t="n">
        <v>5230801</v>
      </c>
      <c r="K61" s="318" t="s">
        <v>126</v>
      </c>
      <c r="L61" s="318" t="n">
        <v>72</v>
      </c>
      <c r="M61" s="318" t="n">
        <v>90</v>
      </c>
      <c r="N61" s="114" t="s">
        <v>39</v>
      </c>
      <c r="O61" s="318" t="s">
        <v>991</v>
      </c>
      <c r="P61" s="318" t="s">
        <v>216</v>
      </c>
      <c r="Q61" s="318" t="s">
        <v>283</v>
      </c>
      <c r="R61" s="318" t="s">
        <v>101</v>
      </c>
      <c r="S61" s="318" t="s">
        <v>165</v>
      </c>
      <c r="T61" s="318" t="s">
        <v>116</v>
      </c>
      <c r="U61" s="318" t="n">
        <v>5230739</v>
      </c>
      <c r="V61" s="318"/>
      <c r="W61" s="318" t="s">
        <v>47</v>
      </c>
      <c r="X61" s="318" t="s">
        <v>991</v>
      </c>
      <c r="Y61" s="318" t="s">
        <v>215</v>
      </c>
      <c r="Z61" s="318" t="s">
        <v>283</v>
      </c>
      <c r="AA61" s="318" t="s">
        <v>101</v>
      </c>
      <c r="AB61" s="318" t="s">
        <v>165</v>
      </c>
      <c r="AC61" s="318" t="s">
        <v>116</v>
      </c>
      <c r="AD61" s="318" t="n">
        <v>5230788</v>
      </c>
      <c r="AE61" s="318"/>
      <c r="AF61" s="114" t="s">
        <v>52</v>
      </c>
      <c r="AG61" s="318" t="s">
        <v>991</v>
      </c>
      <c r="AH61" s="318" t="s">
        <v>233</v>
      </c>
      <c r="AI61" s="318" t="s">
        <v>283</v>
      </c>
      <c r="AJ61" s="318" t="s">
        <v>101</v>
      </c>
      <c r="AK61" s="318" t="s">
        <v>165</v>
      </c>
      <c r="AL61" s="318" t="s">
        <v>116</v>
      </c>
      <c r="AM61" s="318"/>
      <c r="AN61" s="318"/>
      <c r="AO61" s="318"/>
      <c r="AP61" s="476"/>
      <c r="AQ61" s="476"/>
      <c r="AR61" s="6" t="s">
        <v>141</v>
      </c>
    </row>
    <row r="62" ht="26.25" customHeight="1">
      <c r="A62" s="318" t="s">
        <v>45</v>
      </c>
      <c r="B62" s="318" t="n">
        <v>4848923450</v>
      </c>
      <c r="C62" s="318" t="s">
        <v>1042</v>
      </c>
      <c r="D62" s="318" t="s">
        <v>36</v>
      </c>
      <c r="E62" s="318" t="s">
        <v>112</v>
      </c>
      <c r="F62" s="318"/>
      <c r="G62" s="318" t="s">
        <v>1007</v>
      </c>
      <c r="H62" s="318" t="s">
        <v>165</v>
      </c>
      <c r="I62" s="318" t="s">
        <v>88</v>
      </c>
      <c r="J62" s="318" t="n">
        <v>3132897</v>
      </c>
      <c r="K62" s="318" t="s">
        <v>125</v>
      </c>
      <c r="L62" s="318" t="n">
        <v>75</v>
      </c>
      <c r="M62" s="318" t="s">
        <v>116</v>
      </c>
      <c r="N62" s="318" t="s">
        <v>31</v>
      </c>
      <c r="O62" s="318" t="s">
        <v>989</v>
      </c>
      <c r="P62" s="318" t="s">
        <v>215</v>
      </c>
      <c r="Q62" s="318" t="s">
        <v>283</v>
      </c>
      <c r="R62" s="318" t="s">
        <v>88</v>
      </c>
      <c r="S62" s="318" t="s">
        <v>165</v>
      </c>
      <c r="T62" s="318" t="s">
        <v>116</v>
      </c>
      <c r="U62" s="318" t="n">
        <v>5230722</v>
      </c>
      <c r="V62" s="318"/>
      <c r="W62" s="318" t="s">
        <v>47</v>
      </c>
      <c r="X62" s="318" t="s">
        <v>989</v>
      </c>
      <c r="Y62" s="318" t="s">
        <v>233</v>
      </c>
      <c r="Z62" s="318" t="s">
        <v>283</v>
      </c>
      <c r="AA62" s="318" t="s">
        <v>88</v>
      </c>
      <c r="AB62" s="318" t="s">
        <v>165</v>
      </c>
      <c r="AC62" s="318" t="s">
        <v>116</v>
      </c>
      <c r="AD62" s="318" t="n">
        <v>5230737</v>
      </c>
      <c r="AE62" s="318"/>
      <c r="AF62" s="318" t="s">
        <v>58</v>
      </c>
      <c r="AG62" s="318" t="s">
        <v>989</v>
      </c>
      <c r="AH62" s="318" t="s">
        <v>216</v>
      </c>
      <c r="AI62" s="318" t="s">
        <v>283</v>
      </c>
      <c r="AJ62" s="318" t="s">
        <v>88</v>
      </c>
      <c r="AK62" s="318" t="s">
        <v>165</v>
      </c>
      <c r="AL62" s="318" t="s">
        <v>116</v>
      </c>
      <c r="AM62" s="318" t="s">
        <v>217</v>
      </c>
      <c r="AN62" s="318" t="s">
        <v>217</v>
      </c>
      <c r="AO62" s="318" t="s">
        <v>217</v>
      </c>
      <c r="AP62" s="476" t="s">
        <v>218</v>
      </c>
      <c r="AQ62" s="476" t="s">
        <v>218</v>
      </c>
      <c r="AR62" s="6" t="s">
        <v>141</v>
      </c>
    </row>
    <row r="63" ht="26.25" customHeight="1">
      <c r="A63" s="318" t="s">
        <v>54</v>
      </c>
      <c r="B63" s="318" t="n">
        <v>4606760815</v>
      </c>
      <c r="C63" s="318" t="s">
        <v>1043</v>
      </c>
      <c r="D63" s="318" t="s">
        <v>59</v>
      </c>
      <c r="E63" s="114" t="s">
        <v>112</v>
      </c>
      <c r="F63" s="318"/>
      <c r="G63" s="318" t="s">
        <v>1044</v>
      </c>
      <c r="H63" s="318" t="s">
        <v>165</v>
      </c>
      <c r="I63" s="318" t="s">
        <v>100</v>
      </c>
      <c r="J63" s="318" t="n">
        <v>4513341</v>
      </c>
      <c r="K63" s="318" t="s">
        <v>126</v>
      </c>
      <c r="L63" s="318" t="n">
        <v>86</v>
      </c>
      <c r="M63" s="318" t="n">
        <v>95</v>
      </c>
      <c r="N63" s="114" t="s">
        <v>31</v>
      </c>
      <c r="O63" s="318" t="s">
        <v>987</v>
      </c>
      <c r="P63" s="318" t="s">
        <v>233</v>
      </c>
      <c r="Q63" s="318" t="s">
        <v>234</v>
      </c>
      <c r="R63" s="318" t="s">
        <v>100</v>
      </c>
      <c r="S63" s="318" t="s">
        <v>165</v>
      </c>
      <c r="T63" s="318" t="s">
        <v>116</v>
      </c>
      <c r="U63" s="318" t="n">
        <v>3132846</v>
      </c>
      <c r="V63" s="318"/>
      <c r="W63" s="318" t="s">
        <v>43</v>
      </c>
      <c r="X63" s="114" t="s">
        <v>987</v>
      </c>
      <c r="Y63" s="114" t="s">
        <v>216</v>
      </c>
      <c r="Z63" s="318" t="s">
        <v>283</v>
      </c>
      <c r="AA63" s="318" t="s">
        <v>100</v>
      </c>
      <c r="AB63" s="318" t="s">
        <v>165</v>
      </c>
      <c r="AC63" s="318" t="s">
        <v>116</v>
      </c>
      <c r="AD63" s="318" t="n">
        <v>5230738</v>
      </c>
      <c r="AE63" s="318"/>
      <c r="AF63" s="114" t="s">
        <v>58</v>
      </c>
      <c r="AG63" s="318" t="s">
        <v>987</v>
      </c>
      <c r="AH63" s="114" t="s">
        <v>215</v>
      </c>
      <c r="AI63" s="318" t="s">
        <v>283</v>
      </c>
      <c r="AJ63" s="318" t="s">
        <v>100</v>
      </c>
      <c r="AK63" s="318" t="s">
        <v>165</v>
      </c>
      <c r="AL63" s="318" t="s">
        <v>116</v>
      </c>
      <c r="AM63" s="318"/>
      <c r="AN63" s="318"/>
      <c r="AO63" s="318"/>
      <c r="AP63" s="476"/>
      <c r="AQ63" s="476"/>
      <c r="AR63" s="6" t="s">
        <v>141</v>
      </c>
    </row>
    <row r="64" ht="26.25" customHeight="1">
      <c r="A64" s="318" t="s">
        <v>54</v>
      </c>
      <c r="B64" s="318" t="n">
        <v>2748036591</v>
      </c>
      <c r="C64" s="318" t="s">
        <v>1045</v>
      </c>
      <c r="D64" s="318" t="s">
        <v>57</v>
      </c>
      <c r="E64" s="318" t="s">
        <v>104</v>
      </c>
      <c r="F64" s="318"/>
      <c r="G64" s="318"/>
      <c r="H64" s="318" t="s">
        <v>165</v>
      </c>
      <c r="I64" s="318" t="s">
        <v>100</v>
      </c>
      <c r="J64" s="318" t="n">
        <v>4513341</v>
      </c>
      <c r="K64" s="318" t="s">
        <v>126</v>
      </c>
      <c r="L64" s="318" t="n">
        <v>90</v>
      </c>
      <c r="M64" s="318" t="n">
        <v>100</v>
      </c>
      <c r="N64" s="318" t="s">
        <v>31</v>
      </c>
      <c r="O64" s="318" t="s">
        <v>987</v>
      </c>
      <c r="P64" s="318" t="s">
        <v>233</v>
      </c>
      <c r="Q64" s="318" t="s">
        <v>234</v>
      </c>
      <c r="R64" s="318" t="s">
        <v>100</v>
      </c>
      <c r="S64" s="318" t="s">
        <v>165</v>
      </c>
      <c r="T64" s="318" t="s">
        <v>116</v>
      </c>
      <c r="U64" s="318" t="n">
        <v>3132846</v>
      </c>
      <c r="V64" s="318"/>
      <c r="W64" s="318" t="s">
        <v>43</v>
      </c>
      <c r="X64" s="318" t="s">
        <v>987</v>
      </c>
      <c r="Y64" s="318" t="s">
        <v>216</v>
      </c>
      <c r="Z64" s="318" t="s">
        <v>283</v>
      </c>
      <c r="AA64" s="318" t="s">
        <v>100</v>
      </c>
      <c r="AB64" s="318" t="s">
        <v>165</v>
      </c>
      <c r="AC64" s="318" t="s">
        <v>116</v>
      </c>
      <c r="AD64" s="318" t="n">
        <v>5230738</v>
      </c>
      <c r="AE64" s="318"/>
      <c r="AF64" s="318" t="s">
        <v>58</v>
      </c>
      <c r="AG64" s="318" t="s">
        <v>987</v>
      </c>
      <c r="AH64" s="318" t="s">
        <v>215</v>
      </c>
      <c r="AI64" s="318" t="s">
        <v>283</v>
      </c>
      <c r="AJ64" s="318" t="s">
        <v>100</v>
      </c>
      <c r="AK64" s="318" t="s">
        <v>165</v>
      </c>
      <c r="AL64" s="318" t="s">
        <v>116</v>
      </c>
      <c r="AM64" s="318"/>
      <c r="AN64" s="318"/>
      <c r="AO64" s="318"/>
      <c r="AP64" s="476"/>
      <c r="AQ64" s="476"/>
      <c r="AR64" s="6" t="s">
        <v>141</v>
      </c>
    </row>
    <row r="65" ht="26.25" customHeight="1">
      <c r="A65" s="318" t="s">
        <v>54</v>
      </c>
      <c r="B65" s="318" t="n">
        <v>4836060237</v>
      </c>
      <c r="C65" s="318" t="s">
        <v>967</v>
      </c>
      <c r="D65" s="318" t="s">
        <v>59</v>
      </c>
      <c r="E65" s="318" t="s">
        <v>104</v>
      </c>
      <c r="F65" s="318"/>
      <c r="G65" s="318"/>
      <c r="H65" s="318" t="s">
        <v>165</v>
      </c>
      <c r="I65" s="318" t="s">
        <v>101</v>
      </c>
      <c r="J65" s="318" t="n">
        <v>5111035</v>
      </c>
      <c r="K65" s="318" t="s">
        <v>126</v>
      </c>
      <c r="L65" s="318" t="n">
        <v>72</v>
      </c>
      <c r="M65" s="318" t="n">
        <v>90</v>
      </c>
      <c r="N65" s="318" t="s">
        <v>35</v>
      </c>
      <c r="O65" s="318" t="s">
        <v>986</v>
      </c>
      <c r="P65" s="318" t="s">
        <v>233</v>
      </c>
      <c r="Q65" s="318" t="s">
        <v>234</v>
      </c>
      <c r="R65" s="318" t="s">
        <v>101</v>
      </c>
      <c r="S65" s="318" t="s">
        <v>165</v>
      </c>
      <c r="T65" s="318" t="s">
        <v>116</v>
      </c>
      <c r="U65" s="318" t="n">
        <v>5230747</v>
      </c>
      <c r="V65" s="318"/>
      <c r="W65" s="318" t="s">
        <v>49</v>
      </c>
      <c r="X65" s="318" t="s">
        <v>987</v>
      </c>
      <c r="Y65" s="318" t="s">
        <v>215</v>
      </c>
      <c r="Z65" s="318" t="s">
        <v>283</v>
      </c>
      <c r="AA65" s="318" t="s">
        <v>101</v>
      </c>
      <c r="AB65" s="318" t="s">
        <v>165</v>
      </c>
      <c r="AC65" s="318" t="s">
        <v>116</v>
      </c>
      <c r="AD65" s="318" t="n">
        <v>4513388</v>
      </c>
      <c r="AE65" s="318"/>
      <c r="AF65" s="318" t="s">
        <v>56</v>
      </c>
      <c r="AG65" s="318" t="s">
        <v>985</v>
      </c>
      <c r="AH65" s="318" t="s">
        <v>216</v>
      </c>
      <c r="AI65" s="318" t="s">
        <v>283</v>
      </c>
      <c r="AJ65" s="318" t="s">
        <v>101</v>
      </c>
      <c r="AK65" s="318" t="s">
        <v>165</v>
      </c>
      <c r="AL65" s="318" t="s">
        <v>116</v>
      </c>
      <c r="AM65" s="318"/>
      <c r="AN65" s="318"/>
      <c r="AO65" s="318"/>
      <c r="AP65" s="476"/>
      <c r="AQ65" s="476"/>
      <c r="AR65" s="6" t="s">
        <v>141</v>
      </c>
    </row>
    <row r="66" ht="26.25" customHeight="1">
      <c r="A66" s="318" t="s">
        <v>54</v>
      </c>
      <c r="B66" s="318" t="n">
        <v>4849738179</v>
      </c>
      <c r="C66" s="318" t="s">
        <v>1046</v>
      </c>
      <c r="D66" s="318" t="s">
        <v>59</v>
      </c>
      <c r="E66" s="318" t="s">
        <v>112</v>
      </c>
      <c r="F66" s="318"/>
      <c r="G66" s="318" t="s">
        <v>1047</v>
      </c>
      <c r="H66" s="318" t="s">
        <v>165</v>
      </c>
      <c r="I66" s="318" t="s">
        <v>100</v>
      </c>
      <c r="J66" s="318" t="n">
        <v>4513341</v>
      </c>
      <c r="K66" s="318" t="s">
        <v>125</v>
      </c>
      <c r="L66" s="318" t="n">
        <v>95</v>
      </c>
      <c r="M66" s="318" t="s">
        <v>116</v>
      </c>
      <c r="N66" s="318" t="s">
        <v>31</v>
      </c>
      <c r="O66" s="318" t="s">
        <v>987</v>
      </c>
      <c r="P66" s="318" t="s">
        <v>233</v>
      </c>
      <c r="Q66" s="318" t="s">
        <v>234</v>
      </c>
      <c r="R66" s="318" t="s">
        <v>100</v>
      </c>
      <c r="S66" s="318" t="s">
        <v>165</v>
      </c>
      <c r="T66" s="318" t="s">
        <v>116</v>
      </c>
      <c r="U66" s="318" t="s">
        <v>116</v>
      </c>
      <c r="V66" s="318"/>
      <c r="W66" s="318" t="s">
        <v>116</v>
      </c>
      <c r="X66" s="318" t="s">
        <v>116</v>
      </c>
      <c r="Y66" s="318" t="s">
        <v>116</v>
      </c>
      <c r="Z66" s="318" t="s">
        <v>116</v>
      </c>
      <c r="AA66" s="318" t="s">
        <v>116</v>
      </c>
      <c r="AB66" s="318" t="s">
        <v>116</v>
      </c>
      <c r="AC66" s="318" t="s">
        <v>116</v>
      </c>
      <c r="AD66" s="318" t="s">
        <v>116</v>
      </c>
      <c r="AE66" s="318"/>
      <c r="AF66" s="114" t="s">
        <v>116</v>
      </c>
      <c r="AG66" s="318" t="s">
        <v>116</v>
      </c>
      <c r="AH66" s="318" t="s">
        <v>116</v>
      </c>
      <c r="AI66" s="318" t="s">
        <v>116</v>
      </c>
      <c r="AJ66" s="318" t="s">
        <v>116</v>
      </c>
      <c r="AK66" s="318" t="s">
        <v>116</v>
      </c>
      <c r="AL66" s="318" t="s">
        <v>116</v>
      </c>
      <c r="AM66" s="318"/>
      <c r="AN66" s="318"/>
      <c r="AO66" s="318"/>
      <c r="AP66" s="476"/>
      <c r="AQ66" s="476"/>
      <c r="AR66" s="6" t="s">
        <v>141</v>
      </c>
    </row>
    <row r="67" ht="26.25" customHeight="1">
      <c r="A67" s="318" t="s">
        <v>54</v>
      </c>
      <c r="B67" s="318" t="n">
        <v>4156594850</v>
      </c>
      <c r="C67" s="318" t="s">
        <v>340</v>
      </c>
      <c r="D67" s="318" t="s">
        <v>57</v>
      </c>
      <c r="E67" s="114" t="s">
        <v>104</v>
      </c>
      <c r="F67" s="318"/>
      <c r="G67" s="318"/>
      <c r="H67" s="318" t="s">
        <v>165</v>
      </c>
      <c r="I67" s="318" t="s">
        <v>65</v>
      </c>
      <c r="J67" s="318" t="n">
        <v>5230742</v>
      </c>
      <c r="K67" s="318" t="s">
        <v>126</v>
      </c>
      <c r="L67" s="318" t="n">
        <v>60</v>
      </c>
      <c r="M67" s="318" t="n">
        <v>80</v>
      </c>
      <c r="N67" s="114" t="s">
        <v>35</v>
      </c>
      <c r="O67" s="318" t="s">
        <v>986</v>
      </c>
      <c r="P67" s="318" t="s">
        <v>216</v>
      </c>
      <c r="Q67" s="318" t="s">
        <v>283</v>
      </c>
      <c r="R67" s="318" t="s">
        <v>65</v>
      </c>
      <c r="S67" s="318" t="s">
        <v>165</v>
      </c>
      <c r="T67" s="318" t="s">
        <v>116</v>
      </c>
      <c r="U67" s="318" t="n">
        <v>5230773</v>
      </c>
      <c r="V67" s="318"/>
      <c r="W67" s="318" t="s">
        <v>49</v>
      </c>
      <c r="X67" s="114" t="s">
        <v>986</v>
      </c>
      <c r="Y67" s="114" t="s">
        <v>233</v>
      </c>
      <c r="Z67" s="318" t="s">
        <v>283</v>
      </c>
      <c r="AA67" s="318" t="s">
        <v>65</v>
      </c>
      <c r="AB67" s="318" t="s">
        <v>165</v>
      </c>
      <c r="AC67" s="318" t="s">
        <v>116</v>
      </c>
      <c r="AD67" s="318" t="n">
        <v>3132888</v>
      </c>
      <c r="AE67" s="318"/>
      <c r="AF67" s="114" t="s">
        <v>56</v>
      </c>
      <c r="AG67" s="318" t="s">
        <v>986</v>
      </c>
      <c r="AH67" s="114" t="s">
        <v>215</v>
      </c>
      <c r="AI67" s="318" t="s">
        <v>283</v>
      </c>
      <c r="AJ67" s="318" t="s">
        <v>65</v>
      </c>
      <c r="AK67" s="318" t="s">
        <v>165</v>
      </c>
      <c r="AL67" s="318" t="s">
        <v>116</v>
      </c>
      <c r="AM67" s="318"/>
      <c r="AN67" s="318"/>
      <c r="AO67" s="318"/>
      <c r="AP67" s="476"/>
      <c r="AQ67" s="476"/>
      <c r="AR67" s="6" t="s">
        <v>141</v>
      </c>
    </row>
    <row r="68" ht="26.25" customHeight="1">
      <c r="A68" s="318" t="s">
        <v>54</v>
      </c>
      <c r="B68" s="318" t="n">
        <v>4459633645</v>
      </c>
      <c r="C68" s="318" t="s">
        <v>1048</v>
      </c>
      <c r="D68" s="318" t="s">
        <v>48</v>
      </c>
      <c r="E68" s="114" t="s">
        <v>112</v>
      </c>
      <c r="F68" s="318"/>
      <c r="G68" s="318" t="s">
        <v>1049</v>
      </c>
      <c r="H68" s="318" t="s">
        <v>165</v>
      </c>
      <c r="I68" s="318" t="s">
        <v>88</v>
      </c>
      <c r="J68" s="318" t="n">
        <v>3132884</v>
      </c>
      <c r="K68" s="318" t="s">
        <v>126</v>
      </c>
      <c r="L68" s="318" t="n">
        <v>72</v>
      </c>
      <c r="M68" s="318" t="n">
        <v>90</v>
      </c>
      <c r="N68" s="318" t="s">
        <v>37</v>
      </c>
      <c r="O68" s="318" t="s">
        <v>987</v>
      </c>
      <c r="P68" s="318" t="s">
        <v>216</v>
      </c>
      <c r="Q68" s="318" t="s">
        <v>283</v>
      </c>
      <c r="R68" s="318" t="s">
        <v>88</v>
      </c>
      <c r="S68" s="318" t="s">
        <v>165</v>
      </c>
      <c r="T68" s="318" t="s">
        <v>116</v>
      </c>
      <c r="U68" s="318" t="n">
        <v>3132859</v>
      </c>
      <c r="V68" s="318"/>
      <c r="W68" s="318" t="s">
        <v>43</v>
      </c>
      <c r="X68" s="318" t="s">
        <v>986</v>
      </c>
      <c r="Y68" s="318" t="s">
        <v>215</v>
      </c>
      <c r="Z68" s="318" t="s">
        <v>283</v>
      </c>
      <c r="AA68" s="318" t="s">
        <v>88</v>
      </c>
      <c r="AB68" s="318" t="s">
        <v>165</v>
      </c>
      <c r="AC68" s="318" t="s">
        <v>116</v>
      </c>
      <c r="AD68" s="318" t="n">
        <v>5230723</v>
      </c>
      <c r="AE68" s="318"/>
      <c r="AF68" s="114" t="s">
        <v>56</v>
      </c>
      <c r="AG68" s="318" t="s">
        <v>987</v>
      </c>
      <c r="AH68" s="318" t="s">
        <v>233</v>
      </c>
      <c r="AI68" s="318" t="s">
        <v>283</v>
      </c>
      <c r="AJ68" s="318" t="s">
        <v>88</v>
      </c>
      <c r="AK68" s="318" t="s">
        <v>165</v>
      </c>
      <c r="AL68" s="318" t="s">
        <v>116</v>
      </c>
      <c r="AM68" s="318" t="s">
        <v>217</v>
      </c>
      <c r="AN68" s="318" t="s">
        <v>217</v>
      </c>
      <c r="AO68" s="318" t="s">
        <v>217</v>
      </c>
      <c r="AP68" s="476" t="s">
        <v>217</v>
      </c>
      <c r="AQ68" s="476" t="s">
        <v>218</v>
      </c>
      <c r="AR68" s="6" t="s">
        <v>141</v>
      </c>
    </row>
    <row r="69" ht="26.25" customHeight="1">
      <c r="A69" s="318" t="s">
        <v>54</v>
      </c>
      <c r="B69" s="318" t="n">
        <v>2558522118</v>
      </c>
      <c r="C69" s="318" t="s">
        <v>1050</v>
      </c>
      <c r="D69" s="318" t="s">
        <v>55</v>
      </c>
      <c r="E69" s="114" t="s">
        <v>104</v>
      </c>
      <c r="F69" s="318"/>
      <c r="G69" s="318"/>
      <c r="H69" s="318" t="s">
        <v>165</v>
      </c>
      <c r="I69" s="318" t="s">
        <v>100</v>
      </c>
      <c r="J69" s="318" t="n">
        <v>5111034</v>
      </c>
      <c r="K69" s="318" t="s">
        <v>126</v>
      </c>
      <c r="L69" s="318" t="n">
        <v>60</v>
      </c>
      <c r="M69" s="318" t="n">
        <v>80</v>
      </c>
      <c r="N69" s="114" t="s">
        <v>37</v>
      </c>
      <c r="O69" s="318" t="s">
        <v>1030</v>
      </c>
      <c r="P69" s="318" t="s">
        <v>216</v>
      </c>
      <c r="Q69" s="318" t="s">
        <v>283</v>
      </c>
      <c r="R69" s="318" t="s">
        <v>100</v>
      </c>
      <c r="S69" s="318" t="s">
        <v>165</v>
      </c>
      <c r="T69" s="318" t="s">
        <v>116</v>
      </c>
      <c r="U69" s="318" t="n">
        <v>4513342</v>
      </c>
      <c r="V69" s="318"/>
      <c r="W69" s="318" t="s">
        <v>43</v>
      </c>
      <c r="X69" s="318" t="s">
        <v>1030</v>
      </c>
      <c r="Y69" s="318" t="s">
        <v>215</v>
      </c>
      <c r="Z69" s="318" t="s">
        <v>283</v>
      </c>
      <c r="AA69" s="318" t="s">
        <v>100</v>
      </c>
      <c r="AB69" s="318" t="s">
        <v>165</v>
      </c>
      <c r="AC69" s="318" t="s">
        <v>116</v>
      </c>
      <c r="AD69" s="318" t="n">
        <v>4513340</v>
      </c>
      <c r="AE69" s="318"/>
      <c r="AF69" s="114" t="s">
        <v>58</v>
      </c>
      <c r="AG69" s="318" t="s">
        <v>1030</v>
      </c>
      <c r="AH69" s="318" t="s">
        <v>233</v>
      </c>
      <c r="AI69" s="318" t="s">
        <v>283</v>
      </c>
      <c r="AJ69" s="318" t="s">
        <v>100</v>
      </c>
      <c r="AK69" s="318" t="s">
        <v>165</v>
      </c>
      <c r="AL69" s="318" t="s">
        <v>116</v>
      </c>
      <c r="AM69" s="318"/>
      <c r="AN69" s="318"/>
      <c r="AO69" s="318"/>
      <c r="AP69" s="476"/>
      <c r="AQ69" s="476"/>
      <c r="AR69" s="6" t="s">
        <v>141</v>
      </c>
    </row>
    <row r="70" ht="26.25" customHeight="1">
      <c r="A70" s="318" t="s">
        <v>54</v>
      </c>
      <c r="B70" s="318" t="n">
        <v>2524361673</v>
      </c>
      <c r="C70" s="318" t="s">
        <v>348</v>
      </c>
      <c r="D70" s="318" t="s">
        <v>349</v>
      </c>
      <c r="E70" s="114" t="s">
        <v>104</v>
      </c>
      <c r="F70" s="318"/>
      <c r="G70" s="318"/>
      <c r="H70" s="318" t="s">
        <v>165</v>
      </c>
      <c r="I70" s="318" t="s">
        <v>101</v>
      </c>
      <c r="J70" s="318" t="n">
        <v>3132902</v>
      </c>
      <c r="K70" s="318" t="s">
        <v>126</v>
      </c>
      <c r="L70" s="318" t="n">
        <v>89</v>
      </c>
      <c r="M70" s="318" t="n">
        <v>99</v>
      </c>
      <c r="N70" s="318" t="s">
        <v>31</v>
      </c>
      <c r="O70" s="318" t="s">
        <v>987</v>
      </c>
      <c r="P70" s="318" t="s">
        <v>216</v>
      </c>
      <c r="Q70" s="318" t="s">
        <v>283</v>
      </c>
      <c r="R70" s="318" t="s">
        <v>101</v>
      </c>
      <c r="S70" s="318" t="s">
        <v>165</v>
      </c>
      <c r="T70" s="318" t="s">
        <v>116</v>
      </c>
      <c r="U70" s="318" t="n">
        <v>5230747</v>
      </c>
      <c r="V70" s="318"/>
      <c r="W70" s="318" t="s">
        <v>49</v>
      </c>
      <c r="X70" s="318" t="s">
        <v>987</v>
      </c>
      <c r="Y70" s="318" t="s">
        <v>215</v>
      </c>
      <c r="Z70" s="318" t="s">
        <v>283</v>
      </c>
      <c r="AA70" s="318" t="s">
        <v>101</v>
      </c>
      <c r="AB70" s="318" t="s">
        <v>165</v>
      </c>
      <c r="AC70" s="318" t="s">
        <v>116</v>
      </c>
      <c r="AD70" s="318" t="n">
        <v>5170871</v>
      </c>
      <c r="AE70" s="318"/>
      <c r="AF70" s="114" t="s">
        <v>58</v>
      </c>
      <c r="AG70" s="318" t="s">
        <v>986</v>
      </c>
      <c r="AH70" s="318" t="s">
        <v>215</v>
      </c>
      <c r="AI70" s="318" t="s">
        <v>283</v>
      </c>
      <c r="AJ70" s="318" t="s">
        <v>101</v>
      </c>
      <c r="AK70" s="318" t="s">
        <v>165</v>
      </c>
      <c r="AL70" s="318" t="s">
        <v>116</v>
      </c>
      <c r="AM70" s="318"/>
      <c r="AN70" s="318"/>
      <c r="AO70" s="318"/>
      <c r="AP70" s="476"/>
      <c r="AQ70" s="476"/>
      <c r="AR70" s="6" t="s">
        <v>141</v>
      </c>
    </row>
    <row r="71" ht="26.25" customHeight="1">
      <c r="A71" s="318" t="s">
        <v>54</v>
      </c>
      <c r="B71" s="318" t="n">
        <v>2578457931</v>
      </c>
      <c r="C71" s="318" t="s">
        <v>354</v>
      </c>
      <c r="D71" s="318" t="s">
        <v>46</v>
      </c>
      <c r="E71" s="318" t="s">
        <v>112</v>
      </c>
      <c r="F71" s="318"/>
      <c r="G71" s="318" t="s">
        <v>361</v>
      </c>
      <c r="H71" s="318" t="s">
        <v>165</v>
      </c>
      <c r="I71" s="318" t="s">
        <v>101</v>
      </c>
      <c r="J71" s="318" t="n">
        <v>3132902</v>
      </c>
      <c r="K71" s="318" t="s">
        <v>126</v>
      </c>
      <c r="L71" s="318" t="n">
        <v>72</v>
      </c>
      <c r="M71" s="318" t="n">
        <v>90</v>
      </c>
      <c r="N71" s="318" t="s">
        <v>31</v>
      </c>
      <c r="O71" s="318" t="s">
        <v>987</v>
      </c>
      <c r="P71" s="318" t="s">
        <v>216</v>
      </c>
      <c r="Q71" s="318" t="s">
        <v>283</v>
      </c>
      <c r="R71" s="318" t="s">
        <v>101</v>
      </c>
      <c r="S71" s="318" t="s">
        <v>165</v>
      </c>
      <c r="T71" s="318" t="s">
        <v>116</v>
      </c>
      <c r="U71" s="318" t="n">
        <v>5230747</v>
      </c>
      <c r="V71" s="318"/>
      <c r="W71" s="318" t="s">
        <v>49</v>
      </c>
      <c r="X71" s="318" t="s">
        <v>987</v>
      </c>
      <c r="Y71" s="318" t="s">
        <v>215</v>
      </c>
      <c r="Z71" s="318" t="s">
        <v>283</v>
      </c>
      <c r="AA71" s="318" t="s">
        <v>101</v>
      </c>
      <c r="AB71" s="318" t="s">
        <v>165</v>
      </c>
      <c r="AC71" s="318" t="s">
        <v>116</v>
      </c>
      <c r="AD71" s="318" t="n">
        <v>5170871</v>
      </c>
      <c r="AE71" s="318"/>
      <c r="AF71" s="114" t="s">
        <v>58</v>
      </c>
      <c r="AG71" s="318" t="s">
        <v>986</v>
      </c>
      <c r="AH71" s="318" t="s">
        <v>215</v>
      </c>
      <c r="AI71" s="318" t="s">
        <v>283</v>
      </c>
      <c r="AJ71" s="318" t="s">
        <v>101</v>
      </c>
      <c r="AK71" s="318" t="s">
        <v>165</v>
      </c>
      <c r="AL71" s="318" t="s">
        <v>116</v>
      </c>
      <c r="AM71" s="318"/>
      <c r="AN71" s="318"/>
      <c r="AO71" s="318"/>
      <c r="AP71" s="476"/>
      <c r="AQ71" s="476"/>
      <c r="AR71" s="6" t="s">
        <v>141</v>
      </c>
    </row>
    <row r="72" ht="26.25" customHeight="1">
      <c r="A72" s="318" t="s">
        <v>54</v>
      </c>
      <c r="B72" s="318" t="n">
        <v>2937587526</v>
      </c>
      <c r="C72" s="318" t="s">
        <v>363</v>
      </c>
      <c r="D72" s="318" t="s">
        <v>349</v>
      </c>
      <c r="E72" s="318" t="s">
        <v>104</v>
      </c>
      <c r="F72" s="318"/>
      <c r="G72" s="318"/>
      <c r="H72" s="318" t="s">
        <v>165</v>
      </c>
      <c r="I72" s="318" t="s">
        <v>101</v>
      </c>
      <c r="J72" s="318" t="n">
        <v>3132902</v>
      </c>
      <c r="K72" s="318" t="s">
        <v>126</v>
      </c>
      <c r="L72" s="318" t="n">
        <v>72</v>
      </c>
      <c r="M72" s="318" t="n">
        <v>90</v>
      </c>
      <c r="N72" s="318" t="s">
        <v>31</v>
      </c>
      <c r="O72" s="318" t="s">
        <v>987</v>
      </c>
      <c r="P72" s="318" t="s">
        <v>216</v>
      </c>
      <c r="Q72" s="318" t="s">
        <v>283</v>
      </c>
      <c r="R72" s="318" t="s">
        <v>101</v>
      </c>
      <c r="S72" s="318" t="s">
        <v>165</v>
      </c>
      <c r="T72" s="318" t="s">
        <v>116</v>
      </c>
      <c r="U72" s="318" t="n">
        <v>5230747</v>
      </c>
      <c r="V72" s="318"/>
      <c r="W72" s="318" t="s">
        <v>49</v>
      </c>
      <c r="X72" s="318" t="s">
        <v>987</v>
      </c>
      <c r="Y72" s="318" t="s">
        <v>215</v>
      </c>
      <c r="Z72" s="318" t="s">
        <v>283</v>
      </c>
      <c r="AA72" s="318" t="s">
        <v>101</v>
      </c>
      <c r="AB72" s="318" t="s">
        <v>165</v>
      </c>
      <c r="AC72" s="318" t="s">
        <v>116</v>
      </c>
      <c r="AD72" s="318" t="n">
        <v>5170871</v>
      </c>
      <c r="AE72" s="318"/>
      <c r="AF72" s="114" t="s">
        <v>58</v>
      </c>
      <c r="AG72" s="318" t="s">
        <v>986</v>
      </c>
      <c r="AH72" s="318" t="s">
        <v>215</v>
      </c>
      <c r="AI72" s="318" t="s">
        <v>283</v>
      </c>
      <c r="AJ72" s="318" t="s">
        <v>101</v>
      </c>
      <c r="AK72" s="318" t="s">
        <v>165</v>
      </c>
      <c r="AL72" s="318" t="s">
        <v>116</v>
      </c>
      <c r="AM72" s="318"/>
      <c r="AN72" s="318"/>
      <c r="AO72" s="318"/>
      <c r="AP72" s="476"/>
      <c r="AQ72" s="476"/>
      <c r="AR72" s="6" t="s">
        <v>141</v>
      </c>
    </row>
    <row r="73" ht="26.25" customHeight="1">
      <c r="A73" s="318" t="s">
        <v>45</v>
      </c>
      <c r="B73" s="318" t="n">
        <v>4111183270</v>
      </c>
      <c r="C73" s="318" t="s">
        <v>1051</v>
      </c>
      <c r="D73" s="318" t="s">
        <v>40</v>
      </c>
      <c r="E73" s="114" t="s">
        <v>104</v>
      </c>
      <c r="F73" s="318"/>
      <c r="G73" s="318"/>
      <c r="H73" s="318" t="s">
        <v>165</v>
      </c>
      <c r="I73" s="318" t="s">
        <v>88</v>
      </c>
      <c r="J73" s="318" t="n">
        <v>5230814</v>
      </c>
      <c r="K73" s="318" t="s">
        <v>126</v>
      </c>
      <c r="L73" s="318" t="n">
        <v>74</v>
      </c>
      <c r="M73" s="318" t="n">
        <v>92</v>
      </c>
      <c r="N73" s="318" t="s">
        <v>31</v>
      </c>
      <c r="O73" s="318" t="s">
        <v>997</v>
      </c>
      <c r="P73" s="318" t="s">
        <v>246</v>
      </c>
      <c r="Q73" s="318" t="s">
        <v>234</v>
      </c>
      <c r="R73" s="318" t="s">
        <v>88</v>
      </c>
      <c r="S73" s="318" t="s">
        <v>165</v>
      </c>
      <c r="T73" s="318" t="s">
        <v>116</v>
      </c>
      <c r="U73" s="318" t="n">
        <v>5230722</v>
      </c>
      <c r="V73" s="318"/>
      <c r="W73" s="318" t="s">
        <v>47</v>
      </c>
      <c r="X73" s="318" t="s">
        <v>989</v>
      </c>
      <c r="Y73" s="318" t="s">
        <v>233</v>
      </c>
      <c r="Z73" s="318" t="s">
        <v>283</v>
      </c>
      <c r="AA73" s="318" t="s">
        <v>88</v>
      </c>
      <c r="AB73" s="318" t="s">
        <v>165</v>
      </c>
      <c r="AC73" s="318" t="s">
        <v>116</v>
      </c>
      <c r="AD73" s="318" t="n">
        <v>5230765</v>
      </c>
      <c r="AE73" s="318"/>
      <c r="AF73" s="114" t="s">
        <v>52</v>
      </c>
      <c r="AG73" s="318" t="s">
        <v>997</v>
      </c>
      <c r="AH73" s="318" t="s">
        <v>215</v>
      </c>
      <c r="AI73" s="318" t="s">
        <v>283</v>
      </c>
      <c r="AJ73" s="318" t="s">
        <v>88</v>
      </c>
      <c r="AK73" s="318" t="s">
        <v>165</v>
      </c>
      <c r="AL73" s="318" t="s">
        <v>116</v>
      </c>
      <c r="AM73" s="318" t="s">
        <v>217</v>
      </c>
      <c r="AN73" s="318" t="s">
        <v>217</v>
      </c>
      <c r="AO73" s="318" t="s">
        <v>217</v>
      </c>
      <c r="AP73" s="476" t="s">
        <v>217</v>
      </c>
      <c r="AQ73" s="476" t="s">
        <v>217</v>
      </c>
      <c r="AR73" s="6" t="s">
        <v>141</v>
      </c>
    </row>
    <row r="74" ht="26.25" customHeight="1">
      <c r="A74" s="318" t="s">
        <v>54</v>
      </c>
      <c r="B74" s="318" t="n">
        <v>4840889658</v>
      </c>
      <c r="C74" s="318" t="s">
        <v>1052</v>
      </c>
      <c r="D74" s="318" t="s">
        <v>55</v>
      </c>
      <c r="E74" s="114" t="s">
        <v>104</v>
      </c>
      <c r="F74" s="318"/>
      <c r="G74" s="318"/>
      <c r="H74" s="318" t="s">
        <v>165</v>
      </c>
      <c r="I74" s="318" t="s">
        <v>88</v>
      </c>
      <c r="J74" s="318" t="n">
        <v>3132884</v>
      </c>
      <c r="K74" s="318" t="s">
        <v>126</v>
      </c>
      <c r="L74" s="318" t="n">
        <v>64</v>
      </c>
      <c r="M74" s="318" t="n">
        <v>85</v>
      </c>
      <c r="N74" s="318" t="s">
        <v>37</v>
      </c>
      <c r="O74" s="318" t="s">
        <v>987</v>
      </c>
      <c r="P74" s="318" t="s">
        <v>216</v>
      </c>
      <c r="Q74" s="318" t="s">
        <v>283</v>
      </c>
      <c r="R74" s="318" t="s">
        <v>88</v>
      </c>
      <c r="S74" s="318" t="s">
        <v>165</v>
      </c>
      <c r="T74" s="318" t="s">
        <v>116</v>
      </c>
      <c r="U74" s="318" t="n">
        <v>4513265</v>
      </c>
      <c r="V74" s="318"/>
      <c r="W74" s="318" t="s">
        <v>47</v>
      </c>
      <c r="X74" s="318" t="s">
        <v>987</v>
      </c>
      <c r="Y74" s="318" t="s">
        <v>215</v>
      </c>
      <c r="Z74" s="318" t="s">
        <v>283</v>
      </c>
      <c r="AA74" s="318" t="s">
        <v>88</v>
      </c>
      <c r="AB74" s="318" t="s">
        <v>165</v>
      </c>
      <c r="AC74" s="318" t="s">
        <v>116</v>
      </c>
      <c r="AD74" s="318" t="n">
        <v>5230723</v>
      </c>
      <c r="AE74" s="318"/>
      <c r="AF74" s="114" t="s">
        <v>56</v>
      </c>
      <c r="AG74" s="318" t="s">
        <v>987</v>
      </c>
      <c r="AH74" s="318" t="s">
        <v>233</v>
      </c>
      <c r="AI74" s="318" t="s">
        <v>283</v>
      </c>
      <c r="AJ74" s="318" t="s">
        <v>88</v>
      </c>
      <c r="AK74" s="318" t="s">
        <v>165</v>
      </c>
      <c r="AL74" s="318" t="s">
        <v>116</v>
      </c>
      <c r="AM74" s="318" t="s">
        <v>217</v>
      </c>
      <c r="AN74" s="318" t="s">
        <v>217</v>
      </c>
      <c r="AO74" s="318" t="s">
        <v>217</v>
      </c>
      <c r="AP74" s="476" t="s">
        <v>218</v>
      </c>
      <c r="AQ74" s="476" t="s">
        <v>218</v>
      </c>
      <c r="AR74" s="6" t="s">
        <v>141</v>
      </c>
    </row>
    <row r="75" ht="26.25" customHeight="1">
      <c r="A75" s="318" t="s">
        <v>54</v>
      </c>
      <c r="B75" s="318" t="n">
        <v>4399390086</v>
      </c>
      <c r="C75" s="318" t="s">
        <v>364</v>
      </c>
      <c r="D75" s="318" t="s">
        <v>48</v>
      </c>
      <c r="E75" s="114" t="s">
        <v>104</v>
      </c>
      <c r="F75" s="318"/>
      <c r="G75" s="318"/>
      <c r="H75" s="318" t="s">
        <v>165</v>
      </c>
      <c r="I75" s="318" t="s">
        <v>101</v>
      </c>
      <c r="J75" s="318" t="n">
        <v>4632447</v>
      </c>
      <c r="K75" s="318" t="s">
        <v>126</v>
      </c>
      <c r="L75" s="318" t="n">
        <v>72</v>
      </c>
      <c r="M75" s="318" t="n">
        <v>90</v>
      </c>
      <c r="N75" s="114" t="s">
        <v>37</v>
      </c>
      <c r="O75" s="318" t="s">
        <v>985</v>
      </c>
      <c r="P75" s="318" t="s">
        <v>215</v>
      </c>
      <c r="Q75" s="318" t="s">
        <v>283</v>
      </c>
      <c r="R75" s="318" t="s">
        <v>101</v>
      </c>
      <c r="S75" s="318" t="s">
        <v>165</v>
      </c>
      <c r="T75" s="318" t="s">
        <v>116</v>
      </c>
      <c r="U75" s="318" t="n">
        <v>5170873</v>
      </c>
      <c r="V75" s="318"/>
      <c r="W75" s="318" t="s">
        <v>47</v>
      </c>
      <c r="X75" s="318" t="s">
        <v>986</v>
      </c>
      <c r="Y75" s="318" t="s">
        <v>216</v>
      </c>
      <c r="Z75" s="318" t="s">
        <v>283</v>
      </c>
      <c r="AA75" s="318" t="s">
        <v>101</v>
      </c>
      <c r="AB75" s="318" t="s">
        <v>165</v>
      </c>
      <c r="AC75" s="318" t="s">
        <v>116</v>
      </c>
      <c r="AD75" s="318" t="n">
        <v>5170871</v>
      </c>
      <c r="AE75" s="318"/>
      <c r="AF75" s="114" t="s">
        <v>58</v>
      </c>
      <c r="AG75" s="318" t="s">
        <v>986</v>
      </c>
      <c r="AH75" s="318" t="s">
        <v>215</v>
      </c>
      <c r="AI75" s="318" t="s">
        <v>283</v>
      </c>
      <c r="AJ75" s="318" t="s">
        <v>101</v>
      </c>
      <c r="AK75" s="318" t="s">
        <v>165</v>
      </c>
      <c r="AL75" s="318" t="s">
        <v>116</v>
      </c>
      <c r="AM75" s="318"/>
      <c r="AN75" s="318"/>
      <c r="AO75" s="318"/>
      <c r="AP75" s="476"/>
      <c r="AQ75" s="476"/>
      <c r="AR75" s="6" t="s">
        <v>141</v>
      </c>
    </row>
    <row r="76" ht="26.25" customHeight="1">
      <c r="A76" s="318" t="s">
        <v>45</v>
      </c>
      <c r="B76" s="318" t="n">
        <v>2577448328</v>
      </c>
      <c r="C76" s="318" t="s">
        <v>1053</v>
      </c>
      <c r="D76" s="318" t="s">
        <v>57</v>
      </c>
      <c r="E76" s="318" t="s">
        <v>104</v>
      </c>
      <c r="F76" s="318"/>
      <c r="G76" s="318"/>
      <c r="H76" s="318" t="s">
        <v>165</v>
      </c>
      <c r="I76" s="318" t="s">
        <v>88</v>
      </c>
      <c r="J76" s="318" t="n">
        <v>3132897</v>
      </c>
      <c r="K76" s="318" t="s">
        <v>126</v>
      </c>
      <c r="L76" s="318" t="n">
        <v>88</v>
      </c>
      <c r="M76" s="318" t="n">
        <v>98</v>
      </c>
      <c r="N76" s="318" t="s">
        <v>31</v>
      </c>
      <c r="O76" s="318" t="s">
        <v>989</v>
      </c>
      <c r="P76" s="318" t="s">
        <v>215</v>
      </c>
      <c r="Q76" s="318" t="s">
        <v>283</v>
      </c>
      <c r="R76" s="318" t="s">
        <v>88</v>
      </c>
      <c r="S76" s="318" t="s">
        <v>165</v>
      </c>
      <c r="T76" s="318" t="s">
        <v>116</v>
      </c>
      <c r="U76" s="318" t="n">
        <v>5230722</v>
      </c>
      <c r="V76" s="318"/>
      <c r="W76" s="318" t="s">
        <v>47</v>
      </c>
      <c r="X76" s="318" t="s">
        <v>989</v>
      </c>
      <c r="Y76" s="318" t="s">
        <v>233</v>
      </c>
      <c r="Z76" s="318" t="s">
        <v>283</v>
      </c>
      <c r="AA76" s="318" t="s">
        <v>88</v>
      </c>
      <c r="AB76" s="318" t="s">
        <v>165</v>
      </c>
      <c r="AC76" s="318" t="s">
        <v>116</v>
      </c>
      <c r="AD76" s="318" t="n">
        <v>5230737</v>
      </c>
      <c r="AE76" s="318"/>
      <c r="AF76" s="114" t="s">
        <v>58</v>
      </c>
      <c r="AG76" s="318" t="s">
        <v>989</v>
      </c>
      <c r="AH76" s="318" t="s">
        <v>216</v>
      </c>
      <c r="AI76" s="318" t="s">
        <v>283</v>
      </c>
      <c r="AJ76" s="318" t="s">
        <v>88</v>
      </c>
      <c r="AK76" s="318" t="s">
        <v>165</v>
      </c>
      <c r="AL76" s="318" t="s">
        <v>116</v>
      </c>
      <c r="AM76" s="318" t="s">
        <v>217</v>
      </c>
      <c r="AN76" s="318" t="s">
        <v>217</v>
      </c>
      <c r="AO76" s="318" t="s">
        <v>217</v>
      </c>
      <c r="AP76" s="476" t="s">
        <v>218</v>
      </c>
      <c r="AQ76" s="476" t="s">
        <v>218</v>
      </c>
      <c r="AR76" s="6" t="s">
        <v>141</v>
      </c>
    </row>
    <row r="77" ht="26.25" customHeight="1">
      <c r="A77" s="318" t="s">
        <v>45</v>
      </c>
      <c r="B77" s="318" t="n">
        <v>4521435533</v>
      </c>
      <c r="C77" s="318" t="s">
        <v>1054</v>
      </c>
      <c r="D77" s="318" t="s">
        <v>48</v>
      </c>
      <c r="E77" s="318" t="s">
        <v>104</v>
      </c>
      <c r="F77" s="318"/>
      <c r="G77" s="318"/>
      <c r="H77" s="318" t="s">
        <v>165</v>
      </c>
      <c r="I77" s="318" t="s">
        <v>88</v>
      </c>
      <c r="J77" s="318" t="n">
        <v>5230806</v>
      </c>
      <c r="K77" s="318" t="s">
        <v>126</v>
      </c>
      <c r="L77" s="318" t="n">
        <v>53</v>
      </c>
      <c r="M77" s="318" t="n">
        <v>70</v>
      </c>
      <c r="N77" s="114" t="s">
        <v>37</v>
      </c>
      <c r="O77" s="318" t="s">
        <v>1034</v>
      </c>
      <c r="P77" s="318" t="s">
        <v>215</v>
      </c>
      <c r="Q77" s="318" t="s">
        <v>283</v>
      </c>
      <c r="R77" s="318" t="s">
        <v>88</v>
      </c>
      <c r="S77" s="318" t="s">
        <v>165</v>
      </c>
      <c r="T77" s="318" t="s">
        <v>217</v>
      </c>
      <c r="U77" s="318" t="n">
        <v>5170872</v>
      </c>
      <c r="V77" s="318"/>
      <c r="W77" s="318" t="s">
        <v>49</v>
      </c>
      <c r="X77" s="114" t="s">
        <v>1034</v>
      </c>
      <c r="Y77" s="114" t="s">
        <v>216</v>
      </c>
      <c r="Z77" s="318" t="s">
        <v>283</v>
      </c>
      <c r="AA77" s="318" t="s">
        <v>88</v>
      </c>
      <c r="AB77" s="318" t="s">
        <v>165</v>
      </c>
      <c r="AC77" s="318" t="s">
        <v>217</v>
      </c>
      <c r="AD77" s="318" t="n">
        <v>3132865</v>
      </c>
      <c r="AE77" s="318"/>
      <c r="AF77" s="114" t="s">
        <v>52</v>
      </c>
      <c r="AG77" s="318" t="s">
        <v>1034</v>
      </c>
      <c r="AH77" s="114" t="s">
        <v>233</v>
      </c>
      <c r="AI77" s="318" t="s">
        <v>283</v>
      </c>
      <c r="AJ77" s="318" t="s">
        <v>88</v>
      </c>
      <c r="AK77" s="318" t="s">
        <v>165</v>
      </c>
      <c r="AL77" s="318" t="s">
        <v>116</v>
      </c>
      <c r="AM77" s="318" t="s">
        <v>217</v>
      </c>
      <c r="AN77" s="318" t="s">
        <v>218</v>
      </c>
      <c r="AO77" s="318" t="s">
        <v>218</v>
      </c>
      <c r="AP77" s="476" t="s">
        <v>217</v>
      </c>
      <c r="AQ77" s="476" t="s">
        <v>217</v>
      </c>
      <c r="AR77" s="6" t="s">
        <v>141</v>
      </c>
      <c r="AS77" s="6" t="s">
        <v>217</v>
      </c>
    </row>
    <row r="78" ht="26.25" customHeight="1">
      <c r="A78" s="318" t="s">
        <v>45</v>
      </c>
      <c r="B78" s="318" t="n">
        <v>4042838194</v>
      </c>
      <c r="C78" s="318" t="s">
        <v>1055</v>
      </c>
      <c r="D78" s="318" t="s">
        <v>46</v>
      </c>
      <c r="E78" s="114" t="s">
        <v>104</v>
      </c>
      <c r="F78" s="318"/>
      <c r="G78" s="318"/>
      <c r="H78" s="318" t="s">
        <v>165</v>
      </c>
      <c r="I78" s="318" t="s">
        <v>88</v>
      </c>
      <c r="J78" s="318" t="n">
        <v>5230806</v>
      </c>
      <c r="K78" s="318" t="s">
        <v>126</v>
      </c>
      <c r="L78" s="318" t="n">
        <v>74</v>
      </c>
      <c r="M78" s="318" t="n">
        <v>92</v>
      </c>
      <c r="N78" s="318" t="s">
        <v>37</v>
      </c>
      <c r="O78" s="318" t="s">
        <v>1034</v>
      </c>
      <c r="P78" s="318" t="s">
        <v>215</v>
      </c>
      <c r="Q78" s="318" t="s">
        <v>283</v>
      </c>
      <c r="R78" s="318" t="s">
        <v>88</v>
      </c>
      <c r="S78" s="318" t="s">
        <v>165</v>
      </c>
      <c r="T78" s="318" t="s">
        <v>217</v>
      </c>
      <c r="U78" s="318" t="n">
        <v>5170872</v>
      </c>
      <c r="V78" s="318"/>
      <c r="W78" s="318" t="s">
        <v>49</v>
      </c>
      <c r="X78" s="318" t="s">
        <v>1034</v>
      </c>
      <c r="Y78" s="318" t="s">
        <v>216</v>
      </c>
      <c r="Z78" s="318" t="s">
        <v>283</v>
      </c>
      <c r="AA78" s="318" t="s">
        <v>88</v>
      </c>
      <c r="AB78" s="318" t="s">
        <v>165</v>
      </c>
      <c r="AC78" s="318" t="s">
        <v>217</v>
      </c>
      <c r="AD78" s="318" t="n">
        <v>3132865</v>
      </c>
      <c r="AE78" s="318"/>
      <c r="AF78" s="114" t="s">
        <v>52</v>
      </c>
      <c r="AG78" s="318" t="s">
        <v>1034</v>
      </c>
      <c r="AH78" s="318" t="s">
        <v>233</v>
      </c>
      <c r="AI78" s="318" t="s">
        <v>283</v>
      </c>
      <c r="AJ78" s="318" t="s">
        <v>88</v>
      </c>
      <c r="AK78" s="318" t="s">
        <v>165</v>
      </c>
      <c r="AL78" s="318" t="s">
        <v>217</v>
      </c>
      <c r="AM78" s="318" t="s">
        <v>217</v>
      </c>
      <c r="AN78" s="318" t="s">
        <v>217</v>
      </c>
      <c r="AO78" s="318" t="s">
        <v>217</v>
      </c>
      <c r="AP78" s="476" t="s">
        <v>218</v>
      </c>
      <c r="AQ78" s="476" t="s">
        <v>218</v>
      </c>
      <c r="AR78" s="6" t="s">
        <v>141</v>
      </c>
      <c r="AS78" s="6" t="s">
        <v>217</v>
      </c>
    </row>
    <row r="79" ht="26.25" customHeight="1">
      <c r="A79" s="318" t="s">
        <v>45</v>
      </c>
      <c r="B79" s="318" t="n">
        <v>4841600400</v>
      </c>
      <c r="C79" s="318" t="s">
        <v>1056</v>
      </c>
      <c r="D79" s="318" t="s">
        <v>48</v>
      </c>
      <c r="E79" s="318" t="s">
        <v>112</v>
      </c>
      <c r="F79" s="318"/>
      <c r="G79" s="318" t="s">
        <v>1049</v>
      </c>
      <c r="H79" s="318" t="s">
        <v>165</v>
      </c>
      <c r="I79" s="318" t="s">
        <v>88</v>
      </c>
      <c r="J79" s="318" t="n">
        <v>5230806</v>
      </c>
      <c r="K79" s="318" t="s">
        <v>126</v>
      </c>
      <c r="L79" s="318" t="n">
        <v>72</v>
      </c>
      <c r="M79" s="318" t="n">
        <v>90</v>
      </c>
      <c r="N79" s="318" t="s">
        <v>37</v>
      </c>
      <c r="O79" s="318" t="s">
        <v>1034</v>
      </c>
      <c r="P79" s="318" t="s">
        <v>215</v>
      </c>
      <c r="Q79" s="318" t="s">
        <v>283</v>
      </c>
      <c r="R79" s="318" t="s">
        <v>88</v>
      </c>
      <c r="S79" s="318" t="s">
        <v>165</v>
      </c>
      <c r="T79" s="318" t="s">
        <v>116</v>
      </c>
      <c r="U79" s="318" t="n">
        <v>5170872</v>
      </c>
      <c r="V79" s="318"/>
      <c r="W79" s="318" t="s">
        <v>49</v>
      </c>
      <c r="X79" s="318" t="s">
        <v>1034</v>
      </c>
      <c r="Y79" s="318" t="s">
        <v>216</v>
      </c>
      <c r="Z79" s="318" t="s">
        <v>283</v>
      </c>
      <c r="AA79" s="318" t="s">
        <v>88</v>
      </c>
      <c r="AB79" s="318" t="s">
        <v>165</v>
      </c>
      <c r="AC79" s="318" t="s">
        <v>116</v>
      </c>
      <c r="AD79" s="318" t="n">
        <v>3132865</v>
      </c>
      <c r="AE79" s="318"/>
      <c r="AF79" s="318" t="s">
        <v>52</v>
      </c>
      <c r="AG79" s="318" t="s">
        <v>1034</v>
      </c>
      <c r="AH79" s="318" t="s">
        <v>233</v>
      </c>
      <c r="AI79" s="318" t="s">
        <v>283</v>
      </c>
      <c r="AJ79" s="318" t="s">
        <v>88</v>
      </c>
      <c r="AK79" s="318" t="s">
        <v>165</v>
      </c>
      <c r="AL79" s="318" t="s">
        <v>116</v>
      </c>
      <c r="AM79" s="318" t="s">
        <v>217</v>
      </c>
      <c r="AN79" s="318" t="s">
        <v>218</v>
      </c>
      <c r="AO79" s="318" t="s">
        <v>218</v>
      </c>
      <c r="AP79" s="476" t="s">
        <v>217</v>
      </c>
      <c r="AQ79" s="476" t="s">
        <v>218</v>
      </c>
      <c r="AR79" s="6" t="s">
        <v>141</v>
      </c>
    </row>
    <row r="80" ht="26.25" customHeight="1">
      <c r="A80" s="318" t="s">
        <v>45</v>
      </c>
      <c r="B80" s="318" t="n">
        <v>4827599311</v>
      </c>
      <c r="C80" s="318" t="s">
        <v>1049</v>
      </c>
      <c r="D80" s="318" t="s">
        <v>48</v>
      </c>
      <c r="E80" s="318" t="s">
        <v>104</v>
      </c>
      <c r="F80" s="318"/>
      <c r="G80" s="318"/>
      <c r="H80" s="318" t="s">
        <v>165</v>
      </c>
      <c r="I80" s="318" t="s">
        <v>88</v>
      </c>
      <c r="J80" s="318" t="n">
        <v>5230806</v>
      </c>
      <c r="K80" s="318" t="s">
        <v>125</v>
      </c>
      <c r="L80" s="318" t="n">
        <v>62</v>
      </c>
      <c r="M80" s="318" t="s">
        <v>116</v>
      </c>
      <c r="N80" s="318" t="s">
        <v>37</v>
      </c>
      <c r="O80" s="318" t="s">
        <v>1034</v>
      </c>
      <c r="P80" s="318" t="s">
        <v>215</v>
      </c>
      <c r="Q80" s="318" t="s">
        <v>283</v>
      </c>
      <c r="R80" s="318" t="s">
        <v>88</v>
      </c>
      <c r="S80" s="318" t="s">
        <v>165</v>
      </c>
      <c r="T80" s="318" t="s">
        <v>116</v>
      </c>
      <c r="U80" s="318" t="n">
        <v>5170872</v>
      </c>
      <c r="V80" s="318"/>
      <c r="W80" s="318" t="s">
        <v>49</v>
      </c>
      <c r="X80" s="318" t="s">
        <v>1034</v>
      </c>
      <c r="Y80" s="318" t="s">
        <v>216</v>
      </c>
      <c r="Z80" s="318" t="s">
        <v>283</v>
      </c>
      <c r="AA80" s="318" t="s">
        <v>88</v>
      </c>
      <c r="AB80" s="318" t="s">
        <v>165</v>
      </c>
      <c r="AC80" s="318" t="s">
        <v>116</v>
      </c>
      <c r="AD80" s="318" t="n">
        <v>3132865</v>
      </c>
      <c r="AE80" s="318"/>
      <c r="AF80" s="318" t="s">
        <v>52</v>
      </c>
      <c r="AG80" s="318" t="s">
        <v>1034</v>
      </c>
      <c r="AH80" s="318" t="s">
        <v>233</v>
      </c>
      <c r="AI80" s="318" t="s">
        <v>283</v>
      </c>
      <c r="AJ80" s="318" t="s">
        <v>88</v>
      </c>
      <c r="AK80" s="318" t="s">
        <v>165</v>
      </c>
      <c r="AL80" s="318" t="s">
        <v>116</v>
      </c>
      <c r="AM80" s="318" t="s">
        <v>217</v>
      </c>
      <c r="AN80" s="318" t="s">
        <v>217</v>
      </c>
      <c r="AO80" s="318" t="s">
        <v>217</v>
      </c>
      <c r="AP80" s="476" t="s">
        <v>217</v>
      </c>
      <c r="AQ80" s="476" t="s">
        <v>217</v>
      </c>
      <c r="AR80" s="6" t="s">
        <v>141</v>
      </c>
    </row>
    <row r="81" ht="26.25" customHeight="1">
      <c r="A81" s="318" t="s">
        <v>54</v>
      </c>
      <c r="B81" s="318" t="n">
        <v>4840966099</v>
      </c>
      <c r="C81" s="318" t="s">
        <v>1057</v>
      </c>
      <c r="D81" s="318" t="s">
        <v>40</v>
      </c>
      <c r="E81" s="114" t="s">
        <v>104</v>
      </c>
      <c r="F81" s="318"/>
      <c r="G81" s="318"/>
      <c r="H81" s="318" t="s">
        <v>165</v>
      </c>
      <c r="I81" s="318" t="s">
        <v>101</v>
      </c>
      <c r="J81" s="318" t="n">
        <v>5111035</v>
      </c>
      <c r="K81" s="318" t="s">
        <v>125</v>
      </c>
      <c r="L81" s="318" t="n">
        <v>85</v>
      </c>
      <c r="M81" s="318" t="s">
        <v>116</v>
      </c>
      <c r="N81" s="114" t="s">
        <v>35</v>
      </c>
      <c r="O81" s="318" t="s">
        <v>986</v>
      </c>
      <c r="P81" s="318" t="s">
        <v>233</v>
      </c>
      <c r="Q81" s="318" t="s">
        <v>234</v>
      </c>
      <c r="R81" s="318" t="s">
        <v>101</v>
      </c>
      <c r="S81" s="318" t="s">
        <v>165</v>
      </c>
      <c r="T81" s="318" t="s">
        <v>116</v>
      </c>
      <c r="U81" s="318" t="n">
        <v>5170873</v>
      </c>
      <c r="V81" s="318"/>
      <c r="W81" s="318" t="s">
        <v>47</v>
      </c>
      <c r="X81" s="114" t="s">
        <v>986</v>
      </c>
      <c r="Y81" s="114" t="s">
        <v>216</v>
      </c>
      <c r="Z81" s="318" t="s">
        <v>283</v>
      </c>
      <c r="AA81" s="318" t="s">
        <v>101</v>
      </c>
      <c r="AB81" s="318" t="s">
        <v>165</v>
      </c>
      <c r="AC81" s="318" t="s">
        <v>116</v>
      </c>
      <c r="AD81" s="318" t="n">
        <v>5170871</v>
      </c>
      <c r="AE81" s="318"/>
      <c r="AF81" s="114" t="s">
        <v>58</v>
      </c>
      <c r="AG81" s="318" t="s">
        <v>986</v>
      </c>
      <c r="AH81" s="114" t="s">
        <v>215</v>
      </c>
      <c r="AI81" s="318" t="s">
        <v>283</v>
      </c>
      <c r="AJ81" s="318" t="s">
        <v>101</v>
      </c>
      <c r="AK81" s="318" t="s">
        <v>165</v>
      </c>
      <c r="AL81" s="318" t="s">
        <v>116</v>
      </c>
      <c r="AM81" s="318"/>
      <c r="AN81" s="318"/>
      <c r="AO81" s="318"/>
      <c r="AP81" s="476"/>
      <c r="AQ81" s="476"/>
      <c r="AR81" s="6" t="s">
        <v>141</v>
      </c>
    </row>
    <row r="82" ht="26.25" customHeight="1">
      <c r="A82" s="318" t="s">
        <v>54</v>
      </c>
      <c r="B82" s="318" t="n">
        <v>4851294501</v>
      </c>
      <c r="C82" s="318" t="s">
        <v>1058</v>
      </c>
      <c r="D82" s="318" t="s">
        <v>55</v>
      </c>
      <c r="E82" s="318" t="s">
        <v>112</v>
      </c>
      <c r="F82" s="318"/>
      <c r="G82" s="318" t="s">
        <v>1029</v>
      </c>
      <c r="H82" s="318" t="s">
        <v>165</v>
      </c>
      <c r="I82" s="318" t="s">
        <v>101</v>
      </c>
      <c r="J82" s="318" t="n">
        <v>3132902</v>
      </c>
      <c r="K82" s="318" t="s">
        <v>126</v>
      </c>
      <c r="L82" s="318" t="n">
        <v>60</v>
      </c>
      <c r="M82" s="318" t="n">
        <v>80</v>
      </c>
      <c r="N82" s="114" t="s">
        <v>31</v>
      </c>
      <c r="O82" s="318" t="s">
        <v>987</v>
      </c>
      <c r="P82" s="318" t="s">
        <v>216</v>
      </c>
      <c r="Q82" s="318" t="s">
        <v>283</v>
      </c>
      <c r="R82" s="318" t="s">
        <v>101</v>
      </c>
      <c r="S82" s="318" t="s">
        <v>165</v>
      </c>
      <c r="T82" s="318" t="s">
        <v>116</v>
      </c>
      <c r="U82" s="318" t="n">
        <v>5230747</v>
      </c>
      <c r="V82" s="318"/>
      <c r="W82" s="318" t="s">
        <v>49</v>
      </c>
      <c r="X82" s="114" t="s">
        <v>987</v>
      </c>
      <c r="Y82" s="114" t="s">
        <v>215</v>
      </c>
      <c r="Z82" s="318" t="s">
        <v>283</v>
      </c>
      <c r="AA82" s="318" t="s">
        <v>101</v>
      </c>
      <c r="AB82" s="318" t="s">
        <v>165</v>
      </c>
      <c r="AC82" s="318" t="s">
        <v>116</v>
      </c>
      <c r="AD82" s="318" t="n">
        <v>5230821</v>
      </c>
      <c r="AE82" s="318"/>
      <c r="AF82" s="114" t="s">
        <v>56</v>
      </c>
      <c r="AG82" s="318" t="s">
        <v>987</v>
      </c>
      <c r="AH82" s="114" t="s">
        <v>233</v>
      </c>
      <c r="AI82" s="318" t="s">
        <v>283</v>
      </c>
      <c r="AJ82" s="318" t="s">
        <v>101</v>
      </c>
      <c r="AK82" s="318" t="s">
        <v>165</v>
      </c>
      <c r="AL82" s="318" t="s">
        <v>116</v>
      </c>
      <c r="AM82" s="318"/>
      <c r="AN82" s="318"/>
      <c r="AO82" s="318"/>
      <c r="AP82" s="476"/>
      <c r="AQ82" s="476"/>
      <c r="AR82" s="6" t="s">
        <v>141</v>
      </c>
    </row>
    <row r="83" ht="26.25" customHeight="1">
      <c r="A83" s="318" t="s">
        <v>54</v>
      </c>
      <c r="B83" s="318" t="n">
        <v>2529017869</v>
      </c>
      <c r="C83" s="318" t="s">
        <v>1059</v>
      </c>
      <c r="D83" s="318" t="s">
        <v>48</v>
      </c>
      <c r="E83" s="114" t="s">
        <v>112</v>
      </c>
      <c r="F83" s="318"/>
      <c r="G83" s="318" t="s">
        <v>1060</v>
      </c>
      <c r="H83" s="318" t="s">
        <v>165</v>
      </c>
      <c r="I83" s="318" t="s">
        <v>101</v>
      </c>
      <c r="J83" s="318" t="n">
        <v>4632447</v>
      </c>
      <c r="K83" s="318" t="s">
        <v>126</v>
      </c>
      <c r="L83" s="318" t="n">
        <v>60</v>
      </c>
      <c r="M83" s="318" t="n">
        <v>80</v>
      </c>
      <c r="N83" s="318" t="s">
        <v>37</v>
      </c>
      <c r="O83" s="318" t="s">
        <v>985</v>
      </c>
      <c r="P83" s="318" t="s">
        <v>215</v>
      </c>
      <c r="Q83" s="318" t="s">
        <v>283</v>
      </c>
      <c r="R83" s="318" t="s">
        <v>101</v>
      </c>
      <c r="S83" s="318" t="s">
        <v>165</v>
      </c>
      <c r="T83" s="318" t="s">
        <v>116</v>
      </c>
      <c r="U83" s="318" t="n">
        <v>5111226</v>
      </c>
      <c r="V83" s="318"/>
      <c r="W83" s="318" t="s">
        <v>47</v>
      </c>
      <c r="X83" s="318" t="s">
        <v>985</v>
      </c>
      <c r="Y83" s="318" t="s">
        <v>233</v>
      </c>
      <c r="Z83" s="318" t="s">
        <v>283</v>
      </c>
      <c r="AA83" s="318" t="s">
        <v>101</v>
      </c>
      <c r="AB83" s="318" t="s">
        <v>165</v>
      </c>
      <c r="AC83" s="318" t="s">
        <v>116</v>
      </c>
      <c r="AD83" s="318" t="n">
        <v>4513388</v>
      </c>
      <c r="AE83" s="318"/>
      <c r="AF83" s="318" t="s">
        <v>56</v>
      </c>
      <c r="AG83" s="318" t="s">
        <v>985</v>
      </c>
      <c r="AH83" s="318" t="s">
        <v>216</v>
      </c>
      <c r="AI83" s="318" t="s">
        <v>283</v>
      </c>
      <c r="AJ83" s="318" t="s">
        <v>101</v>
      </c>
      <c r="AK83" s="318" t="s">
        <v>165</v>
      </c>
      <c r="AL83" s="318" t="s">
        <v>116</v>
      </c>
      <c r="AM83" s="318"/>
      <c r="AN83" s="318"/>
      <c r="AO83" s="318"/>
      <c r="AP83" s="476"/>
      <c r="AQ83" s="476"/>
      <c r="AR83" s="6" t="s">
        <v>141</v>
      </c>
    </row>
    <row r="84" ht="26.25" customHeight="1">
      <c r="A84" s="318" t="s">
        <v>54</v>
      </c>
      <c r="B84" s="318" t="n">
        <v>4850421381</v>
      </c>
      <c r="C84" s="318" t="s">
        <v>1061</v>
      </c>
      <c r="D84" s="318" t="s">
        <v>48</v>
      </c>
      <c r="E84" s="318" t="s">
        <v>112</v>
      </c>
      <c r="F84" s="318"/>
      <c r="G84" s="318" t="s">
        <v>1060</v>
      </c>
      <c r="H84" s="318" t="s">
        <v>165</v>
      </c>
      <c r="I84" s="318" t="s">
        <v>101</v>
      </c>
      <c r="J84" s="318" t="n">
        <v>4632447</v>
      </c>
      <c r="K84" s="318" t="s">
        <v>126</v>
      </c>
      <c r="L84" s="318" t="n">
        <v>85</v>
      </c>
      <c r="M84" s="318" t="n">
        <v>95</v>
      </c>
      <c r="N84" s="318" t="s">
        <v>37</v>
      </c>
      <c r="O84" s="318" t="s">
        <v>985</v>
      </c>
      <c r="P84" s="318" t="s">
        <v>215</v>
      </c>
      <c r="Q84" s="318" t="s">
        <v>283</v>
      </c>
      <c r="R84" s="318" t="s">
        <v>101</v>
      </c>
      <c r="S84" s="318" t="s">
        <v>165</v>
      </c>
      <c r="T84" s="318" t="s">
        <v>116</v>
      </c>
      <c r="U84" s="318" t="n">
        <v>5111226</v>
      </c>
      <c r="V84" s="318"/>
      <c r="W84" s="318" t="s">
        <v>47</v>
      </c>
      <c r="X84" s="318" t="s">
        <v>985</v>
      </c>
      <c r="Y84" s="318" t="s">
        <v>233</v>
      </c>
      <c r="Z84" s="318" t="s">
        <v>283</v>
      </c>
      <c r="AA84" s="318" t="s">
        <v>101</v>
      </c>
      <c r="AB84" s="318" t="s">
        <v>165</v>
      </c>
      <c r="AC84" s="318" t="s">
        <v>116</v>
      </c>
      <c r="AD84" s="318" t="n">
        <v>4513388</v>
      </c>
      <c r="AE84" s="318"/>
      <c r="AF84" s="318" t="s">
        <v>56</v>
      </c>
      <c r="AG84" s="318" t="s">
        <v>985</v>
      </c>
      <c r="AH84" s="318" t="s">
        <v>216</v>
      </c>
      <c r="AI84" s="318" t="s">
        <v>283</v>
      </c>
      <c r="AJ84" s="318" t="s">
        <v>101</v>
      </c>
      <c r="AK84" s="318" t="s">
        <v>165</v>
      </c>
      <c r="AL84" s="318" t="s">
        <v>116</v>
      </c>
      <c r="AM84" s="318"/>
      <c r="AN84" s="318"/>
      <c r="AO84" s="318"/>
      <c r="AP84" s="476"/>
      <c r="AQ84" s="476"/>
      <c r="AR84" s="6" t="s">
        <v>141</v>
      </c>
    </row>
    <row r="85" ht="26.25" customHeight="1">
      <c r="A85" s="318" t="s">
        <v>54</v>
      </c>
      <c r="B85" s="318" t="n">
        <v>4702343288</v>
      </c>
      <c r="C85" s="318" t="s">
        <v>1060</v>
      </c>
      <c r="D85" s="318" t="s">
        <v>48</v>
      </c>
      <c r="E85" s="318" t="s">
        <v>112</v>
      </c>
      <c r="F85" s="318"/>
      <c r="G85" s="318"/>
      <c r="H85" s="318" t="s">
        <v>165</v>
      </c>
      <c r="I85" s="318" t="s">
        <v>101</v>
      </c>
      <c r="J85" s="318" t="n">
        <v>4632447</v>
      </c>
      <c r="K85" s="318" t="s">
        <v>126</v>
      </c>
      <c r="L85" s="318" t="n">
        <v>72</v>
      </c>
      <c r="M85" s="318" t="n">
        <v>90</v>
      </c>
      <c r="N85" s="318" t="s">
        <v>37</v>
      </c>
      <c r="O85" s="318" t="s">
        <v>985</v>
      </c>
      <c r="P85" s="318" t="s">
        <v>215</v>
      </c>
      <c r="Q85" s="318" t="s">
        <v>283</v>
      </c>
      <c r="R85" s="318" t="s">
        <v>101</v>
      </c>
      <c r="S85" s="318" t="s">
        <v>165</v>
      </c>
      <c r="T85" s="318" t="s">
        <v>116</v>
      </c>
      <c r="U85" s="318" t="n">
        <v>5111226</v>
      </c>
      <c r="V85" s="318"/>
      <c r="W85" s="318" t="s">
        <v>47</v>
      </c>
      <c r="X85" s="318" t="s">
        <v>985</v>
      </c>
      <c r="Y85" s="318" t="s">
        <v>233</v>
      </c>
      <c r="Z85" s="318" t="s">
        <v>283</v>
      </c>
      <c r="AA85" s="318" t="s">
        <v>101</v>
      </c>
      <c r="AB85" s="318" t="s">
        <v>165</v>
      </c>
      <c r="AC85" s="318" t="s">
        <v>116</v>
      </c>
      <c r="AD85" s="318" t="n">
        <v>4513388</v>
      </c>
      <c r="AE85" s="318"/>
      <c r="AF85" s="318" t="s">
        <v>56</v>
      </c>
      <c r="AG85" s="318" t="s">
        <v>985</v>
      </c>
      <c r="AH85" s="318" t="s">
        <v>216</v>
      </c>
      <c r="AI85" s="318" t="s">
        <v>283</v>
      </c>
      <c r="AJ85" s="318" t="s">
        <v>101</v>
      </c>
      <c r="AK85" s="318" t="s">
        <v>165</v>
      </c>
      <c r="AL85" s="318" t="s">
        <v>116</v>
      </c>
      <c r="AM85" s="318"/>
      <c r="AN85" s="318"/>
      <c r="AO85" s="318"/>
      <c r="AP85" s="476"/>
      <c r="AQ85" s="476"/>
      <c r="AR85" s="6" t="s">
        <v>141</v>
      </c>
    </row>
    <row r="86" ht="26.25" customHeight="1">
      <c r="A86" s="318" t="s">
        <v>45</v>
      </c>
      <c r="B86" s="318" t="n">
        <v>2496864413</v>
      </c>
      <c r="C86" s="318" t="s">
        <v>1062</v>
      </c>
      <c r="D86" s="318" t="s">
        <v>50</v>
      </c>
      <c r="E86" s="114" t="s">
        <v>112</v>
      </c>
      <c r="F86" s="318"/>
      <c r="G86" s="318" t="s">
        <v>1063</v>
      </c>
      <c r="H86" s="318" t="s">
        <v>165</v>
      </c>
      <c r="I86" s="318" t="s">
        <v>88</v>
      </c>
      <c r="J86" s="318" t="n">
        <v>5230806</v>
      </c>
      <c r="K86" s="318" t="s">
        <v>126</v>
      </c>
      <c r="L86" s="318" t="n">
        <v>72</v>
      </c>
      <c r="M86" s="318" t="n">
        <v>90</v>
      </c>
      <c r="N86" s="318" t="s">
        <v>37</v>
      </c>
      <c r="O86" s="318" t="s">
        <v>1034</v>
      </c>
      <c r="P86" s="318" t="s">
        <v>215</v>
      </c>
      <c r="Q86" s="318" t="s">
        <v>283</v>
      </c>
      <c r="R86" s="318" t="s">
        <v>88</v>
      </c>
      <c r="S86" s="318" t="s">
        <v>165</v>
      </c>
      <c r="T86" s="318" t="s">
        <v>116</v>
      </c>
      <c r="U86" s="318" t="n">
        <v>5230722</v>
      </c>
      <c r="V86" s="318"/>
      <c r="W86" s="318" t="s">
        <v>47</v>
      </c>
      <c r="X86" s="318" t="s">
        <v>989</v>
      </c>
      <c r="Y86" s="318" t="s">
        <v>233</v>
      </c>
      <c r="Z86" s="318" t="s">
        <v>283</v>
      </c>
      <c r="AA86" s="318" t="s">
        <v>88</v>
      </c>
      <c r="AB86" s="318" t="s">
        <v>165</v>
      </c>
      <c r="AC86" s="318" t="s">
        <v>116</v>
      </c>
      <c r="AD86" s="318" t="n">
        <v>5230737</v>
      </c>
      <c r="AE86" s="318"/>
      <c r="AF86" s="318" t="s">
        <v>58</v>
      </c>
      <c r="AG86" s="318" t="s">
        <v>989</v>
      </c>
      <c r="AH86" s="318" t="s">
        <v>216</v>
      </c>
      <c r="AI86" s="318" t="s">
        <v>283</v>
      </c>
      <c r="AJ86" s="318" t="s">
        <v>88</v>
      </c>
      <c r="AK86" s="318" t="s">
        <v>165</v>
      </c>
      <c r="AL86" s="318" t="s">
        <v>116</v>
      </c>
      <c r="AM86" s="318" t="s">
        <v>217</v>
      </c>
      <c r="AN86" s="318" t="s">
        <v>217</v>
      </c>
      <c r="AO86" s="318" t="s">
        <v>218</v>
      </c>
      <c r="AP86" s="476" t="s">
        <v>218</v>
      </c>
      <c r="AQ86" s="476" t="s">
        <v>218</v>
      </c>
      <c r="AR86" s="6" t="s">
        <v>141</v>
      </c>
    </row>
    <row r="87" ht="26.25" customHeight="1">
      <c r="A87" s="318" t="s">
        <v>54</v>
      </c>
      <c r="B87" s="318" t="n">
        <v>2640270268</v>
      </c>
      <c r="C87" s="318" t="s">
        <v>1064</v>
      </c>
      <c r="D87" s="318" t="s">
        <v>57</v>
      </c>
      <c r="E87" s="318"/>
      <c r="F87" s="318"/>
      <c r="G87" s="318"/>
      <c r="H87" s="318" t="s">
        <v>165</v>
      </c>
      <c r="I87" s="318" t="s">
        <v>101</v>
      </c>
      <c r="J87" s="318" t="n">
        <v>4632447</v>
      </c>
      <c r="K87" s="318" t="s">
        <v>126</v>
      </c>
      <c r="L87" s="318" t="n">
        <v>72</v>
      </c>
      <c r="M87" s="318" t="n">
        <v>90</v>
      </c>
      <c r="N87" s="318" t="s">
        <v>37</v>
      </c>
      <c r="O87" s="318" t="s">
        <v>985</v>
      </c>
      <c r="P87" s="318" t="s">
        <v>215</v>
      </c>
      <c r="Q87" s="318" t="s">
        <v>283</v>
      </c>
      <c r="R87" s="318" t="s">
        <v>101</v>
      </c>
      <c r="S87" s="318" t="s">
        <v>165</v>
      </c>
      <c r="T87" s="318" t="s">
        <v>116</v>
      </c>
      <c r="U87" s="318" t="n">
        <v>5111226</v>
      </c>
      <c r="V87" s="318"/>
      <c r="W87" s="318" t="s">
        <v>47</v>
      </c>
      <c r="X87" s="318" t="s">
        <v>985</v>
      </c>
      <c r="Y87" s="318" t="s">
        <v>233</v>
      </c>
      <c r="Z87" s="318" t="s">
        <v>283</v>
      </c>
      <c r="AA87" s="318" t="s">
        <v>101</v>
      </c>
      <c r="AB87" s="318" t="s">
        <v>165</v>
      </c>
      <c r="AC87" s="318" t="s">
        <v>116</v>
      </c>
      <c r="AD87" s="318" t="n">
        <v>4513388</v>
      </c>
      <c r="AE87" s="318"/>
      <c r="AF87" s="318" t="s">
        <v>56</v>
      </c>
      <c r="AG87" s="318" t="s">
        <v>985</v>
      </c>
      <c r="AH87" s="318" t="s">
        <v>216</v>
      </c>
      <c r="AI87" s="318" t="s">
        <v>283</v>
      </c>
      <c r="AJ87" s="318" t="s">
        <v>101</v>
      </c>
      <c r="AK87" s="318" t="s">
        <v>165</v>
      </c>
      <c r="AL87" s="318" t="s">
        <v>116</v>
      </c>
      <c r="AM87" s="318"/>
      <c r="AN87" s="318"/>
      <c r="AO87" s="318"/>
      <c r="AP87" s="476"/>
      <c r="AQ87" s="476"/>
      <c r="AR87" s="6" t="s">
        <v>141</v>
      </c>
    </row>
    <row r="88" ht="26.25" customHeight="1">
      <c r="A88" s="318" t="s">
        <v>54</v>
      </c>
      <c r="B88" s="318" t="n">
        <v>2137353430</v>
      </c>
      <c r="C88" s="318" t="s">
        <v>1065</v>
      </c>
      <c r="D88" s="318" t="s">
        <v>50</v>
      </c>
      <c r="E88" s="318"/>
      <c r="F88" s="318"/>
      <c r="G88" s="318"/>
      <c r="H88" s="318" t="s">
        <v>165</v>
      </c>
      <c r="I88" s="318" t="s">
        <v>100</v>
      </c>
      <c r="J88" s="318" t="n">
        <v>5111034</v>
      </c>
      <c r="K88" s="318" t="s">
        <v>126</v>
      </c>
      <c r="L88" s="318" t="n">
        <v>72</v>
      </c>
      <c r="M88" s="318" t="n">
        <v>90</v>
      </c>
      <c r="N88" s="318" t="s">
        <v>37</v>
      </c>
      <c r="O88" s="318" t="s">
        <v>1030</v>
      </c>
      <c r="P88" s="318" t="s">
        <v>216</v>
      </c>
      <c r="Q88" s="318" t="s">
        <v>283</v>
      </c>
      <c r="R88" s="318" t="s">
        <v>100</v>
      </c>
      <c r="S88" s="318" t="s">
        <v>165</v>
      </c>
      <c r="T88" s="318" t="s">
        <v>116</v>
      </c>
      <c r="U88" s="318" t="n">
        <v>4513342</v>
      </c>
      <c r="V88" s="318"/>
      <c r="W88" s="318" t="s">
        <v>43</v>
      </c>
      <c r="X88" s="318" t="s">
        <v>1030</v>
      </c>
      <c r="Y88" s="318" t="s">
        <v>215</v>
      </c>
      <c r="Z88" s="318" t="s">
        <v>283</v>
      </c>
      <c r="AA88" s="318" t="s">
        <v>100</v>
      </c>
      <c r="AB88" s="318" t="s">
        <v>165</v>
      </c>
      <c r="AC88" s="318" t="s">
        <v>116</v>
      </c>
      <c r="AD88" s="318" t="n">
        <v>4513340</v>
      </c>
      <c r="AE88" s="318"/>
      <c r="AF88" s="318" t="s">
        <v>58</v>
      </c>
      <c r="AG88" s="318" t="s">
        <v>1030</v>
      </c>
      <c r="AH88" s="318" t="s">
        <v>233</v>
      </c>
      <c r="AI88" s="318" t="s">
        <v>283</v>
      </c>
      <c r="AJ88" s="318" t="s">
        <v>100</v>
      </c>
      <c r="AK88" s="318" t="s">
        <v>165</v>
      </c>
      <c r="AL88" s="318" t="s">
        <v>116</v>
      </c>
      <c r="AM88" s="318"/>
      <c r="AN88" s="318"/>
      <c r="AO88" s="318"/>
      <c r="AP88" s="476"/>
      <c r="AQ88" s="476"/>
      <c r="AR88" s="6" t="s">
        <v>141</v>
      </c>
    </row>
    <row r="89" ht="26.25" customHeight="1">
      <c r="A89" s="318" t="s">
        <v>54</v>
      </c>
      <c r="B89" s="318" t="n">
        <v>4852867146</v>
      </c>
      <c r="C89" s="318" t="s">
        <v>1066</v>
      </c>
      <c r="D89" s="318" t="s">
        <v>59</v>
      </c>
      <c r="E89" s="318" t="s">
        <v>112</v>
      </c>
      <c r="F89" s="318"/>
      <c r="G89" s="318" t="s">
        <v>298</v>
      </c>
      <c r="H89" s="318" t="s">
        <v>165</v>
      </c>
      <c r="I89" s="318" t="s">
        <v>100</v>
      </c>
      <c r="J89" s="318" t="n">
        <v>5111034</v>
      </c>
      <c r="K89" s="318" t="s">
        <v>126</v>
      </c>
      <c r="L89" s="318" t="n">
        <v>75</v>
      </c>
      <c r="M89" s="318" t="n">
        <v>94</v>
      </c>
      <c r="N89" s="114" t="s">
        <v>37</v>
      </c>
      <c r="O89" s="318" t="s">
        <v>1030</v>
      </c>
      <c r="P89" s="318" t="s">
        <v>216</v>
      </c>
      <c r="Q89" s="318" t="s">
        <v>283</v>
      </c>
      <c r="R89" s="318" t="s">
        <v>100</v>
      </c>
      <c r="S89" s="318" t="s">
        <v>165</v>
      </c>
      <c r="T89" s="318" t="s">
        <v>116</v>
      </c>
      <c r="U89" s="318" t="n">
        <v>4513342</v>
      </c>
      <c r="V89" s="318"/>
      <c r="W89" s="318" t="s">
        <v>43</v>
      </c>
      <c r="X89" s="318" t="s">
        <v>1030</v>
      </c>
      <c r="Y89" s="318" t="s">
        <v>215</v>
      </c>
      <c r="Z89" s="318" t="s">
        <v>283</v>
      </c>
      <c r="AA89" s="318" t="s">
        <v>100</v>
      </c>
      <c r="AB89" s="318" t="s">
        <v>165</v>
      </c>
      <c r="AC89" s="318" t="s">
        <v>116</v>
      </c>
      <c r="AD89" s="318" t="n">
        <v>4513340</v>
      </c>
      <c r="AE89" s="318"/>
      <c r="AF89" s="114" t="s">
        <v>58</v>
      </c>
      <c r="AG89" s="318" t="s">
        <v>1030</v>
      </c>
      <c r="AH89" s="318" t="s">
        <v>233</v>
      </c>
      <c r="AI89" s="318" t="s">
        <v>283</v>
      </c>
      <c r="AJ89" s="318" t="s">
        <v>100</v>
      </c>
      <c r="AK89" s="318" t="s">
        <v>165</v>
      </c>
      <c r="AL89" s="318" t="s">
        <v>116</v>
      </c>
      <c r="AM89" s="318"/>
      <c r="AN89" s="318"/>
      <c r="AO89" s="318"/>
      <c r="AP89" s="476"/>
      <c r="AQ89" s="476"/>
      <c r="AR89" s="6" t="s">
        <v>141</v>
      </c>
    </row>
    <row r="90" ht="26.25" customHeight="1">
      <c r="A90" s="318" t="s">
        <v>54</v>
      </c>
      <c r="B90" s="318" t="n">
        <v>2326406204</v>
      </c>
      <c r="C90" s="318" t="s">
        <v>1067</v>
      </c>
      <c r="D90" s="318" t="s">
        <v>59</v>
      </c>
      <c r="E90" s="318"/>
      <c r="F90" s="318"/>
      <c r="G90" s="318" t="s">
        <v>298</v>
      </c>
      <c r="H90" s="318" t="s">
        <v>165</v>
      </c>
      <c r="I90" s="318" t="s">
        <v>100</v>
      </c>
      <c r="J90" s="318" t="n">
        <v>5111034</v>
      </c>
      <c r="K90" s="318" t="s">
        <v>126</v>
      </c>
      <c r="L90" s="318" t="n">
        <v>72</v>
      </c>
      <c r="M90" s="318" t="n">
        <v>90</v>
      </c>
      <c r="N90" s="114" t="s">
        <v>37</v>
      </c>
      <c r="O90" s="318" t="s">
        <v>1030</v>
      </c>
      <c r="P90" s="318" t="s">
        <v>216</v>
      </c>
      <c r="Q90" s="318" t="s">
        <v>283</v>
      </c>
      <c r="R90" s="318" t="s">
        <v>100</v>
      </c>
      <c r="S90" s="318" t="s">
        <v>165</v>
      </c>
      <c r="T90" s="318" t="s">
        <v>116</v>
      </c>
      <c r="U90" s="318" t="n">
        <v>4513342</v>
      </c>
      <c r="V90" s="318"/>
      <c r="W90" s="318" t="s">
        <v>43</v>
      </c>
      <c r="X90" s="318" t="s">
        <v>1030</v>
      </c>
      <c r="Y90" s="318" t="s">
        <v>215</v>
      </c>
      <c r="Z90" s="318" t="s">
        <v>283</v>
      </c>
      <c r="AA90" s="318" t="s">
        <v>100</v>
      </c>
      <c r="AB90" s="318" t="s">
        <v>165</v>
      </c>
      <c r="AC90" s="318" t="s">
        <v>116</v>
      </c>
      <c r="AD90" s="318" t="n">
        <v>4513340</v>
      </c>
      <c r="AE90" s="318"/>
      <c r="AF90" s="114" t="s">
        <v>58</v>
      </c>
      <c r="AG90" s="318" t="s">
        <v>1030</v>
      </c>
      <c r="AH90" s="318" t="s">
        <v>233</v>
      </c>
      <c r="AI90" s="318" t="s">
        <v>283</v>
      </c>
      <c r="AJ90" s="318" t="s">
        <v>100</v>
      </c>
      <c r="AK90" s="318" t="s">
        <v>165</v>
      </c>
      <c r="AL90" s="318" t="s">
        <v>116</v>
      </c>
      <c r="AM90" s="318"/>
      <c r="AN90" s="318"/>
      <c r="AO90" s="318"/>
      <c r="AP90" s="476"/>
      <c r="AQ90" s="476"/>
      <c r="AR90" s="6" t="s">
        <v>141</v>
      </c>
    </row>
    <row r="91" ht="26.25" customHeight="1">
      <c r="A91" s="318" t="s">
        <v>54</v>
      </c>
      <c r="B91" s="318" t="n">
        <v>4850707583</v>
      </c>
      <c r="C91" s="318" t="s">
        <v>369</v>
      </c>
      <c r="D91" s="318" t="s">
        <v>57</v>
      </c>
      <c r="E91" s="318"/>
      <c r="F91" s="318"/>
      <c r="G91" s="318" t="s">
        <v>377</v>
      </c>
      <c r="H91" s="318" t="s">
        <v>165</v>
      </c>
      <c r="I91" s="318" t="s">
        <v>101</v>
      </c>
      <c r="J91" s="318" t="n">
        <v>5111035</v>
      </c>
      <c r="K91" s="318" t="s">
        <v>126</v>
      </c>
      <c r="L91" s="318" t="n">
        <v>60</v>
      </c>
      <c r="M91" s="318" t="n">
        <v>80</v>
      </c>
      <c r="N91" s="114" t="s">
        <v>35</v>
      </c>
      <c r="O91" s="318" t="s">
        <v>986</v>
      </c>
      <c r="P91" s="318" t="s">
        <v>233</v>
      </c>
      <c r="Q91" s="318" t="s">
        <v>234</v>
      </c>
      <c r="R91" s="318" t="s">
        <v>101</v>
      </c>
      <c r="S91" s="318" t="s">
        <v>165</v>
      </c>
      <c r="T91" s="318" t="s">
        <v>116</v>
      </c>
      <c r="U91" s="318" t="n">
        <v>5230747</v>
      </c>
      <c r="V91" s="318"/>
      <c r="W91" s="318" t="s">
        <v>49</v>
      </c>
      <c r="X91" s="114" t="s">
        <v>987</v>
      </c>
      <c r="Y91" s="114" t="s">
        <v>215</v>
      </c>
      <c r="Z91" s="318" t="s">
        <v>283</v>
      </c>
      <c r="AA91" s="318" t="s">
        <v>101</v>
      </c>
      <c r="AB91" s="318" t="s">
        <v>165</v>
      </c>
      <c r="AC91" s="318" t="s">
        <v>116</v>
      </c>
      <c r="AD91" s="318" t="n">
        <v>4513388</v>
      </c>
      <c r="AE91" s="318"/>
      <c r="AF91" s="114" t="s">
        <v>56</v>
      </c>
      <c r="AG91" s="318" t="s">
        <v>985</v>
      </c>
      <c r="AH91" s="114" t="s">
        <v>216</v>
      </c>
      <c r="AI91" s="318" t="s">
        <v>283</v>
      </c>
      <c r="AJ91" s="318" t="s">
        <v>101</v>
      </c>
      <c r="AK91" s="318" t="s">
        <v>165</v>
      </c>
      <c r="AL91" s="318" t="s">
        <v>116</v>
      </c>
      <c r="AM91" s="318"/>
      <c r="AN91" s="318"/>
      <c r="AO91" s="318"/>
      <c r="AP91" s="476"/>
      <c r="AQ91" s="476"/>
      <c r="AR91" s="6" t="s">
        <v>141</v>
      </c>
    </row>
    <row r="92" ht="26.25" customHeight="1">
      <c r="A92" s="318" t="s">
        <v>54</v>
      </c>
      <c r="B92" s="318" t="n">
        <v>2408720156</v>
      </c>
      <c r="C92" s="318" t="s">
        <v>1068</v>
      </c>
      <c r="D92" s="318" t="s">
        <v>55</v>
      </c>
      <c r="E92" s="318" t="s">
        <v>104</v>
      </c>
      <c r="F92" s="318"/>
      <c r="G92" s="318"/>
      <c r="H92" s="318" t="s">
        <v>165</v>
      </c>
      <c r="I92" s="318" t="s">
        <v>100</v>
      </c>
      <c r="J92" s="318" t="n">
        <v>5111034</v>
      </c>
      <c r="K92" s="318" t="s">
        <v>126</v>
      </c>
      <c r="L92" s="318" t="n">
        <v>72</v>
      </c>
      <c r="M92" s="318" t="n">
        <v>90</v>
      </c>
      <c r="N92" s="114" t="s">
        <v>37</v>
      </c>
      <c r="O92" s="318" t="s">
        <v>1030</v>
      </c>
      <c r="P92" s="318" t="s">
        <v>216</v>
      </c>
      <c r="Q92" s="318" t="s">
        <v>283</v>
      </c>
      <c r="R92" s="318" t="s">
        <v>100</v>
      </c>
      <c r="S92" s="318" t="s">
        <v>165</v>
      </c>
      <c r="T92" s="318" t="s">
        <v>116</v>
      </c>
      <c r="U92" s="318" t="n">
        <v>4513342</v>
      </c>
      <c r="V92" s="318"/>
      <c r="W92" s="318" t="s">
        <v>43</v>
      </c>
      <c r="X92" s="318" t="s">
        <v>1030</v>
      </c>
      <c r="Y92" s="318" t="s">
        <v>215</v>
      </c>
      <c r="Z92" s="318" t="s">
        <v>283</v>
      </c>
      <c r="AA92" s="318" t="s">
        <v>100</v>
      </c>
      <c r="AB92" s="318" t="s">
        <v>165</v>
      </c>
      <c r="AC92" s="318" t="s">
        <v>116</v>
      </c>
      <c r="AD92" s="318" t="n">
        <v>4513340</v>
      </c>
      <c r="AE92" s="318"/>
      <c r="AF92" s="318" t="s">
        <v>58</v>
      </c>
      <c r="AG92" s="318" t="s">
        <v>1030</v>
      </c>
      <c r="AH92" s="318" t="s">
        <v>233</v>
      </c>
      <c r="AI92" s="318" t="s">
        <v>283</v>
      </c>
      <c r="AJ92" s="318" t="s">
        <v>100</v>
      </c>
      <c r="AK92" s="318" t="s">
        <v>165</v>
      </c>
      <c r="AL92" s="318" t="s">
        <v>116</v>
      </c>
      <c r="AM92" s="318"/>
      <c r="AN92" s="318"/>
      <c r="AO92" s="318"/>
      <c r="AP92" s="476"/>
      <c r="AQ92" s="476"/>
      <c r="AR92" s="6" t="s">
        <v>141</v>
      </c>
    </row>
    <row r="93" ht="26.25" customHeight="1">
      <c r="A93" s="318" t="s">
        <v>54</v>
      </c>
      <c r="B93" s="318" t="n">
        <v>2572765383</v>
      </c>
      <c r="C93" s="318" t="s">
        <v>962</v>
      </c>
      <c r="D93" s="318" t="s">
        <v>57</v>
      </c>
      <c r="E93" s="114" t="s">
        <v>104</v>
      </c>
      <c r="F93" s="318"/>
      <c r="G93" s="318"/>
      <c r="H93" s="318" t="s">
        <v>165</v>
      </c>
      <c r="I93" s="318" t="s">
        <v>65</v>
      </c>
      <c r="J93" s="318" t="s">
        <v>116</v>
      </c>
      <c r="K93" s="318"/>
      <c r="L93" s="318"/>
      <c r="M93" s="318"/>
      <c r="N93" s="114" t="s">
        <v>116</v>
      </c>
      <c r="O93" s="318" t="s">
        <v>116</v>
      </c>
      <c r="P93" s="318" t="s">
        <v>116</v>
      </c>
      <c r="Q93" s="318" t="s">
        <v>116</v>
      </c>
      <c r="R93" s="318" t="s">
        <v>116</v>
      </c>
      <c r="S93" s="318" t="s">
        <v>116</v>
      </c>
      <c r="T93" s="318" t="s">
        <v>116</v>
      </c>
      <c r="U93" s="318" t="s">
        <v>116</v>
      </c>
      <c r="V93" s="318"/>
      <c r="W93" s="318" t="s">
        <v>116</v>
      </c>
      <c r="X93" s="318" t="s">
        <v>116</v>
      </c>
      <c r="Y93" s="318" t="s">
        <v>116</v>
      </c>
      <c r="Z93" s="318" t="s">
        <v>116</v>
      </c>
      <c r="AA93" s="318" t="s">
        <v>116</v>
      </c>
      <c r="AB93" s="318" t="s">
        <v>116</v>
      </c>
      <c r="AC93" s="318" t="s">
        <v>116</v>
      </c>
      <c r="AD93" s="318" t="n">
        <v>3132888</v>
      </c>
      <c r="AE93" s="318"/>
      <c r="AF93" s="114" t="s">
        <v>56</v>
      </c>
      <c r="AG93" s="318" t="s">
        <v>986</v>
      </c>
      <c r="AH93" s="318" t="s">
        <v>215</v>
      </c>
      <c r="AI93" s="318" t="s">
        <v>283</v>
      </c>
      <c r="AJ93" s="318" t="s">
        <v>65</v>
      </c>
      <c r="AK93" s="318" t="s">
        <v>165</v>
      </c>
      <c r="AL93" s="318" t="s">
        <v>116</v>
      </c>
      <c r="AM93" s="318" t="s">
        <v>217</v>
      </c>
      <c r="AN93" s="318" t="s">
        <v>217</v>
      </c>
      <c r="AO93" s="318" t="s">
        <v>218</v>
      </c>
      <c r="AP93" s="476" t="s">
        <v>218</v>
      </c>
      <c r="AQ93" s="476" t="s">
        <v>218</v>
      </c>
      <c r="AR93" s="6" t="s">
        <v>141</v>
      </c>
    </row>
    <row r="94" ht="26.25" customHeight="1">
      <c r="A94" s="318" t="s">
        <v>45</v>
      </c>
      <c r="B94" s="318" t="n">
        <v>2581075620</v>
      </c>
      <c r="C94" s="318" t="s">
        <v>1069</v>
      </c>
      <c r="D94" s="318" t="s">
        <v>48</v>
      </c>
      <c r="E94" s="114" t="s">
        <v>104</v>
      </c>
      <c r="F94" s="318"/>
      <c r="G94" s="318"/>
      <c r="H94" s="318" t="s">
        <v>165</v>
      </c>
      <c r="I94" s="318" t="s">
        <v>88</v>
      </c>
      <c r="J94" s="318" t="n">
        <v>5230806</v>
      </c>
      <c r="K94" s="318" t="s">
        <v>126</v>
      </c>
      <c r="L94" s="318" t="n">
        <v>72</v>
      </c>
      <c r="M94" s="318" t="n">
        <v>90</v>
      </c>
      <c r="N94" s="114" t="s">
        <v>37</v>
      </c>
      <c r="O94" s="318" t="s">
        <v>1034</v>
      </c>
      <c r="P94" s="318" t="s">
        <v>215</v>
      </c>
      <c r="Q94" s="318" t="s">
        <v>283</v>
      </c>
      <c r="R94" s="318" t="s">
        <v>88</v>
      </c>
      <c r="S94" s="318" t="s">
        <v>165</v>
      </c>
      <c r="T94" s="318" t="s">
        <v>116</v>
      </c>
      <c r="U94" s="318" t="s">
        <v>116</v>
      </c>
      <c r="V94" s="318"/>
      <c r="W94" s="318" t="s">
        <v>116</v>
      </c>
      <c r="X94" s="114" t="s">
        <v>116</v>
      </c>
      <c r="Y94" s="114" t="s">
        <v>116</v>
      </c>
      <c r="Z94" s="318" t="s">
        <v>116</v>
      </c>
      <c r="AA94" s="318" t="s">
        <v>116</v>
      </c>
      <c r="AB94" s="318" t="s">
        <v>116</v>
      </c>
      <c r="AC94" s="318" t="s">
        <v>116</v>
      </c>
      <c r="AD94" s="318" t="s">
        <v>116</v>
      </c>
      <c r="AE94" s="318"/>
      <c r="AF94" s="114" t="s">
        <v>116</v>
      </c>
      <c r="AG94" s="318" t="s">
        <v>116</v>
      </c>
      <c r="AH94" s="114" t="s">
        <v>116</v>
      </c>
      <c r="AI94" s="318" t="s">
        <v>116</v>
      </c>
      <c r="AJ94" s="318" t="s">
        <v>116</v>
      </c>
      <c r="AK94" s="318" t="s">
        <v>116</v>
      </c>
      <c r="AL94" s="318" t="s">
        <v>116</v>
      </c>
      <c r="AM94" s="318" t="s">
        <v>217</v>
      </c>
      <c r="AN94" s="318" t="s">
        <v>218</v>
      </c>
      <c r="AO94" s="318" t="s">
        <v>218</v>
      </c>
      <c r="AP94" s="476" t="s">
        <v>218</v>
      </c>
      <c r="AQ94" s="476" t="s">
        <v>218</v>
      </c>
      <c r="AR94" s="6" t="s">
        <v>141</v>
      </c>
    </row>
    <row r="95" ht="26.25" customHeight="1">
      <c r="A95" s="318" t="s">
        <v>54</v>
      </c>
      <c r="B95" s="318" t="n">
        <v>4065596636</v>
      </c>
      <c r="C95" s="318" t="s">
        <v>1070</v>
      </c>
      <c r="D95" s="318" t="s">
        <v>38</v>
      </c>
      <c r="E95" s="318" t="s">
        <v>104</v>
      </c>
      <c r="F95" s="318"/>
      <c r="G95" s="318"/>
      <c r="H95" s="318" t="s">
        <v>165</v>
      </c>
      <c r="I95" s="318" t="s">
        <v>101</v>
      </c>
      <c r="J95" s="318" t="n">
        <v>4632447</v>
      </c>
      <c r="K95" s="318" t="s">
        <v>126</v>
      </c>
      <c r="L95" s="318" t="n">
        <v>72</v>
      </c>
      <c r="M95" s="318" t="n">
        <v>90</v>
      </c>
      <c r="N95" s="114" t="s">
        <v>37</v>
      </c>
      <c r="O95" s="318" t="s">
        <v>985</v>
      </c>
      <c r="P95" s="318" t="s">
        <v>215</v>
      </c>
      <c r="Q95" s="318" t="s">
        <v>283</v>
      </c>
      <c r="R95" s="318" t="s">
        <v>101</v>
      </c>
      <c r="S95" s="318" t="s">
        <v>165</v>
      </c>
      <c r="T95" s="318" t="s">
        <v>116</v>
      </c>
      <c r="U95" s="318" t="n">
        <v>5111226</v>
      </c>
      <c r="V95" s="318"/>
      <c r="W95" s="318" t="s">
        <v>47</v>
      </c>
      <c r="X95" s="318" t="s">
        <v>985</v>
      </c>
      <c r="Y95" s="318" t="s">
        <v>233</v>
      </c>
      <c r="Z95" s="318" t="s">
        <v>283</v>
      </c>
      <c r="AA95" s="318" t="s">
        <v>101</v>
      </c>
      <c r="AB95" s="318" t="s">
        <v>165</v>
      </c>
      <c r="AC95" s="318" t="s">
        <v>116</v>
      </c>
      <c r="AD95" s="318" t="n">
        <v>4513388</v>
      </c>
      <c r="AE95" s="318"/>
      <c r="AF95" s="114" t="s">
        <v>56</v>
      </c>
      <c r="AG95" s="318" t="s">
        <v>985</v>
      </c>
      <c r="AH95" s="318" t="s">
        <v>216</v>
      </c>
      <c r="AI95" s="318" t="s">
        <v>283</v>
      </c>
      <c r="AJ95" s="318" t="s">
        <v>101</v>
      </c>
      <c r="AK95" s="318" t="s">
        <v>165</v>
      </c>
      <c r="AL95" s="318" t="s">
        <v>116</v>
      </c>
      <c r="AM95" s="318"/>
      <c r="AN95" s="318"/>
      <c r="AO95" s="318"/>
      <c r="AP95" s="318"/>
      <c r="AQ95" s="318"/>
      <c r="AR95" s="6" t="s">
        <v>141</v>
      </c>
    </row>
    <row r="96" ht="26.25" customHeight="1">
      <c r="A96" s="318" t="s">
        <v>45</v>
      </c>
      <c r="B96" s="318" t="n">
        <v>4018505986</v>
      </c>
      <c r="C96" s="318" t="s">
        <v>1063</v>
      </c>
      <c r="D96" s="318" t="s">
        <v>50</v>
      </c>
      <c r="E96" s="318" t="s">
        <v>104</v>
      </c>
      <c r="F96" s="318"/>
      <c r="G96" s="318"/>
      <c r="H96" s="318" t="s">
        <v>165</v>
      </c>
      <c r="I96" s="318" t="s">
        <v>88</v>
      </c>
      <c r="J96" s="318" t="n">
        <v>5230806</v>
      </c>
      <c r="K96" s="318" t="s">
        <v>126</v>
      </c>
      <c r="L96" s="318" t="n">
        <v>72</v>
      </c>
      <c r="M96" s="318" t="n">
        <v>90</v>
      </c>
      <c r="N96" s="318" t="s">
        <v>37</v>
      </c>
      <c r="O96" s="318" t="s">
        <v>1034</v>
      </c>
      <c r="P96" s="318" t="s">
        <v>215</v>
      </c>
      <c r="Q96" s="318" t="s">
        <v>283</v>
      </c>
      <c r="R96" s="318" t="s">
        <v>88</v>
      </c>
      <c r="S96" s="318" t="s">
        <v>165</v>
      </c>
      <c r="T96" s="318" t="s">
        <v>116</v>
      </c>
      <c r="U96" s="318" t="n">
        <v>5170872</v>
      </c>
      <c r="V96" s="318"/>
      <c r="W96" s="318" t="s">
        <v>49</v>
      </c>
      <c r="X96" s="318" t="s">
        <v>1034</v>
      </c>
      <c r="Y96" s="318" t="s">
        <v>216</v>
      </c>
      <c r="Z96" s="318" t="s">
        <v>283</v>
      </c>
      <c r="AA96" s="318" t="s">
        <v>88</v>
      </c>
      <c r="AB96" s="318" t="s">
        <v>165</v>
      </c>
      <c r="AC96" s="318" t="s">
        <v>116</v>
      </c>
      <c r="AD96" s="318" t="n">
        <v>3132865</v>
      </c>
      <c r="AE96" s="318"/>
      <c r="AF96" s="318" t="s">
        <v>52</v>
      </c>
      <c r="AG96" s="318" t="s">
        <v>1034</v>
      </c>
      <c r="AH96" s="318" t="s">
        <v>233</v>
      </c>
      <c r="AI96" s="318" t="s">
        <v>283</v>
      </c>
      <c r="AJ96" s="318" t="s">
        <v>88</v>
      </c>
      <c r="AK96" s="318" t="s">
        <v>165</v>
      </c>
      <c r="AL96" s="318" t="s">
        <v>116</v>
      </c>
      <c r="AM96" s="318" t="s">
        <v>217</v>
      </c>
      <c r="AN96" s="318" t="s">
        <v>217</v>
      </c>
      <c r="AO96" s="318" t="s">
        <v>218</v>
      </c>
      <c r="AP96" s="318" t="s">
        <v>217</v>
      </c>
      <c r="AQ96" s="318" t="s">
        <v>217</v>
      </c>
      <c r="AR96" s="6" t="s">
        <v>141</v>
      </c>
    </row>
    <row r="97" ht="26.25" customHeight="1">
      <c r="A97" s="318" t="s">
        <v>54</v>
      </c>
      <c r="B97" s="318" t="n">
        <v>2136468815</v>
      </c>
      <c r="C97" s="318" t="s">
        <v>1071</v>
      </c>
      <c r="D97" s="318" t="s">
        <v>36</v>
      </c>
      <c r="E97" s="318" t="s">
        <v>112</v>
      </c>
      <c r="F97" s="318"/>
      <c r="G97" s="318" t="s">
        <v>317</v>
      </c>
      <c r="H97" s="318" t="s">
        <v>165</v>
      </c>
      <c r="I97" s="318" t="s">
        <v>1072</v>
      </c>
      <c r="J97" s="318" t="n">
        <v>4632447</v>
      </c>
      <c r="K97" s="318" t="s">
        <v>125</v>
      </c>
      <c r="L97" s="318" t="n">
        <v>77</v>
      </c>
      <c r="M97" s="318" t="s">
        <v>116</v>
      </c>
      <c r="N97" s="318" t="s">
        <v>37</v>
      </c>
      <c r="O97" s="318" t="s">
        <v>985</v>
      </c>
      <c r="P97" s="318" t="s">
        <v>215</v>
      </c>
      <c r="Q97" s="318" t="s">
        <v>283</v>
      </c>
      <c r="R97" s="318" t="s">
        <v>101</v>
      </c>
      <c r="S97" s="318" t="s">
        <v>165</v>
      </c>
      <c r="T97" s="318" t="s">
        <v>217</v>
      </c>
      <c r="U97" s="318" t="n">
        <v>5170873</v>
      </c>
      <c r="V97" s="318"/>
      <c r="W97" s="318" t="s">
        <v>47</v>
      </c>
      <c r="X97" s="318" t="s">
        <v>986</v>
      </c>
      <c r="Y97" s="318" t="s">
        <v>216</v>
      </c>
      <c r="Z97" s="318" t="s">
        <v>283</v>
      </c>
      <c r="AA97" s="318" t="s">
        <v>101</v>
      </c>
      <c r="AB97" s="318" t="s">
        <v>165</v>
      </c>
      <c r="AC97" s="318" t="s">
        <v>217</v>
      </c>
      <c r="AD97" s="318" t="n">
        <v>5230723</v>
      </c>
      <c r="AE97" s="318"/>
      <c r="AF97" s="318" t="s">
        <v>56</v>
      </c>
      <c r="AG97" s="318" t="s">
        <v>987</v>
      </c>
      <c r="AH97" s="318" t="s">
        <v>233</v>
      </c>
      <c r="AI97" s="318" t="s">
        <v>283</v>
      </c>
      <c r="AJ97" s="318" t="s">
        <v>88</v>
      </c>
      <c r="AK97" s="318" t="s">
        <v>165</v>
      </c>
      <c r="AL97" s="318" t="s">
        <v>217</v>
      </c>
      <c r="AM97" s="318" t="s">
        <v>217</v>
      </c>
      <c r="AN97" s="318" t="s">
        <v>217</v>
      </c>
      <c r="AO97" s="318" t="s">
        <v>217</v>
      </c>
      <c r="AP97" s="318" t="s">
        <v>217</v>
      </c>
      <c r="AQ97" s="318" t="s">
        <v>217</v>
      </c>
      <c r="AR97" s="6" t="s">
        <v>141</v>
      </c>
      <c r="AS97" s="6" t="s">
        <v>217</v>
      </c>
    </row>
    <row r="98" ht="26.25" customHeight="1">
      <c r="A98" s="318" t="s">
        <v>45</v>
      </c>
      <c r="B98" s="318" t="n">
        <v>2558217051</v>
      </c>
      <c r="C98" s="318" t="s">
        <v>378</v>
      </c>
      <c r="D98" s="318" t="s">
        <v>46</v>
      </c>
      <c r="E98" s="114" t="s">
        <v>104</v>
      </c>
      <c r="F98" s="318"/>
      <c r="G98" s="318"/>
      <c r="H98" s="318" t="s">
        <v>165</v>
      </c>
      <c r="I98" s="318" t="s">
        <v>65</v>
      </c>
      <c r="J98" s="318" t="n">
        <v>5230802</v>
      </c>
      <c r="K98" s="318" t="s">
        <v>126</v>
      </c>
      <c r="L98" s="318" t="n">
        <v>72</v>
      </c>
      <c r="M98" s="318" t="n">
        <v>90</v>
      </c>
      <c r="N98" s="318" t="s">
        <v>37</v>
      </c>
      <c r="O98" s="318" t="s">
        <v>997</v>
      </c>
      <c r="P98" s="318" t="s">
        <v>233</v>
      </c>
      <c r="Q98" s="318" t="s">
        <v>283</v>
      </c>
      <c r="R98" s="318" t="s">
        <v>65</v>
      </c>
      <c r="S98" s="318" t="s">
        <v>165</v>
      </c>
      <c r="T98" s="318" t="s">
        <v>116</v>
      </c>
      <c r="U98" s="318" t="n">
        <v>4632448</v>
      </c>
      <c r="V98" s="318"/>
      <c r="W98" s="318" t="s">
        <v>49</v>
      </c>
      <c r="X98" s="318" t="s">
        <v>997</v>
      </c>
      <c r="Y98" s="318" t="s">
        <v>215</v>
      </c>
      <c r="Z98" s="318" t="s">
        <v>283</v>
      </c>
      <c r="AA98" s="318" t="s">
        <v>65</v>
      </c>
      <c r="AB98" s="318" t="s">
        <v>165</v>
      </c>
      <c r="AC98" s="318" t="s">
        <v>116</v>
      </c>
      <c r="AD98" s="318" t="n">
        <v>3132837</v>
      </c>
      <c r="AE98" s="318"/>
      <c r="AF98" s="114" t="s">
        <v>58</v>
      </c>
      <c r="AG98" s="318" t="s">
        <v>997</v>
      </c>
      <c r="AH98" s="318" t="s">
        <v>216</v>
      </c>
      <c r="AI98" s="318" t="s">
        <v>283</v>
      </c>
      <c r="AJ98" s="318" t="s">
        <v>65</v>
      </c>
      <c r="AK98" s="318" t="s">
        <v>165</v>
      </c>
      <c r="AL98" s="318" t="s">
        <v>116</v>
      </c>
      <c r="AM98" s="318"/>
      <c r="AN98" s="318"/>
      <c r="AO98" s="318"/>
      <c r="AP98" s="318"/>
      <c r="AQ98" s="318"/>
      <c r="AR98" s="6" t="s">
        <v>141</v>
      </c>
    </row>
    <row r="99" ht="26.25" customHeight="1">
      <c r="A99" s="318" t="s">
        <v>54</v>
      </c>
      <c r="B99" s="318" t="n">
        <v>4199817048</v>
      </c>
      <c r="C99" s="318" t="s">
        <v>1073</v>
      </c>
      <c r="D99" s="318" t="s">
        <v>59</v>
      </c>
      <c r="E99" s="114" t="s">
        <v>112</v>
      </c>
      <c r="F99" s="318"/>
      <c r="G99" s="318" t="s">
        <v>1044</v>
      </c>
      <c r="H99" s="318" t="s">
        <v>165</v>
      </c>
      <c r="I99" s="318" t="s">
        <v>100</v>
      </c>
      <c r="J99" s="318" t="n">
        <v>5111034</v>
      </c>
      <c r="K99" s="318" t="s">
        <v>125</v>
      </c>
      <c r="L99" s="318" t="n">
        <v>66</v>
      </c>
      <c r="M99" s="318" t="s">
        <v>116</v>
      </c>
      <c r="N99" s="318" t="s">
        <v>37</v>
      </c>
      <c r="O99" s="318" t="s">
        <v>1030</v>
      </c>
      <c r="P99" s="318" t="s">
        <v>216</v>
      </c>
      <c r="Q99" s="318" t="s">
        <v>283</v>
      </c>
      <c r="R99" s="318" t="s">
        <v>100</v>
      </c>
      <c r="S99" s="318" t="s">
        <v>165</v>
      </c>
      <c r="T99" s="318" t="s">
        <v>116</v>
      </c>
      <c r="U99" s="318" t="n">
        <v>4513342</v>
      </c>
      <c r="V99" s="318" t="n">
        <v>21</v>
      </c>
      <c r="W99" s="318" t="s">
        <v>43</v>
      </c>
      <c r="X99" s="318" t="s">
        <v>1030</v>
      </c>
      <c r="Y99" s="318" t="s">
        <v>215</v>
      </c>
      <c r="Z99" s="318" t="s">
        <v>283</v>
      </c>
      <c r="AA99" s="318" t="s">
        <v>100</v>
      </c>
      <c r="AB99" s="318" t="s">
        <v>165</v>
      </c>
      <c r="AC99" s="318" t="s">
        <v>116</v>
      </c>
      <c r="AD99" s="318" t="n">
        <v>4513340</v>
      </c>
      <c r="AE99" s="318" t="s">
        <v>116</v>
      </c>
      <c r="AF99" s="114" t="s">
        <v>58</v>
      </c>
      <c r="AG99" s="318" t="s">
        <v>1030</v>
      </c>
      <c r="AH99" s="318" t="s">
        <v>233</v>
      </c>
      <c r="AI99" s="318" t="s">
        <v>283</v>
      </c>
      <c r="AJ99" s="318" t="s">
        <v>100</v>
      </c>
      <c r="AK99" s="318" t="s">
        <v>165</v>
      </c>
      <c r="AL99" s="318" t="s">
        <v>116</v>
      </c>
      <c r="AM99" s="318"/>
      <c r="AN99" s="318"/>
      <c r="AO99" s="318"/>
      <c r="AP99" s="318"/>
      <c r="AQ99" s="318"/>
      <c r="AR99" s="6" t="s">
        <v>141</v>
      </c>
    </row>
    <row r="100" ht="26.25" customHeight="1">
      <c r="A100" s="318" t="s">
        <v>54</v>
      </c>
      <c r="B100" s="318" t="n">
        <v>2563540579</v>
      </c>
      <c r="C100" s="318" t="s">
        <v>387</v>
      </c>
      <c r="D100" s="318" t="s">
        <v>57</v>
      </c>
      <c r="E100" s="318" t="s">
        <v>104</v>
      </c>
      <c r="F100" s="318"/>
      <c r="G100" s="318"/>
      <c r="H100" s="318" t="s">
        <v>165</v>
      </c>
      <c r="I100" s="318" t="s">
        <v>65</v>
      </c>
      <c r="J100" s="318" t="n">
        <v>5230742</v>
      </c>
      <c r="K100" s="318" t="s">
        <v>126</v>
      </c>
      <c r="L100" s="318" t="n">
        <v>63</v>
      </c>
      <c r="M100" s="318" t="n">
        <v>83</v>
      </c>
      <c r="N100" s="114" t="s">
        <v>35</v>
      </c>
      <c r="O100" s="318" t="s">
        <v>986</v>
      </c>
      <c r="P100" s="318" t="s">
        <v>216</v>
      </c>
      <c r="Q100" s="318" t="s">
        <v>283</v>
      </c>
      <c r="R100" s="318" t="s">
        <v>65</v>
      </c>
      <c r="S100" s="318" t="s">
        <v>165</v>
      </c>
      <c r="T100" s="318" t="s">
        <v>116</v>
      </c>
      <c r="U100" s="318" t="n">
        <v>5230773</v>
      </c>
      <c r="V100" s="318"/>
      <c r="W100" s="318" t="s">
        <v>49</v>
      </c>
      <c r="X100" s="318" t="s">
        <v>986</v>
      </c>
      <c r="Y100" s="318" t="s">
        <v>233</v>
      </c>
      <c r="Z100" s="318" t="s">
        <v>283</v>
      </c>
      <c r="AA100" s="318" t="s">
        <v>65</v>
      </c>
      <c r="AB100" s="318" t="s">
        <v>165</v>
      </c>
      <c r="AC100" s="318" t="s">
        <v>116</v>
      </c>
      <c r="AD100" s="318" t="n">
        <v>3132888</v>
      </c>
      <c r="AE100" s="318"/>
      <c r="AF100" s="114" t="s">
        <v>56</v>
      </c>
      <c r="AG100" s="318" t="s">
        <v>986</v>
      </c>
      <c r="AH100" s="318" t="s">
        <v>215</v>
      </c>
      <c r="AI100" s="318" t="s">
        <v>283</v>
      </c>
      <c r="AJ100" s="318" t="s">
        <v>65</v>
      </c>
      <c r="AK100" s="318" t="s">
        <v>165</v>
      </c>
      <c r="AL100" s="318" t="s">
        <v>116</v>
      </c>
      <c r="AM100" s="318"/>
      <c r="AN100" s="318"/>
      <c r="AO100" s="318"/>
      <c r="AP100" s="318"/>
      <c r="AQ100" s="318"/>
      <c r="AR100" s="6" t="s">
        <v>141</v>
      </c>
    </row>
    <row r="101" ht="26.25" customHeight="1">
      <c r="A101" s="318" t="s">
        <v>54</v>
      </c>
      <c r="B101" s="318" t="n">
        <v>4847554796</v>
      </c>
      <c r="C101" s="318" t="s">
        <v>396</v>
      </c>
      <c r="D101" s="318" t="s">
        <v>59</v>
      </c>
      <c r="E101" s="318" t="s">
        <v>112</v>
      </c>
      <c r="F101" s="318"/>
      <c r="G101" s="318" t="s">
        <v>405</v>
      </c>
      <c r="H101" s="318" t="s">
        <v>165</v>
      </c>
      <c r="I101" s="318" t="s">
        <v>65</v>
      </c>
      <c r="J101" s="318" t="s">
        <v>116</v>
      </c>
      <c r="K101" s="318"/>
      <c r="L101" s="318"/>
      <c r="M101" s="318"/>
      <c r="N101" s="318" t="s">
        <v>116</v>
      </c>
      <c r="O101" s="318" t="s">
        <v>116</v>
      </c>
      <c r="P101" s="318" t="s">
        <v>116</v>
      </c>
      <c r="Q101" s="318" t="s">
        <v>116</v>
      </c>
      <c r="R101" s="318" t="s">
        <v>116</v>
      </c>
      <c r="S101" s="318" t="s">
        <v>116</v>
      </c>
      <c r="T101" s="318" t="s">
        <v>116</v>
      </c>
      <c r="U101" s="318" t="n">
        <v>5170706</v>
      </c>
      <c r="V101" s="318"/>
      <c r="W101" s="318" t="s">
        <v>47</v>
      </c>
      <c r="X101" s="318" t="s">
        <v>987</v>
      </c>
      <c r="Y101" s="318" t="s">
        <v>216</v>
      </c>
      <c r="Z101" s="318" t="s">
        <v>283</v>
      </c>
      <c r="AA101" s="318" t="s">
        <v>65</v>
      </c>
      <c r="AB101" s="318" t="s">
        <v>165</v>
      </c>
      <c r="AC101" s="318" t="s">
        <v>116</v>
      </c>
      <c r="AD101" s="318" t="s">
        <v>116</v>
      </c>
      <c r="AE101" s="318"/>
      <c r="AF101" s="114" t="s">
        <v>116</v>
      </c>
      <c r="AG101" s="318" t="s">
        <v>116</v>
      </c>
      <c r="AH101" s="318" t="s">
        <v>116</v>
      </c>
      <c r="AI101" s="318" t="s">
        <v>116</v>
      </c>
      <c r="AJ101" s="318" t="s">
        <v>116</v>
      </c>
      <c r="AK101" s="318" t="s">
        <v>116</v>
      </c>
      <c r="AL101" s="318" t="s">
        <v>116</v>
      </c>
      <c r="AM101" s="318"/>
      <c r="AN101" s="318"/>
      <c r="AO101" s="318"/>
      <c r="AP101" s="318"/>
      <c r="AQ101" s="318"/>
      <c r="AR101" s="6" t="s">
        <v>141</v>
      </c>
    </row>
    <row r="102" ht="26.25" customHeight="1">
      <c r="A102" s="318" t="s">
        <v>54</v>
      </c>
      <c r="B102" s="318" t="n">
        <v>4850880382</v>
      </c>
      <c r="C102" s="318" t="s">
        <v>1074</v>
      </c>
      <c r="D102" s="318" t="s">
        <v>55</v>
      </c>
      <c r="E102" s="318" t="s">
        <v>112</v>
      </c>
      <c r="F102" s="318"/>
      <c r="G102" s="318" t="s">
        <v>1075</v>
      </c>
      <c r="H102" s="318" t="s">
        <v>165</v>
      </c>
      <c r="I102" s="318" t="s">
        <v>101</v>
      </c>
      <c r="J102" s="318" t="n">
        <v>4632447</v>
      </c>
      <c r="K102" s="318" t="s">
        <v>126</v>
      </c>
      <c r="L102" s="318" t="n">
        <v>64</v>
      </c>
      <c r="M102" s="318" t="n">
        <v>85</v>
      </c>
      <c r="N102" s="318" t="s">
        <v>37</v>
      </c>
      <c r="O102" s="318" t="s">
        <v>985</v>
      </c>
      <c r="P102" s="318" t="s">
        <v>215</v>
      </c>
      <c r="Q102" s="318" t="s">
        <v>283</v>
      </c>
      <c r="R102" s="318" t="s">
        <v>101</v>
      </c>
      <c r="S102" s="318" t="s">
        <v>165</v>
      </c>
      <c r="T102" s="318" t="s">
        <v>116</v>
      </c>
      <c r="U102" s="318" t="n">
        <v>5111226</v>
      </c>
      <c r="V102" s="318"/>
      <c r="W102" s="318" t="s">
        <v>47</v>
      </c>
      <c r="X102" s="318" t="s">
        <v>985</v>
      </c>
      <c r="Y102" s="318" t="s">
        <v>233</v>
      </c>
      <c r="Z102" s="318" t="s">
        <v>283</v>
      </c>
      <c r="AA102" s="318" t="s">
        <v>101</v>
      </c>
      <c r="AB102" s="318" t="s">
        <v>165</v>
      </c>
      <c r="AC102" s="318" t="s">
        <v>116</v>
      </c>
      <c r="AD102" s="318" t="n">
        <v>4513388</v>
      </c>
      <c r="AE102" s="318"/>
      <c r="AF102" s="114" t="s">
        <v>56</v>
      </c>
      <c r="AG102" s="318" t="s">
        <v>985</v>
      </c>
      <c r="AH102" s="318" t="s">
        <v>216</v>
      </c>
      <c r="AI102" s="318" t="s">
        <v>283</v>
      </c>
      <c r="AJ102" s="318" t="s">
        <v>101</v>
      </c>
      <c r="AK102" s="318" t="s">
        <v>165</v>
      </c>
      <c r="AL102" s="318" t="s">
        <v>116</v>
      </c>
      <c r="AM102" s="318"/>
      <c r="AN102" s="318"/>
      <c r="AO102" s="318"/>
      <c r="AP102" s="318"/>
      <c r="AQ102" s="318"/>
      <c r="AR102" s="6" t="s">
        <v>141</v>
      </c>
    </row>
    <row r="103" ht="26.25" customHeight="1">
      <c r="A103" s="318" t="s">
        <v>54</v>
      </c>
      <c r="B103" s="318" t="n">
        <v>4315733010</v>
      </c>
      <c r="C103" s="318" t="s">
        <v>406</v>
      </c>
      <c r="D103" s="318" t="s">
        <v>48</v>
      </c>
      <c r="E103" s="318" t="s">
        <v>104</v>
      </c>
      <c r="F103" s="318"/>
      <c r="G103" s="318"/>
      <c r="H103" s="318" t="s">
        <v>165</v>
      </c>
      <c r="I103" s="318" t="s">
        <v>101</v>
      </c>
      <c r="J103" s="318" t="n">
        <v>4632447</v>
      </c>
      <c r="K103" s="318" t="s">
        <v>125</v>
      </c>
      <c r="L103" s="318" t="n">
        <v>70</v>
      </c>
      <c r="M103" s="318" t="s">
        <v>116</v>
      </c>
      <c r="N103" s="114" t="s">
        <v>37</v>
      </c>
      <c r="O103" s="318" t="s">
        <v>985</v>
      </c>
      <c r="P103" s="318" t="s">
        <v>215</v>
      </c>
      <c r="Q103" s="318" t="s">
        <v>283</v>
      </c>
      <c r="R103" s="318" t="s">
        <v>101</v>
      </c>
      <c r="S103" s="318" t="s">
        <v>165</v>
      </c>
      <c r="T103" s="318" t="s">
        <v>116</v>
      </c>
      <c r="U103" s="318" t="n">
        <v>5230747</v>
      </c>
      <c r="V103" s="318"/>
      <c r="W103" s="318" t="s">
        <v>49</v>
      </c>
      <c r="X103" s="318" t="s">
        <v>987</v>
      </c>
      <c r="Y103" s="318" t="s">
        <v>215</v>
      </c>
      <c r="Z103" s="318" t="s">
        <v>283</v>
      </c>
      <c r="AA103" s="318" t="s">
        <v>101</v>
      </c>
      <c r="AB103" s="318" t="s">
        <v>165</v>
      </c>
      <c r="AC103" s="318" t="s">
        <v>116</v>
      </c>
      <c r="AD103" s="318" t="n">
        <v>5170871</v>
      </c>
      <c r="AE103" s="318"/>
      <c r="AF103" s="114" t="s">
        <v>58</v>
      </c>
      <c r="AG103" s="318" t="s">
        <v>986</v>
      </c>
      <c r="AH103" s="318" t="s">
        <v>215</v>
      </c>
      <c r="AI103" s="318" t="s">
        <v>283</v>
      </c>
      <c r="AJ103" s="318" t="s">
        <v>101</v>
      </c>
      <c r="AK103" s="318" t="s">
        <v>165</v>
      </c>
      <c r="AL103" s="318" t="s">
        <v>116</v>
      </c>
      <c r="AM103" s="318"/>
      <c r="AN103" s="318"/>
      <c r="AO103" s="318"/>
      <c r="AP103" s="318"/>
      <c r="AQ103" s="318"/>
      <c r="AR103" s="6" t="s">
        <v>141</v>
      </c>
    </row>
    <row r="104" ht="26.25" customHeight="1">
      <c r="A104" s="318" t="s">
        <v>85</v>
      </c>
      <c r="B104" s="318" t="n">
        <v>2745227044</v>
      </c>
      <c r="C104" s="318" t="s">
        <v>1076</v>
      </c>
      <c r="D104" s="318" t="s">
        <v>38</v>
      </c>
      <c r="E104" s="114" t="s">
        <v>104</v>
      </c>
      <c r="F104" s="318"/>
      <c r="G104" s="318"/>
      <c r="H104" s="318" t="s">
        <v>165</v>
      </c>
      <c r="I104" s="318" t="s">
        <v>100</v>
      </c>
      <c r="J104" s="318" t="n">
        <v>3132864</v>
      </c>
      <c r="K104" s="318" t="s">
        <v>126</v>
      </c>
      <c r="L104" s="318" t="n">
        <v>72</v>
      </c>
      <c r="M104" s="318" t="n">
        <v>90</v>
      </c>
      <c r="N104" s="114" t="s">
        <v>39</v>
      </c>
      <c r="O104" s="318" t="s">
        <v>991</v>
      </c>
      <c r="P104" s="318" t="s">
        <v>216</v>
      </c>
      <c r="Q104" s="318" t="s">
        <v>283</v>
      </c>
      <c r="R104" s="318" t="s">
        <v>100</v>
      </c>
      <c r="S104" s="318" t="s">
        <v>165</v>
      </c>
      <c r="T104" s="318" t="s">
        <v>116</v>
      </c>
      <c r="U104" s="318" t="n">
        <v>3132810</v>
      </c>
      <c r="V104" s="318"/>
      <c r="W104" s="318" t="s">
        <v>47</v>
      </c>
      <c r="X104" s="318" t="s">
        <v>991</v>
      </c>
      <c r="Y104" s="318" t="s">
        <v>233</v>
      </c>
      <c r="Z104" s="318" t="s">
        <v>283</v>
      </c>
      <c r="AA104" s="318" t="s">
        <v>100</v>
      </c>
      <c r="AB104" s="318" t="s">
        <v>165</v>
      </c>
      <c r="AC104" s="318" t="s">
        <v>116</v>
      </c>
      <c r="AD104" s="318" t="s">
        <v>116</v>
      </c>
      <c r="AE104" s="318"/>
      <c r="AF104" s="114" t="s">
        <v>116</v>
      </c>
      <c r="AG104" s="318" t="s">
        <v>116</v>
      </c>
      <c r="AH104" s="318" t="s">
        <v>116</v>
      </c>
      <c r="AI104" s="318" t="s">
        <v>116</v>
      </c>
      <c r="AJ104" s="318" t="s">
        <v>116</v>
      </c>
      <c r="AK104" s="318" t="s">
        <v>116</v>
      </c>
      <c r="AL104" s="318" t="s">
        <v>116</v>
      </c>
      <c r="AM104" s="318"/>
      <c r="AN104" s="318"/>
      <c r="AO104" s="318"/>
      <c r="AP104" s="318"/>
      <c r="AQ104" s="318"/>
      <c r="AR104" s="6" t="s">
        <v>141</v>
      </c>
    </row>
    <row r="105" ht="26.25" customHeight="1">
      <c r="A105" s="318" t="s">
        <v>54</v>
      </c>
      <c r="B105" s="318" t="n">
        <v>2297429474</v>
      </c>
      <c r="C105" s="318" t="s">
        <v>1077</v>
      </c>
      <c r="D105" s="318" t="s">
        <v>36</v>
      </c>
      <c r="E105" s="318" t="s">
        <v>104</v>
      </c>
      <c r="F105" s="318"/>
      <c r="G105" s="318"/>
      <c r="H105" s="318" t="s">
        <v>165</v>
      </c>
      <c r="I105" s="318" t="s">
        <v>100</v>
      </c>
      <c r="J105" s="318" t="n">
        <v>5111034</v>
      </c>
      <c r="K105" s="318" t="s">
        <v>126</v>
      </c>
      <c r="L105" s="318" t="n">
        <v>73</v>
      </c>
      <c r="M105" s="318" t="n">
        <v>91</v>
      </c>
      <c r="N105" s="318" t="s">
        <v>37</v>
      </c>
      <c r="O105" s="318" t="s">
        <v>1030</v>
      </c>
      <c r="P105" s="318" t="s">
        <v>216</v>
      </c>
      <c r="Q105" s="318" t="s">
        <v>283</v>
      </c>
      <c r="R105" s="318" t="s">
        <v>100</v>
      </c>
      <c r="S105" s="318" t="s">
        <v>165</v>
      </c>
      <c r="T105" s="318" t="s">
        <v>116</v>
      </c>
      <c r="U105" s="318" t="n">
        <v>4513342</v>
      </c>
      <c r="V105" s="318" t="s">
        <v>116</v>
      </c>
      <c r="W105" s="318" t="s">
        <v>43</v>
      </c>
      <c r="X105" s="318" t="s">
        <v>1030</v>
      </c>
      <c r="Y105" s="318" t="s">
        <v>215</v>
      </c>
      <c r="Z105" s="318" t="s">
        <v>283</v>
      </c>
      <c r="AA105" s="318" t="s">
        <v>100</v>
      </c>
      <c r="AB105" s="318" t="s">
        <v>165</v>
      </c>
      <c r="AC105" s="318" t="s">
        <v>116</v>
      </c>
      <c r="AD105" s="318" t="n">
        <v>4513340</v>
      </c>
      <c r="AE105" s="318" t="s">
        <v>116</v>
      </c>
      <c r="AF105" s="114" t="s">
        <v>58</v>
      </c>
      <c r="AG105" s="318" t="s">
        <v>1030</v>
      </c>
      <c r="AH105" s="318" t="s">
        <v>233</v>
      </c>
      <c r="AI105" s="318" t="s">
        <v>283</v>
      </c>
      <c r="AJ105" s="318" t="s">
        <v>100</v>
      </c>
      <c r="AK105" s="318" t="s">
        <v>165</v>
      </c>
      <c r="AL105" s="318" t="s">
        <v>116</v>
      </c>
      <c r="AM105" s="318"/>
      <c r="AN105" s="318"/>
      <c r="AO105" s="318"/>
      <c r="AP105" s="318"/>
      <c r="AQ105" s="318"/>
      <c r="AR105" s="6" t="s">
        <v>139</v>
      </c>
    </row>
    <row r="106" ht="26.25" customHeight="1">
      <c r="A106" s="318" t="s">
        <v>85</v>
      </c>
      <c r="B106" s="318" t="n">
        <v>2961875242</v>
      </c>
      <c r="C106" s="318" t="s">
        <v>1078</v>
      </c>
      <c r="D106" s="318" t="s">
        <v>34</v>
      </c>
      <c r="E106" s="318" t="s">
        <v>104</v>
      </c>
      <c r="F106" s="318"/>
      <c r="G106" s="318"/>
      <c r="H106" s="318" t="s">
        <v>165</v>
      </c>
      <c r="I106" s="318" t="s">
        <v>101</v>
      </c>
      <c r="J106" s="318" t="n">
        <v>5230801</v>
      </c>
      <c r="K106" s="318" t="s">
        <v>126</v>
      </c>
      <c r="L106" s="318" t="n">
        <v>53</v>
      </c>
      <c r="M106" s="318" t="n">
        <v>70</v>
      </c>
      <c r="N106" s="114" t="s">
        <v>39</v>
      </c>
      <c r="O106" s="318" t="s">
        <v>991</v>
      </c>
      <c r="P106" s="318" t="s">
        <v>216</v>
      </c>
      <c r="Q106" s="318" t="s">
        <v>283</v>
      </c>
      <c r="R106" s="318" t="s">
        <v>101</v>
      </c>
      <c r="S106" s="318" t="s">
        <v>165</v>
      </c>
      <c r="T106" s="318" t="s">
        <v>116</v>
      </c>
      <c r="U106" s="318" t="n">
        <v>5230739</v>
      </c>
      <c r="V106" s="318"/>
      <c r="W106" s="318" t="s">
        <v>47</v>
      </c>
      <c r="X106" s="318" t="s">
        <v>991</v>
      </c>
      <c r="Y106" s="318" t="s">
        <v>215</v>
      </c>
      <c r="Z106" s="318" t="s">
        <v>283</v>
      </c>
      <c r="AA106" s="318" t="s">
        <v>101</v>
      </c>
      <c r="AB106" s="318" t="s">
        <v>165</v>
      </c>
      <c r="AC106" s="318" t="s">
        <v>116</v>
      </c>
      <c r="AD106" s="318" t="n">
        <v>5230788</v>
      </c>
      <c r="AE106" s="318"/>
      <c r="AF106" s="114" t="s">
        <v>52</v>
      </c>
      <c r="AG106" s="318" t="s">
        <v>991</v>
      </c>
      <c r="AH106" s="318" t="s">
        <v>233</v>
      </c>
      <c r="AI106" s="318" t="s">
        <v>283</v>
      </c>
      <c r="AJ106" s="318" t="s">
        <v>101</v>
      </c>
      <c r="AK106" s="318" t="s">
        <v>165</v>
      </c>
      <c r="AL106" s="318" t="s">
        <v>116</v>
      </c>
      <c r="AM106" s="318"/>
      <c r="AN106" s="318"/>
      <c r="AO106" s="318"/>
      <c r="AP106" s="318"/>
      <c r="AQ106" s="318"/>
      <c r="AR106" s="6" t="s">
        <v>141</v>
      </c>
    </row>
    <row r="107" ht="26.25" customHeight="1">
      <c r="A107" s="318" t="s">
        <v>45</v>
      </c>
      <c r="B107" s="318" t="n">
        <v>4522580433</v>
      </c>
      <c r="C107" s="318" t="s">
        <v>411</v>
      </c>
      <c r="D107" s="318" t="s">
        <v>50</v>
      </c>
      <c r="E107" s="318" t="s">
        <v>104</v>
      </c>
      <c r="F107" s="318"/>
      <c r="G107" s="318"/>
      <c r="H107" s="318" t="s">
        <v>165</v>
      </c>
      <c r="I107" s="318" t="s">
        <v>1079</v>
      </c>
      <c r="J107" s="318" t="n">
        <v>5230719</v>
      </c>
      <c r="K107" s="318" t="s">
        <v>125</v>
      </c>
      <c r="L107" s="318" t="n">
        <v>85</v>
      </c>
      <c r="M107" s="318" t="s">
        <v>116</v>
      </c>
      <c r="N107" s="318" t="s">
        <v>31</v>
      </c>
      <c r="O107" s="318" t="s">
        <v>989</v>
      </c>
      <c r="P107" s="318" t="s">
        <v>216</v>
      </c>
      <c r="Q107" s="318" t="s">
        <v>234</v>
      </c>
      <c r="R107" s="318" t="s">
        <v>65</v>
      </c>
      <c r="S107" s="318" t="s">
        <v>165</v>
      </c>
      <c r="T107" s="318" t="s">
        <v>116</v>
      </c>
      <c r="U107" s="318" t="n">
        <v>5230809</v>
      </c>
      <c r="V107" s="318"/>
      <c r="W107" s="318" t="s">
        <v>47</v>
      </c>
      <c r="X107" s="318" t="s">
        <v>989</v>
      </c>
      <c r="Y107" s="318" t="s">
        <v>215</v>
      </c>
      <c r="Z107" s="318" t="s">
        <v>283</v>
      </c>
      <c r="AA107" s="318" t="s">
        <v>100</v>
      </c>
      <c r="AB107" s="318" t="s">
        <v>165</v>
      </c>
      <c r="AC107" s="318" t="s">
        <v>116</v>
      </c>
      <c r="AD107" s="318" t="n">
        <v>3132869</v>
      </c>
      <c r="AE107" s="318"/>
      <c r="AF107" s="114" t="s">
        <v>58</v>
      </c>
      <c r="AG107" s="318" t="s">
        <v>989</v>
      </c>
      <c r="AH107" s="318" t="s">
        <v>233</v>
      </c>
      <c r="AI107" s="318" t="s">
        <v>283</v>
      </c>
      <c r="AJ107" s="318" t="s">
        <v>65</v>
      </c>
      <c r="AK107" s="318" t="s">
        <v>165</v>
      </c>
      <c r="AL107" s="318" t="s">
        <v>116</v>
      </c>
      <c r="AM107" s="318"/>
      <c r="AN107" s="318"/>
      <c r="AO107" s="318"/>
      <c r="AP107" s="318"/>
      <c r="AQ107" s="318"/>
      <c r="AR107" s="6" t="s">
        <v>141</v>
      </c>
    </row>
    <row r="108" ht="26.25" customHeight="1">
      <c r="A108" s="318" t="s">
        <v>54</v>
      </c>
      <c r="B108" s="318" t="n">
        <v>4016827369</v>
      </c>
      <c r="C108" s="318" t="s">
        <v>417</v>
      </c>
      <c r="D108" s="318" t="s">
        <v>38</v>
      </c>
      <c r="E108" s="318" t="s">
        <v>104</v>
      </c>
      <c r="F108" s="318"/>
      <c r="G108" s="318"/>
      <c r="H108" s="318" t="s">
        <v>165</v>
      </c>
      <c r="I108" s="318" t="s">
        <v>1079</v>
      </c>
      <c r="J108" s="318" t="n">
        <v>5230732</v>
      </c>
      <c r="K108" s="318" t="s">
        <v>126</v>
      </c>
      <c r="L108" s="318" t="n">
        <v>72</v>
      </c>
      <c r="M108" s="318" t="n">
        <v>90</v>
      </c>
      <c r="N108" s="318" t="s">
        <v>35</v>
      </c>
      <c r="O108" s="318" t="s">
        <v>987</v>
      </c>
      <c r="P108" s="318" t="s">
        <v>245</v>
      </c>
      <c r="Q108" s="318" t="s">
        <v>234</v>
      </c>
      <c r="R108" s="318" t="s">
        <v>65</v>
      </c>
      <c r="S108" s="318" t="s">
        <v>165</v>
      </c>
      <c r="T108" s="318" t="s">
        <v>116</v>
      </c>
      <c r="U108" s="318" t="n">
        <v>5170706</v>
      </c>
      <c r="V108" s="318"/>
      <c r="W108" s="318" t="s">
        <v>47</v>
      </c>
      <c r="X108" s="318" t="s">
        <v>987</v>
      </c>
      <c r="Y108" s="318" t="s">
        <v>216</v>
      </c>
      <c r="Z108" s="318" t="s">
        <v>283</v>
      </c>
      <c r="AA108" s="318" t="s">
        <v>65</v>
      </c>
      <c r="AB108" s="318" t="s">
        <v>165</v>
      </c>
      <c r="AC108" s="318" t="s">
        <v>116</v>
      </c>
      <c r="AD108" s="318" t="n">
        <v>4513340</v>
      </c>
      <c r="AE108" s="318"/>
      <c r="AF108" s="114" t="s">
        <v>58</v>
      </c>
      <c r="AG108" s="318" t="s">
        <v>1030</v>
      </c>
      <c r="AH108" s="318" t="s">
        <v>233</v>
      </c>
      <c r="AI108" s="318" t="s">
        <v>283</v>
      </c>
      <c r="AJ108" s="318" t="s">
        <v>100</v>
      </c>
      <c r="AK108" s="318" t="s">
        <v>165</v>
      </c>
      <c r="AL108" s="318" t="s">
        <v>116</v>
      </c>
      <c r="AM108" s="318"/>
      <c r="AN108" s="318"/>
      <c r="AO108" s="318"/>
      <c r="AP108" s="318"/>
      <c r="AQ108" s="318"/>
      <c r="AR108" s="6" t="s">
        <v>141</v>
      </c>
    </row>
    <row r="109" ht="26.25" customHeight="1">
      <c r="A109" s="318" t="s">
        <v>85</v>
      </c>
      <c r="B109" s="318" t="n">
        <v>4525413855</v>
      </c>
      <c r="C109" s="318" t="s">
        <v>1080</v>
      </c>
      <c r="D109" s="318" t="s">
        <v>38</v>
      </c>
      <c r="E109" s="318" t="s">
        <v>112</v>
      </c>
      <c r="F109" s="318"/>
      <c r="G109" s="318" t="s">
        <v>1081</v>
      </c>
      <c r="H109" s="318" t="s">
        <v>165</v>
      </c>
      <c r="I109" s="318" t="s">
        <v>100</v>
      </c>
      <c r="J109" s="318" t="n">
        <v>3132864</v>
      </c>
      <c r="K109" s="318" t="s">
        <v>126</v>
      </c>
      <c r="L109" s="318" t="n">
        <v>73</v>
      </c>
      <c r="M109" s="318" t="n">
        <v>91</v>
      </c>
      <c r="N109" s="318" t="s">
        <v>39</v>
      </c>
      <c r="O109" s="318" t="s">
        <v>991</v>
      </c>
      <c r="P109" s="318" t="s">
        <v>216</v>
      </c>
      <c r="Q109" s="318" t="s">
        <v>283</v>
      </c>
      <c r="R109" s="318" t="s">
        <v>100</v>
      </c>
      <c r="S109" s="318" t="s">
        <v>165</v>
      </c>
      <c r="T109" s="318" t="s">
        <v>116</v>
      </c>
      <c r="U109" s="318" t="n">
        <v>3132810</v>
      </c>
      <c r="V109" s="318"/>
      <c r="W109" s="318" t="s">
        <v>47</v>
      </c>
      <c r="X109" s="318" t="s">
        <v>991</v>
      </c>
      <c r="Y109" s="318" t="s">
        <v>233</v>
      </c>
      <c r="Z109" s="318" t="s">
        <v>283</v>
      </c>
      <c r="AA109" s="318" t="s">
        <v>100</v>
      </c>
      <c r="AB109" s="318" t="s">
        <v>165</v>
      </c>
      <c r="AC109" s="318" t="s">
        <v>116</v>
      </c>
      <c r="AD109" s="318" t="n">
        <v>3132858</v>
      </c>
      <c r="AE109" s="318"/>
      <c r="AF109" s="114" t="s">
        <v>52</v>
      </c>
      <c r="AG109" s="318" t="s">
        <v>991</v>
      </c>
      <c r="AH109" s="318" t="s">
        <v>215</v>
      </c>
      <c r="AI109" s="318" t="s">
        <v>283</v>
      </c>
      <c r="AJ109" s="318" t="s">
        <v>100</v>
      </c>
      <c r="AK109" s="318" t="s">
        <v>165</v>
      </c>
      <c r="AL109" s="318" t="s">
        <v>116</v>
      </c>
      <c r="AM109" s="318"/>
      <c r="AN109" s="318"/>
      <c r="AO109" s="318"/>
      <c r="AP109" s="318"/>
      <c r="AQ109" s="318"/>
      <c r="AR109" s="6" t="s">
        <v>141</v>
      </c>
    </row>
    <row r="110" ht="26.25" customHeight="1">
      <c r="A110" s="318" t="s">
        <v>85</v>
      </c>
      <c r="B110" s="318" t="n">
        <v>4846908327</v>
      </c>
      <c r="C110" s="318" t="s">
        <v>1082</v>
      </c>
      <c r="D110" s="318" t="s">
        <v>38</v>
      </c>
      <c r="E110" s="318" t="s">
        <v>112</v>
      </c>
      <c r="F110" s="318"/>
      <c r="G110" s="318" t="s">
        <v>1081</v>
      </c>
      <c r="H110" s="318" t="s">
        <v>165</v>
      </c>
      <c r="I110" s="318" t="s">
        <v>100</v>
      </c>
      <c r="J110" s="318" t="n">
        <v>3132864</v>
      </c>
      <c r="K110" s="318" t="s">
        <v>126</v>
      </c>
      <c r="L110" s="318" t="n">
        <v>72</v>
      </c>
      <c r="M110" s="318" t="n">
        <v>90</v>
      </c>
      <c r="N110" s="318" t="s">
        <v>39</v>
      </c>
      <c r="O110" s="318" t="s">
        <v>991</v>
      </c>
      <c r="P110" s="318" t="s">
        <v>216</v>
      </c>
      <c r="Q110" s="318" t="s">
        <v>283</v>
      </c>
      <c r="R110" s="318" t="s">
        <v>100</v>
      </c>
      <c r="S110" s="318" t="s">
        <v>165</v>
      </c>
      <c r="T110" s="318" t="s">
        <v>116</v>
      </c>
      <c r="U110" s="318" t="n">
        <v>3132810</v>
      </c>
      <c r="V110" s="318"/>
      <c r="W110" s="318" t="s">
        <v>47</v>
      </c>
      <c r="X110" s="318" t="s">
        <v>991</v>
      </c>
      <c r="Y110" s="318" t="s">
        <v>233</v>
      </c>
      <c r="Z110" s="318" t="s">
        <v>283</v>
      </c>
      <c r="AA110" s="318" t="s">
        <v>100</v>
      </c>
      <c r="AB110" s="318" t="s">
        <v>165</v>
      </c>
      <c r="AC110" s="318" t="s">
        <v>116</v>
      </c>
      <c r="AD110" s="318" t="n">
        <v>3132858</v>
      </c>
      <c r="AE110" s="318"/>
      <c r="AF110" s="114" t="s">
        <v>52</v>
      </c>
      <c r="AG110" s="318" t="s">
        <v>991</v>
      </c>
      <c r="AH110" s="318" t="s">
        <v>215</v>
      </c>
      <c r="AI110" s="318" t="s">
        <v>283</v>
      </c>
      <c r="AJ110" s="318" t="s">
        <v>100</v>
      </c>
      <c r="AK110" s="318" t="s">
        <v>165</v>
      </c>
      <c r="AL110" s="318" t="s">
        <v>116</v>
      </c>
      <c r="AM110" s="318"/>
      <c r="AN110" s="318"/>
      <c r="AO110" s="318"/>
      <c r="AP110" s="476"/>
      <c r="AQ110" s="476"/>
      <c r="AR110" s="6" t="s">
        <v>141</v>
      </c>
    </row>
    <row r="111" ht="26.25" customHeight="1">
      <c r="A111" s="318" t="s">
        <v>85</v>
      </c>
      <c r="B111" s="318" t="n">
        <v>2526528479</v>
      </c>
      <c r="C111" s="318" t="s">
        <v>1083</v>
      </c>
      <c r="D111" s="318" t="s">
        <v>34</v>
      </c>
      <c r="E111" s="114" t="s">
        <v>104</v>
      </c>
      <c r="F111" s="318"/>
      <c r="G111" s="318"/>
      <c r="H111" s="318" t="s">
        <v>165</v>
      </c>
      <c r="I111" s="318" t="s">
        <v>101</v>
      </c>
      <c r="J111" s="318" t="n">
        <v>5230801</v>
      </c>
      <c r="K111" s="318" t="s">
        <v>125</v>
      </c>
      <c r="L111" s="318" t="n">
        <v>63</v>
      </c>
      <c r="M111" s="318" t="s">
        <v>116</v>
      </c>
      <c r="N111" s="318" t="s">
        <v>39</v>
      </c>
      <c r="O111" s="318" t="s">
        <v>991</v>
      </c>
      <c r="P111" s="318" t="s">
        <v>216</v>
      </c>
      <c r="Q111" s="318" t="s">
        <v>283</v>
      </c>
      <c r="R111" s="318" t="s">
        <v>101</v>
      </c>
      <c r="S111" s="318" t="s">
        <v>165</v>
      </c>
      <c r="T111" s="318" t="s">
        <v>116</v>
      </c>
      <c r="U111" s="318" t="n">
        <v>5230739</v>
      </c>
      <c r="V111" s="318"/>
      <c r="W111" s="318" t="s">
        <v>47</v>
      </c>
      <c r="X111" s="318" t="s">
        <v>991</v>
      </c>
      <c r="Y111" s="318" t="s">
        <v>215</v>
      </c>
      <c r="Z111" s="318" t="s">
        <v>283</v>
      </c>
      <c r="AA111" s="318" t="s">
        <v>101</v>
      </c>
      <c r="AB111" s="318" t="s">
        <v>165</v>
      </c>
      <c r="AC111" s="318" t="s">
        <v>116</v>
      </c>
      <c r="AD111" s="318" t="n">
        <v>5230788</v>
      </c>
      <c r="AE111" s="318"/>
      <c r="AF111" s="114" t="s">
        <v>52</v>
      </c>
      <c r="AG111" s="318" t="s">
        <v>991</v>
      </c>
      <c r="AH111" s="318" t="s">
        <v>233</v>
      </c>
      <c r="AI111" s="318" t="s">
        <v>283</v>
      </c>
      <c r="AJ111" s="318" t="s">
        <v>101</v>
      </c>
      <c r="AK111" s="318" t="s">
        <v>165</v>
      </c>
      <c r="AL111" s="318" t="s">
        <v>116</v>
      </c>
      <c r="AM111" s="318"/>
      <c r="AN111" s="318"/>
      <c r="AO111" s="318"/>
      <c r="AP111" s="476"/>
      <c r="AQ111" s="476"/>
      <c r="AR111" s="6" t="s">
        <v>141</v>
      </c>
    </row>
    <row r="112" ht="26.25" customHeight="1">
      <c r="A112" s="318" t="s">
        <v>54</v>
      </c>
      <c r="B112" s="318" t="n">
        <v>4841864480</v>
      </c>
      <c r="C112" s="318" t="s">
        <v>1084</v>
      </c>
      <c r="D112" s="318" t="s">
        <v>36</v>
      </c>
      <c r="E112" s="318" t="s">
        <v>112</v>
      </c>
      <c r="F112" s="318"/>
      <c r="G112" s="318" t="s">
        <v>1085</v>
      </c>
      <c r="H112" s="318" t="s">
        <v>165</v>
      </c>
      <c r="I112" s="318" t="s">
        <v>101</v>
      </c>
      <c r="J112" s="318" t="n">
        <v>4632447</v>
      </c>
      <c r="K112" s="318" t="s">
        <v>125</v>
      </c>
      <c r="L112" s="318" t="n">
        <v>83</v>
      </c>
      <c r="M112" s="318" t="s">
        <v>116</v>
      </c>
      <c r="N112" s="318" t="s">
        <v>37</v>
      </c>
      <c r="O112" s="318" t="s">
        <v>985</v>
      </c>
      <c r="P112" s="318" t="s">
        <v>215</v>
      </c>
      <c r="Q112" s="318" t="s">
        <v>283</v>
      </c>
      <c r="R112" s="318" t="s">
        <v>101</v>
      </c>
      <c r="S112" s="318" t="s">
        <v>165</v>
      </c>
      <c r="T112" s="318" t="s">
        <v>116</v>
      </c>
      <c r="U112" s="318" t="n">
        <v>5111226</v>
      </c>
      <c r="V112" s="318"/>
      <c r="W112" s="318" t="s">
        <v>47</v>
      </c>
      <c r="X112" s="318" t="s">
        <v>985</v>
      </c>
      <c r="Y112" s="318" t="s">
        <v>233</v>
      </c>
      <c r="Z112" s="318" t="s">
        <v>283</v>
      </c>
      <c r="AA112" s="318" t="s">
        <v>101</v>
      </c>
      <c r="AB112" s="318" t="s">
        <v>165</v>
      </c>
      <c r="AC112" s="318" t="s">
        <v>116</v>
      </c>
      <c r="AD112" s="318" t="n">
        <v>4513388</v>
      </c>
      <c r="AE112" s="318"/>
      <c r="AF112" s="114" t="s">
        <v>56</v>
      </c>
      <c r="AG112" s="318" t="s">
        <v>985</v>
      </c>
      <c r="AH112" s="318" t="s">
        <v>216</v>
      </c>
      <c r="AI112" s="318" t="s">
        <v>283</v>
      </c>
      <c r="AJ112" s="318" t="s">
        <v>101</v>
      </c>
      <c r="AK112" s="318" t="s">
        <v>165</v>
      </c>
      <c r="AL112" s="318" t="s">
        <v>116</v>
      </c>
      <c r="AM112" s="318"/>
      <c r="AN112" s="318"/>
      <c r="AO112" s="318"/>
      <c r="AP112" s="318"/>
      <c r="AQ112" s="318"/>
      <c r="AR112" s="6" t="s">
        <v>141</v>
      </c>
    </row>
    <row r="113" ht="26.25" customHeight="1">
      <c r="A113" s="318" t="s">
        <v>45</v>
      </c>
      <c r="B113" s="318" t="n">
        <v>2596648105</v>
      </c>
      <c r="C113" s="318" t="s">
        <v>1086</v>
      </c>
      <c r="D113" s="318" t="s">
        <v>48</v>
      </c>
      <c r="E113" s="114" t="s">
        <v>104</v>
      </c>
      <c r="F113" s="318"/>
      <c r="G113" s="318"/>
      <c r="H113" s="318" t="s">
        <v>165</v>
      </c>
      <c r="I113" s="318" t="s">
        <v>88</v>
      </c>
      <c r="J113" s="318" t="n">
        <v>3132897</v>
      </c>
      <c r="K113" s="318" t="s">
        <v>116</v>
      </c>
      <c r="L113" s="318" t="s">
        <v>116</v>
      </c>
      <c r="M113" s="318" t="s">
        <v>116</v>
      </c>
      <c r="N113" s="318" t="s">
        <v>31</v>
      </c>
      <c r="O113" s="318" t="s">
        <v>989</v>
      </c>
      <c r="P113" s="318" t="s">
        <v>215</v>
      </c>
      <c r="Q113" s="318" t="s">
        <v>283</v>
      </c>
      <c r="R113" s="318" t="s">
        <v>88</v>
      </c>
      <c r="S113" s="318" t="s">
        <v>165</v>
      </c>
      <c r="T113" s="318" t="s">
        <v>217</v>
      </c>
      <c r="U113" s="318" t="n">
        <v>5230722</v>
      </c>
      <c r="V113" s="318" t="s">
        <v>116</v>
      </c>
      <c r="W113" s="318" t="s">
        <v>47</v>
      </c>
      <c r="X113" s="318" t="s">
        <v>989</v>
      </c>
      <c r="Y113" s="318" t="s">
        <v>233</v>
      </c>
      <c r="Z113" s="318" t="s">
        <v>283</v>
      </c>
      <c r="AA113" s="318" t="s">
        <v>88</v>
      </c>
      <c r="AB113" s="318" t="s">
        <v>165</v>
      </c>
      <c r="AC113" s="318" t="s">
        <v>116</v>
      </c>
      <c r="AD113" s="318" t="n">
        <v>5230737</v>
      </c>
      <c r="AE113" s="318"/>
      <c r="AF113" s="114" t="s">
        <v>58</v>
      </c>
      <c r="AG113" s="318" t="s">
        <v>989</v>
      </c>
      <c r="AH113" s="318" t="s">
        <v>216</v>
      </c>
      <c r="AI113" s="318" t="s">
        <v>283</v>
      </c>
      <c r="AJ113" s="318" t="s">
        <v>88</v>
      </c>
      <c r="AK113" s="318" t="s">
        <v>165</v>
      </c>
      <c r="AL113" s="318" t="s">
        <v>217</v>
      </c>
      <c r="AM113" s="318" t="s">
        <v>217</v>
      </c>
      <c r="AN113" s="318" t="s">
        <v>217</v>
      </c>
      <c r="AO113" s="318" t="s">
        <v>217</v>
      </c>
      <c r="AP113" s="318" t="s">
        <v>217</v>
      </c>
      <c r="AQ113" s="318" t="s">
        <v>217</v>
      </c>
      <c r="AR113" s="6" t="s">
        <v>139</v>
      </c>
      <c r="AS113" s="6" t="s">
        <v>217</v>
      </c>
    </row>
    <row r="114" ht="26.25" customHeight="1">
      <c r="A114" s="318" t="s">
        <v>54</v>
      </c>
      <c r="B114" s="318" t="n">
        <v>4151361146</v>
      </c>
      <c r="C114" s="318" t="s">
        <v>1087</v>
      </c>
      <c r="D114" s="318" t="s">
        <v>55</v>
      </c>
      <c r="E114" s="114" t="s">
        <v>112</v>
      </c>
      <c r="F114" s="318"/>
      <c r="G114" s="318" t="s">
        <v>1088</v>
      </c>
      <c r="H114" s="318" t="s">
        <v>165</v>
      </c>
      <c r="I114" s="318" t="s">
        <v>88</v>
      </c>
      <c r="J114" s="318" t="n">
        <v>3132880</v>
      </c>
      <c r="K114" s="318" t="s">
        <v>126</v>
      </c>
      <c r="L114" s="318" t="n">
        <v>88</v>
      </c>
      <c r="M114" s="318" t="n">
        <v>98</v>
      </c>
      <c r="N114" s="114" t="s">
        <v>31</v>
      </c>
      <c r="O114" s="318" t="s">
        <v>986</v>
      </c>
      <c r="P114" s="318" t="s">
        <v>233</v>
      </c>
      <c r="Q114" s="318" t="s">
        <v>234</v>
      </c>
      <c r="R114" s="318" t="s">
        <v>88</v>
      </c>
      <c r="S114" s="318" t="s">
        <v>165</v>
      </c>
      <c r="T114" s="318" t="s">
        <v>116</v>
      </c>
      <c r="U114" s="318" t="n">
        <v>3132859</v>
      </c>
      <c r="V114" s="318"/>
      <c r="W114" s="318" t="s">
        <v>43</v>
      </c>
      <c r="X114" s="318" t="s">
        <v>986</v>
      </c>
      <c r="Y114" s="318" t="s">
        <v>215</v>
      </c>
      <c r="Z114" s="318" t="s">
        <v>283</v>
      </c>
      <c r="AA114" s="318" t="s">
        <v>88</v>
      </c>
      <c r="AB114" s="318" t="s">
        <v>165</v>
      </c>
      <c r="AC114" s="318" t="s">
        <v>116</v>
      </c>
      <c r="AD114" s="318" t="n">
        <v>5230727</v>
      </c>
      <c r="AE114" s="318"/>
      <c r="AF114" s="114" t="s">
        <v>56</v>
      </c>
      <c r="AG114" s="318" t="s">
        <v>986</v>
      </c>
      <c r="AH114" s="318" t="s">
        <v>216</v>
      </c>
      <c r="AI114" s="318" t="s">
        <v>283</v>
      </c>
      <c r="AJ114" s="318" t="s">
        <v>88</v>
      </c>
      <c r="AK114" s="318" t="s">
        <v>165</v>
      </c>
      <c r="AL114" s="318" t="s">
        <v>116</v>
      </c>
      <c r="AM114" s="318" t="s">
        <v>217</v>
      </c>
      <c r="AN114" s="318" t="s">
        <v>217</v>
      </c>
      <c r="AO114" s="318" t="s">
        <v>218</v>
      </c>
      <c r="AP114" s="476" t="s">
        <v>217</v>
      </c>
      <c r="AQ114" s="476" t="s">
        <v>217</v>
      </c>
      <c r="AR114" s="6" t="s">
        <v>141</v>
      </c>
    </row>
    <row r="115" ht="26.25" customHeight="1">
      <c r="A115" s="318" t="s">
        <v>54</v>
      </c>
      <c r="B115" s="318" t="n">
        <v>4849642529</v>
      </c>
      <c r="C115" s="318" t="s">
        <v>1075</v>
      </c>
      <c r="D115" s="318" t="s">
        <v>55</v>
      </c>
      <c r="E115" s="318" t="s">
        <v>112</v>
      </c>
      <c r="F115" s="318"/>
      <c r="G115" s="318" t="s">
        <v>1089</v>
      </c>
      <c r="H115" s="318" t="s">
        <v>165</v>
      </c>
      <c r="I115" s="318" t="s">
        <v>101</v>
      </c>
      <c r="J115" s="318" t="n">
        <v>4632447</v>
      </c>
      <c r="K115" s="318" t="s">
        <v>126</v>
      </c>
      <c r="L115" s="318" t="n">
        <v>64</v>
      </c>
      <c r="M115" s="318" t="n">
        <v>85</v>
      </c>
      <c r="N115" s="318" t="s">
        <v>37</v>
      </c>
      <c r="O115" s="318" t="s">
        <v>985</v>
      </c>
      <c r="P115" s="318" t="s">
        <v>215</v>
      </c>
      <c r="Q115" s="318" t="s">
        <v>283</v>
      </c>
      <c r="R115" s="318" t="s">
        <v>101</v>
      </c>
      <c r="S115" s="318" t="s">
        <v>165</v>
      </c>
      <c r="T115" s="318" t="s">
        <v>116</v>
      </c>
      <c r="U115" s="318" t="n">
        <v>5111226</v>
      </c>
      <c r="V115" s="318"/>
      <c r="W115" s="318" t="s">
        <v>47</v>
      </c>
      <c r="X115" s="318" t="s">
        <v>985</v>
      </c>
      <c r="Y115" s="318" t="s">
        <v>233</v>
      </c>
      <c r="Z115" s="318" t="s">
        <v>283</v>
      </c>
      <c r="AA115" s="318" t="s">
        <v>101</v>
      </c>
      <c r="AB115" s="318" t="s">
        <v>165</v>
      </c>
      <c r="AC115" s="318" t="s">
        <v>116</v>
      </c>
      <c r="AD115" s="318" t="n">
        <v>4513388</v>
      </c>
      <c r="AE115" s="318"/>
      <c r="AF115" s="114" t="s">
        <v>56</v>
      </c>
      <c r="AG115" s="318" t="s">
        <v>985</v>
      </c>
      <c r="AH115" s="318" t="s">
        <v>216</v>
      </c>
      <c r="AI115" s="318" t="s">
        <v>283</v>
      </c>
      <c r="AJ115" s="318" t="s">
        <v>101</v>
      </c>
      <c r="AK115" s="318" t="s">
        <v>165</v>
      </c>
      <c r="AL115" s="318" t="s">
        <v>116</v>
      </c>
      <c r="AM115" s="318"/>
      <c r="AN115" s="318"/>
      <c r="AO115" s="318"/>
      <c r="AP115" s="476"/>
      <c r="AQ115" s="476"/>
      <c r="AR115" s="6" t="s">
        <v>141</v>
      </c>
    </row>
    <row r="116" ht="26.25" customHeight="1">
      <c r="A116" s="318" t="s">
        <v>54</v>
      </c>
      <c r="B116" s="318" t="n">
        <v>2557124276</v>
      </c>
      <c r="C116" s="318" t="s">
        <v>1090</v>
      </c>
      <c r="D116" s="318" t="s">
        <v>57</v>
      </c>
      <c r="E116" s="318" t="s">
        <v>104</v>
      </c>
      <c r="F116" s="318"/>
      <c r="G116" s="318"/>
      <c r="H116" s="318" t="s">
        <v>165</v>
      </c>
      <c r="I116" s="318" t="s">
        <v>101</v>
      </c>
      <c r="J116" s="318" t="n">
        <v>4632447</v>
      </c>
      <c r="K116" s="318" t="s">
        <v>126</v>
      </c>
      <c r="L116" s="318" t="n">
        <v>72</v>
      </c>
      <c r="M116" s="318" t="n">
        <v>90</v>
      </c>
      <c r="N116" s="318" t="s">
        <v>37</v>
      </c>
      <c r="O116" s="318" t="s">
        <v>985</v>
      </c>
      <c r="P116" s="318" t="s">
        <v>215</v>
      </c>
      <c r="Q116" s="318" t="s">
        <v>283</v>
      </c>
      <c r="R116" s="318" t="s">
        <v>101</v>
      </c>
      <c r="S116" s="318" t="s">
        <v>165</v>
      </c>
      <c r="T116" s="318" t="s">
        <v>116</v>
      </c>
      <c r="U116" s="318" t="n">
        <v>5111226</v>
      </c>
      <c r="V116" s="318"/>
      <c r="W116" s="318" t="s">
        <v>47</v>
      </c>
      <c r="X116" s="318" t="s">
        <v>985</v>
      </c>
      <c r="Y116" s="318" t="s">
        <v>233</v>
      </c>
      <c r="Z116" s="318" t="s">
        <v>283</v>
      </c>
      <c r="AA116" s="318" t="s">
        <v>101</v>
      </c>
      <c r="AB116" s="318" t="s">
        <v>165</v>
      </c>
      <c r="AC116" s="318" t="s">
        <v>116</v>
      </c>
      <c r="AD116" s="318" t="n">
        <v>4513388</v>
      </c>
      <c r="AE116" s="318"/>
      <c r="AF116" s="114" t="s">
        <v>56</v>
      </c>
      <c r="AG116" s="318" t="s">
        <v>985</v>
      </c>
      <c r="AH116" s="318" t="s">
        <v>216</v>
      </c>
      <c r="AI116" s="318" t="s">
        <v>283</v>
      </c>
      <c r="AJ116" s="318" t="s">
        <v>101</v>
      </c>
      <c r="AK116" s="318" t="s">
        <v>165</v>
      </c>
      <c r="AL116" s="318" t="s">
        <v>116</v>
      </c>
      <c r="AM116" s="318"/>
      <c r="AN116" s="318"/>
      <c r="AO116" s="318"/>
      <c r="AP116" s="318"/>
      <c r="AQ116" s="318"/>
      <c r="AR116" s="6" t="s">
        <v>141</v>
      </c>
    </row>
    <row r="117" ht="26.25" customHeight="1">
      <c r="A117" s="318" t="s">
        <v>54</v>
      </c>
      <c r="B117" s="318" t="n">
        <v>4000464385</v>
      </c>
      <c r="C117" s="318" t="s">
        <v>1037</v>
      </c>
      <c r="D117" s="318" t="s">
        <v>57</v>
      </c>
      <c r="E117" s="318" t="s">
        <v>104</v>
      </c>
      <c r="F117" s="318"/>
      <c r="G117" s="318"/>
      <c r="H117" s="318" t="s">
        <v>165</v>
      </c>
      <c r="I117" s="318" t="s">
        <v>88</v>
      </c>
      <c r="J117" s="318" t="n">
        <v>3132880</v>
      </c>
      <c r="K117" s="318" t="s">
        <v>126</v>
      </c>
      <c r="L117" s="318" t="n">
        <v>88</v>
      </c>
      <c r="M117" s="318" t="n">
        <v>98</v>
      </c>
      <c r="N117" s="318" t="s">
        <v>31</v>
      </c>
      <c r="O117" s="318" t="s">
        <v>986</v>
      </c>
      <c r="P117" s="318" t="s">
        <v>233</v>
      </c>
      <c r="Q117" s="318" t="s">
        <v>234</v>
      </c>
      <c r="R117" s="318" t="s">
        <v>88</v>
      </c>
      <c r="S117" s="318" t="s">
        <v>165</v>
      </c>
      <c r="T117" s="318" t="s">
        <v>116</v>
      </c>
      <c r="U117" s="318" t="n">
        <v>3132859</v>
      </c>
      <c r="V117" s="318"/>
      <c r="W117" s="318" t="s">
        <v>43</v>
      </c>
      <c r="X117" s="318" t="s">
        <v>986</v>
      </c>
      <c r="Y117" s="318" t="s">
        <v>215</v>
      </c>
      <c r="Z117" s="318" t="s">
        <v>283</v>
      </c>
      <c r="AA117" s="318" t="s">
        <v>88</v>
      </c>
      <c r="AB117" s="318" t="s">
        <v>165</v>
      </c>
      <c r="AC117" s="318" t="s">
        <v>116</v>
      </c>
      <c r="AD117" s="318" t="n">
        <v>5230727</v>
      </c>
      <c r="AE117" s="318"/>
      <c r="AF117" s="114" t="s">
        <v>56</v>
      </c>
      <c r="AG117" s="318" t="s">
        <v>986</v>
      </c>
      <c r="AH117" s="318" t="s">
        <v>216</v>
      </c>
      <c r="AI117" s="318" t="s">
        <v>283</v>
      </c>
      <c r="AJ117" s="318" t="s">
        <v>88</v>
      </c>
      <c r="AK117" s="318" t="s">
        <v>165</v>
      </c>
      <c r="AL117" s="318" t="s">
        <v>116</v>
      </c>
      <c r="AM117" s="318" t="s">
        <v>217</v>
      </c>
      <c r="AN117" s="318" t="s">
        <v>217</v>
      </c>
      <c r="AO117" s="318" t="s">
        <v>217</v>
      </c>
      <c r="AP117" s="318" t="s">
        <v>218</v>
      </c>
      <c r="AQ117" s="318" t="s">
        <v>218</v>
      </c>
      <c r="AR117" s="6" t="s">
        <v>141</v>
      </c>
    </row>
    <row r="118" ht="26.25" customHeight="1">
      <c r="A118" s="318" t="s">
        <v>54</v>
      </c>
      <c r="B118" s="318" t="n">
        <v>4155497428</v>
      </c>
      <c r="C118" s="318" t="s">
        <v>1091</v>
      </c>
      <c r="D118" s="318" t="s">
        <v>55</v>
      </c>
      <c r="E118" s="318" t="s">
        <v>104</v>
      </c>
      <c r="F118" s="318"/>
      <c r="G118" s="318"/>
      <c r="H118" s="318" t="s">
        <v>165</v>
      </c>
      <c r="I118" s="318" t="s">
        <v>88</v>
      </c>
      <c r="J118" s="318" t="n">
        <v>3132880</v>
      </c>
      <c r="K118" s="318" t="s">
        <v>126</v>
      </c>
      <c r="L118" s="318" t="n">
        <v>90</v>
      </c>
      <c r="M118" s="318" t="n">
        <v>100</v>
      </c>
      <c r="N118" s="318" t="s">
        <v>31</v>
      </c>
      <c r="O118" s="318" t="s">
        <v>986</v>
      </c>
      <c r="P118" s="318" t="s">
        <v>233</v>
      </c>
      <c r="Q118" s="318" t="s">
        <v>234</v>
      </c>
      <c r="R118" s="318" t="s">
        <v>88</v>
      </c>
      <c r="S118" s="318" t="s">
        <v>165</v>
      </c>
      <c r="T118" s="318" t="s">
        <v>116</v>
      </c>
      <c r="U118" s="318" t="n">
        <v>5111226</v>
      </c>
      <c r="V118" s="318"/>
      <c r="W118" s="318" t="s">
        <v>47</v>
      </c>
      <c r="X118" s="318" t="s">
        <v>985</v>
      </c>
      <c r="Y118" s="318" t="s">
        <v>233</v>
      </c>
      <c r="Z118" s="318" t="s">
        <v>283</v>
      </c>
      <c r="AA118" s="318" t="s">
        <v>101</v>
      </c>
      <c r="AB118" s="318" t="s">
        <v>444</v>
      </c>
      <c r="AC118" s="318" t="s">
        <v>116</v>
      </c>
      <c r="AD118" s="318" t="n">
        <v>4513340</v>
      </c>
      <c r="AE118" s="318"/>
      <c r="AF118" s="114" t="s">
        <v>58</v>
      </c>
      <c r="AG118" s="318" t="s">
        <v>1030</v>
      </c>
      <c r="AH118" s="318" t="s">
        <v>233</v>
      </c>
      <c r="AI118" s="318" t="s">
        <v>283</v>
      </c>
      <c r="AJ118" s="318" t="s">
        <v>100</v>
      </c>
      <c r="AK118" s="318" t="s">
        <v>444</v>
      </c>
      <c r="AL118" s="318" t="s">
        <v>116</v>
      </c>
      <c r="AM118" s="318" t="s">
        <v>217</v>
      </c>
      <c r="AN118" s="318" t="s">
        <v>217</v>
      </c>
      <c r="AO118" s="318" t="s">
        <v>218</v>
      </c>
      <c r="AP118" s="318" t="s">
        <v>217</v>
      </c>
      <c r="AQ118" s="318" t="s">
        <v>217</v>
      </c>
      <c r="AR118" s="6" t="s">
        <v>141</v>
      </c>
    </row>
    <row r="119" ht="26.25" customHeight="1">
      <c r="A119" s="318" t="s">
        <v>45</v>
      </c>
      <c r="B119" s="318" t="n">
        <v>2929186491</v>
      </c>
      <c r="C119" s="318" t="s">
        <v>1092</v>
      </c>
      <c r="D119" s="318" t="s">
        <v>50</v>
      </c>
      <c r="E119" s="318" t="s">
        <v>104</v>
      </c>
      <c r="F119" s="318"/>
      <c r="G119" s="318"/>
      <c r="H119" s="318" t="s">
        <v>165</v>
      </c>
      <c r="I119" s="318" t="s">
        <v>100</v>
      </c>
      <c r="J119" s="318" t="n">
        <v>3132872</v>
      </c>
      <c r="K119" s="318" t="s">
        <v>126</v>
      </c>
      <c r="L119" s="318" t="n">
        <v>64</v>
      </c>
      <c r="M119" s="318" t="n">
        <v>85</v>
      </c>
      <c r="N119" s="318" t="s">
        <v>35</v>
      </c>
      <c r="O119" s="318" t="s">
        <v>989</v>
      </c>
      <c r="P119" s="318" t="s">
        <v>216</v>
      </c>
      <c r="Q119" s="318" t="s">
        <v>283</v>
      </c>
      <c r="R119" s="318" t="s">
        <v>100</v>
      </c>
      <c r="S119" s="318" t="s">
        <v>165</v>
      </c>
      <c r="T119" s="318" t="s">
        <v>116</v>
      </c>
      <c r="U119" s="318" t="n">
        <v>5230809</v>
      </c>
      <c r="V119" s="318"/>
      <c r="W119" s="318" t="s">
        <v>47</v>
      </c>
      <c r="X119" s="318" t="s">
        <v>989</v>
      </c>
      <c r="Y119" s="318" t="s">
        <v>215</v>
      </c>
      <c r="Z119" s="318" t="s">
        <v>283</v>
      </c>
      <c r="AA119" s="318" t="s">
        <v>100</v>
      </c>
      <c r="AB119" s="318" t="s">
        <v>165</v>
      </c>
      <c r="AC119" s="318" t="s">
        <v>116</v>
      </c>
      <c r="AD119" s="318" t="n">
        <v>3132893</v>
      </c>
      <c r="AE119" s="318"/>
      <c r="AF119" s="114" t="s">
        <v>52</v>
      </c>
      <c r="AG119" s="318" t="s">
        <v>989</v>
      </c>
      <c r="AH119" s="318" t="s">
        <v>233</v>
      </c>
      <c r="AI119" s="318" t="s">
        <v>283</v>
      </c>
      <c r="AJ119" s="318" t="s">
        <v>100</v>
      </c>
      <c r="AK119" s="318" t="s">
        <v>165</v>
      </c>
      <c r="AL119" s="318" t="s">
        <v>116</v>
      </c>
      <c r="AM119" s="318"/>
      <c r="AN119" s="318"/>
      <c r="AO119" s="318"/>
      <c r="AP119" s="318"/>
      <c r="AQ119" s="318"/>
      <c r="AR119" s="6" t="s">
        <v>141</v>
      </c>
    </row>
    <row r="120" ht="26.25" customHeight="1">
      <c r="A120" s="318" t="s">
        <v>54</v>
      </c>
      <c r="B120" s="318" t="n">
        <v>2468146946</v>
      </c>
      <c r="C120" s="318" t="s">
        <v>1093</v>
      </c>
      <c r="D120" s="318" t="s">
        <v>59</v>
      </c>
      <c r="E120" s="318" t="s">
        <v>112</v>
      </c>
      <c r="F120" s="318"/>
      <c r="G120" s="318" t="s">
        <v>1094</v>
      </c>
      <c r="H120" s="318" t="s">
        <v>165</v>
      </c>
      <c r="I120" s="318" t="s">
        <v>101</v>
      </c>
      <c r="J120" s="318" t="n">
        <v>4632447</v>
      </c>
      <c r="K120" s="318" t="s">
        <v>126</v>
      </c>
      <c r="L120" s="318" t="n">
        <v>62</v>
      </c>
      <c r="M120" s="318" t="n">
        <v>82.5</v>
      </c>
      <c r="N120" s="114" t="s">
        <v>37</v>
      </c>
      <c r="O120" s="318" t="s">
        <v>985</v>
      </c>
      <c r="P120" s="318" t="s">
        <v>215</v>
      </c>
      <c r="Q120" s="318" t="s">
        <v>283</v>
      </c>
      <c r="R120" s="318" t="s">
        <v>101</v>
      </c>
      <c r="S120" s="318" t="s">
        <v>165</v>
      </c>
      <c r="T120" s="318" t="s">
        <v>116</v>
      </c>
      <c r="U120" s="318" t="n">
        <v>5111226</v>
      </c>
      <c r="V120" s="318"/>
      <c r="W120" s="318" t="s">
        <v>47</v>
      </c>
      <c r="X120" s="318" t="s">
        <v>985</v>
      </c>
      <c r="Y120" s="318" t="s">
        <v>233</v>
      </c>
      <c r="Z120" s="318" t="s">
        <v>283</v>
      </c>
      <c r="AA120" s="318" t="s">
        <v>101</v>
      </c>
      <c r="AB120" s="318" t="s">
        <v>165</v>
      </c>
      <c r="AC120" s="318" t="s">
        <v>116</v>
      </c>
      <c r="AD120" s="318" t="n">
        <v>4513388</v>
      </c>
      <c r="AE120" s="318"/>
      <c r="AF120" s="318" t="s">
        <v>56</v>
      </c>
      <c r="AG120" s="318" t="s">
        <v>985</v>
      </c>
      <c r="AH120" s="318" t="s">
        <v>216</v>
      </c>
      <c r="AI120" s="318" t="s">
        <v>283</v>
      </c>
      <c r="AJ120" s="318" t="s">
        <v>101</v>
      </c>
      <c r="AK120" s="318" t="s">
        <v>165</v>
      </c>
      <c r="AL120" s="318" t="s">
        <v>116</v>
      </c>
      <c r="AM120" s="318"/>
      <c r="AN120" s="318"/>
      <c r="AO120" s="318"/>
      <c r="AP120" s="318"/>
      <c r="AQ120" s="318"/>
      <c r="AR120" s="6" t="s">
        <v>141</v>
      </c>
    </row>
    <row r="121" ht="26.25" customHeight="1">
      <c r="A121" s="318" t="s">
        <v>54</v>
      </c>
      <c r="B121" s="318" t="n">
        <v>2501010500</v>
      </c>
      <c r="C121" s="318" t="s">
        <v>425</v>
      </c>
      <c r="D121" s="318" t="s">
        <v>59</v>
      </c>
      <c r="E121" s="318" t="s">
        <v>104</v>
      </c>
      <c r="F121" s="318"/>
      <c r="G121" s="318"/>
      <c r="H121" s="318" t="s">
        <v>165</v>
      </c>
      <c r="I121" s="318" t="s">
        <v>65</v>
      </c>
      <c r="J121" s="318" t="s">
        <v>116</v>
      </c>
      <c r="K121" s="318"/>
      <c r="L121" s="318"/>
      <c r="M121" s="318"/>
      <c r="N121" s="114" t="s">
        <v>116</v>
      </c>
      <c r="O121" s="318" t="s">
        <v>116</v>
      </c>
      <c r="P121" s="318" t="s">
        <v>116</v>
      </c>
      <c r="Q121" s="318" t="s">
        <v>116</v>
      </c>
      <c r="R121" s="318" t="s">
        <v>116</v>
      </c>
      <c r="S121" s="318" t="s">
        <v>116</v>
      </c>
      <c r="T121" s="318" t="s">
        <v>116</v>
      </c>
      <c r="U121" s="318" t="n">
        <v>5170706</v>
      </c>
      <c r="V121" s="318"/>
      <c r="W121" s="318" t="s">
        <v>47</v>
      </c>
      <c r="X121" s="318" t="s">
        <v>987</v>
      </c>
      <c r="Y121" s="318" t="s">
        <v>216</v>
      </c>
      <c r="Z121" s="318" t="s">
        <v>283</v>
      </c>
      <c r="AA121" s="318" t="s">
        <v>65</v>
      </c>
      <c r="AB121" s="318" t="s">
        <v>165</v>
      </c>
      <c r="AC121" s="318" t="s">
        <v>116</v>
      </c>
      <c r="AD121" s="318" t="s">
        <v>116</v>
      </c>
      <c r="AE121" s="318"/>
      <c r="AF121" s="114" t="s">
        <v>116</v>
      </c>
      <c r="AG121" s="318" t="s">
        <v>116</v>
      </c>
      <c r="AH121" s="318" t="s">
        <v>116</v>
      </c>
      <c r="AI121" s="318" t="s">
        <v>116</v>
      </c>
      <c r="AJ121" s="318" t="s">
        <v>116</v>
      </c>
      <c r="AK121" s="318" t="s">
        <v>116</v>
      </c>
      <c r="AL121" s="318" t="s">
        <v>116</v>
      </c>
      <c r="AM121" s="318"/>
      <c r="AN121" s="318"/>
      <c r="AO121" s="318"/>
      <c r="AP121" s="318"/>
      <c r="AQ121" s="318"/>
      <c r="AR121" s="6" t="s">
        <v>141</v>
      </c>
    </row>
    <row r="122" ht="26.25" customHeight="1">
      <c r="A122" s="318" t="s">
        <v>54</v>
      </c>
      <c r="B122" s="318" t="n">
        <v>4847695021</v>
      </c>
      <c r="C122" s="318" t="s">
        <v>430</v>
      </c>
      <c r="D122" s="318" t="s">
        <v>59</v>
      </c>
      <c r="E122" s="318" t="s">
        <v>104</v>
      </c>
      <c r="F122" s="318"/>
      <c r="G122" s="318"/>
      <c r="H122" s="318" t="s">
        <v>165</v>
      </c>
      <c r="I122" s="318" t="s">
        <v>65</v>
      </c>
      <c r="J122" s="318" t="s">
        <v>116</v>
      </c>
      <c r="K122" s="318"/>
      <c r="L122" s="318"/>
      <c r="M122" s="318"/>
      <c r="N122" s="318" t="s">
        <v>116</v>
      </c>
      <c r="O122" s="318" t="s">
        <v>116</v>
      </c>
      <c r="P122" s="318" t="s">
        <v>116</v>
      </c>
      <c r="Q122" s="318" t="s">
        <v>116</v>
      </c>
      <c r="R122" s="318" t="s">
        <v>116</v>
      </c>
      <c r="S122" s="318" t="s">
        <v>116</v>
      </c>
      <c r="T122" s="318" t="s">
        <v>116</v>
      </c>
      <c r="U122" s="318" t="n">
        <v>5170706</v>
      </c>
      <c r="V122" s="318"/>
      <c r="W122" s="318" t="s">
        <v>47</v>
      </c>
      <c r="X122" s="318" t="s">
        <v>987</v>
      </c>
      <c r="Y122" s="318" t="s">
        <v>216</v>
      </c>
      <c r="Z122" s="318" t="s">
        <v>283</v>
      </c>
      <c r="AA122" s="318" t="s">
        <v>65</v>
      </c>
      <c r="AB122" s="318" t="s">
        <v>165</v>
      </c>
      <c r="AC122" s="318" t="s">
        <v>116</v>
      </c>
      <c r="AD122" s="318" t="s">
        <v>116</v>
      </c>
      <c r="AE122" s="318"/>
      <c r="AF122" s="114" t="s">
        <v>116</v>
      </c>
      <c r="AG122" s="318" t="s">
        <v>116</v>
      </c>
      <c r="AH122" s="318" t="s">
        <v>116</v>
      </c>
      <c r="AI122" s="318" t="s">
        <v>116</v>
      </c>
      <c r="AJ122" s="318" t="s">
        <v>116</v>
      </c>
      <c r="AK122" s="318" t="s">
        <v>116</v>
      </c>
      <c r="AL122" s="318" t="s">
        <v>116</v>
      </c>
      <c r="AM122" s="318"/>
      <c r="AN122" s="318"/>
      <c r="AO122" s="318"/>
      <c r="AP122" s="318"/>
      <c r="AQ122" s="318"/>
      <c r="AR122" s="6" t="s">
        <v>141</v>
      </c>
    </row>
    <row r="123" ht="26.25" customHeight="1">
      <c r="A123" s="318" t="s">
        <v>54</v>
      </c>
      <c r="B123" s="318" t="n">
        <v>2401201374</v>
      </c>
      <c r="C123" s="318" t="s">
        <v>405</v>
      </c>
      <c r="D123" s="318" t="s">
        <v>59</v>
      </c>
      <c r="E123" s="114" t="s">
        <v>104</v>
      </c>
      <c r="F123" s="318"/>
      <c r="G123" s="318"/>
      <c r="H123" s="318" t="s">
        <v>165</v>
      </c>
      <c r="I123" s="318" t="s">
        <v>65</v>
      </c>
      <c r="J123" s="318" t="s">
        <v>116</v>
      </c>
      <c r="K123" s="318"/>
      <c r="L123" s="318"/>
      <c r="M123" s="318"/>
      <c r="N123" s="114" t="s">
        <v>116</v>
      </c>
      <c r="O123" s="318" t="s">
        <v>116</v>
      </c>
      <c r="P123" s="318" t="s">
        <v>116</v>
      </c>
      <c r="Q123" s="318" t="s">
        <v>116</v>
      </c>
      <c r="R123" s="318" t="s">
        <v>116</v>
      </c>
      <c r="S123" s="318" t="s">
        <v>116</v>
      </c>
      <c r="T123" s="318" t="s">
        <v>116</v>
      </c>
      <c r="U123" s="318" t="n">
        <v>5170706</v>
      </c>
      <c r="V123" s="318"/>
      <c r="W123" s="318" t="s">
        <v>47</v>
      </c>
      <c r="X123" s="318" t="s">
        <v>987</v>
      </c>
      <c r="Y123" s="318" t="s">
        <v>216</v>
      </c>
      <c r="Z123" s="318" t="s">
        <v>283</v>
      </c>
      <c r="AA123" s="318" t="s">
        <v>65</v>
      </c>
      <c r="AB123" s="318" t="s">
        <v>165</v>
      </c>
      <c r="AC123" s="318" t="s">
        <v>116</v>
      </c>
      <c r="AD123" s="318" t="s">
        <v>116</v>
      </c>
      <c r="AE123" s="318"/>
      <c r="AF123" s="114" t="s">
        <v>116</v>
      </c>
      <c r="AG123" s="318" t="s">
        <v>116</v>
      </c>
      <c r="AH123" s="318" t="s">
        <v>116</v>
      </c>
      <c r="AI123" s="318" t="s">
        <v>116</v>
      </c>
      <c r="AJ123" s="318" t="s">
        <v>116</v>
      </c>
      <c r="AK123" s="318" t="s">
        <v>116</v>
      </c>
      <c r="AL123" s="318" t="s">
        <v>116</v>
      </c>
      <c r="AM123" s="318"/>
      <c r="AN123" s="318"/>
      <c r="AO123" s="318"/>
      <c r="AP123" s="318"/>
      <c r="AQ123" s="318"/>
      <c r="AR123" s="6" t="s">
        <v>141</v>
      </c>
    </row>
    <row r="124" ht="26.25" customHeight="1">
      <c r="A124" s="318" t="s">
        <v>54</v>
      </c>
      <c r="B124" s="318" t="n">
        <v>2530543525</v>
      </c>
      <c r="C124" s="318" t="s">
        <v>438</v>
      </c>
      <c r="D124" s="318" t="s">
        <v>57</v>
      </c>
      <c r="E124" s="114" t="s">
        <v>104</v>
      </c>
      <c r="F124" s="318"/>
      <c r="G124" s="318"/>
      <c r="H124" s="318" t="s">
        <v>165</v>
      </c>
      <c r="I124" s="318" t="s">
        <v>65</v>
      </c>
      <c r="J124" s="318" t="s">
        <v>116</v>
      </c>
      <c r="K124" s="318"/>
      <c r="L124" s="318"/>
      <c r="M124" s="318"/>
      <c r="N124" s="318" t="s">
        <v>116</v>
      </c>
      <c r="O124" s="318" t="s">
        <v>116</v>
      </c>
      <c r="P124" s="318" t="s">
        <v>116</v>
      </c>
      <c r="Q124" s="318" t="s">
        <v>116</v>
      </c>
      <c r="R124" s="318" t="s">
        <v>116</v>
      </c>
      <c r="S124" s="318" t="s">
        <v>116</v>
      </c>
      <c r="T124" s="318" t="s">
        <v>116</v>
      </c>
      <c r="U124" s="318" t="n">
        <v>5170706</v>
      </c>
      <c r="V124" s="318"/>
      <c r="W124" s="318" t="s">
        <v>47</v>
      </c>
      <c r="X124" s="318" t="s">
        <v>987</v>
      </c>
      <c r="Y124" s="318" t="s">
        <v>216</v>
      </c>
      <c r="Z124" s="318" t="s">
        <v>283</v>
      </c>
      <c r="AA124" s="318" t="s">
        <v>65</v>
      </c>
      <c r="AB124" s="318" t="s">
        <v>165</v>
      </c>
      <c r="AC124" s="318" t="s">
        <v>116</v>
      </c>
      <c r="AD124" s="318" t="s">
        <v>116</v>
      </c>
      <c r="AE124" s="318"/>
      <c r="AF124" s="114" t="s">
        <v>116</v>
      </c>
      <c r="AG124" s="318" t="s">
        <v>116</v>
      </c>
      <c r="AH124" s="318" t="s">
        <v>116</v>
      </c>
      <c r="AI124" s="318" t="s">
        <v>116</v>
      </c>
      <c r="AJ124" s="318" t="s">
        <v>116</v>
      </c>
      <c r="AK124" s="318" t="s">
        <v>116</v>
      </c>
      <c r="AL124" s="318" t="s">
        <v>116</v>
      </c>
      <c r="AM124" s="318"/>
      <c r="AN124" s="318"/>
      <c r="AO124" s="318"/>
      <c r="AP124" s="318"/>
      <c r="AQ124" s="318"/>
      <c r="AR124" s="6" t="s">
        <v>141</v>
      </c>
    </row>
    <row r="125" ht="26.25" customHeight="1">
      <c r="A125" s="318" t="s">
        <v>54</v>
      </c>
      <c r="B125" s="318" t="n">
        <v>4422639616</v>
      </c>
      <c r="C125" s="318" t="s">
        <v>1095</v>
      </c>
      <c r="D125" s="318" t="s">
        <v>59</v>
      </c>
      <c r="E125" s="114" t="s">
        <v>112</v>
      </c>
      <c r="F125" s="318"/>
      <c r="G125" s="318" t="s">
        <v>430</v>
      </c>
      <c r="H125" s="318" t="s">
        <v>165</v>
      </c>
      <c r="I125" s="318" t="s">
        <v>100</v>
      </c>
      <c r="J125" s="318" t="n">
        <v>5111034</v>
      </c>
      <c r="K125" s="318" t="s">
        <v>126</v>
      </c>
      <c r="L125" s="318" t="n">
        <v>75</v>
      </c>
      <c r="M125" s="318" t="n">
        <v>93</v>
      </c>
      <c r="N125" s="318" t="s">
        <v>37</v>
      </c>
      <c r="O125" s="318" t="s">
        <v>1030</v>
      </c>
      <c r="P125" s="318" t="s">
        <v>216</v>
      </c>
      <c r="Q125" s="318" t="s">
        <v>283</v>
      </c>
      <c r="R125" s="318" t="s">
        <v>100</v>
      </c>
      <c r="S125" s="318" t="s">
        <v>165</v>
      </c>
      <c r="T125" s="318" t="s">
        <v>116</v>
      </c>
      <c r="U125" s="318" t="n">
        <v>4513342</v>
      </c>
      <c r="V125" s="318"/>
      <c r="W125" s="318" t="s">
        <v>43</v>
      </c>
      <c r="X125" s="318" t="s">
        <v>1030</v>
      </c>
      <c r="Y125" s="318" t="s">
        <v>215</v>
      </c>
      <c r="Z125" s="318" t="s">
        <v>283</v>
      </c>
      <c r="AA125" s="318" t="s">
        <v>100</v>
      </c>
      <c r="AB125" s="318" t="s">
        <v>165</v>
      </c>
      <c r="AC125" s="318" t="s">
        <v>116</v>
      </c>
      <c r="AD125" s="318" t="n">
        <v>4513340</v>
      </c>
      <c r="AE125" s="318"/>
      <c r="AF125" s="114" t="s">
        <v>58</v>
      </c>
      <c r="AG125" s="318" t="s">
        <v>1030</v>
      </c>
      <c r="AH125" s="318" t="s">
        <v>233</v>
      </c>
      <c r="AI125" s="318" t="s">
        <v>283</v>
      </c>
      <c r="AJ125" s="318" t="s">
        <v>100</v>
      </c>
      <c r="AK125" s="318" t="s">
        <v>165</v>
      </c>
      <c r="AL125" s="318" t="s">
        <v>116</v>
      </c>
      <c r="AM125" s="318"/>
      <c r="AN125" s="318"/>
      <c r="AO125" s="318"/>
      <c r="AP125" s="318"/>
      <c r="AQ125" s="318"/>
      <c r="AR125" s="6" t="s">
        <v>141</v>
      </c>
    </row>
    <row r="126" ht="26.25" customHeight="1">
      <c r="A126" s="318" t="s">
        <v>54</v>
      </c>
      <c r="B126" s="318" t="n">
        <v>2579132025</v>
      </c>
      <c r="C126" s="318" t="s">
        <v>1096</v>
      </c>
      <c r="D126" s="318" t="s">
        <v>57</v>
      </c>
      <c r="E126" s="114" t="s">
        <v>104</v>
      </c>
      <c r="F126" s="318"/>
      <c r="G126" s="318"/>
      <c r="H126" s="318" t="s">
        <v>165</v>
      </c>
      <c r="I126" s="318" t="s">
        <v>100</v>
      </c>
      <c r="J126" s="318" t="n">
        <v>5111034</v>
      </c>
      <c r="K126" s="318" t="s">
        <v>126</v>
      </c>
      <c r="L126" s="318" t="n">
        <v>64</v>
      </c>
      <c r="M126" s="318" t="n">
        <v>85</v>
      </c>
      <c r="N126" s="318" t="s">
        <v>37</v>
      </c>
      <c r="O126" s="318" t="s">
        <v>1030</v>
      </c>
      <c r="P126" s="318" t="s">
        <v>216</v>
      </c>
      <c r="Q126" s="318" t="s">
        <v>283</v>
      </c>
      <c r="R126" s="318" t="s">
        <v>100</v>
      </c>
      <c r="S126" s="318" t="s">
        <v>165</v>
      </c>
      <c r="T126" s="318" t="s">
        <v>116</v>
      </c>
      <c r="U126" s="318" t="n">
        <v>4513342</v>
      </c>
      <c r="V126" s="318"/>
      <c r="W126" s="318" t="s">
        <v>43</v>
      </c>
      <c r="X126" s="318" t="s">
        <v>1030</v>
      </c>
      <c r="Y126" s="318" t="s">
        <v>215</v>
      </c>
      <c r="Z126" s="318" t="s">
        <v>283</v>
      </c>
      <c r="AA126" s="318" t="s">
        <v>100</v>
      </c>
      <c r="AB126" s="318" t="s">
        <v>165</v>
      </c>
      <c r="AC126" s="318" t="s">
        <v>116</v>
      </c>
      <c r="AD126" s="318" t="n">
        <v>4513340</v>
      </c>
      <c r="AE126" s="318"/>
      <c r="AF126" s="318" t="s">
        <v>58</v>
      </c>
      <c r="AG126" s="318" t="s">
        <v>1030</v>
      </c>
      <c r="AH126" s="318" t="s">
        <v>233</v>
      </c>
      <c r="AI126" s="318" t="s">
        <v>283</v>
      </c>
      <c r="AJ126" s="318" t="s">
        <v>100</v>
      </c>
      <c r="AK126" s="318" t="s">
        <v>165</v>
      </c>
      <c r="AL126" s="318" t="s">
        <v>116</v>
      </c>
      <c r="AM126" s="318"/>
      <c r="AN126" s="318"/>
      <c r="AO126" s="318"/>
      <c r="AP126" s="318"/>
      <c r="AQ126" s="318"/>
      <c r="AR126" s="6" t="s">
        <v>141</v>
      </c>
    </row>
    <row r="127" ht="26.25" customHeight="1">
      <c r="A127" s="318" t="s">
        <v>54</v>
      </c>
      <c r="B127" s="318" t="n">
        <v>2533362129</v>
      </c>
      <c r="C127" s="318" t="s">
        <v>1097</v>
      </c>
      <c r="D127" s="318" t="s">
        <v>59</v>
      </c>
      <c r="E127" s="318" t="s">
        <v>112</v>
      </c>
      <c r="F127" s="318"/>
      <c r="G127" s="318" t="s">
        <v>1098</v>
      </c>
      <c r="H127" s="318" t="s">
        <v>165</v>
      </c>
      <c r="I127" s="318" t="s">
        <v>101</v>
      </c>
      <c r="J127" s="318" t="n">
        <v>5111035</v>
      </c>
      <c r="K127" s="318" t="s">
        <v>126</v>
      </c>
      <c r="L127" s="318" t="n">
        <v>86</v>
      </c>
      <c r="M127" s="318" t="n">
        <v>95</v>
      </c>
      <c r="N127" s="318" t="s">
        <v>35</v>
      </c>
      <c r="O127" s="318" t="s">
        <v>986</v>
      </c>
      <c r="P127" s="318" t="s">
        <v>233</v>
      </c>
      <c r="Q127" s="318" t="s">
        <v>234</v>
      </c>
      <c r="R127" s="318" t="s">
        <v>101</v>
      </c>
      <c r="S127" s="318" t="s">
        <v>165</v>
      </c>
      <c r="T127" s="318" t="s">
        <v>116</v>
      </c>
      <c r="U127" s="318" t="n">
        <v>5170873</v>
      </c>
      <c r="V127" s="318"/>
      <c r="W127" s="318" t="s">
        <v>47</v>
      </c>
      <c r="X127" s="318" t="s">
        <v>986</v>
      </c>
      <c r="Y127" s="318" t="s">
        <v>216</v>
      </c>
      <c r="Z127" s="318" t="s">
        <v>283</v>
      </c>
      <c r="AA127" s="318" t="s">
        <v>101</v>
      </c>
      <c r="AB127" s="318" t="s">
        <v>165</v>
      </c>
      <c r="AC127" s="318" t="s">
        <v>116</v>
      </c>
      <c r="AD127" s="318" t="n">
        <v>5170871</v>
      </c>
      <c r="AE127" s="318"/>
      <c r="AF127" s="114" t="s">
        <v>58</v>
      </c>
      <c r="AG127" s="318" t="s">
        <v>986</v>
      </c>
      <c r="AH127" s="318" t="s">
        <v>215</v>
      </c>
      <c r="AI127" s="318" t="s">
        <v>283</v>
      </c>
      <c r="AJ127" s="318" t="s">
        <v>101</v>
      </c>
      <c r="AK127" s="318" t="s">
        <v>165</v>
      </c>
      <c r="AL127" s="318" t="s">
        <v>116</v>
      </c>
      <c r="AM127" s="318"/>
      <c r="AN127" s="318"/>
      <c r="AO127" s="318"/>
      <c r="AP127" s="318"/>
      <c r="AQ127" s="318"/>
      <c r="AR127" s="6" t="s">
        <v>141</v>
      </c>
    </row>
    <row r="128" ht="26.25" customHeight="1">
      <c r="A128" s="318" t="s">
        <v>54</v>
      </c>
      <c r="B128" s="318" t="n">
        <v>4842301330</v>
      </c>
      <c r="C128" s="318" t="s">
        <v>1099</v>
      </c>
      <c r="D128" s="318" t="s">
        <v>55</v>
      </c>
      <c r="E128" s="318" t="s">
        <v>104</v>
      </c>
      <c r="F128" s="318"/>
      <c r="G128" s="318"/>
      <c r="H128" s="318" t="s">
        <v>165</v>
      </c>
      <c r="I128" s="318" t="s">
        <v>100</v>
      </c>
      <c r="J128" s="318" t="s">
        <v>116</v>
      </c>
      <c r="K128" s="318"/>
      <c r="L128" s="318"/>
      <c r="M128" s="318"/>
      <c r="N128" s="318" t="s">
        <v>116</v>
      </c>
      <c r="O128" s="318" t="s">
        <v>116</v>
      </c>
      <c r="P128" s="318" t="s">
        <v>116</v>
      </c>
      <c r="Q128" s="318" t="s">
        <v>116</v>
      </c>
      <c r="R128" s="318" t="s">
        <v>116</v>
      </c>
      <c r="S128" s="318" t="s">
        <v>116</v>
      </c>
      <c r="T128" s="318" t="s">
        <v>116</v>
      </c>
      <c r="U128" s="318" t="n">
        <v>3132846</v>
      </c>
      <c r="V128" s="318"/>
      <c r="W128" s="318" t="s">
        <v>43</v>
      </c>
      <c r="X128" s="318" t="s">
        <v>987</v>
      </c>
      <c r="Y128" s="318" t="s">
        <v>216</v>
      </c>
      <c r="Z128" s="318" t="s">
        <v>283</v>
      </c>
      <c r="AA128" s="318" t="s">
        <v>100</v>
      </c>
      <c r="AB128" s="318" t="s">
        <v>165</v>
      </c>
      <c r="AC128" s="318" t="s">
        <v>116</v>
      </c>
      <c r="AD128" s="318" t="n">
        <v>5230738</v>
      </c>
      <c r="AE128" s="318"/>
      <c r="AF128" s="114" t="s">
        <v>58</v>
      </c>
      <c r="AG128" s="318" t="s">
        <v>987</v>
      </c>
      <c r="AH128" s="318" t="s">
        <v>215</v>
      </c>
      <c r="AI128" s="318" t="s">
        <v>283</v>
      </c>
      <c r="AJ128" s="318" t="s">
        <v>100</v>
      </c>
      <c r="AK128" s="318" t="s">
        <v>165</v>
      </c>
      <c r="AL128" s="318" t="s">
        <v>116</v>
      </c>
      <c r="AM128" s="318"/>
      <c r="AN128" s="318"/>
      <c r="AO128" s="318"/>
      <c r="AP128" s="318"/>
      <c r="AQ128" s="318"/>
      <c r="AR128" s="6" t="s">
        <v>141</v>
      </c>
    </row>
    <row r="129" ht="26.25" customHeight="1">
      <c r="A129" s="318" t="s">
        <v>54</v>
      </c>
      <c r="B129" s="318" t="n">
        <v>4584634596</v>
      </c>
      <c r="C129" s="318" t="s">
        <v>1100</v>
      </c>
      <c r="D129" s="318" t="s">
        <v>59</v>
      </c>
      <c r="E129" s="318" t="s">
        <v>112</v>
      </c>
      <c r="F129" s="318"/>
      <c r="G129" s="318" t="s">
        <v>1098</v>
      </c>
      <c r="H129" s="318" t="s">
        <v>165</v>
      </c>
      <c r="I129" s="318" t="s">
        <v>101</v>
      </c>
      <c r="J129" s="318" t="n">
        <v>5111035</v>
      </c>
      <c r="K129" s="318" t="s">
        <v>126</v>
      </c>
      <c r="L129" s="318" t="n">
        <v>86</v>
      </c>
      <c r="M129" s="318" t="n">
        <v>96</v>
      </c>
      <c r="N129" s="318" t="s">
        <v>35</v>
      </c>
      <c r="O129" s="318" t="s">
        <v>986</v>
      </c>
      <c r="P129" s="318" t="s">
        <v>233</v>
      </c>
      <c r="Q129" s="318" t="s">
        <v>234</v>
      </c>
      <c r="R129" s="318" t="s">
        <v>101</v>
      </c>
      <c r="S129" s="318" t="s">
        <v>165</v>
      </c>
      <c r="T129" s="318" t="s">
        <v>116</v>
      </c>
      <c r="U129" s="318" t="n">
        <v>5170873</v>
      </c>
      <c r="V129" s="318"/>
      <c r="W129" s="318" t="s">
        <v>47</v>
      </c>
      <c r="X129" s="318" t="s">
        <v>986</v>
      </c>
      <c r="Y129" s="318" t="s">
        <v>216</v>
      </c>
      <c r="Z129" s="318" t="s">
        <v>283</v>
      </c>
      <c r="AA129" s="318" t="s">
        <v>101</v>
      </c>
      <c r="AB129" s="318" t="s">
        <v>165</v>
      </c>
      <c r="AC129" s="318" t="s">
        <v>116</v>
      </c>
      <c r="AD129" s="318" t="n">
        <v>5170871</v>
      </c>
      <c r="AE129" s="318"/>
      <c r="AF129" s="114" t="s">
        <v>58</v>
      </c>
      <c r="AG129" s="318" t="s">
        <v>986</v>
      </c>
      <c r="AH129" s="318" t="s">
        <v>215</v>
      </c>
      <c r="AI129" s="318" t="s">
        <v>283</v>
      </c>
      <c r="AJ129" s="318" t="s">
        <v>101</v>
      </c>
      <c r="AK129" s="318" t="s">
        <v>165</v>
      </c>
      <c r="AL129" s="318" t="s">
        <v>116</v>
      </c>
      <c r="AM129" s="318"/>
      <c r="AN129" s="318"/>
      <c r="AO129" s="318"/>
      <c r="AP129" s="318"/>
      <c r="AQ129" s="318"/>
      <c r="AR129" s="6" t="s">
        <v>141</v>
      </c>
    </row>
    <row r="130" ht="26.25" customHeight="1">
      <c r="A130" s="318" t="s">
        <v>54</v>
      </c>
      <c r="B130" s="318" t="n">
        <v>2918346021</v>
      </c>
      <c r="C130" s="318" t="s">
        <v>1098</v>
      </c>
      <c r="D130" s="318" t="s">
        <v>59</v>
      </c>
      <c r="E130" s="318" t="s">
        <v>112</v>
      </c>
      <c r="F130" s="318"/>
      <c r="G130" s="318" t="s">
        <v>1094</v>
      </c>
      <c r="H130" s="318" t="s">
        <v>165</v>
      </c>
      <c r="I130" s="318" t="s">
        <v>101</v>
      </c>
      <c r="J130" s="318" t="n">
        <v>5111035</v>
      </c>
      <c r="K130" s="318" t="s">
        <v>126</v>
      </c>
      <c r="L130" s="318" t="n">
        <v>86</v>
      </c>
      <c r="M130" s="318" t="n">
        <v>95</v>
      </c>
      <c r="N130" s="318" t="s">
        <v>35</v>
      </c>
      <c r="O130" s="318" t="s">
        <v>986</v>
      </c>
      <c r="P130" s="318" t="s">
        <v>233</v>
      </c>
      <c r="Q130" s="318" t="s">
        <v>234</v>
      </c>
      <c r="R130" s="318" t="s">
        <v>101</v>
      </c>
      <c r="S130" s="318" t="s">
        <v>165</v>
      </c>
      <c r="T130" s="318" t="s">
        <v>116</v>
      </c>
      <c r="U130" s="318" t="n">
        <v>5170873</v>
      </c>
      <c r="V130" s="318"/>
      <c r="W130" s="318" t="s">
        <v>47</v>
      </c>
      <c r="X130" s="318" t="s">
        <v>986</v>
      </c>
      <c r="Y130" s="318" t="s">
        <v>216</v>
      </c>
      <c r="Z130" s="318" t="s">
        <v>283</v>
      </c>
      <c r="AA130" s="318" t="s">
        <v>101</v>
      </c>
      <c r="AB130" s="318" t="s">
        <v>165</v>
      </c>
      <c r="AC130" s="318" t="s">
        <v>116</v>
      </c>
      <c r="AD130" s="318" t="n">
        <v>5170871</v>
      </c>
      <c r="AE130" s="318"/>
      <c r="AF130" s="318" t="s">
        <v>58</v>
      </c>
      <c r="AG130" s="318" t="s">
        <v>986</v>
      </c>
      <c r="AH130" s="318" t="s">
        <v>215</v>
      </c>
      <c r="AI130" s="318" t="s">
        <v>283</v>
      </c>
      <c r="AJ130" s="318" t="s">
        <v>101</v>
      </c>
      <c r="AK130" s="318" t="s">
        <v>165</v>
      </c>
      <c r="AL130" s="318" t="s">
        <v>116</v>
      </c>
      <c r="AM130" s="318"/>
      <c r="AN130" s="318"/>
      <c r="AO130" s="318"/>
      <c r="AP130" s="318"/>
      <c r="AQ130" s="318"/>
      <c r="AR130" s="6" t="s">
        <v>141</v>
      </c>
    </row>
    <row r="131" ht="26.25" customHeight="1">
      <c r="A131" s="318" t="s">
        <v>45</v>
      </c>
      <c r="B131" s="318" t="n">
        <v>4522642117</v>
      </c>
      <c r="C131" s="318" t="s">
        <v>1101</v>
      </c>
      <c r="D131" s="318" t="s">
        <v>46</v>
      </c>
      <c r="E131" s="318" t="s">
        <v>104</v>
      </c>
      <c r="F131" s="318"/>
      <c r="G131" s="318"/>
      <c r="H131" s="318" t="s">
        <v>165</v>
      </c>
      <c r="I131" s="318" t="s">
        <v>100</v>
      </c>
      <c r="J131" s="318" t="n">
        <v>3132872</v>
      </c>
      <c r="K131" s="318" t="s">
        <v>126</v>
      </c>
      <c r="L131" s="318" t="n">
        <v>75</v>
      </c>
      <c r="M131" s="318" t="n">
        <v>94</v>
      </c>
      <c r="N131" s="318" t="s">
        <v>35</v>
      </c>
      <c r="O131" s="318" t="s">
        <v>989</v>
      </c>
      <c r="P131" s="318" t="s">
        <v>216</v>
      </c>
      <c r="Q131" s="318" t="s">
        <v>283</v>
      </c>
      <c r="R131" s="318" t="s">
        <v>100</v>
      </c>
      <c r="S131" s="318" t="s">
        <v>165</v>
      </c>
      <c r="T131" s="318" t="s">
        <v>116</v>
      </c>
      <c r="U131" s="318" t="n">
        <v>5230809</v>
      </c>
      <c r="V131" s="318"/>
      <c r="W131" s="318" t="s">
        <v>47</v>
      </c>
      <c r="X131" s="318" t="s">
        <v>989</v>
      </c>
      <c r="Y131" s="318" t="s">
        <v>215</v>
      </c>
      <c r="Z131" s="318" t="s">
        <v>283</v>
      </c>
      <c r="AA131" s="318" t="s">
        <v>100</v>
      </c>
      <c r="AB131" s="318" t="s">
        <v>165</v>
      </c>
      <c r="AC131" s="318" t="s">
        <v>116</v>
      </c>
      <c r="AD131" s="318" t="n">
        <v>3132893</v>
      </c>
      <c r="AE131" s="318"/>
      <c r="AF131" s="318" t="s">
        <v>52</v>
      </c>
      <c r="AG131" s="318" t="s">
        <v>989</v>
      </c>
      <c r="AH131" s="318" t="s">
        <v>233</v>
      </c>
      <c r="AI131" s="318" t="s">
        <v>283</v>
      </c>
      <c r="AJ131" s="318" t="s">
        <v>100</v>
      </c>
      <c r="AK131" s="318" t="s">
        <v>165</v>
      </c>
      <c r="AL131" s="318" t="s">
        <v>116</v>
      </c>
      <c r="AM131" s="318"/>
      <c r="AN131" s="318"/>
      <c r="AO131" s="318"/>
      <c r="AP131" s="318"/>
      <c r="AQ131" s="318"/>
      <c r="AR131" s="6" t="s">
        <v>141</v>
      </c>
    </row>
    <row r="132" ht="26.25" customHeight="1">
      <c r="A132" s="318" t="s">
        <v>54</v>
      </c>
      <c r="B132" s="318" t="n">
        <v>2581737642</v>
      </c>
      <c r="C132" s="318" t="s">
        <v>1102</v>
      </c>
      <c r="D132" s="318" t="s">
        <v>48</v>
      </c>
      <c r="E132" s="318" t="s">
        <v>104</v>
      </c>
      <c r="F132" s="318"/>
      <c r="G132" s="318"/>
      <c r="H132" s="318" t="s">
        <v>165</v>
      </c>
      <c r="I132" s="318" t="s">
        <v>100</v>
      </c>
      <c r="J132" s="318" t="n">
        <v>5111034</v>
      </c>
      <c r="K132" s="318" t="s">
        <v>126</v>
      </c>
      <c r="L132" s="318" t="n">
        <v>60</v>
      </c>
      <c r="M132" s="318" t="n">
        <v>80</v>
      </c>
      <c r="N132" s="318" t="s">
        <v>37</v>
      </c>
      <c r="O132" s="318" t="s">
        <v>1030</v>
      </c>
      <c r="P132" s="318" t="s">
        <v>216</v>
      </c>
      <c r="Q132" s="318" t="s">
        <v>283</v>
      </c>
      <c r="R132" s="318" t="s">
        <v>100</v>
      </c>
      <c r="S132" s="318" t="s">
        <v>165</v>
      </c>
      <c r="T132" s="318" t="s">
        <v>116</v>
      </c>
      <c r="U132" s="318" t="n">
        <v>4513342</v>
      </c>
      <c r="V132" s="318"/>
      <c r="W132" s="318" t="s">
        <v>43</v>
      </c>
      <c r="X132" s="318" t="s">
        <v>1030</v>
      </c>
      <c r="Y132" s="318" t="s">
        <v>215</v>
      </c>
      <c r="Z132" s="318" t="s">
        <v>283</v>
      </c>
      <c r="AA132" s="318" t="s">
        <v>100</v>
      </c>
      <c r="AB132" s="318" t="s">
        <v>165</v>
      </c>
      <c r="AC132" s="318" t="s">
        <v>116</v>
      </c>
      <c r="AD132" s="318" t="n">
        <v>4513340</v>
      </c>
      <c r="AE132" s="318"/>
      <c r="AF132" s="318" t="s">
        <v>58</v>
      </c>
      <c r="AG132" s="318" t="s">
        <v>1030</v>
      </c>
      <c r="AH132" s="318" t="s">
        <v>233</v>
      </c>
      <c r="AI132" s="318" t="s">
        <v>283</v>
      </c>
      <c r="AJ132" s="318" t="s">
        <v>100</v>
      </c>
      <c r="AK132" s="318" t="s">
        <v>165</v>
      </c>
      <c r="AL132" s="318" t="s">
        <v>116</v>
      </c>
      <c r="AM132" s="318"/>
      <c r="AN132" s="318"/>
      <c r="AO132" s="318"/>
      <c r="AP132" s="318"/>
      <c r="AQ132" s="318"/>
      <c r="AR132" s="6" t="s">
        <v>141</v>
      </c>
    </row>
    <row r="133" ht="26.25" customHeight="1">
      <c r="A133" s="318" t="s">
        <v>54</v>
      </c>
      <c r="B133" s="318" t="n">
        <v>4000435343</v>
      </c>
      <c r="C133" s="318" t="s">
        <v>1017</v>
      </c>
      <c r="D133" s="318" t="s">
        <v>38</v>
      </c>
      <c r="E133" s="318" t="s">
        <v>104</v>
      </c>
      <c r="F133" s="318"/>
      <c r="G133" s="318"/>
      <c r="H133" s="318" t="s">
        <v>165</v>
      </c>
      <c r="I133" s="318" t="s">
        <v>100</v>
      </c>
      <c r="J133" s="318" t="n">
        <v>5111034</v>
      </c>
      <c r="K133" s="318" t="s">
        <v>126</v>
      </c>
      <c r="L133" s="318" t="n">
        <v>88</v>
      </c>
      <c r="M133" s="318" t="n">
        <v>98</v>
      </c>
      <c r="N133" s="318" t="s">
        <v>37</v>
      </c>
      <c r="O133" s="318" t="s">
        <v>1030</v>
      </c>
      <c r="P133" s="318" t="s">
        <v>216</v>
      </c>
      <c r="Q133" s="318" t="s">
        <v>283</v>
      </c>
      <c r="R133" s="318" t="s">
        <v>100</v>
      </c>
      <c r="S133" s="318" t="s">
        <v>165</v>
      </c>
      <c r="T133" s="318" t="s">
        <v>116</v>
      </c>
      <c r="U133" s="318" t="n">
        <v>4513342</v>
      </c>
      <c r="V133" s="318"/>
      <c r="W133" s="318" t="s">
        <v>43</v>
      </c>
      <c r="X133" s="318" t="s">
        <v>1030</v>
      </c>
      <c r="Y133" s="318" t="s">
        <v>215</v>
      </c>
      <c r="Z133" s="318" t="s">
        <v>283</v>
      </c>
      <c r="AA133" s="318" t="s">
        <v>100</v>
      </c>
      <c r="AB133" s="318" t="s">
        <v>165</v>
      </c>
      <c r="AC133" s="318" t="s">
        <v>116</v>
      </c>
      <c r="AD133" s="318" t="n">
        <v>4513340</v>
      </c>
      <c r="AE133" s="318"/>
      <c r="AF133" s="114" t="s">
        <v>58</v>
      </c>
      <c r="AG133" s="318" t="s">
        <v>1030</v>
      </c>
      <c r="AH133" s="318" t="s">
        <v>233</v>
      </c>
      <c r="AI133" s="318" t="s">
        <v>283</v>
      </c>
      <c r="AJ133" s="318" t="s">
        <v>100</v>
      </c>
      <c r="AK133" s="318" t="s">
        <v>165</v>
      </c>
      <c r="AL133" s="318" t="s">
        <v>116</v>
      </c>
      <c r="AM133" s="318"/>
      <c r="AN133" s="318"/>
      <c r="AO133" s="318"/>
      <c r="AP133" s="476"/>
      <c r="AQ133" s="476"/>
      <c r="AR133" s="6" t="s">
        <v>141</v>
      </c>
    </row>
    <row r="134" ht="26.25" customHeight="1">
      <c r="A134" s="318" t="s">
        <v>54</v>
      </c>
      <c r="B134" s="318" t="n">
        <v>4843523511</v>
      </c>
      <c r="C134" s="318" t="s">
        <v>1026</v>
      </c>
      <c r="D134" s="318" t="s">
        <v>55</v>
      </c>
      <c r="E134" s="318" t="s">
        <v>104</v>
      </c>
      <c r="F134" s="318"/>
      <c r="G134" s="318"/>
      <c r="H134" s="318" t="s">
        <v>165</v>
      </c>
      <c r="I134" s="318" t="s">
        <v>101</v>
      </c>
      <c r="J134" s="318" t="n">
        <v>4632447</v>
      </c>
      <c r="K134" s="318" t="s">
        <v>126</v>
      </c>
      <c r="L134" s="318" t="n">
        <v>60</v>
      </c>
      <c r="M134" s="318" t="n">
        <v>80</v>
      </c>
      <c r="N134" s="318" t="s">
        <v>37</v>
      </c>
      <c r="O134" s="318" t="s">
        <v>985</v>
      </c>
      <c r="P134" s="318" t="s">
        <v>215</v>
      </c>
      <c r="Q134" s="318" t="s">
        <v>283</v>
      </c>
      <c r="R134" s="318" t="s">
        <v>101</v>
      </c>
      <c r="S134" s="318" t="s">
        <v>165</v>
      </c>
      <c r="T134" s="318" t="s">
        <v>116</v>
      </c>
      <c r="U134" s="318" t="n">
        <v>5111226</v>
      </c>
      <c r="V134" s="318"/>
      <c r="W134" s="318" t="s">
        <v>47</v>
      </c>
      <c r="X134" s="318" t="s">
        <v>985</v>
      </c>
      <c r="Y134" s="318" t="s">
        <v>233</v>
      </c>
      <c r="Z134" s="318" t="s">
        <v>283</v>
      </c>
      <c r="AA134" s="318" t="s">
        <v>101</v>
      </c>
      <c r="AB134" s="318" t="s">
        <v>165</v>
      </c>
      <c r="AC134" s="318" t="s">
        <v>116</v>
      </c>
      <c r="AD134" s="318" t="n">
        <v>4513388</v>
      </c>
      <c r="AE134" s="318"/>
      <c r="AF134" s="318" t="s">
        <v>56</v>
      </c>
      <c r="AG134" s="318" t="s">
        <v>985</v>
      </c>
      <c r="AH134" s="318" t="s">
        <v>216</v>
      </c>
      <c r="AI134" s="318" t="s">
        <v>283</v>
      </c>
      <c r="AJ134" s="318" t="s">
        <v>101</v>
      </c>
      <c r="AK134" s="318" t="s">
        <v>165</v>
      </c>
      <c r="AL134" s="318" t="s">
        <v>116</v>
      </c>
      <c r="AM134" s="318"/>
      <c r="AN134" s="318"/>
      <c r="AO134" s="318"/>
      <c r="AP134" s="318"/>
      <c r="AQ134" s="318"/>
      <c r="AR134" s="6" t="s">
        <v>141</v>
      </c>
    </row>
    <row r="135" ht="26.25" customHeight="1">
      <c r="A135" s="318" t="s">
        <v>45</v>
      </c>
      <c r="B135" s="318" t="n">
        <v>2707561257</v>
      </c>
      <c r="C135" s="318" t="s">
        <v>443</v>
      </c>
      <c r="D135" s="318" t="s">
        <v>50</v>
      </c>
      <c r="E135" s="318" t="s">
        <v>104</v>
      </c>
      <c r="F135" s="318"/>
      <c r="G135" s="318"/>
      <c r="H135" s="318" t="s">
        <v>165</v>
      </c>
      <c r="I135" s="318" t="s">
        <v>65</v>
      </c>
      <c r="J135" s="318" t="n">
        <v>5230802</v>
      </c>
      <c r="K135" s="318" t="s">
        <v>126</v>
      </c>
      <c r="L135" s="318" t="n">
        <v>90</v>
      </c>
      <c r="M135" s="318" t="n">
        <v>100</v>
      </c>
      <c r="N135" s="318" t="s">
        <v>37</v>
      </c>
      <c r="O135" s="318" t="s">
        <v>997</v>
      </c>
      <c r="P135" s="318" t="s">
        <v>233</v>
      </c>
      <c r="Q135" s="318" t="s">
        <v>283</v>
      </c>
      <c r="R135" s="318" t="s">
        <v>65</v>
      </c>
      <c r="S135" s="318" t="s">
        <v>165</v>
      </c>
      <c r="T135" s="318" t="s">
        <v>116</v>
      </c>
      <c r="U135" s="318" t="n">
        <v>4632448</v>
      </c>
      <c r="V135" s="318"/>
      <c r="W135" s="318" t="s">
        <v>49</v>
      </c>
      <c r="X135" s="318" t="s">
        <v>997</v>
      </c>
      <c r="Y135" s="318" t="s">
        <v>215</v>
      </c>
      <c r="Z135" s="318" t="s">
        <v>283</v>
      </c>
      <c r="AA135" s="318" t="s">
        <v>65</v>
      </c>
      <c r="AB135" s="318" t="s">
        <v>165</v>
      </c>
      <c r="AC135" s="318" t="s">
        <v>116</v>
      </c>
      <c r="AD135" s="318" t="n">
        <v>3132893</v>
      </c>
      <c r="AE135" s="318" t="n">
        <v>0</v>
      </c>
      <c r="AF135" s="318" t="s">
        <v>52</v>
      </c>
      <c r="AG135" s="318" t="s">
        <v>989</v>
      </c>
      <c r="AH135" s="318" t="s">
        <v>233</v>
      </c>
      <c r="AI135" s="318" t="s">
        <v>283</v>
      </c>
      <c r="AJ135" s="318" t="s">
        <v>100</v>
      </c>
      <c r="AK135" s="318" t="s">
        <v>444</v>
      </c>
      <c r="AL135" s="318" t="s">
        <v>116</v>
      </c>
      <c r="AM135" s="318"/>
      <c r="AN135" s="318"/>
      <c r="AO135" s="318"/>
      <c r="AP135" s="476"/>
      <c r="AQ135" s="476"/>
      <c r="AR135" s="6" t="s">
        <v>141</v>
      </c>
    </row>
    <row r="136" ht="26.25" customHeight="1">
      <c r="A136" s="318" t="s">
        <v>45</v>
      </c>
      <c r="B136" s="318" t="n">
        <v>2234603980</v>
      </c>
      <c r="C136" s="318" t="s">
        <v>1103</v>
      </c>
      <c r="D136" s="318" t="s">
        <v>46</v>
      </c>
      <c r="E136" s="318" t="s">
        <v>104</v>
      </c>
      <c r="F136" s="318"/>
      <c r="G136" s="318"/>
      <c r="H136" s="318" t="s">
        <v>165</v>
      </c>
      <c r="I136" s="318" t="s">
        <v>88</v>
      </c>
      <c r="J136" s="318" t="n">
        <v>5230806</v>
      </c>
      <c r="K136" s="318" t="s">
        <v>126</v>
      </c>
      <c r="L136" s="318" t="n">
        <v>72</v>
      </c>
      <c r="M136" s="318" t="n">
        <v>90</v>
      </c>
      <c r="N136" s="318" t="s">
        <v>37</v>
      </c>
      <c r="O136" s="318" t="s">
        <v>1034</v>
      </c>
      <c r="P136" s="318" t="s">
        <v>215</v>
      </c>
      <c r="Q136" s="318" t="s">
        <v>283</v>
      </c>
      <c r="R136" s="318" t="s">
        <v>88</v>
      </c>
      <c r="S136" s="318" t="s">
        <v>165</v>
      </c>
      <c r="T136" s="318" t="s">
        <v>217</v>
      </c>
      <c r="U136" s="318" t="n">
        <v>5170872</v>
      </c>
      <c r="V136" s="318"/>
      <c r="W136" s="318" t="s">
        <v>49</v>
      </c>
      <c r="X136" s="318" t="s">
        <v>1034</v>
      </c>
      <c r="Y136" s="318" t="s">
        <v>216</v>
      </c>
      <c r="Z136" s="318" t="s">
        <v>283</v>
      </c>
      <c r="AA136" s="318" t="s">
        <v>88</v>
      </c>
      <c r="AB136" s="318" t="s">
        <v>165</v>
      </c>
      <c r="AC136" s="318" t="s">
        <v>217</v>
      </c>
      <c r="AD136" s="318" t="n">
        <v>3132865</v>
      </c>
      <c r="AE136" s="318"/>
      <c r="AF136" s="114" t="s">
        <v>52</v>
      </c>
      <c r="AG136" s="318" t="s">
        <v>1034</v>
      </c>
      <c r="AH136" s="318" t="s">
        <v>233</v>
      </c>
      <c r="AI136" s="318" t="s">
        <v>283</v>
      </c>
      <c r="AJ136" s="318" t="s">
        <v>88</v>
      </c>
      <c r="AK136" s="318" t="s">
        <v>165</v>
      </c>
      <c r="AL136" s="318" t="s">
        <v>116</v>
      </c>
      <c r="AM136" s="318" t="s">
        <v>217</v>
      </c>
      <c r="AN136" s="318" t="s">
        <v>217</v>
      </c>
      <c r="AO136" s="318"/>
      <c r="AP136" s="318" t="s">
        <v>217</v>
      </c>
      <c r="AQ136" s="318" t="s">
        <v>217</v>
      </c>
      <c r="AR136" s="6" t="s">
        <v>141</v>
      </c>
      <c r="AS136" s="6" t="s">
        <v>217</v>
      </c>
    </row>
    <row r="137" ht="26.25" customHeight="1">
      <c r="A137" s="318" t="s">
        <v>85</v>
      </c>
      <c r="B137" s="318" t="n">
        <v>2616423670</v>
      </c>
      <c r="C137" s="318" t="s">
        <v>451</v>
      </c>
      <c r="D137" s="318" t="s">
        <v>34</v>
      </c>
      <c r="E137" s="318" t="s">
        <v>104</v>
      </c>
      <c r="F137" s="318"/>
      <c r="G137" s="318"/>
      <c r="H137" s="318" t="s">
        <v>165</v>
      </c>
      <c r="I137" s="318" t="s">
        <v>65</v>
      </c>
      <c r="J137" s="318" t="n">
        <v>5230775</v>
      </c>
      <c r="K137" s="318" t="s">
        <v>126</v>
      </c>
      <c r="L137" s="318" t="n">
        <v>72</v>
      </c>
      <c r="M137" s="318" t="n">
        <v>90</v>
      </c>
      <c r="N137" s="318" t="s">
        <v>31</v>
      </c>
      <c r="O137" s="318" t="s">
        <v>991</v>
      </c>
      <c r="P137" s="318" t="s">
        <v>215</v>
      </c>
      <c r="Q137" s="318" t="s">
        <v>283</v>
      </c>
      <c r="R137" s="318" t="s">
        <v>65</v>
      </c>
      <c r="S137" s="318" t="s">
        <v>165</v>
      </c>
      <c r="T137" s="318" t="s">
        <v>116</v>
      </c>
      <c r="U137" s="318" t="n">
        <v>3132834</v>
      </c>
      <c r="V137" s="318"/>
      <c r="W137" s="318" t="s">
        <v>47</v>
      </c>
      <c r="X137" s="318" t="s">
        <v>991</v>
      </c>
      <c r="Y137" s="318" t="s">
        <v>246</v>
      </c>
      <c r="Z137" s="318" t="s">
        <v>283</v>
      </c>
      <c r="AA137" s="318" t="s">
        <v>65</v>
      </c>
      <c r="AB137" s="318" t="s">
        <v>165</v>
      </c>
      <c r="AC137" s="318" t="s">
        <v>116</v>
      </c>
      <c r="AD137" s="318" t="n">
        <v>5230783</v>
      </c>
      <c r="AE137" s="318"/>
      <c r="AF137" s="318" t="s">
        <v>52</v>
      </c>
      <c r="AG137" s="318" t="s">
        <v>991</v>
      </c>
      <c r="AH137" s="318" t="s">
        <v>216</v>
      </c>
      <c r="AI137" s="318" t="s">
        <v>283</v>
      </c>
      <c r="AJ137" s="318" t="s">
        <v>65</v>
      </c>
      <c r="AK137" s="318" t="s">
        <v>165</v>
      </c>
      <c r="AL137" s="318" t="s">
        <v>116</v>
      </c>
      <c r="AM137" s="318"/>
      <c r="AN137" s="318"/>
      <c r="AO137" s="318"/>
      <c r="AP137" s="318"/>
      <c r="AQ137" s="318"/>
      <c r="AR137" s="6" t="s">
        <v>141</v>
      </c>
    </row>
    <row r="138" ht="26.25" customHeight="1">
      <c r="A138" s="318" t="s">
        <v>45</v>
      </c>
      <c r="B138" s="318" t="n">
        <v>4183729955</v>
      </c>
      <c r="C138" s="318" t="s">
        <v>1104</v>
      </c>
      <c r="D138" s="318" t="s">
        <v>50</v>
      </c>
      <c r="E138" s="318" t="s">
        <v>104</v>
      </c>
      <c r="F138" s="318"/>
      <c r="G138" s="318"/>
      <c r="H138" s="318" t="s">
        <v>165</v>
      </c>
      <c r="I138" s="318" t="s">
        <v>88</v>
      </c>
      <c r="J138" s="318" t="n">
        <v>3132897</v>
      </c>
      <c r="K138" s="318" t="s">
        <v>126</v>
      </c>
      <c r="L138" s="318" t="n">
        <v>72</v>
      </c>
      <c r="M138" s="318" t="n">
        <v>90</v>
      </c>
      <c r="N138" s="318" t="s">
        <v>31</v>
      </c>
      <c r="O138" s="318" t="s">
        <v>989</v>
      </c>
      <c r="P138" s="318" t="s">
        <v>215</v>
      </c>
      <c r="Q138" s="318" t="s">
        <v>283</v>
      </c>
      <c r="R138" s="318" t="s">
        <v>88</v>
      </c>
      <c r="S138" s="318" t="s">
        <v>165</v>
      </c>
      <c r="T138" s="318" t="s">
        <v>116</v>
      </c>
      <c r="U138" s="318" t="n">
        <v>5170872</v>
      </c>
      <c r="V138" s="318"/>
      <c r="W138" s="318" t="s">
        <v>49</v>
      </c>
      <c r="X138" s="318" t="s">
        <v>1034</v>
      </c>
      <c r="Y138" s="318" t="s">
        <v>216</v>
      </c>
      <c r="Z138" s="318" t="s">
        <v>283</v>
      </c>
      <c r="AA138" s="318" t="s">
        <v>88</v>
      </c>
      <c r="AB138" s="318" t="s">
        <v>165</v>
      </c>
      <c r="AC138" s="318" t="s">
        <v>116</v>
      </c>
      <c r="AD138" s="318" t="n">
        <v>3132865</v>
      </c>
      <c r="AE138" s="318"/>
      <c r="AF138" s="318" t="s">
        <v>52</v>
      </c>
      <c r="AG138" s="318" t="s">
        <v>1034</v>
      </c>
      <c r="AH138" s="318" t="s">
        <v>233</v>
      </c>
      <c r="AI138" s="318" t="s">
        <v>283</v>
      </c>
      <c r="AJ138" s="318" t="s">
        <v>88</v>
      </c>
      <c r="AK138" s="318" t="s">
        <v>165</v>
      </c>
      <c r="AL138" s="318" t="s">
        <v>116</v>
      </c>
      <c r="AM138" s="318" t="s">
        <v>217</v>
      </c>
      <c r="AN138" s="318" t="s">
        <v>218</v>
      </c>
      <c r="AO138" s="318" t="s">
        <v>218</v>
      </c>
      <c r="AP138" s="318" t="s">
        <v>217</v>
      </c>
      <c r="AQ138" s="318" t="s">
        <v>218</v>
      </c>
      <c r="AR138" s="6" t="s">
        <v>141</v>
      </c>
    </row>
    <row r="139" ht="26.25" customHeight="1">
      <c r="A139" s="318" t="s">
        <v>54</v>
      </c>
      <c r="B139" s="318" t="n">
        <v>4843435285</v>
      </c>
      <c r="C139" s="318" t="s">
        <v>1105</v>
      </c>
      <c r="D139" s="318" t="s">
        <v>59</v>
      </c>
      <c r="E139" s="318" t="s">
        <v>112</v>
      </c>
      <c r="F139" s="318"/>
      <c r="G139" s="318" t="s">
        <v>1106</v>
      </c>
      <c r="H139" s="318" t="s">
        <v>165</v>
      </c>
      <c r="I139" s="318" t="s">
        <v>101</v>
      </c>
      <c r="J139" s="318" t="n">
        <v>3132902</v>
      </c>
      <c r="K139" s="318" t="s">
        <v>126</v>
      </c>
      <c r="L139" s="318" t="n">
        <v>72</v>
      </c>
      <c r="M139" s="318" t="n">
        <v>90</v>
      </c>
      <c r="N139" s="318" t="s">
        <v>31</v>
      </c>
      <c r="O139" s="318" t="s">
        <v>987</v>
      </c>
      <c r="P139" s="318" t="s">
        <v>216</v>
      </c>
      <c r="Q139" s="318" t="s">
        <v>283</v>
      </c>
      <c r="R139" s="318" t="s">
        <v>101</v>
      </c>
      <c r="S139" s="318" t="s">
        <v>165</v>
      </c>
      <c r="T139" s="318" t="s">
        <v>116</v>
      </c>
      <c r="U139" s="318" t="n">
        <v>5230747</v>
      </c>
      <c r="V139" s="318"/>
      <c r="W139" s="318" t="s">
        <v>49</v>
      </c>
      <c r="X139" s="318" t="s">
        <v>987</v>
      </c>
      <c r="Y139" s="318" t="s">
        <v>215</v>
      </c>
      <c r="Z139" s="318" t="s">
        <v>283</v>
      </c>
      <c r="AA139" s="318" t="s">
        <v>101</v>
      </c>
      <c r="AB139" s="318" t="s">
        <v>165</v>
      </c>
      <c r="AC139" s="318" t="s">
        <v>116</v>
      </c>
      <c r="AD139" s="318" t="n">
        <v>5230821</v>
      </c>
      <c r="AE139" s="318"/>
      <c r="AF139" s="114" t="s">
        <v>56</v>
      </c>
      <c r="AG139" s="318" t="s">
        <v>987</v>
      </c>
      <c r="AH139" s="318" t="s">
        <v>233</v>
      </c>
      <c r="AI139" s="318" t="s">
        <v>283</v>
      </c>
      <c r="AJ139" s="318" t="s">
        <v>101</v>
      </c>
      <c r="AK139" s="318" t="s">
        <v>165</v>
      </c>
      <c r="AL139" s="318" t="s">
        <v>116</v>
      </c>
      <c r="AM139" s="318"/>
      <c r="AN139" s="318"/>
      <c r="AO139" s="318"/>
      <c r="AP139" s="318"/>
      <c r="AQ139" s="318"/>
      <c r="AR139" s="6" t="s">
        <v>141</v>
      </c>
    </row>
    <row r="140" ht="26.25" customHeight="1">
      <c r="A140" s="318" t="s">
        <v>54</v>
      </c>
      <c r="B140" s="318" t="n">
        <v>2402376938</v>
      </c>
      <c r="C140" s="318" t="s">
        <v>1107</v>
      </c>
      <c r="D140" s="318" t="s">
        <v>36</v>
      </c>
      <c r="E140" s="318" t="s">
        <v>112</v>
      </c>
      <c r="F140" s="318"/>
      <c r="G140" s="318" t="s">
        <v>1085</v>
      </c>
      <c r="H140" s="318" t="s">
        <v>165</v>
      </c>
      <c r="I140" s="318" t="s">
        <v>100</v>
      </c>
      <c r="J140" s="318" t="n">
        <v>5111034</v>
      </c>
      <c r="K140" s="318" t="s">
        <v>126</v>
      </c>
      <c r="L140" s="318" t="n">
        <v>64</v>
      </c>
      <c r="M140" s="318" t="n">
        <v>85</v>
      </c>
      <c r="N140" s="318" t="s">
        <v>37</v>
      </c>
      <c r="O140" s="318" t="s">
        <v>1030</v>
      </c>
      <c r="P140" s="318" t="s">
        <v>216</v>
      </c>
      <c r="Q140" s="318" t="s">
        <v>283</v>
      </c>
      <c r="R140" s="318" t="s">
        <v>100</v>
      </c>
      <c r="S140" s="318" t="s">
        <v>165</v>
      </c>
      <c r="T140" s="318" t="s">
        <v>116</v>
      </c>
      <c r="U140" s="318" t="n">
        <v>4513342</v>
      </c>
      <c r="V140" s="318"/>
      <c r="W140" s="318" t="s">
        <v>43</v>
      </c>
      <c r="X140" s="318" t="s">
        <v>1030</v>
      </c>
      <c r="Y140" s="318" t="s">
        <v>215</v>
      </c>
      <c r="Z140" s="318" t="s">
        <v>283</v>
      </c>
      <c r="AA140" s="318" t="s">
        <v>100</v>
      </c>
      <c r="AB140" s="318" t="s">
        <v>165</v>
      </c>
      <c r="AC140" s="318" t="s">
        <v>116</v>
      </c>
      <c r="AD140" s="318" t="n">
        <v>4513340</v>
      </c>
      <c r="AE140" s="318"/>
      <c r="AF140" s="318" t="s">
        <v>58</v>
      </c>
      <c r="AG140" s="318" t="s">
        <v>1030</v>
      </c>
      <c r="AH140" s="318" t="s">
        <v>233</v>
      </c>
      <c r="AI140" s="318" t="s">
        <v>283</v>
      </c>
      <c r="AJ140" s="318" t="s">
        <v>100</v>
      </c>
      <c r="AK140" s="318" t="s">
        <v>165</v>
      </c>
      <c r="AL140" s="318" t="s">
        <v>116</v>
      </c>
      <c r="AM140" s="318"/>
      <c r="AN140" s="318"/>
      <c r="AO140" s="318"/>
      <c r="AP140" s="318"/>
      <c r="AQ140" s="318"/>
      <c r="AR140" s="6" t="s">
        <v>141</v>
      </c>
    </row>
    <row r="141" ht="26.25" customHeight="1">
      <c r="A141" s="318" t="s">
        <v>54</v>
      </c>
      <c r="B141" s="318" t="n">
        <v>4194493248</v>
      </c>
      <c r="C141" s="318" t="s">
        <v>1106</v>
      </c>
      <c r="D141" s="318" t="s">
        <v>59</v>
      </c>
      <c r="E141" s="318" t="s">
        <v>112</v>
      </c>
      <c r="F141" s="318"/>
      <c r="G141" s="318" t="s">
        <v>1094</v>
      </c>
      <c r="H141" s="318" t="s">
        <v>165</v>
      </c>
      <c r="I141" s="318" t="s">
        <v>101</v>
      </c>
      <c r="J141" s="318" t="n">
        <v>3132902</v>
      </c>
      <c r="K141" s="318" t="s">
        <v>126</v>
      </c>
      <c r="L141" s="318" t="n">
        <v>62</v>
      </c>
      <c r="M141" s="318" t="n">
        <v>83</v>
      </c>
      <c r="N141" s="318" t="s">
        <v>31</v>
      </c>
      <c r="O141" s="318" t="s">
        <v>987</v>
      </c>
      <c r="P141" s="318" t="s">
        <v>216</v>
      </c>
      <c r="Q141" s="318" t="s">
        <v>283</v>
      </c>
      <c r="R141" s="318" t="s">
        <v>101</v>
      </c>
      <c r="S141" s="318" t="s">
        <v>165</v>
      </c>
      <c r="T141" s="318" t="s">
        <v>116</v>
      </c>
      <c r="U141" s="318" t="n">
        <v>5230747</v>
      </c>
      <c r="V141" s="318"/>
      <c r="W141" s="318" t="s">
        <v>49</v>
      </c>
      <c r="X141" s="318" t="s">
        <v>987</v>
      </c>
      <c r="Y141" s="318" t="s">
        <v>215</v>
      </c>
      <c r="Z141" s="318" t="s">
        <v>283</v>
      </c>
      <c r="AA141" s="318" t="s">
        <v>101</v>
      </c>
      <c r="AB141" s="318" t="s">
        <v>165</v>
      </c>
      <c r="AC141" s="318" t="s">
        <v>116</v>
      </c>
      <c r="AD141" s="318" t="n">
        <v>5230821</v>
      </c>
      <c r="AE141" s="318"/>
      <c r="AF141" s="318" t="s">
        <v>56</v>
      </c>
      <c r="AG141" s="318" t="s">
        <v>987</v>
      </c>
      <c r="AH141" s="318" t="s">
        <v>233</v>
      </c>
      <c r="AI141" s="318" t="s">
        <v>283</v>
      </c>
      <c r="AJ141" s="318" t="s">
        <v>101</v>
      </c>
      <c r="AK141" s="318" t="s">
        <v>165</v>
      </c>
      <c r="AL141" s="318" t="s">
        <v>116</v>
      </c>
      <c r="AM141" s="318"/>
      <c r="AN141" s="318"/>
      <c r="AO141" s="318"/>
      <c r="AP141" s="318"/>
      <c r="AQ141" s="318"/>
      <c r="AR141" s="6" t="s">
        <v>141</v>
      </c>
    </row>
    <row r="142" ht="26.25" customHeight="1">
      <c r="A142" s="318" t="s">
        <v>54</v>
      </c>
      <c r="B142" s="318" t="n">
        <v>2643437345</v>
      </c>
      <c r="C142" s="318" t="s">
        <v>1108</v>
      </c>
      <c r="D142" s="318" t="s">
        <v>59</v>
      </c>
      <c r="E142" s="318" t="s">
        <v>112</v>
      </c>
      <c r="F142" s="318"/>
      <c r="G142" s="318" t="s">
        <v>516</v>
      </c>
      <c r="H142" s="318" t="s">
        <v>165</v>
      </c>
      <c r="I142" s="318" t="s">
        <v>100</v>
      </c>
      <c r="J142" s="318" t="s">
        <v>116</v>
      </c>
      <c r="K142" s="318"/>
      <c r="L142" s="318"/>
      <c r="M142" s="318"/>
      <c r="N142" s="318" t="s">
        <v>116</v>
      </c>
      <c r="O142" s="318" t="s">
        <v>116</v>
      </c>
      <c r="P142" s="318" t="s">
        <v>116</v>
      </c>
      <c r="Q142" s="318" t="s">
        <v>116</v>
      </c>
      <c r="R142" s="318" t="s">
        <v>116</v>
      </c>
      <c r="S142" s="318" t="s">
        <v>116</v>
      </c>
      <c r="T142" s="318" t="s">
        <v>116</v>
      </c>
      <c r="U142" s="318" t="n">
        <v>4513342</v>
      </c>
      <c r="V142" s="318"/>
      <c r="W142" s="318" t="s">
        <v>43</v>
      </c>
      <c r="X142" s="318" t="s">
        <v>1030</v>
      </c>
      <c r="Y142" s="318" t="s">
        <v>215</v>
      </c>
      <c r="Z142" s="318" t="s">
        <v>283</v>
      </c>
      <c r="AA142" s="318" t="s">
        <v>100</v>
      </c>
      <c r="AB142" s="318" t="s">
        <v>165</v>
      </c>
      <c r="AC142" s="318" t="s">
        <v>116</v>
      </c>
      <c r="AD142" s="318" t="s">
        <v>116</v>
      </c>
      <c r="AE142" s="318"/>
      <c r="AF142" s="114" t="s">
        <v>116</v>
      </c>
      <c r="AG142" s="318" t="s">
        <v>116</v>
      </c>
      <c r="AH142" s="318" t="s">
        <v>116</v>
      </c>
      <c r="AI142" s="318" t="s">
        <v>116</v>
      </c>
      <c r="AJ142" s="318" t="s">
        <v>116</v>
      </c>
      <c r="AK142" s="318" t="s">
        <v>116</v>
      </c>
      <c r="AL142" s="318" t="s">
        <v>116</v>
      </c>
      <c r="AM142" s="318"/>
      <c r="AN142" s="318"/>
      <c r="AO142" s="318"/>
      <c r="AP142" s="476"/>
      <c r="AQ142" s="476"/>
      <c r="AR142" s="6" t="s">
        <v>141</v>
      </c>
    </row>
    <row r="143" ht="26.25" customHeight="1">
      <c r="A143" s="318" t="s">
        <v>45</v>
      </c>
      <c r="B143" s="318" t="n">
        <v>4845922736</v>
      </c>
      <c r="C143" s="318" t="s">
        <v>458</v>
      </c>
      <c r="D143" s="318" t="s">
        <v>46</v>
      </c>
      <c r="E143" s="318" t="s">
        <v>104</v>
      </c>
      <c r="F143" s="318"/>
      <c r="G143" s="318"/>
      <c r="H143" s="318" t="s">
        <v>165</v>
      </c>
      <c r="I143" s="318" t="s">
        <v>65</v>
      </c>
      <c r="J143" s="318" t="s">
        <v>116</v>
      </c>
      <c r="K143" s="318"/>
      <c r="L143" s="318"/>
      <c r="M143" s="318"/>
      <c r="N143" s="318" t="s">
        <v>116</v>
      </c>
      <c r="O143" s="318" t="s">
        <v>116</v>
      </c>
      <c r="P143" s="318" t="s">
        <v>116</v>
      </c>
      <c r="Q143" s="318" t="s">
        <v>116</v>
      </c>
      <c r="R143" s="318" t="s">
        <v>116</v>
      </c>
      <c r="S143" s="318" t="s">
        <v>116</v>
      </c>
      <c r="T143" s="318" t="s">
        <v>116</v>
      </c>
      <c r="U143" s="318" t="n">
        <v>4632448</v>
      </c>
      <c r="V143" s="318"/>
      <c r="W143" s="318" t="s">
        <v>49</v>
      </c>
      <c r="X143" s="318" t="s">
        <v>997</v>
      </c>
      <c r="Y143" s="318" t="s">
        <v>215</v>
      </c>
      <c r="Z143" s="318" t="s">
        <v>283</v>
      </c>
      <c r="AA143" s="318" t="s">
        <v>65</v>
      </c>
      <c r="AB143" s="318" t="s">
        <v>165</v>
      </c>
      <c r="AC143" s="318" t="s">
        <v>116</v>
      </c>
      <c r="AD143" s="318" t="n">
        <v>3132837</v>
      </c>
      <c r="AE143" s="318"/>
      <c r="AF143" s="318" t="s">
        <v>58</v>
      </c>
      <c r="AG143" s="318" t="s">
        <v>997</v>
      </c>
      <c r="AH143" s="318" t="s">
        <v>216</v>
      </c>
      <c r="AI143" s="318" t="s">
        <v>283</v>
      </c>
      <c r="AJ143" s="318" t="s">
        <v>65</v>
      </c>
      <c r="AK143" s="318" t="s">
        <v>165</v>
      </c>
      <c r="AL143" s="318" t="s">
        <v>116</v>
      </c>
      <c r="AM143" s="318"/>
      <c r="AN143" s="318"/>
      <c r="AO143" s="318"/>
      <c r="AP143" s="476"/>
      <c r="AQ143" s="476"/>
      <c r="AR143" s="6" t="s">
        <v>141</v>
      </c>
    </row>
    <row r="144" ht="26.25" customHeight="1">
      <c r="A144" s="318" t="s">
        <v>54</v>
      </c>
      <c r="B144" s="318" t="n">
        <v>2520558334</v>
      </c>
      <c r="C144" s="318" t="s">
        <v>1109</v>
      </c>
      <c r="D144" s="318" t="s">
        <v>57</v>
      </c>
      <c r="E144" s="318" t="s">
        <v>104</v>
      </c>
      <c r="F144" s="318"/>
      <c r="G144" s="318"/>
      <c r="H144" s="318" t="s">
        <v>165</v>
      </c>
      <c r="I144" s="318" t="s">
        <v>100</v>
      </c>
      <c r="J144" s="318" t="n">
        <v>5111034</v>
      </c>
      <c r="K144" s="318" t="s">
        <v>125</v>
      </c>
      <c r="L144" s="318" t="n">
        <v>50</v>
      </c>
      <c r="M144" s="318" t="s">
        <v>116</v>
      </c>
      <c r="N144" s="318" t="s">
        <v>37</v>
      </c>
      <c r="O144" s="318" t="s">
        <v>1030</v>
      </c>
      <c r="P144" s="318" t="s">
        <v>216</v>
      </c>
      <c r="Q144" s="318" t="s">
        <v>283</v>
      </c>
      <c r="R144" s="318" t="s">
        <v>100</v>
      </c>
      <c r="S144" s="318" t="s">
        <v>165</v>
      </c>
      <c r="T144" s="318" t="s">
        <v>116</v>
      </c>
      <c r="U144" s="318" t="n">
        <v>4513342</v>
      </c>
      <c r="V144" s="318" t="n">
        <v>32</v>
      </c>
      <c r="W144" s="318" t="s">
        <v>43</v>
      </c>
      <c r="X144" s="318" t="s">
        <v>1030</v>
      </c>
      <c r="Y144" s="318" t="s">
        <v>215</v>
      </c>
      <c r="Z144" s="318" t="s">
        <v>283</v>
      </c>
      <c r="AA144" s="318" t="s">
        <v>100</v>
      </c>
      <c r="AB144" s="318" t="s">
        <v>165</v>
      </c>
      <c r="AC144" s="318" t="s">
        <v>116</v>
      </c>
      <c r="AD144" s="318" t="n">
        <v>4513340</v>
      </c>
      <c r="AE144" s="318" t="n">
        <v>36</v>
      </c>
      <c r="AF144" s="114" t="s">
        <v>58</v>
      </c>
      <c r="AG144" s="318" t="s">
        <v>1030</v>
      </c>
      <c r="AH144" s="318" t="s">
        <v>233</v>
      </c>
      <c r="AI144" s="318" t="s">
        <v>283</v>
      </c>
      <c r="AJ144" s="318" t="s">
        <v>100</v>
      </c>
      <c r="AK144" s="318" t="s">
        <v>165</v>
      </c>
      <c r="AL144" s="318" t="s">
        <v>116</v>
      </c>
      <c r="AM144" s="318"/>
      <c r="AN144" s="318"/>
      <c r="AO144" s="318"/>
      <c r="AP144" s="318"/>
      <c r="AQ144" s="318"/>
      <c r="AR144" s="6" t="s">
        <v>141</v>
      </c>
    </row>
    <row r="145" ht="26.25" customHeight="1">
      <c r="A145" s="318" t="s">
        <v>45</v>
      </c>
      <c r="B145" s="318" t="n">
        <v>4844205877</v>
      </c>
      <c r="C145" s="318" t="s">
        <v>1110</v>
      </c>
      <c r="D145" s="318" t="s">
        <v>46</v>
      </c>
      <c r="E145" s="114" t="s">
        <v>104</v>
      </c>
      <c r="F145" s="318"/>
      <c r="G145" s="318"/>
      <c r="H145" s="318" t="s">
        <v>165</v>
      </c>
      <c r="I145" s="318" t="s">
        <v>88</v>
      </c>
      <c r="J145" s="318" t="n">
        <v>3132897</v>
      </c>
      <c r="K145" s="318" t="s">
        <v>126</v>
      </c>
      <c r="L145" s="318" t="n">
        <v>72</v>
      </c>
      <c r="M145" s="318" t="n">
        <v>90</v>
      </c>
      <c r="N145" s="318" t="s">
        <v>31</v>
      </c>
      <c r="O145" s="318" t="s">
        <v>989</v>
      </c>
      <c r="P145" s="318" t="s">
        <v>215</v>
      </c>
      <c r="Q145" s="318" t="s">
        <v>283</v>
      </c>
      <c r="R145" s="318" t="s">
        <v>88</v>
      </c>
      <c r="S145" s="318" t="s">
        <v>165</v>
      </c>
      <c r="T145" s="318" t="s">
        <v>116</v>
      </c>
      <c r="U145" s="318" t="n">
        <v>5170872</v>
      </c>
      <c r="V145" s="318"/>
      <c r="W145" s="318" t="s">
        <v>49</v>
      </c>
      <c r="X145" s="318" t="s">
        <v>1034</v>
      </c>
      <c r="Y145" s="318" t="s">
        <v>216</v>
      </c>
      <c r="Z145" s="318" t="s">
        <v>283</v>
      </c>
      <c r="AA145" s="318" t="s">
        <v>88</v>
      </c>
      <c r="AB145" s="318" t="s">
        <v>165</v>
      </c>
      <c r="AC145" s="318" t="s">
        <v>116</v>
      </c>
      <c r="AD145" s="318" t="n">
        <v>3132865</v>
      </c>
      <c r="AE145" s="318"/>
      <c r="AF145" s="114" t="s">
        <v>52</v>
      </c>
      <c r="AG145" s="318" t="s">
        <v>1034</v>
      </c>
      <c r="AH145" s="318" t="s">
        <v>233</v>
      </c>
      <c r="AI145" s="318" t="s">
        <v>283</v>
      </c>
      <c r="AJ145" s="318" t="s">
        <v>88</v>
      </c>
      <c r="AK145" s="318" t="s">
        <v>165</v>
      </c>
      <c r="AL145" s="318" t="s">
        <v>116</v>
      </c>
      <c r="AM145" s="318"/>
      <c r="AN145" s="318" t="s">
        <v>217</v>
      </c>
      <c r="AO145" s="318" t="s">
        <v>217</v>
      </c>
      <c r="AP145" s="476" t="s">
        <v>217</v>
      </c>
      <c r="AQ145" s="476" t="s">
        <v>217</v>
      </c>
      <c r="AR145" s="6" t="s">
        <v>141</v>
      </c>
    </row>
    <row r="146" ht="26.25" customHeight="1">
      <c r="A146" s="318" t="s">
        <v>45</v>
      </c>
      <c r="B146" s="318" t="n">
        <v>2567690678</v>
      </c>
      <c r="C146" s="318" t="s">
        <v>1111</v>
      </c>
      <c r="D146" s="318" t="s">
        <v>46</v>
      </c>
      <c r="E146" s="318" t="s">
        <v>104</v>
      </c>
      <c r="F146" s="318"/>
      <c r="G146" s="318"/>
      <c r="H146" s="318" t="s">
        <v>165</v>
      </c>
      <c r="I146" s="318" t="s">
        <v>88</v>
      </c>
      <c r="J146" s="318" t="n">
        <v>3132897</v>
      </c>
      <c r="K146" s="318" t="s">
        <v>126</v>
      </c>
      <c r="L146" s="318" t="n">
        <v>85</v>
      </c>
      <c r="M146" s="318" t="n">
        <v>95</v>
      </c>
      <c r="N146" s="318" t="s">
        <v>31</v>
      </c>
      <c r="O146" s="318" t="s">
        <v>989</v>
      </c>
      <c r="P146" s="318" t="s">
        <v>215</v>
      </c>
      <c r="Q146" s="318" t="s">
        <v>283</v>
      </c>
      <c r="R146" s="318" t="s">
        <v>88</v>
      </c>
      <c r="S146" s="318" t="s">
        <v>165</v>
      </c>
      <c r="T146" s="318" t="s">
        <v>116</v>
      </c>
      <c r="U146" s="318" t="n">
        <v>5170872</v>
      </c>
      <c r="V146" s="318"/>
      <c r="W146" s="318" t="s">
        <v>49</v>
      </c>
      <c r="X146" s="318" t="s">
        <v>1034</v>
      </c>
      <c r="Y146" s="318" t="s">
        <v>216</v>
      </c>
      <c r="Z146" s="318" t="s">
        <v>283</v>
      </c>
      <c r="AA146" s="318" t="s">
        <v>88</v>
      </c>
      <c r="AB146" s="318" t="s">
        <v>165</v>
      </c>
      <c r="AC146" s="318" t="s">
        <v>116</v>
      </c>
      <c r="AD146" s="318" t="n">
        <v>3132865</v>
      </c>
      <c r="AE146" s="318"/>
      <c r="AF146" s="114" t="s">
        <v>52</v>
      </c>
      <c r="AG146" s="318" t="s">
        <v>1034</v>
      </c>
      <c r="AH146" s="318" t="s">
        <v>233</v>
      </c>
      <c r="AI146" s="318" t="s">
        <v>283</v>
      </c>
      <c r="AJ146" s="318" t="s">
        <v>88</v>
      </c>
      <c r="AK146" s="318" t="s">
        <v>165</v>
      </c>
      <c r="AL146" s="318" t="s">
        <v>116</v>
      </c>
      <c r="AM146" s="318"/>
      <c r="AN146" s="318" t="s">
        <v>217</v>
      </c>
      <c r="AO146" s="318" t="s">
        <v>217</v>
      </c>
      <c r="AP146" s="476" t="s">
        <v>217</v>
      </c>
      <c r="AQ146" s="476" t="s">
        <v>217</v>
      </c>
      <c r="AR146" s="6" t="s">
        <v>141</v>
      </c>
    </row>
    <row r="147" ht="26.25" customHeight="1">
      <c r="A147" s="318" t="s">
        <v>54</v>
      </c>
      <c r="B147" s="318" t="n">
        <v>4843140524</v>
      </c>
      <c r="C147" s="318" t="s">
        <v>465</v>
      </c>
      <c r="D147" s="318" t="s">
        <v>59</v>
      </c>
      <c r="E147" s="318" t="s">
        <v>104</v>
      </c>
      <c r="F147" s="318"/>
      <c r="G147" s="318"/>
      <c r="H147" s="318" t="s">
        <v>165</v>
      </c>
      <c r="I147" s="318" t="s">
        <v>101</v>
      </c>
      <c r="J147" s="318" t="n">
        <v>5111035</v>
      </c>
      <c r="K147" s="318" t="s">
        <v>126</v>
      </c>
      <c r="L147" s="318" t="n">
        <v>64</v>
      </c>
      <c r="M147" s="318" t="n">
        <v>85</v>
      </c>
      <c r="N147" s="318" t="s">
        <v>35</v>
      </c>
      <c r="O147" s="318" t="s">
        <v>986</v>
      </c>
      <c r="P147" s="318" t="s">
        <v>233</v>
      </c>
      <c r="Q147" s="318" t="s">
        <v>234</v>
      </c>
      <c r="R147" s="318" t="s">
        <v>101</v>
      </c>
      <c r="S147" s="318" t="s">
        <v>165</v>
      </c>
      <c r="T147" s="318" t="s">
        <v>116</v>
      </c>
      <c r="U147" s="318" t="n">
        <v>5230747</v>
      </c>
      <c r="V147" s="318"/>
      <c r="W147" s="318" t="s">
        <v>49</v>
      </c>
      <c r="X147" s="318" t="s">
        <v>987</v>
      </c>
      <c r="Y147" s="318" t="s">
        <v>215</v>
      </c>
      <c r="Z147" s="318" t="s">
        <v>283</v>
      </c>
      <c r="AA147" s="318" t="s">
        <v>101</v>
      </c>
      <c r="AB147" s="318" t="s">
        <v>165</v>
      </c>
      <c r="AC147" s="318" t="s">
        <v>116</v>
      </c>
      <c r="AD147" s="318" t="n">
        <v>4513388</v>
      </c>
      <c r="AE147" s="318"/>
      <c r="AF147" s="114" t="s">
        <v>56</v>
      </c>
      <c r="AG147" s="318" t="s">
        <v>985</v>
      </c>
      <c r="AH147" s="318" t="s">
        <v>216</v>
      </c>
      <c r="AI147" s="318" t="s">
        <v>283</v>
      </c>
      <c r="AJ147" s="318" t="s">
        <v>101</v>
      </c>
      <c r="AK147" s="318" t="s">
        <v>165</v>
      </c>
      <c r="AL147" s="318" t="s">
        <v>116</v>
      </c>
      <c r="AM147" s="318"/>
      <c r="AN147" s="318"/>
      <c r="AO147" s="318"/>
      <c r="AP147" s="318"/>
      <c r="AQ147" s="318"/>
      <c r="AR147" s="6" t="s">
        <v>141</v>
      </c>
    </row>
    <row r="148" ht="26.25" customHeight="1">
      <c r="A148" s="318" t="s">
        <v>45</v>
      </c>
      <c r="B148" s="318" t="n">
        <v>2225312488</v>
      </c>
      <c r="C148" s="318" t="s">
        <v>1112</v>
      </c>
      <c r="D148" s="318" t="s">
        <v>48</v>
      </c>
      <c r="E148" s="318" t="s">
        <v>104</v>
      </c>
      <c r="F148" s="318"/>
      <c r="G148" s="318"/>
      <c r="H148" s="318" t="s">
        <v>165</v>
      </c>
      <c r="I148" s="318" t="s">
        <v>88</v>
      </c>
      <c r="J148" s="318" t="n">
        <v>5230806</v>
      </c>
      <c r="K148" s="318" t="s">
        <v>126</v>
      </c>
      <c r="L148" s="318" t="n">
        <v>72</v>
      </c>
      <c r="M148" s="318" t="n">
        <v>90</v>
      </c>
      <c r="N148" s="318" t="s">
        <v>37</v>
      </c>
      <c r="O148" s="318" t="s">
        <v>1034</v>
      </c>
      <c r="P148" s="318" t="s">
        <v>215</v>
      </c>
      <c r="Q148" s="318" t="s">
        <v>283</v>
      </c>
      <c r="R148" s="318" t="s">
        <v>88</v>
      </c>
      <c r="S148" s="318" t="s">
        <v>165</v>
      </c>
      <c r="T148" s="318" t="s">
        <v>116</v>
      </c>
      <c r="U148" s="318" t="n">
        <v>5170872</v>
      </c>
      <c r="V148" s="318"/>
      <c r="W148" s="318" t="s">
        <v>49</v>
      </c>
      <c r="X148" s="318" t="s">
        <v>1034</v>
      </c>
      <c r="Y148" s="318" t="s">
        <v>216</v>
      </c>
      <c r="Z148" s="318" t="s">
        <v>283</v>
      </c>
      <c r="AA148" s="318" t="s">
        <v>88</v>
      </c>
      <c r="AB148" s="318" t="s">
        <v>165</v>
      </c>
      <c r="AC148" s="318" t="s">
        <v>116</v>
      </c>
      <c r="AD148" s="318" t="n">
        <v>3132865</v>
      </c>
      <c r="AE148" s="318"/>
      <c r="AF148" s="114" t="s">
        <v>52</v>
      </c>
      <c r="AG148" s="318" t="s">
        <v>1034</v>
      </c>
      <c r="AH148" s="318" t="s">
        <v>233</v>
      </c>
      <c r="AI148" s="318" t="s">
        <v>283</v>
      </c>
      <c r="AJ148" s="318" t="s">
        <v>88</v>
      </c>
      <c r="AK148" s="318" t="s">
        <v>165</v>
      </c>
      <c r="AL148" s="318" t="s">
        <v>116</v>
      </c>
      <c r="AM148" s="318" t="s">
        <v>217</v>
      </c>
      <c r="AN148" s="318" t="s">
        <v>217</v>
      </c>
      <c r="AO148" s="318" t="s">
        <v>217</v>
      </c>
      <c r="AP148" s="318" t="s">
        <v>217</v>
      </c>
      <c r="AQ148" s="318" t="s">
        <v>217</v>
      </c>
      <c r="AR148" s="6" t="s">
        <v>141</v>
      </c>
    </row>
    <row r="149" ht="26.25" customHeight="1">
      <c r="A149" s="318" t="s">
        <v>45</v>
      </c>
      <c r="B149" s="318" t="n">
        <v>4267765050</v>
      </c>
      <c r="C149" s="318" t="s">
        <v>1007</v>
      </c>
      <c r="D149" s="318" t="s">
        <v>36</v>
      </c>
      <c r="E149" s="318" t="s">
        <v>104</v>
      </c>
      <c r="F149" s="318"/>
      <c r="G149" s="318"/>
      <c r="H149" s="318" t="s">
        <v>165</v>
      </c>
      <c r="I149" s="318" t="s">
        <v>88</v>
      </c>
      <c r="J149" s="318" t="n">
        <v>3132897</v>
      </c>
      <c r="K149" s="318" t="s">
        <v>125</v>
      </c>
      <c r="L149" s="318" t="n">
        <v>95</v>
      </c>
      <c r="M149" s="318" t="s">
        <v>116</v>
      </c>
      <c r="N149" s="318" t="s">
        <v>31</v>
      </c>
      <c r="O149" s="318" t="s">
        <v>989</v>
      </c>
      <c r="P149" s="318" t="s">
        <v>215</v>
      </c>
      <c r="Q149" s="318" t="s">
        <v>283</v>
      </c>
      <c r="R149" s="318" t="s">
        <v>88</v>
      </c>
      <c r="S149" s="318" t="s">
        <v>165</v>
      </c>
      <c r="T149" s="318" t="s">
        <v>116</v>
      </c>
      <c r="U149" s="318" t="n">
        <v>5230722</v>
      </c>
      <c r="V149" s="318"/>
      <c r="W149" s="318" t="s">
        <v>47</v>
      </c>
      <c r="X149" s="318" t="s">
        <v>989</v>
      </c>
      <c r="Y149" s="318" t="s">
        <v>233</v>
      </c>
      <c r="Z149" s="318" t="s">
        <v>283</v>
      </c>
      <c r="AA149" s="318" t="s">
        <v>88</v>
      </c>
      <c r="AB149" s="318" t="s">
        <v>165</v>
      </c>
      <c r="AC149" s="318" t="s">
        <v>116</v>
      </c>
      <c r="AD149" s="318" t="n">
        <v>5230737</v>
      </c>
      <c r="AE149" s="318"/>
      <c r="AF149" s="114" t="s">
        <v>58</v>
      </c>
      <c r="AG149" s="318" t="s">
        <v>989</v>
      </c>
      <c r="AH149" s="318" t="s">
        <v>216</v>
      </c>
      <c r="AI149" s="318" t="s">
        <v>283</v>
      </c>
      <c r="AJ149" s="318" t="s">
        <v>88</v>
      </c>
      <c r="AK149" s="318" t="s">
        <v>165</v>
      </c>
      <c r="AL149" s="318" t="s">
        <v>116</v>
      </c>
      <c r="AM149" s="318" t="s">
        <v>217</v>
      </c>
      <c r="AN149" s="318" t="s">
        <v>217</v>
      </c>
      <c r="AO149" s="318" t="s">
        <v>217</v>
      </c>
      <c r="AP149" s="318" t="s">
        <v>218</v>
      </c>
      <c r="AQ149" s="318" t="s">
        <v>218</v>
      </c>
      <c r="AR149" s="6" t="s">
        <v>141</v>
      </c>
    </row>
    <row r="150" ht="26.25" customHeight="1">
      <c r="A150" s="318" t="s">
        <v>54</v>
      </c>
      <c r="B150" s="318" t="n">
        <v>2290701807</v>
      </c>
      <c r="C150" s="318" t="s">
        <v>1113</v>
      </c>
      <c r="D150" s="318" t="s">
        <v>59</v>
      </c>
      <c r="E150" s="318" t="s">
        <v>112</v>
      </c>
      <c r="F150" s="318"/>
      <c r="G150" s="318" t="s">
        <v>1044</v>
      </c>
      <c r="H150" s="318" t="s">
        <v>165</v>
      </c>
      <c r="I150" s="318" t="s">
        <v>100</v>
      </c>
      <c r="J150" s="318" t="n">
        <v>4513341</v>
      </c>
      <c r="K150" s="318" t="s">
        <v>126</v>
      </c>
      <c r="L150" s="318" t="n">
        <v>89</v>
      </c>
      <c r="M150" s="318" t="n">
        <v>99</v>
      </c>
      <c r="N150" s="318" t="s">
        <v>31</v>
      </c>
      <c r="O150" s="318" t="s">
        <v>987</v>
      </c>
      <c r="P150" s="318" t="s">
        <v>233</v>
      </c>
      <c r="Q150" s="318" t="s">
        <v>234</v>
      </c>
      <c r="R150" s="318" t="s">
        <v>100</v>
      </c>
      <c r="S150" s="318" t="s">
        <v>165</v>
      </c>
      <c r="T150" s="318" t="s">
        <v>116</v>
      </c>
      <c r="U150" s="318" t="n">
        <v>3132846</v>
      </c>
      <c r="V150" s="318"/>
      <c r="W150" s="318" t="s">
        <v>43</v>
      </c>
      <c r="X150" s="318" t="s">
        <v>987</v>
      </c>
      <c r="Y150" s="318" t="s">
        <v>216</v>
      </c>
      <c r="Z150" s="318" t="s">
        <v>283</v>
      </c>
      <c r="AA150" s="318" t="s">
        <v>100</v>
      </c>
      <c r="AB150" s="318" t="s">
        <v>165</v>
      </c>
      <c r="AC150" s="318" t="s">
        <v>116</v>
      </c>
      <c r="AD150" s="318" t="n">
        <v>5230738</v>
      </c>
      <c r="AE150" s="318"/>
      <c r="AF150" s="318" t="s">
        <v>58</v>
      </c>
      <c r="AG150" s="318" t="s">
        <v>987</v>
      </c>
      <c r="AH150" s="318" t="s">
        <v>215</v>
      </c>
      <c r="AI150" s="318" t="s">
        <v>283</v>
      </c>
      <c r="AJ150" s="318" t="s">
        <v>100</v>
      </c>
      <c r="AK150" s="318" t="s">
        <v>165</v>
      </c>
      <c r="AL150" s="318" t="s">
        <v>116</v>
      </c>
      <c r="AM150" s="318"/>
      <c r="AN150" s="318"/>
      <c r="AO150" s="318"/>
      <c r="AP150" s="318"/>
      <c r="AQ150" s="318"/>
      <c r="AR150" s="6" t="s">
        <v>141</v>
      </c>
    </row>
    <row r="151" ht="26.25" customHeight="1">
      <c r="A151" s="318" t="s">
        <v>54</v>
      </c>
      <c r="B151" s="318" t="n">
        <v>4622238073</v>
      </c>
      <c r="C151" s="318" t="s">
        <v>1114</v>
      </c>
      <c r="D151" s="318" t="s">
        <v>59</v>
      </c>
      <c r="E151" s="318" t="s">
        <v>112</v>
      </c>
      <c r="F151" s="318"/>
      <c r="G151" s="318" t="s">
        <v>1044</v>
      </c>
      <c r="H151" s="318" t="s">
        <v>165</v>
      </c>
      <c r="I151" s="318" t="s">
        <v>101</v>
      </c>
      <c r="J151" s="318" t="n">
        <v>5111035</v>
      </c>
      <c r="K151" s="318" t="s">
        <v>126</v>
      </c>
      <c r="L151" s="318" t="n">
        <v>85</v>
      </c>
      <c r="M151" s="318" t="n">
        <v>95</v>
      </c>
      <c r="N151" s="318" t="s">
        <v>35</v>
      </c>
      <c r="O151" s="318" t="s">
        <v>986</v>
      </c>
      <c r="P151" s="318" t="s">
        <v>233</v>
      </c>
      <c r="Q151" s="318" t="s">
        <v>234</v>
      </c>
      <c r="R151" s="318" t="s">
        <v>101</v>
      </c>
      <c r="S151" s="318" t="s">
        <v>165</v>
      </c>
      <c r="T151" s="318" t="s">
        <v>116</v>
      </c>
      <c r="U151" s="318" t="n">
        <v>5170873</v>
      </c>
      <c r="V151" s="318"/>
      <c r="W151" s="318" t="s">
        <v>47</v>
      </c>
      <c r="X151" s="318" t="s">
        <v>986</v>
      </c>
      <c r="Y151" s="318" t="s">
        <v>216</v>
      </c>
      <c r="Z151" s="318" t="s">
        <v>283</v>
      </c>
      <c r="AA151" s="318" t="s">
        <v>101</v>
      </c>
      <c r="AB151" s="318" t="s">
        <v>165</v>
      </c>
      <c r="AC151" s="318" t="s">
        <v>116</v>
      </c>
      <c r="AD151" s="318" t="n">
        <v>5170871</v>
      </c>
      <c r="AE151" s="318"/>
      <c r="AF151" s="114" t="s">
        <v>58</v>
      </c>
      <c r="AG151" s="318" t="s">
        <v>986</v>
      </c>
      <c r="AH151" s="318" t="s">
        <v>215</v>
      </c>
      <c r="AI151" s="318" t="s">
        <v>283</v>
      </c>
      <c r="AJ151" s="318" t="s">
        <v>101</v>
      </c>
      <c r="AK151" s="318" t="s">
        <v>165</v>
      </c>
      <c r="AL151" s="318" t="s">
        <v>116</v>
      </c>
      <c r="AM151" s="318"/>
      <c r="AN151" s="318"/>
      <c r="AO151" s="318"/>
      <c r="AP151" s="318"/>
      <c r="AQ151" s="318"/>
      <c r="AR151" s="6" t="s">
        <v>141</v>
      </c>
    </row>
    <row r="152" ht="26.25" customHeight="1">
      <c r="A152" s="318" t="s">
        <v>54</v>
      </c>
      <c r="B152" s="318" t="n">
        <v>4183193133</v>
      </c>
      <c r="C152" s="318" t="s">
        <v>1094</v>
      </c>
      <c r="D152" s="318" t="s">
        <v>59</v>
      </c>
      <c r="E152" s="318" t="s">
        <v>112</v>
      </c>
      <c r="F152" s="318"/>
      <c r="G152" s="318" t="s">
        <v>1044</v>
      </c>
      <c r="H152" s="318" t="s">
        <v>165</v>
      </c>
      <c r="I152" s="318" t="s">
        <v>101</v>
      </c>
      <c r="J152" s="318" t="n">
        <v>5111035</v>
      </c>
      <c r="K152" s="318" t="s">
        <v>126</v>
      </c>
      <c r="L152" s="318" t="n">
        <v>85</v>
      </c>
      <c r="M152" s="318" t="n">
        <v>95</v>
      </c>
      <c r="N152" s="318" t="s">
        <v>35</v>
      </c>
      <c r="O152" s="318" t="s">
        <v>986</v>
      </c>
      <c r="P152" s="318" t="s">
        <v>233</v>
      </c>
      <c r="Q152" s="318" t="s">
        <v>234</v>
      </c>
      <c r="R152" s="318" t="s">
        <v>101</v>
      </c>
      <c r="S152" s="318" t="s">
        <v>165</v>
      </c>
      <c r="T152" s="318" t="s">
        <v>116</v>
      </c>
      <c r="U152" s="318" t="n">
        <v>5170873</v>
      </c>
      <c r="V152" s="318"/>
      <c r="W152" s="318" t="s">
        <v>47</v>
      </c>
      <c r="X152" s="318" t="s">
        <v>986</v>
      </c>
      <c r="Y152" s="318" t="s">
        <v>216</v>
      </c>
      <c r="Z152" s="318" t="s">
        <v>283</v>
      </c>
      <c r="AA152" s="318" t="s">
        <v>101</v>
      </c>
      <c r="AB152" s="318" t="s">
        <v>165</v>
      </c>
      <c r="AC152" s="318" t="s">
        <v>116</v>
      </c>
      <c r="AD152" s="318" t="n">
        <v>5170871</v>
      </c>
      <c r="AE152" s="318"/>
      <c r="AF152" s="318" t="s">
        <v>58</v>
      </c>
      <c r="AG152" s="318" t="s">
        <v>986</v>
      </c>
      <c r="AH152" s="318" t="s">
        <v>215</v>
      </c>
      <c r="AI152" s="318" t="s">
        <v>283</v>
      </c>
      <c r="AJ152" s="318" t="s">
        <v>101</v>
      </c>
      <c r="AK152" s="318" t="s">
        <v>165</v>
      </c>
      <c r="AL152" s="318" t="s">
        <v>116</v>
      </c>
      <c r="AM152" s="318"/>
      <c r="AN152" s="318"/>
      <c r="AO152" s="318"/>
      <c r="AP152" s="318"/>
      <c r="AQ152" s="318"/>
      <c r="AR152" s="6" t="s">
        <v>141</v>
      </c>
    </row>
    <row r="153" ht="26.25" customHeight="1">
      <c r="A153" s="318" t="s">
        <v>54</v>
      </c>
      <c r="B153" s="318" t="n">
        <v>4845969224</v>
      </c>
      <c r="C153" s="318" t="s">
        <v>1115</v>
      </c>
      <c r="D153" s="318" t="s">
        <v>59</v>
      </c>
      <c r="E153" s="318" t="s">
        <v>112</v>
      </c>
      <c r="F153" s="318"/>
      <c r="G153" s="318" t="s">
        <v>1044</v>
      </c>
      <c r="H153" s="318" t="s">
        <v>165</v>
      </c>
      <c r="I153" s="318" t="s">
        <v>101</v>
      </c>
      <c r="J153" s="318" t="n">
        <v>5111035</v>
      </c>
      <c r="K153" s="318" t="s">
        <v>126</v>
      </c>
      <c r="L153" s="318" t="n">
        <v>85</v>
      </c>
      <c r="M153" s="318" t="n">
        <v>95</v>
      </c>
      <c r="N153" s="318" t="s">
        <v>35</v>
      </c>
      <c r="O153" s="318" t="s">
        <v>986</v>
      </c>
      <c r="P153" s="318" t="s">
        <v>233</v>
      </c>
      <c r="Q153" s="318" t="s">
        <v>234</v>
      </c>
      <c r="R153" s="318" t="s">
        <v>101</v>
      </c>
      <c r="S153" s="318" t="s">
        <v>165</v>
      </c>
      <c r="T153" s="318" t="s">
        <v>116</v>
      </c>
      <c r="U153" s="318" t="n">
        <v>5170873</v>
      </c>
      <c r="V153" s="318"/>
      <c r="W153" s="318" t="s">
        <v>47</v>
      </c>
      <c r="X153" s="318" t="s">
        <v>986</v>
      </c>
      <c r="Y153" s="318" t="s">
        <v>216</v>
      </c>
      <c r="Z153" s="318" t="s">
        <v>283</v>
      </c>
      <c r="AA153" s="318" t="s">
        <v>101</v>
      </c>
      <c r="AB153" s="318" t="s">
        <v>165</v>
      </c>
      <c r="AC153" s="318" t="s">
        <v>116</v>
      </c>
      <c r="AD153" s="318" t="n">
        <v>5170871</v>
      </c>
      <c r="AE153" s="318"/>
      <c r="AF153" s="318" t="s">
        <v>58</v>
      </c>
      <c r="AG153" s="318" t="s">
        <v>986</v>
      </c>
      <c r="AH153" s="318" t="s">
        <v>215</v>
      </c>
      <c r="AI153" s="318" t="s">
        <v>283</v>
      </c>
      <c r="AJ153" s="318" t="s">
        <v>101</v>
      </c>
      <c r="AK153" s="318" t="s">
        <v>165</v>
      </c>
      <c r="AL153" s="318" t="s">
        <v>116</v>
      </c>
      <c r="AM153" s="318"/>
      <c r="AN153" s="318"/>
      <c r="AO153" s="318"/>
      <c r="AP153" s="476"/>
      <c r="AQ153" s="476"/>
      <c r="AR153" s="6" t="s">
        <v>141</v>
      </c>
    </row>
    <row r="154" ht="26.25" customHeight="1">
      <c r="A154" s="318" t="s">
        <v>54</v>
      </c>
      <c r="B154" s="318" t="n">
        <v>2572296041</v>
      </c>
      <c r="C154" s="318" t="s">
        <v>1116</v>
      </c>
      <c r="D154" s="318" t="s">
        <v>59</v>
      </c>
      <c r="E154" s="318" t="s">
        <v>112</v>
      </c>
      <c r="F154" s="318"/>
      <c r="G154" s="318" t="s">
        <v>1044</v>
      </c>
      <c r="H154" s="318" t="s">
        <v>165</v>
      </c>
      <c r="I154" s="318" t="s">
        <v>101</v>
      </c>
      <c r="J154" s="318" t="n">
        <v>5111035</v>
      </c>
      <c r="K154" s="318" t="s">
        <v>126</v>
      </c>
      <c r="L154" s="318" t="n">
        <v>72</v>
      </c>
      <c r="M154" s="318" t="n">
        <v>90</v>
      </c>
      <c r="N154" s="318" t="s">
        <v>35</v>
      </c>
      <c r="O154" s="318" t="s">
        <v>986</v>
      </c>
      <c r="P154" s="318" t="s">
        <v>233</v>
      </c>
      <c r="Q154" s="318" t="s">
        <v>234</v>
      </c>
      <c r="R154" s="318" t="s">
        <v>101</v>
      </c>
      <c r="S154" s="318" t="s">
        <v>165</v>
      </c>
      <c r="T154" s="318" t="s">
        <v>116</v>
      </c>
      <c r="U154" s="318" t="n">
        <v>5170873</v>
      </c>
      <c r="V154" s="318"/>
      <c r="W154" s="318" t="s">
        <v>47</v>
      </c>
      <c r="X154" s="318" t="s">
        <v>986</v>
      </c>
      <c r="Y154" s="318" t="s">
        <v>216</v>
      </c>
      <c r="Z154" s="318" t="s">
        <v>283</v>
      </c>
      <c r="AA154" s="318" t="s">
        <v>101</v>
      </c>
      <c r="AB154" s="318" t="s">
        <v>165</v>
      </c>
      <c r="AC154" s="318" t="s">
        <v>116</v>
      </c>
      <c r="AD154" s="318" t="n">
        <v>5170871</v>
      </c>
      <c r="AE154" s="318"/>
      <c r="AF154" s="114" t="s">
        <v>58</v>
      </c>
      <c r="AG154" s="318" t="s">
        <v>986</v>
      </c>
      <c r="AH154" s="318" t="s">
        <v>215</v>
      </c>
      <c r="AI154" s="318" t="s">
        <v>283</v>
      </c>
      <c r="AJ154" s="318" t="s">
        <v>101</v>
      </c>
      <c r="AK154" s="318" t="s">
        <v>165</v>
      </c>
      <c r="AL154" s="318" t="s">
        <v>116</v>
      </c>
      <c r="AM154" s="318"/>
      <c r="AN154" s="318"/>
      <c r="AO154" s="318"/>
      <c r="AP154" s="318"/>
      <c r="AQ154" s="318"/>
      <c r="AR154" s="6" t="s">
        <v>141</v>
      </c>
    </row>
    <row r="155" ht="26.25" customHeight="1">
      <c r="A155" s="318" t="s">
        <v>54</v>
      </c>
      <c r="B155" s="318" t="n">
        <v>4844908992</v>
      </c>
      <c r="C155" s="318" t="s">
        <v>1117</v>
      </c>
      <c r="D155" s="318" t="s">
        <v>59</v>
      </c>
      <c r="E155" s="318" t="s">
        <v>112</v>
      </c>
      <c r="F155" s="318"/>
      <c r="G155" s="318" t="s">
        <v>1044</v>
      </c>
      <c r="H155" s="318" t="s">
        <v>165</v>
      </c>
      <c r="I155" s="318" t="s">
        <v>101</v>
      </c>
      <c r="J155" s="318" t="n">
        <v>5111035</v>
      </c>
      <c r="K155" s="318" t="s">
        <v>126</v>
      </c>
      <c r="L155" s="318" t="n">
        <v>83</v>
      </c>
      <c r="M155" s="318" t="n">
        <v>92</v>
      </c>
      <c r="N155" s="318" t="s">
        <v>35</v>
      </c>
      <c r="O155" s="318" t="s">
        <v>986</v>
      </c>
      <c r="P155" s="318" t="s">
        <v>233</v>
      </c>
      <c r="Q155" s="318" t="s">
        <v>234</v>
      </c>
      <c r="R155" s="318" t="s">
        <v>101</v>
      </c>
      <c r="S155" s="318" t="s">
        <v>165</v>
      </c>
      <c r="T155" s="318" t="s">
        <v>116</v>
      </c>
      <c r="U155" s="318" t="n">
        <v>5170873</v>
      </c>
      <c r="V155" s="318"/>
      <c r="W155" s="318" t="s">
        <v>47</v>
      </c>
      <c r="X155" s="318" t="s">
        <v>986</v>
      </c>
      <c r="Y155" s="318" t="s">
        <v>216</v>
      </c>
      <c r="Z155" s="318" t="s">
        <v>283</v>
      </c>
      <c r="AA155" s="318" t="s">
        <v>101</v>
      </c>
      <c r="AB155" s="318" t="s">
        <v>165</v>
      </c>
      <c r="AC155" s="318" t="s">
        <v>116</v>
      </c>
      <c r="AD155" s="318" t="n">
        <v>5170871</v>
      </c>
      <c r="AE155" s="318"/>
      <c r="AF155" s="114" t="s">
        <v>58</v>
      </c>
      <c r="AG155" s="318" t="s">
        <v>986</v>
      </c>
      <c r="AH155" s="318" t="s">
        <v>215</v>
      </c>
      <c r="AI155" s="318" t="s">
        <v>283</v>
      </c>
      <c r="AJ155" s="318" t="s">
        <v>101</v>
      </c>
      <c r="AK155" s="318" t="s">
        <v>165</v>
      </c>
      <c r="AL155" s="318" t="s">
        <v>116</v>
      </c>
      <c r="AM155" s="318"/>
      <c r="AN155" s="318"/>
      <c r="AO155" s="318"/>
      <c r="AP155" s="318"/>
      <c r="AQ155" s="318"/>
      <c r="AR155" s="6" t="s">
        <v>141</v>
      </c>
    </row>
    <row r="156" ht="26.25" customHeight="1">
      <c r="A156" s="318" t="s">
        <v>54</v>
      </c>
      <c r="B156" s="318" t="n">
        <v>4087881429</v>
      </c>
      <c r="C156" s="318" t="s">
        <v>1118</v>
      </c>
      <c r="D156" s="318" t="s">
        <v>57</v>
      </c>
      <c r="E156" s="318" t="s">
        <v>104</v>
      </c>
      <c r="F156" s="318"/>
      <c r="G156" s="318"/>
      <c r="H156" s="318" t="s">
        <v>165</v>
      </c>
      <c r="I156" s="318" t="s">
        <v>1119</v>
      </c>
      <c r="J156" s="318" t="n">
        <v>5111034</v>
      </c>
      <c r="K156" s="318" t="s">
        <v>126</v>
      </c>
      <c r="L156" s="318" t="n">
        <v>60</v>
      </c>
      <c r="M156" s="318" t="n">
        <v>80</v>
      </c>
      <c r="N156" s="318" t="s">
        <v>37</v>
      </c>
      <c r="O156" s="318" t="s">
        <v>1030</v>
      </c>
      <c r="P156" s="318" t="s">
        <v>216</v>
      </c>
      <c r="Q156" s="318" t="s">
        <v>283</v>
      </c>
      <c r="R156" s="318" t="s">
        <v>100</v>
      </c>
      <c r="S156" s="318" t="s">
        <v>165</v>
      </c>
      <c r="T156" s="318" t="s">
        <v>116</v>
      </c>
      <c r="U156" s="318" t="n">
        <v>3132859</v>
      </c>
      <c r="V156" s="318"/>
      <c r="W156" s="318" t="s">
        <v>43</v>
      </c>
      <c r="X156" s="318" t="s">
        <v>986</v>
      </c>
      <c r="Y156" s="318" t="s">
        <v>215</v>
      </c>
      <c r="Z156" s="318" t="s">
        <v>283</v>
      </c>
      <c r="AA156" s="318" t="s">
        <v>88</v>
      </c>
      <c r="AB156" s="318" t="s">
        <v>165</v>
      </c>
      <c r="AC156" s="318" t="s">
        <v>116</v>
      </c>
      <c r="AD156" s="318" t="n">
        <v>4513340</v>
      </c>
      <c r="AE156" s="318"/>
      <c r="AF156" s="114" t="s">
        <v>58</v>
      </c>
      <c r="AG156" s="318" t="s">
        <v>1030</v>
      </c>
      <c r="AH156" s="318" t="s">
        <v>233</v>
      </c>
      <c r="AI156" s="318" t="s">
        <v>283</v>
      </c>
      <c r="AJ156" s="318" t="s">
        <v>100</v>
      </c>
      <c r="AK156" s="318" t="s">
        <v>165</v>
      </c>
      <c r="AL156" s="318" t="s">
        <v>116</v>
      </c>
      <c r="AM156" s="318" t="s">
        <v>217</v>
      </c>
      <c r="AN156" s="318" t="s">
        <v>217</v>
      </c>
      <c r="AO156" s="318" t="s">
        <v>218</v>
      </c>
      <c r="AP156" s="318" t="s">
        <v>218</v>
      </c>
      <c r="AQ156" s="318" t="s">
        <v>218</v>
      </c>
      <c r="AR156" s="6" t="s">
        <v>141</v>
      </c>
    </row>
    <row r="157" ht="26.25" customHeight="1">
      <c r="A157" s="318" t="s">
        <v>54</v>
      </c>
      <c r="B157" s="318" t="n">
        <v>2529273566</v>
      </c>
      <c r="C157" s="318" t="s">
        <v>1044</v>
      </c>
      <c r="D157" s="318" t="s">
        <v>59</v>
      </c>
      <c r="E157" s="318" t="s">
        <v>104</v>
      </c>
      <c r="F157" s="318"/>
      <c r="G157" s="318"/>
      <c r="H157" s="318" t="s">
        <v>165</v>
      </c>
      <c r="I157" s="318" t="s">
        <v>101</v>
      </c>
      <c r="J157" s="318" t="n">
        <v>5111035</v>
      </c>
      <c r="K157" s="318" t="s">
        <v>126</v>
      </c>
      <c r="L157" s="318" t="n">
        <v>85</v>
      </c>
      <c r="M157" s="318" t="n">
        <v>95</v>
      </c>
      <c r="N157" s="114" t="s">
        <v>35</v>
      </c>
      <c r="O157" s="318" t="s">
        <v>986</v>
      </c>
      <c r="P157" s="318" t="s">
        <v>233</v>
      </c>
      <c r="Q157" s="318" t="s">
        <v>234</v>
      </c>
      <c r="R157" s="318" t="s">
        <v>101</v>
      </c>
      <c r="S157" s="318" t="s">
        <v>165</v>
      </c>
      <c r="T157" s="318" t="s">
        <v>116</v>
      </c>
      <c r="U157" s="318" t="n">
        <v>5170873</v>
      </c>
      <c r="V157" s="318"/>
      <c r="W157" s="318" t="s">
        <v>47</v>
      </c>
      <c r="X157" s="318" t="s">
        <v>986</v>
      </c>
      <c r="Y157" s="318" t="s">
        <v>216</v>
      </c>
      <c r="Z157" s="318" t="s">
        <v>283</v>
      </c>
      <c r="AA157" s="318" t="s">
        <v>101</v>
      </c>
      <c r="AB157" s="318" t="s">
        <v>165</v>
      </c>
      <c r="AC157" s="318" t="s">
        <v>116</v>
      </c>
      <c r="AD157" s="318" t="n">
        <v>5170871</v>
      </c>
      <c r="AE157" s="318"/>
      <c r="AF157" s="114" t="s">
        <v>58</v>
      </c>
      <c r="AG157" s="318" t="s">
        <v>986</v>
      </c>
      <c r="AH157" s="318" t="s">
        <v>215</v>
      </c>
      <c r="AI157" s="318" t="s">
        <v>283</v>
      </c>
      <c r="AJ157" s="318" t="s">
        <v>101</v>
      </c>
      <c r="AK157" s="318" t="s">
        <v>165</v>
      </c>
      <c r="AL157" s="318" t="s">
        <v>116</v>
      </c>
      <c r="AM157" s="318"/>
      <c r="AN157" s="318"/>
      <c r="AO157" s="318"/>
      <c r="AP157" s="318"/>
      <c r="AQ157" s="318"/>
      <c r="AR157" s="6" t="s">
        <v>141</v>
      </c>
    </row>
    <row r="158" ht="26.25" customHeight="1">
      <c r="A158" s="318" t="s">
        <v>54</v>
      </c>
      <c r="B158" s="318" t="n">
        <v>4312380919</v>
      </c>
      <c r="C158" s="318" t="s">
        <v>474</v>
      </c>
      <c r="D158" s="318" t="s">
        <v>38</v>
      </c>
      <c r="E158" s="318" t="s">
        <v>104</v>
      </c>
      <c r="F158" s="318"/>
      <c r="G158" s="318"/>
      <c r="H158" s="318" t="s">
        <v>165</v>
      </c>
      <c r="I158" s="318" t="s">
        <v>1079</v>
      </c>
      <c r="J158" s="318" t="n">
        <v>4513341</v>
      </c>
      <c r="K158" s="318" t="s">
        <v>126</v>
      </c>
      <c r="L158" s="318" t="n">
        <v>72</v>
      </c>
      <c r="M158" s="318" t="n">
        <v>90</v>
      </c>
      <c r="N158" s="318" t="s">
        <v>31</v>
      </c>
      <c r="O158" s="318" t="s">
        <v>987</v>
      </c>
      <c r="P158" s="318" t="s">
        <v>233</v>
      </c>
      <c r="Q158" s="318" t="s">
        <v>234</v>
      </c>
      <c r="R158" s="318" t="s">
        <v>100</v>
      </c>
      <c r="S158" s="318" t="s">
        <v>165</v>
      </c>
      <c r="T158" s="318" t="s">
        <v>116</v>
      </c>
      <c r="U158" s="318" t="n">
        <v>5170706</v>
      </c>
      <c r="V158" s="318"/>
      <c r="W158" s="318" t="s">
        <v>47</v>
      </c>
      <c r="X158" s="318" t="s">
        <v>987</v>
      </c>
      <c r="Y158" s="318" t="s">
        <v>216</v>
      </c>
      <c r="Z158" s="318" t="s">
        <v>283</v>
      </c>
      <c r="AA158" s="318" t="s">
        <v>65</v>
      </c>
      <c r="AB158" s="318" t="s">
        <v>165</v>
      </c>
      <c r="AC158" s="318" t="s">
        <v>116</v>
      </c>
      <c r="AD158" s="318" t="n">
        <v>5230738</v>
      </c>
      <c r="AE158" s="318"/>
      <c r="AF158" s="114" t="s">
        <v>58</v>
      </c>
      <c r="AG158" s="318" t="s">
        <v>987</v>
      </c>
      <c r="AH158" s="318" t="s">
        <v>215</v>
      </c>
      <c r="AI158" s="318" t="s">
        <v>283</v>
      </c>
      <c r="AJ158" s="318" t="s">
        <v>100</v>
      </c>
      <c r="AK158" s="318" t="s">
        <v>165</v>
      </c>
      <c r="AL158" s="318" t="s">
        <v>116</v>
      </c>
      <c r="AM158" s="318"/>
      <c r="AN158" s="318"/>
      <c r="AO158" s="318"/>
      <c r="AP158" s="318"/>
      <c r="AQ158" s="318"/>
      <c r="AR158" s="6" t="s">
        <v>141</v>
      </c>
    </row>
    <row r="159" ht="26.25" customHeight="1">
      <c r="A159" s="318" t="s">
        <v>54</v>
      </c>
      <c r="B159" s="318" t="n">
        <v>2544969370</v>
      </c>
      <c r="C159" s="318" t="s">
        <v>482</v>
      </c>
      <c r="D159" s="318" t="s">
        <v>48</v>
      </c>
      <c r="E159" s="318" t="s">
        <v>104</v>
      </c>
      <c r="F159" s="318"/>
      <c r="G159" s="318"/>
      <c r="H159" s="318" t="s">
        <v>165</v>
      </c>
      <c r="I159" s="318" t="s">
        <v>101</v>
      </c>
      <c r="J159" s="318" t="n">
        <v>5111035</v>
      </c>
      <c r="K159" s="318" t="s">
        <v>126</v>
      </c>
      <c r="L159" s="318" t="n">
        <v>74</v>
      </c>
      <c r="M159" s="318" t="n">
        <v>93</v>
      </c>
      <c r="N159" s="318" t="s">
        <v>35</v>
      </c>
      <c r="O159" s="318" t="s">
        <v>986</v>
      </c>
      <c r="P159" s="318" t="s">
        <v>233</v>
      </c>
      <c r="Q159" s="318" t="s">
        <v>234</v>
      </c>
      <c r="R159" s="318" t="s">
        <v>101</v>
      </c>
      <c r="S159" s="318" t="s">
        <v>165</v>
      </c>
      <c r="T159" s="318" t="s">
        <v>116</v>
      </c>
      <c r="U159" s="318" t="n">
        <v>5230739</v>
      </c>
      <c r="V159" s="318"/>
      <c r="W159" s="318" t="s">
        <v>47</v>
      </c>
      <c r="X159" s="318" t="s">
        <v>991</v>
      </c>
      <c r="Y159" s="318" t="s">
        <v>215</v>
      </c>
      <c r="Z159" s="318" t="s">
        <v>283</v>
      </c>
      <c r="AA159" s="318" t="s">
        <v>101</v>
      </c>
      <c r="AB159" s="318" t="s">
        <v>165</v>
      </c>
      <c r="AC159" s="318" t="s">
        <v>116</v>
      </c>
      <c r="AD159" s="318" t="n">
        <v>4513388</v>
      </c>
      <c r="AE159" s="318"/>
      <c r="AF159" s="318" t="s">
        <v>56</v>
      </c>
      <c r="AG159" s="318" t="s">
        <v>985</v>
      </c>
      <c r="AH159" s="318" t="s">
        <v>216</v>
      </c>
      <c r="AI159" s="318" t="s">
        <v>283</v>
      </c>
      <c r="AJ159" s="318" t="s">
        <v>101</v>
      </c>
      <c r="AK159" s="318" t="s">
        <v>165</v>
      </c>
      <c r="AL159" s="318" t="s">
        <v>116</v>
      </c>
      <c r="AM159" s="318"/>
      <c r="AN159" s="318"/>
      <c r="AO159" s="318"/>
      <c r="AP159" s="318"/>
      <c r="AQ159" s="318"/>
      <c r="AR159" s="6" t="s">
        <v>141</v>
      </c>
    </row>
    <row r="160" ht="26.25" customHeight="1">
      <c r="A160" s="318" t="s">
        <v>54</v>
      </c>
      <c r="B160" s="318" t="n">
        <v>4046417121</v>
      </c>
      <c r="C160" s="318" t="s">
        <v>1120</v>
      </c>
      <c r="D160" s="318" t="s">
        <v>57</v>
      </c>
      <c r="E160" s="318" t="s">
        <v>104</v>
      </c>
      <c r="F160" s="318"/>
      <c r="G160" s="318"/>
      <c r="H160" s="318" t="s">
        <v>165</v>
      </c>
      <c r="I160" s="318" t="s">
        <v>101</v>
      </c>
      <c r="J160" s="318" t="n">
        <v>4632447</v>
      </c>
      <c r="K160" s="318" t="s">
        <v>126</v>
      </c>
      <c r="L160" s="318" t="n">
        <v>72</v>
      </c>
      <c r="M160" s="318" t="n">
        <v>90</v>
      </c>
      <c r="N160" s="318" t="s">
        <v>37</v>
      </c>
      <c r="O160" s="318" t="s">
        <v>985</v>
      </c>
      <c r="P160" s="318" t="s">
        <v>215</v>
      </c>
      <c r="Q160" s="318" t="s">
        <v>283</v>
      </c>
      <c r="R160" s="318" t="s">
        <v>101</v>
      </c>
      <c r="S160" s="318" t="s">
        <v>165</v>
      </c>
      <c r="T160" s="318" t="s">
        <v>116</v>
      </c>
      <c r="U160" s="318" t="n">
        <v>5170873</v>
      </c>
      <c r="V160" s="318"/>
      <c r="W160" s="318" t="s">
        <v>47</v>
      </c>
      <c r="X160" s="318" t="s">
        <v>986</v>
      </c>
      <c r="Y160" s="318" t="s">
        <v>216</v>
      </c>
      <c r="Z160" s="318" t="s">
        <v>283</v>
      </c>
      <c r="AA160" s="318" t="s">
        <v>101</v>
      </c>
      <c r="AB160" s="318" t="s">
        <v>165</v>
      </c>
      <c r="AC160" s="318" t="s">
        <v>116</v>
      </c>
      <c r="AD160" s="318" t="n">
        <v>5230821</v>
      </c>
      <c r="AE160" s="318"/>
      <c r="AF160" s="114" t="s">
        <v>56</v>
      </c>
      <c r="AG160" s="318" t="s">
        <v>987</v>
      </c>
      <c r="AH160" s="318" t="s">
        <v>233</v>
      </c>
      <c r="AI160" s="318" t="s">
        <v>283</v>
      </c>
      <c r="AJ160" s="318" t="s">
        <v>101</v>
      </c>
      <c r="AK160" s="318" t="s">
        <v>165</v>
      </c>
      <c r="AL160" s="318" t="s">
        <v>116</v>
      </c>
      <c r="AM160" s="318"/>
      <c r="AN160" s="318"/>
      <c r="AO160" s="318"/>
      <c r="AP160" s="318"/>
      <c r="AQ160" s="318"/>
      <c r="AR160" s="6" t="s">
        <v>141</v>
      </c>
    </row>
    <row r="161" ht="26.25" customHeight="1">
      <c r="A161" s="318" t="s">
        <v>45</v>
      </c>
      <c r="B161" s="318" t="n">
        <v>2714018258</v>
      </c>
      <c r="C161" s="318" t="s">
        <v>361</v>
      </c>
      <c r="D161" s="318" t="s">
        <v>46</v>
      </c>
      <c r="E161" s="318" t="s">
        <v>112</v>
      </c>
      <c r="F161" s="318"/>
      <c r="G161" s="318" t="s">
        <v>494</v>
      </c>
      <c r="H161" s="318" t="s">
        <v>165</v>
      </c>
      <c r="I161" s="318" t="s">
        <v>65</v>
      </c>
      <c r="J161" s="318" t="n">
        <v>5230719</v>
      </c>
      <c r="K161" s="318" t="s">
        <v>126</v>
      </c>
      <c r="L161" s="318" t="n">
        <v>88</v>
      </c>
      <c r="M161" s="318" t="n">
        <v>98</v>
      </c>
      <c r="N161" s="318" t="s">
        <v>31</v>
      </c>
      <c r="O161" s="318" t="s">
        <v>989</v>
      </c>
      <c r="P161" s="318" t="s">
        <v>216</v>
      </c>
      <c r="Q161" s="318" t="s">
        <v>234</v>
      </c>
      <c r="R161" s="318" t="s">
        <v>65</v>
      </c>
      <c r="S161" s="318" t="s">
        <v>165</v>
      </c>
      <c r="T161" s="318" t="s">
        <v>116</v>
      </c>
      <c r="U161" s="318" t="n">
        <v>5230828</v>
      </c>
      <c r="V161" s="318"/>
      <c r="W161" s="318" t="s">
        <v>43</v>
      </c>
      <c r="X161" s="318" t="s">
        <v>989</v>
      </c>
      <c r="Y161" s="318" t="s">
        <v>215</v>
      </c>
      <c r="Z161" s="318" t="s">
        <v>283</v>
      </c>
      <c r="AA161" s="318" t="s">
        <v>65</v>
      </c>
      <c r="AB161" s="318" t="s">
        <v>165</v>
      </c>
      <c r="AC161" s="318" t="s">
        <v>116</v>
      </c>
      <c r="AD161" s="318" t="n">
        <v>3132869</v>
      </c>
      <c r="AE161" s="318"/>
      <c r="AF161" s="114" t="s">
        <v>58</v>
      </c>
      <c r="AG161" s="318" t="s">
        <v>989</v>
      </c>
      <c r="AH161" s="318" t="s">
        <v>233</v>
      </c>
      <c r="AI161" s="318" t="s">
        <v>283</v>
      </c>
      <c r="AJ161" s="318" t="s">
        <v>65</v>
      </c>
      <c r="AK161" s="318" t="s">
        <v>165</v>
      </c>
      <c r="AL161" s="318" t="s">
        <v>116</v>
      </c>
      <c r="AM161" s="318"/>
      <c r="AN161" s="318"/>
      <c r="AO161" s="318"/>
      <c r="AP161" s="318"/>
      <c r="AQ161" s="318"/>
      <c r="AR161" s="6" t="s">
        <v>141</v>
      </c>
    </row>
    <row r="162" ht="26.25" customHeight="1">
      <c r="A162" s="318" t="s">
        <v>54</v>
      </c>
      <c r="B162" s="318" t="n">
        <v>2445745721</v>
      </c>
      <c r="C162" s="318" t="s">
        <v>1121</v>
      </c>
      <c r="D162" s="318" t="s">
        <v>55</v>
      </c>
      <c r="E162" s="318" t="s">
        <v>104</v>
      </c>
      <c r="F162" s="318"/>
      <c r="G162" s="318"/>
      <c r="H162" s="318" t="s">
        <v>165</v>
      </c>
      <c r="I162" s="318" t="s">
        <v>100</v>
      </c>
      <c r="J162" s="318" t="n">
        <v>5111034</v>
      </c>
      <c r="K162" s="318" t="s">
        <v>126</v>
      </c>
      <c r="L162" s="318" t="n">
        <v>85</v>
      </c>
      <c r="M162" s="318" t="n">
        <v>95</v>
      </c>
      <c r="N162" s="318" t="s">
        <v>37</v>
      </c>
      <c r="O162" s="318" t="s">
        <v>1030</v>
      </c>
      <c r="P162" s="318" t="s">
        <v>216</v>
      </c>
      <c r="Q162" s="318" t="s">
        <v>283</v>
      </c>
      <c r="R162" s="318" t="s">
        <v>100</v>
      </c>
      <c r="S162" s="318" t="s">
        <v>165</v>
      </c>
      <c r="T162" s="318" t="s">
        <v>116</v>
      </c>
      <c r="U162" s="318" t="n">
        <v>4513342</v>
      </c>
      <c r="V162" s="318"/>
      <c r="W162" s="318" t="s">
        <v>43</v>
      </c>
      <c r="X162" s="318" t="s">
        <v>1030</v>
      </c>
      <c r="Y162" s="318" t="s">
        <v>215</v>
      </c>
      <c r="Z162" s="318" t="s">
        <v>283</v>
      </c>
      <c r="AA162" s="318" t="s">
        <v>100</v>
      </c>
      <c r="AB162" s="318" t="s">
        <v>165</v>
      </c>
      <c r="AC162" s="318" t="s">
        <v>116</v>
      </c>
      <c r="AD162" s="318" t="s">
        <v>116</v>
      </c>
      <c r="AE162" s="318"/>
      <c r="AF162" s="318" t="s">
        <v>116</v>
      </c>
      <c r="AG162" s="318" t="s">
        <v>116</v>
      </c>
      <c r="AH162" s="318" t="s">
        <v>116</v>
      </c>
      <c r="AI162" s="318" t="s">
        <v>116</v>
      </c>
      <c r="AJ162" s="318" t="s">
        <v>116</v>
      </c>
      <c r="AK162" s="318" t="s">
        <v>116</v>
      </c>
      <c r="AL162" s="318" t="s">
        <v>116</v>
      </c>
      <c r="AM162" s="318"/>
      <c r="AN162" s="318"/>
      <c r="AO162" s="318"/>
      <c r="AP162" s="318"/>
      <c r="AQ162" s="318"/>
      <c r="AR162" s="6" t="s">
        <v>141</v>
      </c>
    </row>
    <row r="163" ht="26.25" customHeight="1">
      <c r="A163" s="318" t="s">
        <v>45</v>
      </c>
      <c r="B163" s="318" t="n">
        <v>2568261216</v>
      </c>
      <c r="C163" s="318" t="s">
        <v>1122</v>
      </c>
      <c r="D163" s="318" t="s">
        <v>57</v>
      </c>
      <c r="E163" s="318" t="s">
        <v>104</v>
      </c>
      <c r="F163" s="318"/>
      <c r="G163" s="318"/>
      <c r="H163" s="318" t="s">
        <v>1123</v>
      </c>
      <c r="I163" s="318" t="s">
        <v>116</v>
      </c>
      <c r="J163" s="318" t="n">
        <v>5230806</v>
      </c>
      <c r="K163" s="318" t="s">
        <v>126</v>
      </c>
      <c r="L163" s="318" t="n">
        <v>89</v>
      </c>
      <c r="M163" s="318" t="n">
        <v>99</v>
      </c>
      <c r="N163" s="114" t="s">
        <v>37</v>
      </c>
      <c r="O163" s="318" t="s">
        <v>1034</v>
      </c>
      <c r="P163" s="318" t="s">
        <v>215</v>
      </c>
      <c r="Q163" s="318" t="s">
        <v>283</v>
      </c>
      <c r="R163" s="318" t="s">
        <v>88</v>
      </c>
      <c r="S163" s="318" t="s">
        <v>444</v>
      </c>
      <c r="T163" s="318" t="s">
        <v>116</v>
      </c>
      <c r="U163" s="318" t="n">
        <v>5170872</v>
      </c>
      <c r="V163" s="318"/>
      <c r="W163" s="318" t="s">
        <v>49</v>
      </c>
      <c r="X163" s="318" t="s">
        <v>1034</v>
      </c>
      <c r="Y163" s="318" t="s">
        <v>216</v>
      </c>
      <c r="Z163" s="318" t="s">
        <v>283</v>
      </c>
      <c r="AA163" s="318" t="s">
        <v>88</v>
      </c>
      <c r="AB163" s="318" t="s">
        <v>444</v>
      </c>
      <c r="AC163" s="318" t="s">
        <v>116</v>
      </c>
      <c r="AD163" s="318" t="n">
        <v>3132865</v>
      </c>
      <c r="AE163" s="318"/>
      <c r="AF163" s="114" t="s">
        <v>52</v>
      </c>
      <c r="AG163" s="318" t="s">
        <v>1034</v>
      </c>
      <c r="AH163" s="318" t="s">
        <v>233</v>
      </c>
      <c r="AI163" s="318" t="s">
        <v>283</v>
      </c>
      <c r="AJ163" s="318" t="s">
        <v>88</v>
      </c>
      <c r="AK163" s="318" t="s">
        <v>444</v>
      </c>
      <c r="AL163" s="318" t="s">
        <v>116</v>
      </c>
      <c r="AM163" s="318"/>
      <c r="AN163" s="318"/>
      <c r="AO163" s="318"/>
      <c r="AP163" s="318"/>
      <c r="AQ163" s="318"/>
      <c r="AR163" s="6" t="s">
        <v>1124</v>
      </c>
    </row>
    <row r="164" ht="26.25" customHeight="1">
      <c r="A164" s="318" t="s">
        <v>54</v>
      </c>
      <c r="B164" s="318" t="n">
        <v>2751323986</v>
      </c>
      <c r="C164" s="318" t="s">
        <v>1125</v>
      </c>
      <c r="D164" s="318" t="s">
        <v>55</v>
      </c>
      <c r="E164" s="318" t="s">
        <v>104</v>
      </c>
      <c r="F164" s="318"/>
      <c r="G164" s="318"/>
      <c r="H164" s="318" t="s">
        <v>165</v>
      </c>
      <c r="I164" s="318" t="s">
        <v>101</v>
      </c>
      <c r="J164" s="318" t="n">
        <v>5111035</v>
      </c>
      <c r="K164" s="318" t="s">
        <v>126</v>
      </c>
      <c r="L164" s="318" t="n">
        <v>72</v>
      </c>
      <c r="M164" s="318" t="n">
        <v>90</v>
      </c>
      <c r="N164" s="318" t="s">
        <v>35</v>
      </c>
      <c r="O164" s="318" t="s">
        <v>986</v>
      </c>
      <c r="P164" s="318" t="s">
        <v>233</v>
      </c>
      <c r="Q164" s="318" t="s">
        <v>234</v>
      </c>
      <c r="R164" s="318" t="s">
        <v>101</v>
      </c>
      <c r="S164" s="318" t="s">
        <v>165</v>
      </c>
      <c r="T164" s="318" t="s">
        <v>116</v>
      </c>
      <c r="U164" s="318" t="n">
        <v>5170873</v>
      </c>
      <c r="V164" s="318"/>
      <c r="W164" s="318" t="s">
        <v>47</v>
      </c>
      <c r="X164" s="318" t="s">
        <v>986</v>
      </c>
      <c r="Y164" s="318" t="s">
        <v>216</v>
      </c>
      <c r="Z164" s="318" t="s">
        <v>283</v>
      </c>
      <c r="AA164" s="318" t="s">
        <v>101</v>
      </c>
      <c r="AB164" s="318" t="s">
        <v>165</v>
      </c>
      <c r="AC164" s="318" t="s">
        <v>116</v>
      </c>
      <c r="AD164" s="318" t="n">
        <v>5170871</v>
      </c>
      <c r="AE164" s="318"/>
      <c r="AF164" s="114" t="s">
        <v>58</v>
      </c>
      <c r="AG164" s="318" t="s">
        <v>986</v>
      </c>
      <c r="AH164" s="318" t="s">
        <v>215</v>
      </c>
      <c r="AI164" s="318" t="s">
        <v>283</v>
      </c>
      <c r="AJ164" s="318" t="s">
        <v>101</v>
      </c>
      <c r="AK164" s="318" t="s">
        <v>165</v>
      </c>
      <c r="AL164" s="318" t="s">
        <v>116</v>
      </c>
      <c r="AM164" s="318"/>
      <c r="AN164" s="318"/>
      <c r="AO164" s="318"/>
      <c r="AP164" s="318"/>
      <c r="AQ164" s="318"/>
      <c r="AR164" s="6" t="s">
        <v>141</v>
      </c>
    </row>
    <row r="165" ht="26.25" customHeight="1">
      <c r="A165" s="318" t="s">
        <v>45</v>
      </c>
      <c r="B165" s="318" t="n">
        <v>4162522590</v>
      </c>
      <c r="C165" s="318" t="s">
        <v>1126</v>
      </c>
      <c r="D165" s="318" t="s">
        <v>46</v>
      </c>
      <c r="E165" s="318" t="s">
        <v>104</v>
      </c>
      <c r="F165" s="318"/>
      <c r="G165" s="318"/>
      <c r="H165" s="318" t="s">
        <v>1123</v>
      </c>
      <c r="I165" s="318" t="s">
        <v>116</v>
      </c>
      <c r="J165" s="318" t="n">
        <v>5230802</v>
      </c>
      <c r="K165" s="318" t="s">
        <v>126</v>
      </c>
      <c r="L165" s="318" t="n">
        <v>85</v>
      </c>
      <c r="M165" s="318" t="n">
        <v>95</v>
      </c>
      <c r="N165" s="318" t="s">
        <v>37</v>
      </c>
      <c r="O165" s="318" t="s">
        <v>997</v>
      </c>
      <c r="P165" s="318" t="s">
        <v>233</v>
      </c>
      <c r="Q165" s="318" t="s">
        <v>283</v>
      </c>
      <c r="R165" s="318" t="s">
        <v>65</v>
      </c>
      <c r="S165" s="318" t="s">
        <v>444</v>
      </c>
      <c r="T165" s="318" t="s">
        <v>116</v>
      </c>
      <c r="U165" s="318" t="n">
        <v>4632448</v>
      </c>
      <c r="V165" s="318"/>
      <c r="W165" s="318" t="s">
        <v>49</v>
      </c>
      <c r="X165" s="318" t="s">
        <v>997</v>
      </c>
      <c r="Y165" s="318" t="s">
        <v>215</v>
      </c>
      <c r="Z165" s="318" t="s">
        <v>283</v>
      </c>
      <c r="AA165" s="318" t="s">
        <v>65</v>
      </c>
      <c r="AB165" s="318" t="s">
        <v>444</v>
      </c>
      <c r="AC165" s="318" t="s">
        <v>116</v>
      </c>
      <c r="AD165" s="318" t="n">
        <v>3132837</v>
      </c>
      <c r="AE165" s="318"/>
      <c r="AF165" s="114" t="s">
        <v>58</v>
      </c>
      <c r="AG165" s="318" t="s">
        <v>997</v>
      </c>
      <c r="AH165" s="318" t="s">
        <v>216</v>
      </c>
      <c r="AI165" s="318" t="s">
        <v>283</v>
      </c>
      <c r="AJ165" s="318" t="s">
        <v>65</v>
      </c>
      <c r="AK165" s="318" t="s">
        <v>444</v>
      </c>
      <c r="AL165" s="318" t="s">
        <v>116</v>
      </c>
      <c r="AM165" s="318"/>
      <c r="AN165" s="318"/>
      <c r="AO165" s="318"/>
      <c r="AP165" s="318"/>
      <c r="AQ165" s="318"/>
      <c r="AR165" s="6" t="s">
        <v>1124</v>
      </c>
    </row>
    <row r="166" ht="26.25" customHeight="1">
      <c r="A166" s="318" t="s">
        <v>54</v>
      </c>
      <c r="B166" s="318" t="n">
        <v>4833994919</v>
      </c>
      <c r="C166" s="318" t="s">
        <v>1127</v>
      </c>
      <c r="D166" s="318" t="s">
        <v>59</v>
      </c>
      <c r="E166" s="318" t="s">
        <v>104</v>
      </c>
      <c r="F166" s="318"/>
      <c r="G166" s="318"/>
      <c r="H166" s="318" t="s">
        <v>165</v>
      </c>
      <c r="I166" s="318" t="s">
        <v>101</v>
      </c>
      <c r="J166" s="318" t="n">
        <v>5111035</v>
      </c>
      <c r="K166" s="318" t="s">
        <v>126</v>
      </c>
      <c r="L166" s="318" t="n">
        <v>64</v>
      </c>
      <c r="M166" s="318" t="n">
        <v>85</v>
      </c>
      <c r="N166" s="114" t="s">
        <v>35</v>
      </c>
      <c r="O166" s="318" t="s">
        <v>986</v>
      </c>
      <c r="P166" s="318" t="s">
        <v>233</v>
      </c>
      <c r="Q166" s="318" t="s">
        <v>234</v>
      </c>
      <c r="R166" s="318" t="s">
        <v>101</v>
      </c>
      <c r="S166" s="318" t="s">
        <v>444</v>
      </c>
      <c r="T166" s="318" t="s">
        <v>116</v>
      </c>
      <c r="U166" s="318" t="n">
        <v>5170873</v>
      </c>
      <c r="V166" s="318"/>
      <c r="W166" s="318" t="s">
        <v>47</v>
      </c>
      <c r="X166" s="318" t="s">
        <v>986</v>
      </c>
      <c r="Y166" s="318" t="s">
        <v>216</v>
      </c>
      <c r="Z166" s="318" t="s">
        <v>283</v>
      </c>
      <c r="AA166" s="318" t="s">
        <v>101</v>
      </c>
      <c r="AB166" s="318" t="s">
        <v>165</v>
      </c>
      <c r="AC166" s="318" t="s">
        <v>116</v>
      </c>
      <c r="AD166" s="318" t="n">
        <v>5170871</v>
      </c>
      <c r="AE166" s="318"/>
      <c r="AF166" s="114" t="s">
        <v>58</v>
      </c>
      <c r="AG166" s="318" t="s">
        <v>986</v>
      </c>
      <c r="AH166" s="318" t="s">
        <v>215</v>
      </c>
      <c r="AI166" s="318" t="s">
        <v>283</v>
      </c>
      <c r="AJ166" s="318" t="s">
        <v>101</v>
      </c>
      <c r="AK166" s="318" t="s">
        <v>444</v>
      </c>
      <c r="AL166" s="318" t="s">
        <v>116</v>
      </c>
      <c r="AM166" s="318"/>
      <c r="AN166" s="318"/>
      <c r="AO166" s="318"/>
      <c r="AP166" s="318"/>
      <c r="AQ166" s="318"/>
      <c r="AR166" s="6" t="s">
        <v>141</v>
      </c>
    </row>
    <row r="167" ht="26.25" customHeight="1">
      <c r="A167" s="318" t="s">
        <v>54</v>
      </c>
      <c r="B167" s="318" t="n">
        <v>4515679057</v>
      </c>
      <c r="C167" s="318" t="s">
        <v>1128</v>
      </c>
      <c r="D167" s="318" t="s">
        <v>55</v>
      </c>
      <c r="E167" s="318" t="s">
        <v>104</v>
      </c>
      <c r="F167" s="318"/>
      <c r="G167" s="318"/>
      <c r="H167" s="318" t="s">
        <v>165</v>
      </c>
      <c r="I167" s="318" t="s">
        <v>101</v>
      </c>
      <c r="J167" s="318" t="n">
        <v>3132902</v>
      </c>
      <c r="K167" s="318" t="s">
        <v>126</v>
      </c>
      <c r="L167" s="318" t="n">
        <v>72</v>
      </c>
      <c r="M167" s="318" t="n">
        <v>90</v>
      </c>
      <c r="N167" s="114" t="s">
        <v>31</v>
      </c>
      <c r="O167" s="318" t="s">
        <v>987</v>
      </c>
      <c r="P167" s="318" t="s">
        <v>216</v>
      </c>
      <c r="Q167" s="318" t="s">
        <v>283</v>
      </c>
      <c r="R167" s="318" t="s">
        <v>101</v>
      </c>
      <c r="S167" s="318" t="s">
        <v>165</v>
      </c>
      <c r="T167" s="318" t="s">
        <v>116</v>
      </c>
      <c r="U167" s="318" t="n">
        <v>5230747</v>
      </c>
      <c r="V167" s="318"/>
      <c r="W167" s="318" t="s">
        <v>49</v>
      </c>
      <c r="X167" s="318" t="s">
        <v>987</v>
      </c>
      <c r="Y167" s="318" t="s">
        <v>215</v>
      </c>
      <c r="Z167" s="318" t="s">
        <v>283</v>
      </c>
      <c r="AA167" s="318" t="s">
        <v>101</v>
      </c>
      <c r="AB167" s="318" t="s">
        <v>165</v>
      </c>
      <c r="AC167" s="318" t="s">
        <v>116</v>
      </c>
      <c r="AD167" s="318" t="n">
        <v>5230821</v>
      </c>
      <c r="AE167" s="318"/>
      <c r="AF167" s="114" t="s">
        <v>56</v>
      </c>
      <c r="AG167" s="318" t="s">
        <v>987</v>
      </c>
      <c r="AH167" s="318" t="s">
        <v>233</v>
      </c>
      <c r="AI167" s="318" t="s">
        <v>283</v>
      </c>
      <c r="AJ167" s="318" t="s">
        <v>101</v>
      </c>
      <c r="AK167" s="318" t="s">
        <v>165</v>
      </c>
      <c r="AL167" s="318" t="s">
        <v>116</v>
      </c>
      <c r="AM167" s="318"/>
      <c r="AN167" s="318"/>
      <c r="AO167" s="318"/>
      <c r="AP167" s="318"/>
      <c r="AQ167" s="318"/>
      <c r="AR167" s="6" t="s">
        <v>141</v>
      </c>
    </row>
    <row r="168" ht="26.25" customHeight="1">
      <c r="A168" s="318" t="s">
        <v>85</v>
      </c>
      <c r="B168" s="318" t="n">
        <v>2502916961</v>
      </c>
      <c r="C168" s="318" t="s">
        <v>1129</v>
      </c>
      <c r="D168" s="318" t="s">
        <v>34</v>
      </c>
      <c r="E168" s="318" t="s">
        <v>104</v>
      </c>
      <c r="F168" s="318"/>
      <c r="G168" s="318"/>
      <c r="H168" s="318" t="s">
        <v>165</v>
      </c>
      <c r="I168" s="318" t="s">
        <v>100</v>
      </c>
      <c r="J168" s="318" t="n">
        <v>3132864</v>
      </c>
      <c r="K168" s="318" t="s">
        <v>126</v>
      </c>
      <c r="L168" s="318" t="n">
        <v>72</v>
      </c>
      <c r="M168" s="318" t="n">
        <v>90</v>
      </c>
      <c r="N168" s="318" t="s">
        <v>39</v>
      </c>
      <c r="O168" s="318" t="s">
        <v>991</v>
      </c>
      <c r="P168" s="318" t="s">
        <v>216</v>
      </c>
      <c r="Q168" s="318" t="s">
        <v>283</v>
      </c>
      <c r="R168" s="318" t="s">
        <v>100</v>
      </c>
      <c r="S168" s="318" t="s">
        <v>165</v>
      </c>
      <c r="T168" s="318" t="s">
        <v>116</v>
      </c>
      <c r="U168" s="318" t="n">
        <v>3132810</v>
      </c>
      <c r="V168" s="318"/>
      <c r="W168" s="318" t="s">
        <v>47</v>
      </c>
      <c r="X168" s="318" t="s">
        <v>991</v>
      </c>
      <c r="Y168" s="318" t="s">
        <v>233</v>
      </c>
      <c r="Z168" s="318" t="s">
        <v>283</v>
      </c>
      <c r="AA168" s="318" t="s">
        <v>100</v>
      </c>
      <c r="AB168" s="318" t="s">
        <v>165</v>
      </c>
      <c r="AC168" s="318" t="s">
        <v>116</v>
      </c>
      <c r="AD168" s="318" t="n">
        <v>3132858</v>
      </c>
      <c r="AE168" s="318"/>
      <c r="AF168" s="114" t="s">
        <v>52</v>
      </c>
      <c r="AG168" s="318" t="s">
        <v>991</v>
      </c>
      <c r="AH168" s="318" t="s">
        <v>215</v>
      </c>
      <c r="AI168" s="318" t="s">
        <v>283</v>
      </c>
      <c r="AJ168" s="318" t="s">
        <v>100</v>
      </c>
      <c r="AK168" s="318" t="s">
        <v>165</v>
      </c>
      <c r="AL168" s="318" t="s">
        <v>116</v>
      </c>
      <c r="AM168" s="318"/>
      <c r="AN168" s="318"/>
      <c r="AO168" s="318"/>
      <c r="AP168" s="318"/>
      <c r="AQ168" s="318"/>
      <c r="AR168" s="6" t="s">
        <v>140</v>
      </c>
    </row>
    <row r="169" ht="26.25" customHeight="1">
      <c r="A169" s="318" t="s">
        <v>45</v>
      </c>
      <c r="B169" s="318" t="n">
        <v>4286627349</v>
      </c>
      <c r="C169" s="318" t="s">
        <v>1130</v>
      </c>
      <c r="D169" s="318" t="s">
        <v>46</v>
      </c>
      <c r="E169" s="318" t="s">
        <v>104</v>
      </c>
      <c r="F169" s="318"/>
      <c r="G169" s="318"/>
      <c r="H169" s="318" t="s">
        <v>1123</v>
      </c>
      <c r="I169" s="318" t="s">
        <v>116</v>
      </c>
      <c r="J169" s="318" t="n">
        <v>3132897</v>
      </c>
      <c r="K169" s="318" t="s">
        <v>126</v>
      </c>
      <c r="L169" s="318" t="n">
        <v>72</v>
      </c>
      <c r="M169" s="318" t="n">
        <v>90</v>
      </c>
      <c r="N169" s="114" t="s">
        <v>31</v>
      </c>
      <c r="O169" s="318" t="s">
        <v>989</v>
      </c>
      <c r="P169" s="318" t="s">
        <v>215</v>
      </c>
      <c r="Q169" s="318" t="s">
        <v>283</v>
      </c>
      <c r="R169" s="318" t="s">
        <v>88</v>
      </c>
      <c r="S169" s="318" t="s">
        <v>444</v>
      </c>
      <c r="T169" s="318" t="s">
        <v>116</v>
      </c>
      <c r="U169" s="318" t="n">
        <v>5230722</v>
      </c>
      <c r="V169" s="318"/>
      <c r="W169" s="318" t="s">
        <v>47</v>
      </c>
      <c r="X169" s="318" t="s">
        <v>989</v>
      </c>
      <c r="Y169" s="318" t="s">
        <v>233</v>
      </c>
      <c r="Z169" s="318" t="s">
        <v>283</v>
      </c>
      <c r="AA169" s="318" t="s">
        <v>88</v>
      </c>
      <c r="AB169" s="318" t="s">
        <v>444</v>
      </c>
      <c r="AC169" s="318" t="s">
        <v>116</v>
      </c>
      <c r="AD169" s="318" t="n">
        <v>5230737</v>
      </c>
      <c r="AE169" s="318"/>
      <c r="AF169" s="114" t="s">
        <v>58</v>
      </c>
      <c r="AG169" s="318" t="s">
        <v>989</v>
      </c>
      <c r="AH169" s="318" t="s">
        <v>216</v>
      </c>
      <c r="AI169" s="318" t="s">
        <v>283</v>
      </c>
      <c r="AJ169" s="318" t="s">
        <v>88</v>
      </c>
      <c r="AK169" s="318" t="s">
        <v>444</v>
      </c>
      <c r="AL169" s="318" t="s">
        <v>116</v>
      </c>
      <c r="AM169" s="318"/>
      <c r="AN169" s="318"/>
      <c r="AO169" s="318"/>
      <c r="AP169" s="318"/>
      <c r="AQ169" s="318"/>
      <c r="AR169" s="6" t="s">
        <v>1124</v>
      </c>
    </row>
    <row r="170" ht="26.25" customHeight="1">
      <c r="A170" s="318" t="s">
        <v>54</v>
      </c>
      <c r="B170" s="318" t="n">
        <v>2139918258</v>
      </c>
      <c r="C170" s="318" t="s">
        <v>1131</v>
      </c>
      <c r="D170" s="318" t="s">
        <v>55</v>
      </c>
      <c r="E170" s="318" t="s">
        <v>104</v>
      </c>
      <c r="F170" s="318"/>
      <c r="G170" s="318"/>
      <c r="H170" s="318" t="s">
        <v>165</v>
      </c>
      <c r="I170" s="318" t="s">
        <v>101</v>
      </c>
      <c r="J170" s="318" t="n">
        <v>3132902</v>
      </c>
      <c r="K170" s="318" t="s">
        <v>125</v>
      </c>
      <c r="L170" s="318" t="n">
        <v>45</v>
      </c>
      <c r="M170" s="318" t="s">
        <v>116</v>
      </c>
      <c r="N170" s="318" t="s">
        <v>31</v>
      </c>
      <c r="O170" s="318" t="s">
        <v>987</v>
      </c>
      <c r="P170" s="318" t="s">
        <v>216</v>
      </c>
      <c r="Q170" s="318" t="s">
        <v>283</v>
      </c>
      <c r="R170" s="318" t="s">
        <v>101</v>
      </c>
      <c r="S170" s="318" t="s">
        <v>165</v>
      </c>
      <c r="T170" s="318" t="s">
        <v>116</v>
      </c>
      <c r="U170" s="318" t="n">
        <v>5170873</v>
      </c>
      <c r="V170" s="318" t="n">
        <v>28</v>
      </c>
      <c r="W170" s="318" t="s">
        <v>47</v>
      </c>
      <c r="X170" s="318" t="s">
        <v>986</v>
      </c>
      <c r="Y170" s="318" t="s">
        <v>216</v>
      </c>
      <c r="Z170" s="318" t="s">
        <v>283</v>
      </c>
      <c r="AA170" s="318" t="s">
        <v>101</v>
      </c>
      <c r="AB170" s="318" t="s">
        <v>165</v>
      </c>
      <c r="AC170" s="318" t="s">
        <v>116</v>
      </c>
      <c r="AD170" s="318" t="n">
        <v>5170871</v>
      </c>
      <c r="AE170" s="318"/>
      <c r="AF170" s="318" t="s">
        <v>58</v>
      </c>
      <c r="AG170" s="318" t="s">
        <v>986</v>
      </c>
      <c r="AH170" s="318" t="s">
        <v>215</v>
      </c>
      <c r="AI170" s="318" t="s">
        <v>283</v>
      </c>
      <c r="AJ170" s="318" t="s">
        <v>101</v>
      </c>
      <c r="AK170" s="318" t="s">
        <v>165</v>
      </c>
      <c r="AL170" s="318" t="s">
        <v>116</v>
      </c>
      <c r="AM170" s="318"/>
      <c r="AN170" s="318"/>
      <c r="AO170" s="318"/>
      <c r="AP170" s="318"/>
      <c r="AQ170" s="318"/>
      <c r="AR170" s="6" t="s">
        <v>140</v>
      </c>
    </row>
    <row r="171" ht="26.25" customHeight="1">
      <c r="A171" s="318" t="s">
        <v>54</v>
      </c>
      <c r="B171" s="318" t="n">
        <v>4019983317</v>
      </c>
      <c r="C171" s="318" t="s">
        <v>1132</v>
      </c>
      <c r="D171" s="318" t="s">
        <v>48</v>
      </c>
      <c r="E171" s="318" t="s">
        <v>104</v>
      </c>
      <c r="F171" s="318"/>
      <c r="G171" s="318"/>
      <c r="H171" s="318" t="s">
        <v>165</v>
      </c>
      <c r="I171" s="318" t="s">
        <v>101</v>
      </c>
      <c r="J171" s="318" t="n">
        <v>3132902</v>
      </c>
      <c r="K171" s="318" t="s">
        <v>126</v>
      </c>
      <c r="L171" s="318" t="n">
        <v>72</v>
      </c>
      <c r="M171" s="318" t="n">
        <v>90</v>
      </c>
      <c r="N171" s="318" t="s">
        <v>31</v>
      </c>
      <c r="O171" s="318" t="s">
        <v>987</v>
      </c>
      <c r="P171" s="318" t="s">
        <v>216</v>
      </c>
      <c r="Q171" s="318" t="s">
        <v>283</v>
      </c>
      <c r="R171" s="318" t="s">
        <v>101</v>
      </c>
      <c r="S171" s="318" t="s">
        <v>165</v>
      </c>
      <c r="T171" s="318" t="s">
        <v>116</v>
      </c>
      <c r="U171" s="318" t="n">
        <v>5230747</v>
      </c>
      <c r="V171" s="318"/>
      <c r="W171" s="318" t="s">
        <v>49</v>
      </c>
      <c r="X171" s="318" t="s">
        <v>987</v>
      </c>
      <c r="Y171" s="318" t="s">
        <v>215</v>
      </c>
      <c r="Z171" s="318" t="s">
        <v>283</v>
      </c>
      <c r="AA171" s="318" t="s">
        <v>101</v>
      </c>
      <c r="AB171" s="318" t="s">
        <v>165</v>
      </c>
      <c r="AC171" s="318" t="s">
        <v>116</v>
      </c>
      <c r="AD171" s="318" t="n">
        <v>5230821</v>
      </c>
      <c r="AE171" s="318"/>
      <c r="AF171" s="114" t="s">
        <v>56</v>
      </c>
      <c r="AG171" s="318" t="s">
        <v>987</v>
      </c>
      <c r="AH171" s="318" t="s">
        <v>233</v>
      </c>
      <c r="AI171" s="318" t="s">
        <v>283</v>
      </c>
      <c r="AJ171" s="318" t="s">
        <v>101</v>
      </c>
      <c r="AK171" s="318" t="s">
        <v>165</v>
      </c>
      <c r="AL171" s="318" t="s">
        <v>116</v>
      </c>
      <c r="AM171" s="318"/>
      <c r="AN171" s="318"/>
      <c r="AO171" s="318"/>
      <c r="AP171" s="318"/>
      <c r="AQ171" s="318"/>
      <c r="AR171" s="6" t="s">
        <v>140</v>
      </c>
    </row>
    <row r="172" ht="26.25" customHeight="1">
      <c r="A172" s="318" t="s">
        <v>85</v>
      </c>
      <c r="B172" s="318" t="n">
        <v>4442600800</v>
      </c>
      <c r="C172" s="318" t="s">
        <v>496</v>
      </c>
      <c r="D172" s="318" t="s">
        <v>34</v>
      </c>
      <c r="E172" s="318" t="s">
        <v>104</v>
      </c>
      <c r="F172" s="318"/>
      <c r="G172" s="318"/>
      <c r="H172" s="318" t="s">
        <v>165</v>
      </c>
      <c r="I172" s="318" t="s">
        <v>1079</v>
      </c>
      <c r="J172" s="318" t="n">
        <v>3132864</v>
      </c>
      <c r="K172" s="318" t="s">
        <v>125</v>
      </c>
      <c r="L172" s="318" t="n">
        <v>90</v>
      </c>
      <c r="M172" s="318" t="s">
        <v>116</v>
      </c>
      <c r="N172" s="114" t="s">
        <v>39</v>
      </c>
      <c r="O172" s="318" t="s">
        <v>991</v>
      </c>
      <c r="P172" s="318" t="s">
        <v>216</v>
      </c>
      <c r="Q172" s="318" t="s">
        <v>283</v>
      </c>
      <c r="R172" s="318" t="s">
        <v>100</v>
      </c>
      <c r="S172" s="318" t="s">
        <v>165</v>
      </c>
      <c r="T172" s="318" t="s">
        <v>116</v>
      </c>
      <c r="U172" s="318" t="n">
        <v>3132810</v>
      </c>
      <c r="V172" s="318" t="n">
        <v>31</v>
      </c>
      <c r="W172" s="318" t="s">
        <v>47</v>
      </c>
      <c r="X172" s="318" t="s">
        <v>991</v>
      </c>
      <c r="Y172" s="318" t="s">
        <v>233</v>
      </c>
      <c r="Z172" s="318" t="s">
        <v>283</v>
      </c>
      <c r="AA172" s="318" t="s">
        <v>100</v>
      </c>
      <c r="AB172" s="318" t="s">
        <v>165</v>
      </c>
      <c r="AC172" s="318" t="s">
        <v>116</v>
      </c>
      <c r="AD172" s="318" t="n">
        <v>5230783</v>
      </c>
      <c r="AE172" s="318" t="n">
        <v>39.5</v>
      </c>
      <c r="AF172" s="114" t="s">
        <v>52</v>
      </c>
      <c r="AG172" s="318" t="s">
        <v>991</v>
      </c>
      <c r="AH172" s="318" t="s">
        <v>216</v>
      </c>
      <c r="AI172" s="318" t="s">
        <v>283</v>
      </c>
      <c r="AJ172" s="318" t="s">
        <v>65</v>
      </c>
      <c r="AK172" s="318" t="s">
        <v>165</v>
      </c>
      <c r="AL172" s="318" t="s">
        <v>116</v>
      </c>
      <c r="AM172" s="318"/>
      <c r="AN172" s="318"/>
      <c r="AO172" s="318"/>
      <c r="AP172" s="318"/>
      <c r="AQ172" s="318"/>
      <c r="AR172" s="6" t="s">
        <v>140</v>
      </c>
    </row>
    <row r="173" ht="26.25" customHeight="1">
      <c r="A173" s="318" t="s">
        <v>45</v>
      </c>
      <c r="B173" s="318" t="n">
        <v>4820562542</v>
      </c>
      <c r="C173" s="318" t="s">
        <v>1133</v>
      </c>
      <c r="D173" s="318" t="s">
        <v>48</v>
      </c>
      <c r="E173" s="318" t="s">
        <v>104</v>
      </c>
      <c r="F173" s="318"/>
      <c r="G173" s="318"/>
      <c r="H173" s="318" t="s">
        <v>165</v>
      </c>
      <c r="I173" s="318" t="s">
        <v>100</v>
      </c>
      <c r="J173" s="318" t="s">
        <v>116</v>
      </c>
      <c r="K173" s="318"/>
      <c r="L173" s="318"/>
      <c r="M173" s="318"/>
      <c r="N173" s="318" t="s">
        <v>116</v>
      </c>
      <c r="O173" s="318" t="s">
        <v>116</v>
      </c>
      <c r="P173" s="318" t="s">
        <v>116</v>
      </c>
      <c r="Q173" s="318" t="s">
        <v>116</v>
      </c>
      <c r="R173" s="318" t="s">
        <v>116</v>
      </c>
      <c r="S173" s="318" t="s">
        <v>116</v>
      </c>
      <c r="T173" s="318" t="s">
        <v>116</v>
      </c>
      <c r="U173" s="318" t="n">
        <v>5230809</v>
      </c>
      <c r="V173" s="318" t="n">
        <v>30</v>
      </c>
      <c r="W173" s="318" t="s">
        <v>47</v>
      </c>
      <c r="X173" s="318" t="s">
        <v>989</v>
      </c>
      <c r="Y173" s="318" t="s">
        <v>215</v>
      </c>
      <c r="Z173" s="318" t="s">
        <v>283</v>
      </c>
      <c r="AA173" s="318" t="s">
        <v>100</v>
      </c>
      <c r="AB173" s="318" t="s">
        <v>165</v>
      </c>
      <c r="AC173" s="318" t="s">
        <v>116</v>
      </c>
      <c r="AD173" s="318" t="s">
        <v>116</v>
      </c>
      <c r="AE173" s="318"/>
      <c r="AF173" s="114" t="s">
        <v>116</v>
      </c>
      <c r="AG173" s="318" t="s">
        <v>116</v>
      </c>
      <c r="AH173" s="318" t="s">
        <v>116</v>
      </c>
      <c r="AI173" s="318" t="s">
        <v>116</v>
      </c>
      <c r="AJ173" s="318" t="s">
        <v>116</v>
      </c>
      <c r="AK173" s="318" t="s">
        <v>116</v>
      </c>
      <c r="AL173" s="318" t="s">
        <v>116</v>
      </c>
      <c r="AM173" s="318"/>
      <c r="AN173" s="318"/>
      <c r="AO173" s="318"/>
      <c r="AP173" s="318"/>
      <c r="AQ173" s="318"/>
      <c r="AR173" s="6" t="s">
        <v>140</v>
      </c>
    </row>
    <row r="174" ht="26.25" customHeight="1">
      <c r="A174" s="318" t="s">
        <v>85</v>
      </c>
      <c r="B174" s="318" t="n">
        <v>2389327604</v>
      </c>
      <c r="C174" s="318" t="s">
        <v>1134</v>
      </c>
      <c r="D174" s="318" t="s">
        <v>38</v>
      </c>
      <c r="E174" s="318" t="s">
        <v>104</v>
      </c>
      <c r="F174" s="318"/>
      <c r="G174" s="318"/>
      <c r="H174" s="318" t="s">
        <v>165</v>
      </c>
      <c r="I174" s="318" t="s">
        <v>100</v>
      </c>
      <c r="J174" s="318" t="n">
        <v>3132864</v>
      </c>
      <c r="K174" s="318" t="s">
        <v>126</v>
      </c>
      <c r="L174" s="318" t="n">
        <v>72</v>
      </c>
      <c r="M174" s="318" t="n">
        <v>90</v>
      </c>
      <c r="N174" s="318" t="s">
        <v>39</v>
      </c>
      <c r="O174" s="318" t="s">
        <v>991</v>
      </c>
      <c r="P174" s="318" t="s">
        <v>216</v>
      </c>
      <c r="Q174" s="318" t="s">
        <v>283</v>
      </c>
      <c r="R174" s="318" t="s">
        <v>100</v>
      </c>
      <c r="S174" s="318" t="s">
        <v>165</v>
      </c>
      <c r="T174" s="318" t="s">
        <v>116</v>
      </c>
      <c r="U174" s="318" t="n">
        <v>5230809</v>
      </c>
      <c r="V174" s="318"/>
      <c r="W174" s="318" t="s">
        <v>47</v>
      </c>
      <c r="X174" s="318" t="s">
        <v>989</v>
      </c>
      <c r="Y174" s="318" t="s">
        <v>215</v>
      </c>
      <c r="Z174" s="318" t="s">
        <v>283</v>
      </c>
      <c r="AA174" s="318" t="s">
        <v>100</v>
      </c>
      <c r="AB174" s="318" t="s">
        <v>165</v>
      </c>
      <c r="AC174" s="318" t="s">
        <v>116</v>
      </c>
      <c r="AD174" s="318" t="n">
        <v>3132858</v>
      </c>
      <c r="AE174" s="318"/>
      <c r="AF174" s="114" t="s">
        <v>52</v>
      </c>
      <c r="AG174" s="318" t="s">
        <v>991</v>
      </c>
      <c r="AH174" s="318" t="s">
        <v>215</v>
      </c>
      <c r="AI174" s="318" t="s">
        <v>283</v>
      </c>
      <c r="AJ174" s="318" t="s">
        <v>100</v>
      </c>
      <c r="AK174" s="318" t="s">
        <v>165</v>
      </c>
      <c r="AL174" s="318" t="s">
        <v>116</v>
      </c>
      <c r="AM174" s="318"/>
      <c r="AN174" s="318"/>
      <c r="AO174" s="318"/>
      <c r="AP174" s="318"/>
      <c r="AQ174" s="318"/>
      <c r="AR174" s="6" t="s">
        <v>140</v>
      </c>
    </row>
    <row r="175" ht="26.25" customHeight="1">
      <c r="A175" s="318" t="s">
        <v>54</v>
      </c>
      <c r="B175" s="318" t="n">
        <v>4840567291</v>
      </c>
      <c r="C175" s="318" t="s">
        <v>1135</v>
      </c>
      <c r="D175" s="318" t="s">
        <v>55</v>
      </c>
      <c r="E175" s="318" t="s">
        <v>104</v>
      </c>
      <c r="F175" s="318"/>
      <c r="G175" s="318"/>
      <c r="H175" s="318" t="s">
        <v>165</v>
      </c>
      <c r="I175" s="318" t="s">
        <v>101</v>
      </c>
      <c r="J175" s="318" t="n">
        <v>3132902</v>
      </c>
      <c r="K175" s="318" t="s">
        <v>126</v>
      </c>
      <c r="L175" s="318" t="n">
        <v>64</v>
      </c>
      <c r="M175" s="318" t="n">
        <v>85</v>
      </c>
      <c r="N175" s="114" t="s">
        <v>31</v>
      </c>
      <c r="O175" s="318" t="s">
        <v>987</v>
      </c>
      <c r="P175" s="318" t="s">
        <v>216</v>
      </c>
      <c r="Q175" s="318" t="s">
        <v>283</v>
      </c>
      <c r="R175" s="318" t="s">
        <v>101</v>
      </c>
      <c r="S175" s="318" t="s">
        <v>165</v>
      </c>
      <c r="T175" s="318" t="s">
        <v>116</v>
      </c>
      <c r="U175" s="318" t="n">
        <v>5230747</v>
      </c>
      <c r="V175" s="318"/>
      <c r="W175" s="318" t="s">
        <v>49</v>
      </c>
      <c r="X175" s="318" t="s">
        <v>987</v>
      </c>
      <c r="Y175" s="318" t="s">
        <v>215</v>
      </c>
      <c r="Z175" s="318" t="s">
        <v>283</v>
      </c>
      <c r="AA175" s="318" t="s">
        <v>101</v>
      </c>
      <c r="AB175" s="318" t="s">
        <v>165</v>
      </c>
      <c r="AC175" s="318" t="s">
        <v>116</v>
      </c>
      <c r="AD175" s="318" t="n">
        <v>5230821</v>
      </c>
      <c r="AE175" s="318"/>
      <c r="AF175" s="318" t="s">
        <v>56</v>
      </c>
      <c r="AG175" s="318" t="s">
        <v>987</v>
      </c>
      <c r="AH175" s="318" t="s">
        <v>233</v>
      </c>
      <c r="AI175" s="318" t="s">
        <v>283</v>
      </c>
      <c r="AJ175" s="318" t="s">
        <v>101</v>
      </c>
      <c r="AK175" s="318" t="s">
        <v>165</v>
      </c>
      <c r="AL175" s="318" t="s">
        <v>116</v>
      </c>
      <c r="AM175" s="318"/>
      <c r="AN175" s="318"/>
      <c r="AO175" s="318"/>
      <c r="AP175" s="476"/>
      <c r="AQ175" s="476"/>
      <c r="AR175" s="6" t="s">
        <v>140</v>
      </c>
    </row>
    <row r="176" ht="26.25" customHeight="1">
      <c r="A176" s="318" t="s">
        <v>45</v>
      </c>
      <c r="B176" s="318" t="n">
        <v>4180623576</v>
      </c>
      <c r="C176" s="318" t="s">
        <v>1136</v>
      </c>
      <c r="D176" s="318" t="s">
        <v>48</v>
      </c>
      <c r="E176" s="318" t="s">
        <v>104</v>
      </c>
      <c r="F176" s="318"/>
      <c r="G176" s="318"/>
      <c r="H176" s="318" t="s">
        <v>165</v>
      </c>
      <c r="I176" s="318" t="s">
        <v>100</v>
      </c>
      <c r="J176" s="318" t="n">
        <v>3132872</v>
      </c>
      <c r="K176" s="318" t="s">
        <v>126</v>
      </c>
      <c r="L176" s="318" t="n">
        <v>72</v>
      </c>
      <c r="M176" s="318" t="n">
        <v>90</v>
      </c>
      <c r="N176" s="318" t="s">
        <v>35</v>
      </c>
      <c r="O176" s="318" t="s">
        <v>989</v>
      </c>
      <c r="P176" s="318" t="s">
        <v>216</v>
      </c>
      <c r="Q176" s="318" t="s">
        <v>283</v>
      </c>
      <c r="R176" s="318" t="s">
        <v>100</v>
      </c>
      <c r="S176" s="318" t="s">
        <v>165</v>
      </c>
      <c r="T176" s="318" t="s">
        <v>116</v>
      </c>
      <c r="U176" s="318" t="n">
        <v>5230809</v>
      </c>
      <c r="V176" s="318"/>
      <c r="W176" s="318" t="s">
        <v>47</v>
      </c>
      <c r="X176" s="318" t="s">
        <v>989</v>
      </c>
      <c r="Y176" s="318" t="s">
        <v>215</v>
      </c>
      <c r="Z176" s="318" t="s">
        <v>283</v>
      </c>
      <c r="AA176" s="318" t="s">
        <v>100</v>
      </c>
      <c r="AB176" s="318" t="s">
        <v>165</v>
      </c>
      <c r="AC176" s="318" t="s">
        <v>116</v>
      </c>
      <c r="AD176" s="318" t="n">
        <v>3132893</v>
      </c>
      <c r="AE176" s="318"/>
      <c r="AF176" s="114" t="s">
        <v>52</v>
      </c>
      <c r="AG176" s="318" t="s">
        <v>989</v>
      </c>
      <c r="AH176" s="318" t="s">
        <v>233</v>
      </c>
      <c r="AI176" s="318" t="s">
        <v>283</v>
      </c>
      <c r="AJ176" s="318" t="s">
        <v>100</v>
      </c>
      <c r="AK176" s="318" t="s">
        <v>165</v>
      </c>
      <c r="AL176" s="318" t="s">
        <v>116</v>
      </c>
      <c r="AM176" s="318"/>
      <c r="AN176" s="318"/>
      <c r="AO176" s="318"/>
      <c r="AP176" s="318"/>
      <c r="AQ176" s="318"/>
      <c r="AR176" s="6" t="s">
        <v>140</v>
      </c>
    </row>
    <row r="177" ht="26.25" customHeight="1">
      <c r="A177" s="318" t="s">
        <v>85</v>
      </c>
      <c r="B177" s="318" t="n">
        <v>2550585181</v>
      </c>
      <c r="C177" s="318" t="s">
        <v>1137</v>
      </c>
      <c r="D177" s="318" t="s">
        <v>38</v>
      </c>
      <c r="E177" s="318" t="s">
        <v>104</v>
      </c>
      <c r="F177" s="318"/>
      <c r="G177" s="318"/>
      <c r="H177" s="318" t="s">
        <v>165</v>
      </c>
      <c r="I177" s="318" t="s">
        <v>101</v>
      </c>
      <c r="J177" s="318" t="n">
        <v>5230801</v>
      </c>
      <c r="K177" s="318" t="s">
        <v>125</v>
      </c>
      <c r="L177" s="318" t="n">
        <v>86</v>
      </c>
      <c r="M177" s="318" t="s">
        <v>116</v>
      </c>
      <c r="N177" s="114" t="s">
        <v>39</v>
      </c>
      <c r="O177" s="318" t="s">
        <v>991</v>
      </c>
      <c r="P177" s="318" t="s">
        <v>216</v>
      </c>
      <c r="Q177" s="318" t="s">
        <v>283</v>
      </c>
      <c r="R177" s="318" t="s">
        <v>101</v>
      </c>
      <c r="S177" s="318" t="s">
        <v>165</v>
      </c>
      <c r="T177" s="318" t="s">
        <v>116</v>
      </c>
      <c r="U177" s="318" t="n">
        <v>5230739</v>
      </c>
      <c r="V177" s="318" t="n">
        <v>31</v>
      </c>
      <c r="W177" s="318" t="s">
        <v>47</v>
      </c>
      <c r="X177" s="318" t="s">
        <v>991</v>
      </c>
      <c r="Y177" s="318" t="s">
        <v>215</v>
      </c>
      <c r="Z177" s="318" t="s">
        <v>283</v>
      </c>
      <c r="AA177" s="318" t="s">
        <v>101</v>
      </c>
      <c r="AB177" s="318" t="s">
        <v>165</v>
      </c>
      <c r="AC177" s="318" t="s">
        <v>116</v>
      </c>
      <c r="AD177" s="318" t="n">
        <v>5230788</v>
      </c>
      <c r="AE177" s="318" t="n">
        <v>35</v>
      </c>
      <c r="AF177" s="114" t="s">
        <v>52</v>
      </c>
      <c r="AG177" s="318" t="s">
        <v>991</v>
      </c>
      <c r="AH177" s="318" t="s">
        <v>233</v>
      </c>
      <c r="AI177" s="318" t="s">
        <v>283</v>
      </c>
      <c r="AJ177" s="318" t="s">
        <v>101</v>
      </c>
      <c r="AK177" s="318" t="s">
        <v>165</v>
      </c>
      <c r="AL177" s="318" t="s">
        <v>116</v>
      </c>
      <c r="AM177" s="318"/>
      <c r="AN177" s="318"/>
      <c r="AO177" s="318"/>
      <c r="AP177" s="318"/>
      <c r="AQ177" s="318"/>
      <c r="AR177" s="6" t="s">
        <v>140</v>
      </c>
    </row>
    <row r="178" ht="26.25" customHeight="1">
      <c r="A178" s="318" t="s">
        <v>54</v>
      </c>
      <c r="B178" s="318" t="n">
        <v>4299356242</v>
      </c>
      <c r="C178" s="318" t="s">
        <v>1138</v>
      </c>
      <c r="D178" s="318" t="s">
        <v>57</v>
      </c>
      <c r="E178" s="318" t="s">
        <v>104</v>
      </c>
      <c r="F178" s="318"/>
      <c r="G178" s="318"/>
      <c r="H178" s="318" t="s">
        <v>165</v>
      </c>
      <c r="I178" s="318" t="s">
        <v>88</v>
      </c>
      <c r="J178" s="318" t="n">
        <v>3132880</v>
      </c>
      <c r="K178" s="318" t="s">
        <v>126</v>
      </c>
      <c r="L178" s="318" t="n">
        <v>72</v>
      </c>
      <c r="M178" s="318" t="n">
        <v>90</v>
      </c>
      <c r="N178" s="318" t="s">
        <v>31</v>
      </c>
      <c r="O178" s="318" t="s">
        <v>986</v>
      </c>
      <c r="P178" s="318" t="s">
        <v>233</v>
      </c>
      <c r="Q178" s="318" t="s">
        <v>234</v>
      </c>
      <c r="R178" s="318" t="s">
        <v>88</v>
      </c>
      <c r="S178" s="318" t="s">
        <v>165</v>
      </c>
      <c r="T178" s="318" t="s">
        <v>116</v>
      </c>
      <c r="U178" s="318" t="n">
        <v>4513265</v>
      </c>
      <c r="V178" s="318"/>
      <c r="W178" s="318" t="s">
        <v>47</v>
      </c>
      <c r="X178" s="318" t="s">
        <v>987</v>
      </c>
      <c r="Y178" s="318" t="s">
        <v>215</v>
      </c>
      <c r="Z178" s="318" t="s">
        <v>283</v>
      </c>
      <c r="AA178" s="318" t="s">
        <v>88</v>
      </c>
      <c r="AB178" s="318" t="s">
        <v>165</v>
      </c>
      <c r="AC178" s="318" t="s">
        <v>116</v>
      </c>
      <c r="AD178" s="318" t="n">
        <v>5230727</v>
      </c>
      <c r="AE178" s="318"/>
      <c r="AF178" s="114" t="s">
        <v>56</v>
      </c>
      <c r="AG178" s="318" t="s">
        <v>986</v>
      </c>
      <c r="AH178" s="318" t="s">
        <v>216</v>
      </c>
      <c r="AI178" s="318" t="s">
        <v>283</v>
      </c>
      <c r="AJ178" s="318" t="s">
        <v>88</v>
      </c>
      <c r="AK178" s="318" t="s">
        <v>165</v>
      </c>
      <c r="AL178" s="318" t="s">
        <v>116</v>
      </c>
      <c r="AM178" s="318" t="s">
        <v>217</v>
      </c>
      <c r="AN178" s="318" t="s">
        <v>217</v>
      </c>
      <c r="AO178" s="318" t="s">
        <v>217</v>
      </c>
      <c r="AP178" s="476" t="s">
        <v>218</v>
      </c>
      <c r="AQ178" s="476" t="s">
        <v>218</v>
      </c>
      <c r="AR178" s="6" t="s">
        <v>140</v>
      </c>
    </row>
    <row r="179" ht="26.25" customHeight="1">
      <c r="A179" s="318" t="s">
        <v>45</v>
      </c>
      <c r="B179" s="318" t="n">
        <v>2435503342</v>
      </c>
      <c r="C179" s="318" t="s">
        <v>1139</v>
      </c>
      <c r="D179" s="318" t="s">
        <v>48</v>
      </c>
      <c r="E179" s="318" t="s">
        <v>104</v>
      </c>
      <c r="F179" s="318"/>
      <c r="G179" s="318"/>
      <c r="H179" s="318" t="s">
        <v>165</v>
      </c>
      <c r="I179" s="318" t="s">
        <v>100</v>
      </c>
      <c r="J179" s="318" t="n">
        <v>3132872</v>
      </c>
      <c r="K179" s="318" t="s">
        <v>126</v>
      </c>
      <c r="L179" s="318" t="n">
        <v>72</v>
      </c>
      <c r="M179" s="318" t="n">
        <v>90</v>
      </c>
      <c r="N179" s="318" t="s">
        <v>35</v>
      </c>
      <c r="O179" s="318" t="s">
        <v>989</v>
      </c>
      <c r="P179" s="318" t="s">
        <v>216</v>
      </c>
      <c r="Q179" s="318" t="s">
        <v>283</v>
      </c>
      <c r="R179" s="318" t="s">
        <v>100</v>
      </c>
      <c r="S179" s="318" t="s">
        <v>165</v>
      </c>
      <c r="T179" s="318" t="s">
        <v>116</v>
      </c>
      <c r="U179" s="318" t="n">
        <v>5230809</v>
      </c>
      <c r="V179" s="318"/>
      <c r="W179" s="318" t="s">
        <v>47</v>
      </c>
      <c r="X179" s="318" t="s">
        <v>989</v>
      </c>
      <c r="Y179" s="318" t="s">
        <v>215</v>
      </c>
      <c r="Z179" s="318" t="s">
        <v>283</v>
      </c>
      <c r="AA179" s="318" t="s">
        <v>100</v>
      </c>
      <c r="AB179" s="318" t="s">
        <v>165</v>
      </c>
      <c r="AC179" s="318" t="s">
        <v>116</v>
      </c>
      <c r="AD179" s="318" t="n">
        <v>3132893</v>
      </c>
      <c r="AE179" s="318"/>
      <c r="AF179" s="318" t="s">
        <v>52</v>
      </c>
      <c r="AG179" s="318" t="s">
        <v>989</v>
      </c>
      <c r="AH179" s="318" t="s">
        <v>233</v>
      </c>
      <c r="AI179" s="318" t="s">
        <v>283</v>
      </c>
      <c r="AJ179" s="318" t="s">
        <v>100</v>
      </c>
      <c r="AK179" s="318" t="s">
        <v>165</v>
      </c>
      <c r="AL179" s="318" t="s">
        <v>116</v>
      </c>
      <c r="AM179" s="318"/>
      <c r="AN179" s="318"/>
      <c r="AO179" s="318"/>
      <c r="AP179" s="318"/>
      <c r="AQ179" s="318"/>
      <c r="AR179" s="6" t="s">
        <v>140</v>
      </c>
    </row>
    <row r="180" ht="26.25" customHeight="1">
      <c r="A180" s="318" t="s">
        <v>45</v>
      </c>
      <c r="B180" s="318" t="n">
        <v>4125237013</v>
      </c>
      <c r="C180" s="318" t="s">
        <v>1140</v>
      </c>
      <c r="D180" s="318" t="s">
        <v>40</v>
      </c>
      <c r="E180" s="318" t="s">
        <v>104</v>
      </c>
      <c r="F180" s="318"/>
      <c r="G180" s="114"/>
      <c r="H180" s="318" t="s">
        <v>165</v>
      </c>
      <c r="I180" s="318" t="s">
        <v>100</v>
      </c>
      <c r="J180" s="318" t="n">
        <v>3132872</v>
      </c>
      <c r="K180" s="318" t="s">
        <v>125</v>
      </c>
      <c r="L180" s="318" t="n">
        <v>70</v>
      </c>
      <c r="M180" s="318" t="s">
        <v>116</v>
      </c>
      <c r="N180" s="318" t="s">
        <v>35</v>
      </c>
      <c r="O180" s="318" t="s">
        <v>989</v>
      </c>
      <c r="P180" s="318" t="s">
        <v>216</v>
      </c>
      <c r="Q180" s="318" t="s">
        <v>283</v>
      </c>
      <c r="R180" s="318" t="s">
        <v>100</v>
      </c>
      <c r="S180" s="318" t="s">
        <v>165</v>
      </c>
      <c r="T180" s="318" t="s">
        <v>116</v>
      </c>
      <c r="U180" s="318" t="n">
        <v>5230809</v>
      </c>
      <c r="V180" s="318" t="n">
        <v>31</v>
      </c>
      <c r="W180" s="318" t="s">
        <v>47</v>
      </c>
      <c r="X180" s="318" t="s">
        <v>989</v>
      </c>
      <c r="Y180" s="318" t="s">
        <v>215</v>
      </c>
      <c r="Z180" s="318" t="s">
        <v>283</v>
      </c>
      <c r="AA180" s="318" t="s">
        <v>100</v>
      </c>
      <c r="AB180" s="318" t="s">
        <v>165</v>
      </c>
      <c r="AC180" s="318" t="s">
        <v>116</v>
      </c>
      <c r="AD180" s="318" t="n">
        <v>3132893</v>
      </c>
      <c r="AE180" s="318" t="n">
        <v>21</v>
      </c>
      <c r="AF180" s="114" t="s">
        <v>52</v>
      </c>
      <c r="AG180" s="318" t="s">
        <v>989</v>
      </c>
      <c r="AH180" s="318" t="s">
        <v>233</v>
      </c>
      <c r="AI180" s="318" t="s">
        <v>283</v>
      </c>
      <c r="AJ180" s="318" t="s">
        <v>100</v>
      </c>
      <c r="AK180" s="318" t="s">
        <v>165</v>
      </c>
      <c r="AL180" s="318" t="s">
        <v>116</v>
      </c>
      <c r="AM180" s="318"/>
      <c r="AN180" s="318"/>
      <c r="AO180" s="318"/>
      <c r="AP180" s="318"/>
      <c r="AQ180" s="318"/>
      <c r="AR180" s="6" t="s">
        <v>140</v>
      </c>
    </row>
    <row r="181" ht="26.25" customHeight="1">
      <c r="A181" s="318" t="s">
        <v>54</v>
      </c>
      <c r="B181" s="318" t="n">
        <v>2271507248</v>
      </c>
      <c r="C181" s="318" t="s">
        <v>1141</v>
      </c>
      <c r="D181" s="318" t="s">
        <v>36</v>
      </c>
      <c r="E181" s="318" t="s">
        <v>104</v>
      </c>
      <c r="F181" s="318"/>
      <c r="G181" s="318"/>
      <c r="H181" s="318" t="s">
        <v>165</v>
      </c>
      <c r="I181" s="318" t="s">
        <v>88</v>
      </c>
      <c r="J181" s="318" t="n">
        <v>3132880</v>
      </c>
      <c r="K181" s="318" t="s">
        <v>126</v>
      </c>
      <c r="L181" s="318" t="n">
        <v>72</v>
      </c>
      <c r="M181" s="318" t="n">
        <v>90</v>
      </c>
      <c r="N181" s="318" t="s">
        <v>31</v>
      </c>
      <c r="O181" s="318" t="s">
        <v>986</v>
      </c>
      <c r="P181" s="318" t="s">
        <v>233</v>
      </c>
      <c r="Q181" s="318" t="s">
        <v>234</v>
      </c>
      <c r="R181" s="318" t="s">
        <v>88</v>
      </c>
      <c r="S181" s="318" t="s">
        <v>165</v>
      </c>
      <c r="T181" s="318" t="s">
        <v>217</v>
      </c>
      <c r="U181" s="318" t="n">
        <v>4513265</v>
      </c>
      <c r="V181" s="318"/>
      <c r="W181" s="318" t="s">
        <v>47</v>
      </c>
      <c r="X181" s="318" t="s">
        <v>987</v>
      </c>
      <c r="Y181" s="318" t="s">
        <v>215</v>
      </c>
      <c r="Z181" s="318" t="s">
        <v>283</v>
      </c>
      <c r="AA181" s="318" t="s">
        <v>88</v>
      </c>
      <c r="AB181" s="318" t="s">
        <v>165</v>
      </c>
      <c r="AC181" s="318" t="s">
        <v>116</v>
      </c>
      <c r="AD181" s="318" t="n">
        <v>5230727</v>
      </c>
      <c r="AE181" s="318"/>
      <c r="AF181" s="114" t="s">
        <v>56</v>
      </c>
      <c r="AG181" s="318" t="s">
        <v>986</v>
      </c>
      <c r="AH181" s="318" t="s">
        <v>216</v>
      </c>
      <c r="AI181" s="318" t="s">
        <v>283</v>
      </c>
      <c r="AJ181" s="318" t="s">
        <v>88</v>
      </c>
      <c r="AK181" s="318" t="s">
        <v>165</v>
      </c>
      <c r="AL181" s="318" t="s">
        <v>217</v>
      </c>
      <c r="AM181" s="318" t="s">
        <v>217</v>
      </c>
      <c r="AN181" s="318" t="s">
        <v>217</v>
      </c>
      <c r="AO181" s="318" t="s">
        <v>217</v>
      </c>
      <c r="AP181" s="476" t="s">
        <v>217</v>
      </c>
      <c r="AQ181" s="476" t="s">
        <v>217</v>
      </c>
      <c r="AR181" s="6" t="s">
        <v>140</v>
      </c>
      <c r="AS181" s="6" t="s">
        <v>217</v>
      </c>
    </row>
    <row r="182" ht="26.25" customHeight="1">
      <c r="A182" s="318" t="s">
        <v>85</v>
      </c>
      <c r="B182" s="318" t="n">
        <v>2762252554</v>
      </c>
      <c r="C182" s="318" t="s">
        <v>1142</v>
      </c>
      <c r="D182" s="318" t="s">
        <v>38</v>
      </c>
      <c r="E182" s="318" t="s">
        <v>104</v>
      </c>
      <c r="F182" s="318"/>
      <c r="G182" s="318"/>
      <c r="H182" s="318" t="s">
        <v>165</v>
      </c>
      <c r="I182" s="318" t="s">
        <v>100</v>
      </c>
      <c r="J182" s="318" t="n">
        <v>3132864</v>
      </c>
      <c r="K182" s="318" t="s">
        <v>126</v>
      </c>
      <c r="L182" s="318" t="n">
        <v>74.4</v>
      </c>
      <c r="M182" s="318" t="n">
        <v>93</v>
      </c>
      <c r="N182" s="318" t="s">
        <v>39</v>
      </c>
      <c r="O182" s="318" t="s">
        <v>991</v>
      </c>
      <c r="P182" s="318" t="s">
        <v>216</v>
      </c>
      <c r="Q182" s="318" t="s">
        <v>283</v>
      </c>
      <c r="R182" s="318" t="s">
        <v>100</v>
      </c>
      <c r="S182" s="318" t="s">
        <v>165</v>
      </c>
      <c r="T182" s="318" t="s">
        <v>116</v>
      </c>
      <c r="U182" s="318" t="n">
        <v>3132810</v>
      </c>
      <c r="V182" s="318"/>
      <c r="W182" s="318" t="s">
        <v>47</v>
      </c>
      <c r="X182" s="318" t="s">
        <v>991</v>
      </c>
      <c r="Y182" s="318" t="s">
        <v>233</v>
      </c>
      <c r="Z182" s="318" t="s">
        <v>283</v>
      </c>
      <c r="AA182" s="318" t="s">
        <v>100</v>
      </c>
      <c r="AB182" s="318" t="s">
        <v>165</v>
      </c>
      <c r="AC182" s="318" t="s">
        <v>116</v>
      </c>
      <c r="AD182" s="318" t="n">
        <v>3132858</v>
      </c>
      <c r="AE182" s="318"/>
      <c r="AF182" s="114" t="s">
        <v>52</v>
      </c>
      <c r="AG182" s="318" t="s">
        <v>991</v>
      </c>
      <c r="AH182" s="318" t="s">
        <v>215</v>
      </c>
      <c r="AI182" s="318" t="s">
        <v>283</v>
      </c>
      <c r="AJ182" s="318" t="s">
        <v>100</v>
      </c>
      <c r="AK182" s="318" t="s">
        <v>165</v>
      </c>
      <c r="AL182" s="318" t="s">
        <v>116</v>
      </c>
      <c r="AM182" s="318"/>
      <c r="AN182" s="318"/>
      <c r="AO182" s="318"/>
      <c r="AP182" s="318"/>
      <c r="AQ182" s="318"/>
      <c r="AR182" s="6" t="s">
        <v>140</v>
      </c>
    </row>
    <row r="183" ht="26.25" customHeight="1">
      <c r="A183" s="318" t="s">
        <v>85</v>
      </c>
      <c r="B183" s="318" t="n">
        <v>2152173063</v>
      </c>
      <c r="C183" s="318" t="s">
        <v>1081</v>
      </c>
      <c r="D183" s="318" t="s">
        <v>38</v>
      </c>
      <c r="E183" s="318" t="s">
        <v>104</v>
      </c>
      <c r="F183" s="318"/>
      <c r="G183" s="318"/>
      <c r="H183" s="318" t="s">
        <v>165</v>
      </c>
      <c r="I183" s="318" t="s">
        <v>100</v>
      </c>
      <c r="J183" s="318" t="n">
        <v>3132864</v>
      </c>
      <c r="K183" s="318" t="s">
        <v>126</v>
      </c>
      <c r="L183" s="318" t="n">
        <v>60</v>
      </c>
      <c r="M183" s="318" t="n">
        <v>80</v>
      </c>
      <c r="N183" s="318" t="s">
        <v>39</v>
      </c>
      <c r="O183" s="318" t="s">
        <v>991</v>
      </c>
      <c r="P183" s="318" t="s">
        <v>216</v>
      </c>
      <c r="Q183" s="318" t="s">
        <v>283</v>
      </c>
      <c r="R183" s="318" t="s">
        <v>100</v>
      </c>
      <c r="S183" s="318" t="s">
        <v>165</v>
      </c>
      <c r="T183" s="318" t="s">
        <v>116</v>
      </c>
      <c r="U183" s="318" t="n">
        <v>3132810</v>
      </c>
      <c r="V183" s="318"/>
      <c r="W183" s="318" t="s">
        <v>47</v>
      </c>
      <c r="X183" s="318" t="s">
        <v>991</v>
      </c>
      <c r="Y183" s="318" t="s">
        <v>233</v>
      </c>
      <c r="Z183" s="318" t="s">
        <v>283</v>
      </c>
      <c r="AA183" s="318" t="s">
        <v>100</v>
      </c>
      <c r="AB183" s="318" t="s">
        <v>165</v>
      </c>
      <c r="AC183" s="318" t="s">
        <v>116</v>
      </c>
      <c r="AD183" s="318" t="n">
        <v>3132858</v>
      </c>
      <c r="AE183" s="318"/>
      <c r="AF183" s="114" t="s">
        <v>52</v>
      </c>
      <c r="AG183" s="318" t="s">
        <v>991</v>
      </c>
      <c r="AH183" s="318" t="s">
        <v>215</v>
      </c>
      <c r="AI183" s="318" t="s">
        <v>283</v>
      </c>
      <c r="AJ183" s="318" t="s">
        <v>100</v>
      </c>
      <c r="AK183" s="318" t="s">
        <v>165</v>
      </c>
      <c r="AL183" s="318" t="s">
        <v>116</v>
      </c>
      <c r="AM183" s="318"/>
      <c r="AN183" s="318"/>
      <c r="AO183" s="318"/>
      <c r="AP183" s="318"/>
      <c r="AQ183" s="318"/>
      <c r="AR183" s="6" t="s">
        <v>140</v>
      </c>
    </row>
    <row r="184" ht="26.25" customHeight="1">
      <c r="A184" s="318" t="s">
        <v>45</v>
      </c>
      <c r="B184" s="318" t="n">
        <v>4840530615</v>
      </c>
      <c r="C184" s="318" t="s">
        <v>1143</v>
      </c>
      <c r="D184" s="318" t="s">
        <v>48</v>
      </c>
      <c r="E184" s="318" t="s">
        <v>104</v>
      </c>
      <c r="F184" s="318"/>
      <c r="G184" s="318"/>
      <c r="H184" s="318" t="s">
        <v>165</v>
      </c>
      <c r="I184" s="318" t="s">
        <v>1119</v>
      </c>
      <c r="J184" s="318" t="n">
        <v>5230814</v>
      </c>
      <c r="K184" s="318" t="s">
        <v>126</v>
      </c>
      <c r="L184" s="318" t="n">
        <v>75</v>
      </c>
      <c r="M184" s="318" t="n">
        <v>92</v>
      </c>
      <c r="N184" s="318" t="s">
        <v>31</v>
      </c>
      <c r="O184" s="318" t="s">
        <v>997</v>
      </c>
      <c r="P184" s="318" t="s">
        <v>246</v>
      </c>
      <c r="Q184" s="318" t="s">
        <v>234</v>
      </c>
      <c r="R184" s="318" t="s">
        <v>88</v>
      </c>
      <c r="S184" s="318" t="s">
        <v>165</v>
      </c>
      <c r="T184" s="318" t="s">
        <v>116</v>
      </c>
      <c r="U184" s="318" t="n">
        <v>5230809</v>
      </c>
      <c r="V184" s="318"/>
      <c r="W184" s="318" t="s">
        <v>47</v>
      </c>
      <c r="X184" s="318" t="s">
        <v>989</v>
      </c>
      <c r="Y184" s="318" t="s">
        <v>215</v>
      </c>
      <c r="Z184" s="318" t="s">
        <v>283</v>
      </c>
      <c r="AA184" s="318" t="s">
        <v>100</v>
      </c>
      <c r="AB184" s="318" t="s">
        <v>165</v>
      </c>
      <c r="AC184" s="318" t="s">
        <v>116</v>
      </c>
      <c r="AD184" s="318" t="n">
        <v>5230765</v>
      </c>
      <c r="AE184" s="318"/>
      <c r="AF184" s="114" t="s">
        <v>52</v>
      </c>
      <c r="AG184" s="318" t="s">
        <v>997</v>
      </c>
      <c r="AH184" s="318" t="s">
        <v>215</v>
      </c>
      <c r="AI184" s="318" t="s">
        <v>283</v>
      </c>
      <c r="AJ184" s="318" t="s">
        <v>88</v>
      </c>
      <c r="AK184" s="318" t="s">
        <v>165</v>
      </c>
      <c r="AL184" s="318" t="s">
        <v>116</v>
      </c>
      <c r="AM184" s="318" t="s">
        <v>217</v>
      </c>
      <c r="AN184" s="318" t="s">
        <v>217</v>
      </c>
      <c r="AO184" s="318" t="s">
        <v>217</v>
      </c>
      <c r="AP184" s="476" t="s">
        <v>218</v>
      </c>
      <c r="AQ184" s="476" t="s">
        <v>218</v>
      </c>
      <c r="AR184" s="6" t="s">
        <v>140</v>
      </c>
    </row>
    <row r="185" ht="26.25" customHeight="1">
      <c r="A185" s="318" t="s">
        <v>54</v>
      </c>
      <c r="B185" s="318" t="n">
        <v>2572368176</v>
      </c>
      <c r="C185" s="318" t="s">
        <v>1144</v>
      </c>
      <c r="D185" s="318" t="s">
        <v>38</v>
      </c>
      <c r="E185" s="318" t="s">
        <v>115</v>
      </c>
      <c r="F185" s="318" t="s">
        <v>1145</v>
      </c>
      <c r="G185" s="318"/>
      <c r="H185" s="318" t="s">
        <v>165</v>
      </c>
      <c r="I185" s="318" t="s">
        <v>101</v>
      </c>
      <c r="J185" s="318" t="s">
        <v>116</v>
      </c>
      <c r="K185" s="318"/>
      <c r="L185" s="318"/>
      <c r="M185" s="318"/>
      <c r="N185" s="318" t="s">
        <v>116</v>
      </c>
      <c r="O185" s="318" t="s">
        <v>116</v>
      </c>
      <c r="P185" s="318" t="s">
        <v>116</v>
      </c>
      <c r="Q185" s="318" t="s">
        <v>116</v>
      </c>
      <c r="R185" s="318" t="s">
        <v>116</v>
      </c>
      <c r="S185" s="318" t="s">
        <v>116</v>
      </c>
      <c r="T185" s="318" t="s">
        <v>116</v>
      </c>
      <c r="U185" s="318" t="n">
        <v>5230747</v>
      </c>
      <c r="V185" s="318"/>
      <c r="W185" s="318" t="s">
        <v>49</v>
      </c>
      <c r="X185" s="318" t="s">
        <v>987</v>
      </c>
      <c r="Y185" s="318" t="s">
        <v>215</v>
      </c>
      <c r="Z185" s="318" t="s">
        <v>283</v>
      </c>
      <c r="AA185" s="318" t="s">
        <v>101</v>
      </c>
      <c r="AB185" s="318" t="s">
        <v>165</v>
      </c>
      <c r="AC185" s="318" t="s">
        <v>116</v>
      </c>
      <c r="AD185" s="318" t="s">
        <v>116</v>
      </c>
      <c r="AE185" s="318"/>
      <c r="AF185" s="114" t="s">
        <v>116</v>
      </c>
      <c r="AG185" s="318" t="s">
        <v>116</v>
      </c>
      <c r="AH185" s="318" t="s">
        <v>116</v>
      </c>
      <c r="AI185" s="318" t="s">
        <v>116</v>
      </c>
      <c r="AJ185" s="318" t="s">
        <v>116</v>
      </c>
      <c r="AK185" s="318" t="s">
        <v>116</v>
      </c>
      <c r="AL185" s="318" t="s">
        <v>116</v>
      </c>
      <c r="AM185" s="318"/>
      <c r="AN185" s="318"/>
      <c r="AO185" s="318"/>
      <c r="AP185" s="476"/>
      <c r="AQ185" s="476"/>
      <c r="AR185" s="6" t="s">
        <v>140</v>
      </c>
    </row>
    <row r="186" ht="26.25" customHeight="1">
      <c r="A186" s="318" t="s">
        <v>54</v>
      </c>
      <c r="B186" s="318" t="n">
        <v>2411448166</v>
      </c>
      <c r="C186" s="318" t="s">
        <v>1146</v>
      </c>
      <c r="D186" s="318" t="s">
        <v>55</v>
      </c>
      <c r="E186" s="318" t="s">
        <v>104</v>
      </c>
      <c r="F186" s="318"/>
      <c r="G186" s="318"/>
      <c r="H186" s="318" t="s">
        <v>165</v>
      </c>
      <c r="I186" s="318" t="s">
        <v>101</v>
      </c>
      <c r="J186" s="318" t="n">
        <v>5111035</v>
      </c>
      <c r="K186" s="318" t="s">
        <v>126</v>
      </c>
      <c r="L186" s="318" t="n">
        <v>87</v>
      </c>
      <c r="M186" s="318" t="n">
        <v>97</v>
      </c>
      <c r="N186" s="318" t="s">
        <v>35</v>
      </c>
      <c r="O186" s="318" t="s">
        <v>986</v>
      </c>
      <c r="P186" s="318" t="s">
        <v>233</v>
      </c>
      <c r="Q186" s="318" t="s">
        <v>234</v>
      </c>
      <c r="R186" s="318" t="s">
        <v>101</v>
      </c>
      <c r="S186" s="318" t="s">
        <v>165</v>
      </c>
      <c r="T186" s="318" t="s">
        <v>116</v>
      </c>
      <c r="U186" s="318" t="n">
        <v>5170873</v>
      </c>
      <c r="V186" s="318"/>
      <c r="W186" s="318" t="s">
        <v>47</v>
      </c>
      <c r="X186" s="318" t="s">
        <v>986</v>
      </c>
      <c r="Y186" s="318" t="s">
        <v>216</v>
      </c>
      <c r="Z186" s="318" t="s">
        <v>283</v>
      </c>
      <c r="AA186" s="318" t="s">
        <v>101</v>
      </c>
      <c r="AB186" s="318" t="s">
        <v>165</v>
      </c>
      <c r="AC186" s="318" t="s">
        <v>116</v>
      </c>
      <c r="AD186" s="318" t="n">
        <v>5170871</v>
      </c>
      <c r="AE186" s="318"/>
      <c r="AF186" s="114" t="s">
        <v>58</v>
      </c>
      <c r="AG186" s="318" t="s">
        <v>986</v>
      </c>
      <c r="AH186" s="318" t="s">
        <v>215</v>
      </c>
      <c r="AI186" s="318" t="s">
        <v>283</v>
      </c>
      <c r="AJ186" s="318" t="s">
        <v>101</v>
      </c>
      <c r="AK186" s="318" t="s">
        <v>165</v>
      </c>
      <c r="AL186" s="318" t="s">
        <v>116</v>
      </c>
      <c r="AM186" s="318"/>
      <c r="AN186" s="318"/>
      <c r="AO186" s="318"/>
      <c r="AP186" s="318"/>
      <c r="AQ186" s="318"/>
      <c r="AR186" s="6" t="s">
        <v>140</v>
      </c>
    </row>
    <row r="187" ht="26.25" customHeight="1">
      <c r="A187" s="318" t="s">
        <v>54</v>
      </c>
      <c r="B187" s="318" t="n">
        <v>2327899563</v>
      </c>
      <c r="C187" s="318" t="s">
        <v>1147</v>
      </c>
      <c r="D187" s="318" t="s">
        <v>34</v>
      </c>
      <c r="E187" s="318" t="s">
        <v>104</v>
      </c>
      <c r="F187" s="318"/>
      <c r="G187" s="318"/>
      <c r="H187" s="318" t="s">
        <v>165</v>
      </c>
      <c r="I187" s="318" t="s">
        <v>88</v>
      </c>
      <c r="J187" s="318" t="n">
        <v>3132884</v>
      </c>
      <c r="K187" s="318" t="s">
        <v>126</v>
      </c>
      <c r="L187" s="318" t="n">
        <v>72</v>
      </c>
      <c r="M187" s="318" t="n">
        <v>90</v>
      </c>
      <c r="N187" s="318" t="s">
        <v>37</v>
      </c>
      <c r="O187" s="318" t="s">
        <v>987</v>
      </c>
      <c r="P187" s="318" t="s">
        <v>216</v>
      </c>
      <c r="Q187" s="318" t="s">
        <v>283</v>
      </c>
      <c r="R187" s="318" t="s">
        <v>88</v>
      </c>
      <c r="S187" s="318" t="s">
        <v>165</v>
      </c>
      <c r="T187" s="318" t="s">
        <v>217</v>
      </c>
      <c r="U187" s="318" t="n">
        <v>4513265</v>
      </c>
      <c r="V187" s="318"/>
      <c r="W187" s="318" t="s">
        <v>47</v>
      </c>
      <c r="X187" s="318" t="s">
        <v>987</v>
      </c>
      <c r="Y187" s="318" t="s">
        <v>215</v>
      </c>
      <c r="Z187" s="318" t="s">
        <v>283</v>
      </c>
      <c r="AA187" s="318" t="s">
        <v>88</v>
      </c>
      <c r="AB187" s="318" t="s">
        <v>165</v>
      </c>
      <c r="AC187" s="318" t="s">
        <v>116</v>
      </c>
      <c r="AD187" s="318" t="n">
        <v>5230723</v>
      </c>
      <c r="AE187" s="318"/>
      <c r="AF187" s="318" t="s">
        <v>56</v>
      </c>
      <c r="AG187" s="318" t="s">
        <v>987</v>
      </c>
      <c r="AH187" s="318" t="s">
        <v>233</v>
      </c>
      <c r="AI187" s="318" t="s">
        <v>283</v>
      </c>
      <c r="AJ187" s="318" t="s">
        <v>88</v>
      </c>
      <c r="AK187" s="318" t="s">
        <v>165</v>
      </c>
      <c r="AL187" s="318" t="s">
        <v>116</v>
      </c>
      <c r="AM187" s="318" t="s">
        <v>217</v>
      </c>
      <c r="AN187" s="318" t="s">
        <v>217</v>
      </c>
      <c r="AO187" s="318" t="s">
        <v>217</v>
      </c>
      <c r="AP187" s="476" t="s">
        <v>218</v>
      </c>
      <c r="AQ187" s="476" t="s">
        <v>218</v>
      </c>
      <c r="AR187" s="6" t="s">
        <v>140</v>
      </c>
      <c r="AS187" s="6" t="s">
        <v>217</v>
      </c>
    </row>
    <row r="188" ht="26.25" customHeight="1">
      <c r="A188" s="318" t="s">
        <v>54</v>
      </c>
      <c r="B188" s="318" t="n">
        <v>4484241011</v>
      </c>
      <c r="C188" s="318" t="s">
        <v>1148</v>
      </c>
      <c r="D188" s="318" t="s">
        <v>57</v>
      </c>
      <c r="E188" s="318" t="s">
        <v>104</v>
      </c>
      <c r="F188" s="318"/>
      <c r="G188" s="318"/>
      <c r="H188" s="318" t="s">
        <v>165</v>
      </c>
      <c r="I188" s="318" t="s">
        <v>88</v>
      </c>
      <c r="J188" s="318" t="n">
        <v>3132880</v>
      </c>
      <c r="K188" s="318" t="s">
        <v>125</v>
      </c>
      <c r="L188" s="318" t="n">
        <v>100</v>
      </c>
      <c r="M188" s="318" t="s">
        <v>116</v>
      </c>
      <c r="N188" s="318" t="s">
        <v>31</v>
      </c>
      <c r="O188" s="318" t="s">
        <v>986</v>
      </c>
      <c r="P188" s="318" t="s">
        <v>233</v>
      </c>
      <c r="Q188" s="318" t="s">
        <v>234</v>
      </c>
      <c r="R188" s="318" t="s">
        <v>88</v>
      </c>
      <c r="S188" s="318" t="s">
        <v>165</v>
      </c>
      <c r="T188" s="318" t="s">
        <v>116</v>
      </c>
      <c r="U188" s="318" t="n">
        <v>4513265</v>
      </c>
      <c r="V188" s="318" t="n">
        <v>30</v>
      </c>
      <c r="W188" s="318" t="s">
        <v>47</v>
      </c>
      <c r="X188" s="318" t="s">
        <v>987</v>
      </c>
      <c r="Y188" s="318" t="s">
        <v>215</v>
      </c>
      <c r="Z188" s="318" t="s">
        <v>283</v>
      </c>
      <c r="AA188" s="318" t="s">
        <v>88</v>
      </c>
      <c r="AB188" s="318" t="s">
        <v>165</v>
      </c>
      <c r="AC188" s="318" t="s">
        <v>116</v>
      </c>
      <c r="AD188" s="318" t="n">
        <v>5230727</v>
      </c>
      <c r="AE188" s="318" t="n">
        <v>37</v>
      </c>
      <c r="AF188" s="114" t="s">
        <v>56</v>
      </c>
      <c r="AG188" s="318" t="s">
        <v>986</v>
      </c>
      <c r="AH188" s="318" t="s">
        <v>216</v>
      </c>
      <c r="AI188" s="318" t="s">
        <v>283</v>
      </c>
      <c r="AJ188" s="318" t="s">
        <v>88</v>
      </c>
      <c r="AK188" s="318" t="s">
        <v>165</v>
      </c>
      <c r="AL188" s="318" t="s">
        <v>116</v>
      </c>
      <c r="AM188" s="318" t="s">
        <v>217</v>
      </c>
      <c r="AN188" s="318" t="s">
        <v>218</v>
      </c>
      <c r="AO188" s="318" t="s">
        <v>218</v>
      </c>
      <c r="AP188" s="318" t="s">
        <v>217</v>
      </c>
      <c r="AQ188" s="318" t="s">
        <v>217</v>
      </c>
      <c r="AR188" s="6" t="s">
        <v>140</v>
      </c>
    </row>
    <row r="189" ht="26.25" customHeight="1">
      <c r="A189" s="318" t="s">
        <v>54</v>
      </c>
      <c r="B189" s="318" t="n">
        <v>2701391531</v>
      </c>
      <c r="C189" s="318" t="s">
        <v>1149</v>
      </c>
      <c r="D189" s="318" t="s">
        <v>57</v>
      </c>
      <c r="E189" s="318" t="s">
        <v>104</v>
      </c>
      <c r="F189" s="318"/>
      <c r="G189" s="318"/>
      <c r="H189" s="318" t="s">
        <v>165</v>
      </c>
      <c r="I189" s="318" t="s">
        <v>101</v>
      </c>
      <c r="J189" s="318" t="n">
        <v>3132902</v>
      </c>
      <c r="K189" s="318" t="s">
        <v>126</v>
      </c>
      <c r="L189" s="318" t="n">
        <v>62</v>
      </c>
      <c r="M189" s="318" t="n">
        <v>83</v>
      </c>
      <c r="N189" s="318" t="s">
        <v>31</v>
      </c>
      <c r="O189" s="318" t="s">
        <v>987</v>
      </c>
      <c r="P189" s="318" t="s">
        <v>216</v>
      </c>
      <c r="Q189" s="318" t="s">
        <v>283</v>
      </c>
      <c r="R189" s="318" t="s">
        <v>101</v>
      </c>
      <c r="S189" s="318" t="s">
        <v>165</v>
      </c>
      <c r="T189" s="318" t="s">
        <v>116</v>
      </c>
      <c r="U189" s="318" t="n">
        <v>5230747</v>
      </c>
      <c r="V189" s="318"/>
      <c r="W189" s="318" t="s">
        <v>49</v>
      </c>
      <c r="X189" s="318" t="s">
        <v>987</v>
      </c>
      <c r="Y189" s="318" t="s">
        <v>215</v>
      </c>
      <c r="Z189" s="318" t="s">
        <v>283</v>
      </c>
      <c r="AA189" s="318" t="s">
        <v>101</v>
      </c>
      <c r="AB189" s="318" t="s">
        <v>165</v>
      </c>
      <c r="AC189" s="318" t="s">
        <v>116</v>
      </c>
      <c r="AD189" s="318" t="n">
        <v>5230821</v>
      </c>
      <c r="AE189" s="318"/>
      <c r="AF189" s="318" t="s">
        <v>56</v>
      </c>
      <c r="AG189" s="318" t="s">
        <v>987</v>
      </c>
      <c r="AH189" s="318" t="s">
        <v>233</v>
      </c>
      <c r="AI189" s="318" t="s">
        <v>283</v>
      </c>
      <c r="AJ189" s="318" t="s">
        <v>101</v>
      </c>
      <c r="AK189" s="318" t="s">
        <v>165</v>
      </c>
      <c r="AL189" s="318" t="s">
        <v>116</v>
      </c>
      <c r="AM189" s="318"/>
      <c r="AN189" s="318"/>
      <c r="AO189" s="318"/>
      <c r="AP189" s="318"/>
      <c r="AQ189" s="318"/>
      <c r="AR189" s="6" t="s">
        <v>140</v>
      </c>
    </row>
    <row r="190" ht="26.25" customHeight="1">
      <c r="A190" s="318" t="s">
        <v>54</v>
      </c>
      <c r="B190" s="318" t="n">
        <v>2305874638</v>
      </c>
      <c r="C190" s="318" t="s">
        <v>1150</v>
      </c>
      <c r="D190" s="318" t="s">
        <v>59</v>
      </c>
      <c r="E190" s="318" t="s">
        <v>104</v>
      </c>
      <c r="F190" s="318"/>
      <c r="G190" s="318"/>
      <c r="H190" s="318" t="s">
        <v>165</v>
      </c>
      <c r="I190" s="318" t="s">
        <v>88</v>
      </c>
      <c r="J190" s="318" t="n">
        <v>3132880</v>
      </c>
      <c r="K190" s="318" t="s">
        <v>125</v>
      </c>
      <c r="L190" s="318" t="n">
        <v>80</v>
      </c>
      <c r="M190" s="318" t="s">
        <v>116</v>
      </c>
      <c r="N190" s="114" t="s">
        <v>31</v>
      </c>
      <c r="O190" s="318" t="s">
        <v>986</v>
      </c>
      <c r="P190" s="318" t="s">
        <v>233</v>
      </c>
      <c r="Q190" s="318" t="s">
        <v>234</v>
      </c>
      <c r="R190" s="318" t="s">
        <v>88</v>
      </c>
      <c r="S190" s="318" t="s">
        <v>165</v>
      </c>
      <c r="T190" s="318" t="s">
        <v>217</v>
      </c>
      <c r="U190" s="318" t="n">
        <v>3132859</v>
      </c>
      <c r="V190" s="318" t="n">
        <v>35</v>
      </c>
      <c r="W190" s="318" t="s">
        <v>43</v>
      </c>
      <c r="X190" s="318" t="s">
        <v>986</v>
      </c>
      <c r="Y190" s="318" t="s">
        <v>215</v>
      </c>
      <c r="Z190" s="318" t="s">
        <v>283</v>
      </c>
      <c r="AA190" s="318" t="s">
        <v>88</v>
      </c>
      <c r="AB190" s="318" t="s">
        <v>165</v>
      </c>
      <c r="AC190" s="318" t="s">
        <v>217</v>
      </c>
      <c r="AD190" s="318" t="n">
        <v>5230727</v>
      </c>
      <c r="AE190" s="318" t="n">
        <v>29</v>
      </c>
      <c r="AF190" s="114" t="s">
        <v>56</v>
      </c>
      <c r="AG190" s="318" t="s">
        <v>986</v>
      </c>
      <c r="AH190" s="318" t="s">
        <v>216</v>
      </c>
      <c r="AI190" s="318" t="s">
        <v>283</v>
      </c>
      <c r="AJ190" s="318" t="s">
        <v>88</v>
      </c>
      <c r="AK190" s="318" t="s">
        <v>165</v>
      </c>
      <c r="AL190" s="318" t="s">
        <v>217</v>
      </c>
      <c r="AM190" s="318" t="s">
        <v>217</v>
      </c>
      <c r="AN190" s="318" t="s">
        <v>217</v>
      </c>
      <c r="AO190" s="318" t="s">
        <v>218</v>
      </c>
      <c r="AP190" s="476" t="s">
        <v>217</v>
      </c>
      <c r="AQ190" s="476" t="s">
        <v>217</v>
      </c>
      <c r="AR190" s="6" t="s">
        <v>140</v>
      </c>
      <c r="AS190" s="6" t="s">
        <v>217</v>
      </c>
    </row>
    <row r="191" ht="26.25" customHeight="1">
      <c r="A191" s="318" t="s">
        <v>54</v>
      </c>
      <c r="B191" s="318" t="n">
        <v>4467119064</v>
      </c>
      <c r="C191" s="318" t="s">
        <v>502</v>
      </c>
      <c r="D191" s="318" t="s">
        <v>55</v>
      </c>
      <c r="E191" s="318" t="s">
        <v>104</v>
      </c>
      <c r="F191" s="318"/>
      <c r="G191" s="318"/>
      <c r="H191" s="318" t="s">
        <v>165</v>
      </c>
      <c r="I191" s="318" t="s">
        <v>101</v>
      </c>
      <c r="J191" s="318" t="n">
        <v>5111035</v>
      </c>
      <c r="K191" s="318" t="s">
        <v>126</v>
      </c>
      <c r="L191" s="318" t="n">
        <v>60</v>
      </c>
      <c r="M191" s="318" t="n">
        <v>80</v>
      </c>
      <c r="N191" s="318" t="s">
        <v>35</v>
      </c>
      <c r="O191" s="318" t="s">
        <v>986</v>
      </c>
      <c r="P191" s="318" t="s">
        <v>233</v>
      </c>
      <c r="Q191" s="318" t="s">
        <v>234</v>
      </c>
      <c r="R191" s="318" t="s">
        <v>101</v>
      </c>
      <c r="S191" s="318" t="s">
        <v>165</v>
      </c>
      <c r="T191" s="318" t="s">
        <v>116</v>
      </c>
      <c r="U191" s="318" t="n">
        <v>5230747</v>
      </c>
      <c r="V191" s="318"/>
      <c r="W191" s="318" t="s">
        <v>49</v>
      </c>
      <c r="X191" s="318" t="s">
        <v>987</v>
      </c>
      <c r="Y191" s="318" t="s">
        <v>215</v>
      </c>
      <c r="Z191" s="318" t="s">
        <v>283</v>
      </c>
      <c r="AA191" s="318" t="s">
        <v>101</v>
      </c>
      <c r="AB191" s="318" t="s">
        <v>165</v>
      </c>
      <c r="AC191" s="318" t="s">
        <v>116</v>
      </c>
      <c r="AD191" s="318" t="n">
        <v>5170871</v>
      </c>
      <c r="AE191" s="318"/>
      <c r="AF191" s="318" t="s">
        <v>58</v>
      </c>
      <c r="AG191" s="318" t="s">
        <v>986</v>
      </c>
      <c r="AH191" s="318" t="s">
        <v>215</v>
      </c>
      <c r="AI191" s="318" t="s">
        <v>283</v>
      </c>
      <c r="AJ191" s="318" t="s">
        <v>101</v>
      </c>
      <c r="AK191" s="318" t="s">
        <v>165</v>
      </c>
      <c r="AL191" s="318" t="s">
        <v>116</v>
      </c>
      <c r="AM191" s="318"/>
      <c r="AN191" s="318"/>
      <c r="AO191" s="318"/>
      <c r="AP191" s="318"/>
      <c r="AQ191" s="318"/>
      <c r="AR191" s="6" t="s">
        <v>140</v>
      </c>
    </row>
    <row r="192" ht="26.25" customHeight="1">
      <c r="A192" s="318" t="s">
        <v>54</v>
      </c>
      <c r="B192" s="318" t="n">
        <v>4840268117</v>
      </c>
      <c r="C192" s="318" t="s">
        <v>1151</v>
      </c>
      <c r="D192" s="318" t="s">
        <v>55</v>
      </c>
      <c r="E192" s="318" t="s">
        <v>104</v>
      </c>
      <c r="F192" s="318"/>
      <c r="G192" s="318"/>
      <c r="H192" s="318" t="s">
        <v>165</v>
      </c>
      <c r="I192" s="318" t="s">
        <v>100</v>
      </c>
      <c r="J192" s="318" t="s">
        <v>116</v>
      </c>
      <c r="K192" s="318"/>
      <c r="L192" s="318"/>
      <c r="M192" s="318"/>
      <c r="N192" s="114" t="s">
        <v>116</v>
      </c>
      <c r="O192" s="318" t="s">
        <v>116</v>
      </c>
      <c r="P192" s="318" t="s">
        <v>116</v>
      </c>
      <c r="Q192" s="318" t="s">
        <v>116</v>
      </c>
      <c r="R192" s="318" t="s">
        <v>116</v>
      </c>
      <c r="S192" s="318" t="s">
        <v>116</v>
      </c>
      <c r="T192" s="318" t="s">
        <v>116</v>
      </c>
      <c r="U192" s="318" t="n">
        <v>3132846</v>
      </c>
      <c r="V192" s="318" t="n">
        <v>30</v>
      </c>
      <c r="W192" s="318" t="s">
        <v>43</v>
      </c>
      <c r="X192" s="318" t="s">
        <v>987</v>
      </c>
      <c r="Y192" s="318" t="s">
        <v>216</v>
      </c>
      <c r="Z192" s="318" t="s">
        <v>283</v>
      </c>
      <c r="AA192" s="318" t="s">
        <v>100</v>
      </c>
      <c r="AB192" s="318" t="s">
        <v>165</v>
      </c>
      <c r="AC192" s="318" t="s">
        <v>116</v>
      </c>
      <c r="AD192" s="318" t="s">
        <v>116</v>
      </c>
      <c r="AE192" s="318"/>
      <c r="AF192" s="114" t="s">
        <v>116</v>
      </c>
      <c r="AG192" s="318" t="s">
        <v>116</v>
      </c>
      <c r="AH192" s="318" t="s">
        <v>116</v>
      </c>
      <c r="AI192" s="318" t="s">
        <v>116</v>
      </c>
      <c r="AJ192" s="318" t="s">
        <v>116</v>
      </c>
      <c r="AK192" s="318" t="s">
        <v>116</v>
      </c>
      <c r="AL192" s="318" t="s">
        <v>116</v>
      </c>
      <c r="AM192" s="318"/>
      <c r="AN192" s="318"/>
      <c r="AO192" s="318"/>
      <c r="AP192" s="318"/>
      <c r="AQ192" s="318"/>
      <c r="AR192" s="6" t="s">
        <v>140</v>
      </c>
    </row>
    <row r="193" ht="26.25" customHeight="1">
      <c r="A193" s="318" t="s">
        <v>45</v>
      </c>
      <c r="B193" s="318" t="n">
        <v>2531326234</v>
      </c>
      <c r="C193" s="318" t="s">
        <v>1152</v>
      </c>
      <c r="D193" s="318" t="s">
        <v>48</v>
      </c>
      <c r="E193" s="318" t="s">
        <v>112</v>
      </c>
      <c r="F193" s="318"/>
      <c r="G193" s="318" t="s">
        <v>641</v>
      </c>
      <c r="H193" s="318" t="s">
        <v>165</v>
      </c>
      <c r="I193" s="318" t="s">
        <v>1119</v>
      </c>
      <c r="J193" s="318" t="n">
        <v>3132897</v>
      </c>
      <c r="K193" s="318" t="s">
        <v>126</v>
      </c>
      <c r="L193" s="318" t="n">
        <v>64</v>
      </c>
      <c r="M193" s="318" t="n">
        <v>85</v>
      </c>
      <c r="N193" s="318" t="s">
        <v>31</v>
      </c>
      <c r="O193" s="318" t="s">
        <v>989</v>
      </c>
      <c r="P193" s="318" t="s">
        <v>215</v>
      </c>
      <c r="Q193" s="318" t="s">
        <v>283</v>
      </c>
      <c r="R193" s="318" t="s">
        <v>88</v>
      </c>
      <c r="S193" s="318" t="s">
        <v>165</v>
      </c>
      <c r="T193" s="318" t="s">
        <v>217</v>
      </c>
      <c r="U193" s="318" t="n">
        <v>5230809</v>
      </c>
      <c r="V193" s="318"/>
      <c r="W193" s="318" t="s">
        <v>47</v>
      </c>
      <c r="X193" s="318" t="s">
        <v>989</v>
      </c>
      <c r="Y193" s="318" t="s">
        <v>215</v>
      </c>
      <c r="Z193" s="318" t="s">
        <v>283</v>
      </c>
      <c r="AA193" s="318" t="s">
        <v>100</v>
      </c>
      <c r="AB193" s="318" t="s">
        <v>165</v>
      </c>
      <c r="AC193" s="318" t="s">
        <v>116</v>
      </c>
      <c r="AD193" s="318" t="n">
        <v>5230737</v>
      </c>
      <c r="AE193" s="318"/>
      <c r="AF193" s="114" t="s">
        <v>58</v>
      </c>
      <c r="AG193" s="318" t="s">
        <v>989</v>
      </c>
      <c r="AH193" s="318" t="s">
        <v>216</v>
      </c>
      <c r="AI193" s="318" t="s">
        <v>283</v>
      </c>
      <c r="AJ193" s="318" t="s">
        <v>88</v>
      </c>
      <c r="AK193" s="318" t="s">
        <v>165</v>
      </c>
      <c r="AL193" s="318" t="s">
        <v>217</v>
      </c>
      <c r="AM193" s="318" t="s">
        <v>217</v>
      </c>
      <c r="AN193" s="318" t="s">
        <v>218</v>
      </c>
      <c r="AO193" s="318" t="s">
        <v>218</v>
      </c>
      <c r="AP193" s="318" t="s">
        <v>218</v>
      </c>
      <c r="AQ193" s="318" t="s">
        <v>218</v>
      </c>
      <c r="AR193" s="6" t="s">
        <v>140</v>
      </c>
      <c r="AS193" s="6" t="s">
        <v>217</v>
      </c>
    </row>
    <row r="194" ht="26.25" customHeight="1">
      <c r="A194" s="318" t="s">
        <v>54</v>
      </c>
      <c r="B194" s="318" t="n">
        <v>4828522130</v>
      </c>
      <c r="C194" s="318" t="s">
        <v>1153</v>
      </c>
      <c r="D194" s="318" t="s">
        <v>34</v>
      </c>
      <c r="E194" s="318" t="s">
        <v>104</v>
      </c>
      <c r="F194" s="318"/>
      <c r="G194" s="318"/>
      <c r="H194" s="318" t="s">
        <v>1123</v>
      </c>
      <c r="I194" s="318" t="s">
        <v>116</v>
      </c>
      <c r="J194" s="318" t="n">
        <v>5230742</v>
      </c>
      <c r="K194" s="318" t="s">
        <v>126</v>
      </c>
      <c r="L194" s="318" t="n">
        <v>64</v>
      </c>
      <c r="M194" s="318" t="n">
        <v>85</v>
      </c>
      <c r="N194" s="114" t="s">
        <v>35</v>
      </c>
      <c r="O194" s="318" t="s">
        <v>986</v>
      </c>
      <c r="P194" s="318" t="s">
        <v>216</v>
      </c>
      <c r="Q194" s="318" t="s">
        <v>283</v>
      </c>
      <c r="R194" s="318" t="s">
        <v>65</v>
      </c>
      <c r="S194" s="318" t="s">
        <v>444</v>
      </c>
      <c r="T194" s="318" t="s">
        <v>116</v>
      </c>
      <c r="U194" s="318" t="s">
        <v>116</v>
      </c>
      <c r="V194" s="318"/>
      <c r="W194" s="318" t="s">
        <v>116</v>
      </c>
      <c r="X194" s="318" t="s">
        <v>116</v>
      </c>
      <c r="Y194" s="318" t="s">
        <v>116</v>
      </c>
      <c r="Z194" s="318" t="s">
        <v>116</v>
      </c>
      <c r="AA194" s="318" t="s">
        <v>116</v>
      </c>
      <c r="AB194" s="318" t="s">
        <v>116</v>
      </c>
      <c r="AC194" s="318" t="s">
        <v>116</v>
      </c>
      <c r="AD194" s="318" t="s">
        <v>116</v>
      </c>
      <c r="AE194" s="318"/>
      <c r="AF194" s="114" t="s">
        <v>116</v>
      </c>
      <c r="AG194" s="318" t="s">
        <v>116</v>
      </c>
      <c r="AH194" s="318" t="s">
        <v>116</v>
      </c>
      <c r="AI194" s="318" t="s">
        <v>116</v>
      </c>
      <c r="AJ194" s="318" t="s">
        <v>116</v>
      </c>
      <c r="AK194" s="318" t="s">
        <v>116</v>
      </c>
      <c r="AL194" s="318" t="s">
        <v>116</v>
      </c>
      <c r="AM194" s="318"/>
      <c r="AN194" s="318"/>
      <c r="AO194" s="318"/>
      <c r="AP194" s="318"/>
      <c r="AQ194" s="318"/>
      <c r="AR194" s="6" t="s">
        <v>140</v>
      </c>
    </row>
    <row r="195" ht="26.25" customHeight="1">
      <c r="A195" s="318" t="s">
        <v>85</v>
      </c>
      <c r="B195" s="318" t="n">
        <v>4076576745</v>
      </c>
      <c r="C195" s="318" t="s">
        <v>1154</v>
      </c>
      <c r="D195" s="318" t="s">
        <v>34</v>
      </c>
      <c r="E195" s="318" t="s">
        <v>104</v>
      </c>
      <c r="F195" s="318"/>
      <c r="G195" s="318"/>
      <c r="H195" s="318" t="s">
        <v>165</v>
      </c>
      <c r="I195" s="318" t="s">
        <v>100</v>
      </c>
      <c r="J195" s="318" t="s">
        <v>116</v>
      </c>
      <c r="K195" s="318"/>
      <c r="L195" s="318"/>
      <c r="M195" s="318"/>
      <c r="N195" s="318" t="s">
        <v>116</v>
      </c>
      <c r="O195" s="318" t="s">
        <v>116</v>
      </c>
      <c r="P195" s="318" t="s">
        <v>116</v>
      </c>
      <c r="Q195" s="318" t="s">
        <v>116</v>
      </c>
      <c r="R195" s="318" t="s">
        <v>116</v>
      </c>
      <c r="S195" s="318" t="s">
        <v>116</v>
      </c>
      <c r="T195" s="318" t="s">
        <v>116</v>
      </c>
      <c r="U195" s="318" t="n">
        <v>3132810</v>
      </c>
      <c r="V195" s="318"/>
      <c r="W195" s="318" t="s">
        <v>47</v>
      </c>
      <c r="X195" s="318" t="s">
        <v>991</v>
      </c>
      <c r="Y195" s="318" t="s">
        <v>233</v>
      </c>
      <c r="Z195" s="318" t="s">
        <v>283</v>
      </c>
      <c r="AA195" s="318" t="s">
        <v>100</v>
      </c>
      <c r="AB195" s="318" t="s">
        <v>165</v>
      </c>
      <c r="AC195" s="318" t="s">
        <v>116</v>
      </c>
      <c r="AD195" s="318" t="s">
        <v>116</v>
      </c>
      <c r="AE195" s="318"/>
      <c r="AF195" s="114" t="s">
        <v>116</v>
      </c>
      <c r="AG195" s="318" t="s">
        <v>116</v>
      </c>
      <c r="AH195" s="318" t="s">
        <v>116</v>
      </c>
      <c r="AI195" s="318" t="s">
        <v>116</v>
      </c>
      <c r="AJ195" s="318" t="s">
        <v>116</v>
      </c>
      <c r="AK195" s="318" t="s">
        <v>116</v>
      </c>
      <c r="AL195" s="318" t="s">
        <v>116</v>
      </c>
      <c r="AM195" s="318"/>
      <c r="AN195" s="318"/>
      <c r="AO195" s="318"/>
      <c r="AP195" s="318"/>
      <c r="AQ195" s="318"/>
      <c r="AR195" s="6" t="s">
        <v>140</v>
      </c>
    </row>
    <row r="196" ht="26.25" customHeight="1">
      <c r="A196" s="318" t="s">
        <v>54</v>
      </c>
      <c r="B196" s="318" t="n">
        <v>4816284713</v>
      </c>
      <c r="C196" s="318" t="s">
        <v>1155</v>
      </c>
      <c r="D196" s="318" t="s">
        <v>57</v>
      </c>
      <c r="E196" s="318" t="s">
        <v>104</v>
      </c>
      <c r="F196" s="318"/>
      <c r="G196" s="318"/>
      <c r="H196" s="318" t="s">
        <v>165</v>
      </c>
      <c r="I196" s="318" t="s">
        <v>100</v>
      </c>
      <c r="J196" s="318" t="n">
        <v>4513341</v>
      </c>
      <c r="K196" s="318" t="s">
        <v>126</v>
      </c>
      <c r="L196" s="318" t="n">
        <v>86</v>
      </c>
      <c r="M196" s="318" t="n">
        <v>96</v>
      </c>
      <c r="N196" s="318" t="s">
        <v>31</v>
      </c>
      <c r="O196" s="318" t="s">
        <v>987</v>
      </c>
      <c r="P196" s="318" t="s">
        <v>233</v>
      </c>
      <c r="Q196" s="318" t="s">
        <v>234</v>
      </c>
      <c r="R196" s="318" t="s">
        <v>100</v>
      </c>
      <c r="S196" s="318" t="s">
        <v>165</v>
      </c>
      <c r="T196" s="318" t="s">
        <v>116</v>
      </c>
      <c r="U196" s="318" t="n">
        <v>3132846</v>
      </c>
      <c r="V196" s="318" t="n">
        <v>0</v>
      </c>
      <c r="W196" s="318" t="s">
        <v>43</v>
      </c>
      <c r="X196" s="318" t="s">
        <v>987</v>
      </c>
      <c r="Y196" s="318" t="s">
        <v>216</v>
      </c>
      <c r="Z196" s="318" t="s">
        <v>283</v>
      </c>
      <c r="AA196" s="318" t="s">
        <v>100</v>
      </c>
      <c r="AB196" s="318" t="s">
        <v>165</v>
      </c>
      <c r="AC196" s="318" t="s">
        <v>116</v>
      </c>
      <c r="AD196" s="318" t="n">
        <v>5230738</v>
      </c>
      <c r="AE196" s="318" t="n">
        <v>0</v>
      </c>
      <c r="AF196" s="114" t="s">
        <v>58</v>
      </c>
      <c r="AG196" s="318" t="s">
        <v>987</v>
      </c>
      <c r="AH196" s="318" t="s">
        <v>215</v>
      </c>
      <c r="AI196" s="318" t="s">
        <v>283</v>
      </c>
      <c r="AJ196" s="318" t="s">
        <v>100</v>
      </c>
      <c r="AK196" s="318" t="s">
        <v>165</v>
      </c>
      <c r="AL196" s="318" t="s">
        <v>116</v>
      </c>
      <c r="AM196" s="318"/>
      <c r="AN196" s="318"/>
      <c r="AO196" s="318"/>
      <c r="AP196" s="476"/>
      <c r="AQ196" s="476"/>
      <c r="AR196" s="6" t="s">
        <v>140</v>
      </c>
    </row>
    <row r="197" ht="26.25" customHeight="1">
      <c r="A197" s="318" t="s">
        <v>54</v>
      </c>
      <c r="B197" s="318" t="n">
        <v>2496797057</v>
      </c>
      <c r="C197" s="318" t="s">
        <v>1156</v>
      </c>
      <c r="D197" s="318" t="s">
        <v>57</v>
      </c>
      <c r="E197" s="318" t="s">
        <v>104</v>
      </c>
      <c r="F197" s="318"/>
      <c r="G197" s="318"/>
      <c r="H197" s="318" t="s">
        <v>165</v>
      </c>
      <c r="I197" s="318" t="s">
        <v>101</v>
      </c>
      <c r="J197" s="318" t="n">
        <v>3132902</v>
      </c>
      <c r="K197" s="318" t="s">
        <v>126</v>
      </c>
      <c r="L197" s="318" t="n">
        <v>64</v>
      </c>
      <c r="M197" s="318" t="n">
        <v>85</v>
      </c>
      <c r="N197" s="318" t="s">
        <v>31</v>
      </c>
      <c r="O197" s="318" t="s">
        <v>987</v>
      </c>
      <c r="P197" s="318" t="s">
        <v>216</v>
      </c>
      <c r="Q197" s="318" t="s">
        <v>283</v>
      </c>
      <c r="R197" s="318" t="s">
        <v>101</v>
      </c>
      <c r="S197" s="318" t="s">
        <v>165</v>
      </c>
      <c r="T197" s="318" t="s">
        <v>116</v>
      </c>
      <c r="U197" s="318" t="n">
        <v>5230747</v>
      </c>
      <c r="V197" s="318" t="n">
        <v>0</v>
      </c>
      <c r="W197" s="318" t="s">
        <v>49</v>
      </c>
      <c r="X197" s="318" t="s">
        <v>987</v>
      </c>
      <c r="Y197" s="318" t="s">
        <v>215</v>
      </c>
      <c r="Z197" s="318" t="s">
        <v>283</v>
      </c>
      <c r="AA197" s="318" t="s">
        <v>101</v>
      </c>
      <c r="AB197" s="318" t="s">
        <v>165</v>
      </c>
      <c r="AC197" s="318" t="s">
        <v>116</v>
      </c>
      <c r="AD197" s="318" t="n">
        <v>5230821</v>
      </c>
      <c r="AE197" s="318" t="n">
        <v>0</v>
      </c>
      <c r="AF197" s="114" t="s">
        <v>56</v>
      </c>
      <c r="AG197" s="318" t="s">
        <v>987</v>
      </c>
      <c r="AH197" s="318" t="s">
        <v>233</v>
      </c>
      <c r="AI197" s="318" t="s">
        <v>283</v>
      </c>
      <c r="AJ197" s="318" t="s">
        <v>101</v>
      </c>
      <c r="AK197" s="318" t="s">
        <v>165</v>
      </c>
      <c r="AL197" s="318" t="s">
        <v>116</v>
      </c>
      <c r="AM197" s="318"/>
      <c r="AN197" s="318"/>
      <c r="AO197" s="318"/>
      <c r="AP197" s="476"/>
      <c r="AQ197" s="476"/>
      <c r="AR197" s="6" t="s">
        <v>140</v>
      </c>
    </row>
    <row r="198" ht="26.25" customHeight="1">
      <c r="A198" s="318" t="s">
        <v>54</v>
      </c>
      <c r="B198" s="318" t="n">
        <v>2490527660</v>
      </c>
      <c r="C198" s="318" t="s">
        <v>1157</v>
      </c>
      <c r="D198" s="318" t="s">
        <v>57</v>
      </c>
      <c r="E198" s="318" t="s">
        <v>104</v>
      </c>
      <c r="F198" s="318"/>
      <c r="G198" s="318"/>
      <c r="H198" s="318" t="s">
        <v>165</v>
      </c>
      <c r="I198" s="318" t="s">
        <v>101</v>
      </c>
      <c r="J198" s="318" t="n">
        <v>3132902</v>
      </c>
      <c r="K198" s="318" t="s">
        <v>126</v>
      </c>
      <c r="L198" s="318" t="n">
        <v>60</v>
      </c>
      <c r="M198" s="318" t="n">
        <v>80</v>
      </c>
      <c r="N198" s="318" t="s">
        <v>31</v>
      </c>
      <c r="O198" s="318" t="s">
        <v>987</v>
      </c>
      <c r="P198" s="318" t="s">
        <v>216</v>
      </c>
      <c r="Q198" s="318" t="s">
        <v>283</v>
      </c>
      <c r="R198" s="318" t="s">
        <v>101</v>
      </c>
      <c r="S198" s="318" t="s">
        <v>165</v>
      </c>
      <c r="T198" s="318" t="s">
        <v>116</v>
      </c>
      <c r="U198" s="318" t="n">
        <v>5230747</v>
      </c>
      <c r="V198" s="318" t="n">
        <v>0</v>
      </c>
      <c r="W198" s="318" t="s">
        <v>49</v>
      </c>
      <c r="X198" s="318" t="s">
        <v>987</v>
      </c>
      <c r="Y198" s="318" t="s">
        <v>215</v>
      </c>
      <c r="Z198" s="318" t="s">
        <v>283</v>
      </c>
      <c r="AA198" s="318" t="s">
        <v>101</v>
      </c>
      <c r="AB198" s="318" t="s">
        <v>165</v>
      </c>
      <c r="AC198" s="318" t="s">
        <v>116</v>
      </c>
      <c r="AD198" s="318" t="n">
        <v>5230821</v>
      </c>
      <c r="AE198" s="318" t="n">
        <v>0</v>
      </c>
      <c r="AF198" s="114" t="s">
        <v>56</v>
      </c>
      <c r="AG198" s="318" t="s">
        <v>987</v>
      </c>
      <c r="AH198" s="318" t="s">
        <v>233</v>
      </c>
      <c r="AI198" s="318" t="s">
        <v>283</v>
      </c>
      <c r="AJ198" s="318" t="s">
        <v>101</v>
      </c>
      <c r="AK198" s="318" t="s">
        <v>165</v>
      </c>
      <c r="AL198" s="318" t="s">
        <v>116</v>
      </c>
      <c r="AM198" s="318"/>
      <c r="AN198" s="318"/>
      <c r="AO198" s="318"/>
      <c r="AP198" s="318"/>
      <c r="AQ198" s="318"/>
      <c r="AR198" s="6" t="s">
        <v>140</v>
      </c>
    </row>
    <row r="199" ht="26.25" customHeight="1">
      <c r="A199" s="318" t="s">
        <v>54</v>
      </c>
      <c r="B199" s="318" t="n">
        <v>4607796539</v>
      </c>
      <c r="C199" s="318" t="s">
        <v>1158</v>
      </c>
      <c r="D199" s="318" t="s">
        <v>57</v>
      </c>
      <c r="E199" s="318" t="s">
        <v>104</v>
      </c>
      <c r="F199" s="318"/>
      <c r="G199" s="318"/>
      <c r="H199" s="318" t="s">
        <v>165</v>
      </c>
      <c r="I199" s="318" t="s">
        <v>88</v>
      </c>
      <c r="J199" s="318" t="n">
        <v>3132884</v>
      </c>
      <c r="K199" s="318" t="s">
        <v>125</v>
      </c>
      <c r="L199" s="318" t="n">
        <v>72</v>
      </c>
      <c r="M199" s="318" t="s">
        <v>116</v>
      </c>
      <c r="N199" s="318" t="s">
        <v>37</v>
      </c>
      <c r="O199" s="318" t="s">
        <v>987</v>
      </c>
      <c r="P199" s="318" t="s">
        <v>216</v>
      </c>
      <c r="Q199" s="318" t="s">
        <v>283</v>
      </c>
      <c r="R199" s="318" t="s">
        <v>88</v>
      </c>
      <c r="S199" s="318" t="s">
        <v>165</v>
      </c>
      <c r="T199" s="318" t="s">
        <v>116</v>
      </c>
      <c r="U199" s="318" t="n">
        <v>4513265</v>
      </c>
      <c r="V199" s="318" t="n">
        <v>29</v>
      </c>
      <c r="W199" s="318" t="s">
        <v>47</v>
      </c>
      <c r="X199" s="318" t="s">
        <v>987</v>
      </c>
      <c r="Y199" s="318" t="s">
        <v>215</v>
      </c>
      <c r="Z199" s="318" t="s">
        <v>283</v>
      </c>
      <c r="AA199" s="318" t="s">
        <v>88</v>
      </c>
      <c r="AB199" s="318" t="s">
        <v>165</v>
      </c>
      <c r="AC199" s="318" t="s">
        <v>116</v>
      </c>
      <c r="AD199" s="318" t="n">
        <v>5230723</v>
      </c>
      <c r="AE199" s="318" t="n">
        <v>29</v>
      </c>
      <c r="AF199" s="114" t="s">
        <v>56</v>
      </c>
      <c r="AG199" s="318" t="s">
        <v>987</v>
      </c>
      <c r="AH199" s="318" t="s">
        <v>233</v>
      </c>
      <c r="AI199" s="318" t="s">
        <v>283</v>
      </c>
      <c r="AJ199" s="318" t="s">
        <v>88</v>
      </c>
      <c r="AK199" s="318" t="s">
        <v>165</v>
      </c>
      <c r="AL199" s="318" t="s">
        <v>116</v>
      </c>
      <c r="AM199" s="318" t="s">
        <v>217</v>
      </c>
      <c r="AN199" s="318" t="s">
        <v>217</v>
      </c>
      <c r="AO199" s="318" t="s">
        <v>218</v>
      </c>
      <c r="AP199" s="318" t="s">
        <v>218</v>
      </c>
      <c r="AQ199" s="318" t="s">
        <v>218</v>
      </c>
      <c r="AR199" s="6" t="s">
        <v>140</v>
      </c>
    </row>
    <row r="200" ht="26.25" customHeight="1">
      <c r="A200" s="318" t="s">
        <v>45</v>
      </c>
      <c r="B200" s="318" t="n">
        <v>2514322951</v>
      </c>
      <c r="C200" s="318" t="s">
        <v>1159</v>
      </c>
      <c r="D200" s="318" t="s">
        <v>50</v>
      </c>
      <c r="E200" s="318" t="s">
        <v>106</v>
      </c>
      <c r="F200" s="318"/>
      <c r="G200" s="318"/>
      <c r="H200" s="318" t="s">
        <v>165</v>
      </c>
      <c r="I200" s="318" t="s">
        <v>88</v>
      </c>
      <c r="J200" s="318" t="n">
        <v>5230814</v>
      </c>
      <c r="K200" s="318" t="s">
        <v>124</v>
      </c>
      <c r="L200" s="318" t="n">
        <v>95</v>
      </c>
      <c r="M200" s="318" t="s">
        <v>116</v>
      </c>
      <c r="N200" s="318" t="s">
        <v>31</v>
      </c>
      <c r="O200" s="318" t="s">
        <v>997</v>
      </c>
      <c r="P200" s="318" t="s">
        <v>246</v>
      </c>
      <c r="Q200" s="318" t="s">
        <v>234</v>
      </c>
      <c r="R200" s="318" t="s">
        <v>88</v>
      </c>
      <c r="S200" s="318" t="s">
        <v>165</v>
      </c>
      <c r="T200" s="318" t="s">
        <v>116</v>
      </c>
      <c r="U200" s="318" t="n">
        <v>3132905</v>
      </c>
      <c r="V200" s="318"/>
      <c r="W200" s="318" t="s">
        <v>43</v>
      </c>
      <c r="X200" s="318" t="s">
        <v>997</v>
      </c>
      <c r="Y200" s="318" t="s">
        <v>216</v>
      </c>
      <c r="Z200" s="318" t="s">
        <v>283</v>
      </c>
      <c r="AA200" s="318" t="s">
        <v>88</v>
      </c>
      <c r="AB200" s="318" t="s">
        <v>165</v>
      </c>
      <c r="AC200" s="318" t="s">
        <v>116</v>
      </c>
      <c r="AD200" s="318" t="n">
        <v>5230765</v>
      </c>
      <c r="AE200" s="318"/>
      <c r="AF200" s="114" t="s">
        <v>52</v>
      </c>
      <c r="AG200" s="318" t="s">
        <v>997</v>
      </c>
      <c r="AH200" s="318" t="s">
        <v>215</v>
      </c>
      <c r="AI200" s="318" t="s">
        <v>283</v>
      </c>
      <c r="AJ200" s="318" t="s">
        <v>88</v>
      </c>
      <c r="AK200" s="318" t="s">
        <v>165</v>
      </c>
      <c r="AL200" s="318" t="s">
        <v>116</v>
      </c>
      <c r="AM200" s="318" t="s">
        <v>217</v>
      </c>
      <c r="AN200" s="318" t="s">
        <v>217</v>
      </c>
      <c r="AO200" s="318" t="s">
        <v>217</v>
      </c>
      <c r="AP200" s="318" t="s">
        <v>217</v>
      </c>
      <c r="AQ200" s="318" t="s">
        <v>217</v>
      </c>
      <c r="AR200" s="6" t="s">
        <v>138</v>
      </c>
    </row>
    <row r="201" ht="26.25" customHeight="1">
      <c r="A201" s="318" t="s">
        <v>54</v>
      </c>
      <c r="B201" s="318" t="n">
        <v>4070489080</v>
      </c>
      <c r="C201" s="318" t="s">
        <v>509</v>
      </c>
      <c r="D201" s="318" t="s">
        <v>59</v>
      </c>
      <c r="E201" s="318" t="s">
        <v>112</v>
      </c>
      <c r="F201" s="318"/>
      <c r="G201" s="318" t="s">
        <v>516</v>
      </c>
      <c r="H201" s="318" t="s">
        <v>165</v>
      </c>
      <c r="I201" s="318" t="s">
        <v>101</v>
      </c>
      <c r="J201" s="318" t="n">
        <v>5111035</v>
      </c>
      <c r="K201" s="318" t="s">
        <v>125</v>
      </c>
      <c r="L201" s="318" t="n">
        <v>71</v>
      </c>
      <c r="M201" s="318" t="s">
        <v>116</v>
      </c>
      <c r="N201" s="318" t="s">
        <v>35</v>
      </c>
      <c r="O201" s="318" t="s">
        <v>986</v>
      </c>
      <c r="P201" s="318" t="s">
        <v>233</v>
      </c>
      <c r="Q201" s="318" t="s">
        <v>234</v>
      </c>
      <c r="R201" s="318" t="s">
        <v>101</v>
      </c>
      <c r="S201" s="318" t="s">
        <v>165</v>
      </c>
      <c r="T201" s="318" t="s">
        <v>116</v>
      </c>
      <c r="U201" s="318" t="s">
        <v>116</v>
      </c>
      <c r="V201" s="318"/>
      <c r="W201" s="318" t="s">
        <v>116</v>
      </c>
      <c r="X201" s="318" t="s">
        <v>116</v>
      </c>
      <c r="Y201" s="318" t="s">
        <v>116</v>
      </c>
      <c r="Z201" s="318" t="s">
        <v>116</v>
      </c>
      <c r="AA201" s="318" t="s">
        <v>116</v>
      </c>
      <c r="AB201" s="318" t="s">
        <v>116</v>
      </c>
      <c r="AC201" s="318" t="s">
        <v>116</v>
      </c>
      <c r="AD201" s="318" t="s">
        <v>116</v>
      </c>
      <c r="AE201" s="318"/>
      <c r="AF201" s="114" t="s">
        <v>116</v>
      </c>
      <c r="AG201" s="318" t="s">
        <v>116</v>
      </c>
      <c r="AH201" s="318" t="s">
        <v>116</v>
      </c>
      <c r="AI201" s="318" t="s">
        <v>116</v>
      </c>
      <c r="AJ201" s="318" t="s">
        <v>116</v>
      </c>
      <c r="AK201" s="318" t="s">
        <v>116</v>
      </c>
      <c r="AL201" s="318" t="s">
        <v>116</v>
      </c>
      <c r="AM201" s="318"/>
      <c r="AN201" s="318"/>
      <c r="AO201" s="318"/>
      <c r="AP201" s="318"/>
      <c r="AQ201" s="318"/>
      <c r="AR201" s="6" t="s">
        <v>140</v>
      </c>
    </row>
    <row r="202" ht="26.25" customHeight="1">
      <c r="A202" s="318" t="s">
        <v>54</v>
      </c>
      <c r="B202" s="318" t="n">
        <v>4838041163</v>
      </c>
      <c r="C202" s="318" t="s">
        <v>516</v>
      </c>
      <c r="D202" s="318" t="s">
        <v>59</v>
      </c>
      <c r="E202" s="318" t="s">
        <v>112</v>
      </c>
      <c r="F202" s="318"/>
      <c r="G202" s="318" t="s">
        <v>524</v>
      </c>
      <c r="H202" s="318" t="s">
        <v>165</v>
      </c>
      <c r="I202" s="318" t="s">
        <v>65</v>
      </c>
      <c r="J202" s="318" t="n">
        <v>5230742</v>
      </c>
      <c r="K202" s="318" t="s">
        <v>125</v>
      </c>
      <c r="L202" s="318" t="n">
        <v>75</v>
      </c>
      <c r="M202" s="318" t="s">
        <v>116</v>
      </c>
      <c r="N202" s="318" t="s">
        <v>35</v>
      </c>
      <c r="O202" s="318" t="s">
        <v>986</v>
      </c>
      <c r="P202" s="318" t="s">
        <v>216</v>
      </c>
      <c r="Q202" s="318" t="s">
        <v>283</v>
      </c>
      <c r="R202" s="318" t="s">
        <v>65</v>
      </c>
      <c r="S202" s="318" t="s">
        <v>165</v>
      </c>
      <c r="T202" s="318" t="s">
        <v>116</v>
      </c>
      <c r="U202" s="318" t="n">
        <v>5230773</v>
      </c>
      <c r="V202" s="318" t="n">
        <v>30</v>
      </c>
      <c r="W202" s="318" t="s">
        <v>49</v>
      </c>
      <c r="X202" s="318" t="s">
        <v>986</v>
      </c>
      <c r="Y202" s="318" t="s">
        <v>233</v>
      </c>
      <c r="Z202" s="318" t="s">
        <v>283</v>
      </c>
      <c r="AA202" s="318" t="s">
        <v>65</v>
      </c>
      <c r="AB202" s="318" t="s">
        <v>165</v>
      </c>
      <c r="AC202" s="318" t="s">
        <v>116</v>
      </c>
      <c r="AD202" s="318" t="n">
        <v>3132888</v>
      </c>
      <c r="AE202" s="318" t="n">
        <v>25</v>
      </c>
      <c r="AF202" s="114" t="s">
        <v>56</v>
      </c>
      <c r="AG202" s="318" t="s">
        <v>986</v>
      </c>
      <c r="AH202" s="318" t="s">
        <v>215</v>
      </c>
      <c r="AI202" s="318" t="s">
        <v>283</v>
      </c>
      <c r="AJ202" s="318" t="s">
        <v>65</v>
      </c>
      <c r="AK202" s="318" t="s">
        <v>165</v>
      </c>
      <c r="AL202" s="318" t="s">
        <v>116</v>
      </c>
      <c r="AM202" s="318"/>
      <c r="AN202" s="318"/>
      <c r="AO202" s="318"/>
      <c r="AP202" s="476"/>
      <c r="AQ202" s="476"/>
      <c r="AR202" s="6" t="s">
        <v>140</v>
      </c>
    </row>
    <row r="203" ht="26.25" customHeight="1">
      <c r="A203" s="318" t="s">
        <v>54</v>
      </c>
      <c r="B203" s="318" t="n">
        <v>2531479027</v>
      </c>
      <c r="C203" s="318" t="s">
        <v>1160</v>
      </c>
      <c r="D203" s="318" t="s">
        <v>59</v>
      </c>
      <c r="E203" s="318" t="s">
        <v>112</v>
      </c>
      <c r="F203" s="318"/>
      <c r="G203" s="318" t="s">
        <v>524</v>
      </c>
      <c r="H203" s="318" t="s">
        <v>165</v>
      </c>
      <c r="I203" s="318" t="s">
        <v>101</v>
      </c>
      <c r="J203" s="318" t="n">
        <v>5111035</v>
      </c>
      <c r="K203" s="318" t="s">
        <v>125</v>
      </c>
      <c r="L203" s="318" t="n">
        <v>95</v>
      </c>
      <c r="M203" s="318" t="s">
        <v>116</v>
      </c>
      <c r="N203" s="114" t="s">
        <v>35</v>
      </c>
      <c r="O203" s="318" t="s">
        <v>986</v>
      </c>
      <c r="P203" s="318" t="s">
        <v>233</v>
      </c>
      <c r="Q203" s="318" t="s">
        <v>234</v>
      </c>
      <c r="R203" s="318" t="s">
        <v>101</v>
      </c>
      <c r="S203" s="318" t="s">
        <v>165</v>
      </c>
      <c r="T203" s="318" t="s">
        <v>116</v>
      </c>
      <c r="U203" s="318" t="n">
        <v>5170873</v>
      </c>
      <c r="V203" s="318" t="n">
        <v>33</v>
      </c>
      <c r="W203" s="318" t="s">
        <v>47</v>
      </c>
      <c r="X203" s="114" t="s">
        <v>986</v>
      </c>
      <c r="Y203" s="114" t="s">
        <v>216</v>
      </c>
      <c r="Z203" s="318" t="s">
        <v>283</v>
      </c>
      <c r="AA203" s="318" t="s">
        <v>101</v>
      </c>
      <c r="AB203" s="318" t="s">
        <v>165</v>
      </c>
      <c r="AC203" s="318" t="s">
        <v>116</v>
      </c>
      <c r="AD203" s="318" t="n">
        <v>5170871</v>
      </c>
      <c r="AE203" s="318" t="n">
        <v>39</v>
      </c>
      <c r="AF203" s="114" t="s">
        <v>58</v>
      </c>
      <c r="AG203" s="318" t="s">
        <v>986</v>
      </c>
      <c r="AH203" s="114" t="s">
        <v>215</v>
      </c>
      <c r="AI203" s="318" t="s">
        <v>283</v>
      </c>
      <c r="AJ203" s="318" t="s">
        <v>101</v>
      </c>
      <c r="AK203" s="318" t="s">
        <v>165</v>
      </c>
      <c r="AL203" s="318" t="s">
        <v>116</v>
      </c>
      <c r="AM203" s="318"/>
      <c r="AN203" s="318"/>
      <c r="AO203" s="318"/>
      <c r="AP203" s="318"/>
      <c r="AQ203" s="318"/>
      <c r="AR203" s="6" t="s">
        <v>140</v>
      </c>
    </row>
    <row r="204" ht="26.25" customHeight="1">
      <c r="A204" s="318" t="s">
        <v>45</v>
      </c>
      <c r="B204" s="318" t="n">
        <v>4029093070</v>
      </c>
      <c r="C204" s="318" t="s">
        <v>1161</v>
      </c>
      <c r="D204" s="318" t="s">
        <v>46</v>
      </c>
      <c r="E204" s="318" t="s">
        <v>104</v>
      </c>
      <c r="F204" s="318"/>
      <c r="G204" s="318"/>
      <c r="H204" s="318" t="s">
        <v>165</v>
      </c>
      <c r="I204" s="318" t="s">
        <v>100</v>
      </c>
      <c r="J204" s="318" t="n">
        <v>3132872</v>
      </c>
      <c r="K204" s="318" t="s">
        <v>125</v>
      </c>
      <c r="L204" s="318" t="n">
        <v>86</v>
      </c>
      <c r="M204" s="318" t="s">
        <v>116</v>
      </c>
      <c r="N204" s="318" t="s">
        <v>35</v>
      </c>
      <c r="O204" s="318" t="s">
        <v>989</v>
      </c>
      <c r="P204" s="318" t="s">
        <v>216</v>
      </c>
      <c r="Q204" s="318" t="s">
        <v>283</v>
      </c>
      <c r="R204" s="318" t="s">
        <v>100</v>
      </c>
      <c r="S204" s="318" t="s">
        <v>165</v>
      </c>
      <c r="T204" s="318" t="s">
        <v>116</v>
      </c>
      <c r="U204" s="318" t="n">
        <v>5230809</v>
      </c>
      <c r="V204" s="318" t="n">
        <v>30</v>
      </c>
      <c r="W204" s="318" t="s">
        <v>47</v>
      </c>
      <c r="X204" s="318" t="s">
        <v>989</v>
      </c>
      <c r="Y204" s="318" t="s">
        <v>215</v>
      </c>
      <c r="Z204" s="318" t="s">
        <v>283</v>
      </c>
      <c r="AA204" s="318" t="s">
        <v>100</v>
      </c>
      <c r="AB204" s="318" t="s">
        <v>165</v>
      </c>
      <c r="AC204" s="318" t="s">
        <v>116</v>
      </c>
      <c r="AD204" s="318" t="n">
        <v>3132893</v>
      </c>
      <c r="AE204" s="318" t="n">
        <v>48</v>
      </c>
      <c r="AF204" s="114" t="s">
        <v>52</v>
      </c>
      <c r="AG204" s="318" t="s">
        <v>989</v>
      </c>
      <c r="AH204" s="318" t="s">
        <v>233</v>
      </c>
      <c r="AI204" s="318" t="s">
        <v>283</v>
      </c>
      <c r="AJ204" s="318" t="s">
        <v>100</v>
      </c>
      <c r="AK204" s="318" t="s">
        <v>165</v>
      </c>
      <c r="AL204" s="318" t="s">
        <v>116</v>
      </c>
      <c r="AM204" s="318"/>
      <c r="AN204" s="318"/>
      <c r="AO204" s="318"/>
      <c r="AP204" s="318"/>
      <c r="AQ204" s="318"/>
      <c r="AR204" s="6" t="s">
        <v>140</v>
      </c>
    </row>
    <row r="205" ht="26.25" customHeight="1">
      <c r="A205" s="318" t="s">
        <v>54</v>
      </c>
      <c r="B205" s="318" t="n">
        <v>4777253883</v>
      </c>
      <c r="C205" s="318" t="s">
        <v>1162</v>
      </c>
      <c r="D205" s="318" t="s">
        <v>57</v>
      </c>
      <c r="E205" s="318" t="s">
        <v>114</v>
      </c>
      <c r="F205" s="318" t="s">
        <v>1163</v>
      </c>
      <c r="G205" s="318"/>
      <c r="H205" s="318" t="s">
        <v>165</v>
      </c>
      <c r="I205" s="318" t="s">
        <v>88</v>
      </c>
      <c r="J205" s="318" t="n">
        <v>3132884</v>
      </c>
      <c r="K205" s="318" t="s">
        <v>125</v>
      </c>
      <c r="L205" s="318" t="n">
        <v>29</v>
      </c>
      <c r="M205" s="318" t="s">
        <v>116</v>
      </c>
      <c r="N205" s="318" t="s">
        <v>37</v>
      </c>
      <c r="O205" s="318" t="s">
        <v>987</v>
      </c>
      <c r="P205" s="318" t="s">
        <v>216</v>
      </c>
      <c r="Q205" s="318" t="s">
        <v>283</v>
      </c>
      <c r="R205" s="318" t="s">
        <v>88</v>
      </c>
      <c r="S205" s="318" t="s">
        <v>165</v>
      </c>
      <c r="T205" s="318" t="s">
        <v>116</v>
      </c>
      <c r="U205" s="318" t="n">
        <v>4513265</v>
      </c>
      <c r="V205" s="318" t="n">
        <v>29</v>
      </c>
      <c r="W205" s="318" t="s">
        <v>47</v>
      </c>
      <c r="X205" s="318" t="s">
        <v>987</v>
      </c>
      <c r="Y205" s="318" t="s">
        <v>215</v>
      </c>
      <c r="Z205" s="318" t="s">
        <v>283</v>
      </c>
      <c r="AA205" s="318" t="s">
        <v>88</v>
      </c>
      <c r="AB205" s="318" t="s">
        <v>165</v>
      </c>
      <c r="AC205" s="318" t="s">
        <v>116</v>
      </c>
      <c r="AD205" s="318" t="n">
        <v>5230723</v>
      </c>
      <c r="AE205" s="318" t="n">
        <v>34</v>
      </c>
      <c r="AF205" s="114" t="s">
        <v>56</v>
      </c>
      <c r="AG205" s="318" t="s">
        <v>987</v>
      </c>
      <c r="AH205" s="318" t="s">
        <v>233</v>
      </c>
      <c r="AI205" s="318" t="s">
        <v>283</v>
      </c>
      <c r="AJ205" s="318" t="s">
        <v>88</v>
      </c>
      <c r="AK205" s="318" t="s">
        <v>165</v>
      </c>
      <c r="AL205" s="318" t="s">
        <v>116</v>
      </c>
      <c r="AM205" s="318" t="s">
        <v>217</v>
      </c>
      <c r="AN205" s="318" t="s">
        <v>217</v>
      </c>
      <c r="AO205" s="318" t="s">
        <v>217</v>
      </c>
      <c r="AP205" s="476" t="s">
        <v>218</v>
      </c>
      <c r="AQ205" s="476" t="s">
        <v>218</v>
      </c>
      <c r="AR205" s="6" t="s">
        <v>140</v>
      </c>
    </row>
    <row r="206" ht="26.25" customHeight="1">
      <c r="A206" s="318" t="s">
        <v>54</v>
      </c>
      <c r="B206" s="318" t="n">
        <v>4196125729</v>
      </c>
      <c r="C206" s="318" t="s">
        <v>1003</v>
      </c>
      <c r="D206" s="318" t="s">
        <v>59</v>
      </c>
      <c r="E206" s="318" t="s">
        <v>112</v>
      </c>
      <c r="F206" s="318"/>
      <c r="G206" s="318" t="s">
        <v>524</v>
      </c>
      <c r="H206" s="318" t="s">
        <v>165</v>
      </c>
      <c r="I206" s="318" t="s">
        <v>101</v>
      </c>
      <c r="J206" s="318" t="n">
        <v>5111035</v>
      </c>
      <c r="K206" s="318" t="s">
        <v>125</v>
      </c>
      <c r="L206" s="318" t="n">
        <v>95</v>
      </c>
      <c r="M206" s="318" t="s">
        <v>116</v>
      </c>
      <c r="N206" s="318" t="s">
        <v>35</v>
      </c>
      <c r="O206" s="318" t="s">
        <v>986</v>
      </c>
      <c r="P206" s="318" t="s">
        <v>233</v>
      </c>
      <c r="Q206" s="318" t="s">
        <v>234</v>
      </c>
      <c r="R206" s="318" t="s">
        <v>101</v>
      </c>
      <c r="S206" s="318" t="s">
        <v>165</v>
      </c>
      <c r="T206" s="318" t="s">
        <v>116</v>
      </c>
      <c r="U206" s="318" t="n">
        <v>5170873</v>
      </c>
      <c r="V206" s="318" t="n">
        <v>36</v>
      </c>
      <c r="W206" s="318" t="s">
        <v>47</v>
      </c>
      <c r="X206" s="318" t="s">
        <v>986</v>
      </c>
      <c r="Y206" s="318" t="s">
        <v>216</v>
      </c>
      <c r="Z206" s="318" t="s">
        <v>283</v>
      </c>
      <c r="AA206" s="318" t="s">
        <v>101</v>
      </c>
      <c r="AB206" s="318" t="s">
        <v>165</v>
      </c>
      <c r="AC206" s="318" t="s">
        <v>116</v>
      </c>
      <c r="AD206" s="318" t="n">
        <v>5170871</v>
      </c>
      <c r="AE206" s="318" t="n">
        <v>42</v>
      </c>
      <c r="AF206" s="114" t="s">
        <v>58</v>
      </c>
      <c r="AG206" s="318" t="s">
        <v>986</v>
      </c>
      <c r="AH206" s="318" t="s">
        <v>215</v>
      </c>
      <c r="AI206" s="318" t="s">
        <v>283</v>
      </c>
      <c r="AJ206" s="318" t="s">
        <v>101</v>
      </c>
      <c r="AK206" s="318" t="s">
        <v>165</v>
      </c>
      <c r="AL206" s="318" t="s">
        <v>116</v>
      </c>
      <c r="AM206" s="318"/>
      <c r="AN206" s="318"/>
      <c r="AO206" s="318"/>
      <c r="AP206" s="476"/>
      <c r="AQ206" s="476"/>
      <c r="AR206" s="6" t="s">
        <v>140</v>
      </c>
    </row>
    <row r="207" ht="26.25" customHeight="1">
      <c r="A207" s="318" t="s">
        <v>54</v>
      </c>
      <c r="B207" s="318" t="n">
        <v>4073001869</v>
      </c>
      <c r="C207" s="318" t="s">
        <v>1164</v>
      </c>
      <c r="D207" s="318" t="s">
        <v>59</v>
      </c>
      <c r="E207" s="318" t="s">
        <v>112</v>
      </c>
      <c r="F207" s="318"/>
      <c r="G207" s="318" t="s">
        <v>1003</v>
      </c>
      <c r="H207" s="318" t="s">
        <v>165</v>
      </c>
      <c r="I207" s="318" t="s">
        <v>101</v>
      </c>
      <c r="J207" s="318" t="n">
        <v>3132902</v>
      </c>
      <c r="K207" s="318" t="s">
        <v>126</v>
      </c>
      <c r="L207" s="318" t="n">
        <v>65</v>
      </c>
      <c r="M207" s="318" t="n">
        <v>86</v>
      </c>
      <c r="N207" s="318" t="s">
        <v>31</v>
      </c>
      <c r="O207" s="318" t="s">
        <v>987</v>
      </c>
      <c r="P207" s="318" t="s">
        <v>216</v>
      </c>
      <c r="Q207" s="318" t="s">
        <v>283</v>
      </c>
      <c r="R207" s="318" t="s">
        <v>101</v>
      </c>
      <c r="S207" s="318" t="s">
        <v>165</v>
      </c>
      <c r="T207" s="318" t="s">
        <v>116</v>
      </c>
      <c r="U207" s="318" t="n">
        <v>5230747</v>
      </c>
      <c r="V207" s="318" t="n">
        <v>0</v>
      </c>
      <c r="W207" s="318" t="s">
        <v>49</v>
      </c>
      <c r="X207" s="318" t="s">
        <v>987</v>
      </c>
      <c r="Y207" s="318" t="s">
        <v>215</v>
      </c>
      <c r="Z207" s="318" t="s">
        <v>283</v>
      </c>
      <c r="AA207" s="318" t="s">
        <v>101</v>
      </c>
      <c r="AB207" s="318" t="s">
        <v>165</v>
      </c>
      <c r="AC207" s="318" t="s">
        <v>116</v>
      </c>
      <c r="AD207" s="318" t="n">
        <v>5230821</v>
      </c>
      <c r="AE207" s="318" t="n">
        <v>0</v>
      </c>
      <c r="AF207" s="114" t="s">
        <v>56</v>
      </c>
      <c r="AG207" s="318" t="s">
        <v>987</v>
      </c>
      <c r="AH207" s="318" t="s">
        <v>233</v>
      </c>
      <c r="AI207" s="318" t="s">
        <v>283</v>
      </c>
      <c r="AJ207" s="318" t="s">
        <v>101</v>
      </c>
      <c r="AK207" s="318" t="s">
        <v>165</v>
      </c>
      <c r="AL207" s="318" t="s">
        <v>116</v>
      </c>
      <c r="AM207" s="318"/>
      <c r="AN207" s="318"/>
      <c r="AO207" s="318"/>
      <c r="AP207" s="318"/>
      <c r="AQ207" s="318"/>
      <c r="AR207" s="6" t="s">
        <v>140</v>
      </c>
    </row>
    <row r="208" ht="26.25" customHeight="1">
      <c r="A208" s="318" t="s">
        <v>54</v>
      </c>
      <c r="B208" s="318" t="n">
        <v>4773663119</v>
      </c>
      <c r="C208" s="318" t="s">
        <v>1165</v>
      </c>
      <c r="D208" s="318" t="s">
        <v>57</v>
      </c>
      <c r="E208" s="318" t="s">
        <v>104</v>
      </c>
      <c r="F208" s="318"/>
      <c r="G208" s="318"/>
      <c r="H208" s="318" t="s">
        <v>165</v>
      </c>
      <c r="I208" s="318" t="s">
        <v>88</v>
      </c>
      <c r="J208" s="318" t="n">
        <v>3132884</v>
      </c>
      <c r="K208" s="318" t="s">
        <v>126</v>
      </c>
      <c r="L208" s="318" t="n">
        <v>64</v>
      </c>
      <c r="M208" s="318" t="n">
        <v>85</v>
      </c>
      <c r="N208" s="114" t="s">
        <v>37</v>
      </c>
      <c r="O208" s="318" t="s">
        <v>987</v>
      </c>
      <c r="P208" s="318" t="s">
        <v>216</v>
      </c>
      <c r="Q208" s="318" t="s">
        <v>283</v>
      </c>
      <c r="R208" s="318" t="s">
        <v>88</v>
      </c>
      <c r="S208" s="318" t="s">
        <v>165</v>
      </c>
      <c r="T208" s="318" t="s">
        <v>116</v>
      </c>
      <c r="U208" s="318" t="n">
        <v>5170706</v>
      </c>
      <c r="V208" s="318" t="n">
        <v>0</v>
      </c>
      <c r="W208" s="318" t="s">
        <v>47</v>
      </c>
      <c r="X208" s="318" t="s">
        <v>987</v>
      </c>
      <c r="Y208" s="318" t="s">
        <v>216</v>
      </c>
      <c r="Z208" s="318" t="s">
        <v>283</v>
      </c>
      <c r="AA208" s="318" t="s">
        <v>65</v>
      </c>
      <c r="AB208" s="318" t="s">
        <v>444</v>
      </c>
      <c r="AC208" s="318" t="s">
        <v>116</v>
      </c>
      <c r="AD208" s="318" t="n">
        <v>5230723</v>
      </c>
      <c r="AE208" s="318" t="n">
        <v>0</v>
      </c>
      <c r="AF208" s="114" t="s">
        <v>56</v>
      </c>
      <c r="AG208" s="318" t="s">
        <v>987</v>
      </c>
      <c r="AH208" s="318" t="s">
        <v>233</v>
      </c>
      <c r="AI208" s="318" t="s">
        <v>283</v>
      </c>
      <c r="AJ208" s="318" t="s">
        <v>88</v>
      </c>
      <c r="AK208" s="318" t="s">
        <v>165</v>
      </c>
      <c r="AL208" s="318" t="s">
        <v>116</v>
      </c>
      <c r="AM208" s="318" t="s">
        <v>217</v>
      </c>
      <c r="AN208" s="318" t="s">
        <v>217</v>
      </c>
      <c r="AO208" s="318" t="s">
        <v>217</v>
      </c>
      <c r="AP208" s="476" t="s">
        <v>217</v>
      </c>
      <c r="AQ208" s="476" t="s">
        <v>217</v>
      </c>
      <c r="AR208" s="6" t="s">
        <v>140</v>
      </c>
    </row>
    <row r="209" ht="26.25" customHeight="1">
      <c r="A209" s="318" t="s">
        <v>54</v>
      </c>
      <c r="B209" s="318" t="n">
        <v>2658073609</v>
      </c>
      <c r="C209" s="318" t="s">
        <v>298</v>
      </c>
      <c r="D209" s="318" t="s">
        <v>59</v>
      </c>
      <c r="E209" s="318" t="s">
        <v>112</v>
      </c>
      <c r="F209" s="318"/>
      <c r="G209" s="318" t="s">
        <v>533</v>
      </c>
      <c r="H209" s="318" t="s">
        <v>165</v>
      </c>
      <c r="I209" s="318" t="s">
        <v>88</v>
      </c>
      <c r="J209" s="318" t="n">
        <v>3132884</v>
      </c>
      <c r="K209" s="318" t="s">
        <v>126</v>
      </c>
      <c r="L209" s="318" t="n">
        <v>60</v>
      </c>
      <c r="M209" s="318" t="n">
        <v>79.5</v>
      </c>
      <c r="N209" s="318" t="s">
        <v>37</v>
      </c>
      <c r="O209" s="318" t="s">
        <v>987</v>
      </c>
      <c r="P209" s="318" t="s">
        <v>216</v>
      </c>
      <c r="Q209" s="318" t="s">
        <v>283</v>
      </c>
      <c r="R209" s="318" t="s">
        <v>88</v>
      </c>
      <c r="S209" s="318" t="s">
        <v>165</v>
      </c>
      <c r="T209" s="318" t="s">
        <v>116</v>
      </c>
      <c r="U209" s="318" t="n">
        <v>4513265</v>
      </c>
      <c r="V209" s="318" t="n">
        <v>0</v>
      </c>
      <c r="W209" s="318" t="s">
        <v>47</v>
      </c>
      <c r="X209" s="318" t="s">
        <v>987</v>
      </c>
      <c r="Y209" s="318" t="s">
        <v>215</v>
      </c>
      <c r="Z209" s="318" t="s">
        <v>283</v>
      </c>
      <c r="AA209" s="318" t="s">
        <v>88</v>
      </c>
      <c r="AB209" s="318" t="s">
        <v>165</v>
      </c>
      <c r="AC209" s="318" t="s">
        <v>116</v>
      </c>
      <c r="AD209" s="318" t="n">
        <v>5230723</v>
      </c>
      <c r="AE209" s="318" t="n">
        <v>0</v>
      </c>
      <c r="AF209" s="114" t="s">
        <v>56</v>
      </c>
      <c r="AG209" s="318" t="s">
        <v>987</v>
      </c>
      <c r="AH209" s="318" t="s">
        <v>233</v>
      </c>
      <c r="AI209" s="318" t="s">
        <v>283</v>
      </c>
      <c r="AJ209" s="318" t="s">
        <v>88</v>
      </c>
      <c r="AK209" s="318" t="s">
        <v>165</v>
      </c>
      <c r="AL209" s="318" t="s">
        <v>116</v>
      </c>
      <c r="AM209" s="318" t="s">
        <v>217</v>
      </c>
      <c r="AN209" s="318" t="s">
        <v>217</v>
      </c>
      <c r="AO209" s="318" t="s">
        <v>217</v>
      </c>
      <c r="AP209" s="318" t="s">
        <v>217</v>
      </c>
      <c r="AQ209" s="318" t="s">
        <v>217</v>
      </c>
      <c r="AR209" s="6" t="s">
        <v>140</v>
      </c>
    </row>
    <row r="210" ht="26.25" customHeight="1">
      <c r="A210" s="318" t="s">
        <v>54</v>
      </c>
      <c r="B210" s="318" t="n">
        <v>4836856814</v>
      </c>
      <c r="C210" s="318" t="s">
        <v>525</v>
      </c>
      <c r="D210" s="318" t="s">
        <v>55</v>
      </c>
      <c r="E210" s="318" t="s">
        <v>104</v>
      </c>
      <c r="F210" s="318"/>
      <c r="G210" s="318"/>
      <c r="H210" s="318" t="s">
        <v>165</v>
      </c>
      <c r="I210" s="318" t="s">
        <v>65</v>
      </c>
      <c r="J210" s="318" t="n">
        <v>5230732</v>
      </c>
      <c r="K210" s="318" t="s">
        <v>126</v>
      </c>
      <c r="L210" s="318" t="n">
        <v>86</v>
      </c>
      <c r="M210" s="318" t="n">
        <v>96</v>
      </c>
      <c r="N210" s="318" t="s">
        <v>35</v>
      </c>
      <c r="O210" s="318" t="s">
        <v>987</v>
      </c>
      <c r="P210" s="318" t="s">
        <v>245</v>
      </c>
      <c r="Q210" s="318" t="s">
        <v>234</v>
      </c>
      <c r="R210" s="318" t="s">
        <v>65</v>
      </c>
      <c r="S210" s="318" t="s">
        <v>165</v>
      </c>
      <c r="T210" s="318" t="s">
        <v>116</v>
      </c>
      <c r="U210" s="318" t="n">
        <v>5170706</v>
      </c>
      <c r="V210" s="318"/>
      <c r="W210" s="318" t="s">
        <v>47</v>
      </c>
      <c r="X210" s="318" t="s">
        <v>987</v>
      </c>
      <c r="Y210" s="318" t="s">
        <v>216</v>
      </c>
      <c r="Z210" s="318" t="s">
        <v>283</v>
      </c>
      <c r="AA210" s="318" t="s">
        <v>65</v>
      </c>
      <c r="AB210" s="318" t="s">
        <v>165</v>
      </c>
      <c r="AC210" s="318" t="s">
        <v>116</v>
      </c>
      <c r="AD210" s="318" t="n">
        <v>3132899</v>
      </c>
      <c r="AE210" s="318"/>
      <c r="AF210" s="318" t="s">
        <v>56</v>
      </c>
      <c r="AG210" s="318" t="s">
        <v>985</v>
      </c>
      <c r="AH210" s="318" t="s">
        <v>246</v>
      </c>
      <c r="AI210" s="318" t="s">
        <v>283</v>
      </c>
      <c r="AJ210" s="318" t="s">
        <v>65</v>
      </c>
      <c r="AK210" s="318" t="s">
        <v>165</v>
      </c>
      <c r="AL210" s="318" t="s">
        <v>116</v>
      </c>
      <c r="AM210" s="318"/>
      <c r="AN210" s="318"/>
      <c r="AO210" s="318"/>
      <c r="AP210" s="318"/>
      <c r="AQ210" s="318"/>
      <c r="AR210" s="6" t="s">
        <v>140</v>
      </c>
    </row>
    <row r="211" ht="26.25" customHeight="1">
      <c r="A211" s="318" t="s">
        <v>54</v>
      </c>
      <c r="B211" s="318" t="n">
        <v>4250803345</v>
      </c>
      <c r="C211" s="318" t="s">
        <v>1166</v>
      </c>
      <c r="D211" s="318" t="s">
        <v>55</v>
      </c>
      <c r="E211" s="318" t="s">
        <v>104</v>
      </c>
      <c r="F211" s="318"/>
      <c r="G211" s="318"/>
      <c r="H211" s="318" t="s">
        <v>165</v>
      </c>
      <c r="I211" s="318" t="s">
        <v>88</v>
      </c>
      <c r="J211" s="318" t="n">
        <v>3132884</v>
      </c>
      <c r="K211" s="318" t="s">
        <v>125</v>
      </c>
      <c r="L211" s="318" t="n">
        <v>68</v>
      </c>
      <c r="M211" s="318" t="s">
        <v>116</v>
      </c>
      <c r="N211" s="318" t="s">
        <v>37</v>
      </c>
      <c r="O211" s="318" t="s">
        <v>987</v>
      </c>
      <c r="P211" s="318" t="s">
        <v>216</v>
      </c>
      <c r="Q211" s="318" t="s">
        <v>283</v>
      </c>
      <c r="R211" s="318" t="s">
        <v>88</v>
      </c>
      <c r="S211" s="318" t="s">
        <v>165</v>
      </c>
      <c r="T211" s="318" t="s">
        <v>116</v>
      </c>
      <c r="U211" s="318" t="n">
        <v>4513265</v>
      </c>
      <c r="V211" s="318" t="n">
        <v>33</v>
      </c>
      <c r="W211" s="318" t="s">
        <v>47</v>
      </c>
      <c r="X211" s="318" t="s">
        <v>987</v>
      </c>
      <c r="Y211" s="318" t="s">
        <v>215</v>
      </c>
      <c r="Z211" s="318" t="s">
        <v>283</v>
      </c>
      <c r="AA211" s="318" t="s">
        <v>88</v>
      </c>
      <c r="AB211" s="318" t="s">
        <v>165</v>
      </c>
      <c r="AC211" s="318" t="s">
        <v>116</v>
      </c>
      <c r="AD211" s="318" t="n">
        <v>5230723</v>
      </c>
      <c r="AE211" s="318" t="n">
        <v>33</v>
      </c>
      <c r="AF211" s="318" t="s">
        <v>56</v>
      </c>
      <c r="AG211" s="318" t="s">
        <v>987</v>
      </c>
      <c r="AH211" s="318" t="s">
        <v>233</v>
      </c>
      <c r="AI211" s="318" t="s">
        <v>283</v>
      </c>
      <c r="AJ211" s="318" t="s">
        <v>88</v>
      </c>
      <c r="AK211" s="318" t="s">
        <v>165</v>
      </c>
      <c r="AL211" s="318" t="s">
        <v>116</v>
      </c>
      <c r="AM211" s="318" t="s">
        <v>217</v>
      </c>
      <c r="AN211" s="318" t="s">
        <v>217</v>
      </c>
      <c r="AO211" s="318" t="s">
        <v>218</v>
      </c>
      <c r="AP211" s="318" t="s">
        <v>217</v>
      </c>
      <c r="AQ211" s="318" t="s">
        <v>217</v>
      </c>
      <c r="AR211" s="6" t="s">
        <v>140</v>
      </c>
    </row>
    <row r="212" ht="26.25" customHeight="1">
      <c r="A212" s="318" t="s">
        <v>54</v>
      </c>
      <c r="B212" s="318" t="n">
        <v>4827301500</v>
      </c>
      <c r="C212" s="318" t="s">
        <v>959</v>
      </c>
      <c r="D212" s="318" t="s">
        <v>55</v>
      </c>
      <c r="E212" s="318" t="s">
        <v>104</v>
      </c>
      <c r="F212" s="318"/>
      <c r="G212" s="318"/>
      <c r="H212" s="318" t="s">
        <v>165</v>
      </c>
      <c r="I212" s="318" t="s">
        <v>101</v>
      </c>
      <c r="J212" s="318" t="n">
        <v>5111035</v>
      </c>
      <c r="K212" s="318" t="s">
        <v>126</v>
      </c>
      <c r="L212" s="318" t="n">
        <v>72</v>
      </c>
      <c r="M212" s="318" t="n">
        <v>90</v>
      </c>
      <c r="N212" s="318" t="s">
        <v>35</v>
      </c>
      <c r="O212" s="318" t="s">
        <v>986</v>
      </c>
      <c r="P212" s="318" t="s">
        <v>233</v>
      </c>
      <c r="Q212" s="318" t="s">
        <v>234</v>
      </c>
      <c r="R212" s="318" t="s">
        <v>101</v>
      </c>
      <c r="S212" s="318" t="s">
        <v>165</v>
      </c>
      <c r="T212" s="318" t="s">
        <v>116</v>
      </c>
      <c r="U212" s="318" t="n">
        <v>4513265</v>
      </c>
      <c r="V212" s="318" t="n">
        <v>0</v>
      </c>
      <c r="W212" s="318" t="s">
        <v>47</v>
      </c>
      <c r="X212" s="318" t="s">
        <v>987</v>
      </c>
      <c r="Y212" s="318" t="s">
        <v>215</v>
      </c>
      <c r="Z212" s="318" t="s">
        <v>283</v>
      </c>
      <c r="AA212" s="318" t="s">
        <v>88</v>
      </c>
      <c r="AB212" s="318" t="s">
        <v>444</v>
      </c>
      <c r="AC212" s="318" t="s">
        <v>116</v>
      </c>
      <c r="AD212" s="318" t="n">
        <v>4513388</v>
      </c>
      <c r="AE212" s="318" t="n">
        <v>39</v>
      </c>
      <c r="AF212" s="114" t="s">
        <v>56</v>
      </c>
      <c r="AG212" s="318" t="s">
        <v>985</v>
      </c>
      <c r="AH212" s="318" t="s">
        <v>216</v>
      </c>
      <c r="AI212" s="318" t="s">
        <v>283</v>
      </c>
      <c r="AJ212" s="318" t="s">
        <v>101</v>
      </c>
      <c r="AK212" s="318" t="s">
        <v>165</v>
      </c>
      <c r="AL212" s="318" t="s">
        <v>116</v>
      </c>
      <c r="AM212" s="318" t="s">
        <v>217</v>
      </c>
      <c r="AN212" s="318" t="s">
        <v>217</v>
      </c>
      <c r="AO212" s="318" t="s">
        <v>218</v>
      </c>
      <c r="AP212" s="476"/>
      <c r="AQ212" s="476"/>
      <c r="AR212" s="6" t="s">
        <v>139</v>
      </c>
    </row>
    <row r="213" ht="26.25" customHeight="1">
      <c r="A213" s="318" t="s">
        <v>85</v>
      </c>
      <c r="B213" s="318" t="n">
        <v>4831426265</v>
      </c>
      <c r="C213" s="318" t="s">
        <v>1167</v>
      </c>
      <c r="D213" s="318" t="s">
        <v>38</v>
      </c>
      <c r="E213" s="318" t="s">
        <v>104</v>
      </c>
      <c r="F213" s="318"/>
      <c r="G213" s="318"/>
      <c r="H213" s="318" t="s">
        <v>165</v>
      </c>
      <c r="I213" s="318" t="s">
        <v>101</v>
      </c>
      <c r="J213" s="318" t="n">
        <v>5230801</v>
      </c>
      <c r="K213" s="318" t="s">
        <v>126</v>
      </c>
      <c r="L213" s="318" t="n">
        <v>85</v>
      </c>
      <c r="M213" s="318" t="n">
        <v>95</v>
      </c>
      <c r="N213" s="318" t="s">
        <v>39</v>
      </c>
      <c r="O213" s="318" t="s">
        <v>991</v>
      </c>
      <c r="P213" s="318" t="s">
        <v>216</v>
      </c>
      <c r="Q213" s="318" t="s">
        <v>283</v>
      </c>
      <c r="R213" s="318" t="s">
        <v>101</v>
      </c>
      <c r="S213" s="318" t="s">
        <v>165</v>
      </c>
      <c r="T213" s="318" t="s">
        <v>116</v>
      </c>
      <c r="U213" s="318" t="n">
        <v>5230739</v>
      </c>
      <c r="V213" s="318"/>
      <c r="W213" s="318" t="s">
        <v>47</v>
      </c>
      <c r="X213" s="318" t="s">
        <v>991</v>
      </c>
      <c r="Y213" s="318" t="s">
        <v>215</v>
      </c>
      <c r="Z213" s="318" t="s">
        <v>283</v>
      </c>
      <c r="AA213" s="318" t="s">
        <v>101</v>
      </c>
      <c r="AB213" s="318" t="s">
        <v>165</v>
      </c>
      <c r="AC213" s="318" t="s">
        <v>116</v>
      </c>
      <c r="AD213" s="318" t="n">
        <v>5230788</v>
      </c>
      <c r="AE213" s="318"/>
      <c r="AF213" s="114" t="s">
        <v>52</v>
      </c>
      <c r="AG213" s="318" t="s">
        <v>991</v>
      </c>
      <c r="AH213" s="318" t="s">
        <v>233</v>
      </c>
      <c r="AI213" s="318" t="s">
        <v>283</v>
      </c>
      <c r="AJ213" s="318" t="s">
        <v>101</v>
      </c>
      <c r="AK213" s="318" t="s">
        <v>165</v>
      </c>
      <c r="AL213" s="318" t="s">
        <v>116</v>
      </c>
      <c r="AM213" s="318"/>
      <c r="AN213" s="318"/>
      <c r="AO213" s="318"/>
      <c r="AP213" s="476"/>
      <c r="AQ213" s="476"/>
      <c r="AR213" s="6" t="s">
        <v>140</v>
      </c>
    </row>
    <row r="214" ht="26.25" customHeight="1">
      <c r="A214" s="318" t="s">
        <v>54</v>
      </c>
      <c r="B214" s="318" t="n">
        <v>4486277372</v>
      </c>
      <c r="C214" s="318" t="s">
        <v>533</v>
      </c>
      <c r="D214" s="318" t="s">
        <v>59</v>
      </c>
      <c r="E214" s="318" t="s">
        <v>104</v>
      </c>
      <c r="F214" s="318"/>
      <c r="G214" s="318"/>
      <c r="H214" s="318" t="s">
        <v>165</v>
      </c>
      <c r="I214" s="318" t="s">
        <v>65</v>
      </c>
      <c r="J214" s="318" t="n">
        <v>5230732</v>
      </c>
      <c r="K214" s="318" t="s">
        <v>126</v>
      </c>
      <c r="L214" s="318" t="n">
        <v>88</v>
      </c>
      <c r="M214" s="318" t="n">
        <v>98</v>
      </c>
      <c r="N214" s="318" t="s">
        <v>35</v>
      </c>
      <c r="O214" s="318" t="s">
        <v>987</v>
      </c>
      <c r="P214" s="318" t="s">
        <v>245</v>
      </c>
      <c r="Q214" s="318" t="s">
        <v>234</v>
      </c>
      <c r="R214" s="318" t="s">
        <v>65</v>
      </c>
      <c r="S214" s="318" t="s">
        <v>165</v>
      </c>
      <c r="T214" s="318" t="s">
        <v>116</v>
      </c>
      <c r="U214" s="318" t="n">
        <v>5170706</v>
      </c>
      <c r="V214" s="318" t="n">
        <v>0</v>
      </c>
      <c r="W214" s="318" t="s">
        <v>47</v>
      </c>
      <c r="X214" s="318" t="s">
        <v>987</v>
      </c>
      <c r="Y214" s="318" t="s">
        <v>216</v>
      </c>
      <c r="Z214" s="318" t="s">
        <v>283</v>
      </c>
      <c r="AA214" s="318" t="s">
        <v>65</v>
      </c>
      <c r="AB214" s="318" t="s">
        <v>165</v>
      </c>
      <c r="AC214" s="318" t="s">
        <v>116</v>
      </c>
      <c r="AD214" s="318" t="n">
        <v>3132899</v>
      </c>
      <c r="AE214" s="318" t="n">
        <v>0</v>
      </c>
      <c r="AF214" s="318" t="s">
        <v>56</v>
      </c>
      <c r="AG214" s="318" t="s">
        <v>985</v>
      </c>
      <c r="AH214" s="318" t="s">
        <v>246</v>
      </c>
      <c r="AI214" s="318" t="s">
        <v>283</v>
      </c>
      <c r="AJ214" s="318" t="s">
        <v>65</v>
      </c>
      <c r="AK214" s="318" t="s">
        <v>165</v>
      </c>
      <c r="AL214" s="318" t="s">
        <v>116</v>
      </c>
      <c r="AM214" s="318" t="s">
        <v>217</v>
      </c>
      <c r="AN214" s="318" t="s">
        <v>217</v>
      </c>
      <c r="AO214" s="318" t="s">
        <v>218</v>
      </c>
      <c r="AP214" s="318"/>
      <c r="AQ214" s="318"/>
      <c r="AR214" s="6" t="s">
        <v>140</v>
      </c>
    </row>
    <row r="215" ht="26.25" customHeight="1">
      <c r="A215" s="318" t="s">
        <v>54</v>
      </c>
      <c r="B215" s="318" t="n">
        <v>4828248928</v>
      </c>
      <c r="C215" s="318" t="s">
        <v>1168</v>
      </c>
      <c r="D215" s="318" t="s">
        <v>36</v>
      </c>
      <c r="E215" s="318" t="s">
        <v>112</v>
      </c>
      <c r="F215" s="318"/>
      <c r="G215" s="318" t="s">
        <v>1077</v>
      </c>
      <c r="H215" s="318" t="s">
        <v>165</v>
      </c>
      <c r="I215" s="318" t="s">
        <v>88</v>
      </c>
      <c r="J215" s="318" t="n">
        <v>3132884</v>
      </c>
      <c r="K215" s="318" t="s">
        <v>125</v>
      </c>
      <c r="L215" s="318" t="n">
        <v>60</v>
      </c>
      <c r="M215" s="318" t="s">
        <v>116</v>
      </c>
      <c r="N215" s="318" t="s">
        <v>37</v>
      </c>
      <c r="O215" s="318" t="s">
        <v>987</v>
      </c>
      <c r="P215" s="318" t="s">
        <v>216</v>
      </c>
      <c r="Q215" s="318" t="s">
        <v>283</v>
      </c>
      <c r="R215" s="318" t="s">
        <v>88</v>
      </c>
      <c r="S215" s="318" t="s">
        <v>165</v>
      </c>
      <c r="T215" s="318" t="s">
        <v>217</v>
      </c>
      <c r="U215" s="318" t="n">
        <v>4513265</v>
      </c>
      <c r="V215" s="318" t="n">
        <v>32</v>
      </c>
      <c r="W215" s="318" t="s">
        <v>47</v>
      </c>
      <c r="X215" s="318" t="s">
        <v>987</v>
      </c>
      <c r="Y215" s="318" t="s">
        <v>215</v>
      </c>
      <c r="Z215" s="318" t="s">
        <v>283</v>
      </c>
      <c r="AA215" s="318" t="s">
        <v>88</v>
      </c>
      <c r="AB215" s="318" t="s">
        <v>165</v>
      </c>
      <c r="AC215" s="318" t="s">
        <v>116</v>
      </c>
      <c r="AD215" s="318" t="n">
        <v>5230723</v>
      </c>
      <c r="AE215" s="318" t="n">
        <v>31</v>
      </c>
      <c r="AF215" s="318" t="s">
        <v>56</v>
      </c>
      <c r="AG215" s="318" t="s">
        <v>987</v>
      </c>
      <c r="AH215" s="318" t="s">
        <v>233</v>
      </c>
      <c r="AI215" s="318" t="s">
        <v>283</v>
      </c>
      <c r="AJ215" s="318" t="s">
        <v>88</v>
      </c>
      <c r="AK215" s="318" t="s">
        <v>165</v>
      </c>
      <c r="AL215" s="318" t="s">
        <v>217</v>
      </c>
      <c r="AM215" s="318" t="s">
        <v>217</v>
      </c>
      <c r="AN215" s="318" t="s">
        <v>217</v>
      </c>
      <c r="AO215" s="318" t="s">
        <v>218</v>
      </c>
      <c r="AP215" s="318" t="s">
        <v>217</v>
      </c>
      <c r="AQ215" s="318" t="s">
        <v>218</v>
      </c>
      <c r="AR215" s="6" t="s">
        <v>140</v>
      </c>
      <c r="AS215" s="6" t="s">
        <v>217</v>
      </c>
    </row>
    <row r="216" ht="26.25" customHeight="1">
      <c r="A216" s="318" t="s">
        <v>45</v>
      </c>
      <c r="B216" s="318" t="n">
        <v>4823074947</v>
      </c>
      <c r="C216" s="318" t="s">
        <v>1169</v>
      </c>
      <c r="D216" s="318" t="s">
        <v>48</v>
      </c>
      <c r="E216" s="318" t="s">
        <v>104</v>
      </c>
      <c r="F216" s="318"/>
      <c r="G216" s="318"/>
      <c r="H216" s="318" t="s">
        <v>165</v>
      </c>
      <c r="I216" s="318" t="s">
        <v>88</v>
      </c>
      <c r="J216" s="318" t="n">
        <v>3132897</v>
      </c>
      <c r="K216" s="318" t="s">
        <v>126</v>
      </c>
      <c r="L216" s="318" t="n">
        <v>72</v>
      </c>
      <c r="M216" s="318" t="n">
        <v>90</v>
      </c>
      <c r="N216" s="114" t="s">
        <v>31</v>
      </c>
      <c r="O216" s="318" t="s">
        <v>989</v>
      </c>
      <c r="P216" s="318" t="s">
        <v>215</v>
      </c>
      <c r="Q216" s="318" t="s">
        <v>283</v>
      </c>
      <c r="R216" s="318" t="s">
        <v>88</v>
      </c>
      <c r="S216" s="318" t="s">
        <v>165</v>
      </c>
      <c r="T216" s="318" t="s">
        <v>116</v>
      </c>
      <c r="U216" s="318" t="n">
        <v>5230722</v>
      </c>
      <c r="V216" s="318" t="n">
        <v>0</v>
      </c>
      <c r="W216" s="318" t="s">
        <v>47</v>
      </c>
      <c r="X216" s="318" t="s">
        <v>989</v>
      </c>
      <c r="Y216" s="318" t="s">
        <v>233</v>
      </c>
      <c r="Z216" s="318" t="s">
        <v>283</v>
      </c>
      <c r="AA216" s="318" t="s">
        <v>88</v>
      </c>
      <c r="AB216" s="318" t="s">
        <v>165</v>
      </c>
      <c r="AC216" s="318" t="s">
        <v>116</v>
      </c>
      <c r="AD216" s="318" t="n">
        <v>5230737</v>
      </c>
      <c r="AE216" s="318" t="n">
        <v>0</v>
      </c>
      <c r="AF216" s="114" t="s">
        <v>58</v>
      </c>
      <c r="AG216" s="318" t="s">
        <v>989</v>
      </c>
      <c r="AH216" s="318" t="s">
        <v>216</v>
      </c>
      <c r="AI216" s="318" t="s">
        <v>283</v>
      </c>
      <c r="AJ216" s="318" t="s">
        <v>88</v>
      </c>
      <c r="AK216" s="318" t="s">
        <v>165</v>
      </c>
      <c r="AL216" s="318" t="s">
        <v>217</v>
      </c>
      <c r="AM216" s="318" t="s">
        <v>217</v>
      </c>
      <c r="AN216" s="318" t="s">
        <v>217</v>
      </c>
      <c r="AO216" s="318" t="s">
        <v>217</v>
      </c>
      <c r="AP216" s="476" t="s">
        <v>217</v>
      </c>
      <c r="AQ216" s="476" t="s">
        <v>217</v>
      </c>
      <c r="AR216" s="6" t="s">
        <v>140</v>
      </c>
      <c r="AS216" s="6" t="s">
        <v>217</v>
      </c>
    </row>
    <row r="217" ht="26.25" customHeight="1">
      <c r="A217" s="318" t="s">
        <v>54</v>
      </c>
      <c r="B217" s="318" t="n">
        <v>4837163177</v>
      </c>
      <c r="C217" s="318" t="s">
        <v>541</v>
      </c>
      <c r="D217" s="318" t="s">
        <v>55</v>
      </c>
      <c r="E217" s="318" t="s">
        <v>104</v>
      </c>
      <c r="F217" s="318"/>
      <c r="G217" s="318"/>
      <c r="H217" s="318" t="s">
        <v>165</v>
      </c>
      <c r="I217" s="318" t="s">
        <v>65</v>
      </c>
      <c r="J217" s="318" t="n">
        <v>5230742</v>
      </c>
      <c r="K217" s="318" t="s">
        <v>126</v>
      </c>
      <c r="L217" s="318" t="n">
        <v>60</v>
      </c>
      <c r="M217" s="318" t="n">
        <v>80</v>
      </c>
      <c r="N217" s="318" t="s">
        <v>35</v>
      </c>
      <c r="O217" s="318" t="s">
        <v>986</v>
      </c>
      <c r="P217" s="318" t="s">
        <v>216</v>
      </c>
      <c r="Q217" s="318" t="s">
        <v>283</v>
      </c>
      <c r="R217" s="318" t="s">
        <v>65</v>
      </c>
      <c r="S217" s="318" t="s">
        <v>165</v>
      </c>
      <c r="T217" s="318" t="s">
        <v>116</v>
      </c>
      <c r="U217" s="318" t="n">
        <v>5230773</v>
      </c>
      <c r="V217" s="318"/>
      <c r="W217" s="318" t="s">
        <v>49</v>
      </c>
      <c r="X217" s="318" t="s">
        <v>986</v>
      </c>
      <c r="Y217" s="318" t="s">
        <v>233</v>
      </c>
      <c r="Z217" s="318" t="s">
        <v>283</v>
      </c>
      <c r="AA217" s="318" t="s">
        <v>65</v>
      </c>
      <c r="AB217" s="318" t="s">
        <v>165</v>
      </c>
      <c r="AC217" s="318" t="s">
        <v>116</v>
      </c>
      <c r="AD217" s="318" t="n">
        <v>3132888</v>
      </c>
      <c r="AE217" s="318"/>
      <c r="AF217" s="318" t="s">
        <v>56</v>
      </c>
      <c r="AG217" s="318" t="s">
        <v>986</v>
      </c>
      <c r="AH217" s="318" t="s">
        <v>215</v>
      </c>
      <c r="AI217" s="318" t="s">
        <v>283</v>
      </c>
      <c r="AJ217" s="318" t="s">
        <v>65</v>
      </c>
      <c r="AK217" s="318" t="s">
        <v>165</v>
      </c>
      <c r="AL217" s="318" t="s">
        <v>116</v>
      </c>
      <c r="AM217" s="318"/>
      <c r="AN217" s="318"/>
      <c r="AO217" s="318"/>
      <c r="AP217" s="318"/>
      <c r="AQ217" s="318"/>
      <c r="AR217" s="6" t="s">
        <v>140</v>
      </c>
    </row>
    <row r="218" ht="26.25" customHeight="1">
      <c r="A218" s="318" t="s">
        <v>54</v>
      </c>
      <c r="B218" s="318" t="n">
        <v>4090630208</v>
      </c>
      <c r="C218" s="318" t="s">
        <v>548</v>
      </c>
      <c r="D218" s="318" t="s">
        <v>55</v>
      </c>
      <c r="E218" s="318" t="s">
        <v>104</v>
      </c>
      <c r="F218" s="318" t="s">
        <v>1170</v>
      </c>
      <c r="G218" s="318"/>
      <c r="H218" s="318" t="s">
        <v>165</v>
      </c>
      <c r="I218" s="318" t="s">
        <v>101</v>
      </c>
      <c r="J218" s="318" t="n">
        <v>5111035</v>
      </c>
      <c r="K218" s="318" t="s">
        <v>126</v>
      </c>
      <c r="L218" s="318" t="n">
        <v>75</v>
      </c>
      <c r="M218" s="318" t="n">
        <v>93</v>
      </c>
      <c r="N218" s="318" t="s">
        <v>35</v>
      </c>
      <c r="O218" s="318" t="s">
        <v>986</v>
      </c>
      <c r="P218" s="318" t="s">
        <v>233</v>
      </c>
      <c r="Q218" s="318" t="s">
        <v>234</v>
      </c>
      <c r="R218" s="318" t="s">
        <v>101</v>
      </c>
      <c r="S218" s="318" t="s">
        <v>165</v>
      </c>
      <c r="T218" s="318" t="s">
        <v>116</v>
      </c>
      <c r="U218" s="318" t="s">
        <v>116</v>
      </c>
      <c r="V218" s="318"/>
      <c r="W218" s="318" t="s">
        <v>116</v>
      </c>
      <c r="X218" s="318" t="s">
        <v>116</v>
      </c>
      <c r="Y218" s="318" t="s">
        <v>116</v>
      </c>
      <c r="Z218" s="318" t="s">
        <v>116</v>
      </c>
      <c r="AA218" s="318" t="s">
        <v>116</v>
      </c>
      <c r="AB218" s="318" t="s">
        <v>116</v>
      </c>
      <c r="AC218" s="318" t="s">
        <v>116</v>
      </c>
      <c r="AD218" s="318" t="s">
        <v>116</v>
      </c>
      <c r="AE218" s="318"/>
      <c r="AF218" s="114" t="s">
        <v>116</v>
      </c>
      <c r="AG218" s="318" t="s">
        <v>116</v>
      </c>
      <c r="AH218" s="318" t="s">
        <v>116</v>
      </c>
      <c r="AI218" s="318" t="s">
        <v>116</v>
      </c>
      <c r="AJ218" s="318" t="s">
        <v>116</v>
      </c>
      <c r="AK218" s="318" t="s">
        <v>116</v>
      </c>
      <c r="AL218" s="318" t="s">
        <v>116</v>
      </c>
      <c r="AM218" s="318"/>
      <c r="AN218" s="318" t="s">
        <v>217</v>
      </c>
      <c r="AO218" s="318" t="s">
        <v>218</v>
      </c>
      <c r="AP218" s="318"/>
      <c r="AQ218" s="318"/>
      <c r="AR218" s="6" t="s">
        <v>140</v>
      </c>
    </row>
    <row r="219" ht="26.25" customHeight="1">
      <c r="A219" s="318" t="s">
        <v>45</v>
      </c>
      <c r="B219" s="318" t="n">
        <v>2418049678</v>
      </c>
      <c r="C219" s="318" t="s">
        <v>1171</v>
      </c>
      <c r="D219" s="318" t="s">
        <v>38</v>
      </c>
      <c r="E219" s="318" t="s">
        <v>112</v>
      </c>
      <c r="F219" s="318"/>
      <c r="G219" s="318" t="s">
        <v>1172</v>
      </c>
      <c r="H219" s="318" t="s">
        <v>165</v>
      </c>
      <c r="I219" s="318" t="s">
        <v>88</v>
      </c>
      <c r="J219" s="318" t="n">
        <v>5230814</v>
      </c>
      <c r="K219" s="318" t="s">
        <v>125</v>
      </c>
      <c r="L219" s="318" t="n">
        <v>118</v>
      </c>
      <c r="M219" s="318" t="s">
        <v>116</v>
      </c>
      <c r="N219" s="318" t="s">
        <v>31</v>
      </c>
      <c r="O219" s="318" t="s">
        <v>997</v>
      </c>
      <c r="P219" s="318" t="s">
        <v>246</v>
      </c>
      <c r="Q219" s="318" t="s">
        <v>234</v>
      </c>
      <c r="R219" s="318" t="s">
        <v>88</v>
      </c>
      <c r="S219" s="318" t="s">
        <v>165</v>
      </c>
      <c r="T219" s="318" t="s">
        <v>116</v>
      </c>
      <c r="U219" s="318" t="n">
        <v>3132905</v>
      </c>
      <c r="V219" s="318" t="n">
        <v>40</v>
      </c>
      <c r="W219" s="318" t="s">
        <v>43</v>
      </c>
      <c r="X219" s="318" t="s">
        <v>997</v>
      </c>
      <c r="Y219" s="318" t="s">
        <v>216</v>
      </c>
      <c r="Z219" s="318" t="s">
        <v>283</v>
      </c>
      <c r="AA219" s="318" t="s">
        <v>88</v>
      </c>
      <c r="AB219" s="318" t="s">
        <v>165</v>
      </c>
      <c r="AC219" s="318" t="s">
        <v>116</v>
      </c>
      <c r="AD219" s="318" t="n">
        <v>5230765</v>
      </c>
      <c r="AE219" s="318" t="n">
        <v>30</v>
      </c>
      <c r="AF219" s="114" t="s">
        <v>52</v>
      </c>
      <c r="AG219" s="318" t="s">
        <v>997</v>
      </c>
      <c r="AH219" s="318" t="s">
        <v>215</v>
      </c>
      <c r="AI219" s="318" t="s">
        <v>283</v>
      </c>
      <c r="AJ219" s="318" t="s">
        <v>88</v>
      </c>
      <c r="AK219" s="318" t="s">
        <v>165</v>
      </c>
      <c r="AL219" s="318" t="s">
        <v>116</v>
      </c>
      <c r="AM219" s="318" t="s">
        <v>217</v>
      </c>
      <c r="AN219" s="318" t="s">
        <v>217</v>
      </c>
      <c r="AO219" s="318" t="s">
        <v>218</v>
      </c>
      <c r="AP219" s="318" t="s">
        <v>217</v>
      </c>
      <c r="AQ219" s="318" t="s">
        <v>217</v>
      </c>
      <c r="AR219" s="6" t="s">
        <v>140</v>
      </c>
    </row>
    <row r="220" ht="26.25" customHeight="1">
      <c r="A220" s="318" t="s">
        <v>54</v>
      </c>
      <c r="B220" s="318" t="n">
        <v>4739025925</v>
      </c>
      <c r="C220" s="318" t="s">
        <v>1173</v>
      </c>
      <c r="D220" s="318" t="s">
        <v>57</v>
      </c>
      <c r="E220" s="318" t="s">
        <v>104</v>
      </c>
      <c r="F220" s="318"/>
      <c r="G220" s="318"/>
      <c r="H220" s="318" t="s">
        <v>1123</v>
      </c>
      <c r="I220" s="318" t="s">
        <v>116</v>
      </c>
      <c r="J220" s="318" t="n">
        <v>5111034</v>
      </c>
      <c r="K220" s="318" t="s">
        <v>126</v>
      </c>
      <c r="L220" s="318" t="n">
        <v>64</v>
      </c>
      <c r="M220" s="318" t="n">
        <v>85</v>
      </c>
      <c r="N220" s="318" t="s">
        <v>37</v>
      </c>
      <c r="O220" s="318" t="s">
        <v>1030</v>
      </c>
      <c r="P220" s="318" t="s">
        <v>216</v>
      </c>
      <c r="Q220" s="318" t="s">
        <v>283</v>
      </c>
      <c r="R220" s="318" t="s">
        <v>100</v>
      </c>
      <c r="S220" s="318" t="s">
        <v>444</v>
      </c>
      <c r="T220" s="318" t="s">
        <v>116</v>
      </c>
      <c r="U220" s="318" t="n">
        <v>5230747</v>
      </c>
      <c r="V220" s="318" t="n">
        <v>0</v>
      </c>
      <c r="W220" s="318" t="s">
        <v>49</v>
      </c>
      <c r="X220" s="318" t="s">
        <v>987</v>
      </c>
      <c r="Y220" s="318" t="s">
        <v>215</v>
      </c>
      <c r="Z220" s="318" t="s">
        <v>283</v>
      </c>
      <c r="AA220" s="318" t="s">
        <v>101</v>
      </c>
      <c r="AB220" s="318" t="s">
        <v>444</v>
      </c>
      <c r="AC220" s="318" t="s">
        <v>116</v>
      </c>
      <c r="AD220" s="318" t="n">
        <v>5230821</v>
      </c>
      <c r="AE220" s="318" t="n">
        <v>0</v>
      </c>
      <c r="AF220" s="318" t="s">
        <v>56</v>
      </c>
      <c r="AG220" s="318" t="s">
        <v>987</v>
      </c>
      <c r="AH220" s="318" t="s">
        <v>233</v>
      </c>
      <c r="AI220" s="318" t="s">
        <v>283</v>
      </c>
      <c r="AJ220" s="318" t="s">
        <v>101</v>
      </c>
      <c r="AK220" s="318" t="s">
        <v>444</v>
      </c>
      <c r="AL220" s="318" t="s">
        <v>116</v>
      </c>
      <c r="AM220" s="318"/>
      <c r="AN220" s="318"/>
      <c r="AO220" s="318"/>
      <c r="AP220" s="318"/>
      <c r="AQ220" s="318"/>
      <c r="AR220" s="6" t="s">
        <v>1124</v>
      </c>
    </row>
    <row r="221" ht="26.25" customHeight="1">
      <c r="A221" s="318" t="s">
        <v>54</v>
      </c>
      <c r="B221" s="318" t="n">
        <v>2922308038</v>
      </c>
      <c r="C221" s="318" t="s">
        <v>552</v>
      </c>
      <c r="D221" s="318" t="s">
        <v>55</v>
      </c>
      <c r="E221" s="318" t="s">
        <v>104</v>
      </c>
      <c r="F221" s="318"/>
      <c r="G221" s="318"/>
      <c r="H221" s="318" t="s">
        <v>165</v>
      </c>
      <c r="I221" s="318" t="s">
        <v>101</v>
      </c>
      <c r="J221" s="318" t="n">
        <v>5111035</v>
      </c>
      <c r="K221" s="318" t="s">
        <v>126</v>
      </c>
      <c r="L221" s="318" t="n">
        <v>72</v>
      </c>
      <c r="M221" s="318" t="n">
        <v>90</v>
      </c>
      <c r="N221" s="318" t="s">
        <v>35</v>
      </c>
      <c r="O221" s="318" t="s">
        <v>986</v>
      </c>
      <c r="P221" s="318" t="s">
        <v>233</v>
      </c>
      <c r="Q221" s="318" t="s">
        <v>234</v>
      </c>
      <c r="R221" s="318" t="s">
        <v>101</v>
      </c>
      <c r="S221" s="318" t="s">
        <v>165</v>
      </c>
      <c r="T221" s="318" t="s">
        <v>116</v>
      </c>
      <c r="U221" s="318" t="n">
        <v>5170873</v>
      </c>
      <c r="V221" s="318"/>
      <c r="W221" s="318" t="s">
        <v>47</v>
      </c>
      <c r="X221" s="318" t="s">
        <v>986</v>
      </c>
      <c r="Y221" s="318" t="s">
        <v>216</v>
      </c>
      <c r="Z221" s="318" t="s">
        <v>283</v>
      </c>
      <c r="AA221" s="318" t="s">
        <v>101</v>
      </c>
      <c r="AB221" s="318" t="s">
        <v>165</v>
      </c>
      <c r="AC221" s="318" t="s">
        <v>116</v>
      </c>
      <c r="AD221" s="318" t="n">
        <v>5230821</v>
      </c>
      <c r="AE221" s="318"/>
      <c r="AF221" s="114" t="s">
        <v>56</v>
      </c>
      <c r="AG221" s="318" t="s">
        <v>987</v>
      </c>
      <c r="AH221" s="318" t="s">
        <v>233</v>
      </c>
      <c r="AI221" s="318" t="s">
        <v>283</v>
      </c>
      <c r="AJ221" s="318" t="s">
        <v>101</v>
      </c>
      <c r="AK221" s="318" t="s">
        <v>165</v>
      </c>
      <c r="AL221" s="318" t="s">
        <v>116</v>
      </c>
      <c r="AM221" s="318"/>
      <c r="AN221" s="318"/>
      <c r="AO221" s="318"/>
      <c r="AP221" s="318"/>
      <c r="AQ221" s="318"/>
      <c r="AR221" s="6" t="s">
        <v>140</v>
      </c>
    </row>
    <row r="222" ht="26.25" customHeight="1">
      <c r="A222" s="318" t="s">
        <v>85</v>
      </c>
      <c r="B222" s="318" t="n">
        <v>4060101914</v>
      </c>
      <c r="C222" s="318" t="s">
        <v>557</v>
      </c>
      <c r="D222" s="318" t="s">
        <v>34</v>
      </c>
      <c r="E222" s="318" t="s">
        <v>115</v>
      </c>
      <c r="F222" s="318"/>
      <c r="G222" s="318"/>
      <c r="H222" s="318" t="s">
        <v>165</v>
      </c>
      <c r="I222" s="318" t="s">
        <v>101</v>
      </c>
      <c r="J222" s="318" t="n">
        <v>3132902</v>
      </c>
      <c r="K222" s="318" t="s">
        <v>125</v>
      </c>
      <c r="L222" s="318" t="n">
        <v>100</v>
      </c>
      <c r="M222" s="318" t="s">
        <v>116</v>
      </c>
      <c r="N222" s="318" t="s">
        <v>31</v>
      </c>
      <c r="O222" s="318" t="s">
        <v>987</v>
      </c>
      <c r="P222" s="318" t="s">
        <v>216</v>
      </c>
      <c r="Q222" s="318" t="s">
        <v>283</v>
      </c>
      <c r="R222" s="318" t="s">
        <v>101</v>
      </c>
      <c r="S222" s="318" t="s">
        <v>165</v>
      </c>
      <c r="T222" s="318" t="s">
        <v>116</v>
      </c>
      <c r="U222" s="318" t="n">
        <v>5230739</v>
      </c>
      <c r="V222" s="318" t="n">
        <v>40</v>
      </c>
      <c r="W222" s="318" t="s">
        <v>47</v>
      </c>
      <c r="X222" s="318" t="s">
        <v>991</v>
      </c>
      <c r="Y222" s="318" t="s">
        <v>215</v>
      </c>
      <c r="Z222" s="318" t="s">
        <v>283</v>
      </c>
      <c r="AA222" s="318" t="s">
        <v>101</v>
      </c>
      <c r="AB222" s="318" t="s">
        <v>165</v>
      </c>
      <c r="AC222" s="318" t="s">
        <v>116</v>
      </c>
      <c r="AD222" s="318" t="n">
        <v>5230788</v>
      </c>
      <c r="AE222" s="318" t="n">
        <v>39</v>
      </c>
      <c r="AF222" s="114" t="s">
        <v>52</v>
      </c>
      <c r="AG222" s="318" t="s">
        <v>991</v>
      </c>
      <c r="AH222" s="318" t="s">
        <v>233</v>
      </c>
      <c r="AI222" s="318" t="s">
        <v>283</v>
      </c>
      <c r="AJ222" s="318" t="s">
        <v>101</v>
      </c>
      <c r="AK222" s="318" t="s">
        <v>165</v>
      </c>
      <c r="AL222" s="318" t="s">
        <v>116</v>
      </c>
      <c r="AM222" s="318"/>
      <c r="AN222" s="318"/>
      <c r="AO222" s="318"/>
      <c r="AP222" s="318"/>
      <c r="AQ222" s="318"/>
      <c r="AR222" s="6" t="s">
        <v>140</v>
      </c>
    </row>
    <row r="223" ht="26.25" customHeight="1">
      <c r="A223" s="318" t="s">
        <v>54</v>
      </c>
      <c r="B223" s="318" t="n">
        <v>2774776683</v>
      </c>
      <c r="C223" s="318" t="s">
        <v>1174</v>
      </c>
      <c r="D223" s="318" t="s">
        <v>50</v>
      </c>
      <c r="E223" s="318" t="s">
        <v>104</v>
      </c>
      <c r="F223" s="318"/>
      <c r="G223" s="318"/>
      <c r="H223" s="318" t="s">
        <v>165</v>
      </c>
      <c r="I223" s="318" t="s">
        <v>100</v>
      </c>
      <c r="J223" s="318" t="n">
        <v>4513341</v>
      </c>
      <c r="K223" s="318" t="s">
        <v>126</v>
      </c>
      <c r="L223" s="318" t="n">
        <v>87</v>
      </c>
      <c r="M223" s="318" t="n">
        <v>97</v>
      </c>
      <c r="N223" s="318" t="s">
        <v>31</v>
      </c>
      <c r="O223" s="318" t="s">
        <v>987</v>
      </c>
      <c r="P223" s="318" t="s">
        <v>233</v>
      </c>
      <c r="Q223" s="318" t="s">
        <v>234</v>
      </c>
      <c r="R223" s="318" t="s">
        <v>100</v>
      </c>
      <c r="S223" s="318" t="s">
        <v>165</v>
      </c>
      <c r="T223" s="318" t="s">
        <v>116</v>
      </c>
      <c r="U223" s="318" t="n">
        <v>3132846</v>
      </c>
      <c r="V223" s="318" t="n">
        <v>0</v>
      </c>
      <c r="W223" s="318" t="s">
        <v>43</v>
      </c>
      <c r="X223" s="318" t="s">
        <v>987</v>
      </c>
      <c r="Y223" s="318" t="s">
        <v>216</v>
      </c>
      <c r="Z223" s="318" t="s">
        <v>283</v>
      </c>
      <c r="AA223" s="318" t="s">
        <v>100</v>
      </c>
      <c r="AB223" s="318" t="s">
        <v>165</v>
      </c>
      <c r="AC223" s="318" t="s">
        <v>116</v>
      </c>
      <c r="AD223" s="318" t="n">
        <v>5230738</v>
      </c>
      <c r="AE223" s="318" t="n">
        <v>0</v>
      </c>
      <c r="AF223" s="114" t="s">
        <v>58</v>
      </c>
      <c r="AG223" s="318" t="s">
        <v>987</v>
      </c>
      <c r="AH223" s="318" t="s">
        <v>215</v>
      </c>
      <c r="AI223" s="318" t="s">
        <v>283</v>
      </c>
      <c r="AJ223" s="318" t="s">
        <v>100</v>
      </c>
      <c r="AK223" s="318" t="s">
        <v>165</v>
      </c>
      <c r="AL223" s="318" t="s">
        <v>116</v>
      </c>
      <c r="AM223" s="318"/>
      <c r="AN223" s="318"/>
      <c r="AO223" s="318"/>
      <c r="AP223" s="318"/>
      <c r="AQ223" s="318"/>
      <c r="AR223" s="6" t="s">
        <v>140</v>
      </c>
    </row>
    <row r="224" ht="26.25" customHeight="1">
      <c r="A224" s="318" t="s">
        <v>54</v>
      </c>
      <c r="B224" s="318" t="n">
        <v>2516986556</v>
      </c>
      <c r="C224" s="318" t="s">
        <v>563</v>
      </c>
      <c r="D224" s="318" t="s">
        <v>38</v>
      </c>
      <c r="E224" s="318" t="s">
        <v>104</v>
      </c>
      <c r="F224" s="318"/>
      <c r="G224" s="318"/>
      <c r="H224" s="318" t="s">
        <v>165</v>
      </c>
      <c r="I224" s="318" t="s">
        <v>1079</v>
      </c>
      <c r="J224" s="318" t="n">
        <v>4513341</v>
      </c>
      <c r="K224" s="318" t="s">
        <v>126</v>
      </c>
      <c r="L224" s="318" t="n">
        <v>75</v>
      </c>
      <c r="M224" s="318" t="n">
        <v>93</v>
      </c>
      <c r="N224" s="114" t="s">
        <v>31</v>
      </c>
      <c r="O224" s="318" t="s">
        <v>987</v>
      </c>
      <c r="P224" s="318" t="s">
        <v>233</v>
      </c>
      <c r="Q224" s="318" t="s">
        <v>234</v>
      </c>
      <c r="R224" s="318" t="s">
        <v>100</v>
      </c>
      <c r="S224" s="318" t="s">
        <v>165</v>
      </c>
      <c r="T224" s="318" t="s">
        <v>116</v>
      </c>
      <c r="U224" s="318" t="n">
        <v>5170706</v>
      </c>
      <c r="V224" s="318"/>
      <c r="W224" s="318" t="s">
        <v>47</v>
      </c>
      <c r="X224" s="318" t="s">
        <v>987</v>
      </c>
      <c r="Y224" s="318" t="s">
        <v>216</v>
      </c>
      <c r="Z224" s="318" t="s">
        <v>283</v>
      </c>
      <c r="AA224" s="318" t="s">
        <v>65</v>
      </c>
      <c r="AB224" s="318" t="s">
        <v>165</v>
      </c>
      <c r="AC224" s="318" t="s">
        <v>116</v>
      </c>
      <c r="AD224" s="318" t="n">
        <v>5230738</v>
      </c>
      <c r="AE224" s="318"/>
      <c r="AF224" s="114" t="s">
        <v>58</v>
      </c>
      <c r="AG224" s="318" t="s">
        <v>987</v>
      </c>
      <c r="AH224" s="318" t="s">
        <v>215</v>
      </c>
      <c r="AI224" s="318" t="s">
        <v>283</v>
      </c>
      <c r="AJ224" s="318" t="s">
        <v>100</v>
      </c>
      <c r="AK224" s="318" t="s">
        <v>165</v>
      </c>
      <c r="AL224" s="318" t="s">
        <v>116</v>
      </c>
      <c r="AM224" s="318"/>
      <c r="AN224" s="318"/>
      <c r="AO224" s="318"/>
      <c r="AP224" s="476"/>
      <c r="AQ224" s="476"/>
      <c r="AR224" s="6" t="s">
        <v>140</v>
      </c>
    </row>
    <row r="225" ht="26.25" customHeight="1">
      <c r="A225" s="318" t="s">
        <v>54</v>
      </c>
      <c r="B225" s="318" t="n">
        <v>2500666341</v>
      </c>
      <c r="C225" s="318" t="s">
        <v>569</v>
      </c>
      <c r="D225" s="318" t="s">
        <v>59</v>
      </c>
      <c r="E225" s="318" t="s">
        <v>104</v>
      </c>
      <c r="F225" s="318"/>
      <c r="G225" s="318"/>
      <c r="H225" s="318" t="s">
        <v>165</v>
      </c>
      <c r="I225" s="318" t="s">
        <v>65</v>
      </c>
      <c r="J225" s="318" t="n">
        <v>5230732</v>
      </c>
      <c r="K225" s="318" t="s">
        <v>125</v>
      </c>
      <c r="L225" s="318" t="n">
        <v>99</v>
      </c>
      <c r="M225" s="318" t="s">
        <v>116</v>
      </c>
      <c r="N225" s="318" t="s">
        <v>35</v>
      </c>
      <c r="O225" s="318" t="s">
        <v>987</v>
      </c>
      <c r="P225" s="318" t="s">
        <v>245</v>
      </c>
      <c r="Q225" s="318" t="s">
        <v>234</v>
      </c>
      <c r="R225" s="318" t="s">
        <v>65</v>
      </c>
      <c r="S225" s="318" t="s">
        <v>165</v>
      </c>
      <c r="T225" s="318" t="s">
        <v>116</v>
      </c>
      <c r="U225" s="318" t="n">
        <v>5170706</v>
      </c>
      <c r="V225" s="318" t="n">
        <v>34</v>
      </c>
      <c r="W225" s="318" t="s">
        <v>47</v>
      </c>
      <c r="X225" s="318" t="s">
        <v>987</v>
      </c>
      <c r="Y225" s="318" t="s">
        <v>216</v>
      </c>
      <c r="Z225" s="318" t="s">
        <v>283</v>
      </c>
      <c r="AA225" s="318" t="s">
        <v>65</v>
      </c>
      <c r="AB225" s="318" t="s">
        <v>165</v>
      </c>
      <c r="AC225" s="318" t="s">
        <v>116</v>
      </c>
      <c r="AD225" s="318" t="n">
        <v>3132899</v>
      </c>
      <c r="AE225" s="318" t="n">
        <v>38</v>
      </c>
      <c r="AF225" s="114" t="s">
        <v>56</v>
      </c>
      <c r="AG225" s="318" t="s">
        <v>985</v>
      </c>
      <c r="AH225" s="318" t="s">
        <v>246</v>
      </c>
      <c r="AI225" s="318" t="s">
        <v>283</v>
      </c>
      <c r="AJ225" s="318" t="s">
        <v>65</v>
      </c>
      <c r="AK225" s="318" t="s">
        <v>165</v>
      </c>
      <c r="AL225" s="318" t="s">
        <v>116</v>
      </c>
      <c r="AM225" s="318"/>
      <c r="AN225" s="318"/>
      <c r="AO225" s="318"/>
      <c r="AP225" s="318"/>
      <c r="AQ225" s="318"/>
      <c r="AR225" s="6" t="s">
        <v>140</v>
      </c>
    </row>
    <row r="226" ht="26.25" customHeight="1">
      <c r="A226" s="318" t="s">
        <v>54</v>
      </c>
      <c r="B226" s="318" t="n">
        <v>2553608227</v>
      </c>
      <c r="C226" s="318" t="s">
        <v>576</v>
      </c>
      <c r="D226" s="318" t="s">
        <v>59</v>
      </c>
      <c r="E226" s="318" t="s">
        <v>112</v>
      </c>
      <c r="F226" s="318"/>
      <c r="G226" s="318" t="s">
        <v>569</v>
      </c>
      <c r="H226" s="318" t="s">
        <v>165</v>
      </c>
      <c r="I226" s="318" t="s">
        <v>101</v>
      </c>
      <c r="J226" s="318" t="n">
        <v>5111035</v>
      </c>
      <c r="K226" s="318" t="s">
        <v>125</v>
      </c>
      <c r="L226" s="318" t="n">
        <v>73</v>
      </c>
      <c r="M226" s="318" t="s">
        <v>116</v>
      </c>
      <c r="N226" s="318" t="s">
        <v>35</v>
      </c>
      <c r="O226" s="318" t="s">
        <v>986</v>
      </c>
      <c r="P226" s="318" t="s">
        <v>233</v>
      </c>
      <c r="Q226" s="318" t="s">
        <v>234</v>
      </c>
      <c r="R226" s="318" t="s">
        <v>101</v>
      </c>
      <c r="S226" s="318" t="s">
        <v>165</v>
      </c>
      <c r="T226" s="318" t="s">
        <v>116</v>
      </c>
      <c r="U226" s="318" t="n">
        <v>5230739</v>
      </c>
      <c r="V226" s="318" t="n">
        <v>33</v>
      </c>
      <c r="W226" s="318" t="s">
        <v>47</v>
      </c>
      <c r="X226" s="318" t="s">
        <v>991</v>
      </c>
      <c r="Y226" s="318" t="s">
        <v>215</v>
      </c>
      <c r="Z226" s="318" t="s">
        <v>283</v>
      </c>
      <c r="AA226" s="318" t="s">
        <v>101</v>
      </c>
      <c r="AB226" s="318" t="s">
        <v>165</v>
      </c>
      <c r="AC226" s="318" t="s">
        <v>116</v>
      </c>
      <c r="AD226" s="318" t="n">
        <v>4513388</v>
      </c>
      <c r="AE226" s="318" t="n">
        <v>29.5</v>
      </c>
      <c r="AF226" s="114" t="s">
        <v>56</v>
      </c>
      <c r="AG226" s="318" t="s">
        <v>985</v>
      </c>
      <c r="AH226" s="318" t="s">
        <v>216</v>
      </c>
      <c r="AI226" s="318" t="s">
        <v>283</v>
      </c>
      <c r="AJ226" s="318" t="s">
        <v>101</v>
      </c>
      <c r="AK226" s="318" t="s">
        <v>165</v>
      </c>
      <c r="AL226" s="318" t="s">
        <v>116</v>
      </c>
      <c r="AM226" s="318"/>
      <c r="AN226" s="318"/>
      <c r="AO226" s="318"/>
      <c r="AP226" s="476"/>
      <c r="AQ226" s="476"/>
      <c r="AR226" s="6" t="s">
        <v>140</v>
      </c>
    </row>
    <row r="227" ht="26.25" customHeight="1">
      <c r="A227" s="318" t="s">
        <v>45</v>
      </c>
      <c r="B227" s="318" t="n">
        <v>2451166246</v>
      </c>
      <c r="C227" s="318" t="s">
        <v>1175</v>
      </c>
      <c r="D227" s="318" t="s">
        <v>48</v>
      </c>
      <c r="E227" s="318" t="s">
        <v>104</v>
      </c>
      <c r="F227" s="318"/>
      <c r="G227" s="318"/>
      <c r="H227" s="318" t="s">
        <v>165</v>
      </c>
      <c r="I227" s="318" t="s">
        <v>88</v>
      </c>
      <c r="J227" s="318" t="n">
        <v>5230814</v>
      </c>
      <c r="K227" s="318" t="s">
        <v>126</v>
      </c>
      <c r="L227" s="318" t="n">
        <v>72</v>
      </c>
      <c r="M227" s="318" t="n">
        <v>90</v>
      </c>
      <c r="N227" s="318" t="s">
        <v>31</v>
      </c>
      <c r="O227" s="318" t="s">
        <v>997</v>
      </c>
      <c r="P227" s="318" t="s">
        <v>246</v>
      </c>
      <c r="Q227" s="318" t="s">
        <v>234</v>
      </c>
      <c r="R227" s="318" t="s">
        <v>88</v>
      </c>
      <c r="S227" s="318" t="s">
        <v>165</v>
      </c>
      <c r="T227" s="318" t="s">
        <v>116</v>
      </c>
      <c r="U227" s="318" t="n">
        <v>5230722</v>
      </c>
      <c r="V227" s="318" t="n">
        <v>0</v>
      </c>
      <c r="W227" s="318" t="s">
        <v>47</v>
      </c>
      <c r="X227" s="318" t="s">
        <v>989</v>
      </c>
      <c r="Y227" s="318" t="s">
        <v>233</v>
      </c>
      <c r="Z227" s="318" t="s">
        <v>283</v>
      </c>
      <c r="AA227" s="318" t="s">
        <v>88</v>
      </c>
      <c r="AB227" s="318" t="s">
        <v>165</v>
      </c>
      <c r="AC227" s="318" t="s">
        <v>116</v>
      </c>
      <c r="AD227" s="318" t="n">
        <v>5230765</v>
      </c>
      <c r="AE227" s="318" t="n">
        <v>0</v>
      </c>
      <c r="AF227" s="318" t="s">
        <v>52</v>
      </c>
      <c r="AG227" s="318" t="s">
        <v>997</v>
      </c>
      <c r="AH227" s="318" t="s">
        <v>215</v>
      </c>
      <c r="AI227" s="318" t="s">
        <v>283</v>
      </c>
      <c r="AJ227" s="318" t="s">
        <v>88</v>
      </c>
      <c r="AK227" s="318" t="s">
        <v>165</v>
      </c>
      <c r="AL227" s="318" t="s">
        <v>116</v>
      </c>
      <c r="AM227" s="318" t="s">
        <v>217</v>
      </c>
      <c r="AN227" s="318" t="s">
        <v>217</v>
      </c>
      <c r="AO227" s="318" t="s">
        <v>217</v>
      </c>
      <c r="AP227" s="318" t="s">
        <v>217</v>
      </c>
      <c r="AQ227" s="318" t="s">
        <v>217</v>
      </c>
      <c r="AR227" s="6" t="s">
        <v>140</v>
      </c>
    </row>
    <row r="228" ht="26.25" customHeight="1">
      <c r="A228" s="318" t="s">
        <v>54</v>
      </c>
      <c r="B228" s="318" t="n">
        <v>4818318346</v>
      </c>
      <c r="C228" s="318" t="s">
        <v>1176</v>
      </c>
      <c r="D228" s="318" t="s">
        <v>55</v>
      </c>
      <c r="E228" s="318" t="s">
        <v>104</v>
      </c>
      <c r="F228" s="318"/>
      <c r="G228" s="318"/>
      <c r="H228" s="318" t="s">
        <v>165</v>
      </c>
      <c r="I228" s="318" t="s">
        <v>101</v>
      </c>
      <c r="J228" s="318" t="n">
        <v>5111035</v>
      </c>
      <c r="K228" s="318" t="s">
        <v>126</v>
      </c>
      <c r="L228" s="318" t="n">
        <v>86</v>
      </c>
      <c r="M228" s="318" t="n">
        <v>96</v>
      </c>
      <c r="N228" s="318" t="s">
        <v>35</v>
      </c>
      <c r="O228" s="318" t="s">
        <v>986</v>
      </c>
      <c r="P228" s="318" t="s">
        <v>233</v>
      </c>
      <c r="Q228" s="318" t="s">
        <v>234</v>
      </c>
      <c r="R228" s="318" t="s">
        <v>101</v>
      </c>
      <c r="S228" s="318" t="s">
        <v>165</v>
      </c>
      <c r="T228" s="318" t="s">
        <v>116</v>
      </c>
      <c r="U228" s="318" t="n">
        <v>5170873</v>
      </c>
      <c r="V228" s="318"/>
      <c r="W228" s="318" t="s">
        <v>47</v>
      </c>
      <c r="X228" s="318" t="s">
        <v>986</v>
      </c>
      <c r="Y228" s="318" t="s">
        <v>216</v>
      </c>
      <c r="Z228" s="318" t="s">
        <v>283</v>
      </c>
      <c r="AA228" s="318" t="s">
        <v>101</v>
      </c>
      <c r="AB228" s="318" t="s">
        <v>165</v>
      </c>
      <c r="AC228" s="318" t="s">
        <v>116</v>
      </c>
      <c r="AD228" s="318" t="n">
        <v>5170871</v>
      </c>
      <c r="AE228" s="318"/>
      <c r="AF228" s="114" t="s">
        <v>58</v>
      </c>
      <c r="AG228" s="318" t="s">
        <v>986</v>
      </c>
      <c r="AH228" s="318" t="s">
        <v>215</v>
      </c>
      <c r="AI228" s="318" t="s">
        <v>283</v>
      </c>
      <c r="AJ228" s="318" t="s">
        <v>101</v>
      </c>
      <c r="AK228" s="318" t="s">
        <v>165</v>
      </c>
      <c r="AL228" s="318" t="s">
        <v>116</v>
      </c>
      <c r="AM228" s="318"/>
      <c r="AN228" s="318"/>
      <c r="AO228" s="318"/>
      <c r="AP228" s="318"/>
      <c r="AQ228" s="318"/>
      <c r="AR228" s="6" t="s">
        <v>140</v>
      </c>
    </row>
    <row r="229" ht="26.25" customHeight="1">
      <c r="A229" s="318" t="s">
        <v>54</v>
      </c>
      <c r="B229" s="318" t="n">
        <v>2578142359</v>
      </c>
      <c r="C229" s="318" t="s">
        <v>1177</v>
      </c>
      <c r="D229" s="318" t="s">
        <v>55</v>
      </c>
      <c r="E229" s="318" t="s">
        <v>104</v>
      </c>
      <c r="F229" s="318"/>
      <c r="G229" s="318"/>
      <c r="H229" s="318" t="s">
        <v>165</v>
      </c>
      <c r="I229" s="318" t="s">
        <v>88</v>
      </c>
      <c r="J229" s="318" t="n">
        <v>3132880</v>
      </c>
      <c r="K229" s="318" t="s">
        <v>126</v>
      </c>
      <c r="L229" s="318" t="n">
        <v>85</v>
      </c>
      <c r="M229" s="318" t="n">
        <v>95</v>
      </c>
      <c r="N229" s="114" t="s">
        <v>31</v>
      </c>
      <c r="O229" s="318" t="s">
        <v>986</v>
      </c>
      <c r="P229" s="318" t="s">
        <v>233</v>
      </c>
      <c r="Q229" s="318" t="s">
        <v>234</v>
      </c>
      <c r="R229" s="318" t="s">
        <v>88</v>
      </c>
      <c r="S229" s="318" t="s">
        <v>165</v>
      </c>
      <c r="T229" s="318" t="s">
        <v>116</v>
      </c>
      <c r="U229" s="318" t="n">
        <v>3132859</v>
      </c>
      <c r="V229" s="318"/>
      <c r="W229" s="318" t="s">
        <v>43</v>
      </c>
      <c r="X229" s="318" t="s">
        <v>986</v>
      </c>
      <c r="Y229" s="318" t="s">
        <v>215</v>
      </c>
      <c r="Z229" s="318" t="s">
        <v>283</v>
      </c>
      <c r="AA229" s="318" t="s">
        <v>88</v>
      </c>
      <c r="AB229" s="318" t="s">
        <v>165</v>
      </c>
      <c r="AC229" s="318" t="s">
        <v>116</v>
      </c>
      <c r="AD229" s="318" t="n">
        <v>5230727</v>
      </c>
      <c r="AE229" s="318"/>
      <c r="AF229" s="114" t="s">
        <v>56</v>
      </c>
      <c r="AG229" s="318" t="s">
        <v>986</v>
      </c>
      <c r="AH229" s="318" t="s">
        <v>216</v>
      </c>
      <c r="AI229" s="318" t="s">
        <v>283</v>
      </c>
      <c r="AJ229" s="318" t="s">
        <v>88</v>
      </c>
      <c r="AK229" s="318" t="s">
        <v>165</v>
      </c>
      <c r="AL229" s="318" t="s">
        <v>116</v>
      </c>
      <c r="AM229" s="318" t="s">
        <v>217</v>
      </c>
      <c r="AN229" s="318" t="s">
        <v>218</v>
      </c>
      <c r="AO229" s="318" t="s">
        <v>218</v>
      </c>
      <c r="AP229" s="318" t="s">
        <v>218</v>
      </c>
      <c r="AQ229" s="318" t="s">
        <v>218</v>
      </c>
      <c r="AR229" s="6" t="s">
        <v>140</v>
      </c>
    </row>
    <row r="230" ht="26.25" customHeight="1">
      <c r="A230" s="318" t="s">
        <v>85</v>
      </c>
      <c r="B230" s="318" t="n">
        <v>4161622823</v>
      </c>
      <c r="C230" s="318" t="s">
        <v>1178</v>
      </c>
      <c r="D230" s="318" t="s">
        <v>36</v>
      </c>
      <c r="E230" s="318" t="s">
        <v>104</v>
      </c>
      <c r="F230" s="318"/>
      <c r="G230" s="318"/>
      <c r="H230" s="318" t="s">
        <v>165</v>
      </c>
      <c r="I230" s="318" t="s">
        <v>100</v>
      </c>
      <c r="J230" s="318" t="n">
        <v>3132864</v>
      </c>
      <c r="K230" s="318" t="s">
        <v>125</v>
      </c>
      <c r="L230" s="318" t="n">
        <v>64</v>
      </c>
      <c r="M230" s="318" t="s">
        <v>116</v>
      </c>
      <c r="N230" s="318" t="s">
        <v>39</v>
      </c>
      <c r="O230" s="318" t="s">
        <v>991</v>
      </c>
      <c r="P230" s="318" t="s">
        <v>216</v>
      </c>
      <c r="Q230" s="318" t="s">
        <v>283</v>
      </c>
      <c r="R230" s="318" t="s">
        <v>100</v>
      </c>
      <c r="S230" s="318" t="s">
        <v>165</v>
      </c>
      <c r="T230" s="318" t="s">
        <v>116</v>
      </c>
      <c r="U230" s="318" t="n">
        <v>3132810</v>
      </c>
      <c r="V230" s="318" t="n">
        <v>30</v>
      </c>
      <c r="W230" s="318" t="s">
        <v>47</v>
      </c>
      <c r="X230" s="318" t="s">
        <v>991</v>
      </c>
      <c r="Y230" s="318" t="s">
        <v>233</v>
      </c>
      <c r="Z230" s="318" t="s">
        <v>283</v>
      </c>
      <c r="AA230" s="318" t="s">
        <v>100</v>
      </c>
      <c r="AB230" s="318" t="s">
        <v>165</v>
      </c>
      <c r="AC230" s="318" t="s">
        <v>116</v>
      </c>
      <c r="AD230" s="318" t="n">
        <v>3132858</v>
      </c>
      <c r="AE230" s="318" t="n">
        <v>47</v>
      </c>
      <c r="AF230" s="114" t="s">
        <v>52</v>
      </c>
      <c r="AG230" s="318" t="s">
        <v>991</v>
      </c>
      <c r="AH230" s="318" t="s">
        <v>215</v>
      </c>
      <c r="AI230" s="318" t="s">
        <v>283</v>
      </c>
      <c r="AJ230" s="318" t="s">
        <v>100</v>
      </c>
      <c r="AK230" s="318" t="s">
        <v>165</v>
      </c>
      <c r="AL230" s="318" t="s">
        <v>116</v>
      </c>
      <c r="AM230" s="318"/>
      <c r="AN230" s="318"/>
      <c r="AO230" s="318"/>
      <c r="AP230" s="476"/>
      <c r="AQ230" s="476"/>
      <c r="AR230" s="6" t="s">
        <v>140</v>
      </c>
    </row>
    <row r="231" ht="26.25" customHeight="1">
      <c r="A231" s="318" t="s">
        <v>54</v>
      </c>
      <c r="B231" s="318" t="n">
        <v>4151776853</v>
      </c>
      <c r="C231" s="318" t="s">
        <v>1179</v>
      </c>
      <c r="D231" s="318" t="s">
        <v>55</v>
      </c>
      <c r="E231" s="318" t="s">
        <v>104</v>
      </c>
      <c r="F231" s="318"/>
      <c r="G231" s="318"/>
      <c r="H231" s="318" t="s">
        <v>165</v>
      </c>
      <c r="I231" s="318" t="s">
        <v>101</v>
      </c>
      <c r="J231" s="318" t="n">
        <v>5111035</v>
      </c>
      <c r="K231" s="318" t="s">
        <v>126</v>
      </c>
      <c r="L231" s="318" t="n">
        <v>96</v>
      </c>
      <c r="M231" s="318" t="n">
        <v>96</v>
      </c>
      <c r="N231" s="318" t="s">
        <v>35</v>
      </c>
      <c r="O231" s="318" t="s">
        <v>986</v>
      </c>
      <c r="P231" s="318" t="s">
        <v>233</v>
      </c>
      <c r="Q231" s="318" t="s">
        <v>234</v>
      </c>
      <c r="R231" s="318" t="s">
        <v>101</v>
      </c>
      <c r="S231" s="318" t="s">
        <v>165</v>
      </c>
      <c r="T231" s="318" t="s">
        <v>116</v>
      </c>
      <c r="U231" s="318" t="n">
        <v>5170873</v>
      </c>
      <c r="V231" s="318"/>
      <c r="W231" s="318" t="s">
        <v>47</v>
      </c>
      <c r="X231" s="318" t="s">
        <v>986</v>
      </c>
      <c r="Y231" s="318" t="s">
        <v>216</v>
      </c>
      <c r="Z231" s="318" t="s">
        <v>283</v>
      </c>
      <c r="AA231" s="318" t="s">
        <v>101</v>
      </c>
      <c r="AB231" s="318" t="s">
        <v>165</v>
      </c>
      <c r="AC231" s="318" t="s">
        <v>116</v>
      </c>
      <c r="AD231" s="318" t="n">
        <v>5170871</v>
      </c>
      <c r="AE231" s="318"/>
      <c r="AF231" s="318" t="s">
        <v>58</v>
      </c>
      <c r="AG231" s="318" t="s">
        <v>986</v>
      </c>
      <c r="AH231" s="318" t="s">
        <v>215</v>
      </c>
      <c r="AI231" s="318" t="s">
        <v>283</v>
      </c>
      <c r="AJ231" s="318" t="s">
        <v>101</v>
      </c>
      <c r="AK231" s="318" t="s">
        <v>165</v>
      </c>
      <c r="AL231" s="318" t="s">
        <v>116</v>
      </c>
      <c r="AM231" s="318"/>
      <c r="AN231" s="318"/>
      <c r="AO231" s="318"/>
      <c r="AP231" s="318"/>
      <c r="AQ231" s="318"/>
      <c r="AR231" s="6" t="s">
        <v>140</v>
      </c>
    </row>
    <row r="232" ht="26.25" customHeight="1">
      <c r="A232" s="318" t="s">
        <v>45</v>
      </c>
      <c r="B232" s="318" t="n">
        <v>4833146537</v>
      </c>
      <c r="C232" s="318" t="s">
        <v>1180</v>
      </c>
      <c r="D232" s="318" t="s">
        <v>48</v>
      </c>
      <c r="E232" s="318" t="s">
        <v>104</v>
      </c>
      <c r="F232" s="318"/>
      <c r="G232" s="318"/>
      <c r="H232" s="318" t="s">
        <v>165</v>
      </c>
      <c r="I232" s="318" t="s">
        <v>100</v>
      </c>
      <c r="J232" s="318" t="n">
        <v>3132872</v>
      </c>
      <c r="K232" s="318" t="s">
        <v>126</v>
      </c>
      <c r="L232" s="318" t="n">
        <v>60</v>
      </c>
      <c r="M232" s="318" t="n">
        <v>80</v>
      </c>
      <c r="N232" s="318" t="s">
        <v>35</v>
      </c>
      <c r="O232" s="318" t="s">
        <v>989</v>
      </c>
      <c r="P232" s="318" t="s">
        <v>216</v>
      </c>
      <c r="Q232" s="318" t="s">
        <v>283</v>
      </c>
      <c r="R232" s="318" t="s">
        <v>100</v>
      </c>
      <c r="S232" s="318" t="s">
        <v>165</v>
      </c>
      <c r="T232" s="318" t="s">
        <v>116</v>
      </c>
      <c r="U232" s="318" t="n">
        <v>5230809</v>
      </c>
      <c r="V232" s="318" t="n">
        <v>0</v>
      </c>
      <c r="W232" s="318" t="s">
        <v>47</v>
      </c>
      <c r="X232" s="318" t="s">
        <v>989</v>
      </c>
      <c r="Y232" s="318" t="s">
        <v>215</v>
      </c>
      <c r="Z232" s="318" t="s">
        <v>283</v>
      </c>
      <c r="AA232" s="318" t="s">
        <v>100</v>
      </c>
      <c r="AB232" s="318" t="s">
        <v>165</v>
      </c>
      <c r="AC232" s="318" t="s">
        <v>116</v>
      </c>
      <c r="AD232" s="318" t="n">
        <v>3132893</v>
      </c>
      <c r="AE232" s="318" t="n">
        <v>0</v>
      </c>
      <c r="AF232" s="114" t="s">
        <v>52</v>
      </c>
      <c r="AG232" s="318" t="s">
        <v>989</v>
      </c>
      <c r="AH232" s="318" t="s">
        <v>233</v>
      </c>
      <c r="AI232" s="318" t="s">
        <v>283</v>
      </c>
      <c r="AJ232" s="318" t="s">
        <v>100</v>
      </c>
      <c r="AK232" s="318" t="s">
        <v>165</v>
      </c>
      <c r="AL232" s="318" t="s">
        <v>116</v>
      </c>
      <c r="AM232" s="318"/>
      <c r="AN232" s="318"/>
      <c r="AO232" s="318"/>
      <c r="AP232" s="318"/>
      <c r="AQ232" s="318"/>
      <c r="AR232" s="6" t="s">
        <v>140</v>
      </c>
    </row>
    <row r="233" ht="26.25" customHeight="1">
      <c r="A233" s="318" t="s">
        <v>54</v>
      </c>
      <c r="B233" s="318" t="n">
        <v>4835737630</v>
      </c>
      <c r="C233" s="318" t="s">
        <v>1181</v>
      </c>
      <c r="D233" s="318" t="s">
        <v>59</v>
      </c>
      <c r="E233" s="318" t="s">
        <v>112</v>
      </c>
      <c r="F233" s="318"/>
      <c r="G233" s="318" t="s">
        <v>1015</v>
      </c>
      <c r="H233" s="318" t="s">
        <v>165</v>
      </c>
      <c r="I233" s="318" t="s">
        <v>88</v>
      </c>
      <c r="J233" s="318" t="n">
        <v>3132884</v>
      </c>
      <c r="K233" s="318" t="s">
        <v>125</v>
      </c>
      <c r="L233" s="318" t="n">
        <v>73</v>
      </c>
      <c r="M233" s="318" t="s">
        <v>116</v>
      </c>
      <c r="N233" s="318" t="s">
        <v>37</v>
      </c>
      <c r="O233" s="318" t="s">
        <v>987</v>
      </c>
      <c r="P233" s="318" t="s">
        <v>216</v>
      </c>
      <c r="Q233" s="318" t="s">
        <v>283</v>
      </c>
      <c r="R233" s="318" t="s">
        <v>88</v>
      </c>
      <c r="S233" s="318" t="s">
        <v>165</v>
      </c>
      <c r="T233" s="318" t="s">
        <v>116</v>
      </c>
      <c r="U233" s="318" t="n">
        <v>4513265</v>
      </c>
      <c r="V233" s="318" t="n">
        <v>36</v>
      </c>
      <c r="W233" s="318" t="s">
        <v>47</v>
      </c>
      <c r="X233" s="318" t="s">
        <v>987</v>
      </c>
      <c r="Y233" s="318" t="s">
        <v>215</v>
      </c>
      <c r="Z233" s="318" t="s">
        <v>283</v>
      </c>
      <c r="AA233" s="318" t="s">
        <v>88</v>
      </c>
      <c r="AB233" s="318" t="s">
        <v>165</v>
      </c>
      <c r="AC233" s="318" t="s">
        <v>116</v>
      </c>
      <c r="AD233" s="318" t="n">
        <v>5230723</v>
      </c>
      <c r="AE233" s="318" t="n">
        <v>32</v>
      </c>
      <c r="AF233" s="114" t="s">
        <v>56</v>
      </c>
      <c r="AG233" s="318" t="s">
        <v>987</v>
      </c>
      <c r="AH233" s="318" t="s">
        <v>233</v>
      </c>
      <c r="AI233" s="318" t="s">
        <v>283</v>
      </c>
      <c r="AJ233" s="318" t="s">
        <v>88</v>
      </c>
      <c r="AK233" s="318" t="s">
        <v>165</v>
      </c>
      <c r="AL233" s="318" t="s">
        <v>116</v>
      </c>
      <c r="AM233" s="318" t="s">
        <v>217</v>
      </c>
      <c r="AN233" s="318" t="s">
        <v>217</v>
      </c>
      <c r="AO233" s="318" t="s">
        <v>217</v>
      </c>
      <c r="AP233" s="476" t="s">
        <v>217</v>
      </c>
      <c r="AQ233" s="476" t="s">
        <v>217</v>
      </c>
      <c r="AR233" s="6" t="s">
        <v>140</v>
      </c>
    </row>
    <row r="234" ht="26.25" customHeight="1">
      <c r="A234" s="318" t="s">
        <v>54</v>
      </c>
      <c r="B234" s="318" t="n">
        <v>4476937596</v>
      </c>
      <c r="C234" s="318" t="s">
        <v>1182</v>
      </c>
      <c r="D234" s="318" t="s">
        <v>59</v>
      </c>
      <c r="E234" s="318" t="s">
        <v>104</v>
      </c>
      <c r="F234" s="318"/>
      <c r="G234" s="318"/>
      <c r="H234" s="318" t="s">
        <v>165</v>
      </c>
      <c r="I234" s="318" t="s">
        <v>101</v>
      </c>
      <c r="J234" s="318" t="n">
        <v>3132902</v>
      </c>
      <c r="K234" s="318" t="s">
        <v>125</v>
      </c>
      <c r="L234" s="318" t="n">
        <v>61</v>
      </c>
      <c r="M234" s="318" t="s">
        <v>116</v>
      </c>
      <c r="N234" s="114" t="s">
        <v>31</v>
      </c>
      <c r="O234" s="318" t="s">
        <v>987</v>
      </c>
      <c r="P234" s="318" t="s">
        <v>216</v>
      </c>
      <c r="Q234" s="318" t="s">
        <v>283</v>
      </c>
      <c r="R234" s="318" t="s">
        <v>101</v>
      </c>
      <c r="S234" s="318" t="s">
        <v>165</v>
      </c>
      <c r="T234" s="318" t="s">
        <v>116</v>
      </c>
      <c r="U234" s="318" t="n">
        <v>5230747</v>
      </c>
      <c r="V234" s="318" t="n">
        <v>30</v>
      </c>
      <c r="W234" s="318" t="s">
        <v>49</v>
      </c>
      <c r="X234" s="318" t="s">
        <v>987</v>
      </c>
      <c r="Y234" s="318" t="s">
        <v>215</v>
      </c>
      <c r="Z234" s="318" t="s">
        <v>283</v>
      </c>
      <c r="AA234" s="318" t="s">
        <v>101</v>
      </c>
      <c r="AB234" s="318" t="s">
        <v>165</v>
      </c>
      <c r="AC234" s="318" t="s">
        <v>116</v>
      </c>
      <c r="AD234" s="318" t="n">
        <v>5230821</v>
      </c>
      <c r="AE234" s="318" t="n">
        <v>25.5</v>
      </c>
      <c r="AF234" s="114" t="s">
        <v>56</v>
      </c>
      <c r="AG234" s="318" t="s">
        <v>987</v>
      </c>
      <c r="AH234" s="318" t="s">
        <v>233</v>
      </c>
      <c r="AI234" s="318" t="s">
        <v>283</v>
      </c>
      <c r="AJ234" s="318" t="s">
        <v>101</v>
      </c>
      <c r="AK234" s="318" t="s">
        <v>165</v>
      </c>
      <c r="AL234" s="318" t="s">
        <v>116</v>
      </c>
      <c r="AM234" s="318"/>
      <c r="AN234" s="318"/>
      <c r="AO234" s="318"/>
      <c r="AP234" s="318"/>
      <c r="AQ234" s="318"/>
      <c r="AR234" s="6" t="s">
        <v>140</v>
      </c>
    </row>
    <row r="235" ht="26.25" customHeight="1">
      <c r="A235" s="318" t="s">
        <v>54</v>
      </c>
      <c r="B235" s="318" t="n">
        <v>4357245184</v>
      </c>
      <c r="C235" s="318" t="s">
        <v>583</v>
      </c>
      <c r="D235" s="318" t="s">
        <v>57</v>
      </c>
      <c r="E235" s="318" t="s">
        <v>104</v>
      </c>
      <c r="F235" s="318"/>
      <c r="G235" s="318"/>
      <c r="H235" s="318" t="s">
        <v>165</v>
      </c>
      <c r="I235" s="318" t="s">
        <v>65</v>
      </c>
      <c r="J235" s="318" t="n">
        <v>5230732</v>
      </c>
      <c r="K235" s="318" t="s">
        <v>126</v>
      </c>
      <c r="L235" s="318" t="n">
        <v>75</v>
      </c>
      <c r="M235" s="318" t="n">
        <v>93</v>
      </c>
      <c r="N235" s="114" t="s">
        <v>35</v>
      </c>
      <c r="O235" s="318" t="s">
        <v>987</v>
      </c>
      <c r="P235" s="318" t="s">
        <v>245</v>
      </c>
      <c r="Q235" s="318" t="s">
        <v>234</v>
      </c>
      <c r="R235" s="318" t="s">
        <v>65</v>
      </c>
      <c r="S235" s="318" t="s">
        <v>165</v>
      </c>
      <c r="T235" s="318" t="s">
        <v>116</v>
      </c>
      <c r="U235" s="318" t="n">
        <v>5170706</v>
      </c>
      <c r="V235" s="318" t="n">
        <v>0</v>
      </c>
      <c r="W235" s="318" t="s">
        <v>47</v>
      </c>
      <c r="X235" s="318" t="s">
        <v>987</v>
      </c>
      <c r="Y235" s="318" t="s">
        <v>216</v>
      </c>
      <c r="Z235" s="318" t="s">
        <v>283</v>
      </c>
      <c r="AA235" s="318" t="s">
        <v>65</v>
      </c>
      <c r="AB235" s="318" t="s">
        <v>165</v>
      </c>
      <c r="AC235" s="318" t="s">
        <v>116</v>
      </c>
      <c r="AD235" s="318" t="s">
        <v>116</v>
      </c>
      <c r="AE235" s="318"/>
      <c r="AF235" s="114" t="s">
        <v>116</v>
      </c>
      <c r="AG235" s="318" t="s">
        <v>116</v>
      </c>
      <c r="AH235" s="318" t="s">
        <v>116</v>
      </c>
      <c r="AI235" s="318" t="s">
        <v>116</v>
      </c>
      <c r="AJ235" s="318" t="s">
        <v>116</v>
      </c>
      <c r="AK235" s="318" t="s">
        <v>116</v>
      </c>
      <c r="AL235" s="318" t="s">
        <v>116</v>
      </c>
      <c r="AM235" s="318"/>
      <c r="AN235" s="318"/>
      <c r="AO235" s="318"/>
      <c r="AP235" s="318"/>
      <c r="AQ235" s="318"/>
      <c r="AR235" s="6" t="s">
        <v>140</v>
      </c>
    </row>
    <row r="236" ht="26.25" customHeight="1">
      <c r="A236" s="318" t="s">
        <v>54</v>
      </c>
      <c r="B236" s="318" t="n">
        <v>4055682554</v>
      </c>
      <c r="C236" s="318" t="s">
        <v>1015</v>
      </c>
      <c r="D236" s="318" t="s">
        <v>59</v>
      </c>
      <c r="E236" s="318" t="s">
        <v>104</v>
      </c>
      <c r="F236" s="318"/>
      <c r="G236" s="318"/>
      <c r="H236" s="318" t="s">
        <v>165</v>
      </c>
      <c r="I236" s="318" t="s">
        <v>88</v>
      </c>
      <c r="J236" s="318" t="n">
        <v>3132884</v>
      </c>
      <c r="K236" s="318" t="s">
        <v>125</v>
      </c>
      <c r="L236" s="318" t="n">
        <v>63</v>
      </c>
      <c r="M236" s="318" t="s">
        <v>116</v>
      </c>
      <c r="N236" s="318" t="s">
        <v>37</v>
      </c>
      <c r="O236" s="318" t="s">
        <v>987</v>
      </c>
      <c r="P236" s="318" t="s">
        <v>216</v>
      </c>
      <c r="Q236" s="318" t="s">
        <v>283</v>
      </c>
      <c r="R236" s="318" t="s">
        <v>88</v>
      </c>
      <c r="S236" s="318" t="s">
        <v>165</v>
      </c>
      <c r="T236" s="318" t="s">
        <v>116</v>
      </c>
      <c r="U236" s="318" t="n">
        <v>4513265</v>
      </c>
      <c r="V236" s="318" t="n">
        <v>30</v>
      </c>
      <c r="W236" s="318" t="s">
        <v>47</v>
      </c>
      <c r="X236" s="318" t="s">
        <v>987</v>
      </c>
      <c r="Y236" s="318" t="s">
        <v>215</v>
      </c>
      <c r="Z236" s="318" t="s">
        <v>283</v>
      </c>
      <c r="AA236" s="318" t="s">
        <v>88</v>
      </c>
      <c r="AB236" s="318" t="s">
        <v>165</v>
      </c>
      <c r="AC236" s="318" t="s">
        <v>116</v>
      </c>
      <c r="AD236" s="318" t="n">
        <v>5230723</v>
      </c>
      <c r="AE236" s="318" t="n">
        <v>37.5</v>
      </c>
      <c r="AF236" s="114" t="s">
        <v>56</v>
      </c>
      <c r="AG236" s="318" t="s">
        <v>987</v>
      </c>
      <c r="AH236" s="318" t="s">
        <v>233</v>
      </c>
      <c r="AI236" s="318" t="s">
        <v>283</v>
      </c>
      <c r="AJ236" s="318" t="s">
        <v>88</v>
      </c>
      <c r="AK236" s="318" t="s">
        <v>165</v>
      </c>
      <c r="AL236" s="318" t="s">
        <v>116</v>
      </c>
      <c r="AM236" s="318" t="s">
        <v>217</v>
      </c>
      <c r="AN236" s="318" t="s">
        <v>217</v>
      </c>
      <c r="AO236" s="318" t="s">
        <v>217</v>
      </c>
      <c r="AP236" s="318" t="s">
        <v>217</v>
      </c>
      <c r="AQ236" s="318" t="s">
        <v>217</v>
      </c>
      <c r="AR236" s="6" t="s">
        <v>140</v>
      </c>
    </row>
    <row r="237" ht="26.25" customHeight="1">
      <c r="A237" s="318" t="s">
        <v>54</v>
      </c>
      <c r="B237" s="318" t="n">
        <v>4827190067</v>
      </c>
      <c r="C237" s="318" t="s">
        <v>1183</v>
      </c>
      <c r="D237" s="318" t="s">
        <v>36</v>
      </c>
      <c r="E237" s="318" t="s">
        <v>104</v>
      </c>
      <c r="F237" s="318"/>
      <c r="G237" s="318" t="s">
        <v>1077</v>
      </c>
      <c r="H237" s="318" t="s">
        <v>165</v>
      </c>
      <c r="I237" s="318" t="s">
        <v>101</v>
      </c>
      <c r="J237" s="318" t="n">
        <v>5111035</v>
      </c>
      <c r="K237" s="318" t="s">
        <v>125</v>
      </c>
      <c r="L237" s="318" t="n">
        <v>80</v>
      </c>
      <c r="M237" s="318" t="s">
        <v>116</v>
      </c>
      <c r="N237" s="114" t="s">
        <v>35</v>
      </c>
      <c r="O237" s="318" t="s">
        <v>986</v>
      </c>
      <c r="P237" s="318" t="s">
        <v>233</v>
      </c>
      <c r="Q237" s="318" t="s">
        <v>234</v>
      </c>
      <c r="R237" s="318" t="s">
        <v>101</v>
      </c>
      <c r="S237" s="318" t="s">
        <v>165</v>
      </c>
      <c r="T237" s="318" t="s">
        <v>116</v>
      </c>
      <c r="U237" s="318" t="n">
        <v>5170873</v>
      </c>
      <c r="V237" s="318" t="n">
        <v>33</v>
      </c>
      <c r="W237" s="318" t="s">
        <v>47</v>
      </c>
      <c r="X237" s="318" t="s">
        <v>986</v>
      </c>
      <c r="Y237" s="318" t="s">
        <v>216</v>
      </c>
      <c r="Z237" s="318" t="s">
        <v>283</v>
      </c>
      <c r="AA237" s="318" t="s">
        <v>101</v>
      </c>
      <c r="AB237" s="318" t="s">
        <v>165</v>
      </c>
      <c r="AC237" s="318" t="s">
        <v>116</v>
      </c>
      <c r="AD237" s="318" t="n">
        <v>5170871</v>
      </c>
      <c r="AE237" s="318" t="n">
        <v>35</v>
      </c>
      <c r="AF237" s="114" t="s">
        <v>58</v>
      </c>
      <c r="AG237" s="318" t="s">
        <v>986</v>
      </c>
      <c r="AH237" s="318" t="s">
        <v>215</v>
      </c>
      <c r="AI237" s="318" t="s">
        <v>283</v>
      </c>
      <c r="AJ237" s="318" t="s">
        <v>101</v>
      </c>
      <c r="AK237" s="318" t="s">
        <v>165</v>
      </c>
      <c r="AL237" s="318" t="s">
        <v>116</v>
      </c>
      <c r="AM237" s="318"/>
      <c r="AN237" s="318"/>
      <c r="AO237" s="318"/>
      <c r="AP237" s="318"/>
      <c r="AQ237" s="318"/>
      <c r="AR237" s="6" t="s">
        <v>140</v>
      </c>
    </row>
    <row r="238" ht="26.25" customHeight="1">
      <c r="A238" s="318" t="s">
        <v>54</v>
      </c>
      <c r="B238" s="318" t="n">
        <v>4829435326</v>
      </c>
      <c r="C238" s="318" t="s">
        <v>1184</v>
      </c>
      <c r="D238" s="318" t="s">
        <v>38</v>
      </c>
      <c r="E238" s="318" t="s">
        <v>104</v>
      </c>
      <c r="F238" s="318"/>
      <c r="G238" s="318"/>
      <c r="H238" s="318" t="s">
        <v>165</v>
      </c>
      <c r="I238" s="318" t="s">
        <v>100</v>
      </c>
      <c r="J238" s="318" t="n">
        <v>5111034</v>
      </c>
      <c r="K238" s="318" t="s">
        <v>126</v>
      </c>
      <c r="L238" s="318" t="n">
        <v>60</v>
      </c>
      <c r="M238" s="318" t="n">
        <v>81</v>
      </c>
      <c r="N238" s="318" t="s">
        <v>37</v>
      </c>
      <c r="O238" s="318" t="s">
        <v>1030</v>
      </c>
      <c r="P238" s="318" t="s">
        <v>216</v>
      </c>
      <c r="Q238" s="318" t="s">
        <v>283</v>
      </c>
      <c r="R238" s="318" t="s">
        <v>100</v>
      </c>
      <c r="S238" s="318" t="s">
        <v>165</v>
      </c>
      <c r="T238" s="318" t="s">
        <v>116</v>
      </c>
      <c r="U238" s="318" t="n">
        <v>4513342</v>
      </c>
      <c r="V238" s="318"/>
      <c r="W238" s="318" t="s">
        <v>43</v>
      </c>
      <c r="X238" s="318" t="s">
        <v>1030</v>
      </c>
      <c r="Y238" s="318" t="s">
        <v>215</v>
      </c>
      <c r="Z238" s="318" t="s">
        <v>283</v>
      </c>
      <c r="AA238" s="318" t="s">
        <v>100</v>
      </c>
      <c r="AB238" s="318" t="s">
        <v>165</v>
      </c>
      <c r="AC238" s="318" t="s">
        <v>116</v>
      </c>
      <c r="AD238" s="318" t="n">
        <v>4513340</v>
      </c>
      <c r="AE238" s="318"/>
      <c r="AF238" s="318" t="s">
        <v>58</v>
      </c>
      <c r="AG238" s="318" t="s">
        <v>1030</v>
      </c>
      <c r="AH238" s="318" t="s">
        <v>233</v>
      </c>
      <c r="AI238" s="318" t="s">
        <v>283</v>
      </c>
      <c r="AJ238" s="318" t="s">
        <v>100</v>
      </c>
      <c r="AK238" s="318" t="s">
        <v>165</v>
      </c>
      <c r="AL238" s="318" t="s">
        <v>116</v>
      </c>
      <c r="AM238" s="318"/>
      <c r="AN238" s="318"/>
      <c r="AO238" s="318"/>
      <c r="AP238" s="318"/>
      <c r="AQ238" s="318"/>
      <c r="AR238" s="6" t="s">
        <v>140</v>
      </c>
    </row>
    <row r="239" ht="26.25" customHeight="1">
      <c r="A239" s="318" t="s">
        <v>45</v>
      </c>
      <c r="B239" s="318" t="n">
        <v>4303763811</v>
      </c>
      <c r="C239" s="318" t="s">
        <v>591</v>
      </c>
      <c r="D239" s="318" t="s">
        <v>46</v>
      </c>
      <c r="E239" s="318" t="s">
        <v>104</v>
      </c>
      <c r="F239" s="318"/>
      <c r="G239" s="318"/>
      <c r="H239" s="318" t="s">
        <v>165</v>
      </c>
      <c r="I239" s="318" t="s">
        <v>65</v>
      </c>
      <c r="J239" s="318" t="n">
        <v>5230719</v>
      </c>
      <c r="K239" s="318" t="s">
        <v>125</v>
      </c>
      <c r="L239" s="318" t="n">
        <v>90</v>
      </c>
      <c r="M239" s="318" t="s">
        <v>116</v>
      </c>
      <c r="N239" s="318" t="s">
        <v>31</v>
      </c>
      <c r="O239" s="318" t="s">
        <v>989</v>
      </c>
      <c r="P239" s="318" t="s">
        <v>216</v>
      </c>
      <c r="Q239" s="318" t="s">
        <v>234</v>
      </c>
      <c r="R239" s="318" t="s">
        <v>65</v>
      </c>
      <c r="S239" s="318" t="s">
        <v>165</v>
      </c>
      <c r="T239" s="318" t="s">
        <v>116</v>
      </c>
      <c r="U239" s="318" t="n">
        <v>5230828</v>
      </c>
      <c r="V239" s="318" t="n">
        <v>0</v>
      </c>
      <c r="W239" s="318" t="s">
        <v>43</v>
      </c>
      <c r="X239" s="318" t="s">
        <v>989</v>
      </c>
      <c r="Y239" s="318" t="s">
        <v>215</v>
      </c>
      <c r="Z239" s="318" t="s">
        <v>283</v>
      </c>
      <c r="AA239" s="318" t="s">
        <v>65</v>
      </c>
      <c r="AB239" s="318" t="s">
        <v>165</v>
      </c>
      <c r="AC239" s="318" t="s">
        <v>116</v>
      </c>
      <c r="AD239" s="318" t="n">
        <v>3132869</v>
      </c>
      <c r="AE239" s="318" t="n">
        <v>0</v>
      </c>
      <c r="AF239" s="114" t="s">
        <v>58</v>
      </c>
      <c r="AG239" s="318" t="s">
        <v>989</v>
      </c>
      <c r="AH239" s="318" t="s">
        <v>233</v>
      </c>
      <c r="AI239" s="318" t="s">
        <v>283</v>
      </c>
      <c r="AJ239" s="318" t="s">
        <v>65</v>
      </c>
      <c r="AK239" s="318" t="s">
        <v>165</v>
      </c>
      <c r="AL239" s="318" t="s">
        <v>116</v>
      </c>
      <c r="AM239" s="318"/>
      <c r="AN239" s="318"/>
      <c r="AO239" s="318"/>
      <c r="AP239" s="318"/>
      <c r="AQ239" s="318"/>
      <c r="AR239" s="6" t="s">
        <v>140</v>
      </c>
    </row>
    <row r="240" ht="26.25" customHeight="1">
      <c r="A240" s="318" t="s">
        <v>54</v>
      </c>
      <c r="B240" s="318" t="n">
        <v>2503083328</v>
      </c>
      <c r="C240" s="318" t="s">
        <v>1185</v>
      </c>
      <c r="D240" s="318" t="s">
        <v>59</v>
      </c>
      <c r="E240" s="318" t="s">
        <v>104</v>
      </c>
      <c r="F240" s="318"/>
      <c r="G240" s="114"/>
      <c r="H240" s="318" t="s">
        <v>165</v>
      </c>
      <c r="I240" s="318" t="s">
        <v>101</v>
      </c>
      <c r="J240" s="318" t="n">
        <v>5111035</v>
      </c>
      <c r="K240" s="318" t="s">
        <v>125</v>
      </c>
      <c r="L240" s="318" t="n">
        <v>100</v>
      </c>
      <c r="M240" s="318" t="s">
        <v>116</v>
      </c>
      <c r="N240" s="318" t="s">
        <v>35</v>
      </c>
      <c r="O240" s="318" t="s">
        <v>986</v>
      </c>
      <c r="P240" s="318" t="s">
        <v>233</v>
      </c>
      <c r="Q240" s="318" t="s">
        <v>234</v>
      </c>
      <c r="R240" s="318" t="s">
        <v>101</v>
      </c>
      <c r="S240" s="318" t="s">
        <v>165</v>
      </c>
      <c r="T240" s="318" t="s">
        <v>116</v>
      </c>
      <c r="U240" s="318" t="n">
        <v>5170873</v>
      </c>
      <c r="V240" s="318" t="n">
        <v>0</v>
      </c>
      <c r="W240" s="318" t="s">
        <v>47</v>
      </c>
      <c r="X240" s="318" t="s">
        <v>986</v>
      </c>
      <c r="Y240" s="318" t="s">
        <v>216</v>
      </c>
      <c r="Z240" s="318" t="s">
        <v>283</v>
      </c>
      <c r="AA240" s="318" t="s">
        <v>101</v>
      </c>
      <c r="AB240" s="318" t="s">
        <v>165</v>
      </c>
      <c r="AC240" s="318" t="s">
        <v>116</v>
      </c>
      <c r="AD240" s="318" t="n">
        <v>5170871</v>
      </c>
      <c r="AE240" s="318" t="n">
        <v>44</v>
      </c>
      <c r="AF240" s="114" t="s">
        <v>58</v>
      </c>
      <c r="AG240" s="318" t="s">
        <v>986</v>
      </c>
      <c r="AH240" s="318" t="s">
        <v>215</v>
      </c>
      <c r="AI240" s="318" t="s">
        <v>283</v>
      </c>
      <c r="AJ240" s="318" t="s">
        <v>101</v>
      </c>
      <c r="AK240" s="318" t="s">
        <v>165</v>
      </c>
      <c r="AL240" s="318" t="s">
        <v>116</v>
      </c>
      <c r="AM240" s="318"/>
      <c r="AN240" s="318"/>
      <c r="AO240" s="318"/>
      <c r="AP240" s="318"/>
      <c r="AQ240" s="318"/>
      <c r="AR240" s="6" t="s">
        <v>140</v>
      </c>
    </row>
    <row r="241" ht="26.25" customHeight="1">
      <c r="A241" s="318" t="s">
        <v>54</v>
      </c>
      <c r="B241" s="318" t="n">
        <v>4826909405</v>
      </c>
      <c r="C241" s="318" t="s">
        <v>1186</v>
      </c>
      <c r="D241" s="318" t="s">
        <v>57</v>
      </c>
      <c r="E241" s="318" t="s">
        <v>115</v>
      </c>
      <c r="F241" s="318" t="s">
        <v>1187</v>
      </c>
      <c r="G241" s="318"/>
      <c r="H241" s="318" t="s">
        <v>165</v>
      </c>
      <c r="I241" s="318" t="s">
        <v>100</v>
      </c>
      <c r="J241" s="318" t="n">
        <v>5111034</v>
      </c>
      <c r="K241" s="318" t="s">
        <v>125</v>
      </c>
      <c r="L241" s="318" t="n">
        <v>19</v>
      </c>
      <c r="M241" s="318" t="s">
        <v>116</v>
      </c>
      <c r="N241" s="114" t="s">
        <v>37</v>
      </c>
      <c r="O241" s="318" t="s">
        <v>1030</v>
      </c>
      <c r="P241" s="318" t="s">
        <v>216</v>
      </c>
      <c r="Q241" s="318" t="s">
        <v>283</v>
      </c>
      <c r="R241" s="318" t="s">
        <v>100</v>
      </c>
      <c r="S241" s="318" t="s">
        <v>165</v>
      </c>
      <c r="T241" s="318" t="s">
        <v>116</v>
      </c>
      <c r="U241" s="318" t="n">
        <v>4513342</v>
      </c>
      <c r="V241" s="318" t="n">
        <v>29</v>
      </c>
      <c r="W241" s="318" t="s">
        <v>43</v>
      </c>
      <c r="X241" s="318" t="s">
        <v>1030</v>
      </c>
      <c r="Y241" s="318" t="s">
        <v>215</v>
      </c>
      <c r="Z241" s="318" t="s">
        <v>283</v>
      </c>
      <c r="AA241" s="318" t="s">
        <v>100</v>
      </c>
      <c r="AB241" s="318" t="s">
        <v>165</v>
      </c>
      <c r="AC241" s="318" t="s">
        <v>116</v>
      </c>
      <c r="AD241" s="318" t="n">
        <v>4513340</v>
      </c>
      <c r="AE241" s="318" t="n">
        <v>21</v>
      </c>
      <c r="AF241" s="114" t="s">
        <v>58</v>
      </c>
      <c r="AG241" s="318" t="s">
        <v>1030</v>
      </c>
      <c r="AH241" s="318" t="s">
        <v>233</v>
      </c>
      <c r="AI241" s="318" t="s">
        <v>283</v>
      </c>
      <c r="AJ241" s="318" t="s">
        <v>100</v>
      </c>
      <c r="AK241" s="318" t="s">
        <v>165</v>
      </c>
      <c r="AL241" s="318" t="s">
        <v>116</v>
      </c>
      <c r="AM241" s="318"/>
      <c r="AN241" s="318"/>
      <c r="AO241" s="318"/>
      <c r="AP241" s="476"/>
      <c r="AQ241" s="476"/>
      <c r="AR241" s="6" t="s">
        <v>140</v>
      </c>
    </row>
    <row r="242" ht="26.25" customHeight="1">
      <c r="A242" s="318" t="s">
        <v>45</v>
      </c>
      <c r="B242" s="318" t="n">
        <v>4408597383</v>
      </c>
      <c r="C242" s="318" t="s">
        <v>1188</v>
      </c>
      <c r="D242" s="318" t="s">
        <v>46</v>
      </c>
      <c r="E242" s="318" t="s">
        <v>104</v>
      </c>
      <c r="F242" s="318"/>
      <c r="G242" s="318"/>
      <c r="H242" s="318" t="s">
        <v>1123</v>
      </c>
      <c r="I242" s="318" t="s">
        <v>116</v>
      </c>
      <c r="J242" s="318" t="n">
        <v>5230719</v>
      </c>
      <c r="K242" s="318" t="s">
        <v>125</v>
      </c>
      <c r="L242" s="318" t="n">
        <v>90</v>
      </c>
      <c r="M242" s="318" t="s">
        <v>116</v>
      </c>
      <c r="N242" s="114" t="s">
        <v>31</v>
      </c>
      <c r="O242" s="318" t="s">
        <v>989</v>
      </c>
      <c r="P242" s="318" t="s">
        <v>216</v>
      </c>
      <c r="Q242" s="318" t="s">
        <v>234</v>
      </c>
      <c r="R242" s="318" t="s">
        <v>65</v>
      </c>
      <c r="S242" s="318" t="s">
        <v>444</v>
      </c>
      <c r="T242" s="318" t="s">
        <v>116</v>
      </c>
      <c r="U242" s="318" t="n">
        <v>5230828</v>
      </c>
      <c r="V242" s="318" t="n">
        <v>41</v>
      </c>
      <c r="W242" s="318" t="s">
        <v>43</v>
      </c>
      <c r="X242" s="318" t="s">
        <v>989</v>
      </c>
      <c r="Y242" s="318" t="s">
        <v>215</v>
      </c>
      <c r="Z242" s="318" t="s">
        <v>283</v>
      </c>
      <c r="AA242" s="318" t="s">
        <v>65</v>
      </c>
      <c r="AB242" s="318" t="s">
        <v>444</v>
      </c>
      <c r="AC242" s="318" t="s">
        <v>116</v>
      </c>
      <c r="AD242" s="318" t="n">
        <v>3132869</v>
      </c>
      <c r="AE242" s="318" t="n">
        <v>45</v>
      </c>
      <c r="AF242" s="114" t="s">
        <v>58</v>
      </c>
      <c r="AG242" s="318" t="s">
        <v>989</v>
      </c>
      <c r="AH242" s="318" t="s">
        <v>233</v>
      </c>
      <c r="AI242" s="318" t="s">
        <v>283</v>
      </c>
      <c r="AJ242" s="318" t="s">
        <v>65</v>
      </c>
      <c r="AK242" s="318" t="s">
        <v>444</v>
      </c>
      <c r="AL242" s="318" t="s">
        <v>116</v>
      </c>
      <c r="AM242" s="318"/>
      <c r="AN242" s="318"/>
      <c r="AO242" s="318"/>
      <c r="AP242" s="318"/>
      <c r="AQ242" s="318"/>
      <c r="AR242" s="6" t="s">
        <v>1124</v>
      </c>
    </row>
    <row r="243" ht="26.25" customHeight="1">
      <c r="A243" s="318" t="s">
        <v>54</v>
      </c>
      <c r="B243" s="318" t="n">
        <v>4833286317</v>
      </c>
      <c r="C243" s="318" t="s">
        <v>598</v>
      </c>
      <c r="D243" s="318" t="s">
        <v>57</v>
      </c>
      <c r="E243" s="318" t="s">
        <v>114</v>
      </c>
      <c r="F243" s="318" t="s">
        <v>1189</v>
      </c>
      <c r="G243" s="318"/>
      <c r="H243" s="318" t="s">
        <v>165</v>
      </c>
      <c r="I243" s="318" t="s">
        <v>101</v>
      </c>
      <c r="J243" s="318" t="n">
        <v>5111035</v>
      </c>
      <c r="K243" s="318" t="s">
        <v>125</v>
      </c>
      <c r="L243" s="318" t="n">
        <v>100</v>
      </c>
      <c r="M243" s="318" t="s">
        <v>116</v>
      </c>
      <c r="N243" s="114" t="s">
        <v>35</v>
      </c>
      <c r="O243" s="318" t="s">
        <v>986</v>
      </c>
      <c r="P243" s="318" t="s">
        <v>233</v>
      </c>
      <c r="Q243" s="318" t="s">
        <v>234</v>
      </c>
      <c r="R243" s="318" t="s">
        <v>101</v>
      </c>
      <c r="S243" s="318" t="s">
        <v>165</v>
      </c>
      <c r="T243" s="318" t="s">
        <v>116</v>
      </c>
      <c r="U243" s="318" t="n">
        <v>5230747</v>
      </c>
      <c r="V243" s="318" t="n">
        <v>0</v>
      </c>
      <c r="W243" s="318" t="s">
        <v>49</v>
      </c>
      <c r="X243" s="318" t="s">
        <v>987</v>
      </c>
      <c r="Y243" s="318" t="s">
        <v>215</v>
      </c>
      <c r="Z243" s="318" t="s">
        <v>283</v>
      </c>
      <c r="AA243" s="318" t="s">
        <v>101</v>
      </c>
      <c r="AB243" s="318" t="s">
        <v>165</v>
      </c>
      <c r="AC243" s="318" t="s">
        <v>116</v>
      </c>
      <c r="AD243" s="318" t="n">
        <v>4513388</v>
      </c>
      <c r="AE243" s="318" t="n">
        <v>20.5</v>
      </c>
      <c r="AF243" s="114" t="s">
        <v>56</v>
      </c>
      <c r="AG243" s="318" t="s">
        <v>985</v>
      </c>
      <c r="AH243" s="318" t="s">
        <v>216</v>
      </c>
      <c r="AI243" s="318" t="s">
        <v>283</v>
      </c>
      <c r="AJ243" s="318" t="s">
        <v>101</v>
      </c>
      <c r="AK243" s="318" t="s">
        <v>165</v>
      </c>
      <c r="AL243" s="318" t="s">
        <v>116</v>
      </c>
      <c r="AM243" s="318"/>
      <c r="AN243" s="318"/>
      <c r="AO243" s="318"/>
      <c r="AP243" s="318"/>
      <c r="AQ243" s="318"/>
      <c r="AR243" s="6" t="s">
        <v>140</v>
      </c>
    </row>
    <row r="244" ht="26.25" customHeight="1">
      <c r="A244" s="318" t="s">
        <v>54</v>
      </c>
      <c r="B244" s="318" t="n">
        <v>4100299520</v>
      </c>
      <c r="C244" s="318" t="s">
        <v>605</v>
      </c>
      <c r="D244" s="318" t="s">
        <v>34</v>
      </c>
      <c r="E244" s="318" t="s">
        <v>104</v>
      </c>
      <c r="F244" s="318"/>
      <c r="G244" s="318"/>
      <c r="H244" s="318" t="s">
        <v>165</v>
      </c>
      <c r="I244" s="318" t="s">
        <v>1190</v>
      </c>
      <c r="J244" s="318" t="n">
        <v>5230732</v>
      </c>
      <c r="K244" s="318" t="s">
        <v>125</v>
      </c>
      <c r="L244" s="318" t="n">
        <v>84</v>
      </c>
      <c r="M244" s="318" t="s">
        <v>116</v>
      </c>
      <c r="N244" s="318" t="s">
        <v>35</v>
      </c>
      <c r="O244" s="318" t="s">
        <v>987</v>
      </c>
      <c r="P244" s="318" t="s">
        <v>245</v>
      </c>
      <c r="Q244" s="318" t="s">
        <v>234</v>
      </c>
      <c r="R244" s="318" t="s">
        <v>65</v>
      </c>
      <c r="S244" s="318" t="s">
        <v>165</v>
      </c>
      <c r="T244" s="318" t="s">
        <v>116</v>
      </c>
      <c r="U244" s="318" t="n">
        <v>4513265</v>
      </c>
      <c r="V244" s="318" t="n">
        <v>35</v>
      </c>
      <c r="W244" s="318" t="s">
        <v>47</v>
      </c>
      <c r="X244" s="318" t="s">
        <v>987</v>
      </c>
      <c r="Y244" s="318" t="s">
        <v>215</v>
      </c>
      <c r="Z244" s="318" t="s">
        <v>283</v>
      </c>
      <c r="AA244" s="318" t="s">
        <v>88</v>
      </c>
      <c r="AB244" s="318" t="s">
        <v>165</v>
      </c>
      <c r="AC244" s="318" t="s">
        <v>116</v>
      </c>
      <c r="AD244" s="318" t="n">
        <v>5230727</v>
      </c>
      <c r="AE244" s="318" t="n">
        <v>36</v>
      </c>
      <c r="AF244" s="114" t="s">
        <v>56</v>
      </c>
      <c r="AG244" s="318" t="s">
        <v>986</v>
      </c>
      <c r="AH244" s="318" t="s">
        <v>216</v>
      </c>
      <c r="AI244" s="318" t="s">
        <v>283</v>
      </c>
      <c r="AJ244" s="318" t="s">
        <v>88</v>
      </c>
      <c r="AK244" s="318" t="s">
        <v>165</v>
      </c>
      <c r="AL244" s="318" t="s">
        <v>116</v>
      </c>
      <c r="AM244" s="318" t="s">
        <v>217</v>
      </c>
      <c r="AN244" s="318" t="s">
        <v>218</v>
      </c>
      <c r="AO244" s="318" t="s">
        <v>218</v>
      </c>
      <c r="AP244" s="318" t="s">
        <v>217</v>
      </c>
      <c r="AQ244" s="318" t="s">
        <v>218</v>
      </c>
      <c r="AR244" s="6" t="s">
        <v>140</v>
      </c>
    </row>
    <row r="245" ht="26.25" customHeight="1">
      <c r="A245" s="318" t="s">
        <v>54</v>
      </c>
      <c r="B245" s="318" t="n">
        <v>2579928838</v>
      </c>
      <c r="C245" s="318" t="s">
        <v>1191</v>
      </c>
      <c r="D245" s="318" t="s">
        <v>38</v>
      </c>
      <c r="E245" s="318" t="s">
        <v>104</v>
      </c>
      <c r="F245" s="318"/>
      <c r="G245" s="318"/>
      <c r="H245" s="318" t="s">
        <v>1123</v>
      </c>
      <c r="I245" s="318" t="s">
        <v>116</v>
      </c>
      <c r="J245" s="318" t="n">
        <v>5230742</v>
      </c>
      <c r="K245" s="318" t="s">
        <v>125</v>
      </c>
      <c r="L245" s="318" t="n">
        <v>64</v>
      </c>
      <c r="M245" s="318" t="s">
        <v>116</v>
      </c>
      <c r="N245" s="114" t="s">
        <v>35</v>
      </c>
      <c r="O245" s="318" t="s">
        <v>986</v>
      </c>
      <c r="P245" s="318" t="s">
        <v>216</v>
      </c>
      <c r="Q245" s="318" t="s">
        <v>283</v>
      </c>
      <c r="R245" s="318" t="s">
        <v>65</v>
      </c>
      <c r="S245" s="318" t="s">
        <v>444</v>
      </c>
      <c r="T245" s="318" t="s">
        <v>116</v>
      </c>
      <c r="U245" s="318" t="n">
        <v>5230773</v>
      </c>
      <c r="V245" s="318" t="n">
        <v>30</v>
      </c>
      <c r="W245" s="318" t="s">
        <v>49</v>
      </c>
      <c r="X245" s="318" t="s">
        <v>986</v>
      </c>
      <c r="Y245" s="318" t="s">
        <v>233</v>
      </c>
      <c r="Z245" s="318" t="s">
        <v>283</v>
      </c>
      <c r="AA245" s="318" t="s">
        <v>65</v>
      </c>
      <c r="AB245" s="318" t="s">
        <v>444</v>
      </c>
      <c r="AC245" s="318" t="s">
        <v>116</v>
      </c>
      <c r="AD245" s="318" t="n">
        <v>3132888</v>
      </c>
      <c r="AE245" s="318" t="n">
        <v>30</v>
      </c>
      <c r="AF245" s="114" t="s">
        <v>56</v>
      </c>
      <c r="AG245" s="318" t="s">
        <v>986</v>
      </c>
      <c r="AH245" s="318" t="s">
        <v>215</v>
      </c>
      <c r="AI245" s="318" t="s">
        <v>283</v>
      </c>
      <c r="AJ245" s="318" t="s">
        <v>65</v>
      </c>
      <c r="AK245" s="318" t="s">
        <v>444</v>
      </c>
      <c r="AL245" s="318" t="s">
        <v>116</v>
      </c>
      <c r="AM245" s="318"/>
      <c r="AN245" s="318"/>
      <c r="AO245" s="318"/>
      <c r="AP245" s="318"/>
      <c r="AQ245" s="318"/>
      <c r="AR245" s="6" t="s">
        <v>140</v>
      </c>
    </row>
    <row r="246" ht="26.25" customHeight="1">
      <c r="A246" s="318" t="s">
        <v>54</v>
      </c>
      <c r="B246" s="318" t="n">
        <v>4831946242</v>
      </c>
      <c r="C246" s="318" t="s">
        <v>1192</v>
      </c>
      <c r="D246" s="318" t="s">
        <v>36</v>
      </c>
      <c r="E246" s="318" t="s">
        <v>104</v>
      </c>
      <c r="F246" s="318"/>
      <c r="G246" s="318" t="s">
        <v>1085</v>
      </c>
      <c r="H246" s="318" t="s">
        <v>165</v>
      </c>
      <c r="I246" s="318" t="s">
        <v>100</v>
      </c>
      <c r="J246" s="318" t="n">
        <v>5111034</v>
      </c>
      <c r="K246" s="318" t="s">
        <v>126</v>
      </c>
      <c r="L246" s="318" t="n">
        <v>85</v>
      </c>
      <c r="M246" s="318" t="n">
        <v>95</v>
      </c>
      <c r="N246" s="318" t="s">
        <v>37</v>
      </c>
      <c r="O246" s="318" t="s">
        <v>1030</v>
      </c>
      <c r="P246" s="318" t="s">
        <v>216</v>
      </c>
      <c r="Q246" s="318" t="s">
        <v>283</v>
      </c>
      <c r="R246" s="318" t="s">
        <v>100</v>
      </c>
      <c r="S246" s="318" t="s">
        <v>165</v>
      </c>
      <c r="T246" s="318" t="s">
        <v>116</v>
      </c>
      <c r="U246" s="318" t="n">
        <v>4513342</v>
      </c>
      <c r="V246" s="318" t="n">
        <v>0</v>
      </c>
      <c r="W246" s="318" t="s">
        <v>43</v>
      </c>
      <c r="X246" s="318" t="s">
        <v>1030</v>
      </c>
      <c r="Y246" s="318" t="s">
        <v>215</v>
      </c>
      <c r="Z246" s="318" t="s">
        <v>283</v>
      </c>
      <c r="AA246" s="318" t="s">
        <v>100</v>
      </c>
      <c r="AB246" s="318" t="s">
        <v>165</v>
      </c>
      <c r="AC246" s="318" t="s">
        <v>116</v>
      </c>
      <c r="AD246" s="318" t="n">
        <v>4513340</v>
      </c>
      <c r="AE246" s="318" t="n">
        <v>0</v>
      </c>
      <c r="AF246" s="114" t="s">
        <v>58</v>
      </c>
      <c r="AG246" s="318" t="s">
        <v>1030</v>
      </c>
      <c r="AH246" s="318" t="s">
        <v>233</v>
      </c>
      <c r="AI246" s="318" t="s">
        <v>283</v>
      </c>
      <c r="AJ246" s="318" t="s">
        <v>100</v>
      </c>
      <c r="AK246" s="318" t="s">
        <v>165</v>
      </c>
      <c r="AL246" s="318" t="s">
        <v>116</v>
      </c>
      <c r="AM246" s="318"/>
      <c r="AN246" s="318"/>
      <c r="AO246" s="318"/>
      <c r="AP246" s="318"/>
      <c r="AQ246" s="318"/>
      <c r="AR246" s="6" t="s">
        <v>140</v>
      </c>
    </row>
    <row r="247" ht="26.25" customHeight="1">
      <c r="A247" s="318" t="s">
        <v>54</v>
      </c>
      <c r="B247" s="318" t="n">
        <v>4185156138</v>
      </c>
      <c r="C247" s="318" t="s">
        <v>1193</v>
      </c>
      <c r="D247" s="318" t="s">
        <v>55</v>
      </c>
      <c r="E247" s="318" t="s">
        <v>104</v>
      </c>
      <c r="F247" s="318"/>
      <c r="G247" s="318"/>
      <c r="H247" s="318" t="s">
        <v>165</v>
      </c>
      <c r="I247" s="318" t="s">
        <v>101</v>
      </c>
      <c r="J247" s="318" t="n">
        <v>5111035</v>
      </c>
      <c r="K247" s="318" t="s">
        <v>126</v>
      </c>
      <c r="L247" s="318" t="n">
        <v>85</v>
      </c>
      <c r="M247" s="318" t="n">
        <v>95</v>
      </c>
      <c r="N247" s="318" t="s">
        <v>35</v>
      </c>
      <c r="O247" s="318" t="s">
        <v>986</v>
      </c>
      <c r="P247" s="318" t="s">
        <v>233</v>
      </c>
      <c r="Q247" s="318" t="s">
        <v>234</v>
      </c>
      <c r="R247" s="318" t="s">
        <v>101</v>
      </c>
      <c r="S247" s="318" t="s">
        <v>165</v>
      </c>
      <c r="T247" s="318" t="s">
        <v>116</v>
      </c>
      <c r="U247" s="318" t="n">
        <v>5170873</v>
      </c>
      <c r="V247" s="318"/>
      <c r="W247" s="318" t="s">
        <v>47</v>
      </c>
      <c r="X247" s="318" t="s">
        <v>986</v>
      </c>
      <c r="Y247" s="318" t="s">
        <v>216</v>
      </c>
      <c r="Z247" s="318" t="s">
        <v>283</v>
      </c>
      <c r="AA247" s="318" t="s">
        <v>101</v>
      </c>
      <c r="AB247" s="318" t="s">
        <v>165</v>
      </c>
      <c r="AC247" s="318" t="s">
        <v>116</v>
      </c>
      <c r="AD247" s="318" t="n">
        <v>5170871</v>
      </c>
      <c r="AE247" s="318"/>
      <c r="AF247" s="114" t="s">
        <v>58</v>
      </c>
      <c r="AG247" s="318" t="s">
        <v>986</v>
      </c>
      <c r="AH247" s="318" t="s">
        <v>215</v>
      </c>
      <c r="AI247" s="318" t="s">
        <v>283</v>
      </c>
      <c r="AJ247" s="318" t="s">
        <v>101</v>
      </c>
      <c r="AK247" s="318" t="s">
        <v>165</v>
      </c>
      <c r="AL247" s="318" t="s">
        <v>116</v>
      </c>
      <c r="AM247" s="318"/>
      <c r="AN247" s="318"/>
      <c r="AO247" s="318"/>
      <c r="AP247" s="476"/>
      <c r="AQ247" s="476"/>
      <c r="AR247" s="6" t="s">
        <v>140</v>
      </c>
    </row>
    <row r="248" ht="26.25" customHeight="1">
      <c r="A248" s="318" t="s">
        <v>54</v>
      </c>
      <c r="B248" s="318" t="n">
        <v>2958659528</v>
      </c>
      <c r="C248" s="318" t="s">
        <v>612</v>
      </c>
      <c r="D248" s="318" t="s">
        <v>36</v>
      </c>
      <c r="E248" s="318" t="s">
        <v>104</v>
      </c>
      <c r="F248" s="318"/>
      <c r="G248" s="318"/>
      <c r="H248" s="318" t="s">
        <v>165</v>
      </c>
      <c r="I248" s="318" t="s">
        <v>65</v>
      </c>
      <c r="J248" s="318" t="n">
        <v>5230732</v>
      </c>
      <c r="K248" s="318" t="s">
        <v>126</v>
      </c>
      <c r="L248" s="318" t="n">
        <v>85</v>
      </c>
      <c r="M248" s="318" t="n">
        <v>95</v>
      </c>
      <c r="N248" s="114" t="s">
        <v>35</v>
      </c>
      <c r="O248" s="318" t="s">
        <v>987</v>
      </c>
      <c r="P248" s="318" t="s">
        <v>245</v>
      </c>
      <c r="Q248" s="318" t="s">
        <v>234</v>
      </c>
      <c r="R248" s="318" t="s">
        <v>65</v>
      </c>
      <c r="S248" s="318" t="s">
        <v>165</v>
      </c>
      <c r="T248" s="318" t="s">
        <v>116</v>
      </c>
      <c r="U248" s="318" t="n">
        <v>5170706</v>
      </c>
      <c r="V248" s="318" t="n">
        <v>0</v>
      </c>
      <c r="W248" s="318" t="s">
        <v>47</v>
      </c>
      <c r="X248" s="318" t="s">
        <v>987</v>
      </c>
      <c r="Y248" s="318" t="s">
        <v>216</v>
      </c>
      <c r="Z248" s="318" t="s">
        <v>283</v>
      </c>
      <c r="AA248" s="318" t="s">
        <v>65</v>
      </c>
      <c r="AB248" s="318" t="s">
        <v>165</v>
      </c>
      <c r="AC248" s="318" t="s">
        <v>116</v>
      </c>
      <c r="AD248" s="318" t="n">
        <v>3132899</v>
      </c>
      <c r="AE248" s="318" t="n">
        <v>0</v>
      </c>
      <c r="AF248" s="114" t="s">
        <v>56</v>
      </c>
      <c r="AG248" s="318" t="s">
        <v>985</v>
      </c>
      <c r="AH248" s="318" t="s">
        <v>246</v>
      </c>
      <c r="AI248" s="318" t="s">
        <v>283</v>
      </c>
      <c r="AJ248" s="318" t="s">
        <v>65</v>
      </c>
      <c r="AK248" s="318" t="s">
        <v>165</v>
      </c>
      <c r="AL248" s="318" t="s">
        <v>116</v>
      </c>
      <c r="AM248" s="318"/>
      <c r="AN248" s="318"/>
      <c r="AO248" s="318"/>
      <c r="AP248" s="318"/>
      <c r="AQ248" s="318"/>
      <c r="AR248" s="6" t="s">
        <v>140</v>
      </c>
    </row>
    <row r="249" ht="26.25" customHeight="1">
      <c r="A249" s="318" t="s">
        <v>54</v>
      </c>
      <c r="B249" s="318" t="n">
        <v>4828741262</v>
      </c>
      <c r="C249" s="318" t="s">
        <v>1194</v>
      </c>
      <c r="D249" s="318" t="s">
        <v>34</v>
      </c>
      <c r="E249" s="318" t="s">
        <v>104</v>
      </c>
      <c r="F249" s="318"/>
      <c r="G249" s="318"/>
      <c r="H249" s="318" t="s">
        <v>1123</v>
      </c>
      <c r="I249" s="318" t="s">
        <v>116</v>
      </c>
      <c r="J249" s="318" t="n">
        <v>5230732</v>
      </c>
      <c r="K249" s="318" t="s">
        <v>116</v>
      </c>
      <c r="L249" s="318" t="s">
        <v>116</v>
      </c>
      <c r="M249" s="318" t="s">
        <v>116</v>
      </c>
      <c r="N249" s="318" t="s">
        <v>35</v>
      </c>
      <c r="O249" s="318" t="s">
        <v>987</v>
      </c>
      <c r="P249" s="318" t="s">
        <v>245</v>
      </c>
      <c r="Q249" s="318" t="s">
        <v>234</v>
      </c>
      <c r="R249" s="318" t="s">
        <v>65</v>
      </c>
      <c r="S249" s="318" t="s">
        <v>444</v>
      </c>
      <c r="T249" s="318" t="s">
        <v>116</v>
      </c>
      <c r="U249" s="318" t="n">
        <v>5170706</v>
      </c>
      <c r="V249" s="318"/>
      <c r="W249" s="318" t="s">
        <v>47</v>
      </c>
      <c r="X249" s="318" t="s">
        <v>987</v>
      </c>
      <c r="Y249" s="318" t="s">
        <v>216</v>
      </c>
      <c r="Z249" s="318" t="s">
        <v>283</v>
      </c>
      <c r="AA249" s="318" t="s">
        <v>65</v>
      </c>
      <c r="AB249" s="318" t="s">
        <v>444</v>
      </c>
      <c r="AC249" s="318" t="s">
        <v>116</v>
      </c>
      <c r="AD249" s="318" t="n">
        <v>3132899</v>
      </c>
      <c r="AE249" s="318"/>
      <c r="AF249" s="114" t="s">
        <v>56</v>
      </c>
      <c r="AG249" s="318" t="s">
        <v>985</v>
      </c>
      <c r="AH249" s="318" t="s">
        <v>246</v>
      </c>
      <c r="AI249" s="318" t="s">
        <v>283</v>
      </c>
      <c r="AJ249" s="318" t="s">
        <v>65</v>
      </c>
      <c r="AK249" s="318" t="s">
        <v>444</v>
      </c>
      <c r="AL249" s="318" t="s">
        <v>116</v>
      </c>
      <c r="AM249" s="318"/>
      <c r="AN249" s="318"/>
      <c r="AO249" s="318"/>
      <c r="AP249" s="318"/>
      <c r="AQ249" s="318"/>
      <c r="AR249" s="6" t="s">
        <v>1124</v>
      </c>
    </row>
    <row r="250" ht="26.25" customHeight="1">
      <c r="A250" s="318" t="s">
        <v>54</v>
      </c>
      <c r="B250" s="318" t="n">
        <v>2472389311</v>
      </c>
      <c r="C250" s="318" t="s">
        <v>620</v>
      </c>
      <c r="D250" s="318" t="s">
        <v>46</v>
      </c>
      <c r="E250" s="318" t="s">
        <v>104</v>
      </c>
      <c r="F250" s="318"/>
      <c r="G250" s="318"/>
      <c r="H250" s="318" t="s">
        <v>165</v>
      </c>
      <c r="I250" s="318" t="s">
        <v>1072</v>
      </c>
      <c r="J250" s="318" t="n">
        <v>3132902</v>
      </c>
      <c r="K250" s="318" t="s">
        <v>125</v>
      </c>
      <c r="L250" s="318" t="n">
        <v>87</v>
      </c>
      <c r="M250" s="318" t="s">
        <v>116</v>
      </c>
      <c r="N250" s="318" t="s">
        <v>31</v>
      </c>
      <c r="O250" s="318" t="s">
        <v>987</v>
      </c>
      <c r="P250" s="318" t="s">
        <v>216</v>
      </c>
      <c r="Q250" s="318" t="s">
        <v>283</v>
      </c>
      <c r="R250" s="318" t="s">
        <v>101</v>
      </c>
      <c r="S250" s="318" t="s">
        <v>165</v>
      </c>
      <c r="T250" s="318" t="s">
        <v>116</v>
      </c>
      <c r="U250" s="318" t="n">
        <v>5230722</v>
      </c>
      <c r="V250" s="318" t="n">
        <v>41</v>
      </c>
      <c r="W250" s="318" t="s">
        <v>47</v>
      </c>
      <c r="X250" s="318" t="s">
        <v>989</v>
      </c>
      <c r="Y250" s="318" t="s">
        <v>233</v>
      </c>
      <c r="Z250" s="318" t="s">
        <v>283</v>
      </c>
      <c r="AA250" s="318" t="s">
        <v>88</v>
      </c>
      <c r="AB250" s="318" t="s">
        <v>165</v>
      </c>
      <c r="AC250" s="318" t="s">
        <v>116</v>
      </c>
      <c r="AD250" s="318" t="n">
        <v>5170871</v>
      </c>
      <c r="AE250" s="318" t="n">
        <v>33</v>
      </c>
      <c r="AF250" s="318" t="s">
        <v>58</v>
      </c>
      <c r="AG250" s="318" t="s">
        <v>986</v>
      </c>
      <c r="AH250" s="318" t="s">
        <v>215</v>
      </c>
      <c r="AI250" s="318" t="s">
        <v>283</v>
      </c>
      <c r="AJ250" s="318" t="s">
        <v>101</v>
      </c>
      <c r="AK250" s="318" t="s">
        <v>165</v>
      </c>
      <c r="AL250" s="318" t="s">
        <v>116</v>
      </c>
      <c r="AM250" s="318" t="s">
        <v>217</v>
      </c>
      <c r="AN250" s="318" t="s">
        <v>217</v>
      </c>
      <c r="AO250" s="318" t="s">
        <v>217</v>
      </c>
      <c r="AP250" s="476" t="s">
        <v>218</v>
      </c>
      <c r="AQ250" s="476" t="s">
        <v>218</v>
      </c>
      <c r="AR250" s="6" t="s">
        <v>140</v>
      </c>
    </row>
    <row r="251" ht="26.25" customHeight="1">
      <c r="A251" s="318" t="s">
        <v>54</v>
      </c>
      <c r="B251" s="318" t="n">
        <v>2593274713</v>
      </c>
      <c r="C251" s="318" t="s">
        <v>1195</v>
      </c>
      <c r="D251" s="318" t="s">
        <v>38</v>
      </c>
      <c r="E251" s="318" t="s">
        <v>106</v>
      </c>
      <c r="F251" s="318"/>
      <c r="G251" s="318"/>
      <c r="H251" s="318" t="s">
        <v>165</v>
      </c>
      <c r="I251" s="318" t="s">
        <v>100</v>
      </c>
      <c r="J251" s="318" t="n">
        <v>4513341</v>
      </c>
      <c r="K251" s="318" t="s">
        <v>124</v>
      </c>
      <c r="L251" s="318" t="n">
        <v>64</v>
      </c>
      <c r="M251" s="318" t="s">
        <v>116</v>
      </c>
      <c r="N251" s="114" t="s">
        <v>31</v>
      </c>
      <c r="O251" s="318" t="s">
        <v>987</v>
      </c>
      <c r="P251" s="318" t="s">
        <v>233</v>
      </c>
      <c r="Q251" s="318" t="s">
        <v>234</v>
      </c>
      <c r="R251" s="318" t="s">
        <v>100</v>
      </c>
      <c r="S251" s="318" t="s">
        <v>165</v>
      </c>
      <c r="T251" s="318" t="s">
        <v>217</v>
      </c>
      <c r="U251" s="318" t="n">
        <v>3132846</v>
      </c>
      <c r="V251" s="318" t="n">
        <v>27</v>
      </c>
      <c r="W251" s="318" t="s">
        <v>43</v>
      </c>
      <c r="X251" s="318" t="s">
        <v>987</v>
      </c>
      <c r="Y251" s="318" t="s">
        <v>216</v>
      </c>
      <c r="Z251" s="318" t="s">
        <v>283</v>
      </c>
      <c r="AA251" s="318" t="s">
        <v>100</v>
      </c>
      <c r="AB251" s="318" t="s">
        <v>165</v>
      </c>
      <c r="AC251" s="318" t="s">
        <v>217</v>
      </c>
      <c r="AD251" s="318" t="n">
        <v>5230738</v>
      </c>
      <c r="AE251" s="318" t="n">
        <v>22</v>
      </c>
      <c r="AF251" s="318" t="s">
        <v>58</v>
      </c>
      <c r="AG251" s="318" t="s">
        <v>987</v>
      </c>
      <c r="AH251" s="318" t="s">
        <v>215</v>
      </c>
      <c r="AI251" s="318" t="s">
        <v>283</v>
      </c>
      <c r="AJ251" s="318" t="s">
        <v>100</v>
      </c>
      <c r="AK251" s="318" t="s">
        <v>165</v>
      </c>
      <c r="AL251" s="318" t="s">
        <v>116</v>
      </c>
      <c r="AM251" s="318"/>
      <c r="AN251" s="318"/>
      <c r="AO251" s="318"/>
      <c r="AP251" s="318"/>
      <c r="AQ251" s="318"/>
      <c r="AR251" s="6" t="s">
        <v>138</v>
      </c>
      <c r="AS251" s="6" t="s">
        <v>217</v>
      </c>
    </row>
    <row r="252" ht="26.25" customHeight="1">
      <c r="A252" s="318" t="s">
        <v>54</v>
      </c>
      <c r="B252" s="318" t="n">
        <v>4193294263</v>
      </c>
      <c r="C252" s="318" t="s">
        <v>628</v>
      </c>
      <c r="D252" s="318" t="s">
        <v>57</v>
      </c>
      <c r="E252" s="318" t="s">
        <v>106</v>
      </c>
      <c r="F252" s="318"/>
      <c r="G252" s="318"/>
      <c r="H252" s="318" t="s">
        <v>165</v>
      </c>
      <c r="I252" s="318" t="s">
        <v>1079</v>
      </c>
      <c r="J252" s="318" t="n">
        <v>4513341</v>
      </c>
      <c r="K252" s="318" t="s">
        <v>124</v>
      </c>
      <c r="L252" s="318" t="n">
        <v>60</v>
      </c>
      <c r="M252" s="318" t="s">
        <v>116</v>
      </c>
      <c r="N252" s="318" t="s">
        <v>31</v>
      </c>
      <c r="O252" s="318" t="s">
        <v>987</v>
      </c>
      <c r="P252" s="318" t="s">
        <v>233</v>
      </c>
      <c r="Q252" s="318" t="s">
        <v>234</v>
      </c>
      <c r="R252" s="318" t="s">
        <v>100</v>
      </c>
      <c r="S252" s="318" t="s">
        <v>165</v>
      </c>
      <c r="T252" s="318" t="s">
        <v>217</v>
      </c>
      <c r="U252" s="318" t="n">
        <v>5170706</v>
      </c>
      <c r="V252" s="318" t="n">
        <v>0</v>
      </c>
      <c r="W252" s="318" t="s">
        <v>47</v>
      </c>
      <c r="X252" s="318" t="s">
        <v>987</v>
      </c>
      <c r="Y252" s="318" t="s">
        <v>216</v>
      </c>
      <c r="Z252" s="318" t="s">
        <v>283</v>
      </c>
      <c r="AA252" s="318" t="s">
        <v>65</v>
      </c>
      <c r="AB252" s="318" t="s">
        <v>165</v>
      </c>
      <c r="AC252" s="318" t="s">
        <v>116</v>
      </c>
      <c r="AD252" s="318" t="n">
        <v>3132888</v>
      </c>
      <c r="AE252" s="318" t="n">
        <v>0</v>
      </c>
      <c r="AF252" s="114" t="s">
        <v>56</v>
      </c>
      <c r="AG252" s="318" t="s">
        <v>986</v>
      </c>
      <c r="AH252" s="318" t="s">
        <v>215</v>
      </c>
      <c r="AI252" s="318" t="s">
        <v>283</v>
      </c>
      <c r="AJ252" s="318" t="s">
        <v>65</v>
      </c>
      <c r="AK252" s="318" t="s">
        <v>165</v>
      </c>
      <c r="AL252" s="318" t="s">
        <v>116</v>
      </c>
      <c r="AM252" s="318"/>
      <c r="AN252" s="318"/>
      <c r="AO252" s="318"/>
      <c r="AP252" s="318"/>
      <c r="AQ252" s="318"/>
      <c r="AR252" s="6" t="s">
        <v>138</v>
      </c>
      <c r="AS252" s="6" t="s">
        <v>217</v>
      </c>
    </row>
    <row r="253" ht="26.25" customHeight="1">
      <c r="A253" s="318" t="s">
        <v>45</v>
      </c>
      <c r="B253" s="318" t="n">
        <v>4829563345</v>
      </c>
      <c r="C253" s="318" t="s">
        <v>636</v>
      </c>
      <c r="D253" s="318" t="s">
        <v>48</v>
      </c>
      <c r="E253" s="318" t="s">
        <v>112</v>
      </c>
      <c r="F253" s="318"/>
      <c r="G253" s="318" t="s">
        <v>641</v>
      </c>
      <c r="H253" s="318" t="s">
        <v>165</v>
      </c>
      <c r="I253" s="318" t="s">
        <v>1190</v>
      </c>
      <c r="J253" s="318" t="n">
        <v>5230802</v>
      </c>
      <c r="K253" s="318" t="s">
        <v>125</v>
      </c>
      <c r="L253" s="318" t="n">
        <v>64</v>
      </c>
      <c r="M253" s="318" t="s">
        <v>116</v>
      </c>
      <c r="N253" s="318" t="s">
        <v>37</v>
      </c>
      <c r="O253" s="318" t="s">
        <v>997</v>
      </c>
      <c r="P253" s="318" t="s">
        <v>233</v>
      </c>
      <c r="Q253" s="318" t="s">
        <v>283</v>
      </c>
      <c r="R253" s="318" t="s">
        <v>65</v>
      </c>
      <c r="S253" s="318" t="s">
        <v>165</v>
      </c>
      <c r="T253" s="318" t="s">
        <v>217</v>
      </c>
      <c r="U253" s="318" t="n">
        <v>4632448</v>
      </c>
      <c r="V253" s="318" t="n">
        <v>35</v>
      </c>
      <c r="W253" s="318" t="s">
        <v>49</v>
      </c>
      <c r="X253" s="318" t="s">
        <v>997</v>
      </c>
      <c r="Y253" s="318" t="s">
        <v>215</v>
      </c>
      <c r="Z253" s="318" t="s">
        <v>283</v>
      </c>
      <c r="AA253" s="318" t="s">
        <v>65</v>
      </c>
      <c r="AB253" s="318" t="s">
        <v>165</v>
      </c>
      <c r="AC253" s="318" t="s">
        <v>217</v>
      </c>
      <c r="AD253" s="318" t="n">
        <v>3132865</v>
      </c>
      <c r="AE253" s="318" t="n">
        <v>36</v>
      </c>
      <c r="AF253" s="114" t="s">
        <v>52</v>
      </c>
      <c r="AG253" s="318" t="s">
        <v>1034</v>
      </c>
      <c r="AH253" s="318" t="s">
        <v>233</v>
      </c>
      <c r="AI253" s="318" t="s">
        <v>283</v>
      </c>
      <c r="AJ253" s="318" t="s">
        <v>88</v>
      </c>
      <c r="AK253" s="318" t="s">
        <v>165</v>
      </c>
      <c r="AL253" s="318" t="s">
        <v>217</v>
      </c>
      <c r="AM253" s="318" t="s">
        <v>217</v>
      </c>
      <c r="AN253" s="318" t="s">
        <v>217</v>
      </c>
      <c r="AO253" s="318" t="s">
        <v>217</v>
      </c>
      <c r="AP253" s="318" t="s">
        <v>218</v>
      </c>
      <c r="AQ253" s="318" t="s">
        <v>218</v>
      </c>
      <c r="AR253" s="6" t="s">
        <v>140</v>
      </c>
      <c r="AS253" s="6" t="s">
        <v>217</v>
      </c>
    </row>
    <row r="254" ht="26.25" customHeight="1">
      <c r="A254" s="318" t="s">
        <v>54</v>
      </c>
      <c r="B254" s="318" t="n">
        <v>4831171617</v>
      </c>
      <c r="C254" s="318" t="s">
        <v>642</v>
      </c>
      <c r="D254" s="318" t="s">
        <v>59</v>
      </c>
      <c r="E254" s="318" t="s">
        <v>112</v>
      </c>
      <c r="F254" s="318"/>
      <c r="G254" s="318" t="s">
        <v>649</v>
      </c>
      <c r="H254" s="318" t="s">
        <v>165</v>
      </c>
      <c r="I254" s="318" t="s">
        <v>101</v>
      </c>
      <c r="J254" s="318" t="n">
        <v>5111035</v>
      </c>
      <c r="K254" s="318" t="s">
        <v>125</v>
      </c>
      <c r="L254" s="318" t="n">
        <v>70</v>
      </c>
      <c r="M254" s="318" t="s">
        <v>116</v>
      </c>
      <c r="N254" s="318" t="s">
        <v>35</v>
      </c>
      <c r="O254" s="318" t="s">
        <v>986</v>
      </c>
      <c r="P254" s="318" t="s">
        <v>233</v>
      </c>
      <c r="Q254" s="318" t="s">
        <v>234</v>
      </c>
      <c r="R254" s="318" t="s">
        <v>101</v>
      </c>
      <c r="S254" s="318" t="s">
        <v>165</v>
      </c>
      <c r="T254" s="318" t="s">
        <v>116</v>
      </c>
      <c r="U254" s="318" t="n">
        <v>5230739</v>
      </c>
      <c r="V254" s="318" t="n">
        <v>36</v>
      </c>
      <c r="W254" s="318" t="s">
        <v>47</v>
      </c>
      <c r="X254" s="318" t="s">
        <v>991</v>
      </c>
      <c r="Y254" s="318" t="s">
        <v>215</v>
      </c>
      <c r="Z254" s="318" t="s">
        <v>283</v>
      </c>
      <c r="AA254" s="318" t="s">
        <v>101</v>
      </c>
      <c r="AB254" s="318" t="s">
        <v>165</v>
      </c>
      <c r="AC254" s="318" t="s">
        <v>116</v>
      </c>
      <c r="AD254" s="318" t="n">
        <v>4513388</v>
      </c>
      <c r="AE254" s="318" t="n">
        <v>41</v>
      </c>
      <c r="AF254" s="114" t="s">
        <v>56</v>
      </c>
      <c r="AG254" s="318" t="s">
        <v>985</v>
      </c>
      <c r="AH254" s="318" t="s">
        <v>216</v>
      </c>
      <c r="AI254" s="318" t="s">
        <v>283</v>
      </c>
      <c r="AJ254" s="318" t="s">
        <v>101</v>
      </c>
      <c r="AK254" s="318" t="s">
        <v>165</v>
      </c>
      <c r="AL254" s="318" t="s">
        <v>116</v>
      </c>
      <c r="AM254" s="318"/>
      <c r="AN254" s="318"/>
      <c r="AO254" s="318"/>
      <c r="AP254" s="318"/>
      <c r="AQ254" s="318"/>
      <c r="AR254" s="6" t="s">
        <v>140</v>
      </c>
    </row>
    <row r="255" ht="26.25" customHeight="1">
      <c r="A255" s="318" t="s">
        <v>85</v>
      </c>
      <c r="B255" s="318" t="n">
        <v>4830084500</v>
      </c>
      <c r="C255" s="318" t="s">
        <v>1196</v>
      </c>
      <c r="D255" s="318" t="s">
        <v>38</v>
      </c>
      <c r="E255" s="318" t="s">
        <v>104</v>
      </c>
      <c r="F255" s="318" t="s">
        <v>1197</v>
      </c>
      <c r="G255" s="318"/>
      <c r="H255" s="318" t="s">
        <v>165</v>
      </c>
      <c r="I255" s="318" t="s">
        <v>100</v>
      </c>
      <c r="J255" s="318" t="n">
        <v>3132864</v>
      </c>
      <c r="K255" s="318" t="s">
        <v>126</v>
      </c>
      <c r="L255" s="318" t="n">
        <v>89</v>
      </c>
      <c r="M255" s="318" t="n">
        <v>99</v>
      </c>
      <c r="N255" s="318" t="s">
        <v>39</v>
      </c>
      <c r="O255" s="318" t="s">
        <v>991</v>
      </c>
      <c r="P255" s="318" t="s">
        <v>216</v>
      </c>
      <c r="Q255" s="318" t="s">
        <v>283</v>
      </c>
      <c r="R255" s="318" t="s">
        <v>100</v>
      </c>
      <c r="S255" s="318" t="s">
        <v>165</v>
      </c>
      <c r="T255" s="318" t="s">
        <v>217</v>
      </c>
      <c r="U255" s="318" t="n">
        <v>3132810</v>
      </c>
      <c r="V255" s="318"/>
      <c r="W255" s="318" t="s">
        <v>47</v>
      </c>
      <c r="X255" s="318" t="s">
        <v>991</v>
      </c>
      <c r="Y255" s="318" t="s">
        <v>233</v>
      </c>
      <c r="Z255" s="318" t="s">
        <v>283</v>
      </c>
      <c r="AA255" s="318" t="s">
        <v>100</v>
      </c>
      <c r="AB255" s="318" t="s">
        <v>165</v>
      </c>
      <c r="AC255" s="318" t="s">
        <v>116</v>
      </c>
      <c r="AD255" s="318" t="n">
        <v>3132858</v>
      </c>
      <c r="AE255" s="318"/>
      <c r="AF255" s="114" t="s">
        <v>52</v>
      </c>
      <c r="AG255" s="318" t="s">
        <v>991</v>
      </c>
      <c r="AH255" s="318" t="s">
        <v>215</v>
      </c>
      <c r="AI255" s="318" t="s">
        <v>283</v>
      </c>
      <c r="AJ255" s="318" t="s">
        <v>100</v>
      </c>
      <c r="AK255" s="318" t="s">
        <v>165</v>
      </c>
      <c r="AL255" s="318" t="s">
        <v>116</v>
      </c>
      <c r="AM255" s="318"/>
      <c r="AN255" s="318"/>
      <c r="AO255" s="318"/>
      <c r="AP255" s="476"/>
      <c r="AQ255" s="476"/>
      <c r="AR255" s="6" t="s">
        <v>139</v>
      </c>
      <c r="AS255" s="6" t="s">
        <v>217</v>
      </c>
    </row>
    <row r="256" ht="26.25" customHeight="1">
      <c r="A256" s="318" t="s">
        <v>85</v>
      </c>
      <c r="B256" s="318" t="n">
        <v>4823694121</v>
      </c>
      <c r="C256" s="318" t="s">
        <v>1198</v>
      </c>
      <c r="D256" s="318" t="s">
        <v>38</v>
      </c>
      <c r="E256" s="318" t="s">
        <v>104</v>
      </c>
      <c r="F256" s="318" t="s">
        <v>1199</v>
      </c>
      <c r="G256" s="318"/>
      <c r="H256" s="318" t="s">
        <v>165</v>
      </c>
      <c r="I256" s="318" t="s">
        <v>100</v>
      </c>
      <c r="J256" s="318" t="n">
        <v>3132864</v>
      </c>
      <c r="K256" s="318" t="s">
        <v>126</v>
      </c>
      <c r="L256" s="318" t="n">
        <v>88</v>
      </c>
      <c r="M256" s="318" t="n">
        <v>98</v>
      </c>
      <c r="N256" s="114" t="s">
        <v>39</v>
      </c>
      <c r="O256" s="318" t="s">
        <v>991</v>
      </c>
      <c r="P256" s="318" t="s">
        <v>216</v>
      </c>
      <c r="Q256" s="318" t="s">
        <v>283</v>
      </c>
      <c r="R256" s="318" t="s">
        <v>100</v>
      </c>
      <c r="S256" s="318" t="s">
        <v>165</v>
      </c>
      <c r="T256" s="318" t="s">
        <v>217</v>
      </c>
      <c r="U256" s="318" t="n">
        <v>3132810</v>
      </c>
      <c r="V256" s="318"/>
      <c r="W256" s="318" t="s">
        <v>47</v>
      </c>
      <c r="X256" s="318" t="s">
        <v>991</v>
      </c>
      <c r="Y256" s="318" t="s">
        <v>233</v>
      </c>
      <c r="Z256" s="318" t="s">
        <v>283</v>
      </c>
      <c r="AA256" s="318" t="s">
        <v>100</v>
      </c>
      <c r="AB256" s="318" t="s">
        <v>165</v>
      </c>
      <c r="AC256" s="318" t="s">
        <v>116</v>
      </c>
      <c r="AD256" s="318" t="n">
        <v>3132858</v>
      </c>
      <c r="AE256" s="318"/>
      <c r="AF256" s="114" t="s">
        <v>52</v>
      </c>
      <c r="AG256" s="318" t="s">
        <v>991</v>
      </c>
      <c r="AH256" s="318" t="s">
        <v>215</v>
      </c>
      <c r="AI256" s="318" t="s">
        <v>283</v>
      </c>
      <c r="AJ256" s="318" t="s">
        <v>100</v>
      </c>
      <c r="AK256" s="318" t="s">
        <v>165</v>
      </c>
      <c r="AL256" s="318" t="s">
        <v>116</v>
      </c>
      <c r="AM256" s="318"/>
      <c r="AN256" s="318"/>
      <c r="AO256" s="318"/>
      <c r="AP256" s="318"/>
      <c r="AQ256" s="318"/>
      <c r="AR256" s="6" t="s">
        <v>139</v>
      </c>
      <c r="AS256" s="6" t="s">
        <v>217</v>
      </c>
    </row>
    <row r="257" ht="26.25" customHeight="1">
      <c r="A257" s="318" t="s">
        <v>54</v>
      </c>
      <c r="B257" s="318" t="n">
        <v>4823424926</v>
      </c>
      <c r="C257" s="318" t="s">
        <v>1200</v>
      </c>
      <c r="D257" s="318" t="s">
        <v>59</v>
      </c>
      <c r="E257" s="318" t="s">
        <v>104</v>
      </c>
      <c r="F257" s="318"/>
      <c r="G257" s="318"/>
      <c r="H257" s="318" t="s">
        <v>1123</v>
      </c>
      <c r="I257" s="318" t="s">
        <v>116</v>
      </c>
      <c r="J257" s="318" t="n">
        <v>5111035</v>
      </c>
      <c r="K257" s="318" t="s">
        <v>116</v>
      </c>
      <c r="L257" s="318" t="s">
        <v>116</v>
      </c>
      <c r="M257" s="318" t="s">
        <v>116</v>
      </c>
      <c r="N257" s="318" t="s">
        <v>35</v>
      </c>
      <c r="O257" s="318" t="s">
        <v>986</v>
      </c>
      <c r="P257" s="318" t="s">
        <v>233</v>
      </c>
      <c r="Q257" s="318" t="s">
        <v>234</v>
      </c>
      <c r="R257" s="318" t="s">
        <v>101</v>
      </c>
      <c r="S257" s="318" t="s">
        <v>444</v>
      </c>
      <c r="T257" s="318" t="s">
        <v>116</v>
      </c>
      <c r="U257" s="318" t="n">
        <v>5170873</v>
      </c>
      <c r="V257" s="318"/>
      <c r="W257" s="318" t="s">
        <v>47</v>
      </c>
      <c r="X257" s="318" t="s">
        <v>986</v>
      </c>
      <c r="Y257" s="318" t="s">
        <v>216</v>
      </c>
      <c r="Z257" s="318" t="s">
        <v>283</v>
      </c>
      <c r="AA257" s="318" t="s">
        <v>101</v>
      </c>
      <c r="AB257" s="318" t="s">
        <v>444</v>
      </c>
      <c r="AC257" s="318" t="s">
        <v>116</v>
      </c>
      <c r="AD257" s="318" t="n">
        <v>5170871</v>
      </c>
      <c r="AE257" s="318"/>
      <c r="AF257" s="114" t="s">
        <v>58</v>
      </c>
      <c r="AG257" s="318" t="s">
        <v>986</v>
      </c>
      <c r="AH257" s="318" t="s">
        <v>215</v>
      </c>
      <c r="AI257" s="318" t="s">
        <v>283</v>
      </c>
      <c r="AJ257" s="318" t="s">
        <v>101</v>
      </c>
      <c r="AK257" s="318" t="s">
        <v>444</v>
      </c>
      <c r="AL257" s="318" t="s">
        <v>116</v>
      </c>
      <c r="AM257" s="318"/>
      <c r="AN257" s="318"/>
      <c r="AO257" s="318"/>
      <c r="AP257" s="476"/>
      <c r="AQ257" s="476"/>
      <c r="AR257" s="6" t="s">
        <v>1124</v>
      </c>
    </row>
    <row r="258" ht="26.25" customHeight="1">
      <c r="A258" s="318" t="s">
        <v>54</v>
      </c>
      <c r="B258" s="318" t="n">
        <v>2425704855</v>
      </c>
      <c r="C258" s="318" t="s">
        <v>1085</v>
      </c>
      <c r="D258" s="318" t="s">
        <v>36</v>
      </c>
      <c r="E258" s="318" t="s">
        <v>104</v>
      </c>
      <c r="F258" s="318"/>
      <c r="G258" s="318"/>
      <c r="H258" s="318" t="s">
        <v>165</v>
      </c>
      <c r="I258" s="318" t="s">
        <v>88</v>
      </c>
      <c r="J258" s="318" t="n">
        <v>3132880</v>
      </c>
      <c r="K258" s="318" t="s">
        <v>125</v>
      </c>
      <c r="L258" s="318" t="n">
        <v>85</v>
      </c>
      <c r="M258" s="318" t="s">
        <v>116</v>
      </c>
      <c r="N258" s="318" t="s">
        <v>31</v>
      </c>
      <c r="O258" s="318" t="s">
        <v>986</v>
      </c>
      <c r="P258" s="318" t="s">
        <v>233</v>
      </c>
      <c r="Q258" s="318" t="s">
        <v>234</v>
      </c>
      <c r="R258" s="318" t="s">
        <v>88</v>
      </c>
      <c r="S258" s="318" t="s">
        <v>165</v>
      </c>
      <c r="T258" s="318" t="s">
        <v>217</v>
      </c>
      <c r="U258" s="318" t="n">
        <v>3132859</v>
      </c>
      <c r="V258" s="318" t="n">
        <v>32</v>
      </c>
      <c r="W258" s="318" t="s">
        <v>43</v>
      </c>
      <c r="X258" s="318" t="s">
        <v>986</v>
      </c>
      <c r="Y258" s="318" t="s">
        <v>215</v>
      </c>
      <c r="Z258" s="318" t="s">
        <v>283</v>
      </c>
      <c r="AA258" s="318" t="s">
        <v>88</v>
      </c>
      <c r="AB258" s="318" t="s">
        <v>165</v>
      </c>
      <c r="AC258" s="318" t="s">
        <v>116</v>
      </c>
      <c r="AD258" s="318" t="n">
        <v>5230727</v>
      </c>
      <c r="AE258" s="318" t="n">
        <v>40</v>
      </c>
      <c r="AF258" s="114" t="s">
        <v>56</v>
      </c>
      <c r="AG258" s="318" t="s">
        <v>986</v>
      </c>
      <c r="AH258" s="318" t="s">
        <v>216</v>
      </c>
      <c r="AI258" s="318" t="s">
        <v>283</v>
      </c>
      <c r="AJ258" s="318" t="s">
        <v>88</v>
      </c>
      <c r="AK258" s="318" t="s">
        <v>165</v>
      </c>
      <c r="AL258" s="318" t="s">
        <v>116</v>
      </c>
      <c r="AM258" s="318" t="s">
        <v>217</v>
      </c>
      <c r="AN258" s="318" t="s">
        <v>217</v>
      </c>
      <c r="AO258" s="318" t="s">
        <v>217</v>
      </c>
      <c r="AP258" s="318" t="s">
        <v>217</v>
      </c>
      <c r="AQ258" s="318" t="s">
        <v>217</v>
      </c>
      <c r="AR258" s="6" t="s">
        <v>139</v>
      </c>
      <c r="AS258" s="6" t="s">
        <v>217</v>
      </c>
    </row>
    <row r="259" ht="26.25" customHeight="1">
      <c r="A259" s="318" t="s">
        <v>85</v>
      </c>
      <c r="B259" s="318" t="n">
        <v>2514140816</v>
      </c>
      <c r="C259" s="318" t="s">
        <v>650</v>
      </c>
      <c r="D259" s="318" t="s">
        <v>38</v>
      </c>
      <c r="E259" s="318" t="s">
        <v>104</v>
      </c>
      <c r="F259" s="318"/>
      <c r="G259" s="318"/>
      <c r="H259" s="318" t="s">
        <v>165</v>
      </c>
      <c r="I259" s="318" t="s">
        <v>65</v>
      </c>
      <c r="J259" s="318" t="n">
        <v>5230775</v>
      </c>
      <c r="K259" s="318" t="s">
        <v>125</v>
      </c>
      <c r="L259" s="318" t="n">
        <v>70</v>
      </c>
      <c r="M259" s="318" t="s">
        <v>116</v>
      </c>
      <c r="N259" s="318" t="s">
        <v>31</v>
      </c>
      <c r="O259" s="318" t="s">
        <v>991</v>
      </c>
      <c r="P259" s="318" t="s">
        <v>215</v>
      </c>
      <c r="Q259" s="318" t="s">
        <v>283</v>
      </c>
      <c r="R259" s="318" t="s">
        <v>65</v>
      </c>
      <c r="S259" s="318" t="s">
        <v>165</v>
      </c>
      <c r="T259" s="318" t="s">
        <v>116</v>
      </c>
      <c r="U259" s="318" t="n">
        <v>3132834</v>
      </c>
      <c r="V259" s="318" t="n">
        <v>32</v>
      </c>
      <c r="W259" s="318" t="s">
        <v>47</v>
      </c>
      <c r="X259" s="318" t="s">
        <v>991</v>
      </c>
      <c r="Y259" s="318" t="s">
        <v>246</v>
      </c>
      <c r="Z259" s="318" t="s">
        <v>283</v>
      </c>
      <c r="AA259" s="318" t="s">
        <v>65</v>
      </c>
      <c r="AB259" s="318" t="s">
        <v>165</v>
      </c>
      <c r="AC259" s="318" t="s">
        <v>116</v>
      </c>
      <c r="AD259" s="318" t="n">
        <v>5230783</v>
      </c>
      <c r="AE259" s="318" t="n">
        <v>23</v>
      </c>
      <c r="AF259" s="318" t="s">
        <v>52</v>
      </c>
      <c r="AG259" s="318" t="s">
        <v>991</v>
      </c>
      <c r="AH259" s="318" t="s">
        <v>216</v>
      </c>
      <c r="AI259" s="318" t="s">
        <v>283</v>
      </c>
      <c r="AJ259" s="318" t="s">
        <v>65</v>
      </c>
      <c r="AK259" s="318" t="s">
        <v>165</v>
      </c>
      <c r="AL259" s="318" t="s">
        <v>116</v>
      </c>
      <c r="AM259" s="318"/>
      <c r="AN259" s="318"/>
      <c r="AO259" s="318"/>
      <c r="AP259" s="318"/>
      <c r="AQ259" s="318"/>
      <c r="AR259" s="6" t="s">
        <v>139</v>
      </c>
    </row>
    <row r="260" ht="26.25" customHeight="1">
      <c r="A260" s="318" t="s">
        <v>85</v>
      </c>
      <c r="B260" s="318" t="n">
        <v>4373949634</v>
      </c>
      <c r="C260" s="318" t="s">
        <v>657</v>
      </c>
      <c r="D260" s="318" t="s">
        <v>38</v>
      </c>
      <c r="E260" s="318" t="s">
        <v>106</v>
      </c>
      <c r="F260" s="318"/>
      <c r="G260" s="318"/>
      <c r="H260" s="318" t="s">
        <v>165</v>
      </c>
      <c r="I260" s="318" t="s">
        <v>1190</v>
      </c>
      <c r="J260" s="318" t="n">
        <v>3132897</v>
      </c>
      <c r="K260" s="318" t="s">
        <v>125</v>
      </c>
      <c r="L260" s="318" t="n">
        <v>70</v>
      </c>
      <c r="M260" s="318" t="s">
        <v>116</v>
      </c>
      <c r="N260" s="318" t="s">
        <v>31</v>
      </c>
      <c r="O260" s="318" t="s">
        <v>989</v>
      </c>
      <c r="P260" s="318" t="s">
        <v>215</v>
      </c>
      <c r="Q260" s="318" t="s">
        <v>283</v>
      </c>
      <c r="R260" s="318" t="s">
        <v>88</v>
      </c>
      <c r="S260" s="318" t="s">
        <v>165</v>
      </c>
      <c r="T260" s="318" t="s">
        <v>217</v>
      </c>
      <c r="U260" s="318" t="n">
        <v>3132905</v>
      </c>
      <c r="V260" s="318" t="n">
        <v>87</v>
      </c>
      <c r="W260" s="318" t="s">
        <v>43</v>
      </c>
      <c r="X260" s="318" t="s">
        <v>997</v>
      </c>
      <c r="Y260" s="318" t="s">
        <v>216</v>
      </c>
      <c r="Z260" s="318" t="s">
        <v>283</v>
      </c>
      <c r="AA260" s="318" t="s">
        <v>88</v>
      </c>
      <c r="AB260" s="318" t="s">
        <v>165</v>
      </c>
      <c r="AC260" s="318" t="s">
        <v>217</v>
      </c>
      <c r="AD260" s="318" t="n">
        <v>5230783</v>
      </c>
      <c r="AE260" s="318" t="n">
        <v>31</v>
      </c>
      <c r="AF260" s="318" t="s">
        <v>52</v>
      </c>
      <c r="AG260" s="318" t="s">
        <v>991</v>
      </c>
      <c r="AH260" s="318" t="s">
        <v>216</v>
      </c>
      <c r="AI260" s="318" t="s">
        <v>283</v>
      </c>
      <c r="AJ260" s="318" t="s">
        <v>65</v>
      </c>
      <c r="AK260" s="318" t="s">
        <v>165</v>
      </c>
      <c r="AL260" s="318" t="s">
        <v>116</v>
      </c>
      <c r="AM260" s="318" t="s">
        <v>217</v>
      </c>
      <c r="AN260" s="318" t="s">
        <v>218</v>
      </c>
      <c r="AO260" s="318" t="s">
        <v>218</v>
      </c>
      <c r="AP260" s="318" t="s">
        <v>217</v>
      </c>
      <c r="AQ260" s="318" t="s">
        <v>217</v>
      </c>
      <c r="AR260" s="6" t="s">
        <v>138</v>
      </c>
      <c r="AS260" s="6" t="s">
        <v>217</v>
      </c>
    </row>
    <row r="261" ht="26.25" customHeight="1">
      <c r="A261" s="318" t="s">
        <v>85</v>
      </c>
      <c r="B261" s="318" t="n">
        <v>2502365653</v>
      </c>
      <c r="C261" s="318" t="s">
        <v>458</v>
      </c>
      <c r="D261" s="318" t="s">
        <v>38</v>
      </c>
      <c r="E261" s="318" t="s">
        <v>115</v>
      </c>
      <c r="F261" s="318"/>
      <c r="G261" s="318"/>
      <c r="H261" s="318" t="s">
        <v>165</v>
      </c>
      <c r="I261" s="318" t="s">
        <v>100</v>
      </c>
      <c r="J261" s="318" t="s">
        <v>116</v>
      </c>
      <c r="K261" s="318"/>
      <c r="L261" s="318"/>
      <c r="M261" s="318"/>
      <c r="N261" s="318" t="s">
        <v>116</v>
      </c>
      <c r="O261" s="318" t="s">
        <v>116</v>
      </c>
      <c r="P261" s="318" t="s">
        <v>116</v>
      </c>
      <c r="Q261" s="318" t="s">
        <v>116</v>
      </c>
      <c r="R261" s="318" t="s">
        <v>116</v>
      </c>
      <c r="S261" s="318" t="s">
        <v>116</v>
      </c>
      <c r="T261" s="318" t="s">
        <v>116</v>
      </c>
      <c r="U261" s="318" t="n">
        <v>3132810</v>
      </c>
      <c r="V261" s="318" t="n">
        <v>32</v>
      </c>
      <c r="W261" s="318" t="s">
        <v>47</v>
      </c>
      <c r="X261" s="318" t="s">
        <v>991</v>
      </c>
      <c r="Y261" s="318" t="s">
        <v>233</v>
      </c>
      <c r="Z261" s="318" t="s">
        <v>283</v>
      </c>
      <c r="AA261" s="318" t="s">
        <v>100</v>
      </c>
      <c r="AB261" s="318" t="s">
        <v>165</v>
      </c>
      <c r="AC261" s="318" t="s">
        <v>116</v>
      </c>
      <c r="AD261" s="318" t="s">
        <v>116</v>
      </c>
      <c r="AE261" s="318"/>
      <c r="AF261" s="114" t="s">
        <v>116</v>
      </c>
      <c r="AG261" s="318" t="s">
        <v>116</v>
      </c>
      <c r="AH261" s="318" t="s">
        <v>116</v>
      </c>
      <c r="AI261" s="318" t="s">
        <v>116</v>
      </c>
      <c r="AJ261" s="318" t="s">
        <v>116</v>
      </c>
      <c r="AK261" s="318" t="s">
        <v>116</v>
      </c>
      <c r="AL261" s="318" t="s">
        <v>116</v>
      </c>
      <c r="AM261" s="318"/>
      <c r="AN261" s="318"/>
      <c r="AO261" s="318"/>
      <c r="AP261" s="476"/>
      <c r="AQ261" s="476"/>
      <c r="AR261" s="6" t="s">
        <v>139</v>
      </c>
    </row>
    <row r="262" ht="26.25" customHeight="1">
      <c r="A262" s="318" t="s">
        <v>54</v>
      </c>
      <c r="B262" s="318" t="n">
        <v>4518395205</v>
      </c>
      <c r="C262" s="318" t="s">
        <v>1201</v>
      </c>
      <c r="D262" s="318" t="s">
        <v>59</v>
      </c>
      <c r="E262" s="318" t="s">
        <v>106</v>
      </c>
      <c r="F262" s="318"/>
      <c r="G262" s="318"/>
      <c r="H262" s="318" t="s">
        <v>165</v>
      </c>
      <c r="I262" s="318" t="s">
        <v>100</v>
      </c>
      <c r="J262" s="318" t="n">
        <v>4513341</v>
      </c>
      <c r="K262" s="318" t="s">
        <v>124</v>
      </c>
      <c r="L262" s="318" t="n">
        <v>65</v>
      </c>
      <c r="M262" s="318" t="s">
        <v>116</v>
      </c>
      <c r="N262" s="318" t="s">
        <v>31</v>
      </c>
      <c r="O262" s="318" t="s">
        <v>987</v>
      </c>
      <c r="P262" s="318" t="s">
        <v>233</v>
      </c>
      <c r="Q262" s="318" t="s">
        <v>234</v>
      </c>
      <c r="R262" s="318" t="s">
        <v>100</v>
      </c>
      <c r="S262" s="318" t="s">
        <v>165</v>
      </c>
      <c r="T262" s="318" t="s">
        <v>217</v>
      </c>
      <c r="U262" s="318" t="n">
        <v>3132846</v>
      </c>
      <c r="V262" s="318" t="n">
        <v>0</v>
      </c>
      <c r="W262" s="318" t="s">
        <v>43</v>
      </c>
      <c r="X262" s="318" t="s">
        <v>987</v>
      </c>
      <c r="Y262" s="318" t="s">
        <v>216</v>
      </c>
      <c r="Z262" s="318" t="s">
        <v>283</v>
      </c>
      <c r="AA262" s="318" t="s">
        <v>100</v>
      </c>
      <c r="AB262" s="318" t="s">
        <v>165</v>
      </c>
      <c r="AC262" s="318" t="s">
        <v>116</v>
      </c>
      <c r="AD262" s="318" t="n">
        <v>5230738</v>
      </c>
      <c r="AE262" s="318" t="n">
        <v>0</v>
      </c>
      <c r="AF262" s="318" t="s">
        <v>58</v>
      </c>
      <c r="AG262" s="318" t="s">
        <v>987</v>
      </c>
      <c r="AH262" s="318" t="s">
        <v>215</v>
      </c>
      <c r="AI262" s="318" t="s">
        <v>283</v>
      </c>
      <c r="AJ262" s="318" t="s">
        <v>100</v>
      </c>
      <c r="AK262" s="318" t="s">
        <v>165</v>
      </c>
      <c r="AL262" s="318" t="s">
        <v>116</v>
      </c>
      <c r="AM262" s="318"/>
      <c r="AN262" s="318"/>
      <c r="AO262" s="318"/>
      <c r="AP262" s="318"/>
      <c r="AQ262" s="318"/>
      <c r="AR262" s="6" t="s">
        <v>138</v>
      </c>
      <c r="AS262" s="6" t="s">
        <v>217</v>
      </c>
    </row>
    <row r="263" ht="26.25" customHeight="1">
      <c r="A263" s="318" t="s">
        <v>54</v>
      </c>
      <c r="B263" s="318" t="n">
        <v>2499480724</v>
      </c>
      <c r="C263" s="318" t="s">
        <v>1202</v>
      </c>
      <c r="D263" s="318" t="s">
        <v>55</v>
      </c>
      <c r="E263" s="318" t="s">
        <v>114</v>
      </c>
      <c r="F263" s="318" t="s">
        <v>1203</v>
      </c>
      <c r="G263" s="318"/>
      <c r="H263" s="318" t="s">
        <v>1123</v>
      </c>
      <c r="I263" s="318" t="s">
        <v>116</v>
      </c>
      <c r="J263" s="318" t="n">
        <v>3132884</v>
      </c>
      <c r="K263" s="318" t="s">
        <v>126</v>
      </c>
      <c r="L263" s="318" t="n">
        <v>72</v>
      </c>
      <c r="M263" s="318" t="n">
        <v>90</v>
      </c>
      <c r="N263" s="318" t="s">
        <v>37</v>
      </c>
      <c r="O263" s="318" t="s">
        <v>987</v>
      </c>
      <c r="P263" s="318" t="s">
        <v>216</v>
      </c>
      <c r="Q263" s="318" t="s">
        <v>283</v>
      </c>
      <c r="R263" s="318" t="s">
        <v>88</v>
      </c>
      <c r="S263" s="318" t="s">
        <v>444</v>
      </c>
      <c r="T263" s="318" t="s">
        <v>116</v>
      </c>
      <c r="U263" s="318" t="n">
        <v>4513265</v>
      </c>
      <c r="V263" s="318" t="n">
        <v>0</v>
      </c>
      <c r="W263" s="318" t="s">
        <v>47</v>
      </c>
      <c r="X263" s="318" t="s">
        <v>987</v>
      </c>
      <c r="Y263" s="318" t="s">
        <v>215</v>
      </c>
      <c r="Z263" s="318" t="s">
        <v>283</v>
      </c>
      <c r="AA263" s="318" t="s">
        <v>88</v>
      </c>
      <c r="AB263" s="318" t="s">
        <v>444</v>
      </c>
      <c r="AC263" s="318" t="s">
        <v>116</v>
      </c>
      <c r="AD263" s="318" t="n">
        <v>5230723</v>
      </c>
      <c r="AE263" s="318" t="n">
        <v>0</v>
      </c>
      <c r="AF263" s="114" t="s">
        <v>56</v>
      </c>
      <c r="AG263" s="318" t="s">
        <v>987</v>
      </c>
      <c r="AH263" s="318" t="s">
        <v>233</v>
      </c>
      <c r="AI263" s="318" t="s">
        <v>283</v>
      </c>
      <c r="AJ263" s="318" t="s">
        <v>88</v>
      </c>
      <c r="AK263" s="318" t="s">
        <v>444</v>
      </c>
      <c r="AL263" s="318" t="s">
        <v>116</v>
      </c>
      <c r="AM263" s="318"/>
      <c r="AN263" s="318"/>
      <c r="AO263" s="318"/>
      <c r="AP263" s="318"/>
      <c r="AQ263" s="318"/>
      <c r="AR263" s="6" t="s">
        <v>1124</v>
      </c>
    </row>
    <row r="264" ht="26.25" customHeight="1">
      <c r="A264" s="318" t="s">
        <v>45</v>
      </c>
      <c r="B264" s="318" t="n">
        <v>4357593784</v>
      </c>
      <c r="C264" s="318" t="s">
        <v>1204</v>
      </c>
      <c r="D264" s="318" t="s">
        <v>48</v>
      </c>
      <c r="E264" s="318" t="s">
        <v>106</v>
      </c>
      <c r="F264" s="318" t="s">
        <v>1205</v>
      </c>
      <c r="G264" s="318"/>
      <c r="H264" s="318" t="s">
        <v>165</v>
      </c>
      <c r="I264" s="318" t="s">
        <v>88</v>
      </c>
      <c r="J264" s="318" t="n">
        <v>5230814</v>
      </c>
      <c r="K264" s="318" t="s">
        <v>124</v>
      </c>
      <c r="L264" s="318" t="n">
        <v>90</v>
      </c>
      <c r="M264" s="318" t="s">
        <v>116</v>
      </c>
      <c r="N264" s="318" t="s">
        <v>31</v>
      </c>
      <c r="O264" s="318" t="s">
        <v>997</v>
      </c>
      <c r="P264" s="318" t="s">
        <v>246</v>
      </c>
      <c r="Q264" s="318" t="s">
        <v>234</v>
      </c>
      <c r="R264" s="318" t="s">
        <v>88</v>
      </c>
      <c r="S264" s="318" t="s">
        <v>165</v>
      </c>
      <c r="T264" s="318" t="s">
        <v>217</v>
      </c>
      <c r="U264" s="318" t="n">
        <v>3132905</v>
      </c>
      <c r="V264" s="318"/>
      <c r="W264" s="318" t="s">
        <v>43</v>
      </c>
      <c r="X264" s="318" t="s">
        <v>997</v>
      </c>
      <c r="Y264" s="318" t="s">
        <v>216</v>
      </c>
      <c r="Z264" s="318" t="s">
        <v>283</v>
      </c>
      <c r="AA264" s="318" t="s">
        <v>88</v>
      </c>
      <c r="AB264" s="318" t="s">
        <v>165</v>
      </c>
      <c r="AC264" s="318" t="s">
        <v>217</v>
      </c>
      <c r="AD264" s="318" t="s">
        <v>116</v>
      </c>
      <c r="AE264" s="318"/>
      <c r="AF264" s="318" t="s">
        <v>116</v>
      </c>
      <c r="AG264" s="318" t="s">
        <v>116</v>
      </c>
      <c r="AH264" s="318" t="s">
        <v>116</v>
      </c>
      <c r="AI264" s="318" t="s">
        <v>116</v>
      </c>
      <c r="AJ264" s="318" t="s">
        <v>116</v>
      </c>
      <c r="AK264" s="318" t="s">
        <v>116</v>
      </c>
      <c r="AL264" s="318" t="s">
        <v>116</v>
      </c>
      <c r="AM264" s="318" t="s">
        <v>217</v>
      </c>
      <c r="AN264" s="318" t="s">
        <v>217</v>
      </c>
      <c r="AO264" s="318" t="s">
        <v>217</v>
      </c>
      <c r="AP264" s="318" t="s">
        <v>218</v>
      </c>
      <c r="AQ264" s="318" t="s">
        <v>218</v>
      </c>
      <c r="AR264" s="6" t="s">
        <v>138</v>
      </c>
      <c r="AS264" s="6" t="s">
        <v>217</v>
      </c>
    </row>
    <row r="265" ht="26.25" customHeight="1">
      <c r="A265" s="318" t="s">
        <v>54</v>
      </c>
      <c r="B265" s="318" t="n">
        <v>4110924941</v>
      </c>
      <c r="C265" s="318" t="s">
        <v>1206</v>
      </c>
      <c r="D265" s="318" t="s">
        <v>48</v>
      </c>
      <c r="E265" s="318" t="s">
        <v>115</v>
      </c>
      <c r="F265" s="318"/>
      <c r="G265" s="318"/>
      <c r="H265" s="318" t="s">
        <v>1123</v>
      </c>
      <c r="I265" s="318" t="s">
        <v>116</v>
      </c>
      <c r="J265" s="318" t="n">
        <v>5230732</v>
      </c>
      <c r="K265" s="318" t="s">
        <v>126</v>
      </c>
      <c r="L265" s="318" t="n">
        <v>85</v>
      </c>
      <c r="M265" s="318" t="n">
        <v>95</v>
      </c>
      <c r="N265" s="318" t="s">
        <v>35</v>
      </c>
      <c r="O265" s="318" t="s">
        <v>987</v>
      </c>
      <c r="P265" s="318" t="s">
        <v>245</v>
      </c>
      <c r="Q265" s="318" t="s">
        <v>234</v>
      </c>
      <c r="R265" s="318" t="s">
        <v>65</v>
      </c>
      <c r="S265" s="318" t="s">
        <v>444</v>
      </c>
      <c r="T265" s="318" t="s">
        <v>116</v>
      </c>
      <c r="U265" s="318" t="n">
        <v>5170706</v>
      </c>
      <c r="V265" s="318" t="n">
        <v>0</v>
      </c>
      <c r="W265" s="318" t="s">
        <v>47</v>
      </c>
      <c r="X265" s="318" t="s">
        <v>987</v>
      </c>
      <c r="Y265" s="318" t="s">
        <v>216</v>
      </c>
      <c r="Z265" s="318" t="s">
        <v>283</v>
      </c>
      <c r="AA265" s="318" t="s">
        <v>65</v>
      </c>
      <c r="AB265" s="318" t="s">
        <v>444</v>
      </c>
      <c r="AC265" s="318" t="s">
        <v>116</v>
      </c>
      <c r="AD265" s="318" t="n">
        <v>3132899</v>
      </c>
      <c r="AE265" s="318" t="n">
        <v>0</v>
      </c>
      <c r="AF265" s="114" t="s">
        <v>56</v>
      </c>
      <c r="AG265" s="318" t="s">
        <v>985</v>
      </c>
      <c r="AH265" s="318" t="s">
        <v>246</v>
      </c>
      <c r="AI265" s="318" t="s">
        <v>283</v>
      </c>
      <c r="AJ265" s="318" t="s">
        <v>65</v>
      </c>
      <c r="AK265" s="318" t="s">
        <v>444</v>
      </c>
      <c r="AL265" s="318" t="s">
        <v>116</v>
      </c>
      <c r="AM265" s="318"/>
      <c r="AN265" s="318"/>
      <c r="AO265" s="318"/>
      <c r="AP265" s="318"/>
      <c r="AQ265" s="318"/>
      <c r="AR265" s="6" t="s">
        <v>1124</v>
      </c>
    </row>
    <row r="266" ht="26.25" customHeight="1">
      <c r="A266" s="318" t="s">
        <v>54</v>
      </c>
      <c r="B266" s="318" t="n">
        <v>4231298195</v>
      </c>
      <c r="C266" s="318" t="s">
        <v>1207</v>
      </c>
      <c r="D266" s="318" t="s">
        <v>59</v>
      </c>
      <c r="E266" s="318" t="s">
        <v>112</v>
      </c>
      <c r="F266" s="318"/>
      <c r="G266" s="318" t="s">
        <v>1208</v>
      </c>
      <c r="H266" s="318" t="s">
        <v>165</v>
      </c>
      <c r="I266" s="318" t="s">
        <v>101</v>
      </c>
      <c r="J266" s="318" t="n">
        <v>3132902</v>
      </c>
      <c r="K266" s="318" t="s">
        <v>125</v>
      </c>
      <c r="L266" s="318" t="n">
        <v>70</v>
      </c>
      <c r="M266" s="318" t="s">
        <v>116</v>
      </c>
      <c r="N266" s="318" t="s">
        <v>31</v>
      </c>
      <c r="O266" s="318" t="s">
        <v>987</v>
      </c>
      <c r="P266" s="318" t="s">
        <v>216</v>
      </c>
      <c r="Q266" s="318" t="s">
        <v>283</v>
      </c>
      <c r="R266" s="318" t="s">
        <v>101</v>
      </c>
      <c r="S266" s="318" t="s">
        <v>165</v>
      </c>
      <c r="T266" s="318" t="s">
        <v>116</v>
      </c>
      <c r="U266" s="318" t="n">
        <v>5230747</v>
      </c>
      <c r="V266" s="318" t="n">
        <v>32</v>
      </c>
      <c r="W266" s="318" t="s">
        <v>49</v>
      </c>
      <c r="X266" s="318" t="s">
        <v>987</v>
      </c>
      <c r="Y266" s="318" t="s">
        <v>215</v>
      </c>
      <c r="Z266" s="318" t="s">
        <v>283</v>
      </c>
      <c r="AA266" s="318" t="s">
        <v>101</v>
      </c>
      <c r="AB266" s="318" t="s">
        <v>165</v>
      </c>
      <c r="AC266" s="318" t="s">
        <v>116</v>
      </c>
      <c r="AD266" s="318" t="n">
        <v>5230821</v>
      </c>
      <c r="AE266" s="318" t="n">
        <v>35</v>
      </c>
      <c r="AF266" s="114" t="s">
        <v>56</v>
      </c>
      <c r="AG266" s="318" t="s">
        <v>987</v>
      </c>
      <c r="AH266" s="318" t="s">
        <v>233</v>
      </c>
      <c r="AI266" s="318" t="s">
        <v>283</v>
      </c>
      <c r="AJ266" s="318" t="s">
        <v>101</v>
      </c>
      <c r="AK266" s="318" t="s">
        <v>165</v>
      </c>
      <c r="AL266" s="318" t="s">
        <v>116</v>
      </c>
      <c r="AM266" s="318"/>
      <c r="AN266" s="318"/>
      <c r="AO266" s="318"/>
      <c r="AP266" s="318"/>
      <c r="AQ266" s="318"/>
      <c r="AR266" s="6" t="s">
        <v>139</v>
      </c>
    </row>
    <row r="267" ht="26.25" customHeight="1">
      <c r="A267" s="318" t="s">
        <v>85</v>
      </c>
      <c r="B267" s="318" t="n">
        <v>2501290170</v>
      </c>
      <c r="C267" s="318" t="s">
        <v>1209</v>
      </c>
      <c r="D267" s="318" t="s">
        <v>38</v>
      </c>
      <c r="E267" s="318" t="s">
        <v>114</v>
      </c>
      <c r="F267" s="318" t="s">
        <v>1210</v>
      </c>
      <c r="G267" s="318"/>
      <c r="H267" s="318" t="s">
        <v>1123</v>
      </c>
      <c r="I267" s="318" t="s">
        <v>116</v>
      </c>
      <c r="J267" s="318" t="n">
        <v>3132864</v>
      </c>
      <c r="K267" s="318" t="s">
        <v>126</v>
      </c>
      <c r="L267" s="318" t="n">
        <v>88</v>
      </c>
      <c r="M267" s="318" t="n">
        <v>98</v>
      </c>
      <c r="N267" s="318" t="s">
        <v>39</v>
      </c>
      <c r="O267" s="318" t="s">
        <v>991</v>
      </c>
      <c r="P267" s="318" t="s">
        <v>216</v>
      </c>
      <c r="Q267" s="318" t="s">
        <v>283</v>
      </c>
      <c r="R267" s="318" t="s">
        <v>100</v>
      </c>
      <c r="S267" s="318" t="s">
        <v>444</v>
      </c>
      <c r="T267" s="318" t="s">
        <v>116</v>
      </c>
      <c r="U267" s="318" t="n">
        <v>3132834</v>
      </c>
      <c r="V267" s="318" t="n">
        <v>0</v>
      </c>
      <c r="W267" s="318" t="s">
        <v>47</v>
      </c>
      <c r="X267" s="318" t="s">
        <v>991</v>
      </c>
      <c r="Y267" s="318" t="s">
        <v>246</v>
      </c>
      <c r="Z267" s="318" t="s">
        <v>283</v>
      </c>
      <c r="AA267" s="318" t="s">
        <v>65</v>
      </c>
      <c r="AB267" s="318" t="s">
        <v>444</v>
      </c>
      <c r="AC267" s="318" t="s">
        <v>116</v>
      </c>
      <c r="AD267" s="318" t="n">
        <v>3132858</v>
      </c>
      <c r="AE267" s="318" t="n">
        <v>0</v>
      </c>
      <c r="AF267" s="318" t="s">
        <v>52</v>
      </c>
      <c r="AG267" s="318" t="s">
        <v>991</v>
      </c>
      <c r="AH267" s="318" t="s">
        <v>215</v>
      </c>
      <c r="AI267" s="318" t="s">
        <v>283</v>
      </c>
      <c r="AJ267" s="318" t="s">
        <v>100</v>
      </c>
      <c r="AK267" s="318" t="s">
        <v>444</v>
      </c>
      <c r="AL267" s="318" t="s">
        <v>116</v>
      </c>
      <c r="AM267" s="318"/>
      <c r="AN267" s="318"/>
      <c r="AO267" s="318"/>
      <c r="AP267" s="318"/>
      <c r="AQ267" s="318"/>
      <c r="AR267" s="6" t="s">
        <v>139</v>
      </c>
    </row>
    <row r="268" ht="26.25" customHeight="1">
      <c r="A268" s="318" t="s">
        <v>54</v>
      </c>
      <c r="B268" s="318" t="n">
        <v>2421169637</v>
      </c>
      <c r="C268" s="318" t="s">
        <v>1211</v>
      </c>
      <c r="D268" s="318" t="s">
        <v>55</v>
      </c>
      <c r="E268" s="318" t="s">
        <v>104</v>
      </c>
      <c r="F268" s="318"/>
      <c r="G268" s="318"/>
      <c r="H268" s="318" t="s">
        <v>165</v>
      </c>
      <c r="I268" s="318" t="s">
        <v>101</v>
      </c>
      <c r="J268" s="318" t="n">
        <v>5111035</v>
      </c>
      <c r="K268" s="318" t="s">
        <v>126</v>
      </c>
      <c r="L268" s="318" t="n">
        <v>85</v>
      </c>
      <c r="M268" s="318" t="n">
        <v>95</v>
      </c>
      <c r="N268" s="114" t="s">
        <v>35</v>
      </c>
      <c r="O268" s="318" t="s">
        <v>986</v>
      </c>
      <c r="P268" s="318" t="s">
        <v>233</v>
      </c>
      <c r="Q268" s="318" t="s">
        <v>234</v>
      </c>
      <c r="R268" s="318" t="s">
        <v>101</v>
      </c>
      <c r="S268" s="318" t="s">
        <v>165</v>
      </c>
      <c r="T268" s="318" t="s">
        <v>116</v>
      </c>
      <c r="U268" s="318" t="n">
        <v>5170873</v>
      </c>
      <c r="V268" s="318" t="n">
        <v>0</v>
      </c>
      <c r="W268" s="318" t="s">
        <v>47</v>
      </c>
      <c r="X268" s="318" t="s">
        <v>986</v>
      </c>
      <c r="Y268" s="318" t="s">
        <v>216</v>
      </c>
      <c r="Z268" s="318" t="s">
        <v>283</v>
      </c>
      <c r="AA268" s="318" t="s">
        <v>101</v>
      </c>
      <c r="AB268" s="318" t="s">
        <v>165</v>
      </c>
      <c r="AC268" s="318" t="s">
        <v>217</v>
      </c>
      <c r="AD268" s="318" t="n">
        <v>5170871</v>
      </c>
      <c r="AE268" s="318" t="n">
        <v>0</v>
      </c>
      <c r="AF268" s="318" t="s">
        <v>58</v>
      </c>
      <c r="AG268" s="318" t="s">
        <v>986</v>
      </c>
      <c r="AH268" s="318" t="s">
        <v>215</v>
      </c>
      <c r="AI268" s="318" t="s">
        <v>283</v>
      </c>
      <c r="AJ268" s="318" t="s">
        <v>101</v>
      </c>
      <c r="AK268" s="318" t="s">
        <v>165</v>
      </c>
      <c r="AL268" s="318" t="s">
        <v>116</v>
      </c>
      <c r="AM268" s="318"/>
      <c r="AN268" s="318"/>
      <c r="AO268" s="318"/>
      <c r="AP268" s="476"/>
      <c r="AQ268" s="476"/>
      <c r="AR268" s="6" t="s">
        <v>139</v>
      </c>
      <c r="AS268" s="6" t="s">
        <v>217</v>
      </c>
    </row>
    <row r="269" ht="26.25" customHeight="1">
      <c r="A269" s="318" t="s">
        <v>54</v>
      </c>
      <c r="B269" s="318" t="n">
        <v>2530903451</v>
      </c>
      <c r="C269" s="318" t="s">
        <v>1212</v>
      </c>
      <c r="D269" s="318" t="s">
        <v>55</v>
      </c>
      <c r="E269" s="318" t="s">
        <v>104</v>
      </c>
      <c r="F269" s="318"/>
      <c r="G269" s="318"/>
      <c r="H269" s="318" t="s">
        <v>165</v>
      </c>
      <c r="I269" s="318" t="s">
        <v>101</v>
      </c>
      <c r="J269" s="318" t="n">
        <v>3132902</v>
      </c>
      <c r="K269" s="318" t="s">
        <v>125</v>
      </c>
      <c r="L269" s="318" t="n">
        <v>60</v>
      </c>
      <c r="M269" s="318" t="s">
        <v>116</v>
      </c>
      <c r="N269" s="318" t="s">
        <v>31</v>
      </c>
      <c r="O269" s="318" t="s">
        <v>987</v>
      </c>
      <c r="P269" s="318" t="s">
        <v>216</v>
      </c>
      <c r="Q269" s="318" t="s">
        <v>283</v>
      </c>
      <c r="R269" s="318" t="s">
        <v>101</v>
      </c>
      <c r="S269" s="318" t="s">
        <v>165</v>
      </c>
      <c r="T269" s="318" t="s">
        <v>116</v>
      </c>
      <c r="U269" s="318" t="n">
        <v>5230747</v>
      </c>
      <c r="V269" s="318" t="n">
        <v>30</v>
      </c>
      <c r="W269" s="318" t="s">
        <v>49</v>
      </c>
      <c r="X269" s="318" t="s">
        <v>987</v>
      </c>
      <c r="Y269" s="318" t="s">
        <v>215</v>
      </c>
      <c r="Z269" s="318" t="s">
        <v>283</v>
      </c>
      <c r="AA269" s="318" t="s">
        <v>101</v>
      </c>
      <c r="AB269" s="318" t="s">
        <v>165</v>
      </c>
      <c r="AC269" s="318" t="s">
        <v>116</v>
      </c>
      <c r="AD269" s="318" t="n">
        <v>5230821</v>
      </c>
      <c r="AE269" s="318" t="n">
        <v>31.5</v>
      </c>
      <c r="AF269" s="114" t="s">
        <v>56</v>
      </c>
      <c r="AG269" s="318" t="s">
        <v>987</v>
      </c>
      <c r="AH269" s="318" t="s">
        <v>233</v>
      </c>
      <c r="AI269" s="318" t="s">
        <v>283</v>
      </c>
      <c r="AJ269" s="318" t="s">
        <v>101</v>
      </c>
      <c r="AK269" s="318" t="s">
        <v>165</v>
      </c>
      <c r="AL269" s="318" t="s">
        <v>116</v>
      </c>
      <c r="AM269" s="318"/>
      <c r="AN269" s="318"/>
      <c r="AO269" s="318"/>
      <c r="AP269" s="318"/>
      <c r="AQ269" s="318"/>
      <c r="AR269" s="6" t="s">
        <v>139</v>
      </c>
    </row>
    <row r="270" ht="26.25" customHeight="1">
      <c r="A270" s="318" t="s">
        <v>45</v>
      </c>
      <c r="B270" s="318" t="n">
        <v>4255068106</v>
      </c>
      <c r="C270" s="318" t="s">
        <v>1213</v>
      </c>
      <c r="D270" s="318" t="s">
        <v>48</v>
      </c>
      <c r="E270" s="318" t="s">
        <v>114</v>
      </c>
      <c r="F270" s="318" t="s">
        <v>1214</v>
      </c>
      <c r="G270" s="318"/>
      <c r="H270" s="318" t="s">
        <v>1123</v>
      </c>
      <c r="I270" s="318" t="s">
        <v>116</v>
      </c>
      <c r="J270" s="318" t="n">
        <v>5230719</v>
      </c>
      <c r="K270" s="318" t="s">
        <v>125</v>
      </c>
      <c r="L270" s="318" t="n">
        <v>98</v>
      </c>
      <c r="M270" s="318" t="s">
        <v>116</v>
      </c>
      <c r="N270" s="318" t="s">
        <v>31</v>
      </c>
      <c r="O270" s="318" t="s">
        <v>989</v>
      </c>
      <c r="P270" s="318" t="s">
        <v>216</v>
      </c>
      <c r="Q270" s="318" t="s">
        <v>234</v>
      </c>
      <c r="R270" s="318" t="s">
        <v>65</v>
      </c>
      <c r="S270" s="318" t="s">
        <v>444</v>
      </c>
      <c r="T270" s="318" t="s">
        <v>116</v>
      </c>
      <c r="U270" s="318" t="n">
        <v>5230828</v>
      </c>
      <c r="V270" s="318" t="n">
        <v>40</v>
      </c>
      <c r="W270" s="318" t="s">
        <v>43</v>
      </c>
      <c r="X270" s="318" t="s">
        <v>989</v>
      </c>
      <c r="Y270" s="318" t="s">
        <v>215</v>
      </c>
      <c r="Z270" s="318" t="s">
        <v>283</v>
      </c>
      <c r="AA270" s="318" t="s">
        <v>65</v>
      </c>
      <c r="AB270" s="318" t="s">
        <v>444</v>
      </c>
      <c r="AC270" s="318" t="s">
        <v>116</v>
      </c>
      <c r="AD270" s="318" t="n">
        <v>3132869</v>
      </c>
      <c r="AE270" s="318" t="n">
        <v>41</v>
      </c>
      <c r="AF270" s="114" t="s">
        <v>58</v>
      </c>
      <c r="AG270" s="318" t="s">
        <v>989</v>
      </c>
      <c r="AH270" s="318" t="s">
        <v>233</v>
      </c>
      <c r="AI270" s="318" t="s">
        <v>283</v>
      </c>
      <c r="AJ270" s="318" t="s">
        <v>65</v>
      </c>
      <c r="AK270" s="318" t="s">
        <v>444</v>
      </c>
      <c r="AL270" s="318" t="s">
        <v>116</v>
      </c>
      <c r="AM270" s="318"/>
      <c r="AN270" s="318"/>
      <c r="AO270" s="318"/>
      <c r="AP270" s="318"/>
      <c r="AQ270" s="318"/>
      <c r="AR270" s="6" t="s">
        <v>139</v>
      </c>
    </row>
    <row r="271" ht="26.25" customHeight="1">
      <c r="A271" s="318" t="s">
        <v>45</v>
      </c>
      <c r="B271" s="318" t="n">
        <v>4830601122</v>
      </c>
      <c r="C271" s="318" t="s">
        <v>1215</v>
      </c>
      <c r="D271" s="318" t="s">
        <v>46</v>
      </c>
      <c r="E271" s="318" t="s">
        <v>104</v>
      </c>
      <c r="F271" s="318"/>
      <c r="G271" s="318"/>
      <c r="H271" s="318" t="s">
        <v>165</v>
      </c>
      <c r="I271" s="318" t="s">
        <v>88</v>
      </c>
      <c r="J271" s="318" t="n">
        <v>5230806</v>
      </c>
      <c r="K271" s="318" t="s">
        <v>125</v>
      </c>
      <c r="L271" s="318" t="n">
        <v>55</v>
      </c>
      <c r="M271" s="318" t="s">
        <v>116</v>
      </c>
      <c r="N271" s="318" t="s">
        <v>37</v>
      </c>
      <c r="O271" s="318" t="s">
        <v>1034</v>
      </c>
      <c r="P271" s="318" t="s">
        <v>215</v>
      </c>
      <c r="Q271" s="318" t="s">
        <v>283</v>
      </c>
      <c r="R271" s="318" t="s">
        <v>88</v>
      </c>
      <c r="S271" s="318" t="s">
        <v>165</v>
      </c>
      <c r="T271" s="318" t="s">
        <v>116</v>
      </c>
      <c r="U271" s="318" t="n">
        <v>5170872</v>
      </c>
      <c r="V271" s="318" t="n">
        <v>27</v>
      </c>
      <c r="W271" s="318" t="s">
        <v>49</v>
      </c>
      <c r="X271" s="318" t="s">
        <v>1034</v>
      </c>
      <c r="Y271" s="318" t="s">
        <v>216</v>
      </c>
      <c r="Z271" s="318" t="s">
        <v>283</v>
      </c>
      <c r="AA271" s="318" t="s">
        <v>88</v>
      </c>
      <c r="AB271" s="318" t="s">
        <v>444</v>
      </c>
      <c r="AC271" s="318" t="s">
        <v>116</v>
      </c>
      <c r="AD271" s="318" t="n">
        <v>3132865</v>
      </c>
      <c r="AE271" s="318" t="n">
        <v>31</v>
      </c>
      <c r="AF271" s="114" t="s">
        <v>52</v>
      </c>
      <c r="AG271" s="318" t="s">
        <v>1034</v>
      </c>
      <c r="AH271" s="318" t="s">
        <v>233</v>
      </c>
      <c r="AI271" s="318" t="s">
        <v>283</v>
      </c>
      <c r="AJ271" s="318" t="s">
        <v>88</v>
      </c>
      <c r="AK271" s="318" t="s">
        <v>444</v>
      </c>
      <c r="AL271" s="318" t="s">
        <v>116</v>
      </c>
      <c r="AM271" s="318" t="s">
        <v>217</v>
      </c>
      <c r="AN271" s="318" t="s">
        <v>218</v>
      </c>
      <c r="AO271" s="318" t="s">
        <v>218</v>
      </c>
      <c r="AP271" s="318" t="s">
        <v>217</v>
      </c>
      <c r="AQ271" s="318" t="s">
        <v>217</v>
      </c>
      <c r="AR271" s="6" t="s">
        <v>139</v>
      </c>
    </row>
    <row r="272" ht="26.25" customHeight="1">
      <c r="A272" s="318" t="s">
        <v>54</v>
      </c>
      <c r="B272" s="318" t="n">
        <v>2452257548</v>
      </c>
      <c r="C272" s="318" t="s">
        <v>1216</v>
      </c>
      <c r="D272" s="318" t="s">
        <v>1217</v>
      </c>
      <c r="E272" s="318" t="s">
        <v>106</v>
      </c>
      <c r="F272" s="318"/>
      <c r="G272" s="318"/>
      <c r="H272" s="318" t="s">
        <v>165</v>
      </c>
      <c r="I272" s="318" t="s">
        <v>100</v>
      </c>
      <c r="J272" s="318" t="n">
        <v>4513341</v>
      </c>
      <c r="K272" s="318" t="s">
        <v>124</v>
      </c>
      <c r="L272" s="318" t="n">
        <v>85</v>
      </c>
      <c r="M272" s="318" t="s">
        <v>116</v>
      </c>
      <c r="N272" s="318" t="s">
        <v>31</v>
      </c>
      <c r="O272" s="318" t="s">
        <v>987</v>
      </c>
      <c r="P272" s="318" t="s">
        <v>233</v>
      </c>
      <c r="Q272" s="318" t="s">
        <v>234</v>
      </c>
      <c r="R272" s="318" t="s">
        <v>100</v>
      </c>
      <c r="S272" s="318" t="s">
        <v>165</v>
      </c>
      <c r="T272" s="318" t="s">
        <v>116</v>
      </c>
      <c r="U272" s="318" t="n">
        <v>3132846</v>
      </c>
      <c r="V272" s="318" t="n">
        <v>0</v>
      </c>
      <c r="W272" s="318" t="s">
        <v>43</v>
      </c>
      <c r="X272" s="318" t="s">
        <v>987</v>
      </c>
      <c r="Y272" s="318" t="s">
        <v>216</v>
      </c>
      <c r="Z272" s="318" t="s">
        <v>283</v>
      </c>
      <c r="AA272" s="318" t="s">
        <v>100</v>
      </c>
      <c r="AB272" s="318" t="s">
        <v>165</v>
      </c>
      <c r="AC272" s="318" t="s">
        <v>116</v>
      </c>
      <c r="AD272" s="318" t="n">
        <v>5230738</v>
      </c>
      <c r="AE272" s="318" t="n">
        <v>0</v>
      </c>
      <c r="AF272" s="114" t="s">
        <v>58</v>
      </c>
      <c r="AG272" s="318" t="s">
        <v>987</v>
      </c>
      <c r="AH272" s="318" t="s">
        <v>215</v>
      </c>
      <c r="AI272" s="318" t="s">
        <v>283</v>
      </c>
      <c r="AJ272" s="318" t="s">
        <v>100</v>
      </c>
      <c r="AK272" s="318" t="s">
        <v>165</v>
      </c>
      <c r="AL272" s="318" t="s">
        <v>116</v>
      </c>
      <c r="AM272" s="318"/>
      <c r="AN272" s="318"/>
      <c r="AO272" s="318"/>
      <c r="AP272" s="476"/>
      <c r="AQ272" s="476"/>
      <c r="AR272" s="6" t="s">
        <v>138</v>
      </c>
    </row>
    <row r="273" ht="26.25" customHeight="1">
      <c r="A273" s="318" t="s">
        <v>45</v>
      </c>
      <c r="B273" s="318" t="n">
        <v>2181270054</v>
      </c>
      <c r="C273" s="318" t="s">
        <v>663</v>
      </c>
      <c r="D273" s="318" t="s">
        <v>48</v>
      </c>
      <c r="E273" s="318" t="s">
        <v>106</v>
      </c>
      <c r="F273" s="318"/>
      <c r="G273" s="318"/>
      <c r="H273" s="318" t="s">
        <v>165</v>
      </c>
      <c r="I273" s="318" t="s">
        <v>65</v>
      </c>
      <c r="J273" s="318" t="n">
        <v>5230719</v>
      </c>
      <c r="K273" s="318" t="s">
        <v>124</v>
      </c>
      <c r="L273" s="318" t="n">
        <v>70</v>
      </c>
      <c r="M273" s="318" t="s">
        <v>116</v>
      </c>
      <c r="N273" s="318" t="s">
        <v>31</v>
      </c>
      <c r="O273" s="318" t="s">
        <v>989</v>
      </c>
      <c r="P273" s="318" t="s">
        <v>216</v>
      </c>
      <c r="Q273" s="318" t="s">
        <v>234</v>
      </c>
      <c r="R273" s="318" t="s">
        <v>65</v>
      </c>
      <c r="S273" s="318" t="s">
        <v>165</v>
      </c>
      <c r="T273" s="318" t="s">
        <v>217</v>
      </c>
      <c r="U273" s="318" t="n">
        <v>5230828</v>
      </c>
      <c r="V273" s="318" t="n">
        <v>0</v>
      </c>
      <c r="W273" s="318" t="s">
        <v>43</v>
      </c>
      <c r="X273" s="318" t="s">
        <v>989</v>
      </c>
      <c r="Y273" s="318" t="s">
        <v>215</v>
      </c>
      <c r="Z273" s="318" t="s">
        <v>283</v>
      </c>
      <c r="AA273" s="318" t="s">
        <v>65</v>
      </c>
      <c r="AB273" s="318" t="s">
        <v>165</v>
      </c>
      <c r="AC273" s="318" t="s">
        <v>116</v>
      </c>
      <c r="AD273" s="318" t="n">
        <v>3132869</v>
      </c>
      <c r="AE273" s="318" t="n">
        <v>0</v>
      </c>
      <c r="AF273" s="114" t="s">
        <v>58</v>
      </c>
      <c r="AG273" s="318" t="s">
        <v>989</v>
      </c>
      <c r="AH273" s="318" t="s">
        <v>233</v>
      </c>
      <c r="AI273" s="318" t="s">
        <v>283</v>
      </c>
      <c r="AJ273" s="318" t="s">
        <v>65</v>
      </c>
      <c r="AK273" s="318" t="s">
        <v>165</v>
      </c>
      <c r="AL273" s="318" t="s">
        <v>116</v>
      </c>
      <c r="AM273" s="318"/>
      <c r="AN273" s="318"/>
      <c r="AO273" s="318"/>
      <c r="AP273" s="476"/>
      <c r="AQ273" s="476"/>
      <c r="AR273" s="6" t="s">
        <v>138</v>
      </c>
      <c r="AS273" s="6" t="s">
        <v>217</v>
      </c>
    </row>
    <row r="274" ht="26.25" customHeight="1">
      <c r="A274" s="318" t="s">
        <v>45</v>
      </c>
      <c r="B274" s="318" t="n">
        <v>4621125866</v>
      </c>
      <c r="C274" s="318" t="s">
        <v>1218</v>
      </c>
      <c r="D274" s="318" t="s">
        <v>46</v>
      </c>
      <c r="E274" s="318" t="s">
        <v>114</v>
      </c>
      <c r="F274" s="318" t="s">
        <v>1219</v>
      </c>
      <c r="G274" s="318"/>
      <c r="H274" s="318" t="s">
        <v>1123</v>
      </c>
      <c r="I274" s="318" t="s">
        <v>116</v>
      </c>
      <c r="J274" s="318" t="n">
        <v>5230719</v>
      </c>
      <c r="K274" s="318" t="s">
        <v>126</v>
      </c>
      <c r="L274" s="318" t="n">
        <v>72</v>
      </c>
      <c r="M274" s="318" t="n">
        <v>90</v>
      </c>
      <c r="N274" s="318" t="s">
        <v>31</v>
      </c>
      <c r="O274" s="318" t="s">
        <v>989</v>
      </c>
      <c r="P274" s="318" t="s">
        <v>216</v>
      </c>
      <c r="Q274" s="318" t="s">
        <v>234</v>
      </c>
      <c r="R274" s="318" t="s">
        <v>65</v>
      </c>
      <c r="S274" s="318" t="s">
        <v>444</v>
      </c>
      <c r="T274" s="318" t="s">
        <v>116</v>
      </c>
      <c r="U274" s="318" t="s">
        <v>116</v>
      </c>
      <c r="V274" s="318"/>
      <c r="W274" s="318" t="s">
        <v>116</v>
      </c>
      <c r="X274" s="318" t="s">
        <v>116</v>
      </c>
      <c r="Y274" s="318" t="s">
        <v>116</v>
      </c>
      <c r="Z274" s="318" t="s">
        <v>116</v>
      </c>
      <c r="AA274" s="318" t="s">
        <v>116</v>
      </c>
      <c r="AB274" s="318" t="s">
        <v>116</v>
      </c>
      <c r="AC274" s="318" t="s">
        <v>116</v>
      </c>
      <c r="AD274" s="318" t="n">
        <v>3132869</v>
      </c>
      <c r="AE274" s="318" t="n">
        <v>0</v>
      </c>
      <c r="AF274" s="114" t="s">
        <v>58</v>
      </c>
      <c r="AG274" s="318" t="s">
        <v>989</v>
      </c>
      <c r="AH274" s="318" t="s">
        <v>233</v>
      </c>
      <c r="AI274" s="318" t="s">
        <v>283</v>
      </c>
      <c r="AJ274" s="318" t="s">
        <v>65</v>
      </c>
      <c r="AK274" s="318" t="s">
        <v>444</v>
      </c>
      <c r="AL274" s="318" t="s">
        <v>116</v>
      </c>
      <c r="AM274" s="318"/>
      <c r="AN274" s="318"/>
      <c r="AO274" s="318"/>
      <c r="AP274" s="476"/>
      <c r="AQ274" s="476"/>
      <c r="AR274" s="6" t="s">
        <v>1124</v>
      </c>
    </row>
    <row r="275" ht="26.25" customHeight="1">
      <c r="A275" s="318" t="s">
        <v>54</v>
      </c>
      <c r="B275" s="318" t="n">
        <v>2442647983</v>
      </c>
      <c r="C275" s="318" t="s">
        <v>1220</v>
      </c>
      <c r="D275" s="318" t="s">
        <v>349</v>
      </c>
      <c r="E275" s="318" t="s">
        <v>106</v>
      </c>
      <c r="F275" s="318"/>
      <c r="G275" s="318"/>
      <c r="H275" s="318" t="s">
        <v>165</v>
      </c>
      <c r="I275" s="318" t="s">
        <v>88</v>
      </c>
      <c r="J275" s="318" t="s">
        <v>116</v>
      </c>
      <c r="K275" s="318"/>
      <c r="L275" s="318"/>
      <c r="M275" s="318"/>
      <c r="N275" s="318" t="s">
        <v>116</v>
      </c>
      <c r="O275" s="318" t="s">
        <v>116</v>
      </c>
      <c r="P275" s="318" t="s">
        <v>116</v>
      </c>
      <c r="Q275" s="318" t="s">
        <v>116</v>
      </c>
      <c r="R275" s="318" t="s">
        <v>116</v>
      </c>
      <c r="S275" s="318" t="s">
        <v>116</v>
      </c>
      <c r="T275" s="318" t="s">
        <v>116</v>
      </c>
      <c r="U275" s="318" t="n">
        <v>3132859</v>
      </c>
      <c r="V275" s="318"/>
      <c r="W275" s="318" t="s">
        <v>43</v>
      </c>
      <c r="X275" s="318" t="s">
        <v>986</v>
      </c>
      <c r="Y275" s="318" t="s">
        <v>215</v>
      </c>
      <c r="Z275" s="318" t="s">
        <v>283</v>
      </c>
      <c r="AA275" s="318" t="s">
        <v>88</v>
      </c>
      <c r="AB275" s="318" t="s">
        <v>165</v>
      </c>
      <c r="AC275" s="318" t="s">
        <v>217</v>
      </c>
      <c r="AD275" s="318" t="s">
        <v>116</v>
      </c>
      <c r="AE275" s="318"/>
      <c r="AF275" s="114" t="s">
        <v>116</v>
      </c>
      <c r="AG275" s="318" t="s">
        <v>116</v>
      </c>
      <c r="AH275" s="318" t="s">
        <v>116</v>
      </c>
      <c r="AI275" s="318" t="s">
        <v>116</v>
      </c>
      <c r="AJ275" s="318" t="s">
        <v>116</v>
      </c>
      <c r="AK275" s="318" t="s">
        <v>116</v>
      </c>
      <c r="AL275" s="318" t="s">
        <v>116</v>
      </c>
      <c r="AM275" s="318" t="s">
        <v>217</v>
      </c>
      <c r="AN275" s="318" t="s">
        <v>217</v>
      </c>
      <c r="AO275" s="318" t="s">
        <v>218</v>
      </c>
      <c r="AP275" s="318" t="s">
        <v>218</v>
      </c>
      <c r="AQ275" s="318" t="s">
        <v>218</v>
      </c>
      <c r="AR275" s="6" t="s">
        <v>138</v>
      </c>
      <c r="AS275" s="6" t="s">
        <v>217</v>
      </c>
    </row>
    <row r="276" ht="26.25" customHeight="1">
      <c r="A276" s="318" t="s">
        <v>54</v>
      </c>
      <c r="B276" s="318" t="n">
        <v>4050031794</v>
      </c>
      <c r="C276" s="318" t="s">
        <v>494</v>
      </c>
      <c r="D276" s="318" t="s">
        <v>46</v>
      </c>
      <c r="E276" s="318" t="s">
        <v>104</v>
      </c>
      <c r="F276" s="318"/>
      <c r="G276" s="318"/>
      <c r="H276" s="318" t="s">
        <v>165</v>
      </c>
      <c r="I276" s="318" t="s">
        <v>1072</v>
      </c>
      <c r="J276" s="318" t="s">
        <v>116</v>
      </c>
      <c r="K276" s="318"/>
      <c r="L276" s="318"/>
      <c r="M276" s="318"/>
      <c r="N276" s="318" t="s">
        <v>116</v>
      </c>
      <c r="O276" s="318" t="s">
        <v>116</v>
      </c>
      <c r="P276" s="318" t="s">
        <v>116</v>
      </c>
      <c r="Q276" s="318" t="s">
        <v>116</v>
      </c>
      <c r="R276" s="318" t="s">
        <v>116</v>
      </c>
      <c r="S276" s="318" t="s">
        <v>116</v>
      </c>
      <c r="T276" s="318" t="s">
        <v>116</v>
      </c>
      <c r="U276" s="318" t="n">
        <v>5230747</v>
      </c>
      <c r="V276" s="318" t="n">
        <v>0</v>
      </c>
      <c r="W276" s="318" t="s">
        <v>49</v>
      </c>
      <c r="X276" s="318" t="s">
        <v>987</v>
      </c>
      <c r="Y276" s="318" t="s">
        <v>215</v>
      </c>
      <c r="Z276" s="318" t="s">
        <v>283</v>
      </c>
      <c r="AA276" s="318" t="s">
        <v>101</v>
      </c>
      <c r="AB276" s="318" t="s">
        <v>165</v>
      </c>
      <c r="AC276" s="318" t="s">
        <v>116</v>
      </c>
      <c r="AD276" s="318" t="n">
        <v>5230765</v>
      </c>
      <c r="AE276" s="318" t="n">
        <v>0</v>
      </c>
      <c r="AF276" s="114" t="s">
        <v>52</v>
      </c>
      <c r="AG276" s="318" t="s">
        <v>997</v>
      </c>
      <c r="AH276" s="318" t="s">
        <v>215</v>
      </c>
      <c r="AI276" s="318" t="s">
        <v>283</v>
      </c>
      <c r="AJ276" s="318" t="s">
        <v>88</v>
      </c>
      <c r="AK276" s="318" t="s">
        <v>165</v>
      </c>
      <c r="AL276" s="318" t="s">
        <v>116</v>
      </c>
      <c r="AM276" s="318" t="s">
        <v>217</v>
      </c>
      <c r="AN276" s="318" t="s">
        <v>218</v>
      </c>
      <c r="AO276" s="318" t="s">
        <v>218</v>
      </c>
      <c r="AP276" s="318" t="s">
        <v>217</v>
      </c>
      <c r="AQ276" s="318" t="s">
        <v>217</v>
      </c>
      <c r="AR276" s="6" t="s">
        <v>139</v>
      </c>
    </row>
    <row r="277" ht="26.25" customHeight="1">
      <c r="A277" s="318" t="s">
        <v>45</v>
      </c>
      <c r="B277" s="318" t="n">
        <v>2429621505</v>
      </c>
      <c r="C277" s="318" t="s">
        <v>1221</v>
      </c>
      <c r="D277" s="318" t="s">
        <v>50</v>
      </c>
      <c r="E277" s="318" t="s">
        <v>106</v>
      </c>
      <c r="F277" s="318"/>
      <c r="G277" s="318"/>
      <c r="H277" s="318" t="s">
        <v>165</v>
      </c>
      <c r="I277" s="318" t="s">
        <v>88</v>
      </c>
      <c r="J277" s="318" t="n">
        <v>5230806</v>
      </c>
      <c r="K277" s="318" t="s">
        <v>124</v>
      </c>
      <c r="L277" s="318" t="n">
        <v>50</v>
      </c>
      <c r="M277" s="318" t="s">
        <v>116</v>
      </c>
      <c r="N277" s="318" t="s">
        <v>37</v>
      </c>
      <c r="O277" s="318" t="s">
        <v>1034</v>
      </c>
      <c r="P277" s="318" t="s">
        <v>215</v>
      </c>
      <c r="Q277" s="318" t="s">
        <v>283</v>
      </c>
      <c r="R277" s="318" t="s">
        <v>88</v>
      </c>
      <c r="S277" s="318" t="s">
        <v>165</v>
      </c>
      <c r="T277" s="318" t="s">
        <v>116</v>
      </c>
      <c r="U277" s="318" t="n">
        <v>3132905</v>
      </c>
      <c r="V277" s="318" t="n">
        <v>0</v>
      </c>
      <c r="W277" s="318" t="s">
        <v>43</v>
      </c>
      <c r="X277" s="318" t="s">
        <v>997</v>
      </c>
      <c r="Y277" s="318" t="s">
        <v>216</v>
      </c>
      <c r="Z277" s="318" t="s">
        <v>283</v>
      </c>
      <c r="AA277" s="318" t="s">
        <v>88</v>
      </c>
      <c r="AB277" s="318" t="s">
        <v>165</v>
      </c>
      <c r="AC277" s="318" t="s">
        <v>217</v>
      </c>
      <c r="AD277" s="318" t="n">
        <v>3132865</v>
      </c>
      <c r="AE277" s="318" t="n">
        <v>0</v>
      </c>
      <c r="AF277" s="114" t="s">
        <v>52</v>
      </c>
      <c r="AG277" s="318" t="s">
        <v>1034</v>
      </c>
      <c r="AH277" s="318" t="s">
        <v>233</v>
      </c>
      <c r="AI277" s="318" t="s">
        <v>283</v>
      </c>
      <c r="AJ277" s="318" t="s">
        <v>88</v>
      </c>
      <c r="AK277" s="318" t="s">
        <v>165</v>
      </c>
      <c r="AL277" s="318" t="s">
        <v>116</v>
      </c>
      <c r="AM277" s="318" t="s">
        <v>217</v>
      </c>
      <c r="AN277" s="318" t="s">
        <v>218</v>
      </c>
      <c r="AO277" s="318" t="s">
        <v>218</v>
      </c>
      <c r="AP277" s="318" t="s">
        <v>218</v>
      </c>
      <c r="AQ277" s="318" t="s">
        <v>218</v>
      </c>
      <c r="AR277" s="6" t="s">
        <v>138</v>
      </c>
      <c r="AS277" s="6" t="s">
        <v>217</v>
      </c>
    </row>
    <row r="278" ht="26.25" customHeight="1">
      <c r="A278" s="318" t="s">
        <v>54</v>
      </c>
      <c r="B278" s="318" t="n">
        <v>2573471597</v>
      </c>
      <c r="C278" s="318" t="s">
        <v>674</v>
      </c>
      <c r="D278" s="318" t="s">
        <v>46</v>
      </c>
      <c r="E278" s="318" t="s">
        <v>114</v>
      </c>
      <c r="F278" s="318" t="s">
        <v>1219</v>
      </c>
      <c r="G278" s="318"/>
      <c r="H278" s="318" t="s">
        <v>165</v>
      </c>
      <c r="I278" s="318" t="s">
        <v>101</v>
      </c>
      <c r="J278" s="318" t="n">
        <v>3132902</v>
      </c>
      <c r="K278" s="318" t="s">
        <v>126</v>
      </c>
      <c r="L278" s="318" t="n">
        <v>72</v>
      </c>
      <c r="M278" s="318" t="n">
        <v>90</v>
      </c>
      <c r="N278" s="318" t="s">
        <v>31</v>
      </c>
      <c r="O278" s="318" t="s">
        <v>987</v>
      </c>
      <c r="P278" s="318" t="s">
        <v>216</v>
      </c>
      <c r="Q278" s="318" t="s">
        <v>283</v>
      </c>
      <c r="R278" s="318" t="s">
        <v>101</v>
      </c>
      <c r="S278" s="318" t="s">
        <v>165</v>
      </c>
      <c r="T278" s="318" t="s">
        <v>116</v>
      </c>
      <c r="U278" s="318" t="n">
        <v>5230747</v>
      </c>
      <c r="V278" s="318" t="n">
        <v>0</v>
      </c>
      <c r="W278" s="318" t="s">
        <v>49</v>
      </c>
      <c r="X278" s="318" t="s">
        <v>987</v>
      </c>
      <c r="Y278" s="318" t="s">
        <v>215</v>
      </c>
      <c r="Z278" s="318" t="s">
        <v>283</v>
      </c>
      <c r="AA278" s="318" t="s">
        <v>101</v>
      </c>
      <c r="AB278" s="318" t="s">
        <v>165</v>
      </c>
      <c r="AC278" s="318" t="s">
        <v>116</v>
      </c>
      <c r="AD278" s="318" t="n">
        <v>5170871</v>
      </c>
      <c r="AE278" s="318" t="n">
        <v>0</v>
      </c>
      <c r="AF278" s="318" t="s">
        <v>58</v>
      </c>
      <c r="AG278" s="318" t="s">
        <v>986</v>
      </c>
      <c r="AH278" s="318" t="s">
        <v>215</v>
      </c>
      <c r="AI278" s="318" t="s">
        <v>283</v>
      </c>
      <c r="AJ278" s="318" t="s">
        <v>101</v>
      </c>
      <c r="AK278" s="318" t="s">
        <v>165</v>
      </c>
      <c r="AL278" s="318" t="s">
        <v>116</v>
      </c>
      <c r="AM278" s="318"/>
      <c r="AN278" s="318"/>
      <c r="AO278" s="318"/>
      <c r="AP278" s="318"/>
      <c r="AQ278" s="318"/>
      <c r="AR278" s="6" t="s">
        <v>139</v>
      </c>
    </row>
    <row r="279" ht="26.25" customHeight="1">
      <c r="A279" s="318" t="s">
        <v>85</v>
      </c>
      <c r="B279" s="318" t="n">
        <v>4720146806</v>
      </c>
      <c r="C279" s="318" t="s">
        <v>682</v>
      </c>
      <c r="D279" s="318" t="s">
        <v>40</v>
      </c>
      <c r="E279" s="318" t="s">
        <v>106</v>
      </c>
      <c r="F279" s="318"/>
      <c r="G279" s="318"/>
      <c r="H279" s="318" t="s">
        <v>165</v>
      </c>
      <c r="I279" s="318" t="s">
        <v>65</v>
      </c>
      <c r="J279" s="318" t="n">
        <v>5230775</v>
      </c>
      <c r="K279" s="318" t="s">
        <v>124</v>
      </c>
      <c r="L279" s="318" t="n">
        <v>80</v>
      </c>
      <c r="M279" s="318" t="s">
        <v>116</v>
      </c>
      <c r="N279" s="318" t="s">
        <v>31</v>
      </c>
      <c r="O279" s="318" t="s">
        <v>991</v>
      </c>
      <c r="P279" s="318" t="s">
        <v>215</v>
      </c>
      <c r="Q279" s="318" t="s">
        <v>283</v>
      </c>
      <c r="R279" s="318" t="s">
        <v>65</v>
      </c>
      <c r="S279" s="318" t="s">
        <v>165</v>
      </c>
      <c r="T279" s="318" t="s">
        <v>217</v>
      </c>
      <c r="U279" s="318" t="s">
        <v>116</v>
      </c>
      <c r="V279" s="318"/>
      <c r="W279" s="318" t="s">
        <v>116</v>
      </c>
      <c r="X279" s="318" t="s">
        <v>116</v>
      </c>
      <c r="Y279" s="318" t="s">
        <v>116</v>
      </c>
      <c r="Z279" s="318" t="s">
        <v>116</v>
      </c>
      <c r="AA279" s="318" t="s">
        <v>116</v>
      </c>
      <c r="AB279" s="318" t="s">
        <v>116</v>
      </c>
      <c r="AC279" s="318" t="s">
        <v>116</v>
      </c>
      <c r="AD279" s="318" t="s">
        <v>116</v>
      </c>
      <c r="AE279" s="318"/>
      <c r="AF279" s="114" t="s">
        <v>116</v>
      </c>
      <c r="AG279" s="318" t="s">
        <v>116</v>
      </c>
      <c r="AH279" s="318" t="s">
        <v>116</v>
      </c>
      <c r="AI279" s="318" t="s">
        <v>116</v>
      </c>
      <c r="AJ279" s="318" t="s">
        <v>116</v>
      </c>
      <c r="AK279" s="318" t="s">
        <v>116</v>
      </c>
      <c r="AL279" s="318" t="s">
        <v>116</v>
      </c>
      <c r="AM279" s="318"/>
      <c r="AN279" s="318"/>
      <c r="AO279" s="318"/>
      <c r="AP279" s="318"/>
      <c r="AQ279" s="318"/>
      <c r="AR279" s="6" t="s">
        <v>138</v>
      </c>
      <c r="AS279" s="6" t="s">
        <v>217</v>
      </c>
    </row>
    <row r="280" ht="26.25" customHeight="1">
      <c r="A280" s="318" t="s">
        <v>54</v>
      </c>
      <c r="B280" s="318" t="n">
        <v>2748308649</v>
      </c>
      <c r="C280" s="318" t="s">
        <v>684</v>
      </c>
      <c r="D280" s="318" t="s">
        <v>59</v>
      </c>
      <c r="E280" s="318" t="s">
        <v>106</v>
      </c>
      <c r="F280" s="318"/>
      <c r="G280" s="318"/>
      <c r="H280" s="318" t="s">
        <v>165</v>
      </c>
      <c r="I280" s="318" t="s">
        <v>1079</v>
      </c>
      <c r="J280" s="318" t="n">
        <v>5230742</v>
      </c>
      <c r="K280" s="318" t="s">
        <v>124</v>
      </c>
      <c r="L280" s="318" t="n">
        <v>35</v>
      </c>
      <c r="M280" s="318" t="s">
        <v>116</v>
      </c>
      <c r="N280" s="318" t="s">
        <v>35</v>
      </c>
      <c r="O280" s="318" t="s">
        <v>986</v>
      </c>
      <c r="P280" s="318" t="s">
        <v>216</v>
      </c>
      <c r="Q280" s="318" t="s">
        <v>283</v>
      </c>
      <c r="R280" s="318" t="s">
        <v>65</v>
      </c>
      <c r="S280" s="318" t="s">
        <v>165</v>
      </c>
      <c r="T280" s="318" t="s">
        <v>116</v>
      </c>
      <c r="U280" s="318" t="s">
        <v>116</v>
      </c>
      <c r="V280" s="318"/>
      <c r="W280" s="318" t="s">
        <v>116</v>
      </c>
      <c r="X280" s="318" t="s">
        <v>116</v>
      </c>
      <c r="Y280" s="318" t="s">
        <v>116</v>
      </c>
      <c r="Z280" s="318" t="s">
        <v>116</v>
      </c>
      <c r="AA280" s="318" t="s">
        <v>116</v>
      </c>
      <c r="AB280" s="318" t="s">
        <v>116</v>
      </c>
      <c r="AC280" s="318" t="s">
        <v>116</v>
      </c>
      <c r="AD280" s="318" t="n">
        <v>5230738</v>
      </c>
      <c r="AE280" s="318" t="n">
        <v>0</v>
      </c>
      <c r="AF280" s="318" t="s">
        <v>58</v>
      </c>
      <c r="AG280" s="318" t="s">
        <v>987</v>
      </c>
      <c r="AH280" s="318" t="s">
        <v>215</v>
      </c>
      <c r="AI280" s="318" t="s">
        <v>283</v>
      </c>
      <c r="AJ280" s="318" t="s">
        <v>100</v>
      </c>
      <c r="AK280" s="318" t="s">
        <v>165</v>
      </c>
      <c r="AL280" s="318" t="s">
        <v>116</v>
      </c>
      <c r="AM280" s="318"/>
      <c r="AN280" s="318"/>
      <c r="AO280" s="318"/>
      <c r="AP280" s="476"/>
      <c r="AQ280" s="476"/>
      <c r="AR280" s="6" t="s">
        <v>138</v>
      </c>
    </row>
    <row r="281" ht="26.25" customHeight="1">
      <c r="A281" s="318" t="s">
        <v>54</v>
      </c>
      <c r="B281" s="318" t="n">
        <v>2579506930</v>
      </c>
      <c r="C281" s="318" t="s">
        <v>1222</v>
      </c>
      <c r="D281" s="318" t="s">
        <v>59</v>
      </c>
      <c r="E281" s="318" t="s">
        <v>106</v>
      </c>
      <c r="F281" s="318"/>
      <c r="G281" s="318"/>
      <c r="H281" s="318" t="s">
        <v>165</v>
      </c>
      <c r="I281" s="318" t="s">
        <v>100</v>
      </c>
      <c r="J281" s="318" t="n">
        <v>4513341</v>
      </c>
      <c r="K281" s="318" t="s">
        <v>125</v>
      </c>
      <c r="L281" s="318" t="n">
        <v>70</v>
      </c>
      <c r="M281" s="318" t="s">
        <v>116</v>
      </c>
      <c r="N281" s="318" t="s">
        <v>31</v>
      </c>
      <c r="O281" s="318" t="s">
        <v>987</v>
      </c>
      <c r="P281" s="318" t="s">
        <v>233</v>
      </c>
      <c r="Q281" s="318" t="s">
        <v>234</v>
      </c>
      <c r="R281" s="318" t="s">
        <v>100</v>
      </c>
      <c r="S281" s="318" t="s">
        <v>165</v>
      </c>
      <c r="T281" s="318" t="s">
        <v>116</v>
      </c>
      <c r="U281" s="318" t="n">
        <v>3132846</v>
      </c>
      <c r="V281" s="318" t="n">
        <v>38</v>
      </c>
      <c r="W281" s="318" t="s">
        <v>43</v>
      </c>
      <c r="X281" s="318" t="s">
        <v>987</v>
      </c>
      <c r="Y281" s="318" t="s">
        <v>216</v>
      </c>
      <c r="Z281" s="318" t="s">
        <v>283</v>
      </c>
      <c r="AA281" s="318" t="s">
        <v>100</v>
      </c>
      <c r="AB281" s="318" t="s">
        <v>165</v>
      </c>
      <c r="AC281" s="318" t="s">
        <v>116</v>
      </c>
      <c r="AD281" s="318" t="n">
        <v>5230738</v>
      </c>
      <c r="AE281" s="318" t="n">
        <v>41</v>
      </c>
      <c r="AF281" s="318" t="s">
        <v>58</v>
      </c>
      <c r="AG281" s="318" t="s">
        <v>987</v>
      </c>
      <c r="AH281" s="318" t="s">
        <v>215</v>
      </c>
      <c r="AI281" s="318" t="s">
        <v>283</v>
      </c>
      <c r="AJ281" s="318" t="s">
        <v>100</v>
      </c>
      <c r="AK281" s="318" t="s">
        <v>165</v>
      </c>
      <c r="AL281" s="318" t="s">
        <v>116</v>
      </c>
      <c r="AM281" s="318"/>
      <c r="AN281" s="318"/>
      <c r="AO281" s="318"/>
      <c r="AP281" s="476"/>
      <c r="AQ281" s="476"/>
      <c r="AR281" s="6" t="s">
        <v>138</v>
      </c>
    </row>
    <row r="282" ht="26.25" customHeight="1">
      <c r="A282" s="318" t="s">
        <v>54</v>
      </c>
      <c r="B282" s="318" t="n">
        <v>4089282515</v>
      </c>
      <c r="C282" s="318" t="s">
        <v>1223</v>
      </c>
      <c r="D282" s="318" t="s">
        <v>55</v>
      </c>
      <c r="E282" s="318" t="s">
        <v>104</v>
      </c>
      <c r="F282" s="318"/>
      <c r="G282" s="318"/>
      <c r="H282" s="318" t="s">
        <v>165</v>
      </c>
      <c r="I282" s="318" t="s">
        <v>100</v>
      </c>
      <c r="J282" s="318" t="n">
        <v>5111034</v>
      </c>
      <c r="K282" s="318" t="s">
        <v>125</v>
      </c>
      <c r="L282" s="318" t="n">
        <v>50</v>
      </c>
      <c r="M282" s="318" t="s">
        <v>116</v>
      </c>
      <c r="N282" s="318" t="s">
        <v>37</v>
      </c>
      <c r="O282" s="318" t="s">
        <v>1030</v>
      </c>
      <c r="P282" s="318" t="s">
        <v>216</v>
      </c>
      <c r="Q282" s="318" t="s">
        <v>283</v>
      </c>
      <c r="R282" s="318" t="s">
        <v>100</v>
      </c>
      <c r="S282" s="318" t="s">
        <v>165</v>
      </c>
      <c r="T282" s="318" t="s">
        <v>116</v>
      </c>
      <c r="U282" s="318" t="n">
        <v>4513342</v>
      </c>
      <c r="V282" s="318" t="n">
        <v>0</v>
      </c>
      <c r="W282" s="318" t="s">
        <v>43</v>
      </c>
      <c r="X282" s="318" t="s">
        <v>1030</v>
      </c>
      <c r="Y282" s="318" t="s">
        <v>215</v>
      </c>
      <c r="Z282" s="318" t="s">
        <v>283</v>
      </c>
      <c r="AA282" s="318" t="s">
        <v>100</v>
      </c>
      <c r="AB282" s="318" t="s">
        <v>165</v>
      </c>
      <c r="AC282" s="318" t="s">
        <v>116</v>
      </c>
      <c r="AD282" s="318" t="n">
        <v>4513340</v>
      </c>
      <c r="AE282" s="318" t="n">
        <v>33</v>
      </c>
      <c r="AF282" s="114" t="s">
        <v>58</v>
      </c>
      <c r="AG282" s="318" t="s">
        <v>1030</v>
      </c>
      <c r="AH282" s="318" t="s">
        <v>233</v>
      </c>
      <c r="AI282" s="318" t="s">
        <v>283</v>
      </c>
      <c r="AJ282" s="318" t="s">
        <v>100</v>
      </c>
      <c r="AK282" s="318" t="s">
        <v>165</v>
      </c>
      <c r="AL282" s="318" t="s">
        <v>116</v>
      </c>
      <c r="AM282" s="318"/>
      <c r="AN282" s="318"/>
      <c r="AO282" s="318"/>
      <c r="AP282" s="476"/>
      <c r="AQ282" s="476"/>
      <c r="AR282" s="6" t="s">
        <v>139</v>
      </c>
    </row>
    <row r="283" ht="26.25" customHeight="1">
      <c r="A283" s="318" t="s">
        <v>54</v>
      </c>
      <c r="B283" s="318" t="n">
        <v>4827744612</v>
      </c>
      <c r="C283" s="318" t="s">
        <v>1224</v>
      </c>
      <c r="D283" s="318" t="s">
        <v>38</v>
      </c>
      <c r="E283" s="318" t="s">
        <v>104</v>
      </c>
      <c r="F283" s="318"/>
      <c r="G283" s="318"/>
      <c r="H283" s="318" t="s">
        <v>165</v>
      </c>
      <c r="I283" s="318" t="s">
        <v>88</v>
      </c>
      <c r="J283" s="318" t="n">
        <v>3132884</v>
      </c>
      <c r="K283" s="318" t="s">
        <v>125</v>
      </c>
      <c r="L283" s="318" t="n">
        <v>66</v>
      </c>
      <c r="M283" s="318" t="s">
        <v>116</v>
      </c>
      <c r="N283" s="318" t="s">
        <v>37</v>
      </c>
      <c r="O283" s="318" t="s">
        <v>987</v>
      </c>
      <c r="P283" s="318" t="s">
        <v>216</v>
      </c>
      <c r="Q283" s="318" t="s">
        <v>283</v>
      </c>
      <c r="R283" s="318" t="s">
        <v>88</v>
      </c>
      <c r="S283" s="318" t="s">
        <v>165</v>
      </c>
      <c r="T283" s="318" t="s">
        <v>116</v>
      </c>
      <c r="U283" s="318" t="n">
        <v>4513265</v>
      </c>
      <c r="V283" s="318" t="n">
        <v>32</v>
      </c>
      <c r="W283" s="318" t="s">
        <v>47</v>
      </c>
      <c r="X283" s="318" t="s">
        <v>987</v>
      </c>
      <c r="Y283" s="318" t="s">
        <v>215</v>
      </c>
      <c r="Z283" s="318" t="s">
        <v>283</v>
      </c>
      <c r="AA283" s="318" t="s">
        <v>88</v>
      </c>
      <c r="AB283" s="318" t="s">
        <v>165</v>
      </c>
      <c r="AC283" s="318" t="s">
        <v>116</v>
      </c>
      <c r="AD283" s="318" t="n">
        <v>5230723</v>
      </c>
      <c r="AE283" s="318" t="n">
        <v>43</v>
      </c>
      <c r="AF283" s="114" t="s">
        <v>56</v>
      </c>
      <c r="AG283" s="318" t="s">
        <v>987</v>
      </c>
      <c r="AH283" s="318" t="s">
        <v>233</v>
      </c>
      <c r="AI283" s="318" t="s">
        <v>283</v>
      </c>
      <c r="AJ283" s="318" t="s">
        <v>88</v>
      </c>
      <c r="AK283" s="318" t="s">
        <v>165</v>
      </c>
      <c r="AL283" s="318" t="s">
        <v>116</v>
      </c>
      <c r="AM283" s="318" t="s">
        <v>217</v>
      </c>
      <c r="AN283" s="318" t="s">
        <v>217</v>
      </c>
      <c r="AO283" s="318" t="s">
        <v>217</v>
      </c>
      <c r="AP283" s="476" t="s">
        <v>217</v>
      </c>
      <c r="AQ283" s="476" t="s">
        <v>217</v>
      </c>
      <c r="AR283" s="6" t="s">
        <v>139</v>
      </c>
    </row>
    <row r="284" ht="26.25" customHeight="1">
      <c r="A284" s="318" t="s">
        <v>54</v>
      </c>
      <c r="B284" s="318" t="n">
        <v>2583024622</v>
      </c>
      <c r="C284" s="318" t="s">
        <v>1225</v>
      </c>
      <c r="D284" s="318" t="s">
        <v>38</v>
      </c>
      <c r="E284" s="318" t="s">
        <v>112</v>
      </c>
      <c r="F284" s="318"/>
      <c r="G284" s="318" t="s">
        <v>1224</v>
      </c>
      <c r="H284" s="318" t="s">
        <v>165</v>
      </c>
      <c r="I284" s="318" t="s">
        <v>88</v>
      </c>
      <c r="J284" s="318" t="n">
        <v>3132880</v>
      </c>
      <c r="K284" s="318" t="s">
        <v>125</v>
      </c>
      <c r="L284" s="318" t="n">
        <v>100</v>
      </c>
      <c r="M284" s="318" t="s">
        <v>116</v>
      </c>
      <c r="N284" s="318" t="s">
        <v>31</v>
      </c>
      <c r="O284" s="318" t="s">
        <v>986</v>
      </c>
      <c r="P284" s="318" t="s">
        <v>233</v>
      </c>
      <c r="Q284" s="318" t="s">
        <v>234</v>
      </c>
      <c r="R284" s="318" t="s">
        <v>88</v>
      </c>
      <c r="S284" s="318" t="s">
        <v>165</v>
      </c>
      <c r="T284" s="318" t="s">
        <v>116</v>
      </c>
      <c r="U284" s="318" t="n">
        <v>3132859</v>
      </c>
      <c r="V284" s="318" t="n">
        <v>36</v>
      </c>
      <c r="W284" s="318" t="s">
        <v>43</v>
      </c>
      <c r="X284" s="318" t="s">
        <v>986</v>
      </c>
      <c r="Y284" s="318" t="s">
        <v>215</v>
      </c>
      <c r="Z284" s="318" t="s">
        <v>283</v>
      </c>
      <c r="AA284" s="318" t="s">
        <v>88</v>
      </c>
      <c r="AB284" s="318" t="s">
        <v>165</v>
      </c>
      <c r="AC284" s="318" t="s">
        <v>116</v>
      </c>
      <c r="AD284" s="318" t="n">
        <v>5230727</v>
      </c>
      <c r="AE284" s="318" t="n">
        <v>40</v>
      </c>
      <c r="AF284" s="114" t="s">
        <v>56</v>
      </c>
      <c r="AG284" s="318" t="s">
        <v>986</v>
      </c>
      <c r="AH284" s="318" t="s">
        <v>216</v>
      </c>
      <c r="AI284" s="318" t="s">
        <v>283</v>
      </c>
      <c r="AJ284" s="318" t="s">
        <v>88</v>
      </c>
      <c r="AK284" s="318" t="s">
        <v>165</v>
      </c>
      <c r="AL284" s="318" t="s">
        <v>116</v>
      </c>
      <c r="AM284" s="318" t="s">
        <v>217</v>
      </c>
      <c r="AN284" s="318" t="s">
        <v>217</v>
      </c>
      <c r="AO284" s="318" t="s">
        <v>217</v>
      </c>
      <c r="AP284" s="318" t="s">
        <v>218</v>
      </c>
      <c r="AQ284" s="318" t="s">
        <v>218</v>
      </c>
      <c r="AR284" s="6" t="s">
        <v>139</v>
      </c>
    </row>
    <row r="285" ht="26.25" customHeight="1">
      <c r="A285" s="318" t="s">
        <v>45</v>
      </c>
      <c r="B285" s="318" t="n">
        <v>4594246595</v>
      </c>
      <c r="C285" s="318" t="s">
        <v>1226</v>
      </c>
      <c r="D285" s="318" t="s">
        <v>46</v>
      </c>
      <c r="E285" s="318" t="s">
        <v>104</v>
      </c>
      <c r="F285" s="318"/>
      <c r="G285" s="318"/>
      <c r="H285" s="318" t="s">
        <v>165</v>
      </c>
      <c r="I285" s="318" t="s">
        <v>88</v>
      </c>
      <c r="J285" s="318" t="n">
        <v>5230806</v>
      </c>
      <c r="K285" s="318" t="s">
        <v>125</v>
      </c>
      <c r="L285" s="318" t="n">
        <v>80</v>
      </c>
      <c r="M285" s="318" t="s">
        <v>116</v>
      </c>
      <c r="N285" s="318" t="s">
        <v>37</v>
      </c>
      <c r="O285" s="318" t="s">
        <v>1034</v>
      </c>
      <c r="P285" s="318" t="s">
        <v>215</v>
      </c>
      <c r="Q285" s="318" t="s">
        <v>283</v>
      </c>
      <c r="R285" s="318" t="s">
        <v>88</v>
      </c>
      <c r="S285" s="318" t="s">
        <v>165</v>
      </c>
      <c r="T285" s="318" t="s">
        <v>116</v>
      </c>
      <c r="U285" s="318" t="n">
        <v>5170872</v>
      </c>
      <c r="V285" s="318" t="n">
        <v>41</v>
      </c>
      <c r="W285" s="318" t="s">
        <v>49</v>
      </c>
      <c r="X285" s="318" t="s">
        <v>1034</v>
      </c>
      <c r="Y285" s="318" t="s">
        <v>216</v>
      </c>
      <c r="Z285" s="318" t="s">
        <v>283</v>
      </c>
      <c r="AA285" s="318" t="s">
        <v>88</v>
      </c>
      <c r="AB285" s="318" t="s">
        <v>165</v>
      </c>
      <c r="AC285" s="318" t="s">
        <v>116</v>
      </c>
      <c r="AD285" s="318" t="n">
        <v>3132865</v>
      </c>
      <c r="AE285" s="318" t="n">
        <v>26.5</v>
      </c>
      <c r="AF285" s="318" t="s">
        <v>52</v>
      </c>
      <c r="AG285" s="318" t="s">
        <v>1034</v>
      </c>
      <c r="AH285" s="318" t="s">
        <v>233</v>
      </c>
      <c r="AI285" s="318" t="s">
        <v>283</v>
      </c>
      <c r="AJ285" s="318" t="s">
        <v>88</v>
      </c>
      <c r="AK285" s="318" t="s">
        <v>165</v>
      </c>
      <c r="AL285" s="318" t="s">
        <v>116</v>
      </c>
      <c r="AM285" s="318" t="s">
        <v>217</v>
      </c>
      <c r="AN285" s="318" t="s">
        <v>218</v>
      </c>
      <c r="AO285" s="318" t="s">
        <v>218</v>
      </c>
      <c r="AP285" s="318" t="s">
        <v>217</v>
      </c>
      <c r="AQ285" s="318" t="s">
        <v>217</v>
      </c>
      <c r="AR285" s="6" t="s">
        <v>139</v>
      </c>
    </row>
    <row r="286" ht="26.25" customHeight="1">
      <c r="A286" s="318" t="s">
        <v>54</v>
      </c>
      <c r="B286" s="318" t="n">
        <v>4090250168</v>
      </c>
      <c r="C286" s="318" t="s">
        <v>1227</v>
      </c>
      <c r="D286" s="318" t="s">
        <v>1228</v>
      </c>
      <c r="E286" s="318" t="s">
        <v>106</v>
      </c>
      <c r="F286" s="318"/>
      <c r="G286" s="318"/>
      <c r="H286" s="318" t="s">
        <v>165</v>
      </c>
      <c r="I286" s="318" t="s">
        <v>88</v>
      </c>
      <c r="J286" s="318" t="s">
        <v>116</v>
      </c>
      <c r="K286" s="318"/>
      <c r="L286" s="318"/>
      <c r="M286" s="318"/>
      <c r="N286" s="114" t="s">
        <v>116</v>
      </c>
      <c r="O286" s="318" t="s">
        <v>116</v>
      </c>
      <c r="P286" s="318" t="s">
        <v>116</v>
      </c>
      <c r="Q286" s="318" t="s">
        <v>116</v>
      </c>
      <c r="R286" s="318" t="s">
        <v>116</v>
      </c>
      <c r="S286" s="318" t="s">
        <v>116</v>
      </c>
      <c r="T286" s="318" t="s">
        <v>116</v>
      </c>
      <c r="U286" s="318" t="n">
        <v>3132859</v>
      </c>
      <c r="V286" s="318"/>
      <c r="W286" s="318" t="s">
        <v>43</v>
      </c>
      <c r="X286" s="318" t="s">
        <v>986</v>
      </c>
      <c r="Y286" s="318" t="s">
        <v>215</v>
      </c>
      <c r="Z286" s="318" t="s">
        <v>283</v>
      </c>
      <c r="AA286" s="318" t="s">
        <v>88</v>
      </c>
      <c r="AB286" s="318" t="s">
        <v>165</v>
      </c>
      <c r="AC286" s="318" t="s">
        <v>217</v>
      </c>
      <c r="AD286" s="318" t="s">
        <v>116</v>
      </c>
      <c r="AE286" s="318"/>
      <c r="AF286" s="114" t="s">
        <v>116</v>
      </c>
      <c r="AG286" s="318" t="s">
        <v>116</v>
      </c>
      <c r="AH286" s="318" t="s">
        <v>116</v>
      </c>
      <c r="AI286" s="318" t="s">
        <v>116</v>
      </c>
      <c r="AJ286" s="318" t="s">
        <v>116</v>
      </c>
      <c r="AK286" s="318" t="s">
        <v>116</v>
      </c>
      <c r="AL286" s="318" t="s">
        <v>116</v>
      </c>
      <c r="AM286" s="318" t="s">
        <v>217</v>
      </c>
      <c r="AN286" s="318" t="s">
        <v>217</v>
      </c>
      <c r="AO286" s="318" t="s">
        <v>217</v>
      </c>
      <c r="AP286" s="476" t="s">
        <v>218</v>
      </c>
      <c r="AQ286" s="476" t="s">
        <v>218</v>
      </c>
      <c r="AR286" s="6" t="s">
        <v>138</v>
      </c>
      <c r="AS286" s="6" t="s">
        <v>217</v>
      </c>
    </row>
    <row r="287" ht="26.25" customHeight="1">
      <c r="A287" s="318" t="s">
        <v>54</v>
      </c>
      <c r="B287" s="318" t="n">
        <v>4825822969</v>
      </c>
      <c r="C287" s="318" t="s">
        <v>1229</v>
      </c>
      <c r="D287" s="318" t="s">
        <v>57</v>
      </c>
      <c r="E287" s="318" t="s">
        <v>109</v>
      </c>
      <c r="F287" s="318"/>
      <c r="G287" s="318" t="s">
        <v>847</v>
      </c>
      <c r="H287" s="318" t="s">
        <v>1123</v>
      </c>
      <c r="I287" s="318" t="s">
        <v>116</v>
      </c>
      <c r="J287" s="318" t="s">
        <v>116</v>
      </c>
      <c r="K287" s="318"/>
      <c r="L287" s="318"/>
      <c r="M287" s="318"/>
      <c r="N287" s="318" t="s">
        <v>116</v>
      </c>
      <c r="O287" s="318" t="s">
        <v>116</v>
      </c>
      <c r="P287" s="318" t="s">
        <v>116</v>
      </c>
      <c r="Q287" s="318" t="s">
        <v>116</v>
      </c>
      <c r="R287" s="318" t="s">
        <v>116</v>
      </c>
      <c r="S287" s="318" t="s">
        <v>116</v>
      </c>
      <c r="T287" s="318" t="s">
        <v>116</v>
      </c>
      <c r="U287" s="318" t="n">
        <v>3132859</v>
      </c>
      <c r="V287" s="318" t="n">
        <v>36</v>
      </c>
      <c r="W287" s="318" t="s">
        <v>43</v>
      </c>
      <c r="X287" s="318" t="s">
        <v>986</v>
      </c>
      <c r="Y287" s="318" t="s">
        <v>215</v>
      </c>
      <c r="Z287" s="318" t="s">
        <v>283</v>
      </c>
      <c r="AA287" s="318" t="s">
        <v>88</v>
      </c>
      <c r="AB287" s="318" t="s">
        <v>444</v>
      </c>
      <c r="AC287" s="318" t="s">
        <v>116</v>
      </c>
      <c r="AD287" s="318" t="n">
        <v>5230738</v>
      </c>
      <c r="AE287" s="318" t="n">
        <v>0</v>
      </c>
      <c r="AF287" s="114" t="s">
        <v>58</v>
      </c>
      <c r="AG287" s="318" t="s">
        <v>987</v>
      </c>
      <c r="AH287" s="318" t="s">
        <v>215</v>
      </c>
      <c r="AI287" s="318" t="s">
        <v>283</v>
      </c>
      <c r="AJ287" s="318" t="s">
        <v>100</v>
      </c>
      <c r="AK287" s="318" t="s">
        <v>444</v>
      </c>
      <c r="AL287" s="318" t="s">
        <v>116</v>
      </c>
      <c r="AM287" s="318"/>
      <c r="AN287" s="318"/>
      <c r="AO287" s="318"/>
      <c r="AP287" s="476"/>
      <c r="AQ287" s="476"/>
      <c r="AR287" s="6" t="s">
        <v>1124</v>
      </c>
    </row>
    <row r="288" ht="26.25" customHeight="1">
      <c r="A288" s="318" t="s">
        <v>54</v>
      </c>
      <c r="B288" s="318" t="n">
        <v>2925240994</v>
      </c>
      <c r="C288" s="318" t="s">
        <v>1230</v>
      </c>
      <c r="D288" s="318" t="s">
        <v>55</v>
      </c>
      <c r="E288" s="318" t="s">
        <v>104</v>
      </c>
      <c r="F288" s="318"/>
      <c r="G288" s="318"/>
      <c r="H288" s="318" t="s">
        <v>165</v>
      </c>
      <c r="I288" s="318" t="s">
        <v>100</v>
      </c>
      <c r="J288" s="318" t="s">
        <v>116</v>
      </c>
      <c r="K288" s="318"/>
      <c r="L288" s="318"/>
      <c r="M288" s="318"/>
      <c r="N288" s="318" t="s">
        <v>116</v>
      </c>
      <c r="O288" s="318" t="s">
        <v>116</v>
      </c>
      <c r="P288" s="318" t="s">
        <v>116</v>
      </c>
      <c r="Q288" s="318" t="s">
        <v>116</v>
      </c>
      <c r="R288" s="318" t="s">
        <v>116</v>
      </c>
      <c r="S288" s="318" t="s">
        <v>116</v>
      </c>
      <c r="T288" s="318" t="s">
        <v>116</v>
      </c>
      <c r="U288" s="318" t="n">
        <v>3132846</v>
      </c>
      <c r="V288" s="318" t="n">
        <v>39</v>
      </c>
      <c r="W288" s="318" t="s">
        <v>43</v>
      </c>
      <c r="X288" s="318" t="s">
        <v>987</v>
      </c>
      <c r="Y288" s="318" t="s">
        <v>216</v>
      </c>
      <c r="Z288" s="318" t="s">
        <v>283</v>
      </c>
      <c r="AA288" s="318" t="s">
        <v>100</v>
      </c>
      <c r="AB288" s="318" t="s">
        <v>165</v>
      </c>
      <c r="AC288" s="318" t="s">
        <v>217</v>
      </c>
      <c r="AD288" s="318" t="n">
        <v>5230738</v>
      </c>
      <c r="AE288" s="318" t="n">
        <v>28.5</v>
      </c>
      <c r="AF288" s="114" t="s">
        <v>58</v>
      </c>
      <c r="AG288" s="318" t="s">
        <v>987</v>
      </c>
      <c r="AH288" s="318" t="s">
        <v>215</v>
      </c>
      <c r="AI288" s="318" t="s">
        <v>283</v>
      </c>
      <c r="AJ288" s="318" t="s">
        <v>100</v>
      </c>
      <c r="AK288" s="318" t="s">
        <v>165</v>
      </c>
      <c r="AL288" s="318" t="s">
        <v>116</v>
      </c>
      <c r="AM288" s="318"/>
      <c r="AN288" s="318"/>
      <c r="AO288" s="318"/>
      <c r="AP288" s="318"/>
      <c r="AQ288" s="318"/>
      <c r="AR288" s="6" t="s">
        <v>139</v>
      </c>
      <c r="AS288" s="6" t="s">
        <v>217</v>
      </c>
    </row>
    <row r="289" ht="26.25" customHeight="1">
      <c r="A289" s="318" t="s">
        <v>45</v>
      </c>
      <c r="B289" s="318" t="n">
        <v>4628703443</v>
      </c>
      <c r="C289" s="318" t="s">
        <v>1231</v>
      </c>
      <c r="D289" s="318" t="s">
        <v>46</v>
      </c>
      <c r="E289" s="318" t="s">
        <v>106</v>
      </c>
      <c r="F289" s="318"/>
      <c r="G289" s="318"/>
      <c r="H289" s="318" t="s">
        <v>165</v>
      </c>
      <c r="I289" s="318" t="s">
        <v>88</v>
      </c>
      <c r="J289" s="318" t="n">
        <v>5230814</v>
      </c>
      <c r="K289" s="318" t="s">
        <v>124</v>
      </c>
      <c r="L289" s="318" t="n">
        <v>90</v>
      </c>
      <c r="M289" s="318" t="s">
        <v>116</v>
      </c>
      <c r="N289" s="114" t="s">
        <v>31</v>
      </c>
      <c r="O289" s="318" t="s">
        <v>997</v>
      </c>
      <c r="P289" s="318" t="s">
        <v>246</v>
      </c>
      <c r="Q289" s="318" t="s">
        <v>234</v>
      </c>
      <c r="R289" s="318" t="s">
        <v>88</v>
      </c>
      <c r="S289" s="318" t="s">
        <v>165</v>
      </c>
      <c r="T289" s="318" t="s">
        <v>217</v>
      </c>
      <c r="U289" s="318" t="s">
        <v>116</v>
      </c>
      <c r="V289" s="318"/>
      <c r="W289" s="318" t="s">
        <v>116</v>
      </c>
      <c r="X289" s="318" t="s">
        <v>116</v>
      </c>
      <c r="Y289" s="318" t="s">
        <v>116</v>
      </c>
      <c r="Z289" s="318" t="s">
        <v>116</v>
      </c>
      <c r="AA289" s="318" t="s">
        <v>116</v>
      </c>
      <c r="AB289" s="318" t="s">
        <v>116</v>
      </c>
      <c r="AC289" s="318" t="s">
        <v>116</v>
      </c>
      <c r="AD289" s="318" t="n">
        <v>5230765</v>
      </c>
      <c r="AE289" s="318" t="n">
        <v>0</v>
      </c>
      <c r="AF289" s="114" t="s">
        <v>52</v>
      </c>
      <c r="AG289" s="318" t="s">
        <v>997</v>
      </c>
      <c r="AH289" s="318" t="s">
        <v>215</v>
      </c>
      <c r="AI289" s="318" t="s">
        <v>283</v>
      </c>
      <c r="AJ289" s="318" t="s">
        <v>88</v>
      </c>
      <c r="AK289" s="318" t="s">
        <v>165</v>
      </c>
      <c r="AL289" s="318" t="s">
        <v>217</v>
      </c>
      <c r="AM289" s="318" t="s">
        <v>217</v>
      </c>
      <c r="AN289" s="318" t="s">
        <v>217</v>
      </c>
      <c r="AO289" s="318" t="s">
        <v>218</v>
      </c>
      <c r="AP289" s="318" t="s">
        <v>217</v>
      </c>
      <c r="AQ289" s="318" t="s">
        <v>217</v>
      </c>
      <c r="AR289" s="6" t="s">
        <v>138</v>
      </c>
      <c r="AS289" s="6" t="s">
        <v>217</v>
      </c>
    </row>
    <row r="290" ht="26.25" customHeight="1">
      <c r="A290" s="318" t="s">
        <v>54</v>
      </c>
      <c r="B290" s="318" t="n">
        <v>2207027530</v>
      </c>
      <c r="C290" s="318" t="s">
        <v>1029</v>
      </c>
      <c r="D290" s="318" t="s">
        <v>55</v>
      </c>
      <c r="E290" s="318" t="s">
        <v>104</v>
      </c>
      <c r="F290" s="318"/>
      <c r="G290" s="318"/>
      <c r="H290" s="318" t="s">
        <v>165</v>
      </c>
      <c r="I290" s="318" t="s">
        <v>1119</v>
      </c>
      <c r="J290" s="318" t="n">
        <v>3132884</v>
      </c>
      <c r="K290" s="318" t="s">
        <v>125</v>
      </c>
      <c r="L290" s="318" t="n">
        <v>68</v>
      </c>
      <c r="M290" s="318" t="s">
        <v>116</v>
      </c>
      <c r="N290" s="318" t="s">
        <v>37</v>
      </c>
      <c r="O290" s="318" t="s">
        <v>987</v>
      </c>
      <c r="P290" s="318" t="s">
        <v>216</v>
      </c>
      <c r="Q290" s="318" t="s">
        <v>283</v>
      </c>
      <c r="R290" s="318" t="s">
        <v>88</v>
      </c>
      <c r="S290" s="318" t="s">
        <v>165</v>
      </c>
      <c r="T290" s="318" t="s">
        <v>217</v>
      </c>
      <c r="U290" s="318" t="n">
        <v>5230809</v>
      </c>
      <c r="V290" s="318" t="n">
        <v>31</v>
      </c>
      <c r="W290" s="318" t="s">
        <v>47</v>
      </c>
      <c r="X290" s="318" t="s">
        <v>989</v>
      </c>
      <c r="Y290" s="318" t="s">
        <v>215</v>
      </c>
      <c r="Z290" s="318" t="s">
        <v>283</v>
      </c>
      <c r="AA290" s="318" t="s">
        <v>100</v>
      </c>
      <c r="AB290" s="318" t="s">
        <v>165</v>
      </c>
      <c r="AC290" s="318" t="s">
        <v>116</v>
      </c>
      <c r="AD290" s="318" t="n">
        <v>5230723</v>
      </c>
      <c r="AE290" s="318" t="n">
        <v>32</v>
      </c>
      <c r="AF290" s="318" t="s">
        <v>56</v>
      </c>
      <c r="AG290" s="318" t="s">
        <v>987</v>
      </c>
      <c r="AH290" s="318" t="s">
        <v>233</v>
      </c>
      <c r="AI290" s="318" t="s">
        <v>283</v>
      </c>
      <c r="AJ290" s="318" t="s">
        <v>88</v>
      </c>
      <c r="AK290" s="318" t="s">
        <v>165</v>
      </c>
      <c r="AL290" s="318" t="s">
        <v>116</v>
      </c>
      <c r="AM290" s="318" t="s">
        <v>217</v>
      </c>
      <c r="AN290" s="318" t="s">
        <v>217</v>
      </c>
      <c r="AO290" s="318" t="s">
        <v>217</v>
      </c>
      <c r="AP290" s="318" t="s">
        <v>217</v>
      </c>
      <c r="AQ290" s="318" t="s">
        <v>217</v>
      </c>
      <c r="AR290" s="6" t="s">
        <v>139</v>
      </c>
      <c r="AS290" s="6" t="s">
        <v>217</v>
      </c>
    </row>
    <row r="291" ht="26.25" customHeight="1">
      <c r="A291" s="318" t="s">
        <v>54</v>
      </c>
      <c r="B291" s="318" t="n">
        <v>4071730385</v>
      </c>
      <c r="C291" s="318" t="s">
        <v>1232</v>
      </c>
      <c r="D291" s="318" t="s">
        <v>55</v>
      </c>
      <c r="E291" s="318" t="s">
        <v>112</v>
      </c>
      <c r="F291" s="318"/>
      <c r="G291" s="318" t="s">
        <v>1212</v>
      </c>
      <c r="H291" s="318" t="s">
        <v>1123</v>
      </c>
      <c r="I291" s="318" t="s">
        <v>116</v>
      </c>
      <c r="J291" s="318" t="n">
        <v>3132884</v>
      </c>
      <c r="K291" s="318" t="s">
        <v>125</v>
      </c>
      <c r="L291" s="318" t="n">
        <v>80</v>
      </c>
      <c r="M291" s="318" t="s">
        <v>116</v>
      </c>
      <c r="N291" s="318" t="s">
        <v>37</v>
      </c>
      <c r="O291" s="318" t="s">
        <v>987</v>
      </c>
      <c r="P291" s="318" t="s">
        <v>216</v>
      </c>
      <c r="Q291" s="318" t="s">
        <v>283</v>
      </c>
      <c r="R291" s="318" t="s">
        <v>88</v>
      </c>
      <c r="S291" s="318" t="s">
        <v>444</v>
      </c>
      <c r="T291" s="318" t="s">
        <v>116</v>
      </c>
      <c r="U291" s="318" t="n">
        <v>4513265</v>
      </c>
      <c r="V291" s="318" t="n">
        <v>30</v>
      </c>
      <c r="W291" s="318" t="s">
        <v>47</v>
      </c>
      <c r="X291" s="318" t="s">
        <v>987</v>
      </c>
      <c r="Y291" s="318" t="s">
        <v>215</v>
      </c>
      <c r="Z291" s="318" t="s">
        <v>283</v>
      </c>
      <c r="AA291" s="318" t="s">
        <v>88</v>
      </c>
      <c r="AB291" s="318" t="s">
        <v>444</v>
      </c>
      <c r="AC291" s="318" t="s">
        <v>116</v>
      </c>
      <c r="AD291" s="318" t="n">
        <v>5230723</v>
      </c>
      <c r="AE291" s="318" t="n">
        <v>31</v>
      </c>
      <c r="AF291" s="114" t="s">
        <v>56</v>
      </c>
      <c r="AG291" s="318" t="s">
        <v>987</v>
      </c>
      <c r="AH291" s="318" t="s">
        <v>233</v>
      </c>
      <c r="AI291" s="318" t="s">
        <v>283</v>
      </c>
      <c r="AJ291" s="318" t="s">
        <v>88</v>
      </c>
      <c r="AK291" s="318" t="s">
        <v>444</v>
      </c>
      <c r="AL291" s="318" t="s">
        <v>116</v>
      </c>
      <c r="AM291" s="318"/>
      <c r="AN291" s="318"/>
      <c r="AO291" s="318"/>
      <c r="AP291" s="318"/>
      <c r="AQ291" s="318"/>
      <c r="AR291" s="6" t="s">
        <v>1124</v>
      </c>
    </row>
    <row r="292" ht="26.25" customHeight="1">
      <c r="A292" s="318" t="s">
        <v>54</v>
      </c>
      <c r="B292" s="318" t="n">
        <v>2780082407</v>
      </c>
      <c r="C292" s="318" t="s">
        <v>692</v>
      </c>
      <c r="D292" s="318" t="s">
        <v>38</v>
      </c>
      <c r="E292" s="318" t="s">
        <v>104</v>
      </c>
      <c r="F292" s="318" t="s">
        <v>1233</v>
      </c>
      <c r="G292" s="318"/>
      <c r="H292" s="318" t="s">
        <v>165</v>
      </c>
      <c r="I292" s="318" t="s">
        <v>101</v>
      </c>
      <c r="J292" s="318" t="n">
        <v>4632447</v>
      </c>
      <c r="K292" s="318" t="s">
        <v>126</v>
      </c>
      <c r="L292" s="318" t="n">
        <v>60</v>
      </c>
      <c r="M292" s="318" t="n">
        <v>80</v>
      </c>
      <c r="N292" s="318" t="s">
        <v>37</v>
      </c>
      <c r="O292" s="318" t="s">
        <v>985</v>
      </c>
      <c r="P292" s="318" t="s">
        <v>215</v>
      </c>
      <c r="Q292" s="318" t="s">
        <v>283</v>
      </c>
      <c r="R292" s="318" t="s">
        <v>101</v>
      </c>
      <c r="S292" s="318" t="s">
        <v>165</v>
      </c>
      <c r="T292" s="318" t="s">
        <v>116</v>
      </c>
      <c r="U292" s="318" t="n">
        <v>5111226</v>
      </c>
      <c r="V292" s="318" t="n">
        <v>0</v>
      </c>
      <c r="W292" s="318" t="s">
        <v>47</v>
      </c>
      <c r="X292" s="318" t="s">
        <v>985</v>
      </c>
      <c r="Y292" s="318" t="s">
        <v>233</v>
      </c>
      <c r="Z292" s="318" t="s">
        <v>283</v>
      </c>
      <c r="AA292" s="318" t="s">
        <v>101</v>
      </c>
      <c r="AB292" s="318" t="s">
        <v>165</v>
      </c>
      <c r="AC292" s="318" t="s">
        <v>116</v>
      </c>
      <c r="AD292" s="318" t="n">
        <v>4513388</v>
      </c>
      <c r="AE292" s="318" t="n">
        <v>0</v>
      </c>
      <c r="AF292" s="114" t="s">
        <v>56</v>
      </c>
      <c r="AG292" s="318" t="s">
        <v>985</v>
      </c>
      <c r="AH292" s="318" t="s">
        <v>216</v>
      </c>
      <c r="AI292" s="318" t="s">
        <v>283</v>
      </c>
      <c r="AJ292" s="318" t="s">
        <v>101</v>
      </c>
      <c r="AK292" s="318" t="s">
        <v>165</v>
      </c>
      <c r="AL292" s="318" t="s">
        <v>116</v>
      </c>
      <c r="AM292" s="318"/>
      <c r="AN292" s="318"/>
      <c r="AO292" s="318"/>
      <c r="AP292" s="318"/>
      <c r="AQ292" s="318"/>
      <c r="AR292" s="6" t="s">
        <v>139</v>
      </c>
    </row>
    <row r="293" ht="26.25" customHeight="1">
      <c r="A293" s="318" t="s">
        <v>54</v>
      </c>
      <c r="B293" s="318" t="n">
        <v>2562161214</v>
      </c>
      <c r="C293" s="318" t="s">
        <v>698</v>
      </c>
      <c r="D293" s="318" t="s">
        <v>34</v>
      </c>
      <c r="E293" s="318" t="s">
        <v>104</v>
      </c>
      <c r="F293" s="318"/>
      <c r="G293" s="318"/>
      <c r="H293" s="318" t="s">
        <v>165</v>
      </c>
      <c r="I293" s="318" t="s">
        <v>65</v>
      </c>
      <c r="J293" s="318" t="n">
        <v>5230742</v>
      </c>
      <c r="K293" s="318" t="s">
        <v>125</v>
      </c>
      <c r="L293" s="318" t="n">
        <v>77</v>
      </c>
      <c r="M293" s="318" t="s">
        <v>116</v>
      </c>
      <c r="N293" s="318" t="s">
        <v>35</v>
      </c>
      <c r="O293" s="318" t="s">
        <v>986</v>
      </c>
      <c r="P293" s="318" t="s">
        <v>216</v>
      </c>
      <c r="Q293" s="318" t="s">
        <v>283</v>
      </c>
      <c r="R293" s="318" t="s">
        <v>65</v>
      </c>
      <c r="S293" s="318" t="s">
        <v>165</v>
      </c>
      <c r="T293" s="318" t="s">
        <v>116</v>
      </c>
      <c r="U293" s="318" t="n">
        <v>5230773</v>
      </c>
      <c r="V293" s="318" t="n">
        <v>30</v>
      </c>
      <c r="W293" s="318" t="s">
        <v>49</v>
      </c>
      <c r="X293" s="318" t="s">
        <v>986</v>
      </c>
      <c r="Y293" s="318" t="s">
        <v>233</v>
      </c>
      <c r="Z293" s="318" t="s">
        <v>283</v>
      </c>
      <c r="AA293" s="318" t="s">
        <v>65</v>
      </c>
      <c r="AB293" s="318" t="s">
        <v>165</v>
      </c>
      <c r="AC293" s="318" t="s">
        <v>116</v>
      </c>
      <c r="AD293" s="318" t="n">
        <v>3132888</v>
      </c>
      <c r="AE293" s="318" t="n">
        <v>31</v>
      </c>
      <c r="AF293" s="318" t="s">
        <v>56</v>
      </c>
      <c r="AG293" s="318" t="s">
        <v>986</v>
      </c>
      <c r="AH293" s="318" t="s">
        <v>215</v>
      </c>
      <c r="AI293" s="318" t="s">
        <v>283</v>
      </c>
      <c r="AJ293" s="318" t="s">
        <v>65</v>
      </c>
      <c r="AK293" s="318" t="s">
        <v>165</v>
      </c>
      <c r="AL293" s="318" t="s">
        <v>116</v>
      </c>
      <c r="AM293" s="318"/>
      <c r="AN293" s="318"/>
      <c r="AO293" s="318"/>
      <c r="AP293" s="318"/>
      <c r="AQ293" s="318"/>
      <c r="AR293" s="6" t="s">
        <v>139</v>
      </c>
    </row>
    <row r="294" ht="26.25" customHeight="1">
      <c r="A294" s="318" t="s">
        <v>54</v>
      </c>
      <c r="B294" s="318" t="n">
        <v>4746323068</v>
      </c>
      <c r="C294" s="318" t="s">
        <v>1234</v>
      </c>
      <c r="D294" s="318" t="s">
        <v>55</v>
      </c>
      <c r="E294" s="318" t="s">
        <v>106</v>
      </c>
      <c r="F294" s="318"/>
      <c r="G294" s="318"/>
      <c r="H294" s="318" t="s">
        <v>165</v>
      </c>
      <c r="I294" s="318" t="s">
        <v>100</v>
      </c>
      <c r="J294" s="318" t="n">
        <v>4513341</v>
      </c>
      <c r="K294" s="318" t="s">
        <v>125</v>
      </c>
      <c r="L294" s="318" t="n">
        <v>65</v>
      </c>
      <c r="M294" s="318" t="s">
        <v>116</v>
      </c>
      <c r="N294" s="318" t="s">
        <v>31</v>
      </c>
      <c r="O294" s="318" t="s">
        <v>987</v>
      </c>
      <c r="P294" s="318" t="s">
        <v>233</v>
      </c>
      <c r="Q294" s="318" t="s">
        <v>234</v>
      </c>
      <c r="R294" s="318" t="s">
        <v>100</v>
      </c>
      <c r="S294" s="318" t="s">
        <v>165</v>
      </c>
      <c r="T294" s="318" t="s">
        <v>217</v>
      </c>
      <c r="U294" s="318" t="s">
        <v>116</v>
      </c>
      <c r="V294" s="318"/>
      <c r="W294" s="318" t="s">
        <v>116</v>
      </c>
      <c r="X294" s="318" t="s">
        <v>116</v>
      </c>
      <c r="Y294" s="318" t="s">
        <v>116</v>
      </c>
      <c r="Z294" s="318" t="s">
        <v>116</v>
      </c>
      <c r="AA294" s="318" t="s">
        <v>116</v>
      </c>
      <c r="AB294" s="318" t="s">
        <v>116</v>
      </c>
      <c r="AC294" s="318" t="s">
        <v>116</v>
      </c>
      <c r="AD294" s="318" t="n">
        <v>5230738</v>
      </c>
      <c r="AE294" s="318" t="n">
        <v>26</v>
      </c>
      <c r="AF294" s="114" t="s">
        <v>58</v>
      </c>
      <c r="AG294" s="318" t="s">
        <v>987</v>
      </c>
      <c r="AH294" s="318" t="s">
        <v>215</v>
      </c>
      <c r="AI294" s="318" t="s">
        <v>283</v>
      </c>
      <c r="AJ294" s="318" t="s">
        <v>100</v>
      </c>
      <c r="AK294" s="318" t="s">
        <v>165</v>
      </c>
      <c r="AL294" s="318" t="s">
        <v>217</v>
      </c>
      <c r="AM294" s="318"/>
      <c r="AN294" s="318"/>
      <c r="AO294" s="318"/>
      <c r="AP294" s="476"/>
      <c r="AQ294" s="476"/>
      <c r="AR294" s="6" t="s">
        <v>138</v>
      </c>
      <c r="AS294" s="6" t="s">
        <v>217</v>
      </c>
    </row>
    <row r="295" ht="26.25" customHeight="1">
      <c r="A295" s="318" t="s">
        <v>54</v>
      </c>
      <c r="B295" s="318" t="n">
        <v>2284879023</v>
      </c>
      <c r="C295" s="318" t="s">
        <v>704</v>
      </c>
      <c r="D295" s="318" t="s">
        <v>36</v>
      </c>
      <c r="E295" s="318" t="s">
        <v>104</v>
      </c>
      <c r="F295" s="318"/>
      <c r="G295" s="318"/>
      <c r="H295" s="318" t="s">
        <v>165</v>
      </c>
      <c r="I295" s="318" t="s">
        <v>65</v>
      </c>
      <c r="J295" s="318" t="n">
        <v>5230742</v>
      </c>
      <c r="K295" s="318" t="s">
        <v>125</v>
      </c>
      <c r="L295" s="318" t="n">
        <v>86</v>
      </c>
      <c r="M295" s="318" t="s">
        <v>116</v>
      </c>
      <c r="N295" s="318" t="s">
        <v>35</v>
      </c>
      <c r="O295" s="318" t="s">
        <v>986</v>
      </c>
      <c r="P295" s="318" t="s">
        <v>216</v>
      </c>
      <c r="Q295" s="318" t="s">
        <v>283</v>
      </c>
      <c r="R295" s="318" t="s">
        <v>65</v>
      </c>
      <c r="S295" s="318" t="s">
        <v>165</v>
      </c>
      <c r="T295" s="318" t="s">
        <v>116</v>
      </c>
      <c r="U295" s="318" t="n">
        <v>5230773</v>
      </c>
      <c r="V295" s="318" t="n">
        <v>38</v>
      </c>
      <c r="W295" s="318" t="s">
        <v>49</v>
      </c>
      <c r="X295" s="318" t="s">
        <v>986</v>
      </c>
      <c r="Y295" s="318" t="s">
        <v>233</v>
      </c>
      <c r="Z295" s="318" t="s">
        <v>283</v>
      </c>
      <c r="AA295" s="318" t="s">
        <v>65</v>
      </c>
      <c r="AB295" s="318" t="s">
        <v>165</v>
      </c>
      <c r="AC295" s="318" t="s">
        <v>116</v>
      </c>
      <c r="AD295" s="318" t="n">
        <v>3132888</v>
      </c>
      <c r="AE295" s="318" t="n">
        <v>39</v>
      </c>
      <c r="AF295" s="318" t="s">
        <v>56</v>
      </c>
      <c r="AG295" s="318" t="s">
        <v>986</v>
      </c>
      <c r="AH295" s="318" t="s">
        <v>215</v>
      </c>
      <c r="AI295" s="318" t="s">
        <v>283</v>
      </c>
      <c r="AJ295" s="318" t="s">
        <v>65</v>
      </c>
      <c r="AK295" s="318" t="s">
        <v>165</v>
      </c>
      <c r="AL295" s="318" t="s">
        <v>116</v>
      </c>
      <c r="AM295" s="318"/>
      <c r="AN295" s="318"/>
      <c r="AO295" s="318"/>
      <c r="AP295" s="318"/>
      <c r="AQ295" s="318"/>
      <c r="AR295" s="6" t="s">
        <v>139</v>
      </c>
    </row>
    <row r="296" ht="26.25" customHeight="1">
      <c r="A296" s="318" t="s">
        <v>54</v>
      </c>
      <c r="B296" s="318" t="n">
        <v>2338410975</v>
      </c>
      <c r="C296" s="318" t="s">
        <v>1235</v>
      </c>
      <c r="D296" s="318" t="s">
        <v>36</v>
      </c>
      <c r="E296" s="318" t="s">
        <v>104</v>
      </c>
      <c r="F296" s="318"/>
      <c r="G296" s="318" t="s">
        <v>1168</v>
      </c>
      <c r="H296" s="318" t="s">
        <v>165</v>
      </c>
      <c r="I296" s="318" t="s">
        <v>101</v>
      </c>
      <c r="J296" s="318" t="n">
        <v>3132902</v>
      </c>
      <c r="K296" s="318" t="s">
        <v>125</v>
      </c>
      <c r="L296" s="318" t="n">
        <v>80</v>
      </c>
      <c r="M296" s="318" t="s">
        <v>116</v>
      </c>
      <c r="N296" s="318" t="s">
        <v>31</v>
      </c>
      <c r="O296" s="318" t="s">
        <v>987</v>
      </c>
      <c r="P296" s="318" t="s">
        <v>216</v>
      </c>
      <c r="Q296" s="318" t="s">
        <v>283</v>
      </c>
      <c r="R296" s="318" t="s">
        <v>101</v>
      </c>
      <c r="S296" s="318" t="s">
        <v>165</v>
      </c>
      <c r="T296" s="318" t="s">
        <v>116</v>
      </c>
      <c r="U296" s="318" t="n">
        <v>5230747</v>
      </c>
      <c r="V296" s="318" t="n">
        <v>32</v>
      </c>
      <c r="W296" s="318" t="s">
        <v>49</v>
      </c>
      <c r="X296" s="318" t="s">
        <v>987</v>
      </c>
      <c r="Y296" s="318" t="s">
        <v>215</v>
      </c>
      <c r="Z296" s="318" t="s">
        <v>283</v>
      </c>
      <c r="AA296" s="318" t="s">
        <v>101</v>
      </c>
      <c r="AB296" s="318" t="s">
        <v>165</v>
      </c>
      <c r="AC296" s="318" t="s">
        <v>116</v>
      </c>
      <c r="AD296" s="318" t="n">
        <v>5230821</v>
      </c>
      <c r="AE296" s="318" t="n">
        <v>25.5</v>
      </c>
      <c r="AF296" s="114" t="s">
        <v>56</v>
      </c>
      <c r="AG296" s="318" t="s">
        <v>987</v>
      </c>
      <c r="AH296" s="318" t="s">
        <v>233</v>
      </c>
      <c r="AI296" s="318" t="s">
        <v>283</v>
      </c>
      <c r="AJ296" s="318" t="s">
        <v>101</v>
      </c>
      <c r="AK296" s="318" t="s">
        <v>165</v>
      </c>
      <c r="AL296" s="318" t="s">
        <v>116</v>
      </c>
      <c r="AM296" s="318"/>
      <c r="AN296" s="318"/>
      <c r="AO296" s="318"/>
      <c r="AP296" s="318"/>
      <c r="AQ296" s="318"/>
      <c r="AR296" s="6" t="s">
        <v>139</v>
      </c>
    </row>
    <row r="297" ht="26.25" customHeight="1">
      <c r="A297" s="318" t="s">
        <v>54</v>
      </c>
      <c r="B297" s="318" t="n">
        <v>2356540819</v>
      </c>
      <c r="C297" s="318" t="s">
        <v>1236</v>
      </c>
      <c r="D297" s="318" t="s">
        <v>55</v>
      </c>
      <c r="E297" s="318" t="s">
        <v>114</v>
      </c>
      <c r="F297" s="318" t="s">
        <v>1237</v>
      </c>
      <c r="G297" s="318"/>
      <c r="H297" s="318" t="s">
        <v>165</v>
      </c>
      <c r="I297" s="318" t="s">
        <v>88</v>
      </c>
      <c r="J297" s="318" t="n">
        <v>3132884</v>
      </c>
      <c r="K297" s="318" t="s">
        <v>125</v>
      </c>
      <c r="L297" s="318" t="n">
        <v>26</v>
      </c>
      <c r="M297" s="318" t="s">
        <v>116</v>
      </c>
      <c r="N297" s="318" t="s">
        <v>37</v>
      </c>
      <c r="O297" s="318" t="s">
        <v>987</v>
      </c>
      <c r="P297" s="318" t="s">
        <v>216</v>
      </c>
      <c r="Q297" s="318" t="s">
        <v>283</v>
      </c>
      <c r="R297" s="318" t="s">
        <v>88</v>
      </c>
      <c r="S297" s="318" t="s">
        <v>165</v>
      </c>
      <c r="T297" s="318" t="s">
        <v>116</v>
      </c>
      <c r="U297" s="318" t="n">
        <v>4513265</v>
      </c>
      <c r="V297" s="318" t="n">
        <v>31</v>
      </c>
      <c r="W297" s="318" t="s">
        <v>47</v>
      </c>
      <c r="X297" s="318" t="s">
        <v>987</v>
      </c>
      <c r="Y297" s="318" t="s">
        <v>215</v>
      </c>
      <c r="Z297" s="318" t="s">
        <v>283</v>
      </c>
      <c r="AA297" s="318" t="s">
        <v>88</v>
      </c>
      <c r="AB297" s="318" t="s">
        <v>165</v>
      </c>
      <c r="AC297" s="318" t="s">
        <v>116</v>
      </c>
      <c r="AD297" s="318" t="n">
        <v>5230723</v>
      </c>
      <c r="AE297" s="318" t="n">
        <v>38</v>
      </c>
      <c r="AF297" s="318" t="s">
        <v>56</v>
      </c>
      <c r="AG297" s="318" t="s">
        <v>987</v>
      </c>
      <c r="AH297" s="318" t="s">
        <v>233</v>
      </c>
      <c r="AI297" s="318" t="s">
        <v>283</v>
      </c>
      <c r="AJ297" s="318" t="s">
        <v>88</v>
      </c>
      <c r="AK297" s="318" t="s">
        <v>165</v>
      </c>
      <c r="AL297" s="318" t="s">
        <v>116</v>
      </c>
      <c r="AM297" s="318" t="s">
        <v>217</v>
      </c>
      <c r="AN297" s="318" t="s">
        <v>217</v>
      </c>
      <c r="AO297" s="318" t="s">
        <v>217</v>
      </c>
      <c r="AP297" s="476" t="s">
        <v>218</v>
      </c>
      <c r="AQ297" s="476" t="s">
        <v>218</v>
      </c>
      <c r="AR297" s="6" t="s">
        <v>139</v>
      </c>
    </row>
    <row r="298" ht="26.25" customHeight="1">
      <c r="A298" s="318" t="s">
        <v>54</v>
      </c>
      <c r="B298" s="318" t="n">
        <v>4823986037</v>
      </c>
      <c r="C298" s="318" t="s">
        <v>649</v>
      </c>
      <c r="D298" s="318" t="s">
        <v>59</v>
      </c>
      <c r="E298" s="318" t="s">
        <v>104</v>
      </c>
      <c r="F298" s="318"/>
      <c r="G298" s="318"/>
      <c r="H298" s="318" t="s">
        <v>165</v>
      </c>
      <c r="I298" s="318" t="s">
        <v>65</v>
      </c>
      <c r="J298" s="318" t="n">
        <v>5230732</v>
      </c>
      <c r="K298" s="318" t="s">
        <v>125</v>
      </c>
      <c r="L298" s="318" t="n">
        <v>88</v>
      </c>
      <c r="M298" s="318" t="s">
        <v>116</v>
      </c>
      <c r="N298" s="318" t="s">
        <v>35</v>
      </c>
      <c r="O298" s="318" t="s">
        <v>987</v>
      </c>
      <c r="P298" s="318" t="s">
        <v>245</v>
      </c>
      <c r="Q298" s="318" t="s">
        <v>234</v>
      </c>
      <c r="R298" s="318" t="s">
        <v>65</v>
      </c>
      <c r="S298" s="318" t="s">
        <v>165</v>
      </c>
      <c r="T298" s="318" t="s">
        <v>116</v>
      </c>
      <c r="U298" s="318" t="n">
        <v>5170706</v>
      </c>
      <c r="V298" s="318" t="n">
        <v>32</v>
      </c>
      <c r="W298" s="318" t="s">
        <v>47</v>
      </c>
      <c r="X298" s="318" t="s">
        <v>987</v>
      </c>
      <c r="Y298" s="318" t="s">
        <v>216</v>
      </c>
      <c r="Z298" s="318" t="s">
        <v>283</v>
      </c>
      <c r="AA298" s="318" t="s">
        <v>65</v>
      </c>
      <c r="AB298" s="318" t="s">
        <v>165</v>
      </c>
      <c r="AC298" s="318" t="s">
        <v>116</v>
      </c>
      <c r="AD298" s="318" t="n">
        <v>3132899</v>
      </c>
      <c r="AE298" s="318" t="n">
        <v>38</v>
      </c>
      <c r="AF298" s="114" t="s">
        <v>56</v>
      </c>
      <c r="AG298" s="318" t="s">
        <v>985</v>
      </c>
      <c r="AH298" s="318" t="s">
        <v>246</v>
      </c>
      <c r="AI298" s="318" t="s">
        <v>283</v>
      </c>
      <c r="AJ298" s="318" t="s">
        <v>65</v>
      </c>
      <c r="AK298" s="318" t="s">
        <v>165</v>
      </c>
      <c r="AL298" s="318" t="s">
        <v>116</v>
      </c>
      <c r="AM298" s="318"/>
      <c r="AN298" s="318"/>
      <c r="AO298" s="318"/>
      <c r="AP298" s="476"/>
      <c r="AQ298" s="476"/>
      <c r="AR298" s="6" t="s">
        <v>139</v>
      </c>
    </row>
    <row r="299" ht="26.25" customHeight="1">
      <c r="A299" s="318" t="s">
        <v>45</v>
      </c>
      <c r="B299" s="318" t="n">
        <v>2946163107</v>
      </c>
      <c r="C299" s="318" t="s">
        <v>719</v>
      </c>
      <c r="D299" s="318" t="s">
        <v>46</v>
      </c>
      <c r="E299" s="318" t="s">
        <v>106</v>
      </c>
      <c r="F299" s="318"/>
      <c r="G299" s="318"/>
      <c r="H299" s="318" t="s">
        <v>165</v>
      </c>
      <c r="I299" s="318" t="s">
        <v>1079</v>
      </c>
      <c r="J299" s="318" t="n">
        <v>4513341</v>
      </c>
      <c r="K299" s="318" t="s">
        <v>124</v>
      </c>
      <c r="L299" s="318" t="n">
        <v>80</v>
      </c>
      <c r="M299" s="318" t="s">
        <v>116</v>
      </c>
      <c r="N299" s="318" t="s">
        <v>31</v>
      </c>
      <c r="O299" s="318" t="s">
        <v>987</v>
      </c>
      <c r="P299" s="318" t="s">
        <v>233</v>
      </c>
      <c r="Q299" s="318" t="s">
        <v>234</v>
      </c>
      <c r="R299" s="318" t="s">
        <v>100</v>
      </c>
      <c r="S299" s="318" t="s">
        <v>165</v>
      </c>
      <c r="T299" s="318" t="s">
        <v>217</v>
      </c>
      <c r="U299" s="318" t="n">
        <v>5230828</v>
      </c>
      <c r="V299" s="318" t="n">
        <v>0</v>
      </c>
      <c r="W299" s="318" t="s">
        <v>43</v>
      </c>
      <c r="X299" s="318" t="s">
        <v>989</v>
      </c>
      <c r="Y299" s="318" t="s">
        <v>215</v>
      </c>
      <c r="Z299" s="318" t="s">
        <v>283</v>
      </c>
      <c r="AA299" s="318" t="s">
        <v>65</v>
      </c>
      <c r="AB299" s="318" t="s">
        <v>165</v>
      </c>
      <c r="AC299" s="318" t="s">
        <v>217</v>
      </c>
      <c r="AD299" s="318" t="n">
        <v>3132869</v>
      </c>
      <c r="AE299" s="318" t="n">
        <v>0</v>
      </c>
      <c r="AF299" s="114" t="s">
        <v>58</v>
      </c>
      <c r="AG299" s="318" t="s">
        <v>989</v>
      </c>
      <c r="AH299" s="318" t="s">
        <v>233</v>
      </c>
      <c r="AI299" s="318" t="s">
        <v>283</v>
      </c>
      <c r="AJ299" s="318" t="s">
        <v>65</v>
      </c>
      <c r="AK299" s="318" t="s">
        <v>165</v>
      </c>
      <c r="AL299" s="318" t="s">
        <v>116</v>
      </c>
      <c r="AM299" s="318"/>
      <c r="AN299" s="318"/>
      <c r="AO299" s="318"/>
      <c r="AP299" s="318"/>
      <c r="AQ299" s="318"/>
      <c r="AR299" s="6" t="s">
        <v>138</v>
      </c>
      <c r="AS299" s="6" t="s">
        <v>217</v>
      </c>
    </row>
    <row r="300" ht="26.25" customHeight="1">
      <c r="A300" s="318" t="s">
        <v>54</v>
      </c>
      <c r="B300" s="318" t="n">
        <v>2718515302</v>
      </c>
      <c r="C300" s="318" t="s">
        <v>1238</v>
      </c>
      <c r="D300" s="318" t="s">
        <v>50</v>
      </c>
      <c r="E300" s="318" t="s">
        <v>104</v>
      </c>
      <c r="F300" s="318"/>
      <c r="G300" s="318"/>
      <c r="H300" s="318" t="s">
        <v>165</v>
      </c>
      <c r="I300" s="318" t="s">
        <v>88</v>
      </c>
      <c r="J300" s="318" t="s">
        <v>116</v>
      </c>
      <c r="K300" s="318"/>
      <c r="L300" s="318"/>
      <c r="M300" s="318"/>
      <c r="N300" s="318" t="s">
        <v>116</v>
      </c>
      <c r="O300" s="318" t="s">
        <v>116</v>
      </c>
      <c r="P300" s="318" t="s">
        <v>116</v>
      </c>
      <c r="Q300" s="318" t="s">
        <v>116</v>
      </c>
      <c r="R300" s="318" t="s">
        <v>116</v>
      </c>
      <c r="S300" s="318" t="s">
        <v>116</v>
      </c>
      <c r="T300" s="318" t="s">
        <v>116</v>
      </c>
      <c r="U300" s="318" t="n">
        <v>3132859</v>
      </c>
      <c r="V300" s="318" t="n">
        <v>0</v>
      </c>
      <c r="W300" s="318" t="s">
        <v>43</v>
      </c>
      <c r="X300" s="318" t="s">
        <v>986</v>
      </c>
      <c r="Y300" s="318" t="s">
        <v>215</v>
      </c>
      <c r="Z300" s="318" t="s">
        <v>283</v>
      </c>
      <c r="AA300" s="318" t="s">
        <v>88</v>
      </c>
      <c r="AB300" s="318" t="s">
        <v>165</v>
      </c>
      <c r="AC300" s="318" t="s">
        <v>217</v>
      </c>
      <c r="AD300" s="318" t="s">
        <v>116</v>
      </c>
      <c r="AE300" s="318"/>
      <c r="AF300" s="114" t="s">
        <v>116</v>
      </c>
      <c r="AG300" s="318" t="s">
        <v>116</v>
      </c>
      <c r="AH300" s="318" t="s">
        <v>116</v>
      </c>
      <c r="AI300" s="318" t="s">
        <v>116</v>
      </c>
      <c r="AJ300" s="318" t="s">
        <v>116</v>
      </c>
      <c r="AK300" s="318" t="s">
        <v>116</v>
      </c>
      <c r="AL300" s="318" t="s">
        <v>116</v>
      </c>
      <c r="AM300" s="318" t="s">
        <v>217</v>
      </c>
      <c r="AN300" s="318" t="s">
        <v>217</v>
      </c>
      <c r="AO300" s="318" t="s">
        <v>218</v>
      </c>
      <c r="AP300" s="476" t="s">
        <v>217</v>
      </c>
      <c r="AQ300" s="476" t="s">
        <v>217</v>
      </c>
      <c r="AR300" s="6" t="s">
        <v>139</v>
      </c>
      <c r="AS300" s="6" t="s">
        <v>217</v>
      </c>
    </row>
    <row r="301" ht="26.25" customHeight="1">
      <c r="A301" s="318" t="s">
        <v>45</v>
      </c>
      <c r="B301" s="318" t="n">
        <v>4634094018</v>
      </c>
      <c r="C301" s="318" t="s">
        <v>1239</v>
      </c>
      <c r="D301" s="318" t="s">
        <v>46</v>
      </c>
      <c r="E301" s="318" t="s">
        <v>104</v>
      </c>
      <c r="F301" s="318"/>
      <c r="G301" s="318"/>
      <c r="H301" s="318" t="s">
        <v>165</v>
      </c>
      <c r="I301" s="318" t="s">
        <v>88</v>
      </c>
      <c r="J301" s="318" t="n">
        <v>5230806</v>
      </c>
      <c r="K301" s="318" t="s">
        <v>125</v>
      </c>
      <c r="L301" s="318" t="n">
        <v>48</v>
      </c>
      <c r="M301" s="318" t="s">
        <v>116</v>
      </c>
      <c r="N301" s="318" t="s">
        <v>37</v>
      </c>
      <c r="O301" s="318" t="s">
        <v>1034</v>
      </c>
      <c r="P301" s="318" t="s">
        <v>215</v>
      </c>
      <c r="Q301" s="318" t="s">
        <v>283</v>
      </c>
      <c r="R301" s="318" t="s">
        <v>88</v>
      </c>
      <c r="S301" s="318" t="s">
        <v>444</v>
      </c>
      <c r="T301" s="318" t="s">
        <v>116</v>
      </c>
      <c r="U301" s="318" t="n">
        <v>5170872</v>
      </c>
      <c r="V301" s="318" t="n">
        <v>27</v>
      </c>
      <c r="W301" s="318" t="s">
        <v>49</v>
      </c>
      <c r="X301" s="318" t="s">
        <v>1034</v>
      </c>
      <c r="Y301" s="318" t="s">
        <v>216</v>
      </c>
      <c r="Z301" s="318" t="s">
        <v>283</v>
      </c>
      <c r="AA301" s="318" t="s">
        <v>88</v>
      </c>
      <c r="AB301" s="318" t="s">
        <v>165</v>
      </c>
      <c r="AC301" s="318" t="s">
        <v>116</v>
      </c>
      <c r="AD301" s="318" t="n">
        <v>5230765</v>
      </c>
      <c r="AE301" s="318" t="n">
        <v>31</v>
      </c>
      <c r="AF301" s="114" t="s">
        <v>52</v>
      </c>
      <c r="AG301" s="318" t="s">
        <v>997</v>
      </c>
      <c r="AH301" s="318" t="s">
        <v>215</v>
      </c>
      <c r="AI301" s="318" t="s">
        <v>283</v>
      </c>
      <c r="AJ301" s="318" t="s">
        <v>88</v>
      </c>
      <c r="AK301" s="318" t="s">
        <v>165</v>
      </c>
      <c r="AL301" s="318" t="s">
        <v>116</v>
      </c>
      <c r="AM301" s="318" t="s">
        <v>217</v>
      </c>
      <c r="AN301" s="318" t="s">
        <v>218</v>
      </c>
      <c r="AO301" s="318" t="s">
        <v>218</v>
      </c>
      <c r="AP301" s="476" t="s">
        <v>217</v>
      </c>
      <c r="AQ301" s="476" t="s">
        <v>217</v>
      </c>
      <c r="AR301" s="6" t="s">
        <v>139</v>
      </c>
    </row>
    <row r="302" ht="26.25" customHeight="1">
      <c r="A302" s="318" t="s">
        <v>45</v>
      </c>
      <c r="B302" s="318" t="n">
        <v>2731869099</v>
      </c>
      <c r="C302" s="318" t="s">
        <v>724</v>
      </c>
      <c r="D302" s="318" t="s">
        <v>46</v>
      </c>
      <c r="E302" s="318" t="s">
        <v>106</v>
      </c>
      <c r="F302" s="318"/>
      <c r="G302" s="318"/>
      <c r="H302" s="318" t="s">
        <v>165</v>
      </c>
      <c r="I302" s="318" t="s">
        <v>65</v>
      </c>
      <c r="J302" s="318" t="n">
        <v>5230719</v>
      </c>
      <c r="K302" s="318" t="s">
        <v>124</v>
      </c>
      <c r="L302" s="318" t="n">
        <v>70</v>
      </c>
      <c r="M302" s="318" t="s">
        <v>116</v>
      </c>
      <c r="N302" s="318" t="s">
        <v>31</v>
      </c>
      <c r="O302" s="318" t="s">
        <v>989</v>
      </c>
      <c r="P302" s="318" t="s">
        <v>216</v>
      </c>
      <c r="Q302" s="318" t="s">
        <v>234</v>
      </c>
      <c r="R302" s="318" t="s">
        <v>65</v>
      </c>
      <c r="S302" s="318" t="s">
        <v>165</v>
      </c>
      <c r="T302" s="318" t="s">
        <v>217</v>
      </c>
      <c r="U302" s="318" t="n">
        <v>5230828</v>
      </c>
      <c r="V302" s="318" t="n">
        <v>0</v>
      </c>
      <c r="W302" s="318" t="s">
        <v>43</v>
      </c>
      <c r="X302" s="318" t="s">
        <v>989</v>
      </c>
      <c r="Y302" s="318" t="s">
        <v>215</v>
      </c>
      <c r="Z302" s="318" t="s">
        <v>283</v>
      </c>
      <c r="AA302" s="318" t="s">
        <v>65</v>
      </c>
      <c r="AB302" s="318" t="s">
        <v>165</v>
      </c>
      <c r="AC302" s="318" t="s">
        <v>217</v>
      </c>
      <c r="AD302" s="318" t="n">
        <v>3132869</v>
      </c>
      <c r="AE302" s="318" t="n">
        <v>0</v>
      </c>
      <c r="AF302" s="114" t="s">
        <v>58</v>
      </c>
      <c r="AG302" s="318" t="s">
        <v>989</v>
      </c>
      <c r="AH302" s="318" t="s">
        <v>233</v>
      </c>
      <c r="AI302" s="318" t="s">
        <v>283</v>
      </c>
      <c r="AJ302" s="318" t="s">
        <v>65</v>
      </c>
      <c r="AK302" s="318" t="s">
        <v>165</v>
      </c>
      <c r="AL302" s="318" t="s">
        <v>217</v>
      </c>
      <c r="AM302" s="318"/>
      <c r="AN302" s="318"/>
      <c r="AO302" s="318"/>
      <c r="AP302" s="476"/>
      <c r="AQ302" s="476"/>
      <c r="AR302" s="6" t="s">
        <v>138</v>
      </c>
      <c r="AS302" s="6" t="s">
        <v>217</v>
      </c>
    </row>
    <row r="303" ht="26.25" customHeight="1">
      <c r="A303" s="318" t="s">
        <v>45</v>
      </c>
      <c r="B303" s="318" t="n">
        <v>4279445279</v>
      </c>
      <c r="C303" s="318" t="s">
        <v>1240</v>
      </c>
      <c r="D303" s="318" t="s">
        <v>46</v>
      </c>
      <c r="E303" s="318" t="s">
        <v>106</v>
      </c>
      <c r="F303" s="318"/>
      <c r="G303" s="318"/>
      <c r="H303" s="318" t="s">
        <v>165</v>
      </c>
      <c r="I303" s="318" t="s">
        <v>88</v>
      </c>
      <c r="J303" s="318" t="n">
        <v>3132897</v>
      </c>
      <c r="K303" s="318" t="s">
        <v>125</v>
      </c>
      <c r="L303" s="318" t="n">
        <v>59</v>
      </c>
      <c r="M303" s="318" t="s">
        <v>116</v>
      </c>
      <c r="N303" s="318" t="s">
        <v>31</v>
      </c>
      <c r="O303" s="318" t="s">
        <v>989</v>
      </c>
      <c r="P303" s="318" t="s">
        <v>215</v>
      </c>
      <c r="Q303" s="318" t="s">
        <v>283</v>
      </c>
      <c r="R303" s="318" t="s">
        <v>88</v>
      </c>
      <c r="S303" s="318" t="s">
        <v>165</v>
      </c>
      <c r="T303" s="318" t="s">
        <v>217</v>
      </c>
      <c r="U303" s="318" t="s">
        <v>116</v>
      </c>
      <c r="V303" s="318"/>
      <c r="W303" s="318" t="s">
        <v>116</v>
      </c>
      <c r="X303" s="318" t="s">
        <v>116</v>
      </c>
      <c r="Y303" s="318" t="s">
        <v>116</v>
      </c>
      <c r="Z303" s="318" t="s">
        <v>116</v>
      </c>
      <c r="AA303" s="318" t="s">
        <v>116</v>
      </c>
      <c r="AB303" s="318" t="s">
        <v>116</v>
      </c>
      <c r="AC303" s="318" t="s">
        <v>116</v>
      </c>
      <c r="AD303" s="318" t="n">
        <v>5230737</v>
      </c>
      <c r="AE303" s="318" t="n">
        <v>33.5</v>
      </c>
      <c r="AF303" s="114" t="s">
        <v>58</v>
      </c>
      <c r="AG303" s="318" t="s">
        <v>989</v>
      </c>
      <c r="AH303" s="318" t="s">
        <v>216</v>
      </c>
      <c r="AI303" s="318" t="s">
        <v>283</v>
      </c>
      <c r="AJ303" s="318" t="s">
        <v>88</v>
      </c>
      <c r="AK303" s="318" t="s">
        <v>165</v>
      </c>
      <c r="AL303" s="318" t="s">
        <v>217</v>
      </c>
      <c r="AM303" s="318" t="s">
        <v>217</v>
      </c>
      <c r="AN303" s="318" t="s">
        <v>217</v>
      </c>
      <c r="AO303" s="318" t="s">
        <v>217</v>
      </c>
      <c r="AP303" s="476" t="s">
        <v>217</v>
      </c>
      <c r="AQ303" s="476" t="s">
        <v>217</v>
      </c>
      <c r="AR303" s="6" t="s">
        <v>138</v>
      </c>
      <c r="AS303" s="6" t="s">
        <v>217</v>
      </c>
    </row>
    <row r="304" ht="26.25" customHeight="1">
      <c r="A304" s="318" t="s">
        <v>54</v>
      </c>
      <c r="B304" s="318" t="n">
        <v>2463978823</v>
      </c>
      <c r="C304" s="318" t="s">
        <v>1241</v>
      </c>
      <c r="D304" s="318" t="s">
        <v>59</v>
      </c>
      <c r="E304" s="318" t="s">
        <v>104</v>
      </c>
      <c r="F304" s="318"/>
      <c r="G304" s="318"/>
      <c r="H304" s="318" t="s">
        <v>165</v>
      </c>
      <c r="I304" s="318" t="s">
        <v>88</v>
      </c>
      <c r="J304" s="318" t="n">
        <v>3132884</v>
      </c>
      <c r="K304" s="318" t="s">
        <v>125</v>
      </c>
      <c r="L304" s="318" t="n">
        <v>60</v>
      </c>
      <c r="M304" s="318" t="s">
        <v>116</v>
      </c>
      <c r="N304" s="318" t="s">
        <v>37</v>
      </c>
      <c r="O304" s="318" t="s">
        <v>987</v>
      </c>
      <c r="P304" s="318" t="s">
        <v>216</v>
      </c>
      <c r="Q304" s="318" t="s">
        <v>283</v>
      </c>
      <c r="R304" s="318" t="s">
        <v>88</v>
      </c>
      <c r="S304" s="318" t="s">
        <v>165</v>
      </c>
      <c r="T304" s="318" t="s">
        <v>116</v>
      </c>
      <c r="U304" s="318" t="n">
        <v>4513265</v>
      </c>
      <c r="V304" s="318" t="n">
        <v>30</v>
      </c>
      <c r="W304" s="318" t="s">
        <v>47</v>
      </c>
      <c r="X304" s="318" t="s">
        <v>987</v>
      </c>
      <c r="Y304" s="318" t="s">
        <v>215</v>
      </c>
      <c r="Z304" s="318" t="s">
        <v>283</v>
      </c>
      <c r="AA304" s="318" t="s">
        <v>88</v>
      </c>
      <c r="AB304" s="318" t="s">
        <v>165</v>
      </c>
      <c r="AC304" s="318" t="s">
        <v>116</v>
      </c>
      <c r="AD304" s="318" t="s">
        <v>116</v>
      </c>
      <c r="AE304" s="318"/>
      <c r="AF304" s="114" t="s">
        <v>116</v>
      </c>
      <c r="AG304" s="318" t="s">
        <v>116</v>
      </c>
      <c r="AH304" s="318" t="s">
        <v>116</v>
      </c>
      <c r="AI304" s="318" t="s">
        <v>116</v>
      </c>
      <c r="AJ304" s="318" t="s">
        <v>116</v>
      </c>
      <c r="AK304" s="318" t="s">
        <v>116</v>
      </c>
      <c r="AL304" s="318" t="s">
        <v>116</v>
      </c>
      <c r="AM304" s="318" t="s">
        <v>217</v>
      </c>
      <c r="AN304" s="318" t="s">
        <v>217</v>
      </c>
      <c r="AO304" s="318" t="s">
        <v>218</v>
      </c>
      <c r="AP304" s="318" t="s">
        <v>218</v>
      </c>
      <c r="AQ304" s="318" t="s">
        <v>218</v>
      </c>
      <c r="AR304" s="6" t="s">
        <v>139</v>
      </c>
    </row>
    <row r="305" ht="26.25" customHeight="1">
      <c r="A305" s="318" t="s">
        <v>54</v>
      </c>
      <c r="B305" s="318" t="n">
        <v>2499809313</v>
      </c>
      <c r="C305" s="318" t="s">
        <v>1242</v>
      </c>
      <c r="D305" s="318" t="s">
        <v>57</v>
      </c>
      <c r="E305" s="318" t="s">
        <v>106</v>
      </c>
      <c r="F305" s="318"/>
      <c r="G305" s="318"/>
      <c r="H305" s="318" t="s">
        <v>165</v>
      </c>
      <c r="I305" s="318" t="s">
        <v>88</v>
      </c>
      <c r="J305" s="318" t="n">
        <v>3132880</v>
      </c>
      <c r="K305" s="318" t="s">
        <v>124</v>
      </c>
      <c r="L305" s="318" t="n">
        <v>75</v>
      </c>
      <c r="M305" s="318" t="s">
        <v>116</v>
      </c>
      <c r="N305" s="318" t="s">
        <v>31</v>
      </c>
      <c r="O305" s="318" t="s">
        <v>986</v>
      </c>
      <c r="P305" s="318" t="s">
        <v>233</v>
      </c>
      <c r="Q305" s="318" t="s">
        <v>234</v>
      </c>
      <c r="R305" s="318" t="s">
        <v>88</v>
      </c>
      <c r="S305" s="318" t="s">
        <v>165</v>
      </c>
      <c r="T305" s="318" t="s">
        <v>217</v>
      </c>
      <c r="U305" s="318" t="n">
        <v>4513265</v>
      </c>
      <c r="V305" s="318" t="n">
        <v>0</v>
      </c>
      <c r="W305" s="318" t="s">
        <v>47</v>
      </c>
      <c r="X305" s="318" t="s">
        <v>987</v>
      </c>
      <c r="Y305" s="318" t="s">
        <v>215</v>
      </c>
      <c r="Z305" s="318" t="s">
        <v>283</v>
      </c>
      <c r="AA305" s="318" t="s">
        <v>88</v>
      </c>
      <c r="AB305" s="318" t="s">
        <v>165</v>
      </c>
      <c r="AC305" s="318" t="s">
        <v>116</v>
      </c>
      <c r="AD305" s="318" t="n">
        <v>5230727</v>
      </c>
      <c r="AE305" s="318" t="n">
        <v>0</v>
      </c>
      <c r="AF305" s="114" t="s">
        <v>56</v>
      </c>
      <c r="AG305" s="318" t="s">
        <v>986</v>
      </c>
      <c r="AH305" s="318" t="s">
        <v>216</v>
      </c>
      <c r="AI305" s="318" t="s">
        <v>283</v>
      </c>
      <c r="AJ305" s="318" t="s">
        <v>88</v>
      </c>
      <c r="AK305" s="318" t="s">
        <v>165</v>
      </c>
      <c r="AL305" s="318" t="s">
        <v>116</v>
      </c>
      <c r="AM305" s="318" t="s">
        <v>217</v>
      </c>
      <c r="AN305" s="318" t="s">
        <v>217</v>
      </c>
      <c r="AO305" s="318" t="s">
        <v>217</v>
      </c>
      <c r="AP305" s="318" t="s">
        <v>217</v>
      </c>
      <c r="AQ305" s="318" t="s">
        <v>217</v>
      </c>
      <c r="AR305" s="6" t="s">
        <v>138</v>
      </c>
      <c r="AS305" s="6" t="s">
        <v>217</v>
      </c>
    </row>
    <row r="306" ht="26.25" customHeight="1">
      <c r="A306" s="318" t="s">
        <v>54</v>
      </c>
      <c r="B306" s="318" t="n">
        <v>4534492760</v>
      </c>
      <c r="C306" s="318" t="s">
        <v>1243</v>
      </c>
      <c r="D306" s="318" t="s">
        <v>57</v>
      </c>
      <c r="E306" s="318" t="s">
        <v>106</v>
      </c>
      <c r="F306" s="318"/>
      <c r="G306" s="318"/>
      <c r="H306" s="318" t="s">
        <v>165</v>
      </c>
      <c r="I306" s="318" t="s">
        <v>88</v>
      </c>
      <c r="J306" s="318" t="n">
        <v>3132880</v>
      </c>
      <c r="K306" s="318" t="s">
        <v>125</v>
      </c>
      <c r="L306" s="318" t="n">
        <v>80</v>
      </c>
      <c r="M306" s="318" t="s">
        <v>116</v>
      </c>
      <c r="N306" s="318" t="s">
        <v>31</v>
      </c>
      <c r="O306" s="318" t="s">
        <v>986</v>
      </c>
      <c r="P306" s="318" t="s">
        <v>233</v>
      </c>
      <c r="Q306" s="318" t="s">
        <v>234</v>
      </c>
      <c r="R306" s="318" t="s">
        <v>88</v>
      </c>
      <c r="S306" s="318" t="s">
        <v>165</v>
      </c>
      <c r="T306" s="318" t="s">
        <v>217</v>
      </c>
      <c r="U306" s="318" t="n">
        <v>3132859</v>
      </c>
      <c r="V306" s="318" t="n">
        <v>36</v>
      </c>
      <c r="W306" s="318" t="s">
        <v>43</v>
      </c>
      <c r="X306" s="318" t="s">
        <v>986</v>
      </c>
      <c r="Y306" s="318" t="s">
        <v>215</v>
      </c>
      <c r="Z306" s="318" t="s">
        <v>283</v>
      </c>
      <c r="AA306" s="318" t="s">
        <v>88</v>
      </c>
      <c r="AB306" s="318" t="s">
        <v>165</v>
      </c>
      <c r="AC306" s="318" t="s">
        <v>116</v>
      </c>
      <c r="AD306" s="318" t="n">
        <v>5230727</v>
      </c>
      <c r="AE306" s="318" t="n">
        <v>34</v>
      </c>
      <c r="AF306" s="114" t="s">
        <v>56</v>
      </c>
      <c r="AG306" s="318" t="s">
        <v>986</v>
      </c>
      <c r="AH306" s="318" t="s">
        <v>216</v>
      </c>
      <c r="AI306" s="318" t="s">
        <v>283</v>
      </c>
      <c r="AJ306" s="318" t="s">
        <v>88</v>
      </c>
      <c r="AK306" s="318" t="s">
        <v>165</v>
      </c>
      <c r="AL306" s="318" t="s">
        <v>116</v>
      </c>
      <c r="AM306" s="318" t="s">
        <v>217</v>
      </c>
      <c r="AN306" s="318" t="s">
        <v>217</v>
      </c>
      <c r="AO306" s="318" t="s">
        <v>217</v>
      </c>
      <c r="AP306" s="318" t="s">
        <v>217</v>
      </c>
      <c r="AQ306" s="318" t="s">
        <v>218</v>
      </c>
      <c r="AR306" s="6" t="s">
        <v>138</v>
      </c>
      <c r="AS306" s="6" t="s">
        <v>217</v>
      </c>
    </row>
    <row r="307" ht="26.25" customHeight="1">
      <c r="A307" s="318" t="s">
        <v>54</v>
      </c>
      <c r="B307" s="318" t="n">
        <v>2408937171</v>
      </c>
      <c r="C307" s="318" t="s">
        <v>727</v>
      </c>
      <c r="D307" s="318" t="s">
        <v>59</v>
      </c>
      <c r="E307" s="318" t="s">
        <v>104</v>
      </c>
      <c r="F307" s="318"/>
      <c r="G307" s="318"/>
      <c r="H307" s="318" t="s">
        <v>165</v>
      </c>
      <c r="I307" s="318" t="s">
        <v>101</v>
      </c>
      <c r="J307" s="318" t="n">
        <v>5111035</v>
      </c>
      <c r="K307" s="318" t="s">
        <v>126</v>
      </c>
      <c r="L307" s="318" t="n">
        <v>85</v>
      </c>
      <c r="M307" s="318" t="n">
        <v>95</v>
      </c>
      <c r="N307" s="318" t="s">
        <v>35</v>
      </c>
      <c r="O307" s="318" t="s">
        <v>986</v>
      </c>
      <c r="P307" s="318" t="s">
        <v>233</v>
      </c>
      <c r="Q307" s="318" t="s">
        <v>234</v>
      </c>
      <c r="R307" s="318" t="s">
        <v>101</v>
      </c>
      <c r="S307" s="318" t="s">
        <v>165</v>
      </c>
      <c r="T307" s="318" t="s">
        <v>116</v>
      </c>
      <c r="U307" s="318" t="n">
        <v>5230739</v>
      </c>
      <c r="V307" s="318" t="n">
        <v>0</v>
      </c>
      <c r="W307" s="318" t="s">
        <v>47</v>
      </c>
      <c r="X307" s="318" t="s">
        <v>991</v>
      </c>
      <c r="Y307" s="318" t="s">
        <v>215</v>
      </c>
      <c r="Z307" s="318" t="s">
        <v>283</v>
      </c>
      <c r="AA307" s="318" t="s">
        <v>101</v>
      </c>
      <c r="AB307" s="318" t="s">
        <v>165</v>
      </c>
      <c r="AC307" s="318" t="s">
        <v>116</v>
      </c>
      <c r="AD307" s="318" t="n">
        <v>4513388</v>
      </c>
      <c r="AE307" s="318" t="n">
        <v>0</v>
      </c>
      <c r="AF307" s="114" t="s">
        <v>56</v>
      </c>
      <c r="AG307" s="318" t="s">
        <v>985</v>
      </c>
      <c r="AH307" s="318" t="s">
        <v>216</v>
      </c>
      <c r="AI307" s="318" t="s">
        <v>283</v>
      </c>
      <c r="AJ307" s="318" t="s">
        <v>101</v>
      </c>
      <c r="AK307" s="318" t="s">
        <v>165</v>
      </c>
      <c r="AL307" s="318" t="s">
        <v>116</v>
      </c>
      <c r="AM307" s="318"/>
      <c r="AN307" s="318"/>
      <c r="AO307" s="318"/>
      <c r="AP307" s="476"/>
      <c r="AQ307" s="476"/>
      <c r="AR307" s="6" t="s">
        <v>139</v>
      </c>
    </row>
    <row r="308" ht="26.25" customHeight="1">
      <c r="A308" s="318" t="s">
        <v>54</v>
      </c>
      <c r="B308" s="318" t="n">
        <v>4384813412</v>
      </c>
      <c r="C308" s="318" t="s">
        <v>733</v>
      </c>
      <c r="D308" s="318" t="s">
        <v>48</v>
      </c>
      <c r="E308" s="318" t="s">
        <v>104</v>
      </c>
      <c r="F308" s="318"/>
      <c r="G308" s="318"/>
      <c r="H308" s="318" t="s">
        <v>165</v>
      </c>
      <c r="I308" s="318" t="s">
        <v>101</v>
      </c>
      <c r="J308" s="318" t="n">
        <v>5111035</v>
      </c>
      <c r="K308" s="318" t="s">
        <v>126</v>
      </c>
      <c r="L308" s="318" t="n">
        <v>72</v>
      </c>
      <c r="M308" s="318" t="n">
        <v>90</v>
      </c>
      <c r="N308" s="318" t="s">
        <v>35</v>
      </c>
      <c r="O308" s="318" t="s">
        <v>986</v>
      </c>
      <c r="P308" s="318" t="s">
        <v>233</v>
      </c>
      <c r="Q308" s="318" t="s">
        <v>234</v>
      </c>
      <c r="R308" s="318" t="s">
        <v>101</v>
      </c>
      <c r="S308" s="318" t="s">
        <v>165</v>
      </c>
      <c r="T308" s="318" t="s">
        <v>116</v>
      </c>
      <c r="U308" s="318" t="n">
        <v>5230739</v>
      </c>
      <c r="V308" s="318" t="n">
        <v>0</v>
      </c>
      <c r="W308" s="318" t="s">
        <v>47</v>
      </c>
      <c r="X308" s="318" t="s">
        <v>991</v>
      </c>
      <c r="Y308" s="318" t="s">
        <v>215</v>
      </c>
      <c r="Z308" s="318" t="s">
        <v>283</v>
      </c>
      <c r="AA308" s="318" t="s">
        <v>101</v>
      </c>
      <c r="AB308" s="318" t="s">
        <v>165</v>
      </c>
      <c r="AC308" s="318" t="s">
        <v>116</v>
      </c>
      <c r="AD308" s="318" t="n">
        <v>4513388</v>
      </c>
      <c r="AE308" s="318" t="n">
        <v>22</v>
      </c>
      <c r="AF308" s="114" t="s">
        <v>56</v>
      </c>
      <c r="AG308" s="318" t="s">
        <v>985</v>
      </c>
      <c r="AH308" s="318" t="s">
        <v>216</v>
      </c>
      <c r="AI308" s="318" t="s">
        <v>283</v>
      </c>
      <c r="AJ308" s="318" t="s">
        <v>101</v>
      </c>
      <c r="AK308" s="318" t="s">
        <v>165</v>
      </c>
      <c r="AL308" s="318" t="s">
        <v>116</v>
      </c>
      <c r="AM308" s="318"/>
      <c r="AN308" s="318"/>
      <c r="AO308" s="318"/>
      <c r="AP308" s="318"/>
      <c r="AQ308" s="318"/>
      <c r="AR308" s="6" t="s">
        <v>139</v>
      </c>
    </row>
    <row r="309" ht="26.25" customHeight="1">
      <c r="A309" s="318" t="s">
        <v>45</v>
      </c>
      <c r="B309" s="318" t="n">
        <v>4481410838</v>
      </c>
      <c r="C309" s="318" t="s">
        <v>741</v>
      </c>
      <c r="D309" s="318" t="s">
        <v>48</v>
      </c>
      <c r="E309" s="318" t="s">
        <v>104</v>
      </c>
      <c r="F309" s="318"/>
      <c r="G309" s="318"/>
      <c r="H309" s="318" t="s">
        <v>165</v>
      </c>
      <c r="I309" s="318" t="s">
        <v>65</v>
      </c>
      <c r="J309" s="318" t="n">
        <v>5230719</v>
      </c>
      <c r="K309" s="318" t="s">
        <v>125</v>
      </c>
      <c r="L309" s="318" t="n">
        <v>100</v>
      </c>
      <c r="M309" s="318" t="s">
        <v>116</v>
      </c>
      <c r="N309" s="318" t="s">
        <v>31</v>
      </c>
      <c r="O309" s="318" t="s">
        <v>989</v>
      </c>
      <c r="P309" s="318" t="s">
        <v>216</v>
      </c>
      <c r="Q309" s="318" t="s">
        <v>234</v>
      </c>
      <c r="R309" s="318" t="s">
        <v>65</v>
      </c>
      <c r="S309" s="318" t="s">
        <v>165</v>
      </c>
      <c r="T309" s="318" t="s">
        <v>116</v>
      </c>
      <c r="U309" s="318" t="n">
        <v>5230828</v>
      </c>
      <c r="V309" s="318" t="n">
        <v>31</v>
      </c>
      <c r="W309" s="318" t="s">
        <v>43</v>
      </c>
      <c r="X309" s="318" t="s">
        <v>989</v>
      </c>
      <c r="Y309" s="318" t="s">
        <v>215</v>
      </c>
      <c r="Z309" s="318" t="s">
        <v>283</v>
      </c>
      <c r="AA309" s="318" t="s">
        <v>65</v>
      </c>
      <c r="AB309" s="318" t="s">
        <v>165</v>
      </c>
      <c r="AC309" s="318" t="s">
        <v>116</v>
      </c>
      <c r="AD309" s="318" t="n">
        <v>3132869</v>
      </c>
      <c r="AE309" s="318" t="n">
        <v>43</v>
      </c>
      <c r="AF309" s="114" t="s">
        <v>58</v>
      </c>
      <c r="AG309" s="318" t="s">
        <v>989</v>
      </c>
      <c r="AH309" s="318" t="s">
        <v>233</v>
      </c>
      <c r="AI309" s="318" t="s">
        <v>283</v>
      </c>
      <c r="AJ309" s="318" t="s">
        <v>65</v>
      </c>
      <c r="AK309" s="318" t="s">
        <v>165</v>
      </c>
      <c r="AL309" s="318" t="s">
        <v>116</v>
      </c>
      <c r="AM309" s="318"/>
      <c r="AN309" s="318"/>
      <c r="AO309" s="318"/>
      <c r="AP309" s="318"/>
      <c r="AQ309" s="318"/>
      <c r="AR309" s="6" t="s">
        <v>139</v>
      </c>
    </row>
    <row r="310" ht="26.25" customHeight="1">
      <c r="A310" s="318" t="s">
        <v>45</v>
      </c>
      <c r="B310" s="318" t="n">
        <v>4231131337</v>
      </c>
      <c r="C310" s="318" t="s">
        <v>1244</v>
      </c>
      <c r="D310" s="318" t="s">
        <v>46</v>
      </c>
      <c r="E310" s="318" t="s">
        <v>104</v>
      </c>
      <c r="F310" s="318"/>
      <c r="G310" s="318"/>
      <c r="H310" s="318" t="s">
        <v>165</v>
      </c>
      <c r="I310" s="318" t="s">
        <v>88</v>
      </c>
      <c r="J310" s="318" t="n">
        <v>5230814</v>
      </c>
      <c r="K310" s="318" t="s">
        <v>125</v>
      </c>
      <c r="L310" s="318" t="n">
        <v>90</v>
      </c>
      <c r="M310" s="318" t="s">
        <v>116</v>
      </c>
      <c r="N310" s="114" t="s">
        <v>31</v>
      </c>
      <c r="O310" s="318" t="s">
        <v>997</v>
      </c>
      <c r="P310" s="318" t="s">
        <v>246</v>
      </c>
      <c r="Q310" s="318" t="s">
        <v>234</v>
      </c>
      <c r="R310" s="318" t="s">
        <v>88</v>
      </c>
      <c r="S310" s="318" t="s">
        <v>165</v>
      </c>
      <c r="T310" s="318" t="s">
        <v>217</v>
      </c>
      <c r="U310" s="318" t="n">
        <v>3132905</v>
      </c>
      <c r="V310" s="318" t="n">
        <v>37</v>
      </c>
      <c r="W310" s="318" t="s">
        <v>43</v>
      </c>
      <c r="X310" s="318" t="s">
        <v>997</v>
      </c>
      <c r="Y310" s="318" t="s">
        <v>216</v>
      </c>
      <c r="Z310" s="318" t="s">
        <v>283</v>
      </c>
      <c r="AA310" s="318" t="s">
        <v>88</v>
      </c>
      <c r="AB310" s="318" t="s">
        <v>165</v>
      </c>
      <c r="AC310" s="318" t="s">
        <v>217</v>
      </c>
      <c r="AD310" s="318" t="n">
        <v>5230765</v>
      </c>
      <c r="AE310" s="318" t="n">
        <v>38.5</v>
      </c>
      <c r="AF310" s="114" t="s">
        <v>52</v>
      </c>
      <c r="AG310" s="318" t="s">
        <v>997</v>
      </c>
      <c r="AH310" s="318" t="s">
        <v>215</v>
      </c>
      <c r="AI310" s="318" t="s">
        <v>283</v>
      </c>
      <c r="AJ310" s="318" t="s">
        <v>88</v>
      </c>
      <c r="AK310" s="318" t="s">
        <v>165</v>
      </c>
      <c r="AL310" s="318" t="s">
        <v>217</v>
      </c>
      <c r="AM310" s="318" t="s">
        <v>217</v>
      </c>
      <c r="AN310" s="318" t="s">
        <v>217</v>
      </c>
      <c r="AO310" s="318" t="s">
        <v>217</v>
      </c>
      <c r="AP310" s="318" t="s">
        <v>217</v>
      </c>
      <c r="AQ310" s="318" t="s">
        <v>217</v>
      </c>
      <c r="AR310" s="6" t="s">
        <v>139</v>
      </c>
      <c r="AS310" s="6" t="s">
        <v>217</v>
      </c>
    </row>
    <row r="311" ht="26.25" customHeight="1">
      <c r="A311" s="318" t="s">
        <v>54</v>
      </c>
      <c r="B311" s="318" t="n">
        <v>4825766381</v>
      </c>
      <c r="C311" s="318" t="s">
        <v>747</v>
      </c>
      <c r="D311" s="318" t="s">
        <v>57</v>
      </c>
      <c r="E311" s="318" t="s">
        <v>104</v>
      </c>
      <c r="F311" s="318"/>
      <c r="G311" s="318"/>
      <c r="H311" s="318" t="s">
        <v>165</v>
      </c>
      <c r="I311" s="318" t="s">
        <v>65</v>
      </c>
      <c r="J311" s="318" t="n">
        <v>5230742</v>
      </c>
      <c r="K311" s="318" t="s">
        <v>125</v>
      </c>
      <c r="L311" s="318" t="n">
        <v>70</v>
      </c>
      <c r="M311" s="318" t="s">
        <v>116</v>
      </c>
      <c r="N311" s="318" t="s">
        <v>35</v>
      </c>
      <c r="O311" s="318" t="s">
        <v>986</v>
      </c>
      <c r="P311" s="318" t="s">
        <v>216</v>
      </c>
      <c r="Q311" s="318" t="s">
        <v>283</v>
      </c>
      <c r="R311" s="318" t="s">
        <v>65</v>
      </c>
      <c r="S311" s="318" t="s">
        <v>165</v>
      </c>
      <c r="T311" s="318" t="s">
        <v>116</v>
      </c>
      <c r="U311" s="318" t="s">
        <v>116</v>
      </c>
      <c r="V311" s="318"/>
      <c r="W311" s="318" t="s">
        <v>116</v>
      </c>
      <c r="X311" s="318" t="s">
        <v>116</v>
      </c>
      <c r="Y311" s="318" t="s">
        <v>116</v>
      </c>
      <c r="Z311" s="318" t="s">
        <v>116</v>
      </c>
      <c r="AA311" s="318" t="s">
        <v>116</v>
      </c>
      <c r="AB311" s="318" t="s">
        <v>116</v>
      </c>
      <c r="AC311" s="318" t="s">
        <v>116</v>
      </c>
      <c r="AD311" s="318" t="s">
        <v>116</v>
      </c>
      <c r="AE311" s="318"/>
      <c r="AF311" s="114" t="s">
        <v>116</v>
      </c>
      <c r="AG311" s="318" t="s">
        <v>116</v>
      </c>
      <c r="AH311" s="318" t="s">
        <v>116</v>
      </c>
      <c r="AI311" s="318" t="s">
        <v>116</v>
      </c>
      <c r="AJ311" s="318" t="s">
        <v>116</v>
      </c>
      <c r="AK311" s="318" t="s">
        <v>116</v>
      </c>
      <c r="AL311" s="318" t="s">
        <v>116</v>
      </c>
      <c r="AM311" s="318"/>
      <c r="AN311" s="318"/>
      <c r="AO311" s="318"/>
      <c r="AP311" s="318"/>
      <c r="AQ311" s="318"/>
      <c r="AR311" s="6" t="s">
        <v>139</v>
      </c>
    </row>
    <row r="312" ht="26.25" customHeight="1">
      <c r="A312" s="318" t="s">
        <v>85</v>
      </c>
      <c r="B312" s="318" t="n">
        <v>2533826337</v>
      </c>
      <c r="C312" s="318" t="s">
        <v>1245</v>
      </c>
      <c r="D312" s="318" t="s">
        <v>34</v>
      </c>
      <c r="E312" s="318" t="s">
        <v>115</v>
      </c>
      <c r="F312" s="318" t="s">
        <v>1246</v>
      </c>
      <c r="G312" s="318"/>
      <c r="H312" s="318" t="s">
        <v>1123</v>
      </c>
      <c r="I312" s="318" t="s">
        <v>116</v>
      </c>
      <c r="J312" s="318" t="n">
        <v>5230775</v>
      </c>
      <c r="K312" s="318" t="s">
        <v>125</v>
      </c>
      <c r="L312" s="318" t="n">
        <v>85</v>
      </c>
      <c r="M312" s="318" t="s">
        <v>116</v>
      </c>
      <c r="N312" s="318" t="s">
        <v>31</v>
      </c>
      <c r="O312" s="318" t="s">
        <v>991</v>
      </c>
      <c r="P312" s="318" t="s">
        <v>215</v>
      </c>
      <c r="Q312" s="318" t="s">
        <v>283</v>
      </c>
      <c r="R312" s="318" t="s">
        <v>65</v>
      </c>
      <c r="S312" s="318" t="s">
        <v>444</v>
      </c>
      <c r="T312" s="318" t="s">
        <v>116</v>
      </c>
      <c r="U312" s="318" t="n">
        <v>3132834</v>
      </c>
      <c r="V312" s="318" t="n">
        <v>30</v>
      </c>
      <c r="W312" s="318" t="s">
        <v>47</v>
      </c>
      <c r="X312" s="318" t="s">
        <v>991</v>
      </c>
      <c r="Y312" s="318" t="s">
        <v>246</v>
      </c>
      <c r="Z312" s="318" t="s">
        <v>283</v>
      </c>
      <c r="AA312" s="318" t="s">
        <v>65</v>
      </c>
      <c r="AB312" s="318" t="s">
        <v>444</v>
      </c>
      <c r="AC312" s="318" t="s">
        <v>116</v>
      </c>
      <c r="AD312" s="318" t="n">
        <v>5230783</v>
      </c>
      <c r="AE312" s="318" t="n">
        <v>48</v>
      </c>
      <c r="AF312" s="114" t="s">
        <v>52</v>
      </c>
      <c r="AG312" s="318" t="s">
        <v>991</v>
      </c>
      <c r="AH312" s="318" t="s">
        <v>216</v>
      </c>
      <c r="AI312" s="318" t="s">
        <v>283</v>
      </c>
      <c r="AJ312" s="318" t="s">
        <v>65</v>
      </c>
      <c r="AK312" s="318" t="s">
        <v>444</v>
      </c>
      <c r="AL312" s="318" t="s">
        <v>116</v>
      </c>
      <c r="AM312" s="318"/>
      <c r="AN312" s="318"/>
      <c r="AO312" s="318"/>
      <c r="AP312" s="318"/>
      <c r="AQ312" s="318"/>
      <c r="AR312" s="6" t="s">
        <v>1124</v>
      </c>
    </row>
    <row r="313" ht="26.25" customHeight="1">
      <c r="A313" s="318" t="s">
        <v>54</v>
      </c>
      <c r="B313" s="318" t="n">
        <v>2112208710</v>
      </c>
      <c r="C313" s="318" t="s">
        <v>755</v>
      </c>
      <c r="D313" s="318" t="s">
        <v>59</v>
      </c>
      <c r="E313" s="318" t="s">
        <v>104</v>
      </c>
      <c r="F313" s="318"/>
      <c r="G313" s="318"/>
      <c r="H313" s="318" t="s">
        <v>165</v>
      </c>
      <c r="I313" s="318" t="s">
        <v>1079</v>
      </c>
      <c r="J313" s="318" t="n">
        <v>5230742</v>
      </c>
      <c r="K313" s="318" t="s">
        <v>125</v>
      </c>
      <c r="L313" s="318" t="n">
        <v>65</v>
      </c>
      <c r="M313" s="318" t="s">
        <v>116</v>
      </c>
      <c r="N313" s="114" t="s">
        <v>35</v>
      </c>
      <c r="O313" s="318" t="s">
        <v>986</v>
      </c>
      <c r="P313" s="318" t="s">
        <v>216</v>
      </c>
      <c r="Q313" s="318" t="s">
        <v>283</v>
      </c>
      <c r="R313" s="318" t="s">
        <v>65</v>
      </c>
      <c r="S313" s="318" t="s">
        <v>165</v>
      </c>
      <c r="T313" s="318" t="s">
        <v>217</v>
      </c>
      <c r="U313" s="318" t="n">
        <v>5230773</v>
      </c>
      <c r="V313" s="318" t="n">
        <v>30</v>
      </c>
      <c r="W313" s="318" t="s">
        <v>49</v>
      </c>
      <c r="X313" s="318" t="s">
        <v>986</v>
      </c>
      <c r="Y313" s="318" t="s">
        <v>233</v>
      </c>
      <c r="Z313" s="318" t="s">
        <v>283</v>
      </c>
      <c r="AA313" s="318" t="s">
        <v>65</v>
      </c>
      <c r="AB313" s="318" t="s">
        <v>165</v>
      </c>
      <c r="AC313" s="318" t="s">
        <v>116</v>
      </c>
      <c r="AD313" s="318" t="n">
        <v>5230738</v>
      </c>
      <c r="AE313" s="318" t="n">
        <v>25</v>
      </c>
      <c r="AF313" s="114" t="s">
        <v>58</v>
      </c>
      <c r="AG313" s="318" t="s">
        <v>987</v>
      </c>
      <c r="AH313" s="318" t="s">
        <v>215</v>
      </c>
      <c r="AI313" s="318" t="s">
        <v>283</v>
      </c>
      <c r="AJ313" s="318" t="s">
        <v>100</v>
      </c>
      <c r="AK313" s="318" t="s">
        <v>165</v>
      </c>
      <c r="AL313" s="318" t="s">
        <v>116</v>
      </c>
      <c r="AM313" s="318"/>
      <c r="AN313" s="318"/>
      <c r="AO313" s="318"/>
      <c r="AP313" s="476"/>
      <c r="AQ313" s="476"/>
      <c r="AR313" s="6" t="s">
        <v>139</v>
      </c>
      <c r="AS313" s="6" t="s">
        <v>217</v>
      </c>
    </row>
    <row r="314" ht="26.25" customHeight="1">
      <c r="A314" s="318" t="s">
        <v>85</v>
      </c>
      <c r="B314" s="318" t="n">
        <v>4218384525</v>
      </c>
      <c r="C314" s="318" t="s">
        <v>762</v>
      </c>
      <c r="D314" s="318" t="s">
        <v>36</v>
      </c>
      <c r="E314" s="318" t="s">
        <v>104</v>
      </c>
      <c r="F314" s="318" t="s">
        <v>1247</v>
      </c>
      <c r="G314" s="318"/>
      <c r="H314" s="318" t="s">
        <v>165</v>
      </c>
      <c r="I314" s="318" t="s">
        <v>101</v>
      </c>
      <c r="J314" s="318" t="n">
        <v>3132902</v>
      </c>
      <c r="K314" s="318" t="s">
        <v>126</v>
      </c>
      <c r="L314" s="318" t="n">
        <v>64</v>
      </c>
      <c r="M314" s="318" t="n">
        <v>85</v>
      </c>
      <c r="N314" s="318" t="s">
        <v>31</v>
      </c>
      <c r="O314" s="318" t="s">
        <v>987</v>
      </c>
      <c r="P314" s="318" t="s">
        <v>216</v>
      </c>
      <c r="Q314" s="318" t="s">
        <v>283</v>
      </c>
      <c r="R314" s="318" t="s">
        <v>101</v>
      </c>
      <c r="S314" s="318" t="s">
        <v>165</v>
      </c>
      <c r="T314" s="318" t="s">
        <v>116</v>
      </c>
      <c r="U314" s="318" t="n">
        <v>5230739</v>
      </c>
      <c r="V314" s="318"/>
      <c r="W314" s="318" t="s">
        <v>47</v>
      </c>
      <c r="X314" s="318" t="s">
        <v>991</v>
      </c>
      <c r="Y314" s="318" t="s">
        <v>215</v>
      </c>
      <c r="Z314" s="318" t="s">
        <v>283</v>
      </c>
      <c r="AA314" s="318" t="s">
        <v>101</v>
      </c>
      <c r="AB314" s="318" t="s">
        <v>165</v>
      </c>
      <c r="AC314" s="318" t="s">
        <v>116</v>
      </c>
      <c r="AD314" s="318" t="n">
        <v>5230788</v>
      </c>
      <c r="AE314" s="318"/>
      <c r="AF314" s="318" t="s">
        <v>52</v>
      </c>
      <c r="AG314" s="318" t="s">
        <v>991</v>
      </c>
      <c r="AH314" s="318" t="s">
        <v>233</v>
      </c>
      <c r="AI314" s="318" t="s">
        <v>283</v>
      </c>
      <c r="AJ314" s="318" t="s">
        <v>101</v>
      </c>
      <c r="AK314" s="318" t="s">
        <v>165</v>
      </c>
      <c r="AL314" s="318" t="s">
        <v>116</v>
      </c>
      <c r="AM314" s="318"/>
      <c r="AN314" s="318"/>
      <c r="AO314" s="318"/>
      <c r="AP314" s="318"/>
      <c r="AQ314" s="318"/>
      <c r="AR314" s="6" t="s">
        <v>139</v>
      </c>
    </row>
    <row r="315" ht="26.25" customHeight="1">
      <c r="A315" s="318" t="s">
        <v>54</v>
      </c>
      <c r="B315" s="318" t="n">
        <v>2580537342</v>
      </c>
      <c r="C315" s="318" t="s">
        <v>770</v>
      </c>
      <c r="D315" s="318" t="s">
        <v>55</v>
      </c>
      <c r="E315" s="318" t="s">
        <v>104</v>
      </c>
      <c r="F315" s="318"/>
      <c r="G315" s="318"/>
      <c r="H315" s="318" t="s">
        <v>165</v>
      </c>
      <c r="I315" s="318" t="s">
        <v>65</v>
      </c>
      <c r="J315" s="318" t="n">
        <v>5230742</v>
      </c>
      <c r="K315" s="318" t="s">
        <v>125</v>
      </c>
      <c r="L315" s="318" t="n">
        <v>70</v>
      </c>
      <c r="M315" s="318" t="s">
        <v>116</v>
      </c>
      <c r="N315" s="318" t="s">
        <v>35</v>
      </c>
      <c r="O315" s="318" t="s">
        <v>986</v>
      </c>
      <c r="P315" s="318" t="s">
        <v>216</v>
      </c>
      <c r="Q315" s="318" t="s">
        <v>283</v>
      </c>
      <c r="R315" s="318" t="s">
        <v>65</v>
      </c>
      <c r="S315" s="318" t="s">
        <v>165</v>
      </c>
      <c r="T315" s="318" t="s">
        <v>116</v>
      </c>
      <c r="U315" s="318" t="n">
        <v>5230773</v>
      </c>
      <c r="V315" s="318" t="n">
        <v>33</v>
      </c>
      <c r="W315" s="318" t="s">
        <v>49</v>
      </c>
      <c r="X315" s="318" t="s">
        <v>986</v>
      </c>
      <c r="Y315" s="318" t="s">
        <v>233</v>
      </c>
      <c r="Z315" s="318" t="s">
        <v>283</v>
      </c>
      <c r="AA315" s="318" t="s">
        <v>65</v>
      </c>
      <c r="AB315" s="318" t="s">
        <v>165</v>
      </c>
      <c r="AC315" s="318" t="s">
        <v>116</v>
      </c>
      <c r="AD315" s="318" t="n">
        <v>3132888</v>
      </c>
      <c r="AE315" s="318" t="n">
        <v>35</v>
      </c>
      <c r="AF315" s="318" t="s">
        <v>56</v>
      </c>
      <c r="AG315" s="318" t="s">
        <v>986</v>
      </c>
      <c r="AH315" s="318" t="s">
        <v>215</v>
      </c>
      <c r="AI315" s="318" t="s">
        <v>283</v>
      </c>
      <c r="AJ315" s="318" t="s">
        <v>65</v>
      </c>
      <c r="AK315" s="318" t="s">
        <v>165</v>
      </c>
      <c r="AL315" s="318" t="s">
        <v>217</v>
      </c>
      <c r="AM315" s="318"/>
      <c r="AN315" s="318"/>
      <c r="AO315" s="318"/>
      <c r="AP315" s="318"/>
      <c r="AQ315" s="318"/>
      <c r="AR315" s="6" t="s">
        <v>139</v>
      </c>
      <c r="AS315" s="6" t="s">
        <v>217</v>
      </c>
    </row>
    <row r="316" ht="26.25" customHeight="1">
      <c r="A316" s="318" t="s">
        <v>45</v>
      </c>
      <c r="B316" s="318" t="n">
        <v>2564941289</v>
      </c>
      <c r="C316" s="318" t="s">
        <v>641</v>
      </c>
      <c r="D316" s="318" t="s">
        <v>48</v>
      </c>
      <c r="E316" s="318" t="s">
        <v>106</v>
      </c>
      <c r="F316" s="318"/>
      <c r="G316" s="318"/>
      <c r="H316" s="318" t="s">
        <v>165</v>
      </c>
      <c r="I316" s="318" t="s">
        <v>88</v>
      </c>
      <c r="J316" s="318" t="n">
        <v>3132897</v>
      </c>
      <c r="K316" s="318" t="s">
        <v>124</v>
      </c>
      <c r="L316" s="318" t="n">
        <v>85</v>
      </c>
      <c r="M316" s="318" t="s">
        <v>116</v>
      </c>
      <c r="N316" s="318" t="s">
        <v>31</v>
      </c>
      <c r="O316" s="318" t="s">
        <v>989</v>
      </c>
      <c r="P316" s="318" t="s">
        <v>215</v>
      </c>
      <c r="Q316" s="318" t="s">
        <v>283</v>
      </c>
      <c r="R316" s="318" t="s">
        <v>88</v>
      </c>
      <c r="S316" s="318" t="s">
        <v>165</v>
      </c>
      <c r="T316" s="318" t="s">
        <v>217</v>
      </c>
      <c r="U316" s="318" t="s">
        <v>116</v>
      </c>
      <c r="V316" s="318"/>
      <c r="W316" s="318" t="s">
        <v>116</v>
      </c>
      <c r="X316" s="318" t="s">
        <v>116</v>
      </c>
      <c r="Y316" s="318" t="s">
        <v>116</v>
      </c>
      <c r="Z316" s="318" t="s">
        <v>116</v>
      </c>
      <c r="AA316" s="318" t="s">
        <v>116</v>
      </c>
      <c r="AB316" s="318" t="s">
        <v>116</v>
      </c>
      <c r="AC316" s="318" t="s">
        <v>116</v>
      </c>
      <c r="AD316" s="318" t="n">
        <v>5230737</v>
      </c>
      <c r="AE316" s="318" t="n">
        <v>0</v>
      </c>
      <c r="AF316" s="318" t="s">
        <v>58</v>
      </c>
      <c r="AG316" s="318" t="s">
        <v>989</v>
      </c>
      <c r="AH316" s="318" t="s">
        <v>216</v>
      </c>
      <c r="AI316" s="318" t="s">
        <v>283</v>
      </c>
      <c r="AJ316" s="318" t="s">
        <v>88</v>
      </c>
      <c r="AK316" s="318" t="s">
        <v>165</v>
      </c>
      <c r="AL316" s="318" t="s">
        <v>217</v>
      </c>
      <c r="AM316" s="318" t="s">
        <v>217</v>
      </c>
      <c r="AN316" s="318" t="s">
        <v>218</v>
      </c>
      <c r="AO316" s="318" t="s">
        <v>218</v>
      </c>
      <c r="AP316" s="318" t="s">
        <v>218</v>
      </c>
      <c r="AQ316" s="318" t="s">
        <v>218</v>
      </c>
      <c r="AR316" s="6" t="s">
        <v>138</v>
      </c>
      <c r="AS316" s="6" t="s">
        <v>217</v>
      </c>
    </row>
    <row r="317" ht="26.25" customHeight="1">
      <c r="A317" s="318" t="s">
        <v>85</v>
      </c>
      <c r="B317" s="318" t="n">
        <v>4397457478</v>
      </c>
      <c r="C317" s="318" t="s">
        <v>774</v>
      </c>
      <c r="D317" s="318" t="s">
        <v>38</v>
      </c>
      <c r="E317" s="318" t="s">
        <v>115</v>
      </c>
      <c r="F317" s="318"/>
      <c r="G317" s="318"/>
      <c r="H317" s="318" t="s">
        <v>165</v>
      </c>
      <c r="I317" s="318" t="s">
        <v>65</v>
      </c>
      <c r="J317" s="318" t="n">
        <v>5230775</v>
      </c>
      <c r="K317" s="318" t="s">
        <v>116</v>
      </c>
      <c r="L317" s="318" t="s">
        <v>116</v>
      </c>
      <c r="M317" s="318" t="s">
        <v>116</v>
      </c>
      <c r="N317" s="318" t="s">
        <v>31</v>
      </c>
      <c r="O317" s="318" t="s">
        <v>991</v>
      </c>
      <c r="P317" s="318" t="s">
        <v>215</v>
      </c>
      <c r="Q317" s="318" t="s">
        <v>283</v>
      </c>
      <c r="R317" s="318" t="s">
        <v>65</v>
      </c>
      <c r="S317" s="318" t="s">
        <v>165</v>
      </c>
      <c r="T317" s="318" t="s">
        <v>116</v>
      </c>
      <c r="U317" s="318" t="s">
        <v>116</v>
      </c>
      <c r="V317" s="318"/>
      <c r="W317" s="318" t="s">
        <v>116</v>
      </c>
      <c r="X317" s="318" t="s">
        <v>116</v>
      </c>
      <c r="Y317" s="318" t="s">
        <v>116</v>
      </c>
      <c r="Z317" s="318" t="s">
        <v>116</v>
      </c>
      <c r="AA317" s="318" t="s">
        <v>116</v>
      </c>
      <c r="AB317" s="318" t="s">
        <v>116</v>
      </c>
      <c r="AC317" s="318" t="s">
        <v>116</v>
      </c>
      <c r="AD317" s="318" t="n">
        <v>5230783</v>
      </c>
      <c r="AE317" s="318" t="n">
        <v>20</v>
      </c>
      <c r="AF317" s="114" t="s">
        <v>52</v>
      </c>
      <c r="AG317" s="318" t="s">
        <v>991</v>
      </c>
      <c r="AH317" s="318" t="s">
        <v>216</v>
      </c>
      <c r="AI317" s="318" t="s">
        <v>283</v>
      </c>
      <c r="AJ317" s="318" t="s">
        <v>65</v>
      </c>
      <c r="AK317" s="318" t="s">
        <v>165</v>
      </c>
      <c r="AL317" s="318" t="s">
        <v>116</v>
      </c>
      <c r="AM317" s="318"/>
      <c r="AN317" s="318"/>
      <c r="AO317" s="318"/>
      <c r="AP317" s="318"/>
      <c r="AQ317" s="318"/>
      <c r="AR317" s="6" t="s">
        <v>139</v>
      </c>
    </row>
    <row r="318" ht="26.25" customHeight="1">
      <c r="A318" s="318" t="s">
        <v>54</v>
      </c>
      <c r="B318" s="318" t="n">
        <v>2920739804</v>
      </c>
      <c r="C318" s="318" t="s">
        <v>1248</v>
      </c>
      <c r="D318" s="318" t="s">
        <v>34</v>
      </c>
      <c r="E318" s="318" t="s">
        <v>104</v>
      </c>
      <c r="F318" s="318"/>
      <c r="G318" s="318"/>
      <c r="H318" s="318" t="s">
        <v>165</v>
      </c>
      <c r="I318" s="318" t="s">
        <v>101</v>
      </c>
      <c r="J318" s="318" t="n">
        <v>3132902</v>
      </c>
      <c r="K318" s="318" t="s">
        <v>125</v>
      </c>
      <c r="L318" s="318" t="n">
        <v>33.5</v>
      </c>
      <c r="M318" s="318" t="s">
        <v>116</v>
      </c>
      <c r="N318" s="318" t="s">
        <v>31</v>
      </c>
      <c r="O318" s="318" t="s">
        <v>987</v>
      </c>
      <c r="P318" s="318" t="s">
        <v>216</v>
      </c>
      <c r="Q318" s="318" t="s">
        <v>283</v>
      </c>
      <c r="R318" s="318" t="s">
        <v>101</v>
      </c>
      <c r="S318" s="318" t="s">
        <v>165</v>
      </c>
      <c r="T318" s="318" t="s">
        <v>116</v>
      </c>
      <c r="U318" s="318" t="n">
        <v>5230747</v>
      </c>
      <c r="V318" s="318" t="n">
        <v>49</v>
      </c>
      <c r="W318" s="318" t="s">
        <v>49</v>
      </c>
      <c r="X318" s="318" t="s">
        <v>987</v>
      </c>
      <c r="Y318" s="318" t="s">
        <v>215</v>
      </c>
      <c r="Z318" s="318" t="s">
        <v>283</v>
      </c>
      <c r="AA318" s="318" t="s">
        <v>101</v>
      </c>
      <c r="AB318" s="318" t="s">
        <v>165</v>
      </c>
      <c r="AC318" s="318" t="s">
        <v>116</v>
      </c>
      <c r="AD318" s="318" t="n">
        <v>5230821</v>
      </c>
      <c r="AE318" s="318" t="n">
        <v>100</v>
      </c>
      <c r="AF318" s="114" t="s">
        <v>56</v>
      </c>
      <c r="AG318" s="318" t="s">
        <v>987</v>
      </c>
      <c r="AH318" s="318" t="s">
        <v>233</v>
      </c>
      <c r="AI318" s="318" t="s">
        <v>283</v>
      </c>
      <c r="AJ318" s="318" t="s">
        <v>101</v>
      </c>
      <c r="AK318" s="318" t="s">
        <v>165</v>
      </c>
      <c r="AL318" s="318" t="s">
        <v>116</v>
      </c>
      <c r="AM318" s="318"/>
      <c r="AN318" s="318"/>
      <c r="AO318" s="318"/>
      <c r="AP318" s="318"/>
      <c r="AQ318" s="318"/>
      <c r="AR318" s="6" t="s">
        <v>139</v>
      </c>
    </row>
    <row r="319" ht="26.25" customHeight="1">
      <c r="A319" s="318" t="s">
        <v>54</v>
      </c>
      <c r="B319" s="318" t="n">
        <v>4815965040</v>
      </c>
      <c r="C319" s="318" t="s">
        <v>1039</v>
      </c>
      <c r="D319" s="318" t="s">
        <v>57</v>
      </c>
      <c r="E319" s="318" t="s">
        <v>104</v>
      </c>
      <c r="F319" s="318"/>
      <c r="G319" s="318"/>
      <c r="H319" s="318" t="s">
        <v>165</v>
      </c>
      <c r="I319" s="318" t="s">
        <v>101</v>
      </c>
      <c r="J319" s="318" t="n">
        <v>4632447</v>
      </c>
      <c r="K319" s="318" t="s">
        <v>125</v>
      </c>
      <c r="L319" s="318" t="n">
        <v>47</v>
      </c>
      <c r="M319" s="318" t="s">
        <v>116</v>
      </c>
      <c r="N319" s="318" t="s">
        <v>37</v>
      </c>
      <c r="O319" s="318" t="s">
        <v>985</v>
      </c>
      <c r="P319" s="318" t="s">
        <v>215</v>
      </c>
      <c r="Q319" s="318" t="s">
        <v>283</v>
      </c>
      <c r="R319" s="318" t="s">
        <v>101</v>
      </c>
      <c r="S319" s="318" t="s">
        <v>165</v>
      </c>
      <c r="T319" s="318" t="s">
        <v>116</v>
      </c>
      <c r="U319" s="318" t="n">
        <v>5111226</v>
      </c>
      <c r="V319" s="318" t="n">
        <v>27</v>
      </c>
      <c r="W319" s="318" t="s">
        <v>47</v>
      </c>
      <c r="X319" s="318" t="s">
        <v>985</v>
      </c>
      <c r="Y319" s="318" t="s">
        <v>233</v>
      </c>
      <c r="Z319" s="318" t="s">
        <v>283</v>
      </c>
      <c r="AA319" s="318" t="s">
        <v>101</v>
      </c>
      <c r="AB319" s="318" t="s">
        <v>165</v>
      </c>
      <c r="AC319" s="318" t="s">
        <v>116</v>
      </c>
      <c r="AD319" s="318" t="n">
        <v>4513388</v>
      </c>
      <c r="AE319" s="318" t="n">
        <v>34.5</v>
      </c>
      <c r="AF319" s="114" t="s">
        <v>56</v>
      </c>
      <c r="AG319" s="318" t="s">
        <v>985</v>
      </c>
      <c r="AH319" s="318" t="s">
        <v>216</v>
      </c>
      <c r="AI319" s="318" t="s">
        <v>283</v>
      </c>
      <c r="AJ319" s="318" t="s">
        <v>101</v>
      </c>
      <c r="AK319" s="318" t="s">
        <v>165</v>
      </c>
      <c r="AL319" s="318" t="s">
        <v>116</v>
      </c>
      <c r="AM319" s="318"/>
      <c r="AN319" s="318"/>
      <c r="AO319" s="318"/>
      <c r="AP319" s="476"/>
      <c r="AQ319" s="476"/>
      <c r="AR319" s="6" t="s">
        <v>139</v>
      </c>
    </row>
    <row r="320" ht="26.25" customHeight="1">
      <c r="A320" s="318" t="s">
        <v>54</v>
      </c>
      <c r="B320" s="318" t="n">
        <v>4129826988</v>
      </c>
      <c r="C320" s="318" t="s">
        <v>781</v>
      </c>
      <c r="D320" s="318" t="s">
        <v>36</v>
      </c>
      <c r="E320" s="318" t="s">
        <v>104</v>
      </c>
      <c r="F320" s="318"/>
      <c r="G320" s="318"/>
      <c r="H320" s="318" t="s">
        <v>165</v>
      </c>
      <c r="I320" s="318" t="s">
        <v>101</v>
      </c>
      <c r="J320" s="318" t="n">
        <v>3132902</v>
      </c>
      <c r="K320" s="318" t="s">
        <v>125</v>
      </c>
      <c r="L320" s="318" t="n">
        <v>59</v>
      </c>
      <c r="M320" s="318" t="s">
        <v>116</v>
      </c>
      <c r="N320" s="318" t="s">
        <v>31</v>
      </c>
      <c r="O320" s="318" t="s">
        <v>987</v>
      </c>
      <c r="P320" s="318" t="s">
        <v>216</v>
      </c>
      <c r="Q320" s="318" t="s">
        <v>283</v>
      </c>
      <c r="R320" s="318" t="s">
        <v>101</v>
      </c>
      <c r="S320" s="318" t="s">
        <v>165</v>
      </c>
      <c r="T320" s="318" t="s">
        <v>116</v>
      </c>
      <c r="U320" s="318" t="n">
        <v>5230739</v>
      </c>
      <c r="V320" s="318" t="n">
        <v>28</v>
      </c>
      <c r="W320" s="318" t="s">
        <v>47</v>
      </c>
      <c r="X320" s="318" t="s">
        <v>991</v>
      </c>
      <c r="Y320" s="318" t="s">
        <v>215</v>
      </c>
      <c r="Z320" s="318" t="s">
        <v>283</v>
      </c>
      <c r="AA320" s="318" t="s">
        <v>101</v>
      </c>
      <c r="AB320" s="318" t="s">
        <v>165</v>
      </c>
      <c r="AC320" s="318" t="s">
        <v>116</v>
      </c>
      <c r="AD320" s="318" t="n">
        <v>5230788</v>
      </c>
      <c r="AE320" s="318" t="n">
        <v>17</v>
      </c>
      <c r="AF320" s="114" t="s">
        <v>52</v>
      </c>
      <c r="AG320" s="318" t="s">
        <v>991</v>
      </c>
      <c r="AH320" s="318" t="s">
        <v>233</v>
      </c>
      <c r="AI320" s="318" t="s">
        <v>283</v>
      </c>
      <c r="AJ320" s="318" t="s">
        <v>101</v>
      </c>
      <c r="AK320" s="318" t="s">
        <v>165</v>
      </c>
      <c r="AL320" s="318" t="s">
        <v>116</v>
      </c>
      <c r="AM320" s="318"/>
      <c r="AN320" s="318"/>
      <c r="AO320" s="318"/>
      <c r="AP320" s="476"/>
      <c r="AQ320" s="476"/>
      <c r="AR320" s="6" t="s">
        <v>139</v>
      </c>
    </row>
    <row r="321" ht="26.25" customHeight="1">
      <c r="A321" s="318" t="s">
        <v>54</v>
      </c>
      <c r="B321" s="318" t="n">
        <v>4027388026</v>
      </c>
      <c r="C321" s="318" t="s">
        <v>1249</v>
      </c>
      <c r="D321" s="318" t="s">
        <v>57</v>
      </c>
      <c r="E321" s="318" t="s">
        <v>104</v>
      </c>
      <c r="F321" s="318"/>
      <c r="G321" s="318"/>
      <c r="H321" s="318" t="s">
        <v>165</v>
      </c>
      <c r="I321" s="318" t="s">
        <v>100</v>
      </c>
      <c r="J321" s="318" t="n">
        <v>5111034</v>
      </c>
      <c r="K321" s="318" t="s">
        <v>126</v>
      </c>
      <c r="L321" s="318" t="n">
        <v>72</v>
      </c>
      <c r="M321" s="318" t="n">
        <v>90</v>
      </c>
      <c r="N321" s="114" t="s">
        <v>37</v>
      </c>
      <c r="O321" s="318" t="s">
        <v>1030</v>
      </c>
      <c r="P321" s="318" t="s">
        <v>216</v>
      </c>
      <c r="Q321" s="318" t="s">
        <v>283</v>
      </c>
      <c r="R321" s="318" t="s">
        <v>100</v>
      </c>
      <c r="S321" s="318" t="s">
        <v>165</v>
      </c>
      <c r="T321" s="318" t="s">
        <v>116</v>
      </c>
      <c r="U321" s="318" t="n">
        <v>4513342</v>
      </c>
      <c r="V321" s="318" t="n">
        <v>0</v>
      </c>
      <c r="W321" s="318" t="s">
        <v>43</v>
      </c>
      <c r="X321" s="318" t="s">
        <v>1030</v>
      </c>
      <c r="Y321" s="318" t="s">
        <v>215</v>
      </c>
      <c r="Z321" s="318" t="s">
        <v>283</v>
      </c>
      <c r="AA321" s="318" t="s">
        <v>100</v>
      </c>
      <c r="AB321" s="318" t="s">
        <v>165</v>
      </c>
      <c r="AC321" s="318" t="s">
        <v>116</v>
      </c>
      <c r="AD321" s="318" t="s">
        <v>116</v>
      </c>
      <c r="AE321" s="318"/>
      <c r="AF321" s="114" t="s">
        <v>116</v>
      </c>
      <c r="AG321" s="318" t="s">
        <v>116</v>
      </c>
      <c r="AH321" s="318" t="s">
        <v>116</v>
      </c>
      <c r="AI321" s="318" t="s">
        <v>116</v>
      </c>
      <c r="AJ321" s="318" t="s">
        <v>116</v>
      </c>
      <c r="AK321" s="318" t="s">
        <v>116</v>
      </c>
      <c r="AL321" s="318" t="s">
        <v>116</v>
      </c>
      <c r="AM321" s="318"/>
      <c r="AN321" s="318"/>
      <c r="AO321" s="318"/>
      <c r="AP321" s="318"/>
      <c r="AQ321" s="318"/>
      <c r="AR321" s="6" t="s">
        <v>139</v>
      </c>
    </row>
    <row r="322" ht="26.25" customHeight="1">
      <c r="A322" s="318" t="s">
        <v>54</v>
      </c>
      <c r="B322" s="318" t="n">
        <v>2466589641</v>
      </c>
      <c r="C322" s="318" t="s">
        <v>1250</v>
      </c>
      <c r="D322" s="318" t="s">
        <v>57</v>
      </c>
      <c r="E322" s="318" t="s">
        <v>106</v>
      </c>
      <c r="F322" s="318"/>
      <c r="G322" s="318"/>
      <c r="H322" s="318" t="s">
        <v>165</v>
      </c>
      <c r="I322" s="318" t="s">
        <v>88</v>
      </c>
      <c r="J322" s="318" t="n">
        <v>3132884</v>
      </c>
      <c r="K322" s="318" t="s">
        <v>125</v>
      </c>
      <c r="L322" s="318" t="n">
        <v>60</v>
      </c>
      <c r="M322" s="318" t="s">
        <v>116</v>
      </c>
      <c r="N322" s="114" t="s">
        <v>37</v>
      </c>
      <c r="O322" s="318" t="s">
        <v>987</v>
      </c>
      <c r="P322" s="318" t="s">
        <v>216</v>
      </c>
      <c r="Q322" s="318" t="s">
        <v>283</v>
      </c>
      <c r="R322" s="318" t="s">
        <v>88</v>
      </c>
      <c r="S322" s="318" t="s">
        <v>165</v>
      </c>
      <c r="T322" s="318" t="s">
        <v>217</v>
      </c>
      <c r="U322" s="318" t="s">
        <v>116</v>
      </c>
      <c r="V322" s="318"/>
      <c r="W322" s="318" t="s">
        <v>116</v>
      </c>
      <c r="X322" s="318" t="s">
        <v>116</v>
      </c>
      <c r="Y322" s="318" t="s">
        <v>116</v>
      </c>
      <c r="Z322" s="318" t="s">
        <v>116</v>
      </c>
      <c r="AA322" s="318" t="s">
        <v>116</v>
      </c>
      <c r="AB322" s="318" t="s">
        <v>116</v>
      </c>
      <c r="AC322" s="318" t="s">
        <v>116</v>
      </c>
      <c r="AD322" s="318" t="n">
        <v>5230723</v>
      </c>
      <c r="AE322" s="318" t="n">
        <v>39.5</v>
      </c>
      <c r="AF322" s="114" t="s">
        <v>56</v>
      </c>
      <c r="AG322" s="318" t="s">
        <v>987</v>
      </c>
      <c r="AH322" s="318" t="s">
        <v>233</v>
      </c>
      <c r="AI322" s="318" t="s">
        <v>283</v>
      </c>
      <c r="AJ322" s="318" t="s">
        <v>88</v>
      </c>
      <c r="AK322" s="318" t="s">
        <v>165</v>
      </c>
      <c r="AL322" s="318" t="s">
        <v>116</v>
      </c>
      <c r="AM322" s="318" t="s">
        <v>217</v>
      </c>
      <c r="AN322" s="318" t="s">
        <v>217</v>
      </c>
      <c r="AO322" s="318" t="s">
        <v>217</v>
      </c>
      <c r="AP322" s="318" t="s">
        <v>217</v>
      </c>
      <c r="AQ322" s="318" t="s">
        <v>217</v>
      </c>
      <c r="AR322" s="6" t="s">
        <v>138</v>
      </c>
      <c r="AS322" s="6" t="s">
        <v>217</v>
      </c>
    </row>
    <row r="323" ht="26.25" customHeight="1">
      <c r="A323" s="318" t="s">
        <v>54</v>
      </c>
      <c r="B323" s="318" t="n">
        <v>4635810658</v>
      </c>
      <c r="C323" s="318" t="s">
        <v>785</v>
      </c>
      <c r="D323" s="318" t="s">
        <v>36</v>
      </c>
      <c r="E323" s="318" t="s">
        <v>115</v>
      </c>
      <c r="F323" s="318" t="s">
        <v>1251</v>
      </c>
      <c r="G323" s="318"/>
      <c r="H323" s="318" t="s">
        <v>165</v>
      </c>
      <c r="I323" s="318" t="s">
        <v>1190</v>
      </c>
      <c r="J323" s="318" t="n">
        <v>5230742</v>
      </c>
      <c r="K323" s="318" t="s">
        <v>125</v>
      </c>
      <c r="L323" s="318" t="n">
        <v>59</v>
      </c>
      <c r="M323" s="318" t="s">
        <v>116</v>
      </c>
      <c r="N323" s="318" t="s">
        <v>35</v>
      </c>
      <c r="O323" s="318" t="s">
        <v>986</v>
      </c>
      <c r="P323" s="318" t="s">
        <v>216</v>
      </c>
      <c r="Q323" s="318" t="s">
        <v>283</v>
      </c>
      <c r="R323" s="318" t="s">
        <v>65</v>
      </c>
      <c r="S323" s="318" t="s">
        <v>165</v>
      </c>
      <c r="T323" s="318" t="s">
        <v>217</v>
      </c>
      <c r="U323" s="318" t="n">
        <v>3132859</v>
      </c>
      <c r="V323" s="318" t="n">
        <v>25</v>
      </c>
      <c r="W323" s="318" t="s">
        <v>43</v>
      </c>
      <c r="X323" s="318" t="s">
        <v>986</v>
      </c>
      <c r="Y323" s="318" t="s">
        <v>215</v>
      </c>
      <c r="Z323" s="318" t="s">
        <v>283</v>
      </c>
      <c r="AA323" s="318" t="s">
        <v>88</v>
      </c>
      <c r="AB323" s="318" t="s">
        <v>165</v>
      </c>
      <c r="AC323" s="318" t="s">
        <v>217</v>
      </c>
      <c r="AD323" s="318" t="n">
        <v>5230727</v>
      </c>
      <c r="AE323" s="318" t="n">
        <v>33.5</v>
      </c>
      <c r="AF323" s="318" t="s">
        <v>56</v>
      </c>
      <c r="AG323" s="318" t="s">
        <v>986</v>
      </c>
      <c r="AH323" s="318" t="s">
        <v>216</v>
      </c>
      <c r="AI323" s="318" t="s">
        <v>283</v>
      </c>
      <c r="AJ323" s="318" t="s">
        <v>88</v>
      </c>
      <c r="AK323" s="318" t="s">
        <v>165</v>
      </c>
      <c r="AL323" s="318" t="s">
        <v>217</v>
      </c>
      <c r="AM323" s="318" t="s">
        <v>217</v>
      </c>
      <c r="AN323" s="318" t="s">
        <v>217</v>
      </c>
      <c r="AO323" s="318" t="s">
        <v>217</v>
      </c>
      <c r="AP323" s="318" t="s">
        <v>217</v>
      </c>
      <c r="AQ323" s="318" t="s">
        <v>217</v>
      </c>
      <c r="AR323" s="6" t="s">
        <v>139</v>
      </c>
      <c r="AS323" s="6" t="s">
        <v>217</v>
      </c>
    </row>
    <row r="324" ht="26.25" customHeight="1">
      <c r="A324" s="318" t="s">
        <v>54</v>
      </c>
      <c r="B324" s="318" t="n">
        <v>4240904687</v>
      </c>
      <c r="C324" s="318" t="s">
        <v>792</v>
      </c>
      <c r="D324" s="318" t="s">
        <v>38</v>
      </c>
      <c r="E324" s="318" t="s">
        <v>104</v>
      </c>
      <c r="F324" s="318"/>
      <c r="G324" s="318"/>
      <c r="H324" s="318" t="s">
        <v>165</v>
      </c>
      <c r="I324" s="318" t="s">
        <v>65</v>
      </c>
      <c r="J324" s="318" t="n">
        <v>5230732</v>
      </c>
      <c r="K324" s="318" t="s">
        <v>125</v>
      </c>
      <c r="L324" s="318" t="n">
        <v>80</v>
      </c>
      <c r="M324" s="318" t="s">
        <v>116</v>
      </c>
      <c r="N324" s="318" t="s">
        <v>35</v>
      </c>
      <c r="O324" s="318" t="s">
        <v>987</v>
      </c>
      <c r="P324" s="318" t="s">
        <v>245</v>
      </c>
      <c r="Q324" s="318" t="s">
        <v>234</v>
      </c>
      <c r="R324" s="318" t="s">
        <v>65</v>
      </c>
      <c r="S324" s="318" t="s">
        <v>165</v>
      </c>
      <c r="T324" s="318" t="s">
        <v>116</v>
      </c>
      <c r="U324" s="318" t="n">
        <v>5170706</v>
      </c>
      <c r="V324" s="318" t="n">
        <v>31</v>
      </c>
      <c r="W324" s="318" t="s">
        <v>47</v>
      </c>
      <c r="X324" s="318" t="s">
        <v>987</v>
      </c>
      <c r="Y324" s="318" t="s">
        <v>216</v>
      </c>
      <c r="Z324" s="318" t="s">
        <v>283</v>
      </c>
      <c r="AA324" s="318" t="s">
        <v>65</v>
      </c>
      <c r="AB324" s="318" t="s">
        <v>165</v>
      </c>
      <c r="AC324" s="318" t="s">
        <v>116</v>
      </c>
      <c r="AD324" s="318" t="n">
        <v>3132899</v>
      </c>
      <c r="AE324" s="318" t="n">
        <v>32</v>
      </c>
      <c r="AF324" s="114" t="s">
        <v>56</v>
      </c>
      <c r="AG324" s="318" t="s">
        <v>985</v>
      </c>
      <c r="AH324" s="318" t="s">
        <v>246</v>
      </c>
      <c r="AI324" s="318" t="s">
        <v>283</v>
      </c>
      <c r="AJ324" s="318" t="s">
        <v>65</v>
      </c>
      <c r="AK324" s="318" t="s">
        <v>165</v>
      </c>
      <c r="AL324" s="318" t="s">
        <v>116</v>
      </c>
      <c r="AM324" s="318"/>
      <c r="AN324" s="318"/>
      <c r="AO324" s="318"/>
      <c r="AP324" s="476"/>
      <c r="AQ324" s="476"/>
      <c r="AR324" s="6" t="s">
        <v>139</v>
      </c>
    </row>
    <row r="325" ht="26.25" customHeight="1">
      <c r="A325" s="318" t="s">
        <v>54</v>
      </c>
      <c r="B325" s="318" t="n">
        <v>4817190059</v>
      </c>
      <c r="C325" s="318" t="s">
        <v>797</v>
      </c>
      <c r="D325" s="318" t="s">
        <v>34</v>
      </c>
      <c r="E325" s="318" t="s">
        <v>104</v>
      </c>
      <c r="F325" s="318"/>
      <c r="G325" s="318"/>
      <c r="H325" s="318" t="s">
        <v>165</v>
      </c>
      <c r="I325" s="318" t="s">
        <v>101</v>
      </c>
      <c r="J325" s="318" t="n">
        <v>5111035</v>
      </c>
      <c r="K325" s="318" t="s">
        <v>125</v>
      </c>
      <c r="L325" s="318" t="n">
        <v>22</v>
      </c>
      <c r="M325" s="318" t="s">
        <v>116</v>
      </c>
      <c r="N325" s="114" t="s">
        <v>35</v>
      </c>
      <c r="O325" s="318" t="s">
        <v>986</v>
      </c>
      <c r="P325" s="318" t="s">
        <v>233</v>
      </c>
      <c r="Q325" s="318" t="s">
        <v>234</v>
      </c>
      <c r="R325" s="318" t="s">
        <v>101</v>
      </c>
      <c r="S325" s="318" t="s">
        <v>165</v>
      </c>
      <c r="T325" s="318" t="s">
        <v>116</v>
      </c>
      <c r="U325" s="318" t="n">
        <v>5230747</v>
      </c>
      <c r="V325" s="318" t="n">
        <v>25</v>
      </c>
      <c r="W325" s="318" t="s">
        <v>49</v>
      </c>
      <c r="X325" s="318" t="s">
        <v>987</v>
      </c>
      <c r="Y325" s="318" t="s">
        <v>215</v>
      </c>
      <c r="Z325" s="318" t="s">
        <v>283</v>
      </c>
      <c r="AA325" s="318" t="s">
        <v>101</v>
      </c>
      <c r="AB325" s="318" t="s">
        <v>165</v>
      </c>
      <c r="AC325" s="318" t="s">
        <v>116</v>
      </c>
      <c r="AD325" s="318" t="n">
        <v>4513388</v>
      </c>
      <c r="AE325" s="318" t="n">
        <v>61</v>
      </c>
      <c r="AF325" s="114" t="s">
        <v>56</v>
      </c>
      <c r="AG325" s="318" t="s">
        <v>985</v>
      </c>
      <c r="AH325" s="318" t="s">
        <v>216</v>
      </c>
      <c r="AI325" s="318" t="s">
        <v>283</v>
      </c>
      <c r="AJ325" s="318" t="s">
        <v>101</v>
      </c>
      <c r="AK325" s="318" t="s">
        <v>165</v>
      </c>
      <c r="AL325" s="318" t="s">
        <v>116</v>
      </c>
      <c r="AM325" s="318"/>
      <c r="AN325" s="318"/>
      <c r="AO325" s="318"/>
      <c r="AP325" s="318"/>
      <c r="AQ325" s="318"/>
      <c r="AR325" s="6" t="s">
        <v>139</v>
      </c>
    </row>
    <row r="326" ht="26.25" customHeight="1">
      <c r="A326" s="318" t="s">
        <v>85</v>
      </c>
      <c r="B326" s="318" t="n">
        <v>4063162006</v>
      </c>
      <c r="C326" s="318" t="s">
        <v>1252</v>
      </c>
      <c r="D326" s="318" t="s">
        <v>38</v>
      </c>
      <c r="E326" s="318" t="s">
        <v>104</v>
      </c>
      <c r="F326" s="318"/>
      <c r="G326" s="318"/>
      <c r="H326" s="318" t="s">
        <v>165</v>
      </c>
      <c r="I326" s="318" t="s">
        <v>101</v>
      </c>
      <c r="J326" s="318" t="n">
        <v>5230801</v>
      </c>
      <c r="K326" s="318" t="s">
        <v>125</v>
      </c>
      <c r="L326" s="318" t="n">
        <v>99</v>
      </c>
      <c r="M326" s="318" t="s">
        <v>116</v>
      </c>
      <c r="N326" s="318" t="s">
        <v>39</v>
      </c>
      <c r="O326" s="318" t="s">
        <v>991</v>
      </c>
      <c r="P326" s="318" t="s">
        <v>216</v>
      </c>
      <c r="Q326" s="318" t="s">
        <v>283</v>
      </c>
      <c r="R326" s="318" t="s">
        <v>101</v>
      </c>
      <c r="S326" s="318" t="s">
        <v>165</v>
      </c>
      <c r="T326" s="318" t="s">
        <v>116</v>
      </c>
      <c r="U326" s="318" t="n">
        <v>5230739</v>
      </c>
      <c r="V326" s="318" t="n">
        <v>33</v>
      </c>
      <c r="W326" s="318" t="s">
        <v>47</v>
      </c>
      <c r="X326" s="318" t="s">
        <v>991</v>
      </c>
      <c r="Y326" s="318" t="s">
        <v>215</v>
      </c>
      <c r="Z326" s="318" t="s">
        <v>283</v>
      </c>
      <c r="AA326" s="318" t="s">
        <v>101</v>
      </c>
      <c r="AB326" s="318" t="s">
        <v>165</v>
      </c>
      <c r="AC326" s="318" t="s">
        <v>116</v>
      </c>
      <c r="AD326" s="318" t="n">
        <v>5230788</v>
      </c>
      <c r="AE326" s="318" t="n">
        <v>48</v>
      </c>
      <c r="AF326" s="318" t="s">
        <v>52</v>
      </c>
      <c r="AG326" s="318" t="s">
        <v>991</v>
      </c>
      <c r="AH326" s="318" t="s">
        <v>233</v>
      </c>
      <c r="AI326" s="318" t="s">
        <v>283</v>
      </c>
      <c r="AJ326" s="318" t="s">
        <v>101</v>
      </c>
      <c r="AK326" s="318" t="s">
        <v>165</v>
      </c>
      <c r="AL326" s="318" t="s">
        <v>116</v>
      </c>
      <c r="AM326" s="318"/>
      <c r="AN326" s="318"/>
      <c r="AO326" s="318"/>
      <c r="AP326" s="318"/>
      <c r="AQ326" s="318"/>
      <c r="AR326" s="6" t="s">
        <v>139</v>
      </c>
    </row>
    <row r="327" ht="26.25" customHeight="1">
      <c r="A327" s="318" t="s">
        <v>45</v>
      </c>
      <c r="B327" s="318" t="n">
        <v>4149980338</v>
      </c>
      <c r="C327" s="318" t="s">
        <v>1253</v>
      </c>
      <c r="D327" s="318" t="s">
        <v>48</v>
      </c>
      <c r="E327" s="318" t="s">
        <v>106</v>
      </c>
      <c r="F327" s="318"/>
      <c r="G327" s="318"/>
      <c r="H327" s="318" t="s">
        <v>165</v>
      </c>
      <c r="I327" s="318" t="s">
        <v>88</v>
      </c>
      <c r="J327" s="318" t="n">
        <v>5230814</v>
      </c>
      <c r="K327" s="318" t="s">
        <v>125</v>
      </c>
      <c r="L327" s="318" t="n">
        <v>90</v>
      </c>
      <c r="M327" s="318" t="s">
        <v>116</v>
      </c>
      <c r="N327" s="318" t="s">
        <v>31</v>
      </c>
      <c r="O327" s="318" t="s">
        <v>997</v>
      </c>
      <c r="P327" s="318" t="s">
        <v>246</v>
      </c>
      <c r="Q327" s="318" t="s">
        <v>234</v>
      </c>
      <c r="R327" s="318" t="s">
        <v>88</v>
      </c>
      <c r="S327" s="318" t="s">
        <v>165</v>
      </c>
      <c r="T327" s="318" t="s">
        <v>217</v>
      </c>
      <c r="U327" s="318" t="n">
        <v>3132905</v>
      </c>
      <c r="V327" s="318" t="n">
        <v>30</v>
      </c>
      <c r="W327" s="318" t="s">
        <v>43</v>
      </c>
      <c r="X327" s="318" t="s">
        <v>997</v>
      </c>
      <c r="Y327" s="318" t="s">
        <v>216</v>
      </c>
      <c r="Z327" s="318" t="s">
        <v>283</v>
      </c>
      <c r="AA327" s="318" t="s">
        <v>88</v>
      </c>
      <c r="AB327" s="318" t="s">
        <v>165</v>
      </c>
      <c r="AC327" s="318" t="s">
        <v>217</v>
      </c>
      <c r="AD327" s="318" t="s">
        <v>116</v>
      </c>
      <c r="AE327" s="318"/>
      <c r="AF327" s="114" t="s">
        <v>116</v>
      </c>
      <c r="AG327" s="318" t="s">
        <v>116</v>
      </c>
      <c r="AH327" s="318" t="s">
        <v>116</v>
      </c>
      <c r="AI327" s="318" t="s">
        <v>116</v>
      </c>
      <c r="AJ327" s="318" t="s">
        <v>116</v>
      </c>
      <c r="AK327" s="318" t="s">
        <v>116</v>
      </c>
      <c r="AL327" s="318" t="s">
        <v>116</v>
      </c>
      <c r="AM327" s="318" t="s">
        <v>217</v>
      </c>
      <c r="AN327" s="318" t="s">
        <v>217</v>
      </c>
      <c r="AO327" s="318" t="s">
        <v>217</v>
      </c>
      <c r="AP327" s="476" t="s">
        <v>217</v>
      </c>
      <c r="AQ327" s="476" t="s">
        <v>217</v>
      </c>
      <c r="AR327" s="6" t="s">
        <v>138</v>
      </c>
      <c r="AS327" s="6" t="s">
        <v>217</v>
      </c>
    </row>
    <row r="328" ht="26.25" customHeight="1">
      <c r="A328" s="318" t="s">
        <v>54</v>
      </c>
      <c r="B328" s="318" t="n">
        <v>2529696621</v>
      </c>
      <c r="C328" s="318" t="s">
        <v>803</v>
      </c>
      <c r="D328" s="318" t="s">
        <v>36</v>
      </c>
      <c r="E328" s="318" t="s">
        <v>104</v>
      </c>
      <c r="F328" s="318"/>
      <c r="G328" s="318"/>
      <c r="H328" s="318" t="s">
        <v>165</v>
      </c>
      <c r="I328" s="318" t="s">
        <v>101</v>
      </c>
      <c r="J328" s="318" t="s">
        <v>116</v>
      </c>
      <c r="K328" s="318"/>
      <c r="L328" s="318"/>
      <c r="M328" s="318"/>
      <c r="N328" s="318" t="s">
        <v>116</v>
      </c>
      <c r="O328" s="318" t="s">
        <v>116</v>
      </c>
      <c r="P328" s="318" t="s">
        <v>116</v>
      </c>
      <c r="Q328" s="318" t="s">
        <v>116</v>
      </c>
      <c r="R328" s="318" t="s">
        <v>116</v>
      </c>
      <c r="S328" s="318" t="s">
        <v>116</v>
      </c>
      <c r="T328" s="318" t="s">
        <v>116</v>
      </c>
      <c r="U328" s="318" t="n">
        <v>5170873</v>
      </c>
      <c r="V328" s="318" t="n">
        <v>28</v>
      </c>
      <c r="W328" s="318" t="s">
        <v>47</v>
      </c>
      <c r="X328" s="318" t="s">
        <v>986</v>
      </c>
      <c r="Y328" s="318" t="s">
        <v>216</v>
      </c>
      <c r="Z328" s="318" t="s">
        <v>283</v>
      </c>
      <c r="AA328" s="318" t="s">
        <v>101</v>
      </c>
      <c r="AB328" s="318" t="s">
        <v>165</v>
      </c>
      <c r="AC328" s="318" t="s">
        <v>116</v>
      </c>
      <c r="AD328" s="318" t="n">
        <v>5230821</v>
      </c>
      <c r="AE328" s="318" t="n">
        <v>29</v>
      </c>
      <c r="AF328" s="318" t="s">
        <v>56</v>
      </c>
      <c r="AG328" s="318" t="s">
        <v>987</v>
      </c>
      <c r="AH328" s="318" t="s">
        <v>233</v>
      </c>
      <c r="AI328" s="318" t="s">
        <v>283</v>
      </c>
      <c r="AJ328" s="318" t="s">
        <v>101</v>
      </c>
      <c r="AK328" s="318" t="s">
        <v>165</v>
      </c>
      <c r="AL328" s="318" t="s">
        <v>116</v>
      </c>
      <c r="AM328" s="318"/>
      <c r="AN328" s="318"/>
      <c r="AO328" s="318"/>
      <c r="AP328" s="318"/>
      <c r="AQ328" s="318"/>
      <c r="AR328" s="6" t="s">
        <v>139</v>
      </c>
    </row>
    <row r="329" ht="26.25" customHeight="1">
      <c r="A329" s="318" t="s">
        <v>54</v>
      </c>
      <c r="B329" s="318" t="n">
        <v>4822277261</v>
      </c>
      <c r="C329" s="318" t="s">
        <v>1254</v>
      </c>
      <c r="D329" s="318" t="s">
        <v>59</v>
      </c>
      <c r="E329" s="318" t="s">
        <v>104</v>
      </c>
      <c r="F329" s="318"/>
      <c r="G329" s="318"/>
      <c r="H329" s="318" t="s">
        <v>165</v>
      </c>
      <c r="I329" s="318" t="s">
        <v>100</v>
      </c>
      <c r="J329" s="318" t="n">
        <v>4513341</v>
      </c>
      <c r="K329" s="318" t="s">
        <v>125</v>
      </c>
      <c r="L329" s="318" t="n">
        <v>86</v>
      </c>
      <c r="M329" s="318" t="s">
        <v>116</v>
      </c>
      <c r="N329" s="318" t="s">
        <v>31</v>
      </c>
      <c r="O329" s="318" t="s">
        <v>987</v>
      </c>
      <c r="P329" s="318" t="s">
        <v>233</v>
      </c>
      <c r="Q329" s="318" t="s">
        <v>234</v>
      </c>
      <c r="R329" s="318" t="s">
        <v>100</v>
      </c>
      <c r="S329" s="318" t="s">
        <v>165</v>
      </c>
      <c r="T329" s="318" t="s">
        <v>116</v>
      </c>
      <c r="U329" s="318" t="n">
        <v>3132846</v>
      </c>
      <c r="V329" s="318" t="n">
        <v>30</v>
      </c>
      <c r="W329" s="318" t="s">
        <v>43</v>
      </c>
      <c r="X329" s="318" t="s">
        <v>987</v>
      </c>
      <c r="Y329" s="318" t="s">
        <v>216</v>
      </c>
      <c r="Z329" s="318" t="s">
        <v>283</v>
      </c>
      <c r="AA329" s="318" t="s">
        <v>100</v>
      </c>
      <c r="AB329" s="318" t="s">
        <v>165</v>
      </c>
      <c r="AC329" s="318" t="s">
        <v>116</v>
      </c>
      <c r="AD329" s="318" t="n">
        <v>5230738</v>
      </c>
      <c r="AE329" s="318" t="n">
        <v>33</v>
      </c>
      <c r="AF329" s="114" t="s">
        <v>58</v>
      </c>
      <c r="AG329" s="318" t="s">
        <v>987</v>
      </c>
      <c r="AH329" s="318" t="s">
        <v>215</v>
      </c>
      <c r="AI329" s="318" t="s">
        <v>283</v>
      </c>
      <c r="AJ329" s="318" t="s">
        <v>100</v>
      </c>
      <c r="AK329" s="318" t="s">
        <v>165</v>
      </c>
      <c r="AL329" s="318" t="s">
        <v>116</v>
      </c>
      <c r="AM329" s="318"/>
      <c r="AN329" s="318"/>
      <c r="AO329" s="318"/>
      <c r="AP329" s="318"/>
      <c r="AQ329" s="318"/>
      <c r="AR329" s="6" t="s">
        <v>139</v>
      </c>
    </row>
    <row r="330" ht="26.25" customHeight="1">
      <c r="A330" s="318" t="s">
        <v>45</v>
      </c>
      <c r="B330" s="318" t="n">
        <v>2163375170</v>
      </c>
      <c r="C330" s="318" t="s">
        <v>810</v>
      </c>
      <c r="D330" s="318" t="s">
        <v>48</v>
      </c>
      <c r="E330" s="318" t="s">
        <v>106</v>
      </c>
      <c r="F330" s="318"/>
      <c r="G330" s="318"/>
      <c r="H330" s="318" t="s">
        <v>165</v>
      </c>
      <c r="I330" s="318" t="s">
        <v>1190</v>
      </c>
      <c r="J330" s="318" t="n">
        <v>5230806</v>
      </c>
      <c r="K330" s="318" t="s">
        <v>124</v>
      </c>
      <c r="L330" s="318" t="n">
        <v>50</v>
      </c>
      <c r="M330" s="318" t="s">
        <v>116</v>
      </c>
      <c r="N330" s="318" t="s">
        <v>37</v>
      </c>
      <c r="O330" s="318" t="s">
        <v>1034</v>
      </c>
      <c r="P330" s="318" t="s">
        <v>215</v>
      </c>
      <c r="Q330" s="318" t="s">
        <v>283</v>
      </c>
      <c r="R330" s="318" t="s">
        <v>88</v>
      </c>
      <c r="S330" s="318" t="s">
        <v>165</v>
      </c>
      <c r="T330" s="318" t="s">
        <v>217</v>
      </c>
      <c r="U330" s="318" t="n">
        <v>3132905</v>
      </c>
      <c r="V330" s="318" t="n">
        <v>0</v>
      </c>
      <c r="W330" s="318" t="s">
        <v>43</v>
      </c>
      <c r="X330" s="318" t="s">
        <v>997</v>
      </c>
      <c r="Y330" s="318" t="s">
        <v>216</v>
      </c>
      <c r="Z330" s="318" t="s">
        <v>283</v>
      </c>
      <c r="AA330" s="318" t="s">
        <v>88</v>
      </c>
      <c r="AB330" s="318" t="s">
        <v>165</v>
      </c>
      <c r="AC330" s="318" t="s">
        <v>217</v>
      </c>
      <c r="AD330" s="318" t="n">
        <v>3132869</v>
      </c>
      <c r="AE330" s="318" t="n">
        <v>0</v>
      </c>
      <c r="AF330" s="114" t="s">
        <v>58</v>
      </c>
      <c r="AG330" s="318" t="s">
        <v>989</v>
      </c>
      <c r="AH330" s="318" t="s">
        <v>233</v>
      </c>
      <c r="AI330" s="318" t="s">
        <v>283</v>
      </c>
      <c r="AJ330" s="318" t="s">
        <v>65</v>
      </c>
      <c r="AK330" s="318" t="s">
        <v>165</v>
      </c>
      <c r="AL330" s="318" t="s">
        <v>116</v>
      </c>
      <c r="AM330" s="318" t="s">
        <v>217</v>
      </c>
      <c r="AN330" s="318" t="s">
        <v>217</v>
      </c>
      <c r="AO330" s="318" t="s">
        <v>217</v>
      </c>
      <c r="AP330" s="318" t="s">
        <v>217</v>
      </c>
      <c r="AQ330" s="318" t="s">
        <v>217</v>
      </c>
      <c r="AR330" s="6" t="s">
        <v>138</v>
      </c>
      <c r="AS330" s="6" t="s">
        <v>217</v>
      </c>
    </row>
    <row r="331" ht="26.25" customHeight="1">
      <c r="A331" s="318" t="s">
        <v>54</v>
      </c>
      <c r="B331" s="318" t="n">
        <v>4819427662</v>
      </c>
      <c r="C331" s="318" t="s">
        <v>1255</v>
      </c>
      <c r="D331" s="318" t="s">
        <v>38</v>
      </c>
      <c r="E331" s="318" t="s">
        <v>104</v>
      </c>
      <c r="F331" s="318"/>
      <c r="G331" s="318"/>
      <c r="H331" s="318" t="s">
        <v>165</v>
      </c>
      <c r="I331" s="318" t="s">
        <v>100</v>
      </c>
      <c r="J331" s="318" t="n">
        <v>4513341</v>
      </c>
      <c r="K331" s="318" t="s">
        <v>125</v>
      </c>
      <c r="L331" s="318" t="n">
        <v>85</v>
      </c>
      <c r="M331" s="318" t="s">
        <v>116</v>
      </c>
      <c r="N331" s="318" t="s">
        <v>31</v>
      </c>
      <c r="O331" s="318" t="s">
        <v>987</v>
      </c>
      <c r="P331" s="318" t="s">
        <v>233</v>
      </c>
      <c r="Q331" s="318" t="s">
        <v>234</v>
      </c>
      <c r="R331" s="318" t="s">
        <v>100</v>
      </c>
      <c r="S331" s="318" t="s">
        <v>165</v>
      </c>
      <c r="T331" s="318" t="s">
        <v>116</v>
      </c>
      <c r="U331" s="318" t="n">
        <v>3132846</v>
      </c>
      <c r="V331" s="318" t="n">
        <v>30</v>
      </c>
      <c r="W331" s="318" t="s">
        <v>43</v>
      </c>
      <c r="X331" s="318" t="s">
        <v>987</v>
      </c>
      <c r="Y331" s="318" t="s">
        <v>216</v>
      </c>
      <c r="Z331" s="318" t="s">
        <v>283</v>
      </c>
      <c r="AA331" s="318" t="s">
        <v>100</v>
      </c>
      <c r="AB331" s="318" t="s">
        <v>165</v>
      </c>
      <c r="AC331" s="318" t="s">
        <v>116</v>
      </c>
      <c r="AD331" s="318" t="n">
        <v>5230738</v>
      </c>
      <c r="AE331" s="318" t="n">
        <v>26.5</v>
      </c>
      <c r="AF331" s="114" t="s">
        <v>58</v>
      </c>
      <c r="AG331" s="318" t="s">
        <v>987</v>
      </c>
      <c r="AH331" s="318" t="s">
        <v>215</v>
      </c>
      <c r="AI331" s="318" t="s">
        <v>283</v>
      </c>
      <c r="AJ331" s="318" t="s">
        <v>100</v>
      </c>
      <c r="AK331" s="318" t="s">
        <v>165</v>
      </c>
      <c r="AL331" s="318" t="s">
        <v>116</v>
      </c>
      <c r="AM331" s="318"/>
      <c r="AN331" s="318"/>
      <c r="AO331" s="318"/>
      <c r="AP331" s="318"/>
      <c r="AQ331" s="318"/>
      <c r="AR331" s="6" t="s">
        <v>139</v>
      </c>
    </row>
    <row r="332" ht="26.25" customHeight="1">
      <c r="A332" s="318" t="s">
        <v>54</v>
      </c>
      <c r="B332" s="318" t="n">
        <v>4020960616</v>
      </c>
      <c r="C332" s="318" t="s">
        <v>1256</v>
      </c>
      <c r="D332" s="318" t="s">
        <v>55</v>
      </c>
      <c r="E332" s="318" t="s">
        <v>114</v>
      </c>
      <c r="F332" s="318" t="s">
        <v>1257</v>
      </c>
      <c r="G332" s="318"/>
      <c r="H332" s="318" t="s">
        <v>165</v>
      </c>
      <c r="I332" s="318" t="s">
        <v>101</v>
      </c>
      <c r="J332" s="318" t="n">
        <v>3132902</v>
      </c>
      <c r="K332" s="318" t="s">
        <v>125</v>
      </c>
      <c r="L332" s="318" t="n">
        <v>40</v>
      </c>
      <c r="M332" s="318" t="s">
        <v>116</v>
      </c>
      <c r="N332" s="114" t="s">
        <v>31</v>
      </c>
      <c r="O332" s="318" t="s">
        <v>987</v>
      </c>
      <c r="P332" s="318" t="s">
        <v>216</v>
      </c>
      <c r="Q332" s="318" t="s">
        <v>283</v>
      </c>
      <c r="R332" s="318" t="s">
        <v>101</v>
      </c>
      <c r="S332" s="318" t="s">
        <v>165</v>
      </c>
      <c r="T332" s="318" t="s">
        <v>116</v>
      </c>
      <c r="U332" s="318" t="n">
        <v>5230747</v>
      </c>
      <c r="V332" s="318" t="n">
        <v>0</v>
      </c>
      <c r="W332" s="318" t="s">
        <v>49</v>
      </c>
      <c r="X332" s="318" t="s">
        <v>987</v>
      </c>
      <c r="Y332" s="318" t="s">
        <v>215</v>
      </c>
      <c r="Z332" s="318" t="s">
        <v>283</v>
      </c>
      <c r="AA332" s="318" t="s">
        <v>101</v>
      </c>
      <c r="AB332" s="318" t="s">
        <v>165</v>
      </c>
      <c r="AC332" s="318" t="s">
        <v>116</v>
      </c>
      <c r="AD332" s="318" t="n">
        <v>5230821</v>
      </c>
      <c r="AE332" s="318" t="n">
        <v>0</v>
      </c>
      <c r="AF332" s="114" t="s">
        <v>56</v>
      </c>
      <c r="AG332" s="318" t="s">
        <v>987</v>
      </c>
      <c r="AH332" s="318" t="s">
        <v>233</v>
      </c>
      <c r="AI332" s="318" t="s">
        <v>283</v>
      </c>
      <c r="AJ332" s="318" t="s">
        <v>101</v>
      </c>
      <c r="AK332" s="318" t="s">
        <v>165</v>
      </c>
      <c r="AL332" s="318" t="s">
        <v>116</v>
      </c>
      <c r="AM332" s="318"/>
      <c r="AN332" s="318"/>
      <c r="AO332" s="318"/>
      <c r="AP332" s="318"/>
      <c r="AQ332" s="318"/>
      <c r="AR332" s="6" t="s">
        <v>139</v>
      </c>
    </row>
    <row r="333" ht="26.25" customHeight="1">
      <c r="A333" s="318" t="s">
        <v>85</v>
      </c>
      <c r="B333" s="318" t="n">
        <v>2226829869</v>
      </c>
      <c r="C333" s="318" t="s">
        <v>814</v>
      </c>
      <c r="D333" s="318" t="s">
        <v>40</v>
      </c>
      <c r="E333" s="318" t="s">
        <v>106</v>
      </c>
      <c r="F333" s="318"/>
      <c r="G333" s="318"/>
      <c r="H333" s="318" t="s">
        <v>165</v>
      </c>
      <c r="I333" s="318" t="s">
        <v>65</v>
      </c>
      <c r="J333" s="318" t="n">
        <v>5230775</v>
      </c>
      <c r="K333" s="318" t="s">
        <v>124</v>
      </c>
      <c r="L333" s="318" t="n">
        <v>60</v>
      </c>
      <c r="M333" s="318" t="s">
        <v>116</v>
      </c>
      <c r="N333" s="318" t="s">
        <v>31</v>
      </c>
      <c r="O333" s="318" t="s">
        <v>991</v>
      </c>
      <c r="P333" s="318" t="s">
        <v>215</v>
      </c>
      <c r="Q333" s="318" t="s">
        <v>283</v>
      </c>
      <c r="R333" s="318" t="s">
        <v>65</v>
      </c>
      <c r="S333" s="318" t="s">
        <v>165</v>
      </c>
      <c r="T333" s="318" t="s">
        <v>217</v>
      </c>
      <c r="U333" s="318" t="s">
        <v>116</v>
      </c>
      <c r="V333" s="318"/>
      <c r="W333" s="318" t="s">
        <v>116</v>
      </c>
      <c r="X333" s="318" t="s">
        <v>116</v>
      </c>
      <c r="Y333" s="318" t="s">
        <v>116</v>
      </c>
      <c r="Z333" s="318" t="s">
        <v>116</v>
      </c>
      <c r="AA333" s="318" t="s">
        <v>116</v>
      </c>
      <c r="AB333" s="318" t="s">
        <v>116</v>
      </c>
      <c r="AC333" s="318" t="s">
        <v>116</v>
      </c>
      <c r="AD333" s="318" t="n">
        <v>5230783</v>
      </c>
      <c r="AE333" s="318" t="n">
        <v>0</v>
      </c>
      <c r="AF333" s="114" t="s">
        <v>52</v>
      </c>
      <c r="AG333" s="318" t="s">
        <v>991</v>
      </c>
      <c r="AH333" s="318" t="s">
        <v>216</v>
      </c>
      <c r="AI333" s="318" t="s">
        <v>283</v>
      </c>
      <c r="AJ333" s="318" t="s">
        <v>65</v>
      </c>
      <c r="AK333" s="318" t="s">
        <v>165</v>
      </c>
      <c r="AL333" s="318" t="s">
        <v>217</v>
      </c>
      <c r="AM333" s="318"/>
      <c r="AN333" s="318"/>
      <c r="AO333" s="318"/>
      <c r="AP333" s="318"/>
      <c r="AQ333" s="318"/>
      <c r="AR333" s="6" t="s">
        <v>138</v>
      </c>
      <c r="AS333" s="6" t="s">
        <v>217</v>
      </c>
    </row>
    <row r="334" ht="26.25" customHeight="1">
      <c r="A334" s="318" t="s">
        <v>54</v>
      </c>
      <c r="B334" s="318" t="n">
        <v>4565666670</v>
      </c>
      <c r="C334" s="318" t="s">
        <v>1258</v>
      </c>
      <c r="D334" s="318" t="s">
        <v>57</v>
      </c>
      <c r="E334" s="318" t="s">
        <v>109</v>
      </c>
      <c r="F334" s="318"/>
      <c r="G334" s="318" t="s">
        <v>1088</v>
      </c>
      <c r="H334" s="318" t="s">
        <v>165</v>
      </c>
      <c r="I334" s="318" t="s">
        <v>100</v>
      </c>
      <c r="J334" s="318" t="n">
        <v>4513341</v>
      </c>
      <c r="K334" s="318" t="s">
        <v>125</v>
      </c>
      <c r="L334" s="318" t="n">
        <v>86</v>
      </c>
      <c r="M334" s="318" t="s">
        <v>116</v>
      </c>
      <c r="N334" s="318" t="s">
        <v>31</v>
      </c>
      <c r="O334" s="318" t="s">
        <v>987</v>
      </c>
      <c r="P334" s="318" t="s">
        <v>233</v>
      </c>
      <c r="Q334" s="318" t="s">
        <v>234</v>
      </c>
      <c r="R334" s="318" t="s">
        <v>100</v>
      </c>
      <c r="S334" s="318" t="s">
        <v>165</v>
      </c>
      <c r="T334" s="318" t="s">
        <v>116</v>
      </c>
      <c r="U334" s="318" t="n">
        <v>3132846</v>
      </c>
      <c r="V334" s="318" t="n">
        <v>40</v>
      </c>
      <c r="W334" s="318" t="s">
        <v>43</v>
      </c>
      <c r="X334" s="318" t="s">
        <v>987</v>
      </c>
      <c r="Y334" s="318" t="s">
        <v>216</v>
      </c>
      <c r="Z334" s="318" t="s">
        <v>283</v>
      </c>
      <c r="AA334" s="318" t="s">
        <v>100</v>
      </c>
      <c r="AB334" s="318" t="s">
        <v>165</v>
      </c>
      <c r="AC334" s="318" t="s">
        <v>116</v>
      </c>
      <c r="AD334" s="318" t="n">
        <v>5230738</v>
      </c>
      <c r="AE334" s="318" t="n">
        <v>33.5</v>
      </c>
      <c r="AF334" s="114" t="s">
        <v>58</v>
      </c>
      <c r="AG334" s="318" t="s">
        <v>987</v>
      </c>
      <c r="AH334" s="318" t="s">
        <v>215</v>
      </c>
      <c r="AI334" s="318" t="s">
        <v>283</v>
      </c>
      <c r="AJ334" s="318" t="s">
        <v>100</v>
      </c>
      <c r="AK334" s="318" t="s">
        <v>165</v>
      </c>
      <c r="AL334" s="318" t="s">
        <v>116</v>
      </c>
      <c r="AM334" s="318"/>
      <c r="AN334" s="318"/>
      <c r="AO334" s="318"/>
      <c r="AP334" s="476"/>
      <c r="AQ334" s="476"/>
      <c r="AR334" s="6" t="s">
        <v>139</v>
      </c>
    </row>
    <row r="335" ht="26.25" customHeight="1">
      <c r="A335" s="318" t="s">
        <v>54</v>
      </c>
      <c r="B335" s="318" t="n">
        <v>2464539305</v>
      </c>
      <c r="C335" s="318" t="s">
        <v>1259</v>
      </c>
      <c r="D335" s="318"/>
      <c r="E335" s="318" t="s">
        <v>106</v>
      </c>
      <c r="F335" s="318"/>
      <c r="G335" s="318"/>
      <c r="H335" s="318" t="s">
        <v>165</v>
      </c>
      <c r="I335" s="318" t="s">
        <v>100</v>
      </c>
      <c r="J335" s="318" t="s">
        <v>116</v>
      </c>
      <c r="K335" s="318"/>
      <c r="L335" s="318"/>
      <c r="M335" s="318"/>
      <c r="N335" s="318" t="s">
        <v>116</v>
      </c>
      <c r="O335" s="318" t="s">
        <v>116</v>
      </c>
      <c r="P335" s="318" t="s">
        <v>116</v>
      </c>
      <c r="Q335" s="318" t="s">
        <v>116</v>
      </c>
      <c r="R335" s="318" t="s">
        <v>116</v>
      </c>
      <c r="S335" s="318" t="s">
        <v>116</v>
      </c>
      <c r="T335" s="318" t="s">
        <v>116</v>
      </c>
      <c r="U335" s="318" t="n">
        <v>4513342</v>
      </c>
      <c r="V335" s="318"/>
      <c r="W335" s="318" t="s">
        <v>43</v>
      </c>
      <c r="X335" s="318" t="s">
        <v>1030</v>
      </c>
      <c r="Y335" s="318" t="s">
        <v>215</v>
      </c>
      <c r="Z335" s="318" t="s">
        <v>283</v>
      </c>
      <c r="AA335" s="318" t="s">
        <v>100</v>
      </c>
      <c r="AB335" s="318" t="s">
        <v>165</v>
      </c>
      <c r="AC335" s="318" t="s">
        <v>217</v>
      </c>
      <c r="AD335" s="318" t="s">
        <v>116</v>
      </c>
      <c r="AE335" s="318"/>
      <c r="AF335" s="114" t="s">
        <v>116</v>
      </c>
      <c r="AG335" s="318" t="s">
        <v>116</v>
      </c>
      <c r="AH335" s="318" t="s">
        <v>116</v>
      </c>
      <c r="AI335" s="318" t="s">
        <v>116</v>
      </c>
      <c r="AJ335" s="318" t="s">
        <v>116</v>
      </c>
      <c r="AK335" s="318" t="s">
        <v>116</v>
      </c>
      <c r="AL335" s="318" t="s">
        <v>116</v>
      </c>
      <c r="AM335" s="318"/>
      <c r="AN335" s="318"/>
      <c r="AO335" s="318"/>
      <c r="AP335" s="318"/>
      <c r="AQ335" s="318"/>
      <c r="AR335" s="6" t="s">
        <v>138</v>
      </c>
      <c r="AS335" s="6" t="s">
        <v>217</v>
      </c>
    </row>
    <row r="336" ht="26.25" customHeight="1">
      <c r="A336" s="318" t="s">
        <v>85</v>
      </c>
      <c r="B336" s="318" t="n">
        <v>4050255637</v>
      </c>
      <c r="C336" s="318" t="s">
        <v>820</v>
      </c>
      <c r="D336" s="318"/>
      <c r="E336" s="318" t="s">
        <v>106</v>
      </c>
      <c r="F336" s="318"/>
      <c r="G336" s="318"/>
      <c r="H336" s="318" t="s">
        <v>165</v>
      </c>
      <c r="I336" s="318" t="s">
        <v>65</v>
      </c>
      <c r="J336" s="318" t="n">
        <v>5230775</v>
      </c>
      <c r="K336" s="318" t="s">
        <v>124</v>
      </c>
      <c r="L336" s="318" t="n">
        <v>65</v>
      </c>
      <c r="M336" s="318" t="s">
        <v>116</v>
      </c>
      <c r="N336" s="318" t="s">
        <v>31</v>
      </c>
      <c r="O336" s="318" t="s">
        <v>991</v>
      </c>
      <c r="P336" s="318" t="s">
        <v>215</v>
      </c>
      <c r="Q336" s="318" t="s">
        <v>283</v>
      </c>
      <c r="R336" s="318" t="s">
        <v>65</v>
      </c>
      <c r="S336" s="318" t="s">
        <v>165</v>
      </c>
      <c r="T336" s="318" t="s">
        <v>217</v>
      </c>
      <c r="U336" s="318" t="s">
        <v>116</v>
      </c>
      <c r="V336" s="318"/>
      <c r="W336" s="318" t="s">
        <v>116</v>
      </c>
      <c r="X336" s="318" t="s">
        <v>116</v>
      </c>
      <c r="Y336" s="318" t="s">
        <v>116</v>
      </c>
      <c r="Z336" s="318" t="s">
        <v>116</v>
      </c>
      <c r="AA336" s="318" t="s">
        <v>116</v>
      </c>
      <c r="AB336" s="318" t="s">
        <v>116</v>
      </c>
      <c r="AC336" s="318" t="s">
        <v>116</v>
      </c>
      <c r="AD336" s="318" t="s">
        <v>116</v>
      </c>
      <c r="AE336" s="318"/>
      <c r="AF336" s="114" t="s">
        <v>116</v>
      </c>
      <c r="AG336" s="318" t="s">
        <v>116</v>
      </c>
      <c r="AH336" s="318" t="s">
        <v>116</v>
      </c>
      <c r="AI336" s="318" t="s">
        <v>116</v>
      </c>
      <c r="AJ336" s="318" t="s">
        <v>116</v>
      </c>
      <c r="AK336" s="318" t="s">
        <v>116</v>
      </c>
      <c r="AL336" s="318" t="s">
        <v>116</v>
      </c>
      <c r="AM336" s="318"/>
      <c r="AN336" s="318"/>
      <c r="AO336" s="318"/>
      <c r="AP336" s="318"/>
      <c r="AQ336" s="318"/>
      <c r="AR336" s="6" t="s">
        <v>138</v>
      </c>
      <c r="AS336" s="6" t="s">
        <v>217</v>
      </c>
    </row>
    <row r="337" ht="26.25" customHeight="1">
      <c r="A337" s="318" t="s">
        <v>45</v>
      </c>
      <c r="B337" s="318" t="n">
        <v>2488140963</v>
      </c>
      <c r="C337" s="318" t="s">
        <v>1260</v>
      </c>
      <c r="D337" s="318" t="s">
        <v>46</v>
      </c>
      <c r="E337" s="318" t="s">
        <v>106</v>
      </c>
      <c r="F337" s="318"/>
      <c r="G337" s="318"/>
      <c r="H337" s="318" t="s">
        <v>165</v>
      </c>
      <c r="I337" s="318" t="s">
        <v>88</v>
      </c>
      <c r="J337" s="318" t="n">
        <v>5230814</v>
      </c>
      <c r="K337" s="318" t="s">
        <v>124</v>
      </c>
      <c r="L337" s="318" t="n">
        <v>90</v>
      </c>
      <c r="M337" s="318" t="s">
        <v>116</v>
      </c>
      <c r="N337" s="114" t="s">
        <v>31</v>
      </c>
      <c r="O337" s="318" t="s">
        <v>997</v>
      </c>
      <c r="P337" s="318" t="s">
        <v>246</v>
      </c>
      <c r="Q337" s="318" t="s">
        <v>234</v>
      </c>
      <c r="R337" s="318" t="s">
        <v>88</v>
      </c>
      <c r="S337" s="318" t="s">
        <v>165</v>
      </c>
      <c r="T337" s="318" t="s">
        <v>217</v>
      </c>
      <c r="U337" s="318" t="n">
        <v>3132905</v>
      </c>
      <c r="V337" s="318"/>
      <c r="W337" s="318" t="s">
        <v>43</v>
      </c>
      <c r="X337" s="318" t="s">
        <v>997</v>
      </c>
      <c r="Y337" s="318" t="s">
        <v>216</v>
      </c>
      <c r="Z337" s="318" t="s">
        <v>283</v>
      </c>
      <c r="AA337" s="318" t="s">
        <v>88</v>
      </c>
      <c r="AB337" s="318" t="s">
        <v>165</v>
      </c>
      <c r="AC337" s="318" t="s">
        <v>217</v>
      </c>
      <c r="AD337" s="318" t="n">
        <v>5230765</v>
      </c>
      <c r="AE337" s="318"/>
      <c r="AF337" s="114" t="s">
        <v>52</v>
      </c>
      <c r="AG337" s="318" t="s">
        <v>997</v>
      </c>
      <c r="AH337" s="318" t="s">
        <v>215</v>
      </c>
      <c r="AI337" s="318" t="s">
        <v>283</v>
      </c>
      <c r="AJ337" s="318" t="s">
        <v>88</v>
      </c>
      <c r="AK337" s="318" t="s">
        <v>165</v>
      </c>
      <c r="AL337" s="318" t="s">
        <v>217</v>
      </c>
      <c r="AM337" s="318" t="s">
        <v>217</v>
      </c>
      <c r="AN337" s="318" t="s">
        <v>217</v>
      </c>
      <c r="AO337" s="318" t="s">
        <v>217</v>
      </c>
      <c r="AP337" s="318" t="s">
        <v>217</v>
      </c>
      <c r="AQ337" s="318" t="s">
        <v>217</v>
      </c>
      <c r="AR337" s="6" t="s">
        <v>138</v>
      </c>
      <c r="AS337" s="6" t="s">
        <v>217</v>
      </c>
    </row>
    <row r="338" ht="26.25" customHeight="1">
      <c r="A338" s="318" t="s">
        <v>54</v>
      </c>
      <c r="B338" s="318" t="n">
        <v>4310026061</v>
      </c>
      <c r="C338" s="318" t="s">
        <v>821</v>
      </c>
      <c r="D338" s="318" t="s">
        <v>50</v>
      </c>
      <c r="E338" s="318" t="s">
        <v>104</v>
      </c>
      <c r="F338" s="318"/>
      <c r="G338" s="318"/>
      <c r="H338" s="318" t="s">
        <v>165</v>
      </c>
      <c r="I338" s="318" t="s">
        <v>101</v>
      </c>
      <c r="J338" s="318" t="n">
        <v>3132902</v>
      </c>
      <c r="K338" s="318" t="s">
        <v>125</v>
      </c>
      <c r="L338" s="318" t="n">
        <v>94</v>
      </c>
      <c r="M338" s="318" t="s">
        <v>116</v>
      </c>
      <c r="N338" s="318" t="s">
        <v>31</v>
      </c>
      <c r="O338" s="318" t="s">
        <v>987</v>
      </c>
      <c r="P338" s="318" t="s">
        <v>216</v>
      </c>
      <c r="Q338" s="318" t="s">
        <v>283</v>
      </c>
      <c r="R338" s="318" t="s">
        <v>101</v>
      </c>
      <c r="S338" s="318" t="s">
        <v>165</v>
      </c>
      <c r="T338" s="318" t="s">
        <v>116</v>
      </c>
      <c r="U338" s="318" t="n">
        <v>5230747</v>
      </c>
      <c r="V338" s="318" t="n">
        <v>42</v>
      </c>
      <c r="W338" s="318" t="s">
        <v>49</v>
      </c>
      <c r="X338" s="318" t="s">
        <v>987</v>
      </c>
      <c r="Y338" s="318" t="s">
        <v>215</v>
      </c>
      <c r="Z338" s="318" t="s">
        <v>283</v>
      </c>
      <c r="AA338" s="318" t="s">
        <v>101</v>
      </c>
      <c r="AB338" s="318" t="s">
        <v>165</v>
      </c>
      <c r="AC338" s="318" t="s">
        <v>116</v>
      </c>
      <c r="AD338" s="318" t="n">
        <v>5170871</v>
      </c>
      <c r="AE338" s="318" t="n">
        <v>37.5</v>
      </c>
      <c r="AF338" s="114" t="s">
        <v>58</v>
      </c>
      <c r="AG338" s="318" t="s">
        <v>986</v>
      </c>
      <c r="AH338" s="318" t="s">
        <v>215</v>
      </c>
      <c r="AI338" s="318" t="s">
        <v>283</v>
      </c>
      <c r="AJ338" s="318" t="s">
        <v>101</v>
      </c>
      <c r="AK338" s="318" t="s">
        <v>165</v>
      </c>
      <c r="AL338" s="318" t="s">
        <v>116</v>
      </c>
      <c r="AM338" s="318"/>
      <c r="AN338" s="318"/>
      <c r="AO338" s="318"/>
      <c r="AP338" s="476"/>
      <c r="AQ338" s="476"/>
      <c r="AR338" s="6" t="s">
        <v>139</v>
      </c>
    </row>
    <row r="339" ht="26.25" customHeight="1">
      <c r="A339" s="318" t="s">
        <v>54</v>
      </c>
      <c r="B339" s="318" t="n">
        <v>2482427367</v>
      </c>
      <c r="C339" s="318" t="s">
        <v>1261</v>
      </c>
      <c r="D339" s="318"/>
      <c r="E339" s="318" t="s">
        <v>106</v>
      </c>
      <c r="F339" s="318"/>
      <c r="G339" s="318"/>
      <c r="H339" s="318" t="s">
        <v>165</v>
      </c>
      <c r="I339" s="318" t="s">
        <v>100</v>
      </c>
      <c r="J339" s="318" t="n">
        <v>4513341</v>
      </c>
      <c r="K339" s="318" t="s">
        <v>124</v>
      </c>
      <c r="L339" s="318" t="n">
        <v>60</v>
      </c>
      <c r="M339" s="318" t="s">
        <v>116</v>
      </c>
      <c r="N339" s="318" t="s">
        <v>31</v>
      </c>
      <c r="O339" s="318" t="s">
        <v>987</v>
      </c>
      <c r="P339" s="318" t="s">
        <v>233</v>
      </c>
      <c r="Q339" s="318" t="s">
        <v>234</v>
      </c>
      <c r="R339" s="318" t="s">
        <v>100</v>
      </c>
      <c r="S339" s="318" t="s">
        <v>165</v>
      </c>
      <c r="T339" s="318" t="s">
        <v>217</v>
      </c>
      <c r="U339" s="318" t="s">
        <v>116</v>
      </c>
      <c r="V339" s="318"/>
      <c r="W339" s="318" t="s">
        <v>116</v>
      </c>
      <c r="X339" s="318" t="s">
        <v>116</v>
      </c>
      <c r="Y339" s="318" t="s">
        <v>116</v>
      </c>
      <c r="Z339" s="318" t="s">
        <v>116</v>
      </c>
      <c r="AA339" s="318" t="s">
        <v>116</v>
      </c>
      <c r="AB339" s="318" t="s">
        <v>116</v>
      </c>
      <c r="AC339" s="318" t="s">
        <v>116</v>
      </c>
      <c r="AD339" s="318" t="s">
        <v>116</v>
      </c>
      <c r="AE339" s="318"/>
      <c r="AF339" s="114" t="s">
        <v>116</v>
      </c>
      <c r="AG339" s="318" t="s">
        <v>116</v>
      </c>
      <c r="AH339" s="318" t="s">
        <v>116</v>
      </c>
      <c r="AI339" s="318" t="s">
        <v>116</v>
      </c>
      <c r="AJ339" s="318" t="s">
        <v>116</v>
      </c>
      <c r="AK339" s="318" t="s">
        <v>116</v>
      </c>
      <c r="AL339" s="318" t="s">
        <v>116</v>
      </c>
      <c r="AM339" s="318"/>
      <c r="AN339" s="318"/>
      <c r="AO339" s="318"/>
      <c r="AP339" s="318"/>
      <c r="AQ339" s="318"/>
      <c r="AR339" s="6" t="s">
        <v>138</v>
      </c>
      <c r="AS339" s="6" t="s">
        <v>217</v>
      </c>
    </row>
    <row r="340" ht="26.25" customHeight="1">
      <c r="A340" s="318" t="s">
        <v>54</v>
      </c>
      <c r="B340" s="318" t="n">
        <v>4513948598</v>
      </c>
      <c r="C340" s="318" t="s">
        <v>1262</v>
      </c>
      <c r="D340" s="318" t="s">
        <v>55</v>
      </c>
      <c r="E340" s="318" t="s">
        <v>114</v>
      </c>
      <c r="F340" s="318" t="s">
        <v>1263</v>
      </c>
      <c r="G340" s="318"/>
      <c r="H340" s="318" t="s">
        <v>1123</v>
      </c>
      <c r="I340" s="318" t="s">
        <v>116</v>
      </c>
      <c r="J340" s="318" t="n">
        <v>5111034</v>
      </c>
      <c r="K340" s="318" t="s">
        <v>125</v>
      </c>
      <c r="L340" s="318" t="n">
        <v>55</v>
      </c>
      <c r="M340" s="318" t="s">
        <v>116</v>
      </c>
      <c r="N340" s="318" t="s">
        <v>37</v>
      </c>
      <c r="O340" s="318" t="s">
        <v>1030</v>
      </c>
      <c r="P340" s="318" t="s">
        <v>216</v>
      </c>
      <c r="Q340" s="318" t="s">
        <v>283</v>
      </c>
      <c r="R340" s="318" t="s">
        <v>100</v>
      </c>
      <c r="S340" s="318" t="s">
        <v>444</v>
      </c>
      <c r="T340" s="318" t="s">
        <v>116</v>
      </c>
      <c r="U340" s="318" t="n">
        <v>5230773</v>
      </c>
      <c r="V340" s="318" t="n">
        <v>37</v>
      </c>
      <c r="W340" s="318" t="s">
        <v>49</v>
      </c>
      <c r="X340" s="318" t="s">
        <v>986</v>
      </c>
      <c r="Y340" s="318" t="s">
        <v>233</v>
      </c>
      <c r="Z340" s="318" t="s">
        <v>283</v>
      </c>
      <c r="AA340" s="318" t="s">
        <v>65</v>
      </c>
      <c r="AB340" s="318" t="s">
        <v>444</v>
      </c>
      <c r="AC340" s="318" t="s">
        <v>116</v>
      </c>
      <c r="AD340" s="318" t="n">
        <v>5230821</v>
      </c>
      <c r="AE340" s="318" t="n">
        <v>19.5</v>
      </c>
      <c r="AF340" s="114" t="s">
        <v>56</v>
      </c>
      <c r="AG340" s="318" t="s">
        <v>987</v>
      </c>
      <c r="AH340" s="318" t="s">
        <v>233</v>
      </c>
      <c r="AI340" s="318" t="s">
        <v>283</v>
      </c>
      <c r="AJ340" s="318" t="s">
        <v>101</v>
      </c>
      <c r="AK340" s="318" t="s">
        <v>444</v>
      </c>
      <c r="AL340" s="318" t="s">
        <v>116</v>
      </c>
      <c r="AM340" s="318"/>
      <c r="AN340" s="318"/>
      <c r="AO340" s="318"/>
      <c r="AP340" s="318"/>
      <c r="AQ340" s="318"/>
      <c r="AR340" s="6" t="s">
        <v>1124</v>
      </c>
    </row>
    <row r="341" ht="26.25" customHeight="1">
      <c r="A341" s="318" t="s">
        <v>54</v>
      </c>
      <c r="B341" s="318" t="n">
        <v>4190977864</v>
      </c>
      <c r="C341" s="318" t="s">
        <v>1089</v>
      </c>
      <c r="D341" s="318" t="s">
        <v>55</v>
      </c>
      <c r="E341" s="318" t="s">
        <v>104</v>
      </c>
      <c r="F341" s="318"/>
      <c r="G341" s="318"/>
      <c r="H341" s="318" t="s">
        <v>165</v>
      </c>
      <c r="I341" s="318" t="s">
        <v>88</v>
      </c>
      <c r="J341" s="318" t="n">
        <v>3132880</v>
      </c>
      <c r="K341" s="318" t="s">
        <v>125</v>
      </c>
      <c r="L341" s="318" t="n">
        <v>95</v>
      </c>
      <c r="M341" s="318" t="s">
        <v>116</v>
      </c>
      <c r="N341" s="114" t="s">
        <v>31</v>
      </c>
      <c r="O341" s="318" t="s">
        <v>986</v>
      </c>
      <c r="P341" s="318" t="s">
        <v>233</v>
      </c>
      <c r="Q341" s="318" t="s">
        <v>234</v>
      </c>
      <c r="R341" s="318" t="s">
        <v>88</v>
      </c>
      <c r="S341" s="318" t="s">
        <v>165</v>
      </c>
      <c r="T341" s="318" t="s">
        <v>116</v>
      </c>
      <c r="U341" s="318" t="n">
        <v>3132859</v>
      </c>
      <c r="V341" s="318" t="n">
        <v>38</v>
      </c>
      <c r="W341" s="318" t="s">
        <v>43</v>
      </c>
      <c r="X341" s="318" t="s">
        <v>986</v>
      </c>
      <c r="Y341" s="318" t="s">
        <v>215</v>
      </c>
      <c r="Z341" s="318" t="s">
        <v>283</v>
      </c>
      <c r="AA341" s="318" t="s">
        <v>88</v>
      </c>
      <c r="AB341" s="318" t="s">
        <v>165</v>
      </c>
      <c r="AC341" s="318" t="s">
        <v>116</v>
      </c>
      <c r="AD341" s="318" t="n">
        <v>5230727</v>
      </c>
      <c r="AE341" s="318" t="n">
        <v>0</v>
      </c>
      <c r="AF341" s="114" t="s">
        <v>56</v>
      </c>
      <c r="AG341" s="318" t="s">
        <v>986</v>
      </c>
      <c r="AH341" s="318" t="s">
        <v>216</v>
      </c>
      <c r="AI341" s="318" t="s">
        <v>283</v>
      </c>
      <c r="AJ341" s="318" t="s">
        <v>88</v>
      </c>
      <c r="AK341" s="318" t="s">
        <v>165</v>
      </c>
      <c r="AL341" s="318" t="s">
        <v>116</v>
      </c>
      <c r="AM341" s="318" t="s">
        <v>217</v>
      </c>
      <c r="AN341" s="318" t="s">
        <v>217</v>
      </c>
      <c r="AO341" s="318" t="s">
        <v>217</v>
      </c>
      <c r="AP341" s="318" t="s">
        <v>217</v>
      </c>
      <c r="AQ341" s="318" t="s">
        <v>217</v>
      </c>
      <c r="AR341" s="6" t="s">
        <v>139</v>
      </c>
    </row>
    <row r="342" ht="26.25" customHeight="1">
      <c r="A342" s="318" t="s">
        <v>54</v>
      </c>
      <c r="B342" s="318" t="n">
        <v>4806523959</v>
      </c>
      <c r="C342" s="318" t="s">
        <v>1264</v>
      </c>
      <c r="D342" s="318" t="s">
        <v>48</v>
      </c>
      <c r="E342" s="318" t="s">
        <v>104</v>
      </c>
      <c r="F342" s="318"/>
      <c r="G342" s="318"/>
      <c r="H342" s="318" t="s">
        <v>165</v>
      </c>
      <c r="I342" s="318" t="s">
        <v>100</v>
      </c>
      <c r="J342" s="318" t="n">
        <v>5111034</v>
      </c>
      <c r="K342" s="318" t="s">
        <v>125</v>
      </c>
      <c r="L342" s="318" t="n">
        <v>29</v>
      </c>
      <c r="M342" s="318" t="s">
        <v>116</v>
      </c>
      <c r="N342" s="318" t="s">
        <v>37</v>
      </c>
      <c r="O342" s="318" t="s">
        <v>1030</v>
      </c>
      <c r="P342" s="318" t="s">
        <v>216</v>
      </c>
      <c r="Q342" s="318" t="s">
        <v>283</v>
      </c>
      <c r="R342" s="318" t="s">
        <v>100</v>
      </c>
      <c r="S342" s="318" t="s">
        <v>165</v>
      </c>
      <c r="T342" s="318" t="s">
        <v>116</v>
      </c>
      <c r="U342" s="318" t="n">
        <v>4513342</v>
      </c>
      <c r="V342" s="318" t="n">
        <v>0</v>
      </c>
      <c r="W342" s="318" t="s">
        <v>43</v>
      </c>
      <c r="X342" s="318" t="s">
        <v>1030</v>
      </c>
      <c r="Y342" s="318" t="s">
        <v>215</v>
      </c>
      <c r="Z342" s="318" t="s">
        <v>283</v>
      </c>
      <c r="AA342" s="318" t="s">
        <v>100</v>
      </c>
      <c r="AB342" s="318" t="s">
        <v>165</v>
      </c>
      <c r="AC342" s="318" t="s">
        <v>116</v>
      </c>
      <c r="AD342" s="318" t="n">
        <v>4513340</v>
      </c>
      <c r="AE342" s="318" t="n">
        <v>33</v>
      </c>
      <c r="AF342" s="114" t="s">
        <v>58</v>
      </c>
      <c r="AG342" s="318" t="s">
        <v>1030</v>
      </c>
      <c r="AH342" s="318" t="s">
        <v>233</v>
      </c>
      <c r="AI342" s="318" t="s">
        <v>283</v>
      </c>
      <c r="AJ342" s="318" t="s">
        <v>100</v>
      </c>
      <c r="AK342" s="318" t="s">
        <v>165</v>
      </c>
      <c r="AL342" s="318" t="s">
        <v>116</v>
      </c>
      <c r="AM342" s="318"/>
      <c r="AN342" s="318"/>
      <c r="AO342" s="318"/>
      <c r="AP342" s="476"/>
      <c r="AQ342" s="476"/>
      <c r="AR342" s="6" t="s">
        <v>139</v>
      </c>
    </row>
    <row r="343" ht="26.25" customHeight="1">
      <c r="A343" s="318" t="s">
        <v>54</v>
      </c>
      <c r="B343" s="318" t="n">
        <v>4688376355</v>
      </c>
      <c r="C343" s="318" t="s">
        <v>1265</v>
      </c>
      <c r="D343" s="318" t="s">
        <v>1266</v>
      </c>
      <c r="E343" s="318" t="s">
        <v>106</v>
      </c>
      <c r="F343" s="318"/>
      <c r="G343" s="318"/>
      <c r="H343" s="318" t="s">
        <v>165</v>
      </c>
      <c r="I343" s="318" t="s">
        <v>100</v>
      </c>
      <c r="J343" s="318" t="s">
        <v>116</v>
      </c>
      <c r="K343" s="318"/>
      <c r="L343" s="318"/>
      <c r="M343" s="318"/>
      <c r="N343" s="318" t="s">
        <v>116</v>
      </c>
      <c r="O343" s="318" t="s">
        <v>116</v>
      </c>
      <c r="P343" s="318" t="s">
        <v>116</v>
      </c>
      <c r="Q343" s="318" t="s">
        <v>116</v>
      </c>
      <c r="R343" s="318" t="s">
        <v>116</v>
      </c>
      <c r="S343" s="318" t="s">
        <v>116</v>
      </c>
      <c r="T343" s="318" t="s">
        <v>116</v>
      </c>
      <c r="U343" s="318" t="n">
        <v>3132846</v>
      </c>
      <c r="V343" s="318"/>
      <c r="W343" s="318" t="s">
        <v>43</v>
      </c>
      <c r="X343" s="318" t="s">
        <v>987</v>
      </c>
      <c r="Y343" s="318" t="s">
        <v>216</v>
      </c>
      <c r="Z343" s="318" t="s">
        <v>283</v>
      </c>
      <c r="AA343" s="318" t="s">
        <v>100</v>
      </c>
      <c r="AB343" s="318" t="s">
        <v>165</v>
      </c>
      <c r="AC343" s="318" t="s">
        <v>217</v>
      </c>
      <c r="AD343" s="318" t="s">
        <v>116</v>
      </c>
      <c r="AE343" s="318"/>
      <c r="AF343" s="114" t="s">
        <v>116</v>
      </c>
      <c r="AG343" s="318" t="s">
        <v>116</v>
      </c>
      <c r="AH343" s="318" t="s">
        <v>116</v>
      </c>
      <c r="AI343" s="318" t="s">
        <v>116</v>
      </c>
      <c r="AJ343" s="318" t="s">
        <v>116</v>
      </c>
      <c r="AK343" s="318" t="s">
        <v>116</v>
      </c>
      <c r="AL343" s="318" t="s">
        <v>116</v>
      </c>
      <c r="AM343" s="318"/>
      <c r="AN343" s="318"/>
      <c r="AO343" s="318"/>
      <c r="AP343" s="318"/>
      <c r="AQ343" s="318"/>
      <c r="AR343" s="6" t="s">
        <v>138</v>
      </c>
      <c r="AS343" s="6" t="s">
        <v>217</v>
      </c>
    </row>
    <row r="344" ht="26.25" customHeight="1">
      <c r="A344" s="318" t="s">
        <v>54</v>
      </c>
      <c r="B344" s="318" t="n">
        <v>4155553297</v>
      </c>
      <c r="C344" s="318" t="s">
        <v>1267</v>
      </c>
      <c r="D344" s="318" t="s">
        <v>57</v>
      </c>
      <c r="E344" s="318" t="s">
        <v>104</v>
      </c>
      <c r="F344" s="318"/>
      <c r="G344" s="318"/>
      <c r="H344" s="318" t="s">
        <v>165</v>
      </c>
      <c r="I344" s="318" t="s">
        <v>101</v>
      </c>
      <c r="J344" s="318" t="n">
        <v>3132902</v>
      </c>
      <c r="K344" s="318" t="s">
        <v>126</v>
      </c>
      <c r="L344" s="318" t="n">
        <v>64</v>
      </c>
      <c r="M344" s="318" t="n">
        <v>85</v>
      </c>
      <c r="N344" s="318" t="s">
        <v>31</v>
      </c>
      <c r="O344" s="318" t="s">
        <v>987</v>
      </c>
      <c r="P344" s="318" t="s">
        <v>216</v>
      </c>
      <c r="Q344" s="318" t="s">
        <v>283</v>
      </c>
      <c r="R344" s="318" t="s">
        <v>101</v>
      </c>
      <c r="S344" s="318" t="s">
        <v>165</v>
      </c>
      <c r="T344" s="318" t="s">
        <v>116</v>
      </c>
      <c r="U344" s="318" t="n">
        <v>5230747</v>
      </c>
      <c r="V344" s="318" t="n">
        <v>0</v>
      </c>
      <c r="W344" s="318" t="s">
        <v>49</v>
      </c>
      <c r="X344" s="318" t="s">
        <v>987</v>
      </c>
      <c r="Y344" s="318" t="s">
        <v>215</v>
      </c>
      <c r="Z344" s="318" t="s">
        <v>283</v>
      </c>
      <c r="AA344" s="318" t="s">
        <v>101</v>
      </c>
      <c r="AB344" s="318" t="s">
        <v>165</v>
      </c>
      <c r="AC344" s="318" t="s">
        <v>116</v>
      </c>
      <c r="AD344" s="318" t="n">
        <v>5230821</v>
      </c>
      <c r="AE344" s="318" t="n">
        <v>0</v>
      </c>
      <c r="AF344" s="318" t="s">
        <v>56</v>
      </c>
      <c r="AG344" s="318" t="s">
        <v>987</v>
      </c>
      <c r="AH344" s="318" t="s">
        <v>233</v>
      </c>
      <c r="AI344" s="318" t="s">
        <v>283</v>
      </c>
      <c r="AJ344" s="318" t="s">
        <v>101</v>
      </c>
      <c r="AK344" s="318" t="s">
        <v>165</v>
      </c>
      <c r="AL344" s="318" t="s">
        <v>116</v>
      </c>
      <c r="AM344" s="318"/>
      <c r="AN344" s="318"/>
      <c r="AO344" s="318"/>
      <c r="AP344" s="318"/>
      <c r="AQ344" s="318"/>
      <c r="AR344" s="6" t="s">
        <v>139</v>
      </c>
    </row>
    <row r="345" ht="26.25" customHeight="1">
      <c r="A345" s="318" t="s">
        <v>85</v>
      </c>
      <c r="B345" s="318" t="n">
        <v>2515578569</v>
      </c>
      <c r="C345" s="318" t="s">
        <v>827</v>
      </c>
      <c r="D345" s="318" t="s">
        <v>59</v>
      </c>
      <c r="E345" s="318" t="s">
        <v>104</v>
      </c>
      <c r="F345" s="318"/>
      <c r="G345" s="318"/>
      <c r="H345" s="318" t="s">
        <v>165</v>
      </c>
      <c r="I345" s="318" t="s">
        <v>101</v>
      </c>
      <c r="J345" s="318" t="n">
        <v>5111035</v>
      </c>
      <c r="K345" s="318" t="s">
        <v>125</v>
      </c>
      <c r="L345" s="318" t="n">
        <v>80</v>
      </c>
      <c r="M345" s="318" t="s">
        <v>116</v>
      </c>
      <c r="N345" s="318" t="s">
        <v>35</v>
      </c>
      <c r="O345" s="318" t="s">
        <v>986</v>
      </c>
      <c r="P345" s="318" t="s">
        <v>233</v>
      </c>
      <c r="Q345" s="318" t="s">
        <v>234</v>
      </c>
      <c r="R345" s="318" t="s">
        <v>101</v>
      </c>
      <c r="S345" s="318" t="s">
        <v>165</v>
      </c>
      <c r="T345" s="318" t="s">
        <v>116</v>
      </c>
      <c r="U345" s="318" t="n">
        <v>5230739</v>
      </c>
      <c r="V345" s="318" t="n">
        <v>30</v>
      </c>
      <c r="W345" s="318" t="s">
        <v>47</v>
      </c>
      <c r="X345" s="318" t="s">
        <v>991</v>
      </c>
      <c r="Y345" s="318" t="s">
        <v>215</v>
      </c>
      <c r="Z345" s="318" t="s">
        <v>283</v>
      </c>
      <c r="AA345" s="318" t="s">
        <v>101</v>
      </c>
      <c r="AB345" s="318" t="s">
        <v>165</v>
      </c>
      <c r="AC345" s="318" t="s">
        <v>217</v>
      </c>
      <c r="AD345" s="318" t="n">
        <v>4513388</v>
      </c>
      <c r="AE345" s="318" t="n">
        <v>29.5</v>
      </c>
      <c r="AF345" s="318" t="s">
        <v>56</v>
      </c>
      <c r="AG345" s="318" t="s">
        <v>985</v>
      </c>
      <c r="AH345" s="318" t="s">
        <v>216</v>
      </c>
      <c r="AI345" s="318" t="s">
        <v>283</v>
      </c>
      <c r="AJ345" s="318" t="s">
        <v>101</v>
      </c>
      <c r="AK345" s="318" t="s">
        <v>165</v>
      </c>
      <c r="AL345" s="318" t="s">
        <v>116</v>
      </c>
      <c r="AM345" s="318" t="s">
        <v>217</v>
      </c>
      <c r="AN345" s="318" t="s">
        <v>217</v>
      </c>
      <c r="AO345" s="318" t="s">
        <v>218</v>
      </c>
      <c r="AP345" s="318" t="s">
        <v>218</v>
      </c>
      <c r="AQ345" s="318" t="s">
        <v>218</v>
      </c>
      <c r="AR345" s="6" t="s">
        <v>139</v>
      </c>
    </row>
    <row r="346" ht="26.25" customHeight="1">
      <c r="A346" s="318" t="s">
        <v>45</v>
      </c>
      <c r="B346" s="318" t="n">
        <v>4816674258</v>
      </c>
      <c r="C346" s="318" t="s">
        <v>1268</v>
      </c>
      <c r="D346" s="318" t="s">
        <v>48</v>
      </c>
      <c r="E346" s="318" t="s">
        <v>104</v>
      </c>
      <c r="F346" s="318"/>
      <c r="G346" s="318"/>
      <c r="H346" s="318" t="s">
        <v>1123</v>
      </c>
      <c r="I346" s="318" t="s">
        <v>116</v>
      </c>
      <c r="J346" s="318" t="n">
        <v>5230719</v>
      </c>
      <c r="K346" s="318" t="s">
        <v>125</v>
      </c>
      <c r="L346" s="318" t="n">
        <v>103</v>
      </c>
      <c r="M346" s="318" t="s">
        <v>116</v>
      </c>
      <c r="N346" s="318" t="s">
        <v>31</v>
      </c>
      <c r="O346" s="318" t="s">
        <v>989</v>
      </c>
      <c r="P346" s="318" t="s">
        <v>216</v>
      </c>
      <c r="Q346" s="318" t="s">
        <v>234</v>
      </c>
      <c r="R346" s="318" t="s">
        <v>65</v>
      </c>
      <c r="S346" s="318" t="s">
        <v>444</v>
      </c>
      <c r="T346" s="318" t="s">
        <v>116</v>
      </c>
      <c r="U346" s="318" t="s">
        <v>116</v>
      </c>
      <c r="V346" s="318"/>
      <c r="W346" s="318" t="s">
        <v>116</v>
      </c>
      <c r="X346" s="318" t="s">
        <v>116</v>
      </c>
      <c r="Y346" s="318" t="s">
        <v>116</v>
      </c>
      <c r="Z346" s="318" t="s">
        <v>116</v>
      </c>
      <c r="AA346" s="318" t="s">
        <v>116</v>
      </c>
      <c r="AB346" s="318" t="s">
        <v>116</v>
      </c>
      <c r="AC346" s="318" t="s">
        <v>116</v>
      </c>
      <c r="AD346" s="318" t="s">
        <v>116</v>
      </c>
      <c r="AE346" s="318"/>
      <c r="AF346" s="114" t="s">
        <v>116</v>
      </c>
      <c r="AG346" s="318" t="s">
        <v>116</v>
      </c>
      <c r="AH346" s="318" t="s">
        <v>116</v>
      </c>
      <c r="AI346" s="318" t="s">
        <v>116</v>
      </c>
      <c r="AJ346" s="318" t="s">
        <v>116</v>
      </c>
      <c r="AK346" s="318" t="s">
        <v>116</v>
      </c>
      <c r="AL346" s="318" t="s">
        <v>116</v>
      </c>
      <c r="AM346" s="318"/>
      <c r="AN346" s="318"/>
      <c r="AO346" s="318"/>
      <c r="AP346" s="476"/>
      <c r="AQ346" s="476"/>
      <c r="AR346" s="6" t="s">
        <v>1124</v>
      </c>
    </row>
    <row r="347" ht="26.25" customHeight="1">
      <c r="A347" s="318" t="s">
        <v>85</v>
      </c>
      <c r="B347" s="318" t="n">
        <v>4396777299</v>
      </c>
      <c r="C347" s="318" t="s">
        <v>833</v>
      </c>
      <c r="D347" s="318" t="s">
        <v>36</v>
      </c>
      <c r="E347" s="318" t="s">
        <v>106</v>
      </c>
      <c r="F347" s="318"/>
      <c r="G347" s="318"/>
      <c r="H347" s="318" t="s">
        <v>165</v>
      </c>
      <c r="I347" s="318" t="s">
        <v>65</v>
      </c>
      <c r="J347" s="318" t="n">
        <v>5230775</v>
      </c>
      <c r="K347" s="318" t="s">
        <v>125</v>
      </c>
      <c r="L347" s="318" t="n">
        <v>60</v>
      </c>
      <c r="M347" s="318" t="s">
        <v>116</v>
      </c>
      <c r="N347" s="318" t="s">
        <v>31</v>
      </c>
      <c r="O347" s="318" t="s">
        <v>991</v>
      </c>
      <c r="P347" s="318" t="s">
        <v>215</v>
      </c>
      <c r="Q347" s="318" t="s">
        <v>283</v>
      </c>
      <c r="R347" s="318" t="s">
        <v>65</v>
      </c>
      <c r="S347" s="318" t="s">
        <v>165</v>
      </c>
      <c r="T347" s="318" t="s">
        <v>217</v>
      </c>
      <c r="U347" s="318" t="s">
        <v>116</v>
      </c>
      <c r="V347" s="318"/>
      <c r="W347" s="318" t="s">
        <v>116</v>
      </c>
      <c r="X347" s="318" t="s">
        <v>116</v>
      </c>
      <c r="Y347" s="318" t="s">
        <v>116</v>
      </c>
      <c r="Z347" s="318" t="s">
        <v>116</v>
      </c>
      <c r="AA347" s="318" t="s">
        <v>116</v>
      </c>
      <c r="AB347" s="318" t="s">
        <v>116</v>
      </c>
      <c r="AC347" s="318" t="s">
        <v>116</v>
      </c>
      <c r="AD347" s="318" t="n">
        <v>5230783</v>
      </c>
      <c r="AE347" s="318" t="n">
        <v>33</v>
      </c>
      <c r="AF347" s="114" t="s">
        <v>52</v>
      </c>
      <c r="AG347" s="318" t="s">
        <v>991</v>
      </c>
      <c r="AH347" s="318" t="s">
        <v>216</v>
      </c>
      <c r="AI347" s="318" t="s">
        <v>283</v>
      </c>
      <c r="AJ347" s="318" t="s">
        <v>65</v>
      </c>
      <c r="AK347" s="318" t="s">
        <v>165</v>
      </c>
      <c r="AL347" s="318" t="s">
        <v>217</v>
      </c>
      <c r="AM347" s="318"/>
      <c r="AN347" s="318"/>
      <c r="AO347" s="318"/>
      <c r="AP347" s="476"/>
      <c r="AQ347" s="476"/>
      <c r="AR347" s="6" t="s">
        <v>138</v>
      </c>
      <c r="AS347" s="6" t="s">
        <v>217</v>
      </c>
    </row>
    <row r="348" ht="26.25" customHeight="1">
      <c r="A348" s="318" t="s">
        <v>54</v>
      </c>
      <c r="B348" s="318" t="n">
        <v>4370732289</v>
      </c>
      <c r="C348" s="318" t="s">
        <v>837</v>
      </c>
      <c r="D348" s="318" t="s">
        <v>55</v>
      </c>
      <c r="E348" s="318" t="s">
        <v>114</v>
      </c>
      <c r="F348" s="318" t="s">
        <v>1269</v>
      </c>
      <c r="G348" s="318"/>
      <c r="H348" s="318" t="s">
        <v>165</v>
      </c>
      <c r="I348" s="318" t="s">
        <v>101</v>
      </c>
      <c r="J348" s="318" t="n">
        <v>5111035</v>
      </c>
      <c r="K348" s="318" t="s">
        <v>125</v>
      </c>
      <c r="L348" s="318" t="n">
        <v>85</v>
      </c>
      <c r="M348" s="318" t="s">
        <v>116</v>
      </c>
      <c r="N348" s="318" t="s">
        <v>35</v>
      </c>
      <c r="O348" s="318" t="s">
        <v>986</v>
      </c>
      <c r="P348" s="318" t="s">
        <v>233</v>
      </c>
      <c r="Q348" s="318" t="s">
        <v>234</v>
      </c>
      <c r="R348" s="318" t="s">
        <v>101</v>
      </c>
      <c r="S348" s="318" t="s">
        <v>165</v>
      </c>
      <c r="T348" s="318" t="s">
        <v>116</v>
      </c>
      <c r="U348" s="318" t="n">
        <v>5230747</v>
      </c>
      <c r="V348" s="318" t="n">
        <v>22</v>
      </c>
      <c r="W348" s="318" t="s">
        <v>49</v>
      </c>
      <c r="X348" s="318" t="s">
        <v>987</v>
      </c>
      <c r="Y348" s="318" t="s">
        <v>215</v>
      </c>
      <c r="Z348" s="318" t="s">
        <v>283</v>
      </c>
      <c r="AA348" s="318" t="s">
        <v>101</v>
      </c>
      <c r="AB348" s="318" t="s">
        <v>165</v>
      </c>
      <c r="AC348" s="318" t="s">
        <v>116</v>
      </c>
      <c r="AD348" s="318" t="n">
        <v>4513388</v>
      </c>
      <c r="AE348" s="318" t="n">
        <v>30.5</v>
      </c>
      <c r="AF348" s="114" t="s">
        <v>56</v>
      </c>
      <c r="AG348" s="318" t="s">
        <v>985</v>
      </c>
      <c r="AH348" s="318" t="s">
        <v>216</v>
      </c>
      <c r="AI348" s="318" t="s">
        <v>283</v>
      </c>
      <c r="AJ348" s="318" t="s">
        <v>101</v>
      </c>
      <c r="AK348" s="318" t="s">
        <v>165</v>
      </c>
      <c r="AL348" s="318" t="s">
        <v>116</v>
      </c>
      <c r="AM348" s="318"/>
      <c r="AN348" s="318"/>
      <c r="AO348" s="318"/>
      <c r="AP348" s="318"/>
      <c r="AQ348" s="318"/>
      <c r="AR348" s="6" t="s">
        <v>139</v>
      </c>
    </row>
    <row r="349" ht="26.25" customHeight="1">
      <c r="A349" s="318" t="s">
        <v>45</v>
      </c>
      <c r="B349" s="318" t="n">
        <v>4774287872</v>
      </c>
      <c r="C349" s="318" t="s">
        <v>1270</v>
      </c>
      <c r="D349" s="318" t="s">
        <v>48</v>
      </c>
      <c r="E349" s="318" t="s">
        <v>106</v>
      </c>
      <c r="F349" s="318"/>
      <c r="G349" s="318"/>
      <c r="H349" s="318" t="s">
        <v>165</v>
      </c>
      <c r="I349" s="318" t="s">
        <v>88</v>
      </c>
      <c r="J349" s="318" t="n">
        <v>5230806</v>
      </c>
      <c r="K349" s="318" t="s">
        <v>125</v>
      </c>
      <c r="L349" s="318" t="n">
        <v>35</v>
      </c>
      <c r="M349" s="318" t="s">
        <v>116</v>
      </c>
      <c r="N349" s="318" t="s">
        <v>37</v>
      </c>
      <c r="O349" s="318" t="s">
        <v>1034</v>
      </c>
      <c r="P349" s="318" t="s">
        <v>215</v>
      </c>
      <c r="Q349" s="318" t="s">
        <v>283</v>
      </c>
      <c r="R349" s="318" t="s">
        <v>88</v>
      </c>
      <c r="S349" s="318" t="s">
        <v>165</v>
      </c>
      <c r="T349" s="318" t="s">
        <v>217</v>
      </c>
      <c r="U349" s="318" t="s">
        <v>116</v>
      </c>
      <c r="V349" s="318"/>
      <c r="W349" s="318" t="s">
        <v>116</v>
      </c>
      <c r="X349" s="318" t="s">
        <v>116</v>
      </c>
      <c r="Y349" s="318" t="s">
        <v>116</v>
      </c>
      <c r="Z349" s="318" t="s">
        <v>116</v>
      </c>
      <c r="AA349" s="318" t="s">
        <v>116</v>
      </c>
      <c r="AB349" s="318" t="s">
        <v>116</v>
      </c>
      <c r="AC349" s="318" t="s">
        <v>116</v>
      </c>
      <c r="AD349" s="318" t="n">
        <v>5230737</v>
      </c>
      <c r="AE349" s="318" t="n">
        <v>26.5</v>
      </c>
      <c r="AF349" s="114" t="s">
        <v>58</v>
      </c>
      <c r="AG349" s="318" t="s">
        <v>989</v>
      </c>
      <c r="AH349" s="318" t="s">
        <v>216</v>
      </c>
      <c r="AI349" s="318" t="s">
        <v>283</v>
      </c>
      <c r="AJ349" s="318" t="s">
        <v>88</v>
      </c>
      <c r="AK349" s="318" t="s">
        <v>165</v>
      </c>
      <c r="AL349" s="318" t="s">
        <v>116</v>
      </c>
      <c r="AM349" s="318" t="s">
        <v>217</v>
      </c>
      <c r="AN349" s="318" t="s">
        <v>218</v>
      </c>
      <c r="AO349" s="318" t="s">
        <v>218</v>
      </c>
      <c r="AP349" s="318" t="s">
        <v>217</v>
      </c>
      <c r="AQ349" s="318" t="s">
        <v>217</v>
      </c>
      <c r="AR349" s="6" t="s">
        <v>138</v>
      </c>
      <c r="AS349" s="6" t="s">
        <v>217</v>
      </c>
    </row>
    <row r="350" ht="26.25" customHeight="1">
      <c r="A350" s="318" t="s">
        <v>54</v>
      </c>
      <c r="B350" s="318" t="n">
        <v>2577771687</v>
      </c>
      <c r="C350" s="318" t="s">
        <v>1271</v>
      </c>
      <c r="D350" s="318" t="s">
        <v>57</v>
      </c>
      <c r="E350" s="318" t="s">
        <v>106</v>
      </c>
      <c r="F350" s="318"/>
      <c r="G350" s="318"/>
      <c r="H350" s="318" t="s">
        <v>165</v>
      </c>
      <c r="I350" s="318" t="s">
        <v>88</v>
      </c>
      <c r="J350" s="318" t="n">
        <v>3132880</v>
      </c>
      <c r="K350" s="318" t="s">
        <v>125</v>
      </c>
      <c r="L350" s="318" t="n">
        <v>75</v>
      </c>
      <c r="M350" s="318" t="s">
        <v>116</v>
      </c>
      <c r="N350" s="318" t="s">
        <v>31</v>
      </c>
      <c r="O350" s="318" t="s">
        <v>986</v>
      </c>
      <c r="P350" s="318" t="s">
        <v>233</v>
      </c>
      <c r="Q350" s="318" t="s">
        <v>234</v>
      </c>
      <c r="R350" s="318" t="s">
        <v>88</v>
      </c>
      <c r="S350" s="318" t="s">
        <v>165</v>
      </c>
      <c r="T350" s="318" t="s">
        <v>217</v>
      </c>
      <c r="U350" s="318" t="n">
        <v>3132859</v>
      </c>
      <c r="V350" s="318" t="n">
        <v>0</v>
      </c>
      <c r="W350" s="318" t="s">
        <v>43</v>
      </c>
      <c r="X350" s="318" t="s">
        <v>986</v>
      </c>
      <c r="Y350" s="318" t="s">
        <v>215</v>
      </c>
      <c r="Z350" s="318" t="s">
        <v>283</v>
      </c>
      <c r="AA350" s="318" t="s">
        <v>88</v>
      </c>
      <c r="AB350" s="318" t="s">
        <v>165</v>
      </c>
      <c r="AC350" s="318" t="s">
        <v>217</v>
      </c>
      <c r="AD350" s="318" t="n">
        <v>5230727</v>
      </c>
      <c r="AE350" s="318" t="n">
        <v>0</v>
      </c>
      <c r="AF350" s="114" t="s">
        <v>56</v>
      </c>
      <c r="AG350" s="318" t="s">
        <v>986</v>
      </c>
      <c r="AH350" s="318" t="s">
        <v>216</v>
      </c>
      <c r="AI350" s="318" t="s">
        <v>283</v>
      </c>
      <c r="AJ350" s="318" t="s">
        <v>88</v>
      </c>
      <c r="AK350" s="318" t="s">
        <v>165</v>
      </c>
      <c r="AL350" s="318" t="s">
        <v>217</v>
      </c>
      <c r="AM350" s="318" t="s">
        <v>217</v>
      </c>
      <c r="AN350" s="318" t="s">
        <v>217</v>
      </c>
      <c r="AO350" s="318" t="s">
        <v>217</v>
      </c>
      <c r="AP350" s="318" t="s">
        <v>217</v>
      </c>
      <c r="AQ350" s="318" t="s">
        <v>217</v>
      </c>
      <c r="AR350" s="6" t="s">
        <v>138</v>
      </c>
      <c r="AS350" s="6" t="s">
        <v>217</v>
      </c>
    </row>
    <row r="351" ht="26.25" customHeight="1">
      <c r="A351" s="318" t="s">
        <v>85</v>
      </c>
      <c r="B351" s="318" t="n">
        <v>2363647901</v>
      </c>
      <c r="C351" s="318" t="s">
        <v>1272</v>
      </c>
      <c r="D351" s="318" t="s">
        <v>36</v>
      </c>
      <c r="E351" s="318" t="s">
        <v>106</v>
      </c>
      <c r="F351" s="318"/>
      <c r="G351" s="318"/>
      <c r="H351" s="318" t="s">
        <v>1123</v>
      </c>
      <c r="I351" s="318" t="s">
        <v>116</v>
      </c>
      <c r="J351" s="318" t="n">
        <v>5230775</v>
      </c>
      <c r="K351" s="318" t="s">
        <v>124</v>
      </c>
      <c r="L351" s="318" t="n">
        <v>93</v>
      </c>
      <c r="M351" s="318" t="s">
        <v>116</v>
      </c>
      <c r="N351" s="318" t="s">
        <v>31</v>
      </c>
      <c r="O351" s="318" t="s">
        <v>991</v>
      </c>
      <c r="P351" s="318" t="s">
        <v>215</v>
      </c>
      <c r="Q351" s="318" t="s">
        <v>283</v>
      </c>
      <c r="R351" s="318" t="s">
        <v>65</v>
      </c>
      <c r="S351" s="318" t="s">
        <v>444</v>
      </c>
      <c r="T351" s="318" t="s">
        <v>116</v>
      </c>
      <c r="U351" s="318" t="s">
        <v>116</v>
      </c>
      <c r="V351" s="318"/>
      <c r="W351" s="318" t="s">
        <v>116</v>
      </c>
      <c r="X351" s="318" t="s">
        <v>116</v>
      </c>
      <c r="Y351" s="318" t="s">
        <v>116</v>
      </c>
      <c r="Z351" s="318" t="s">
        <v>116</v>
      </c>
      <c r="AA351" s="318" t="s">
        <v>116</v>
      </c>
      <c r="AB351" s="318" t="s">
        <v>116</v>
      </c>
      <c r="AC351" s="318" t="s">
        <v>116</v>
      </c>
      <c r="AD351" s="318" t="s">
        <v>116</v>
      </c>
      <c r="AE351" s="318"/>
      <c r="AF351" s="114" t="s">
        <v>116</v>
      </c>
      <c r="AG351" s="318" t="s">
        <v>116</v>
      </c>
      <c r="AH351" s="318" t="s">
        <v>116</v>
      </c>
      <c r="AI351" s="318" t="s">
        <v>116</v>
      </c>
      <c r="AJ351" s="318" t="s">
        <v>116</v>
      </c>
      <c r="AK351" s="318" t="s">
        <v>116</v>
      </c>
      <c r="AL351" s="318" t="s">
        <v>116</v>
      </c>
      <c r="AM351" s="318"/>
      <c r="AN351" s="318"/>
      <c r="AO351" s="318"/>
      <c r="AP351" s="318"/>
      <c r="AQ351" s="318"/>
      <c r="AR351" s="6" t="s">
        <v>138</v>
      </c>
    </row>
    <row r="352" ht="26.25" customHeight="1">
      <c r="A352" s="318" t="s">
        <v>45</v>
      </c>
      <c r="B352" s="318" t="n">
        <v>2916095465</v>
      </c>
      <c r="C352" s="318" t="s">
        <v>1273</v>
      </c>
      <c r="D352" s="318" t="s">
        <v>34</v>
      </c>
      <c r="E352" s="318" t="s">
        <v>104</v>
      </c>
      <c r="F352" s="318"/>
      <c r="G352" s="318"/>
      <c r="H352" s="318" t="s">
        <v>1123</v>
      </c>
      <c r="I352" s="318" t="s">
        <v>116</v>
      </c>
      <c r="J352" s="318" t="s">
        <v>116</v>
      </c>
      <c r="K352" s="318"/>
      <c r="L352" s="318"/>
      <c r="M352" s="318"/>
      <c r="N352" s="318" t="s">
        <v>116</v>
      </c>
      <c r="O352" s="318" t="s">
        <v>116</v>
      </c>
      <c r="P352" s="318" t="s">
        <v>116</v>
      </c>
      <c r="Q352" s="318" t="s">
        <v>116</v>
      </c>
      <c r="R352" s="318" t="s">
        <v>116</v>
      </c>
      <c r="S352" s="318" t="s">
        <v>116</v>
      </c>
      <c r="T352" s="318" t="s">
        <v>116</v>
      </c>
      <c r="U352" s="318" t="n">
        <v>3132905</v>
      </c>
      <c r="V352" s="318" t="n">
        <v>32</v>
      </c>
      <c r="W352" s="318" t="s">
        <v>43</v>
      </c>
      <c r="X352" s="318" t="s">
        <v>997</v>
      </c>
      <c r="Y352" s="318" t="s">
        <v>216</v>
      </c>
      <c r="Z352" s="318" t="s">
        <v>283</v>
      </c>
      <c r="AA352" s="318" t="s">
        <v>88</v>
      </c>
      <c r="AB352" s="318" t="s">
        <v>444</v>
      </c>
      <c r="AC352" s="318" t="s">
        <v>116</v>
      </c>
      <c r="AD352" s="318" t="n">
        <v>5230765</v>
      </c>
      <c r="AE352" s="318" t="n">
        <v>47</v>
      </c>
      <c r="AF352" s="114" t="s">
        <v>52</v>
      </c>
      <c r="AG352" s="318" t="s">
        <v>997</v>
      </c>
      <c r="AH352" s="318" t="s">
        <v>215</v>
      </c>
      <c r="AI352" s="318" t="s">
        <v>283</v>
      </c>
      <c r="AJ352" s="318" t="s">
        <v>88</v>
      </c>
      <c r="AK352" s="318" t="s">
        <v>444</v>
      </c>
      <c r="AL352" s="318" t="s">
        <v>116</v>
      </c>
      <c r="AM352" s="318"/>
      <c r="AN352" s="318" t="s">
        <v>218</v>
      </c>
      <c r="AO352" s="318"/>
      <c r="AP352" s="318"/>
      <c r="AQ352" s="318"/>
      <c r="AR352" s="6" t="s">
        <v>1124</v>
      </c>
    </row>
    <row r="353" ht="26.25" customHeight="1">
      <c r="A353" s="318" t="s">
        <v>54</v>
      </c>
      <c r="B353" s="318" t="n">
        <v>2171178730</v>
      </c>
      <c r="C353" s="318" t="s">
        <v>1274</v>
      </c>
      <c r="D353" s="318" t="s">
        <v>55</v>
      </c>
      <c r="E353" s="318" t="s">
        <v>109</v>
      </c>
      <c r="F353" s="318"/>
      <c r="G353" s="318" t="s">
        <v>847</v>
      </c>
      <c r="H353" s="318" t="s">
        <v>165</v>
      </c>
      <c r="I353" s="318" t="s">
        <v>101</v>
      </c>
      <c r="J353" s="318" t="n">
        <v>5111035</v>
      </c>
      <c r="K353" s="318" t="s">
        <v>125</v>
      </c>
      <c r="L353" s="318" t="n">
        <v>84</v>
      </c>
      <c r="M353" s="318" t="s">
        <v>116</v>
      </c>
      <c r="N353" s="318" t="s">
        <v>35</v>
      </c>
      <c r="O353" s="318" t="s">
        <v>986</v>
      </c>
      <c r="P353" s="318" t="s">
        <v>233</v>
      </c>
      <c r="Q353" s="318" t="s">
        <v>234</v>
      </c>
      <c r="R353" s="318" t="s">
        <v>101</v>
      </c>
      <c r="S353" s="318" t="s">
        <v>165</v>
      </c>
      <c r="T353" s="318" t="s">
        <v>116</v>
      </c>
      <c r="U353" s="318" t="n">
        <v>5170873</v>
      </c>
      <c r="V353" s="318" t="n">
        <v>30</v>
      </c>
      <c r="W353" s="318" t="s">
        <v>47</v>
      </c>
      <c r="X353" s="318" t="s">
        <v>986</v>
      </c>
      <c r="Y353" s="318" t="s">
        <v>216</v>
      </c>
      <c r="Z353" s="318" t="s">
        <v>283</v>
      </c>
      <c r="AA353" s="318" t="s">
        <v>101</v>
      </c>
      <c r="AB353" s="318" t="s">
        <v>165</v>
      </c>
      <c r="AC353" s="318" t="s">
        <v>116</v>
      </c>
      <c r="AD353" s="318" t="n">
        <v>5170871</v>
      </c>
      <c r="AE353" s="318" t="n">
        <v>43</v>
      </c>
      <c r="AF353" s="114" t="s">
        <v>58</v>
      </c>
      <c r="AG353" s="318" t="s">
        <v>986</v>
      </c>
      <c r="AH353" s="318" t="s">
        <v>215</v>
      </c>
      <c r="AI353" s="318" t="s">
        <v>283</v>
      </c>
      <c r="AJ353" s="318" t="s">
        <v>101</v>
      </c>
      <c r="AK353" s="318" t="s">
        <v>165</v>
      </c>
      <c r="AL353" s="318" t="s">
        <v>116</v>
      </c>
      <c r="AM353" s="318"/>
      <c r="AN353" s="318"/>
      <c r="AO353" s="318"/>
      <c r="AP353" s="318"/>
      <c r="AQ353" s="318"/>
      <c r="AR353" s="6" t="s">
        <v>139</v>
      </c>
    </row>
    <row r="354" ht="26.25" customHeight="1">
      <c r="A354" s="318" t="s">
        <v>54</v>
      </c>
      <c r="B354" s="318" t="n">
        <v>2488328270</v>
      </c>
      <c r="C354" s="318" t="s">
        <v>1275</v>
      </c>
      <c r="D354" s="318" t="s">
        <v>55</v>
      </c>
      <c r="E354" s="318" t="s">
        <v>114</v>
      </c>
      <c r="F354" s="318" t="s">
        <v>1276</v>
      </c>
      <c r="G354" s="318"/>
      <c r="H354" s="318" t="s">
        <v>165</v>
      </c>
      <c r="I354" s="318" t="s">
        <v>101</v>
      </c>
      <c r="J354" s="318" t="n">
        <v>3132902</v>
      </c>
      <c r="K354" s="318" t="s">
        <v>125</v>
      </c>
      <c r="L354" s="318" t="n">
        <v>70</v>
      </c>
      <c r="M354" s="318" t="s">
        <v>116</v>
      </c>
      <c r="N354" s="318" t="s">
        <v>31</v>
      </c>
      <c r="O354" s="318" t="s">
        <v>987</v>
      </c>
      <c r="P354" s="318" t="s">
        <v>216</v>
      </c>
      <c r="Q354" s="318" t="s">
        <v>283</v>
      </c>
      <c r="R354" s="318" t="s">
        <v>101</v>
      </c>
      <c r="S354" s="318" t="s">
        <v>165</v>
      </c>
      <c r="T354" s="318" t="s">
        <v>116</v>
      </c>
      <c r="U354" s="318" t="n">
        <v>5230747</v>
      </c>
      <c r="V354" s="318" t="n">
        <v>37</v>
      </c>
      <c r="W354" s="318" t="s">
        <v>49</v>
      </c>
      <c r="X354" s="318" t="s">
        <v>987</v>
      </c>
      <c r="Y354" s="318" t="s">
        <v>215</v>
      </c>
      <c r="Z354" s="318" t="s">
        <v>283</v>
      </c>
      <c r="AA354" s="318" t="s">
        <v>101</v>
      </c>
      <c r="AB354" s="318" t="s">
        <v>165</v>
      </c>
      <c r="AC354" s="318" t="s">
        <v>116</v>
      </c>
      <c r="AD354" s="318" t="n">
        <v>5230821</v>
      </c>
      <c r="AE354" s="318" t="n">
        <v>41</v>
      </c>
      <c r="AF354" s="114" t="s">
        <v>56</v>
      </c>
      <c r="AG354" s="318" t="s">
        <v>987</v>
      </c>
      <c r="AH354" s="318" t="s">
        <v>233</v>
      </c>
      <c r="AI354" s="318" t="s">
        <v>283</v>
      </c>
      <c r="AJ354" s="318" t="s">
        <v>101</v>
      </c>
      <c r="AK354" s="318" t="s">
        <v>165</v>
      </c>
      <c r="AL354" s="318" t="s">
        <v>116</v>
      </c>
      <c r="AM354" s="318"/>
      <c r="AN354" s="318"/>
      <c r="AO354" s="318"/>
      <c r="AP354" s="318"/>
      <c r="AQ354" s="318"/>
      <c r="AR354" s="6" t="s">
        <v>139</v>
      </c>
    </row>
    <row r="355" ht="26.25" customHeight="1">
      <c r="A355" s="318" t="s">
        <v>54</v>
      </c>
      <c r="B355" s="318" t="n">
        <v>4581996547</v>
      </c>
      <c r="C355" s="318" t="s">
        <v>842</v>
      </c>
      <c r="D355" s="318" t="s">
        <v>57</v>
      </c>
      <c r="E355" s="318" t="s">
        <v>109</v>
      </c>
      <c r="F355" s="318"/>
      <c r="G355" s="318" t="s">
        <v>847</v>
      </c>
      <c r="H355" s="318" t="s">
        <v>165</v>
      </c>
      <c r="I355" s="318" t="s">
        <v>101</v>
      </c>
      <c r="J355" s="318" t="n">
        <v>5111035</v>
      </c>
      <c r="K355" s="318" t="s">
        <v>126</v>
      </c>
      <c r="L355" s="318" t="n">
        <v>60</v>
      </c>
      <c r="M355" s="318" t="n">
        <v>80</v>
      </c>
      <c r="N355" s="318" t="s">
        <v>35</v>
      </c>
      <c r="O355" s="318" t="s">
        <v>986</v>
      </c>
      <c r="P355" s="318" t="s">
        <v>233</v>
      </c>
      <c r="Q355" s="318" t="s">
        <v>234</v>
      </c>
      <c r="R355" s="318" t="s">
        <v>101</v>
      </c>
      <c r="S355" s="318" t="s">
        <v>165</v>
      </c>
      <c r="T355" s="318" t="s">
        <v>116</v>
      </c>
      <c r="U355" s="318" t="n">
        <v>5230747</v>
      </c>
      <c r="V355" s="318" t="n">
        <v>0</v>
      </c>
      <c r="W355" s="318" t="s">
        <v>49</v>
      </c>
      <c r="X355" s="318" t="s">
        <v>987</v>
      </c>
      <c r="Y355" s="318" t="s">
        <v>215</v>
      </c>
      <c r="Z355" s="318" t="s">
        <v>283</v>
      </c>
      <c r="AA355" s="318" t="s">
        <v>101</v>
      </c>
      <c r="AB355" s="318" t="s">
        <v>165</v>
      </c>
      <c r="AC355" s="318" t="s">
        <v>116</v>
      </c>
      <c r="AD355" s="318" t="n">
        <v>4513388</v>
      </c>
      <c r="AE355" s="318" t="n">
        <v>27.5</v>
      </c>
      <c r="AF355" s="114" t="s">
        <v>56</v>
      </c>
      <c r="AG355" s="318" t="s">
        <v>985</v>
      </c>
      <c r="AH355" s="318" t="s">
        <v>216</v>
      </c>
      <c r="AI355" s="318" t="s">
        <v>283</v>
      </c>
      <c r="AJ355" s="318" t="s">
        <v>101</v>
      </c>
      <c r="AK355" s="318" t="s">
        <v>165</v>
      </c>
      <c r="AL355" s="318" t="s">
        <v>116</v>
      </c>
      <c r="AM355" s="318"/>
      <c r="AN355" s="318"/>
      <c r="AO355" s="318"/>
      <c r="AP355" s="318"/>
      <c r="AQ355" s="318"/>
      <c r="AR355" s="6" t="s">
        <v>139</v>
      </c>
    </row>
    <row r="356" ht="26.25" customHeight="1">
      <c r="A356" s="318" t="s">
        <v>45</v>
      </c>
      <c r="B356" s="318" t="n">
        <v>4819417495</v>
      </c>
      <c r="C356" s="318" t="s">
        <v>848</v>
      </c>
      <c r="D356" s="318" t="s">
        <v>46</v>
      </c>
      <c r="E356" s="318" t="s">
        <v>104</v>
      </c>
      <c r="F356" s="318"/>
      <c r="G356" s="318"/>
      <c r="H356" s="318" t="s">
        <v>165</v>
      </c>
      <c r="I356" s="318" t="s">
        <v>65</v>
      </c>
      <c r="J356" s="318" t="n">
        <v>5230719</v>
      </c>
      <c r="K356" s="318" t="s">
        <v>125</v>
      </c>
      <c r="L356" s="318" t="n">
        <v>80</v>
      </c>
      <c r="M356" s="318" t="s">
        <v>116</v>
      </c>
      <c r="N356" s="318" t="s">
        <v>31</v>
      </c>
      <c r="O356" s="318" t="s">
        <v>989</v>
      </c>
      <c r="P356" s="318" t="s">
        <v>216</v>
      </c>
      <c r="Q356" s="318" t="s">
        <v>234</v>
      </c>
      <c r="R356" s="318" t="s">
        <v>65</v>
      </c>
      <c r="S356" s="318" t="s">
        <v>165</v>
      </c>
      <c r="T356" s="318" t="s">
        <v>116</v>
      </c>
      <c r="U356" s="318" t="n">
        <v>5230828</v>
      </c>
      <c r="V356" s="318" t="n">
        <v>30</v>
      </c>
      <c r="W356" s="318" t="s">
        <v>43</v>
      </c>
      <c r="X356" s="318" t="s">
        <v>989</v>
      </c>
      <c r="Y356" s="318" t="s">
        <v>215</v>
      </c>
      <c r="Z356" s="318" t="s">
        <v>283</v>
      </c>
      <c r="AA356" s="318" t="s">
        <v>65</v>
      </c>
      <c r="AB356" s="318" t="s">
        <v>165</v>
      </c>
      <c r="AC356" s="318" t="s">
        <v>116</v>
      </c>
      <c r="AD356" s="318" t="n">
        <v>3132869</v>
      </c>
      <c r="AE356" s="318" t="n">
        <v>30</v>
      </c>
      <c r="AF356" s="114" t="s">
        <v>58</v>
      </c>
      <c r="AG356" s="318" t="s">
        <v>989</v>
      </c>
      <c r="AH356" s="318" t="s">
        <v>233</v>
      </c>
      <c r="AI356" s="318" t="s">
        <v>283</v>
      </c>
      <c r="AJ356" s="318" t="s">
        <v>65</v>
      </c>
      <c r="AK356" s="318" t="s">
        <v>165</v>
      </c>
      <c r="AL356" s="318" t="s">
        <v>116</v>
      </c>
      <c r="AM356" s="318"/>
      <c r="AN356" s="318"/>
      <c r="AO356" s="318"/>
      <c r="AP356" s="318"/>
      <c r="AQ356" s="318"/>
      <c r="AR356" s="6" t="s">
        <v>139</v>
      </c>
    </row>
    <row r="357" ht="26.25" customHeight="1">
      <c r="A357" s="318" t="s">
        <v>45</v>
      </c>
      <c r="B357" s="318" t="n">
        <v>2579017054</v>
      </c>
      <c r="C357" s="318" t="s">
        <v>1277</v>
      </c>
      <c r="D357" s="318" t="s">
        <v>50</v>
      </c>
      <c r="E357" s="318" t="s">
        <v>104</v>
      </c>
      <c r="F357" s="318"/>
      <c r="G357" s="318"/>
      <c r="H357" s="318" t="s">
        <v>1123</v>
      </c>
      <c r="I357" s="318" t="s">
        <v>116</v>
      </c>
      <c r="J357" s="318" t="n">
        <v>5230719</v>
      </c>
      <c r="K357" s="318" t="s">
        <v>116</v>
      </c>
      <c r="L357" s="318" t="s">
        <v>116</v>
      </c>
      <c r="M357" s="318" t="s">
        <v>116</v>
      </c>
      <c r="N357" s="318" t="s">
        <v>31</v>
      </c>
      <c r="O357" s="318" t="s">
        <v>989</v>
      </c>
      <c r="P357" s="318" t="s">
        <v>216</v>
      </c>
      <c r="Q357" s="318" t="s">
        <v>234</v>
      </c>
      <c r="R357" s="318" t="s">
        <v>65</v>
      </c>
      <c r="S357" s="318" t="s">
        <v>444</v>
      </c>
      <c r="T357" s="318" t="s">
        <v>116</v>
      </c>
      <c r="U357" s="318" t="n">
        <v>5230828</v>
      </c>
      <c r="V357" s="318"/>
      <c r="W357" s="318" t="s">
        <v>43</v>
      </c>
      <c r="X357" s="318" t="s">
        <v>989</v>
      </c>
      <c r="Y357" s="318" t="s">
        <v>215</v>
      </c>
      <c r="Z357" s="318" t="s">
        <v>283</v>
      </c>
      <c r="AA357" s="318" t="s">
        <v>65</v>
      </c>
      <c r="AB357" s="318" t="s">
        <v>444</v>
      </c>
      <c r="AC357" s="318" t="s">
        <v>116</v>
      </c>
      <c r="AD357" s="318" t="n">
        <v>3132869</v>
      </c>
      <c r="AE357" s="318"/>
      <c r="AF357" s="114" t="s">
        <v>58</v>
      </c>
      <c r="AG357" s="318" t="s">
        <v>989</v>
      </c>
      <c r="AH357" s="318" t="s">
        <v>233</v>
      </c>
      <c r="AI357" s="318" t="s">
        <v>283</v>
      </c>
      <c r="AJ357" s="318" t="s">
        <v>65</v>
      </c>
      <c r="AK357" s="318" t="s">
        <v>444</v>
      </c>
      <c r="AL357" s="318" t="s">
        <v>116</v>
      </c>
      <c r="AM357" s="318"/>
      <c r="AN357" s="318"/>
      <c r="AO357" s="318"/>
      <c r="AP357" s="318"/>
      <c r="AQ357" s="318"/>
      <c r="AR357" s="6" t="s">
        <v>1124</v>
      </c>
    </row>
    <row r="358" ht="26.25" customHeight="1">
      <c r="A358" s="318" t="s">
        <v>54</v>
      </c>
      <c r="B358" s="318" t="n">
        <v>2549336119</v>
      </c>
      <c r="C358" s="318" t="s">
        <v>1278</v>
      </c>
      <c r="D358" s="318" t="s">
        <v>46</v>
      </c>
      <c r="E358" s="318" t="s">
        <v>104</v>
      </c>
      <c r="F358" s="318"/>
      <c r="G358" s="318"/>
      <c r="H358" s="318" t="s">
        <v>1123</v>
      </c>
      <c r="I358" s="318" t="s">
        <v>116</v>
      </c>
      <c r="J358" s="318" t="n">
        <v>5111035</v>
      </c>
      <c r="K358" s="318" t="s">
        <v>125</v>
      </c>
      <c r="L358" s="318" t="n">
        <v>120</v>
      </c>
      <c r="M358" s="318" t="s">
        <v>116</v>
      </c>
      <c r="N358" s="318" t="s">
        <v>35</v>
      </c>
      <c r="O358" s="318" t="s">
        <v>986</v>
      </c>
      <c r="P358" s="318" t="s">
        <v>233</v>
      </c>
      <c r="Q358" s="318" t="s">
        <v>234</v>
      </c>
      <c r="R358" s="318" t="s">
        <v>101</v>
      </c>
      <c r="S358" s="318" t="s">
        <v>444</v>
      </c>
      <c r="T358" s="318" t="s">
        <v>116</v>
      </c>
      <c r="U358" s="318" t="n">
        <v>5230747</v>
      </c>
      <c r="V358" s="318" t="n">
        <v>26</v>
      </c>
      <c r="W358" s="318" t="s">
        <v>49</v>
      </c>
      <c r="X358" s="318" t="s">
        <v>987</v>
      </c>
      <c r="Y358" s="318" t="s">
        <v>215</v>
      </c>
      <c r="Z358" s="318" t="s">
        <v>283</v>
      </c>
      <c r="AA358" s="318" t="s">
        <v>101</v>
      </c>
      <c r="AB358" s="318" t="s">
        <v>444</v>
      </c>
      <c r="AC358" s="318" t="s">
        <v>116</v>
      </c>
      <c r="AD358" s="318" t="n">
        <v>4513388</v>
      </c>
      <c r="AE358" s="318" t="n">
        <v>48</v>
      </c>
      <c r="AF358" s="114" t="s">
        <v>56</v>
      </c>
      <c r="AG358" s="318" t="s">
        <v>985</v>
      </c>
      <c r="AH358" s="318" t="s">
        <v>216</v>
      </c>
      <c r="AI358" s="318" t="s">
        <v>283</v>
      </c>
      <c r="AJ358" s="318" t="s">
        <v>101</v>
      </c>
      <c r="AK358" s="318" t="s">
        <v>444</v>
      </c>
      <c r="AL358" s="318" t="s">
        <v>116</v>
      </c>
      <c r="AM358" s="318"/>
      <c r="AN358" s="318"/>
      <c r="AO358" s="318"/>
      <c r="AP358" s="318"/>
      <c r="AQ358" s="318"/>
      <c r="AR358" s="6" t="s">
        <v>139</v>
      </c>
    </row>
    <row r="359" ht="26.25" customHeight="1">
      <c r="A359" s="318" t="s">
        <v>45</v>
      </c>
      <c r="B359" s="318" t="n">
        <v>4149020827</v>
      </c>
      <c r="C359" s="318" t="s">
        <v>854</v>
      </c>
      <c r="D359" s="318" t="s">
        <v>46</v>
      </c>
      <c r="E359" s="318" t="s">
        <v>104</v>
      </c>
      <c r="F359" s="318"/>
      <c r="G359" s="318"/>
      <c r="H359" s="318" t="s">
        <v>165</v>
      </c>
      <c r="I359" s="318" t="s">
        <v>65</v>
      </c>
      <c r="J359" s="318" t="n">
        <v>5230719</v>
      </c>
      <c r="K359" s="318" t="s">
        <v>125</v>
      </c>
      <c r="L359" s="318" t="n">
        <v>75</v>
      </c>
      <c r="M359" s="318" t="s">
        <v>116</v>
      </c>
      <c r="N359" s="318" t="s">
        <v>31</v>
      </c>
      <c r="O359" s="318" t="s">
        <v>989</v>
      </c>
      <c r="P359" s="318" t="s">
        <v>216</v>
      </c>
      <c r="Q359" s="318" t="s">
        <v>234</v>
      </c>
      <c r="R359" s="318" t="s">
        <v>65</v>
      </c>
      <c r="S359" s="318" t="s">
        <v>165</v>
      </c>
      <c r="T359" s="318" t="s">
        <v>116</v>
      </c>
      <c r="U359" s="318" t="n">
        <v>5230828</v>
      </c>
      <c r="V359" s="318" t="n">
        <v>31</v>
      </c>
      <c r="W359" s="318" t="s">
        <v>43</v>
      </c>
      <c r="X359" s="318" t="s">
        <v>989</v>
      </c>
      <c r="Y359" s="318" t="s">
        <v>215</v>
      </c>
      <c r="Z359" s="318" t="s">
        <v>283</v>
      </c>
      <c r="AA359" s="318" t="s">
        <v>65</v>
      </c>
      <c r="AB359" s="318" t="s">
        <v>165</v>
      </c>
      <c r="AC359" s="318" t="s">
        <v>116</v>
      </c>
      <c r="AD359" s="318" t="n">
        <v>3132869</v>
      </c>
      <c r="AE359" s="318" t="n">
        <v>31</v>
      </c>
      <c r="AF359" s="114" t="s">
        <v>58</v>
      </c>
      <c r="AG359" s="318" t="s">
        <v>989</v>
      </c>
      <c r="AH359" s="318" t="s">
        <v>233</v>
      </c>
      <c r="AI359" s="318" t="s">
        <v>283</v>
      </c>
      <c r="AJ359" s="318" t="s">
        <v>65</v>
      </c>
      <c r="AK359" s="318" t="s">
        <v>165</v>
      </c>
      <c r="AL359" s="318" t="s">
        <v>116</v>
      </c>
      <c r="AM359" s="318"/>
      <c r="AN359" s="318"/>
      <c r="AO359" s="318"/>
      <c r="AP359" s="476"/>
      <c r="AQ359" s="476"/>
      <c r="AR359" s="6" t="s">
        <v>139</v>
      </c>
    </row>
    <row r="360" ht="26.25" customHeight="1">
      <c r="A360" s="318" t="s">
        <v>54</v>
      </c>
      <c r="B360" s="318" t="n">
        <v>2577817187</v>
      </c>
      <c r="C360" s="318" t="s">
        <v>377</v>
      </c>
      <c r="D360" s="318" t="s">
        <v>57</v>
      </c>
      <c r="E360" s="318" t="s">
        <v>104</v>
      </c>
      <c r="F360" s="318"/>
      <c r="G360" s="318"/>
      <c r="H360" s="318" t="s">
        <v>165</v>
      </c>
      <c r="I360" s="318" t="s">
        <v>101</v>
      </c>
      <c r="J360" s="318" t="n">
        <v>5111035</v>
      </c>
      <c r="K360" s="318" t="s">
        <v>126</v>
      </c>
      <c r="L360" s="318" t="n">
        <v>64</v>
      </c>
      <c r="M360" s="318" t="n">
        <v>85</v>
      </c>
      <c r="N360" s="318" t="s">
        <v>35</v>
      </c>
      <c r="O360" s="318" t="s">
        <v>986</v>
      </c>
      <c r="P360" s="318" t="s">
        <v>233</v>
      </c>
      <c r="Q360" s="318" t="s">
        <v>234</v>
      </c>
      <c r="R360" s="318" t="s">
        <v>101</v>
      </c>
      <c r="S360" s="318" t="s">
        <v>165</v>
      </c>
      <c r="T360" s="318" t="s">
        <v>116</v>
      </c>
      <c r="U360" s="318" t="n">
        <v>5230747</v>
      </c>
      <c r="V360" s="318" t="n">
        <v>0</v>
      </c>
      <c r="W360" s="318" t="s">
        <v>49</v>
      </c>
      <c r="X360" s="318" t="s">
        <v>987</v>
      </c>
      <c r="Y360" s="318" t="s">
        <v>215</v>
      </c>
      <c r="Z360" s="318" t="s">
        <v>283</v>
      </c>
      <c r="AA360" s="318" t="s">
        <v>101</v>
      </c>
      <c r="AB360" s="318" t="s">
        <v>165</v>
      </c>
      <c r="AC360" s="318" t="s">
        <v>116</v>
      </c>
      <c r="AD360" s="318" t="n">
        <v>4513388</v>
      </c>
      <c r="AE360" s="318" t="n">
        <v>28</v>
      </c>
      <c r="AF360" s="114" t="s">
        <v>56</v>
      </c>
      <c r="AG360" s="318" t="s">
        <v>985</v>
      </c>
      <c r="AH360" s="318" t="s">
        <v>216</v>
      </c>
      <c r="AI360" s="318" t="s">
        <v>283</v>
      </c>
      <c r="AJ360" s="318" t="s">
        <v>101</v>
      </c>
      <c r="AK360" s="318" t="s">
        <v>165</v>
      </c>
      <c r="AL360" s="318" t="s">
        <v>116</v>
      </c>
      <c r="AM360" s="318"/>
      <c r="AN360" s="318"/>
      <c r="AO360" s="318"/>
      <c r="AP360" s="476"/>
      <c r="AQ360" s="476"/>
      <c r="AR360" s="6" t="s">
        <v>139</v>
      </c>
    </row>
    <row r="361" ht="26.25" customHeight="1">
      <c r="A361" s="318" t="s">
        <v>54</v>
      </c>
      <c r="B361" s="318" t="n">
        <v>2963993497</v>
      </c>
      <c r="C361" s="318" t="s">
        <v>1279</v>
      </c>
      <c r="D361" s="318" t="s">
        <v>57</v>
      </c>
      <c r="E361" s="318" t="s">
        <v>106</v>
      </c>
      <c r="F361" s="318"/>
      <c r="G361" s="318"/>
      <c r="H361" s="318" t="s">
        <v>165</v>
      </c>
      <c r="I361" s="318" t="s">
        <v>100</v>
      </c>
      <c r="J361" s="318" t="n">
        <v>5111034</v>
      </c>
      <c r="K361" s="318" t="s">
        <v>125</v>
      </c>
      <c r="L361" s="318" t="n">
        <v>65</v>
      </c>
      <c r="M361" s="318" t="s">
        <v>116</v>
      </c>
      <c r="N361" s="318" t="s">
        <v>37</v>
      </c>
      <c r="O361" s="318" t="s">
        <v>1030</v>
      </c>
      <c r="P361" s="318" t="s">
        <v>216</v>
      </c>
      <c r="Q361" s="318" t="s">
        <v>283</v>
      </c>
      <c r="R361" s="318" t="s">
        <v>100</v>
      </c>
      <c r="S361" s="318" t="s">
        <v>165</v>
      </c>
      <c r="T361" s="318" t="s">
        <v>116</v>
      </c>
      <c r="U361" s="318" t="n">
        <v>4513342</v>
      </c>
      <c r="V361" s="318" t="n">
        <v>28</v>
      </c>
      <c r="W361" s="318" t="s">
        <v>43</v>
      </c>
      <c r="X361" s="318" t="s">
        <v>1030</v>
      </c>
      <c r="Y361" s="318" t="s">
        <v>215</v>
      </c>
      <c r="Z361" s="318" t="s">
        <v>283</v>
      </c>
      <c r="AA361" s="318" t="s">
        <v>100</v>
      </c>
      <c r="AB361" s="318" t="s">
        <v>165</v>
      </c>
      <c r="AC361" s="318" t="s">
        <v>217</v>
      </c>
      <c r="AD361" s="318" t="n">
        <v>4513340</v>
      </c>
      <c r="AE361" s="318" t="n">
        <v>32.5</v>
      </c>
      <c r="AF361" s="114" t="s">
        <v>58</v>
      </c>
      <c r="AG361" s="318" t="s">
        <v>1030</v>
      </c>
      <c r="AH361" s="318" t="s">
        <v>233</v>
      </c>
      <c r="AI361" s="318" t="s">
        <v>283</v>
      </c>
      <c r="AJ361" s="318" t="s">
        <v>100</v>
      </c>
      <c r="AK361" s="318" t="s">
        <v>165</v>
      </c>
      <c r="AL361" s="318" t="s">
        <v>116</v>
      </c>
      <c r="AM361" s="318"/>
      <c r="AN361" s="318" t="s">
        <v>217</v>
      </c>
      <c r="AO361" s="318" t="s">
        <v>218</v>
      </c>
      <c r="AP361" s="318"/>
      <c r="AQ361" s="318"/>
      <c r="AR361" s="6" t="s">
        <v>138</v>
      </c>
      <c r="AS361" s="6" t="s">
        <v>217</v>
      </c>
    </row>
    <row r="362" ht="26.25" customHeight="1">
      <c r="A362" s="318" t="s">
        <v>45</v>
      </c>
      <c r="B362" s="318" t="n">
        <v>4024784462</v>
      </c>
      <c r="C362" s="318" t="s">
        <v>1280</v>
      </c>
      <c r="D362" s="318" t="s">
        <v>1266</v>
      </c>
      <c r="E362" s="318" t="s">
        <v>106</v>
      </c>
      <c r="F362" s="318"/>
      <c r="G362" s="318"/>
      <c r="H362" s="318" t="s">
        <v>165</v>
      </c>
      <c r="I362" s="318" t="s">
        <v>88</v>
      </c>
      <c r="J362" s="318" t="n">
        <v>3132897</v>
      </c>
      <c r="K362" s="318" t="s">
        <v>124</v>
      </c>
      <c r="L362" s="318" t="n">
        <v>70</v>
      </c>
      <c r="M362" s="318" t="s">
        <v>116</v>
      </c>
      <c r="N362" s="318" t="s">
        <v>31</v>
      </c>
      <c r="O362" s="318" t="s">
        <v>989</v>
      </c>
      <c r="P362" s="318" t="s">
        <v>215</v>
      </c>
      <c r="Q362" s="318" t="s">
        <v>283</v>
      </c>
      <c r="R362" s="318" t="s">
        <v>88</v>
      </c>
      <c r="S362" s="318" t="s">
        <v>165</v>
      </c>
      <c r="T362" s="318" t="s">
        <v>217</v>
      </c>
      <c r="U362" s="318" t="n">
        <v>5230722</v>
      </c>
      <c r="V362" s="318" t="n">
        <v>0</v>
      </c>
      <c r="W362" s="318" t="s">
        <v>47</v>
      </c>
      <c r="X362" s="318" t="s">
        <v>989</v>
      </c>
      <c r="Y362" s="318" t="s">
        <v>233</v>
      </c>
      <c r="Z362" s="318" t="s">
        <v>283</v>
      </c>
      <c r="AA362" s="318" t="s">
        <v>88</v>
      </c>
      <c r="AB362" s="318" t="s">
        <v>165</v>
      </c>
      <c r="AC362" s="318" t="s">
        <v>116</v>
      </c>
      <c r="AD362" s="318" t="n">
        <v>5230737</v>
      </c>
      <c r="AE362" s="318" t="n">
        <v>0</v>
      </c>
      <c r="AF362" s="114" t="s">
        <v>58</v>
      </c>
      <c r="AG362" s="318" t="s">
        <v>989</v>
      </c>
      <c r="AH362" s="318" t="s">
        <v>216</v>
      </c>
      <c r="AI362" s="318" t="s">
        <v>283</v>
      </c>
      <c r="AJ362" s="318" t="s">
        <v>88</v>
      </c>
      <c r="AK362" s="318" t="s">
        <v>165</v>
      </c>
      <c r="AL362" s="318" t="s">
        <v>217</v>
      </c>
      <c r="AM362" s="318" t="s">
        <v>217</v>
      </c>
      <c r="AN362" s="318" t="s">
        <v>217</v>
      </c>
      <c r="AO362" s="318" t="s">
        <v>218</v>
      </c>
      <c r="AP362" s="476" t="s">
        <v>217</v>
      </c>
      <c r="AQ362" s="476" t="s">
        <v>217</v>
      </c>
      <c r="AR362" s="6" t="s">
        <v>138</v>
      </c>
      <c r="AS362" s="6" t="s">
        <v>217</v>
      </c>
    </row>
    <row r="363" ht="26.25" customHeight="1">
      <c r="A363" s="318" t="s">
        <v>45</v>
      </c>
      <c r="B363" s="318" t="n">
        <v>4247653400</v>
      </c>
      <c r="C363" s="318" t="s">
        <v>862</v>
      </c>
      <c r="D363" s="318" t="s">
        <v>48</v>
      </c>
      <c r="E363" s="318" t="s">
        <v>106</v>
      </c>
      <c r="F363" s="318"/>
      <c r="G363" s="318"/>
      <c r="H363" s="318" t="s">
        <v>165</v>
      </c>
      <c r="I363" s="318" t="s">
        <v>1190</v>
      </c>
      <c r="J363" s="318" t="n">
        <v>5230719</v>
      </c>
      <c r="K363" s="318" t="s">
        <v>124</v>
      </c>
      <c r="L363" s="318" t="n">
        <v>65</v>
      </c>
      <c r="M363" s="318" t="s">
        <v>116</v>
      </c>
      <c r="N363" s="114" t="s">
        <v>31</v>
      </c>
      <c r="O363" s="318" t="s">
        <v>989</v>
      </c>
      <c r="P363" s="318" t="s">
        <v>216</v>
      </c>
      <c r="Q363" s="318" t="s">
        <v>234</v>
      </c>
      <c r="R363" s="318" t="s">
        <v>65</v>
      </c>
      <c r="S363" s="318" t="s">
        <v>165</v>
      </c>
      <c r="T363" s="318" t="s">
        <v>217</v>
      </c>
      <c r="U363" s="318" t="n">
        <v>5230828</v>
      </c>
      <c r="V363" s="318" t="n">
        <v>0</v>
      </c>
      <c r="W363" s="318" t="s">
        <v>43</v>
      </c>
      <c r="X363" s="318" t="s">
        <v>989</v>
      </c>
      <c r="Y363" s="318" t="s">
        <v>215</v>
      </c>
      <c r="Z363" s="318" t="s">
        <v>283</v>
      </c>
      <c r="AA363" s="318" t="s">
        <v>65</v>
      </c>
      <c r="AB363" s="318" t="s">
        <v>165</v>
      </c>
      <c r="AC363" s="318" t="s">
        <v>217</v>
      </c>
      <c r="AD363" s="318" t="n">
        <v>5230765</v>
      </c>
      <c r="AE363" s="318" t="n">
        <v>0</v>
      </c>
      <c r="AF363" s="114" t="s">
        <v>52</v>
      </c>
      <c r="AG363" s="318" t="s">
        <v>997</v>
      </c>
      <c r="AH363" s="318" t="s">
        <v>215</v>
      </c>
      <c r="AI363" s="318" t="s">
        <v>283</v>
      </c>
      <c r="AJ363" s="318" t="s">
        <v>88</v>
      </c>
      <c r="AK363" s="318" t="s">
        <v>165</v>
      </c>
      <c r="AL363" s="318" t="s">
        <v>116</v>
      </c>
      <c r="AM363" s="318" t="s">
        <v>217</v>
      </c>
      <c r="AN363" s="318" t="s">
        <v>217</v>
      </c>
      <c r="AO363" s="318" t="s">
        <v>218</v>
      </c>
      <c r="AP363" s="318" t="s">
        <v>218</v>
      </c>
      <c r="AQ363" s="318" t="s">
        <v>218</v>
      </c>
      <c r="AR363" s="6" t="s">
        <v>138</v>
      </c>
      <c r="AS363" s="6" t="s">
        <v>217</v>
      </c>
    </row>
    <row r="364" ht="26.25" customHeight="1">
      <c r="A364" s="318" t="s">
        <v>54</v>
      </c>
      <c r="B364" s="318" t="n">
        <v>4817463167</v>
      </c>
      <c r="C364" s="318" t="s">
        <v>1281</v>
      </c>
      <c r="D364" s="318" t="s">
        <v>34</v>
      </c>
      <c r="E364" s="318" t="s">
        <v>104</v>
      </c>
      <c r="F364" s="318"/>
      <c r="G364" s="318"/>
      <c r="H364" s="318" t="s">
        <v>165</v>
      </c>
      <c r="I364" s="318" t="s">
        <v>101</v>
      </c>
      <c r="J364" s="318" t="n">
        <v>3132902</v>
      </c>
      <c r="K364" s="318" t="s">
        <v>125</v>
      </c>
      <c r="L364" s="318" t="n">
        <v>57</v>
      </c>
      <c r="M364" s="318" t="s">
        <v>116</v>
      </c>
      <c r="N364" s="318" t="s">
        <v>31</v>
      </c>
      <c r="O364" s="318" t="s">
        <v>987</v>
      </c>
      <c r="P364" s="318" t="s">
        <v>216</v>
      </c>
      <c r="Q364" s="318" t="s">
        <v>283</v>
      </c>
      <c r="R364" s="318" t="s">
        <v>101</v>
      </c>
      <c r="S364" s="318" t="s">
        <v>165</v>
      </c>
      <c r="T364" s="318" t="s">
        <v>116</v>
      </c>
      <c r="U364" s="318" t="n">
        <v>5230747</v>
      </c>
      <c r="V364" s="318" t="n">
        <v>0</v>
      </c>
      <c r="W364" s="318" t="s">
        <v>49</v>
      </c>
      <c r="X364" s="318" t="s">
        <v>987</v>
      </c>
      <c r="Y364" s="318" t="s">
        <v>215</v>
      </c>
      <c r="Z364" s="318" t="s">
        <v>283</v>
      </c>
      <c r="AA364" s="318" t="s">
        <v>101</v>
      </c>
      <c r="AB364" s="318" t="s">
        <v>165</v>
      </c>
      <c r="AC364" s="318" t="s">
        <v>116</v>
      </c>
      <c r="AD364" s="318" t="n">
        <v>5230821</v>
      </c>
      <c r="AE364" s="318" t="n">
        <v>29</v>
      </c>
      <c r="AF364" s="318" t="s">
        <v>56</v>
      </c>
      <c r="AG364" s="318" t="s">
        <v>987</v>
      </c>
      <c r="AH364" s="318" t="s">
        <v>233</v>
      </c>
      <c r="AI364" s="318" t="s">
        <v>283</v>
      </c>
      <c r="AJ364" s="318" t="s">
        <v>101</v>
      </c>
      <c r="AK364" s="318" t="s">
        <v>165</v>
      </c>
      <c r="AL364" s="318" t="s">
        <v>116</v>
      </c>
      <c r="AM364" s="318"/>
      <c r="AN364" s="318"/>
      <c r="AO364" s="318"/>
      <c r="AP364" s="318"/>
      <c r="AQ364" s="318"/>
      <c r="AR364" s="6" t="s">
        <v>139</v>
      </c>
    </row>
    <row r="365" ht="26.25" customHeight="1">
      <c r="A365" s="318" t="s">
        <v>54</v>
      </c>
      <c r="B365" s="318" t="n">
        <v>2748777690</v>
      </c>
      <c r="C365" s="318" t="s">
        <v>1282</v>
      </c>
      <c r="D365" s="318" t="s">
        <v>57</v>
      </c>
      <c r="E365" s="318" t="s">
        <v>106</v>
      </c>
      <c r="F365" s="318"/>
      <c r="G365" s="318"/>
      <c r="H365" s="318" t="s">
        <v>165</v>
      </c>
      <c r="I365" s="318" t="s">
        <v>88</v>
      </c>
      <c r="J365" s="318" t="n">
        <v>3132880</v>
      </c>
      <c r="K365" s="318" t="s">
        <v>125</v>
      </c>
      <c r="L365" s="318" t="n">
        <v>90</v>
      </c>
      <c r="M365" s="318" t="s">
        <v>116</v>
      </c>
      <c r="N365" s="318" t="s">
        <v>31</v>
      </c>
      <c r="O365" s="318" t="s">
        <v>986</v>
      </c>
      <c r="P365" s="318" t="s">
        <v>233</v>
      </c>
      <c r="Q365" s="318" t="s">
        <v>234</v>
      </c>
      <c r="R365" s="318" t="s">
        <v>88</v>
      </c>
      <c r="S365" s="318" t="s">
        <v>165</v>
      </c>
      <c r="T365" s="318" t="s">
        <v>217</v>
      </c>
      <c r="U365" s="318" t="n">
        <v>3132859</v>
      </c>
      <c r="V365" s="318" t="n">
        <v>0</v>
      </c>
      <c r="W365" s="318" t="s">
        <v>43</v>
      </c>
      <c r="X365" s="318" t="s">
        <v>986</v>
      </c>
      <c r="Y365" s="318" t="s">
        <v>215</v>
      </c>
      <c r="Z365" s="318" t="s">
        <v>283</v>
      </c>
      <c r="AA365" s="318" t="s">
        <v>88</v>
      </c>
      <c r="AB365" s="318" t="s">
        <v>165</v>
      </c>
      <c r="AC365" s="318" t="s">
        <v>217</v>
      </c>
      <c r="AD365" s="318" t="n">
        <v>5230727</v>
      </c>
      <c r="AE365" s="318" t="n">
        <v>27.5</v>
      </c>
      <c r="AF365" s="318" t="s">
        <v>56</v>
      </c>
      <c r="AG365" s="318" t="s">
        <v>986</v>
      </c>
      <c r="AH365" s="318" t="s">
        <v>216</v>
      </c>
      <c r="AI365" s="318" t="s">
        <v>283</v>
      </c>
      <c r="AJ365" s="318" t="s">
        <v>88</v>
      </c>
      <c r="AK365" s="318" t="s">
        <v>165</v>
      </c>
      <c r="AL365" s="318" t="s">
        <v>217</v>
      </c>
      <c r="AM365" s="318" t="s">
        <v>217</v>
      </c>
      <c r="AN365" s="318" t="s">
        <v>217</v>
      </c>
      <c r="AO365" s="318" t="s">
        <v>217</v>
      </c>
      <c r="AP365" s="318" t="s">
        <v>217</v>
      </c>
      <c r="AQ365" s="318" t="s">
        <v>217</v>
      </c>
      <c r="AR365" s="6" t="s">
        <v>138</v>
      </c>
      <c r="AS365" s="6" t="s">
        <v>217</v>
      </c>
    </row>
    <row r="366" ht="26.25" customHeight="1">
      <c r="A366" s="318" t="s">
        <v>54</v>
      </c>
      <c r="B366" s="318" t="n">
        <v>2625942958</v>
      </c>
      <c r="C366" s="318" t="s">
        <v>1283</v>
      </c>
      <c r="D366" s="318"/>
      <c r="E366" s="318" t="s">
        <v>106</v>
      </c>
      <c r="F366" s="318"/>
      <c r="G366" s="318"/>
      <c r="H366" s="318" t="s">
        <v>165</v>
      </c>
      <c r="I366" s="318" t="s">
        <v>100</v>
      </c>
      <c r="J366" s="318" t="s">
        <v>116</v>
      </c>
      <c r="K366" s="318"/>
      <c r="L366" s="318"/>
      <c r="M366" s="318"/>
      <c r="N366" s="114" t="s">
        <v>116</v>
      </c>
      <c r="O366" s="318" t="s">
        <v>116</v>
      </c>
      <c r="P366" s="318" t="s">
        <v>116</v>
      </c>
      <c r="Q366" s="318" t="s">
        <v>116</v>
      </c>
      <c r="R366" s="318" t="s">
        <v>116</v>
      </c>
      <c r="S366" s="318" t="s">
        <v>116</v>
      </c>
      <c r="T366" s="318" t="s">
        <v>116</v>
      </c>
      <c r="U366" s="318" t="n">
        <v>3132846</v>
      </c>
      <c r="V366" s="318"/>
      <c r="W366" s="318" t="s">
        <v>43</v>
      </c>
      <c r="X366" s="318" t="s">
        <v>987</v>
      </c>
      <c r="Y366" s="318" t="s">
        <v>216</v>
      </c>
      <c r="Z366" s="318" t="s">
        <v>283</v>
      </c>
      <c r="AA366" s="318" t="s">
        <v>100</v>
      </c>
      <c r="AB366" s="318" t="s">
        <v>165</v>
      </c>
      <c r="AC366" s="318" t="s">
        <v>217</v>
      </c>
      <c r="AD366" s="318" t="s">
        <v>116</v>
      </c>
      <c r="AE366" s="318"/>
      <c r="AF366" s="114" t="s">
        <v>116</v>
      </c>
      <c r="AG366" s="318" t="s">
        <v>116</v>
      </c>
      <c r="AH366" s="318" t="s">
        <v>116</v>
      </c>
      <c r="AI366" s="318" t="s">
        <v>116</v>
      </c>
      <c r="AJ366" s="318" t="s">
        <v>116</v>
      </c>
      <c r="AK366" s="318" t="s">
        <v>116</v>
      </c>
      <c r="AL366" s="318" t="s">
        <v>116</v>
      </c>
      <c r="AM366" s="318"/>
      <c r="AN366" s="318"/>
      <c r="AO366" s="318"/>
      <c r="AP366" s="318"/>
      <c r="AQ366" s="318"/>
      <c r="AR366" s="6" t="s">
        <v>138</v>
      </c>
      <c r="AS366" s="6" t="s">
        <v>217</v>
      </c>
    </row>
    <row r="367" ht="26.25" customHeight="1">
      <c r="A367" s="318" t="s">
        <v>45</v>
      </c>
      <c r="B367" s="318" t="n">
        <v>4709657503</v>
      </c>
      <c r="C367" s="318" t="s">
        <v>868</v>
      </c>
      <c r="D367" s="318"/>
      <c r="E367" s="318" t="s">
        <v>106</v>
      </c>
      <c r="F367" s="318"/>
      <c r="G367" s="318"/>
      <c r="H367" s="318" t="s">
        <v>165</v>
      </c>
      <c r="I367" s="318" t="s">
        <v>65</v>
      </c>
      <c r="J367" s="318" t="s">
        <v>116</v>
      </c>
      <c r="K367" s="318"/>
      <c r="L367" s="318"/>
      <c r="M367" s="318"/>
      <c r="N367" s="114" t="s">
        <v>116</v>
      </c>
      <c r="O367" s="318" t="s">
        <v>116</v>
      </c>
      <c r="P367" s="318" t="s">
        <v>116</v>
      </c>
      <c r="Q367" s="318" t="s">
        <v>116</v>
      </c>
      <c r="R367" s="318" t="s">
        <v>116</v>
      </c>
      <c r="S367" s="318" t="s">
        <v>116</v>
      </c>
      <c r="T367" s="318" t="s">
        <v>116</v>
      </c>
      <c r="U367" s="318" t="n">
        <v>5230828</v>
      </c>
      <c r="V367" s="318"/>
      <c r="W367" s="318" t="s">
        <v>43</v>
      </c>
      <c r="X367" s="318" t="s">
        <v>989</v>
      </c>
      <c r="Y367" s="318" t="s">
        <v>215</v>
      </c>
      <c r="Z367" s="318" t="s">
        <v>283</v>
      </c>
      <c r="AA367" s="318" t="s">
        <v>65</v>
      </c>
      <c r="AB367" s="318" t="s">
        <v>165</v>
      </c>
      <c r="AC367" s="318" t="s">
        <v>217</v>
      </c>
      <c r="AD367" s="318" t="s">
        <v>116</v>
      </c>
      <c r="AE367" s="318"/>
      <c r="AF367" s="114" t="s">
        <v>116</v>
      </c>
      <c r="AG367" s="318" t="s">
        <v>116</v>
      </c>
      <c r="AH367" s="318" t="s">
        <v>116</v>
      </c>
      <c r="AI367" s="318" t="s">
        <v>116</v>
      </c>
      <c r="AJ367" s="318" t="s">
        <v>116</v>
      </c>
      <c r="AK367" s="318" t="s">
        <v>116</v>
      </c>
      <c r="AL367" s="318" t="s">
        <v>116</v>
      </c>
      <c r="AM367" s="318"/>
      <c r="AN367" s="318"/>
      <c r="AO367" s="318"/>
      <c r="AP367" s="318"/>
      <c r="AQ367" s="318"/>
      <c r="AR367" s="6" t="s">
        <v>138</v>
      </c>
      <c r="AS367" s="6" t="s">
        <v>217</v>
      </c>
    </row>
    <row r="368" ht="26.25" customHeight="1">
      <c r="A368" s="318" t="s">
        <v>54</v>
      </c>
      <c r="B368" s="318" t="n">
        <v>2521677553</v>
      </c>
      <c r="C368" s="318" t="s">
        <v>1284</v>
      </c>
      <c r="D368" s="318" t="s">
        <v>59</v>
      </c>
      <c r="E368" s="318" t="s">
        <v>112</v>
      </c>
      <c r="F368" s="318"/>
      <c r="G368" s="318" t="s">
        <v>524</v>
      </c>
      <c r="H368" s="318" t="s">
        <v>165</v>
      </c>
      <c r="I368" s="318" t="s">
        <v>101</v>
      </c>
      <c r="J368" s="318" t="n">
        <v>3132902</v>
      </c>
      <c r="K368" s="318" t="s">
        <v>125</v>
      </c>
      <c r="L368" s="318" t="n">
        <v>43</v>
      </c>
      <c r="M368" s="318" t="s">
        <v>116</v>
      </c>
      <c r="N368" s="318" t="s">
        <v>31</v>
      </c>
      <c r="O368" s="318" t="s">
        <v>987</v>
      </c>
      <c r="P368" s="318" t="s">
        <v>216</v>
      </c>
      <c r="Q368" s="318" t="s">
        <v>283</v>
      </c>
      <c r="R368" s="318" t="s">
        <v>101</v>
      </c>
      <c r="S368" s="318" t="s">
        <v>165</v>
      </c>
      <c r="T368" s="318" t="s">
        <v>116</v>
      </c>
      <c r="U368" s="318" t="n">
        <v>5230747</v>
      </c>
      <c r="V368" s="318" t="n">
        <v>30</v>
      </c>
      <c r="W368" s="318" t="s">
        <v>49</v>
      </c>
      <c r="X368" s="318" t="s">
        <v>987</v>
      </c>
      <c r="Y368" s="318" t="s">
        <v>215</v>
      </c>
      <c r="Z368" s="318" t="s">
        <v>283</v>
      </c>
      <c r="AA368" s="318" t="s">
        <v>101</v>
      </c>
      <c r="AB368" s="318" t="s">
        <v>165</v>
      </c>
      <c r="AC368" s="318" t="s">
        <v>116</v>
      </c>
      <c r="AD368" s="318" t="n">
        <v>5230821</v>
      </c>
      <c r="AE368" s="318" t="n">
        <v>36.5</v>
      </c>
      <c r="AF368" s="114" t="s">
        <v>56</v>
      </c>
      <c r="AG368" s="318" t="s">
        <v>987</v>
      </c>
      <c r="AH368" s="318" t="s">
        <v>233</v>
      </c>
      <c r="AI368" s="318" t="s">
        <v>283</v>
      </c>
      <c r="AJ368" s="318" t="s">
        <v>101</v>
      </c>
      <c r="AK368" s="318" t="s">
        <v>165</v>
      </c>
      <c r="AL368" s="318" t="s">
        <v>116</v>
      </c>
      <c r="AM368" s="318"/>
      <c r="AN368" s="318"/>
      <c r="AO368" s="318"/>
      <c r="AP368" s="318"/>
      <c r="AQ368" s="318"/>
      <c r="AR368" s="6" t="s">
        <v>139</v>
      </c>
    </row>
    <row r="369" ht="26.25" customHeight="1">
      <c r="A369" s="318" t="s">
        <v>45</v>
      </c>
      <c r="B369" s="318" t="n">
        <v>4049364466</v>
      </c>
      <c r="C369" s="318" t="s">
        <v>1285</v>
      </c>
      <c r="D369" s="318" t="s">
        <v>48</v>
      </c>
      <c r="E369" s="318" t="s">
        <v>106</v>
      </c>
      <c r="F369" s="318" t="s">
        <v>1286</v>
      </c>
      <c r="G369" s="318"/>
      <c r="H369" s="318" t="s">
        <v>165</v>
      </c>
      <c r="I369" s="318" t="s">
        <v>100</v>
      </c>
      <c r="J369" s="318" t="n">
        <v>3132872</v>
      </c>
      <c r="K369" s="318" t="s">
        <v>124</v>
      </c>
      <c r="L369" s="318" t="n">
        <v>50</v>
      </c>
      <c r="M369" s="318" t="s">
        <v>116</v>
      </c>
      <c r="N369" s="318" t="s">
        <v>35</v>
      </c>
      <c r="O369" s="318" t="s">
        <v>989</v>
      </c>
      <c r="P369" s="318" t="s">
        <v>216</v>
      </c>
      <c r="Q369" s="318" t="s">
        <v>283</v>
      </c>
      <c r="R369" s="318" t="s">
        <v>100</v>
      </c>
      <c r="S369" s="318" t="s">
        <v>165</v>
      </c>
      <c r="T369" s="318" t="s">
        <v>116</v>
      </c>
      <c r="U369" s="318" t="n">
        <v>5230809</v>
      </c>
      <c r="V369" s="318" t="n">
        <v>0</v>
      </c>
      <c r="W369" s="318" t="s">
        <v>47</v>
      </c>
      <c r="X369" s="318" t="s">
        <v>989</v>
      </c>
      <c r="Y369" s="318" t="s">
        <v>215</v>
      </c>
      <c r="Z369" s="318" t="s">
        <v>283</v>
      </c>
      <c r="AA369" s="318" t="s">
        <v>100</v>
      </c>
      <c r="AB369" s="318" t="s">
        <v>165</v>
      </c>
      <c r="AC369" s="318" t="s">
        <v>116</v>
      </c>
      <c r="AD369" s="318" t="n">
        <v>3132893</v>
      </c>
      <c r="AE369" s="318" t="n">
        <v>0</v>
      </c>
      <c r="AF369" s="114" t="s">
        <v>52</v>
      </c>
      <c r="AG369" s="318" t="s">
        <v>989</v>
      </c>
      <c r="AH369" s="318" t="s">
        <v>233</v>
      </c>
      <c r="AI369" s="318" t="s">
        <v>283</v>
      </c>
      <c r="AJ369" s="318" t="s">
        <v>100</v>
      </c>
      <c r="AK369" s="318" t="s">
        <v>165</v>
      </c>
      <c r="AL369" s="318" t="s">
        <v>116</v>
      </c>
      <c r="AM369" s="318"/>
      <c r="AN369" s="318"/>
      <c r="AO369" s="318"/>
      <c r="AP369" s="476"/>
      <c r="AQ369" s="476"/>
      <c r="AR369" s="6" t="s">
        <v>138</v>
      </c>
    </row>
    <row r="370" ht="26.25" customHeight="1">
      <c r="A370" s="318" t="s">
        <v>54</v>
      </c>
      <c r="B370" s="318" t="n">
        <v>2575108724</v>
      </c>
      <c r="C370" s="318" t="s">
        <v>1287</v>
      </c>
      <c r="D370" s="318"/>
      <c r="E370" s="318" t="s">
        <v>106</v>
      </c>
      <c r="F370" s="318"/>
      <c r="G370" s="318"/>
      <c r="H370" s="318" t="s">
        <v>165</v>
      </c>
      <c r="I370" s="318" t="s">
        <v>100</v>
      </c>
      <c r="J370" s="318" t="s">
        <v>116</v>
      </c>
      <c r="K370" s="318"/>
      <c r="L370" s="318"/>
      <c r="M370" s="318"/>
      <c r="N370" s="318" t="s">
        <v>116</v>
      </c>
      <c r="O370" s="318" t="s">
        <v>116</v>
      </c>
      <c r="P370" s="318" t="s">
        <v>116</v>
      </c>
      <c r="Q370" s="318" t="s">
        <v>116</v>
      </c>
      <c r="R370" s="318" t="s">
        <v>116</v>
      </c>
      <c r="S370" s="318" t="s">
        <v>116</v>
      </c>
      <c r="T370" s="318" t="s">
        <v>116</v>
      </c>
      <c r="U370" s="318" t="n">
        <v>4513342</v>
      </c>
      <c r="V370" s="318"/>
      <c r="W370" s="318" t="s">
        <v>43</v>
      </c>
      <c r="X370" s="318" t="s">
        <v>1030</v>
      </c>
      <c r="Y370" s="318" t="s">
        <v>215</v>
      </c>
      <c r="Z370" s="318" t="s">
        <v>283</v>
      </c>
      <c r="AA370" s="318" t="s">
        <v>100</v>
      </c>
      <c r="AB370" s="318" t="s">
        <v>165</v>
      </c>
      <c r="AC370" s="318" t="s">
        <v>217</v>
      </c>
      <c r="AD370" s="318" t="s">
        <v>116</v>
      </c>
      <c r="AE370" s="318"/>
      <c r="AF370" s="114" t="s">
        <v>116</v>
      </c>
      <c r="AG370" s="318" t="s">
        <v>116</v>
      </c>
      <c r="AH370" s="318" t="s">
        <v>116</v>
      </c>
      <c r="AI370" s="318" t="s">
        <v>116</v>
      </c>
      <c r="AJ370" s="318" t="s">
        <v>116</v>
      </c>
      <c r="AK370" s="318" t="s">
        <v>116</v>
      </c>
      <c r="AL370" s="318" t="s">
        <v>116</v>
      </c>
      <c r="AM370" s="318"/>
      <c r="AN370" s="318"/>
      <c r="AO370" s="318"/>
      <c r="AP370" s="318"/>
      <c r="AQ370" s="318"/>
      <c r="AR370" s="6" t="s">
        <v>138</v>
      </c>
      <c r="AS370" s="6" t="s">
        <v>217</v>
      </c>
    </row>
    <row r="371" ht="26.25" customHeight="1">
      <c r="A371" s="318" t="s">
        <v>54</v>
      </c>
      <c r="B371" s="318" t="n">
        <v>4637742680</v>
      </c>
      <c r="C371" s="318" t="s">
        <v>1288</v>
      </c>
      <c r="D371" s="318" t="s">
        <v>55</v>
      </c>
      <c r="E371" s="318" t="s">
        <v>104</v>
      </c>
      <c r="F371" s="318"/>
      <c r="G371" s="318"/>
      <c r="H371" s="318" t="s">
        <v>165</v>
      </c>
      <c r="I371" s="318" t="s">
        <v>100</v>
      </c>
      <c r="J371" s="318" t="n">
        <v>5111034</v>
      </c>
      <c r="K371" s="318" t="s">
        <v>125</v>
      </c>
      <c r="L371" s="318" t="n">
        <v>65</v>
      </c>
      <c r="M371" s="318" t="s">
        <v>116</v>
      </c>
      <c r="N371" s="114" t="s">
        <v>37</v>
      </c>
      <c r="O371" s="318" t="s">
        <v>1030</v>
      </c>
      <c r="P371" s="318" t="s">
        <v>216</v>
      </c>
      <c r="Q371" s="318" t="s">
        <v>283</v>
      </c>
      <c r="R371" s="318" t="s">
        <v>100</v>
      </c>
      <c r="S371" s="318" t="s">
        <v>165</v>
      </c>
      <c r="T371" s="318" t="s">
        <v>116</v>
      </c>
      <c r="U371" s="318" t="n">
        <v>4513342</v>
      </c>
      <c r="V371" s="318" t="n">
        <v>32</v>
      </c>
      <c r="W371" s="318" t="s">
        <v>43</v>
      </c>
      <c r="X371" s="318" t="s">
        <v>1030</v>
      </c>
      <c r="Y371" s="318" t="s">
        <v>215</v>
      </c>
      <c r="Z371" s="318" t="s">
        <v>283</v>
      </c>
      <c r="AA371" s="318" t="s">
        <v>100</v>
      </c>
      <c r="AB371" s="318" t="s">
        <v>165</v>
      </c>
      <c r="AC371" s="318" t="s">
        <v>116</v>
      </c>
      <c r="AD371" s="318" t="n">
        <v>4513340</v>
      </c>
      <c r="AE371" s="318" t="n">
        <v>34.5</v>
      </c>
      <c r="AF371" s="114" t="s">
        <v>58</v>
      </c>
      <c r="AG371" s="318" t="s">
        <v>1030</v>
      </c>
      <c r="AH371" s="318" t="s">
        <v>233</v>
      </c>
      <c r="AI371" s="318" t="s">
        <v>283</v>
      </c>
      <c r="AJ371" s="318" t="s">
        <v>100</v>
      </c>
      <c r="AK371" s="318" t="s">
        <v>165</v>
      </c>
      <c r="AL371" s="318" t="s">
        <v>217</v>
      </c>
      <c r="AM371" s="318"/>
      <c r="AN371" s="318"/>
      <c r="AO371" s="318"/>
      <c r="AP371" s="318"/>
      <c r="AQ371" s="318"/>
      <c r="AR371" s="6" t="s">
        <v>139</v>
      </c>
      <c r="AS371" s="6" t="s">
        <v>217</v>
      </c>
    </row>
    <row r="372" ht="26.25" customHeight="1">
      <c r="A372" s="318" t="s">
        <v>54</v>
      </c>
      <c r="B372" s="318" t="n">
        <v>4815971458</v>
      </c>
      <c r="C372" s="318" t="s">
        <v>1289</v>
      </c>
      <c r="D372" s="318" t="s">
        <v>59</v>
      </c>
      <c r="E372" s="318" t="s">
        <v>104</v>
      </c>
      <c r="F372" s="318"/>
      <c r="G372" s="318"/>
      <c r="H372" s="318" t="s">
        <v>165</v>
      </c>
      <c r="I372" s="318" t="s">
        <v>88</v>
      </c>
      <c r="J372" s="318" t="n">
        <v>3132880</v>
      </c>
      <c r="K372" s="318" t="s">
        <v>125</v>
      </c>
      <c r="L372" s="318" t="n">
        <v>85</v>
      </c>
      <c r="M372" s="318" t="s">
        <v>116</v>
      </c>
      <c r="N372" s="318" t="s">
        <v>31</v>
      </c>
      <c r="O372" s="318" t="s">
        <v>986</v>
      </c>
      <c r="P372" s="318" t="s">
        <v>233</v>
      </c>
      <c r="Q372" s="318" t="s">
        <v>234</v>
      </c>
      <c r="R372" s="318" t="s">
        <v>88</v>
      </c>
      <c r="S372" s="318" t="s">
        <v>444</v>
      </c>
      <c r="T372" s="318" t="s">
        <v>116</v>
      </c>
      <c r="U372" s="318" t="n">
        <v>3132846</v>
      </c>
      <c r="V372" s="318" t="s">
        <v>116</v>
      </c>
      <c r="W372" s="318" t="s">
        <v>43</v>
      </c>
      <c r="X372" s="318" t="s">
        <v>987</v>
      </c>
      <c r="Y372" s="318" t="s">
        <v>216</v>
      </c>
      <c r="Z372" s="318" t="s">
        <v>283</v>
      </c>
      <c r="AA372" s="318" t="s">
        <v>100</v>
      </c>
      <c r="AB372" s="318" t="s">
        <v>444</v>
      </c>
      <c r="AC372" s="318" t="s">
        <v>116</v>
      </c>
      <c r="AD372" s="318" t="n">
        <v>5230727</v>
      </c>
      <c r="AE372" s="318" t="n">
        <v>0</v>
      </c>
      <c r="AF372" s="318" t="s">
        <v>56</v>
      </c>
      <c r="AG372" s="318" t="s">
        <v>986</v>
      </c>
      <c r="AH372" s="318" t="s">
        <v>216</v>
      </c>
      <c r="AI372" s="318" t="s">
        <v>283</v>
      </c>
      <c r="AJ372" s="318" t="s">
        <v>88</v>
      </c>
      <c r="AK372" s="318" t="s">
        <v>165</v>
      </c>
      <c r="AL372" s="318" t="s">
        <v>116</v>
      </c>
      <c r="AM372" s="318" t="s">
        <v>217</v>
      </c>
      <c r="AN372" s="318" t="s">
        <v>217</v>
      </c>
      <c r="AO372" s="318" t="s">
        <v>217</v>
      </c>
      <c r="AP372" s="476" t="s">
        <v>217</v>
      </c>
      <c r="AQ372" s="476" t="s">
        <v>217</v>
      </c>
      <c r="AR372" s="6" t="s">
        <v>139</v>
      </c>
    </row>
    <row r="373" ht="26.25" customHeight="1">
      <c r="A373" s="318" t="s">
        <v>85</v>
      </c>
      <c r="B373" s="318" t="n">
        <v>2580559089</v>
      </c>
      <c r="C373" s="318" t="s">
        <v>1290</v>
      </c>
      <c r="D373" s="318" t="s">
        <v>36</v>
      </c>
      <c r="E373" s="318" t="s">
        <v>104</v>
      </c>
      <c r="F373" s="318"/>
      <c r="G373" s="318"/>
      <c r="H373" s="318" t="s">
        <v>165</v>
      </c>
      <c r="I373" s="318" t="s">
        <v>101</v>
      </c>
      <c r="J373" s="318" t="s">
        <v>116</v>
      </c>
      <c r="K373" s="318"/>
      <c r="L373" s="318"/>
      <c r="M373" s="318"/>
      <c r="N373" s="318" t="s">
        <v>116</v>
      </c>
      <c r="O373" s="318" t="s">
        <v>116</v>
      </c>
      <c r="P373" s="318" t="s">
        <v>116</v>
      </c>
      <c r="Q373" s="318" t="s">
        <v>116</v>
      </c>
      <c r="R373" s="318" t="s">
        <v>116</v>
      </c>
      <c r="S373" s="318" t="s">
        <v>116</v>
      </c>
      <c r="T373" s="318" t="s">
        <v>116</v>
      </c>
      <c r="U373" s="318" t="s">
        <v>116</v>
      </c>
      <c r="V373" s="318"/>
      <c r="W373" s="318" t="s">
        <v>116</v>
      </c>
      <c r="X373" s="318" t="s">
        <v>116</v>
      </c>
      <c r="Y373" s="318" t="s">
        <v>116</v>
      </c>
      <c r="Z373" s="318" t="s">
        <v>116</v>
      </c>
      <c r="AA373" s="318" t="s">
        <v>116</v>
      </c>
      <c r="AB373" s="318" t="s">
        <v>116</v>
      </c>
      <c r="AC373" s="318" t="s">
        <v>116</v>
      </c>
      <c r="AD373" s="318" t="n">
        <v>5230788</v>
      </c>
      <c r="AE373" s="318" t="n">
        <v>0</v>
      </c>
      <c r="AF373" s="114" t="s">
        <v>52</v>
      </c>
      <c r="AG373" s="318" t="s">
        <v>991</v>
      </c>
      <c r="AH373" s="318" t="s">
        <v>233</v>
      </c>
      <c r="AI373" s="318" t="s">
        <v>283</v>
      </c>
      <c r="AJ373" s="318" t="s">
        <v>101</v>
      </c>
      <c r="AK373" s="318" t="s">
        <v>165</v>
      </c>
      <c r="AL373" s="318" t="s">
        <v>116</v>
      </c>
      <c r="AM373" s="318"/>
      <c r="AN373" s="318"/>
      <c r="AO373" s="318"/>
      <c r="AP373" s="476"/>
      <c r="AQ373" s="476"/>
      <c r="AR373" s="6" t="s">
        <v>139</v>
      </c>
    </row>
    <row r="374" ht="26.25" customHeight="1">
      <c r="A374" s="318" t="s">
        <v>54</v>
      </c>
      <c r="B374" s="318" t="n">
        <v>2447294696</v>
      </c>
      <c r="C374" s="318" t="s">
        <v>1291</v>
      </c>
      <c r="D374" s="318" t="s">
        <v>55</v>
      </c>
      <c r="E374" s="318" t="s">
        <v>114</v>
      </c>
      <c r="F374" s="318" t="s">
        <v>1269</v>
      </c>
      <c r="G374" s="318"/>
      <c r="H374" s="318" t="s">
        <v>165</v>
      </c>
      <c r="I374" s="318" t="s">
        <v>101</v>
      </c>
      <c r="J374" s="318" t="n">
        <v>3132902</v>
      </c>
      <c r="K374" s="318" t="s">
        <v>126</v>
      </c>
      <c r="L374" s="318" t="n">
        <v>60</v>
      </c>
      <c r="M374" s="318" t="n">
        <v>80</v>
      </c>
      <c r="N374" s="318" t="s">
        <v>31</v>
      </c>
      <c r="O374" s="318" t="s">
        <v>987</v>
      </c>
      <c r="P374" s="318" t="s">
        <v>216</v>
      </c>
      <c r="Q374" s="318" t="s">
        <v>283</v>
      </c>
      <c r="R374" s="318" t="s">
        <v>101</v>
      </c>
      <c r="S374" s="318" t="s">
        <v>165</v>
      </c>
      <c r="T374" s="318" t="s">
        <v>116</v>
      </c>
      <c r="U374" s="318" t="n">
        <v>5230747</v>
      </c>
      <c r="V374" s="318" t="n">
        <v>0</v>
      </c>
      <c r="W374" s="318" t="s">
        <v>49</v>
      </c>
      <c r="X374" s="318" t="s">
        <v>987</v>
      </c>
      <c r="Y374" s="318" t="s">
        <v>215</v>
      </c>
      <c r="Z374" s="318" t="s">
        <v>283</v>
      </c>
      <c r="AA374" s="318" t="s">
        <v>101</v>
      </c>
      <c r="AB374" s="318" t="s">
        <v>165</v>
      </c>
      <c r="AC374" s="318" t="s">
        <v>116</v>
      </c>
      <c r="AD374" s="318" t="n">
        <v>5230821</v>
      </c>
      <c r="AE374" s="318" t="n">
        <v>0</v>
      </c>
      <c r="AF374" s="114" t="s">
        <v>56</v>
      </c>
      <c r="AG374" s="318" t="s">
        <v>987</v>
      </c>
      <c r="AH374" s="318" t="s">
        <v>233</v>
      </c>
      <c r="AI374" s="318" t="s">
        <v>283</v>
      </c>
      <c r="AJ374" s="318" t="s">
        <v>101</v>
      </c>
      <c r="AK374" s="318" t="s">
        <v>165</v>
      </c>
      <c r="AL374" s="318" t="s">
        <v>116</v>
      </c>
      <c r="AM374" s="318"/>
      <c r="AN374" s="318"/>
      <c r="AO374" s="318"/>
      <c r="AP374" s="318"/>
      <c r="AQ374" s="318"/>
      <c r="AR374" s="6" t="s">
        <v>139</v>
      </c>
    </row>
    <row r="375" ht="26.25" customHeight="1">
      <c r="A375" s="318" t="s">
        <v>54</v>
      </c>
      <c r="B375" s="318" t="n">
        <v>2717412875</v>
      </c>
      <c r="C375" s="318" t="s">
        <v>869</v>
      </c>
      <c r="D375" s="318" t="s">
        <v>46</v>
      </c>
      <c r="E375" s="318" t="s">
        <v>106</v>
      </c>
      <c r="F375" s="318"/>
      <c r="G375" s="318"/>
      <c r="H375" s="318" t="s">
        <v>165</v>
      </c>
      <c r="I375" s="318" t="s">
        <v>1072</v>
      </c>
      <c r="J375" s="318" t="n">
        <v>3132897</v>
      </c>
      <c r="K375" s="318" t="s">
        <v>125</v>
      </c>
      <c r="L375" s="318" t="n">
        <v>68</v>
      </c>
      <c r="M375" s="114" t="s">
        <v>116</v>
      </c>
      <c r="N375" s="114" t="s">
        <v>31</v>
      </c>
      <c r="O375" s="318" t="s">
        <v>989</v>
      </c>
      <c r="P375" s="318" t="s">
        <v>215</v>
      </c>
      <c r="Q375" s="318" t="s">
        <v>283</v>
      </c>
      <c r="R375" s="318" t="s">
        <v>88</v>
      </c>
      <c r="S375" s="318" t="s">
        <v>165</v>
      </c>
      <c r="T375" s="318" t="s">
        <v>217</v>
      </c>
      <c r="U375" s="318" t="n">
        <v>5230722</v>
      </c>
      <c r="V375" s="318" t="n">
        <v>36</v>
      </c>
      <c r="W375" s="318" t="s">
        <v>47</v>
      </c>
      <c r="X375" s="318" t="s">
        <v>989</v>
      </c>
      <c r="Y375" s="318" t="s">
        <v>233</v>
      </c>
      <c r="Z375" s="318" t="s">
        <v>283</v>
      </c>
      <c r="AA375" s="318" t="s">
        <v>88</v>
      </c>
      <c r="AB375" s="318" t="s">
        <v>165</v>
      </c>
      <c r="AC375" s="318" t="s">
        <v>116</v>
      </c>
      <c r="AD375" s="318" t="n">
        <v>5170871</v>
      </c>
      <c r="AE375" s="318" t="n">
        <v>36</v>
      </c>
      <c r="AF375" s="114" t="s">
        <v>58</v>
      </c>
      <c r="AG375" s="318" t="s">
        <v>986</v>
      </c>
      <c r="AH375" s="318" t="s">
        <v>215</v>
      </c>
      <c r="AI375" s="318" t="s">
        <v>283</v>
      </c>
      <c r="AJ375" s="318" t="s">
        <v>101</v>
      </c>
      <c r="AK375" s="318" t="s">
        <v>165</v>
      </c>
      <c r="AL375" s="318" t="s">
        <v>116</v>
      </c>
      <c r="AM375" s="318" t="s">
        <v>217</v>
      </c>
      <c r="AN375" s="318" t="s">
        <v>218</v>
      </c>
      <c r="AO375" s="318" t="s">
        <v>218</v>
      </c>
      <c r="AP375" s="476" t="s">
        <v>217</v>
      </c>
      <c r="AQ375" s="476" t="s">
        <v>217</v>
      </c>
      <c r="AR375" s="6" t="s">
        <v>138</v>
      </c>
      <c r="AS375" s="6" t="s">
        <v>217</v>
      </c>
    </row>
    <row r="376" ht="26.25" customHeight="1">
      <c r="A376" s="318" t="s">
        <v>45</v>
      </c>
      <c r="B376" s="318" t="n">
        <v>2717337139</v>
      </c>
      <c r="C376" s="318" t="s">
        <v>1292</v>
      </c>
      <c r="D376" s="318" t="s">
        <v>48</v>
      </c>
      <c r="E376" s="318" t="s">
        <v>104</v>
      </c>
      <c r="F376" s="318"/>
      <c r="G376" s="318"/>
      <c r="H376" s="318" t="s">
        <v>165</v>
      </c>
      <c r="I376" s="318" t="s">
        <v>88</v>
      </c>
      <c r="J376" s="318" t="n">
        <v>5230814</v>
      </c>
      <c r="K376" s="318" t="s">
        <v>125</v>
      </c>
      <c r="L376" s="318" t="n">
        <v>95</v>
      </c>
      <c r="M376" s="318" t="s">
        <v>116</v>
      </c>
      <c r="N376" s="318" t="s">
        <v>31</v>
      </c>
      <c r="O376" s="318" t="s">
        <v>997</v>
      </c>
      <c r="P376" s="318" t="s">
        <v>246</v>
      </c>
      <c r="Q376" s="318" t="s">
        <v>234</v>
      </c>
      <c r="R376" s="318" t="s">
        <v>88</v>
      </c>
      <c r="S376" s="318" t="s">
        <v>165</v>
      </c>
      <c r="T376" s="318" t="s">
        <v>116</v>
      </c>
      <c r="U376" s="318" t="n">
        <v>3132905</v>
      </c>
      <c r="V376" s="318" t="n">
        <v>22</v>
      </c>
      <c r="W376" s="318" t="s">
        <v>43</v>
      </c>
      <c r="X376" s="318" t="s">
        <v>997</v>
      </c>
      <c r="Y376" s="318" t="s">
        <v>216</v>
      </c>
      <c r="Z376" s="318" t="s">
        <v>283</v>
      </c>
      <c r="AA376" s="318" t="s">
        <v>88</v>
      </c>
      <c r="AB376" s="318" t="s">
        <v>165</v>
      </c>
      <c r="AC376" s="318" t="s">
        <v>116</v>
      </c>
      <c r="AD376" s="318" t="n">
        <v>5230765</v>
      </c>
      <c r="AE376" s="318" t="n">
        <v>40</v>
      </c>
      <c r="AF376" s="114" t="s">
        <v>52</v>
      </c>
      <c r="AG376" s="318" t="s">
        <v>997</v>
      </c>
      <c r="AH376" s="318" t="s">
        <v>215</v>
      </c>
      <c r="AI376" s="318" t="s">
        <v>283</v>
      </c>
      <c r="AJ376" s="318" t="s">
        <v>88</v>
      </c>
      <c r="AK376" s="318" t="s">
        <v>165</v>
      </c>
      <c r="AL376" s="318" t="s">
        <v>116</v>
      </c>
      <c r="AM376" s="318" t="s">
        <v>217</v>
      </c>
      <c r="AN376" s="318" t="s">
        <v>217</v>
      </c>
      <c r="AO376" s="318" t="s">
        <v>217</v>
      </c>
      <c r="AP376" s="318" t="s">
        <v>217</v>
      </c>
      <c r="AQ376" s="318" t="s">
        <v>217</v>
      </c>
      <c r="AR376" s="6" t="s">
        <v>139</v>
      </c>
    </row>
    <row r="377" ht="26.25" customHeight="1">
      <c r="A377" s="318" t="s">
        <v>54</v>
      </c>
      <c r="B377" s="318" t="n">
        <v>2579177783</v>
      </c>
      <c r="C377" s="318" t="s">
        <v>875</v>
      </c>
      <c r="D377" s="318" t="s">
        <v>50</v>
      </c>
      <c r="E377" s="318" t="s">
        <v>104</v>
      </c>
      <c r="F377" s="318"/>
      <c r="G377" s="318"/>
      <c r="H377" s="318" t="s">
        <v>165</v>
      </c>
      <c r="I377" s="318" t="s">
        <v>101</v>
      </c>
      <c r="J377" s="318" t="n">
        <v>3132902</v>
      </c>
      <c r="K377" s="318" t="s">
        <v>125</v>
      </c>
      <c r="L377" s="318" t="n">
        <v>95</v>
      </c>
      <c r="M377" s="318" t="s">
        <v>116</v>
      </c>
      <c r="N377" s="114" t="s">
        <v>31</v>
      </c>
      <c r="O377" s="318" t="s">
        <v>987</v>
      </c>
      <c r="P377" s="318" t="s">
        <v>216</v>
      </c>
      <c r="Q377" s="318" t="s">
        <v>283</v>
      </c>
      <c r="R377" s="318" t="s">
        <v>101</v>
      </c>
      <c r="S377" s="318" t="s">
        <v>165</v>
      </c>
      <c r="T377" s="318" t="s">
        <v>116</v>
      </c>
      <c r="U377" s="318" t="n">
        <v>5230747</v>
      </c>
      <c r="V377" s="318" t="n">
        <v>28</v>
      </c>
      <c r="W377" s="318" t="s">
        <v>49</v>
      </c>
      <c r="X377" s="318" t="s">
        <v>987</v>
      </c>
      <c r="Y377" s="318" t="s">
        <v>215</v>
      </c>
      <c r="Z377" s="318" t="s">
        <v>283</v>
      </c>
      <c r="AA377" s="318" t="s">
        <v>101</v>
      </c>
      <c r="AB377" s="318" t="s">
        <v>165</v>
      </c>
      <c r="AC377" s="318" t="s">
        <v>116</v>
      </c>
      <c r="AD377" s="318" t="n">
        <v>5170871</v>
      </c>
      <c r="AE377" s="318" t="n">
        <v>36</v>
      </c>
      <c r="AF377" s="114" t="s">
        <v>58</v>
      </c>
      <c r="AG377" s="318" t="s">
        <v>986</v>
      </c>
      <c r="AH377" s="318" t="s">
        <v>215</v>
      </c>
      <c r="AI377" s="318" t="s">
        <v>283</v>
      </c>
      <c r="AJ377" s="318" t="s">
        <v>101</v>
      </c>
      <c r="AK377" s="318" t="s">
        <v>165</v>
      </c>
      <c r="AL377" s="318" t="s">
        <v>116</v>
      </c>
      <c r="AM377" s="318"/>
      <c r="AN377" s="318" t="s">
        <v>1293</v>
      </c>
      <c r="AO377" s="318"/>
      <c r="AP377" s="318"/>
      <c r="AQ377" s="318"/>
      <c r="AR377" s="6" t="s">
        <v>139</v>
      </c>
    </row>
    <row r="378" ht="26.25" customHeight="1">
      <c r="A378" s="318" t="s">
        <v>54</v>
      </c>
      <c r="B378" s="318" t="n">
        <v>4197197873</v>
      </c>
      <c r="C378" s="318" t="s">
        <v>1294</v>
      </c>
      <c r="D378" s="318" t="s">
        <v>48</v>
      </c>
      <c r="E378" s="318" t="s">
        <v>104</v>
      </c>
      <c r="F378" s="318"/>
      <c r="G378" s="318"/>
      <c r="H378" s="318" t="s">
        <v>165</v>
      </c>
      <c r="I378" s="318" t="s">
        <v>88</v>
      </c>
      <c r="J378" s="318" t="n">
        <v>3132884</v>
      </c>
      <c r="K378" s="318" t="s">
        <v>126</v>
      </c>
      <c r="L378" s="318" t="n">
        <v>72</v>
      </c>
      <c r="M378" s="318" t="n">
        <v>90</v>
      </c>
      <c r="N378" s="318" t="s">
        <v>37</v>
      </c>
      <c r="O378" s="318" t="s">
        <v>987</v>
      </c>
      <c r="P378" s="318" t="s">
        <v>216</v>
      </c>
      <c r="Q378" s="318" t="s">
        <v>283</v>
      </c>
      <c r="R378" s="318" t="s">
        <v>88</v>
      </c>
      <c r="S378" s="318" t="s">
        <v>165</v>
      </c>
      <c r="T378" s="318" t="s">
        <v>116</v>
      </c>
      <c r="U378" s="318" t="n">
        <v>4513265</v>
      </c>
      <c r="V378" s="318" t="n">
        <v>0</v>
      </c>
      <c r="W378" s="318" t="s">
        <v>47</v>
      </c>
      <c r="X378" s="318" t="s">
        <v>987</v>
      </c>
      <c r="Y378" s="318" t="s">
        <v>215</v>
      </c>
      <c r="Z378" s="318" t="s">
        <v>283</v>
      </c>
      <c r="AA378" s="318" t="s">
        <v>88</v>
      </c>
      <c r="AB378" s="318" t="s">
        <v>165</v>
      </c>
      <c r="AC378" s="318" t="s">
        <v>116</v>
      </c>
      <c r="AD378" s="318" t="n">
        <v>5230723</v>
      </c>
      <c r="AE378" s="318" t="n">
        <v>0</v>
      </c>
      <c r="AF378" s="114" t="s">
        <v>56</v>
      </c>
      <c r="AG378" s="318" t="s">
        <v>987</v>
      </c>
      <c r="AH378" s="318" t="s">
        <v>233</v>
      </c>
      <c r="AI378" s="318" t="s">
        <v>283</v>
      </c>
      <c r="AJ378" s="318" t="s">
        <v>88</v>
      </c>
      <c r="AK378" s="318" t="s">
        <v>165</v>
      </c>
      <c r="AL378" s="318" t="s">
        <v>116</v>
      </c>
      <c r="AM378" s="318" t="s">
        <v>217</v>
      </c>
      <c r="AN378" s="318" t="s">
        <v>218</v>
      </c>
      <c r="AO378" s="318" t="s">
        <v>218</v>
      </c>
      <c r="AP378" s="318" t="s">
        <v>217</v>
      </c>
      <c r="AQ378" s="318" t="s">
        <v>218</v>
      </c>
      <c r="AR378" s="6" t="s">
        <v>139</v>
      </c>
    </row>
    <row r="379" ht="26.25" customHeight="1">
      <c r="A379" s="318" t="s">
        <v>54</v>
      </c>
      <c r="B379" s="318" t="n">
        <v>4818106263</v>
      </c>
      <c r="C379" s="318" t="s">
        <v>1295</v>
      </c>
      <c r="D379" s="318" t="s">
        <v>59</v>
      </c>
      <c r="E379" s="318" t="s">
        <v>104</v>
      </c>
      <c r="F379" s="318"/>
      <c r="G379" s="318"/>
      <c r="H379" s="318" t="s">
        <v>165</v>
      </c>
      <c r="I379" s="318" t="s">
        <v>100</v>
      </c>
      <c r="J379" s="318" t="n">
        <v>4513341</v>
      </c>
      <c r="K379" s="318" t="s">
        <v>125</v>
      </c>
      <c r="L379" s="318" t="n">
        <v>82</v>
      </c>
      <c r="M379" s="318" t="s">
        <v>116</v>
      </c>
      <c r="N379" s="318" t="s">
        <v>31</v>
      </c>
      <c r="O379" s="318" t="s">
        <v>987</v>
      </c>
      <c r="P379" s="318" t="s">
        <v>233</v>
      </c>
      <c r="Q379" s="318" t="s">
        <v>234</v>
      </c>
      <c r="R379" s="318" t="s">
        <v>100</v>
      </c>
      <c r="S379" s="318" t="s">
        <v>165</v>
      </c>
      <c r="T379" s="318" t="s">
        <v>116</v>
      </c>
      <c r="U379" s="318" t="n">
        <v>3132846</v>
      </c>
      <c r="V379" s="318" t="n">
        <v>0</v>
      </c>
      <c r="W379" s="318" t="s">
        <v>43</v>
      </c>
      <c r="X379" s="318" t="s">
        <v>987</v>
      </c>
      <c r="Y379" s="318" t="s">
        <v>216</v>
      </c>
      <c r="Z379" s="318" t="s">
        <v>283</v>
      </c>
      <c r="AA379" s="318" t="s">
        <v>100</v>
      </c>
      <c r="AB379" s="318" t="s">
        <v>165</v>
      </c>
      <c r="AC379" s="318" t="s">
        <v>116</v>
      </c>
      <c r="AD379" s="318" t="n">
        <v>5230738</v>
      </c>
      <c r="AE379" s="318" t="n">
        <v>41</v>
      </c>
      <c r="AF379" s="318" t="s">
        <v>58</v>
      </c>
      <c r="AG379" s="318" t="s">
        <v>987</v>
      </c>
      <c r="AH379" s="318" t="s">
        <v>215</v>
      </c>
      <c r="AI379" s="318" t="s">
        <v>283</v>
      </c>
      <c r="AJ379" s="318" t="s">
        <v>100</v>
      </c>
      <c r="AK379" s="318" t="s">
        <v>165</v>
      </c>
      <c r="AL379" s="318" t="s">
        <v>116</v>
      </c>
      <c r="AM379" s="318"/>
      <c r="AN379" s="318"/>
      <c r="AO379" s="318"/>
      <c r="AP379" s="476"/>
      <c r="AQ379" s="476"/>
      <c r="AR379" s="6" t="s">
        <v>139</v>
      </c>
    </row>
    <row r="380" ht="26.25" customHeight="1">
      <c r="A380" s="318" t="s">
        <v>54</v>
      </c>
      <c r="B380" s="318" t="n">
        <v>2373150682</v>
      </c>
      <c r="C380" s="318" t="s">
        <v>1296</v>
      </c>
      <c r="D380" s="318" t="s">
        <v>55</v>
      </c>
      <c r="E380" s="318" t="s">
        <v>114</v>
      </c>
      <c r="F380" s="318"/>
      <c r="G380" s="318"/>
      <c r="H380" s="318" t="s">
        <v>165</v>
      </c>
      <c r="I380" s="318" t="s">
        <v>100</v>
      </c>
      <c r="J380" s="318" t="n">
        <v>4513341</v>
      </c>
      <c r="K380" s="318" t="s">
        <v>125</v>
      </c>
      <c r="L380" s="318" t="n">
        <v>74</v>
      </c>
      <c r="M380" s="318" t="s">
        <v>116</v>
      </c>
      <c r="N380" s="114" t="s">
        <v>31</v>
      </c>
      <c r="O380" s="318" t="s">
        <v>987</v>
      </c>
      <c r="P380" s="318" t="s">
        <v>233</v>
      </c>
      <c r="Q380" s="318" t="s">
        <v>234</v>
      </c>
      <c r="R380" s="318" t="s">
        <v>100</v>
      </c>
      <c r="S380" s="318" t="s">
        <v>165</v>
      </c>
      <c r="T380" s="318" t="s">
        <v>116</v>
      </c>
      <c r="U380" s="318" t="n">
        <v>3132846</v>
      </c>
      <c r="V380" s="318" t="n">
        <v>0</v>
      </c>
      <c r="W380" s="318" t="s">
        <v>43</v>
      </c>
      <c r="X380" s="318" t="s">
        <v>987</v>
      </c>
      <c r="Y380" s="318" t="s">
        <v>216</v>
      </c>
      <c r="Z380" s="318" t="s">
        <v>283</v>
      </c>
      <c r="AA380" s="318" t="s">
        <v>100</v>
      </c>
      <c r="AB380" s="318" t="s">
        <v>165</v>
      </c>
      <c r="AC380" s="318" t="s">
        <v>116</v>
      </c>
      <c r="AD380" s="318" t="n">
        <v>5230738</v>
      </c>
      <c r="AE380" s="318" t="n">
        <v>33</v>
      </c>
      <c r="AF380" s="114" t="s">
        <v>58</v>
      </c>
      <c r="AG380" s="318" t="s">
        <v>987</v>
      </c>
      <c r="AH380" s="318" t="s">
        <v>215</v>
      </c>
      <c r="AI380" s="318" t="s">
        <v>283</v>
      </c>
      <c r="AJ380" s="318" t="s">
        <v>100</v>
      </c>
      <c r="AK380" s="318" t="s">
        <v>165</v>
      </c>
      <c r="AL380" s="318" t="s">
        <v>116</v>
      </c>
      <c r="AM380" s="318"/>
      <c r="AN380" s="318"/>
      <c r="AO380" s="318"/>
      <c r="AP380" s="476"/>
      <c r="AQ380" s="476"/>
      <c r="AR380" s="6" t="s">
        <v>139</v>
      </c>
    </row>
    <row r="381" ht="26.25" customHeight="1">
      <c r="A381" s="318" t="s">
        <v>54</v>
      </c>
      <c r="B381" s="318" t="n">
        <v>4820516119</v>
      </c>
      <c r="C381" s="318" t="s">
        <v>882</v>
      </c>
      <c r="D381" s="318" t="s">
        <v>55</v>
      </c>
      <c r="E381" s="318" t="s">
        <v>104</v>
      </c>
      <c r="F381" s="318"/>
      <c r="G381" s="318"/>
      <c r="H381" s="318" t="s">
        <v>165</v>
      </c>
      <c r="I381" s="318" t="s">
        <v>65</v>
      </c>
      <c r="J381" s="318" t="n">
        <v>5230742</v>
      </c>
      <c r="K381" s="318" t="s">
        <v>125</v>
      </c>
      <c r="L381" s="318" t="n">
        <v>35</v>
      </c>
      <c r="M381" s="318" t="s">
        <v>116</v>
      </c>
      <c r="N381" s="318" t="s">
        <v>35</v>
      </c>
      <c r="O381" s="318" t="s">
        <v>986</v>
      </c>
      <c r="P381" s="318" t="s">
        <v>216</v>
      </c>
      <c r="Q381" s="318" t="s">
        <v>283</v>
      </c>
      <c r="R381" s="318" t="s">
        <v>65</v>
      </c>
      <c r="S381" s="318" t="s">
        <v>165</v>
      </c>
      <c r="T381" s="318" t="s">
        <v>116</v>
      </c>
      <c r="U381" s="318" t="n">
        <v>5230773</v>
      </c>
      <c r="V381" s="318" t="n">
        <v>0</v>
      </c>
      <c r="W381" s="318" t="s">
        <v>49</v>
      </c>
      <c r="X381" s="318" t="s">
        <v>986</v>
      </c>
      <c r="Y381" s="318" t="s">
        <v>233</v>
      </c>
      <c r="Z381" s="318" t="s">
        <v>283</v>
      </c>
      <c r="AA381" s="318" t="s">
        <v>65</v>
      </c>
      <c r="AB381" s="318" t="s">
        <v>165</v>
      </c>
      <c r="AC381" s="318" t="s">
        <v>116</v>
      </c>
      <c r="AD381" s="318" t="n">
        <v>3132888</v>
      </c>
      <c r="AE381" s="318" t="n">
        <v>35</v>
      </c>
      <c r="AF381" s="114" t="s">
        <v>56</v>
      </c>
      <c r="AG381" s="318" t="s">
        <v>986</v>
      </c>
      <c r="AH381" s="318" t="s">
        <v>215</v>
      </c>
      <c r="AI381" s="318" t="s">
        <v>283</v>
      </c>
      <c r="AJ381" s="318" t="s">
        <v>65</v>
      </c>
      <c r="AK381" s="318" t="s">
        <v>165</v>
      </c>
      <c r="AL381" s="318" t="s">
        <v>116</v>
      </c>
      <c r="AM381" s="318"/>
      <c r="AN381" s="318"/>
      <c r="AO381" s="318"/>
      <c r="AP381" s="318"/>
      <c r="AQ381" s="318"/>
      <c r="AR381" s="6" t="s">
        <v>139</v>
      </c>
    </row>
    <row r="382" ht="26.25" customHeight="1">
      <c r="A382" s="318" t="s">
        <v>54</v>
      </c>
      <c r="B382" s="318" t="n">
        <v>2519098261</v>
      </c>
      <c r="C382" s="318" t="s">
        <v>317</v>
      </c>
      <c r="D382" s="318" t="s">
        <v>34</v>
      </c>
      <c r="E382" s="318" t="s">
        <v>112</v>
      </c>
      <c r="F382" s="318"/>
      <c r="G382" s="318" t="s">
        <v>1088</v>
      </c>
      <c r="H382" s="318" t="s">
        <v>165</v>
      </c>
      <c r="I382" s="318" t="s">
        <v>88</v>
      </c>
      <c r="J382" s="318" t="n">
        <v>3132880</v>
      </c>
      <c r="K382" s="318" t="s">
        <v>125</v>
      </c>
      <c r="L382" s="318" t="n">
        <v>68</v>
      </c>
      <c r="M382" s="318" t="s">
        <v>116</v>
      </c>
      <c r="N382" s="114" t="s">
        <v>31</v>
      </c>
      <c r="O382" s="318" t="s">
        <v>986</v>
      </c>
      <c r="P382" s="318" t="s">
        <v>233</v>
      </c>
      <c r="Q382" s="318" t="s">
        <v>234</v>
      </c>
      <c r="R382" s="318" t="s">
        <v>88</v>
      </c>
      <c r="S382" s="318" t="s">
        <v>165</v>
      </c>
      <c r="T382" s="318" t="s">
        <v>217</v>
      </c>
      <c r="U382" s="318" t="n">
        <v>4513265</v>
      </c>
      <c r="V382" s="318" t="n">
        <v>25</v>
      </c>
      <c r="W382" s="318" t="s">
        <v>47</v>
      </c>
      <c r="X382" s="318" t="s">
        <v>987</v>
      </c>
      <c r="Y382" s="318" t="s">
        <v>215</v>
      </c>
      <c r="Z382" s="318" t="s">
        <v>283</v>
      </c>
      <c r="AA382" s="318" t="s">
        <v>88</v>
      </c>
      <c r="AB382" s="318" t="s">
        <v>165</v>
      </c>
      <c r="AC382" s="318" t="s">
        <v>217</v>
      </c>
      <c r="AD382" s="318" t="n">
        <v>5230727</v>
      </c>
      <c r="AE382" s="318" t="n">
        <v>42</v>
      </c>
      <c r="AF382" s="114" t="s">
        <v>56</v>
      </c>
      <c r="AG382" s="318" t="s">
        <v>986</v>
      </c>
      <c r="AH382" s="318" t="s">
        <v>216</v>
      </c>
      <c r="AI382" s="318" t="s">
        <v>283</v>
      </c>
      <c r="AJ382" s="318" t="s">
        <v>88</v>
      </c>
      <c r="AK382" s="318" t="s">
        <v>165</v>
      </c>
      <c r="AL382" s="318" t="s">
        <v>217</v>
      </c>
      <c r="AM382" s="318" t="s">
        <v>217</v>
      </c>
      <c r="AN382" s="318" t="s">
        <v>217</v>
      </c>
      <c r="AO382" s="318" t="s">
        <v>218</v>
      </c>
      <c r="AP382" s="476" t="s">
        <v>217</v>
      </c>
      <c r="AQ382" s="476" t="s">
        <v>217</v>
      </c>
      <c r="AR382" s="6" t="s">
        <v>139</v>
      </c>
      <c r="AS382" s="6" t="s">
        <v>217</v>
      </c>
    </row>
    <row r="383" ht="26.25" customHeight="1">
      <c r="A383" s="318" t="s">
        <v>45</v>
      </c>
      <c r="B383" s="318" t="n">
        <v>2270640709</v>
      </c>
      <c r="C383" s="318" t="s">
        <v>1297</v>
      </c>
      <c r="D383" s="318" t="s">
        <v>46</v>
      </c>
      <c r="E383" s="318" t="s">
        <v>106</v>
      </c>
      <c r="F383" s="318"/>
      <c r="G383" s="318"/>
      <c r="H383" s="318" t="s">
        <v>165</v>
      </c>
      <c r="I383" s="318" t="s">
        <v>88</v>
      </c>
      <c r="J383" s="318" t="n">
        <v>3132897</v>
      </c>
      <c r="K383" s="318" t="s">
        <v>124</v>
      </c>
      <c r="L383" s="318" t="n">
        <v>75</v>
      </c>
      <c r="M383" s="318" t="s">
        <v>116</v>
      </c>
      <c r="N383" s="318" t="s">
        <v>31</v>
      </c>
      <c r="O383" s="318" t="s">
        <v>989</v>
      </c>
      <c r="P383" s="318" t="s">
        <v>215</v>
      </c>
      <c r="Q383" s="318" t="s">
        <v>283</v>
      </c>
      <c r="R383" s="318" t="s">
        <v>88</v>
      </c>
      <c r="S383" s="318" t="s">
        <v>165</v>
      </c>
      <c r="T383" s="318" t="s">
        <v>217</v>
      </c>
      <c r="U383" s="318" t="n">
        <v>5230722</v>
      </c>
      <c r="V383" s="318" t="n">
        <v>23</v>
      </c>
      <c r="W383" s="318" t="s">
        <v>47</v>
      </c>
      <c r="X383" s="318" t="s">
        <v>989</v>
      </c>
      <c r="Y383" s="318" t="s">
        <v>233</v>
      </c>
      <c r="Z383" s="318" t="s">
        <v>283</v>
      </c>
      <c r="AA383" s="318" t="s">
        <v>88</v>
      </c>
      <c r="AB383" s="318" t="s">
        <v>165</v>
      </c>
      <c r="AC383" s="318" t="s">
        <v>217</v>
      </c>
      <c r="AD383" s="318" t="n">
        <v>5230737</v>
      </c>
      <c r="AE383" s="318" t="n">
        <v>35</v>
      </c>
      <c r="AF383" s="114" t="s">
        <v>58</v>
      </c>
      <c r="AG383" s="318" t="s">
        <v>989</v>
      </c>
      <c r="AH383" s="318" t="s">
        <v>216</v>
      </c>
      <c r="AI383" s="318" t="s">
        <v>283</v>
      </c>
      <c r="AJ383" s="318" t="s">
        <v>88</v>
      </c>
      <c r="AK383" s="318" t="s">
        <v>165</v>
      </c>
      <c r="AL383" s="318" t="s">
        <v>217</v>
      </c>
      <c r="AM383" s="318" t="s">
        <v>217</v>
      </c>
      <c r="AN383" s="318" t="s">
        <v>217</v>
      </c>
      <c r="AO383" s="318" t="s">
        <v>217</v>
      </c>
      <c r="AP383" s="318" t="s">
        <v>217</v>
      </c>
      <c r="AQ383" s="318" t="s">
        <v>217</v>
      </c>
      <c r="AR383" s="6" t="s">
        <v>138</v>
      </c>
      <c r="AS383" s="6" t="s">
        <v>217</v>
      </c>
    </row>
    <row r="384" ht="26.25" customHeight="1">
      <c r="A384" s="318" t="s">
        <v>54</v>
      </c>
      <c r="B384" s="318" t="n">
        <v>2569106820</v>
      </c>
      <c r="C384" s="318" t="s">
        <v>1298</v>
      </c>
      <c r="D384" s="318" t="s">
        <v>57</v>
      </c>
      <c r="E384" s="318" t="s">
        <v>114</v>
      </c>
      <c r="F384" s="318" t="s">
        <v>1299</v>
      </c>
      <c r="G384" s="318"/>
      <c r="H384" s="318" t="s">
        <v>165</v>
      </c>
      <c r="I384" s="318" t="s">
        <v>101</v>
      </c>
      <c r="J384" s="318" t="n">
        <v>5111035</v>
      </c>
      <c r="K384" s="318" t="s">
        <v>126</v>
      </c>
      <c r="L384" s="318" t="n">
        <v>85</v>
      </c>
      <c r="M384" s="318" t="n">
        <v>95</v>
      </c>
      <c r="N384" s="318" t="s">
        <v>35</v>
      </c>
      <c r="O384" s="318" t="s">
        <v>986</v>
      </c>
      <c r="P384" s="318" t="s">
        <v>233</v>
      </c>
      <c r="Q384" s="318" t="s">
        <v>234</v>
      </c>
      <c r="R384" s="318" t="s">
        <v>101</v>
      </c>
      <c r="S384" s="318" t="s">
        <v>165</v>
      </c>
      <c r="T384" s="318" t="s">
        <v>116</v>
      </c>
      <c r="U384" s="318" t="n">
        <v>5170873</v>
      </c>
      <c r="V384" s="318" t="n">
        <v>0</v>
      </c>
      <c r="W384" s="318" t="s">
        <v>47</v>
      </c>
      <c r="X384" s="318" t="s">
        <v>986</v>
      </c>
      <c r="Y384" s="318" t="s">
        <v>216</v>
      </c>
      <c r="Z384" s="318" t="s">
        <v>283</v>
      </c>
      <c r="AA384" s="318" t="s">
        <v>101</v>
      </c>
      <c r="AB384" s="318" t="s">
        <v>165</v>
      </c>
      <c r="AC384" s="318" t="s">
        <v>116</v>
      </c>
      <c r="AD384" s="318" t="n">
        <v>5170871</v>
      </c>
      <c r="AE384" s="318" t="n">
        <v>0</v>
      </c>
      <c r="AF384" s="114" t="s">
        <v>58</v>
      </c>
      <c r="AG384" s="318" t="s">
        <v>986</v>
      </c>
      <c r="AH384" s="318" t="s">
        <v>215</v>
      </c>
      <c r="AI384" s="318" t="s">
        <v>283</v>
      </c>
      <c r="AJ384" s="318" t="s">
        <v>101</v>
      </c>
      <c r="AK384" s="318" t="s">
        <v>165</v>
      </c>
      <c r="AL384" s="318" t="s">
        <v>116</v>
      </c>
      <c r="AM384" s="318"/>
      <c r="AN384" s="318"/>
      <c r="AO384" s="318"/>
      <c r="AP384" s="318"/>
      <c r="AQ384" s="318"/>
      <c r="AR384" s="6" t="s">
        <v>139</v>
      </c>
    </row>
    <row r="385" ht="26.25" customHeight="1">
      <c r="A385" s="318" t="s">
        <v>54</v>
      </c>
      <c r="B385" s="318" t="n">
        <v>4816521213</v>
      </c>
      <c r="C385" s="318" t="s">
        <v>1300</v>
      </c>
      <c r="D385" s="318" t="s">
        <v>48</v>
      </c>
      <c r="E385" s="318" t="s">
        <v>104</v>
      </c>
      <c r="F385" s="318"/>
      <c r="G385" s="318"/>
      <c r="H385" s="318" t="s">
        <v>165</v>
      </c>
      <c r="I385" s="318" t="s">
        <v>88</v>
      </c>
      <c r="J385" s="318" t="n">
        <v>3132884</v>
      </c>
      <c r="K385" s="318" t="s">
        <v>126</v>
      </c>
      <c r="L385" s="318" t="n">
        <v>72</v>
      </c>
      <c r="M385" s="318" t="n">
        <v>90</v>
      </c>
      <c r="N385" s="114" t="s">
        <v>37</v>
      </c>
      <c r="O385" s="318" t="s">
        <v>987</v>
      </c>
      <c r="P385" s="318" t="s">
        <v>216</v>
      </c>
      <c r="Q385" s="318" t="s">
        <v>283</v>
      </c>
      <c r="R385" s="318" t="s">
        <v>88</v>
      </c>
      <c r="S385" s="318" t="s">
        <v>165</v>
      </c>
      <c r="T385" s="318" t="s">
        <v>116</v>
      </c>
      <c r="U385" s="318" t="n">
        <v>4513265</v>
      </c>
      <c r="V385" s="318" t="n">
        <v>0</v>
      </c>
      <c r="W385" s="318" t="s">
        <v>47</v>
      </c>
      <c r="X385" s="318" t="s">
        <v>987</v>
      </c>
      <c r="Y385" s="318" t="s">
        <v>215</v>
      </c>
      <c r="Z385" s="318" t="s">
        <v>283</v>
      </c>
      <c r="AA385" s="318" t="s">
        <v>88</v>
      </c>
      <c r="AB385" s="318" t="s">
        <v>165</v>
      </c>
      <c r="AC385" s="318" t="s">
        <v>116</v>
      </c>
      <c r="AD385" s="318" t="n">
        <v>5230723</v>
      </c>
      <c r="AE385" s="318" t="n">
        <v>29</v>
      </c>
      <c r="AF385" s="114" t="s">
        <v>56</v>
      </c>
      <c r="AG385" s="318" t="s">
        <v>987</v>
      </c>
      <c r="AH385" s="318" t="s">
        <v>233</v>
      </c>
      <c r="AI385" s="318" t="s">
        <v>283</v>
      </c>
      <c r="AJ385" s="318" t="s">
        <v>88</v>
      </c>
      <c r="AK385" s="318" t="s">
        <v>165</v>
      </c>
      <c r="AL385" s="318" t="s">
        <v>116</v>
      </c>
      <c r="AM385" s="318" t="s">
        <v>217</v>
      </c>
      <c r="AN385" s="318" t="s">
        <v>217</v>
      </c>
      <c r="AO385" s="318" t="s">
        <v>217</v>
      </c>
      <c r="AP385" s="476" t="s">
        <v>217</v>
      </c>
      <c r="AQ385" s="476" t="s">
        <v>217</v>
      </c>
      <c r="AR385" s="6" t="s">
        <v>139</v>
      </c>
    </row>
    <row r="386" ht="26.25" customHeight="1">
      <c r="A386" s="318" t="s">
        <v>54</v>
      </c>
      <c r="B386" s="318" t="n">
        <v>2457332134</v>
      </c>
      <c r="C386" s="318" t="s">
        <v>887</v>
      </c>
      <c r="D386" s="318" t="s">
        <v>36</v>
      </c>
      <c r="E386" s="318" t="s">
        <v>114</v>
      </c>
      <c r="F386" s="318" t="s">
        <v>1163</v>
      </c>
      <c r="G386" s="318"/>
      <c r="H386" s="318" t="s">
        <v>165</v>
      </c>
      <c r="I386" s="318" t="s">
        <v>101</v>
      </c>
      <c r="J386" s="318" t="n">
        <v>5111035</v>
      </c>
      <c r="K386" s="318" t="s">
        <v>125</v>
      </c>
      <c r="L386" s="318" t="n">
        <v>74</v>
      </c>
      <c r="M386" s="318" t="s">
        <v>116</v>
      </c>
      <c r="N386" s="114" t="s">
        <v>35</v>
      </c>
      <c r="O386" s="318" t="s">
        <v>986</v>
      </c>
      <c r="P386" s="318" t="s">
        <v>233</v>
      </c>
      <c r="Q386" s="318" t="s">
        <v>234</v>
      </c>
      <c r="R386" s="318" t="s">
        <v>101</v>
      </c>
      <c r="S386" s="318" t="s">
        <v>165</v>
      </c>
      <c r="T386" s="318" t="s">
        <v>116</v>
      </c>
      <c r="U386" s="318" t="s">
        <v>116</v>
      </c>
      <c r="V386" s="318"/>
      <c r="W386" s="318" t="s">
        <v>116</v>
      </c>
      <c r="X386" s="318" t="s">
        <v>116</v>
      </c>
      <c r="Y386" s="318" t="s">
        <v>116</v>
      </c>
      <c r="Z386" s="318" t="s">
        <v>116</v>
      </c>
      <c r="AA386" s="318" t="s">
        <v>116</v>
      </c>
      <c r="AB386" s="318" t="s">
        <v>116</v>
      </c>
      <c r="AC386" s="318" t="s">
        <v>116</v>
      </c>
      <c r="AD386" s="318" t="n">
        <v>4513388</v>
      </c>
      <c r="AE386" s="318" t="n">
        <v>27</v>
      </c>
      <c r="AF386" s="114" t="s">
        <v>56</v>
      </c>
      <c r="AG386" s="318" t="s">
        <v>985</v>
      </c>
      <c r="AH386" s="318" t="s">
        <v>216</v>
      </c>
      <c r="AI386" s="318" t="s">
        <v>283</v>
      </c>
      <c r="AJ386" s="318" t="s">
        <v>101</v>
      </c>
      <c r="AK386" s="318" t="s">
        <v>165</v>
      </c>
      <c r="AL386" s="318" t="s">
        <v>116</v>
      </c>
      <c r="AM386" s="318"/>
      <c r="AN386" s="318"/>
      <c r="AO386" s="318"/>
      <c r="AP386" s="318"/>
      <c r="AQ386" s="318"/>
      <c r="AR386" s="6" t="s">
        <v>139</v>
      </c>
    </row>
    <row r="387" ht="26.25" customHeight="1">
      <c r="A387" s="318" t="s">
        <v>85</v>
      </c>
      <c r="B387" s="318" t="n">
        <v>4487097843</v>
      </c>
      <c r="C387" s="318" t="s">
        <v>1301</v>
      </c>
      <c r="D387" s="318" t="s">
        <v>38</v>
      </c>
      <c r="E387" s="318" t="s">
        <v>106</v>
      </c>
      <c r="F387" s="318"/>
      <c r="G387" s="318"/>
      <c r="H387" s="318" t="s">
        <v>165</v>
      </c>
      <c r="I387" s="318" t="s">
        <v>100</v>
      </c>
      <c r="J387" s="318" t="n">
        <v>3132864</v>
      </c>
      <c r="K387" s="318" t="s">
        <v>125</v>
      </c>
      <c r="L387" s="318" t="n">
        <v>60</v>
      </c>
      <c r="M387" s="318" t="s">
        <v>116</v>
      </c>
      <c r="N387" s="318" t="s">
        <v>39</v>
      </c>
      <c r="O387" s="318" t="s">
        <v>991</v>
      </c>
      <c r="P387" s="318" t="s">
        <v>216</v>
      </c>
      <c r="Q387" s="318" t="s">
        <v>283</v>
      </c>
      <c r="R387" s="318" t="s">
        <v>100</v>
      </c>
      <c r="S387" s="318" t="s">
        <v>165</v>
      </c>
      <c r="T387" s="318" t="s">
        <v>217</v>
      </c>
      <c r="U387" s="318" t="n">
        <v>3132810</v>
      </c>
      <c r="V387" s="318" t="n">
        <v>63</v>
      </c>
      <c r="W387" s="318" t="s">
        <v>47</v>
      </c>
      <c r="X387" s="318" t="s">
        <v>991</v>
      </c>
      <c r="Y387" s="318" t="s">
        <v>233</v>
      </c>
      <c r="Z387" s="318" t="s">
        <v>283</v>
      </c>
      <c r="AA387" s="318" t="s">
        <v>100</v>
      </c>
      <c r="AB387" s="318" t="s">
        <v>165</v>
      </c>
      <c r="AC387" s="318" t="s">
        <v>116</v>
      </c>
      <c r="AD387" s="318" t="n">
        <v>3132858</v>
      </c>
      <c r="AE387" s="318" t="n">
        <v>70</v>
      </c>
      <c r="AF387" s="114" t="s">
        <v>52</v>
      </c>
      <c r="AG387" s="318" t="s">
        <v>991</v>
      </c>
      <c r="AH387" s="318" t="s">
        <v>215</v>
      </c>
      <c r="AI387" s="318" t="s">
        <v>283</v>
      </c>
      <c r="AJ387" s="318" t="s">
        <v>100</v>
      </c>
      <c r="AK387" s="318" t="s">
        <v>165</v>
      </c>
      <c r="AL387" s="318" t="s">
        <v>116</v>
      </c>
      <c r="AM387" s="318"/>
      <c r="AN387" s="318"/>
      <c r="AO387" s="318"/>
      <c r="AP387" s="476"/>
      <c r="AQ387" s="476"/>
      <c r="AR387" s="6" t="s">
        <v>138</v>
      </c>
      <c r="AS387" s="6" t="s">
        <v>217</v>
      </c>
    </row>
    <row r="388" ht="26.25" customHeight="1">
      <c r="A388" s="318" t="s">
        <v>45</v>
      </c>
      <c r="B388" s="318" t="n">
        <v>4700610785</v>
      </c>
      <c r="C388" s="318" t="s">
        <v>1302</v>
      </c>
      <c r="D388" s="318" t="s">
        <v>48</v>
      </c>
      <c r="E388" s="318" t="s">
        <v>106</v>
      </c>
      <c r="F388" s="318"/>
      <c r="G388" s="318"/>
      <c r="H388" s="318" t="s">
        <v>165</v>
      </c>
      <c r="I388" s="318" t="s">
        <v>88</v>
      </c>
      <c r="J388" s="318" t="n">
        <v>5230814</v>
      </c>
      <c r="K388" s="318" t="s">
        <v>124</v>
      </c>
      <c r="L388" s="318" t="n">
        <v>90</v>
      </c>
      <c r="M388" s="318" t="s">
        <v>116</v>
      </c>
      <c r="N388" s="318" t="s">
        <v>31</v>
      </c>
      <c r="O388" s="318" t="s">
        <v>997</v>
      </c>
      <c r="P388" s="318" t="s">
        <v>246</v>
      </c>
      <c r="Q388" s="318" t="s">
        <v>234</v>
      </c>
      <c r="R388" s="318" t="s">
        <v>88</v>
      </c>
      <c r="S388" s="318" t="s">
        <v>165</v>
      </c>
      <c r="T388" s="318" t="s">
        <v>217</v>
      </c>
      <c r="U388" s="318" t="n">
        <v>3132905</v>
      </c>
      <c r="V388" s="318" t="n">
        <v>0</v>
      </c>
      <c r="W388" s="318" t="s">
        <v>43</v>
      </c>
      <c r="X388" s="318" t="s">
        <v>997</v>
      </c>
      <c r="Y388" s="318" t="s">
        <v>216</v>
      </c>
      <c r="Z388" s="318" t="s">
        <v>283</v>
      </c>
      <c r="AA388" s="318" t="s">
        <v>88</v>
      </c>
      <c r="AB388" s="318" t="s">
        <v>165</v>
      </c>
      <c r="AC388" s="318" t="s">
        <v>217</v>
      </c>
      <c r="AD388" s="318" t="n">
        <v>5230765</v>
      </c>
      <c r="AE388" s="318" t="n">
        <v>0</v>
      </c>
      <c r="AF388" s="318" t="s">
        <v>52</v>
      </c>
      <c r="AG388" s="318" t="s">
        <v>997</v>
      </c>
      <c r="AH388" s="318" t="s">
        <v>215</v>
      </c>
      <c r="AI388" s="318" t="s">
        <v>283</v>
      </c>
      <c r="AJ388" s="318" t="s">
        <v>88</v>
      </c>
      <c r="AK388" s="318" t="s">
        <v>165</v>
      </c>
      <c r="AL388" s="318" t="s">
        <v>217</v>
      </c>
      <c r="AM388" s="318" t="s">
        <v>217</v>
      </c>
      <c r="AN388" s="318" t="s">
        <v>218</v>
      </c>
      <c r="AO388" s="318" t="s">
        <v>218</v>
      </c>
      <c r="AP388" s="476" t="s">
        <v>218</v>
      </c>
      <c r="AQ388" s="476" t="s">
        <v>218</v>
      </c>
      <c r="AR388" s="6" t="s">
        <v>138</v>
      </c>
      <c r="AS388" s="6" t="s">
        <v>217</v>
      </c>
    </row>
    <row r="389" ht="26.25" customHeight="1">
      <c r="A389" s="318" t="s">
        <v>85</v>
      </c>
      <c r="B389" s="318" t="n">
        <v>4397750353</v>
      </c>
      <c r="C389" s="318" t="s">
        <v>893</v>
      </c>
      <c r="D389" s="318"/>
      <c r="E389" s="318" t="s">
        <v>106</v>
      </c>
      <c r="F389" s="318"/>
      <c r="G389" s="318"/>
      <c r="H389" s="318" t="s">
        <v>165</v>
      </c>
      <c r="I389" s="318" t="s">
        <v>65</v>
      </c>
      <c r="J389" s="318" t="n">
        <v>5230775</v>
      </c>
      <c r="K389" s="318" t="s">
        <v>124</v>
      </c>
      <c r="L389" s="318" t="n">
        <v>50</v>
      </c>
      <c r="M389" s="318" t="s">
        <v>116</v>
      </c>
      <c r="N389" s="318" t="s">
        <v>31</v>
      </c>
      <c r="O389" s="318" t="s">
        <v>991</v>
      </c>
      <c r="P389" s="318" t="s">
        <v>215</v>
      </c>
      <c r="Q389" s="318" t="s">
        <v>283</v>
      </c>
      <c r="R389" s="318" t="s">
        <v>65</v>
      </c>
      <c r="S389" s="318" t="s">
        <v>165</v>
      </c>
      <c r="T389" s="318" t="s">
        <v>217</v>
      </c>
      <c r="U389" s="318" t="s">
        <v>116</v>
      </c>
      <c r="V389" s="318"/>
      <c r="W389" s="318" t="s">
        <v>116</v>
      </c>
      <c r="X389" s="318" t="s">
        <v>116</v>
      </c>
      <c r="Y389" s="318" t="s">
        <v>116</v>
      </c>
      <c r="Z389" s="318" t="s">
        <v>116</v>
      </c>
      <c r="AA389" s="318" t="s">
        <v>116</v>
      </c>
      <c r="AB389" s="318" t="s">
        <v>116</v>
      </c>
      <c r="AC389" s="318" t="s">
        <v>116</v>
      </c>
      <c r="AD389" s="318" t="s">
        <v>116</v>
      </c>
      <c r="AE389" s="318"/>
      <c r="AF389" s="114" t="s">
        <v>116</v>
      </c>
      <c r="AG389" s="318" t="s">
        <v>116</v>
      </c>
      <c r="AH389" s="318" t="s">
        <v>116</v>
      </c>
      <c r="AI389" s="318" t="s">
        <v>116</v>
      </c>
      <c r="AJ389" s="318" t="s">
        <v>116</v>
      </c>
      <c r="AK389" s="318" t="s">
        <v>116</v>
      </c>
      <c r="AL389" s="318" t="s">
        <v>116</v>
      </c>
      <c r="AM389" s="318"/>
      <c r="AN389" s="318"/>
      <c r="AO389" s="318"/>
      <c r="AP389" s="318"/>
      <c r="AQ389" s="318"/>
      <c r="AR389" s="6" t="s">
        <v>138</v>
      </c>
      <c r="AS389" s="6" t="s">
        <v>217</v>
      </c>
    </row>
    <row r="390" ht="26.25" customHeight="1">
      <c r="A390" s="318" t="s">
        <v>45</v>
      </c>
      <c r="B390" s="318" t="n">
        <v>4816966506</v>
      </c>
      <c r="C390" s="318" t="s">
        <v>1303</v>
      </c>
      <c r="D390" s="318" t="s">
        <v>46</v>
      </c>
      <c r="E390" s="318" t="s">
        <v>104</v>
      </c>
      <c r="F390" s="318"/>
      <c r="G390" s="318"/>
      <c r="H390" s="318" t="s">
        <v>165</v>
      </c>
      <c r="I390" s="318" t="s">
        <v>88</v>
      </c>
      <c r="J390" s="318" t="n">
        <v>5230814</v>
      </c>
      <c r="K390" s="318" t="s">
        <v>125</v>
      </c>
      <c r="L390" s="318" t="n">
        <v>93</v>
      </c>
      <c r="M390" s="318" t="s">
        <v>116</v>
      </c>
      <c r="N390" s="318" t="s">
        <v>31</v>
      </c>
      <c r="O390" s="318" t="s">
        <v>997</v>
      </c>
      <c r="P390" s="318" t="s">
        <v>246</v>
      </c>
      <c r="Q390" s="318" t="s">
        <v>234</v>
      </c>
      <c r="R390" s="318" t="s">
        <v>88</v>
      </c>
      <c r="S390" s="318" t="s">
        <v>165</v>
      </c>
      <c r="T390" s="318" t="s">
        <v>217</v>
      </c>
      <c r="U390" s="318" t="n">
        <v>3132905</v>
      </c>
      <c r="V390" s="318" t="n">
        <v>0</v>
      </c>
      <c r="W390" s="318" t="s">
        <v>43</v>
      </c>
      <c r="X390" s="318" t="s">
        <v>997</v>
      </c>
      <c r="Y390" s="318" t="s">
        <v>216</v>
      </c>
      <c r="Z390" s="318" t="s">
        <v>283</v>
      </c>
      <c r="AA390" s="318" t="s">
        <v>88</v>
      </c>
      <c r="AB390" s="318" t="s">
        <v>165</v>
      </c>
      <c r="AC390" s="318" t="s">
        <v>116</v>
      </c>
      <c r="AD390" s="318" t="n">
        <v>5230765</v>
      </c>
      <c r="AE390" s="318" t="n">
        <v>29</v>
      </c>
      <c r="AF390" s="114" t="s">
        <v>52</v>
      </c>
      <c r="AG390" s="318" t="s">
        <v>997</v>
      </c>
      <c r="AH390" s="318" t="s">
        <v>215</v>
      </c>
      <c r="AI390" s="318" t="s">
        <v>283</v>
      </c>
      <c r="AJ390" s="318" t="s">
        <v>88</v>
      </c>
      <c r="AK390" s="318" t="s">
        <v>165</v>
      </c>
      <c r="AL390" s="318" t="s">
        <v>217</v>
      </c>
      <c r="AM390" s="318" t="s">
        <v>217</v>
      </c>
      <c r="AN390" s="318" t="s">
        <v>217</v>
      </c>
      <c r="AO390" s="318" t="s">
        <v>217</v>
      </c>
      <c r="AP390" s="318" t="s">
        <v>217</v>
      </c>
      <c r="AQ390" s="318" t="s">
        <v>217</v>
      </c>
      <c r="AR390" s="6" t="s">
        <v>139</v>
      </c>
      <c r="AS390" s="6" t="s">
        <v>217</v>
      </c>
    </row>
    <row r="391" ht="26.25" customHeight="1">
      <c r="A391" s="318" t="s">
        <v>45</v>
      </c>
      <c r="B391" s="318" t="n">
        <v>4078699077</v>
      </c>
      <c r="C391" s="318" t="s">
        <v>895</v>
      </c>
      <c r="D391" s="318" t="s">
        <v>48</v>
      </c>
      <c r="E391" s="318" t="s">
        <v>104</v>
      </c>
      <c r="F391" s="318"/>
      <c r="G391" s="318"/>
      <c r="H391" s="318" t="s">
        <v>165</v>
      </c>
      <c r="I391" s="318" t="s">
        <v>1190</v>
      </c>
      <c r="J391" s="318" t="n">
        <v>5230719</v>
      </c>
      <c r="K391" s="318" t="s">
        <v>126</v>
      </c>
      <c r="L391" s="318" t="n">
        <v>72</v>
      </c>
      <c r="M391" s="318" t="n">
        <v>90</v>
      </c>
      <c r="N391" s="318" t="s">
        <v>31</v>
      </c>
      <c r="O391" s="318" t="s">
        <v>989</v>
      </c>
      <c r="P391" s="318" t="s">
        <v>216</v>
      </c>
      <c r="Q391" s="318" t="s">
        <v>234</v>
      </c>
      <c r="R391" s="318" t="s">
        <v>65</v>
      </c>
      <c r="S391" s="318" t="s">
        <v>165</v>
      </c>
      <c r="T391" s="318" t="s">
        <v>116</v>
      </c>
      <c r="U391" s="318" t="n">
        <v>5230722</v>
      </c>
      <c r="V391" s="318" t="n">
        <v>0</v>
      </c>
      <c r="W391" s="318" t="s">
        <v>47</v>
      </c>
      <c r="X391" s="318" t="s">
        <v>989</v>
      </c>
      <c r="Y391" s="318" t="s">
        <v>233</v>
      </c>
      <c r="Z391" s="318" t="s">
        <v>283</v>
      </c>
      <c r="AA391" s="318" t="s">
        <v>88</v>
      </c>
      <c r="AB391" s="318" t="s">
        <v>165</v>
      </c>
      <c r="AC391" s="318" t="s">
        <v>116</v>
      </c>
      <c r="AD391" s="318" t="n">
        <v>5230737</v>
      </c>
      <c r="AE391" s="318" t="n">
        <v>0</v>
      </c>
      <c r="AF391" s="114" t="s">
        <v>58</v>
      </c>
      <c r="AG391" s="318" t="s">
        <v>989</v>
      </c>
      <c r="AH391" s="318" t="s">
        <v>216</v>
      </c>
      <c r="AI391" s="318" t="s">
        <v>283</v>
      </c>
      <c r="AJ391" s="318" t="s">
        <v>88</v>
      </c>
      <c r="AK391" s="318" t="s">
        <v>165</v>
      </c>
      <c r="AL391" s="318" t="s">
        <v>217</v>
      </c>
      <c r="AM391" s="318" t="s">
        <v>217</v>
      </c>
      <c r="AN391" s="318" t="s">
        <v>217</v>
      </c>
      <c r="AO391" s="318" t="s">
        <v>217</v>
      </c>
      <c r="AP391" s="476" t="s">
        <v>218</v>
      </c>
      <c r="AQ391" s="476" t="s">
        <v>218</v>
      </c>
      <c r="AR391" s="6" t="s">
        <v>139</v>
      </c>
      <c r="AS391" s="6" t="s">
        <v>217</v>
      </c>
    </row>
    <row r="392" ht="26.25" customHeight="1">
      <c r="A392" s="318" t="s">
        <v>54</v>
      </c>
      <c r="B392" s="318" t="n">
        <v>4119709833</v>
      </c>
      <c r="C392" s="318" t="s">
        <v>1304</v>
      </c>
      <c r="D392" s="318" t="s">
        <v>59</v>
      </c>
      <c r="E392" s="318" t="s">
        <v>112</v>
      </c>
      <c r="F392" s="318"/>
      <c r="G392" s="318" t="s">
        <v>958</v>
      </c>
      <c r="H392" s="318" t="s">
        <v>165</v>
      </c>
      <c r="I392" s="318" t="s">
        <v>1305</v>
      </c>
      <c r="J392" s="318" t="n">
        <v>3132902</v>
      </c>
      <c r="K392" s="318" t="s">
        <v>125</v>
      </c>
      <c r="L392" s="318" t="n">
        <v>43</v>
      </c>
      <c r="M392" s="318" t="s">
        <v>116</v>
      </c>
      <c r="N392" s="318" t="s">
        <v>31</v>
      </c>
      <c r="O392" s="318" t="s">
        <v>987</v>
      </c>
      <c r="P392" s="318" t="s">
        <v>216</v>
      </c>
      <c r="Q392" s="318" t="s">
        <v>283</v>
      </c>
      <c r="R392" s="318" t="s">
        <v>101</v>
      </c>
      <c r="S392" s="318" t="s">
        <v>165</v>
      </c>
      <c r="T392" s="318" t="s">
        <v>116</v>
      </c>
      <c r="U392" s="318" t="n">
        <v>3132846</v>
      </c>
      <c r="V392" s="318" t="n">
        <v>51</v>
      </c>
      <c r="W392" s="318" t="s">
        <v>43</v>
      </c>
      <c r="X392" s="318" t="s">
        <v>987</v>
      </c>
      <c r="Y392" s="318" t="s">
        <v>216</v>
      </c>
      <c r="Z392" s="318" t="s">
        <v>283</v>
      </c>
      <c r="AA392" s="318" t="s">
        <v>100</v>
      </c>
      <c r="AB392" s="318" t="s">
        <v>165</v>
      </c>
      <c r="AC392" s="318" t="s">
        <v>116</v>
      </c>
      <c r="AD392" s="318" t="n">
        <v>5230738</v>
      </c>
      <c r="AE392" s="318" t="n">
        <v>32.5</v>
      </c>
      <c r="AF392" s="318" t="s">
        <v>58</v>
      </c>
      <c r="AG392" s="318" t="s">
        <v>987</v>
      </c>
      <c r="AH392" s="318" t="s">
        <v>215</v>
      </c>
      <c r="AI392" s="318" t="s">
        <v>283</v>
      </c>
      <c r="AJ392" s="318" t="s">
        <v>100</v>
      </c>
      <c r="AK392" s="318" t="s">
        <v>165</v>
      </c>
      <c r="AL392" s="318" t="s">
        <v>116</v>
      </c>
      <c r="AM392" s="318"/>
      <c r="AN392" s="318"/>
      <c r="AO392" s="318"/>
      <c r="AP392" s="318"/>
      <c r="AQ392" s="318"/>
      <c r="AR392" s="6" t="s">
        <v>139</v>
      </c>
    </row>
    <row r="393" ht="26.25" customHeight="1">
      <c r="A393" s="318" t="s">
        <v>54</v>
      </c>
      <c r="B393" s="318" t="n">
        <v>4759516454</v>
      </c>
      <c r="C393" s="318" t="s">
        <v>958</v>
      </c>
      <c r="D393" s="318" t="s">
        <v>59</v>
      </c>
      <c r="E393" s="318" t="s">
        <v>104</v>
      </c>
      <c r="F393" s="318"/>
      <c r="G393" s="318"/>
      <c r="H393" s="318" t="s">
        <v>165</v>
      </c>
      <c r="I393" s="318" t="s">
        <v>1305</v>
      </c>
      <c r="J393" s="318" t="n">
        <v>3132902</v>
      </c>
      <c r="K393" s="318" t="s">
        <v>125</v>
      </c>
      <c r="L393" s="318" t="n">
        <v>43</v>
      </c>
      <c r="M393" s="318" t="s">
        <v>116</v>
      </c>
      <c r="N393" s="318" t="s">
        <v>31</v>
      </c>
      <c r="O393" s="318" t="s">
        <v>987</v>
      </c>
      <c r="P393" s="318" t="s">
        <v>216</v>
      </c>
      <c r="Q393" s="318" t="s">
        <v>283</v>
      </c>
      <c r="R393" s="318" t="s">
        <v>101</v>
      </c>
      <c r="S393" s="318" t="s">
        <v>165</v>
      </c>
      <c r="T393" s="318" t="s">
        <v>116</v>
      </c>
      <c r="U393" s="318" t="n">
        <v>3132846</v>
      </c>
      <c r="V393" s="318" t="n">
        <v>32</v>
      </c>
      <c r="W393" s="318" t="s">
        <v>43</v>
      </c>
      <c r="X393" s="318" t="s">
        <v>987</v>
      </c>
      <c r="Y393" s="318" t="s">
        <v>216</v>
      </c>
      <c r="Z393" s="318" t="s">
        <v>283</v>
      </c>
      <c r="AA393" s="318" t="s">
        <v>100</v>
      </c>
      <c r="AB393" s="318" t="s">
        <v>165</v>
      </c>
      <c r="AC393" s="318" t="s">
        <v>116</v>
      </c>
      <c r="AD393" s="318" t="n">
        <v>5230738</v>
      </c>
      <c r="AE393" s="318" t="n">
        <v>24.5</v>
      </c>
      <c r="AF393" s="318" t="s">
        <v>58</v>
      </c>
      <c r="AG393" s="318" t="s">
        <v>987</v>
      </c>
      <c r="AH393" s="318" t="s">
        <v>215</v>
      </c>
      <c r="AI393" s="318" t="s">
        <v>283</v>
      </c>
      <c r="AJ393" s="318" t="s">
        <v>100</v>
      </c>
      <c r="AK393" s="318" t="s">
        <v>165</v>
      </c>
      <c r="AL393" s="318" t="s">
        <v>116</v>
      </c>
      <c r="AM393" s="318"/>
      <c r="AN393" s="318"/>
      <c r="AO393" s="318"/>
      <c r="AP393" s="476"/>
      <c r="AQ393" s="476"/>
      <c r="AR393" s="6" t="s">
        <v>139</v>
      </c>
    </row>
    <row r="394" ht="26.25" customHeight="1">
      <c r="A394" s="318" t="s">
        <v>45</v>
      </c>
      <c r="B394" s="318" t="n">
        <v>2545862641</v>
      </c>
      <c r="C394" s="318" t="s">
        <v>1306</v>
      </c>
      <c r="D394" s="318" t="s">
        <v>48</v>
      </c>
      <c r="E394" s="318" t="s">
        <v>106</v>
      </c>
      <c r="F394" s="318"/>
      <c r="G394" s="318"/>
      <c r="H394" s="318" t="s">
        <v>165</v>
      </c>
      <c r="I394" s="318" t="s">
        <v>88</v>
      </c>
      <c r="J394" s="318" t="n">
        <v>5230814</v>
      </c>
      <c r="K394" s="318" t="s">
        <v>124</v>
      </c>
      <c r="L394" s="318" t="n">
        <v>80</v>
      </c>
      <c r="M394" s="318" t="s">
        <v>116</v>
      </c>
      <c r="N394" s="318" t="s">
        <v>31</v>
      </c>
      <c r="O394" s="318" t="s">
        <v>997</v>
      </c>
      <c r="P394" s="318" t="s">
        <v>246</v>
      </c>
      <c r="Q394" s="318" t="s">
        <v>234</v>
      </c>
      <c r="R394" s="318" t="s">
        <v>88</v>
      </c>
      <c r="S394" s="318" t="s">
        <v>165</v>
      </c>
      <c r="T394" s="318" t="s">
        <v>217</v>
      </c>
      <c r="U394" s="318" t="n">
        <v>3132905</v>
      </c>
      <c r="V394" s="318" t="n">
        <v>0</v>
      </c>
      <c r="W394" s="318" t="s">
        <v>43</v>
      </c>
      <c r="X394" s="318" t="s">
        <v>997</v>
      </c>
      <c r="Y394" s="318" t="s">
        <v>216</v>
      </c>
      <c r="Z394" s="318" t="s">
        <v>283</v>
      </c>
      <c r="AA394" s="318" t="s">
        <v>88</v>
      </c>
      <c r="AB394" s="318" t="s">
        <v>165</v>
      </c>
      <c r="AC394" s="318" t="s">
        <v>217</v>
      </c>
      <c r="AD394" s="318" t="n">
        <v>5230765</v>
      </c>
      <c r="AE394" s="318" t="n">
        <v>0</v>
      </c>
      <c r="AF394" s="114" t="s">
        <v>52</v>
      </c>
      <c r="AG394" s="318" t="s">
        <v>997</v>
      </c>
      <c r="AH394" s="318" t="s">
        <v>215</v>
      </c>
      <c r="AI394" s="318" t="s">
        <v>283</v>
      </c>
      <c r="AJ394" s="318" t="s">
        <v>88</v>
      </c>
      <c r="AK394" s="318" t="s">
        <v>165</v>
      </c>
      <c r="AL394" s="318" t="s">
        <v>217</v>
      </c>
      <c r="AM394" s="318" t="s">
        <v>217</v>
      </c>
      <c r="AN394" s="318" t="s">
        <v>217</v>
      </c>
      <c r="AO394" s="318" t="s">
        <v>217</v>
      </c>
      <c r="AP394" s="476" t="s">
        <v>218</v>
      </c>
      <c r="AQ394" s="476" t="s">
        <v>218</v>
      </c>
      <c r="AR394" s="6" t="s">
        <v>138</v>
      </c>
      <c r="AS394" s="6" t="s">
        <v>217</v>
      </c>
    </row>
    <row r="395" ht="26.25" customHeight="1">
      <c r="A395" s="290" t="s">
        <v>45</v>
      </c>
      <c r="B395" s="290" t="n">
        <v>4779330593</v>
      </c>
      <c r="C395" s="290" t="s">
        <v>900</v>
      </c>
      <c r="D395" s="290" t="s">
        <v>46</v>
      </c>
      <c r="E395" s="290" t="s">
        <v>106</v>
      </c>
      <c r="F395" s="492"/>
      <c r="G395" s="492"/>
      <c r="H395" s="290" t="s">
        <v>165</v>
      </c>
      <c r="I395" s="290" t="s">
        <v>65</v>
      </c>
      <c r="J395" s="290" t="n">
        <v>5230719</v>
      </c>
      <c r="K395" s="290" t="s">
        <v>124</v>
      </c>
      <c r="L395" s="290" t="n">
        <v>85</v>
      </c>
      <c r="M395" s="290" t="s">
        <v>116</v>
      </c>
      <c r="N395" s="290" t="s">
        <v>31</v>
      </c>
      <c r="O395" s="290" t="s">
        <v>989</v>
      </c>
      <c r="P395" s="290" t="s">
        <v>216</v>
      </c>
      <c r="Q395" s="290" t="s">
        <v>234</v>
      </c>
      <c r="R395" s="290" t="s">
        <v>65</v>
      </c>
      <c r="S395" s="290" t="s">
        <v>165</v>
      </c>
      <c r="T395" s="290" t="s">
        <v>217</v>
      </c>
      <c r="U395" s="290" t="n">
        <v>5230828</v>
      </c>
      <c r="V395" s="290" t="n">
        <v>0</v>
      </c>
      <c r="W395" s="290" t="s">
        <v>43</v>
      </c>
      <c r="X395" s="290" t="s">
        <v>989</v>
      </c>
      <c r="Y395" s="290" t="s">
        <v>215</v>
      </c>
      <c r="Z395" s="290" t="s">
        <v>283</v>
      </c>
      <c r="AA395" s="290" t="s">
        <v>65</v>
      </c>
      <c r="AB395" s="290" t="s">
        <v>165</v>
      </c>
      <c r="AC395" s="290" t="s">
        <v>217</v>
      </c>
      <c r="AD395" s="290" t="n">
        <v>3132869</v>
      </c>
      <c r="AE395" s="290" t="n">
        <v>0</v>
      </c>
      <c r="AF395" s="290" t="s">
        <v>58</v>
      </c>
      <c r="AG395" s="290" t="s">
        <v>989</v>
      </c>
      <c r="AH395" s="290" t="s">
        <v>233</v>
      </c>
      <c r="AI395" s="290" t="s">
        <v>283</v>
      </c>
      <c r="AJ395" s="290" t="s">
        <v>65</v>
      </c>
      <c r="AK395" s="290" t="s">
        <v>165</v>
      </c>
      <c r="AL395" s="290" t="s">
        <v>217</v>
      </c>
      <c r="AM395" s="318"/>
      <c r="AN395" s="318"/>
      <c r="AO395" s="318"/>
      <c r="AP395" s="476"/>
      <c r="AQ395" s="476"/>
      <c r="AR395" s="6" t="s">
        <v>138</v>
      </c>
      <c r="AS395" s="6" t="s">
        <v>217</v>
      </c>
    </row>
    <row r="396" ht="26.25" customHeight="1">
      <c r="A396" s="290" t="s">
        <v>54</v>
      </c>
      <c r="B396" s="290" t="n">
        <v>2562153035</v>
      </c>
      <c r="C396" s="290" t="s">
        <v>1088</v>
      </c>
      <c r="D396" s="290" t="s">
        <v>57</v>
      </c>
      <c r="E396" s="290" t="s">
        <v>104</v>
      </c>
      <c r="H396" s="290" t="s">
        <v>165</v>
      </c>
      <c r="I396" s="290" t="s">
        <v>1119</v>
      </c>
      <c r="J396" s="290" t="s">
        <v>116</v>
      </c>
      <c r="N396" s="290" t="s">
        <v>116</v>
      </c>
      <c r="O396" s="290" t="s">
        <v>116</v>
      </c>
      <c r="P396" s="290" t="s">
        <v>116</v>
      </c>
      <c r="Q396" s="290" t="s">
        <v>116</v>
      </c>
      <c r="R396" s="290" t="s">
        <v>116</v>
      </c>
      <c r="S396" s="290" t="s">
        <v>116</v>
      </c>
      <c r="T396" s="290" t="s">
        <v>116</v>
      </c>
      <c r="U396" s="290" t="n">
        <v>3132859</v>
      </c>
      <c r="V396" s="290" t="n">
        <v>36</v>
      </c>
      <c r="W396" s="290" t="s">
        <v>43</v>
      </c>
      <c r="X396" s="290" t="s">
        <v>986</v>
      </c>
      <c r="Y396" s="290" t="s">
        <v>215</v>
      </c>
      <c r="Z396" s="290" t="s">
        <v>283</v>
      </c>
      <c r="AA396" s="290" t="s">
        <v>88</v>
      </c>
      <c r="AB396" s="290" t="s">
        <v>165</v>
      </c>
      <c r="AC396" s="290" t="s">
        <v>116</v>
      </c>
      <c r="AD396" s="290" t="n">
        <v>4513340</v>
      </c>
      <c r="AE396" s="290" t="n">
        <v>37.5</v>
      </c>
      <c r="AF396" s="290" t="s">
        <v>58</v>
      </c>
      <c r="AG396" s="290" t="s">
        <v>1030</v>
      </c>
      <c r="AH396" s="290" t="s">
        <v>233</v>
      </c>
      <c r="AI396" s="290" t="s">
        <v>283</v>
      </c>
      <c r="AJ396" s="290" t="s">
        <v>100</v>
      </c>
      <c r="AK396" s="290" t="s">
        <v>165</v>
      </c>
      <c r="AL396" s="290" t="s">
        <v>116</v>
      </c>
      <c r="AM396" s="290" t="s">
        <v>217</v>
      </c>
      <c r="AN396" s="290" t="s">
        <v>217</v>
      </c>
      <c r="AO396" s="290" t="s">
        <v>217</v>
      </c>
      <c r="AP396" s="290" t="s">
        <v>217</v>
      </c>
      <c r="AQ396" s="290" t="s">
        <v>217</v>
      </c>
      <c r="AR396" s="6" t="s">
        <v>139</v>
      </c>
    </row>
    <row r="397" ht="26.25" customHeight="1">
      <c r="A397" s="290" t="s">
        <v>45</v>
      </c>
      <c r="B397" s="290" t="n">
        <v>4744732648</v>
      </c>
      <c r="C397" s="290" t="s">
        <v>1307</v>
      </c>
      <c r="D397" s="290" t="s">
        <v>50</v>
      </c>
      <c r="E397" s="290" t="s">
        <v>104</v>
      </c>
      <c r="H397" s="290" t="s">
        <v>165</v>
      </c>
      <c r="I397" s="290" t="s">
        <v>88</v>
      </c>
      <c r="J397" s="290" t="n">
        <v>3132897</v>
      </c>
      <c r="K397" s="290" t="s">
        <v>125</v>
      </c>
      <c r="L397" s="290" t="n">
        <v>75</v>
      </c>
      <c r="M397" s="290" t="s">
        <v>116</v>
      </c>
      <c r="N397" s="290" t="s">
        <v>31</v>
      </c>
      <c r="O397" s="290" t="s">
        <v>989</v>
      </c>
      <c r="P397" s="290" t="s">
        <v>215</v>
      </c>
      <c r="Q397" s="290" t="s">
        <v>283</v>
      </c>
      <c r="R397" s="290" t="s">
        <v>88</v>
      </c>
      <c r="S397" s="290" t="s">
        <v>165</v>
      </c>
      <c r="T397" s="290" t="s">
        <v>217</v>
      </c>
      <c r="U397" s="290" t="n">
        <v>5230722</v>
      </c>
      <c r="V397" s="290" t="n">
        <v>0</v>
      </c>
      <c r="W397" s="290" t="s">
        <v>47</v>
      </c>
      <c r="X397" s="290" t="s">
        <v>989</v>
      </c>
      <c r="Y397" s="290" t="s">
        <v>233</v>
      </c>
      <c r="Z397" s="290" t="s">
        <v>283</v>
      </c>
      <c r="AA397" s="290" t="s">
        <v>88</v>
      </c>
      <c r="AB397" s="290" t="s">
        <v>165</v>
      </c>
      <c r="AC397" s="290" t="s">
        <v>217</v>
      </c>
      <c r="AD397" s="290" t="n">
        <v>5230737</v>
      </c>
      <c r="AE397" s="290" t="n">
        <v>40.5</v>
      </c>
      <c r="AF397" s="290" t="s">
        <v>58</v>
      </c>
      <c r="AG397" s="290" t="s">
        <v>989</v>
      </c>
      <c r="AH397" s="290" t="s">
        <v>216</v>
      </c>
      <c r="AI397" s="290" t="s">
        <v>283</v>
      </c>
      <c r="AJ397" s="290" t="s">
        <v>88</v>
      </c>
      <c r="AK397" s="290" t="s">
        <v>165</v>
      </c>
      <c r="AL397" s="290" t="s">
        <v>217</v>
      </c>
      <c r="AM397" s="290" t="s">
        <v>217</v>
      </c>
      <c r="AN397" s="290" t="s">
        <v>217</v>
      </c>
      <c r="AO397" s="290" t="s">
        <v>217</v>
      </c>
      <c r="AP397" s="476" t="s">
        <v>218</v>
      </c>
      <c r="AQ397" s="476" t="s">
        <v>218</v>
      </c>
      <c r="AR397" s="6" t="s">
        <v>139</v>
      </c>
      <c r="AS397" s="6" t="s">
        <v>217</v>
      </c>
    </row>
    <row r="398" ht="26.25" customHeight="1">
      <c r="A398" s="290" t="s">
        <v>54</v>
      </c>
      <c r="B398" s="290" t="n">
        <v>4616206863</v>
      </c>
      <c r="C398" s="290" t="s">
        <v>1308</v>
      </c>
      <c r="D398" s="290" t="s">
        <v>57</v>
      </c>
      <c r="E398" s="290" t="s">
        <v>104</v>
      </c>
      <c r="H398" s="290" t="s">
        <v>165</v>
      </c>
      <c r="I398" s="290" t="s">
        <v>88</v>
      </c>
      <c r="J398" s="290" t="n">
        <v>3132880</v>
      </c>
      <c r="K398" s="290" t="s">
        <v>125</v>
      </c>
      <c r="L398" s="290" t="n">
        <v>110</v>
      </c>
      <c r="M398" s="290" t="s">
        <v>116</v>
      </c>
      <c r="N398" s="290" t="s">
        <v>31</v>
      </c>
      <c r="O398" s="290" t="s">
        <v>986</v>
      </c>
      <c r="P398" s="290" t="s">
        <v>233</v>
      </c>
      <c r="Q398" s="290" t="s">
        <v>234</v>
      </c>
      <c r="R398" s="290" t="s">
        <v>88</v>
      </c>
      <c r="S398" s="290" t="s">
        <v>165</v>
      </c>
      <c r="T398" s="290" t="s">
        <v>116</v>
      </c>
      <c r="U398" s="290" t="n">
        <v>3132859</v>
      </c>
      <c r="V398" s="290" t="n">
        <v>41</v>
      </c>
      <c r="W398" s="290" t="s">
        <v>43</v>
      </c>
      <c r="X398" s="290" t="s">
        <v>986</v>
      </c>
      <c r="Y398" s="290" t="s">
        <v>215</v>
      </c>
      <c r="Z398" s="290" t="s">
        <v>283</v>
      </c>
      <c r="AA398" s="290" t="s">
        <v>88</v>
      </c>
      <c r="AB398" s="290" t="s">
        <v>165</v>
      </c>
      <c r="AC398" s="290" t="s">
        <v>116</v>
      </c>
      <c r="AD398" s="290" t="n">
        <v>5230727</v>
      </c>
      <c r="AE398" s="290" t="n">
        <v>40</v>
      </c>
      <c r="AF398" s="290" t="s">
        <v>56</v>
      </c>
      <c r="AG398" s="290" t="s">
        <v>986</v>
      </c>
      <c r="AH398" s="290" t="s">
        <v>216</v>
      </c>
      <c r="AI398" s="290" t="s">
        <v>283</v>
      </c>
      <c r="AJ398" s="290" t="s">
        <v>88</v>
      </c>
      <c r="AK398" s="290" t="s">
        <v>165</v>
      </c>
      <c r="AL398" s="290" t="s">
        <v>116</v>
      </c>
      <c r="AM398" s="290" t="s">
        <v>217</v>
      </c>
      <c r="AN398" s="290" t="s">
        <v>218</v>
      </c>
      <c r="AO398" s="290" t="s">
        <v>218</v>
      </c>
      <c r="AP398" s="290" t="s">
        <v>218</v>
      </c>
      <c r="AQ398" s="290" t="s">
        <v>218</v>
      </c>
      <c r="AR398" s="6" t="s">
        <v>139</v>
      </c>
    </row>
    <row r="399" ht="26.25" customHeight="1">
      <c r="A399" s="290" t="s">
        <v>45</v>
      </c>
      <c r="B399" s="290" t="n">
        <v>4765984969</v>
      </c>
      <c r="C399" s="290" t="s">
        <v>902</v>
      </c>
      <c r="D399" s="290" t="s">
        <v>48</v>
      </c>
      <c r="E399" s="290" t="s">
        <v>104</v>
      </c>
      <c r="H399" s="290" t="s">
        <v>165</v>
      </c>
      <c r="I399" s="290" t="s">
        <v>65</v>
      </c>
      <c r="J399" s="290" t="n">
        <v>5230802</v>
      </c>
      <c r="K399" s="290" t="s">
        <v>125</v>
      </c>
      <c r="L399" s="290" t="n">
        <v>65</v>
      </c>
      <c r="M399" s="290" t="s">
        <v>116</v>
      </c>
      <c r="N399" s="290" t="s">
        <v>37</v>
      </c>
      <c r="O399" s="290" t="s">
        <v>997</v>
      </c>
      <c r="P399" s="290" t="s">
        <v>233</v>
      </c>
      <c r="Q399" s="290" t="s">
        <v>283</v>
      </c>
      <c r="R399" s="290" t="s">
        <v>65</v>
      </c>
      <c r="S399" s="290" t="s">
        <v>165</v>
      </c>
      <c r="T399" s="290" t="s">
        <v>116</v>
      </c>
      <c r="U399" s="290" t="n">
        <v>4632448</v>
      </c>
      <c r="W399" s="290" t="s">
        <v>49</v>
      </c>
      <c r="X399" s="290" t="s">
        <v>997</v>
      </c>
      <c r="Y399" s="290" t="s">
        <v>215</v>
      </c>
      <c r="Z399" s="290" t="s">
        <v>283</v>
      </c>
      <c r="AA399" s="290" t="s">
        <v>65</v>
      </c>
      <c r="AB399" s="290" t="s">
        <v>165</v>
      </c>
      <c r="AC399" s="290" t="s">
        <v>116</v>
      </c>
      <c r="AD399" s="290" t="n">
        <v>3132837</v>
      </c>
      <c r="AF399" s="290" t="s">
        <v>58</v>
      </c>
      <c r="AG399" s="290" t="s">
        <v>997</v>
      </c>
      <c r="AH399" s="290" t="s">
        <v>216</v>
      </c>
      <c r="AI399" s="290" t="s">
        <v>283</v>
      </c>
      <c r="AJ399" s="290" t="s">
        <v>65</v>
      </c>
      <c r="AK399" s="290" t="s">
        <v>165</v>
      </c>
      <c r="AL399" s="290" t="s">
        <v>116</v>
      </c>
      <c r="AP399" s="476"/>
      <c r="AQ399" s="476"/>
      <c r="AR399" s="6" t="s">
        <v>139</v>
      </c>
    </row>
    <row r="400" ht="26.25" customHeight="1">
      <c r="A400" s="290" t="s">
        <v>45</v>
      </c>
      <c r="B400" s="290" t="n">
        <v>4029496535</v>
      </c>
      <c r="C400" s="290" t="s">
        <v>1309</v>
      </c>
      <c r="D400" s="290" t="s">
        <v>48</v>
      </c>
      <c r="E400" s="290" t="s">
        <v>115</v>
      </c>
      <c r="H400" s="290" t="s">
        <v>165</v>
      </c>
      <c r="I400" s="290" t="s">
        <v>88</v>
      </c>
      <c r="J400" s="290" t="n">
        <v>5230814</v>
      </c>
      <c r="K400" s="290" t="s">
        <v>125</v>
      </c>
      <c r="L400" s="290" t="n">
        <v>109</v>
      </c>
      <c r="M400" s="290" t="s">
        <v>116</v>
      </c>
      <c r="N400" s="290" t="s">
        <v>31</v>
      </c>
      <c r="O400" s="290" t="s">
        <v>997</v>
      </c>
      <c r="P400" s="290" t="s">
        <v>246</v>
      </c>
      <c r="Q400" s="290" t="s">
        <v>234</v>
      </c>
      <c r="R400" s="290" t="s">
        <v>88</v>
      </c>
      <c r="S400" s="290" t="s">
        <v>165</v>
      </c>
      <c r="T400" s="290" t="s">
        <v>217</v>
      </c>
      <c r="U400" s="290" t="n">
        <v>3132905</v>
      </c>
      <c r="V400" s="290" t="n">
        <v>43</v>
      </c>
      <c r="W400" s="290" t="s">
        <v>43</v>
      </c>
      <c r="X400" s="290" t="s">
        <v>997</v>
      </c>
      <c r="Y400" s="290" t="s">
        <v>216</v>
      </c>
      <c r="Z400" s="290" t="s">
        <v>283</v>
      </c>
      <c r="AA400" s="290" t="s">
        <v>88</v>
      </c>
      <c r="AB400" s="290" t="s">
        <v>165</v>
      </c>
      <c r="AC400" s="290" t="s">
        <v>217</v>
      </c>
      <c r="AD400" s="290" t="n">
        <v>5230765</v>
      </c>
      <c r="AE400" s="290" t="n">
        <v>32</v>
      </c>
      <c r="AF400" s="290" t="s">
        <v>52</v>
      </c>
      <c r="AG400" s="290" t="s">
        <v>997</v>
      </c>
      <c r="AH400" s="290" t="s">
        <v>215</v>
      </c>
      <c r="AI400" s="290" t="s">
        <v>283</v>
      </c>
      <c r="AJ400" s="290" t="s">
        <v>88</v>
      </c>
      <c r="AK400" s="290" t="s">
        <v>165</v>
      </c>
      <c r="AL400" s="290" t="s">
        <v>217</v>
      </c>
      <c r="AM400" s="290" t="s">
        <v>217</v>
      </c>
      <c r="AN400" s="290" t="s">
        <v>217</v>
      </c>
      <c r="AO400" s="290" t="s">
        <v>217</v>
      </c>
      <c r="AP400" s="290" t="s">
        <v>217</v>
      </c>
      <c r="AQ400" s="290" t="s">
        <v>217</v>
      </c>
      <c r="AR400" s="6" t="s">
        <v>139</v>
      </c>
      <c r="AS400" s="6" t="s">
        <v>217</v>
      </c>
    </row>
    <row r="401" ht="26.25" customHeight="1">
      <c r="A401" s="290" t="s">
        <v>45</v>
      </c>
      <c r="B401" s="290" t="n">
        <v>4263818980</v>
      </c>
      <c r="C401" s="290" t="s">
        <v>1310</v>
      </c>
      <c r="D401" s="290" t="s">
        <v>46</v>
      </c>
      <c r="E401" s="290" t="s">
        <v>104</v>
      </c>
      <c r="H401" s="290" t="s">
        <v>1123</v>
      </c>
      <c r="I401" s="290" t="s">
        <v>116</v>
      </c>
      <c r="J401" s="290" t="n">
        <v>5230814</v>
      </c>
      <c r="K401" s="290" t="s">
        <v>125</v>
      </c>
      <c r="L401" s="290" t="n">
        <v>83</v>
      </c>
      <c r="M401" s="290" t="s">
        <v>116</v>
      </c>
      <c r="N401" s="290" t="s">
        <v>31</v>
      </c>
      <c r="O401" s="290" t="s">
        <v>997</v>
      </c>
      <c r="P401" s="290" t="s">
        <v>246</v>
      </c>
      <c r="Q401" s="290" t="s">
        <v>234</v>
      </c>
      <c r="R401" s="290" t="s">
        <v>88</v>
      </c>
      <c r="S401" s="290" t="s">
        <v>444</v>
      </c>
      <c r="T401" s="290" t="s">
        <v>116</v>
      </c>
      <c r="U401" s="290" t="n">
        <v>3132905</v>
      </c>
      <c r="V401" s="290" t="n">
        <v>0</v>
      </c>
      <c r="W401" s="290" t="s">
        <v>43</v>
      </c>
      <c r="X401" s="290" t="s">
        <v>997</v>
      </c>
      <c r="Y401" s="290" t="s">
        <v>216</v>
      </c>
      <c r="Z401" s="290" t="s">
        <v>283</v>
      </c>
      <c r="AA401" s="290" t="s">
        <v>88</v>
      </c>
      <c r="AB401" s="290" t="s">
        <v>444</v>
      </c>
      <c r="AC401" s="290" t="s">
        <v>116</v>
      </c>
      <c r="AD401" s="290" t="n">
        <v>5230765</v>
      </c>
      <c r="AE401" s="290" t="n">
        <v>38.5</v>
      </c>
      <c r="AF401" s="290" t="s">
        <v>52</v>
      </c>
      <c r="AG401" s="290" t="s">
        <v>997</v>
      </c>
      <c r="AH401" s="290" t="s">
        <v>215</v>
      </c>
      <c r="AI401" s="290" t="s">
        <v>283</v>
      </c>
      <c r="AJ401" s="290" t="s">
        <v>88</v>
      </c>
      <c r="AK401" s="290" t="s">
        <v>444</v>
      </c>
      <c r="AL401" s="290" t="s">
        <v>116</v>
      </c>
      <c r="AN401" s="290" t="s">
        <v>218</v>
      </c>
      <c r="AP401" s="476"/>
      <c r="AQ401" s="476"/>
      <c r="AR401" s="6" t="s">
        <v>1124</v>
      </c>
    </row>
    <row r="402" ht="26.25" customHeight="1">
      <c r="A402" s="290" t="s">
        <v>45</v>
      </c>
      <c r="B402" s="290" t="n">
        <v>4762945633</v>
      </c>
      <c r="C402" s="290" t="s">
        <v>1014</v>
      </c>
      <c r="D402" s="290" t="s">
        <v>46</v>
      </c>
      <c r="E402" s="290" t="s">
        <v>106</v>
      </c>
      <c r="H402" s="290" t="s">
        <v>165</v>
      </c>
      <c r="I402" s="290" t="s">
        <v>88</v>
      </c>
      <c r="J402" s="290" t="n">
        <v>5230814</v>
      </c>
      <c r="K402" s="290" t="s">
        <v>125</v>
      </c>
      <c r="L402" s="290" t="n">
        <v>100</v>
      </c>
      <c r="M402" s="290" t="s">
        <v>116</v>
      </c>
      <c r="N402" s="290" t="s">
        <v>31</v>
      </c>
      <c r="O402" s="290" t="s">
        <v>997</v>
      </c>
      <c r="P402" s="290" t="s">
        <v>246</v>
      </c>
      <c r="Q402" s="290" t="s">
        <v>234</v>
      </c>
      <c r="R402" s="290" t="s">
        <v>88</v>
      </c>
      <c r="S402" s="290" t="s">
        <v>165</v>
      </c>
      <c r="T402" s="290" t="s">
        <v>217</v>
      </c>
      <c r="U402" s="290" t="n">
        <v>3132905</v>
      </c>
      <c r="V402" s="290" t="n">
        <v>0</v>
      </c>
      <c r="W402" s="290" t="s">
        <v>43</v>
      </c>
      <c r="X402" s="290" t="s">
        <v>997</v>
      </c>
      <c r="Y402" s="290" t="s">
        <v>216</v>
      </c>
      <c r="Z402" s="290" t="s">
        <v>283</v>
      </c>
      <c r="AA402" s="290" t="s">
        <v>88</v>
      </c>
      <c r="AB402" s="290" t="s">
        <v>165</v>
      </c>
      <c r="AC402" s="290" t="s">
        <v>217</v>
      </c>
      <c r="AD402" s="290" t="n">
        <v>5230765</v>
      </c>
      <c r="AE402" s="290" t="n">
        <v>44</v>
      </c>
      <c r="AF402" s="290" t="s">
        <v>52</v>
      </c>
      <c r="AG402" s="290" t="s">
        <v>997</v>
      </c>
      <c r="AH402" s="290" t="s">
        <v>215</v>
      </c>
      <c r="AI402" s="290" t="s">
        <v>283</v>
      </c>
      <c r="AJ402" s="290" t="s">
        <v>88</v>
      </c>
      <c r="AK402" s="290" t="s">
        <v>165</v>
      </c>
      <c r="AL402" s="290" t="s">
        <v>217</v>
      </c>
      <c r="AM402" s="290" t="s">
        <v>217</v>
      </c>
      <c r="AN402" s="290" t="s">
        <v>217</v>
      </c>
      <c r="AO402" s="290" t="s">
        <v>217</v>
      </c>
      <c r="AP402" s="476" t="s">
        <v>217</v>
      </c>
      <c r="AQ402" s="476" t="s">
        <v>217</v>
      </c>
      <c r="AR402" s="6" t="s">
        <v>138</v>
      </c>
      <c r="AS402" s="6" t="s">
        <v>217</v>
      </c>
    </row>
    <row r="403" ht="26.25" customHeight="1">
      <c r="A403" s="290" t="s">
        <v>45</v>
      </c>
      <c r="B403" s="290" t="n">
        <v>4776166958</v>
      </c>
      <c r="C403" s="290" t="s">
        <v>1311</v>
      </c>
      <c r="D403" s="290" t="s">
        <v>1312</v>
      </c>
      <c r="E403" s="290" t="s">
        <v>104</v>
      </c>
      <c r="H403" s="290" t="s">
        <v>1123</v>
      </c>
      <c r="I403" s="290" t="s">
        <v>116</v>
      </c>
      <c r="J403" s="290" t="n">
        <v>3132897</v>
      </c>
      <c r="K403" s="290" t="s">
        <v>116</v>
      </c>
      <c r="L403" s="290" t="s">
        <v>116</v>
      </c>
      <c r="M403" s="290" t="s">
        <v>116</v>
      </c>
      <c r="N403" s="290" t="s">
        <v>31</v>
      </c>
      <c r="O403" s="290" t="s">
        <v>989</v>
      </c>
      <c r="P403" s="290" t="s">
        <v>215</v>
      </c>
      <c r="Q403" s="290" t="s">
        <v>283</v>
      </c>
      <c r="R403" s="290" t="s">
        <v>88</v>
      </c>
      <c r="S403" s="290" t="s">
        <v>444</v>
      </c>
      <c r="T403" s="290" t="s">
        <v>116</v>
      </c>
      <c r="U403" s="290" t="n">
        <v>5230722</v>
      </c>
      <c r="W403" s="290" t="s">
        <v>47</v>
      </c>
      <c r="X403" s="290" t="s">
        <v>989</v>
      </c>
      <c r="Y403" s="290" t="s">
        <v>233</v>
      </c>
      <c r="Z403" s="290" t="s">
        <v>283</v>
      </c>
      <c r="AA403" s="290" t="s">
        <v>88</v>
      </c>
      <c r="AB403" s="290" t="s">
        <v>444</v>
      </c>
      <c r="AC403" s="290" t="s">
        <v>116</v>
      </c>
      <c r="AD403" s="290" t="n">
        <v>5230737</v>
      </c>
      <c r="AF403" s="290" t="s">
        <v>58</v>
      </c>
      <c r="AG403" s="290" t="s">
        <v>989</v>
      </c>
      <c r="AH403" s="290" t="s">
        <v>216</v>
      </c>
      <c r="AI403" s="290" t="s">
        <v>283</v>
      </c>
      <c r="AJ403" s="290" t="s">
        <v>88</v>
      </c>
      <c r="AK403" s="290" t="s">
        <v>444</v>
      </c>
      <c r="AL403" s="290" t="s">
        <v>116</v>
      </c>
      <c r="AM403" s="318"/>
      <c r="AN403" s="318"/>
      <c r="AO403" s="318"/>
      <c r="AR403" s="6" t="s">
        <v>1124</v>
      </c>
    </row>
    <row r="404" ht="26.25" customHeight="1">
      <c r="A404" s="290" t="s">
        <v>45</v>
      </c>
      <c r="B404" s="290" t="n">
        <v>4819955828</v>
      </c>
      <c r="C404" s="290" t="s">
        <v>1313</v>
      </c>
      <c r="D404" s="290" t="s">
        <v>48</v>
      </c>
      <c r="E404" s="290" t="s">
        <v>104</v>
      </c>
      <c r="H404" s="290" t="s">
        <v>165</v>
      </c>
      <c r="I404" s="290" t="s">
        <v>88</v>
      </c>
      <c r="J404" s="290" t="n">
        <v>5230814</v>
      </c>
      <c r="K404" s="290" t="s">
        <v>125</v>
      </c>
      <c r="L404" s="290" t="n">
        <v>91</v>
      </c>
      <c r="M404" s="290" t="s">
        <v>116</v>
      </c>
      <c r="N404" s="290" t="s">
        <v>31</v>
      </c>
      <c r="O404" s="290" t="s">
        <v>997</v>
      </c>
      <c r="P404" s="290" t="s">
        <v>246</v>
      </c>
      <c r="Q404" s="290" t="s">
        <v>234</v>
      </c>
      <c r="R404" s="290" t="s">
        <v>88</v>
      </c>
      <c r="S404" s="290" t="s">
        <v>165</v>
      </c>
      <c r="T404" s="290" t="s">
        <v>217</v>
      </c>
      <c r="U404" s="290" t="n">
        <v>3132905</v>
      </c>
      <c r="V404" s="290" t="n">
        <v>0</v>
      </c>
      <c r="W404" s="290" t="s">
        <v>43</v>
      </c>
      <c r="X404" s="290" t="s">
        <v>997</v>
      </c>
      <c r="Y404" s="290" t="s">
        <v>216</v>
      </c>
      <c r="Z404" s="290" t="s">
        <v>283</v>
      </c>
      <c r="AA404" s="290" t="s">
        <v>88</v>
      </c>
      <c r="AB404" s="290" t="s">
        <v>165</v>
      </c>
      <c r="AC404" s="290" t="s">
        <v>217</v>
      </c>
      <c r="AD404" s="290" t="n">
        <v>5230765</v>
      </c>
      <c r="AE404" s="290" t="n">
        <v>42.5</v>
      </c>
      <c r="AF404" s="290" t="s">
        <v>52</v>
      </c>
      <c r="AG404" s="290" t="s">
        <v>997</v>
      </c>
      <c r="AH404" s="290" t="s">
        <v>215</v>
      </c>
      <c r="AI404" s="290" t="s">
        <v>283</v>
      </c>
      <c r="AJ404" s="290" t="s">
        <v>88</v>
      </c>
      <c r="AK404" s="290" t="s">
        <v>165</v>
      </c>
      <c r="AL404" s="290" t="s">
        <v>217</v>
      </c>
      <c r="AM404" s="290" t="s">
        <v>217</v>
      </c>
      <c r="AN404" s="290" t="s">
        <v>217</v>
      </c>
      <c r="AO404" s="290" t="s">
        <v>217</v>
      </c>
      <c r="AP404" s="290" t="s">
        <v>217</v>
      </c>
      <c r="AQ404" s="290" t="s">
        <v>217</v>
      </c>
      <c r="AR404" s="6" t="s">
        <v>139</v>
      </c>
      <c r="AS404" s="6" t="s">
        <v>217</v>
      </c>
    </row>
    <row r="405" ht="26.25" customHeight="1">
      <c r="A405" s="290" t="s">
        <v>45</v>
      </c>
      <c r="B405" s="290" t="n">
        <v>2520917908</v>
      </c>
      <c r="C405" s="290" t="s">
        <v>1314</v>
      </c>
      <c r="D405" s="290" t="s">
        <v>48</v>
      </c>
      <c r="E405" s="290" t="s">
        <v>104</v>
      </c>
      <c r="H405" s="290" t="s">
        <v>165</v>
      </c>
      <c r="I405" s="290" t="s">
        <v>88</v>
      </c>
      <c r="J405" s="290" t="n">
        <v>3132897</v>
      </c>
      <c r="K405" s="290" t="s">
        <v>125</v>
      </c>
      <c r="L405" s="290" t="n">
        <v>75</v>
      </c>
      <c r="M405" s="290" t="s">
        <v>116</v>
      </c>
      <c r="N405" s="290" t="s">
        <v>31</v>
      </c>
      <c r="O405" s="290" t="s">
        <v>989</v>
      </c>
      <c r="P405" s="290" t="s">
        <v>215</v>
      </c>
      <c r="Q405" s="290" t="s">
        <v>283</v>
      </c>
      <c r="R405" s="290" t="s">
        <v>88</v>
      </c>
      <c r="S405" s="290" t="s">
        <v>165</v>
      </c>
      <c r="T405" s="290" t="s">
        <v>116</v>
      </c>
      <c r="U405" s="290" t="n">
        <v>5230722</v>
      </c>
      <c r="V405" s="290" t="n">
        <v>25</v>
      </c>
      <c r="W405" s="290" t="s">
        <v>47</v>
      </c>
      <c r="X405" s="290" t="s">
        <v>989</v>
      </c>
      <c r="Y405" s="290" t="s">
        <v>233</v>
      </c>
      <c r="Z405" s="290" t="s">
        <v>283</v>
      </c>
      <c r="AA405" s="290" t="s">
        <v>88</v>
      </c>
      <c r="AB405" s="290" t="s">
        <v>165</v>
      </c>
      <c r="AC405" s="290" t="s">
        <v>116</v>
      </c>
      <c r="AD405" s="290" t="n">
        <v>5230737</v>
      </c>
      <c r="AE405" s="290" t="n">
        <v>29</v>
      </c>
      <c r="AF405" s="290" t="s">
        <v>58</v>
      </c>
      <c r="AG405" s="290" t="s">
        <v>989</v>
      </c>
      <c r="AH405" s="290" t="s">
        <v>216</v>
      </c>
      <c r="AI405" s="290" t="s">
        <v>283</v>
      </c>
      <c r="AJ405" s="290" t="s">
        <v>88</v>
      </c>
      <c r="AK405" s="290" t="s">
        <v>165</v>
      </c>
      <c r="AL405" s="290" t="s">
        <v>116</v>
      </c>
      <c r="AM405" s="290" t="s">
        <v>217</v>
      </c>
      <c r="AN405" s="290" t="s">
        <v>217</v>
      </c>
      <c r="AO405" s="290" t="s">
        <v>218</v>
      </c>
      <c r="AP405" s="290" t="s">
        <v>218</v>
      </c>
      <c r="AQ405" s="290" t="s">
        <v>218</v>
      </c>
      <c r="AR405" s="6" t="s">
        <v>139</v>
      </c>
    </row>
    <row r="406" ht="26.25" customHeight="1">
      <c r="A406" s="290" t="s">
        <v>54</v>
      </c>
      <c r="B406" s="290" t="n">
        <v>4089928152</v>
      </c>
      <c r="C406" s="290" t="s">
        <v>1315</v>
      </c>
      <c r="D406" s="290" t="s">
        <v>55</v>
      </c>
      <c r="E406" s="290" t="s">
        <v>114</v>
      </c>
      <c r="F406" s="290" t="s">
        <v>1316</v>
      </c>
      <c r="H406" s="290" t="s">
        <v>1123</v>
      </c>
      <c r="I406" s="290" t="s">
        <v>116</v>
      </c>
      <c r="J406" s="290" t="n">
        <v>5111034</v>
      </c>
      <c r="K406" s="290" t="s">
        <v>125</v>
      </c>
      <c r="L406" s="290" t="n">
        <v>61</v>
      </c>
      <c r="M406" s="290" t="s">
        <v>116</v>
      </c>
      <c r="N406" s="290" t="s">
        <v>37</v>
      </c>
      <c r="O406" s="290" t="s">
        <v>1030</v>
      </c>
      <c r="P406" s="290" t="s">
        <v>216</v>
      </c>
      <c r="Q406" s="290" t="s">
        <v>283</v>
      </c>
      <c r="R406" s="290" t="s">
        <v>100</v>
      </c>
      <c r="S406" s="290" t="s">
        <v>444</v>
      </c>
      <c r="T406" s="290" t="s">
        <v>116</v>
      </c>
      <c r="U406" s="290" t="n">
        <v>5230773</v>
      </c>
      <c r="V406" s="290" t="n">
        <v>67</v>
      </c>
      <c r="W406" s="290" t="s">
        <v>49</v>
      </c>
      <c r="X406" s="290" t="s">
        <v>986</v>
      </c>
      <c r="Y406" s="290" t="s">
        <v>233</v>
      </c>
      <c r="Z406" s="290" t="s">
        <v>283</v>
      </c>
      <c r="AA406" s="290" t="s">
        <v>65</v>
      </c>
      <c r="AB406" s="290" t="s">
        <v>444</v>
      </c>
      <c r="AC406" s="290" t="s">
        <v>116</v>
      </c>
      <c r="AD406" s="290" t="n">
        <v>5230821</v>
      </c>
      <c r="AE406" s="290" t="n">
        <v>30.5</v>
      </c>
      <c r="AF406" s="290" t="s">
        <v>56</v>
      </c>
      <c r="AG406" s="290" t="s">
        <v>987</v>
      </c>
      <c r="AH406" s="290" t="s">
        <v>233</v>
      </c>
      <c r="AI406" s="290" t="s">
        <v>283</v>
      </c>
      <c r="AJ406" s="290" t="s">
        <v>101</v>
      </c>
      <c r="AK406" s="290" t="s">
        <v>444</v>
      </c>
      <c r="AL406" s="290" t="s">
        <v>116</v>
      </c>
      <c r="AP406" s="476"/>
      <c r="AQ406" s="476"/>
      <c r="AR406" s="6" t="s">
        <v>1124</v>
      </c>
    </row>
    <row r="407" ht="26.25" customHeight="1">
      <c r="A407" s="290" t="s">
        <v>85</v>
      </c>
      <c r="B407" s="290" t="n">
        <v>4046231321</v>
      </c>
      <c r="C407" s="290" t="s">
        <v>909</v>
      </c>
      <c r="D407" s="290" t="s">
        <v>38</v>
      </c>
      <c r="E407" s="290" t="s">
        <v>104</v>
      </c>
      <c r="H407" s="290" t="s">
        <v>165</v>
      </c>
      <c r="I407" s="290" t="s">
        <v>65</v>
      </c>
      <c r="J407" s="290" t="n">
        <v>5230775</v>
      </c>
      <c r="K407" s="290" t="s">
        <v>125</v>
      </c>
      <c r="L407" s="290" t="n">
        <v>100</v>
      </c>
      <c r="M407" s="290" t="s">
        <v>116</v>
      </c>
      <c r="N407" s="290" t="s">
        <v>31</v>
      </c>
      <c r="O407" s="290" t="s">
        <v>991</v>
      </c>
      <c r="P407" s="290" t="s">
        <v>215</v>
      </c>
      <c r="Q407" s="290" t="s">
        <v>283</v>
      </c>
      <c r="R407" s="290" t="s">
        <v>65</v>
      </c>
      <c r="S407" s="290" t="s">
        <v>165</v>
      </c>
      <c r="T407" s="290" t="s">
        <v>116</v>
      </c>
      <c r="U407" s="290" t="n">
        <v>3132834</v>
      </c>
      <c r="V407" s="290" t="n">
        <v>26</v>
      </c>
      <c r="W407" s="290" t="s">
        <v>47</v>
      </c>
      <c r="X407" s="290" t="s">
        <v>991</v>
      </c>
      <c r="Y407" s="290" t="s">
        <v>246</v>
      </c>
      <c r="Z407" s="290" t="s">
        <v>283</v>
      </c>
      <c r="AA407" s="290" t="s">
        <v>65</v>
      </c>
      <c r="AB407" s="290" t="s">
        <v>165</v>
      </c>
      <c r="AC407" s="290" t="s">
        <v>116</v>
      </c>
      <c r="AD407" s="290" t="n">
        <v>5230783</v>
      </c>
      <c r="AE407" s="290" t="n">
        <v>44</v>
      </c>
      <c r="AF407" s="290" t="s">
        <v>52</v>
      </c>
      <c r="AG407" s="290" t="s">
        <v>991</v>
      </c>
      <c r="AH407" s="290" t="s">
        <v>216</v>
      </c>
      <c r="AI407" s="290" t="s">
        <v>283</v>
      </c>
      <c r="AJ407" s="290" t="s">
        <v>65</v>
      </c>
      <c r="AK407" s="290" t="s">
        <v>165</v>
      </c>
      <c r="AL407" s="290" t="s">
        <v>116</v>
      </c>
      <c r="AP407" s="476"/>
      <c r="AQ407" s="476"/>
      <c r="AR407" s="6" t="s">
        <v>139</v>
      </c>
    </row>
    <row r="408" ht="26.25" customHeight="1">
      <c r="A408" s="290" t="s">
        <v>85</v>
      </c>
      <c r="B408" s="290" t="n">
        <v>2527226009</v>
      </c>
      <c r="C408" s="290" t="s">
        <v>1317</v>
      </c>
      <c r="D408" s="290" t="s">
        <v>36</v>
      </c>
      <c r="E408" s="290" t="s">
        <v>104</v>
      </c>
      <c r="F408" s="492"/>
      <c r="G408" s="492"/>
      <c r="H408" s="290" t="s">
        <v>1123</v>
      </c>
      <c r="I408" s="290" t="s">
        <v>116</v>
      </c>
      <c r="J408" s="290" t="n">
        <v>5230775</v>
      </c>
      <c r="K408" s="290" t="s">
        <v>116</v>
      </c>
      <c r="L408" s="290" t="s">
        <v>116</v>
      </c>
      <c r="M408" s="290" t="s">
        <v>116</v>
      </c>
      <c r="N408" s="290" t="s">
        <v>31</v>
      </c>
      <c r="O408" s="290" t="s">
        <v>991</v>
      </c>
      <c r="P408" s="290" t="s">
        <v>215</v>
      </c>
      <c r="Q408" s="290" t="s">
        <v>283</v>
      </c>
      <c r="R408" s="290" t="s">
        <v>65</v>
      </c>
      <c r="S408" s="290" t="s">
        <v>444</v>
      </c>
      <c r="T408" s="290" t="s">
        <v>116</v>
      </c>
      <c r="U408" s="290" t="n">
        <v>3132834</v>
      </c>
      <c r="W408" s="290" t="s">
        <v>47</v>
      </c>
      <c r="X408" s="290" t="s">
        <v>991</v>
      </c>
      <c r="Y408" s="290" t="s">
        <v>246</v>
      </c>
      <c r="Z408" s="290" t="s">
        <v>283</v>
      </c>
      <c r="AA408" s="290" t="s">
        <v>65</v>
      </c>
      <c r="AB408" s="290" t="s">
        <v>444</v>
      </c>
      <c r="AC408" s="290" t="s">
        <v>116</v>
      </c>
      <c r="AD408" s="290" t="n">
        <v>5230783</v>
      </c>
      <c r="AF408" s="290" t="s">
        <v>52</v>
      </c>
      <c r="AG408" s="290" t="s">
        <v>991</v>
      </c>
      <c r="AH408" s="290" t="s">
        <v>216</v>
      </c>
      <c r="AI408" s="290" t="s">
        <v>283</v>
      </c>
      <c r="AJ408" s="290" t="s">
        <v>65</v>
      </c>
      <c r="AK408" s="290" t="s">
        <v>444</v>
      </c>
      <c r="AL408" s="290" t="s">
        <v>116</v>
      </c>
      <c r="AP408" s="476"/>
      <c r="AQ408" s="476"/>
      <c r="AR408" s="6" t="s">
        <v>1124</v>
      </c>
    </row>
    <row r="409" ht="26.25" customHeight="1">
      <c r="A409" s="290" t="s">
        <v>54</v>
      </c>
      <c r="B409" s="290" t="n">
        <v>2752351775</v>
      </c>
      <c r="C409" s="290" t="s">
        <v>1318</v>
      </c>
      <c r="D409" s="290" t="s">
        <v>57</v>
      </c>
      <c r="E409" s="290" t="s">
        <v>104</v>
      </c>
      <c r="H409" s="290" t="s">
        <v>165</v>
      </c>
      <c r="I409" s="290" t="s">
        <v>88</v>
      </c>
      <c r="J409" s="290" t="n">
        <v>3132884</v>
      </c>
      <c r="K409" s="290" t="s">
        <v>125</v>
      </c>
      <c r="L409" s="290" t="n">
        <v>70</v>
      </c>
      <c r="M409" s="290" t="s">
        <v>116</v>
      </c>
      <c r="N409" s="290" t="s">
        <v>37</v>
      </c>
      <c r="O409" s="290" t="s">
        <v>987</v>
      </c>
      <c r="P409" s="290" t="s">
        <v>216</v>
      </c>
      <c r="Q409" s="290" t="s">
        <v>283</v>
      </c>
      <c r="R409" s="290" t="s">
        <v>88</v>
      </c>
      <c r="S409" s="290" t="s">
        <v>165</v>
      </c>
      <c r="T409" s="290" t="s">
        <v>116</v>
      </c>
      <c r="U409" s="290" t="s">
        <v>116</v>
      </c>
      <c r="W409" s="290" t="s">
        <v>116</v>
      </c>
      <c r="X409" s="290" t="s">
        <v>116</v>
      </c>
      <c r="Y409" s="290" t="s">
        <v>116</v>
      </c>
      <c r="Z409" s="290" t="s">
        <v>116</v>
      </c>
      <c r="AA409" s="290" t="s">
        <v>116</v>
      </c>
      <c r="AB409" s="290" t="s">
        <v>116</v>
      </c>
      <c r="AC409" s="290" t="s">
        <v>116</v>
      </c>
      <c r="AD409" s="290" t="n">
        <v>5230723</v>
      </c>
      <c r="AE409" s="290" t="n">
        <v>33.5</v>
      </c>
      <c r="AF409" s="290" t="s">
        <v>56</v>
      </c>
      <c r="AG409" s="290" t="s">
        <v>987</v>
      </c>
      <c r="AH409" s="290" t="s">
        <v>233</v>
      </c>
      <c r="AI409" s="290" t="s">
        <v>283</v>
      </c>
      <c r="AJ409" s="290" t="s">
        <v>88</v>
      </c>
      <c r="AK409" s="290" t="s">
        <v>165</v>
      </c>
      <c r="AL409" s="290" t="s">
        <v>116</v>
      </c>
      <c r="AM409" s="290" t="s">
        <v>217</v>
      </c>
      <c r="AN409" s="290" t="s">
        <v>217</v>
      </c>
      <c r="AO409" s="290" t="s">
        <v>217</v>
      </c>
      <c r="AP409" s="476" t="s">
        <v>217</v>
      </c>
      <c r="AQ409" s="476" t="s">
        <v>217</v>
      </c>
      <c r="AR409" s="6" t="s">
        <v>139</v>
      </c>
    </row>
    <row r="410" ht="26.25" customHeight="1">
      <c r="A410" s="290" t="s">
        <v>54</v>
      </c>
      <c r="B410" s="290" t="n">
        <v>4769415192</v>
      </c>
      <c r="C410" s="290" t="s">
        <v>847</v>
      </c>
      <c r="D410" s="290" t="s">
        <v>57</v>
      </c>
      <c r="E410" s="290" t="s">
        <v>106</v>
      </c>
      <c r="F410" s="290" t="s">
        <v>1319</v>
      </c>
      <c r="H410" s="290" t="s">
        <v>165</v>
      </c>
      <c r="I410" s="290" t="s">
        <v>1119</v>
      </c>
      <c r="J410" s="290" t="n">
        <v>4513341</v>
      </c>
      <c r="K410" s="290" t="s">
        <v>124</v>
      </c>
      <c r="L410" s="290" t="n">
        <v>70</v>
      </c>
      <c r="M410" s="290" t="s">
        <v>116</v>
      </c>
      <c r="N410" s="290" t="s">
        <v>31</v>
      </c>
      <c r="O410" s="290" t="s">
        <v>987</v>
      </c>
      <c r="P410" s="290" t="s">
        <v>233</v>
      </c>
      <c r="Q410" s="290" t="s">
        <v>234</v>
      </c>
      <c r="R410" s="290" t="s">
        <v>100</v>
      </c>
      <c r="S410" s="290" t="s">
        <v>165</v>
      </c>
      <c r="T410" s="290" t="s">
        <v>217</v>
      </c>
      <c r="U410" s="290" t="n">
        <v>3132846</v>
      </c>
      <c r="V410" s="290" t="n">
        <v>0</v>
      </c>
      <c r="W410" s="290" t="s">
        <v>43</v>
      </c>
      <c r="X410" s="290" t="s">
        <v>987</v>
      </c>
      <c r="Y410" s="290" t="s">
        <v>216</v>
      </c>
      <c r="Z410" s="290" t="s">
        <v>283</v>
      </c>
      <c r="AA410" s="290" t="s">
        <v>100</v>
      </c>
      <c r="AB410" s="290" t="s">
        <v>165</v>
      </c>
      <c r="AC410" s="290" t="s">
        <v>217</v>
      </c>
      <c r="AD410" s="290" t="n">
        <v>5230727</v>
      </c>
      <c r="AE410" s="290" t="n">
        <v>0</v>
      </c>
      <c r="AF410" s="290" t="s">
        <v>56</v>
      </c>
      <c r="AG410" s="290" t="s">
        <v>986</v>
      </c>
      <c r="AH410" s="290" t="s">
        <v>216</v>
      </c>
      <c r="AI410" s="290" t="s">
        <v>283</v>
      </c>
      <c r="AJ410" s="290" t="s">
        <v>88</v>
      </c>
      <c r="AK410" s="290" t="s">
        <v>165</v>
      </c>
      <c r="AL410" s="290" t="s">
        <v>217</v>
      </c>
      <c r="AM410" s="290" t="s">
        <v>217</v>
      </c>
      <c r="AN410" s="290" t="s">
        <v>217</v>
      </c>
      <c r="AO410" s="290" t="s">
        <v>218</v>
      </c>
      <c r="AP410" s="476" t="s">
        <v>217</v>
      </c>
      <c r="AQ410" s="476" t="s">
        <v>217</v>
      </c>
      <c r="AR410" s="6" t="s">
        <v>138</v>
      </c>
      <c r="AS410" s="6" t="s">
        <v>217</v>
      </c>
    </row>
    <row r="411" ht="26.25" customHeight="1">
      <c r="A411" s="290" t="s">
        <v>54</v>
      </c>
      <c r="B411" s="290" t="n">
        <v>4199533248</v>
      </c>
      <c r="C411" s="290" t="s">
        <v>1320</v>
      </c>
      <c r="D411" s="290" t="s">
        <v>57</v>
      </c>
      <c r="E411" s="290" t="s">
        <v>109</v>
      </c>
      <c r="G411" s="290" t="s">
        <v>847</v>
      </c>
      <c r="H411" s="290" t="s">
        <v>165</v>
      </c>
      <c r="I411" s="290" t="s">
        <v>88</v>
      </c>
      <c r="J411" s="290" t="n">
        <v>3132880</v>
      </c>
      <c r="K411" s="290" t="s">
        <v>125</v>
      </c>
      <c r="L411" s="290" t="n">
        <v>80</v>
      </c>
      <c r="M411" s="290" t="s">
        <v>116</v>
      </c>
      <c r="N411" s="290" t="s">
        <v>31</v>
      </c>
      <c r="O411" s="290" t="s">
        <v>986</v>
      </c>
      <c r="P411" s="290" t="s">
        <v>233</v>
      </c>
      <c r="Q411" s="290" t="s">
        <v>234</v>
      </c>
      <c r="R411" s="290" t="s">
        <v>88</v>
      </c>
      <c r="S411" s="290" t="s">
        <v>165</v>
      </c>
      <c r="T411" s="290" t="s">
        <v>116</v>
      </c>
      <c r="U411" s="290" t="n">
        <v>3132859</v>
      </c>
      <c r="V411" s="290" t="n">
        <v>41</v>
      </c>
      <c r="W411" s="290" t="s">
        <v>43</v>
      </c>
      <c r="X411" s="290" t="s">
        <v>986</v>
      </c>
      <c r="Y411" s="290" t="s">
        <v>215</v>
      </c>
      <c r="Z411" s="290" t="s">
        <v>283</v>
      </c>
      <c r="AA411" s="290" t="s">
        <v>88</v>
      </c>
      <c r="AB411" s="290" t="s">
        <v>165</v>
      </c>
      <c r="AC411" s="290" t="s">
        <v>116</v>
      </c>
      <c r="AD411" s="290" t="n">
        <v>5230727</v>
      </c>
      <c r="AE411" s="290" t="n">
        <v>39.5</v>
      </c>
      <c r="AF411" s="290" t="s">
        <v>56</v>
      </c>
      <c r="AG411" s="290" t="s">
        <v>986</v>
      </c>
      <c r="AH411" s="290" t="s">
        <v>216</v>
      </c>
      <c r="AI411" s="290" t="s">
        <v>283</v>
      </c>
      <c r="AJ411" s="290" t="s">
        <v>88</v>
      </c>
      <c r="AK411" s="290" t="s">
        <v>165</v>
      </c>
      <c r="AL411" s="290" t="s">
        <v>116</v>
      </c>
      <c r="AM411" s="290" t="s">
        <v>217</v>
      </c>
      <c r="AN411" s="290" t="s">
        <v>217</v>
      </c>
      <c r="AO411" s="290" t="s">
        <v>217</v>
      </c>
      <c r="AP411" s="290" t="s">
        <v>217</v>
      </c>
      <c r="AQ411" s="290" t="s">
        <v>217</v>
      </c>
      <c r="AR411" s="6" t="s">
        <v>139</v>
      </c>
    </row>
    <row r="412" ht="26.25" customHeight="1">
      <c r="A412" s="290" t="s">
        <v>45</v>
      </c>
      <c r="B412" s="290" t="n">
        <v>2439586675</v>
      </c>
      <c r="C412" s="290" t="s">
        <v>1321</v>
      </c>
      <c r="D412" s="290" t="s">
        <v>46</v>
      </c>
      <c r="E412" s="290" t="s">
        <v>104</v>
      </c>
      <c r="F412" s="492"/>
      <c r="G412" s="492"/>
      <c r="H412" s="290" t="s">
        <v>165</v>
      </c>
      <c r="I412" s="290" t="s">
        <v>1119</v>
      </c>
      <c r="J412" s="290" t="n">
        <v>3132872</v>
      </c>
      <c r="K412" s="290" t="s">
        <v>125</v>
      </c>
      <c r="L412" s="290" t="n">
        <v>85</v>
      </c>
      <c r="M412" s="290" t="s">
        <v>116</v>
      </c>
      <c r="N412" s="290" t="s">
        <v>35</v>
      </c>
      <c r="O412" s="290" t="s">
        <v>989</v>
      </c>
      <c r="P412" s="290" t="s">
        <v>216</v>
      </c>
      <c r="Q412" s="290" t="s">
        <v>283</v>
      </c>
      <c r="R412" s="290" t="s">
        <v>100</v>
      </c>
      <c r="S412" s="290" t="s">
        <v>165</v>
      </c>
      <c r="T412" s="290" t="s">
        <v>116</v>
      </c>
      <c r="U412" s="290" t="n">
        <v>3132905</v>
      </c>
      <c r="V412" s="290" t="n">
        <v>0</v>
      </c>
      <c r="W412" s="290" t="s">
        <v>43</v>
      </c>
      <c r="X412" s="290" t="s">
        <v>997</v>
      </c>
      <c r="Y412" s="290" t="s">
        <v>216</v>
      </c>
      <c r="Z412" s="290" t="s">
        <v>283</v>
      </c>
      <c r="AA412" s="290" t="s">
        <v>88</v>
      </c>
      <c r="AB412" s="290" t="s">
        <v>165</v>
      </c>
      <c r="AC412" s="290" t="s">
        <v>116</v>
      </c>
      <c r="AD412" s="290" t="n">
        <v>5230765</v>
      </c>
      <c r="AE412" s="290" t="n">
        <v>28</v>
      </c>
      <c r="AF412" s="290" t="s">
        <v>52</v>
      </c>
      <c r="AG412" s="290" t="s">
        <v>997</v>
      </c>
      <c r="AH412" s="290" t="s">
        <v>215</v>
      </c>
      <c r="AI412" s="290" t="s">
        <v>283</v>
      </c>
      <c r="AJ412" s="290" t="s">
        <v>88</v>
      </c>
      <c r="AK412" s="290" t="s">
        <v>165</v>
      </c>
      <c r="AL412" s="290" t="s">
        <v>116</v>
      </c>
      <c r="AM412" s="290" t="s">
        <v>217</v>
      </c>
      <c r="AN412" s="290" t="s">
        <v>217</v>
      </c>
      <c r="AO412" s="290" t="s">
        <v>218</v>
      </c>
      <c r="AP412" s="290" t="s">
        <v>217</v>
      </c>
      <c r="AQ412" s="290" t="s">
        <v>218</v>
      </c>
      <c r="AR412" s="6" t="s">
        <v>139</v>
      </c>
    </row>
    <row r="413" ht="26.25" customHeight="1">
      <c r="A413" s="290" t="s">
        <v>45</v>
      </c>
      <c r="B413" s="290" t="n">
        <v>2930670841</v>
      </c>
      <c r="C413" s="290" t="s">
        <v>1322</v>
      </c>
      <c r="D413" s="290" t="s">
        <v>50</v>
      </c>
      <c r="E413" s="290" t="s">
        <v>104</v>
      </c>
      <c r="F413" s="492"/>
      <c r="G413" s="492"/>
      <c r="H413" s="290" t="s">
        <v>165</v>
      </c>
      <c r="I413" s="290" t="s">
        <v>88</v>
      </c>
      <c r="J413" s="290" t="n">
        <v>3132897</v>
      </c>
      <c r="K413" s="290" t="s">
        <v>126</v>
      </c>
      <c r="L413" s="290" t="n">
        <v>72</v>
      </c>
      <c r="M413" s="290" t="n">
        <v>90</v>
      </c>
      <c r="N413" s="290" t="s">
        <v>31</v>
      </c>
      <c r="O413" s="290" t="s">
        <v>989</v>
      </c>
      <c r="P413" s="290" t="s">
        <v>215</v>
      </c>
      <c r="Q413" s="290" t="s">
        <v>283</v>
      </c>
      <c r="R413" s="290" t="s">
        <v>88</v>
      </c>
      <c r="S413" s="290" t="s">
        <v>165</v>
      </c>
      <c r="T413" s="290" t="s">
        <v>116</v>
      </c>
      <c r="U413" s="290" t="n">
        <v>5230722</v>
      </c>
      <c r="V413" s="290" t="n">
        <v>0</v>
      </c>
      <c r="W413" s="290" t="s">
        <v>47</v>
      </c>
      <c r="X413" s="290" t="s">
        <v>989</v>
      </c>
      <c r="Y413" s="290" t="s">
        <v>233</v>
      </c>
      <c r="Z413" s="290" t="s">
        <v>283</v>
      </c>
      <c r="AA413" s="290" t="s">
        <v>88</v>
      </c>
      <c r="AB413" s="290" t="s">
        <v>165</v>
      </c>
      <c r="AC413" s="290" t="s">
        <v>116</v>
      </c>
      <c r="AD413" s="290" t="n">
        <v>5230737</v>
      </c>
      <c r="AE413" s="290" t="n">
        <v>0</v>
      </c>
      <c r="AF413" s="290" t="s">
        <v>58</v>
      </c>
      <c r="AG413" s="290" t="s">
        <v>989</v>
      </c>
      <c r="AH413" s="290" t="s">
        <v>216</v>
      </c>
      <c r="AI413" s="290" t="s">
        <v>283</v>
      </c>
      <c r="AJ413" s="290" t="s">
        <v>88</v>
      </c>
      <c r="AK413" s="290" t="s">
        <v>165</v>
      </c>
      <c r="AL413" s="290" t="s">
        <v>116</v>
      </c>
      <c r="AM413" s="290" t="s">
        <v>217</v>
      </c>
      <c r="AN413" s="290" t="s">
        <v>218</v>
      </c>
      <c r="AO413" s="290" t="s">
        <v>218</v>
      </c>
      <c r="AP413" s="476" t="s">
        <v>217</v>
      </c>
      <c r="AQ413" s="476" t="s">
        <v>217</v>
      </c>
      <c r="AR413" s="6" t="s">
        <v>139</v>
      </c>
    </row>
    <row r="414" ht="26.25" customHeight="1">
      <c r="A414" s="290" t="s">
        <v>54</v>
      </c>
      <c r="B414" s="290" t="n">
        <v>4401719031</v>
      </c>
      <c r="C414" s="290" t="s">
        <v>1323</v>
      </c>
      <c r="D414" s="290" t="s">
        <v>59</v>
      </c>
      <c r="E414" s="290" t="s">
        <v>104</v>
      </c>
      <c r="H414" s="290" t="s">
        <v>165</v>
      </c>
      <c r="I414" s="290" t="s">
        <v>100</v>
      </c>
      <c r="J414" s="290" t="n">
        <v>5111034</v>
      </c>
      <c r="K414" s="290" t="s">
        <v>125</v>
      </c>
      <c r="L414" s="290" t="n">
        <v>60</v>
      </c>
      <c r="M414" s="290" t="s">
        <v>116</v>
      </c>
      <c r="N414" s="290" t="s">
        <v>37</v>
      </c>
      <c r="O414" s="290" t="s">
        <v>1030</v>
      </c>
      <c r="P414" s="290" t="s">
        <v>216</v>
      </c>
      <c r="Q414" s="290" t="s">
        <v>283</v>
      </c>
      <c r="R414" s="290" t="s">
        <v>100</v>
      </c>
      <c r="S414" s="290" t="s">
        <v>165</v>
      </c>
      <c r="T414" s="290" t="s">
        <v>116</v>
      </c>
      <c r="U414" s="290" t="n">
        <v>4513342</v>
      </c>
      <c r="V414" s="290" t="n">
        <v>30</v>
      </c>
      <c r="W414" s="290" t="s">
        <v>43</v>
      </c>
      <c r="X414" s="290" t="s">
        <v>1030</v>
      </c>
      <c r="Y414" s="290" t="s">
        <v>215</v>
      </c>
      <c r="Z414" s="290" t="s">
        <v>283</v>
      </c>
      <c r="AA414" s="290" t="s">
        <v>100</v>
      </c>
      <c r="AB414" s="290" t="s">
        <v>165</v>
      </c>
      <c r="AC414" s="290" t="s">
        <v>116</v>
      </c>
      <c r="AD414" s="290" t="n">
        <v>4513340</v>
      </c>
      <c r="AE414" s="290" t="n">
        <v>21</v>
      </c>
      <c r="AF414" s="290" t="s">
        <v>58</v>
      </c>
      <c r="AG414" s="290" t="s">
        <v>1030</v>
      </c>
      <c r="AH414" s="290" t="s">
        <v>233</v>
      </c>
      <c r="AI414" s="290" t="s">
        <v>283</v>
      </c>
      <c r="AJ414" s="290" t="s">
        <v>100</v>
      </c>
      <c r="AK414" s="290" t="s">
        <v>165</v>
      </c>
      <c r="AL414" s="290" t="s">
        <v>116</v>
      </c>
      <c r="AP414" s="476"/>
      <c r="AQ414" s="476"/>
      <c r="AR414" s="6" t="s">
        <v>139</v>
      </c>
    </row>
    <row r="415" ht="26.25" customHeight="1">
      <c r="A415" s="290" t="s">
        <v>85</v>
      </c>
      <c r="B415" s="290" t="n">
        <v>4560291309</v>
      </c>
      <c r="C415" s="290" t="s">
        <v>1324</v>
      </c>
      <c r="D415" s="290" t="s">
        <v>38</v>
      </c>
      <c r="E415" s="290" t="s">
        <v>104</v>
      </c>
      <c r="F415" s="290" t="s">
        <v>1325</v>
      </c>
      <c r="H415" s="290" t="s">
        <v>1123</v>
      </c>
      <c r="I415" s="290" t="s">
        <v>116</v>
      </c>
      <c r="J415" s="290" t="n">
        <v>5230775</v>
      </c>
      <c r="K415" s="290" t="s">
        <v>126</v>
      </c>
      <c r="L415" s="290" t="n">
        <v>89</v>
      </c>
      <c r="M415" s="290" t="n">
        <v>99</v>
      </c>
      <c r="N415" s="290" t="s">
        <v>31</v>
      </c>
      <c r="O415" s="290" t="s">
        <v>991</v>
      </c>
      <c r="P415" s="290" t="s">
        <v>215</v>
      </c>
      <c r="Q415" s="290" t="s">
        <v>283</v>
      </c>
      <c r="R415" s="290" t="s">
        <v>65</v>
      </c>
      <c r="S415" s="290" t="s">
        <v>444</v>
      </c>
      <c r="T415" s="290" t="s">
        <v>116</v>
      </c>
      <c r="U415" s="290" t="n">
        <v>3132834</v>
      </c>
      <c r="V415" s="290" t="n">
        <v>0</v>
      </c>
      <c r="W415" s="290" t="s">
        <v>47</v>
      </c>
      <c r="X415" s="290" t="s">
        <v>991</v>
      </c>
      <c r="Y415" s="290" t="s">
        <v>246</v>
      </c>
      <c r="Z415" s="290" t="s">
        <v>283</v>
      </c>
      <c r="AA415" s="290" t="s">
        <v>65</v>
      </c>
      <c r="AB415" s="290" t="s">
        <v>444</v>
      </c>
      <c r="AC415" s="290" t="s">
        <v>116</v>
      </c>
      <c r="AD415" s="290" t="n">
        <v>5230783</v>
      </c>
      <c r="AE415" s="290" t="n">
        <v>0</v>
      </c>
      <c r="AF415" s="290" t="s">
        <v>52</v>
      </c>
      <c r="AG415" s="290" t="s">
        <v>991</v>
      </c>
      <c r="AH415" s="290" t="s">
        <v>216</v>
      </c>
      <c r="AI415" s="290" t="s">
        <v>283</v>
      </c>
      <c r="AJ415" s="290" t="s">
        <v>65</v>
      </c>
      <c r="AK415" s="290" t="s">
        <v>444</v>
      </c>
      <c r="AL415" s="290" t="s">
        <v>116</v>
      </c>
      <c r="AR415" s="6" t="s">
        <v>1124</v>
      </c>
    </row>
    <row r="416" ht="26.25" customHeight="1">
      <c r="A416" s="290" t="s">
        <v>45</v>
      </c>
      <c r="B416" s="290" t="n">
        <v>4815840303</v>
      </c>
      <c r="C416" s="290" t="s">
        <v>1326</v>
      </c>
      <c r="D416" s="290" t="s">
        <v>50</v>
      </c>
      <c r="E416" s="290" t="s">
        <v>104</v>
      </c>
      <c r="H416" s="290" t="s">
        <v>165</v>
      </c>
      <c r="I416" s="290" t="s">
        <v>88</v>
      </c>
      <c r="J416" s="290" t="n">
        <v>3132897</v>
      </c>
      <c r="K416" s="290" t="s">
        <v>125</v>
      </c>
      <c r="L416" s="290" t="n">
        <v>60</v>
      </c>
      <c r="M416" s="290" t="s">
        <v>116</v>
      </c>
      <c r="N416" s="290" t="s">
        <v>31</v>
      </c>
      <c r="O416" s="290" t="s">
        <v>989</v>
      </c>
      <c r="P416" s="290" t="s">
        <v>215</v>
      </c>
      <c r="Q416" s="290" t="s">
        <v>283</v>
      </c>
      <c r="R416" s="290" t="s">
        <v>88</v>
      </c>
      <c r="S416" s="290" t="s">
        <v>165</v>
      </c>
      <c r="T416" s="290" t="s">
        <v>116</v>
      </c>
      <c r="U416" s="290" t="n">
        <v>5230722</v>
      </c>
      <c r="V416" s="290" t="n">
        <v>0</v>
      </c>
      <c r="W416" s="290" t="s">
        <v>47</v>
      </c>
      <c r="X416" s="290" t="s">
        <v>989</v>
      </c>
      <c r="Y416" s="290" t="s">
        <v>233</v>
      </c>
      <c r="Z416" s="290" t="s">
        <v>283</v>
      </c>
      <c r="AA416" s="290" t="s">
        <v>88</v>
      </c>
      <c r="AB416" s="290" t="s">
        <v>165</v>
      </c>
      <c r="AC416" s="290" t="s">
        <v>116</v>
      </c>
      <c r="AD416" s="290" t="n">
        <v>5230737</v>
      </c>
      <c r="AE416" s="290" t="n">
        <v>38</v>
      </c>
      <c r="AF416" s="290" t="s">
        <v>58</v>
      </c>
      <c r="AG416" s="290" t="s">
        <v>989</v>
      </c>
      <c r="AH416" s="290" t="s">
        <v>216</v>
      </c>
      <c r="AI416" s="290" t="s">
        <v>283</v>
      </c>
      <c r="AJ416" s="290" t="s">
        <v>88</v>
      </c>
      <c r="AK416" s="290" t="s">
        <v>165</v>
      </c>
      <c r="AL416" s="290" t="s">
        <v>116</v>
      </c>
      <c r="AM416" s="290" t="s">
        <v>217</v>
      </c>
      <c r="AN416" s="290" t="s">
        <v>217</v>
      </c>
      <c r="AO416" s="290" t="s">
        <v>217</v>
      </c>
      <c r="AP416" s="476" t="s">
        <v>217</v>
      </c>
      <c r="AQ416" s="476" t="s">
        <v>217</v>
      </c>
      <c r="AR416" s="6" t="s">
        <v>139</v>
      </c>
    </row>
    <row r="417" ht="26.25" customHeight="1">
      <c r="A417" s="290" t="s">
        <v>45</v>
      </c>
      <c r="B417" s="290" t="n">
        <v>2948961140</v>
      </c>
      <c r="C417" s="290" t="s">
        <v>1327</v>
      </c>
      <c r="D417" s="290" t="s">
        <v>46</v>
      </c>
      <c r="E417" s="290" t="s">
        <v>106</v>
      </c>
      <c r="H417" s="290" t="s">
        <v>165</v>
      </c>
      <c r="I417" s="290" t="s">
        <v>88</v>
      </c>
      <c r="J417" s="290" t="n">
        <v>5230814</v>
      </c>
      <c r="K417" s="290" t="s">
        <v>125</v>
      </c>
      <c r="L417" s="290" t="n">
        <v>82</v>
      </c>
      <c r="M417" s="290" t="s">
        <v>116</v>
      </c>
      <c r="N417" s="290" t="s">
        <v>31</v>
      </c>
      <c r="O417" s="290" t="s">
        <v>997</v>
      </c>
      <c r="P417" s="290" t="s">
        <v>246</v>
      </c>
      <c r="Q417" s="290" t="s">
        <v>234</v>
      </c>
      <c r="R417" s="290" t="s">
        <v>88</v>
      </c>
      <c r="S417" s="290" t="s">
        <v>165</v>
      </c>
      <c r="T417" s="290" t="s">
        <v>217</v>
      </c>
      <c r="U417" s="290" t="n">
        <v>3132905</v>
      </c>
      <c r="V417" s="290" t="n">
        <v>0</v>
      </c>
      <c r="W417" s="290" t="s">
        <v>43</v>
      </c>
      <c r="X417" s="290" t="s">
        <v>997</v>
      </c>
      <c r="Y417" s="290" t="s">
        <v>216</v>
      </c>
      <c r="Z417" s="290" t="s">
        <v>283</v>
      </c>
      <c r="AA417" s="290" t="s">
        <v>88</v>
      </c>
      <c r="AB417" s="290" t="s">
        <v>165</v>
      </c>
      <c r="AC417" s="290" t="s">
        <v>116</v>
      </c>
      <c r="AD417" s="290" t="n">
        <v>5230765</v>
      </c>
      <c r="AE417" s="290" t="n">
        <v>41.5</v>
      </c>
      <c r="AF417" s="290" t="s">
        <v>52</v>
      </c>
      <c r="AG417" s="290" t="s">
        <v>997</v>
      </c>
      <c r="AH417" s="290" t="s">
        <v>215</v>
      </c>
      <c r="AI417" s="290" t="s">
        <v>283</v>
      </c>
      <c r="AJ417" s="290" t="s">
        <v>88</v>
      </c>
      <c r="AK417" s="290" t="s">
        <v>165</v>
      </c>
      <c r="AL417" s="290" t="s">
        <v>217</v>
      </c>
      <c r="AM417" s="290" t="s">
        <v>217</v>
      </c>
      <c r="AN417" s="290" t="s">
        <v>218</v>
      </c>
      <c r="AO417" s="290" t="s">
        <v>218</v>
      </c>
      <c r="AP417" s="476" t="s">
        <v>218</v>
      </c>
      <c r="AQ417" s="476" t="s">
        <v>218</v>
      </c>
      <c r="AR417" s="6" t="s">
        <v>138</v>
      </c>
      <c r="AS417" s="6" t="s">
        <v>217</v>
      </c>
    </row>
    <row r="418" ht="26.25" customHeight="1">
      <c r="A418" s="290" t="s">
        <v>45</v>
      </c>
      <c r="B418" s="290" t="n">
        <v>4186122294</v>
      </c>
      <c r="C418" s="290" t="s">
        <v>1328</v>
      </c>
      <c r="D418" s="290" t="s">
        <v>46</v>
      </c>
      <c r="E418" s="290" t="s">
        <v>104</v>
      </c>
      <c r="H418" s="290" t="s">
        <v>1123</v>
      </c>
      <c r="I418" s="290" t="s">
        <v>116</v>
      </c>
      <c r="J418" s="290" t="n">
        <v>5230806</v>
      </c>
      <c r="K418" s="290" t="s">
        <v>125</v>
      </c>
      <c r="L418" s="290" t="n">
        <v>29</v>
      </c>
      <c r="M418" s="290" t="s">
        <v>116</v>
      </c>
      <c r="N418" s="290" t="s">
        <v>37</v>
      </c>
      <c r="O418" s="290" t="s">
        <v>1034</v>
      </c>
      <c r="P418" s="290" t="s">
        <v>215</v>
      </c>
      <c r="Q418" s="290" t="s">
        <v>283</v>
      </c>
      <c r="R418" s="290" t="s">
        <v>88</v>
      </c>
      <c r="S418" s="290" t="s">
        <v>444</v>
      </c>
      <c r="T418" s="290" t="s">
        <v>116</v>
      </c>
      <c r="U418" s="290" t="n">
        <v>5170872</v>
      </c>
      <c r="V418" s="290" t="n">
        <v>0</v>
      </c>
      <c r="W418" s="290" t="s">
        <v>49</v>
      </c>
      <c r="X418" s="290" t="s">
        <v>1034</v>
      </c>
      <c r="Y418" s="290" t="s">
        <v>216</v>
      </c>
      <c r="Z418" s="290" t="s">
        <v>283</v>
      </c>
      <c r="AA418" s="290" t="s">
        <v>88</v>
      </c>
      <c r="AB418" s="290" t="s">
        <v>444</v>
      </c>
      <c r="AC418" s="290" t="s">
        <v>116</v>
      </c>
      <c r="AD418" s="290" t="n">
        <v>3132865</v>
      </c>
      <c r="AE418" s="290" t="n">
        <v>29</v>
      </c>
      <c r="AF418" s="290" t="s">
        <v>52</v>
      </c>
      <c r="AG418" s="290" t="s">
        <v>1034</v>
      </c>
      <c r="AH418" s="290" t="s">
        <v>233</v>
      </c>
      <c r="AI418" s="290" t="s">
        <v>283</v>
      </c>
      <c r="AJ418" s="290" t="s">
        <v>88</v>
      </c>
      <c r="AK418" s="290" t="s">
        <v>444</v>
      </c>
      <c r="AL418" s="290" t="s">
        <v>116</v>
      </c>
      <c r="AR418" s="6" t="s">
        <v>1124</v>
      </c>
    </row>
    <row r="419" ht="26.25" customHeight="1">
      <c r="A419" s="290" t="s">
        <v>45</v>
      </c>
      <c r="B419" s="290" t="n">
        <v>4443796286</v>
      </c>
      <c r="C419" s="290" t="s">
        <v>914</v>
      </c>
      <c r="D419" s="290" t="s">
        <v>46</v>
      </c>
      <c r="E419" s="290" t="s">
        <v>106</v>
      </c>
      <c r="H419" s="290" t="s">
        <v>165</v>
      </c>
      <c r="I419" s="290" t="s">
        <v>1190</v>
      </c>
      <c r="J419" s="290" t="s">
        <v>116</v>
      </c>
      <c r="N419" s="290" t="s">
        <v>116</v>
      </c>
      <c r="O419" s="290" t="s">
        <v>116</v>
      </c>
      <c r="P419" s="290" t="s">
        <v>116</v>
      </c>
      <c r="Q419" s="290" t="s">
        <v>116</v>
      </c>
      <c r="R419" s="290" t="s">
        <v>116</v>
      </c>
      <c r="S419" s="290" t="s">
        <v>116</v>
      </c>
      <c r="T419" s="290" t="s">
        <v>116</v>
      </c>
      <c r="U419" s="290" t="n">
        <v>5230828</v>
      </c>
      <c r="V419" s="290" t="n">
        <v>0</v>
      </c>
      <c r="W419" s="290" t="s">
        <v>43</v>
      </c>
      <c r="X419" s="290" t="s">
        <v>989</v>
      </c>
      <c r="Y419" s="290" t="s">
        <v>215</v>
      </c>
      <c r="Z419" s="290" t="s">
        <v>283</v>
      </c>
      <c r="AA419" s="290" t="s">
        <v>65</v>
      </c>
      <c r="AB419" s="290" t="s">
        <v>165</v>
      </c>
      <c r="AC419" s="290" t="s">
        <v>217</v>
      </c>
      <c r="AD419" s="290" t="n">
        <v>5230765</v>
      </c>
      <c r="AE419" s="290" t="n">
        <v>0</v>
      </c>
      <c r="AF419" s="290" t="s">
        <v>52</v>
      </c>
      <c r="AG419" s="290" t="s">
        <v>997</v>
      </c>
      <c r="AH419" s="290" t="s">
        <v>215</v>
      </c>
      <c r="AI419" s="290" t="s">
        <v>283</v>
      </c>
      <c r="AJ419" s="290" t="s">
        <v>88</v>
      </c>
      <c r="AK419" s="290" t="s">
        <v>165</v>
      </c>
      <c r="AL419" s="290" t="s">
        <v>116</v>
      </c>
      <c r="AM419" s="290" t="s">
        <v>217</v>
      </c>
      <c r="AN419" s="290" t="s">
        <v>217</v>
      </c>
      <c r="AO419" s="290" t="s">
        <v>218</v>
      </c>
      <c r="AP419" s="290" t="s">
        <v>218</v>
      </c>
      <c r="AQ419" s="290" t="s">
        <v>218</v>
      </c>
      <c r="AR419" s="6" t="s">
        <v>138</v>
      </c>
      <c r="AS419" s="6" t="s">
        <v>217</v>
      </c>
    </row>
    <row r="420" ht="26.25" customHeight="1">
      <c r="A420" s="290" t="s">
        <v>45</v>
      </c>
      <c r="B420" s="290" t="n">
        <v>4787927529</v>
      </c>
      <c r="C420" s="290" t="s">
        <v>1329</v>
      </c>
      <c r="D420" s="290" t="s">
        <v>46</v>
      </c>
      <c r="E420" s="290" t="s">
        <v>104</v>
      </c>
      <c r="H420" s="290" t="s">
        <v>165</v>
      </c>
      <c r="I420" s="290" t="s">
        <v>88</v>
      </c>
      <c r="J420" s="290" t="n">
        <v>5230806</v>
      </c>
      <c r="K420" s="290" t="s">
        <v>125</v>
      </c>
      <c r="L420" s="290" t="n">
        <v>105</v>
      </c>
      <c r="M420" s="290" t="s">
        <v>116</v>
      </c>
      <c r="N420" s="290" t="s">
        <v>37</v>
      </c>
      <c r="O420" s="290" t="s">
        <v>1034</v>
      </c>
      <c r="P420" s="290" t="s">
        <v>215</v>
      </c>
      <c r="Q420" s="290" t="s">
        <v>283</v>
      </c>
      <c r="R420" s="290" t="s">
        <v>88</v>
      </c>
      <c r="S420" s="290" t="s">
        <v>165</v>
      </c>
      <c r="T420" s="290" t="s">
        <v>116</v>
      </c>
      <c r="U420" s="290" t="n">
        <v>3132905</v>
      </c>
      <c r="V420" s="290" t="n">
        <v>0</v>
      </c>
      <c r="W420" s="290" t="s">
        <v>43</v>
      </c>
      <c r="X420" s="290" t="s">
        <v>997</v>
      </c>
      <c r="Y420" s="290" t="s">
        <v>216</v>
      </c>
      <c r="Z420" s="290" t="s">
        <v>283</v>
      </c>
      <c r="AA420" s="290" t="s">
        <v>88</v>
      </c>
      <c r="AB420" s="290" t="s">
        <v>444</v>
      </c>
      <c r="AC420" s="290" t="s">
        <v>116</v>
      </c>
      <c r="AD420" s="290" t="n">
        <v>5230765</v>
      </c>
      <c r="AE420" s="290" t="n">
        <v>46.5</v>
      </c>
      <c r="AF420" s="290" t="s">
        <v>52</v>
      </c>
      <c r="AG420" s="290" t="s">
        <v>997</v>
      </c>
      <c r="AH420" s="290" t="s">
        <v>215</v>
      </c>
      <c r="AI420" s="290" t="s">
        <v>283</v>
      </c>
      <c r="AJ420" s="290" t="s">
        <v>88</v>
      </c>
      <c r="AK420" s="290" t="s">
        <v>444</v>
      </c>
      <c r="AL420" s="290" t="s">
        <v>116</v>
      </c>
      <c r="AM420" s="290" t="s">
        <v>217</v>
      </c>
      <c r="AN420" s="290" t="s">
        <v>218</v>
      </c>
      <c r="AO420" s="290" t="s">
        <v>218</v>
      </c>
      <c r="AP420" s="290" t="s">
        <v>217</v>
      </c>
      <c r="AQ420" s="290" t="s">
        <v>217</v>
      </c>
      <c r="AR420" s="6" t="s">
        <v>139</v>
      </c>
    </row>
    <row r="421" ht="26.25" customHeight="1">
      <c r="A421" s="290" t="s">
        <v>45</v>
      </c>
      <c r="B421" s="290" t="n">
        <v>2517351773</v>
      </c>
      <c r="C421" s="290" t="s">
        <v>1330</v>
      </c>
      <c r="D421" s="290" t="s">
        <v>50</v>
      </c>
      <c r="E421" s="290" t="s">
        <v>104</v>
      </c>
      <c r="H421" s="290" t="s">
        <v>1123</v>
      </c>
      <c r="I421" s="290" t="s">
        <v>116</v>
      </c>
      <c r="J421" s="290" t="n">
        <v>3132897</v>
      </c>
      <c r="K421" s="290" t="s">
        <v>125</v>
      </c>
      <c r="L421" s="290" t="n">
        <v>60</v>
      </c>
      <c r="M421" s="290" t="s">
        <v>116</v>
      </c>
      <c r="N421" s="290" t="s">
        <v>31</v>
      </c>
      <c r="O421" s="290" t="s">
        <v>989</v>
      </c>
      <c r="P421" s="290" t="s">
        <v>215</v>
      </c>
      <c r="Q421" s="290" t="s">
        <v>283</v>
      </c>
      <c r="R421" s="290" t="s">
        <v>88</v>
      </c>
      <c r="S421" s="290" t="s">
        <v>444</v>
      </c>
      <c r="T421" s="290" t="s">
        <v>116</v>
      </c>
      <c r="U421" s="290" t="n">
        <v>5230722</v>
      </c>
      <c r="V421" s="290" t="n">
        <v>0</v>
      </c>
      <c r="W421" s="290" t="s">
        <v>47</v>
      </c>
      <c r="X421" s="290" t="s">
        <v>989</v>
      </c>
      <c r="Y421" s="290" t="s">
        <v>233</v>
      </c>
      <c r="Z421" s="290" t="s">
        <v>283</v>
      </c>
      <c r="AA421" s="290" t="s">
        <v>88</v>
      </c>
      <c r="AB421" s="290" t="s">
        <v>444</v>
      </c>
      <c r="AC421" s="290" t="s">
        <v>116</v>
      </c>
      <c r="AD421" s="290" t="n">
        <v>5230737</v>
      </c>
      <c r="AE421" s="290" t="n">
        <v>29</v>
      </c>
      <c r="AF421" s="290" t="s">
        <v>58</v>
      </c>
      <c r="AG421" s="290" t="s">
        <v>989</v>
      </c>
      <c r="AH421" s="290" t="s">
        <v>216</v>
      </c>
      <c r="AI421" s="290" t="s">
        <v>283</v>
      </c>
      <c r="AJ421" s="290" t="s">
        <v>88</v>
      </c>
      <c r="AK421" s="290" t="s">
        <v>444</v>
      </c>
      <c r="AL421" s="290" t="s">
        <v>116</v>
      </c>
      <c r="AN421" s="290" t="s">
        <v>217</v>
      </c>
      <c r="AR421" s="6" t="s">
        <v>1124</v>
      </c>
    </row>
    <row r="422" ht="26.25" customHeight="1">
      <c r="A422" s="290" t="s">
        <v>54</v>
      </c>
      <c r="B422" s="290" t="n">
        <v>2722598495</v>
      </c>
      <c r="C422" s="290" t="s">
        <v>1331</v>
      </c>
      <c r="D422" s="290" t="s">
        <v>36</v>
      </c>
      <c r="E422" s="290" t="s">
        <v>104</v>
      </c>
      <c r="H422" s="290" t="s">
        <v>1123</v>
      </c>
      <c r="I422" s="290" t="s">
        <v>116</v>
      </c>
      <c r="J422" s="290" t="n">
        <v>5111035</v>
      </c>
      <c r="K422" s="290" t="s">
        <v>125</v>
      </c>
      <c r="L422" s="290" t="n">
        <v>90</v>
      </c>
      <c r="M422" s="290" t="s">
        <v>116</v>
      </c>
      <c r="N422" s="290" t="s">
        <v>35</v>
      </c>
      <c r="O422" s="290" t="s">
        <v>986</v>
      </c>
      <c r="P422" s="290" t="s">
        <v>233</v>
      </c>
      <c r="Q422" s="290" t="s">
        <v>234</v>
      </c>
      <c r="R422" s="290" t="s">
        <v>101</v>
      </c>
      <c r="S422" s="290" t="s">
        <v>444</v>
      </c>
      <c r="T422" s="290" t="s">
        <v>116</v>
      </c>
      <c r="U422" s="290" t="s">
        <v>116</v>
      </c>
      <c r="W422" s="290" t="s">
        <v>116</v>
      </c>
      <c r="X422" s="290" t="s">
        <v>116</v>
      </c>
      <c r="Y422" s="290" t="s">
        <v>116</v>
      </c>
      <c r="Z422" s="290" t="s">
        <v>116</v>
      </c>
      <c r="AA422" s="290" t="s">
        <v>116</v>
      </c>
      <c r="AB422" s="290" t="s">
        <v>116</v>
      </c>
      <c r="AC422" s="290" t="s">
        <v>116</v>
      </c>
      <c r="AD422" s="290" t="s">
        <v>116</v>
      </c>
      <c r="AF422" s="290" t="s">
        <v>116</v>
      </c>
      <c r="AG422" s="290" t="s">
        <v>116</v>
      </c>
      <c r="AH422" s="290" t="s">
        <v>116</v>
      </c>
      <c r="AI422" s="290" t="s">
        <v>116</v>
      </c>
      <c r="AJ422" s="290" t="s">
        <v>116</v>
      </c>
      <c r="AK422" s="290" t="s">
        <v>116</v>
      </c>
      <c r="AL422" s="290" t="s">
        <v>116</v>
      </c>
      <c r="AP422" s="476"/>
      <c r="AQ422" s="476"/>
      <c r="AR422" s="6" t="s">
        <v>1124</v>
      </c>
    </row>
    <row r="423" ht="26.25" customHeight="1">
      <c r="A423" s="290" t="s">
        <v>54</v>
      </c>
      <c r="B423" s="290" t="n">
        <v>4108975188</v>
      </c>
      <c r="C423" s="290" t="s">
        <v>919</v>
      </c>
      <c r="D423" s="290" t="s">
        <v>38</v>
      </c>
      <c r="E423" s="290" t="s">
        <v>104</v>
      </c>
      <c r="H423" s="290" t="s">
        <v>165</v>
      </c>
      <c r="I423" s="290" t="s">
        <v>101</v>
      </c>
      <c r="J423" s="290" t="n">
        <v>4632447</v>
      </c>
      <c r="K423" s="290" t="s">
        <v>125</v>
      </c>
      <c r="L423" s="290" t="n">
        <v>29</v>
      </c>
      <c r="M423" s="290" t="s">
        <v>116</v>
      </c>
      <c r="N423" s="290" t="s">
        <v>37</v>
      </c>
      <c r="O423" s="290" t="s">
        <v>985</v>
      </c>
      <c r="P423" s="290" t="s">
        <v>215</v>
      </c>
      <c r="Q423" s="290" t="s">
        <v>283</v>
      </c>
      <c r="R423" s="290" t="s">
        <v>101</v>
      </c>
      <c r="S423" s="290" t="s">
        <v>165</v>
      </c>
      <c r="T423" s="290" t="s">
        <v>116</v>
      </c>
      <c r="U423" s="290" t="n">
        <v>5230747</v>
      </c>
      <c r="V423" s="290" t="n">
        <v>34</v>
      </c>
      <c r="W423" s="290" t="s">
        <v>49</v>
      </c>
      <c r="X423" s="290" t="s">
        <v>987</v>
      </c>
      <c r="Y423" s="290" t="s">
        <v>215</v>
      </c>
      <c r="Z423" s="290" t="s">
        <v>283</v>
      </c>
      <c r="AA423" s="290" t="s">
        <v>101</v>
      </c>
      <c r="AB423" s="290" t="s">
        <v>165</v>
      </c>
      <c r="AC423" s="290" t="s">
        <v>116</v>
      </c>
      <c r="AD423" s="290" t="n">
        <v>5170871</v>
      </c>
      <c r="AE423" s="290" t="n">
        <v>25</v>
      </c>
      <c r="AF423" s="290" t="s">
        <v>58</v>
      </c>
      <c r="AG423" s="290" t="s">
        <v>986</v>
      </c>
      <c r="AH423" s="290" t="s">
        <v>215</v>
      </c>
      <c r="AI423" s="290" t="s">
        <v>283</v>
      </c>
      <c r="AJ423" s="290" t="s">
        <v>101</v>
      </c>
      <c r="AK423" s="290" t="s">
        <v>165</v>
      </c>
      <c r="AL423" s="290" t="s">
        <v>116</v>
      </c>
      <c r="AR423" s="6" t="s">
        <v>139</v>
      </c>
    </row>
    <row r="424" ht="26.25" customHeight="1">
      <c r="A424" s="290" t="s">
        <v>54</v>
      </c>
      <c r="B424" s="290" t="n">
        <v>2421831053</v>
      </c>
      <c r="C424" s="290" t="s">
        <v>1332</v>
      </c>
      <c r="D424" s="290" t="s">
        <v>59</v>
      </c>
      <c r="E424" s="290" t="s">
        <v>114</v>
      </c>
      <c r="F424" s="290" t="s">
        <v>1269</v>
      </c>
      <c r="H424" s="290" t="s">
        <v>165</v>
      </c>
      <c r="I424" s="290" t="s">
        <v>100</v>
      </c>
      <c r="J424" s="290" t="n">
        <v>4513341</v>
      </c>
      <c r="K424" s="290" t="s">
        <v>125</v>
      </c>
      <c r="L424" s="290" t="n">
        <v>95</v>
      </c>
      <c r="M424" s="290" t="s">
        <v>116</v>
      </c>
      <c r="N424" s="290" t="s">
        <v>31</v>
      </c>
      <c r="O424" s="290" t="s">
        <v>987</v>
      </c>
      <c r="P424" s="290" t="s">
        <v>233</v>
      </c>
      <c r="Q424" s="290" t="s">
        <v>234</v>
      </c>
      <c r="R424" s="290" t="s">
        <v>100</v>
      </c>
      <c r="S424" s="290" t="s">
        <v>165</v>
      </c>
      <c r="T424" s="290" t="s">
        <v>116</v>
      </c>
      <c r="U424" s="290" t="n">
        <v>3132846</v>
      </c>
      <c r="V424" s="290" t="n">
        <v>0</v>
      </c>
      <c r="W424" s="290" t="s">
        <v>43</v>
      </c>
      <c r="X424" s="290" t="s">
        <v>987</v>
      </c>
      <c r="Y424" s="290" t="s">
        <v>216</v>
      </c>
      <c r="Z424" s="290" t="s">
        <v>283</v>
      </c>
      <c r="AA424" s="290" t="s">
        <v>100</v>
      </c>
      <c r="AB424" s="290" t="s">
        <v>165</v>
      </c>
      <c r="AC424" s="290" t="s">
        <v>116</v>
      </c>
      <c r="AD424" s="290" t="n">
        <v>5230738</v>
      </c>
      <c r="AE424" s="290" t="n">
        <v>0</v>
      </c>
      <c r="AF424" s="290" t="s">
        <v>58</v>
      </c>
      <c r="AG424" s="290" t="s">
        <v>987</v>
      </c>
      <c r="AH424" s="290" t="s">
        <v>215</v>
      </c>
      <c r="AI424" s="290" t="s">
        <v>283</v>
      </c>
      <c r="AJ424" s="290" t="s">
        <v>100</v>
      </c>
      <c r="AK424" s="290" t="s">
        <v>165</v>
      </c>
      <c r="AL424" s="290" t="s">
        <v>116</v>
      </c>
      <c r="AR424" s="6" t="s">
        <v>139</v>
      </c>
    </row>
    <row r="425" ht="26.25" customHeight="1">
      <c r="A425" s="290" t="s">
        <v>54</v>
      </c>
      <c r="B425" s="290" t="n">
        <v>4613006507</v>
      </c>
      <c r="C425" s="290" t="s">
        <v>1333</v>
      </c>
      <c r="D425" s="290" t="s">
        <v>57</v>
      </c>
      <c r="E425" s="290" t="s">
        <v>104</v>
      </c>
      <c r="H425" s="290" t="s">
        <v>165</v>
      </c>
      <c r="I425" s="290" t="s">
        <v>88</v>
      </c>
      <c r="J425" s="290" t="n">
        <v>3132884</v>
      </c>
      <c r="K425" s="290" t="s">
        <v>125</v>
      </c>
      <c r="L425" s="290" t="n">
        <v>75</v>
      </c>
      <c r="M425" s="290" t="s">
        <v>116</v>
      </c>
      <c r="N425" s="290" t="s">
        <v>37</v>
      </c>
      <c r="O425" s="290" t="s">
        <v>987</v>
      </c>
      <c r="P425" s="290" t="s">
        <v>216</v>
      </c>
      <c r="Q425" s="290" t="s">
        <v>283</v>
      </c>
      <c r="R425" s="290" t="s">
        <v>88</v>
      </c>
      <c r="S425" s="290" t="s">
        <v>165</v>
      </c>
      <c r="T425" s="290" t="s">
        <v>217</v>
      </c>
      <c r="U425" s="290" t="n">
        <v>4513265</v>
      </c>
      <c r="V425" s="290" t="n">
        <v>85</v>
      </c>
      <c r="W425" s="290" t="s">
        <v>47</v>
      </c>
      <c r="X425" s="290" t="s">
        <v>987</v>
      </c>
      <c r="Y425" s="290" t="s">
        <v>215</v>
      </c>
      <c r="Z425" s="290" t="s">
        <v>283</v>
      </c>
      <c r="AA425" s="290" t="s">
        <v>88</v>
      </c>
      <c r="AB425" s="290" t="s">
        <v>165</v>
      </c>
      <c r="AC425" s="290" t="s">
        <v>217</v>
      </c>
      <c r="AD425" s="290" t="n">
        <v>5230723</v>
      </c>
      <c r="AE425" s="290" t="n">
        <v>32.5</v>
      </c>
      <c r="AF425" s="290" t="s">
        <v>56</v>
      </c>
      <c r="AG425" s="290" t="s">
        <v>987</v>
      </c>
      <c r="AH425" s="290" t="s">
        <v>233</v>
      </c>
      <c r="AI425" s="290" t="s">
        <v>283</v>
      </c>
      <c r="AJ425" s="290" t="s">
        <v>88</v>
      </c>
      <c r="AK425" s="290" t="s">
        <v>165</v>
      </c>
      <c r="AL425" s="290" t="s">
        <v>217</v>
      </c>
      <c r="AM425" s="290" t="s">
        <v>217</v>
      </c>
      <c r="AN425" s="290" t="s">
        <v>217</v>
      </c>
      <c r="AO425" s="290" t="s">
        <v>217</v>
      </c>
      <c r="AP425" s="476" t="s">
        <v>217</v>
      </c>
      <c r="AQ425" s="476" t="s">
        <v>217</v>
      </c>
      <c r="AR425" s="6" t="s">
        <v>139</v>
      </c>
      <c r="AS425" s="6" t="s">
        <v>217</v>
      </c>
    </row>
    <row r="426" ht="26.25" customHeight="1">
      <c r="A426" s="290" t="s">
        <v>54</v>
      </c>
      <c r="B426" s="290" t="n">
        <v>4809328080</v>
      </c>
      <c r="C426" s="290" t="s">
        <v>1334</v>
      </c>
      <c r="D426" s="290" t="s">
        <v>57</v>
      </c>
      <c r="E426" s="290" t="s">
        <v>106</v>
      </c>
      <c r="H426" s="290" t="s">
        <v>165</v>
      </c>
      <c r="I426" s="290" t="s">
        <v>100</v>
      </c>
      <c r="J426" s="290" t="n">
        <v>4513341</v>
      </c>
      <c r="K426" s="290" t="s">
        <v>125</v>
      </c>
      <c r="L426" s="290" t="n">
        <v>70</v>
      </c>
      <c r="M426" s="290" t="s">
        <v>116</v>
      </c>
      <c r="N426" s="290" t="s">
        <v>31</v>
      </c>
      <c r="O426" s="290" t="s">
        <v>987</v>
      </c>
      <c r="P426" s="290" t="s">
        <v>233</v>
      </c>
      <c r="Q426" s="290" t="s">
        <v>234</v>
      </c>
      <c r="R426" s="290" t="s">
        <v>100</v>
      </c>
      <c r="S426" s="290" t="s">
        <v>165</v>
      </c>
      <c r="T426" s="290" t="s">
        <v>116</v>
      </c>
      <c r="U426" s="290" t="n">
        <v>3132846</v>
      </c>
      <c r="V426" s="290" t="n">
        <v>20</v>
      </c>
      <c r="W426" s="290" t="s">
        <v>43</v>
      </c>
      <c r="X426" s="290" t="s">
        <v>987</v>
      </c>
      <c r="Y426" s="290" t="s">
        <v>216</v>
      </c>
      <c r="Z426" s="290" t="s">
        <v>283</v>
      </c>
      <c r="AA426" s="290" t="s">
        <v>100</v>
      </c>
      <c r="AB426" s="290" t="s">
        <v>165</v>
      </c>
      <c r="AC426" s="290" t="s">
        <v>116</v>
      </c>
      <c r="AD426" s="290" t="n">
        <v>5230738</v>
      </c>
      <c r="AE426" s="290" t="n">
        <v>34.5</v>
      </c>
      <c r="AF426" s="290" t="s">
        <v>58</v>
      </c>
      <c r="AG426" s="290" t="s">
        <v>987</v>
      </c>
      <c r="AH426" s="290" t="s">
        <v>215</v>
      </c>
      <c r="AI426" s="290" t="s">
        <v>283</v>
      </c>
      <c r="AJ426" s="290" t="s">
        <v>100</v>
      </c>
      <c r="AK426" s="290" t="s">
        <v>165</v>
      </c>
      <c r="AL426" s="290" t="s">
        <v>116</v>
      </c>
      <c r="AP426" s="476"/>
      <c r="AQ426" s="476"/>
      <c r="AR426" s="6" t="s">
        <v>138</v>
      </c>
    </row>
    <row r="427" ht="26.25" customHeight="1">
      <c r="A427" s="290" t="s">
        <v>54</v>
      </c>
      <c r="B427" s="290" t="n">
        <v>4814495593</v>
      </c>
      <c r="C427" s="290" t="s">
        <v>1208</v>
      </c>
      <c r="D427" s="290" t="s">
        <v>59</v>
      </c>
      <c r="E427" s="290" t="s">
        <v>104</v>
      </c>
      <c r="H427" s="290" t="s">
        <v>165</v>
      </c>
      <c r="I427" s="290" t="s">
        <v>100</v>
      </c>
      <c r="J427" s="290" t="n">
        <v>4513341</v>
      </c>
      <c r="K427" s="290" t="s">
        <v>125</v>
      </c>
      <c r="L427" s="290" t="n">
        <v>92</v>
      </c>
      <c r="M427" s="290" t="s">
        <v>116</v>
      </c>
      <c r="N427" s="290" t="s">
        <v>31</v>
      </c>
      <c r="O427" s="290" t="s">
        <v>987</v>
      </c>
      <c r="P427" s="290" t="s">
        <v>233</v>
      </c>
      <c r="Q427" s="290" t="s">
        <v>234</v>
      </c>
      <c r="R427" s="290" t="s">
        <v>100</v>
      </c>
      <c r="S427" s="290" t="s">
        <v>165</v>
      </c>
      <c r="T427" s="290" t="s">
        <v>116</v>
      </c>
      <c r="U427" s="290" t="n">
        <v>3132846</v>
      </c>
      <c r="V427" s="290" t="n">
        <v>45</v>
      </c>
      <c r="W427" s="290" t="s">
        <v>43</v>
      </c>
      <c r="X427" s="290" t="s">
        <v>987</v>
      </c>
      <c r="Y427" s="290" t="s">
        <v>216</v>
      </c>
      <c r="Z427" s="290" t="s">
        <v>283</v>
      </c>
      <c r="AA427" s="290" t="s">
        <v>100</v>
      </c>
      <c r="AB427" s="290" t="s">
        <v>165</v>
      </c>
      <c r="AC427" s="290" t="s">
        <v>116</v>
      </c>
      <c r="AD427" s="290" t="n">
        <v>5230738</v>
      </c>
      <c r="AE427" s="290" t="n">
        <v>32</v>
      </c>
      <c r="AF427" s="290" t="s">
        <v>58</v>
      </c>
      <c r="AG427" s="290" t="s">
        <v>987</v>
      </c>
      <c r="AH427" s="290" t="s">
        <v>215</v>
      </c>
      <c r="AI427" s="290" t="s">
        <v>283</v>
      </c>
      <c r="AJ427" s="290" t="s">
        <v>100</v>
      </c>
      <c r="AK427" s="290" t="s">
        <v>165</v>
      </c>
      <c r="AL427" s="290" t="s">
        <v>116</v>
      </c>
      <c r="AP427" s="476"/>
      <c r="AQ427" s="476"/>
      <c r="AR427" s="6" t="s">
        <v>139</v>
      </c>
    </row>
    <row r="428" ht="26.25" customHeight="1">
      <c r="A428" s="290" t="s">
        <v>45</v>
      </c>
      <c r="B428" s="290" t="n">
        <v>4613866328</v>
      </c>
      <c r="C428" s="290" t="s">
        <v>1335</v>
      </c>
      <c r="D428" s="290" t="s">
        <v>48</v>
      </c>
      <c r="E428" s="290" t="s">
        <v>104</v>
      </c>
      <c r="F428" s="290" t="s">
        <v>1336</v>
      </c>
      <c r="H428" s="290" t="s">
        <v>165</v>
      </c>
      <c r="I428" s="290" t="s">
        <v>88</v>
      </c>
      <c r="J428" s="290" t="n">
        <v>5230806</v>
      </c>
      <c r="K428" s="290" t="s">
        <v>125</v>
      </c>
      <c r="L428" s="290" t="n">
        <v>45</v>
      </c>
      <c r="M428" s="290" t="s">
        <v>116</v>
      </c>
      <c r="N428" s="290" t="s">
        <v>37</v>
      </c>
      <c r="O428" s="290" t="s">
        <v>1034</v>
      </c>
      <c r="P428" s="290" t="s">
        <v>215</v>
      </c>
      <c r="Q428" s="290" t="s">
        <v>283</v>
      </c>
      <c r="R428" s="290" t="s">
        <v>88</v>
      </c>
      <c r="S428" s="290" t="s">
        <v>165</v>
      </c>
      <c r="T428" s="290" t="s">
        <v>116</v>
      </c>
      <c r="U428" s="290" t="n">
        <v>5170872</v>
      </c>
      <c r="V428" s="290" t="n">
        <v>0</v>
      </c>
      <c r="W428" s="290" t="s">
        <v>49</v>
      </c>
      <c r="X428" s="290" t="s">
        <v>1034</v>
      </c>
      <c r="Y428" s="290" t="s">
        <v>216</v>
      </c>
      <c r="Z428" s="290" t="s">
        <v>283</v>
      </c>
      <c r="AA428" s="290" t="s">
        <v>88</v>
      </c>
      <c r="AB428" s="290" t="s">
        <v>165</v>
      </c>
      <c r="AC428" s="290" t="s">
        <v>116</v>
      </c>
      <c r="AD428" s="290" t="n">
        <v>3132865</v>
      </c>
      <c r="AE428" s="290" t="n">
        <v>31.5</v>
      </c>
      <c r="AF428" s="290" t="s">
        <v>52</v>
      </c>
      <c r="AG428" s="290" t="s">
        <v>1034</v>
      </c>
      <c r="AH428" s="290" t="s">
        <v>233</v>
      </c>
      <c r="AI428" s="290" t="s">
        <v>283</v>
      </c>
      <c r="AJ428" s="290" t="s">
        <v>88</v>
      </c>
      <c r="AK428" s="290" t="s">
        <v>165</v>
      </c>
      <c r="AL428" s="290" t="s">
        <v>116</v>
      </c>
      <c r="AM428" s="290" t="s">
        <v>217</v>
      </c>
      <c r="AN428" s="290" t="s">
        <v>217</v>
      </c>
      <c r="AO428" s="290" t="s">
        <v>217</v>
      </c>
      <c r="AP428" s="290" t="s">
        <v>217</v>
      </c>
      <c r="AQ428" s="290" t="s">
        <v>217</v>
      </c>
      <c r="AR428" s="6" t="s">
        <v>138</v>
      </c>
    </row>
    <row r="429" ht="26.25" customHeight="1">
      <c r="A429" s="290" t="s">
        <v>45</v>
      </c>
      <c r="B429" s="290" t="n">
        <v>4815418129</v>
      </c>
      <c r="C429" s="290" t="s">
        <v>1337</v>
      </c>
      <c r="D429" s="290" t="s">
        <v>48</v>
      </c>
      <c r="E429" s="290" t="s">
        <v>104</v>
      </c>
      <c r="F429" s="290" t="s">
        <v>1336</v>
      </c>
      <c r="H429" s="290" t="s">
        <v>165</v>
      </c>
      <c r="I429" s="290" t="s">
        <v>88</v>
      </c>
      <c r="J429" s="290" t="n">
        <v>5230806</v>
      </c>
      <c r="K429" s="290" t="s">
        <v>125</v>
      </c>
      <c r="L429" s="290" t="n">
        <v>55</v>
      </c>
      <c r="M429" s="290" t="s">
        <v>116</v>
      </c>
      <c r="N429" s="290" t="s">
        <v>37</v>
      </c>
      <c r="O429" s="290" t="s">
        <v>1034</v>
      </c>
      <c r="P429" s="290" t="s">
        <v>215</v>
      </c>
      <c r="Q429" s="290" t="s">
        <v>283</v>
      </c>
      <c r="R429" s="290" t="s">
        <v>88</v>
      </c>
      <c r="S429" s="290" t="s">
        <v>165</v>
      </c>
      <c r="T429" s="290" t="s">
        <v>116</v>
      </c>
      <c r="U429" s="290" t="n">
        <v>5170872</v>
      </c>
      <c r="V429" s="290" t="n">
        <v>0</v>
      </c>
      <c r="W429" s="290" t="s">
        <v>49</v>
      </c>
      <c r="X429" s="290" t="s">
        <v>1034</v>
      </c>
      <c r="Y429" s="290" t="s">
        <v>216</v>
      </c>
      <c r="Z429" s="290" t="s">
        <v>283</v>
      </c>
      <c r="AA429" s="290" t="s">
        <v>88</v>
      </c>
      <c r="AB429" s="290" t="s">
        <v>165</v>
      </c>
      <c r="AC429" s="290" t="s">
        <v>116</v>
      </c>
      <c r="AD429" s="290" t="n">
        <v>3132865</v>
      </c>
      <c r="AE429" s="290" t="n">
        <v>40</v>
      </c>
      <c r="AF429" s="290" t="s">
        <v>52</v>
      </c>
      <c r="AG429" s="290" t="s">
        <v>1034</v>
      </c>
      <c r="AH429" s="290" t="s">
        <v>233</v>
      </c>
      <c r="AI429" s="290" t="s">
        <v>283</v>
      </c>
      <c r="AJ429" s="290" t="s">
        <v>88</v>
      </c>
      <c r="AK429" s="290" t="s">
        <v>165</v>
      </c>
      <c r="AL429" s="290" t="s">
        <v>116</v>
      </c>
      <c r="AM429" s="290" t="s">
        <v>217</v>
      </c>
      <c r="AN429" s="290" t="s">
        <v>217</v>
      </c>
      <c r="AO429" s="290" t="s">
        <v>217</v>
      </c>
      <c r="AP429" s="476" t="s">
        <v>217</v>
      </c>
      <c r="AQ429" s="476" t="s">
        <v>217</v>
      </c>
      <c r="AR429" s="6" t="s">
        <v>138</v>
      </c>
    </row>
    <row r="430" ht="26.25" customHeight="1">
      <c r="A430" s="290" t="s">
        <v>45</v>
      </c>
      <c r="B430" s="290" t="n">
        <v>2578637555</v>
      </c>
      <c r="C430" s="290" t="s">
        <v>1338</v>
      </c>
      <c r="D430" s="290" t="s">
        <v>57</v>
      </c>
      <c r="E430" s="290" t="s">
        <v>104</v>
      </c>
      <c r="H430" s="290" t="s">
        <v>165</v>
      </c>
      <c r="I430" s="290" t="s">
        <v>88</v>
      </c>
      <c r="J430" s="290" t="n">
        <v>3132897</v>
      </c>
      <c r="K430" s="290" t="s">
        <v>125</v>
      </c>
      <c r="L430" s="290" t="n">
        <v>75</v>
      </c>
      <c r="M430" s="290" t="s">
        <v>116</v>
      </c>
      <c r="N430" s="290" t="s">
        <v>31</v>
      </c>
      <c r="O430" s="290" t="s">
        <v>989</v>
      </c>
      <c r="P430" s="290" t="s">
        <v>215</v>
      </c>
      <c r="Q430" s="290" t="s">
        <v>283</v>
      </c>
      <c r="R430" s="290" t="s">
        <v>88</v>
      </c>
      <c r="S430" s="290" t="s">
        <v>165</v>
      </c>
      <c r="T430" s="290" t="s">
        <v>217</v>
      </c>
      <c r="U430" s="290" t="n">
        <v>5230722</v>
      </c>
      <c r="V430" s="290" t="n">
        <v>79</v>
      </c>
      <c r="W430" s="290" t="s">
        <v>47</v>
      </c>
      <c r="X430" s="290" t="s">
        <v>989</v>
      </c>
      <c r="Y430" s="290" t="s">
        <v>233</v>
      </c>
      <c r="Z430" s="290" t="s">
        <v>283</v>
      </c>
      <c r="AA430" s="290" t="s">
        <v>88</v>
      </c>
      <c r="AB430" s="290" t="s">
        <v>165</v>
      </c>
      <c r="AC430" s="290" t="s">
        <v>116</v>
      </c>
      <c r="AD430" s="290" t="n">
        <v>5230737</v>
      </c>
      <c r="AE430" s="290" t="n">
        <v>0</v>
      </c>
      <c r="AF430" s="290" t="s">
        <v>58</v>
      </c>
      <c r="AG430" s="290" t="s">
        <v>989</v>
      </c>
      <c r="AH430" s="290" t="s">
        <v>216</v>
      </c>
      <c r="AI430" s="290" t="s">
        <v>283</v>
      </c>
      <c r="AJ430" s="290" t="s">
        <v>88</v>
      </c>
      <c r="AK430" s="290" t="s">
        <v>165</v>
      </c>
      <c r="AL430" s="290" t="s">
        <v>116</v>
      </c>
      <c r="AM430" s="290" t="s">
        <v>217</v>
      </c>
      <c r="AN430" s="290" t="s">
        <v>217</v>
      </c>
      <c r="AO430" s="290" t="s">
        <v>217</v>
      </c>
      <c r="AP430" s="290" t="s">
        <v>217</v>
      </c>
      <c r="AQ430" s="290" t="s">
        <v>217</v>
      </c>
      <c r="AR430" s="6" t="s">
        <v>138</v>
      </c>
      <c r="AS430" s="6" t="s">
        <v>217</v>
      </c>
    </row>
    <row r="431" ht="26.25" customHeight="1">
      <c r="A431" s="290" t="s">
        <v>54</v>
      </c>
      <c r="B431" s="290" t="n">
        <v>2513129518</v>
      </c>
      <c r="C431" s="290" t="s">
        <v>1047</v>
      </c>
      <c r="D431" s="290" t="s">
        <v>59</v>
      </c>
      <c r="E431" s="290" t="s">
        <v>104</v>
      </c>
      <c r="H431" s="290" t="s">
        <v>165</v>
      </c>
      <c r="I431" s="290" t="s">
        <v>100</v>
      </c>
      <c r="J431" s="290" t="n">
        <v>4513341</v>
      </c>
      <c r="K431" s="290" t="s">
        <v>125</v>
      </c>
      <c r="L431" s="290" t="n">
        <v>94</v>
      </c>
      <c r="M431" s="290" t="s">
        <v>116</v>
      </c>
      <c r="N431" s="290" t="s">
        <v>31</v>
      </c>
      <c r="O431" s="290" t="s">
        <v>987</v>
      </c>
      <c r="P431" s="290" t="s">
        <v>233</v>
      </c>
      <c r="Q431" s="290" t="s">
        <v>234</v>
      </c>
      <c r="R431" s="290" t="s">
        <v>100</v>
      </c>
      <c r="S431" s="290" t="s">
        <v>165</v>
      </c>
      <c r="T431" s="290" t="s">
        <v>217</v>
      </c>
      <c r="U431" s="290" t="s">
        <v>116</v>
      </c>
      <c r="W431" s="290" t="s">
        <v>116</v>
      </c>
      <c r="X431" s="290" t="s">
        <v>116</v>
      </c>
      <c r="Y431" s="290" t="s">
        <v>116</v>
      </c>
      <c r="Z431" s="290" t="s">
        <v>116</v>
      </c>
      <c r="AA431" s="290" t="s">
        <v>116</v>
      </c>
      <c r="AB431" s="290" t="s">
        <v>116</v>
      </c>
      <c r="AC431" s="290" t="s">
        <v>116</v>
      </c>
      <c r="AD431" s="290" t="s">
        <v>116</v>
      </c>
      <c r="AF431" s="290" t="s">
        <v>116</v>
      </c>
      <c r="AG431" s="290" t="s">
        <v>116</v>
      </c>
      <c r="AH431" s="290" t="s">
        <v>116</v>
      </c>
      <c r="AI431" s="290" t="s">
        <v>116</v>
      </c>
      <c r="AJ431" s="290" t="s">
        <v>116</v>
      </c>
      <c r="AK431" s="290" t="s">
        <v>116</v>
      </c>
      <c r="AL431" s="290" t="s">
        <v>116</v>
      </c>
      <c r="AR431" s="6" t="s">
        <v>138</v>
      </c>
      <c r="AS431" s="6" t="s">
        <v>217</v>
      </c>
    </row>
    <row r="432" ht="26.25" customHeight="1">
      <c r="A432" s="290" t="s">
        <v>45</v>
      </c>
      <c r="B432" s="290" t="n">
        <v>2721240331</v>
      </c>
      <c r="C432" s="290" t="s">
        <v>1339</v>
      </c>
      <c r="D432" s="290" t="s">
        <v>46</v>
      </c>
      <c r="E432" s="290" t="s">
        <v>104</v>
      </c>
      <c r="H432" s="290" t="s">
        <v>165</v>
      </c>
      <c r="I432" s="290" t="s">
        <v>88</v>
      </c>
      <c r="J432" s="290" t="n">
        <v>3132897</v>
      </c>
      <c r="K432" s="290" t="s">
        <v>125</v>
      </c>
      <c r="L432" s="290" t="n">
        <v>66.5</v>
      </c>
      <c r="M432" s="290" t="s">
        <v>116</v>
      </c>
      <c r="N432" s="290" t="s">
        <v>31</v>
      </c>
      <c r="O432" s="290" t="s">
        <v>989</v>
      </c>
      <c r="P432" s="290" t="s">
        <v>215</v>
      </c>
      <c r="Q432" s="290" t="s">
        <v>283</v>
      </c>
      <c r="R432" s="290" t="s">
        <v>88</v>
      </c>
      <c r="S432" s="290" t="s">
        <v>165</v>
      </c>
      <c r="T432" s="290" t="s">
        <v>116</v>
      </c>
      <c r="U432" s="290" t="n">
        <v>5230722</v>
      </c>
      <c r="V432" s="290" t="n">
        <v>0</v>
      </c>
      <c r="W432" s="290" t="s">
        <v>47</v>
      </c>
      <c r="X432" s="290" t="s">
        <v>989</v>
      </c>
      <c r="Y432" s="290" t="s">
        <v>233</v>
      </c>
      <c r="Z432" s="290" t="s">
        <v>283</v>
      </c>
      <c r="AA432" s="290" t="s">
        <v>88</v>
      </c>
      <c r="AB432" s="290" t="s">
        <v>165</v>
      </c>
      <c r="AC432" s="290" t="s">
        <v>116</v>
      </c>
      <c r="AD432" s="290" t="n">
        <v>5230737</v>
      </c>
      <c r="AE432" s="290" t="n">
        <v>41.5</v>
      </c>
      <c r="AF432" s="290" t="s">
        <v>58</v>
      </c>
      <c r="AG432" s="290" t="s">
        <v>989</v>
      </c>
      <c r="AH432" s="290" t="s">
        <v>216</v>
      </c>
      <c r="AI432" s="290" t="s">
        <v>283</v>
      </c>
      <c r="AJ432" s="290" t="s">
        <v>88</v>
      </c>
      <c r="AK432" s="290" t="s">
        <v>165</v>
      </c>
      <c r="AL432" s="290" t="s">
        <v>116</v>
      </c>
      <c r="AM432" s="290" t="s">
        <v>217</v>
      </c>
      <c r="AN432" s="290" t="s">
        <v>217</v>
      </c>
      <c r="AO432" s="290" t="s">
        <v>217</v>
      </c>
      <c r="AP432" s="290" t="s">
        <v>217</v>
      </c>
      <c r="AQ432" s="290" t="s">
        <v>217</v>
      </c>
      <c r="AR432" s="6" t="s">
        <v>138</v>
      </c>
    </row>
    <row r="433" ht="26.25" customHeight="1">
      <c r="A433" s="290" t="s">
        <v>45</v>
      </c>
      <c r="B433" s="290" t="n">
        <v>2931347598</v>
      </c>
      <c r="C433" s="290" t="s">
        <v>1340</v>
      </c>
      <c r="D433" s="290" t="s">
        <v>46</v>
      </c>
      <c r="E433" s="290" t="s">
        <v>104</v>
      </c>
      <c r="H433" s="290" t="s">
        <v>1123</v>
      </c>
      <c r="I433" s="290" t="s">
        <v>116</v>
      </c>
      <c r="J433" s="290" t="n">
        <v>3132897</v>
      </c>
      <c r="K433" s="290" t="s">
        <v>125</v>
      </c>
      <c r="L433" s="290" t="n">
        <v>72</v>
      </c>
      <c r="M433" s="290" t="s">
        <v>116</v>
      </c>
      <c r="N433" s="290" t="s">
        <v>31</v>
      </c>
      <c r="O433" s="290" t="s">
        <v>989</v>
      </c>
      <c r="P433" s="290" t="s">
        <v>215</v>
      </c>
      <c r="Q433" s="290" t="s">
        <v>283</v>
      </c>
      <c r="R433" s="290" t="s">
        <v>88</v>
      </c>
      <c r="S433" s="290" t="s">
        <v>444</v>
      </c>
      <c r="T433" s="290" t="s">
        <v>116</v>
      </c>
      <c r="U433" s="290" t="n">
        <v>5230722</v>
      </c>
      <c r="V433" s="290" t="s">
        <v>116</v>
      </c>
      <c r="W433" s="290" t="s">
        <v>47</v>
      </c>
      <c r="X433" s="290" t="s">
        <v>989</v>
      </c>
      <c r="Y433" s="290" t="s">
        <v>233</v>
      </c>
      <c r="Z433" s="290" t="s">
        <v>283</v>
      </c>
      <c r="AA433" s="290" t="s">
        <v>88</v>
      </c>
      <c r="AB433" s="290" t="s">
        <v>444</v>
      </c>
      <c r="AC433" s="290" t="s">
        <v>116</v>
      </c>
      <c r="AD433" s="290" t="n">
        <v>5230737</v>
      </c>
      <c r="AE433" s="290" t="n">
        <v>40.5</v>
      </c>
      <c r="AF433" s="290" t="s">
        <v>58</v>
      </c>
      <c r="AG433" s="290" t="s">
        <v>989</v>
      </c>
      <c r="AH433" s="290" t="s">
        <v>216</v>
      </c>
      <c r="AI433" s="290" t="s">
        <v>283</v>
      </c>
      <c r="AJ433" s="290" t="s">
        <v>88</v>
      </c>
      <c r="AK433" s="290" t="s">
        <v>444</v>
      </c>
      <c r="AL433" s="290" t="s">
        <v>116</v>
      </c>
      <c r="AR433" s="6" t="s">
        <v>1124</v>
      </c>
    </row>
    <row r="434" ht="26.25" customHeight="1">
      <c r="A434" s="290" t="s">
        <v>54</v>
      </c>
      <c r="B434" s="290" t="n">
        <v>2705697445</v>
      </c>
      <c r="C434" s="290" t="s">
        <v>524</v>
      </c>
      <c r="D434" s="290" t="s">
        <v>59</v>
      </c>
      <c r="E434" s="290" t="s">
        <v>104</v>
      </c>
      <c r="H434" s="290" t="s">
        <v>165</v>
      </c>
      <c r="I434" s="290" t="s">
        <v>101</v>
      </c>
      <c r="J434" s="290" t="n">
        <v>3132902</v>
      </c>
      <c r="K434" s="290" t="s">
        <v>125</v>
      </c>
      <c r="L434" s="290" t="n">
        <v>60</v>
      </c>
      <c r="M434" s="290" t="s">
        <v>116</v>
      </c>
      <c r="N434" s="290" t="s">
        <v>31</v>
      </c>
      <c r="O434" s="290" t="s">
        <v>987</v>
      </c>
      <c r="P434" s="290" t="s">
        <v>216</v>
      </c>
      <c r="Q434" s="290" t="s">
        <v>283</v>
      </c>
      <c r="R434" s="290" t="s">
        <v>101</v>
      </c>
      <c r="S434" s="290" t="s">
        <v>165</v>
      </c>
      <c r="T434" s="290" t="s">
        <v>116</v>
      </c>
      <c r="U434" s="290" t="n">
        <v>5230747</v>
      </c>
      <c r="V434" s="290" t="n">
        <v>80</v>
      </c>
      <c r="W434" s="290" t="s">
        <v>49</v>
      </c>
      <c r="X434" s="290" t="s">
        <v>987</v>
      </c>
      <c r="Y434" s="290" t="s">
        <v>215</v>
      </c>
      <c r="Z434" s="290" t="s">
        <v>283</v>
      </c>
      <c r="AA434" s="290" t="s">
        <v>101</v>
      </c>
      <c r="AB434" s="290" t="s">
        <v>165</v>
      </c>
      <c r="AC434" s="290" t="s">
        <v>116</v>
      </c>
      <c r="AD434" s="290" t="n">
        <v>5230821</v>
      </c>
      <c r="AE434" s="290" t="n">
        <v>43</v>
      </c>
      <c r="AF434" s="290" t="s">
        <v>56</v>
      </c>
      <c r="AG434" s="290" t="s">
        <v>987</v>
      </c>
      <c r="AH434" s="290" t="s">
        <v>233</v>
      </c>
      <c r="AI434" s="290" t="s">
        <v>283</v>
      </c>
      <c r="AJ434" s="290" t="s">
        <v>101</v>
      </c>
      <c r="AK434" s="290" t="s">
        <v>165</v>
      </c>
      <c r="AL434" s="290" t="s">
        <v>116</v>
      </c>
      <c r="AR434" s="6" t="s">
        <v>138</v>
      </c>
    </row>
    <row r="435" ht="26.25" customHeight="1">
      <c r="A435" s="290" t="s">
        <v>85</v>
      </c>
      <c r="B435" s="290" t="n">
        <v>2673038530</v>
      </c>
      <c r="C435" s="290" t="s">
        <v>1341</v>
      </c>
      <c r="D435" s="290" t="s">
        <v>40</v>
      </c>
      <c r="E435" s="290" t="s">
        <v>115</v>
      </c>
      <c r="H435" s="290" t="s">
        <v>1123</v>
      </c>
      <c r="I435" s="290" t="s">
        <v>116</v>
      </c>
      <c r="J435" s="290" t="n">
        <v>5230775</v>
      </c>
      <c r="K435" s="290" t="s">
        <v>116</v>
      </c>
      <c r="L435" s="290" t="s">
        <v>116</v>
      </c>
      <c r="M435" s="290" t="s">
        <v>116</v>
      </c>
      <c r="N435" s="290" t="s">
        <v>31</v>
      </c>
      <c r="O435" s="290" t="s">
        <v>991</v>
      </c>
      <c r="P435" s="290" t="s">
        <v>215</v>
      </c>
      <c r="Q435" s="290" t="s">
        <v>283</v>
      </c>
      <c r="R435" s="290" t="s">
        <v>65</v>
      </c>
      <c r="S435" s="290" t="s">
        <v>444</v>
      </c>
      <c r="T435" s="290" t="s">
        <v>116</v>
      </c>
      <c r="U435" s="290" t="n">
        <v>3132834</v>
      </c>
      <c r="W435" s="290" t="s">
        <v>47</v>
      </c>
      <c r="X435" s="290" t="s">
        <v>991</v>
      </c>
      <c r="Y435" s="290" t="s">
        <v>246</v>
      </c>
      <c r="Z435" s="290" t="s">
        <v>283</v>
      </c>
      <c r="AA435" s="290" t="s">
        <v>65</v>
      </c>
      <c r="AB435" s="290" t="s">
        <v>444</v>
      </c>
      <c r="AC435" s="290" t="s">
        <v>116</v>
      </c>
      <c r="AD435" s="290" t="n">
        <v>5230783</v>
      </c>
      <c r="AF435" s="290" t="s">
        <v>52</v>
      </c>
      <c r="AG435" s="290" t="s">
        <v>991</v>
      </c>
      <c r="AH435" s="290" t="s">
        <v>216</v>
      </c>
      <c r="AI435" s="290" t="s">
        <v>283</v>
      </c>
      <c r="AJ435" s="290" t="s">
        <v>65</v>
      </c>
      <c r="AK435" s="290" t="s">
        <v>444</v>
      </c>
      <c r="AL435" s="290" t="s">
        <v>116</v>
      </c>
      <c r="AR435" s="6" t="s">
        <v>1124</v>
      </c>
    </row>
    <row r="436" ht="26.25" customHeight="1">
      <c r="A436" s="290" t="s">
        <v>85</v>
      </c>
      <c r="B436" s="290" t="n">
        <v>4396309386</v>
      </c>
      <c r="C436" s="290" t="s">
        <v>927</v>
      </c>
      <c r="D436" s="290" t="s">
        <v>36</v>
      </c>
      <c r="E436" s="290" t="s">
        <v>106</v>
      </c>
      <c r="H436" s="290" t="s">
        <v>165</v>
      </c>
      <c r="I436" s="290" t="s">
        <v>65</v>
      </c>
      <c r="J436" s="290" t="n">
        <v>5230775</v>
      </c>
      <c r="K436" s="290" t="s">
        <v>124</v>
      </c>
      <c r="L436" s="290" t="n">
        <v>90</v>
      </c>
      <c r="M436" s="290" t="s">
        <v>116</v>
      </c>
      <c r="N436" s="290" t="s">
        <v>31</v>
      </c>
      <c r="O436" s="290" t="s">
        <v>991</v>
      </c>
      <c r="P436" s="290" t="s">
        <v>215</v>
      </c>
      <c r="Q436" s="290" t="s">
        <v>283</v>
      </c>
      <c r="R436" s="290" t="s">
        <v>65</v>
      </c>
      <c r="S436" s="290" t="s">
        <v>165</v>
      </c>
      <c r="T436" s="290" t="s">
        <v>217</v>
      </c>
      <c r="U436" s="290" t="s">
        <v>116</v>
      </c>
      <c r="W436" s="290" t="s">
        <v>116</v>
      </c>
      <c r="X436" s="290" t="s">
        <v>116</v>
      </c>
      <c r="Y436" s="290" t="s">
        <v>116</v>
      </c>
      <c r="Z436" s="290" t="s">
        <v>116</v>
      </c>
      <c r="AA436" s="290" t="s">
        <v>116</v>
      </c>
      <c r="AB436" s="290" t="s">
        <v>116</v>
      </c>
      <c r="AC436" s="290" t="s">
        <v>116</v>
      </c>
      <c r="AD436" s="290" t="s">
        <v>116</v>
      </c>
      <c r="AF436" s="290" t="s">
        <v>116</v>
      </c>
      <c r="AG436" s="290" t="s">
        <v>116</v>
      </c>
      <c r="AH436" s="290" t="s">
        <v>116</v>
      </c>
      <c r="AI436" s="290" t="s">
        <v>116</v>
      </c>
      <c r="AJ436" s="290" t="s">
        <v>116</v>
      </c>
      <c r="AK436" s="290" t="s">
        <v>116</v>
      </c>
      <c r="AL436" s="290" t="s">
        <v>116</v>
      </c>
      <c r="AR436" s="6" t="s">
        <v>138</v>
      </c>
      <c r="AS436" s="6" t="s">
        <v>217</v>
      </c>
    </row>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autoFilter ref="A2:XFD1048576"/>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56" type="duplicateValues" dxfId="0"/>
  </conditionalFormatting>
  <conditionalFormatting sqref="G254">
    <cfRule priority="56" type="duplicateValues" dxfId="0"/>
  </conditionalFormatting>
  <conditionalFormatting sqref="B1:B492">
    <cfRule priority="17" type="duplicateValues" dxfId="0"/>
  </conditionalFormatting>
  <conditionalFormatting sqref="C1:C492">
    <cfRule priority="16" type="duplicateValues" dxfId="0"/>
  </conditionalFormatting>
  <conditionalFormatting sqref="AR1:AR2">
    <cfRule priority="16" type="duplicateValues" dxfId="0"/>
  </conditionalFormatting>
  <conditionalFormatting sqref="AS1:AS2">
    <cfRule priority="16"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4" t="s">
        <v>172</v>
      </c>
      <c r="B1" s="4" t="s">
        <v>193</v>
      </c>
      <c r="C1" s="4" t="s">
        <v>5</v>
      </c>
      <c r="D1" s="4" t="s">
        <v>1342</v>
      </c>
    </row>
    <row r="2" ht="16.5" customHeight="1">
      <c r="A2" s="4" t="s">
        <v>37</v>
      </c>
      <c r="B2" s="4" t="s">
        <v>1343</v>
      </c>
      <c r="C2" s="4" t="s">
        <v>32</v>
      </c>
      <c r="D2" s="4" t="s">
        <v>636</v>
      </c>
    </row>
    <row r="3" ht="16.5" customHeight="1">
      <c r="A3" s="4" t="s">
        <v>37</v>
      </c>
      <c r="B3" s="4" t="s">
        <v>25</v>
      </c>
      <c r="C3" s="4" t="s">
        <v>32</v>
      </c>
      <c r="D3" s="4" t="s">
        <v>443</v>
      </c>
    </row>
    <row r="4" ht="16.5" customHeight="1">
      <c r="A4" s="4" t="s">
        <v>37</v>
      </c>
      <c r="B4" s="4" t="s">
        <v>27</v>
      </c>
      <c r="C4" s="4" t="s">
        <v>32</v>
      </c>
      <c r="D4" s="4" t="s">
        <v>324</v>
      </c>
    </row>
    <row r="5" ht="16.5" customHeight="1">
      <c r="A5" s="4" t="s">
        <v>37</v>
      </c>
      <c r="B5" s="4" t="s">
        <v>27</v>
      </c>
      <c r="C5" s="4" t="s">
        <v>32</v>
      </c>
      <c r="D5" s="4" t="s">
        <v>332</v>
      </c>
    </row>
    <row r="6" ht="16.5" customHeight="1">
      <c r="A6" s="4" t="s">
        <v>37</v>
      </c>
      <c r="B6" s="4" t="s">
        <v>27</v>
      </c>
      <c r="C6" s="4" t="s">
        <v>32</v>
      </c>
      <c r="D6" s="4" t="s">
        <v>902</v>
      </c>
    </row>
    <row r="7" ht="16.5" customHeight="1">
      <c r="A7" s="4" t="s">
        <v>37</v>
      </c>
      <c r="B7" s="4" t="s">
        <v>27</v>
      </c>
      <c r="C7" s="4" t="s">
        <v>32</v>
      </c>
      <c r="D7" s="4" t="s">
        <v>929</v>
      </c>
    </row>
    <row r="8" ht="16.5" customHeight="1">
      <c r="A8" s="4" t="s">
        <v>37</v>
      </c>
      <c r="B8" s="4" t="s">
        <v>27</v>
      </c>
      <c r="C8" s="4" t="s">
        <v>32</v>
      </c>
      <c r="D8" s="4" t="s">
        <v>935</v>
      </c>
    </row>
    <row r="9" ht="16.5" customHeight="1">
      <c r="A9" s="4" t="s">
        <v>37</v>
      </c>
      <c r="B9" s="4" t="s">
        <v>28</v>
      </c>
      <c r="C9" s="4" t="s">
        <v>32</v>
      </c>
      <c r="D9" s="4" t="s">
        <v>282</v>
      </c>
    </row>
    <row r="10" ht="16.5" customHeight="1">
      <c r="A10" s="4" t="s">
        <v>37</v>
      </c>
      <c r="B10" s="4" t="s">
        <v>28</v>
      </c>
      <c r="C10" s="4" t="s">
        <v>32</v>
      </c>
      <c r="D10" s="4" t="s">
        <v>292</v>
      </c>
    </row>
    <row r="11" ht="16.5" customHeight="1">
      <c r="A11" s="4" t="s">
        <v>37</v>
      </c>
      <c r="B11" s="4" t="s">
        <v>28</v>
      </c>
      <c r="C11" s="4" t="s">
        <v>32</v>
      </c>
      <c r="D11" s="4" t="s">
        <v>299</v>
      </c>
    </row>
    <row r="12" ht="16.5" customHeight="1">
      <c r="A12" s="4" t="s">
        <v>37</v>
      </c>
      <c r="B12" s="4" t="s">
        <v>28</v>
      </c>
      <c r="C12" s="4" t="s">
        <v>32</v>
      </c>
      <c r="D12" s="4" t="s">
        <v>319</v>
      </c>
    </row>
    <row r="13" ht="16.5" customHeight="1">
      <c r="A13" s="4" t="s">
        <v>37</v>
      </c>
      <c r="B13" s="4" t="s">
        <v>28</v>
      </c>
      <c r="C13" s="4" t="s">
        <v>32</v>
      </c>
      <c r="D13" s="4" t="s">
        <v>364</v>
      </c>
    </row>
    <row r="14" ht="16.5" customHeight="1">
      <c r="A14" s="4" t="s">
        <v>37</v>
      </c>
      <c r="B14" s="4" t="s">
        <v>28</v>
      </c>
      <c r="C14" s="4" t="s">
        <v>32</v>
      </c>
      <c r="D14" s="4" t="s">
        <v>378</v>
      </c>
    </row>
    <row r="15" ht="16.5" customHeight="1">
      <c r="A15" s="4" t="s">
        <v>37</v>
      </c>
      <c r="B15" s="4" t="s">
        <v>28</v>
      </c>
      <c r="C15" s="4" t="s">
        <v>32</v>
      </c>
      <c r="D15" s="4" t="s">
        <v>406</v>
      </c>
    </row>
    <row r="16" ht="16.5" customHeight="1">
      <c r="A16" s="4" t="s">
        <v>37</v>
      </c>
      <c r="B16" s="4" t="s">
        <v>28</v>
      </c>
      <c r="C16" s="4" t="s">
        <v>32</v>
      </c>
      <c r="D16" s="4" t="s">
        <v>919</v>
      </c>
    </row>
    <row r="17" ht="16.5" customHeight="1">
      <c r="A17" s="4" t="s">
        <v>37</v>
      </c>
      <c r="B17" s="4" t="s">
        <v>28</v>
      </c>
      <c r="C17" s="4" t="s">
        <v>32</v>
      </c>
      <c r="D17" s="4" t="s">
        <v>941</v>
      </c>
    </row>
    <row r="18" ht="16.5" customHeight="1">
      <c r="A18" s="4" t="s">
        <v>37</v>
      </c>
      <c r="B18" s="4" t="s">
        <v>28</v>
      </c>
      <c r="C18" s="4" t="s">
        <v>32</v>
      </c>
      <c r="D18" s="4" t="s">
        <v>946</v>
      </c>
    </row>
    <row r="19" ht="16.5" customHeight="1">
      <c r="A19" s="4" t="s">
        <v>31</v>
      </c>
      <c r="B19" s="4" t="s">
        <v>1343</v>
      </c>
      <c r="C19" s="4" t="s">
        <v>32</v>
      </c>
      <c r="D19" s="4" t="s">
        <v>682</v>
      </c>
    </row>
    <row r="20" ht="16.5" customHeight="1">
      <c r="A20" s="4" t="s">
        <v>31</v>
      </c>
      <c r="B20" s="4" t="s">
        <v>1343</v>
      </c>
      <c r="C20" s="4" t="s">
        <v>32</v>
      </c>
      <c r="D20" s="4" t="s">
        <v>724</v>
      </c>
    </row>
    <row r="21" ht="16.5" customHeight="1">
      <c r="A21" s="4" t="s">
        <v>31</v>
      </c>
      <c r="B21" s="4" t="s">
        <v>1343</v>
      </c>
      <c r="C21" s="4" t="s">
        <v>32</v>
      </c>
      <c r="D21" s="4" t="s">
        <v>814</v>
      </c>
    </row>
    <row r="22" ht="16.5" customHeight="1">
      <c r="A22" s="4" t="s">
        <v>31</v>
      </c>
      <c r="B22" s="4" t="s">
        <v>1343</v>
      </c>
      <c r="C22" s="4" t="s">
        <v>32</v>
      </c>
      <c r="D22" s="4" t="s">
        <v>820</v>
      </c>
    </row>
    <row r="23" ht="16.5" customHeight="1">
      <c r="A23" s="4" t="s">
        <v>31</v>
      </c>
      <c r="B23" s="4" t="s">
        <v>1343</v>
      </c>
      <c r="C23" s="4" t="s">
        <v>32</v>
      </c>
      <c r="D23" s="4" t="s">
        <v>862</v>
      </c>
    </row>
    <row r="24" ht="16.5" customHeight="1">
      <c r="A24" s="4" t="s">
        <v>31</v>
      </c>
      <c r="B24" s="4" t="s">
        <v>1343</v>
      </c>
      <c r="C24" s="4" t="s">
        <v>32</v>
      </c>
      <c r="D24" s="4" t="s">
        <v>893</v>
      </c>
    </row>
    <row r="25" ht="16.5" customHeight="1">
      <c r="A25" s="4" t="s">
        <v>31</v>
      </c>
      <c r="B25" s="4" t="s">
        <v>1343</v>
      </c>
      <c r="C25" s="4" t="s">
        <v>32</v>
      </c>
      <c r="D25" s="4" t="s">
        <v>900</v>
      </c>
    </row>
    <row r="26" ht="16.5" customHeight="1">
      <c r="A26" s="4" t="s">
        <v>31</v>
      </c>
      <c r="B26" s="4" t="s">
        <v>25</v>
      </c>
      <c r="C26" s="4" t="s">
        <v>32</v>
      </c>
      <c r="D26" s="4" t="s">
        <v>451</v>
      </c>
    </row>
    <row r="27" ht="16.5" customHeight="1">
      <c r="A27" s="4" t="s">
        <v>31</v>
      </c>
      <c r="B27" s="4" t="s">
        <v>1343</v>
      </c>
      <c r="C27" s="4" t="s">
        <v>32</v>
      </c>
      <c r="D27" s="4" t="s">
        <v>833</v>
      </c>
    </row>
    <row r="28" ht="16.5" customHeight="1">
      <c r="A28" s="4" t="s">
        <v>31</v>
      </c>
      <c r="B28" s="4" t="s">
        <v>25</v>
      </c>
      <c r="C28" s="4" t="s">
        <v>32</v>
      </c>
      <c r="D28" s="4" t="s">
        <v>927</v>
      </c>
    </row>
    <row r="29" ht="16.5" customHeight="1">
      <c r="A29" s="4" t="s">
        <v>31</v>
      </c>
      <c r="B29" s="4" t="s">
        <v>27</v>
      </c>
      <c r="C29" s="4" t="s">
        <v>32</v>
      </c>
      <c r="D29" s="4" t="s">
        <v>348</v>
      </c>
    </row>
    <row r="30" ht="16.5" customHeight="1">
      <c r="A30" s="4" t="s">
        <v>31</v>
      </c>
      <c r="B30" s="4" t="s">
        <v>27</v>
      </c>
      <c r="C30" s="4" t="s">
        <v>32</v>
      </c>
      <c r="D30" s="4" t="s">
        <v>411</v>
      </c>
    </row>
    <row r="31" ht="16.5" customHeight="1">
      <c r="A31" s="4" t="s">
        <v>31</v>
      </c>
      <c r="B31" s="4" t="s">
        <v>27</v>
      </c>
      <c r="C31" s="4" t="s">
        <v>32</v>
      </c>
      <c r="D31" s="4" t="s">
        <v>361</v>
      </c>
    </row>
    <row r="32" ht="16.5" customHeight="1">
      <c r="A32" s="4" t="s">
        <v>31</v>
      </c>
      <c r="B32" s="4" t="s">
        <v>27</v>
      </c>
      <c r="C32" s="4" t="s">
        <v>32</v>
      </c>
      <c r="D32" s="4" t="s">
        <v>591</v>
      </c>
    </row>
    <row r="33" ht="16.5" customHeight="1">
      <c r="A33" s="4" t="s">
        <v>31</v>
      </c>
      <c r="B33" s="4" t="s">
        <v>27</v>
      </c>
      <c r="C33" s="4" t="s">
        <v>32</v>
      </c>
      <c r="D33" s="4" t="s">
        <v>620</v>
      </c>
    </row>
    <row r="34" ht="16.5" customHeight="1">
      <c r="A34" s="4" t="s">
        <v>31</v>
      </c>
      <c r="B34" s="4" t="s">
        <v>27</v>
      </c>
      <c r="C34" s="4" t="s">
        <v>32</v>
      </c>
      <c r="D34" s="4" t="s">
        <v>663</v>
      </c>
    </row>
    <row r="35" ht="16.5" customHeight="1">
      <c r="A35" s="4" t="s">
        <v>31</v>
      </c>
      <c r="B35" s="4" t="s">
        <v>27</v>
      </c>
      <c r="C35" s="4" t="s">
        <v>32</v>
      </c>
      <c r="D35" s="4" t="s">
        <v>741</v>
      </c>
    </row>
    <row r="36" ht="16.5" customHeight="1">
      <c r="A36" s="4" t="s">
        <v>31</v>
      </c>
      <c r="B36" s="4" t="s">
        <v>27</v>
      </c>
      <c r="C36" s="4" t="s">
        <v>32</v>
      </c>
      <c r="D36" s="4" t="s">
        <v>781</v>
      </c>
    </row>
    <row r="37" ht="16.5" customHeight="1">
      <c r="A37" s="4" t="s">
        <v>31</v>
      </c>
      <c r="B37" s="4" t="s">
        <v>27</v>
      </c>
      <c r="C37" s="4" t="s">
        <v>32</v>
      </c>
      <c r="D37" s="4" t="s">
        <v>848</v>
      </c>
    </row>
    <row r="38" ht="16.5" customHeight="1">
      <c r="A38" s="4" t="s">
        <v>31</v>
      </c>
      <c r="B38" s="4" t="s">
        <v>27</v>
      </c>
      <c r="C38" s="4" t="s">
        <v>32</v>
      </c>
      <c r="D38" s="4" t="s">
        <v>854</v>
      </c>
    </row>
    <row r="39" ht="16.5" customHeight="1">
      <c r="A39" s="4" t="s">
        <v>31</v>
      </c>
      <c r="B39" s="4" t="s">
        <v>27</v>
      </c>
      <c r="C39" s="4" t="s">
        <v>32</v>
      </c>
      <c r="D39" s="4" t="s">
        <v>895</v>
      </c>
    </row>
    <row r="40" ht="16.5" customHeight="1">
      <c r="A40" s="4" t="s">
        <v>31</v>
      </c>
      <c r="B40" s="4" t="s">
        <v>27</v>
      </c>
      <c r="C40" s="4" t="s">
        <v>32</v>
      </c>
      <c r="D40" s="4" t="s">
        <v>909</v>
      </c>
    </row>
    <row r="41" ht="16.5" customHeight="1">
      <c r="A41" s="4" t="s">
        <v>31</v>
      </c>
      <c r="B41" s="4" t="s">
        <v>28</v>
      </c>
      <c r="C41" s="4" t="s">
        <v>32</v>
      </c>
      <c r="D41" s="4" t="s">
        <v>354</v>
      </c>
    </row>
    <row r="42" ht="16.5" customHeight="1">
      <c r="A42" s="4" t="s">
        <v>31</v>
      </c>
      <c r="B42" s="4" t="s">
        <v>28</v>
      </c>
      <c r="C42" s="4" t="s">
        <v>32</v>
      </c>
      <c r="D42" s="4" t="s">
        <v>557</v>
      </c>
    </row>
    <row r="43" ht="16.5" customHeight="1">
      <c r="A43" s="4" t="s">
        <v>31</v>
      </c>
      <c r="B43" s="4" t="s">
        <v>28</v>
      </c>
      <c r="C43" s="4" t="s">
        <v>32</v>
      </c>
      <c r="D43" s="4" t="s">
        <v>650</v>
      </c>
    </row>
    <row r="44" ht="16.5" customHeight="1">
      <c r="A44" s="4" t="s">
        <v>31</v>
      </c>
      <c r="B44" s="4" t="s">
        <v>28</v>
      </c>
      <c r="C44" s="4" t="s">
        <v>32</v>
      </c>
      <c r="D44" s="4" t="s">
        <v>674</v>
      </c>
    </row>
    <row r="45" ht="16.5" customHeight="1">
      <c r="A45" s="4" t="s">
        <v>31</v>
      </c>
      <c r="B45" s="4" t="s">
        <v>28</v>
      </c>
      <c r="C45" s="4" t="s">
        <v>32</v>
      </c>
      <c r="D45" s="4" t="s">
        <v>762</v>
      </c>
    </row>
    <row r="46" ht="16.5" customHeight="1">
      <c r="A46" s="4" t="s">
        <v>31</v>
      </c>
      <c r="B46" s="4" t="s">
        <v>28</v>
      </c>
      <c r="C46" s="4" t="s">
        <v>32</v>
      </c>
      <c r="D46" s="4" t="s">
        <v>774</v>
      </c>
    </row>
    <row r="47" ht="16.5" customHeight="1">
      <c r="A47" s="4" t="s">
        <v>31</v>
      </c>
      <c r="B47" s="4" t="s">
        <v>28</v>
      </c>
      <c r="C47" s="4" t="s">
        <v>32</v>
      </c>
      <c r="D47" s="4" t="s">
        <v>821</v>
      </c>
    </row>
    <row r="48" ht="16.5" customHeight="1">
      <c r="A48" s="4" t="s">
        <v>31</v>
      </c>
      <c r="B48" s="4" t="s">
        <v>28</v>
      </c>
      <c r="C48" s="4" t="s">
        <v>32</v>
      </c>
      <c r="D48" s="4" t="s">
        <v>875</v>
      </c>
    </row>
    <row r="49" ht="16.5" customHeight="1">
      <c r="A49" s="4" t="s">
        <v>31</v>
      </c>
      <c r="B49" s="4" t="s">
        <v>29</v>
      </c>
      <c r="C49" s="4" t="s">
        <v>32</v>
      </c>
      <c r="D49" s="4" t="s">
        <v>363</v>
      </c>
    </row>
  </sheetData>
  <autoFilter ref="A1:D49"/>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92"/>
    <col min="22" max="22" width="7.32421875" customWidth="1" style="292"/>
    <col min="23" max="23" width="17.9501953125" customWidth="1"/>
    <col min="24" max="24" width="8.44921875" customWidth="1"/>
    <col min="25" max="25" width="16.681640625" customWidth="1"/>
    <col min="26" max="26" width="8.431640625" customWidth="1"/>
    <col min="27" max="27" width="13.201171875" customWidth="1" style="292"/>
    <col min="28" max="28" width="11.326171875" customWidth="1" style="290"/>
    <col min="29" max="29" width="11.326171875" customWidth="1" style="147"/>
    <col min="30" max="30" width="10.875" customWidth="1" style="104"/>
    <col min="31" max="33" width="10"/>
    <col min="34" max="34" width="10.998046875" customWidth="1"/>
    <col min="35" max="35" width="15.75" customWidth="1" style="489"/>
    <col min="36" max="37" width="15.75" customWidth="1" style="508"/>
    <col min="38" max="41" width="7.1103515625" customWidth="1" style="290"/>
    <col min="42" max="42" width="18.75" customWidth="1" style="484"/>
    <col min="43" max="43" width="10.2744140625" customWidth="1" style="292"/>
    <col min="44" max="44" width="21.873046875" customWidth="1" style="436"/>
    <col min="45" max="50" width="6.41015625" customWidth="1" style="292"/>
    <col min="51" max="51" width="16.248046875" customWidth="1" style="292"/>
    <col min="52" max="52" width="36.22265625" customWidth="1" style="483"/>
    <col min="53" max="53" width="16.248046875" customWidth="1"/>
  </cols>
  <sheetData>
    <row r="1" s="428" customFormat="1" ht="30" customHeight="1">
      <c r="A1" s="429" t="s">
        <v>146</v>
      </c>
      <c r="B1" s="430" t="s">
        <v>147</v>
      </c>
      <c r="C1" s="430" t="s">
        <v>148</v>
      </c>
      <c r="D1" s="430" t="s">
        <v>149</v>
      </c>
      <c r="E1" s="117" t="s">
        <v>150</v>
      </c>
      <c r="F1" s="117"/>
      <c r="G1" s="117"/>
      <c r="H1" s="117"/>
      <c r="I1" s="117"/>
      <c r="J1" s="119" t="s">
        <v>151</v>
      </c>
      <c r="K1" s="119"/>
      <c r="L1" s="119"/>
      <c r="M1" s="119"/>
      <c r="N1" s="129" t="s">
        <v>152</v>
      </c>
      <c r="O1" s="129"/>
      <c r="P1" s="129"/>
      <c r="Q1" s="129"/>
      <c r="R1" s="440" t="s">
        <v>157</v>
      </c>
      <c r="S1" s="305"/>
      <c r="T1" s="305"/>
      <c r="U1" s="42" t="s">
        <v>1344</v>
      </c>
      <c r="V1" s="306"/>
      <c r="W1" s="306"/>
      <c r="X1" s="306"/>
      <c r="Y1" s="306"/>
      <c r="Z1" s="306"/>
      <c r="AA1" s="132" t="s">
        <v>159</v>
      </c>
      <c r="AB1" s="105"/>
      <c r="AC1" s="320"/>
      <c r="AD1" s="540"/>
      <c r="AE1" s="161" t="s">
        <v>160</v>
      </c>
      <c r="AF1" s="309"/>
      <c r="AG1" s="309"/>
      <c r="AH1" s="157" t="s">
        <v>153</v>
      </c>
      <c r="AI1" s="21"/>
      <c r="AJ1" s="174" t="s">
        <v>1345</v>
      </c>
      <c r="AK1" s="176"/>
      <c r="AL1" s="33" t="s">
        <v>162</v>
      </c>
      <c r="AM1" s="39"/>
      <c r="AN1" s="39"/>
      <c r="AO1" s="39"/>
      <c r="AP1" s="172"/>
      <c r="AQ1" s="83" t="s">
        <v>163</v>
      </c>
      <c r="AR1" s="237" t="s">
        <v>164</v>
      </c>
      <c r="AS1" s="148" t="s">
        <v>165</v>
      </c>
      <c r="AT1" s="86" t="s">
        <v>166</v>
      </c>
      <c r="AU1" s="537" t="s">
        <v>167</v>
      </c>
      <c r="AV1" s="538" t="s">
        <v>168</v>
      </c>
      <c r="AW1" s="539" t="s">
        <v>169</v>
      </c>
      <c r="AX1" s="52" t="s">
        <v>170</v>
      </c>
      <c r="AY1" s="316" t="s">
        <v>171</v>
      </c>
      <c r="AZ1" s="143"/>
      <c r="BA1" s="319"/>
    </row>
    <row r="2" s="428" customFormat="1" ht="30" customHeight="1">
      <c r="A2" s="27"/>
      <c r="D2" s="435"/>
      <c r="E2" s="431" t="s">
        <v>172</v>
      </c>
      <c r="F2" s="431" t="s">
        <v>173</v>
      </c>
      <c r="G2" s="431" t="s">
        <v>94</v>
      </c>
      <c r="H2" s="431" t="s">
        <v>174</v>
      </c>
      <c r="I2" s="431" t="s">
        <v>175</v>
      </c>
      <c r="J2" s="432" t="s">
        <v>172</v>
      </c>
      <c r="K2" s="432" t="s">
        <v>173</v>
      </c>
      <c r="L2" s="432" t="s">
        <v>174</v>
      </c>
      <c r="M2" s="432" t="s">
        <v>175</v>
      </c>
      <c r="N2" s="433" t="s">
        <v>172</v>
      </c>
      <c r="O2" s="433" t="s">
        <v>173</v>
      </c>
      <c r="P2" s="433" t="s">
        <v>174</v>
      </c>
      <c r="Q2" s="433" t="s">
        <v>175</v>
      </c>
      <c r="R2" s="136" t="s">
        <v>194</v>
      </c>
      <c r="S2" s="30" t="s">
        <v>74</v>
      </c>
      <c r="T2" s="30" t="s">
        <v>75</v>
      </c>
      <c r="U2" s="48" t="s">
        <v>1346</v>
      </c>
      <c r="V2" s="14"/>
      <c r="W2" s="98" t="s">
        <v>1347</v>
      </c>
      <c r="X2" s="18"/>
      <c r="Y2" s="98" t="s">
        <v>1348</v>
      </c>
      <c r="Z2" s="18"/>
      <c r="AA2" s="136" t="s">
        <v>1349</v>
      </c>
      <c r="AB2" s="12" t="s">
        <v>76</v>
      </c>
      <c r="AC2" s="156" t="s">
        <v>202</v>
      </c>
      <c r="AD2" s="144" t="s">
        <v>1350</v>
      </c>
      <c r="AE2" s="161" t="s">
        <v>17</v>
      </c>
      <c r="AF2" s="161" t="s">
        <v>203</v>
      </c>
      <c r="AG2" s="161" t="s">
        <v>204</v>
      </c>
      <c r="AH2" s="434" t="s">
        <v>176</v>
      </c>
      <c r="AI2" s="65" t="s">
        <v>205</v>
      </c>
      <c r="AJ2" s="175" t="s">
        <v>205</v>
      </c>
      <c r="AK2" s="178" t="s">
        <v>206</v>
      </c>
      <c r="AL2" s="173" t="s">
        <v>207</v>
      </c>
      <c r="AM2" s="105" t="s">
        <v>32</v>
      </c>
      <c r="AN2" s="105" t="s">
        <v>44</v>
      </c>
      <c r="AO2" s="105" t="s">
        <v>53</v>
      </c>
      <c r="AP2" s="173" t="s">
        <v>208</v>
      </c>
      <c r="AQ2" s="320" t="s">
        <v>209</v>
      </c>
      <c r="AR2" s="242" t="s">
        <v>210</v>
      </c>
      <c r="AS2" s="542" t="n">
        <f>SUM(AS3:AS130)</f>
        <v>295</v>
      </c>
      <c r="AT2" s="542" t="n">
        <f>SUM(AT3:AT130)</f>
        <v>196</v>
      </c>
      <c r="AU2" s="543" t="n">
        <f>COUNTIF(AU3:AU130,"是")</f>
        <v>46</v>
      </c>
      <c r="AV2" s="544" t="n">
        <f>COUNTIF(AV3:AV130,"是")</f>
        <v>32</v>
      </c>
      <c r="AW2" s="545" t="n">
        <f>COUNTIF(AW3:AW130,"是")</f>
        <v>32</v>
      </c>
      <c r="AX2" s="542" t="n">
        <f>SUM(AX3:AX130)</f>
        <v>99</v>
      </c>
      <c r="AY2" s="541" t="s">
        <v>211</v>
      </c>
      <c r="AZ2" s="145" t="s">
        <v>212</v>
      </c>
      <c r="BA2" s="324" t="s">
        <v>213</v>
      </c>
    </row>
    <row r="3" s="292" customFormat="1" ht="30" customHeight="1">
      <c r="A3" s="114" t="s">
        <v>45</v>
      </c>
      <c r="B3" s="114" t="n">
        <v>4067487942</v>
      </c>
      <c r="C3" s="114" t="s">
        <f>VLOOKUP(B3,'UV台帐'!B:AL,2,0)</f>
        <v>1013</v>
      </c>
      <c r="D3" s="114" t="s">
        <f>VLOOKUP(B3,'UV台帐'!B:AL,3,0)</f>
        <v>46</v>
      </c>
      <c r="E3" s="114" t="s">
        <f>VLOOKUP(B3,'UV台帐'!B:AL,13,0)</f>
        <v>31</v>
      </c>
      <c r="F3" s="114" t="s">
        <f>VLOOKUP(B3,'UV台帐'!B:AL,15,0)</f>
        <v>215</v>
      </c>
      <c r="G3" s="114" t="s">
        <f>VLOOKUP(B3,'UV台帐'!B:AL,16,0)</f>
        <v>283</v>
      </c>
      <c r="H3" s="114" t="s">
        <f>VLOOKUP(B3,'UV台帐'!B:AL,17,0)</f>
        <v>88</v>
      </c>
      <c r="I3" s="114" t="s">
        <f>VLOOKUP(B3,'UV台帐'!B:AL,18,0)</f>
        <v>165</v>
      </c>
      <c r="J3" s="114" t="s">
        <f>VLOOKUP(B3,'UV台帐'!B:AL,22,0)</f>
        <v>47</v>
      </c>
      <c r="K3" s="114" t="s">
        <f>VLOOKUP(B3,'UV台帐'!B:AL,24,0)</f>
        <v>233</v>
      </c>
      <c r="L3" s="114" t="s">
        <f>VLOOKUP(B3,'UV台帐'!B:AL,26,0)</f>
        <v>88</v>
      </c>
      <c r="M3" s="114" t="s">
        <f>VLOOKUP(B3,'UV台帐'!B:AL,27,0)</f>
        <v>165</v>
      </c>
      <c r="N3" s="114" t="s">
        <f>VLOOKUP(B3,'UV台帐'!B:AL,31,0)</f>
        <v>58</v>
      </c>
      <c r="O3" s="114" t="s">
        <f>VLOOKUP(B3,'UV台帐'!B:AL,33,0)</f>
        <v>216</v>
      </c>
      <c r="P3" s="114" t="s">
        <f>VLOOKUP(B3,'UV台帐'!B:AL,35,0)</f>
        <v>88</v>
      </c>
      <c r="Q3" s="114" t="s">
        <f>VLOOKUP(B3,'UV台帐'!B:AL,36,0)</f>
        <v>165</v>
      </c>
      <c r="R3" s="318"/>
      <c r="S3" s="318" t="s">
        <v>218</v>
      </c>
      <c r="T3" s="318" t="s">
        <v>218</v>
      </c>
      <c r="U3" s="318"/>
      <c r="V3" s="318"/>
      <c r="W3" s="318" t="s">
        <v>1351</v>
      </c>
      <c r="X3" s="318"/>
      <c r="Y3" s="114"/>
      <c r="Z3" s="114"/>
      <c r="AA3" s="68" t="s">
        <v>47</v>
      </c>
      <c r="AB3" s="476" t="s">
        <v>217</v>
      </c>
      <c r="AC3" s="104" t="s">
        <v>31</v>
      </c>
      <c r="AD3" s="104" t="s">
        <v>217</v>
      </c>
      <c r="AE3" s="318" t="s">
        <v>46</v>
      </c>
      <c r="AF3" s="318" t="s">
        <f>VLOOKUP(B3,'UV台帐'!B:G,6,0)</f>
        <v>1014</v>
      </c>
      <c r="AG3" s="318"/>
      <c r="AH3" s="318" t="s">
        <v>217</v>
      </c>
      <c r="AI3" s="241"/>
      <c r="AJ3" s="508" t="s">
        <v>1352</v>
      </c>
      <c r="AK3" s="508" t="s">
        <v>1352</v>
      </c>
      <c r="AL3" s="290" t="s">
        <v>25</v>
      </c>
      <c r="AM3" s="290"/>
      <c r="AN3" s="290"/>
      <c r="AO3" s="290" t="s">
        <v>25</v>
      </c>
      <c r="AP3" s="484"/>
      <c r="AR3" s="436"/>
      <c r="AS3" s="318" t="n">
        <f>COUNTIFS(H3,"零期",I3,"在读")+COUNTIFS(L3,"零期",M3,"在读")+COUNTIFS(P3,"零期",Q3,"在读")</f>
        <v>3</v>
      </c>
      <c r="AT3" s="318" t="n">
        <f>AS3-AX3</f>
        <v>3</v>
      </c>
      <c r="AU3" s="292" t="s">
        <f>VLOOKUP(B3,'UV台帐'!B:AL,19,0)</f>
        <v>116</v>
      </c>
      <c r="AV3" s="292" t="s">
        <f>VLOOKUP(B3,'UV台帐'!B:AL,28,0)</f>
        <v>116</v>
      </c>
      <c r="AW3" s="292" t="s">
        <f>VLOOKUP(B3,'UV台帐'!B:AL,37,0)</f>
        <v>116</v>
      </c>
      <c r="AX3" s="318" t="n">
        <f>COUNTIFS(H3,"零期",AU3,"是")+COUNTIFS(L3,"零期",AV3,"是")+COUNTIFS(P3,"零期",AW3,"是")</f>
        <v>0</v>
      </c>
      <c r="AZ3" s="483" t="s">
        <v>1353</v>
      </c>
      <c r="BA3" s="197"/>
    </row>
    <row r="4" s="292" customFormat="1" ht="30" customHeight="1">
      <c r="A4" s="114" t="s">
        <v>54</v>
      </c>
      <c r="B4" s="114" t="n">
        <v>2136468815</v>
      </c>
      <c r="C4" s="114" t="s">
        <f>VLOOKUP(B4,'UV台帐'!B:AL,2,0)</f>
        <v>1071</v>
      </c>
      <c r="D4" s="114" t="s">
        <f>VLOOKUP(B4,'UV台帐'!B:AL,3,0)</f>
        <v>36</v>
      </c>
      <c r="E4" s="114" t="s">
        <f>VLOOKUP(B4,'UV台帐'!B:AL,13,0)</f>
        <v>37</v>
      </c>
      <c r="F4" s="114" t="s">
        <f>VLOOKUP(B4,'UV台帐'!B:AL,15,0)</f>
        <v>215</v>
      </c>
      <c r="G4" s="114" t="s">
        <f>VLOOKUP(B4,'UV台帐'!B:AL,16,0)</f>
        <v>283</v>
      </c>
      <c r="H4" s="114" t="s">
        <f>VLOOKUP(B4,'UV台帐'!B:AL,17,0)</f>
        <v>101</v>
      </c>
      <c r="I4" s="114" t="s">
        <f>VLOOKUP(B4,'UV台帐'!B:AL,18,0)</f>
        <v>165</v>
      </c>
      <c r="J4" s="114" t="s">
        <f>VLOOKUP(B4,'UV台帐'!B:AL,22,0)</f>
        <v>47</v>
      </c>
      <c r="K4" s="114" t="s">
        <f>VLOOKUP(B4,'UV台帐'!B:AL,24,0)</f>
        <v>216</v>
      </c>
      <c r="L4" s="114" t="s">
        <f>VLOOKUP(B4,'UV台帐'!B:AL,26,0)</f>
        <v>101</v>
      </c>
      <c r="M4" s="114" t="s">
        <f>VLOOKUP(B4,'UV台帐'!B:AL,27,0)</f>
        <v>165</v>
      </c>
      <c r="N4" s="114" t="s">
        <f>VLOOKUP(B4,'UV台帐'!B:AL,31,0)</f>
        <v>56</v>
      </c>
      <c r="O4" s="114" t="s">
        <f>VLOOKUP(B4,'UV台帐'!B:AL,33,0)</f>
        <v>233</v>
      </c>
      <c r="P4" s="114" t="s">
        <f>VLOOKUP(B4,'UV台帐'!B:AL,35,0)</f>
        <v>88</v>
      </c>
      <c r="Q4" s="114" t="s">
        <f>VLOOKUP(B4,'UV台帐'!B:AL,36,0)</f>
        <v>165</v>
      </c>
      <c r="R4" s="318"/>
      <c r="S4" s="318" t="s">
        <v>217</v>
      </c>
      <c r="T4" s="318" t="s">
        <v>217</v>
      </c>
      <c r="U4" s="318"/>
      <c r="V4" s="318"/>
      <c r="W4" s="114" t="s">
        <v>37</v>
      </c>
      <c r="X4" s="114"/>
      <c r="Y4" s="114" t="s">
        <v>47</v>
      </c>
      <c r="Z4" s="114"/>
      <c r="AA4" s="68" t="s">
        <v>37</v>
      </c>
      <c r="AB4" s="318" t="s">
        <v>217</v>
      </c>
      <c r="AC4" s="7" t="s">
        <v>40</v>
      </c>
      <c r="AD4" s="104" t="s">
        <v>217</v>
      </c>
      <c r="AE4" s="318" t="s">
        <v>36</v>
      </c>
      <c r="AF4" s="318" t="s">
        <f>VLOOKUP(B4,'UV台帐'!B:G,6,0)</f>
        <v>317</v>
      </c>
      <c r="AG4" s="318" t="s">
        <v>475</v>
      </c>
      <c r="AH4" s="318" t="s">
        <v>217</v>
      </c>
      <c r="AI4" s="241" t="s">
        <v>1354</v>
      </c>
      <c r="AJ4" s="508" t="s">
        <v>1355</v>
      </c>
      <c r="AK4" s="508" t="s">
        <v>1355</v>
      </c>
      <c r="AL4" s="290" t="s">
        <v>28</v>
      </c>
      <c r="AM4" s="290" t="s">
        <v>28</v>
      </c>
      <c r="AN4" s="290" t="s">
        <v>28</v>
      </c>
      <c r="AO4" s="290" t="s">
        <v>28</v>
      </c>
      <c r="AP4" s="484" t="s">
        <v>1356</v>
      </c>
      <c r="AR4" s="436"/>
      <c r="AS4" s="318" t="n">
        <f>COUNTIFS(H4,"零期",I4,"在读")+COUNTIFS(L4,"零期",M4,"在读")+COUNTIFS(P4,"零期",Q4,"在读")</f>
        <v>1</v>
      </c>
      <c r="AT4" s="318" t="n">
        <f>AS4-AX4</f>
        <v>0</v>
      </c>
      <c r="AU4" s="292" t="s">
        <f>VLOOKUP(B4,'UV台帐'!B:AL,19,0)</f>
        <v>217</v>
      </c>
      <c r="AV4" s="292" t="s">
        <f>VLOOKUP(B4,'UV台帐'!B:AL,28,0)</f>
        <v>217</v>
      </c>
      <c r="AW4" s="292" t="s">
        <f>VLOOKUP(B4,'UV台帐'!B:AL,37,0)</f>
        <v>217</v>
      </c>
      <c r="AX4" s="318" t="n">
        <f>COUNTIFS(H4,"零期",AU4,"是")+COUNTIFS(L4,"零期",AV4,"是")+COUNTIFS(P4,"零期",AW4,"是")</f>
        <v>1</v>
      </c>
      <c r="AZ4" s="483" t="s">
        <v>1357</v>
      </c>
      <c r="BA4" s="197"/>
    </row>
    <row r="5" s="292" customFormat="1" ht="30" customHeight="1">
      <c r="A5" s="114" t="s">
        <v>45</v>
      </c>
      <c r="B5" s="114" t="n">
        <v>2163375170</v>
      </c>
      <c r="C5" s="114" t="s">
        <f>VLOOKUP(B5,'UV台帐'!B:AL,2,0)</f>
        <v>810</v>
      </c>
      <c r="D5" s="114" t="s">
        <f>VLOOKUP(B5,'UV台帐'!B:AL,3,0)</f>
        <v>48</v>
      </c>
      <c r="E5" s="114" t="s">
        <f>VLOOKUP(B5,'UV台帐'!B:AL,13,0)</f>
        <v>37</v>
      </c>
      <c r="F5" s="114" t="s">
        <f>VLOOKUP(B5,'UV台帐'!B:AL,15,0)</f>
        <v>215</v>
      </c>
      <c r="G5" s="114" t="s">
        <f>VLOOKUP(B5,'UV台帐'!B:AL,16,0)</f>
        <v>283</v>
      </c>
      <c r="H5" s="114" t="s">
        <f>VLOOKUP(B5,'UV台帐'!B:AL,17,0)</f>
        <v>88</v>
      </c>
      <c r="I5" s="114" t="s">
        <f>VLOOKUP(B5,'UV台帐'!B:AL,18,0)</f>
        <v>165</v>
      </c>
      <c r="J5" s="114" t="s">
        <f>VLOOKUP(B5,'UV台帐'!B:AL,22,0)</f>
        <v>43</v>
      </c>
      <c r="K5" s="114" t="s">
        <f>VLOOKUP(B5,'UV台帐'!B:AL,24,0)</f>
        <v>216</v>
      </c>
      <c r="L5" s="114" t="s">
        <f>VLOOKUP(B5,'UV台帐'!B:AL,26,0)</f>
        <v>88</v>
      </c>
      <c r="M5" s="114" t="s">
        <f>VLOOKUP(B5,'UV台帐'!B:AL,27,0)</f>
        <v>165</v>
      </c>
      <c r="N5" s="114" t="s">
        <f>VLOOKUP(B5,'UV台帐'!B:AL,31,0)</f>
        <v>58</v>
      </c>
      <c r="O5" s="114" t="s">
        <f>VLOOKUP(B5,'UV台帐'!B:AL,33,0)</f>
        <v>233</v>
      </c>
      <c r="P5" s="114" t="s">
        <f>VLOOKUP(B5,'UV台帐'!B:AL,35,0)</f>
        <v>65</v>
      </c>
      <c r="Q5" s="114" t="s">
        <f>VLOOKUP(B5,'UV台帐'!B:AL,36,0)</f>
        <v>165</v>
      </c>
      <c r="R5" s="318"/>
      <c r="S5" s="318" t="s">
        <v>217</v>
      </c>
      <c r="T5" s="318" t="s">
        <v>217</v>
      </c>
      <c r="U5" s="318" t="s">
        <v>1358</v>
      </c>
      <c r="V5" s="318"/>
      <c r="W5" s="318"/>
      <c r="X5" s="318"/>
      <c r="Y5" s="318"/>
      <c r="Z5" s="318"/>
      <c r="AA5" s="68" t="s">
        <v>37</v>
      </c>
      <c r="AB5" s="318" t="s">
        <v>217</v>
      </c>
      <c r="AC5" s="81" t="s">
        <v>1359</v>
      </c>
      <c r="AD5" s="104" t="s">
        <v>217</v>
      </c>
      <c r="AE5" s="318" t="s">
        <v>48</v>
      </c>
      <c r="AF5" s="318" t="n">
        <f>VLOOKUP(B5,'UV台帐'!B:G,6,0)</f>
        <v>0</v>
      </c>
      <c r="AG5" s="318"/>
      <c r="AH5" s="318" t="s">
        <v>217</v>
      </c>
      <c r="AI5" s="241" t="s">
        <v>1360</v>
      </c>
      <c r="AJ5" s="508" t="s">
        <v>1361</v>
      </c>
      <c r="AK5" s="508" t="s">
        <v>1361</v>
      </c>
      <c r="AL5" s="290" t="s">
        <v>25</v>
      </c>
      <c r="AM5" s="290" t="s">
        <v>27</v>
      </c>
      <c r="AN5" s="290"/>
      <c r="AO5" s="290"/>
      <c r="AP5" s="484" t="s">
        <v>1362</v>
      </c>
      <c r="AQ5" s="292" t="s">
        <v>217</v>
      </c>
      <c r="AR5" s="436" t="s">
        <v>1363</v>
      </c>
      <c r="AS5" s="318" t="n">
        <f>COUNTIFS(H5,"零期",I5,"在读")+COUNTIFS(L5,"零期",M5,"在读")+COUNTIFS(P5,"零期",Q5,"在读")</f>
        <v>2</v>
      </c>
      <c r="AT5" s="318" t="n">
        <f>AS5-AX5</f>
        <v>0</v>
      </c>
      <c r="AU5" s="292" t="s">
        <f>VLOOKUP(B5,'UV台帐'!B:AL,19,0)</f>
        <v>217</v>
      </c>
      <c r="AV5" s="292" t="s">
        <v>217</v>
      </c>
      <c r="AW5" s="292" t="s">
        <f>VLOOKUP(B5,'UV台帐'!B:AL,37,0)</f>
        <v>116</v>
      </c>
      <c r="AX5" s="318" t="n">
        <v>2</v>
      </c>
      <c r="AZ5" s="483" t="s">
        <v>1364</v>
      </c>
      <c r="BA5" s="197"/>
    </row>
    <row r="6" s="292" customFormat="1" ht="30" customHeight="1">
      <c r="A6" s="114" t="s">
        <v>54</v>
      </c>
      <c r="B6" s="114" t="n">
        <v>2207027530</v>
      </c>
      <c r="C6" s="114" t="s">
        <f>VLOOKUP(B6,'UV台帐'!B:AL,2,0)</f>
        <v>1029</v>
      </c>
      <c r="D6" s="114" t="s">
        <f>VLOOKUP(B6,'UV台帐'!B:AL,3,0)</f>
        <v>55</v>
      </c>
      <c r="E6" s="114" t="s">
        <f>VLOOKUP(B6,'UV台帐'!B:AL,13,0)</f>
        <v>37</v>
      </c>
      <c r="F6" s="114" t="s">
        <f>VLOOKUP(B6,'UV台帐'!B:AL,15,0)</f>
        <v>216</v>
      </c>
      <c r="G6" s="114" t="s">
        <f>VLOOKUP(B6,'UV台帐'!B:AL,16,0)</f>
        <v>283</v>
      </c>
      <c r="H6" s="114" t="s">
        <f>VLOOKUP(B6,'UV台帐'!B:AL,17,0)</f>
        <v>88</v>
      </c>
      <c r="I6" s="114" t="s">
        <f>VLOOKUP(B6,'UV台帐'!B:AL,18,0)</f>
        <v>165</v>
      </c>
      <c r="J6" s="114" t="s">
        <f>VLOOKUP(B6,'UV台帐'!B:AL,22,0)</f>
        <v>47</v>
      </c>
      <c r="K6" s="114" t="s">
        <f>VLOOKUP(B6,'UV台帐'!B:AL,24,0)</f>
        <v>215</v>
      </c>
      <c r="L6" s="114" t="s">
        <f>VLOOKUP(B6,'UV台帐'!B:AL,26,0)</f>
        <v>100</v>
      </c>
      <c r="M6" s="114" t="s">
        <f>VLOOKUP(B6,'UV台帐'!B:AL,27,0)</f>
        <v>165</v>
      </c>
      <c r="N6" s="114" t="s">
        <f>VLOOKUP(B6,'UV台帐'!B:AL,31,0)</f>
        <v>56</v>
      </c>
      <c r="O6" s="114" t="s">
        <f>VLOOKUP(B6,'UV台帐'!B:AL,33,0)</f>
        <v>233</v>
      </c>
      <c r="P6" s="114" t="s">
        <f>VLOOKUP(B6,'UV台帐'!B:AL,35,0)</f>
        <v>88</v>
      </c>
      <c r="Q6" s="114" t="s">
        <f>VLOOKUP(B6,'UV台帐'!B:AL,36,0)</f>
        <v>165</v>
      </c>
      <c r="R6" s="318"/>
      <c r="S6" s="318" t="s">
        <v>217</v>
      </c>
      <c r="T6" s="318" t="s">
        <v>217</v>
      </c>
      <c r="U6" s="114"/>
      <c r="V6" s="114"/>
      <c r="W6" s="318" t="s">
        <v>1365</v>
      </c>
      <c r="X6" s="318"/>
      <c r="Y6" s="114"/>
      <c r="Z6" s="114"/>
      <c r="AA6" s="68" t="s">
        <v>56</v>
      </c>
      <c r="AB6" s="476" t="s">
        <v>217</v>
      </c>
      <c r="AC6" s="147" t="s">
        <v>1366</v>
      </c>
      <c r="AD6" s="104" t="s">
        <v>217</v>
      </c>
      <c r="AE6" s="318" t="s">
        <v>55</v>
      </c>
      <c r="AF6" s="318" t="n">
        <f>VLOOKUP(B6,'UV台帐'!B:G,6,0)</f>
        <v>0</v>
      </c>
      <c r="AG6" s="318" t="s">
        <v>267</v>
      </c>
      <c r="AH6" s="318" t="s">
        <v>217</v>
      </c>
      <c r="AI6" s="241" t="s">
        <v>1367</v>
      </c>
      <c r="AJ6" s="508" t="s">
        <v>1368</v>
      </c>
      <c r="AK6" s="508" t="s">
        <v>1368</v>
      </c>
      <c r="AL6" s="290" t="s">
        <v>27</v>
      </c>
      <c r="AM6" s="290" t="s">
        <v>27</v>
      </c>
      <c r="AN6" s="290" t="s">
        <v>27</v>
      </c>
      <c r="AO6" s="290" t="s">
        <v>29</v>
      </c>
      <c r="AP6" s="484" t="s">
        <v>1369</v>
      </c>
      <c r="AQ6" s="292" t="s">
        <v>217</v>
      </c>
      <c r="AR6" s="436" t="s">
        <v>1370</v>
      </c>
      <c r="AS6" s="318" t="n">
        <f>COUNTIFS(H6,"零期",I6,"在读")+COUNTIFS(L6,"零期",M6,"在读")+COUNTIFS(P6,"零期",Q6,"在读")</f>
        <v>2</v>
      </c>
      <c r="AT6" s="318" t="n">
        <f>AS6-AX6</f>
        <v>1</v>
      </c>
      <c r="AU6" s="292" t="s">
        <f>VLOOKUP(B6,'UV台帐'!B:AL,19,0)</f>
        <v>217</v>
      </c>
      <c r="AV6" s="292" t="s">
        <f>VLOOKUP(B6,'UV台帐'!B:AL,28,0)</f>
        <v>116</v>
      </c>
      <c r="AW6" s="292" t="s">
        <f>VLOOKUP(B6,'UV台帐'!B:AL,37,0)</f>
        <v>116</v>
      </c>
      <c r="AX6" s="318" t="n">
        <f>COUNTIFS(H6,"零期",AU6,"是")+COUNTIFS(L6,"零期",AV6,"是")+COUNTIFS(P6,"零期",AW6,"是")</f>
        <v>1</v>
      </c>
      <c r="AZ6" s="483" t="s">
        <v>1371</v>
      </c>
      <c r="BA6" s="197"/>
    </row>
    <row r="7" s="292" customFormat="1" ht="30" customHeight="1">
      <c r="A7" s="114" t="s">
        <v>45</v>
      </c>
      <c r="B7" s="114" t="n">
        <v>2225312488</v>
      </c>
      <c r="C7" s="114" t="s">
        <f>VLOOKUP(B7,'UV台帐'!B:AL,2,0)</f>
        <v>1112</v>
      </c>
      <c r="D7" s="114" t="s">
        <f>VLOOKUP(B7,'UV台帐'!B:AL,3,0)</f>
        <v>48</v>
      </c>
      <c r="E7" s="114" t="s">
        <f>VLOOKUP(B7,'UV台帐'!B:AL,13,0)</f>
        <v>37</v>
      </c>
      <c r="F7" s="114" t="s">
        <f>VLOOKUP(B7,'UV台帐'!B:AL,15,0)</f>
        <v>215</v>
      </c>
      <c r="G7" s="114" t="s">
        <f>VLOOKUP(B7,'UV台帐'!B:AL,16,0)</f>
        <v>283</v>
      </c>
      <c r="H7" s="114" t="s">
        <f>VLOOKUP(B7,'UV台帐'!B:AL,17,0)</f>
        <v>88</v>
      </c>
      <c r="I7" s="114" t="s">
        <f>VLOOKUP(B7,'UV台帐'!B:AL,18,0)</f>
        <v>165</v>
      </c>
      <c r="J7" s="114" t="s">
        <f>VLOOKUP(B7,'UV台帐'!B:AL,22,0)</f>
        <v>49</v>
      </c>
      <c r="K7" s="114" t="s">
        <f>VLOOKUP(B7,'UV台帐'!B:AL,24,0)</f>
        <v>216</v>
      </c>
      <c r="L7" s="114" t="s">
        <f>VLOOKUP(B7,'UV台帐'!B:AL,26,0)</f>
        <v>88</v>
      </c>
      <c r="M7" s="114" t="s">
        <f>VLOOKUP(B7,'UV台帐'!B:AL,27,0)</f>
        <v>165</v>
      </c>
      <c r="N7" s="114" t="s">
        <f>VLOOKUP(B7,'UV台帐'!B:AL,31,0)</f>
        <v>52</v>
      </c>
      <c r="O7" s="114" t="s">
        <f>VLOOKUP(B7,'UV台帐'!B:AL,33,0)</f>
        <v>233</v>
      </c>
      <c r="P7" s="114" t="s">
        <f>VLOOKUP(B7,'UV台帐'!B:AL,35,0)</f>
        <v>88</v>
      </c>
      <c r="Q7" s="114" t="s">
        <f>VLOOKUP(B7,'UV台帐'!B:AL,36,0)</f>
        <v>165</v>
      </c>
      <c r="R7" s="318"/>
      <c r="S7" s="318" t="s">
        <v>217</v>
      </c>
      <c r="T7" s="318" t="s">
        <v>217</v>
      </c>
      <c r="U7" s="318" t="s">
        <v>37</v>
      </c>
      <c r="V7" s="318"/>
      <c r="W7" s="318"/>
      <c r="X7" s="318"/>
      <c r="Y7" s="318"/>
      <c r="Z7" s="318"/>
      <c r="AA7" s="68" t="s">
        <v>49</v>
      </c>
      <c r="AB7" s="476" t="s">
        <v>217</v>
      </c>
      <c r="AC7" s="114" t="s">
        <v>1372</v>
      </c>
      <c r="AD7" s="104" t="s">
        <v>217</v>
      </c>
      <c r="AE7" s="318" t="s">
        <v>48</v>
      </c>
      <c r="AF7" s="318" t="n">
        <f>VLOOKUP(B7,'UV台帐'!B:G,6,0)</f>
        <v>0</v>
      </c>
      <c r="AG7" s="318" t="s">
        <v>1373</v>
      </c>
      <c r="AH7" s="318" t="s">
        <v>217</v>
      </c>
      <c r="AI7" s="241" t="s">
        <v>1374</v>
      </c>
      <c r="AJ7" s="508" t="s">
        <v>1375</v>
      </c>
      <c r="AK7" s="508" t="s">
        <v>1375</v>
      </c>
      <c r="AL7" s="290" t="s">
        <v>28</v>
      </c>
      <c r="AM7" s="290" t="s">
        <v>28</v>
      </c>
      <c r="AN7" s="290" t="s">
        <v>29</v>
      </c>
      <c r="AO7" s="290" t="s">
        <v>28</v>
      </c>
      <c r="AP7" s="484" t="s">
        <v>1376</v>
      </c>
      <c r="AR7" s="436"/>
      <c r="AS7" s="318" t="n">
        <f>COUNTIFS(H7,"零期",I7,"在读")+COUNTIFS(L7,"零期",M7,"在读")+COUNTIFS(P7,"零期",Q7,"在读")</f>
        <v>3</v>
      </c>
      <c r="AT7" s="318" t="n">
        <f>AS7-AX7</f>
        <v>3</v>
      </c>
      <c r="AU7" s="292" t="s">
        <f>VLOOKUP(B7,'UV台帐'!B:AL,19,0)</f>
        <v>116</v>
      </c>
      <c r="AV7" s="292" t="s">
        <f>VLOOKUP(B7,'UV台帐'!B:AL,28,0)</f>
        <v>116</v>
      </c>
      <c r="AW7" s="292" t="s">
        <f>VLOOKUP(B7,'UV台帐'!B:AL,37,0)</f>
        <v>116</v>
      </c>
      <c r="AX7" s="318" t="n">
        <f>COUNTIFS(H7,"零期",AU7,"是")+COUNTIFS(L7,"零期",AV7,"是")+COUNTIFS(P7,"零期",AW7,"是")</f>
        <v>0</v>
      </c>
      <c r="AZ7" s="483" t="s">
        <v>1377</v>
      </c>
      <c r="BA7" s="197"/>
    </row>
    <row r="8" s="292" customFormat="1" ht="30" customHeight="1">
      <c r="A8" s="114" t="s">
        <v>45</v>
      </c>
      <c r="B8" s="114" t="n">
        <v>2234603980</v>
      </c>
      <c r="C8" s="114" t="s">
        <f>VLOOKUP(B8,'UV台帐'!B:AL,2,0)</f>
        <v>1103</v>
      </c>
      <c r="D8" s="114" t="s">
        <f>VLOOKUP(B8,'UV台帐'!B:AL,3,0)</f>
        <v>46</v>
      </c>
      <c r="E8" s="114" t="s">
        <f>VLOOKUP(B8,'UV台帐'!B:AL,13,0)</f>
        <v>37</v>
      </c>
      <c r="F8" s="114" t="s">
        <f>VLOOKUP(B8,'UV台帐'!B:AL,15,0)</f>
        <v>215</v>
      </c>
      <c r="G8" s="114" t="s">
        <f>VLOOKUP(B8,'UV台帐'!B:AL,16,0)</f>
        <v>283</v>
      </c>
      <c r="H8" s="114" t="s">
        <f>VLOOKUP(B8,'UV台帐'!B:AL,17,0)</f>
        <v>88</v>
      </c>
      <c r="I8" s="114" t="s">
        <f>VLOOKUP(B8,'UV台帐'!B:AL,18,0)</f>
        <v>165</v>
      </c>
      <c r="J8" s="114" t="s">
        <f>VLOOKUP(B8,'UV台帐'!B:AL,22,0)</f>
        <v>49</v>
      </c>
      <c r="K8" s="114" t="s">
        <f>VLOOKUP(B8,'UV台帐'!B:AL,24,0)</f>
        <v>216</v>
      </c>
      <c r="L8" s="114" t="s">
        <f>VLOOKUP(B8,'UV台帐'!B:AL,26,0)</f>
        <v>88</v>
      </c>
      <c r="M8" s="114" t="s">
        <f>VLOOKUP(B8,'UV台帐'!B:AL,27,0)</f>
        <v>165</v>
      </c>
      <c r="N8" s="114" t="s">
        <f>VLOOKUP(B8,'UV台帐'!B:AL,31,0)</f>
        <v>52</v>
      </c>
      <c r="O8" s="114" t="s">
        <f>VLOOKUP(B8,'UV台帐'!B:AL,33,0)</f>
        <v>233</v>
      </c>
      <c r="P8" s="114" t="s">
        <f>VLOOKUP(B8,'UV台帐'!B:AL,35,0)</f>
        <v>88</v>
      </c>
      <c r="Q8" s="114" t="s">
        <f>VLOOKUP(B8,'UV台帐'!B:AL,36,0)</f>
        <v>165</v>
      </c>
      <c r="R8" s="318"/>
      <c r="S8" s="318" t="s">
        <v>217</v>
      </c>
      <c r="T8" s="318" t="s">
        <v>218</v>
      </c>
      <c r="U8" s="318" t="s">
        <v>52</v>
      </c>
      <c r="V8" s="318"/>
      <c r="W8" s="318"/>
      <c r="X8" s="318"/>
      <c r="Y8" s="318" t="s">
        <v>37</v>
      </c>
      <c r="Z8" s="318"/>
      <c r="AA8" s="68" t="s">
        <v>52</v>
      </c>
      <c r="AB8" s="476" t="s">
        <v>217</v>
      </c>
      <c r="AC8" s="104" t="s">
        <v>1378</v>
      </c>
      <c r="AD8" s="104" t="s">
        <v>217</v>
      </c>
      <c r="AE8" s="318" t="s">
        <v>46</v>
      </c>
      <c r="AF8" s="318" t="n">
        <f>VLOOKUP(B8,'UV台帐'!B:G,6,0)</f>
        <v>0</v>
      </c>
      <c r="AG8" s="318" t="s">
        <v>611</v>
      </c>
      <c r="AH8" s="318" t="s">
        <v>217</v>
      </c>
      <c r="AI8" s="241" t="s">
        <v>1379</v>
      </c>
      <c r="AJ8" s="650" t="s">
        <v>1380</v>
      </c>
      <c r="AK8" s="651" t="s">
        <v>1380</v>
      </c>
      <c r="AL8" s="290" t="s">
        <v>25</v>
      </c>
      <c r="AM8" s="290" t="s">
        <v>25</v>
      </c>
      <c r="AN8" s="290" t="s">
        <v>25</v>
      </c>
      <c r="AO8" s="290" t="s">
        <v>28</v>
      </c>
      <c r="AP8" s="484"/>
      <c r="AR8" s="436"/>
      <c r="AS8" s="318" t="n">
        <f>COUNTIFS(H8,"零期",I8,"在读")+COUNTIFS(L8,"零期",M8,"在读")+COUNTIFS(P8,"零期",Q8,"在读")</f>
        <v>3</v>
      </c>
      <c r="AT8" s="318" t="n">
        <f>AS8-AX8</f>
        <v>1</v>
      </c>
      <c r="AU8" s="292" t="s">
        <f>VLOOKUP(B8,'UV台帐'!B:AL,19,0)</f>
        <v>217</v>
      </c>
      <c r="AV8" s="292" t="s">
        <f>VLOOKUP(B8,'UV台帐'!B:AL,28,0)</f>
        <v>217</v>
      </c>
      <c r="AW8" s="292" t="s">
        <f>VLOOKUP(B8,'UV台帐'!B:AL,37,0)</f>
        <v>116</v>
      </c>
      <c r="AX8" s="318" t="n">
        <f>COUNTIFS(H8,"零期",AU8,"是")+COUNTIFS(L8,"零期",AV8,"是")+COUNTIFS(P8,"零期",AW8,"是")</f>
        <v>2</v>
      </c>
      <c r="AZ8" s="483" t="s">
        <v>1381</v>
      </c>
      <c r="BA8" s="197"/>
    </row>
    <row r="9" s="292" customFormat="1" ht="30" customHeight="1">
      <c r="A9" s="114" t="s">
        <v>45</v>
      </c>
      <c r="B9" s="114" t="n">
        <v>2270640709</v>
      </c>
      <c r="C9" s="114" t="s">
        <f>VLOOKUP(B9,'UV台帐'!B:AL,2,0)</f>
        <v>1297</v>
      </c>
      <c r="D9" s="114" t="s">
        <f>VLOOKUP(B9,'UV台帐'!B:AL,3,0)</f>
        <v>46</v>
      </c>
      <c r="E9" s="114" t="s">
        <f>VLOOKUP(B9,'UV台帐'!B:AL,13,0)</f>
        <v>31</v>
      </c>
      <c r="F9" s="114" t="s">
        <f>VLOOKUP(B9,'UV台帐'!B:AL,15,0)</f>
        <v>215</v>
      </c>
      <c r="G9" s="114" t="s">
        <f>VLOOKUP(B9,'UV台帐'!B:AL,16,0)</f>
        <v>283</v>
      </c>
      <c r="H9" s="114" t="s">
        <f>VLOOKUP(B9,'UV台帐'!B:AL,17,0)</f>
        <v>88</v>
      </c>
      <c r="I9" s="114" t="s">
        <f>VLOOKUP(B9,'UV台帐'!B:AL,18,0)</f>
        <v>165</v>
      </c>
      <c r="J9" s="114" t="s">
        <f>VLOOKUP(B9,'UV台帐'!B:AL,22,0)</f>
        <v>47</v>
      </c>
      <c r="K9" s="114" t="s">
        <f>VLOOKUP(B9,'UV台帐'!B:AL,24,0)</f>
        <v>233</v>
      </c>
      <c r="L9" s="114" t="s">
        <f>VLOOKUP(B9,'UV台帐'!B:AL,26,0)</f>
        <v>88</v>
      </c>
      <c r="M9" s="114" t="s">
        <f>VLOOKUP(B9,'UV台帐'!B:AL,27,0)</f>
        <v>165</v>
      </c>
      <c r="N9" s="114" t="s">
        <f>VLOOKUP(B9,'UV台帐'!B:AL,31,0)</f>
        <v>58</v>
      </c>
      <c r="O9" s="114" t="s">
        <f>VLOOKUP(B9,'UV台帐'!B:AL,33,0)</f>
        <v>216</v>
      </c>
      <c r="P9" s="114" t="s">
        <f>VLOOKUP(B9,'UV台帐'!B:AL,35,0)</f>
        <v>88</v>
      </c>
      <c r="Q9" s="114" t="s">
        <f>VLOOKUP(B9,'UV台帐'!B:AL,36,0)</f>
        <v>165</v>
      </c>
      <c r="R9" s="318"/>
      <c r="S9" s="318" t="s">
        <v>217</v>
      </c>
      <c r="T9" s="318" t="s">
        <v>217</v>
      </c>
      <c r="U9" s="318" t="s">
        <v>58</v>
      </c>
      <c r="V9" s="318"/>
      <c r="W9" s="318"/>
      <c r="X9" s="318"/>
      <c r="Y9" s="318"/>
      <c r="Z9" s="318"/>
      <c r="AA9" s="68" t="s">
        <v>58</v>
      </c>
      <c r="AB9" s="476" t="s">
        <v>217</v>
      </c>
      <c r="AC9" s="104" t="s">
        <v>1382</v>
      </c>
      <c r="AD9" s="104" t="s">
        <v>217</v>
      </c>
      <c r="AE9" s="318" t="s">
        <v>46</v>
      </c>
      <c r="AF9" s="318" t="n">
        <f>VLOOKUP(B9,'UV台帐'!B:G,6,0)</f>
        <v>0</v>
      </c>
      <c r="AG9" s="318" t="s">
        <v>1383</v>
      </c>
      <c r="AH9" s="318" t="s">
        <v>217</v>
      </c>
      <c r="AI9" s="241" t="s">
        <v>1379</v>
      </c>
      <c r="AJ9" s="508" t="s">
        <v>1384</v>
      </c>
      <c r="AK9" s="508" t="s">
        <v>1384</v>
      </c>
      <c r="AL9" s="290" t="s">
        <v>25</v>
      </c>
      <c r="AM9" s="290"/>
      <c r="AN9" s="290"/>
      <c r="AO9" s="290" t="s">
        <v>27</v>
      </c>
      <c r="AP9" s="484"/>
      <c r="AR9" s="436"/>
      <c r="AS9" s="318" t="n">
        <f>COUNTIFS(H9,"零期",I9,"在读")+COUNTIFS(L9,"零期",M9,"在读")+COUNTIFS(P9,"零期",Q9,"在读")</f>
        <v>3</v>
      </c>
      <c r="AT9" s="318" t="n">
        <f>AS9-AX9</f>
        <v>0</v>
      </c>
      <c r="AU9" s="292" t="s">
        <f>VLOOKUP(B9,'UV台帐'!B:AL,19,0)</f>
        <v>217</v>
      </c>
      <c r="AV9" s="292" t="s">
        <f>VLOOKUP(B9,'UV台帐'!B:AL,28,0)</f>
        <v>217</v>
      </c>
      <c r="AW9" s="292" t="s">
        <f>VLOOKUP(B9,'UV台帐'!B:AL,37,0)</f>
        <v>217</v>
      </c>
      <c r="AX9" s="318" t="n">
        <f>COUNTIFS(H9,"零期",AU9,"是")+COUNTIFS(L9,"零期",AV9,"是")+COUNTIFS(P9,"零期",AW9,"是")</f>
        <v>3</v>
      </c>
      <c r="AZ9" s="483" t="s">
        <v>1381</v>
      </c>
      <c r="BA9" s="197"/>
    </row>
    <row r="10" s="292" customFormat="1" ht="30" customHeight="1">
      <c r="A10" s="114" t="s">
        <v>54</v>
      </c>
      <c r="B10" s="114" t="n">
        <v>2271507248</v>
      </c>
      <c r="C10" s="114" t="s">
        <f>VLOOKUP(B10,'UV台帐'!B:AL,2,0)</f>
        <v>1141</v>
      </c>
      <c r="D10" s="114" t="s">
        <f>VLOOKUP(B10,'UV台帐'!B:AL,3,0)</f>
        <v>36</v>
      </c>
      <c r="E10" s="114" t="s">
        <f>VLOOKUP(B10,'UV台帐'!B:AL,13,0)</f>
        <v>31</v>
      </c>
      <c r="F10" s="114" t="s">
        <f>VLOOKUP(B10,'UV台帐'!B:AL,15,0)</f>
        <v>233</v>
      </c>
      <c r="G10" s="114" t="s">
        <f>VLOOKUP(B10,'UV台帐'!B:AL,16,0)</f>
        <v>234</v>
      </c>
      <c r="H10" s="114" t="s">
        <f>VLOOKUP(B10,'UV台帐'!B:AL,17,0)</f>
        <v>88</v>
      </c>
      <c r="I10" s="114" t="s">
        <f>VLOOKUP(B10,'UV台帐'!B:AL,18,0)</f>
        <v>165</v>
      </c>
      <c r="J10" s="114" t="s">
        <f>VLOOKUP(B10,'UV台帐'!B:AL,22,0)</f>
        <v>47</v>
      </c>
      <c r="K10" s="114" t="s">
        <f>VLOOKUP(B10,'UV台帐'!B:AL,24,0)</f>
        <v>215</v>
      </c>
      <c r="L10" s="114" t="s">
        <f>VLOOKUP(B10,'UV台帐'!B:AL,26,0)</f>
        <v>88</v>
      </c>
      <c r="M10" s="114" t="s">
        <f>VLOOKUP(B10,'UV台帐'!B:AL,27,0)</f>
        <v>165</v>
      </c>
      <c r="N10" s="114" t="s">
        <f>VLOOKUP(B10,'UV台帐'!B:AL,31,0)</f>
        <v>56</v>
      </c>
      <c r="O10" s="114" t="s">
        <f>VLOOKUP(B10,'UV台帐'!B:AL,33,0)</f>
        <v>216</v>
      </c>
      <c r="P10" s="114" t="s">
        <f>VLOOKUP(B10,'UV台帐'!B:AL,35,0)</f>
        <v>88</v>
      </c>
      <c r="Q10" s="114" t="s">
        <f>VLOOKUP(B10,'UV台帐'!B:AL,36,0)</f>
        <v>165</v>
      </c>
      <c r="R10" s="318"/>
      <c r="S10" s="318" t="s">
        <v>217</v>
      </c>
      <c r="T10" s="318" t="s">
        <v>217</v>
      </c>
      <c r="U10" s="318"/>
      <c r="V10" s="318"/>
      <c r="W10" s="318"/>
      <c r="X10" s="318"/>
      <c r="Y10" s="318"/>
      <c r="Z10" s="318"/>
      <c r="AA10" s="75" t="s">
        <v>47</v>
      </c>
      <c r="AB10" s="476" t="s">
        <v>217</v>
      </c>
      <c r="AC10" s="149" t="s">
        <v>1385</v>
      </c>
      <c r="AD10" s="114" t="s">
        <v>217</v>
      </c>
      <c r="AE10" s="318" t="s">
        <v>36</v>
      </c>
      <c r="AF10" s="318" t="n">
        <f>VLOOKUP(B10,'UV台帐'!B:G,6,0)</f>
        <v>0</v>
      </c>
      <c r="AG10" s="318" t="s">
        <v>1386</v>
      </c>
      <c r="AH10" s="318" t="s">
        <v>217</v>
      </c>
      <c r="AI10" s="241" t="s">
        <v>1387</v>
      </c>
      <c r="AJ10" s="508" t="s">
        <v>1388</v>
      </c>
      <c r="AK10" s="508" t="s">
        <v>1388</v>
      </c>
      <c r="AL10" s="290" t="s">
        <v>28</v>
      </c>
      <c r="AM10" s="290" t="s">
        <v>28</v>
      </c>
      <c r="AN10" s="290" t="s">
        <v>28</v>
      </c>
      <c r="AO10" s="290" t="s">
        <v>28</v>
      </c>
      <c r="AP10" s="484" t="s">
        <v>1389</v>
      </c>
      <c r="AQ10" s="292" t="s">
        <v>217</v>
      </c>
      <c r="AR10" s="436" t="s">
        <v>1390</v>
      </c>
      <c r="AS10" s="318" t="n">
        <f>COUNTIFS(H10,"零期",I10,"在读")+COUNTIFS(L10,"零期",M10,"在读")+COUNTIFS(P10,"零期",Q10,"在读")</f>
        <v>3</v>
      </c>
      <c r="AT10" s="318" t="n">
        <f>AS10-AX10</f>
        <v>1</v>
      </c>
      <c r="AU10" s="292" t="s">
        <f>VLOOKUP(B10,'UV台帐'!B:AL,19,0)</f>
        <v>217</v>
      </c>
      <c r="AV10" s="292" t="s">
        <f>VLOOKUP(B10,'UV台帐'!B:AL,28,0)</f>
        <v>116</v>
      </c>
      <c r="AW10" s="292" t="s">
        <f>VLOOKUP(B10,'UV台帐'!B:AL,37,0)</f>
        <v>217</v>
      </c>
      <c r="AX10" s="318" t="n">
        <f>COUNTIFS(H10,"零期",AU10,"是")+COUNTIFS(L10,"零期",AV10,"是")+COUNTIFS(P10,"零期",AW10,"是")</f>
        <v>2</v>
      </c>
      <c r="AZ10" s="483" t="s">
        <v>1391</v>
      </c>
      <c r="BA10" s="197"/>
    </row>
    <row r="11" s="292" customFormat="1" ht="30" customHeight="1">
      <c r="A11" s="114" t="s">
        <v>54</v>
      </c>
      <c r="B11" s="114" t="n">
        <v>2305874638</v>
      </c>
      <c r="C11" s="114" t="s">
        <f>VLOOKUP(B11,'UV台帐'!B:AL,2,0)</f>
        <v>1150</v>
      </c>
      <c r="D11" s="114" t="s">
        <f>VLOOKUP(B11,'UV台帐'!B:AL,3,0)</f>
        <v>59</v>
      </c>
      <c r="E11" s="114" t="s">
        <f>VLOOKUP(B11,'UV台帐'!B:AL,13,0)</f>
        <v>31</v>
      </c>
      <c r="F11" s="114" t="s">
        <f>VLOOKUP(B11,'UV台帐'!B:AL,15,0)</f>
        <v>233</v>
      </c>
      <c r="G11" s="114" t="s">
        <f>VLOOKUP(B11,'UV台帐'!B:AL,16,0)</f>
        <v>234</v>
      </c>
      <c r="H11" s="114" t="s">
        <f>VLOOKUP(B11,'UV台帐'!B:AL,17,0)</f>
        <v>88</v>
      </c>
      <c r="I11" s="114" t="s">
        <f>VLOOKUP(B11,'UV台帐'!B:AL,18,0)</f>
        <v>165</v>
      </c>
      <c r="J11" s="114" t="s">
        <f>VLOOKUP(B11,'UV台帐'!B:AL,22,0)</f>
        <v>43</v>
      </c>
      <c r="K11" s="114" t="s">
        <f>VLOOKUP(B11,'UV台帐'!B:AL,24,0)</f>
        <v>215</v>
      </c>
      <c r="L11" s="114" t="s">
        <f>VLOOKUP(B11,'UV台帐'!B:AL,26,0)</f>
        <v>88</v>
      </c>
      <c r="M11" s="114" t="s">
        <f>VLOOKUP(B11,'UV台帐'!B:AL,27,0)</f>
        <v>165</v>
      </c>
      <c r="N11" s="114" t="s">
        <f>VLOOKUP(B11,'UV台帐'!B:AL,31,0)</f>
        <v>56</v>
      </c>
      <c r="O11" s="114" t="s">
        <f>VLOOKUP(B11,'UV台帐'!B:AL,33,0)</f>
        <v>216</v>
      </c>
      <c r="P11" s="114" t="s">
        <f>VLOOKUP(B11,'UV台帐'!B:AL,35,0)</f>
        <v>88</v>
      </c>
      <c r="Q11" s="114" t="s">
        <f>VLOOKUP(B11,'UV台帐'!B:AL,36,0)</f>
        <v>165</v>
      </c>
      <c r="R11" s="318"/>
      <c r="S11" s="318" t="s">
        <v>217</v>
      </c>
      <c r="T11" s="318" t="s">
        <v>218</v>
      </c>
      <c r="U11" s="318"/>
      <c r="V11" s="318"/>
      <c r="W11" s="318"/>
      <c r="X11" s="318"/>
      <c r="AA11" s="68" t="s">
        <v>56</v>
      </c>
      <c r="AB11" s="476" t="s">
        <v>217</v>
      </c>
      <c r="AC11" s="150" t="s">
        <v>1364</v>
      </c>
      <c r="AD11" s="104" t="s">
        <v>217</v>
      </c>
      <c r="AE11" s="318" t="s">
        <v>59</v>
      </c>
      <c r="AF11" s="318" t="n">
        <f>VLOOKUP(B11,'UV台帐'!B:G,6,0)</f>
        <v>0</v>
      </c>
      <c r="AG11" s="318"/>
      <c r="AH11" s="318" t="s">
        <v>217</v>
      </c>
      <c r="AI11" s="241" t="s">
        <v>1392</v>
      </c>
      <c r="AJ11" s="508" t="s">
        <v>1364</v>
      </c>
      <c r="AK11" s="508" t="s">
        <v>1364</v>
      </c>
      <c r="AL11" s="290"/>
      <c r="AM11" s="290"/>
      <c r="AN11" s="290"/>
      <c r="AO11" s="290"/>
      <c r="AP11" s="484"/>
      <c r="AQ11" s="292" t="s">
        <v>217</v>
      </c>
      <c r="AR11" s="436"/>
      <c r="AS11" s="318" t="n">
        <f>COUNTIFS(H11,"零期",I11,"在读")+COUNTIFS(L11,"零期",M11,"在读")+COUNTIFS(P11,"零期",Q11,"在读")</f>
        <v>3</v>
      </c>
      <c r="AT11" s="318" t="n">
        <f>AS11-AX11</f>
        <v>0</v>
      </c>
      <c r="AU11" s="292" t="s">
        <f>VLOOKUP(B11,'UV台帐'!B:AL,19,0)</f>
        <v>217</v>
      </c>
      <c r="AV11" s="292" t="s">
        <f>VLOOKUP(B11,'UV台帐'!B:AL,28,0)</f>
        <v>217</v>
      </c>
      <c r="AW11" s="292" t="s">
        <f>VLOOKUP(B11,'UV台帐'!B:AL,37,0)</f>
        <v>217</v>
      </c>
      <c r="AX11" s="318" t="n">
        <f>COUNTIFS(H11,"零期",AU11,"是")+COUNTIFS(L11,"零期",AV11,"是")+COUNTIFS(P11,"零期",AW11,"是")</f>
        <v>3</v>
      </c>
      <c r="AZ11" s="483"/>
      <c r="BA11" s="197"/>
    </row>
    <row r="12" s="292" customFormat="1" ht="30" customHeight="1">
      <c r="A12" s="114" t="s">
        <v>54</v>
      </c>
      <c r="B12" s="114" t="n">
        <v>2327899563</v>
      </c>
      <c r="C12" s="114" t="s">
        <f>VLOOKUP(B12,'UV台帐'!B:AL,2,0)</f>
        <v>1147</v>
      </c>
      <c r="D12" s="114" t="s">
        <f>VLOOKUP(B12,'UV台帐'!B:AL,3,0)</f>
        <v>34</v>
      </c>
      <c r="E12" s="114" t="s">
        <f>VLOOKUP(B12,'UV台帐'!B:AL,13,0)</f>
        <v>37</v>
      </c>
      <c r="F12" s="114" t="s">
        <f>VLOOKUP(B12,'UV台帐'!B:AL,15,0)</f>
        <v>216</v>
      </c>
      <c r="G12" s="114" t="s">
        <f>VLOOKUP(B12,'UV台帐'!B:AL,16,0)</f>
        <v>283</v>
      </c>
      <c r="H12" s="114" t="s">
        <f>VLOOKUP(B12,'UV台帐'!B:AL,17,0)</f>
        <v>88</v>
      </c>
      <c r="I12" s="114" t="s">
        <f>VLOOKUP(B12,'UV台帐'!B:AL,18,0)</f>
        <v>165</v>
      </c>
      <c r="J12" s="114" t="s">
        <f>VLOOKUP(B12,'UV台帐'!B:AL,22,0)</f>
        <v>47</v>
      </c>
      <c r="K12" s="114" t="s">
        <f>VLOOKUP(B12,'UV台帐'!B:AL,24,0)</f>
        <v>215</v>
      </c>
      <c r="L12" s="114" t="s">
        <f>VLOOKUP(B12,'UV台帐'!B:AL,26,0)</f>
        <v>88</v>
      </c>
      <c r="M12" s="114" t="s">
        <f>VLOOKUP(B12,'UV台帐'!B:AL,27,0)</f>
        <v>165</v>
      </c>
      <c r="N12" s="114" t="s">
        <f>VLOOKUP(B12,'UV台帐'!B:AL,31,0)</f>
        <v>56</v>
      </c>
      <c r="O12" s="114" t="s">
        <f>VLOOKUP(B12,'UV台帐'!B:AL,33,0)</f>
        <v>233</v>
      </c>
      <c r="P12" s="114" t="s">
        <f>VLOOKUP(B12,'UV台帐'!B:AL,35,0)</f>
        <v>88</v>
      </c>
      <c r="Q12" s="114" t="s">
        <f>VLOOKUP(B12,'UV台帐'!B:AL,36,0)</f>
        <v>165</v>
      </c>
      <c r="R12" s="318"/>
      <c r="S12" s="318" t="s">
        <v>217</v>
      </c>
      <c r="T12" s="318" t="s">
        <v>217</v>
      </c>
      <c r="U12" s="318"/>
      <c r="V12" s="318"/>
      <c r="W12" s="318"/>
      <c r="X12" s="318"/>
      <c r="Y12" s="318" t="s">
        <v>37</v>
      </c>
      <c r="Z12" s="318"/>
      <c r="AA12" s="75" t="s">
        <v>47</v>
      </c>
      <c r="AB12" s="476" t="s">
        <v>218</v>
      </c>
      <c r="AC12" s="114"/>
      <c r="AD12" s="114" t="s">
        <v>218</v>
      </c>
      <c r="AE12" s="318" t="s">
        <v>34</v>
      </c>
      <c r="AF12" s="318" t="n">
        <f>VLOOKUP(B12,'UV台帐'!B:G,6,0)</f>
        <v>0</v>
      </c>
      <c r="AG12" s="318" t="s">
        <v>1383</v>
      </c>
      <c r="AH12" s="318" t="s">
        <v>217</v>
      </c>
      <c r="AI12" s="241" t="s">
        <v>1393</v>
      </c>
      <c r="AJ12" s="508" t="s">
        <v>1394</v>
      </c>
      <c r="AK12" s="508" t="s">
        <v>1394</v>
      </c>
      <c r="AL12" s="290" t="s">
        <v>28</v>
      </c>
      <c r="AM12" s="290" t="s">
        <v>28</v>
      </c>
      <c r="AN12" s="290" t="s">
        <v>28</v>
      </c>
      <c r="AO12" s="290" t="s">
        <v>28</v>
      </c>
      <c r="AP12" s="484" t="s">
        <v>1395</v>
      </c>
      <c r="AQ12" s="292" t="s">
        <v>217</v>
      </c>
      <c r="AR12" s="436" t="s">
        <v>1396</v>
      </c>
      <c r="AS12" s="318" t="n">
        <f>COUNTIFS(H12,"零期",I12,"在读")+COUNTIFS(L12,"零期",M12,"在读")+COUNTIFS(P12,"零期",Q12,"在读")</f>
        <v>3</v>
      </c>
      <c r="AT12" s="318" t="n">
        <f>AS12-AX12</f>
        <v>2</v>
      </c>
      <c r="AU12" s="292" t="s">
        <f>VLOOKUP(B12,'UV台帐'!B:AL,19,0)</f>
        <v>217</v>
      </c>
      <c r="AV12" s="292" t="s">
        <f>VLOOKUP(B12,'UV台帐'!B:AL,28,0)</f>
        <v>116</v>
      </c>
      <c r="AW12" s="292" t="s">
        <f>VLOOKUP(B12,'UV台帐'!B:AL,37,0)</f>
        <v>116</v>
      </c>
      <c r="AX12" s="318" t="n">
        <f>COUNTIFS(H12,"零期",AU12,"是")+COUNTIFS(L12,"零期",AV12,"是")+COUNTIFS(P12,"零期",AW12,"是")</f>
        <v>1</v>
      </c>
      <c r="AZ12" s="483" t="s">
        <v>1397</v>
      </c>
      <c r="BA12" s="197"/>
    </row>
    <row r="13" s="292" customFormat="1" ht="30" customHeight="1">
      <c r="A13" s="114" t="s">
        <v>54</v>
      </c>
      <c r="B13" s="114" t="n">
        <v>2356540819</v>
      </c>
      <c r="C13" s="114" t="s">
        <f>VLOOKUP(B13,'UV台帐'!B:AL,2,0)</f>
        <v>1236</v>
      </c>
      <c r="D13" s="114" t="s">
        <f>VLOOKUP(B13,'UV台帐'!B:AL,3,0)</f>
        <v>55</v>
      </c>
      <c r="E13" s="114" t="s">
        <f>VLOOKUP(B13,'UV台帐'!B:AL,13,0)</f>
        <v>37</v>
      </c>
      <c r="F13" s="114" t="s">
        <f>VLOOKUP(B13,'UV台帐'!B:AL,15,0)</f>
        <v>216</v>
      </c>
      <c r="G13" s="114" t="s">
        <f>VLOOKUP(B13,'UV台帐'!B:AL,16,0)</f>
        <v>283</v>
      </c>
      <c r="H13" s="114" t="s">
        <f>VLOOKUP(B13,'UV台帐'!B:AL,17,0)</f>
        <v>88</v>
      </c>
      <c r="I13" s="114" t="s">
        <f>VLOOKUP(B13,'UV台帐'!B:AL,18,0)</f>
        <v>165</v>
      </c>
      <c r="J13" s="114" t="s">
        <f>VLOOKUP(B13,'UV台帐'!B:AL,22,0)</f>
        <v>47</v>
      </c>
      <c r="K13" s="114" t="s">
        <f>VLOOKUP(B13,'UV台帐'!B:AL,24,0)</f>
        <v>215</v>
      </c>
      <c r="L13" s="114" t="s">
        <f>VLOOKUP(B13,'UV台帐'!B:AL,26,0)</f>
        <v>88</v>
      </c>
      <c r="M13" s="114" t="s">
        <f>VLOOKUP(B13,'UV台帐'!B:AL,27,0)</f>
        <v>165</v>
      </c>
      <c r="N13" s="114" t="s">
        <f>VLOOKUP(B13,'UV台帐'!B:AL,31,0)</f>
        <v>56</v>
      </c>
      <c r="O13" s="114" t="s">
        <f>VLOOKUP(B13,'UV台帐'!B:AL,33,0)</f>
        <v>233</v>
      </c>
      <c r="P13" s="114" t="s">
        <f>VLOOKUP(B13,'UV台帐'!B:AL,35,0)</f>
        <v>88</v>
      </c>
      <c r="Q13" s="114" t="s">
        <f>VLOOKUP(B13,'UV台帐'!B:AL,36,0)</f>
        <v>165</v>
      </c>
      <c r="R13" s="318"/>
      <c r="S13" s="318" t="s">
        <v>217</v>
      </c>
      <c r="T13" s="318" t="s">
        <v>217</v>
      </c>
      <c r="U13" s="114"/>
      <c r="V13" s="114"/>
      <c r="W13" s="318" t="s">
        <v>37</v>
      </c>
      <c r="X13" s="318"/>
      <c r="Y13" s="114" t="s">
        <v>56</v>
      </c>
      <c r="Z13" s="114"/>
      <c r="AA13" s="75" t="s">
        <v>47</v>
      </c>
      <c r="AB13" s="476" t="s">
        <v>1398</v>
      </c>
      <c r="AC13" s="114"/>
      <c r="AD13" s="114" t="s">
        <v>218</v>
      </c>
      <c r="AE13" s="318" t="s">
        <v>55</v>
      </c>
      <c r="AF13" s="318" t="n">
        <f>VLOOKUP(B13,'UV台帐'!B:G,6,0)</f>
        <v>0</v>
      </c>
      <c r="AG13" s="318" t="s">
        <v>1383</v>
      </c>
      <c r="AH13" s="318" t="s">
        <v>217</v>
      </c>
      <c r="AI13" s="241" t="s">
        <v>1399</v>
      </c>
      <c r="AJ13" s="508" t="s">
        <v>1400</v>
      </c>
      <c r="AK13" s="508" t="s">
        <v>1400</v>
      </c>
      <c r="AL13" s="290" t="s">
        <v>27</v>
      </c>
      <c r="AM13" s="290" t="s">
        <v>27</v>
      </c>
      <c r="AN13" s="290" t="s">
        <v>27</v>
      </c>
      <c r="AO13" s="290" t="s">
        <v>27</v>
      </c>
      <c r="AP13" s="484" t="s">
        <v>1401</v>
      </c>
      <c r="AR13" s="436"/>
      <c r="AS13" s="318" t="n">
        <f>COUNTIFS(H13,"零期",I13,"在读")+COUNTIFS(L13,"零期",M13,"在读")+COUNTIFS(P13,"零期",Q13,"在读")</f>
        <v>3</v>
      </c>
      <c r="AT13" s="318" t="n">
        <f>AS13-AX13</f>
        <v>3</v>
      </c>
      <c r="AU13" s="292" t="s">
        <f>VLOOKUP(B13,'UV台帐'!B:AL,19,0)</f>
        <v>116</v>
      </c>
      <c r="AV13" s="292" t="s">
        <f>VLOOKUP(B13,'UV台帐'!B:AL,28,0)</f>
        <v>116</v>
      </c>
      <c r="AW13" s="292" t="s">
        <f>VLOOKUP(B13,'UV台帐'!B:AL,37,0)</f>
        <v>116</v>
      </c>
      <c r="AX13" s="318" t="n">
        <f>COUNTIFS(H13,"零期",AU13,"是")+COUNTIFS(L13,"零期",AV13,"是")+COUNTIFS(P13,"零期",AW13,"是")</f>
        <v>0</v>
      </c>
      <c r="AZ13" s="483"/>
      <c r="BA13" s="197"/>
    </row>
    <row r="14" s="292" customFormat="1" ht="30" customHeight="1">
      <c r="A14" s="114" t="s">
        <v>45</v>
      </c>
      <c r="B14" s="114" t="n">
        <v>2418049678</v>
      </c>
      <c r="C14" s="114" t="s">
        <f>VLOOKUP(B14,'UV台帐'!B:AL,2,0)</f>
        <v>1171</v>
      </c>
      <c r="D14" s="114" t="s">
        <f>VLOOKUP(B14,'UV台帐'!B:AL,3,0)</f>
        <v>38</v>
      </c>
      <c r="E14" s="114" t="s">
        <f>VLOOKUP(B14,'UV台帐'!B:AL,13,0)</f>
        <v>31</v>
      </c>
      <c r="F14" s="114" t="s">
        <f>VLOOKUP(B14,'UV台帐'!B:AL,15,0)</f>
        <v>246</v>
      </c>
      <c r="G14" s="114" t="s">
        <f>VLOOKUP(B14,'UV台帐'!B:AL,16,0)</f>
        <v>234</v>
      </c>
      <c r="H14" s="114" t="s">
        <f>VLOOKUP(B14,'UV台帐'!B:AL,17,0)</f>
        <v>88</v>
      </c>
      <c r="I14" s="114" t="s">
        <f>VLOOKUP(B14,'UV台帐'!B:AL,18,0)</f>
        <v>165</v>
      </c>
      <c r="J14" s="114" t="s">
        <f>VLOOKUP(B14,'UV台帐'!B:AL,22,0)</f>
        <v>43</v>
      </c>
      <c r="K14" s="114" t="s">
        <f>VLOOKUP(B14,'UV台帐'!B:AL,24,0)</f>
        <v>216</v>
      </c>
      <c r="L14" s="114" t="s">
        <f>VLOOKUP(B14,'UV台帐'!B:AL,26,0)</f>
        <v>88</v>
      </c>
      <c r="M14" s="114" t="s">
        <f>VLOOKUP(B14,'UV台帐'!B:AL,27,0)</f>
        <v>165</v>
      </c>
      <c r="N14" s="114" t="s">
        <f>VLOOKUP(B14,'UV台帐'!B:AL,31,0)</f>
        <v>52</v>
      </c>
      <c r="O14" s="114" t="s">
        <f>VLOOKUP(B14,'UV台帐'!B:AL,33,0)</f>
        <v>215</v>
      </c>
      <c r="P14" s="114" t="s">
        <f>VLOOKUP(B14,'UV台帐'!B:AL,35,0)</f>
        <v>88</v>
      </c>
      <c r="Q14" s="114" t="s">
        <f>VLOOKUP(B14,'UV台帐'!B:AL,36,0)</f>
        <v>165</v>
      </c>
      <c r="R14" s="318"/>
      <c r="S14" s="318" t="s">
        <v>217</v>
      </c>
      <c r="T14" s="318" t="s">
        <v>218</v>
      </c>
      <c r="U14" s="318"/>
      <c r="V14" s="318"/>
      <c r="W14" s="318" t="s">
        <v>52</v>
      </c>
      <c r="X14" s="318"/>
      <c r="Y14" s="292" t="s">
        <v>43</v>
      </c>
      <c r="AA14" s="68" t="s">
        <v>52</v>
      </c>
      <c r="AB14" s="476" t="s">
        <v>217</v>
      </c>
      <c r="AC14" s="81" t="s">
        <v>38</v>
      </c>
      <c r="AD14" s="104" t="s">
        <v>217</v>
      </c>
      <c r="AE14" s="318" t="s">
        <v>38</v>
      </c>
      <c r="AF14" s="318" t="s">
        <f>VLOOKUP(B14,'UV台帐'!B:G,6,0)</f>
        <v>1172</v>
      </c>
      <c r="AG14" s="318" t="s">
        <v>1402</v>
      </c>
      <c r="AH14" s="318" t="s">
        <v>217</v>
      </c>
      <c r="AI14" s="241" t="s">
        <v>1403</v>
      </c>
      <c r="AJ14" s="508" t="s">
        <v>1404</v>
      </c>
      <c r="AK14" s="508" t="s">
        <v>1404</v>
      </c>
      <c r="AL14" s="290" t="s">
        <v>25</v>
      </c>
      <c r="AM14" s="290" t="s">
        <v>25</v>
      </c>
      <c r="AN14" s="290" t="s">
        <v>25</v>
      </c>
      <c r="AO14" s="290" t="s">
        <v>25</v>
      </c>
      <c r="AP14" s="484" t="s">
        <v>1405</v>
      </c>
      <c r="AQ14" s="292" t="s">
        <v>217</v>
      </c>
      <c r="AR14" s="436" t="s">
        <v>1406</v>
      </c>
      <c r="AS14" s="318" t="n">
        <f>COUNTIFS(H14,"零期",I14,"在读")+COUNTIFS(L14,"零期",M14,"在读")+COUNTIFS(P14,"零期",Q14,"在读")</f>
        <v>3</v>
      </c>
      <c r="AT14" s="318" t="n">
        <f>AS14-AX14</f>
        <v>3</v>
      </c>
      <c r="AU14" s="292" t="s">
        <f>VLOOKUP(B14,'UV台帐'!B:AL,19,0)</f>
        <v>116</v>
      </c>
      <c r="AV14" s="292" t="s">
        <f>VLOOKUP(B14,'UV台帐'!B:AL,28,0)</f>
        <v>116</v>
      </c>
      <c r="AW14" s="292" t="s">
        <f>VLOOKUP(B14,'UV台帐'!B:AL,37,0)</f>
        <v>116</v>
      </c>
      <c r="AX14" s="318" t="n">
        <f>COUNTIFS(H14,"零期",AU14,"是")+COUNTIFS(L14,"零期",AV14,"是")+COUNTIFS(P14,"零期",AW14,"是")</f>
        <v>0</v>
      </c>
      <c r="AZ14" s="483" t="s">
        <v>1407</v>
      </c>
      <c r="BA14" s="197"/>
    </row>
    <row r="15" s="292" customFormat="1" ht="30" customHeight="1">
      <c r="A15" s="114" t="s">
        <v>54</v>
      </c>
      <c r="B15" s="114" t="n">
        <v>2425704855</v>
      </c>
      <c r="C15" s="114" t="s">
        <f>VLOOKUP(B15,'UV台帐'!B:AL,2,0)</f>
        <v>1085</v>
      </c>
      <c r="D15" s="114" t="s">
        <f>VLOOKUP(B15,'UV台帐'!B:AL,3,0)</f>
        <v>36</v>
      </c>
      <c r="E15" s="114" t="s">
        <f>VLOOKUP(B15,'UV台帐'!B:AL,13,0)</f>
        <v>31</v>
      </c>
      <c r="F15" s="114" t="s">
        <f>VLOOKUP(B15,'UV台帐'!B:AL,15,0)</f>
        <v>233</v>
      </c>
      <c r="G15" s="114" t="s">
        <f>VLOOKUP(B15,'UV台帐'!B:AL,16,0)</f>
        <v>234</v>
      </c>
      <c r="H15" s="114" t="s">
        <f>VLOOKUP(B15,'UV台帐'!B:AL,17,0)</f>
        <v>88</v>
      </c>
      <c r="I15" s="114" t="s">
        <f>VLOOKUP(B15,'UV台帐'!B:AL,18,0)</f>
        <v>165</v>
      </c>
      <c r="J15" s="114" t="s">
        <f>VLOOKUP(B15,'UV台帐'!B:AL,22,0)</f>
        <v>43</v>
      </c>
      <c r="K15" s="114" t="s">
        <f>VLOOKUP(B15,'UV台帐'!B:AL,24,0)</f>
        <v>215</v>
      </c>
      <c r="L15" s="114" t="s">
        <f>VLOOKUP(B15,'UV台帐'!B:AL,26,0)</f>
        <v>88</v>
      </c>
      <c r="M15" s="114" t="s">
        <f>VLOOKUP(B15,'UV台帐'!B:AL,27,0)</f>
        <v>165</v>
      </c>
      <c r="N15" s="114" t="s">
        <f>VLOOKUP(B15,'UV台帐'!B:AL,31,0)</f>
        <v>56</v>
      </c>
      <c r="O15" s="114" t="s">
        <f>VLOOKUP(B15,'UV台帐'!B:AL,33,0)</f>
        <v>216</v>
      </c>
      <c r="P15" s="114" t="s">
        <f>VLOOKUP(B15,'UV台帐'!B:AL,35,0)</f>
        <v>88</v>
      </c>
      <c r="Q15" s="114" t="s">
        <f>VLOOKUP(B15,'UV台帐'!B:AL,36,0)</f>
        <v>165</v>
      </c>
      <c r="R15" s="318"/>
      <c r="S15" s="318" t="s">
        <v>217</v>
      </c>
      <c r="T15" s="318" t="s">
        <v>217</v>
      </c>
      <c r="U15" s="318"/>
      <c r="V15" s="318"/>
      <c r="W15" s="318"/>
      <c r="X15" s="318"/>
      <c r="Y15" s="318"/>
      <c r="Z15" s="318"/>
      <c r="AA15" s="75" t="s">
        <v>43</v>
      </c>
      <c r="AB15" s="476" t="s">
        <v>217</v>
      </c>
      <c r="AC15" s="7" t="s">
        <v>40</v>
      </c>
      <c r="AD15" s="114" t="s">
        <v>217</v>
      </c>
      <c r="AE15" s="318" t="s">
        <v>36</v>
      </c>
      <c r="AF15" s="318" t="n">
        <f>VLOOKUP(B15,'UV台帐'!B:G,6,0)</f>
        <v>0</v>
      </c>
      <c r="AG15" s="318" t="s">
        <v>464</v>
      </c>
      <c r="AH15" s="318" t="s">
        <v>217</v>
      </c>
      <c r="AI15" s="241" t="s">
        <v>1354</v>
      </c>
      <c r="AJ15" s="508" t="s">
        <v>1408</v>
      </c>
      <c r="AK15" s="508" t="s">
        <v>1408</v>
      </c>
      <c r="AL15" s="290" t="s">
        <v>28</v>
      </c>
      <c r="AM15" s="290" t="s">
        <v>28</v>
      </c>
      <c r="AN15" s="290" t="s">
        <v>28</v>
      </c>
      <c r="AO15" s="290" t="s">
        <v>28</v>
      </c>
      <c r="AP15" s="484" t="s">
        <v>1409</v>
      </c>
      <c r="AR15" s="436"/>
      <c r="AS15" s="318" t="n">
        <f>COUNTIFS(H15,"零期",I15,"在读")+COUNTIFS(L15,"零期",M15,"在读")+COUNTIFS(P15,"零期",Q15,"在读")</f>
        <v>3</v>
      </c>
      <c r="AT15" s="318" t="n">
        <f>AS15-AX15</f>
        <v>2</v>
      </c>
      <c r="AU15" s="292" t="s">
        <f>VLOOKUP(B15,'UV台帐'!B:AL,19,0)</f>
        <v>217</v>
      </c>
      <c r="AV15" s="292" t="s">
        <f>VLOOKUP(B15,'UV台帐'!B:AL,28,0)</f>
        <v>116</v>
      </c>
      <c r="AW15" s="292" t="s">
        <f>VLOOKUP(B15,'UV台帐'!B:AL,37,0)</f>
        <v>116</v>
      </c>
      <c r="AX15" s="318" t="n">
        <f>COUNTIFS(H15,"零期",AU15,"是")+COUNTIFS(L15,"零期",AV15,"是")+COUNTIFS(P15,"零期",AW15,"是")</f>
        <v>1</v>
      </c>
      <c r="AZ15" s="483" t="s">
        <v>1410</v>
      </c>
      <c r="BA15" s="197"/>
    </row>
    <row r="16" s="292" customFormat="1" ht="30" customHeight="1">
      <c r="A16" s="114" t="s">
        <v>45</v>
      </c>
      <c r="B16" s="114" t="n">
        <v>2429621505</v>
      </c>
      <c r="C16" s="114" t="s">
        <f>VLOOKUP(B16,'UV台帐'!B:AL,2,0)</f>
        <v>1221</v>
      </c>
      <c r="D16" s="114" t="s">
        <f>VLOOKUP(B16,'UV台帐'!B:AL,3,0)</f>
        <v>50</v>
      </c>
      <c r="E16" s="114" t="s">
        <f>VLOOKUP(B16,'UV台帐'!B:AL,13,0)</f>
        <v>37</v>
      </c>
      <c r="F16" s="114" t="s">
        <f>VLOOKUP(B16,'UV台帐'!B:AL,15,0)</f>
        <v>215</v>
      </c>
      <c r="G16" s="114" t="s">
        <f>VLOOKUP(B16,'UV台帐'!B:AL,16,0)</f>
        <v>283</v>
      </c>
      <c r="H16" s="114" t="s">
        <f>VLOOKUP(B16,'UV台帐'!B:AL,17,0)</f>
        <v>88</v>
      </c>
      <c r="I16" s="114" t="s">
        <f>VLOOKUP(B16,'UV台帐'!B:AL,18,0)</f>
        <v>165</v>
      </c>
      <c r="J16" s="114" t="s">
        <f>VLOOKUP(B16,'UV台帐'!B:AL,22,0)</f>
        <v>43</v>
      </c>
      <c r="K16" s="114" t="s">
        <f>VLOOKUP(B16,'UV台帐'!B:AL,24,0)</f>
        <v>216</v>
      </c>
      <c r="L16" s="114" t="s">
        <f>VLOOKUP(B16,'UV台帐'!B:AL,26,0)</f>
        <v>88</v>
      </c>
      <c r="M16" s="114" t="s">
        <f>VLOOKUP(B16,'UV台帐'!B:AL,27,0)</f>
        <v>165</v>
      </c>
      <c r="N16" s="114" t="s">
        <f>VLOOKUP(B16,'UV台帐'!B:AL,31,0)</f>
        <v>52</v>
      </c>
      <c r="O16" s="114" t="s">
        <f>VLOOKUP(B16,'UV台帐'!B:AL,33,0)</f>
        <v>233</v>
      </c>
      <c r="P16" s="114" t="s">
        <f>VLOOKUP(B16,'UV台帐'!B:AL,35,0)</f>
        <v>88</v>
      </c>
      <c r="Q16" s="114" t="s">
        <f>VLOOKUP(B16,'UV台帐'!B:AL,36,0)</f>
        <v>165</v>
      </c>
      <c r="R16" s="318"/>
      <c r="S16" s="318" t="s">
        <v>218</v>
      </c>
      <c r="T16" s="318" t="s">
        <v>218</v>
      </c>
      <c r="U16" s="318"/>
      <c r="V16" s="318"/>
      <c r="W16" s="318"/>
      <c r="X16" s="318"/>
      <c r="Y16" s="318" t="s">
        <v>37</v>
      </c>
      <c r="Z16" s="318"/>
      <c r="AA16" s="68" t="s">
        <v>37</v>
      </c>
      <c r="AB16" s="581" t="s">
        <v>218</v>
      </c>
      <c r="AC16" s="104"/>
      <c r="AD16" s="104" t="s">
        <v>218</v>
      </c>
      <c r="AE16" s="318" t="s">
        <v>50</v>
      </c>
      <c r="AF16" s="318" t="n">
        <f>VLOOKUP(B16,'UV台帐'!B:G,6,0)</f>
        <v>0</v>
      </c>
      <c r="AG16" s="318" t="s">
        <v>740</v>
      </c>
      <c r="AH16" s="318" t="s">
        <v>217</v>
      </c>
      <c r="AI16" s="241" t="s">
        <v>1411</v>
      </c>
      <c r="AJ16" s="508" t="s">
        <v>1412</v>
      </c>
      <c r="AK16" s="508" t="s">
        <v>1412</v>
      </c>
      <c r="AL16" s="290" t="s">
        <v>29</v>
      </c>
      <c r="AM16" s="290" t="s">
        <v>29</v>
      </c>
      <c r="AN16" s="290" t="s">
        <v>25</v>
      </c>
      <c r="AO16" s="290" t="s">
        <v>29</v>
      </c>
      <c r="AP16" s="652" t="s">
        <v>1413</v>
      </c>
      <c r="AQ16" s="292" t="s">
        <v>217</v>
      </c>
      <c r="AR16" s="436" t="s">
        <v>1414</v>
      </c>
      <c r="AS16" s="318" t="n">
        <f>COUNTIFS(H16,"零期",I16,"在读")+COUNTIFS(L16,"零期",M16,"在读")+COUNTIFS(P16,"零期",Q16,"在读")</f>
        <v>3</v>
      </c>
      <c r="AT16" s="318" t="n">
        <f>AS16-AX16</f>
        <v>2</v>
      </c>
      <c r="AU16" s="292" t="s">
        <f>VLOOKUP(B16,'UV台帐'!B:AL,19,0)</f>
        <v>116</v>
      </c>
      <c r="AV16" s="292" t="s">
        <f>VLOOKUP(B16,'UV台帐'!B:AL,28,0)</f>
        <v>217</v>
      </c>
      <c r="AW16" s="292" t="s">
        <f>VLOOKUP(B16,'UV台帐'!B:AL,37,0)</f>
        <v>116</v>
      </c>
      <c r="AX16" s="318" t="n">
        <f>COUNTIFS(H16,"零期",AU16,"是")+COUNTIFS(L16,"零期",AV16,"是")+COUNTIFS(P16,"零期",AW16,"是")</f>
        <v>1</v>
      </c>
      <c r="AZ16" s="483" t="s">
        <v>1415</v>
      </c>
      <c r="BA16" s="197"/>
    </row>
    <row r="17" s="292" customFormat="1" ht="30" customHeight="1">
      <c r="A17" s="114" t="s">
        <v>45</v>
      </c>
      <c r="B17" s="114" t="n">
        <v>2439586675</v>
      </c>
      <c r="C17" s="114" t="s">
        <f>VLOOKUP(B17,'UV台帐'!B:AL,2,0)</f>
        <v>1321</v>
      </c>
      <c r="D17" s="114" t="s">
        <f>VLOOKUP(B17,'UV台帐'!B:AL,3,0)</f>
        <v>46</v>
      </c>
      <c r="E17" s="114" t="s">
        <f>VLOOKUP(B17,'UV台帐'!B:AL,13,0)</f>
        <v>35</v>
      </c>
      <c r="F17" s="114" t="s">
        <f>VLOOKUP(B17,'UV台帐'!B:AL,15,0)</f>
        <v>216</v>
      </c>
      <c r="G17" s="114" t="s">
        <f>VLOOKUP(B17,'UV台帐'!B:AL,16,0)</f>
        <v>283</v>
      </c>
      <c r="H17" s="114" t="s">
        <f>VLOOKUP(B17,'UV台帐'!B:AL,17,0)</f>
        <v>100</v>
      </c>
      <c r="I17" s="114" t="s">
        <f>VLOOKUP(B17,'UV台帐'!B:AL,18,0)</f>
        <v>165</v>
      </c>
      <c r="J17" s="114" t="s">
        <f>VLOOKUP(B17,'UV台帐'!B:AL,22,0)</f>
        <v>43</v>
      </c>
      <c r="K17" s="114" t="s">
        <f>VLOOKUP(B17,'UV台帐'!B:AL,24,0)</f>
        <v>216</v>
      </c>
      <c r="L17" s="114" t="s">
        <f>VLOOKUP(B17,'UV台帐'!B:AL,26,0)</f>
        <v>88</v>
      </c>
      <c r="M17" s="114" t="s">
        <f>VLOOKUP(B17,'UV台帐'!B:AL,27,0)</f>
        <v>165</v>
      </c>
      <c r="N17" s="114" t="s">
        <f>VLOOKUP(B17,'UV台帐'!B:AL,31,0)</f>
        <v>52</v>
      </c>
      <c r="O17" s="114" t="s">
        <f>VLOOKUP(B17,'UV台帐'!B:AL,33,0)</f>
        <v>215</v>
      </c>
      <c r="P17" s="114" t="s">
        <f>VLOOKUP(B17,'UV台帐'!B:AL,35,0)</f>
        <v>88</v>
      </c>
      <c r="Q17" s="114" t="s">
        <f>VLOOKUP(B17,'UV台帐'!B:AL,36,0)</f>
        <v>165</v>
      </c>
      <c r="R17" s="318"/>
      <c r="S17" s="318" t="s">
        <v>217</v>
      </c>
      <c r="T17" s="318" t="s">
        <v>218</v>
      </c>
      <c r="U17" s="318"/>
      <c r="V17" s="318"/>
      <c r="W17" s="318"/>
      <c r="X17" s="318"/>
      <c r="AA17" s="68" t="s">
        <v>52</v>
      </c>
      <c r="AB17" s="476" t="s">
        <v>217</v>
      </c>
      <c r="AC17" s="114"/>
      <c r="AD17" s="104" t="s">
        <v>218</v>
      </c>
      <c r="AE17" s="318" t="s">
        <v>46</v>
      </c>
      <c r="AF17" s="318" t="n">
        <f>VLOOKUP(B17,'UV台帐'!B:G,6,0)</f>
        <v>0</v>
      </c>
      <c r="AG17" s="318" t="s">
        <v>483</v>
      </c>
      <c r="AH17" s="318" t="s">
        <v>217</v>
      </c>
      <c r="AI17" s="241" t="s">
        <v>1416</v>
      </c>
      <c r="AJ17" s="508" t="s">
        <v>1417</v>
      </c>
      <c r="AK17" s="508" t="s">
        <v>1417</v>
      </c>
      <c r="AL17" s="290" t="s">
        <v>28</v>
      </c>
      <c r="AM17" s="290" t="s">
        <v>28</v>
      </c>
      <c r="AN17" s="290" t="s">
        <v>28</v>
      </c>
      <c r="AO17" s="290" t="s">
        <v>28</v>
      </c>
      <c r="AP17" s="484"/>
      <c r="AR17" s="436"/>
      <c r="AS17" s="318" t="n">
        <f>COUNTIFS(H17,"零期",I17,"在读")+COUNTIFS(L17,"零期",M17,"在读")+COUNTIFS(P17,"零期",Q17,"在读")</f>
        <v>2</v>
      </c>
      <c r="AT17" s="318" t="n">
        <f>AS17-AX17</f>
        <v>2</v>
      </c>
      <c r="AU17" s="292" t="s">
        <f>VLOOKUP(B17,'UV台帐'!B:AL,19,0)</f>
        <v>116</v>
      </c>
      <c r="AV17" s="292" t="s">
        <f>VLOOKUP(B17,'UV台帐'!B:AL,28,0)</f>
        <v>116</v>
      </c>
      <c r="AW17" s="292" t="s">
        <f>VLOOKUP(B17,'UV台帐'!B:AL,37,0)</f>
        <v>116</v>
      </c>
      <c r="AX17" s="318" t="n">
        <f>COUNTIFS(H17,"零期",AU17,"是")+COUNTIFS(L17,"零期",AV17,"是")+COUNTIFS(P17,"零期",AW17,"是")</f>
        <v>0</v>
      </c>
      <c r="AZ17" s="483" t="s">
        <v>1418</v>
      </c>
      <c r="BA17" s="197"/>
    </row>
    <row r="18" s="292" customFormat="1" ht="30" customHeight="1">
      <c r="A18" s="114" t="s">
        <v>54</v>
      </c>
      <c r="B18" s="114" t="n">
        <v>2442647983</v>
      </c>
      <c r="C18" s="114" t="s">
        <f>VLOOKUP(B18,'UV台帐'!B:AL,2,0)</f>
        <v>1220</v>
      </c>
      <c r="D18" s="114" t="s">
        <f>VLOOKUP(B18,'UV台帐'!B:AL,3,0)</f>
        <v>349</v>
      </c>
      <c r="E18" s="114" t="s">
        <f>VLOOKUP(B18,'UV台帐'!B:AL,13,0)</f>
        <v>116</v>
      </c>
      <c r="F18" s="114" t="s">
        <f>VLOOKUP(B18,'UV台帐'!B:AL,15,0)</f>
        <v>116</v>
      </c>
      <c r="G18" s="114" t="s">
        <f>VLOOKUP(B18,'UV台帐'!B:AL,16,0)</f>
        <v>116</v>
      </c>
      <c r="H18" s="114" t="s">
        <f>VLOOKUP(B18,'UV台帐'!B:AL,17,0)</f>
        <v>116</v>
      </c>
      <c r="I18" s="114" t="s">
        <f>VLOOKUP(B18,'UV台帐'!B:AL,18,0)</f>
        <v>116</v>
      </c>
      <c r="J18" s="114" t="s">
        <f>VLOOKUP(B18,'UV台帐'!B:AL,22,0)</f>
        <v>43</v>
      </c>
      <c r="K18" s="114" t="s">
        <f>VLOOKUP(B18,'UV台帐'!B:AL,24,0)</f>
        <v>215</v>
      </c>
      <c r="L18" s="114" t="s">
        <f>VLOOKUP(B18,'UV台帐'!B:AL,26,0)</f>
        <v>88</v>
      </c>
      <c r="M18" s="114" t="s">
        <f>VLOOKUP(B18,'UV台帐'!B:AL,27,0)</f>
        <v>165</v>
      </c>
      <c r="N18" s="114" t="s">
        <f>VLOOKUP(B18,'UV台帐'!B:AL,31,0)</f>
        <v>116</v>
      </c>
      <c r="O18" s="114" t="s">
        <f>VLOOKUP(B18,'UV台帐'!B:AL,33,0)</f>
        <v>116</v>
      </c>
      <c r="P18" s="114" t="s">
        <f>VLOOKUP(B18,'UV台帐'!B:AL,35,0)</f>
        <v>116</v>
      </c>
      <c r="Q18" s="114" t="s">
        <f>VLOOKUP(B18,'UV台帐'!B:AL,36,0)</f>
        <v>116</v>
      </c>
      <c r="R18" s="318"/>
      <c r="S18" s="318" t="s">
        <v>217</v>
      </c>
      <c r="T18" s="318" t="s">
        <v>218</v>
      </c>
      <c r="U18" s="318"/>
      <c r="V18" s="318"/>
      <c r="W18" s="318"/>
      <c r="X18" s="318"/>
      <c r="Y18" s="318"/>
      <c r="Z18" s="318"/>
      <c r="AA18" s="68" t="s">
        <v>43</v>
      </c>
      <c r="AB18" s="476" t="s">
        <v>1419</v>
      </c>
      <c r="AC18" s="104" t="s">
        <v>1420</v>
      </c>
      <c r="AD18" s="104" t="s">
        <v>218</v>
      </c>
      <c r="AE18" s="318" t="s">
        <v>57</v>
      </c>
      <c r="AF18" s="318" t="n">
        <f>VLOOKUP(B18,'UV台帐'!B:G,6,0)</f>
        <v>0</v>
      </c>
      <c r="AG18" s="318"/>
      <c r="AH18" s="318" t="s">
        <v>217</v>
      </c>
      <c r="AI18" s="241"/>
      <c r="AJ18" s="508" t="s">
        <v>1420</v>
      </c>
      <c r="AK18" s="508" t="s">
        <v>1420</v>
      </c>
      <c r="AL18" s="290"/>
      <c r="AM18" s="290"/>
      <c r="AN18" s="290"/>
      <c r="AO18" s="290"/>
      <c r="AP18" s="484" t="s">
        <v>1420</v>
      </c>
      <c r="AR18" s="436"/>
      <c r="AS18" s="318" t="n">
        <f>COUNTIFS(H18,"零期",I18,"在读")+COUNTIFS(L18,"零期",M18,"在读")+COUNTIFS(P18,"零期",Q18,"在读")</f>
        <v>1</v>
      </c>
      <c r="AT18" s="318" t="n">
        <f>AS18-AX18</f>
        <v>0</v>
      </c>
      <c r="AU18" s="292" t="s">
        <f>VLOOKUP(B18,'UV台帐'!B:AL,19,0)</f>
        <v>116</v>
      </c>
      <c r="AV18" s="292" t="s">
        <f>VLOOKUP(B18,'UV台帐'!B:AL,28,0)</f>
        <v>217</v>
      </c>
      <c r="AW18" s="292" t="s">
        <f>VLOOKUP(B18,'UV台帐'!B:AL,37,0)</f>
        <v>116</v>
      </c>
      <c r="AX18" s="318" t="n">
        <f>COUNTIFS(H18,"零期",AU18,"是")+COUNTIFS(L18,"零期",AV18,"是")+COUNTIFS(P18,"零期",AW18,"是")</f>
        <v>1</v>
      </c>
      <c r="AZ18" s="483"/>
      <c r="BA18" s="197"/>
    </row>
    <row r="19" s="292" customFormat="1" ht="30" customHeight="1">
      <c r="A19" s="318" t="s">
        <v>45</v>
      </c>
      <c r="B19" s="318" t="n">
        <v>2451166246</v>
      </c>
      <c r="C19" s="114" t="s">
        <f>VLOOKUP(B19,'UV台帐'!B:AL,2,0)</f>
        <v>1175</v>
      </c>
      <c r="D19" s="114" t="s">
        <f>VLOOKUP(B19,'UV台帐'!B:AL,3,0)</f>
        <v>48</v>
      </c>
      <c r="E19" s="114" t="s">
        <f>VLOOKUP(B19,'UV台帐'!B:AL,13,0)</f>
        <v>31</v>
      </c>
      <c r="F19" s="114" t="s">
        <f>VLOOKUP(B19,'UV台帐'!B:AL,15,0)</f>
        <v>246</v>
      </c>
      <c r="G19" s="114" t="s">
        <f>VLOOKUP(B19,'UV台帐'!B:AL,16,0)</f>
        <v>234</v>
      </c>
      <c r="H19" s="114" t="s">
        <f>VLOOKUP(B19,'UV台帐'!B:AL,17,0)</f>
        <v>88</v>
      </c>
      <c r="I19" s="114" t="s">
        <f>VLOOKUP(B19,'UV台帐'!B:AL,18,0)</f>
        <v>165</v>
      </c>
      <c r="J19" s="114" t="s">
        <f>VLOOKUP(B19,'UV台帐'!B:AL,22,0)</f>
        <v>47</v>
      </c>
      <c r="K19" s="114" t="s">
        <f>VLOOKUP(B19,'UV台帐'!B:AL,24,0)</f>
        <v>233</v>
      </c>
      <c r="L19" s="114" t="s">
        <f>VLOOKUP(B19,'UV台帐'!B:AL,26,0)</f>
        <v>88</v>
      </c>
      <c r="M19" s="114" t="s">
        <f>VLOOKUP(B19,'UV台帐'!B:AL,27,0)</f>
        <v>165</v>
      </c>
      <c r="N19" s="114" t="s">
        <f>VLOOKUP(B19,'UV台帐'!B:AL,31,0)</f>
        <v>52</v>
      </c>
      <c r="O19" s="114" t="s">
        <f>VLOOKUP(B19,'UV台帐'!B:AL,33,0)</f>
        <v>215</v>
      </c>
      <c r="P19" s="114" t="s">
        <f>VLOOKUP(B19,'UV台帐'!B:AL,35,0)</f>
        <v>88</v>
      </c>
      <c r="Q19" s="114" t="s">
        <f>VLOOKUP(B19,'UV台帐'!B:AL,36,0)</f>
        <v>165</v>
      </c>
      <c r="R19" s="318"/>
      <c r="S19" s="318" t="s">
        <v>217</v>
      </c>
      <c r="T19" s="318" t="s">
        <v>217</v>
      </c>
      <c r="U19" s="318"/>
      <c r="V19" s="318"/>
      <c r="W19" s="318" t="s">
        <v>1421</v>
      </c>
      <c r="X19" s="318"/>
      <c r="Y19" s="318"/>
      <c r="Z19" s="318"/>
      <c r="AA19" s="68" t="s">
        <v>52</v>
      </c>
      <c r="AB19" s="476" t="s">
        <v>217</v>
      </c>
      <c r="AC19" s="104" t="s">
        <v>31</v>
      </c>
      <c r="AD19" s="104" t="s">
        <v>217</v>
      </c>
      <c r="AE19" s="318" t="s">
        <v>48</v>
      </c>
      <c r="AF19" s="318" t="n">
        <f>VLOOKUP(B19,'UV台帐'!B:G,6,0)</f>
        <v>0</v>
      </c>
      <c r="AG19" s="318"/>
      <c r="AH19" s="318" t="s">
        <v>217</v>
      </c>
      <c r="AI19" s="241" t="s">
        <v>1374</v>
      </c>
      <c r="AJ19" s="508" t="s">
        <v>1422</v>
      </c>
      <c r="AK19" s="508" t="s">
        <v>1422</v>
      </c>
      <c r="AL19" s="290" t="s">
        <v>27</v>
      </c>
      <c r="AM19" s="290" t="s">
        <v>27</v>
      </c>
      <c r="AN19" s="290" t="s">
        <v>28</v>
      </c>
      <c r="AO19" s="290" t="s">
        <v>28</v>
      </c>
      <c r="AP19" s="484" t="s">
        <v>1423</v>
      </c>
      <c r="AQ19" s="292" t="s">
        <v>217</v>
      </c>
      <c r="AR19" s="436" t="s">
        <v>1424</v>
      </c>
      <c r="AS19" s="318" t="n">
        <f>COUNTIFS(H19,"零期",I19,"在读")+COUNTIFS(L19,"零期",M19,"在读")+COUNTIFS(P19,"零期",Q19,"在读")</f>
        <v>3</v>
      </c>
      <c r="AT19" s="318" t="n">
        <f>AS19-AX19</f>
        <v>3</v>
      </c>
      <c r="AU19" s="292" t="s">
        <f>VLOOKUP(B19,'UV台帐'!B:AL,19,0)</f>
        <v>116</v>
      </c>
      <c r="AV19" s="292" t="s">
        <f>VLOOKUP(B19,'UV台帐'!B:AL,28,0)</f>
        <v>116</v>
      </c>
      <c r="AW19" s="292" t="s">
        <f>VLOOKUP(B19,'UV台帐'!B:AL,37,0)</f>
        <v>116</v>
      </c>
      <c r="AX19" s="318" t="n">
        <f>COUNTIFS(H19,"零期",AU19,"是")+COUNTIFS(L19,"零期",AV19,"是")+COUNTIFS(P19,"零期",AW19,"是")</f>
        <v>0</v>
      </c>
      <c r="AZ19" s="653" t="s">
        <v>1425</v>
      </c>
      <c r="BA19" s="197"/>
    </row>
    <row r="20" s="292" customFormat="1" ht="30" customHeight="1">
      <c r="A20" s="318" t="s">
        <v>54</v>
      </c>
      <c r="B20" s="318" t="n">
        <v>2463978823</v>
      </c>
      <c r="C20" s="114" t="s">
        <f>VLOOKUP(B20,'UV台帐'!B:AL,2,0)</f>
        <v>1241</v>
      </c>
      <c r="D20" s="114" t="s">
        <f>VLOOKUP(B20,'UV台帐'!B:AL,3,0)</f>
        <v>59</v>
      </c>
      <c r="E20" s="114" t="s">
        <f>VLOOKUP(B20,'UV台帐'!B:AL,13,0)</f>
        <v>37</v>
      </c>
      <c r="F20" s="114" t="s">
        <f>VLOOKUP(B20,'UV台帐'!B:AL,15,0)</f>
        <v>216</v>
      </c>
      <c r="G20" s="114" t="s">
        <f>VLOOKUP(B20,'UV台帐'!B:AL,16,0)</f>
        <v>283</v>
      </c>
      <c r="H20" s="114" t="s">
        <f>VLOOKUP(B20,'UV台帐'!B:AL,17,0)</f>
        <v>88</v>
      </c>
      <c r="I20" s="114" t="s">
        <f>VLOOKUP(B20,'UV台帐'!B:AL,18,0)</f>
        <v>165</v>
      </c>
      <c r="J20" s="114" t="s">
        <f>VLOOKUP(B20,'UV台帐'!B:AL,22,0)</f>
        <v>47</v>
      </c>
      <c r="K20" s="114" t="s">
        <f>VLOOKUP(B20,'UV台帐'!B:AL,24,0)</f>
        <v>215</v>
      </c>
      <c r="L20" s="114" t="s">
        <f>VLOOKUP(B20,'UV台帐'!B:AL,26,0)</f>
        <v>88</v>
      </c>
      <c r="M20" s="114" t="s">
        <f>VLOOKUP(B20,'UV台帐'!B:AL,27,0)</f>
        <v>165</v>
      </c>
      <c r="N20" s="114" t="s">
        <f>VLOOKUP(B20,'UV台帐'!B:AL,31,0)</f>
        <v>116</v>
      </c>
      <c r="O20" s="114" t="s">
        <f>VLOOKUP(B20,'UV台帐'!B:AL,33,0)</f>
        <v>116</v>
      </c>
      <c r="P20" s="114" t="s">
        <f>VLOOKUP(B20,'UV台帐'!B:AL,35,0)</f>
        <v>116</v>
      </c>
      <c r="Q20" s="114" t="s">
        <f>VLOOKUP(B20,'UV台帐'!B:AL,36,0)</f>
        <v>116</v>
      </c>
      <c r="R20" s="318"/>
      <c r="S20" s="318" t="s">
        <v>217</v>
      </c>
      <c r="T20" s="318" t="s">
        <v>218</v>
      </c>
      <c r="U20" s="318"/>
      <c r="V20" s="318"/>
      <c r="W20" s="318" t="s">
        <v>1426</v>
      </c>
      <c r="X20" s="318"/>
      <c r="Y20" s="318"/>
      <c r="Z20" s="318"/>
      <c r="AA20" s="68" t="s">
        <v>47</v>
      </c>
      <c r="AB20" s="476" t="s">
        <v>218</v>
      </c>
      <c r="AC20" s="104"/>
      <c r="AD20" s="104" t="s">
        <v>218</v>
      </c>
      <c r="AE20" s="318" t="s">
        <v>36</v>
      </c>
      <c r="AF20" s="318" t="n">
        <f>VLOOKUP(B20,'UV台帐'!B:G,6,0)</f>
        <v>0</v>
      </c>
      <c r="AG20" s="318" t="s">
        <v>1427</v>
      </c>
      <c r="AH20" s="318" t="s">
        <v>217</v>
      </c>
      <c r="AI20" s="241" t="s">
        <v>1354</v>
      </c>
      <c r="AJ20" s="508" t="s">
        <v>1428</v>
      </c>
      <c r="AK20" s="508" t="s">
        <v>1428</v>
      </c>
      <c r="AL20" s="290" t="s">
        <v>28</v>
      </c>
      <c r="AM20" s="290" t="s">
        <v>28</v>
      </c>
      <c r="AN20" s="290" t="s">
        <v>28</v>
      </c>
      <c r="AO20" s="290"/>
      <c r="AP20" s="484" t="s">
        <v>1429</v>
      </c>
      <c r="AQ20" s="292" t="s">
        <v>217</v>
      </c>
      <c r="AR20" s="436" t="s">
        <v>1430</v>
      </c>
      <c r="AS20" s="318" t="n">
        <f>COUNTIFS(H20,"零期",I20,"在读")+COUNTIFS(L20,"零期",M20,"在读")+COUNTIFS(P20,"零期",Q20,"在读")</f>
        <v>2</v>
      </c>
      <c r="AT20" s="318" t="n">
        <f>AS20-AX20</f>
        <v>2</v>
      </c>
      <c r="AU20" s="292" t="s">
        <f>VLOOKUP(B20,'UV台帐'!B:AL,19,0)</f>
        <v>116</v>
      </c>
      <c r="AV20" s="292" t="s">
        <f>VLOOKUP(B20,'UV台帐'!B:AL,28,0)</f>
        <v>116</v>
      </c>
      <c r="AW20" s="292" t="s">
        <f>VLOOKUP(B20,'UV台帐'!B:AL,37,0)</f>
        <v>116</v>
      </c>
      <c r="AX20" s="318" t="n">
        <f>COUNTIFS(H20,"零期",AU20,"是")+COUNTIFS(L20,"零期",AV20,"是")+COUNTIFS(P20,"零期",AW20,"是")</f>
        <v>0</v>
      </c>
      <c r="AZ20" s="483"/>
      <c r="BA20" s="5"/>
    </row>
    <row r="21" s="292" customFormat="1" ht="30" customHeight="1">
      <c r="A21" s="318" t="s">
        <v>54</v>
      </c>
      <c r="B21" s="318" t="n">
        <v>2466589641</v>
      </c>
      <c r="C21" s="114" t="s">
        <f>VLOOKUP(B21,'UV台帐'!B:AL,2,0)</f>
        <v>1250</v>
      </c>
      <c r="D21" s="114" t="s">
        <f>VLOOKUP(B21,'UV台帐'!B:AL,3,0)</f>
        <v>57</v>
      </c>
      <c r="E21" s="114" t="s">
        <f>VLOOKUP(B21,'UV台帐'!B:AL,13,0)</f>
        <v>37</v>
      </c>
      <c r="F21" s="114" t="s">
        <f>VLOOKUP(B21,'UV台帐'!B:AL,15,0)</f>
        <v>216</v>
      </c>
      <c r="G21" s="114" t="s">
        <f>VLOOKUP(B21,'UV台帐'!B:AL,16,0)</f>
        <v>283</v>
      </c>
      <c r="H21" s="114" t="s">
        <f>VLOOKUP(B21,'UV台帐'!B:AL,17,0)</f>
        <v>88</v>
      </c>
      <c r="I21" s="114" t="s">
        <f>VLOOKUP(B21,'UV台帐'!B:AL,18,0)</f>
        <v>165</v>
      </c>
      <c r="J21" s="114" t="s">
        <f>VLOOKUP(B21,'UV台帐'!B:AL,22,0)</f>
        <v>116</v>
      </c>
      <c r="K21" s="114" t="s">
        <f>VLOOKUP(B21,'UV台帐'!B:AL,24,0)</f>
        <v>116</v>
      </c>
      <c r="L21" s="114" t="s">
        <f>VLOOKUP(B21,'UV台帐'!B:AL,26,0)</f>
        <v>116</v>
      </c>
      <c r="M21" s="114" t="s">
        <f>VLOOKUP(B21,'UV台帐'!B:AL,27,0)</f>
        <v>116</v>
      </c>
      <c r="N21" s="114" t="s">
        <f>VLOOKUP(B21,'UV台帐'!B:AL,31,0)</f>
        <v>56</v>
      </c>
      <c r="O21" s="114" t="s">
        <f>VLOOKUP(B21,'UV台帐'!B:AL,33,0)</f>
        <v>233</v>
      </c>
      <c r="P21" s="114" t="s">
        <f>VLOOKUP(B21,'UV台帐'!B:AL,35,0)</f>
        <v>88</v>
      </c>
      <c r="Q21" s="114" t="s">
        <f>VLOOKUP(B21,'UV台帐'!B:AL,36,0)</f>
        <v>165</v>
      </c>
      <c r="R21" s="318"/>
      <c r="S21" s="318" t="s">
        <v>217</v>
      </c>
      <c r="T21" s="318" t="s">
        <v>217</v>
      </c>
      <c r="U21" s="318"/>
      <c r="V21" s="318"/>
      <c r="W21" s="318"/>
      <c r="X21" s="318"/>
      <c r="Y21" s="318" t="s">
        <v>37</v>
      </c>
      <c r="Z21" s="318"/>
      <c r="AA21" s="68" t="s">
        <v>56</v>
      </c>
      <c r="AB21" s="476" t="s">
        <v>217</v>
      </c>
      <c r="AC21" s="149" t="s">
        <v>1431</v>
      </c>
      <c r="AD21" s="104" t="s">
        <v>217</v>
      </c>
      <c r="AE21" s="318" t="s">
        <v>57</v>
      </c>
      <c r="AF21" s="318" t="n">
        <f>VLOOKUP(B21,'UV台帐'!B:G,6,0)</f>
        <v>0</v>
      </c>
      <c r="AG21" s="318" t="s">
        <v>1432</v>
      </c>
      <c r="AH21" s="318" t="s">
        <v>217</v>
      </c>
      <c r="AI21" s="241"/>
      <c r="AJ21" s="508" t="s">
        <v>1433</v>
      </c>
      <c r="AK21" s="508" t="s">
        <v>1433</v>
      </c>
      <c r="AL21" s="290" t="s">
        <v>29</v>
      </c>
      <c r="AM21" s="290" t="s">
        <v>25</v>
      </c>
      <c r="AN21" s="290"/>
      <c r="AO21" s="290" t="s">
        <v>29</v>
      </c>
      <c r="AP21" s="484" t="s">
        <v>1434</v>
      </c>
      <c r="AQ21" s="292" t="s">
        <v>217</v>
      </c>
      <c r="AR21" s="436" t="s">
        <v>1435</v>
      </c>
      <c r="AS21" s="318" t="n">
        <f>COUNTIFS(H21,"零期",I21,"在读")+COUNTIFS(L21,"零期",M21,"在读")+COUNTIFS(P21,"零期",Q21,"在读")</f>
        <v>2</v>
      </c>
      <c r="AT21" s="318" t="n">
        <f>AS21-AX21</f>
        <v>1</v>
      </c>
      <c r="AU21" s="292" t="s">
        <f>VLOOKUP(B21,'UV台帐'!B:AL,19,0)</f>
        <v>217</v>
      </c>
      <c r="AV21" s="292" t="s">
        <f>VLOOKUP(B21,'UV台帐'!B:AL,28,0)</f>
        <v>116</v>
      </c>
      <c r="AW21" s="292" t="s">
        <f>VLOOKUP(B21,'UV台帐'!B:AL,37,0)</f>
        <v>116</v>
      </c>
      <c r="AX21" s="318" t="n">
        <f>COUNTIFS(H21,"零期",AU21,"是")+COUNTIFS(L21,"零期",AV21,"是")+COUNTIFS(P21,"零期",AW21,"是")</f>
        <v>1</v>
      </c>
      <c r="AZ21" s="483" t="s">
        <v>1436</v>
      </c>
      <c r="BA21" s="197" t="s">
        <v>1437</v>
      </c>
    </row>
    <row r="22" s="292" customFormat="1" ht="30" customHeight="1">
      <c r="A22" s="318" t="s">
        <v>45</v>
      </c>
      <c r="B22" s="318" t="n">
        <v>2472389311</v>
      </c>
      <c r="C22" s="114" t="s">
        <f>VLOOKUP(B22,'UV台帐'!B:AL,2,0)</f>
        <v>620</v>
      </c>
      <c r="D22" s="114" t="s">
        <f>VLOOKUP(B22,'UV台帐'!B:AL,3,0)</f>
        <v>46</v>
      </c>
      <c r="E22" s="114" t="s">
        <f>VLOOKUP(B22,'UV台帐'!B:AL,13,0)</f>
        <v>31</v>
      </c>
      <c r="F22" s="114" t="s">
        <f>VLOOKUP(B22,'UV台帐'!B:AL,15,0)</f>
        <v>216</v>
      </c>
      <c r="G22" s="114" t="s">
        <f>VLOOKUP(B22,'UV台帐'!B:AL,16,0)</f>
        <v>283</v>
      </c>
      <c r="H22" s="114" t="s">
        <f>VLOOKUP(B22,'UV台帐'!B:AL,17,0)</f>
        <v>101</v>
      </c>
      <c r="I22" s="114" t="s">
        <f>VLOOKUP(B22,'UV台帐'!B:AL,18,0)</f>
        <v>165</v>
      </c>
      <c r="J22" s="114" t="s">
        <f>VLOOKUP(B22,'UV台帐'!B:AL,22,0)</f>
        <v>47</v>
      </c>
      <c r="K22" s="114" t="s">
        <f>VLOOKUP(B22,'UV台帐'!B:AL,24,0)</f>
        <v>233</v>
      </c>
      <c r="L22" s="114" t="s">
        <f>VLOOKUP(B22,'UV台帐'!B:AL,26,0)</f>
        <v>88</v>
      </c>
      <c r="M22" s="114" t="s">
        <f>VLOOKUP(B22,'UV台帐'!B:AL,27,0)</f>
        <v>165</v>
      </c>
      <c r="N22" s="114" t="s">
        <f>VLOOKUP(B22,'UV台帐'!B:AL,31,0)</f>
        <v>58</v>
      </c>
      <c r="O22" s="114" t="s">
        <f>VLOOKUP(B22,'UV台帐'!B:AL,33,0)</f>
        <v>215</v>
      </c>
      <c r="P22" s="114" t="s">
        <f>VLOOKUP(B22,'UV台帐'!B:AL,35,0)</f>
        <v>101</v>
      </c>
      <c r="Q22" s="114" t="s">
        <f>VLOOKUP(B22,'UV台帐'!B:AL,36,0)</f>
        <v>165</v>
      </c>
      <c r="R22" s="318"/>
      <c r="S22" s="318" t="s">
        <v>217</v>
      </c>
      <c r="T22" s="318" t="s">
        <v>217</v>
      </c>
      <c r="U22" s="318"/>
      <c r="V22" s="318"/>
      <c r="W22" s="318"/>
      <c r="X22" s="318"/>
      <c r="Y22" s="318"/>
      <c r="Z22" s="318"/>
      <c r="AA22" s="68" t="s">
        <v>47</v>
      </c>
      <c r="AB22" s="476" t="s">
        <v>218</v>
      </c>
      <c r="AC22" s="104"/>
      <c r="AD22" s="104" t="s">
        <v>218</v>
      </c>
      <c r="AE22" s="318" t="s">
        <v>46</v>
      </c>
      <c r="AF22" s="318" t="n">
        <f>VLOOKUP(B22,'UV台帐'!B:G,6,0)</f>
        <v>0</v>
      </c>
      <c r="AG22" s="318"/>
      <c r="AH22" s="318" t="s">
        <v>217</v>
      </c>
      <c r="AI22" s="241" t="s">
        <v>1379</v>
      </c>
      <c r="AJ22" s="508" t="s">
        <v>1438</v>
      </c>
      <c r="AK22" s="508" t="s">
        <v>1438</v>
      </c>
      <c r="AL22" s="290" t="s">
        <v>27</v>
      </c>
      <c r="AM22" s="290"/>
      <c r="AN22" s="290" t="s">
        <v>27</v>
      </c>
      <c r="AO22" s="290"/>
      <c r="AP22" s="484"/>
      <c r="AR22" s="436"/>
      <c r="AS22" s="318" t="n">
        <f>COUNTIFS(H22,"零期",I22,"在读")+COUNTIFS(L22,"零期",M22,"在读")+COUNTIFS(P22,"零期",Q22,"在读")</f>
        <v>1</v>
      </c>
      <c r="AT22" s="318" t="n">
        <f>AS22-AX22</f>
        <v>1</v>
      </c>
      <c r="AU22" s="292" t="s">
        <f>VLOOKUP(B22,'UV台帐'!B:AL,19,0)</f>
        <v>116</v>
      </c>
      <c r="AV22" s="292" t="s">
        <f>VLOOKUP(B22,'UV台帐'!B:AL,28,0)</f>
        <v>116</v>
      </c>
      <c r="AW22" s="292" t="s">
        <f>VLOOKUP(B22,'UV台帐'!B:AL,37,0)</f>
        <v>116</v>
      </c>
      <c r="AX22" s="318" t="n">
        <f>COUNTIFS(H22,"零期",AU22,"是")+COUNTIFS(L22,"零期",AV22,"是")+COUNTIFS(P22,"零期",AW22,"是")</f>
        <v>0</v>
      </c>
      <c r="AZ22" s="483" t="s">
        <v>1418</v>
      </c>
      <c r="BA22" s="197"/>
    </row>
    <row r="23" s="292" customFormat="1" ht="30" customHeight="1">
      <c r="A23" s="318" t="s">
        <v>45</v>
      </c>
      <c r="B23" s="318" t="n">
        <v>2488140963</v>
      </c>
      <c r="C23" s="114" t="s">
        <f>VLOOKUP(B23,'UV台帐'!B:AL,2,0)</f>
        <v>1260</v>
      </c>
      <c r="D23" s="114" t="s">
        <f>VLOOKUP(B23,'UV台帐'!B:AL,3,0)</f>
        <v>46</v>
      </c>
      <c r="E23" s="114" t="s">
        <f>VLOOKUP(B23,'UV台帐'!B:AL,13,0)</f>
        <v>31</v>
      </c>
      <c r="F23" s="114" t="s">
        <f>VLOOKUP(B23,'UV台帐'!B:AL,15,0)</f>
        <v>246</v>
      </c>
      <c r="G23" s="114" t="s">
        <f>VLOOKUP(B23,'UV台帐'!B:AL,16,0)</f>
        <v>234</v>
      </c>
      <c r="H23" s="114" t="s">
        <f>VLOOKUP(B23,'UV台帐'!B:AL,17,0)</f>
        <v>88</v>
      </c>
      <c r="I23" s="114" t="s">
        <f>VLOOKUP(B23,'UV台帐'!B:AL,18,0)</f>
        <v>165</v>
      </c>
      <c r="J23" s="114" t="s">
        <f>VLOOKUP(B23,'UV台帐'!B:AL,22,0)</f>
        <v>43</v>
      </c>
      <c r="K23" s="114" t="s">
        <f>VLOOKUP(B23,'UV台帐'!B:AL,24,0)</f>
        <v>216</v>
      </c>
      <c r="L23" s="114" t="s">
        <f>VLOOKUP(B23,'UV台帐'!B:AL,26,0)</f>
        <v>88</v>
      </c>
      <c r="M23" s="114" t="s">
        <f>VLOOKUP(B23,'UV台帐'!B:AL,27,0)</f>
        <v>165</v>
      </c>
      <c r="N23" s="114" t="s">
        <f>VLOOKUP(B23,'UV台帐'!B:AL,31,0)</f>
        <v>52</v>
      </c>
      <c r="O23" s="114" t="s">
        <f>VLOOKUP(B23,'UV台帐'!B:AL,33,0)</f>
        <v>215</v>
      </c>
      <c r="P23" s="114" t="s">
        <f>VLOOKUP(B23,'UV台帐'!B:AL,35,0)</f>
        <v>88</v>
      </c>
      <c r="Q23" s="114" t="s">
        <f>VLOOKUP(B23,'UV台帐'!B:AL,36,0)</f>
        <v>165</v>
      </c>
      <c r="R23" s="318"/>
      <c r="S23" s="318"/>
      <c r="T23" s="318" t="s">
        <v>217</v>
      </c>
      <c r="U23" s="318"/>
      <c r="V23" s="318"/>
      <c r="W23" s="318" t="s">
        <v>52</v>
      </c>
      <c r="X23" s="318"/>
      <c r="Y23" s="318"/>
      <c r="Z23" s="318"/>
      <c r="AA23" s="68" t="s">
        <v>52</v>
      </c>
      <c r="AB23" s="476" t="s">
        <v>217</v>
      </c>
      <c r="AC23" s="81" t="s">
        <v>1385</v>
      </c>
      <c r="AD23" s="104" t="s">
        <v>217</v>
      </c>
      <c r="AE23" s="318" t="s">
        <v>46</v>
      </c>
      <c r="AF23" s="318" t="n">
        <f>VLOOKUP(B23,'UV台帐'!B:G,6,0)</f>
        <v>0</v>
      </c>
      <c r="AG23" s="318"/>
      <c r="AH23" s="318" t="s">
        <v>217</v>
      </c>
      <c r="AI23" s="241" t="s">
        <v>1379</v>
      </c>
      <c r="AJ23" s="654" t="s">
        <v>1439</v>
      </c>
      <c r="AK23" s="655" t="s">
        <v>1439</v>
      </c>
      <c r="AL23" s="290" t="s">
        <v>25</v>
      </c>
      <c r="AM23" s="290" t="s">
        <v>25</v>
      </c>
      <c r="AN23" s="290" t="s">
        <v>25</v>
      </c>
      <c r="AO23" s="290" t="s">
        <v>25</v>
      </c>
      <c r="AP23" s="484" t="s">
        <v>1440</v>
      </c>
      <c r="AQ23" s="292" t="s">
        <v>217</v>
      </c>
      <c r="AR23" s="436"/>
      <c r="AS23" s="318" t="n">
        <f>COUNTIFS(H23,"零期",I23,"在读")+COUNTIFS(L23,"零期",M23,"在读")+COUNTIFS(P23,"零期",Q23,"在读")</f>
        <v>3</v>
      </c>
      <c r="AT23" s="318" t="n">
        <f>AS23-AX23</f>
        <v>0</v>
      </c>
      <c r="AU23" s="292" t="s">
        <f>VLOOKUP(B23,'UV台帐'!B:AL,19,0)</f>
        <v>217</v>
      </c>
      <c r="AV23" s="292" t="s">
        <f>VLOOKUP(B23,'UV台帐'!B:AL,28,0)</f>
        <v>217</v>
      </c>
      <c r="AW23" s="292" t="s">
        <f>VLOOKUP(B23,'UV台帐'!B:AL,37,0)</f>
        <v>217</v>
      </c>
      <c r="AX23" s="318" t="n">
        <f>COUNTIFS(H23,"零期",AU23,"是")+COUNTIFS(L23,"零期",AV23,"是")+COUNTIFS(P23,"零期",AW23,"是")</f>
        <v>3</v>
      </c>
      <c r="AZ23" s="483" t="s">
        <v>1441</v>
      </c>
      <c r="BA23" s="197"/>
    </row>
    <row r="24" s="292" customFormat="1" ht="30" customHeight="1">
      <c r="A24" s="318" t="s">
        <v>45</v>
      </c>
      <c r="B24" s="318" t="n">
        <v>2496864413</v>
      </c>
      <c r="C24" s="114" t="s">
        <f>VLOOKUP(B24,'UV台帐'!B:AL,2,0)</f>
        <v>1062</v>
      </c>
      <c r="D24" s="114" t="s">
        <f>VLOOKUP(B24,'UV台帐'!B:AL,3,0)</f>
        <v>50</v>
      </c>
      <c r="E24" s="114" t="s">
        <f>VLOOKUP(B24,'UV台帐'!B:AL,13,0)</f>
        <v>37</v>
      </c>
      <c r="F24" s="114" t="s">
        <f>VLOOKUP(B24,'UV台帐'!B:AL,15,0)</f>
        <v>215</v>
      </c>
      <c r="G24" s="114" t="s">
        <f>VLOOKUP(B24,'UV台帐'!B:AL,16,0)</f>
        <v>283</v>
      </c>
      <c r="H24" s="114" t="s">
        <f>VLOOKUP(B24,'UV台帐'!B:AL,17,0)</f>
        <v>88</v>
      </c>
      <c r="I24" s="114" t="s">
        <f>VLOOKUP(B24,'UV台帐'!B:AL,18,0)</f>
        <v>165</v>
      </c>
      <c r="J24" s="114" t="s">
        <f>VLOOKUP(B24,'UV台帐'!B:AL,22,0)</f>
        <v>47</v>
      </c>
      <c r="K24" s="114" t="s">
        <f>VLOOKUP(B24,'UV台帐'!B:AL,24,0)</f>
        <v>233</v>
      </c>
      <c r="L24" s="114" t="s">
        <f>VLOOKUP(B24,'UV台帐'!B:AL,26,0)</f>
        <v>88</v>
      </c>
      <c r="M24" s="114" t="s">
        <f>VLOOKUP(B24,'UV台帐'!B:AL,27,0)</f>
        <v>165</v>
      </c>
      <c r="N24" s="114" t="s">
        <f>VLOOKUP(B24,'UV台帐'!B:AL,31,0)</f>
        <v>58</v>
      </c>
      <c r="O24" s="114" t="s">
        <f>VLOOKUP(B24,'UV台帐'!B:AL,33,0)</f>
        <v>216</v>
      </c>
      <c r="P24" s="114" t="s">
        <f>VLOOKUP(B24,'UV台帐'!B:AL,35,0)</f>
        <v>88</v>
      </c>
      <c r="Q24" s="114" t="s">
        <f>VLOOKUP(B24,'UV台帐'!B:AL,36,0)</f>
        <v>165</v>
      </c>
      <c r="R24" s="318"/>
      <c r="S24" s="318" t="s">
        <v>217</v>
      </c>
      <c r="T24" s="318" t="s">
        <v>218</v>
      </c>
      <c r="U24" s="318" t="s">
        <v>1442</v>
      </c>
      <c r="V24" s="318"/>
      <c r="W24" s="318"/>
      <c r="X24" s="318"/>
      <c r="Y24" s="114" t="s">
        <v>47</v>
      </c>
      <c r="Z24" s="114"/>
      <c r="AA24" s="68" t="s">
        <v>37</v>
      </c>
      <c r="AB24" s="581" t="s">
        <v>218</v>
      </c>
      <c r="AC24" s="104"/>
      <c r="AD24" s="104" t="s">
        <v>218</v>
      </c>
      <c r="AE24" s="318" t="s">
        <v>50</v>
      </c>
      <c r="AF24" s="318" t="s">
        <f>VLOOKUP(B24,'UV台帐'!B:G,6,0)</f>
        <v>1063</v>
      </c>
      <c r="AG24" s="318" t="s">
        <v>597</v>
      </c>
      <c r="AH24" s="318" t="s">
        <v>217</v>
      </c>
      <c r="AI24" s="241" t="s">
        <v>1443</v>
      </c>
      <c r="AJ24" s="508" t="s">
        <v>1444</v>
      </c>
      <c r="AK24" s="508" t="s">
        <v>1445</v>
      </c>
      <c r="AL24" s="290" t="s">
        <v>28</v>
      </c>
      <c r="AM24" s="290" t="s">
        <v>28</v>
      </c>
      <c r="AN24" s="290" t="s">
        <v>28</v>
      </c>
      <c r="AO24" s="290" t="s">
        <v>28</v>
      </c>
      <c r="AP24" s="656" t="s">
        <v>1446</v>
      </c>
      <c r="AR24" s="436"/>
      <c r="AS24" s="318" t="n">
        <f>COUNTIFS(H24,"零期",I24,"在读")+COUNTIFS(L24,"零期",M24,"在读")+COUNTIFS(P24,"零期",Q24,"在读")</f>
        <v>3</v>
      </c>
      <c r="AT24" s="318" t="n">
        <f>AS24-AX24</f>
        <v>3</v>
      </c>
      <c r="AU24" s="292" t="s">
        <f>VLOOKUP(B24,'UV台帐'!B:AL,19,0)</f>
        <v>116</v>
      </c>
      <c r="AV24" s="292" t="s">
        <f>VLOOKUP(B24,'UV台帐'!B:AL,28,0)</f>
        <v>116</v>
      </c>
      <c r="AW24" s="292" t="s">
        <f>VLOOKUP(B24,'UV台帐'!B:AL,37,0)</f>
        <v>116</v>
      </c>
      <c r="AX24" s="318" t="n">
        <f>COUNTIFS(H24,"零期",AU24,"是")+COUNTIFS(L24,"零期",AV24,"是")+COUNTIFS(P24,"零期",AW24,"是")</f>
        <v>0</v>
      </c>
      <c r="AZ24" s="483" t="s">
        <v>1447</v>
      </c>
      <c r="BA24" s="197"/>
    </row>
    <row r="25" s="292" customFormat="1" ht="30" customHeight="1">
      <c r="A25" s="318" t="s">
        <v>54</v>
      </c>
      <c r="B25" s="318" t="n">
        <v>2499809313</v>
      </c>
      <c r="C25" s="114" t="s">
        <f>VLOOKUP(B25,'UV台帐'!B:AL,2,0)</f>
        <v>1242</v>
      </c>
      <c r="D25" s="114" t="s">
        <f>VLOOKUP(B25,'UV台帐'!B:AL,3,0)</f>
        <v>57</v>
      </c>
      <c r="E25" s="114" t="s">
        <f>VLOOKUP(B25,'UV台帐'!B:AL,13,0)</f>
        <v>31</v>
      </c>
      <c r="F25" s="114" t="s">
        <f>VLOOKUP(B25,'UV台帐'!B:AL,15,0)</f>
        <v>233</v>
      </c>
      <c r="G25" s="114" t="s">
        <f>VLOOKUP(B25,'UV台帐'!B:AL,16,0)</f>
        <v>234</v>
      </c>
      <c r="H25" s="114" t="s">
        <f>VLOOKUP(B25,'UV台帐'!B:AL,17,0)</f>
        <v>88</v>
      </c>
      <c r="I25" s="114" t="s">
        <f>VLOOKUP(B25,'UV台帐'!B:AL,18,0)</f>
        <v>165</v>
      </c>
      <c r="J25" s="114" t="s">
        <f>VLOOKUP(B25,'UV台帐'!B:AL,22,0)</f>
        <v>47</v>
      </c>
      <c r="K25" s="114" t="s">
        <f>VLOOKUP(B25,'UV台帐'!B:AL,24,0)</f>
        <v>215</v>
      </c>
      <c r="L25" s="114" t="s">
        <f>VLOOKUP(B25,'UV台帐'!B:AL,26,0)</f>
        <v>88</v>
      </c>
      <c r="M25" s="114" t="s">
        <f>VLOOKUP(B25,'UV台帐'!B:AL,27,0)</f>
        <v>165</v>
      </c>
      <c r="N25" s="114" t="s">
        <f>VLOOKUP(B25,'UV台帐'!B:AL,31,0)</f>
        <v>56</v>
      </c>
      <c r="O25" s="114" t="s">
        <f>VLOOKUP(B25,'UV台帐'!B:AL,33,0)</f>
        <v>216</v>
      </c>
      <c r="P25" s="114" t="s">
        <f>VLOOKUP(B25,'UV台帐'!B:AL,35,0)</f>
        <v>88</v>
      </c>
      <c r="Q25" s="114" t="s">
        <f>VLOOKUP(B25,'UV台帐'!B:AL,36,0)</f>
        <v>165</v>
      </c>
      <c r="R25" s="318"/>
      <c r="S25" s="318" t="s">
        <v>217</v>
      </c>
      <c r="T25" s="318" t="s">
        <v>217</v>
      </c>
      <c r="U25" s="318"/>
      <c r="V25" s="318"/>
      <c r="W25" s="318" t="s">
        <v>56</v>
      </c>
      <c r="X25" s="318"/>
      <c r="Y25" s="318"/>
      <c r="Z25" s="318"/>
      <c r="AA25" s="75" t="s">
        <v>47</v>
      </c>
      <c r="AB25" s="476" t="s">
        <v>217</v>
      </c>
      <c r="AC25" s="149" t="s">
        <v>1448</v>
      </c>
      <c r="AD25" s="114" t="s">
        <v>217</v>
      </c>
      <c r="AE25" s="318" t="s">
        <v>57</v>
      </c>
      <c r="AF25" s="318" t="n">
        <f>VLOOKUP(B25,'UV台帐'!B:G,6,0)</f>
        <v>0</v>
      </c>
      <c r="AG25" s="318" t="s">
        <v>1449</v>
      </c>
      <c r="AH25" s="318" t="s">
        <v>217</v>
      </c>
      <c r="AI25" s="241"/>
      <c r="AJ25" s="508" t="s">
        <v>1450</v>
      </c>
      <c r="AK25" s="508" t="s">
        <v>1450</v>
      </c>
      <c r="AL25" s="290" t="s">
        <v>29</v>
      </c>
      <c r="AM25" s="290"/>
      <c r="AN25" s="290" t="s">
        <v>29</v>
      </c>
      <c r="AO25" s="290" t="s">
        <v>29</v>
      </c>
      <c r="AP25" s="484" t="s">
        <v>1451</v>
      </c>
      <c r="AR25" s="436"/>
      <c r="AS25" s="318" t="n">
        <f>COUNTIFS(H25,"零期",I25,"在读")+COUNTIFS(L25,"零期",M25,"在读")+COUNTIFS(P25,"零期",Q25,"在读")</f>
        <v>3</v>
      </c>
      <c r="AT25" s="318" t="n">
        <f>AS25-AX25</f>
        <v>2</v>
      </c>
      <c r="AU25" s="292" t="s">
        <f>VLOOKUP(B25,'UV台帐'!B:AL,19,0)</f>
        <v>217</v>
      </c>
      <c r="AV25" s="292" t="s">
        <f>VLOOKUP(B25,'UV台帐'!B:AL,28,0)</f>
        <v>116</v>
      </c>
      <c r="AW25" s="292" t="s">
        <f>VLOOKUP(B25,'UV台帐'!B:AL,37,0)</f>
        <v>116</v>
      </c>
      <c r="AX25" s="318" t="n">
        <f>COUNTIFS(H25,"零期",AU25,"是")+COUNTIFS(L25,"零期",AV25,"是")+COUNTIFS(P25,"零期",AW25,"是")</f>
        <v>1</v>
      </c>
      <c r="AZ25" s="483" t="s">
        <v>1452</v>
      </c>
      <c r="BA25" s="483" t="s">
        <v>1452</v>
      </c>
    </row>
    <row r="26" s="292" customFormat="1" ht="47.5" customHeight="1">
      <c r="A26" s="318" t="s">
        <v>45</v>
      </c>
      <c r="B26" s="318" t="n">
        <v>2514322951</v>
      </c>
      <c r="C26" s="114" t="s">
        <f>VLOOKUP(B26,'UV台帐'!B:AL,2,0)</f>
        <v>1159</v>
      </c>
      <c r="D26" s="114" t="s">
        <f>VLOOKUP(B26,'UV台帐'!B:AL,3,0)</f>
        <v>50</v>
      </c>
      <c r="E26" s="114" t="s">
        <f>VLOOKUP(B26,'UV台帐'!B:AL,13,0)</f>
        <v>31</v>
      </c>
      <c r="F26" s="114" t="s">
        <f>VLOOKUP(B26,'UV台帐'!B:AL,15,0)</f>
        <v>246</v>
      </c>
      <c r="G26" s="114" t="s">
        <f>VLOOKUP(B26,'UV台帐'!B:AL,16,0)</f>
        <v>234</v>
      </c>
      <c r="H26" s="114" t="s">
        <f>VLOOKUP(B26,'UV台帐'!B:AL,17,0)</f>
        <v>88</v>
      </c>
      <c r="I26" s="114" t="s">
        <f>VLOOKUP(B26,'UV台帐'!B:AL,18,0)</f>
        <v>165</v>
      </c>
      <c r="J26" s="114" t="s">
        <f>VLOOKUP(B26,'UV台帐'!B:AL,22,0)</f>
        <v>43</v>
      </c>
      <c r="K26" s="114" t="s">
        <f>VLOOKUP(B26,'UV台帐'!B:AL,24,0)</f>
        <v>216</v>
      </c>
      <c r="L26" s="114" t="s">
        <f>VLOOKUP(B26,'UV台帐'!B:AL,26,0)</f>
        <v>88</v>
      </c>
      <c r="M26" s="114" t="s">
        <f>VLOOKUP(B26,'UV台帐'!B:AL,27,0)</f>
        <v>165</v>
      </c>
      <c r="N26" s="114" t="s">
        <f>VLOOKUP(B26,'UV台帐'!B:AL,31,0)</f>
        <v>52</v>
      </c>
      <c r="O26" s="114" t="s">
        <f>VLOOKUP(B26,'UV台帐'!B:AL,33,0)</f>
        <v>215</v>
      </c>
      <c r="P26" s="114" t="s">
        <f>VLOOKUP(B26,'UV台帐'!B:AL,35,0)</f>
        <v>88</v>
      </c>
      <c r="Q26" s="114" t="s">
        <f>VLOOKUP(B26,'UV台帐'!B:AL,36,0)</f>
        <v>165</v>
      </c>
      <c r="R26" s="318"/>
      <c r="S26" s="318" t="s">
        <v>217</v>
      </c>
      <c r="T26" s="318" t="s">
        <v>217</v>
      </c>
      <c r="W26" s="318" t="s">
        <v>52</v>
      </c>
      <c r="X26" s="318"/>
      <c r="AA26" s="68" t="s">
        <v>52</v>
      </c>
      <c r="AB26" s="476" t="s">
        <v>217</v>
      </c>
      <c r="AC26" s="104" t="s">
        <v>1431</v>
      </c>
      <c r="AD26" s="104" t="s">
        <v>217</v>
      </c>
      <c r="AE26" s="318" t="s">
        <v>50</v>
      </c>
      <c r="AF26" s="318" t="n">
        <f>VLOOKUP(B26,'UV台帐'!B:G,6,0)</f>
        <v>0</v>
      </c>
      <c r="AG26" s="318" t="s">
        <v>1453</v>
      </c>
      <c r="AH26" s="318" t="s">
        <v>217</v>
      </c>
      <c r="AI26" s="657" t="s">
        <v>1454</v>
      </c>
      <c r="AJ26" s="508" t="s">
        <v>1455</v>
      </c>
      <c r="AK26" s="508" t="s">
        <v>1455</v>
      </c>
      <c r="AL26" s="290" t="s">
        <v>29</v>
      </c>
      <c r="AM26" s="290" t="s">
        <v>29</v>
      </c>
      <c r="AN26" s="290" t="s">
        <v>29</v>
      </c>
      <c r="AO26" s="290" t="s">
        <v>29</v>
      </c>
      <c r="AP26" s="658" t="s">
        <v>1456</v>
      </c>
      <c r="AR26" s="436"/>
      <c r="AS26" s="318" t="n">
        <f>COUNTIFS(H26,"零期",I26,"在读")+COUNTIFS(L26,"零期",M26,"在读")+COUNTIFS(P26,"零期",Q26,"在读")</f>
        <v>3</v>
      </c>
      <c r="AT26" s="318" t="n">
        <f>AS26-AX26</f>
        <v>3</v>
      </c>
      <c r="AU26" s="292" t="s">
        <f>VLOOKUP(B26,'UV台帐'!B:AL,19,0)</f>
        <v>116</v>
      </c>
      <c r="AV26" s="292" t="s">
        <f>VLOOKUP(B26,'UV台帐'!B:AL,28,0)</f>
        <v>116</v>
      </c>
      <c r="AW26" s="292" t="s">
        <f>VLOOKUP(B26,'UV台帐'!B:AL,37,0)</f>
        <v>116</v>
      </c>
      <c r="AX26" s="318" t="n">
        <f>COUNTIFS(H26,"零期",AU26,"是")+COUNTIFS(L26,"零期",AV26,"是")+COUNTIFS(P26,"零期",AW26,"是")</f>
        <v>0</v>
      </c>
      <c r="AZ26" s="483" t="s">
        <v>1457</v>
      </c>
      <c r="BA26" s="197"/>
    </row>
    <row r="27" s="292" customFormat="1" ht="30" customHeight="1">
      <c r="A27" s="318" t="s">
        <v>54</v>
      </c>
      <c r="B27" s="318" t="n">
        <v>2515578569</v>
      </c>
      <c r="C27" s="114" t="s">
        <f>VLOOKUP(B27,'UV台帐'!B:AL,2,0)</f>
        <v>827</v>
      </c>
      <c r="D27" s="114" t="s">
        <f>VLOOKUP(B27,'UV台帐'!B:AL,3,0)</f>
        <v>59</v>
      </c>
      <c r="E27" s="114" t="s">
        <f>VLOOKUP(B27,'UV台帐'!B:AL,13,0)</f>
        <v>35</v>
      </c>
      <c r="F27" s="114" t="s">
        <f>VLOOKUP(B27,'UV台帐'!B:AL,15,0)</f>
        <v>233</v>
      </c>
      <c r="G27" s="114" t="s">
        <f>VLOOKUP(B27,'UV台帐'!B:AL,16,0)</f>
        <v>234</v>
      </c>
      <c r="H27" s="114" t="s">
        <f>VLOOKUP(B27,'UV台帐'!B:AL,17,0)</f>
        <v>101</v>
      </c>
      <c r="I27" s="114" t="s">
        <f>VLOOKUP(B27,'UV台帐'!B:AL,18,0)</f>
        <v>165</v>
      </c>
      <c r="J27" s="114" t="s">
        <f>VLOOKUP(B27,'UV台帐'!B:AL,22,0)</f>
        <v>47</v>
      </c>
      <c r="K27" s="114" t="s">
        <f>VLOOKUP(B27,'UV台帐'!B:AL,24,0)</f>
        <v>215</v>
      </c>
      <c r="L27" s="114" t="s">
        <f>VLOOKUP(B27,'UV台帐'!B:AL,26,0)</f>
        <v>101</v>
      </c>
      <c r="M27" s="114" t="s">
        <f>VLOOKUP(B27,'UV台帐'!B:AL,27,0)</f>
        <v>165</v>
      </c>
      <c r="N27" s="114" t="s">
        <f>VLOOKUP(B27,'UV台帐'!B:AL,31,0)</f>
        <v>56</v>
      </c>
      <c r="O27" s="114" t="s">
        <f>VLOOKUP(B27,'UV台帐'!B:AL,33,0)</f>
        <v>216</v>
      </c>
      <c r="P27" s="114" t="s">
        <f>VLOOKUP(B27,'UV台帐'!B:AL,35,0)</f>
        <v>101</v>
      </c>
      <c r="Q27" s="114" t="s">
        <f>VLOOKUP(B27,'UV台帐'!B:AL,36,0)</f>
        <v>165</v>
      </c>
      <c r="R27" s="318"/>
      <c r="S27" s="318" t="s">
        <v>217</v>
      </c>
      <c r="T27" s="318" t="s">
        <v>218</v>
      </c>
      <c r="W27" s="318"/>
      <c r="X27" s="318"/>
      <c r="Y27" s="318"/>
      <c r="Z27" s="318"/>
      <c r="AA27" s="68" t="s">
        <v>31</v>
      </c>
      <c r="AB27" s="476" t="s">
        <v>1398</v>
      </c>
      <c r="AC27" s="114" t="s">
        <v>1385</v>
      </c>
      <c r="AD27" s="104" t="s">
        <v>218</v>
      </c>
      <c r="AE27" s="318" t="s">
        <v>59</v>
      </c>
      <c r="AF27" s="318" t="n">
        <f>VLOOKUP(B27,'UV台帐'!B:G,6,0)</f>
        <v>0</v>
      </c>
      <c r="AG27" s="318" t="s">
        <v>267</v>
      </c>
      <c r="AH27" s="318" t="s">
        <v>217</v>
      </c>
      <c r="AI27" s="241" t="s">
        <v>1458</v>
      </c>
      <c r="AJ27" s="508" t="s">
        <v>1459</v>
      </c>
      <c r="AK27" s="508" t="s">
        <v>1459</v>
      </c>
      <c r="AL27" s="290" t="s">
        <v>27</v>
      </c>
      <c r="AM27" s="290" t="s">
        <v>28</v>
      </c>
      <c r="AN27" s="290" t="s">
        <v>28</v>
      </c>
      <c r="AO27" s="290"/>
      <c r="AP27" s="484" t="s">
        <v>1460</v>
      </c>
      <c r="AR27" s="436"/>
      <c r="AS27" s="318" t="n">
        <f>COUNTIFS(H27,"零期",I27,"在读")+COUNTIFS(L27,"零期",M27,"在读")+COUNTIFS(P27,"零期",Q27,"在读")</f>
        <v>0</v>
      </c>
      <c r="AT27" s="318" t="n">
        <f>AS27-AX27</f>
        <v>0</v>
      </c>
      <c r="AU27" s="292" t="s">
        <f>VLOOKUP(B27,'UV台帐'!B:AL,19,0)</f>
        <v>116</v>
      </c>
      <c r="AV27" s="292" t="s">
        <f>VLOOKUP(B27,'UV台帐'!B:AL,28,0)</f>
        <v>217</v>
      </c>
      <c r="AW27" s="292" t="s">
        <f>VLOOKUP(B27,'UV台帐'!B:AL,37,0)</f>
        <v>116</v>
      </c>
      <c r="AX27" s="318" t="n">
        <f>COUNTIFS(H27,"零期",AU27,"是")+COUNTIFS(L27,"零期",AV27,"是")+COUNTIFS(P27,"零期",AW27,"是")</f>
        <v>0</v>
      </c>
      <c r="AZ27" s="483"/>
      <c r="BA27" s="197"/>
    </row>
    <row r="28" s="292" customFormat="1" ht="30" customHeight="1">
      <c r="A28" s="318" t="s">
        <v>54</v>
      </c>
      <c r="B28" s="318" t="n">
        <v>2519098261</v>
      </c>
      <c r="C28" s="114" t="s">
        <f>VLOOKUP(B28,'UV台帐'!B:AL,2,0)</f>
        <v>317</v>
      </c>
      <c r="D28" s="114" t="s">
        <f>VLOOKUP(B28,'UV台帐'!B:AL,3,0)</f>
        <v>34</v>
      </c>
      <c r="E28" s="114" t="s">
        <f>VLOOKUP(B28,'UV台帐'!B:AL,13,0)</f>
        <v>31</v>
      </c>
      <c r="F28" s="114" t="s">
        <f>VLOOKUP(B28,'UV台帐'!B:AL,15,0)</f>
        <v>233</v>
      </c>
      <c r="G28" s="114" t="s">
        <f>VLOOKUP(B28,'UV台帐'!B:AL,16,0)</f>
        <v>234</v>
      </c>
      <c r="H28" s="114" t="s">
        <f>VLOOKUP(B28,'UV台帐'!B:AL,17,0)</f>
        <v>88</v>
      </c>
      <c r="I28" s="114" t="s">
        <f>VLOOKUP(B28,'UV台帐'!B:AL,18,0)</f>
        <v>165</v>
      </c>
      <c r="J28" s="114" t="s">
        <f>VLOOKUP(B28,'UV台帐'!B:AL,22,0)</f>
        <v>47</v>
      </c>
      <c r="K28" s="114" t="s">
        <f>VLOOKUP(B28,'UV台帐'!B:AL,24,0)</f>
        <v>215</v>
      </c>
      <c r="L28" s="114" t="s">
        <f>VLOOKUP(B28,'UV台帐'!B:AL,26,0)</f>
        <v>88</v>
      </c>
      <c r="M28" s="114" t="s">
        <f>VLOOKUP(B28,'UV台帐'!B:AL,27,0)</f>
        <v>165</v>
      </c>
      <c r="N28" s="114" t="s">
        <f>VLOOKUP(B28,'UV台帐'!B:AL,31,0)</f>
        <v>56</v>
      </c>
      <c r="O28" s="114" t="s">
        <f>VLOOKUP(B28,'UV台帐'!B:AL,33,0)</f>
        <v>216</v>
      </c>
      <c r="P28" s="114" t="s">
        <f>VLOOKUP(B28,'UV台帐'!B:AL,35,0)</f>
        <v>88</v>
      </c>
      <c r="Q28" s="114" t="s">
        <f>VLOOKUP(B28,'UV台帐'!B:AL,36,0)</f>
        <v>165</v>
      </c>
      <c r="R28" s="318"/>
      <c r="S28" s="318" t="s">
        <v>217</v>
      </c>
      <c r="T28" s="318" t="s">
        <v>218</v>
      </c>
      <c r="U28" s="292" t="s">
        <v>47</v>
      </c>
      <c r="W28" s="318" t="s">
        <v>56</v>
      </c>
      <c r="X28" s="318"/>
      <c r="Y28" s="318"/>
      <c r="Z28" s="318"/>
      <c r="AA28" s="75" t="s">
        <v>47</v>
      </c>
      <c r="AB28" s="476" t="s">
        <v>217</v>
      </c>
      <c r="AC28" s="150" t="s">
        <v>1364</v>
      </c>
      <c r="AD28" s="114" t="s">
        <v>217</v>
      </c>
      <c r="AE28" s="318" t="s">
        <v>34</v>
      </c>
      <c r="AF28" s="318" t="s">
        <f>VLOOKUP(B28,'UV台帐'!B:G,6,0)</f>
        <v>1088</v>
      </c>
      <c r="AG28" s="318" t="s">
        <v>1461</v>
      </c>
      <c r="AH28" s="318" t="s">
        <v>217</v>
      </c>
      <c r="AI28" s="241" t="s">
        <v>1393</v>
      </c>
      <c r="AJ28" s="508" t="s">
        <v>1462</v>
      </c>
      <c r="AK28" s="508" t="s">
        <v>1462</v>
      </c>
      <c r="AL28" s="290" t="s">
        <v>25</v>
      </c>
      <c r="AM28" s="290" t="s">
        <v>25</v>
      </c>
      <c r="AN28" s="290" t="s">
        <v>25</v>
      </c>
      <c r="AO28" s="290" t="s">
        <v>25</v>
      </c>
      <c r="AP28" s="484" t="s">
        <v>1463</v>
      </c>
      <c r="AQ28" s="292" t="s">
        <v>217</v>
      </c>
      <c r="AR28" s="436"/>
      <c r="AS28" s="318" t="n">
        <f>COUNTIFS(H28,"零期",I28,"在读")+COUNTIFS(L28,"零期",M28,"在读")+COUNTIFS(P28,"零期",Q28,"在读")</f>
        <v>3</v>
      </c>
      <c r="AT28" s="318" t="n">
        <f>AS28-AX28</f>
        <v>0</v>
      </c>
      <c r="AU28" s="292" t="s">
        <f>VLOOKUP(B28,'UV台帐'!B:AL,19,0)</f>
        <v>217</v>
      </c>
      <c r="AV28" s="292" t="s">
        <f>VLOOKUP(B28,'UV台帐'!B:AL,28,0)</f>
        <v>217</v>
      </c>
      <c r="AW28" s="292" t="s">
        <f>VLOOKUP(B28,'UV台帐'!B:AL,37,0)</f>
        <v>217</v>
      </c>
      <c r="AX28" s="318" t="n">
        <f>COUNTIFS(H28,"零期",AU28,"是")+COUNTIFS(L28,"零期",AV28,"是")+COUNTIFS(P28,"零期",AW28,"是")</f>
        <v>3</v>
      </c>
      <c r="AZ28" s="483" t="s">
        <v>1464</v>
      </c>
      <c r="BA28" s="197"/>
    </row>
    <row r="29" s="292" customFormat="1" ht="30" customHeight="1">
      <c r="A29" s="318" t="s">
        <v>45</v>
      </c>
      <c r="B29" s="318" t="n">
        <v>2520917908</v>
      </c>
      <c r="C29" s="114" t="s">
        <f>VLOOKUP(B29,'UV台帐'!B:AL,2,0)</f>
        <v>1314</v>
      </c>
      <c r="D29" s="114" t="s">
        <f>VLOOKUP(B29,'UV台帐'!B:AL,3,0)</f>
        <v>48</v>
      </c>
      <c r="E29" s="114" t="s">
        <f>VLOOKUP(B29,'UV台帐'!B:AL,13,0)</f>
        <v>31</v>
      </c>
      <c r="F29" s="114" t="s">
        <f>VLOOKUP(B29,'UV台帐'!B:AL,15,0)</f>
        <v>215</v>
      </c>
      <c r="G29" s="114" t="s">
        <f>VLOOKUP(B29,'UV台帐'!B:AL,16,0)</f>
        <v>283</v>
      </c>
      <c r="H29" s="114" t="s">
        <f>VLOOKUP(B29,'UV台帐'!B:AL,17,0)</f>
        <v>88</v>
      </c>
      <c r="I29" s="114" t="s">
        <f>VLOOKUP(B29,'UV台帐'!B:AL,18,0)</f>
        <v>165</v>
      </c>
      <c r="J29" s="114" t="s">
        <f>VLOOKUP(B29,'UV台帐'!B:AL,22,0)</f>
        <v>47</v>
      </c>
      <c r="K29" s="114" t="s">
        <f>VLOOKUP(B29,'UV台帐'!B:AL,24,0)</f>
        <v>233</v>
      </c>
      <c r="L29" s="114" t="s">
        <f>VLOOKUP(B29,'UV台帐'!B:AL,26,0)</f>
        <v>88</v>
      </c>
      <c r="M29" s="114" t="s">
        <f>VLOOKUP(B29,'UV台帐'!B:AL,27,0)</f>
        <v>165</v>
      </c>
      <c r="N29" s="114" t="s">
        <f>VLOOKUP(B29,'UV台帐'!B:AL,31,0)</f>
        <v>58</v>
      </c>
      <c r="O29" s="114" t="s">
        <f>VLOOKUP(B29,'UV台帐'!B:AL,33,0)</f>
        <v>216</v>
      </c>
      <c r="P29" s="114" t="s">
        <f>VLOOKUP(B29,'UV台帐'!B:AL,35,0)</f>
        <v>88</v>
      </c>
      <c r="Q29" s="114" t="s">
        <f>VLOOKUP(B29,'UV台帐'!B:AL,36,0)</f>
        <v>165</v>
      </c>
      <c r="R29" s="318"/>
      <c r="S29" s="318" t="s">
        <v>217</v>
      </c>
      <c r="T29" s="318" t="s">
        <v>218</v>
      </c>
      <c r="W29" s="318"/>
      <c r="X29" s="318"/>
      <c r="Y29" s="318" t="s">
        <v>58</v>
      </c>
      <c r="Z29" s="318"/>
      <c r="AA29" s="68" t="s">
        <v>47</v>
      </c>
      <c r="AB29" s="476" t="s">
        <v>218</v>
      </c>
      <c r="AC29" s="114"/>
      <c r="AD29" s="104" t="s">
        <v>218</v>
      </c>
      <c r="AE29" s="318" t="s">
        <v>48</v>
      </c>
      <c r="AF29" s="318" t="n">
        <f>VLOOKUP(B29,'UV台帐'!B:G,6,0)</f>
        <v>0</v>
      </c>
      <c r="AG29" s="318" t="s">
        <v>1465</v>
      </c>
      <c r="AH29" s="318" t="s">
        <v>217</v>
      </c>
      <c r="AI29" s="241" t="s">
        <v>1466</v>
      </c>
      <c r="AJ29" s="508" t="s">
        <v>1467</v>
      </c>
      <c r="AK29" s="508" t="s">
        <v>1467</v>
      </c>
      <c r="AL29" s="290" t="s">
        <v>27</v>
      </c>
      <c r="AM29" s="290" t="s">
        <v>28</v>
      </c>
      <c r="AN29" s="290" t="s">
        <v>28</v>
      </c>
      <c r="AO29" s="290" t="s">
        <v>28</v>
      </c>
      <c r="AP29" s="659" t="s">
        <v>1468</v>
      </c>
      <c r="AR29" s="436"/>
      <c r="AS29" s="318" t="n">
        <f>COUNTIFS(H29,"零期",I29,"在读")+COUNTIFS(L29,"零期",M29,"在读")+COUNTIFS(P29,"零期",Q29,"在读")</f>
        <v>3</v>
      </c>
      <c r="AT29" s="318" t="n">
        <f>AS29-AX29</f>
        <v>3</v>
      </c>
      <c r="AU29" s="292" t="s">
        <f>VLOOKUP(B29,'UV台帐'!B:AL,19,0)</f>
        <v>116</v>
      </c>
      <c r="AV29" s="292" t="s">
        <f>VLOOKUP(B29,'UV台帐'!B:AL,28,0)</f>
        <v>116</v>
      </c>
      <c r="AW29" s="292" t="s">
        <f>VLOOKUP(B29,'UV台帐'!B:AL,37,0)</f>
        <v>116</v>
      </c>
      <c r="AX29" s="318" t="n">
        <f>COUNTIFS(H29,"零期",AU29,"是")+COUNTIFS(L29,"零期",AV29,"是")+COUNTIFS(P29,"零期",AW29,"是")</f>
        <v>0</v>
      </c>
      <c r="AZ29" s="483" t="s">
        <v>1469</v>
      </c>
      <c r="BA29" s="197"/>
    </row>
    <row r="30" s="292" customFormat="1" ht="30" customHeight="1">
      <c r="A30" s="318" t="s">
        <v>45</v>
      </c>
      <c r="B30" s="318" t="n">
        <v>2531326234</v>
      </c>
      <c r="C30" s="114" t="s">
        <f>VLOOKUP(B30,'UV台帐'!B:AL,2,0)</f>
        <v>1152</v>
      </c>
      <c r="D30" s="114" t="s">
        <f>VLOOKUP(B30,'UV台帐'!B:AL,3,0)</f>
        <v>48</v>
      </c>
      <c r="E30" s="114" t="s">
        <f>VLOOKUP(B30,'UV台帐'!B:AL,13,0)</f>
        <v>31</v>
      </c>
      <c r="F30" s="114" t="s">
        <f>VLOOKUP(B30,'UV台帐'!B:AL,15,0)</f>
        <v>215</v>
      </c>
      <c r="G30" s="114" t="s">
        <f>VLOOKUP(B30,'UV台帐'!B:AL,16,0)</f>
        <v>283</v>
      </c>
      <c r="H30" s="114" t="s">
        <f>VLOOKUP(B30,'UV台帐'!B:AL,17,0)</f>
        <v>88</v>
      </c>
      <c r="I30" s="114" t="s">
        <f>VLOOKUP(B30,'UV台帐'!B:AL,18,0)</f>
        <v>165</v>
      </c>
      <c r="J30" s="114" t="s">
        <f>VLOOKUP(B30,'UV台帐'!B:AL,22,0)</f>
        <v>47</v>
      </c>
      <c r="K30" s="114" t="s">
        <f>VLOOKUP(B30,'UV台帐'!B:AL,24,0)</f>
        <v>215</v>
      </c>
      <c r="L30" s="114" t="s">
        <f>VLOOKUP(B30,'UV台帐'!B:AL,26,0)</f>
        <v>100</v>
      </c>
      <c r="M30" s="114" t="s">
        <f>VLOOKUP(B30,'UV台帐'!B:AL,27,0)</f>
        <v>165</v>
      </c>
      <c r="N30" s="114" t="s">
        <f>VLOOKUP(B30,'UV台帐'!B:AL,31,0)</f>
        <v>58</v>
      </c>
      <c r="O30" s="114" t="s">
        <f>VLOOKUP(B30,'UV台帐'!B:AL,33,0)</f>
        <v>216</v>
      </c>
      <c r="P30" s="114" t="s">
        <f>VLOOKUP(B30,'UV台帐'!B:AL,35,0)</f>
        <v>88</v>
      </c>
      <c r="Q30" s="114" t="s">
        <f>VLOOKUP(B30,'UV台帐'!B:AL,36,0)</f>
        <v>165</v>
      </c>
      <c r="R30" s="318"/>
      <c r="S30" s="318" t="s">
        <v>218</v>
      </c>
      <c r="T30" s="318" t="s">
        <v>218</v>
      </c>
      <c r="U30" s="318" t="s">
        <v>58</v>
      </c>
      <c r="V30" s="318"/>
      <c r="W30" s="318"/>
      <c r="X30" s="318"/>
      <c r="Y30" s="114" t="s">
        <v>31</v>
      </c>
      <c r="Z30" s="114"/>
      <c r="AA30" s="68" t="s">
        <v>58</v>
      </c>
      <c r="AB30" s="318" t="s">
        <v>218</v>
      </c>
      <c r="AC30" s="104"/>
      <c r="AD30" s="104" t="s">
        <v>218</v>
      </c>
      <c r="AE30" s="318" t="s">
        <v>48</v>
      </c>
      <c r="AF30" s="318" t="s">
        <f>VLOOKUP(B30,'UV台帐'!B:G,6,0)</f>
        <v>641</v>
      </c>
      <c r="AG30" s="318" t="s">
        <v>483</v>
      </c>
      <c r="AH30" s="318" t="s">
        <v>217</v>
      </c>
      <c r="AI30" s="241" t="s">
        <v>1466</v>
      </c>
      <c r="AJ30" s="508" t="s">
        <v>1470</v>
      </c>
      <c r="AK30" s="508" t="s">
        <v>1470</v>
      </c>
      <c r="AL30" s="290" t="s">
        <v>27</v>
      </c>
      <c r="AM30" s="290" t="s">
        <v>27</v>
      </c>
      <c r="AN30" s="290"/>
      <c r="AO30" s="290" t="s">
        <v>29</v>
      </c>
      <c r="AP30" s="484" t="s">
        <v>1471</v>
      </c>
      <c r="AR30" s="436"/>
      <c r="AS30" s="318" t="n">
        <f>COUNTIFS(H30,"零期",I30,"在读")+COUNTIFS(L30,"零期",M30,"在读")+COUNTIFS(P30,"零期",Q30,"在读")</f>
        <v>2</v>
      </c>
      <c r="AT30" s="318" t="n">
        <f>AS30-AX30</f>
        <v>0</v>
      </c>
      <c r="AU30" s="292" t="s">
        <f>VLOOKUP(B30,'UV台帐'!B:AL,19,0)</f>
        <v>217</v>
      </c>
      <c r="AV30" s="292" t="s">
        <f>VLOOKUP(B30,'UV台帐'!B:AL,28,0)</f>
        <v>116</v>
      </c>
      <c r="AW30" s="292" t="s">
        <f>VLOOKUP(B30,'UV台帐'!B:AL,37,0)</f>
        <v>217</v>
      </c>
      <c r="AX30" s="318" t="n">
        <f>COUNTIFS(H30,"零期",AU30,"是")+COUNTIFS(L30,"零期",AV30,"是")+COUNTIFS(P30,"零期",AW30,"是")</f>
        <v>2</v>
      </c>
      <c r="AZ30" s="483" t="s">
        <v>1472</v>
      </c>
      <c r="BA30" s="197"/>
    </row>
    <row r="31" s="292" customFormat="1" ht="30" customHeight="1">
      <c r="A31" s="318" t="s">
        <v>45</v>
      </c>
      <c r="B31" s="318" t="n">
        <v>2545862641</v>
      </c>
      <c r="C31" s="114" t="s">
        <f>VLOOKUP(B31,'UV台帐'!B:AL,2,0)</f>
        <v>1306</v>
      </c>
      <c r="D31" s="114" t="s">
        <f>VLOOKUP(B31,'UV台帐'!B:AL,3,0)</f>
        <v>48</v>
      </c>
      <c r="E31" s="114" t="s">
        <f>VLOOKUP(B31,'UV台帐'!B:AL,13,0)</f>
        <v>31</v>
      </c>
      <c r="F31" s="114" t="s">
        <f>VLOOKUP(B31,'UV台帐'!B:AL,15,0)</f>
        <v>246</v>
      </c>
      <c r="G31" s="114" t="s">
        <f>VLOOKUP(B31,'UV台帐'!B:AL,16,0)</f>
        <v>234</v>
      </c>
      <c r="H31" s="114" t="s">
        <f>VLOOKUP(B31,'UV台帐'!B:AL,17,0)</f>
        <v>88</v>
      </c>
      <c r="I31" s="114" t="s">
        <f>VLOOKUP(B31,'UV台帐'!B:AL,18,0)</f>
        <v>165</v>
      </c>
      <c r="J31" s="114" t="s">
        <f>VLOOKUP(B31,'UV台帐'!B:AL,22,0)</f>
        <v>43</v>
      </c>
      <c r="K31" s="114" t="s">
        <f>VLOOKUP(B31,'UV台帐'!B:AL,24,0)</f>
        <v>216</v>
      </c>
      <c r="L31" s="114" t="s">
        <f>VLOOKUP(B31,'UV台帐'!B:AL,26,0)</f>
        <v>88</v>
      </c>
      <c r="M31" s="114" t="s">
        <f>VLOOKUP(B31,'UV台帐'!B:AL,27,0)</f>
        <v>165</v>
      </c>
      <c r="N31" s="114" t="s">
        <f>VLOOKUP(B31,'UV台帐'!B:AL,31,0)</f>
        <v>52</v>
      </c>
      <c r="O31" s="114" t="s">
        <f>VLOOKUP(B31,'UV台帐'!B:AL,33,0)</f>
        <v>215</v>
      </c>
      <c r="P31" s="114" t="s">
        <f>VLOOKUP(B31,'UV台帐'!B:AL,35,0)</f>
        <v>88</v>
      </c>
      <c r="Q31" s="114" t="s">
        <f>VLOOKUP(B31,'UV台帐'!B:AL,36,0)</f>
        <v>165</v>
      </c>
      <c r="R31" s="318"/>
      <c r="S31" s="318" t="s">
        <v>217</v>
      </c>
      <c r="T31" s="318" t="s">
        <v>217</v>
      </c>
      <c r="W31" s="318" t="s">
        <v>52</v>
      </c>
      <c r="X31" s="318"/>
      <c r="Y31" s="318"/>
      <c r="Z31" s="318"/>
      <c r="AA31" s="68" t="s">
        <v>52</v>
      </c>
      <c r="AB31" s="318" t="s">
        <v>218</v>
      </c>
      <c r="AC31" s="104" t="s">
        <v>1473</v>
      </c>
      <c r="AD31" s="104" t="s">
        <v>218</v>
      </c>
      <c r="AE31" s="318" t="s">
        <v>48</v>
      </c>
      <c r="AF31" s="318" t="n">
        <f>VLOOKUP(B31,'UV台帐'!B:G,6,0)</f>
        <v>0</v>
      </c>
      <c r="AG31" s="318"/>
      <c r="AH31" s="318" t="s">
        <v>217</v>
      </c>
      <c r="AI31" s="241" t="s">
        <v>1474</v>
      </c>
      <c r="AJ31" s="508" t="s">
        <v>1475</v>
      </c>
      <c r="AK31" s="508" t="s">
        <v>1475</v>
      </c>
      <c r="AL31" s="290"/>
      <c r="AM31" s="290"/>
      <c r="AN31" s="290"/>
      <c r="AO31" s="290"/>
      <c r="AP31" s="484"/>
      <c r="AQ31" s="292" t="s">
        <v>217</v>
      </c>
      <c r="AR31" s="436"/>
      <c r="AS31" s="318" t="n">
        <f>COUNTIFS(H31,"零期",I31,"在读")+COUNTIFS(L31,"零期",M31,"在读")+COUNTIFS(P31,"零期",Q31,"在读")</f>
        <v>3</v>
      </c>
      <c r="AT31" s="318" t="n">
        <f>AS31-AX31</f>
        <v>0</v>
      </c>
      <c r="AU31" s="292" t="s">
        <f>VLOOKUP(B31,'UV台帐'!B:AL,19,0)</f>
        <v>217</v>
      </c>
      <c r="AV31" s="292" t="s">
        <f>VLOOKUP(B31,'UV台帐'!B:AL,28,0)</f>
        <v>217</v>
      </c>
      <c r="AW31" s="292" t="s">
        <f>VLOOKUP(B31,'UV台帐'!B:AL,37,0)</f>
        <v>217</v>
      </c>
      <c r="AX31" s="318" t="n">
        <f>COUNTIFS(H31,"零期",AU31,"是")+COUNTIFS(L31,"零期",AV31,"是")+COUNTIFS(P31,"零期",AW31,"是")</f>
        <v>3</v>
      </c>
      <c r="AZ31" s="483"/>
      <c r="BA31" s="197"/>
    </row>
    <row r="32" s="292" customFormat="1" ht="30" customHeight="1">
      <c r="A32" s="318" t="s">
        <v>54</v>
      </c>
      <c r="B32" s="318" t="n">
        <v>2562153035</v>
      </c>
      <c r="C32" s="114" t="s">
        <f>VLOOKUP(B32,'UV台帐'!B:AL,2,0)</f>
        <v>1088</v>
      </c>
      <c r="D32" s="114" t="s">
        <f>VLOOKUP(B32,'UV台帐'!B:AL,3,0)</f>
        <v>57</v>
      </c>
      <c r="E32" s="114" t="s">
        <f>VLOOKUP(B32,'UV台帐'!B:AL,13,0)</f>
        <v>116</v>
      </c>
      <c r="F32" s="114" t="s">
        <f>VLOOKUP(B32,'UV台帐'!B:AL,15,0)</f>
        <v>116</v>
      </c>
      <c r="G32" s="114" t="s">
        <f>VLOOKUP(B32,'UV台帐'!B:AL,16,0)</f>
        <v>116</v>
      </c>
      <c r="H32" s="114" t="s">
        <f>VLOOKUP(B32,'UV台帐'!B:AL,17,0)</f>
        <v>116</v>
      </c>
      <c r="I32" s="114" t="s">
        <f>VLOOKUP(B32,'UV台帐'!B:AL,18,0)</f>
        <v>116</v>
      </c>
      <c r="J32" s="114" t="s">
        <f>VLOOKUP(B32,'UV台帐'!B:AL,22,0)</f>
        <v>43</v>
      </c>
      <c r="K32" s="114" t="s">
        <f>VLOOKUP(B32,'UV台帐'!B:AL,24,0)</f>
        <v>215</v>
      </c>
      <c r="L32" s="114" t="s">
        <f>VLOOKUP(B32,'UV台帐'!B:AL,26,0)</f>
        <v>88</v>
      </c>
      <c r="M32" s="114" t="s">
        <f>VLOOKUP(B32,'UV台帐'!B:AL,27,0)</f>
        <v>165</v>
      </c>
      <c r="N32" s="114" t="s">
        <f>VLOOKUP(B32,'UV台帐'!B:AL,31,0)</f>
        <v>58</v>
      </c>
      <c r="O32" s="114" t="s">
        <f>VLOOKUP(B32,'UV台帐'!B:AL,33,0)</f>
        <v>233</v>
      </c>
      <c r="P32" s="114" t="s">
        <f>VLOOKUP(B32,'UV台帐'!B:AL,35,0)</f>
        <v>100</v>
      </c>
      <c r="Q32" s="114" t="s">
        <f>VLOOKUP(B32,'UV台帐'!B:AL,36,0)</f>
        <v>165</v>
      </c>
      <c r="R32" s="318"/>
      <c r="S32" s="318" t="s">
        <v>217</v>
      </c>
      <c r="T32" s="318" t="s">
        <v>217</v>
      </c>
      <c r="W32" s="318"/>
      <c r="X32" s="318"/>
      <c r="Y32" s="292" t="s">
        <v>43</v>
      </c>
      <c r="AA32" s="76" t="s">
        <v>43</v>
      </c>
      <c r="AB32" s="318" t="s">
        <v>217</v>
      </c>
      <c r="AC32" s="152" t="s">
        <v>1476</v>
      </c>
      <c r="AD32" s="318" t="s">
        <v>217</v>
      </c>
      <c r="AE32" s="318" t="s">
        <v>57</v>
      </c>
      <c r="AF32" s="318" t="n">
        <f>VLOOKUP(B32,'UV台帐'!B:G,6,0)</f>
        <v>0</v>
      </c>
      <c r="AG32" s="318" t="s">
        <v>475</v>
      </c>
      <c r="AH32" s="318" t="s">
        <v>217</v>
      </c>
      <c r="AI32" s="241"/>
      <c r="AJ32" s="508" t="s">
        <v>1477</v>
      </c>
      <c r="AK32" s="508" t="s">
        <v>1477</v>
      </c>
      <c r="AL32" s="290" t="s">
        <v>29</v>
      </c>
      <c r="AM32" s="290"/>
      <c r="AN32" s="290" t="s">
        <v>29</v>
      </c>
      <c r="AO32" s="290"/>
      <c r="AP32" s="484" t="s">
        <v>1478</v>
      </c>
      <c r="AR32" s="436"/>
      <c r="AS32" s="318" t="n">
        <f>COUNTIFS(H32,"零期",I32,"在读")+COUNTIFS(L32,"零期",M32,"在读")+COUNTIFS(P32,"零期",Q32,"在读")</f>
        <v>1</v>
      </c>
      <c r="AT32" s="318" t="n">
        <f>AS32-AX32</f>
        <v>1</v>
      </c>
      <c r="AU32" s="292" t="s">
        <f>VLOOKUP(B32,'UV台帐'!B:AL,19,0)</f>
        <v>116</v>
      </c>
      <c r="AV32" s="292" t="s">
        <f>VLOOKUP(B32,'UV台帐'!B:AL,28,0)</f>
        <v>116</v>
      </c>
      <c r="AW32" s="292" t="s">
        <f>VLOOKUP(B32,'UV台帐'!B:AL,37,0)</f>
        <v>116</v>
      </c>
      <c r="AX32" s="318" t="n">
        <f>COUNTIFS(H32,"零期",AU32,"是")+COUNTIFS(L32,"零期",AV32,"是")+COUNTIFS(P32,"零期",AW32,"是")</f>
        <v>0</v>
      </c>
      <c r="AZ32" s="660" t="s">
        <v>1479</v>
      </c>
      <c r="BA32" s="197" t="s">
        <v>1480</v>
      </c>
    </row>
    <row r="33" s="292" customFormat="1" ht="30" customHeight="1">
      <c r="A33" s="318" t="s">
        <v>45</v>
      </c>
      <c r="B33" s="318" t="n">
        <v>2564941289</v>
      </c>
      <c r="C33" s="114" t="s">
        <f>VLOOKUP(B33,'UV台帐'!B:AL,2,0)</f>
        <v>641</v>
      </c>
      <c r="D33" s="114" t="s">
        <f>VLOOKUP(B33,'UV台帐'!B:AL,3,0)</f>
        <v>48</v>
      </c>
      <c r="E33" s="114" t="s">
        <f>VLOOKUP(B33,'UV台帐'!B:AL,13,0)</f>
        <v>31</v>
      </c>
      <c r="F33" s="114" t="s">
        <f>VLOOKUP(B33,'UV台帐'!B:AL,15,0)</f>
        <v>215</v>
      </c>
      <c r="G33" s="114" t="s">
        <f>VLOOKUP(B33,'UV台帐'!B:AL,16,0)</f>
        <v>283</v>
      </c>
      <c r="H33" s="114" t="s">
        <f>VLOOKUP(B33,'UV台帐'!B:AL,17,0)</f>
        <v>88</v>
      </c>
      <c r="I33" s="114" t="s">
        <f>VLOOKUP(B33,'UV台帐'!B:AL,18,0)</f>
        <v>165</v>
      </c>
      <c r="J33" s="114" t="s">
        <f>VLOOKUP(B33,'UV台帐'!B:AL,22,0)</f>
        <v>116</v>
      </c>
      <c r="K33" s="114" t="s">
        <f>VLOOKUP(B33,'UV台帐'!B:AL,24,0)</f>
        <v>116</v>
      </c>
      <c r="L33" s="114" t="s">
        <f>VLOOKUP(B33,'UV台帐'!B:AL,26,0)</f>
        <v>116</v>
      </c>
      <c r="M33" s="114" t="s">
        <f>VLOOKUP(B33,'UV台帐'!B:AL,27,0)</f>
        <v>116</v>
      </c>
      <c r="N33" s="114" t="s">
        <f>VLOOKUP(B33,'UV台帐'!B:AL,31,0)</f>
        <v>58</v>
      </c>
      <c r="O33" s="114" t="s">
        <f>VLOOKUP(B33,'UV台帐'!B:AL,33,0)</f>
        <v>216</v>
      </c>
      <c r="P33" s="114" t="s">
        <f>VLOOKUP(B33,'UV台帐'!B:AL,35,0)</f>
        <v>88</v>
      </c>
      <c r="Q33" s="114" t="s">
        <f>VLOOKUP(B33,'UV台帐'!B:AL,36,0)</f>
        <v>165</v>
      </c>
      <c r="R33" s="318"/>
      <c r="S33" s="318" t="s">
        <v>218</v>
      </c>
      <c r="T33" s="318" t="s">
        <v>218</v>
      </c>
      <c r="U33" s="318" t="s">
        <v>58</v>
      </c>
      <c r="V33" s="318"/>
      <c r="W33" s="318"/>
      <c r="X33" s="318"/>
      <c r="Y33" s="318"/>
      <c r="Z33" s="318"/>
      <c r="AA33" s="68" t="s">
        <v>58</v>
      </c>
      <c r="AB33" s="318" t="s">
        <v>218</v>
      </c>
      <c r="AC33" s="104"/>
      <c r="AD33" s="104" t="s">
        <v>218</v>
      </c>
      <c r="AE33" s="318" t="s">
        <v>48</v>
      </c>
      <c r="AF33" s="318" t="n">
        <f>VLOOKUP(B33,'UV台帐'!B:G,6,0)</f>
        <v>0</v>
      </c>
      <c r="AG33" s="318" t="s">
        <v>464</v>
      </c>
      <c r="AH33" s="318" t="s">
        <v>217</v>
      </c>
      <c r="AI33" s="241" t="s">
        <v>1481</v>
      </c>
      <c r="AJ33" s="508" t="s">
        <v>1482</v>
      </c>
      <c r="AK33" s="508" t="s">
        <v>1482</v>
      </c>
      <c r="AL33" s="290" t="s">
        <v>27</v>
      </c>
      <c r="AM33" s="290"/>
      <c r="AN33" s="290"/>
      <c r="AO33" s="290" t="s">
        <v>27</v>
      </c>
      <c r="AP33" s="484" t="s">
        <v>1483</v>
      </c>
      <c r="AQ33" s="292" t="s">
        <v>217</v>
      </c>
      <c r="AR33" s="436"/>
      <c r="AS33" s="318" t="n">
        <f>COUNTIFS(H33,"零期",I33,"在读")+COUNTIFS(L33,"零期",M33,"在读")+COUNTIFS(P33,"零期",Q33,"在读")</f>
        <v>2</v>
      </c>
      <c r="AT33" s="318" t="n">
        <f>AS33-AX33</f>
        <v>0</v>
      </c>
      <c r="AU33" s="292" t="s">
        <f>VLOOKUP(B33,'UV台帐'!B:AL,19,0)</f>
        <v>217</v>
      </c>
      <c r="AV33" s="292" t="s">
        <f>VLOOKUP(B33,'UV台帐'!B:AL,28,0)</f>
        <v>116</v>
      </c>
      <c r="AW33" s="292" t="s">
        <f>VLOOKUP(B33,'UV台帐'!B:AL,37,0)</f>
        <v>217</v>
      </c>
      <c r="AX33" s="318" t="n">
        <f>COUNTIFS(H33,"零期",AU33,"是")+COUNTIFS(L33,"零期",AV33,"是")+COUNTIFS(P33,"零期",AW33,"是")</f>
        <v>2</v>
      </c>
      <c r="AZ33" s="483" t="s">
        <v>1484</v>
      </c>
      <c r="BA33" s="197"/>
    </row>
    <row r="34" s="292" customFormat="1" ht="30" customHeight="1">
      <c r="A34" s="318" t="s">
        <v>45</v>
      </c>
      <c r="B34" s="318" t="n">
        <v>2566532002</v>
      </c>
      <c r="C34" s="114" t="s">
        <f>VLOOKUP(B34,'UV台帐'!B:AL,2,0)</f>
        <v>1033</v>
      </c>
      <c r="D34" s="114" t="s">
        <f>VLOOKUP(B34,'UV台帐'!B:AL,3,0)</f>
        <v>59</v>
      </c>
      <c r="E34" s="114" t="s">
        <f>VLOOKUP(B34,'UV台帐'!B:AL,13,0)</f>
        <v>37</v>
      </c>
      <c r="F34" s="114" t="s">
        <f>VLOOKUP(B34,'UV台帐'!B:AL,15,0)</f>
        <v>215</v>
      </c>
      <c r="G34" s="114" t="s">
        <f>VLOOKUP(B34,'UV台帐'!B:AL,16,0)</f>
        <v>283</v>
      </c>
      <c r="H34" s="114" t="s">
        <f>VLOOKUP(B34,'UV台帐'!B:AL,17,0)</f>
        <v>88</v>
      </c>
      <c r="I34" s="114" t="s">
        <f>VLOOKUP(B34,'UV台帐'!B:AL,18,0)</f>
        <v>165</v>
      </c>
      <c r="J34" s="114" t="s">
        <f>VLOOKUP(B34,'UV台帐'!B:AL,22,0)</f>
        <v>49</v>
      </c>
      <c r="K34" s="114" t="s">
        <f>VLOOKUP(B34,'UV台帐'!B:AL,24,0)</f>
        <v>216</v>
      </c>
      <c r="L34" s="114" t="s">
        <f>VLOOKUP(B34,'UV台帐'!B:AL,26,0)</f>
        <v>88</v>
      </c>
      <c r="M34" s="114" t="s">
        <f>VLOOKUP(B34,'UV台帐'!B:AL,27,0)</f>
        <v>165</v>
      </c>
      <c r="N34" s="114" t="s">
        <f>VLOOKUP(B34,'UV台帐'!B:AL,31,0)</f>
        <v>52</v>
      </c>
      <c r="O34" s="114" t="s">
        <f>VLOOKUP(B34,'UV台帐'!B:AL,33,0)</f>
        <v>233</v>
      </c>
      <c r="P34" s="114" t="s">
        <f>VLOOKUP(B34,'UV台帐'!B:AL,35,0)</f>
        <v>88</v>
      </c>
      <c r="Q34" s="114" t="s">
        <f>VLOOKUP(B34,'UV台帐'!B:AL,36,0)</f>
        <v>165</v>
      </c>
      <c r="R34" s="318"/>
      <c r="S34" s="318" t="s">
        <v>218</v>
      </c>
      <c r="T34" s="318" t="s">
        <v>218</v>
      </c>
      <c r="W34" s="318"/>
      <c r="X34" s="318"/>
      <c r="Y34" s="318"/>
      <c r="Z34" s="318"/>
      <c r="AA34" s="68" t="s">
        <v>49</v>
      </c>
      <c r="AB34" s="7" t="s">
        <v>1398</v>
      </c>
      <c r="AC34" s="104" t="s">
        <v>59</v>
      </c>
      <c r="AD34" s="104" t="s">
        <v>218</v>
      </c>
      <c r="AE34" s="318" t="s">
        <v>59</v>
      </c>
      <c r="AF34" s="318" t="s">
        <f>VLOOKUP(B34,'UV台帐'!B:G,6,0)</f>
        <v>1003</v>
      </c>
      <c r="AG34" s="318" t="s">
        <v>267</v>
      </c>
      <c r="AH34" s="318" t="s">
        <v>217</v>
      </c>
      <c r="AI34" s="241" t="s">
        <v>1485</v>
      </c>
      <c r="AJ34" s="508" t="s">
        <v>1486</v>
      </c>
      <c r="AK34" s="508" t="s">
        <v>1486</v>
      </c>
      <c r="AL34" s="290" t="s">
        <v>27</v>
      </c>
      <c r="AM34" s="290" t="s">
        <v>27</v>
      </c>
      <c r="AN34" s="290" t="s">
        <v>27</v>
      </c>
      <c r="AO34" s="290" t="s">
        <v>29</v>
      </c>
      <c r="AP34" s="484" t="s">
        <v>1487</v>
      </c>
      <c r="AQ34" s="292" t="s">
        <v>217</v>
      </c>
      <c r="AR34" s="436" t="s">
        <v>1488</v>
      </c>
      <c r="AS34" s="318" t="n">
        <f>COUNTIFS(H34,"零期",I34,"在读")+COUNTIFS(L34,"零期",M34,"在读")+COUNTIFS(P34,"零期",Q34,"在读")</f>
        <v>3</v>
      </c>
      <c r="AT34" s="318" t="n">
        <f>AS34-AX34</f>
        <v>3</v>
      </c>
      <c r="AU34" s="292" t="s">
        <f>VLOOKUP(B34,'UV台帐'!B:AL,19,0)</f>
        <v>116</v>
      </c>
      <c r="AV34" s="292" t="s">
        <f>VLOOKUP(B34,'UV台帐'!B:AL,28,0)</f>
        <v>116</v>
      </c>
      <c r="AW34" s="292" t="s">
        <f>VLOOKUP(B34,'UV台帐'!B:AL,37,0)</f>
        <v>116</v>
      </c>
      <c r="AX34" s="318" t="n">
        <f>COUNTIFS(H34,"零期",AU34,"是")+COUNTIFS(L34,"零期",AV34,"是")+COUNTIFS(P34,"零期",AW34,"是")</f>
        <v>0</v>
      </c>
      <c r="AZ34" s="483" t="s">
        <v>1489</v>
      </c>
      <c r="BA34" s="197"/>
    </row>
    <row r="35" s="292" customFormat="1" ht="30" customHeight="1">
      <c r="A35" s="318" t="s">
        <v>54</v>
      </c>
      <c r="B35" s="318" t="n">
        <v>2572765383</v>
      </c>
      <c r="C35" s="114" t="s">
        <f>VLOOKUP(B35,'UV台帐'!B:AL,2,0)</f>
        <v>962</v>
      </c>
      <c r="D35" s="114" t="s">
        <f>VLOOKUP(B35,'UV台帐'!B:AL,3,0)</f>
        <v>57</v>
      </c>
      <c r="E35" s="114" t="s">
        <f>VLOOKUP(B35,'UV台帐'!B:AL,13,0)</f>
        <v>116</v>
      </c>
      <c r="F35" s="114" t="s">
        <f>VLOOKUP(B35,'UV台帐'!B:AL,15,0)</f>
        <v>116</v>
      </c>
      <c r="G35" s="114" t="s">
        <f>VLOOKUP(B35,'UV台帐'!B:AL,16,0)</f>
        <v>116</v>
      </c>
      <c r="H35" s="114" t="s">
        <f>VLOOKUP(B35,'UV台帐'!B:AL,17,0)</f>
        <v>116</v>
      </c>
      <c r="I35" s="114" t="s">
        <f>VLOOKUP(B35,'UV台帐'!B:AL,18,0)</f>
        <v>116</v>
      </c>
      <c r="J35" s="114" t="s">
        <f>VLOOKUP(B35,'UV台帐'!B:AL,22,0)</f>
        <v>116</v>
      </c>
      <c r="K35" s="114" t="s">
        <f>VLOOKUP(B35,'UV台帐'!B:AL,24,0)</f>
        <v>116</v>
      </c>
      <c r="L35" s="114" t="s">
        <f>VLOOKUP(B35,'UV台帐'!B:AL,26,0)</f>
        <v>116</v>
      </c>
      <c r="M35" s="114" t="s">
        <f>VLOOKUP(B35,'UV台帐'!B:AL,27,0)</f>
        <v>116</v>
      </c>
      <c r="N35" s="114" t="s">
        <f>VLOOKUP(B35,'UV台帐'!B:AL,31,0)</f>
        <v>56</v>
      </c>
      <c r="O35" s="114" t="s">
        <f>VLOOKUP(B35,'UV台帐'!B:AL,33,0)</f>
        <v>215</v>
      </c>
      <c r="P35" s="114" t="s">
        <f>VLOOKUP(B35,'UV台帐'!B:AL,35,0)</f>
        <v>65</v>
      </c>
      <c r="Q35" s="114" t="s">
        <f>VLOOKUP(B35,'UV台帐'!B:AL,36,0)</f>
        <v>165</v>
      </c>
      <c r="R35" s="318"/>
      <c r="S35" s="318" t="s">
        <v>217</v>
      </c>
      <c r="T35" s="318" t="s">
        <v>218</v>
      </c>
      <c r="W35" s="318"/>
      <c r="X35" s="318"/>
      <c r="Y35" s="318" t="s">
        <v>56</v>
      </c>
      <c r="Z35" s="318"/>
      <c r="AA35" s="68" t="s">
        <v>56</v>
      </c>
      <c r="AB35" s="318" t="s">
        <v>218</v>
      </c>
      <c r="AC35" s="104"/>
      <c r="AD35" s="104" t="s">
        <v>218</v>
      </c>
      <c r="AE35" s="318" t="s">
        <v>57</v>
      </c>
      <c r="AF35" s="318" t="n">
        <f>VLOOKUP(B35,'UV台帐'!B:G,6,0)</f>
        <v>0</v>
      </c>
      <c r="AG35" s="318" t="s">
        <v>267</v>
      </c>
      <c r="AH35" s="318" t="s">
        <v>217</v>
      </c>
      <c r="AI35" s="241"/>
      <c r="AJ35" s="508" t="s">
        <v>1490</v>
      </c>
      <c r="AK35" s="508" t="s">
        <v>1490</v>
      </c>
      <c r="AL35" s="290" t="s">
        <v>28</v>
      </c>
      <c r="AM35" s="290"/>
      <c r="AN35" s="290"/>
      <c r="AO35" s="290" t="s">
        <v>28</v>
      </c>
      <c r="AP35" s="484" t="s">
        <v>1491</v>
      </c>
      <c r="AR35" s="436"/>
      <c r="AS35" s="318" t="n">
        <f>COUNTIFS(H35,"零期",I35,"在读")+COUNTIFS(L35,"零期",M35,"在读")+COUNTIFS(P35,"零期",Q35,"在读")</f>
        <v>0</v>
      </c>
      <c r="AT35" s="318" t="n">
        <f>AS35-AX35</f>
        <v>0</v>
      </c>
      <c r="AU35" s="292" t="s">
        <f>VLOOKUP(B35,'UV台帐'!B:AL,19,0)</f>
        <v>116</v>
      </c>
      <c r="AV35" s="292" t="s">
        <f>VLOOKUP(B35,'UV台帐'!B:AL,28,0)</f>
        <v>116</v>
      </c>
      <c r="AW35" s="292" t="s">
        <f>VLOOKUP(B35,'UV台帐'!B:AL,37,0)</f>
        <v>116</v>
      </c>
      <c r="AX35" s="318" t="n">
        <f>COUNTIFS(H35,"零期",AU35,"是")+COUNTIFS(L35,"零期",AV35,"是")+COUNTIFS(P35,"零期",AW35,"是")</f>
        <v>0</v>
      </c>
      <c r="AZ35" s="483"/>
      <c r="BA35" s="197"/>
    </row>
    <row r="36" s="292" customFormat="1" ht="30" customHeight="1">
      <c r="A36" s="318" t="s">
        <v>45</v>
      </c>
      <c r="B36" s="318" t="n">
        <v>2577448328</v>
      </c>
      <c r="C36" s="114" t="s">
        <f>VLOOKUP(B36,'UV台帐'!B:AL,2,0)</f>
        <v>1053</v>
      </c>
      <c r="D36" s="114" t="s">
        <f>VLOOKUP(B36,'UV台帐'!B:AL,3,0)</f>
        <v>57</v>
      </c>
      <c r="E36" s="114" t="s">
        <f>VLOOKUP(B36,'UV台帐'!B:AL,13,0)</f>
        <v>31</v>
      </c>
      <c r="F36" s="114" t="s">
        <f>VLOOKUP(B36,'UV台帐'!B:AL,15,0)</f>
        <v>215</v>
      </c>
      <c r="G36" s="114" t="s">
        <f>VLOOKUP(B36,'UV台帐'!B:AL,16,0)</f>
        <v>283</v>
      </c>
      <c r="H36" s="114" t="s">
        <f>VLOOKUP(B36,'UV台帐'!B:AL,17,0)</f>
        <v>88</v>
      </c>
      <c r="I36" s="114" t="s">
        <f>VLOOKUP(B36,'UV台帐'!B:AL,18,0)</f>
        <v>165</v>
      </c>
      <c r="J36" s="114" t="s">
        <f>VLOOKUP(B36,'UV台帐'!B:AL,22,0)</f>
        <v>47</v>
      </c>
      <c r="K36" s="114" t="s">
        <f>VLOOKUP(B36,'UV台帐'!B:AL,24,0)</f>
        <v>233</v>
      </c>
      <c r="L36" s="114" t="s">
        <f>VLOOKUP(B36,'UV台帐'!B:AL,26,0)</f>
        <v>88</v>
      </c>
      <c r="M36" s="114" t="s">
        <f>VLOOKUP(B36,'UV台帐'!B:AL,27,0)</f>
        <v>165</v>
      </c>
      <c r="N36" s="114" t="s">
        <f>VLOOKUP(B36,'UV台帐'!B:AL,31,0)</f>
        <v>58</v>
      </c>
      <c r="O36" s="114" t="s">
        <f>VLOOKUP(B36,'UV台帐'!B:AL,33,0)</f>
        <v>216</v>
      </c>
      <c r="P36" s="114" t="s">
        <f>VLOOKUP(B36,'UV台帐'!B:AL,35,0)</f>
        <v>88</v>
      </c>
      <c r="Q36" s="114" t="s">
        <f>VLOOKUP(B36,'UV台帐'!B:AL,36,0)</f>
        <v>165</v>
      </c>
      <c r="R36" s="318"/>
      <c r="S36" s="318" t="s">
        <v>217</v>
      </c>
      <c r="T36" s="318" t="s">
        <v>217</v>
      </c>
      <c r="U36" s="318" t="s">
        <v>58</v>
      </c>
      <c r="V36" s="318"/>
      <c r="W36" s="318"/>
      <c r="X36" s="318"/>
      <c r="Y36" s="114" t="s">
        <v>47</v>
      </c>
      <c r="Z36" s="114"/>
      <c r="AA36" s="68" t="s">
        <v>31</v>
      </c>
      <c r="AB36" s="318" t="s">
        <v>218</v>
      </c>
      <c r="AC36" s="104" t="s">
        <v>1492</v>
      </c>
      <c r="AD36" s="104" t="s">
        <v>1493</v>
      </c>
      <c r="AE36" s="318" t="s">
        <v>57</v>
      </c>
      <c r="AF36" s="318" t="n">
        <f>VLOOKUP(B36,'UV台帐'!B:G,6,0)</f>
        <v>0</v>
      </c>
      <c r="AG36" s="318" t="s">
        <v>1494</v>
      </c>
      <c r="AH36" s="318" t="s">
        <v>217</v>
      </c>
      <c r="AI36" s="241"/>
      <c r="AJ36" s="508" t="s">
        <v>1495</v>
      </c>
      <c r="AK36" s="508" t="s">
        <v>1495</v>
      </c>
      <c r="AL36" s="290" t="s">
        <v>28</v>
      </c>
      <c r="AM36" s="290" t="s">
        <v>28</v>
      </c>
      <c r="AN36" s="290" t="s">
        <v>28</v>
      </c>
      <c r="AO36" s="290" t="s">
        <v>28</v>
      </c>
      <c r="AP36" s="484" t="s">
        <v>1496</v>
      </c>
      <c r="AQ36" s="292" t="s">
        <v>217</v>
      </c>
      <c r="AR36" s="436"/>
      <c r="AS36" s="318" t="n">
        <f>COUNTIFS(H36,"零期",I36,"在读")+COUNTIFS(L36,"零期",M36,"在读")+COUNTIFS(P36,"零期",Q36,"在读")</f>
        <v>3</v>
      </c>
      <c r="AT36" s="318" t="n">
        <f>AS36-AX36</f>
        <v>3</v>
      </c>
      <c r="AU36" s="292" t="s">
        <f>VLOOKUP(B36,'UV台帐'!B:AL,19,0)</f>
        <v>116</v>
      </c>
      <c r="AV36" s="292" t="s">
        <f>VLOOKUP(B36,'UV台帐'!B:AL,28,0)</f>
        <v>116</v>
      </c>
      <c r="AW36" s="292" t="s">
        <f>VLOOKUP(B36,'UV台帐'!B:AL,37,0)</f>
        <v>116</v>
      </c>
      <c r="AX36" s="318" t="n">
        <f>COUNTIFS(H36,"零期",AU36,"是")+COUNTIFS(L36,"零期",AV36,"是")+COUNTIFS(P36,"零期",AW36,"是")</f>
        <v>0</v>
      </c>
      <c r="AZ36" s="483" t="s">
        <v>1497</v>
      </c>
      <c r="BA36" s="197"/>
    </row>
    <row r="37" s="292" customFormat="1" ht="30" customHeight="1">
      <c r="A37" s="318" t="s">
        <v>54</v>
      </c>
      <c r="B37" s="318" t="n">
        <v>2577771687</v>
      </c>
      <c r="C37" s="114" t="s">
        <f>VLOOKUP(B37,'UV台帐'!B:AL,2,0)</f>
        <v>1271</v>
      </c>
      <c r="D37" s="114" t="s">
        <f>VLOOKUP(B37,'UV台帐'!B:AL,3,0)</f>
        <v>57</v>
      </c>
      <c r="E37" s="114" t="s">
        <f>VLOOKUP(B37,'UV台帐'!B:AL,13,0)</f>
        <v>31</v>
      </c>
      <c r="F37" s="114" t="s">
        <f>VLOOKUP(B37,'UV台帐'!B:AL,15,0)</f>
        <v>233</v>
      </c>
      <c r="G37" s="114" t="s">
        <f>VLOOKUP(B37,'UV台帐'!B:AL,16,0)</f>
        <v>234</v>
      </c>
      <c r="H37" s="114" t="s">
        <f>VLOOKUP(B37,'UV台帐'!B:AL,17,0)</f>
        <v>88</v>
      </c>
      <c r="I37" s="114" t="s">
        <f>VLOOKUP(B37,'UV台帐'!B:AL,18,0)</f>
        <v>165</v>
      </c>
      <c r="J37" s="114" t="s">
        <f>VLOOKUP(B37,'UV台帐'!B:AL,22,0)</f>
        <v>43</v>
      </c>
      <c r="K37" s="114" t="s">
        <f>VLOOKUP(B37,'UV台帐'!B:AL,24,0)</f>
        <v>215</v>
      </c>
      <c r="L37" s="114" t="s">
        <f>VLOOKUP(B37,'UV台帐'!B:AL,26,0)</f>
        <v>88</v>
      </c>
      <c r="M37" s="114" t="s">
        <f>VLOOKUP(B37,'UV台帐'!B:AL,27,0)</f>
        <v>165</v>
      </c>
      <c r="N37" s="114" t="s">
        <f>VLOOKUP(B37,'UV台帐'!B:AL,31,0)</f>
        <v>56</v>
      </c>
      <c r="O37" s="114" t="s">
        <f>VLOOKUP(B37,'UV台帐'!B:AL,33,0)</f>
        <v>216</v>
      </c>
      <c r="P37" s="114" t="s">
        <f>VLOOKUP(B37,'UV台帐'!B:AL,35,0)</f>
        <v>88</v>
      </c>
      <c r="Q37" s="114" t="s">
        <f>VLOOKUP(B37,'UV台帐'!B:AL,36,0)</f>
        <v>165</v>
      </c>
      <c r="R37" s="318"/>
      <c r="S37" s="318" t="s">
        <v>217</v>
      </c>
      <c r="T37" s="318" t="s">
        <v>217</v>
      </c>
      <c r="W37" s="318"/>
      <c r="X37" s="318"/>
      <c r="Y37" s="318"/>
      <c r="Z37" s="318"/>
      <c r="AA37" s="68" t="s">
        <v>56</v>
      </c>
      <c r="AB37" s="318" t="s">
        <v>217</v>
      </c>
      <c r="AC37" s="150" t="s">
        <v>1364</v>
      </c>
      <c r="AD37" s="104" t="s">
        <v>217</v>
      </c>
      <c r="AE37" s="318" t="s">
        <v>57</v>
      </c>
      <c r="AF37" s="318" t="n">
        <f>VLOOKUP(B37,'UV台帐'!B:G,6,0)</f>
        <v>0</v>
      </c>
      <c r="AG37" s="318"/>
      <c r="AH37" s="318" t="s">
        <v>217</v>
      </c>
      <c r="AI37" s="241"/>
      <c r="AJ37" s="508" t="s">
        <v>1498</v>
      </c>
      <c r="AK37" s="508" t="s">
        <v>1498</v>
      </c>
      <c r="AL37" s="290"/>
      <c r="AM37" s="290"/>
      <c r="AN37" s="290"/>
      <c r="AO37" s="290"/>
      <c r="AP37" s="484" t="s">
        <v>1498</v>
      </c>
      <c r="AQ37" s="292" t="s">
        <v>217</v>
      </c>
      <c r="AR37" s="436"/>
      <c r="AS37" s="318" t="n">
        <f>COUNTIFS(H37,"零期",I37,"在读")+COUNTIFS(L37,"零期",M37,"在读")+COUNTIFS(P37,"零期",Q37,"在读")</f>
        <v>3</v>
      </c>
      <c r="AT37" s="318" t="n">
        <f>AS37-AX37</f>
        <v>0</v>
      </c>
      <c r="AU37" s="292" t="s">
        <f>VLOOKUP(B37,'UV台帐'!B:AL,19,0)</f>
        <v>217</v>
      </c>
      <c r="AV37" s="292" t="s">
        <f>VLOOKUP(B37,'UV台帐'!B:AL,28,0)</f>
        <v>217</v>
      </c>
      <c r="AW37" s="292" t="s">
        <f>VLOOKUP(B37,'UV台帐'!B:AL,37,0)</f>
        <v>217</v>
      </c>
      <c r="AX37" s="318" t="n">
        <f>COUNTIFS(H37,"零期",AU37,"是")+COUNTIFS(L37,"零期",AV37,"是")+COUNTIFS(P37,"零期",AW37,"是")</f>
        <v>3</v>
      </c>
      <c r="AZ37" s="483" t="s">
        <v>1364</v>
      </c>
      <c r="BA37" s="197"/>
    </row>
    <row r="38" s="292" customFormat="1" ht="30" customHeight="1">
      <c r="A38" s="318" t="s">
        <v>54</v>
      </c>
      <c r="B38" s="318" t="n">
        <v>2578142359</v>
      </c>
      <c r="C38" s="114" t="s">
        <f>VLOOKUP(B38,'UV台帐'!B:AL,2,0)</f>
        <v>1177</v>
      </c>
      <c r="D38" s="114" t="s">
        <f>VLOOKUP(B38,'UV台帐'!B:AL,3,0)</f>
        <v>55</v>
      </c>
      <c r="E38" s="114" t="s">
        <f>VLOOKUP(B38,'UV台帐'!B:AL,13,0)</f>
        <v>31</v>
      </c>
      <c r="F38" s="114" t="s">
        <f>VLOOKUP(B38,'UV台帐'!B:AL,15,0)</f>
        <v>233</v>
      </c>
      <c r="G38" s="114" t="s">
        <f>VLOOKUP(B38,'UV台帐'!B:AL,16,0)</f>
        <v>234</v>
      </c>
      <c r="H38" s="114" t="s">
        <f>VLOOKUP(B38,'UV台帐'!B:AL,17,0)</f>
        <v>88</v>
      </c>
      <c r="I38" s="114" t="s">
        <f>VLOOKUP(B38,'UV台帐'!B:AL,18,0)</f>
        <v>165</v>
      </c>
      <c r="J38" s="114" t="s">
        <f>VLOOKUP(B38,'UV台帐'!B:AL,22,0)</f>
        <v>43</v>
      </c>
      <c r="K38" s="114" t="s">
        <f>VLOOKUP(B38,'UV台帐'!B:AL,24,0)</f>
        <v>215</v>
      </c>
      <c r="L38" s="114" t="s">
        <f>VLOOKUP(B38,'UV台帐'!B:AL,26,0)</f>
        <v>88</v>
      </c>
      <c r="M38" s="114" t="s">
        <f>VLOOKUP(B38,'UV台帐'!B:AL,27,0)</f>
        <v>165</v>
      </c>
      <c r="N38" s="114" t="s">
        <f>VLOOKUP(B38,'UV台帐'!B:AL,31,0)</f>
        <v>56</v>
      </c>
      <c r="O38" s="114" t="s">
        <f>VLOOKUP(B38,'UV台帐'!B:AL,33,0)</f>
        <v>216</v>
      </c>
      <c r="P38" s="114" t="s">
        <f>VLOOKUP(B38,'UV台帐'!B:AL,35,0)</f>
        <v>88</v>
      </c>
      <c r="Q38" s="114" t="s">
        <f>VLOOKUP(B38,'UV台帐'!B:AL,36,0)</f>
        <v>165</v>
      </c>
      <c r="R38" s="318"/>
      <c r="S38" s="318" t="s">
        <v>218</v>
      </c>
      <c r="T38" s="318" t="s">
        <v>218</v>
      </c>
      <c r="W38" s="318"/>
      <c r="X38" s="318"/>
      <c r="Y38" s="318"/>
      <c r="Z38" s="318"/>
      <c r="AA38" s="76" t="s">
        <v>43</v>
      </c>
      <c r="AB38" s="318" t="s">
        <v>1398</v>
      </c>
      <c r="AC38" s="318"/>
      <c r="AD38" s="318" t="s">
        <v>218</v>
      </c>
      <c r="AE38" s="318" t="s">
        <v>55</v>
      </c>
      <c r="AF38" s="318" t="n">
        <f>VLOOKUP(B38,'UV台帐'!B:G,6,0)</f>
        <v>0</v>
      </c>
      <c r="AG38" s="318" t="s">
        <v>1499</v>
      </c>
      <c r="AH38" s="318" t="s">
        <v>217</v>
      </c>
      <c r="AI38" s="241" t="s">
        <v>1500</v>
      </c>
      <c r="AJ38" s="508" t="s">
        <v>1501</v>
      </c>
      <c r="AK38" s="508" t="s">
        <v>1501</v>
      </c>
      <c r="AL38" s="290" t="s">
        <v>28</v>
      </c>
      <c r="AM38" s="290" t="s">
        <v>28</v>
      </c>
      <c r="AN38" s="290" t="s">
        <v>28</v>
      </c>
      <c r="AO38" s="290" t="s">
        <v>28</v>
      </c>
      <c r="AP38" s="484" t="s">
        <v>1502</v>
      </c>
      <c r="AQ38" s="292" t="s">
        <v>217</v>
      </c>
      <c r="AR38" s="436"/>
      <c r="AS38" s="318" t="n">
        <f>COUNTIFS(H38,"零期",I38,"在读")+COUNTIFS(L38,"零期",M38,"在读")+COUNTIFS(P38,"零期",Q38,"在读")</f>
        <v>3</v>
      </c>
      <c r="AT38" s="318" t="n">
        <f>AS38-AX38</f>
        <v>3</v>
      </c>
      <c r="AU38" s="292" t="s">
        <f>VLOOKUP(B38,'UV台帐'!B:AL,19,0)</f>
        <v>116</v>
      </c>
      <c r="AV38" s="292" t="s">
        <f>VLOOKUP(B38,'UV台帐'!B:AL,28,0)</f>
        <v>116</v>
      </c>
      <c r="AW38" s="292" t="s">
        <f>VLOOKUP(B38,'UV台帐'!B:AL,37,0)</f>
        <v>116</v>
      </c>
      <c r="AX38" s="318" t="n">
        <f>COUNTIFS(H38,"零期",AU38,"是")+COUNTIFS(L38,"零期",AV38,"是")+COUNTIFS(P38,"零期",AW38,"是")</f>
        <v>0</v>
      </c>
      <c r="AZ38" s="483"/>
      <c r="BA38" s="197"/>
    </row>
    <row r="39" s="292" customFormat="1" ht="30" customHeight="1">
      <c r="A39" s="318" t="s">
        <v>45</v>
      </c>
      <c r="B39" s="318" t="n">
        <v>2578637555</v>
      </c>
      <c r="C39" s="114" t="s">
        <f>VLOOKUP(B39,'UV台帐'!B:AL,2,0)</f>
        <v>1338</v>
      </c>
      <c r="D39" s="114" t="s">
        <f>VLOOKUP(B39,'UV台帐'!B:AL,3,0)</f>
        <v>57</v>
      </c>
      <c r="E39" s="114" t="s">
        <f>VLOOKUP(B39,'UV台帐'!B:AL,13,0)</f>
        <v>31</v>
      </c>
      <c r="F39" s="114" t="s">
        <f>VLOOKUP(B39,'UV台帐'!B:AL,15,0)</f>
        <v>215</v>
      </c>
      <c r="G39" s="114" t="s">
        <f>VLOOKUP(B39,'UV台帐'!B:AL,16,0)</f>
        <v>283</v>
      </c>
      <c r="H39" s="114" t="s">
        <f>VLOOKUP(B39,'UV台帐'!B:AL,17,0)</f>
        <v>88</v>
      </c>
      <c r="I39" s="114" t="s">
        <f>VLOOKUP(B39,'UV台帐'!B:AL,18,0)</f>
        <v>165</v>
      </c>
      <c r="J39" s="114" t="s">
        <f>VLOOKUP(B39,'UV台帐'!B:AL,22,0)</f>
        <v>47</v>
      </c>
      <c r="K39" s="114" t="s">
        <f>VLOOKUP(B39,'UV台帐'!B:AL,24,0)</f>
        <v>233</v>
      </c>
      <c r="L39" s="114" t="s">
        <f>VLOOKUP(B39,'UV台帐'!B:AL,26,0)</f>
        <v>88</v>
      </c>
      <c r="M39" s="114" t="s">
        <f>VLOOKUP(B39,'UV台帐'!B:AL,27,0)</f>
        <v>165</v>
      </c>
      <c r="N39" s="114" t="s">
        <f>VLOOKUP(B39,'UV台帐'!B:AL,31,0)</f>
        <v>58</v>
      </c>
      <c r="O39" s="114" t="s">
        <f>VLOOKUP(B39,'UV台帐'!B:AL,33,0)</f>
        <v>216</v>
      </c>
      <c r="P39" s="114" t="s">
        <f>VLOOKUP(B39,'UV台帐'!B:AL,35,0)</f>
        <v>88</v>
      </c>
      <c r="Q39" s="114" t="s">
        <f>VLOOKUP(B39,'UV台帐'!B:AL,36,0)</f>
        <v>165</v>
      </c>
      <c r="R39" s="318"/>
      <c r="S39" s="318" t="s">
        <v>217</v>
      </c>
      <c r="T39" s="318" t="s">
        <v>217</v>
      </c>
      <c r="W39" s="318" t="s">
        <v>58</v>
      </c>
      <c r="X39" s="318"/>
      <c r="Y39" s="318"/>
      <c r="Z39" s="318"/>
      <c r="AA39" s="68" t="s">
        <v>58</v>
      </c>
      <c r="AB39" s="318" t="s">
        <v>217</v>
      </c>
      <c r="AC39" s="81" t="s">
        <v>1492</v>
      </c>
      <c r="AD39" s="104" t="s">
        <v>217</v>
      </c>
      <c r="AE39" s="318" t="s">
        <v>57</v>
      </c>
      <c r="AF39" s="318" t="n">
        <f>VLOOKUP(B39,'UV台帐'!B:G,6,0)</f>
        <v>0</v>
      </c>
      <c r="AG39" s="318" t="s">
        <v>1503</v>
      </c>
      <c r="AH39" s="318" t="s">
        <v>217</v>
      </c>
      <c r="AI39" s="241"/>
      <c r="AJ39" s="508" t="s">
        <v>1504</v>
      </c>
      <c r="AK39" s="508" t="s">
        <v>1504</v>
      </c>
      <c r="AL39" s="290" t="s">
        <v>25</v>
      </c>
      <c r="AM39" s="290" t="s">
        <v>25</v>
      </c>
      <c r="AN39" s="290" t="s">
        <v>27</v>
      </c>
      <c r="AO39" s="290" t="s">
        <v>28</v>
      </c>
      <c r="AP39" s="484" t="s">
        <v>1505</v>
      </c>
      <c r="AQ39" s="292" t="s">
        <v>217</v>
      </c>
      <c r="AR39" s="436"/>
      <c r="AS39" s="318" t="n">
        <f>COUNTIFS(H39,"零期",I39,"在读")+COUNTIFS(L39,"零期",M39,"在读")+COUNTIFS(P39,"零期",Q39,"在读")</f>
        <v>3</v>
      </c>
      <c r="AT39" s="318" t="n">
        <f>AS39-AX39</f>
        <v>2</v>
      </c>
      <c r="AU39" s="292" t="s">
        <f>VLOOKUP(B39,'UV台帐'!B:AL,19,0)</f>
        <v>217</v>
      </c>
      <c r="AV39" s="292" t="s">
        <f>VLOOKUP(B39,'UV台帐'!B:AL,28,0)</f>
        <v>116</v>
      </c>
      <c r="AW39" s="292" t="s">
        <f>VLOOKUP(B39,'UV台帐'!B:AL,37,0)</f>
        <v>116</v>
      </c>
      <c r="AX39" s="318" t="n">
        <f>COUNTIFS(H39,"零期",AU39,"是")+COUNTIFS(L39,"零期",AV39,"是")+COUNTIFS(P39,"零期",AW39,"是")</f>
        <v>1</v>
      </c>
      <c r="AZ39" s="496" t="s">
        <v>1506</v>
      </c>
      <c r="BA39" s="197"/>
    </row>
    <row r="40" s="292" customFormat="1" ht="30" customHeight="1">
      <c r="A40" s="318" t="s">
        <v>45</v>
      </c>
      <c r="B40" s="318" t="n">
        <v>2581075620</v>
      </c>
      <c r="C40" s="114" t="s">
        <f>VLOOKUP(B40,'UV台帐'!B:AL,2,0)</f>
        <v>1069</v>
      </c>
      <c r="D40" s="114" t="s">
        <f>VLOOKUP(B40,'UV台帐'!B:AL,3,0)</f>
        <v>48</v>
      </c>
      <c r="E40" s="114" t="s">
        <f>VLOOKUP(B40,'UV台帐'!B:AL,13,0)</f>
        <v>37</v>
      </c>
      <c r="F40" s="114" t="s">
        <f>VLOOKUP(B40,'UV台帐'!B:AL,15,0)</f>
        <v>215</v>
      </c>
      <c r="G40" s="114" t="s">
        <f>VLOOKUP(B40,'UV台帐'!B:AL,16,0)</f>
        <v>283</v>
      </c>
      <c r="H40" s="114" t="s">
        <f>VLOOKUP(B40,'UV台帐'!B:AL,17,0)</f>
        <v>88</v>
      </c>
      <c r="I40" s="114" t="s">
        <f>VLOOKUP(B40,'UV台帐'!B:AL,18,0)</f>
        <v>165</v>
      </c>
      <c r="J40" s="114" t="s">
        <f>VLOOKUP(B40,'UV台帐'!B:AL,22,0)</f>
        <v>116</v>
      </c>
      <c r="K40" s="114" t="s">
        <f>VLOOKUP(B40,'UV台帐'!B:AL,24,0)</f>
        <v>116</v>
      </c>
      <c r="L40" s="114" t="s">
        <f>VLOOKUP(B40,'UV台帐'!B:AL,26,0)</f>
        <v>116</v>
      </c>
      <c r="M40" s="114" t="s">
        <f>VLOOKUP(B40,'UV台帐'!B:AL,27,0)</f>
        <v>116</v>
      </c>
      <c r="N40" s="114" t="s">
        <f>VLOOKUP(B40,'UV台帐'!B:AL,31,0)</f>
        <v>116</v>
      </c>
      <c r="O40" s="114" t="s">
        <f>VLOOKUP(B40,'UV台帐'!B:AL,33,0)</f>
        <v>116</v>
      </c>
      <c r="P40" s="114" t="s">
        <f>VLOOKUP(B40,'UV台帐'!B:AL,35,0)</f>
        <v>116</v>
      </c>
      <c r="Q40" s="114" t="s">
        <f>VLOOKUP(B40,'UV台帐'!B:AL,36,0)</f>
        <v>116</v>
      </c>
      <c r="R40" s="318"/>
      <c r="S40" s="318" t="s">
        <v>218</v>
      </c>
      <c r="T40" s="318" t="s">
        <v>218</v>
      </c>
      <c r="W40" s="318"/>
      <c r="X40" s="318"/>
      <c r="Y40" s="318"/>
      <c r="Z40" s="318"/>
      <c r="AA40" s="68" t="s">
        <v>37</v>
      </c>
      <c r="AB40" s="581" t="s">
        <v>218</v>
      </c>
      <c r="AC40" s="104"/>
      <c r="AD40" s="104" t="s">
        <v>218</v>
      </c>
      <c r="AE40" s="318" t="s">
        <v>48</v>
      </c>
      <c r="AF40" s="318" t="n">
        <f>VLOOKUP(B40,'UV台帐'!B:G,6,0)</f>
        <v>0</v>
      </c>
      <c r="AG40" s="318"/>
      <c r="AH40" s="318" t="s">
        <v>217</v>
      </c>
      <c r="AI40" s="241" t="s">
        <v>1507</v>
      </c>
      <c r="AJ40" s="508" t="s">
        <v>1508</v>
      </c>
      <c r="AK40" s="508" t="s">
        <v>1508</v>
      </c>
      <c r="AL40" s="290" t="s">
        <v>29</v>
      </c>
      <c r="AM40" s="290" t="s">
        <v>29</v>
      </c>
      <c r="AN40" s="290"/>
      <c r="AO40" s="290"/>
      <c r="AP40" s="484" t="s">
        <v>1509</v>
      </c>
      <c r="AR40" s="436"/>
      <c r="AS40" s="318" t="n">
        <f>COUNTIFS(H40,"零期",I40,"在读")+COUNTIFS(L40,"零期",M40,"在读")+COUNTIFS(P40,"零期",Q40,"在读")</f>
        <v>1</v>
      </c>
      <c r="AT40" s="318" t="n">
        <f>AS40-AX40</f>
        <v>1</v>
      </c>
      <c r="AU40" s="292" t="s">
        <f>VLOOKUP(B40,'UV台帐'!B:AL,19,0)</f>
        <v>116</v>
      </c>
      <c r="AV40" s="292" t="s">
        <f>VLOOKUP(B40,'UV台帐'!B:AL,28,0)</f>
        <v>116</v>
      </c>
      <c r="AW40" s="292" t="s">
        <f>VLOOKUP(B40,'UV台帐'!B:AL,37,0)</f>
        <v>116</v>
      </c>
      <c r="AX40" s="318" t="n">
        <f>COUNTIFS(H40,"零期",AU40,"是")+COUNTIFS(L40,"零期",AV40,"是")+COUNTIFS(P40,"零期",AW40,"是")</f>
        <v>0</v>
      </c>
      <c r="AZ40" s="483" t="s">
        <v>1510</v>
      </c>
      <c r="BA40" s="197"/>
    </row>
    <row r="41" s="292" customFormat="1" ht="30" customHeight="1">
      <c r="A41" s="318" t="s">
        <v>54</v>
      </c>
      <c r="B41" s="318" t="n">
        <v>2583024622</v>
      </c>
      <c r="C41" s="114" t="s">
        <f>VLOOKUP(B41,'UV台帐'!B:AL,2,0)</f>
        <v>1225</v>
      </c>
      <c r="D41" s="114" t="s">
        <f>VLOOKUP(B41,'UV台帐'!B:AL,3,0)</f>
        <v>38</v>
      </c>
      <c r="E41" s="114" t="s">
        <f>VLOOKUP(B41,'UV台帐'!B:AL,13,0)</f>
        <v>31</v>
      </c>
      <c r="F41" s="114" t="s">
        <f>VLOOKUP(B41,'UV台帐'!B:AL,15,0)</f>
        <v>233</v>
      </c>
      <c r="G41" s="114" t="s">
        <f>VLOOKUP(B41,'UV台帐'!B:AL,16,0)</f>
        <v>234</v>
      </c>
      <c r="H41" s="114" t="s">
        <f>VLOOKUP(B41,'UV台帐'!B:AL,17,0)</f>
        <v>88</v>
      </c>
      <c r="I41" s="114" t="s">
        <f>VLOOKUP(B41,'UV台帐'!B:AL,18,0)</f>
        <v>165</v>
      </c>
      <c r="J41" s="114" t="s">
        <f>VLOOKUP(B41,'UV台帐'!B:AL,22,0)</f>
        <v>43</v>
      </c>
      <c r="K41" s="114" t="s">
        <f>VLOOKUP(B41,'UV台帐'!B:AL,24,0)</f>
        <v>215</v>
      </c>
      <c r="L41" s="114" t="s">
        <f>VLOOKUP(B41,'UV台帐'!B:AL,26,0)</f>
        <v>88</v>
      </c>
      <c r="M41" s="114" t="s">
        <f>VLOOKUP(B41,'UV台帐'!B:AL,27,0)</f>
        <v>165</v>
      </c>
      <c r="N41" s="114" t="s">
        <f>VLOOKUP(B41,'UV台帐'!B:AL,31,0)</f>
        <v>56</v>
      </c>
      <c r="O41" s="114" t="s">
        <f>VLOOKUP(B41,'UV台帐'!B:AL,33,0)</f>
        <v>216</v>
      </c>
      <c r="P41" s="114" t="s">
        <f>VLOOKUP(B41,'UV台帐'!B:AL,35,0)</f>
        <v>88</v>
      </c>
      <c r="Q41" s="114" t="s">
        <f>VLOOKUP(B41,'UV台帐'!B:AL,36,0)</f>
        <v>165</v>
      </c>
      <c r="R41" s="318"/>
      <c r="S41" s="318" t="s">
        <v>217</v>
      </c>
      <c r="T41" s="318" t="s">
        <v>217</v>
      </c>
      <c r="U41" s="292" t="s">
        <v>43</v>
      </c>
      <c r="W41" s="318" t="s">
        <v>52</v>
      </c>
      <c r="X41" s="318"/>
      <c r="Y41" s="318"/>
      <c r="Z41" s="318"/>
      <c r="AA41" s="68" t="s">
        <v>31</v>
      </c>
      <c r="AB41" s="318" t="s">
        <v>1398</v>
      </c>
      <c r="AC41" s="104"/>
      <c r="AD41" s="104" t="s">
        <v>218</v>
      </c>
      <c r="AE41" s="318" t="s">
        <v>38</v>
      </c>
      <c r="AF41" s="318" t="s">
        <f>VLOOKUP(B41,'UV台帐'!B:G,6,0)</f>
        <v>1224</v>
      </c>
      <c r="AG41" s="318" t="s">
        <v>1511</v>
      </c>
      <c r="AH41" s="318" t="s">
        <v>217</v>
      </c>
      <c r="AI41" s="241" t="s">
        <v>1512</v>
      </c>
      <c r="AJ41" s="508" t="s">
        <v>1513</v>
      </c>
      <c r="AK41" s="508" t="s">
        <v>1513</v>
      </c>
      <c r="AL41" s="290" t="s">
        <v>29</v>
      </c>
      <c r="AM41" s="290" t="s">
        <v>29</v>
      </c>
      <c r="AN41" s="290" t="s">
        <v>29</v>
      </c>
      <c r="AO41" s="290" t="s">
        <v>29</v>
      </c>
      <c r="AP41" s="661" t="s">
        <v>1514</v>
      </c>
      <c r="AR41" s="436"/>
      <c r="AS41" s="318" t="n">
        <f>COUNTIFS(H41,"零期",I41,"在读")+COUNTIFS(L41,"零期",M41,"在读")+COUNTIFS(P41,"零期",Q41,"在读")</f>
        <v>3</v>
      </c>
      <c r="AT41" s="318" t="n">
        <f>AS41-AX41</f>
        <v>3</v>
      </c>
      <c r="AU41" s="292" t="s">
        <f>VLOOKUP(B41,'UV台帐'!B:AL,19,0)</f>
        <v>116</v>
      </c>
      <c r="AV41" s="292" t="s">
        <f>VLOOKUP(B41,'UV台帐'!B:AL,28,0)</f>
        <v>116</v>
      </c>
      <c r="AW41" s="292" t="s">
        <f>VLOOKUP(B41,'UV台帐'!B:AL,37,0)</f>
        <v>116</v>
      </c>
      <c r="AX41" s="318" t="n">
        <f>COUNTIFS(H41,"零期",AU41,"是")+COUNTIFS(L41,"零期",AV41,"是")+COUNTIFS(P41,"零期",AW41,"是")</f>
        <v>0</v>
      </c>
      <c r="AZ41" s="483"/>
      <c r="BA41" s="334"/>
    </row>
    <row r="42" s="292" customFormat="1" ht="30" customHeight="1">
      <c r="A42" s="318" t="s">
        <v>45</v>
      </c>
      <c r="B42" s="318" t="n">
        <v>2596648105</v>
      </c>
      <c r="C42" s="114" t="s">
        <f>VLOOKUP(B42,'UV台帐'!B:AL,2,0)</f>
        <v>1086</v>
      </c>
      <c r="D42" s="114" t="s">
        <f>VLOOKUP(B42,'UV台帐'!B:AL,3,0)</f>
        <v>48</v>
      </c>
      <c r="E42" s="114" t="s">
        <f>VLOOKUP(B42,'UV台帐'!B:AL,13,0)</f>
        <v>31</v>
      </c>
      <c r="F42" s="114" t="s">
        <f>VLOOKUP(B42,'UV台帐'!B:AL,15,0)</f>
        <v>215</v>
      </c>
      <c r="G42" s="114" t="s">
        <f>VLOOKUP(B42,'UV台帐'!B:AL,16,0)</f>
        <v>283</v>
      </c>
      <c r="H42" s="114" t="s">
        <f>VLOOKUP(B42,'UV台帐'!B:AL,17,0)</f>
        <v>88</v>
      </c>
      <c r="I42" s="114" t="s">
        <f>VLOOKUP(B42,'UV台帐'!B:AL,18,0)</f>
        <v>165</v>
      </c>
      <c r="J42" s="114" t="s">
        <f>VLOOKUP(B42,'UV台帐'!B:AL,22,0)</f>
        <v>47</v>
      </c>
      <c r="K42" s="114" t="s">
        <f>VLOOKUP(B42,'UV台帐'!B:AL,24,0)</f>
        <v>233</v>
      </c>
      <c r="L42" s="114" t="s">
        <f>VLOOKUP(B42,'UV台帐'!B:AL,26,0)</f>
        <v>88</v>
      </c>
      <c r="M42" s="114" t="s">
        <f>VLOOKUP(B42,'UV台帐'!B:AL,27,0)</f>
        <v>165</v>
      </c>
      <c r="N42" s="114" t="s">
        <f>VLOOKUP(B42,'UV台帐'!B:AL,31,0)</f>
        <v>58</v>
      </c>
      <c r="O42" s="114" t="s">
        <f>VLOOKUP(B42,'UV台帐'!B:AL,33,0)</f>
        <v>216</v>
      </c>
      <c r="P42" s="114" t="s">
        <f>VLOOKUP(B42,'UV台帐'!B:AL,35,0)</f>
        <v>88</v>
      </c>
      <c r="Q42" s="114" t="s">
        <f>VLOOKUP(B42,'UV台帐'!B:AL,36,0)</f>
        <v>165</v>
      </c>
      <c r="R42" s="318"/>
      <c r="S42" s="318" t="s">
        <v>217</v>
      </c>
      <c r="T42" s="318" t="s">
        <v>217</v>
      </c>
      <c r="W42" s="318"/>
      <c r="X42" s="318"/>
      <c r="Y42" s="318" t="s">
        <v>58</v>
      </c>
      <c r="Z42" s="318"/>
      <c r="AA42" s="68" t="s">
        <v>58</v>
      </c>
      <c r="AB42" s="318" t="s">
        <v>217</v>
      </c>
      <c r="AC42" s="104" t="s">
        <v>1448</v>
      </c>
      <c r="AD42" s="104" t="s">
        <v>217</v>
      </c>
      <c r="AE42" s="318" t="s">
        <v>48</v>
      </c>
      <c r="AF42" s="318" t="n">
        <f>VLOOKUP(B42,'UV台帐'!B:G,6,0)</f>
        <v>0</v>
      </c>
      <c r="AG42" s="318"/>
      <c r="AH42" s="318" t="s">
        <v>217</v>
      </c>
      <c r="AI42" s="241" t="s">
        <v>1466</v>
      </c>
      <c r="AJ42" s="508" t="s">
        <v>1515</v>
      </c>
      <c r="AK42" s="508" t="s">
        <v>1515</v>
      </c>
      <c r="AL42" s="290" t="s">
        <v>27</v>
      </c>
      <c r="AM42" s="290"/>
      <c r="AN42" s="290" t="s">
        <v>27</v>
      </c>
      <c r="AO42" s="290"/>
      <c r="AP42" s="484" t="s">
        <v>1516</v>
      </c>
      <c r="AR42" s="436"/>
      <c r="AS42" s="318" t="n">
        <f>COUNTIFS(H42,"零期",I42,"在读")+COUNTIFS(L42,"零期",M42,"在读")+COUNTIFS(P42,"零期",Q42,"在读")</f>
        <v>3</v>
      </c>
      <c r="AT42" s="318" t="n">
        <f>AS42-AX42</f>
        <v>1</v>
      </c>
      <c r="AU42" s="292" t="s">
        <f>VLOOKUP(B42,'UV台帐'!B:AL,19,0)</f>
        <v>217</v>
      </c>
      <c r="AV42" s="292" t="s">
        <f>VLOOKUP(B42,'UV台帐'!B:AL,28,0)</f>
        <v>116</v>
      </c>
      <c r="AW42" s="292" t="s">
        <f>VLOOKUP(B42,'UV台帐'!B:AL,37,0)</f>
        <v>217</v>
      </c>
      <c r="AX42" s="318" t="n">
        <f>COUNTIFS(H42,"零期",AU42,"是")+COUNTIFS(L42,"零期",AV42,"是")+COUNTIFS(P42,"零期",AW42,"是")</f>
        <v>2</v>
      </c>
      <c r="AZ42" s="483" t="s">
        <v>1517</v>
      </c>
      <c r="BA42" s="197"/>
    </row>
    <row r="43" s="292" customFormat="1" ht="30" customHeight="1">
      <c r="A43" s="318" t="s">
        <v>54</v>
      </c>
      <c r="B43" s="318" t="n">
        <v>2658073609</v>
      </c>
      <c r="C43" s="114" t="s">
        <f>VLOOKUP(B43,'UV台帐'!B:AL,2,0)</f>
        <v>298</v>
      </c>
      <c r="D43" s="114" t="s">
        <f>VLOOKUP(B43,'UV台帐'!B:AL,3,0)</f>
        <v>59</v>
      </c>
      <c r="E43" s="114" t="s">
        <f>VLOOKUP(B43,'UV台帐'!B:AL,13,0)</f>
        <v>37</v>
      </c>
      <c r="F43" s="114" t="s">
        <f>VLOOKUP(B43,'UV台帐'!B:AL,15,0)</f>
        <v>216</v>
      </c>
      <c r="G43" s="114" t="s">
        <f>VLOOKUP(B43,'UV台帐'!B:AL,16,0)</f>
        <v>283</v>
      </c>
      <c r="H43" s="114" t="s">
        <f>VLOOKUP(B43,'UV台帐'!B:AL,17,0)</f>
        <v>88</v>
      </c>
      <c r="I43" s="114" t="s">
        <f>VLOOKUP(B43,'UV台帐'!B:AL,18,0)</f>
        <v>165</v>
      </c>
      <c r="J43" s="114" t="s">
        <f>VLOOKUP(B43,'UV台帐'!B:AL,22,0)</f>
        <v>47</v>
      </c>
      <c r="K43" s="114" t="s">
        <f>VLOOKUP(B43,'UV台帐'!B:AL,24,0)</f>
        <v>215</v>
      </c>
      <c r="L43" s="114" t="s">
        <f>VLOOKUP(B43,'UV台帐'!B:AL,26,0)</f>
        <v>88</v>
      </c>
      <c r="M43" s="114" t="s">
        <f>VLOOKUP(B43,'UV台帐'!B:AL,27,0)</f>
        <v>165</v>
      </c>
      <c r="N43" s="114" t="s">
        <f>VLOOKUP(B43,'UV台帐'!B:AL,31,0)</f>
        <v>56</v>
      </c>
      <c r="O43" s="114" t="s">
        <f>VLOOKUP(B43,'UV台帐'!B:AL,33,0)</f>
        <v>233</v>
      </c>
      <c r="P43" s="114" t="s">
        <f>VLOOKUP(B43,'UV台帐'!B:AL,35,0)</f>
        <v>88</v>
      </c>
      <c r="Q43" s="114" t="s">
        <f>VLOOKUP(B43,'UV台帐'!B:AL,36,0)</f>
        <v>165</v>
      </c>
      <c r="R43" s="318"/>
      <c r="S43" s="318" t="s">
        <v>217</v>
      </c>
      <c r="T43" s="318" t="s">
        <v>217</v>
      </c>
      <c r="W43" s="318" t="s">
        <v>37</v>
      </c>
      <c r="X43" s="318"/>
      <c r="Y43" s="114" t="s">
        <v>47</v>
      </c>
      <c r="Z43" s="114"/>
      <c r="AA43" s="68" t="s">
        <v>37</v>
      </c>
      <c r="AB43" s="318" t="s">
        <v>217</v>
      </c>
      <c r="AC43" s="149" t="s">
        <v>1378</v>
      </c>
      <c r="AD43" s="104" t="s">
        <v>217</v>
      </c>
      <c r="AE43" s="318" t="s">
        <v>59</v>
      </c>
      <c r="AF43" s="318" t="s">
        <f>VLOOKUP(B43,'UV台帐'!B:G,6,0)</f>
        <v>533</v>
      </c>
      <c r="AG43" s="318" t="s">
        <v>1518</v>
      </c>
      <c r="AH43" s="318" t="s">
        <v>217</v>
      </c>
      <c r="AI43" s="241" t="s">
        <v>1519</v>
      </c>
      <c r="AJ43" s="508" t="s">
        <v>1520</v>
      </c>
      <c r="AK43" s="508" t="s">
        <v>1520</v>
      </c>
      <c r="AL43" s="290" t="s">
        <v>27</v>
      </c>
      <c r="AM43" s="290" t="s">
        <v>27</v>
      </c>
      <c r="AN43" s="290" t="s">
        <v>27</v>
      </c>
      <c r="AO43" s="290" t="s">
        <v>27</v>
      </c>
      <c r="AP43" s="484" t="s">
        <v>1521</v>
      </c>
      <c r="AQ43" s="292" t="s">
        <v>217</v>
      </c>
      <c r="AR43" s="436" t="s">
        <v>1522</v>
      </c>
      <c r="AS43" s="318" t="n">
        <f>COUNTIFS(H43,"零期",I43,"在读")+COUNTIFS(L43,"零期",M43,"在读")+COUNTIFS(P43,"零期",Q43,"在读")</f>
        <v>3</v>
      </c>
      <c r="AT43" s="318" t="n">
        <f>AS43-AX43</f>
        <v>3</v>
      </c>
      <c r="AU43" s="292" t="s">
        <f>VLOOKUP(B43,'UV台帐'!B:AL,19,0)</f>
        <v>116</v>
      </c>
      <c r="AV43" s="292" t="s">
        <f>VLOOKUP(B43,'UV台帐'!B:AL,28,0)</f>
        <v>116</v>
      </c>
      <c r="AW43" s="292" t="s">
        <f>VLOOKUP(B43,'UV台帐'!B:AL,37,0)</f>
        <v>116</v>
      </c>
      <c r="AX43" s="318" t="n">
        <f>COUNTIFS(H43,"零期",AU43,"是")+COUNTIFS(L43,"零期",AV43,"是")+COUNTIFS(P43,"零期",AW43,"是")</f>
        <v>0</v>
      </c>
      <c r="AZ43" s="483" t="s">
        <v>1523</v>
      </c>
      <c r="BA43" s="197"/>
    </row>
    <row r="44" s="292" customFormat="1" ht="30" customHeight="1">
      <c r="A44" s="318" t="s">
        <v>54</v>
      </c>
      <c r="B44" s="318" t="n">
        <v>2716091722</v>
      </c>
      <c r="C44" s="114" t="s">
        <f>VLOOKUP(B44,'UV台帐'!B:AL,2,0)</f>
        <v>1036</v>
      </c>
      <c r="D44" s="114" t="s">
        <f>VLOOKUP(B44,'UV台帐'!B:AL,3,0)</f>
        <v>57</v>
      </c>
      <c r="E44" s="114" t="s">
        <f>VLOOKUP(B44,'UV台帐'!B:AL,13,0)</f>
        <v>37</v>
      </c>
      <c r="F44" s="114" t="s">
        <f>VLOOKUP(B44,'UV台帐'!B:AL,15,0)</f>
        <v>216</v>
      </c>
      <c r="G44" s="114" t="s">
        <f>VLOOKUP(B44,'UV台帐'!B:AL,16,0)</f>
        <v>283</v>
      </c>
      <c r="H44" s="114" t="s">
        <f>VLOOKUP(B44,'UV台帐'!B:AL,17,0)</f>
        <v>88</v>
      </c>
      <c r="I44" s="114" t="s">
        <f>VLOOKUP(B44,'UV台帐'!B:AL,18,0)</f>
        <v>165</v>
      </c>
      <c r="J44" s="114" t="s">
        <f>VLOOKUP(B44,'UV台帐'!B:AL,22,0)</f>
        <v>47</v>
      </c>
      <c r="K44" s="114" t="s">
        <f>VLOOKUP(B44,'UV台帐'!B:AL,24,0)</f>
        <v>215</v>
      </c>
      <c r="L44" s="114" t="s">
        <f>VLOOKUP(B44,'UV台帐'!B:AL,26,0)</f>
        <v>88</v>
      </c>
      <c r="M44" s="114" t="s">
        <f>VLOOKUP(B44,'UV台帐'!B:AL,27,0)</f>
        <v>165</v>
      </c>
      <c r="N44" s="114" t="s">
        <f>VLOOKUP(B44,'UV台帐'!B:AL,31,0)</f>
        <v>56</v>
      </c>
      <c r="O44" s="114" t="s">
        <f>VLOOKUP(B44,'UV台帐'!B:AL,33,0)</f>
        <v>233</v>
      </c>
      <c r="P44" s="114" t="s">
        <f>VLOOKUP(B44,'UV台帐'!B:AL,35,0)</f>
        <v>88</v>
      </c>
      <c r="Q44" s="114" t="s">
        <f>VLOOKUP(B44,'UV台帐'!B:AL,36,0)</f>
        <v>165</v>
      </c>
      <c r="R44" s="318"/>
      <c r="S44" s="318" t="s">
        <v>217</v>
      </c>
      <c r="T44" s="318" t="s">
        <v>218</v>
      </c>
      <c r="W44" s="318"/>
      <c r="X44" s="318"/>
      <c r="Y44" s="318" t="s">
        <v>1524</v>
      </c>
      <c r="Z44" s="318"/>
      <c r="AA44" s="68" t="s">
        <v>47</v>
      </c>
      <c r="AB44" s="318" t="s">
        <v>217</v>
      </c>
      <c r="AC44" s="104"/>
      <c r="AD44" s="104" t="s">
        <v>217</v>
      </c>
      <c r="AE44" s="318" t="s">
        <v>57</v>
      </c>
      <c r="AF44" s="318" t="s">
        <f>VLOOKUP(B44,'UV台帐'!B:G,6,0)</f>
        <v>1037</v>
      </c>
      <c r="AG44" s="318" t="s">
        <v>1461</v>
      </c>
      <c r="AH44" s="318" t="s">
        <v>217</v>
      </c>
      <c r="AI44" s="241" t="s">
        <v>1525</v>
      </c>
      <c r="AJ44" s="508" t="s">
        <v>1526</v>
      </c>
      <c r="AK44" s="508" t="s">
        <v>1526</v>
      </c>
      <c r="AL44" s="290" t="s">
        <v>27</v>
      </c>
      <c r="AM44" s="290" t="s">
        <v>25</v>
      </c>
      <c r="AN44" s="290" t="s">
        <v>29</v>
      </c>
      <c r="AO44" s="290" t="s">
        <v>25</v>
      </c>
      <c r="AP44" s="484" t="s">
        <v>1526</v>
      </c>
      <c r="AR44" s="436"/>
      <c r="AS44" s="318" t="n">
        <f>COUNTIFS(H44,"零期",I44,"在读")+COUNTIFS(L44,"零期",M44,"在读")+COUNTIFS(P44,"零期",Q44,"在读")</f>
        <v>3</v>
      </c>
      <c r="AT44" s="318" t="n">
        <f>AS44-AX44</f>
        <v>1</v>
      </c>
      <c r="AU44" s="292" t="s">
        <f>VLOOKUP(B44,'UV台帐'!B:AL,19,0)</f>
        <v>217</v>
      </c>
      <c r="AV44" s="292" t="s">
        <f>VLOOKUP(B44,'UV台帐'!B:AL,28,0)</f>
        <v>116</v>
      </c>
      <c r="AW44" s="292" t="s">
        <f>VLOOKUP(B44,'UV台帐'!B:AL,37,0)</f>
        <v>217</v>
      </c>
      <c r="AX44" s="318" t="n">
        <f>COUNTIFS(H44,"零期",AU44,"是")+COUNTIFS(L44,"零期",AV44,"是")+COUNTIFS(P44,"零期",AW44,"是")</f>
        <v>2</v>
      </c>
      <c r="AZ44" s="483" t="s">
        <v>1527</v>
      </c>
      <c r="BA44" s="197"/>
    </row>
    <row r="45" s="292" customFormat="1" ht="30" customHeight="1">
      <c r="A45" s="318" t="s">
        <v>45</v>
      </c>
      <c r="B45" s="318" t="n">
        <v>2717337139</v>
      </c>
      <c r="C45" s="114" t="s">
        <f>VLOOKUP(B45,'UV台帐'!B:AL,2,0)</f>
        <v>1292</v>
      </c>
      <c r="D45" s="114" t="s">
        <f>VLOOKUP(B45,'UV台帐'!B:AL,3,0)</f>
        <v>48</v>
      </c>
      <c r="E45" s="114" t="s">
        <f>VLOOKUP(B45,'UV台帐'!B:AL,13,0)</f>
        <v>31</v>
      </c>
      <c r="F45" s="114" t="s">
        <f>VLOOKUP(B45,'UV台帐'!B:AL,15,0)</f>
        <v>246</v>
      </c>
      <c r="G45" s="114" t="s">
        <f>VLOOKUP(B45,'UV台帐'!B:AL,16,0)</f>
        <v>234</v>
      </c>
      <c r="H45" s="114" t="s">
        <f>VLOOKUP(B45,'UV台帐'!B:AL,17,0)</f>
        <v>88</v>
      </c>
      <c r="I45" s="114" t="s">
        <f>VLOOKUP(B45,'UV台帐'!B:AL,18,0)</f>
        <v>165</v>
      </c>
      <c r="J45" s="114" t="s">
        <f>VLOOKUP(B45,'UV台帐'!B:AL,22,0)</f>
        <v>43</v>
      </c>
      <c r="K45" s="114" t="s">
        <f>VLOOKUP(B45,'UV台帐'!B:AL,24,0)</f>
        <v>216</v>
      </c>
      <c r="L45" s="114" t="s">
        <f>VLOOKUP(B45,'UV台帐'!B:AL,26,0)</f>
        <v>88</v>
      </c>
      <c r="M45" s="114" t="s">
        <f>VLOOKUP(B45,'UV台帐'!B:AL,27,0)</f>
        <v>165</v>
      </c>
      <c r="N45" s="114" t="s">
        <f>VLOOKUP(B45,'UV台帐'!B:AL,31,0)</f>
        <v>52</v>
      </c>
      <c r="O45" s="114" t="s">
        <f>VLOOKUP(B45,'UV台帐'!B:AL,33,0)</f>
        <v>215</v>
      </c>
      <c r="P45" s="114" t="s">
        <f>VLOOKUP(B45,'UV台帐'!B:AL,35,0)</f>
        <v>88</v>
      </c>
      <c r="Q45" s="114" t="s">
        <f>VLOOKUP(B45,'UV台帐'!B:AL,36,0)</f>
        <v>165</v>
      </c>
      <c r="R45" s="318"/>
      <c r="S45" s="318" t="s">
        <v>217</v>
      </c>
      <c r="T45" s="318" t="s">
        <v>217</v>
      </c>
      <c r="U45" s="292" t="s">
        <v>43</v>
      </c>
      <c r="W45" s="318" t="s">
        <v>52</v>
      </c>
      <c r="X45" s="318"/>
      <c r="Y45" s="318" t="s">
        <v>52</v>
      </c>
      <c r="Z45" s="318"/>
      <c r="AA45" s="68" t="s">
        <v>52</v>
      </c>
      <c r="AB45" s="318" t="s">
        <v>217</v>
      </c>
      <c r="AC45" s="104" t="s">
        <v>1528</v>
      </c>
      <c r="AD45" s="104" t="s">
        <v>217</v>
      </c>
      <c r="AE45" s="318" t="s">
        <v>48</v>
      </c>
      <c r="AF45" s="318" t="n">
        <f>VLOOKUP(B45,'UV台帐'!B:G,6,0)</f>
        <v>0</v>
      </c>
      <c r="AG45" s="318"/>
      <c r="AH45" s="318" t="s">
        <v>217</v>
      </c>
      <c r="AI45" s="241" t="s">
        <v>1466</v>
      </c>
      <c r="AJ45" s="508" t="s">
        <v>1529</v>
      </c>
      <c r="AK45" s="508" t="s">
        <v>1529</v>
      </c>
      <c r="AL45" s="290" t="s">
        <v>27</v>
      </c>
      <c r="AM45" s="290" t="s">
        <v>27</v>
      </c>
      <c r="AN45" s="290" t="s">
        <v>28</v>
      </c>
      <c r="AO45" s="290" t="s">
        <v>28</v>
      </c>
      <c r="AP45" s="484" t="s">
        <v>1530</v>
      </c>
      <c r="AQ45" s="292" t="s">
        <v>218</v>
      </c>
      <c r="AR45" s="436"/>
      <c r="AS45" s="318" t="n">
        <f>COUNTIFS(H45,"零期",I45,"在读")+COUNTIFS(L45,"零期",M45,"在读")+COUNTIFS(P45,"零期",Q45,"在读")</f>
        <v>3</v>
      </c>
      <c r="AT45" s="318" t="n">
        <f>AS45-AX45</f>
        <v>3</v>
      </c>
      <c r="AU45" s="292" t="s">
        <f>VLOOKUP(B45,'UV台帐'!B:AL,19,0)</f>
        <v>116</v>
      </c>
      <c r="AV45" s="292" t="s">
        <f>VLOOKUP(B45,'UV台帐'!B:AL,28,0)</f>
        <v>116</v>
      </c>
      <c r="AW45" s="292" t="s">
        <f>VLOOKUP(B45,'UV台帐'!B:AL,37,0)</f>
        <v>116</v>
      </c>
      <c r="AX45" s="318" t="n">
        <f>COUNTIFS(H45,"零期",AU45,"是")+COUNTIFS(L45,"零期",AV45,"是")+COUNTIFS(P45,"零期",AW45,"是")</f>
        <v>0</v>
      </c>
      <c r="AZ45" s="662" t="s">
        <v>1531</v>
      </c>
      <c r="BA45" s="197"/>
    </row>
    <row r="46" s="292" customFormat="1" ht="30" customHeight="1">
      <c r="A46" s="318" t="s">
        <v>45</v>
      </c>
      <c r="B46" s="318" t="n">
        <v>2717412875</v>
      </c>
      <c r="C46" s="114" t="s">
        <f>VLOOKUP(B46,'UV台帐'!B:AL,2,0)</f>
        <v>869</v>
      </c>
      <c r="D46" s="114" t="s">
        <f>VLOOKUP(B46,'UV台帐'!B:AL,3,0)</f>
        <v>46</v>
      </c>
      <c r="E46" s="114" t="s">
        <f>VLOOKUP(B46,'UV台帐'!B:AL,13,0)</f>
        <v>31</v>
      </c>
      <c r="F46" s="114" t="s">
        <f>VLOOKUP(B46,'UV台帐'!B:AL,15,0)</f>
        <v>215</v>
      </c>
      <c r="G46" s="114" t="s">
        <f>VLOOKUP(B46,'UV台帐'!B:AL,16,0)</f>
        <v>283</v>
      </c>
      <c r="H46" s="114" t="s">
        <f>VLOOKUP(B46,'UV台帐'!B:AL,17,0)</f>
        <v>88</v>
      </c>
      <c r="I46" s="114" t="s">
        <f>VLOOKUP(B46,'UV台帐'!B:AL,18,0)</f>
        <v>165</v>
      </c>
      <c r="J46" s="114" t="s">
        <f>VLOOKUP(B46,'UV台帐'!B:AL,22,0)</f>
        <v>47</v>
      </c>
      <c r="K46" s="114" t="s">
        <f>VLOOKUP(B46,'UV台帐'!B:AL,24,0)</f>
        <v>233</v>
      </c>
      <c r="L46" s="114" t="s">
        <f>VLOOKUP(B46,'UV台帐'!B:AL,26,0)</f>
        <v>88</v>
      </c>
      <c r="M46" s="114" t="s">
        <f>VLOOKUP(B46,'UV台帐'!B:AL,27,0)</f>
        <v>165</v>
      </c>
      <c r="N46" s="114" t="s">
        <f>VLOOKUP(B46,'UV台帐'!B:AL,31,0)</f>
        <v>58</v>
      </c>
      <c r="O46" s="114" t="s">
        <f>VLOOKUP(B46,'UV台帐'!B:AL,33,0)</f>
        <v>215</v>
      </c>
      <c r="P46" s="114" t="s">
        <f>VLOOKUP(B46,'UV台帐'!B:AL,35,0)</f>
        <v>101</v>
      </c>
      <c r="Q46" s="114" t="s">
        <f>VLOOKUP(B46,'UV台帐'!B:AL,36,0)</f>
        <v>165</v>
      </c>
      <c r="R46" s="318"/>
      <c r="S46" s="318" t="s">
        <v>218</v>
      </c>
      <c r="T46" s="318" t="s">
        <v>218</v>
      </c>
      <c r="W46" s="318"/>
      <c r="X46" s="318"/>
      <c r="Y46" s="318" t="s">
        <v>47</v>
      </c>
      <c r="Z46" s="318"/>
      <c r="AA46" s="68" t="s">
        <v>47</v>
      </c>
      <c r="AB46" s="318" t="s">
        <v>217</v>
      </c>
      <c r="AC46" s="104" t="s">
        <v>1382</v>
      </c>
      <c r="AD46" s="104" t="s">
        <v>217</v>
      </c>
      <c r="AE46" s="318" t="s">
        <v>46</v>
      </c>
      <c r="AF46" s="318" t="n">
        <f>VLOOKUP(B46,'UV台帐'!B:G,6,0)</f>
        <v>0</v>
      </c>
      <c r="AG46" s="318"/>
      <c r="AH46" s="318" t="s">
        <v>217</v>
      </c>
      <c r="AI46" s="241" t="s">
        <v>1379</v>
      </c>
      <c r="AJ46" s="508" t="s">
        <v>1532</v>
      </c>
      <c r="AK46" s="508" t="s">
        <v>1532</v>
      </c>
      <c r="AL46" s="290" t="s">
        <v>25</v>
      </c>
      <c r="AM46" s="290"/>
      <c r="AN46" s="290"/>
      <c r="AO46" s="290"/>
      <c r="AP46" s="484"/>
      <c r="AR46" s="436"/>
      <c r="AS46" s="318" t="n">
        <f>COUNTIFS(H46,"零期",I46,"在读")+COUNTIFS(L46,"零期",M46,"在读")+COUNTIFS(P46,"零期",Q46,"在读")</f>
        <v>2</v>
      </c>
      <c r="AT46" s="318" t="n">
        <f>AS46-AX46</f>
        <v>1</v>
      </c>
      <c r="AU46" s="292" t="s">
        <f>VLOOKUP(B46,'UV台帐'!B:AL,19,0)</f>
        <v>217</v>
      </c>
      <c r="AV46" s="292" t="s">
        <f>VLOOKUP(B46,'UV台帐'!B:AL,28,0)</f>
        <v>116</v>
      </c>
      <c r="AW46" s="292" t="s">
        <f>VLOOKUP(B46,'UV台帐'!B:AL,37,0)</f>
        <v>116</v>
      </c>
      <c r="AX46" s="318" t="n">
        <f>COUNTIFS(H46,"零期",AU46,"是")+COUNTIFS(L46,"零期",AV46,"是")+COUNTIFS(P46,"零期",AW46,"是")</f>
        <v>1</v>
      </c>
      <c r="AZ46" s="483" t="s">
        <v>1533</v>
      </c>
      <c r="BA46" s="197"/>
    </row>
    <row r="47" s="292" customFormat="1" ht="30" customHeight="1">
      <c r="A47" s="318" t="s">
        <v>54</v>
      </c>
      <c r="B47" s="318" t="n">
        <v>2718515302</v>
      </c>
      <c r="C47" s="114" t="s">
        <f>VLOOKUP(B47,'UV台帐'!B:AL,2,0)</f>
        <v>1238</v>
      </c>
      <c r="D47" s="114" t="s">
        <f>VLOOKUP(B47,'UV台帐'!B:AL,3,0)</f>
        <v>50</v>
      </c>
      <c r="E47" s="114" t="s">
        <f>VLOOKUP(B47,'UV台帐'!B:AL,13,0)</f>
        <v>116</v>
      </c>
      <c r="F47" s="114" t="s">
        <f>VLOOKUP(B47,'UV台帐'!B:AL,15,0)</f>
        <v>116</v>
      </c>
      <c r="G47" s="114" t="s">
        <f>VLOOKUP(B47,'UV台帐'!B:AL,16,0)</f>
        <v>116</v>
      </c>
      <c r="H47" s="114" t="s">
        <f>VLOOKUP(B47,'UV台帐'!B:AL,17,0)</f>
        <v>116</v>
      </c>
      <c r="I47" s="114" t="s">
        <f>VLOOKUP(B47,'UV台帐'!B:AL,18,0)</f>
        <v>116</v>
      </c>
      <c r="J47" s="114" t="s">
        <f>VLOOKUP(B47,'UV台帐'!B:AL,22,0)</f>
        <v>43</v>
      </c>
      <c r="K47" s="114" t="s">
        <f>VLOOKUP(B47,'UV台帐'!B:AL,24,0)</f>
        <v>215</v>
      </c>
      <c r="L47" s="114" t="s">
        <f>VLOOKUP(B47,'UV台帐'!B:AL,26,0)</f>
        <v>88</v>
      </c>
      <c r="M47" s="114" t="s">
        <f>VLOOKUP(B47,'UV台帐'!B:AL,27,0)</f>
        <v>165</v>
      </c>
      <c r="N47" s="114" t="s">
        <f>VLOOKUP(B47,'UV台帐'!B:AL,31,0)</f>
        <v>116</v>
      </c>
      <c r="O47" s="114" t="s">
        <f>VLOOKUP(B47,'UV台帐'!B:AL,33,0)</f>
        <v>116</v>
      </c>
      <c r="P47" s="114" t="s">
        <f>VLOOKUP(B47,'UV台帐'!B:AL,35,0)</f>
        <v>116</v>
      </c>
      <c r="Q47" s="114" t="s">
        <f>VLOOKUP(B47,'UV台帐'!B:AL,36,0)</f>
        <v>116</v>
      </c>
      <c r="R47" s="318"/>
      <c r="S47" s="318" t="s">
        <v>217</v>
      </c>
      <c r="T47" s="318" t="s">
        <v>218</v>
      </c>
      <c r="W47" s="318"/>
      <c r="X47" s="318"/>
      <c r="AA47" s="68" t="s">
        <v>43</v>
      </c>
      <c r="AB47" s="318" t="s">
        <v>217</v>
      </c>
      <c r="AC47" s="147" t="s">
        <v>50</v>
      </c>
      <c r="AD47" s="104" t="s">
        <v>217</v>
      </c>
      <c r="AE47" s="318" t="s">
        <v>50</v>
      </c>
      <c r="AF47" s="318" t="n">
        <f>VLOOKUP(B47,'UV台帐'!B:G,6,0)</f>
        <v>0</v>
      </c>
      <c r="AG47" s="318"/>
      <c r="AH47" s="318" t="s">
        <v>217</v>
      </c>
      <c r="AI47" s="241" t="s">
        <v>1534</v>
      </c>
      <c r="AJ47" s="508" t="s">
        <v>1535</v>
      </c>
      <c r="AK47" s="508" t="s">
        <v>1535</v>
      </c>
      <c r="AL47" s="290" t="s">
        <v>25</v>
      </c>
      <c r="AM47" s="290"/>
      <c r="AN47" s="290" t="s">
        <v>25</v>
      </c>
      <c r="AO47" s="290"/>
      <c r="AP47" s="484" t="s">
        <v>1536</v>
      </c>
      <c r="AQ47" s="292" t="s">
        <v>217</v>
      </c>
      <c r="AR47" s="436"/>
      <c r="AS47" s="318" t="n">
        <f>COUNTIFS(H47,"零期",I47,"在读")+COUNTIFS(L47,"零期",M47,"在读")+COUNTIFS(P47,"零期",Q47,"在读")</f>
        <v>1</v>
      </c>
      <c r="AT47" s="318" t="n">
        <f>AS47-AX47</f>
        <v>0</v>
      </c>
      <c r="AU47" s="292" t="s">
        <f>VLOOKUP(B47,'UV台帐'!B:AL,19,0)</f>
        <v>116</v>
      </c>
      <c r="AV47" s="292" t="s">
        <f>VLOOKUP(B47,'UV台帐'!B:AL,28,0)</f>
        <v>217</v>
      </c>
      <c r="AW47" s="292" t="s">
        <f>VLOOKUP(B47,'UV台帐'!B:AL,37,0)</f>
        <v>116</v>
      </c>
      <c r="AX47" s="318" t="n">
        <f>COUNTIFS(H47,"零期",AU47,"是")+COUNTIFS(L47,"零期",AV47,"是")+COUNTIFS(P47,"零期",AW47,"是")</f>
        <v>1</v>
      </c>
      <c r="AZ47" s="483" t="s">
        <v>1537</v>
      </c>
      <c r="BA47" s="197"/>
    </row>
    <row r="48" s="292" customFormat="1" ht="30" customHeight="1">
      <c r="A48" s="318" t="s">
        <v>45</v>
      </c>
      <c r="B48" s="318" t="n">
        <v>2721240331</v>
      </c>
      <c r="C48" s="114" t="s">
        <f>VLOOKUP(B48,'UV台帐'!B:AL,2,0)</f>
        <v>1339</v>
      </c>
      <c r="D48" s="114" t="s">
        <f>VLOOKUP(B48,'UV台帐'!B:AL,3,0)</f>
        <v>46</v>
      </c>
      <c r="E48" s="114" t="s">
        <f>VLOOKUP(B48,'UV台帐'!B:AL,13,0)</f>
        <v>31</v>
      </c>
      <c r="F48" s="114" t="s">
        <f>VLOOKUP(B48,'UV台帐'!B:AL,15,0)</f>
        <v>215</v>
      </c>
      <c r="G48" s="114" t="s">
        <f>VLOOKUP(B48,'UV台帐'!B:AL,16,0)</f>
        <v>283</v>
      </c>
      <c r="H48" s="114" t="s">
        <f>VLOOKUP(B48,'UV台帐'!B:AL,17,0)</f>
        <v>88</v>
      </c>
      <c r="I48" s="114" t="s">
        <f>VLOOKUP(B48,'UV台帐'!B:AL,18,0)</f>
        <v>165</v>
      </c>
      <c r="J48" s="114" t="s">
        <f>VLOOKUP(B48,'UV台帐'!B:AL,22,0)</f>
        <v>47</v>
      </c>
      <c r="K48" s="114" t="s">
        <f>VLOOKUP(B48,'UV台帐'!B:AL,24,0)</f>
        <v>233</v>
      </c>
      <c r="L48" s="114" t="s">
        <f>VLOOKUP(B48,'UV台帐'!B:AL,26,0)</f>
        <v>88</v>
      </c>
      <c r="M48" s="114" t="s">
        <f>VLOOKUP(B48,'UV台帐'!B:AL,27,0)</f>
        <v>165</v>
      </c>
      <c r="N48" s="114" t="s">
        <f>VLOOKUP(B48,'UV台帐'!B:AL,31,0)</f>
        <v>58</v>
      </c>
      <c r="O48" s="114" t="s">
        <f>VLOOKUP(B48,'UV台帐'!B:AL,33,0)</f>
        <v>216</v>
      </c>
      <c r="P48" s="114" t="s">
        <f>VLOOKUP(B48,'UV台帐'!B:AL,35,0)</f>
        <v>88</v>
      </c>
      <c r="Q48" s="114" t="s">
        <f>VLOOKUP(B48,'UV台帐'!B:AL,36,0)</f>
        <v>165</v>
      </c>
      <c r="R48" s="318"/>
      <c r="S48" s="318" t="s">
        <v>217</v>
      </c>
      <c r="T48" s="318" t="s">
        <v>217</v>
      </c>
      <c r="W48" s="318" t="s">
        <v>1538</v>
      </c>
      <c r="X48" s="318"/>
      <c r="Y48" s="114" t="s">
        <v>47</v>
      </c>
      <c r="Z48" s="114"/>
      <c r="AA48" s="68" t="s">
        <v>58</v>
      </c>
      <c r="AB48" s="318" t="s">
        <v>217</v>
      </c>
      <c r="AC48" s="104" t="s">
        <v>1539</v>
      </c>
      <c r="AD48" s="104" t="s">
        <v>217</v>
      </c>
      <c r="AE48" s="318" t="s">
        <v>46</v>
      </c>
      <c r="AF48" s="318" t="n">
        <f>VLOOKUP(B48,'UV台帐'!B:G,6,0)</f>
        <v>0</v>
      </c>
      <c r="AG48" s="318" t="s">
        <v>1540</v>
      </c>
      <c r="AH48" s="318" t="s">
        <v>217</v>
      </c>
      <c r="AI48" s="241" t="s">
        <v>1379</v>
      </c>
      <c r="AJ48" s="508" t="s">
        <v>1541</v>
      </c>
      <c r="AK48" s="508" t="s">
        <v>1541</v>
      </c>
      <c r="AL48" s="290" t="s">
        <v>28</v>
      </c>
      <c r="AM48" s="290" t="s">
        <v>27</v>
      </c>
      <c r="AN48" s="290" t="s">
        <v>28</v>
      </c>
      <c r="AO48" s="290" t="s">
        <v>28</v>
      </c>
      <c r="AP48" s="484" t="s">
        <v>1542</v>
      </c>
      <c r="AR48" s="436"/>
      <c r="AS48" s="318" t="n">
        <f>COUNTIFS(H48,"零期",I48,"在读")+COUNTIFS(L48,"零期",M48,"在读")+COUNTIFS(P48,"零期",Q48,"在读")</f>
        <v>3</v>
      </c>
      <c r="AT48" s="318" t="n">
        <f>AS48-AX48</f>
        <v>3</v>
      </c>
      <c r="AU48" s="292" t="s">
        <f>VLOOKUP(B48,'UV台帐'!B:AL,19,0)</f>
        <v>116</v>
      </c>
      <c r="AV48" s="292" t="s">
        <f>VLOOKUP(B48,'UV台帐'!B:AL,28,0)</f>
        <v>116</v>
      </c>
      <c r="AW48" s="292" t="s">
        <f>VLOOKUP(B48,'UV台帐'!B:AL,37,0)</f>
        <v>116</v>
      </c>
      <c r="AX48" s="318" t="n">
        <f>COUNTIFS(H48,"零期",AU48,"是")+COUNTIFS(L48,"零期",AV48,"是")+COUNTIFS(P48,"零期",AW48,"是")</f>
        <v>0</v>
      </c>
      <c r="AZ48" s="483" t="s">
        <v>1543</v>
      </c>
      <c r="BA48" s="197"/>
    </row>
    <row r="49" s="292" customFormat="1" ht="30" customHeight="1">
      <c r="A49" s="318" t="s">
        <v>54</v>
      </c>
      <c r="B49" s="318" t="n">
        <v>2748777690</v>
      </c>
      <c r="C49" s="114" t="s">
        <f>VLOOKUP(B49,'UV台帐'!B:AL,2,0)</f>
        <v>1282</v>
      </c>
      <c r="D49" s="114" t="s">
        <f>VLOOKUP(B49,'UV台帐'!B:AL,3,0)</f>
        <v>57</v>
      </c>
      <c r="E49" s="114" t="s">
        <f>VLOOKUP(B49,'UV台帐'!B:AL,13,0)</f>
        <v>31</v>
      </c>
      <c r="F49" s="114" t="s">
        <f>VLOOKUP(B49,'UV台帐'!B:AL,15,0)</f>
        <v>233</v>
      </c>
      <c r="G49" s="114" t="s">
        <f>VLOOKUP(B49,'UV台帐'!B:AL,16,0)</f>
        <v>234</v>
      </c>
      <c r="H49" s="114" t="s">
        <f>VLOOKUP(B49,'UV台帐'!B:AL,17,0)</f>
        <v>88</v>
      </c>
      <c r="I49" s="114" t="s">
        <f>VLOOKUP(B49,'UV台帐'!B:AL,18,0)</f>
        <v>165</v>
      </c>
      <c r="J49" s="114" t="s">
        <f>VLOOKUP(B49,'UV台帐'!B:AL,22,0)</f>
        <v>43</v>
      </c>
      <c r="K49" s="114" t="s">
        <f>VLOOKUP(B49,'UV台帐'!B:AL,24,0)</f>
        <v>215</v>
      </c>
      <c r="L49" s="114" t="s">
        <f>VLOOKUP(B49,'UV台帐'!B:AL,26,0)</f>
        <v>88</v>
      </c>
      <c r="M49" s="114" t="s">
        <f>VLOOKUP(B49,'UV台帐'!B:AL,27,0)</f>
        <v>165</v>
      </c>
      <c r="N49" s="114" t="s">
        <f>VLOOKUP(B49,'UV台帐'!B:AL,31,0)</f>
        <v>56</v>
      </c>
      <c r="O49" s="114" t="s">
        <f>VLOOKUP(B49,'UV台帐'!B:AL,33,0)</f>
        <v>216</v>
      </c>
      <c r="P49" s="114" t="s">
        <f>VLOOKUP(B49,'UV台帐'!B:AL,35,0)</f>
        <v>88</v>
      </c>
      <c r="Q49" s="114" t="s">
        <f>VLOOKUP(B49,'UV台帐'!B:AL,36,0)</f>
        <v>165</v>
      </c>
      <c r="R49" s="318"/>
      <c r="S49" s="318" t="s">
        <v>217</v>
      </c>
      <c r="T49" s="318" t="s">
        <v>217</v>
      </c>
      <c r="W49" s="318"/>
      <c r="X49" s="318"/>
      <c r="Y49" s="318" t="s">
        <v>56</v>
      </c>
      <c r="Z49" s="318"/>
      <c r="AA49" s="68" t="s">
        <v>56</v>
      </c>
      <c r="AB49" s="318" t="s">
        <v>217</v>
      </c>
      <c r="AC49" s="147" t="s">
        <v>1385</v>
      </c>
      <c r="AD49" s="104" t="s">
        <v>217</v>
      </c>
      <c r="AE49" s="318" t="s">
        <v>57</v>
      </c>
      <c r="AF49" s="318" t="n">
        <f>VLOOKUP(B49,'UV台帐'!B:G,6,0)</f>
        <v>0</v>
      </c>
      <c r="AG49" s="318" t="s">
        <v>1544</v>
      </c>
      <c r="AH49" s="318" t="s">
        <v>217</v>
      </c>
      <c r="AI49" s="241" t="s">
        <v>1525</v>
      </c>
      <c r="AJ49" s="508" t="s">
        <v>1545</v>
      </c>
      <c r="AK49" s="508" t="s">
        <v>1545</v>
      </c>
      <c r="AL49" s="290" t="s">
        <v>25</v>
      </c>
      <c r="AM49" s="290"/>
      <c r="AN49" s="290"/>
      <c r="AO49" s="290" t="s">
        <v>25</v>
      </c>
      <c r="AP49" s="484" t="s">
        <v>1545</v>
      </c>
      <c r="AQ49" s="292" t="s">
        <v>217</v>
      </c>
      <c r="AR49" s="436"/>
      <c r="AS49" s="318" t="n">
        <f>COUNTIFS(H49,"零期",I49,"在读")+COUNTIFS(L49,"零期",M49,"在读")+COUNTIFS(P49,"零期",Q49,"在读")</f>
        <v>3</v>
      </c>
      <c r="AT49" s="318" t="n">
        <f>AS49-AX49</f>
        <v>0</v>
      </c>
      <c r="AU49" s="292" t="s">
        <f>VLOOKUP(B49,'UV台帐'!B:AL,19,0)</f>
        <v>217</v>
      </c>
      <c r="AV49" s="292" t="s">
        <f>VLOOKUP(B49,'UV台帐'!B:AL,28,0)</f>
        <v>217</v>
      </c>
      <c r="AW49" s="292" t="s">
        <f>VLOOKUP(B49,'UV台帐'!B:AL,37,0)</f>
        <v>217</v>
      </c>
      <c r="AX49" s="318" t="n">
        <f>COUNTIFS(H49,"零期",AU49,"是")+COUNTIFS(L49,"零期",AV49,"是")+COUNTIFS(P49,"零期",AW49,"是")</f>
        <v>3</v>
      </c>
      <c r="AZ49" s="483" t="s">
        <v>1464</v>
      </c>
      <c r="BA49" s="197"/>
    </row>
    <row r="50" s="292" customFormat="1" ht="30" customHeight="1">
      <c r="A50" s="318" t="s">
        <v>54</v>
      </c>
      <c r="B50" s="318" t="n">
        <v>2752351775</v>
      </c>
      <c r="C50" s="114" t="s">
        <f>VLOOKUP(B50,'UV台帐'!B:AL,2,0)</f>
        <v>1318</v>
      </c>
      <c r="D50" s="114" t="s">
        <f>VLOOKUP(B50,'UV台帐'!B:AL,3,0)</f>
        <v>57</v>
      </c>
      <c r="E50" s="114" t="s">
        <f>VLOOKUP(B50,'UV台帐'!B:AL,13,0)</f>
        <v>37</v>
      </c>
      <c r="F50" s="114" t="s">
        <f>VLOOKUP(B50,'UV台帐'!B:AL,15,0)</f>
        <v>216</v>
      </c>
      <c r="G50" s="114" t="s">
        <f>VLOOKUP(B50,'UV台帐'!B:AL,16,0)</f>
        <v>283</v>
      </c>
      <c r="H50" s="114" t="s">
        <f>VLOOKUP(B50,'UV台帐'!B:AL,17,0)</f>
        <v>88</v>
      </c>
      <c r="I50" s="114" t="s">
        <f>VLOOKUP(B50,'UV台帐'!B:AL,18,0)</f>
        <v>165</v>
      </c>
      <c r="J50" s="114" t="s">
        <f>VLOOKUP(B50,'UV台帐'!B:AL,22,0)</f>
        <v>116</v>
      </c>
      <c r="K50" s="114" t="s">
        <f>VLOOKUP(B50,'UV台帐'!B:AL,24,0)</f>
        <v>116</v>
      </c>
      <c r="L50" s="114" t="s">
        <f>VLOOKUP(B50,'UV台帐'!B:AL,26,0)</f>
        <v>116</v>
      </c>
      <c r="M50" s="114" t="s">
        <f>VLOOKUP(B50,'UV台帐'!B:AL,27,0)</f>
        <v>116</v>
      </c>
      <c r="N50" s="114" t="s">
        <f>VLOOKUP(B50,'UV台帐'!B:AL,31,0)</f>
        <v>56</v>
      </c>
      <c r="O50" s="114" t="s">
        <f>VLOOKUP(B50,'UV台帐'!B:AL,33,0)</f>
        <v>233</v>
      </c>
      <c r="P50" s="114" t="s">
        <f>VLOOKUP(B50,'UV台帐'!B:AL,35,0)</f>
        <v>88</v>
      </c>
      <c r="Q50" s="114" t="s">
        <f>VLOOKUP(B50,'UV台帐'!B:AL,36,0)</f>
        <v>165</v>
      </c>
      <c r="R50" s="318"/>
      <c r="S50" s="318" t="s">
        <v>217</v>
      </c>
      <c r="T50" s="318" t="s">
        <v>217</v>
      </c>
      <c r="W50" s="318" t="s">
        <v>37</v>
      </c>
      <c r="X50" s="318"/>
      <c r="Y50" s="318"/>
      <c r="Z50" s="318"/>
      <c r="AA50" s="68" t="s">
        <v>56</v>
      </c>
      <c r="AB50" s="476" t="s">
        <v>217</v>
      </c>
      <c r="AC50" s="149" t="s">
        <v>1546</v>
      </c>
      <c r="AD50" s="104" t="s">
        <v>217</v>
      </c>
      <c r="AE50" s="318" t="s">
        <v>57</v>
      </c>
      <c r="AF50" s="318" t="n">
        <f>VLOOKUP(B50,'UV台帐'!B:G,6,0)</f>
        <v>0</v>
      </c>
      <c r="AG50" s="318" t="s">
        <v>597</v>
      </c>
      <c r="AH50" s="318" t="s">
        <v>217</v>
      </c>
      <c r="AI50" s="241" t="s">
        <v>1525</v>
      </c>
      <c r="AJ50" s="508" t="s">
        <v>1547</v>
      </c>
      <c r="AK50" s="508" t="s">
        <v>1547</v>
      </c>
      <c r="AL50" s="290" t="s">
        <v>27</v>
      </c>
      <c r="AM50" s="290" t="s">
        <v>27</v>
      </c>
      <c r="AN50" s="290" t="s">
        <v>27</v>
      </c>
      <c r="AO50" s="290" t="s">
        <v>27</v>
      </c>
      <c r="AP50" s="484" t="s">
        <v>1547</v>
      </c>
      <c r="AQ50" s="292" t="s">
        <v>217</v>
      </c>
      <c r="AR50" s="436"/>
      <c r="AS50" s="318" t="n">
        <f>COUNTIFS(H50,"零期",I50,"在读")+COUNTIFS(L50,"零期",M50,"在读")+COUNTIFS(P50,"零期",Q50,"在读")</f>
        <v>2</v>
      </c>
      <c r="AT50" s="318" t="n">
        <f>AS50-AX50</f>
        <v>2</v>
      </c>
      <c r="AU50" s="292" t="s">
        <f>VLOOKUP(B50,'UV台帐'!B:AL,19,0)</f>
        <v>116</v>
      </c>
      <c r="AV50" s="292" t="s">
        <f>VLOOKUP(B50,'UV台帐'!B:AL,28,0)</f>
        <v>116</v>
      </c>
      <c r="AW50" s="292" t="s">
        <f>VLOOKUP(B50,'UV台帐'!B:AL,37,0)</f>
        <v>116</v>
      </c>
      <c r="AX50" s="318" t="n">
        <f>COUNTIFS(H50,"零期",AU50,"是")+COUNTIFS(L50,"零期",AV50,"是")+COUNTIFS(P50,"零期",AW50,"是")</f>
        <v>0</v>
      </c>
      <c r="AZ50" s="483" t="s">
        <v>1548</v>
      </c>
      <c r="BA50" s="197"/>
    </row>
    <row r="51" s="292" customFormat="1" ht="30" customHeight="1">
      <c r="A51" s="318" t="s">
        <v>45</v>
      </c>
      <c r="B51" s="318" t="n">
        <v>2930670841</v>
      </c>
      <c r="C51" s="114" t="s">
        <f>VLOOKUP(B51,'UV台帐'!B:AL,2,0)</f>
        <v>1322</v>
      </c>
      <c r="D51" s="114" t="s">
        <f>VLOOKUP(B51,'UV台帐'!B:AL,3,0)</f>
        <v>50</v>
      </c>
      <c r="E51" s="114" t="s">
        <f>VLOOKUP(B51,'UV台帐'!B:AL,13,0)</f>
        <v>31</v>
      </c>
      <c r="F51" s="114" t="s">
        <f>VLOOKUP(B51,'UV台帐'!B:AL,15,0)</f>
        <v>215</v>
      </c>
      <c r="G51" s="114" t="s">
        <f>VLOOKUP(B51,'UV台帐'!B:AL,16,0)</f>
        <v>283</v>
      </c>
      <c r="H51" s="114" t="s">
        <f>VLOOKUP(B51,'UV台帐'!B:AL,17,0)</f>
        <v>88</v>
      </c>
      <c r="I51" s="114" t="s">
        <f>VLOOKUP(B51,'UV台帐'!B:AL,18,0)</f>
        <v>165</v>
      </c>
      <c r="J51" s="114" t="s">
        <f>VLOOKUP(B51,'UV台帐'!B:AL,22,0)</f>
        <v>47</v>
      </c>
      <c r="K51" s="114" t="s">
        <f>VLOOKUP(B51,'UV台帐'!B:AL,24,0)</f>
        <v>233</v>
      </c>
      <c r="L51" s="114" t="s">
        <f>VLOOKUP(B51,'UV台帐'!B:AL,26,0)</f>
        <v>88</v>
      </c>
      <c r="M51" s="114" t="s">
        <f>VLOOKUP(B51,'UV台帐'!B:AL,27,0)</f>
        <v>165</v>
      </c>
      <c r="N51" s="114" t="s">
        <f>VLOOKUP(B51,'UV台帐'!B:AL,31,0)</f>
        <v>58</v>
      </c>
      <c r="O51" s="114" t="s">
        <f>VLOOKUP(B51,'UV台帐'!B:AL,33,0)</f>
        <v>216</v>
      </c>
      <c r="P51" s="114" t="s">
        <f>VLOOKUP(B51,'UV台帐'!B:AL,35,0)</f>
        <v>88</v>
      </c>
      <c r="Q51" s="114" t="s">
        <f>VLOOKUP(B51,'UV台帐'!B:AL,36,0)</f>
        <v>165</v>
      </c>
      <c r="R51" s="318"/>
      <c r="S51" s="318" t="s">
        <v>218</v>
      </c>
      <c r="T51" s="318" t="s">
        <v>218</v>
      </c>
      <c r="W51" s="318" t="s">
        <v>31</v>
      </c>
      <c r="X51" s="318"/>
      <c r="Y51" s="114" t="s">
        <v>47</v>
      </c>
      <c r="Z51" s="114"/>
      <c r="AA51" s="68" t="s">
        <v>58</v>
      </c>
      <c r="AB51" s="318" t="s">
        <v>217</v>
      </c>
      <c r="AC51" s="104" t="s">
        <v>50</v>
      </c>
      <c r="AD51" s="104" t="s">
        <v>217</v>
      </c>
      <c r="AE51" s="318" t="s">
        <v>50</v>
      </c>
      <c r="AF51" s="318" t="n">
        <f>VLOOKUP(B51,'UV台帐'!B:G,6,0)</f>
        <v>0</v>
      </c>
      <c r="AG51" s="318" t="s">
        <v>1549</v>
      </c>
      <c r="AH51" s="318" t="s">
        <v>217</v>
      </c>
      <c r="AI51" s="241" t="s">
        <v>1550</v>
      </c>
      <c r="AJ51" s="508" t="s">
        <v>1551</v>
      </c>
      <c r="AK51" s="508" t="s">
        <v>1551</v>
      </c>
      <c r="AL51" s="290" t="s">
        <v>27</v>
      </c>
      <c r="AM51" s="290" t="s">
        <v>25</v>
      </c>
      <c r="AN51" s="290" t="s">
        <v>28</v>
      </c>
      <c r="AO51" s="290" t="s">
        <v>28</v>
      </c>
      <c r="AP51" s="663" t="s">
        <v>1552</v>
      </c>
      <c r="AQ51" s="292" t="s">
        <v>217</v>
      </c>
      <c r="AR51" s="436"/>
      <c r="AS51" s="318" t="n">
        <f>COUNTIFS(H51,"零期",I51,"在读")+COUNTIFS(L51,"零期",M51,"在读")+COUNTIFS(P51,"零期",Q51,"在读")</f>
        <v>3</v>
      </c>
      <c r="AT51" s="318" t="n">
        <f>AS51-AX51</f>
        <v>3</v>
      </c>
      <c r="AU51" s="292" t="s">
        <f>VLOOKUP(B51,'UV台帐'!B:AL,19,0)</f>
        <v>116</v>
      </c>
      <c r="AV51" s="292" t="s">
        <f>VLOOKUP(B51,'UV台帐'!B:AL,28,0)</f>
        <v>116</v>
      </c>
      <c r="AW51" s="292" t="s">
        <f>VLOOKUP(B51,'UV台帐'!B:AL,37,0)</f>
        <v>116</v>
      </c>
      <c r="AX51" s="318" t="n">
        <f>COUNTIFS(H51,"零期",AU51,"是")+COUNTIFS(L51,"零期",AV51,"是")+COUNTIFS(P51,"零期",AW51,"是")</f>
        <v>0</v>
      </c>
      <c r="AZ51" s="483" t="s">
        <v>1553</v>
      </c>
      <c r="BA51" s="197"/>
    </row>
    <row r="52" s="292" customFormat="1" ht="30" customHeight="1">
      <c r="A52" s="318" t="s">
        <v>45</v>
      </c>
      <c r="B52" s="318" t="n">
        <v>2948961140</v>
      </c>
      <c r="C52" s="114" t="s">
        <f>VLOOKUP(B52,'UV台帐'!B:AL,2,0)</f>
        <v>1327</v>
      </c>
      <c r="D52" s="114" t="s">
        <f>VLOOKUP(B52,'UV台帐'!B:AL,3,0)</f>
        <v>46</v>
      </c>
      <c r="E52" s="114" t="s">
        <f>VLOOKUP(B52,'UV台帐'!B:AL,13,0)</f>
        <v>31</v>
      </c>
      <c r="F52" s="114" t="s">
        <f>VLOOKUP(B52,'UV台帐'!B:AL,15,0)</f>
        <v>246</v>
      </c>
      <c r="G52" s="114" t="s">
        <f>VLOOKUP(B52,'UV台帐'!B:AL,16,0)</f>
        <v>234</v>
      </c>
      <c r="H52" s="114" t="s">
        <f>VLOOKUP(B52,'UV台帐'!B:AL,17,0)</f>
        <v>88</v>
      </c>
      <c r="I52" s="114" t="s">
        <f>VLOOKUP(B52,'UV台帐'!B:AL,18,0)</f>
        <v>165</v>
      </c>
      <c r="J52" s="114" t="s">
        <f>VLOOKUP(B52,'UV台帐'!B:AL,22,0)</f>
        <v>43</v>
      </c>
      <c r="K52" s="114" t="s">
        <f>VLOOKUP(B52,'UV台帐'!B:AL,24,0)</f>
        <v>216</v>
      </c>
      <c r="L52" s="114" t="s">
        <f>VLOOKUP(B52,'UV台帐'!B:AL,26,0)</f>
        <v>88</v>
      </c>
      <c r="M52" s="114" t="s">
        <f>VLOOKUP(B52,'UV台帐'!B:AL,27,0)</f>
        <v>165</v>
      </c>
      <c r="N52" s="114" t="s">
        <f>VLOOKUP(B52,'UV台帐'!B:AL,31,0)</f>
        <v>52</v>
      </c>
      <c r="O52" s="114" t="s">
        <f>VLOOKUP(B52,'UV台帐'!B:AL,33,0)</f>
        <v>215</v>
      </c>
      <c r="P52" s="114" t="s">
        <f>VLOOKUP(B52,'UV台帐'!B:AL,35,0)</f>
        <v>88</v>
      </c>
      <c r="Q52" s="114" t="s">
        <f>VLOOKUP(B52,'UV台帐'!B:AL,36,0)</f>
        <v>165</v>
      </c>
      <c r="R52" s="318"/>
      <c r="S52" s="318" t="s">
        <v>218</v>
      </c>
      <c r="T52" s="318" t="s">
        <v>218</v>
      </c>
      <c r="W52" s="318"/>
      <c r="X52" s="318"/>
      <c r="Y52" s="318"/>
      <c r="Z52" s="318"/>
      <c r="AA52" s="68" t="s">
        <v>52</v>
      </c>
      <c r="AB52" s="318" t="s">
        <v>218</v>
      </c>
      <c r="AC52" s="104"/>
      <c r="AD52" s="104" t="s">
        <v>218</v>
      </c>
      <c r="AE52" s="318" t="s">
        <v>46</v>
      </c>
      <c r="AF52" s="318" t="n">
        <f>VLOOKUP(B52,'UV台帐'!B:G,6,0)</f>
        <v>0</v>
      </c>
      <c r="AG52" s="318" t="s">
        <v>597</v>
      </c>
      <c r="AH52" s="318" t="s">
        <v>217</v>
      </c>
      <c r="AI52" s="241" t="s">
        <v>1379</v>
      </c>
      <c r="AJ52" s="508" t="s">
        <v>1554</v>
      </c>
      <c r="AK52" s="508" t="s">
        <v>1554</v>
      </c>
      <c r="AL52" s="290" t="s">
        <v>27</v>
      </c>
      <c r="AM52" s="290" t="s">
        <v>27</v>
      </c>
      <c r="AN52" s="290" t="s">
        <v>28</v>
      </c>
      <c r="AO52" s="290" t="s">
        <v>27</v>
      </c>
      <c r="AP52" s="484" t="s">
        <v>1555</v>
      </c>
      <c r="AR52" s="436"/>
      <c r="AS52" s="318" t="n">
        <f>COUNTIFS(H52,"零期",I52,"在读")+COUNTIFS(L52,"零期",M52,"在读")+COUNTIFS(P52,"零期",Q52,"在读")</f>
        <v>3</v>
      </c>
      <c r="AT52" s="318" t="n">
        <f>AS52-AX52</f>
        <v>1</v>
      </c>
      <c r="AU52" s="292" t="s">
        <f>VLOOKUP(B52,'UV台帐'!B:AL,19,0)</f>
        <v>217</v>
      </c>
      <c r="AV52" s="292" t="s">
        <f>VLOOKUP(B52,'UV台帐'!B:AL,28,0)</f>
        <v>116</v>
      </c>
      <c r="AW52" s="292" t="s">
        <f>VLOOKUP(B52,'UV台帐'!B:AL,37,0)</f>
        <v>217</v>
      </c>
      <c r="AX52" s="318" t="n">
        <f>COUNTIFS(H52,"零期",AU52,"是")+COUNTIFS(L52,"零期",AV52,"是")+COUNTIFS(P52,"零期",AW52,"是")</f>
        <v>2</v>
      </c>
      <c r="AZ52" s="483" t="s">
        <v>1556</v>
      </c>
      <c r="BA52" s="197"/>
    </row>
    <row r="53" s="292" customFormat="1" ht="30" customHeight="1">
      <c r="A53" s="318" t="s">
        <v>54</v>
      </c>
      <c r="B53" s="318" t="n">
        <v>4000464385</v>
      </c>
      <c r="C53" s="114" t="s">
        <f>VLOOKUP(B53,'UV台帐'!B:AL,2,0)</f>
        <v>1037</v>
      </c>
      <c r="D53" s="114" t="s">
        <f>VLOOKUP(B53,'UV台帐'!B:AL,3,0)</f>
        <v>57</v>
      </c>
      <c r="E53" s="114" t="s">
        <f>VLOOKUP(B53,'UV台帐'!B:AL,13,0)</f>
        <v>31</v>
      </c>
      <c r="F53" s="114" t="s">
        <f>VLOOKUP(B53,'UV台帐'!B:AL,15,0)</f>
        <v>233</v>
      </c>
      <c r="G53" s="114" t="s">
        <f>VLOOKUP(B53,'UV台帐'!B:AL,16,0)</f>
        <v>234</v>
      </c>
      <c r="H53" s="114" t="s">
        <f>VLOOKUP(B53,'UV台帐'!B:AL,17,0)</f>
        <v>88</v>
      </c>
      <c r="I53" s="114" t="s">
        <f>VLOOKUP(B53,'UV台帐'!B:AL,18,0)</f>
        <v>165</v>
      </c>
      <c r="J53" s="114" t="s">
        <f>VLOOKUP(B53,'UV台帐'!B:AL,22,0)</f>
        <v>43</v>
      </c>
      <c r="K53" s="114" t="s">
        <f>VLOOKUP(B53,'UV台帐'!B:AL,24,0)</f>
        <v>215</v>
      </c>
      <c r="L53" s="114" t="s">
        <f>VLOOKUP(B53,'UV台帐'!B:AL,26,0)</f>
        <v>88</v>
      </c>
      <c r="M53" s="114" t="s">
        <f>VLOOKUP(B53,'UV台帐'!B:AL,27,0)</f>
        <v>165</v>
      </c>
      <c r="N53" s="114" t="s">
        <f>VLOOKUP(B53,'UV台帐'!B:AL,31,0)</f>
        <v>56</v>
      </c>
      <c r="O53" s="114" t="s">
        <f>VLOOKUP(B53,'UV台帐'!B:AL,33,0)</f>
        <v>216</v>
      </c>
      <c r="P53" s="114" t="s">
        <f>VLOOKUP(B53,'UV台帐'!B:AL,35,0)</f>
        <v>88</v>
      </c>
      <c r="Q53" s="114" t="s">
        <f>VLOOKUP(B53,'UV台帐'!B:AL,36,0)</f>
        <v>165</v>
      </c>
      <c r="R53" s="318"/>
      <c r="S53" s="318" t="s">
        <v>217</v>
      </c>
      <c r="T53" s="318" t="s">
        <v>217</v>
      </c>
      <c r="W53" s="318" t="s">
        <v>31</v>
      </c>
      <c r="X53" s="318"/>
      <c r="AA53" s="76" t="s">
        <v>43</v>
      </c>
      <c r="AB53" s="476" t="s">
        <v>218</v>
      </c>
      <c r="AC53" s="318"/>
      <c r="AD53" s="104" t="s">
        <v>218</v>
      </c>
      <c r="AE53" s="318" t="s">
        <v>57</v>
      </c>
      <c r="AF53" s="318" t="n">
        <f>VLOOKUP(B53,'UV台帐'!B:G,6,0)</f>
        <v>0</v>
      </c>
      <c r="AG53" s="318" t="s">
        <v>267</v>
      </c>
      <c r="AH53" s="318" t="s">
        <v>217</v>
      </c>
      <c r="AI53" s="241" t="s">
        <v>1525</v>
      </c>
      <c r="AJ53" s="508" t="s">
        <v>1557</v>
      </c>
      <c r="AK53" s="508" t="s">
        <v>1557</v>
      </c>
      <c r="AL53" s="290" t="s">
        <v>28</v>
      </c>
      <c r="AM53" s="290" t="s">
        <v>28</v>
      </c>
      <c r="AN53" s="290" t="s">
        <v>28</v>
      </c>
      <c r="AO53" s="290" t="s">
        <v>28</v>
      </c>
      <c r="AP53" s="484" t="s">
        <v>1558</v>
      </c>
      <c r="AQ53" s="292" t="s">
        <v>217</v>
      </c>
      <c r="AR53" s="436"/>
      <c r="AS53" s="318" t="n">
        <f>COUNTIFS(H53,"零期",I53,"在读")+COUNTIFS(L53,"零期",M53,"在读")+COUNTIFS(P53,"零期",Q53,"在读")</f>
        <v>3</v>
      </c>
      <c r="AT53" s="318" t="n">
        <f>AS53-AX53</f>
        <v>3</v>
      </c>
      <c r="AU53" s="292" t="s">
        <f>VLOOKUP(B53,'UV台帐'!B:AL,19,0)</f>
        <v>116</v>
      </c>
      <c r="AV53" s="292" t="s">
        <f>VLOOKUP(B53,'UV台帐'!B:AL,28,0)</f>
        <v>116</v>
      </c>
      <c r="AW53" s="292" t="s">
        <f>VLOOKUP(B53,'UV台帐'!B:AL,37,0)</f>
        <v>116</v>
      </c>
      <c r="AX53" s="318" t="n">
        <f>COUNTIFS(H53,"零期",AU53,"是")+COUNTIFS(L53,"零期",AV53,"是")+COUNTIFS(P53,"零期",AW53,"是")</f>
        <v>0</v>
      </c>
      <c r="AZ53" s="483"/>
      <c r="BA53" s="197"/>
    </row>
    <row r="54" s="292" customFormat="1" ht="30" customHeight="1">
      <c r="A54" s="318" t="s">
        <v>45</v>
      </c>
      <c r="B54" s="318" t="n">
        <v>4018505986</v>
      </c>
      <c r="C54" s="114" t="s">
        <f>VLOOKUP(B54,'UV台帐'!B:AL,2,0)</f>
        <v>1063</v>
      </c>
      <c r="D54" s="114" t="s">
        <f>VLOOKUP(B54,'UV台帐'!B:AL,3,0)</f>
        <v>50</v>
      </c>
      <c r="E54" s="114" t="s">
        <f>VLOOKUP(B54,'UV台帐'!B:AL,13,0)</f>
        <v>37</v>
      </c>
      <c r="F54" s="114" t="s">
        <f>VLOOKUP(B54,'UV台帐'!B:AL,15,0)</f>
        <v>215</v>
      </c>
      <c r="G54" s="114" t="s">
        <f>VLOOKUP(B54,'UV台帐'!B:AL,16,0)</f>
        <v>283</v>
      </c>
      <c r="H54" s="114" t="s">
        <f>VLOOKUP(B54,'UV台帐'!B:AL,17,0)</f>
        <v>88</v>
      </c>
      <c r="I54" s="114" t="s">
        <f>VLOOKUP(B54,'UV台帐'!B:AL,18,0)</f>
        <v>165</v>
      </c>
      <c r="J54" s="114" t="s">
        <f>VLOOKUP(B54,'UV台帐'!B:AL,22,0)</f>
        <v>49</v>
      </c>
      <c r="K54" s="114" t="s">
        <f>VLOOKUP(B54,'UV台帐'!B:AL,24,0)</f>
        <v>216</v>
      </c>
      <c r="L54" s="114" t="s">
        <f>VLOOKUP(B54,'UV台帐'!B:AL,26,0)</f>
        <v>88</v>
      </c>
      <c r="M54" s="114" t="s">
        <f>VLOOKUP(B54,'UV台帐'!B:AL,27,0)</f>
        <v>165</v>
      </c>
      <c r="N54" s="114" t="s">
        <f>VLOOKUP(B54,'UV台帐'!B:AL,31,0)</f>
        <v>52</v>
      </c>
      <c r="O54" s="114" t="s">
        <f>VLOOKUP(B54,'UV台帐'!B:AL,33,0)</f>
        <v>233</v>
      </c>
      <c r="P54" s="114" t="s">
        <f>VLOOKUP(B54,'UV台帐'!B:AL,35,0)</f>
        <v>88</v>
      </c>
      <c r="Q54" s="114" t="s">
        <f>VLOOKUP(B54,'UV台帐'!B:AL,36,0)</f>
        <v>165</v>
      </c>
      <c r="R54" s="318"/>
      <c r="S54" s="318" t="s">
        <v>217</v>
      </c>
      <c r="T54" s="318" t="s">
        <v>218</v>
      </c>
      <c r="U54" s="292" t="s">
        <v>37</v>
      </c>
      <c r="W54" s="318" t="s">
        <v>49</v>
      </c>
      <c r="X54" s="318"/>
      <c r="Y54" s="318"/>
      <c r="Z54" s="318"/>
      <c r="AA54" s="68" t="s">
        <v>52</v>
      </c>
      <c r="AB54" s="318" t="s">
        <v>217</v>
      </c>
      <c r="AC54" s="104" t="s">
        <v>1559</v>
      </c>
      <c r="AD54" s="104" t="s">
        <v>217</v>
      </c>
      <c r="AE54" s="318" t="s">
        <v>50</v>
      </c>
      <c r="AF54" s="318" t="n">
        <f>VLOOKUP(B54,'UV台帐'!B:G,6,0)</f>
        <v>0</v>
      </c>
      <c r="AG54" s="318" t="s">
        <v>300</v>
      </c>
      <c r="AH54" s="318" t="s">
        <v>217</v>
      </c>
      <c r="AI54" s="241" t="s">
        <v>1560</v>
      </c>
      <c r="AJ54" s="508" t="s">
        <v>1561</v>
      </c>
      <c r="AK54" s="508" t="s">
        <v>1561</v>
      </c>
      <c r="AL54" s="290" t="s">
        <v>28</v>
      </c>
      <c r="AM54" s="290" t="s">
        <v>28</v>
      </c>
      <c r="AN54" s="290" t="s">
        <v>28</v>
      </c>
      <c r="AO54" s="290" t="s">
        <v>28</v>
      </c>
      <c r="AP54" s="664" t="s">
        <v>1562</v>
      </c>
      <c r="AQ54" s="292" t="s">
        <v>217</v>
      </c>
      <c r="AR54" s="436"/>
      <c r="AS54" s="318" t="n">
        <f>COUNTIFS(H54,"零期",I54,"在读")+COUNTIFS(L54,"零期",M54,"在读")+COUNTIFS(P54,"零期",Q54,"在读")</f>
        <v>3</v>
      </c>
      <c r="AT54" s="318" t="n">
        <f>AS54-AX54</f>
        <v>3</v>
      </c>
      <c r="AU54" s="292" t="s">
        <f>VLOOKUP(B54,'UV台帐'!B:AL,19,0)</f>
        <v>116</v>
      </c>
      <c r="AV54" s="292" t="s">
        <f>VLOOKUP(B54,'UV台帐'!B:AL,28,0)</f>
        <v>116</v>
      </c>
      <c r="AW54" s="292" t="s">
        <f>VLOOKUP(B54,'UV台帐'!B:AL,37,0)</f>
        <v>116</v>
      </c>
      <c r="AX54" s="318" t="n">
        <f>COUNTIFS(H54,"零期",AU54,"是")+COUNTIFS(L54,"零期",AV54,"是")+COUNTIFS(P54,"零期",AW54,"是")</f>
        <v>0</v>
      </c>
      <c r="AZ54" s="483" t="s">
        <v>1563</v>
      </c>
      <c r="BA54" s="197"/>
    </row>
    <row r="55" s="292" customFormat="1" ht="30" customHeight="1">
      <c r="A55" s="318" t="s">
        <v>45</v>
      </c>
      <c r="B55" s="318" t="n">
        <v>4024784462</v>
      </c>
      <c r="C55" s="114" t="s">
        <f>VLOOKUP(B55,'UV台帐'!B:AL,2,0)</f>
        <v>1280</v>
      </c>
      <c r="D55" s="114" t="s">
        <f>VLOOKUP(B55,'UV台帐'!B:AL,3,0)</f>
        <v>1266</v>
      </c>
      <c r="E55" s="114" t="s">
        <f>VLOOKUP(B55,'UV台帐'!B:AL,13,0)</f>
        <v>31</v>
      </c>
      <c r="F55" s="114" t="s">
        <f>VLOOKUP(B55,'UV台帐'!B:AL,15,0)</f>
        <v>215</v>
      </c>
      <c r="G55" s="114" t="s">
        <f>VLOOKUP(B55,'UV台帐'!B:AL,16,0)</f>
        <v>283</v>
      </c>
      <c r="H55" s="114" t="s">
        <f>VLOOKUP(B55,'UV台帐'!B:AL,17,0)</f>
        <v>88</v>
      </c>
      <c r="I55" s="114" t="s">
        <f>VLOOKUP(B55,'UV台帐'!B:AL,18,0)</f>
        <v>165</v>
      </c>
      <c r="J55" s="114" t="s">
        <f>VLOOKUP(B55,'UV台帐'!B:AL,22,0)</f>
        <v>47</v>
      </c>
      <c r="K55" s="114" t="s">
        <f>VLOOKUP(B55,'UV台帐'!B:AL,24,0)</f>
        <v>233</v>
      </c>
      <c r="L55" s="114" t="s">
        <f>VLOOKUP(B55,'UV台帐'!B:AL,26,0)</f>
        <v>88</v>
      </c>
      <c r="M55" s="114" t="s">
        <f>VLOOKUP(B55,'UV台帐'!B:AL,27,0)</f>
        <v>165</v>
      </c>
      <c r="N55" s="114" t="s">
        <f>VLOOKUP(B55,'UV台帐'!B:AL,31,0)</f>
        <v>58</v>
      </c>
      <c r="O55" s="114" t="s">
        <f>VLOOKUP(B55,'UV台帐'!B:AL,33,0)</f>
        <v>216</v>
      </c>
      <c r="P55" s="114" t="s">
        <f>VLOOKUP(B55,'UV台帐'!B:AL,35,0)</f>
        <v>88</v>
      </c>
      <c r="Q55" s="114" t="s">
        <f>VLOOKUP(B55,'UV台帐'!B:AL,36,0)</f>
        <v>165</v>
      </c>
      <c r="R55" s="318"/>
      <c r="S55" s="318" t="s">
        <v>217</v>
      </c>
      <c r="T55" s="318" t="s">
        <v>218</v>
      </c>
      <c r="U55" s="318" t="s">
        <v>58</v>
      </c>
      <c r="V55" s="318"/>
      <c r="W55" s="318"/>
      <c r="X55" s="318"/>
      <c r="Y55" s="318"/>
      <c r="Z55" s="318"/>
      <c r="AA55" s="68" t="s">
        <v>31</v>
      </c>
      <c r="AB55" s="318" t="s">
        <v>217</v>
      </c>
      <c r="AC55" s="104" t="s">
        <v>1564</v>
      </c>
      <c r="AD55" s="104" t="s">
        <v>217</v>
      </c>
      <c r="AE55" s="318" t="s">
        <v>48</v>
      </c>
      <c r="AF55" s="318" t="n">
        <f>VLOOKUP(B55,'UV台帐'!B:G,6,0)</f>
        <v>0</v>
      </c>
      <c r="AG55" s="318"/>
      <c r="AH55" s="318" t="s">
        <v>217</v>
      </c>
      <c r="AI55" s="241" t="s">
        <v>1565</v>
      </c>
      <c r="AJ55" s="508" t="s">
        <v>1566</v>
      </c>
      <c r="AK55" s="508" t="s">
        <v>1566</v>
      </c>
      <c r="AL55" s="290"/>
      <c r="AM55" s="290"/>
      <c r="AN55" s="290"/>
      <c r="AO55" s="290"/>
      <c r="AP55" s="484"/>
      <c r="AR55" s="436"/>
      <c r="AS55" s="318" t="n">
        <f>COUNTIFS(H55,"零期",I55,"在读")+COUNTIFS(L55,"零期",M55,"在读")+COUNTIFS(P55,"零期",Q55,"在读")</f>
        <v>3</v>
      </c>
      <c r="AT55" s="318" t="n">
        <f>AS55-AX55</f>
        <v>1</v>
      </c>
      <c r="AU55" s="292" t="s">
        <f>VLOOKUP(B55,'UV台帐'!B:AL,19,0)</f>
        <v>217</v>
      </c>
      <c r="AV55" s="292" t="s">
        <f>VLOOKUP(B55,'UV台帐'!B:AL,28,0)</f>
        <v>116</v>
      </c>
      <c r="AW55" s="292" t="s">
        <f>VLOOKUP(B55,'UV台帐'!B:AL,37,0)</f>
        <v>217</v>
      </c>
      <c r="AX55" s="318" t="n">
        <f>COUNTIFS(H55,"零期",AU55,"是")+COUNTIFS(L55,"零期",AV55,"是")+COUNTIFS(P55,"零期",AW55,"是")</f>
        <v>2</v>
      </c>
      <c r="AZ55" s="483" t="s">
        <v>1567</v>
      </c>
      <c r="BA55" s="197"/>
    </row>
    <row r="56" s="292" customFormat="1" ht="30" customHeight="1">
      <c r="A56" s="318" t="s">
        <v>45</v>
      </c>
      <c r="B56" s="318" t="n">
        <v>4029496535</v>
      </c>
      <c r="C56" s="114" t="s">
        <f>VLOOKUP(B56,'UV台帐'!B:AL,2,0)</f>
        <v>1309</v>
      </c>
      <c r="D56" s="114" t="s">
        <f>VLOOKUP(B56,'UV台帐'!B:AL,3,0)</f>
        <v>48</v>
      </c>
      <c r="E56" s="114" t="s">
        <f>VLOOKUP(B56,'UV台帐'!B:AL,13,0)</f>
        <v>31</v>
      </c>
      <c r="F56" s="114" t="s">
        <f>VLOOKUP(B56,'UV台帐'!B:AL,15,0)</f>
        <v>246</v>
      </c>
      <c r="G56" s="114" t="s">
        <f>VLOOKUP(B56,'UV台帐'!B:AL,16,0)</f>
        <v>234</v>
      </c>
      <c r="H56" s="114" t="s">
        <f>VLOOKUP(B56,'UV台帐'!B:AL,17,0)</f>
        <v>88</v>
      </c>
      <c r="I56" s="114" t="s">
        <f>VLOOKUP(B56,'UV台帐'!B:AL,18,0)</f>
        <v>165</v>
      </c>
      <c r="J56" s="114" t="s">
        <f>VLOOKUP(B56,'UV台帐'!B:AL,22,0)</f>
        <v>43</v>
      </c>
      <c r="K56" s="114" t="s">
        <f>VLOOKUP(B56,'UV台帐'!B:AL,24,0)</f>
        <v>216</v>
      </c>
      <c r="L56" s="114" t="s">
        <f>VLOOKUP(B56,'UV台帐'!B:AL,26,0)</f>
        <v>88</v>
      </c>
      <c r="M56" s="114" t="s">
        <f>VLOOKUP(B56,'UV台帐'!B:AL,27,0)</f>
        <v>165</v>
      </c>
      <c r="N56" s="114" t="s">
        <f>VLOOKUP(B56,'UV台帐'!B:AL,31,0)</f>
        <v>52</v>
      </c>
      <c r="O56" s="114" t="s">
        <f>VLOOKUP(B56,'UV台帐'!B:AL,33,0)</f>
        <v>215</v>
      </c>
      <c r="P56" s="114" t="s">
        <f>VLOOKUP(B56,'UV台帐'!B:AL,35,0)</f>
        <v>88</v>
      </c>
      <c r="Q56" s="114" t="s">
        <f>VLOOKUP(B56,'UV台帐'!B:AL,36,0)</f>
        <v>165</v>
      </c>
      <c r="R56" s="318"/>
      <c r="S56" s="318" t="s">
        <v>217</v>
      </c>
      <c r="T56" s="318" t="s">
        <v>217</v>
      </c>
      <c r="W56" s="318" t="s">
        <v>52</v>
      </c>
      <c r="X56" s="318"/>
      <c r="AA56" s="75" t="s">
        <v>31</v>
      </c>
      <c r="AB56" s="318" t="s">
        <v>217</v>
      </c>
      <c r="AC56" s="104" t="s">
        <v>48</v>
      </c>
      <c r="AD56" s="114" t="s">
        <v>217</v>
      </c>
      <c r="AE56" s="318" t="s">
        <v>48</v>
      </c>
      <c r="AF56" s="318" t="n">
        <f>VLOOKUP(B56,'UV台帐'!B:G,6,0)</f>
        <v>0</v>
      </c>
      <c r="AG56" s="318"/>
      <c r="AH56" s="318" t="s">
        <v>217</v>
      </c>
      <c r="AI56" s="241" t="s">
        <v>1466</v>
      </c>
      <c r="AJ56" s="508" t="s">
        <v>1568</v>
      </c>
      <c r="AK56" s="508" t="s">
        <v>1568</v>
      </c>
      <c r="AL56" s="290" t="s">
        <v>27</v>
      </c>
      <c r="AM56" s="290" t="s">
        <v>27</v>
      </c>
      <c r="AN56" s="290" t="s">
        <v>28</v>
      </c>
      <c r="AO56" s="290" t="s">
        <v>28</v>
      </c>
      <c r="AP56" s="484" t="s">
        <v>1569</v>
      </c>
      <c r="AR56" s="436"/>
      <c r="AS56" s="318" t="n">
        <f>COUNTIFS(H56,"零期",I56,"在读")+COUNTIFS(L56,"零期",M56,"在读")+COUNTIFS(P56,"零期",Q56,"在读")</f>
        <v>3</v>
      </c>
      <c r="AT56" s="318" t="n">
        <f>AS56-AX56</f>
        <v>0</v>
      </c>
      <c r="AU56" s="292" t="s">
        <f>VLOOKUP(B56,'UV台帐'!B:AL,19,0)</f>
        <v>217</v>
      </c>
      <c r="AV56" s="292" t="s">
        <f>VLOOKUP(B56,'UV台帐'!B:AL,28,0)</f>
        <v>217</v>
      </c>
      <c r="AW56" s="292" t="s">
        <f>VLOOKUP(B56,'UV台帐'!B:AL,37,0)</f>
        <v>217</v>
      </c>
      <c r="AX56" s="318" t="n">
        <f>COUNTIFS(H56,"零期",AU56,"是")+COUNTIFS(L56,"零期",AV56,"是")+COUNTIFS(P56,"零期",AW56,"是")</f>
        <v>3</v>
      </c>
      <c r="AZ56" s="483" t="s">
        <v>1570</v>
      </c>
      <c r="BA56" s="197"/>
    </row>
    <row r="57" s="292" customFormat="1" ht="30" customHeight="1">
      <c r="A57" s="318" t="s">
        <v>45</v>
      </c>
      <c r="B57" s="318" t="n">
        <v>4042838194</v>
      </c>
      <c r="C57" s="114" t="s">
        <f>VLOOKUP(B57,'UV台帐'!B:AL,2,0)</f>
        <v>1055</v>
      </c>
      <c r="D57" s="114" t="s">
        <f>VLOOKUP(B57,'UV台帐'!B:AL,3,0)</f>
        <v>46</v>
      </c>
      <c r="E57" s="114" t="s">
        <f>VLOOKUP(B57,'UV台帐'!B:AL,13,0)</f>
        <v>37</v>
      </c>
      <c r="F57" s="114" t="s">
        <f>VLOOKUP(B57,'UV台帐'!B:AL,15,0)</f>
        <v>215</v>
      </c>
      <c r="G57" s="114" t="s">
        <f>VLOOKUP(B57,'UV台帐'!B:AL,16,0)</f>
        <v>283</v>
      </c>
      <c r="H57" s="114" t="s">
        <f>VLOOKUP(B57,'UV台帐'!B:AL,17,0)</f>
        <v>88</v>
      </c>
      <c r="I57" s="114" t="s">
        <f>VLOOKUP(B57,'UV台帐'!B:AL,18,0)</f>
        <v>165</v>
      </c>
      <c r="J57" s="114" t="s">
        <f>VLOOKUP(B57,'UV台帐'!B:AL,22,0)</f>
        <v>49</v>
      </c>
      <c r="K57" s="114" t="s">
        <f>VLOOKUP(B57,'UV台帐'!B:AL,24,0)</f>
        <v>216</v>
      </c>
      <c r="L57" s="114" t="s">
        <f>VLOOKUP(B57,'UV台帐'!B:AL,26,0)</f>
        <v>88</v>
      </c>
      <c r="M57" s="114" t="s">
        <v>165</v>
      </c>
      <c r="N57" s="114" t="s">
        <f>VLOOKUP(B57,'UV台帐'!B:AL,31,0)</f>
        <v>52</v>
      </c>
      <c r="O57" s="114" t="s">
        <f>VLOOKUP(B57,'UV台帐'!B:AL,33,0)</f>
        <v>233</v>
      </c>
      <c r="P57" s="114" t="s">
        <f>VLOOKUP(B57,'UV台帐'!B:AL,35,0)</f>
        <v>88</v>
      </c>
      <c r="Q57" s="114" t="s">
        <f>VLOOKUP(B57,'UV台帐'!B:AL,36,0)</f>
        <v>165</v>
      </c>
      <c r="R57" s="318"/>
      <c r="S57" s="318" t="s">
        <v>217</v>
      </c>
      <c r="T57" s="318" t="s">
        <v>217</v>
      </c>
      <c r="U57" s="292" t="s">
        <v>52</v>
      </c>
      <c r="W57" s="318" t="s">
        <v>49</v>
      </c>
      <c r="X57" s="318"/>
      <c r="Y57" s="318" t="s">
        <v>37</v>
      </c>
      <c r="Z57" s="318"/>
      <c r="AA57" s="68" t="s">
        <v>49</v>
      </c>
      <c r="AB57" s="7" t="s">
        <v>218</v>
      </c>
      <c r="AC57" s="104"/>
      <c r="AD57" s="104" t="s">
        <v>218</v>
      </c>
      <c r="AE57" s="318" t="s">
        <v>46</v>
      </c>
      <c r="AF57" s="318" t="n">
        <f>VLOOKUP(B57,'UV台帐'!B:G,6,0)</f>
        <v>0</v>
      </c>
      <c r="AG57" s="318"/>
      <c r="AH57" s="318" t="s">
        <v>217</v>
      </c>
      <c r="AI57" s="241" t="s">
        <v>1571</v>
      </c>
      <c r="AJ57" s="508" t="s">
        <v>1572</v>
      </c>
      <c r="AK57" s="508" t="s">
        <v>1572</v>
      </c>
      <c r="AL57" s="290" t="s">
        <v>27</v>
      </c>
      <c r="AM57" s="290" t="s">
        <v>27</v>
      </c>
      <c r="AN57" s="290" t="s">
        <v>27</v>
      </c>
      <c r="AO57" s="290" t="s">
        <v>28</v>
      </c>
      <c r="AP57" s="484"/>
      <c r="AR57" s="436"/>
      <c r="AS57" s="318" t="n">
        <f>COUNTIFS(H57,"零期",I57,"在读")+COUNTIFS(L57,"零期",M57,"在读")+COUNTIFS(P57,"零期",Q57,"在读")</f>
        <v>3</v>
      </c>
      <c r="AT57" s="318" t="n">
        <f>AS57-AX57</f>
        <v>0</v>
      </c>
      <c r="AU57" s="292" t="s">
        <f>VLOOKUP(B57,'UV台帐'!B:AL,19,0)</f>
        <v>217</v>
      </c>
      <c r="AV57" s="292" t="s">
        <f>VLOOKUP(B57,'UV台帐'!B:AL,28,0)</f>
        <v>217</v>
      </c>
      <c r="AW57" s="292" t="s">
        <f>VLOOKUP(B57,'UV台帐'!B:AL,37,0)</f>
        <v>217</v>
      </c>
      <c r="AX57" s="318" t="n">
        <f>COUNTIFS(H57,"零期",AU57,"是")+COUNTIFS(L57,"零期",AV57,"是")+COUNTIFS(P57,"零期",AW57,"是")</f>
        <v>3</v>
      </c>
      <c r="AZ57" s="483" t="s">
        <v>1573</v>
      </c>
      <c r="BA57" s="197"/>
    </row>
    <row r="58" s="292" customFormat="1" ht="30" customHeight="1">
      <c r="A58" s="318" t="s">
        <v>45</v>
      </c>
      <c r="B58" s="318" t="n">
        <v>4050031794</v>
      </c>
      <c r="C58" s="114" t="s">
        <f>VLOOKUP(B58,'UV台帐'!B:AL,2,0)</f>
        <v>494</v>
      </c>
      <c r="D58" s="114" t="s">
        <f>VLOOKUP(B58,'UV台帐'!B:AL,3,0)</f>
        <v>46</v>
      </c>
      <c r="E58" s="114" t="s">
        <f>VLOOKUP(B58,'UV台帐'!B:AL,13,0)</f>
        <v>116</v>
      </c>
      <c r="F58" s="114" t="s">
        <f>VLOOKUP(B58,'UV台帐'!B:AL,15,0)</f>
        <v>116</v>
      </c>
      <c r="G58" s="114" t="s">
        <f>VLOOKUP(B58,'UV台帐'!B:AL,16,0)</f>
        <v>116</v>
      </c>
      <c r="H58" s="114" t="s">
        <f>VLOOKUP(B58,'UV台帐'!B:AL,17,0)</f>
        <v>116</v>
      </c>
      <c r="I58" s="114" t="s">
        <f>VLOOKUP(B58,'UV台帐'!B:AL,18,0)</f>
        <v>116</v>
      </c>
      <c r="J58" s="114" t="s">
        <f>VLOOKUP(B58,'UV台帐'!B:AL,22,0)</f>
        <v>49</v>
      </c>
      <c r="K58" s="114" t="s">
        <f>VLOOKUP(B58,'UV台帐'!B:AL,24,0)</f>
        <v>215</v>
      </c>
      <c r="L58" s="114" t="s">
        <f>VLOOKUP(B58,'UV台帐'!B:AL,26,0)</f>
        <v>101</v>
      </c>
      <c r="M58" s="114" t="s">
        <f>VLOOKUP(B58,'UV台帐'!B:AL,27,0)</f>
        <v>165</v>
      </c>
      <c r="N58" s="114" t="s">
        <f>VLOOKUP(B58,'UV台帐'!B:AL,31,0)</f>
        <v>52</v>
      </c>
      <c r="O58" s="114" t="s">
        <f>VLOOKUP(B58,'UV台帐'!B:AL,33,0)</f>
        <v>215</v>
      </c>
      <c r="P58" s="114" t="s">
        <f>VLOOKUP(B58,'UV台帐'!B:AL,35,0)</f>
        <v>88</v>
      </c>
      <c r="Q58" s="114" t="s">
        <f>VLOOKUP(B58,'UV台帐'!B:AL,36,0)</f>
        <v>165</v>
      </c>
      <c r="R58" s="318"/>
      <c r="S58" s="318" t="s">
        <v>218</v>
      </c>
      <c r="T58" s="318" t="s">
        <v>218</v>
      </c>
      <c r="W58" s="318"/>
      <c r="X58" s="318"/>
      <c r="Y58" s="292" t="s">
        <v>43</v>
      </c>
      <c r="AA58" s="68" t="s">
        <v>52</v>
      </c>
      <c r="AB58" s="318" t="s">
        <v>217</v>
      </c>
      <c r="AC58" s="104" t="s">
        <v>1564</v>
      </c>
      <c r="AD58" s="104" t="s">
        <v>217</v>
      </c>
      <c r="AE58" s="318" t="s">
        <v>46</v>
      </c>
      <c r="AF58" s="318" t="n">
        <f>VLOOKUP(B58,'UV台帐'!B:G,6,0)</f>
        <v>0</v>
      </c>
      <c r="AG58" s="318"/>
      <c r="AH58" s="318" t="s">
        <v>217</v>
      </c>
      <c r="AI58" s="241"/>
      <c r="AJ58" s="508" t="s">
        <v>1574</v>
      </c>
      <c r="AK58" s="508" t="s">
        <v>1574</v>
      </c>
      <c r="AL58" s="290" t="s">
        <v>25</v>
      </c>
      <c r="AM58" s="290"/>
      <c r="AN58" s="290" t="s">
        <v>27</v>
      </c>
      <c r="AO58" s="290" t="s">
        <v>28</v>
      </c>
      <c r="AP58" s="484" t="s">
        <v>1575</v>
      </c>
      <c r="AQ58" s="292" t="s">
        <v>217</v>
      </c>
      <c r="AR58" s="436"/>
      <c r="AS58" s="318" t="n">
        <f>COUNTIFS(H58,"零期",I58,"在读")+COUNTIFS(L58,"零期",M58,"在读")+COUNTIFS(P58,"零期",Q58,"在读")</f>
        <v>1</v>
      </c>
      <c r="AT58" s="318" t="n">
        <f>AS58-AX58</f>
        <v>1</v>
      </c>
      <c r="AU58" s="292" t="s">
        <f>VLOOKUP(B58,'UV台帐'!B:AL,19,0)</f>
        <v>116</v>
      </c>
      <c r="AV58" s="292" t="s">
        <f>VLOOKUP(B58,'UV台帐'!B:AL,28,0)</f>
        <v>116</v>
      </c>
      <c r="AW58" s="292" t="s">
        <f>VLOOKUP(B58,'UV台帐'!B:AL,37,0)</f>
        <v>116</v>
      </c>
      <c r="AX58" s="318" t="n">
        <f>COUNTIFS(H58,"零期",AU58,"是")+COUNTIFS(L58,"零期",AV58,"是")+COUNTIFS(P58,"零期",AW58,"是")</f>
        <v>0</v>
      </c>
      <c r="AZ58" s="483" t="s">
        <v>1576</v>
      </c>
      <c r="BA58" s="197"/>
    </row>
    <row r="59" s="292" customFormat="1" ht="30" customHeight="1">
      <c r="A59" s="318" t="s">
        <v>54</v>
      </c>
      <c r="B59" s="318" t="n">
        <v>4055682554</v>
      </c>
      <c r="C59" s="114" t="s">
        <f>VLOOKUP(B59,'UV台帐'!B:AL,2,0)</f>
        <v>1015</v>
      </c>
      <c r="D59" s="114" t="s">
        <f>VLOOKUP(B59,'UV台帐'!B:AL,3,0)</f>
        <v>59</v>
      </c>
      <c r="E59" s="114" t="s">
        <f>VLOOKUP(B59,'UV台帐'!B:AL,13,0)</f>
        <v>37</v>
      </c>
      <c r="F59" s="114" t="s">
        <f>VLOOKUP(B59,'UV台帐'!B:AL,15,0)</f>
        <v>216</v>
      </c>
      <c r="G59" s="114" t="s">
        <f>VLOOKUP(B59,'UV台帐'!B:AL,16,0)</f>
        <v>283</v>
      </c>
      <c r="H59" s="114" t="s">
        <f>VLOOKUP(B59,'UV台帐'!B:AL,17,0)</f>
        <v>88</v>
      </c>
      <c r="I59" s="114" t="s">
        <f>VLOOKUP(B59,'UV台帐'!B:AL,18,0)</f>
        <v>165</v>
      </c>
      <c r="J59" s="114" t="s">
        <f>VLOOKUP(B59,'UV台帐'!B:AL,22,0)</f>
        <v>47</v>
      </c>
      <c r="K59" s="114" t="s">
        <f>VLOOKUP(B59,'UV台帐'!B:AL,24,0)</f>
        <v>215</v>
      </c>
      <c r="L59" s="114" t="s">
        <f>VLOOKUP(B59,'UV台帐'!B:AL,26,0)</f>
        <v>88</v>
      </c>
      <c r="M59" s="114" t="s">
        <f>VLOOKUP(B59,'UV台帐'!B:AL,27,0)</f>
        <v>165</v>
      </c>
      <c r="N59" s="114" t="s">
        <f>VLOOKUP(B59,'UV台帐'!B:AL,31,0)</f>
        <v>56</v>
      </c>
      <c r="O59" s="114" t="s">
        <f>VLOOKUP(B59,'UV台帐'!B:AL,33,0)</f>
        <v>233</v>
      </c>
      <c r="P59" s="114" t="s">
        <f>VLOOKUP(B59,'UV台帐'!B:AL,35,0)</f>
        <v>88</v>
      </c>
      <c r="Q59" s="114" t="s">
        <f>VLOOKUP(B59,'UV台帐'!B:AL,36,0)</f>
        <v>165</v>
      </c>
      <c r="R59" s="318"/>
      <c r="S59" s="318" t="s">
        <v>217</v>
      </c>
      <c r="T59" s="318" t="s">
        <v>217</v>
      </c>
      <c r="W59" s="318" t="s">
        <v>1426</v>
      </c>
      <c r="X59" s="318"/>
      <c r="Y59" s="318"/>
      <c r="Z59" s="318"/>
      <c r="AA59" s="75" t="s">
        <v>47</v>
      </c>
      <c r="AB59" s="318" t="s">
        <v>217</v>
      </c>
      <c r="AC59" s="147" t="s">
        <v>59</v>
      </c>
      <c r="AD59" s="114" t="s">
        <v>217</v>
      </c>
      <c r="AE59" s="318" t="s">
        <v>59</v>
      </c>
      <c r="AF59" s="318" t="n">
        <f>VLOOKUP(B59,'UV台帐'!B:G,6,0)</f>
        <v>0</v>
      </c>
      <c r="AG59" s="318" t="s">
        <v>1461</v>
      </c>
      <c r="AH59" s="318" t="s">
        <v>217</v>
      </c>
      <c r="AI59" s="241" t="s">
        <v>1577</v>
      </c>
      <c r="AJ59" s="508" t="s">
        <v>1578</v>
      </c>
      <c r="AK59" s="508" t="s">
        <v>1578</v>
      </c>
      <c r="AL59" s="290" t="s">
        <v>27</v>
      </c>
      <c r="AM59" s="290" t="s">
        <v>27</v>
      </c>
      <c r="AN59" s="290" t="s">
        <v>27</v>
      </c>
      <c r="AO59" s="290" t="s">
        <v>27</v>
      </c>
      <c r="AP59" s="484" t="s">
        <v>1579</v>
      </c>
      <c r="AQ59" s="292" t="s">
        <v>217</v>
      </c>
      <c r="AR59" s="436"/>
      <c r="AS59" s="318" t="n">
        <f>COUNTIFS(H59,"零期",I59,"在读")+COUNTIFS(L59,"零期",M59,"在读")+COUNTIFS(P59,"零期",Q59,"在读")</f>
        <v>3</v>
      </c>
      <c r="AT59" s="318" t="n">
        <f>AS59-AX59</f>
        <v>3</v>
      </c>
      <c r="AU59" s="292" t="s">
        <f>VLOOKUP(B59,'UV台帐'!B:AL,19,0)</f>
        <v>116</v>
      </c>
      <c r="AV59" s="292" t="s">
        <f>VLOOKUP(B59,'UV台帐'!B:AL,28,0)</f>
        <v>116</v>
      </c>
      <c r="AW59" s="292" t="s">
        <f>VLOOKUP(B59,'UV台帐'!B:AL,37,0)</f>
        <v>116</v>
      </c>
      <c r="AX59" s="318" t="n">
        <f>COUNTIFS(H59,"零期",AU59,"是")+COUNTIFS(L59,"零期",AV59,"是")+COUNTIFS(P59,"零期",AW59,"是")</f>
        <v>0</v>
      </c>
      <c r="AZ59" s="483" t="s">
        <v>1580</v>
      </c>
      <c r="BA59" s="483"/>
    </row>
    <row r="60" s="292" customFormat="1" ht="30" customHeight="1">
      <c r="A60" s="318" t="s">
        <v>45</v>
      </c>
      <c r="B60" s="318" t="n">
        <v>4078699077</v>
      </c>
      <c r="C60" s="114" t="s">
        <f>VLOOKUP(B60,'UV台帐'!B:AL,2,0)</f>
        <v>895</v>
      </c>
      <c r="D60" s="114" t="s">
        <f>VLOOKUP(B60,'UV台帐'!B:AL,3,0)</f>
        <v>48</v>
      </c>
      <c r="E60" s="114" t="s">
        <f>VLOOKUP(B60,'UV台帐'!B:AL,13,0)</f>
        <v>31</v>
      </c>
      <c r="F60" s="114" t="s">
        <f>VLOOKUP(B60,'UV台帐'!B:AL,15,0)</f>
        <v>216</v>
      </c>
      <c r="G60" s="114" t="s">
        <f>VLOOKUP(B60,'UV台帐'!B:AL,16,0)</f>
        <v>234</v>
      </c>
      <c r="H60" s="114" t="s">
        <f>VLOOKUP(B60,'UV台帐'!B:AL,17,0)</f>
        <v>65</v>
      </c>
      <c r="I60" s="114" t="s">
        <f>VLOOKUP(B60,'UV台帐'!B:AL,18,0)</f>
        <v>165</v>
      </c>
      <c r="J60" s="114" t="s">
        <f>VLOOKUP(B60,'UV台帐'!B:AL,22,0)</f>
        <v>47</v>
      </c>
      <c r="K60" s="114" t="s">
        <f>VLOOKUP(B60,'UV台帐'!B:AL,24,0)</f>
        <v>233</v>
      </c>
      <c r="L60" s="114" t="s">
        <f>VLOOKUP(B60,'UV台帐'!B:AL,26,0)</f>
        <v>88</v>
      </c>
      <c r="M60" s="114" t="s">
        <f>VLOOKUP(B60,'UV台帐'!B:AL,27,0)</f>
        <v>165</v>
      </c>
      <c r="N60" s="114" t="s">
        <f>VLOOKUP(B60,'UV台帐'!B:AL,31,0)</f>
        <v>58</v>
      </c>
      <c r="O60" s="114" t="s">
        <f>VLOOKUP(B60,'UV台帐'!B:AL,33,0)</f>
        <v>216</v>
      </c>
      <c r="P60" s="114" t="s">
        <f>VLOOKUP(B60,'UV台帐'!B:AL,35,0)</f>
        <v>88</v>
      </c>
      <c r="Q60" s="114" t="s">
        <f>VLOOKUP(B60,'UV台帐'!B:AL,36,0)</f>
        <v>165</v>
      </c>
      <c r="R60" s="318"/>
      <c r="S60" s="318" t="s">
        <v>217</v>
      </c>
      <c r="T60" s="318" t="s">
        <v>217</v>
      </c>
      <c r="W60" s="318" t="s">
        <v>58</v>
      </c>
      <c r="X60" s="318"/>
      <c r="Y60" s="114" t="s">
        <v>47</v>
      </c>
      <c r="Z60" s="114"/>
      <c r="AA60" s="68" t="s">
        <v>47</v>
      </c>
      <c r="AB60" s="318" t="s">
        <v>218</v>
      </c>
      <c r="AC60" s="104"/>
      <c r="AD60" s="104" t="s">
        <v>218</v>
      </c>
      <c r="AE60" s="318" t="s">
        <v>48</v>
      </c>
      <c r="AF60" s="318" t="n">
        <f>VLOOKUP(B60,'UV台帐'!B:G,6,0)</f>
        <v>0</v>
      </c>
      <c r="AG60" s="318" t="s">
        <v>325</v>
      </c>
      <c r="AH60" s="318" t="s">
        <v>217</v>
      </c>
      <c r="AI60" s="241" t="s">
        <v>1466</v>
      </c>
      <c r="AJ60" s="508" t="s">
        <v>1581</v>
      </c>
      <c r="AK60" s="508" t="s">
        <v>1581</v>
      </c>
      <c r="AL60" s="290" t="s">
        <v>27</v>
      </c>
      <c r="AM60" s="290"/>
      <c r="AN60" s="290"/>
      <c r="AO60" s="290" t="s">
        <v>27</v>
      </c>
      <c r="AP60" s="484" t="s">
        <v>1582</v>
      </c>
      <c r="AR60" s="436"/>
      <c r="AS60" s="318" t="n">
        <f>COUNTIFS(H60,"零期",I60,"在读")+COUNTIFS(L60,"零期",M60,"在读")+COUNTIFS(P60,"零期",Q60,"在读")</f>
        <v>2</v>
      </c>
      <c r="AT60" s="318" t="n">
        <f>AS60-AX60</f>
        <v>1</v>
      </c>
      <c r="AU60" s="292" t="s">
        <f>VLOOKUP(B60,'UV台帐'!B:AL,19,0)</f>
        <v>116</v>
      </c>
      <c r="AV60" s="292" t="s">
        <f>VLOOKUP(B60,'UV台帐'!B:AL,28,0)</f>
        <v>116</v>
      </c>
      <c r="AW60" s="292" t="s">
        <f>VLOOKUP(B60,'UV台帐'!B:AL,37,0)</f>
        <v>217</v>
      </c>
      <c r="AX60" s="318" t="n">
        <f>COUNTIFS(H60,"零期",AU60,"是")+COUNTIFS(L60,"零期",AV60,"是")+COUNTIFS(P60,"零期",AW60,"是")</f>
        <v>1</v>
      </c>
      <c r="AZ60" s="483" t="s">
        <v>1583</v>
      </c>
      <c r="BA60" s="197"/>
    </row>
    <row r="61" s="292" customFormat="1" ht="30" customHeight="1">
      <c r="A61" s="318" t="s">
        <v>54</v>
      </c>
      <c r="B61" s="318" t="n">
        <v>4087881429</v>
      </c>
      <c r="C61" s="114" t="s">
        <f>VLOOKUP(B61,'UV台帐'!B:AL,2,0)</f>
        <v>1118</v>
      </c>
      <c r="D61" s="114" t="s">
        <f>VLOOKUP(B61,'UV台帐'!B:AL,3,0)</f>
        <v>57</v>
      </c>
      <c r="E61" s="114" t="s">
        <f>VLOOKUP(B61,'UV台帐'!B:AL,13,0)</f>
        <v>37</v>
      </c>
      <c r="F61" s="114" t="s">
        <f>VLOOKUP(B61,'UV台帐'!B:AL,15,0)</f>
        <v>216</v>
      </c>
      <c r="G61" s="114" t="s">
        <f>VLOOKUP(B61,'UV台帐'!B:AL,16,0)</f>
        <v>283</v>
      </c>
      <c r="H61" s="114" t="s">
        <f>VLOOKUP(B61,'UV台帐'!B:AL,17,0)</f>
        <v>100</v>
      </c>
      <c r="I61" s="114" t="s">
        <f>VLOOKUP(B61,'UV台帐'!B:AL,18,0)</f>
        <v>165</v>
      </c>
      <c r="J61" s="114" t="s">
        <f>VLOOKUP(B61,'UV台帐'!B:AL,22,0)</f>
        <v>43</v>
      </c>
      <c r="K61" s="114" t="s">
        <f>VLOOKUP(B61,'UV台帐'!B:AL,24,0)</f>
        <v>215</v>
      </c>
      <c r="L61" s="114" t="s">
        <f>VLOOKUP(B61,'UV台帐'!B:AL,26,0)</f>
        <v>88</v>
      </c>
      <c r="M61" s="114" t="s">
        <f>VLOOKUP(B61,'UV台帐'!B:AL,27,0)</f>
        <v>165</v>
      </c>
      <c r="N61" s="114" t="s">
        <f>VLOOKUP(B61,'UV台帐'!B:AL,31,0)</f>
        <v>58</v>
      </c>
      <c r="O61" s="114" t="s">
        <f>VLOOKUP(B61,'UV台帐'!B:AL,33,0)</f>
        <v>233</v>
      </c>
      <c r="P61" s="114" t="s">
        <f>VLOOKUP(B61,'UV台帐'!B:AL,35,0)</f>
        <v>100</v>
      </c>
      <c r="Q61" s="114" t="s">
        <f>VLOOKUP(B61,'UV台帐'!B:AL,36,0)</f>
        <v>165</v>
      </c>
      <c r="R61" s="318"/>
      <c r="S61" s="318" t="s">
        <v>217</v>
      </c>
      <c r="T61" s="318" t="s">
        <v>218</v>
      </c>
      <c r="W61" s="318"/>
      <c r="X61" s="318"/>
      <c r="Y61" s="292" t="s">
        <v>43</v>
      </c>
      <c r="AA61" s="76" t="s">
        <v>43</v>
      </c>
      <c r="AB61" s="476" t="s">
        <v>1398</v>
      </c>
      <c r="AC61" s="318"/>
      <c r="AD61" s="104" t="s">
        <v>218</v>
      </c>
      <c r="AE61" s="318" t="s">
        <v>57</v>
      </c>
      <c r="AF61" s="318" t="n">
        <f>VLOOKUP(B61,'UV台帐'!B:G,6,0)</f>
        <v>0</v>
      </c>
      <c r="AG61" s="318" t="s">
        <v>1584</v>
      </c>
      <c r="AH61" s="318" t="s">
        <v>217</v>
      </c>
      <c r="AI61" s="241" t="s">
        <v>1525</v>
      </c>
      <c r="AJ61" s="508" t="s">
        <v>1585</v>
      </c>
      <c r="AK61" s="508" t="s">
        <v>1585</v>
      </c>
      <c r="AL61" s="290" t="s">
        <v>28</v>
      </c>
      <c r="AM61" s="290"/>
      <c r="AN61" s="290" t="s">
        <v>28</v>
      </c>
      <c r="AO61" s="290"/>
      <c r="AP61" s="484" t="s">
        <v>1586</v>
      </c>
      <c r="AR61" s="436"/>
      <c r="AS61" s="318" t="n">
        <f>COUNTIFS(H61,"零期",I61,"在读")+COUNTIFS(L61,"零期",M61,"在读")+COUNTIFS(P61,"零期",Q61,"在读")</f>
        <v>1</v>
      </c>
      <c r="AT61" s="318" t="n">
        <f>AS61-AX61</f>
        <v>1</v>
      </c>
      <c r="AU61" s="292" t="s">
        <f>VLOOKUP(B61,'UV台帐'!B:AL,19,0)</f>
        <v>116</v>
      </c>
      <c r="AV61" s="292" t="s">
        <f>VLOOKUP(B61,'UV台帐'!B:AL,28,0)</f>
        <v>116</v>
      </c>
      <c r="AW61" s="292" t="s">
        <f>VLOOKUP(B61,'UV台帐'!B:AL,37,0)</f>
        <v>116</v>
      </c>
      <c r="AX61" s="318" t="n">
        <f>COUNTIFS(H61,"零期",AU61,"是")+COUNTIFS(L61,"零期",AV61,"是")+COUNTIFS(P61,"零期",AW61,"是")</f>
        <v>0</v>
      </c>
      <c r="AZ61" s="483"/>
      <c r="BA61" s="197"/>
    </row>
    <row r="62" s="292" customFormat="1" ht="30" customHeight="1">
      <c r="A62" s="318" t="s">
        <v>54</v>
      </c>
      <c r="B62" s="318" t="n">
        <v>4090250168</v>
      </c>
      <c r="C62" s="114" t="s">
        <f>VLOOKUP(B62,'UV台帐'!B:AL,2,0)</f>
        <v>1227</v>
      </c>
      <c r="D62" s="114" t="s">
        <f>VLOOKUP(B62,'UV台帐'!B:AL,3,0)</f>
        <v>1228</v>
      </c>
      <c r="E62" s="114" t="s">
        <f>VLOOKUP(B62,'UV台帐'!B:AL,13,0)</f>
        <v>116</v>
      </c>
      <c r="F62" s="114" t="s">
        <f>VLOOKUP(B62,'UV台帐'!B:AL,15,0)</f>
        <v>116</v>
      </c>
      <c r="G62" s="114" t="s">
        <f>VLOOKUP(B62,'UV台帐'!B:AL,16,0)</f>
        <v>116</v>
      </c>
      <c r="H62" s="114" t="s">
        <f>VLOOKUP(B62,'UV台帐'!B:AL,17,0)</f>
        <v>116</v>
      </c>
      <c r="I62" s="114" t="s">
        <f>VLOOKUP(B62,'UV台帐'!B:AL,18,0)</f>
        <v>116</v>
      </c>
      <c r="J62" s="114" t="s">
        <f>VLOOKUP(B62,'UV台帐'!B:AL,22,0)</f>
        <v>43</v>
      </c>
      <c r="K62" s="114" t="s">
        <f>VLOOKUP(B62,'UV台帐'!B:AL,24,0)</f>
        <v>215</v>
      </c>
      <c r="L62" s="114" t="s">
        <f>VLOOKUP(B62,'UV台帐'!B:AL,26,0)</f>
        <v>88</v>
      </c>
      <c r="M62" s="114" t="s">
        <f>VLOOKUP(B62,'UV台帐'!B:AL,27,0)</f>
        <v>165</v>
      </c>
      <c r="N62" s="114" t="s">
        <f>VLOOKUP(B62,'UV台帐'!B:AL,31,0)</f>
        <v>116</v>
      </c>
      <c r="O62" s="114" t="s">
        <f>VLOOKUP(B62,'UV台帐'!B:AL,33,0)</f>
        <v>116</v>
      </c>
      <c r="P62" s="114" t="s">
        <f>VLOOKUP(B62,'UV台帐'!B:AL,35,0)</f>
        <v>116</v>
      </c>
      <c r="Q62" s="114" t="s">
        <f>VLOOKUP(B62,'UV台帐'!B:AL,36,0)</f>
        <v>116</v>
      </c>
      <c r="R62" s="318"/>
      <c r="S62" s="318" t="s">
        <v>217</v>
      </c>
      <c r="T62" s="318" t="s">
        <v>217</v>
      </c>
      <c r="W62" s="318"/>
      <c r="X62" s="318"/>
      <c r="Y62" s="318"/>
      <c r="Z62" s="318"/>
      <c r="AA62" s="68" t="s">
        <v>43</v>
      </c>
      <c r="AB62" s="476" t="s">
        <v>1419</v>
      </c>
      <c r="AC62" s="104" t="s">
        <v>761</v>
      </c>
      <c r="AD62" s="104" t="s">
        <v>218</v>
      </c>
      <c r="AE62" s="318" t="s">
        <v>57</v>
      </c>
      <c r="AF62" s="318" t="n">
        <f>VLOOKUP(B62,'UV台帐'!B:G,6,0)</f>
        <v>0</v>
      </c>
      <c r="AG62" s="318"/>
      <c r="AH62" s="318" t="s">
        <v>217</v>
      </c>
      <c r="AI62" s="241"/>
      <c r="AJ62" s="508" t="s">
        <v>1420</v>
      </c>
      <c r="AK62" s="508" t="s">
        <v>1420</v>
      </c>
      <c r="AL62" s="290" t="s">
        <v>25</v>
      </c>
      <c r="AM62" s="290"/>
      <c r="AN62" s="290" t="s">
        <v>25</v>
      </c>
      <c r="AO62" s="290"/>
      <c r="AP62" s="484" t="s">
        <v>1420</v>
      </c>
      <c r="AR62" s="436"/>
      <c r="AS62" s="318" t="n">
        <f>COUNTIFS(H62,"零期",I62,"在读")+COUNTIFS(L62,"零期",M62,"在读")+COUNTIFS(P62,"零期",Q62,"在读")</f>
        <v>1</v>
      </c>
      <c r="AT62" s="318" t="n">
        <f>AS62-AX62</f>
        <v>0</v>
      </c>
      <c r="AU62" s="292" t="s">
        <f>VLOOKUP(B62,'UV台帐'!B:AL,19,0)</f>
        <v>116</v>
      </c>
      <c r="AV62" s="292" t="s">
        <f>VLOOKUP(B62,'UV台帐'!B:AL,28,0)</f>
        <v>217</v>
      </c>
      <c r="AW62" s="292" t="s">
        <f>VLOOKUP(B62,'UV台帐'!B:AL,37,0)</f>
        <v>116</v>
      </c>
      <c r="AX62" s="318" t="n">
        <f>COUNTIFS(H62,"零期",AU62,"是")+COUNTIFS(L62,"零期",AV62,"是")+COUNTIFS(P62,"零期",AW62,"是")</f>
        <v>1</v>
      </c>
      <c r="AZ62" s="483"/>
      <c r="BA62" s="197"/>
    </row>
    <row r="63" s="292" customFormat="1" ht="30" customHeight="1">
      <c r="A63" s="318" t="s">
        <v>54</v>
      </c>
      <c r="B63" s="318" t="n">
        <v>4100299520</v>
      </c>
      <c r="C63" s="114" t="s">
        <f>VLOOKUP(B63,'UV台帐'!B:AL,2,0)</f>
        <v>605</v>
      </c>
      <c r="D63" s="114" t="s">
        <f>VLOOKUP(B63,'UV台帐'!B:AL,3,0)</f>
        <v>34</v>
      </c>
      <c r="E63" s="114" t="s">
        <f>VLOOKUP(B63,'UV台帐'!B:AL,13,0)</f>
        <v>35</v>
      </c>
      <c r="F63" s="114" t="s">
        <f>VLOOKUP(B63,'UV台帐'!B:AL,15,0)</f>
        <v>245</v>
      </c>
      <c r="G63" s="114" t="s">
        <f>VLOOKUP(B63,'UV台帐'!B:AL,16,0)</f>
        <v>234</v>
      </c>
      <c r="H63" s="114" t="s">
        <f>VLOOKUP(B63,'UV台帐'!B:AL,17,0)</f>
        <v>65</v>
      </c>
      <c r="I63" s="114" t="s">
        <f>VLOOKUP(B63,'UV台帐'!B:AL,18,0)</f>
        <v>165</v>
      </c>
      <c r="J63" s="114" t="s">
        <f>VLOOKUP(B63,'UV台帐'!B:AL,22,0)</f>
        <v>47</v>
      </c>
      <c r="K63" s="114" t="s">
        <f>VLOOKUP(B63,'UV台帐'!B:AL,24,0)</f>
        <v>215</v>
      </c>
      <c r="L63" s="114" t="s">
        <f>VLOOKUP(B63,'UV台帐'!B:AL,26,0)</f>
        <v>88</v>
      </c>
      <c r="M63" s="114" t="s">
        <f>VLOOKUP(B63,'UV台帐'!B:AL,27,0)</f>
        <v>165</v>
      </c>
      <c r="N63" s="114" t="s">
        <f>VLOOKUP(B63,'UV台帐'!B:AL,31,0)</f>
        <v>56</v>
      </c>
      <c r="O63" s="114" t="s">
        <f>VLOOKUP(B63,'UV台帐'!B:AL,33,0)</f>
        <v>216</v>
      </c>
      <c r="P63" s="114" t="s">
        <f>VLOOKUP(B63,'UV台帐'!B:AL,35,0)</f>
        <v>88</v>
      </c>
      <c r="Q63" s="114" t="s">
        <f>VLOOKUP(B63,'UV台帐'!B:AL,36,0)</f>
        <v>165</v>
      </c>
      <c r="R63" s="318"/>
      <c r="S63" s="318" t="s">
        <v>218</v>
      </c>
      <c r="T63" s="318" t="s">
        <v>218</v>
      </c>
      <c r="W63" s="318" t="s">
        <v>47</v>
      </c>
      <c r="X63" s="318"/>
      <c r="Y63" s="318"/>
      <c r="Z63" s="318"/>
      <c r="AA63" s="75" t="s">
        <v>47</v>
      </c>
      <c r="AB63" s="318" t="s">
        <v>217</v>
      </c>
      <c r="AC63" s="149" t="s">
        <v>34</v>
      </c>
      <c r="AD63" s="114" t="s">
        <v>218</v>
      </c>
      <c r="AE63" s="318" t="s">
        <v>34</v>
      </c>
      <c r="AF63" s="318" t="n">
        <f>VLOOKUP(B63,'UV台帐'!B:G,6,0)</f>
        <v>0</v>
      </c>
      <c r="AG63" s="318" t="s">
        <v>611</v>
      </c>
      <c r="AH63" s="318" t="s">
        <v>217</v>
      </c>
      <c r="AI63" s="241" t="s">
        <v>1587</v>
      </c>
      <c r="AJ63" s="508" t="s">
        <v>1588</v>
      </c>
      <c r="AK63" s="508" t="s">
        <v>1588</v>
      </c>
      <c r="AL63" s="290" t="s">
        <v>29</v>
      </c>
      <c r="AM63" s="290"/>
      <c r="AN63" s="290" t="s">
        <v>29</v>
      </c>
      <c r="AO63" s="290" t="s">
        <v>29</v>
      </c>
      <c r="AP63" s="665" t="s">
        <v>1589</v>
      </c>
      <c r="AR63" s="436"/>
      <c r="AS63" s="318" t="n">
        <f>COUNTIFS(H63,"零期",I63,"在读")+COUNTIFS(L63,"零期",M63,"在读")+COUNTIFS(P63,"零期",Q63,"在读")</f>
        <v>2</v>
      </c>
      <c r="AT63" s="318" t="n">
        <f>AS63-AX63</f>
        <v>2</v>
      </c>
      <c r="AU63" s="292" t="s">
        <f>VLOOKUP(B63,'UV台帐'!B:AL,19,0)</f>
        <v>116</v>
      </c>
      <c r="AV63" s="292" t="s">
        <f>VLOOKUP(B63,'UV台帐'!B:AL,28,0)</f>
        <v>116</v>
      </c>
      <c r="AW63" s="292" t="s">
        <f>VLOOKUP(B63,'UV台帐'!B:AL,37,0)</f>
        <v>116</v>
      </c>
      <c r="AX63" s="318" t="n">
        <f>COUNTIFS(H63,"零期",AU63,"是")+COUNTIFS(L63,"零期",AV63,"是")+COUNTIFS(P63,"零期",AW63,"是")</f>
        <v>0</v>
      </c>
      <c r="AZ63" s="483" t="s">
        <v>1590</v>
      </c>
      <c r="BA63" s="197"/>
    </row>
    <row r="64" s="292" customFormat="1" ht="30" customHeight="1">
      <c r="A64" s="318" t="s">
        <v>45</v>
      </c>
      <c r="B64" s="318" t="n">
        <v>4111183270</v>
      </c>
      <c r="C64" s="114" t="s">
        <f>VLOOKUP(B64,'UV台帐'!B:AL,2,0)</f>
        <v>1051</v>
      </c>
      <c r="D64" s="114" t="s">
        <f>VLOOKUP(B64,'UV台帐'!B:AL,3,0)</f>
        <v>40</v>
      </c>
      <c r="E64" s="114" t="s">
        <f>VLOOKUP(B64,'UV台帐'!B:AL,13,0)</f>
        <v>31</v>
      </c>
      <c r="F64" s="114" t="s">
        <f>VLOOKUP(B64,'UV台帐'!B:AL,15,0)</f>
        <v>246</v>
      </c>
      <c r="G64" s="114" t="s">
        <f>VLOOKUP(B64,'UV台帐'!B:AL,16,0)</f>
        <v>234</v>
      </c>
      <c r="H64" s="114" t="s">
        <f>VLOOKUP(B64,'UV台帐'!B:AL,17,0)</f>
        <v>88</v>
      </c>
      <c r="I64" s="114" t="s">
        <f>VLOOKUP(B64,'UV台帐'!B:AL,18,0)</f>
        <v>165</v>
      </c>
      <c r="J64" s="114" t="s">
        <f>VLOOKUP(B64,'UV台帐'!B:AL,22,0)</f>
        <v>47</v>
      </c>
      <c r="K64" s="114" t="s">
        <f>VLOOKUP(B64,'UV台帐'!B:AL,24,0)</f>
        <v>233</v>
      </c>
      <c r="L64" s="114" t="s">
        <f>VLOOKUP(B64,'UV台帐'!B:AL,26,0)</f>
        <v>88</v>
      </c>
      <c r="M64" s="114" t="s">
        <f>VLOOKUP(B64,'UV台帐'!B:AL,27,0)</f>
        <v>165</v>
      </c>
      <c r="N64" s="114" t="s">
        <f>VLOOKUP(B64,'UV台帐'!B:AL,31,0)</f>
        <v>52</v>
      </c>
      <c r="O64" s="114" t="s">
        <f>VLOOKUP(B64,'UV台帐'!B:AL,33,0)</f>
        <v>215</v>
      </c>
      <c r="P64" s="114" t="s">
        <f>VLOOKUP(B64,'UV台帐'!B:AL,35,0)</f>
        <v>88</v>
      </c>
      <c r="Q64" s="114" t="s">
        <f>VLOOKUP(B64,'UV台帐'!B:AL,36,0)</f>
        <v>165</v>
      </c>
      <c r="R64" s="318"/>
      <c r="S64" s="318" t="s">
        <v>217</v>
      </c>
      <c r="T64" s="318" t="s">
        <v>217</v>
      </c>
      <c r="U64" s="292" t="s">
        <v>52</v>
      </c>
      <c r="W64" s="318"/>
      <c r="X64" s="318"/>
      <c r="Y64" s="114" t="s">
        <v>47</v>
      </c>
      <c r="Z64" s="114"/>
      <c r="AA64" s="68" t="s">
        <v>31</v>
      </c>
      <c r="AB64" s="318" t="s">
        <v>217</v>
      </c>
      <c r="AC64" s="104" t="s">
        <v>40</v>
      </c>
      <c r="AD64" s="104" t="s">
        <v>217</v>
      </c>
      <c r="AE64" s="318" t="s">
        <v>40</v>
      </c>
      <c r="AF64" s="318" t="n">
        <f>VLOOKUP(B64,'UV台帐'!B:G,6,0)</f>
        <v>0</v>
      </c>
      <c r="AG64" s="318" t="s">
        <v>1591</v>
      </c>
      <c r="AH64" s="318" t="s">
        <v>217</v>
      </c>
      <c r="AI64" s="241" t="s">
        <v>1592</v>
      </c>
      <c r="AJ64" s="508" t="s">
        <v>1593</v>
      </c>
      <c r="AK64" s="508" t="s">
        <v>1593</v>
      </c>
      <c r="AL64" s="290" t="s">
        <v>28</v>
      </c>
      <c r="AM64" s="290" t="s">
        <v>28</v>
      </c>
      <c r="AN64" s="290" t="s">
        <v>28</v>
      </c>
      <c r="AO64" s="290" t="s">
        <v>28</v>
      </c>
      <c r="AP64" s="484" t="s">
        <v>1594</v>
      </c>
      <c r="AQ64" s="292" t="s">
        <v>217</v>
      </c>
      <c r="AR64" s="436" t="s">
        <v>1595</v>
      </c>
      <c r="AS64" s="318" t="n">
        <f>COUNTIFS(H64,"零期",I64,"在读")+COUNTIFS(L64,"零期",M64,"在读")+COUNTIFS(P64,"零期",Q64,"在读")</f>
        <v>3</v>
      </c>
      <c r="AT64" s="318" t="n">
        <f>AS64-AX64</f>
        <v>3</v>
      </c>
      <c r="AU64" s="292" t="s">
        <f>VLOOKUP(B64,'UV台帐'!B:AL,19,0)</f>
        <v>116</v>
      </c>
      <c r="AV64" s="292" t="s">
        <f>VLOOKUP(B64,'UV台帐'!B:AL,28,0)</f>
        <v>116</v>
      </c>
      <c r="AW64" s="292" t="s">
        <f>VLOOKUP(B64,'UV台帐'!B:AL,37,0)</f>
        <v>116</v>
      </c>
      <c r="AX64" s="318" t="n">
        <f>COUNTIFS(H64,"零期",AU64,"是")+COUNTIFS(L64,"零期",AV64,"是")+COUNTIFS(P64,"零期",AW64,"是")</f>
        <v>0</v>
      </c>
      <c r="AY64" s="5"/>
      <c r="AZ64" s="496" t="s">
        <v>1596</v>
      </c>
      <c r="BA64" s="5"/>
    </row>
    <row r="65" s="292" customFormat="1" ht="30" customHeight="1">
      <c r="A65" s="318" t="s">
        <v>45</v>
      </c>
      <c r="B65" s="318" t="n">
        <v>4149980338</v>
      </c>
      <c r="C65" s="114" t="s">
        <f>VLOOKUP(B65,'UV台帐'!B:AL,2,0)</f>
        <v>1253</v>
      </c>
      <c r="D65" s="114" t="s">
        <f>VLOOKUP(B65,'UV台帐'!B:AL,3,0)</f>
        <v>48</v>
      </c>
      <c r="E65" s="114" t="s">
        <f>VLOOKUP(B65,'UV台帐'!B:AL,13,0)</f>
        <v>31</v>
      </c>
      <c r="F65" s="114" t="s">
        <f>VLOOKUP(B65,'UV台帐'!B:AL,15,0)</f>
        <v>246</v>
      </c>
      <c r="G65" s="114" t="s">
        <f>VLOOKUP(B65,'UV台帐'!B:AL,16,0)</f>
        <v>234</v>
      </c>
      <c r="H65" s="114" t="s">
        <f>VLOOKUP(B65,'UV台帐'!B:AL,17,0)</f>
        <v>88</v>
      </c>
      <c r="I65" s="114" t="s">
        <f>VLOOKUP(B65,'UV台帐'!B:AL,18,0)</f>
        <v>165</v>
      </c>
      <c r="J65" s="114" t="s">
        <f>VLOOKUP(B65,'UV台帐'!B:AL,22,0)</f>
        <v>43</v>
      </c>
      <c r="K65" s="114" t="s">
        <f>VLOOKUP(B65,'UV台帐'!B:AL,24,0)</f>
        <v>216</v>
      </c>
      <c r="L65" s="114" t="s">
        <f>VLOOKUP(B65,'UV台帐'!B:AL,26,0)</f>
        <v>88</v>
      </c>
      <c r="M65" s="114" t="s">
        <f>VLOOKUP(B65,'UV台帐'!B:AL,27,0)</f>
        <v>165</v>
      </c>
      <c r="N65" s="114" t="s">
        <f>VLOOKUP(B65,'UV台帐'!B:AL,31,0)</f>
        <v>116</v>
      </c>
      <c r="O65" s="114" t="s">
        <f>VLOOKUP(B65,'UV台帐'!B:AL,33,0)</f>
        <v>116</v>
      </c>
      <c r="P65" s="114" t="s">
        <f>VLOOKUP(B65,'UV台帐'!B:AL,35,0)</f>
        <v>116</v>
      </c>
      <c r="Q65" s="114" t="s">
        <f>VLOOKUP(B65,'UV台帐'!B:AL,36,0)</f>
        <v>116</v>
      </c>
      <c r="R65" s="318"/>
      <c r="S65" s="318" t="s">
        <v>217</v>
      </c>
      <c r="T65" s="318" t="s">
        <v>217</v>
      </c>
      <c r="W65" s="318"/>
      <c r="X65" s="318"/>
      <c r="Y65" s="318"/>
      <c r="Z65" s="318"/>
      <c r="AA65" s="68" t="s">
        <v>31</v>
      </c>
      <c r="AB65" s="318" t="s">
        <v>217</v>
      </c>
      <c r="AC65" s="104" t="s">
        <v>1473</v>
      </c>
      <c r="AD65" s="104" t="s">
        <v>217</v>
      </c>
      <c r="AE65" s="318" t="s">
        <v>48</v>
      </c>
      <c r="AF65" s="318" t="n">
        <f>VLOOKUP(B65,'UV台帐'!B:G,6,0)</f>
        <v>0</v>
      </c>
      <c r="AG65" s="318"/>
      <c r="AH65" s="318" t="s">
        <v>217</v>
      </c>
      <c r="AI65" s="241" t="s">
        <v>1597</v>
      </c>
      <c r="AJ65" s="508" t="s">
        <v>1475</v>
      </c>
      <c r="AK65" s="508" t="s">
        <v>1475</v>
      </c>
      <c r="AL65" s="290" t="s">
        <v>25</v>
      </c>
      <c r="AM65" s="290"/>
      <c r="AN65" s="290"/>
      <c r="AO65" s="290"/>
      <c r="AP65" s="484"/>
      <c r="AQ65" s="292" t="s">
        <v>217</v>
      </c>
      <c r="AR65" s="436"/>
      <c r="AS65" s="318" t="n">
        <f>COUNTIFS(H65,"零期",I65,"在读")+COUNTIFS(L65,"零期",M65,"在读")+COUNTIFS(P65,"零期",Q65,"在读")</f>
        <v>2</v>
      </c>
      <c r="AT65" s="318" t="n">
        <f>AS65-AX65</f>
        <v>0</v>
      </c>
      <c r="AU65" s="292" t="s">
        <f>VLOOKUP(B65,'UV台帐'!B:AL,19,0)</f>
        <v>217</v>
      </c>
      <c r="AV65" s="292" t="s">
        <f>VLOOKUP(B65,'UV台帐'!B:AL,28,0)</f>
        <v>217</v>
      </c>
      <c r="AW65" s="292" t="s">
        <f>VLOOKUP(B65,'UV台帐'!B:AL,37,0)</f>
        <v>116</v>
      </c>
      <c r="AX65" s="318" t="n">
        <f>COUNTIFS(H65,"零期",AU65,"是")+COUNTIFS(L65,"零期",AV65,"是")+COUNTIFS(P65,"零期",AW65,"是")</f>
        <v>2</v>
      </c>
      <c r="AZ65" s="483" t="s">
        <v>1598</v>
      </c>
      <c r="BA65" s="197"/>
    </row>
    <row r="66" s="292" customFormat="1" ht="30" customHeight="1">
      <c r="A66" s="318" t="s">
        <v>54</v>
      </c>
      <c r="B66" s="318" t="n">
        <v>4151361146</v>
      </c>
      <c r="C66" s="114" t="s">
        <f>VLOOKUP(B66,'UV台帐'!B:AL,2,0)</f>
        <v>1087</v>
      </c>
      <c r="D66" s="114" t="s">
        <f>VLOOKUP(B66,'UV台帐'!B:AL,3,0)</f>
        <v>55</v>
      </c>
      <c r="E66" s="114" t="s">
        <f>VLOOKUP(B66,'UV台帐'!B:AL,13,0)</f>
        <v>31</v>
      </c>
      <c r="F66" s="114" t="s">
        <f>VLOOKUP(B66,'UV台帐'!B:AL,15,0)</f>
        <v>233</v>
      </c>
      <c r="G66" s="114" t="s">
        <f>VLOOKUP(B66,'UV台帐'!B:AL,16,0)</f>
        <v>234</v>
      </c>
      <c r="H66" s="114" t="s">
        <f>VLOOKUP(B66,'UV台帐'!B:AL,17,0)</f>
        <v>88</v>
      </c>
      <c r="I66" s="114" t="s">
        <f>VLOOKUP(B66,'UV台帐'!B:AL,18,0)</f>
        <v>165</v>
      </c>
      <c r="J66" s="114" t="s">
        <f>VLOOKUP(B66,'UV台帐'!B:AL,22,0)</f>
        <v>43</v>
      </c>
      <c r="K66" s="114" t="s">
        <f>VLOOKUP(B66,'UV台帐'!B:AL,24,0)</f>
        <v>215</v>
      </c>
      <c r="L66" s="114" t="s">
        <f>VLOOKUP(B66,'UV台帐'!B:AL,26,0)</f>
        <v>88</v>
      </c>
      <c r="M66" s="114" t="s">
        <f>VLOOKUP(B66,'UV台帐'!B:AL,27,0)</f>
        <v>165</v>
      </c>
      <c r="N66" s="114" t="s">
        <f>VLOOKUP(B66,'UV台帐'!B:AL,31,0)</f>
        <v>56</v>
      </c>
      <c r="O66" s="114" t="s">
        <f>VLOOKUP(B66,'UV台帐'!B:AL,33,0)</f>
        <v>216</v>
      </c>
      <c r="P66" s="114" t="s">
        <f>VLOOKUP(B66,'UV台帐'!B:AL,35,0)</f>
        <v>88</v>
      </c>
      <c r="Q66" s="114" t="s">
        <f>VLOOKUP(B66,'UV台帐'!B:AL,36,0)</f>
        <v>165</v>
      </c>
      <c r="R66" s="318"/>
      <c r="S66" s="318" t="s">
        <v>217</v>
      </c>
      <c r="T66" s="318" t="s">
        <v>218</v>
      </c>
      <c r="U66" s="292" t="s">
        <v>43</v>
      </c>
      <c r="W66" s="318"/>
      <c r="X66" s="318"/>
      <c r="Y66" s="318"/>
      <c r="Z66" s="318"/>
      <c r="AA66" s="76" t="s">
        <v>43</v>
      </c>
      <c r="AB66" s="476" t="s">
        <v>217</v>
      </c>
      <c r="AC66" s="149" t="s">
        <v>1448</v>
      </c>
      <c r="AD66" s="318" t="s">
        <v>217</v>
      </c>
      <c r="AE66" s="318" t="s">
        <v>55</v>
      </c>
      <c r="AF66" s="318" t="s">
        <f>VLOOKUP(B66,'UV台帐'!B:G,6,0)</f>
        <v>1088</v>
      </c>
      <c r="AG66" s="318" t="s">
        <v>267</v>
      </c>
      <c r="AH66" s="318" t="s">
        <v>217</v>
      </c>
      <c r="AI66" s="241" t="s">
        <v>1599</v>
      </c>
      <c r="AJ66" s="508" t="s">
        <v>1600</v>
      </c>
      <c r="AK66" s="508" t="s">
        <v>1600</v>
      </c>
      <c r="AL66" s="290" t="s">
        <v>28</v>
      </c>
      <c r="AM66" s="290" t="s">
        <v>28</v>
      </c>
      <c r="AN66" s="290" t="s">
        <v>28</v>
      </c>
      <c r="AO66" s="290" t="s">
        <v>28</v>
      </c>
      <c r="AP66" s="484" t="s">
        <v>1601</v>
      </c>
      <c r="AQ66" s="292" t="s">
        <v>217</v>
      </c>
      <c r="AR66" s="436"/>
      <c r="AS66" s="318" t="n">
        <f>COUNTIFS(H66,"零期",I66,"在读")+COUNTIFS(L66,"零期",M66,"在读")+COUNTIFS(P66,"零期",Q66,"在读")</f>
        <v>3</v>
      </c>
      <c r="AT66" s="318" t="n">
        <f>AS66-AX66</f>
        <v>3</v>
      </c>
      <c r="AU66" s="292" t="s">
        <f>VLOOKUP(B66,'UV台帐'!B:AL,19,0)</f>
        <v>116</v>
      </c>
      <c r="AV66" s="292" t="s">
        <f>VLOOKUP(B66,'UV台帐'!B:AL,28,0)</f>
        <v>116</v>
      </c>
      <c r="AW66" s="292" t="s">
        <f>VLOOKUP(B66,'UV台帐'!B:AL,37,0)</f>
        <v>116</v>
      </c>
      <c r="AX66" s="318" t="n">
        <f>COUNTIFS(H66,"零期",AU66,"是")+COUNTIFS(L66,"零期",AV66,"是")+COUNTIFS(P66,"零期",AW66,"是")</f>
        <v>0</v>
      </c>
      <c r="AZ66" s="483" t="s">
        <v>1602</v>
      </c>
      <c r="BA66" s="197"/>
    </row>
    <row r="67" s="292" customFormat="1" ht="30" customHeight="1">
      <c r="A67" s="318" t="s">
        <v>54</v>
      </c>
      <c r="B67" s="318" t="n">
        <v>4155497428</v>
      </c>
      <c r="C67" s="114" t="s">
        <f>VLOOKUP(B67,'UV台帐'!B:AL,2,0)</f>
        <v>1091</v>
      </c>
      <c r="D67" s="114" t="s">
        <f>VLOOKUP(B67,'UV台帐'!B:AL,3,0)</f>
        <v>55</v>
      </c>
      <c r="E67" s="114" t="s">
        <f>VLOOKUP(B67,'UV台帐'!B:AL,13,0)</f>
        <v>31</v>
      </c>
      <c r="F67" s="114" t="s">
        <f>VLOOKUP(B67,'UV台帐'!B:AL,15,0)</f>
        <v>233</v>
      </c>
      <c r="G67" s="114" t="s">
        <f>VLOOKUP(B67,'UV台帐'!B:AL,16,0)</f>
        <v>234</v>
      </c>
      <c r="H67" s="114" t="s">
        <f>VLOOKUP(B67,'UV台帐'!B:AL,17,0)</f>
        <v>88</v>
      </c>
      <c r="I67" s="114" t="s">
        <f>VLOOKUP(B67,'UV台帐'!B:AL,18,0)</f>
        <v>165</v>
      </c>
      <c r="J67" s="114" t="s">
        <f>VLOOKUP(B67,'UV台帐'!B:AL,22,0)</f>
        <v>47</v>
      </c>
      <c r="K67" s="114" t="s">
        <f>VLOOKUP(B67,'UV台帐'!B:AL,24,0)</f>
        <v>233</v>
      </c>
      <c r="L67" s="114" t="s">
        <f>VLOOKUP(B67,'UV台帐'!B:AL,26,0)</f>
        <v>101</v>
      </c>
      <c r="M67" s="114" t="s">
        <f>VLOOKUP(B67,'UV台帐'!B:AL,27,0)</f>
        <v>444</v>
      </c>
      <c r="N67" s="114" t="s">
        <f>VLOOKUP(B67,'UV台帐'!B:AL,31,0)</f>
        <v>58</v>
      </c>
      <c r="O67" s="114" t="s">
        <f>VLOOKUP(B67,'UV台帐'!B:AL,33,0)</f>
        <v>233</v>
      </c>
      <c r="P67" s="114" t="s">
        <f>VLOOKUP(B67,'UV台帐'!B:AL,35,0)</f>
        <v>100</v>
      </c>
      <c r="Q67" s="114" t="s">
        <f>VLOOKUP(B67,'UV台帐'!B:AL,36,0)</f>
        <v>444</v>
      </c>
      <c r="R67" s="318"/>
      <c r="S67" s="318" t="s">
        <v>217</v>
      </c>
      <c r="T67" s="318" t="s">
        <v>218</v>
      </c>
      <c r="W67" s="318"/>
      <c r="X67" s="318"/>
      <c r="Y67" s="318" t="s">
        <v>31</v>
      </c>
      <c r="Z67" s="318"/>
      <c r="AA67" s="75" t="s">
        <v>31</v>
      </c>
      <c r="AB67" s="318" t="s">
        <v>217</v>
      </c>
      <c r="AC67" s="7" t="s">
        <v>1366</v>
      </c>
      <c r="AD67" s="114" t="s">
        <v>217</v>
      </c>
      <c r="AE67" s="318" t="s">
        <v>55</v>
      </c>
      <c r="AF67" s="318" t="n">
        <f>VLOOKUP(B67,'UV台帐'!B:G,6,0)</f>
        <v>0</v>
      </c>
      <c r="AG67" s="318" t="s">
        <v>267</v>
      </c>
      <c r="AH67" s="318" t="s">
        <v>217</v>
      </c>
      <c r="AI67" s="241" t="s">
        <v>1603</v>
      </c>
      <c r="AJ67" s="508" t="s">
        <v>1604</v>
      </c>
      <c r="AK67" s="508" t="s">
        <v>1604</v>
      </c>
      <c r="AL67" s="290" t="s">
        <v>27</v>
      </c>
      <c r="AM67" s="290" t="s">
        <v>27</v>
      </c>
      <c r="AN67" s="290"/>
      <c r="AO67" s="290"/>
      <c r="AP67" s="484" t="s">
        <v>1605</v>
      </c>
      <c r="AQ67" s="292" t="s">
        <v>217</v>
      </c>
      <c r="AR67" s="436"/>
      <c r="AS67" s="318" t="n">
        <f>COUNTIFS(H67,"零期",I67,"在读")+COUNTIFS(L67,"零期",M67,"在读")+COUNTIFS(P67,"零期",Q67,"在读")</f>
        <v>1</v>
      </c>
      <c r="AT67" s="318" t="n">
        <f>AS67-AX67</f>
        <v>1</v>
      </c>
      <c r="AU67" s="292" t="s">
        <f>VLOOKUP(B67,'UV台帐'!B:AL,19,0)</f>
        <v>116</v>
      </c>
      <c r="AV67" s="292" t="s">
        <f>VLOOKUP(B67,'UV台帐'!B:AL,28,0)</f>
        <v>116</v>
      </c>
      <c r="AW67" s="292" t="s">
        <f>VLOOKUP(B67,'UV台帐'!B:AL,37,0)</f>
        <v>116</v>
      </c>
      <c r="AX67" s="318" t="n">
        <f>COUNTIFS(H67,"零期",AU67,"是")+COUNTIFS(L67,"零期",AV67,"是")+COUNTIFS(P67,"零期",AW67,"是")</f>
        <v>0</v>
      </c>
      <c r="AZ67" s="483" t="s">
        <v>27</v>
      </c>
      <c r="BA67" s="197"/>
    </row>
    <row r="68" s="292" customFormat="1" ht="30" customHeight="1">
      <c r="A68" s="318" t="s">
        <v>45</v>
      </c>
      <c r="B68" s="318" t="n">
        <v>4183729955</v>
      </c>
      <c r="C68" s="114" t="s">
        <f>VLOOKUP(B68,'UV台帐'!B:AL,2,0)</f>
        <v>1104</v>
      </c>
      <c r="D68" s="114" t="s">
        <f>VLOOKUP(B68,'UV台帐'!B:AL,3,0)</f>
        <v>50</v>
      </c>
      <c r="E68" s="114" t="s">
        <f>VLOOKUP(B68,'UV台帐'!B:AL,13,0)</f>
        <v>31</v>
      </c>
      <c r="F68" s="114" t="s">
        <f>VLOOKUP(B68,'UV台帐'!B:AL,15,0)</f>
        <v>215</v>
      </c>
      <c r="G68" s="114" t="s">
        <f>VLOOKUP(B68,'UV台帐'!B:AL,16,0)</f>
        <v>283</v>
      </c>
      <c r="H68" s="114" t="s">
        <f>VLOOKUP(B68,'UV台帐'!B:AL,17,0)</f>
        <v>88</v>
      </c>
      <c r="I68" s="114" t="s">
        <f>VLOOKUP(B68,'UV台帐'!B:AL,18,0)</f>
        <v>165</v>
      </c>
      <c r="J68" s="114" t="s">
        <f>VLOOKUP(B68,'UV台帐'!B:AL,22,0)</f>
        <v>49</v>
      </c>
      <c r="K68" s="114" t="s">
        <f>VLOOKUP(B68,'UV台帐'!B:AL,24,0)</f>
        <v>216</v>
      </c>
      <c r="L68" s="114" t="s">
        <f>VLOOKUP(B68,'UV台帐'!B:AL,26,0)</f>
        <v>88</v>
      </c>
      <c r="M68" s="114" t="s">
        <f>VLOOKUP(B68,'UV台帐'!B:AL,27,0)</f>
        <v>165</v>
      </c>
      <c r="N68" s="114" t="s">
        <f>VLOOKUP(B68,'UV台帐'!B:AL,31,0)</f>
        <v>52</v>
      </c>
      <c r="O68" s="114" t="s">
        <f>VLOOKUP(B68,'UV台帐'!B:AL,33,0)</f>
        <v>233</v>
      </c>
      <c r="P68" s="114" t="s">
        <f>VLOOKUP(B68,'UV台帐'!B:AL,35,0)</f>
        <v>88</v>
      </c>
      <c r="Q68" s="114" t="s">
        <f>VLOOKUP(B68,'UV台帐'!B:AL,36,0)</f>
        <v>165</v>
      </c>
      <c r="R68" s="318"/>
      <c r="S68" s="318" t="s">
        <v>218</v>
      </c>
      <c r="T68" s="318" t="s">
        <v>218</v>
      </c>
      <c r="U68" s="318" t="s">
        <v>49</v>
      </c>
      <c r="V68" s="318"/>
      <c r="W68" s="318"/>
      <c r="X68" s="318"/>
      <c r="Y68" s="318"/>
      <c r="Z68" s="318"/>
      <c r="AA68" s="75" t="s">
        <v>31</v>
      </c>
      <c r="AB68" s="318" t="s">
        <v>217</v>
      </c>
      <c r="AC68" s="81"/>
      <c r="AD68" s="114" t="s">
        <v>218</v>
      </c>
      <c r="AE68" s="318" t="s">
        <v>50</v>
      </c>
      <c r="AF68" s="318" t="n">
        <f>VLOOKUP(B68,'UV台帐'!B:G,6,0)</f>
        <v>0</v>
      </c>
      <c r="AG68" s="318" t="s">
        <v>1606</v>
      </c>
      <c r="AH68" s="318" t="s">
        <v>217</v>
      </c>
      <c r="AI68" s="241" t="s">
        <v>1607</v>
      </c>
      <c r="AJ68" s="508" t="s">
        <v>1608</v>
      </c>
      <c r="AK68" s="508" t="s">
        <v>1608</v>
      </c>
      <c r="AL68" s="290" t="s">
        <v>29</v>
      </c>
      <c r="AM68" s="290" t="s">
        <v>29</v>
      </c>
      <c r="AN68" s="290" t="s">
        <v>29</v>
      </c>
      <c r="AO68" s="290" t="s">
        <v>29</v>
      </c>
      <c r="AP68" s="666" t="s">
        <v>1609</v>
      </c>
      <c r="AQ68" s="292" t="s">
        <v>217</v>
      </c>
      <c r="AR68" s="436"/>
      <c r="AS68" s="318" t="n">
        <f>COUNTIFS(H68,"零期",I68,"在读")+COUNTIFS(L68,"零期",M68,"在读")+COUNTIFS(P68,"零期",Q68,"在读")</f>
        <v>3</v>
      </c>
      <c r="AT68" s="318" t="n">
        <f>AS68-AX68</f>
        <v>3</v>
      </c>
      <c r="AU68" s="292" t="s">
        <f>VLOOKUP(B68,'UV台帐'!B:AL,19,0)</f>
        <v>116</v>
      </c>
      <c r="AV68" s="292" t="s">
        <f>VLOOKUP(B68,'UV台帐'!B:AL,28,0)</f>
        <v>116</v>
      </c>
      <c r="AW68" s="292" t="s">
        <f>VLOOKUP(B68,'UV台帐'!B:AL,37,0)</f>
        <v>116</v>
      </c>
      <c r="AX68" s="318" t="n">
        <f>COUNTIFS(H68,"零期",AU68,"是")+COUNTIFS(L68,"零期",AV68,"是")+COUNTIFS(P68,"零期",AW68,"是")</f>
        <v>0</v>
      </c>
      <c r="AZ68" s="483" t="s">
        <v>1610</v>
      </c>
      <c r="BA68" s="197"/>
    </row>
    <row r="69" s="292" customFormat="1" ht="30" customHeight="1">
      <c r="A69" s="318" t="s">
        <v>54</v>
      </c>
      <c r="B69" s="318" t="n">
        <v>4190977864</v>
      </c>
      <c r="C69" s="114" t="s">
        <f>VLOOKUP(B69,'UV台帐'!B:AL,2,0)</f>
        <v>1089</v>
      </c>
      <c r="D69" s="114" t="s">
        <f>VLOOKUP(B69,'UV台帐'!B:AL,3,0)</f>
        <v>55</v>
      </c>
      <c r="E69" s="114" t="s">
        <f>VLOOKUP(B69,'UV台帐'!B:AL,13,0)</f>
        <v>31</v>
      </c>
      <c r="F69" s="114" t="s">
        <f>VLOOKUP(B69,'UV台帐'!B:AL,15,0)</f>
        <v>233</v>
      </c>
      <c r="G69" s="114" t="s">
        <f>VLOOKUP(B69,'UV台帐'!B:AL,16,0)</f>
        <v>234</v>
      </c>
      <c r="H69" s="114" t="s">
        <f>VLOOKUP(B69,'UV台帐'!B:AL,17,0)</f>
        <v>88</v>
      </c>
      <c r="I69" s="114" t="s">
        <f>VLOOKUP(B69,'UV台帐'!B:AL,18,0)</f>
        <v>165</v>
      </c>
      <c r="J69" s="114" t="s">
        <f>VLOOKUP(B69,'UV台帐'!B:AL,22,0)</f>
        <v>43</v>
      </c>
      <c r="K69" s="114" t="s">
        <f>VLOOKUP(B69,'UV台帐'!B:AL,24,0)</f>
        <v>215</v>
      </c>
      <c r="L69" s="114" t="s">
        <f>VLOOKUP(B69,'UV台帐'!B:AL,26,0)</f>
        <v>88</v>
      </c>
      <c r="M69" s="114" t="s">
        <f>VLOOKUP(B69,'UV台帐'!B:AL,27,0)</f>
        <v>165</v>
      </c>
      <c r="N69" s="114" t="s">
        <f>VLOOKUP(B69,'UV台帐'!B:AL,31,0)</f>
        <v>56</v>
      </c>
      <c r="O69" s="114" t="s">
        <f>VLOOKUP(B69,'UV台帐'!B:AL,33,0)</f>
        <v>216</v>
      </c>
      <c r="P69" s="114" t="s">
        <f>VLOOKUP(B69,'UV台帐'!B:AL,35,0)</f>
        <v>88</v>
      </c>
      <c r="Q69" s="114" t="s">
        <f>VLOOKUP(B69,'UV台帐'!B:AL,36,0)</f>
        <v>165</v>
      </c>
      <c r="R69" s="318"/>
      <c r="S69" s="318" t="s">
        <v>217</v>
      </c>
      <c r="T69" s="318" t="s">
        <v>217</v>
      </c>
      <c r="W69" s="318"/>
      <c r="X69" s="318"/>
      <c r="Y69" s="318" t="s">
        <v>56</v>
      </c>
      <c r="Z69" s="318"/>
      <c r="AA69" s="68" t="s">
        <v>56</v>
      </c>
      <c r="AB69" s="318" t="s">
        <v>217</v>
      </c>
      <c r="AC69" s="147" t="s">
        <v>1564</v>
      </c>
      <c r="AD69" s="104" t="s">
        <v>217</v>
      </c>
      <c r="AE69" s="318" t="s">
        <v>55</v>
      </c>
      <c r="AF69" s="318" t="n">
        <f>VLOOKUP(B69,'UV台帐'!B:G,6,0)</f>
        <v>0</v>
      </c>
      <c r="AG69" s="318" t="s">
        <v>267</v>
      </c>
      <c r="AH69" s="318" t="s">
        <v>217</v>
      </c>
      <c r="AI69" s="241" t="s">
        <v>1611</v>
      </c>
      <c r="AJ69" s="508" t="s">
        <v>1612</v>
      </c>
      <c r="AK69" s="508" t="s">
        <v>1612</v>
      </c>
      <c r="AL69" s="290" t="s">
        <v>29</v>
      </c>
      <c r="AM69" s="290" t="s">
        <v>29</v>
      </c>
      <c r="AN69" s="290" t="s">
        <v>29</v>
      </c>
      <c r="AO69" s="290" t="s">
        <v>29</v>
      </c>
      <c r="AP69" s="484" t="s">
        <v>1613</v>
      </c>
      <c r="AQ69" s="292" t="s">
        <v>217</v>
      </c>
      <c r="AR69" s="436"/>
      <c r="AS69" s="318" t="n">
        <f>COUNTIFS(H69,"零期",I69,"在读")+COUNTIFS(L69,"零期",M69,"在读")+COUNTIFS(P69,"零期",Q69,"在读")</f>
        <v>3</v>
      </c>
      <c r="AT69" s="318" t="n">
        <f>AS69-AX69</f>
        <v>3</v>
      </c>
      <c r="AU69" s="292" t="s">
        <f>VLOOKUP(B69,'UV台帐'!B:AL,19,0)</f>
        <v>116</v>
      </c>
      <c r="AV69" s="292" t="s">
        <f>VLOOKUP(B69,'UV台帐'!B:AL,28,0)</f>
        <v>116</v>
      </c>
      <c r="AW69" s="292" t="s">
        <f>VLOOKUP(B69,'UV台帐'!B:AL,37,0)</f>
        <v>116</v>
      </c>
      <c r="AX69" s="318" t="n">
        <f>COUNTIFS(H69,"零期",AU69,"是")+COUNTIFS(L69,"零期",AV69,"是")+COUNTIFS(P69,"零期",AW69,"是")</f>
        <v>0</v>
      </c>
      <c r="AZ69" s="483" t="s">
        <v>1614</v>
      </c>
      <c r="BA69" s="197"/>
    </row>
    <row r="70" s="292" customFormat="1" ht="30" customHeight="1">
      <c r="A70" s="318" t="s">
        <v>54</v>
      </c>
      <c r="B70" s="318" t="n">
        <v>4197197873</v>
      </c>
      <c r="C70" s="114" t="s">
        <f>VLOOKUP(B70,'UV台帐'!B:AL,2,0)</f>
        <v>1294</v>
      </c>
      <c r="D70" s="114" t="s">
        <f>VLOOKUP(B70,'UV台帐'!B:AL,3,0)</f>
        <v>48</v>
      </c>
      <c r="E70" s="114" t="s">
        <f>VLOOKUP(B70,'UV台帐'!B:AL,13,0)</f>
        <v>37</v>
      </c>
      <c r="F70" s="114" t="s">
        <f>VLOOKUP(B70,'UV台帐'!B:AL,15,0)</f>
        <v>216</v>
      </c>
      <c r="G70" s="114" t="s">
        <f>VLOOKUP(B70,'UV台帐'!B:AL,16,0)</f>
        <v>283</v>
      </c>
      <c r="H70" s="114" t="s">
        <f>VLOOKUP(B70,'UV台帐'!B:AL,17,0)</f>
        <v>88</v>
      </c>
      <c r="I70" s="114" t="s">
        <f>VLOOKUP(B70,'UV台帐'!B:AL,18,0)</f>
        <v>165</v>
      </c>
      <c r="J70" s="114" t="s">
        <f>VLOOKUP(B70,'UV台帐'!B:AL,22,0)</f>
        <v>47</v>
      </c>
      <c r="K70" s="114" t="s">
        <f>VLOOKUP(B70,'UV台帐'!B:AL,24,0)</f>
        <v>215</v>
      </c>
      <c r="L70" s="114" t="s">
        <f>VLOOKUP(B70,'UV台帐'!B:AL,26,0)</f>
        <v>88</v>
      </c>
      <c r="M70" s="114" t="s">
        <f>VLOOKUP(B70,'UV台帐'!B:AL,27,0)</f>
        <v>165</v>
      </c>
      <c r="N70" s="114" t="s">
        <f>VLOOKUP(B70,'UV台帐'!B:AL,31,0)</f>
        <v>56</v>
      </c>
      <c r="O70" s="114" t="s">
        <f>VLOOKUP(B70,'UV台帐'!B:AL,33,0)</f>
        <v>233</v>
      </c>
      <c r="P70" s="114" t="s">
        <f>VLOOKUP(B70,'UV台帐'!B:AL,35,0)</f>
        <v>88</v>
      </c>
      <c r="Q70" s="114" t="s">
        <f>VLOOKUP(B70,'UV台帐'!B:AL,36,0)</f>
        <v>165</v>
      </c>
      <c r="R70" s="318"/>
      <c r="S70" s="318" t="s">
        <v>218</v>
      </c>
      <c r="T70" s="318" t="s">
        <v>218</v>
      </c>
      <c r="W70" s="318" t="s">
        <v>1365</v>
      </c>
      <c r="X70" s="318"/>
      <c r="Y70" s="318"/>
      <c r="Z70" s="318"/>
      <c r="AA70" s="68" t="s">
        <v>37</v>
      </c>
      <c r="AB70" s="318" t="s">
        <v>217</v>
      </c>
      <c r="AC70" s="7" t="s">
        <v>1382</v>
      </c>
      <c r="AD70" s="104" t="s">
        <v>218</v>
      </c>
      <c r="AE70" s="318" t="s">
        <v>48</v>
      </c>
      <c r="AF70" s="318" t="n">
        <f>VLOOKUP(B70,'UV台帐'!B:G,6,0)</f>
        <v>0</v>
      </c>
      <c r="AG70" s="318" t="s">
        <v>1615</v>
      </c>
      <c r="AH70" s="318" t="s">
        <v>217</v>
      </c>
      <c r="AI70" s="241" t="s">
        <v>1616</v>
      </c>
      <c r="AJ70" s="508" t="s">
        <v>1617</v>
      </c>
      <c r="AK70" s="508" t="s">
        <v>1617</v>
      </c>
      <c r="AL70" s="290" t="s">
        <v>27</v>
      </c>
      <c r="AM70" s="290"/>
      <c r="AN70" s="290"/>
      <c r="AO70" s="290"/>
      <c r="AP70" s="484"/>
      <c r="AR70" s="436"/>
      <c r="AS70" s="318" t="n">
        <f>COUNTIFS(H70,"零期",I70,"在读")+COUNTIFS(L70,"零期",M70,"在读")+COUNTIFS(P70,"零期",Q70,"在读")</f>
        <v>3</v>
      </c>
      <c r="AT70" s="318" t="n">
        <f>AS70-AX70</f>
        <v>3</v>
      </c>
      <c r="AU70" s="292" t="s">
        <f>VLOOKUP(B70,'UV台帐'!B:AL,19,0)</f>
        <v>116</v>
      </c>
      <c r="AV70" s="292" t="s">
        <f>VLOOKUP(B70,'UV台帐'!B:AL,28,0)</f>
        <v>116</v>
      </c>
      <c r="AW70" s="292" t="s">
        <f>VLOOKUP(B70,'UV台帐'!B:AL,37,0)</f>
        <v>116</v>
      </c>
      <c r="AX70" s="318" t="n">
        <f>COUNTIFS(H70,"零期",AU70,"是")+COUNTIFS(L70,"零期",AV70,"是")+COUNTIFS(P70,"零期",AW70,"是")</f>
        <v>0</v>
      </c>
      <c r="AZ70" s="483"/>
      <c r="BA70" s="197"/>
    </row>
    <row r="71" s="292" customFormat="1" ht="30" customHeight="1">
      <c r="A71" s="318" t="s">
        <v>54</v>
      </c>
      <c r="B71" s="318" t="n">
        <v>4199533248</v>
      </c>
      <c r="C71" s="114" t="s">
        <f>VLOOKUP(B71,'UV台帐'!B:AL,2,0)</f>
        <v>1320</v>
      </c>
      <c r="D71" s="114" t="s">
        <f>VLOOKUP(B71,'UV台帐'!B:AL,3,0)</f>
        <v>57</v>
      </c>
      <c r="E71" s="114" t="s">
        <f>VLOOKUP(B71,'UV台帐'!B:AL,13,0)</f>
        <v>31</v>
      </c>
      <c r="F71" s="114" t="s">
        <f>VLOOKUP(B71,'UV台帐'!B:AL,15,0)</f>
        <v>233</v>
      </c>
      <c r="G71" s="114" t="s">
        <f>VLOOKUP(B71,'UV台帐'!B:AL,16,0)</f>
        <v>234</v>
      </c>
      <c r="H71" s="114" t="s">
        <f>VLOOKUP(B71,'UV台帐'!B:AL,17,0)</f>
        <v>88</v>
      </c>
      <c r="I71" s="114" t="s">
        <f>VLOOKUP(B71,'UV台帐'!B:AL,18,0)</f>
        <v>165</v>
      </c>
      <c r="J71" s="114" t="s">
        <f>VLOOKUP(B71,'UV台帐'!B:AL,22,0)</f>
        <v>43</v>
      </c>
      <c r="K71" s="114" t="s">
        <f>VLOOKUP(B71,'UV台帐'!B:AL,24,0)</f>
        <v>215</v>
      </c>
      <c r="L71" s="114" t="s">
        <f>VLOOKUP(B71,'UV台帐'!B:AL,26,0)</f>
        <v>88</v>
      </c>
      <c r="M71" s="114" t="s">
        <f>VLOOKUP(B71,'UV台帐'!B:AL,27,0)</f>
        <v>165</v>
      </c>
      <c r="N71" s="114" t="s">
        <f>VLOOKUP(B71,'UV台帐'!B:AL,31,0)</f>
        <v>56</v>
      </c>
      <c r="O71" s="114" t="s">
        <f>VLOOKUP(B71,'UV台帐'!B:AL,33,0)</f>
        <v>216</v>
      </c>
      <c r="P71" s="114" t="s">
        <f>VLOOKUP(B71,'UV台帐'!B:AL,35,0)</f>
        <v>88</v>
      </c>
      <c r="Q71" s="114" t="s">
        <f>VLOOKUP(B71,'UV台帐'!B:AL,36,0)</f>
        <v>165</v>
      </c>
      <c r="R71" s="318"/>
      <c r="S71" s="318" t="s">
        <v>217</v>
      </c>
      <c r="T71" s="318" t="s">
        <v>217</v>
      </c>
      <c r="W71" s="318" t="s">
        <v>56</v>
      </c>
      <c r="X71" s="318"/>
      <c r="Y71" s="318"/>
      <c r="Z71" s="318"/>
      <c r="AA71" s="68" t="s">
        <v>43</v>
      </c>
      <c r="AB71" s="318" t="s">
        <v>217</v>
      </c>
      <c r="AC71" s="149" t="s">
        <v>31</v>
      </c>
      <c r="AD71" s="104" t="s">
        <v>217</v>
      </c>
      <c r="AE71" s="318" t="s">
        <v>57</v>
      </c>
      <c r="AF71" s="318" t="s">
        <f>VLOOKUP(B71,'UV台帐'!B:G,6,0)</f>
        <v>847</v>
      </c>
      <c r="AG71" s="318" t="s">
        <v>267</v>
      </c>
      <c r="AH71" s="318" t="s">
        <v>217</v>
      </c>
      <c r="AI71" s="241"/>
      <c r="AJ71" s="508" t="s">
        <v>1618</v>
      </c>
      <c r="AK71" s="508" t="s">
        <v>1618</v>
      </c>
      <c r="AL71" s="290" t="s">
        <v>28</v>
      </c>
      <c r="AM71" s="290" t="s">
        <v>28</v>
      </c>
      <c r="AN71" s="290" t="s">
        <v>29</v>
      </c>
      <c r="AO71" s="290" t="s">
        <v>29</v>
      </c>
      <c r="AP71" s="484" t="s">
        <v>1618</v>
      </c>
      <c r="AQ71" s="292" t="s">
        <v>217</v>
      </c>
      <c r="AR71" s="436"/>
      <c r="AS71" s="318" t="n">
        <f>COUNTIFS(H71,"零期",I71,"在读")+COUNTIFS(L71,"零期",M71,"在读")+COUNTIFS(P71,"零期",Q71,"在读")</f>
        <v>3</v>
      </c>
      <c r="AT71" s="318" t="n">
        <f>AS71-AX71</f>
        <v>3</v>
      </c>
      <c r="AU71" s="292" t="s">
        <f>VLOOKUP(B71,'UV台帐'!B:AL,19,0)</f>
        <v>116</v>
      </c>
      <c r="AV71" s="292" t="s">
        <f>VLOOKUP(B71,'UV台帐'!B:AL,28,0)</f>
        <v>116</v>
      </c>
      <c r="AW71" s="292" t="s">
        <f>VLOOKUP(B71,'UV台帐'!B:AL,37,0)</f>
        <v>116</v>
      </c>
      <c r="AX71" s="318" t="n">
        <f>COUNTIFS(H71,"零期",AU71,"是")+COUNTIFS(L71,"零期",AV71,"是")+COUNTIFS(P71,"零期",AW71,"是")</f>
        <v>0</v>
      </c>
      <c r="AZ71" s="483" t="s">
        <v>1619</v>
      </c>
      <c r="BA71" s="197"/>
    </row>
    <row r="72" s="292" customFormat="1" ht="30" customHeight="1">
      <c r="A72" s="318" t="s">
        <v>45</v>
      </c>
      <c r="B72" s="318" t="n">
        <v>4231131337</v>
      </c>
      <c r="C72" s="114" t="s">
        <f>VLOOKUP(B72,'UV台帐'!B:AL,2,0)</f>
        <v>1244</v>
      </c>
      <c r="D72" s="114" t="s">
        <f>VLOOKUP(B72,'UV台帐'!B:AL,3,0)</f>
        <v>46</v>
      </c>
      <c r="E72" s="114" t="s">
        <f>VLOOKUP(B72,'UV台帐'!B:AL,13,0)</f>
        <v>31</v>
      </c>
      <c r="F72" s="114" t="s">
        <f>VLOOKUP(B72,'UV台帐'!B:AL,15,0)</f>
        <v>246</v>
      </c>
      <c r="G72" s="114" t="s">
        <f>VLOOKUP(B72,'UV台帐'!B:AL,16,0)</f>
        <v>234</v>
      </c>
      <c r="H72" s="114" t="s">
        <f>VLOOKUP(B72,'UV台帐'!B:AL,17,0)</f>
        <v>88</v>
      </c>
      <c r="I72" s="114" t="s">
        <f>VLOOKUP(B72,'UV台帐'!B:AL,18,0)</f>
        <v>165</v>
      </c>
      <c r="J72" s="114" t="s">
        <f>VLOOKUP(B72,'UV台帐'!B:AL,22,0)</f>
        <v>43</v>
      </c>
      <c r="K72" s="114" t="s">
        <f>VLOOKUP(B72,'UV台帐'!B:AL,24,0)</f>
        <v>216</v>
      </c>
      <c r="L72" s="114" t="s">
        <f>VLOOKUP(B72,'UV台帐'!B:AL,26,0)</f>
        <v>88</v>
      </c>
      <c r="M72" s="114" t="s">
        <f>VLOOKUP(B72,'UV台帐'!B:AL,27,0)</f>
        <v>165</v>
      </c>
      <c r="N72" s="114" t="s">
        <f>VLOOKUP(B72,'UV台帐'!B:AL,31,0)</f>
        <v>52</v>
      </c>
      <c r="O72" s="114" t="s">
        <f>VLOOKUP(B72,'UV台帐'!B:AL,33,0)</f>
        <v>215</v>
      </c>
      <c r="P72" s="114" t="s">
        <f>VLOOKUP(B72,'UV台帐'!B:AL,35,0)</f>
        <v>88</v>
      </c>
      <c r="Q72" s="114" t="s">
        <f>VLOOKUP(B72,'UV台帐'!B:AL,36,0)</f>
        <v>165</v>
      </c>
      <c r="R72" s="318"/>
      <c r="S72" s="318" t="s">
        <v>217</v>
      </c>
      <c r="T72" s="318" t="s">
        <v>217</v>
      </c>
      <c r="W72" s="318"/>
      <c r="X72" s="318"/>
      <c r="Y72" s="318" t="s">
        <v>1620</v>
      </c>
      <c r="Z72" s="318"/>
      <c r="AA72" s="75" t="s">
        <v>31</v>
      </c>
      <c r="AB72" s="318" t="s">
        <v>217</v>
      </c>
      <c r="AC72" s="104" t="s">
        <v>1366</v>
      </c>
      <c r="AD72" s="114" t="s">
        <v>217</v>
      </c>
      <c r="AE72" s="318" t="s">
        <v>46</v>
      </c>
      <c r="AF72" s="318" t="n">
        <f>VLOOKUP(B72,'UV台帐'!B:G,6,0)</f>
        <v>0</v>
      </c>
      <c r="AG72" s="318" t="s">
        <v>464</v>
      </c>
      <c r="AH72" s="318" t="s">
        <v>217</v>
      </c>
      <c r="AI72" s="241" t="s">
        <v>1621</v>
      </c>
      <c r="AJ72" s="508" t="s">
        <v>1622</v>
      </c>
      <c r="AK72" s="508" t="s">
        <v>1622</v>
      </c>
      <c r="AL72" s="290" t="s">
        <v>25</v>
      </c>
      <c r="AM72" s="290" t="s">
        <v>27</v>
      </c>
      <c r="AN72" s="290" t="s">
        <v>27</v>
      </c>
      <c r="AO72" s="290" t="s">
        <v>27</v>
      </c>
      <c r="AP72" s="484"/>
      <c r="AQ72" s="292" t="s">
        <v>218</v>
      </c>
      <c r="AR72" s="436"/>
      <c r="AS72" s="318" t="n">
        <f>COUNTIFS(H72,"零期",I72,"在读")+COUNTIFS(L72,"零期",M72,"在读")+COUNTIFS(P72,"零期",Q72,"在读")</f>
        <v>3</v>
      </c>
      <c r="AT72" s="318" t="n">
        <f>AS72-AX72</f>
        <v>0</v>
      </c>
      <c r="AU72" s="292" t="s">
        <f>VLOOKUP(B72,'UV台帐'!B:AL,19,0)</f>
        <v>217</v>
      </c>
      <c r="AV72" s="292" t="s">
        <f>VLOOKUP(B72,'UV台帐'!B:AL,28,0)</f>
        <v>217</v>
      </c>
      <c r="AW72" s="292" t="s">
        <f>VLOOKUP(B72,'UV台帐'!B:AL,37,0)</f>
        <v>217</v>
      </c>
      <c r="AX72" s="318" t="n">
        <f>COUNTIFS(H72,"零期",AU72,"是")+COUNTIFS(L72,"零期",AV72,"是")+COUNTIFS(P72,"零期",AW72,"是")</f>
        <v>3</v>
      </c>
      <c r="AZ72" s="483" t="s">
        <v>1623</v>
      </c>
      <c r="BA72" s="197"/>
    </row>
    <row r="73" s="292" customFormat="1" ht="30" customHeight="1">
      <c r="A73" s="318" t="s">
        <v>45</v>
      </c>
      <c r="B73" s="318" t="n">
        <v>4247653400</v>
      </c>
      <c r="C73" s="114" t="s">
        <f>VLOOKUP(B73,'UV台帐'!B:AL,2,0)</f>
        <v>862</v>
      </c>
      <c r="D73" s="114" t="s">
        <f>VLOOKUP(B73,'UV台帐'!B:AL,3,0)</f>
        <v>48</v>
      </c>
      <c r="E73" s="114" t="s">
        <f>VLOOKUP(B73,'UV台帐'!B:AL,13,0)</f>
        <v>31</v>
      </c>
      <c r="F73" s="114" t="s">
        <f>VLOOKUP(B73,'UV台帐'!B:AL,15,0)</f>
        <v>216</v>
      </c>
      <c r="G73" s="114" t="s">
        <f>VLOOKUP(B73,'UV台帐'!B:AL,16,0)</f>
        <v>234</v>
      </c>
      <c r="H73" s="114" t="s">
        <f>VLOOKUP(B73,'UV台帐'!B:AL,17,0)</f>
        <v>65</v>
      </c>
      <c r="I73" s="114" t="s">
        <f>VLOOKUP(B73,'UV台帐'!B:AL,18,0)</f>
        <v>165</v>
      </c>
      <c r="J73" s="114" t="s">
        <f>VLOOKUP(B73,'UV台帐'!B:AL,22,0)</f>
        <v>43</v>
      </c>
      <c r="K73" s="114" t="s">
        <f>VLOOKUP(B73,'UV台帐'!B:AL,24,0)</f>
        <v>215</v>
      </c>
      <c r="L73" s="114" t="s">
        <f>VLOOKUP(B73,'UV台帐'!B:AL,26,0)</f>
        <v>65</v>
      </c>
      <c r="M73" s="114" t="s">
        <f>VLOOKUP(B73,'UV台帐'!B:AL,27,0)</f>
        <v>165</v>
      </c>
      <c r="N73" s="114" t="s">
        <f>VLOOKUP(B73,'UV台帐'!B:AL,31,0)</f>
        <v>52</v>
      </c>
      <c r="O73" s="114" t="s">
        <f>VLOOKUP(B73,'UV台帐'!B:AL,33,0)</f>
        <v>215</v>
      </c>
      <c r="P73" s="114" t="s">
        <f>VLOOKUP(B73,'UV台帐'!B:AL,35,0)</f>
        <v>88</v>
      </c>
      <c r="Q73" s="114" t="s">
        <f>VLOOKUP(B73,'UV台帐'!B:AL,36,0)</f>
        <v>165</v>
      </c>
      <c r="R73" s="318"/>
      <c r="S73" s="318" t="s">
        <v>217</v>
      </c>
      <c r="T73" s="318" t="s">
        <v>218</v>
      </c>
      <c r="W73" s="318"/>
      <c r="X73" s="318"/>
      <c r="Y73" s="318" t="s">
        <v>52</v>
      </c>
      <c r="Z73" s="318"/>
      <c r="AA73" s="68" t="s">
        <v>52</v>
      </c>
      <c r="AB73" s="318" t="s">
        <v>218</v>
      </c>
      <c r="AC73" s="104"/>
      <c r="AD73" s="104" t="s">
        <v>218</v>
      </c>
      <c r="AE73" s="318" t="s">
        <v>48</v>
      </c>
      <c r="AF73" s="318" t="n">
        <f>VLOOKUP(B73,'UV台帐'!B:G,6,0)</f>
        <v>0</v>
      </c>
      <c r="AG73" s="318"/>
      <c r="AH73" s="318" t="s">
        <v>217</v>
      </c>
      <c r="AI73" s="241" t="s">
        <v>1624</v>
      </c>
      <c r="AJ73" s="508" t="s">
        <v>1625</v>
      </c>
      <c r="AK73" s="508" t="s">
        <v>1625</v>
      </c>
      <c r="AL73" s="290" t="s">
        <v>27</v>
      </c>
      <c r="AM73" s="290"/>
      <c r="AN73" s="290"/>
      <c r="AO73" s="290" t="s">
        <v>28</v>
      </c>
      <c r="AP73" s="484"/>
      <c r="AR73" s="436"/>
      <c r="AS73" s="318" t="n">
        <f>COUNTIFS(H73,"零期",I73,"在读")+COUNTIFS(L73,"零期",M73,"在读")+COUNTIFS(P73,"零期",Q73,"在读")</f>
        <v>1</v>
      </c>
      <c r="AT73" s="318" t="n">
        <f>AS73-AX73</f>
        <v>1</v>
      </c>
      <c r="AU73" s="292" t="s">
        <f>VLOOKUP(B73,'UV台帐'!B:AL,19,0)</f>
        <v>217</v>
      </c>
      <c r="AV73" s="292" t="s">
        <f>VLOOKUP(B73,'UV台帐'!B:AL,28,0)</f>
        <v>217</v>
      </c>
      <c r="AW73" s="292" t="s">
        <f>VLOOKUP(B73,'UV台帐'!B:AL,37,0)</f>
        <v>116</v>
      </c>
      <c r="AX73" s="318" t="n">
        <f>COUNTIFS(H73,"零期",AU73,"是")+COUNTIFS(L73,"零期",AV73,"是")+COUNTIFS(P73,"零期",AW73,"是")</f>
        <v>0</v>
      </c>
      <c r="AZ73" s="483" t="s">
        <v>1626</v>
      </c>
      <c r="BA73" s="197"/>
    </row>
    <row r="74" s="292" customFormat="1" ht="30" customHeight="1">
      <c r="A74" s="318" t="s">
        <v>54</v>
      </c>
      <c r="B74" s="318" t="n">
        <v>4250803345</v>
      </c>
      <c r="C74" s="114" t="s">
        <f>VLOOKUP(B74,'UV台帐'!B:AL,2,0)</f>
        <v>1166</v>
      </c>
      <c r="D74" s="114" t="s">
        <f>VLOOKUP(B74,'UV台帐'!B:AL,3,0)</f>
        <v>55</v>
      </c>
      <c r="E74" s="114" t="s">
        <f>VLOOKUP(B74,'UV台帐'!B:AL,13,0)</f>
        <v>37</v>
      </c>
      <c r="F74" s="114" t="s">
        <f>VLOOKUP(B74,'UV台帐'!B:AL,15,0)</f>
        <v>216</v>
      </c>
      <c r="G74" s="114" t="s">
        <f>VLOOKUP(B74,'UV台帐'!B:AL,16,0)</f>
        <v>283</v>
      </c>
      <c r="H74" s="114" t="s">
        <f>VLOOKUP(B74,'UV台帐'!B:AL,17,0)</f>
        <v>88</v>
      </c>
      <c r="I74" s="114" t="s">
        <f>VLOOKUP(B74,'UV台帐'!B:AL,18,0)</f>
        <v>165</v>
      </c>
      <c r="J74" s="114" t="s">
        <f>VLOOKUP(B74,'UV台帐'!B:AL,22,0)</f>
        <v>47</v>
      </c>
      <c r="K74" s="114" t="s">
        <f>VLOOKUP(B74,'UV台帐'!B:AL,24,0)</f>
        <v>215</v>
      </c>
      <c r="L74" s="114" t="s">
        <f>VLOOKUP(B74,'UV台帐'!B:AL,26,0)</f>
        <v>88</v>
      </c>
      <c r="M74" s="114" t="s">
        <f>VLOOKUP(B74,'UV台帐'!B:AL,27,0)</f>
        <v>165</v>
      </c>
      <c r="N74" s="114" t="s">
        <f>VLOOKUP(B74,'UV台帐'!B:AL,31,0)</f>
        <v>56</v>
      </c>
      <c r="O74" s="114" t="s">
        <f>VLOOKUP(B74,'UV台帐'!B:AL,33,0)</f>
        <v>233</v>
      </c>
      <c r="P74" s="114" t="s">
        <f>VLOOKUP(B74,'UV台帐'!B:AL,35,0)</f>
        <v>88</v>
      </c>
      <c r="Q74" s="114" t="s">
        <f>VLOOKUP(B74,'UV台帐'!B:AL,36,0)</f>
        <v>165</v>
      </c>
      <c r="R74" s="318"/>
      <c r="S74" s="318" t="s">
        <v>217</v>
      </c>
      <c r="T74" s="318" t="s">
        <v>218</v>
      </c>
      <c r="W74" s="318" t="s">
        <v>1365</v>
      </c>
      <c r="X74" s="318"/>
      <c r="Y74" s="318"/>
      <c r="Z74" s="318"/>
      <c r="AA74" s="75" t="s">
        <v>47</v>
      </c>
      <c r="AB74" s="318" t="s">
        <v>217</v>
      </c>
      <c r="AC74" s="7" t="s">
        <v>1546</v>
      </c>
      <c r="AD74" s="114" t="s">
        <v>217</v>
      </c>
      <c r="AE74" s="318" t="s">
        <v>55</v>
      </c>
      <c r="AF74" s="318" t="n">
        <f>VLOOKUP(B74,'UV台帐'!B:G,6,0)</f>
        <v>0</v>
      </c>
      <c r="AG74" s="318" t="s">
        <v>740</v>
      </c>
      <c r="AH74" s="318" t="s">
        <v>217</v>
      </c>
      <c r="AI74" s="241" t="s">
        <v>1627</v>
      </c>
      <c r="AJ74" s="508" t="s">
        <v>1628</v>
      </c>
      <c r="AK74" s="508" t="s">
        <v>1628</v>
      </c>
      <c r="AL74" s="290" t="s">
        <v>28</v>
      </c>
      <c r="AM74" s="290" t="s">
        <v>28</v>
      </c>
      <c r="AN74" s="290" t="s">
        <v>28</v>
      </c>
      <c r="AO74" s="290" t="s">
        <v>28</v>
      </c>
      <c r="AP74" s="484" t="s">
        <v>1629</v>
      </c>
      <c r="AQ74" s="292" t="s">
        <v>217</v>
      </c>
      <c r="AR74" s="436"/>
      <c r="AS74" s="318" t="n">
        <f>COUNTIFS(H74,"零期",I74,"在读")+COUNTIFS(L74,"零期",M74,"在读")+COUNTIFS(P74,"零期",Q74,"在读")</f>
        <v>3</v>
      </c>
      <c r="AT74" s="318" t="n">
        <f>AS74-AX74</f>
        <v>3</v>
      </c>
      <c r="AU74" s="292" t="s">
        <f>VLOOKUP(B74,'UV台帐'!B:AL,19,0)</f>
        <v>116</v>
      </c>
      <c r="AV74" s="292" t="s">
        <f>VLOOKUP(B74,'UV台帐'!B:AL,28,0)</f>
        <v>116</v>
      </c>
      <c r="AW74" s="292" t="s">
        <f>VLOOKUP(B74,'UV台帐'!B:AL,37,0)</f>
        <v>116</v>
      </c>
      <c r="AX74" s="318" t="n">
        <f>COUNTIFS(H74,"零期",AU74,"是")+COUNTIFS(L74,"零期",AV74,"是")+COUNTIFS(P74,"零期",AW74,"是")</f>
        <v>0</v>
      </c>
      <c r="AZ74" s="483" t="s">
        <v>1630</v>
      </c>
      <c r="BA74" s="197"/>
    </row>
    <row r="75" s="292" customFormat="1" ht="30" customHeight="1">
      <c r="A75" s="318" t="s">
        <v>45</v>
      </c>
      <c r="B75" s="318" t="n">
        <v>4267765050</v>
      </c>
      <c r="C75" s="114" t="s">
        <f>VLOOKUP(B75,'UV台帐'!B:AL,2,0)</f>
        <v>1007</v>
      </c>
      <c r="D75" s="114" t="s">
        <f>VLOOKUP(B75,'UV台帐'!B:AL,3,0)</f>
        <v>36</v>
      </c>
      <c r="E75" s="114" t="s">
        <f>VLOOKUP(B75,'UV台帐'!B:AL,13,0)</f>
        <v>31</v>
      </c>
      <c r="F75" s="114" t="s">
        <f>VLOOKUP(B75,'UV台帐'!B:AL,15,0)</f>
        <v>215</v>
      </c>
      <c r="G75" s="114" t="s">
        <f>VLOOKUP(B75,'UV台帐'!B:AL,16,0)</f>
        <v>283</v>
      </c>
      <c r="H75" s="114" t="s">
        <f>VLOOKUP(B75,'UV台帐'!B:AL,17,0)</f>
        <v>88</v>
      </c>
      <c r="I75" s="114" t="s">
        <f>VLOOKUP(B75,'UV台帐'!B:AL,18,0)</f>
        <v>165</v>
      </c>
      <c r="J75" s="114" t="s">
        <f>VLOOKUP(B75,'UV台帐'!B:AL,22,0)</f>
        <v>47</v>
      </c>
      <c r="K75" s="114" t="s">
        <f>VLOOKUP(B75,'UV台帐'!B:AL,24,0)</f>
        <v>233</v>
      </c>
      <c r="L75" s="114" t="s">
        <f>VLOOKUP(B75,'UV台帐'!B:AL,26,0)</f>
        <v>88</v>
      </c>
      <c r="M75" s="114" t="s">
        <f>VLOOKUP(B75,'UV台帐'!B:AL,27,0)</f>
        <v>165</v>
      </c>
      <c r="N75" s="114" t="s">
        <f>VLOOKUP(B75,'UV台帐'!B:AL,31,0)</f>
        <v>58</v>
      </c>
      <c r="O75" s="114" t="s">
        <f>VLOOKUP(B75,'UV台帐'!B:AL,33,0)</f>
        <v>216</v>
      </c>
      <c r="P75" s="114" t="s">
        <f>VLOOKUP(B75,'UV台帐'!B:AL,35,0)</f>
        <v>88</v>
      </c>
      <c r="Q75" s="114" t="s">
        <f>VLOOKUP(B75,'UV台帐'!B:AL,36,0)</f>
        <v>165</v>
      </c>
      <c r="R75" s="318"/>
      <c r="S75" s="318" t="s">
        <v>217</v>
      </c>
      <c r="T75" s="318" t="s">
        <v>217</v>
      </c>
      <c r="U75" s="318" t="s">
        <v>58</v>
      </c>
      <c r="V75" s="318"/>
      <c r="W75" s="318" t="s">
        <v>31</v>
      </c>
      <c r="X75" s="318"/>
      <c r="Y75" s="318"/>
      <c r="Z75" s="318"/>
      <c r="AA75" s="68" t="s">
        <v>58</v>
      </c>
      <c r="AB75" s="318" t="s">
        <v>218</v>
      </c>
      <c r="AC75" s="104" t="s">
        <v>1631</v>
      </c>
      <c r="AD75" s="104" t="s">
        <v>218</v>
      </c>
      <c r="AE75" s="318" t="s">
        <v>36</v>
      </c>
      <c r="AF75" s="318" t="n">
        <f>VLOOKUP(B75,'UV台帐'!B:G,6,0)</f>
        <v>0</v>
      </c>
      <c r="AG75" s="318" t="s">
        <v>362</v>
      </c>
      <c r="AH75" s="318" t="s">
        <v>217</v>
      </c>
      <c r="AI75" s="241" t="s">
        <v>1632</v>
      </c>
      <c r="AJ75" s="508" t="s">
        <v>1633</v>
      </c>
      <c r="AK75" s="508" t="s">
        <v>1633</v>
      </c>
      <c r="AL75" s="290" t="s">
        <v>29</v>
      </c>
      <c r="AM75" s="290" t="s">
        <v>29</v>
      </c>
      <c r="AN75" s="290" t="s">
        <v>29</v>
      </c>
      <c r="AO75" s="290" t="s">
        <v>29</v>
      </c>
      <c r="AP75" s="484" t="s">
        <v>1634</v>
      </c>
      <c r="AQ75" s="292" t="s">
        <v>217</v>
      </c>
      <c r="AR75" s="436" t="s">
        <v>1635</v>
      </c>
      <c r="AS75" s="318" t="n">
        <f>COUNTIFS(H75,"零期",I75,"在读")+COUNTIFS(L75,"零期",M75,"在读")+COUNTIFS(P75,"零期",Q75,"在读")</f>
        <v>3</v>
      </c>
      <c r="AT75" s="318" t="n">
        <f>AS75-AX75</f>
        <v>3</v>
      </c>
      <c r="AU75" s="292" t="s">
        <f>VLOOKUP(B75,'UV台帐'!B:AL,19,0)</f>
        <v>116</v>
      </c>
      <c r="AV75" s="292" t="s">
        <f>VLOOKUP(B75,'UV台帐'!B:AL,28,0)</f>
        <v>116</v>
      </c>
      <c r="AW75" s="292" t="s">
        <f>VLOOKUP(B75,'UV台帐'!B:AL,37,0)</f>
        <v>116</v>
      </c>
      <c r="AX75" s="318" t="n">
        <f>COUNTIFS(H75,"零期",AU75,"是")+COUNTIFS(L75,"零期",AV75,"是")+COUNTIFS(P75,"零期",AW75,"是")</f>
        <v>0</v>
      </c>
      <c r="AZ75" s="483" t="s">
        <v>1636</v>
      </c>
      <c r="BA75" s="197" t="s">
        <v>1637</v>
      </c>
    </row>
    <row r="76" s="292" customFormat="1" ht="30" customHeight="1">
      <c r="A76" s="318" t="s">
        <v>45</v>
      </c>
      <c r="B76" s="318" t="n">
        <v>4279445279</v>
      </c>
      <c r="C76" s="114" t="s">
        <f>VLOOKUP(B76,'UV台帐'!B:AL,2,0)</f>
        <v>1240</v>
      </c>
      <c r="D76" s="114" t="s">
        <f>VLOOKUP(B76,'UV台帐'!B:AL,3,0)</f>
        <v>46</v>
      </c>
      <c r="E76" s="114" t="s">
        <f>VLOOKUP(B76,'UV台帐'!B:AL,13,0)</f>
        <v>31</v>
      </c>
      <c r="F76" s="114" t="s">
        <f>VLOOKUP(B76,'UV台帐'!B:AL,15,0)</f>
        <v>215</v>
      </c>
      <c r="G76" s="114" t="s">
        <f>VLOOKUP(B76,'UV台帐'!B:AL,16,0)</f>
        <v>283</v>
      </c>
      <c r="H76" s="114" t="s">
        <f>VLOOKUP(B76,'UV台帐'!B:AL,17,0)</f>
        <v>88</v>
      </c>
      <c r="I76" s="114" t="s">
        <f>VLOOKUP(B76,'UV台帐'!B:AL,18,0)</f>
        <v>165</v>
      </c>
      <c r="J76" s="114" t="s">
        <f>VLOOKUP(B76,'UV台帐'!B:AL,22,0)</f>
        <v>116</v>
      </c>
      <c r="K76" s="114" t="s">
        <f>VLOOKUP(B76,'UV台帐'!B:AL,24,0)</f>
        <v>116</v>
      </c>
      <c r="L76" s="114" t="s">
        <f>VLOOKUP(B76,'UV台帐'!B:AL,26,0)</f>
        <v>116</v>
      </c>
      <c r="M76" s="114" t="s">
        <f>VLOOKUP(B76,'UV台帐'!B:AL,27,0)</f>
        <v>116</v>
      </c>
      <c r="N76" s="114" t="s">
        <f>VLOOKUP(B76,'UV台帐'!B:AL,31,0)</f>
        <v>58</v>
      </c>
      <c r="O76" s="114" t="s">
        <f>VLOOKUP(B76,'UV台帐'!B:AL,33,0)</f>
        <v>216</v>
      </c>
      <c r="P76" s="114" t="s">
        <f>VLOOKUP(B76,'UV台帐'!B:AL,35,0)</f>
        <v>88</v>
      </c>
      <c r="Q76" s="114" t="s">
        <f>VLOOKUP(B76,'UV台帐'!B:AL,36,0)</f>
        <v>165</v>
      </c>
      <c r="R76" s="318"/>
      <c r="S76" s="318" t="s">
        <v>217</v>
      </c>
      <c r="T76" s="318" t="s">
        <v>217</v>
      </c>
      <c r="W76" s="318" t="s">
        <v>58</v>
      </c>
      <c r="X76" s="318"/>
      <c r="Y76" s="318"/>
      <c r="Z76" s="318"/>
      <c r="AA76" s="68" t="s">
        <v>58</v>
      </c>
      <c r="AB76" s="318" t="s">
        <v>217</v>
      </c>
      <c r="AC76" s="104" t="s">
        <v>1473</v>
      </c>
      <c r="AD76" s="104" t="s">
        <v>217</v>
      </c>
      <c r="AE76" s="318" t="s">
        <v>46</v>
      </c>
      <c r="AF76" s="318" t="n">
        <f>VLOOKUP(B76,'UV台帐'!B:G,6,0)</f>
        <v>0</v>
      </c>
      <c r="AG76" s="318"/>
      <c r="AH76" s="318" t="s">
        <v>217</v>
      </c>
      <c r="AI76" s="241" t="s">
        <v>1638</v>
      </c>
      <c r="AJ76" s="508" t="s">
        <v>1639</v>
      </c>
      <c r="AK76" s="508" t="s">
        <v>1639</v>
      </c>
      <c r="AL76" s="290"/>
      <c r="AM76" s="290"/>
      <c r="AN76" s="290"/>
      <c r="AO76" s="290"/>
      <c r="AP76" s="484"/>
      <c r="AR76" s="436"/>
      <c r="AS76" s="318" t="n">
        <f>COUNTIFS(H76,"零期",I76,"在读")+COUNTIFS(L76,"零期",M76,"在读")+COUNTIFS(P76,"零期",Q76,"在读")</f>
        <v>2</v>
      </c>
      <c r="AT76" s="318" t="n">
        <f>AS76-AX76</f>
        <v>0</v>
      </c>
      <c r="AU76" s="292" t="s">
        <f>VLOOKUP(B76,'UV台帐'!B:AL,19,0)</f>
        <v>217</v>
      </c>
      <c r="AV76" s="292" t="s">
        <f>VLOOKUP(B76,'UV台帐'!B:AL,28,0)</f>
        <v>116</v>
      </c>
      <c r="AW76" s="292" t="s">
        <f>VLOOKUP(B76,'UV台帐'!B:AL,37,0)</f>
        <v>217</v>
      </c>
      <c r="AX76" s="318" t="n">
        <f>COUNTIFS(H76,"零期",AU76,"是")+COUNTIFS(L76,"零期",AV76,"是")+COUNTIFS(P76,"零期",AW76,"是")</f>
        <v>2</v>
      </c>
      <c r="AZ76" s="483" t="s">
        <v>1640</v>
      </c>
      <c r="BA76" s="197"/>
    </row>
    <row r="77" s="292" customFormat="1" ht="30" customHeight="1">
      <c r="A77" s="318" t="s">
        <v>54</v>
      </c>
      <c r="B77" s="318" t="n">
        <v>4299356242</v>
      </c>
      <c r="C77" s="114" t="s">
        <f>VLOOKUP(B77,'UV台帐'!B:AL,2,0)</f>
        <v>1138</v>
      </c>
      <c r="D77" s="114" t="s">
        <f>VLOOKUP(B77,'UV台帐'!B:AL,3,0)</f>
        <v>57</v>
      </c>
      <c r="E77" s="114" t="s">
        <f>VLOOKUP(B77,'UV台帐'!B:AL,13,0)</f>
        <v>31</v>
      </c>
      <c r="F77" s="114" t="s">
        <f>VLOOKUP(B77,'UV台帐'!B:AL,15,0)</f>
        <v>233</v>
      </c>
      <c r="G77" s="114" t="s">
        <f>VLOOKUP(B77,'UV台帐'!B:AL,16,0)</f>
        <v>234</v>
      </c>
      <c r="H77" s="114" t="s">
        <f>VLOOKUP(B77,'UV台帐'!B:AL,17,0)</f>
        <v>88</v>
      </c>
      <c r="I77" s="114" t="s">
        <f>VLOOKUP(B77,'UV台帐'!B:AL,18,0)</f>
        <v>165</v>
      </c>
      <c r="J77" s="114" t="s">
        <f>VLOOKUP(B77,'UV台帐'!B:AL,22,0)</f>
        <v>47</v>
      </c>
      <c r="K77" s="114" t="s">
        <f>VLOOKUP(B77,'UV台帐'!B:AL,24,0)</f>
        <v>215</v>
      </c>
      <c r="L77" s="114" t="s">
        <f>VLOOKUP(B77,'UV台帐'!B:AL,26,0)</f>
        <v>88</v>
      </c>
      <c r="M77" s="114" t="s">
        <f>VLOOKUP(B77,'UV台帐'!B:AL,27,0)</f>
        <v>165</v>
      </c>
      <c r="N77" s="114" t="s">
        <f>VLOOKUP(B77,'UV台帐'!B:AL,31,0)</f>
        <v>56</v>
      </c>
      <c r="O77" s="114" t="s">
        <f>VLOOKUP(B77,'UV台帐'!B:AL,33,0)</f>
        <v>216</v>
      </c>
      <c r="P77" s="114" t="s">
        <f>VLOOKUP(B77,'UV台帐'!B:AL,35,0)</f>
        <v>88</v>
      </c>
      <c r="Q77" s="114" t="s">
        <f>VLOOKUP(B77,'UV台帐'!B:AL,36,0)</f>
        <v>165</v>
      </c>
      <c r="R77" s="318"/>
      <c r="S77" s="318" t="s">
        <v>217</v>
      </c>
      <c r="T77" s="318" t="s">
        <v>217</v>
      </c>
      <c r="W77" s="318"/>
      <c r="X77" s="318"/>
      <c r="Y77" s="318"/>
      <c r="Z77" s="318"/>
      <c r="AA77" s="68" t="s">
        <v>47</v>
      </c>
      <c r="AB77" s="318" t="s">
        <v>218</v>
      </c>
      <c r="AC77" s="104"/>
      <c r="AD77" s="104" t="s">
        <v>218</v>
      </c>
      <c r="AE77" s="318" t="s">
        <v>57</v>
      </c>
      <c r="AF77" s="318" t="n">
        <f>VLOOKUP(B77,'UV台帐'!B:G,6,0)</f>
        <v>0</v>
      </c>
      <c r="AG77" s="318" t="s">
        <v>1641</v>
      </c>
      <c r="AH77" s="318" t="s">
        <v>217</v>
      </c>
      <c r="AI77" s="241" t="s">
        <v>1642</v>
      </c>
      <c r="AJ77" s="508" t="s">
        <v>1643</v>
      </c>
      <c r="AK77" s="508" t="s">
        <v>1643</v>
      </c>
      <c r="AL77" s="290" t="s">
        <v>29</v>
      </c>
      <c r="AM77" s="290" t="s">
        <v>29</v>
      </c>
      <c r="AN77" s="290" t="s">
        <v>29</v>
      </c>
      <c r="AO77" s="290" t="s">
        <v>29</v>
      </c>
      <c r="AP77" s="484" t="s">
        <v>1644</v>
      </c>
      <c r="AR77" s="436"/>
      <c r="AS77" s="318" t="n">
        <f>COUNTIFS(H77,"零期",I77,"在读")+COUNTIFS(L77,"零期",M77,"在读")+COUNTIFS(P77,"零期",Q77,"在读")</f>
        <v>3</v>
      </c>
      <c r="AT77" s="318" t="n">
        <f>AS77-AX77</f>
        <v>3</v>
      </c>
      <c r="AU77" s="292" t="s">
        <f>VLOOKUP(B77,'UV台帐'!B:AL,19,0)</f>
        <v>116</v>
      </c>
      <c r="AV77" s="292" t="s">
        <f>VLOOKUP(B77,'UV台帐'!B:AL,28,0)</f>
        <v>116</v>
      </c>
      <c r="AW77" s="292" t="s">
        <f>VLOOKUP(B77,'UV台帐'!B:AL,37,0)</f>
        <v>116</v>
      </c>
      <c r="AX77" s="318" t="n">
        <f>COUNTIFS(H77,"零期",AU77,"是")+COUNTIFS(L77,"零期",AV77,"是")+COUNTIFS(P77,"零期",AW77,"是")</f>
        <v>0</v>
      </c>
      <c r="AZ77" s="483"/>
      <c r="BA77" s="197"/>
    </row>
    <row r="78" s="292" customFormat="1" ht="30" customHeight="1">
      <c r="A78" s="318" t="s">
        <v>45</v>
      </c>
      <c r="B78" s="318" t="n">
        <v>4357593784</v>
      </c>
      <c r="C78" s="114" t="s">
        <f>VLOOKUP(B78,'UV台帐'!B:AL,2,0)</f>
        <v>1204</v>
      </c>
      <c r="D78" s="114" t="s">
        <f>VLOOKUP(B78,'UV台帐'!B:AL,3,0)</f>
        <v>48</v>
      </c>
      <c r="E78" s="114" t="s">
        <f>VLOOKUP(B78,'UV台帐'!B:AL,13,0)</f>
        <v>31</v>
      </c>
      <c r="F78" s="114" t="s">
        <f>VLOOKUP(B78,'UV台帐'!B:AL,15,0)</f>
        <v>246</v>
      </c>
      <c r="G78" s="114" t="s">
        <f>VLOOKUP(B78,'UV台帐'!B:AL,16,0)</f>
        <v>234</v>
      </c>
      <c r="H78" s="114" t="s">
        <f>VLOOKUP(B78,'UV台帐'!B:AL,17,0)</f>
        <v>88</v>
      </c>
      <c r="I78" s="114" t="s">
        <f>VLOOKUP(B78,'UV台帐'!B:AL,18,0)</f>
        <v>165</v>
      </c>
      <c r="J78" s="114" t="s">
        <f>VLOOKUP(B78,'UV台帐'!B:AL,22,0)</f>
        <v>43</v>
      </c>
      <c r="K78" s="114" t="s">
        <f>VLOOKUP(B78,'UV台帐'!B:AL,24,0)</f>
        <v>216</v>
      </c>
      <c r="L78" s="114" t="s">
        <f>VLOOKUP(B78,'UV台帐'!B:AL,26,0)</f>
        <v>88</v>
      </c>
      <c r="M78" s="114" t="s">
        <f>VLOOKUP(B78,'UV台帐'!B:AL,27,0)</f>
        <v>165</v>
      </c>
      <c r="N78" s="114" t="s">
        <f>VLOOKUP(B78,'UV台帐'!B:AL,31,0)</f>
        <v>116</v>
      </c>
      <c r="O78" s="114" t="s">
        <f>VLOOKUP(B78,'UV台帐'!B:AL,33,0)</f>
        <v>116</v>
      </c>
      <c r="P78" s="114" t="s">
        <f>VLOOKUP(B78,'UV台帐'!B:AL,35,0)</f>
        <v>116</v>
      </c>
      <c r="Q78" s="114" t="s">
        <f>VLOOKUP(B78,'UV台帐'!B:AL,36,0)</f>
        <v>116</v>
      </c>
      <c r="R78" s="318"/>
      <c r="S78" s="318" t="s">
        <v>217</v>
      </c>
      <c r="T78" s="318" t="s">
        <v>217</v>
      </c>
      <c r="W78" s="318"/>
      <c r="X78" s="318"/>
      <c r="Y78" s="318" t="s">
        <v>31</v>
      </c>
      <c r="Z78" s="318"/>
      <c r="AA78" s="68" t="s">
        <v>31</v>
      </c>
      <c r="AB78" s="318" t="s">
        <v>218</v>
      </c>
      <c r="AC78" s="104" t="s">
        <v>1473</v>
      </c>
      <c r="AD78" s="104" t="s">
        <v>218</v>
      </c>
      <c r="AE78" s="318" t="s">
        <v>48</v>
      </c>
      <c r="AF78" s="318" t="n">
        <f>VLOOKUP(B78,'UV台帐'!B:G,6,0)</f>
        <v>0</v>
      </c>
      <c r="AG78" s="318" t="s">
        <v>1645</v>
      </c>
      <c r="AH78" s="318" t="s">
        <v>217</v>
      </c>
      <c r="AI78" s="241" t="s">
        <v>1646</v>
      </c>
      <c r="AJ78" s="508" t="s">
        <v>1475</v>
      </c>
      <c r="AK78" s="508" t="s">
        <v>1475</v>
      </c>
      <c r="AL78" s="290"/>
      <c r="AM78" s="290"/>
      <c r="AN78" s="290"/>
      <c r="AO78" s="290"/>
      <c r="AP78" s="484"/>
      <c r="AR78" s="436"/>
      <c r="AS78" s="318" t="n">
        <f>COUNTIFS(H78,"零期",I78,"在读")+COUNTIFS(L78,"零期",M78,"在读")+COUNTIFS(P78,"零期",Q78,"在读")</f>
        <v>2</v>
      </c>
      <c r="AT78" s="318" t="n">
        <f>AS78-AX78</f>
        <v>0</v>
      </c>
      <c r="AU78" s="292" t="s">
        <f>VLOOKUP(B78,'UV台帐'!B:AL,19,0)</f>
        <v>217</v>
      </c>
      <c r="AV78" s="292" t="s">
        <f>VLOOKUP(B78,'UV台帐'!B:AL,28,0)</f>
        <v>217</v>
      </c>
      <c r="AW78" s="292" t="s">
        <f>VLOOKUP(B78,'UV台帐'!B:AL,37,0)</f>
        <v>116</v>
      </c>
      <c r="AX78" s="318" t="n">
        <f>COUNTIFS(H78,"零期",AU78,"是")+COUNTIFS(L78,"零期",AV78,"是")+COUNTIFS(P78,"零期",AW78,"是")</f>
        <v>2</v>
      </c>
      <c r="AZ78" s="483"/>
      <c r="BA78" s="197"/>
    </row>
    <row r="79" s="292" customFormat="1" ht="30" customHeight="1">
      <c r="A79" s="318" t="s">
        <v>45</v>
      </c>
      <c r="B79" s="318" t="n">
        <v>4373949634</v>
      </c>
      <c r="C79" s="114" t="s">
        <f>VLOOKUP(B79,'UV台帐'!B:AL,2,0)</f>
        <v>657</v>
      </c>
      <c r="D79" s="114" t="s">
        <f>VLOOKUP(B79,'UV台帐'!B:AL,3,0)</f>
        <v>38</v>
      </c>
      <c r="E79" s="114" t="s">
        <f>VLOOKUP(B79,'UV台帐'!B:AL,13,0)</f>
        <v>31</v>
      </c>
      <c r="F79" s="114" t="s">
        <f>VLOOKUP(B79,'UV台帐'!B:AL,15,0)</f>
        <v>215</v>
      </c>
      <c r="G79" s="114" t="s">
        <f>VLOOKUP(B79,'UV台帐'!B:AL,16,0)</f>
        <v>283</v>
      </c>
      <c r="H79" s="114" t="s">
        <f>VLOOKUP(B79,'UV台帐'!B:AL,17,0)</f>
        <v>88</v>
      </c>
      <c r="I79" s="114" t="s">
        <f>VLOOKUP(B79,'UV台帐'!B:AL,18,0)</f>
        <v>165</v>
      </c>
      <c r="J79" s="114" t="s">
        <f>VLOOKUP(B79,'UV台帐'!B:AL,22,0)</f>
        <v>43</v>
      </c>
      <c r="K79" s="114" t="s">
        <f>VLOOKUP(B79,'UV台帐'!B:AL,24,0)</f>
        <v>216</v>
      </c>
      <c r="L79" s="114" t="s">
        <f>VLOOKUP(B79,'UV台帐'!B:AL,26,0)</f>
        <v>88</v>
      </c>
      <c r="M79" s="114" t="s">
        <f>VLOOKUP(B79,'UV台帐'!B:AL,27,0)</f>
        <v>165</v>
      </c>
      <c r="N79" s="114" t="s">
        <f>VLOOKUP(B79,'UV台帐'!B:AL,31,0)</f>
        <v>52</v>
      </c>
      <c r="O79" s="114" t="s">
        <f>VLOOKUP(B79,'UV台帐'!B:AL,33,0)</f>
        <v>216</v>
      </c>
      <c r="P79" s="114" t="s">
        <f>VLOOKUP(B79,'UV台帐'!B:AL,35,0)</f>
        <v>65</v>
      </c>
      <c r="Q79" s="114" t="s">
        <f>VLOOKUP(B79,'UV台帐'!B:AL,36,0)</f>
        <v>165</v>
      </c>
      <c r="R79" s="318"/>
      <c r="S79" s="318" t="s">
        <v>218</v>
      </c>
      <c r="T79" s="318" t="s">
        <v>218</v>
      </c>
      <c r="W79" s="318"/>
      <c r="X79" s="318"/>
      <c r="Y79" s="318" t="s">
        <v>43</v>
      </c>
      <c r="Z79" s="318"/>
      <c r="AA79" s="75" t="s">
        <v>31</v>
      </c>
      <c r="AB79" s="318" t="s">
        <v>217</v>
      </c>
      <c r="AC79" s="104" t="s">
        <v>38</v>
      </c>
      <c r="AD79" s="114" t="s">
        <v>217</v>
      </c>
      <c r="AE79" s="318" t="s">
        <v>38</v>
      </c>
      <c r="AF79" s="318" t="n">
        <f>VLOOKUP(B79,'UV台帐'!B:G,6,0)</f>
        <v>0</v>
      </c>
      <c r="AG79" s="318" t="s">
        <v>775</v>
      </c>
      <c r="AH79" s="318" t="s">
        <v>217</v>
      </c>
      <c r="AI79" s="241" t="s">
        <v>1403</v>
      </c>
      <c r="AJ79" s="508" t="s">
        <v>1647</v>
      </c>
      <c r="AK79" s="508" t="s">
        <v>1647</v>
      </c>
      <c r="AL79" s="290"/>
      <c r="AM79" s="290"/>
      <c r="AN79" s="290"/>
      <c r="AO79" s="290"/>
      <c r="AP79" s="484"/>
      <c r="AQ79" s="292" t="s">
        <v>217</v>
      </c>
      <c r="AR79" s="436"/>
      <c r="AS79" s="318" t="n">
        <f>COUNTIFS(H79,"零期",I79,"在读")+COUNTIFS(L79,"零期",M79,"在读")+COUNTIFS(P79,"零期",Q79,"在读")</f>
        <v>2</v>
      </c>
      <c r="AT79" s="318" t="n">
        <f>AS79-AX79</f>
        <v>0</v>
      </c>
      <c r="AU79" s="292" t="s">
        <f>VLOOKUP(B79,'UV台帐'!B:AL,19,0)</f>
        <v>217</v>
      </c>
      <c r="AV79" s="292" t="s">
        <f>VLOOKUP(B79,'UV台帐'!B:AL,28,0)</f>
        <v>217</v>
      </c>
      <c r="AW79" s="292" t="s">
        <f>VLOOKUP(B79,'UV台帐'!B:AL,37,0)</f>
        <v>116</v>
      </c>
      <c r="AX79" s="318" t="n">
        <f>COUNTIFS(H79,"零期",AU79,"是")+COUNTIFS(L79,"零期",AV79,"是")+COUNTIFS(P79,"零期",AW79,"是")</f>
        <v>2</v>
      </c>
      <c r="AZ79" s="483"/>
      <c r="BA79" s="197"/>
    </row>
    <row r="80" s="292" customFormat="1" ht="30" customHeight="1">
      <c r="A80" s="318" t="s">
        <v>45</v>
      </c>
      <c r="B80" s="318" t="n">
        <v>4443796286</v>
      </c>
      <c r="C80" s="114" t="s">
        <f>VLOOKUP(B80,'UV台帐'!B:AL,2,0)</f>
        <v>914</v>
      </c>
      <c r="D80" s="114" t="s">
        <f>VLOOKUP(B80,'UV台帐'!B:AL,3,0)</f>
        <v>46</v>
      </c>
      <c r="E80" s="114" t="s">
        <f>VLOOKUP(B80,'UV台帐'!B:AL,13,0)</f>
        <v>116</v>
      </c>
      <c r="F80" s="114" t="s">
        <f>VLOOKUP(B80,'UV台帐'!B:AL,15,0)</f>
        <v>116</v>
      </c>
      <c r="G80" s="114" t="s">
        <f>VLOOKUP(B80,'UV台帐'!B:AL,16,0)</f>
        <v>116</v>
      </c>
      <c r="H80" s="114" t="s">
        <f>VLOOKUP(B80,'UV台帐'!B:AL,17,0)</f>
        <v>116</v>
      </c>
      <c r="I80" s="114" t="s">
        <f>VLOOKUP(B80,'UV台帐'!B:AL,18,0)</f>
        <v>116</v>
      </c>
      <c r="J80" s="114" t="s">
        <f>VLOOKUP(B80,'UV台帐'!B:AL,22,0)</f>
        <v>43</v>
      </c>
      <c r="K80" s="114" t="s">
        <f>VLOOKUP(B80,'UV台帐'!B:AL,24,0)</f>
        <v>215</v>
      </c>
      <c r="L80" s="114" t="s">
        <f>VLOOKUP(B80,'UV台帐'!B:AL,26,0)</f>
        <v>65</v>
      </c>
      <c r="M80" s="114" t="s">
        <f>VLOOKUP(B80,'UV台帐'!B:AL,27,0)</f>
        <v>165</v>
      </c>
      <c r="N80" s="114" t="s">
        <f>VLOOKUP(B80,'UV台帐'!B:AL,31,0)</f>
        <v>52</v>
      </c>
      <c r="O80" s="114" t="s">
        <f>VLOOKUP(B80,'UV台帐'!B:AL,33,0)</f>
        <v>215</v>
      </c>
      <c r="P80" s="114" t="s">
        <f>VLOOKUP(B80,'UV台帐'!B:AL,35,0)</f>
        <v>88</v>
      </c>
      <c r="Q80" s="114" t="s">
        <f>VLOOKUP(B80,'UV台帐'!B:AL,36,0)</f>
        <v>165</v>
      </c>
      <c r="R80" s="318"/>
      <c r="S80" s="318" t="s">
        <v>217</v>
      </c>
      <c r="T80" s="318" t="s">
        <v>218</v>
      </c>
      <c r="W80" s="318"/>
      <c r="X80" s="318"/>
      <c r="Y80" s="318" t="s">
        <v>52</v>
      </c>
      <c r="Z80" s="318"/>
      <c r="AA80" s="68" t="s">
        <v>52</v>
      </c>
      <c r="AB80" s="318" t="s">
        <v>218</v>
      </c>
      <c r="AC80" s="104"/>
      <c r="AD80" s="104" t="s">
        <v>218</v>
      </c>
      <c r="AE80" s="318" t="s">
        <v>46</v>
      </c>
      <c r="AF80" s="318" t="n">
        <f>VLOOKUP(B80,'UV台帐'!B:G,6,0)</f>
        <v>0</v>
      </c>
      <c r="AG80" s="318" t="s">
        <v>483</v>
      </c>
      <c r="AH80" s="318" t="s">
        <v>217</v>
      </c>
      <c r="AI80" s="241" t="s">
        <v>1379</v>
      </c>
      <c r="AJ80" s="508" t="s">
        <v>1648</v>
      </c>
      <c r="AK80" s="508" t="s">
        <v>1648</v>
      </c>
      <c r="AL80" s="290" t="s">
        <v>25</v>
      </c>
      <c r="AM80" s="290"/>
      <c r="AN80" s="290"/>
      <c r="AO80" s="290" t="s">
        <v>25</v>
      </c>
      <c r="AP80" s="484"/>
      <c r="AR80" s="436"/>
      <c r="AS80" s="318" t="n">
        <f>COUNTIFS(H80,"零期",I80,"在读")+COUNTIFS(L80,"零期",M80,"在读")+COUNTIFS(P80,"零期",Q80,"在读")</f>
        <v>1</v>
      </c>
      <c r="AT80" s="318" t="n">
        <f>AS80-AX80</f>
        <v>1</v>
      </c>
      <c r="AU80" s="292" t="s">
        <f>VLOOKUP(B80,'UV台帐'!B:AL,19,0)</f>
        <v>116</v>
      </c>
      <c r="AV80" s="292" t="s">
        <f>VLOOKUP(B80,'UV台帐'!B:AL,28,0)</f>
        <v>217</v>
      </c>
      <c r="AW80" s="292" t="s">
        <f>VLOOKUP(B80,'UV台帐'!B:AL,37,0)</f>
        <v>116</v>
      </c>
      <c r="AX80" s="318" t="n">
        <f>COUNTIFS(H80,"零期",AU80,"是")+COUNTIFS(L80,"零期",AV80,"是")+COUNTIFS(P80,"零期",AW80,"是")</f>
        <v>0</v>
      </c>
      <c r="AZ80" s="483" t="s">
        <v>1649</v>
      </c>
      <c r="BA80" s="197"/>
    </row>
    <row r="81" s="292" customFormat="1" ht="30" customHeight="1">
      <c r="A81" s="318" t="s">
        <v>54</v>
      </c>
      <c r="B81" s="318" t="n">
        <v>4459633645</v>
      </c>
      <c r="C81" s="114" t="s">
        <f>VLOOKUP(B81,'UV台帐'!B:AL,2,0)</f>
        <v>1048</v>
      </c>
      <c r="D81" s="114" t="s">
        <f>VLOOKUP(B81,'UV台帐'!B:AL,3,0)</f>
        <v>48</v>
      </c>
      <c r="E81" s="114" t="s">
        <f>VLOOKUP(B81,'UV台帐'!B:AL,13,0)</f>
        <v>37</v>
      </c>
      <c r="F81" s="114" t="s">
        <f>VLOOKUP(B81,'UV台帐'!B:AL,15,0)</f>
        <v>216</v>
      </c>
      <c r="G81" s="114" t="s">
        <f>VLOOKUP(B81,'UV台帐'!B:AL,16,0)</f>
        <v>283</v>
      </c>
      <c r="H81" s="114" t="s">
        <f>VLOOKUP(B81,'UV台帐'!B:AL,17,0)</f>
        <v>88</v>
      </c>
      <c r="I81" s="114" t="s">
        <f>VLOOKUP(B81,'UV台帐'!B:AL,18,0)</f>
        <v>165</v>
      </c>
      <c r="J81" s="114" t="s">
        <f>VLOOKUP(B81,'UV台帐'!B:AL,22,0)</f>
        <v>43</v>
      </c>
      <c r="K81" s="114" t="s">
        <f>VLOOKUP(B81,'UV台帐'!B:AL,24,0)</f>
        <v>215</v>
      </c>
      <c r="L81" s="114" t="s">
        <f>VLOOKUP(B81,'UV台帐'!B:AL,26,0)</f>
        <v>88</v>
      </c>
      <c r="M81" s="114" t="s">
        <f>VLOOKUP(B81,'UV台帐'!B:AL,27,0)</f>
        <v>165</v>
      </c>
      <c r="N81" s="114" t="s">
        <f>VLOOKUP(B81,'UV台帐'!B:AL,31,0)</f>
        <v>56</v>
      </c>
      <c r="O81" s="114" t="s">
        <f>VLOOKUP(B81,'UV台帐'!B:AL,33,0)</f>
        <v>233</v>
      </c>
      <c r="P81" s="114" t="s">
        <f>VLOOKUP(B81,'UV台帐'!B:AL,35,0)</f>
        <v>88</v>
      </c>
      <c r="Q81" s="114" t="s">
        <f>VLOOKUP(B81,'UV台帐'!B:AL,36,0)</f>
        <v>165</v>
      </c>
      <c r="R81" s="318"/>
      <c r="S81" s="318" t="s">
        <v>217</v>
      </c>
      <c r="T81" s="318" t="s">
        <v>217</v>
      </c>
      <c r="W81" s="318"/>
      <c r="X81" s="318"/>
      <c r="Y81" s="318" t="s">
        <v>37</v>
      </c>
      <c r="Z81" s="318"/>
      <c r="AA81" s="68" t="s">
        <v>43</v>
      </c>
      <c r="AB81" s="476" t="s">
        <v>217</v>
      </c>
      <c r="AC81" s="7" t="s">
        <v>48</v>
      </c>
      <c r="AD81" s="104" t="s">
        <v>218</v>
      </c>
      <c r="AE81" s="318" t="s">
        <v>48</v>
      </c>
      <c r="AF81" s="318" t="s">
        <f>VLOOKUP(B81,'UV台帐'!B:G,6,0)</f>
        <v>1049</v>
      </c>
      <c r="AG81" s="318" t="s">
        <v>475</v>
      </c>
      <c r="AH81" s="318" t="s">
        <v>217</v>
      </c>
      <c r="AI81" s="241" t="s">
        <v>1466</v>
      </c>
      <c r="AJ81" s="508" t="s">
        <v>1650</v>
      </c>
      <c r="AK81" s="508" t="s">
        <v>1650</v>
      </c>
      <c r="AL81" s="290" t="s">
        <v>27</v>
      </c>
      <c r="AM81" s="290"/>
      <c r="AN81" s="290" t="s">
        <v>27</v>
      </c>
      <c r="AO81" s="290"/>
      <c r="AP81" s="484" t="s">
        <v>1651</v>
      </c>
      <c r="AQ81" s="292" t="s">
        <v>217</v>
      </c>
      <c r="AR81" s="436"/>
      <c r="AS81" s="318" t="n">
        <f>COUNTIFS(H81,"零期",I81,"在读")+COUNTIFS(L81,"零期",M81,"在读")+COUNTIFS(P81,"零期",Q81,"在读")</f>
        <v>3</v>
      </c>
      <c r="AT81" s="318" t="n">
        <f>AS81-AX81</f>
        <v>3</v>
      </c>
      <c r="AU81" s="292" t="s">
        <f>VLOOKUP(B81,'UV台帐'!B:AL,19,0)</f>
        <v>116</v>
      </c>
      <c r="AV81" s="292" t="s">
        <f>VLOOKUP(B81,'UV台帐'!B:AL,28,0)</f>
        <v>116</v>
      </c>
      <c r="AW81" s="292" t="s">
        <f>VLOOKUP(B81,'UV台帐'!B:AL,37,0)</f>
        <v>116</v>
      </c>
      <c r="AX81" s="318" t="n">
        <f>COUNTIFS(H81,"零期",AU81,"是")+COUNTIFS(L81,"零期",AV81,"是")+COUNTIFS(P81,"零期",AW81,"是")</f>
        <v>0</v>
      </c>
      <c r="AZ81" s="483"/>
      <c r="BA81" s="197"/>
    </row>
    <row r="82" s="292" customFormat="1" ht="30" customHeight="1">
      <c r="A82" s="318" t="s">
        <v>54</v>
      </c>
      <c r="B82" s="318" t="n">
        <v>4484241011</v>
      </c>
      <c r="C82" s="114" t="s">
        <f>VLOOKUP(B82,'UV台帐'!B:AL,2,0)</f>
        <v>1148</v>
      </c>
      <c r="D82" s="114" t="s">
        <f>VLOOKUP(B82,'UV台帐'!B:AL,3,0)</f>
        <v>57</v>
      </c>
      <c r="E82" s="114" t="s">
        <f>VLOOKUP(B82,'UV台帐'!B:AL,13,0)</f>
        <v>31</v>
      </c>
      <c r="F82" s="114" t="s">
        <f>VLOOKUP(B82,'UV台帐'!B:AL,15,0)</f>
        <v>233</v>
      </c>
      <c r="G82" s="114" t="s">
        <f>VLOOKUP(B82,'UV台帐'!B:AL,16,0)</f>
        <v>234</v>
      </c>
      <c r="H82" s="114" t="s">
        <f>VLOOKUP(B82,'UV台帐'!B:AL,17,0)</f>
        <v>88</v>
      </c>
      <c r="I82" s="114" t="s">
        <f>VLOOKUP(B82,'UV台帐'!B:AL,18,0)</f>
        <v>165</v>
      </c>
      <c r="J82" s="114" t="s">
        <f>VLOOKUP(B82,'UV台帐'!B:AL,22,0)</f>
        <v>47</v>
      </c>
      <c r="K82" s="114" t="s">
        <f>VLOOKUP(B82,'UV台帐'!B:AL,24,0)</f>
        <v>215</v>
      </c>
      <c r="L82" s="114" t="s">
        <f>VLOOKUP(B82,'UV台帐'!B:AL,26,0)</f>
        <v>88</v>
      </c>
      <c r="M82" s="114" t="s">
        <f>VLOOKUP(B82,'UV台帐'!B:AL,27,0)</f>
        <v>165</v>
      </c>
      <c r="N82" s="114" t="s">
        <f>VLOOKUP(B82,'UV台帐'!B:AL,31,0)</f>
        <v>56</v>
      </c>
      <c r="O82" s="114" t="s">
        <f>VLOOKUP(B82,'UV台帐'!B:AL,33,0)</f>
        <v>216</v>
      </c>
      <c r="P82" s="114" t="s">
        <f>VLOOKUP(B82,'UV台帐'!B:AL,35,0)</f>
        <v>88</v>
      </c>
      <c r="Q82" s="114" t="s">
        <f>VLOOKUP(B82,'UV台帐'!B:AL,36,0)</f>
        <v>165</v>
      </c>
      <c r="R82" s="318"/>
      <c r="S82" s="318" t="s">
        <v>218</v>
      </c>
      <c r="T82" s="318" t="s">
        <v>218</v>
      </c>
      <c r="W82" s="318" t="s">
        <v>56</v>
      </c>
      <c r="X82" s="318"/>
      <c r="Y82" s="318"/>
      <c r="Z82" s="318"/>
      <c r="AA82" s="75" t="s">
        <v>47</v>
      </c>
      <c r="AB82" s="318" t="s">
        <v>217</v>
      </c>
      <c r="AC82" s="114" t="s">
        <v>38</v>
      </c>
      <c r="AD82" s="114" t="s">
        <v>217</v>
      </c>
      <c r="AE82" s="318" t="s">
        <v>57</v>
      </c>
      <c r="AF82" s="318" t="n">
        <f>VLOOKUP(B82,'UV台帐'!B:G,6,0)</f>
        <v>0</v>
      </c>
      <c r="AG82" s="318" t="s">
        <v>1652</v>
      </c>
      <c r="AH82" s="318" t="s">
        <v>217</v>
      </c>
      <c r="AI82" s="241"/>
      <c r="AJ82" s="508" t="s">
        <v>1653</v>
      </c>
      <c r="AK82" s="508" t="s">
        <v>1653</v>
      </c>
      <c r="AL82" s="290" t="s">
        <v>29</v>
      </c>
      <c r="AM82" s="290" t="s">
        <v>29</v>
      </c>
      <c r="AN82" s="290" t="s">
        <v>29</v>
      </c>
      <c r="AO82" s="290" t="s">
        <v>29</v>
      </c>
      <c r="AP82" s="484" t="s">
        <v>1654</v>
      </c>
      <c r="AR82" s="436"/>
      <c r="AS82" s="318" t="n">
        <f>COUNTIFS(H82,"零期",I82,"在读")+COUNTIFS(L82,"零期",M82,"在读")+COUNTIFS(P82,"零期",Q82,"在读")</f>
        <v>3</v>
      </c>
      <c r="AT82" s="318" t="n">
        <f>AS82-AX82</f>
        <v>3</v>
      </c>
      <c r="AU82" s="292" t="s">
        <f>VLOOKUP(B82,'UV台帐'!B:AL,19,0)</f>
        <v>116</v>
      </c>
      <c r="AV82" s="292" t="s">
        <f>VLOOKUP(B82,'UV台帐'!B:AL,28,0)</f>
        <v>116</v>
      </c>
      <c r="AW82" s="292" t="s">
        <f>VLOOKUP(B82,'UV台帐'!B:AL,37,0)</f>
        <v>116</v>
      </c>
      <c r="AX82" s="318" t="n">
        <f>COUNTIFS(H82,"零期",AU82,"是")+COUNTIFS(L82,"零期",AV82,"是")+COUNTIFS(P82,"零期",AW82,"是")</f>
        <v>0</v>
      </c>
      <c r="AZ82" s="483" t="s">
        <v>1655</v>
      </c>
      <c r="BA82" s="197"/>
    </row>
    <row r="83" s="292" customFormat="1" ht="30" customHeight="1">
      <c r="A83" s="318" t="s">
        <v>45</v>
      </c>
      <c r="B83" s="318" t="n">
        <v>4521435533</v>
      </c>
      <c r="C83" s="114" t="s">
        <f>VLOOKUP(B83,'UV台帐'!B:AL,2,0)</f>
        <v>1054</v>
      </c>
      <c r="D83" s="114" t="s">
        <f>VLOOKUP(B83,'UV台帐'!B:AL,3,0)</f>
        <v>48</v>
      </c>
      <c r="E83" s="114" t="s">
        <f>VLOOKUP(B83,'UV台帐'!B:AL,13,0)</f>
        <v>37</v>
      </c>
      <c r="F83" s="114" t="s">
        <f>VLOOKUP(B83,'UV台帐'!B:AL,15,0)</f>
        <v>215</v>
      </c>
      <c r="G83" s="114" t="s">
        <f>VLOOKUP(B83,'UV台帐'!B:AL,16,0)</f>
        <v>283</v>
      </c>
      <c r="H83" s="114" t="s">
        <f>VLOOKUP(B83,'UV台帐'!B:AL,17,0)</f>
        <v>88</v>
      </c>
      <c r="I83" s="114" t="s">
        <f>VLOOKUP(B83,'UV台帐'!B:AL,18,0)</f>
        <v>165</v>
      </c>
      <c r="J83" s="114" t="s">
        <f>VLOOKUP(B83,'UV台帐'!B:AL,22,0)</f>
        <v>49</v>
      </c>
      <c r="K83" s="114" t="s">
        <f>VLOOKUP(B83,'UV台帐'!B:AL,24,0)</f>
        <v>216</v>
      </c>
      <c r="L83" s="114" t="s">
        <f>VLOOKUP(B83,'UV台帐'!B:AL,26,0)</f>
        <v>88</v>
      </c>
      <c r="M83" s="114" t="s">
        <f>VLOOKUP(B83,'UV台帐'!B:AL,27,0)</f>
        <v>165</v>
      </c>
      <c r="N83" s="114" t="s">
        <f>VLOOKUP(B83,'UV台帐'!B:AL,31,0)</f>
        <v>52</v>
      </c>
      <c r="O83" s="114" t="s">
        <f>VLOOKUP(B83,'UV台帐'!B:AL,33,0)</f>
        <v>233</v>
      </c>
      <c r="P83" s="114" t="s">
        <f>VLOOKUP(B83,'UV台帐'!B:AL,35,0)</f>
        <v>88</v>
      </c>
      <c r="Q83" s="114" t="s">
        <f>VLOOKUP(B83,'UV台帐'!B:AL,36,0)</f>
        <v>165</v>
      </c>
      <c r="R83" s="318"/>
      <c r="S83" s="318" t="s">
        <v>218</v>
      </c>
      <c r="T83" s="318" t="s">
        <v>218</v>
      </c>
      <c r="U83" s="318" t="s">
        <v>37</v>
      </c>
      <c r="V83" s="318"/>
      <c r="W83" s="318" t="s">
        <v>1656</v>
      </c>
      <c r="X83" s="318"/>
      <c r="Y83" s="318" t="s">
        <v>49</v>
      </c>
      <c r="Z83" s="318"/>
      <c r="AA83" s="68" t="s">
        <v>49</v>
      </c>
      <c r="AB83" s="318" t="s">
        <v>217</v>
      </c>
      <c r="AC83" s="104" t="s">
        <v>1559</v>
      </c>
      <c r="AD83" s="104" t="s">
        <v>217</v>
      </c>
      <c r="AE83" s="318" t="s">
        <v>48</v>
      </c>
      <c r="AF83" s="318" t="n">
        <f>VLOOKUP(B83,'UV台帐'!B:G,6,0)</f>
        <v>0</v>
      </c>
      <c r="AG83" s="318" t="s">
        <v>483</v>
      </c>
      <c r="AH83" s="318" t="s">
        <v>217</v>
      </c>
      <c r="AI83" s="241" t="s">
        <v>1657</v>
      </c>
      <c r="AJ83" s="508" t="s">
        <v>1658</v>
      </c>
      <c r="AK83" s="508" t="s">
        <v>1658</v>
      </c>
      <c r="AL83" s="290" t="s">
        <v>25</v>
      </c>
      <c r="AM83" s="290" t="s">
        <v>25</v>
      </c>
      <c r="AN83" s="290" t="s">
        <v>25</v>
      </c>
      <c r="AO83" s="290"/>
      <c r="AP83" s="667" t="s">
        <v>1659</v>
      </c>
      <c r="AR83" s="436"/>
      <c r="AS83" s="318" t="n">
        <f>COUNTIFS(H83,"零期",I83,"在读")+COUNTIFS(L83,"零期",M83,"在读")+COUNTIFS(P83,"零期",Q83,"在读")</f>
        <v>3</v>
      </c>
      <c r="AT83" s="318" t="n">
        <f>AS83-AX83</f>
        <v>1</v>
      </c>
      <c r="AU83" s="292" t="s">
        <f>VLOOKUP(B83,'UV台帐'!B:AL,19,0)</f>
        <v>217</v>
      </c>
      <c r="AV83" s="292" t="s">
        <f>VLOOKUP(B83,'UV台帐'!B:AL,28,0)</f>
        <v>217</v>
      </c>
      <c r="AW83" s="292" t="s">
        <f>VLOOKUP(B83,'UV台帐'!B:AL,37,0)</f>
        <v>116</v>
      </c>
      <c r="AX83" s="318" t="n">
        <f>COUNTIFS(H83,"零期",AU83,"是")+COUNTIFS(L83,"零期",AV83,"是")+COUNTIFS(P83,"零期",AW83,"是")</f>
        <v>2</v>
      </c>
      <c r="AZ83" s="483" t="s">
        <v>1660</v>
      </c>
      <c r="BA83" s="197"/>
    </row>
    <row r="84" s="292" customFormat="1" ht="30" customHeight="1">
      <c r="A84" s="318" t="s">
        <v>54</v>
      </c>
      <c r="B84" s="318" t="n">
        <v>4534492760</v>
      </c>
      <c r="C84" s="114" t="s">
        <f>VLOOKUP(B84,'UV台帐'!B:AL,2,0)</f>
        <v>1243</v>
      </c>
      <c r="D84" s="114" t="s">
        <f>VLOOKUP(B84,'UV台帐'!B:AL,3,0)</f>
        <v>57</v>
      </c>
      <c r="E84" s="114" t="s">
        <f>VLOOKUP(B84,'UV台帐'!B:AL,13,0)</f>
        <v>31</v>
      </c>
      <c r="F84" s="114" t="s">
        <f>VLOOKUP(B84,'UV台帐'!B:AL,15,0)</f>
        <v>233</v>
      </c>
      <c r="G84" s="114" t="s">
        <f>VLOOKUP(B84,'UV台帐'!B:AL,16,0)</f>
        <v>234</v>
      </c>
      <c r="H84" s="114" t="s">
        <f>VLOOKUP(B84,'UV台帐'!B:AL,17,0)</f>
        <v>88</v>
      </c>
      <c r="I84" s="114" t="s">
        <f>VLOOKUP(B84,'UV台帐'!B:AL,18,0)</f>
        <v>165</v>
      </c>
      <c r="J84" s="114" t="s">
        <f>VLOOKUP(B84,'UV台帐'!B:AL,22,0)</f>
        <v>43</v>
      </c>
      <c r="K84" s="114" t="s">
        <f>VLOOKUP(B84,'UV台帐'!B:AL,24,0)</f>
        <v>215</v>
      </c>
      <c r="L84" s="114" t="s">
        <f>VLOOKUP(B84,'UV台帐'!B:AL,26,0)</f>
        <v>88</v>
      </c>
      <c r="M84" s="114" t="s">
        <f>VLOOKUP(B84,'UV台帐'!B:AL,27,0)</f>
        <v>165</v>
      </c>
      <c r="N84" s="114" t="s">
        <f>VLOOKUP(B84,'UV台帐'!B:AL,31,0)</f>
        <v>56</v>
      </c>
      <c r="O84" s="114" t="s">
        <f>VLOOKUP(B84,'UV台帐'!B:AL,33,0)</f>
        <v>216</v>
      </c>
      <c r="P84" s="114" t="s">
        <f>VLOOKUP(B84,'UV台帐'!B:AL,35,0)</f>
        <v>88</v>
      </c>
      <c r="Q84" s="114" t="s">
        <f>VLOOKUP(B84,'UV台帐'!B:AL,36,0)</f>
        <v>165</v>
      </c>
      <c r="R84" s="318"/>
      <c r="S84" s="318" t="s">
        <v>217</v>
      </c>
      <c r="T84" s="318" t="s">
        <v>217</v>
      </c>
      <c r="W84" s="318"/>
      <c r="X84" s="318"/>
      <c r="AA84" s="68" t="s">
        <v>56</v>
      </c>
      <c r="AB84" s="318" t="s">
        <v>217</v>
      </c>
      <c r="AC84" s="152" t="s">
        <v>1476</v>
      </c>
      <c r="AD84" s="104" t="s">
        <v>218</v>
      </c>
      <c r="AE84" s="318" t="s">
        <v>57</v>
      </c>
      <c r="AF84" s="318" t="n">
        <f>VLOOKUP(B84,'UV台帐'!B:G,6,0)</f>
        <v>0</v>
      </c>
      <c r="AG84" s="318" t="s">
        <v>1661</v>
      </c>
      <c r="AH84" s="318" t="s">
        <v>217</v>
      </c>
      <c r="AI84" s="241"/>
      <c r="AJ84" s="508" t="s">
        <v>1662</v>
      </c>
      <c r="AK84" s="508" t="s">
        <v>1662</v>
      </c>
      <c r="AL84" s="290" t="s">
        <v>28</v>
      </c>
      <c r="AM84" s="290"/>
      <c r="AN84" s="290" t="s">
        <v>28</v>
      </c>
      <c r="AO84" s="290" t="s">
        <v>28</v>
      </c>
      <c r="AP84" s="484" t="s">
        <v>1663</v>
      </c>
      <c r="AQ84" s="292" t="s">
        <v>217</v>
      </c>
      <c r="AR84" s="436"/>
      <c r="AS84" s="318" t="n">
        <f>COUNTIFS(H84,"零期",I84,"在读")+COUNTIFS(L84,"零期",M84,"在读")+COUNTIFS(P84,"零期",Q84,"在读")</f>
        <v>3</v>
      </c>
      <c r="AT84" s="318" t="n">
        <f>AS84-AX84</f>
        <v>2</v>
      </c>
      <c r="AU84" s="292" t="s">
        <f>VLOOKUP(B84,'UV台帐'!B:AL,19,0)</f>
        <v>217</v>
      </c>
      <c r="AV84" s="292" t="s">
        <f>VLOOKUP(B84,'UV台帐'!B:AL,28,0)</f>
        <v>116</v>
      </c>
      <c r="AW84" s="292" t="s">
        <f>VLOOKUP(B84,'UV台帐'!B:AL,37,0)</f>
        <v>116</v>
      </c>
      <c r="AX84" s="318" t="n">
        <f>COUNTIFS(H84,"零期",AU84,"是")+COUNTIFS(L84,"零期",AV84,"是")+COUNTIFS(P84,"零期",AW84,"是")</f>
        <v>1</v>
      </c>
      <c r="AZ84" s="483"/>
      <c r="BA84" s="197"/>
    </row>
    <row r="85" s="292" customFormat="1" ht="30" customHeight="1">
      <c r="A85" s="318" t="s">
        <v>45</v>
      </c>
      <c r="B85" s="318" t="n">
        <v>4594246595</v>
      </c>
      <c r="C85" s="114" t="s">
        <f>VLOOKUP(B85,'UV台帐'!B:AL,2,0)</f>
        <v>1226</v>
      </c>
      <c r="D85" s="114" t="s">
        <f>VLOOKUP(B85,'UV台帐'!B:AL,3,0)</f>
        <v>46</v>
      </c>
      <c r="E85" s="114" t="s">
        <f>VLOOKUP(B85,'UV台帐'!B:AL,13,0)</f>
        <v>37</v>
      </c>
      <c r="F85" s="114" t="s">
        <f>VLOOKUP(B85,'UV台帐'!B:AL,15,0)</f>
        <v>215</v>
      </c>
      <c r="G85" s="114" t="s">
        <f>VLOOKUP(B85,'UV台帐'!B:AL,16,0)</f>
        <v>283</v>
      </c>
      <c r="H85" s="114" t="s">
        <f>VLOOKUP(B85,'UV台帐'!B:AL,17,0)</f>
        <v>88</v>
      </c>
      <c r="I85" s="114" t="s">
        <f>VLOOKUP(B85,'UV台帐'!B:AL,18,0)</f>
        <v>165</v>
      </c>
      <c r="J85" s="114" t="s">
        <f>VLOOKUP(B85,'UV台帐'!B:AL,22,0)</f>
        <v>49</v>
      </c>
      <c r="K85" s="114" t="s">
        <f>VLOOKUP(B85,'UV台帐'!B:AL,24,0)</f>
        <v>216</v>
      </c>
      <c r="L85" s="114" t="s">
        <f>VLOOKUP(B85,'UV台帐'!B:AL,26,0)</f>
        <v>88</v>
      </c>
      <c r="M85" s="114" t="s">
        <f>VLOOKUP(B85,'UV台帐'!B:AL,27,0)</f>
        <v>165</v>
      </c>
      <c r="N85" s="114" t="s">
        <f>VLOOKUP(B85,'UV台帐'!B:AL,31,0)</f>
        <v>52</v>
      </c>
      <c r="O85" s="114" t="s">
        <f>VLOOKUP(B85,'UV台帐'!B:AL,33,0)</f>
        <v>233</v>
      </c>
      <c r="P85" s="114" t="s">
        <f>VLOOKUP(B85,'UV台帐'!B:AL,35,0)</f>
        <v>88</v>
      </c>
      <c r="Q85" s="114" t="s">
        <f>VLOOKUP(B85,'UV台帐'!B:AL,36,0)</f>
        <v>165</v>
      </c>
      <c r="R85" s="318"/>
      <c r="S85" s="318" t="s">
        <v>218</v>
      </c>
      <c r="T85" s="318" t="s">
        <v>218</v>
      </c>
      <c r="W85" s="318" t="s">
        <v>49</v>
      </c>
      <c r="X85" s="318"/>
      <c r="Y85" s="318" t="s">
        <v>37</v>
      </c>
      <c r="Z85" s="318"/>
      <c r="AA85" s="68" t="s">
        <v>49</v>
      </c>
      <c r="AB85" s="7" t="s">
        <v>217</v>
      </c>
      <c r="AC85" s="104" t="s">
        <v>1664</v>
      </c>
      <c r="AD85" s="104" t="s">
        <v>217</v>
      </c>
      <c r="AE85" s="318" t="s">
        <v>46</v>
      </c>
      <c r="AF85" s="318" t="n">
        <f>VLOOKUP(B85,'UV台帐'!B:G,6,0)</f>
        <v>0</v>
      </c>
      <c r="AG85" s="318" t="s">
        <v>597</v>
      </c>
      <c r="AH85" s="318" t="s">
        <v>217</v>
      </c>
      <c r="AI85" s="241" t="s">
        <v>1665</v>
      </c>
      <c r="AJ85" s="508" t="s">
        <v>1666</v>
      </c>
      <c r="AK85" s="508" t="s">
        <v>1666</v>
      </c>
      <c r="AL85" s="290" t="s">
        <v>27</v>
      </c>
      <c r="AM85" s="290"/>
      <c r="AN85" s="290"/>
      <c r="AO85" s="290"/>
      <c r="AP85" s="484"/>
      <c r="AR85" s="436"/>
      <c r="AS85" s="318" t="n">
        <f>COUNTIFS(H85,"零期",I85,"在读")+COUNTIFS(L85,"零期",M85,"在读")+COUNTIFS(P85,"零期",Q85,"在读")</f>
        <v>3</v>
      </c>
      <c r="AT85" s="318" t="n">
        <f>AS85-AX85</f>
        <v>3</v>
      </c>
      <c r="AU85" s="292" t="s">
        <f>VLOOKUP(B85,'UV台帐'!B:AL,19,0)</f>
        <v>116</v>
      </c>
      <c r="AV85" s="292" t="s">
        <f>VLOOKUP(B85,'UV台帐'!B:AL,28,0)</f>
        <v>116</v>
      </c>
      <c r="AW85" s="292" t="s">
        <f>VLOOKUP(B85,'UV台帐'!B:AL,37,0)</f>
        <v>116</v>
      </c>
      <c r="AX85" s="318" t="n">
        <f>COUNTIFS(H85,"零期",AU85,"是")+COUNTIFS(L85,"零期",AV85,"是")+COUNTIFS(P85,"零期",AW85,"是")</f>
        <v>0</v>
      </c>
      <c r="AZ85" s="483" t="s">
        <v>1667</v>
      </c>
      <c r="BA85" s="197"/>
    </row>
    <row r="86" s="292" customFormat="1" ht="30" customHeight="1">
      <c r="A86" s="318" t="s">
        <v>54</v>
      </c>
      <c r="B86" s="318" t="n">
        <v>4607796539</v>
      </c>
      <c r="C86" s="114" t="s">
        <f>VLOOKUP(B86,'UV台帐'!B:AL,2,0)</f>
        <v>1158</v>
      </c>
      <c r="D86" s="114" t="s">
        <f>VLOOKUP(B86,'UV台帐'!B:AL,3,0)</f>
        <v>57</v>
      </c>
      <c r="E86" s="114" t="s">
        <f>VLOOKUP(B86,'UV台帐'!B:AL,13,0)</f>
        <v>37</v>
      </c>
      <c r="F86" s="114" t="s">
        <f>VLOOKUP(B86,'UV台帐'!B:AL,15,0)</f>
        <v>216</v>
      </c>
      <c r="G86" s="114" t="s">
        <f>VLOOKUP(B86,'UV台帐'!B:AL,16,0)</f>
        <v>283</v>
      </c>
      <c r="H86" s="114" t="s">
        <f>VLOOKUP(B86,'UV台帐'!B:AL,17,0)</f>
        <v>88</v>
      </c>
      <c r="I86" s="114" t="s">
        <f>VLOOKUP(B86,'UV台帐'!B:AL,18,0)</f>
        <v>165</v>
      </c>
      <c r="J86" s="114" t="s">
        <f>VLOOKUP(B86,'UV台帐'!B:AL,22,0)</f>
        <v>47</v>
      </c>
      <c r="K86" s="114" t="s">
        <f>VLOOKUP(B86,'UV台帐'!B:AL,24,0)</f>
        <v>215</v>
      </c>
      <c r="L86" s="114" t="s">
        <f>VLOOKUP(B86,'UV台帐'!B:AL,26,0)</f>
        <v>88</v>
      </c>
      <c r="M86" s="114" t="s">
        <f>VLOOKUP(B86,'UV台帐'!B:AL,27,0)</f>
        <v>165</v>
      </c>
      <c r="N86" s="114" t="s">
        <f>VLOOKUP(B86,'UV台帐'!B:AL,31,0)</f>
        <v>56</v>
      </c>
      <c r="O86" s="114" t="s">
        <f>VLOOKUP(B86,'UV台帐'!B:AL,33,0)</f>
        <v>233</v>
      </c>
      <c r="P86" s="114" t="s">
        <f>VLOOKUP(B86,'UV台帐'!B:AL,35,0)</f>
        <v>88</v>
      </c>
      <c r="Q86" s="114" t="s">
        <f>VLOOKUP(B86,'UV台帐'!B:AL,36,0)</f>
        <v>165</v>
      </c>
      <c r="R86" s="318"/>
      <c r="S86" s="318" t="s">
        <v>217</v>
      </c>
      <c r="T86" s="318" t="s">
        <v>218</v>
      </c>
      <c r="U86" s="318" t="s">
        <v>37</v>
      </c>
      <c r="V86" s="318"/>
      <c r="W86" s="318"/>
      <c r="X86" s="318"/>
      <c r="Y86" s="114"/>
      <c r="Z86" s="114"/>
      <c r="AA86" s="68" t="s">
        <v>56</v>
      </c>
      <c r="AB86" s="318" t="s">
        <v>218</v>
      </c>
      <c r="AC86" s="318"/>
      <c r="AD86" s="104" t="s">
        <v>218</v>
      </c>
      <c r="AE86" s="318" t="s">
        <v>57</v>
      </c>
      <c r="AF86" s="318" t="n">
        <f>VLOOKUP(B86,'UV台帐'!B:G,6,0)</f>
        <v>0</v>
      </c>
      <c r="AG86" s="318" t="s">
        <v>1668</v>
      </c>
      <c r="AH86" s="318" t="s">
        <v>217</v>
      </c>
      <c r="AI86" s="241"/>
      <c r="AJ86" s="508" t="s">
        <v>1669</v>
      </c>
      <c r="AK86" s="508" t="s">
        <v>1669</v>
      </c>
      <c r="AL86" s="290" t="s">
        <v>28</v>
      </c>
      <c r="AM86" s="290" t="s">
        <v>28</v>
      </c>
      <c r="AN86" s="290" t="s">
        <v>28</v>
      </c>
      <c r="AO86" s="290" t="s">
        <v>28</v>
      </c>
      <c r="AP86" s="484" t="s">
        <v>1670</v>
      </c>
      <c r="AQ86" s="292" t="s">
        <v>217</v>
      </c>
      <c r="AR86" s="436"/>
      <c r="AS86" s="318" t="n">
        <f>COUNTIFS(H86,"零期",I86,"在读")+COUNTIFS(L86,"零期",M86,"在读")+COUNTIFS(P86,"零期",Q86,"在读")</f>
        <v>3</v>
      </c>
      <c r="AT86" s="318" t="n">
        <f>AS86-AX86</f>
        <v>3</v>
      </c>
      <c r="AU86" s="292" t="s">
        <f>VLOOKUP(B86,'UV台帐'!B:AL,19,0)</f>
        <v>116</v>
      </c>
      <c r="AV86" s="292" t="s">
        <f>VLOOKUP(B86,'UV台帐'!B:AL,28,0)</f>
        <v>116</v>
      </c>
      <c r="AW86" s="292" t="s">
        <f>VLOOKUP(B86,'UV台帐'!B:AL,37,0)</f>
        <v>116</v>
      </c>
      <c r="AX86" s="318" t="n">
        <f>COUNTIFS(H86,"零期",AU86,"是")+COUNTIFS(L86,"零期",AV86,"是")+COUNTIFS(P86,"零期",AW86,"是")</f>
        <v>0</v>
      </c>
      <c r="AZ86" s="483"/>
      <c r="BA86" s="197"/>
    </row>
    <row r="87" s="292" customFormat="1" ht="30" customHeight="1">
      <c r="A87" s="318" t="s">
        <v>54</v>
      </c>
      <c r="B87" s="318" t="n">
        <v>4613006507</v>
      </c>
      <c r="C87" s="114" t="s">
        <f>VLOOKUP(B87,'UV台帐'!B:AL,2,0)</f>
        <v>1333</v>
      </c>
      <c r="D87" s="114" t="s">
        <f>VLOOKUP(B87,'UV台帐'!B:AL,3,0)</f>
        <v>57</v>
      </c>
      <c r="E87" s="114" t="s">
        <f>VLOOKUP(B87,'UV台帐'!B:AL,13,0)</f>
        <v>37</v>
      </c>
      <c r="F87" s="114" t="s">
        <f>VLOOKUP(B87,'UV台帐'!B:AL,15,0)</f>
        <v>216</v>
      </c>
      <c r="G87" s="114" t="s">
        <f>VLOOKUP(B87,'UV台帐'!B:AL,16,0)</f>
        <v>283</v>
      </c>
      <c r="H87" s="114" t="s">
        <f>VLOOKUP(B87,'UV台帐'!B:AL,17,0)</f>
        <v>88</v>
      </c>
      <c r="I87" s="114" t="s">
        <f>VLOOKUP(B87,'UV台帐'!B:AL,18,0)</f>
        <v>165</v>
      </c>
      <c r="J87" s="114" t="s">
        <f>VLOOKUP(B87,'UV台帐'!B:AL,22,0)</f>
        <v>47</v>
      </c>
      <c r="K87" s="114" t="s">
        <f>VLOOKUP(B87,'UV台帐'!B:AL,24,0)</f>
        <v>215</v>
      </c>
      <c r="L87" s="114" t="s">
        <f>VLOOKUP(B87,'UV台帐'!B:AL,26,0)</f>
        <v>88</v>
      </c>
      <c r="M87" s="114" t="s">
        <f>VLOOKUP(B87,'UV台帐'!B:AL,27,0)</f>
        <v>165</v>
      </c>
      <c r="N87" s="114" t="s">
        <f>VLOOKUP(B87,'UV台帐'!B:AL,31,0)</f>
        <v>56</v>
      </c>
      <c r="O87" s="114" t="s">
        <f>VLOOKUP(B87,'UV台帐'!B:AL,33,0)</f>
        <v>233</v>
      </c>
      <c r="P87" s="114" t="s">
        <f>VLOOKUP(B87,'UV台帐'!B:AL,35,0)</f>
        <v>88</v>
      </c>
      <c r="Q87" s="114" t="s">
        <f>VLOOKUP(B87,'UV台帐'!B:AL,36,0)</f>
        <v>165</v>
      </c>
      <c r="R87" s="318"/>
      <c r="S87" s="318" t="s">
        <v>217</v>
      </c>
      <c r="T87" s="318" t="s">
        <v>217</v>
      </c>
      <c r="W87" s="318" t="s">
        <v>1671</v>
      </c>
      <c r="X87" s="318"/>
      <c r="Y87" s="318"/>
      <c r="Z87" s="318"/>
      <c r="AA87" s="68" t="s">
        <v>37</v>
      </c>
      <c r="AB87" s="318" t="s">
        <v>217</v>
      </c>
      <c r="AC87" s="149" t="s">
        <v>1672</v>
      </c>
      <c r="AD87" s="104" t="s">
        <v>217</v>
      </c>
      <c r="AE87" s="318" t="s">
        <v>57</v>
      </c>
      <c r="AF87" s="318" t="n">
        <f>VLOOKUP(B87,'UV台帐'!B:G,6,0)</f>
        <v>0</v>
      </c>
      <c r="AG87" s="318" t="s">
        <v>473</v>
      </c>
      <c r="AH87" s="318" t="s">
        <v>217</v>
      </c>
      <c r="AI87" s="241" t="s">
        <v>1525</v>
      </c>
      <c r="AJ87" s="508" t="s">
        <v>1673</v>
      </c>
      <c r="AK87" s="508" t="s">
        <v>1673</v>
      </c>
      <c r="AL87" s="290" t="s">
        <v>27</v>
      </c>
      <c r="AM87" s="290" t="s">
        <v>27</v>
      </c>
      <c r="AN87" s="290" t="s">
        <v>27</v>
      </c>
      <c r="AO87" s="290" t="s">
        <v>27</v>
      </c>
      <c r="AP87" s="484" t="s">
        <v>1673</v>
      </c>
      <c r="AQ87" s="292" t="s">
        <v>217</v>
      </c>
      <c r="AR87" s="436"/>
      <c r="AS87" s="318" t="n">
        <f>COUNTIFS(H87,"零期",I87,"在读")+COUNTIFS(L87,"零期",M87,"在读")+COUNTIFS(P87,"零期",Q87,"在读")</f>
        <v>3</v>
      </c>
      <c r="AT87" s="318" t="n">
        <f>AS87-AX87</f>
        <v>0</v>
      </c>
      <c r="AU87" s="292" t="s">
        <f>VLOOKUP(B87,'UV台帐'!B:AL,19,0)</f>
        <v>217</v>
      </c>
      <c r="AV87" s="292" t="s">
        <f>VLOOKUP(B87,'UV台帐'!B:AL,28,0)</f>
        <v>217</v>
      </c>
      <c r="AW87" s="292" t="s">
        <f>VLOOKUP(B87,'UV台帐'!B:AL,37,0)</f>
        <v>217</v>
      </c>
      <c r="AX87" s="318" t="n">
        <f>COUNTIFS(H87,"零期",AU87,"是")+COUNTIFS(L87,"零期",AV87,"是")+COUNTIFS(P87,"零期",AW87,"是")</f>
        <v>3</v>
      </c>
      <c r="AZ87" s="483" t="s">
        <v>1674</v>
      </c>
      <c r="BA87" s="197"/>
    </row>
    <row r="88" s="292" customFormat="1" ht="30" customHeight="1">
      <c r="A88" s="318" t="s">
        <v>45</v>
      </c>
      <c r="B88" s="318" t="n">
        <v>4613866328</v>
      </c>
      <c r="C88" s="114" t="s">
        <f>VLOOKUP(B88,'UV台帐'!B:AL,2,0)</f>
        <v>1335</v>
      </c>
      <c r="D88" s="114" t="s">
        <f>VLOOKUP(B88,'UV台帐'!B:AL,3,0)</f>
        <v>48</v>
      </c>
      <c r="E88" s="114" t="s">
        <f>VLOOKUP(B88,'UV台帐'!B:AL,13,0)</f>
        <v>37</v>
      </c>
      <c r="F88" s="114" t="s">
        <f>VLOOKUP(B88,'UV台帐'!B:AL,15,0)</f>
        <v>215</v>
      </c>
      <c r="G88" s="114" t="s">
        <f>VLOOKUP(B88,'UV台帐'!B:AL,16,0)</f>
        <v>283</v>
      </c>
      <c r="H88" s="114" t="s">
        <f>VLOOKUP(B88,'UV台帐'!B:AL,17,0)</f>
        <v>88</v>
      </c>
      <c r="I88" s="114" t="s">
        <f>VLOOKUP(B88,'UV台帐'!B:AL,18,0)</f>
        <v>165</v>
      </c>
      <c r="J88" s="114" t="s">
        <f>VLOOKUP(B88,'UV台帐'!B:AL,22,0)</f>
        <v>49</v>
      </c>
      <c r="K88" s="114" t="s">
        <f>VLOOKUP(B88,'UV台帐'!B:AL,24,0)</f>
        <v>216</v>
      </c>
      <c r="L88" s="114" t="s">
        <f>VLOOKUP(B88,'UV台帐'!B:AL,26,0)</f>
        <v>88</v>
      </c>
      <c r="M88" s="114" t="s">
        <f>VLOOKUP(B88,'UV台帐'!B:AL,27,0)</f>
        <v>165</v>
      </c>
      <c r="N88" s="114" t="s">
        <f>VLOOKUP(B88,'UV台帐'!B:AL,31,0)</f>
        <v>52</v>
      </c>
      <c r="O88" s="114" t="s">
        <f>VLOOKUP(B88,'UV台帐'!B:AL,33,0)</f>
        <v>233</v>
      </c>
      <c r="P88" s="114" t="s">
        <f>VLOOKUP(B88,'UV台帐'!B:AL,35,0)</f>
        <v>88</v>
      </c>
      <c r="Q88" s="114" t="s">
        <f>VLOOKUP(B88,'UV台帐'!B:AL,36,0)</f>
        <v>165</v>
      </c>
      <c r="R88" s="318"/>
      <c r="S88" s="318" t="s">
        <v>217</v>
      </c>
      <c r="T88" s="318" t="s">
        <v>217</v>
      </c>
      <c r="U88" s="318"/>
      <c r="V88" s="318"/>
      <c r="W88" s="318" t="s">
        <v>49</v>
      </c>
      <c r="X88" s="318"/>
      <c r="Y88" s="318" t="s">
        <v>1656</v>
      </c>
      <c r="Z88" s="318"/>
      <c r="AA88" s="68" t="s">
        <v>49</v>
      </c>
      <c r="AB88" s="7" t="s">
        <v>217</v>
      </c>
      <c r="AC88" s="104" t="s">
        <v>1631</v>
      </c>
      <c r="AD88" s="104" t="s">
        <v>217</v>
      </c>
      <c r="AE88" s="318" t="s">
        <v>48</v>
      </c>
      <c r="AF88" s="318" t="n">
        <f>VLOOKUP(B88,'UV台帐'!B:G,6,0)</f>
        <v>0</v>
      </c>
      <c r="AG88" s="318" t="s">
        <v>325</v>
      </c>
      <c r="AH88" s="318" t="s">
        <v>217</v>
      </c>
      <c r="AI88" s="241" t="s">
        <v>1675</v>
      </c>
      <c r="AJ88" s="508" t="s">
        <v>1676</v>
      </c>
      <c r="AK88" s="508" t="s">
        <v>1676</v>
      </c>
      <c r="AL88" s="290" t="s">
        <v>28</v>
      </c>
      <c r="AM88" s="290" t="s">
        <v>28</v>
      </c>
      <c r="AN88" s="290" t="s">
        <v>29</v>
      </c>
      <c r="AO88" s="290"/>
      <c r="AP88" s="484" t="s">
        <v>1677</v>
      </c>
      <c r="AQ88" s="292" t="s">
        <v>217</v>
      </c>
      <c r="AR88" s="436"/>
      <c r="AS88" s="318" t="n">
        <f>COUNTIFS(H88,"零期",I88,"在读")+COUNTIFS(L88,"零期",M88,"在读")+COUNTIFS(P88,"零期",Q88,"在读")</f>
        <v>3</v>
      </c>
      <c r="AT88" s="318" t="n">
        <f>AS88-AX88</f>
        <v>3</v>
      </c>
      <c r="AU88" s="292" t="s">
        <f>VLOOKUP(B88,'UV台帐'!B:AL,19,0)</f>
        <v>116</v>
      </c>
      <c r="AV88" s="292" t="s">
        <f>VLOOKUP(B88,'UV台帐'!B:AL,28,0)</f>
        <v>116</v>
      </c>
      <c r="AW88" s="292" t="s">
        <f>VLOOKUP(B88,'UV台帐'!B:AL,37,0)</f>
        <v>116</v>
      </c>
      <c r="AX88" s="318" t="n">
        <f>COUNTIFS(H88,"零期",AU88,"是")+COUNTIFS(L88,"零期",AV88,"是")+COUNTIFS(P88,"零期",AW88,"是")</f>
        <v>0</v>
      </c>
      <c r="AY88" s="5"/>
      <c r="AZ88" s="496" t="s">
        <v>1678</v>
      </c>
      <c r="BA88" s="197"/>
    </row>
    <row r="89" s="292" customFormat="1" ht="30" customHeight="1">
      <c r="A89" s="318" t="s">
        <v>54</v>
      </c>
      <c r="B89" s="318" t="n">
        <v>4616206863</v>
      </c>
      <c r="C89" s="114" t="s">
        <f>VLOOKUP(B89,'UV台帐'!B:AL,2,0)</f>
        <v>1308</v>
      </c>
      <c r="D89" s="114" t="s">
        <f>VLOOKUP(B89,'UV台帐'!B:AL,3,0)</f>
        <v>57</v>
      </c>
      <c r="E89" s="114" t="s">
        <f>VLOOKUP(B89,'UV台帐'!B:AL,13,0)</f>
        <v>31</v>
      </c>
      <c r="F89" s="114" t="s">
        <f>VLOOKUP(B89,'UV台帐'!B:AL,15,0)</f>
        <v>233</v>
      </c>
      <c r="G89" s="114" t="s">
        <f>VLOOKUP(B89,'UV台帐'!B:AL,16,0)</f>
        <v>234</v>
      </c>
      <c r="H89" s="114" t="s">
        <f>VLOOKUP(B89,'UV台帐'!B:AL,17,0)</f>
        <v>88</v>
      </c>
      <c r="I89" s="114" t="s">
        <f>VLOOKUP(B89,'UV台帐'!B:AL,18,0)</f>
        <v>165</v>
      </c>
      <c r="J89" s="114" t="s">
        <f>VLOOKUP(B89,'UV台帐'!B:AL,22,0)</f>
        <v>43</v>
      </c>
      <c r="K89" s="114" t="s">
        <f>VLOOKUP(B89,'UV台帐'!B:AL,24,0)</f>
        <v>215</v>
      </c>
      <c r="L89" s="114" t="s">
        <f>VLOOKUP(B89,'UV台帐'!B:AL,26,0)</f>
        <v>88</v>
      </c>
      <c r="M89" s="114" t="s">
        <f>VLOOKUP(B89,'UV台帐'!B:AL,27,0)</f>
        <v>165</v>
      </c>
      <c r="N89" s="114" t="s">
        <f>VLOOKUP(B89,'UV台帐'!B:AL,31,0)</f>
        <v>56</v>
      </c>
      <c r="O89" s="114" t="s">
        <f>VLOOKUP(B89,'UV台帐'!B:AL,33,0)</f>
        <v>216</v>
      </c>
      <c r="P89" s="114" t="s">
        <f>VLOOKUP(B89,'UV台帐'!B:AL,35,0)</f>
        <v>88</v>
      </c>
      <c r="Q89" s="114" t="s">
        <f>VLOOKUP(B89,'UV台帐'!B:AL,36,0)</f>
        <v>165</v>
      </c>
      <c r="R89" s="318"/>
      <c r="S89" s="318" t="s">
        <v>218</v>
      </c>
      <c r="T89" s="318" t="s">
        <v>218</v>
      </c>
      <c r="W89" s="318"/>
      <c r="X89" s="318"/>
      <c r="Y89" s="318"/>
      <c r="Z89" s="318"/>
      <c r="AA89" s="76" t="s">
        <v>43</v>
      </c>
      <c r="AB89" s="476" t="s">
        <v>218</v>
      </c>
      <c r="AC89" s="318"/>
      <c r="AD89" s="104" t="s">
        <v>218</v>
      </c>
      <c r="AE89" s="318" t="s">
        <v>57</v>
      </c>
      <c r="AF89" s="318" t="n">
        <f>VLOOKUP(B89,'UV台帐'!B:G,6,0)</f>
        <v>0</v>
      </c>
      <c r="AG89" s="318" t="s">
        <v>473</v>
      </c>
      <c r="AH89" s="318" t="s">
        <v>217</v>
      </c>
      <c r="AI89" s="241" t="s">
        <v>1525</v>
      </c>
      <c r="AJ89" s="508" t="s">
        <v>1679</v>
      </c>
      <c r="AK89" s="508" t="s">
        <v>1679</v>
      </c>
      <c r="AL89" s="290" t="s">
        <v>28</v>
      </c>
      <c r="AM89" s="290" t="s">
        <v>28</v>
      </c>
      <c r="AN89" s="290" t="s">
        <v>28</v>
      </c>
      <c r="AO89" s="290" t="s">
        <v>28</v>
      </c>
      <c r="AP89" s="484" t="s">
        <v>1680</v>
      </c>
      <c r="AR89" s="436"/>
      <c r="AS89" s="318" t="n">
        <f>COUNTIFS(H89,"零期",I89,"在读")+COUNTIFS(L89,"零期",M89,"在读")+COUNTIFS(P89,"零期",Q89,"在读")</f>
        <v>3</v>
      </c>
      <c r="AT89" s="318" t="n">
        <f>AS89-AX89</f>
        <v>3</v>
      </c>
      <c r="AU89" s="292" t="s">
        <f>VLOOKUP(B89,'UV台帐'!B:AL,19,0)</f>
        <v>116</v>
      </c>
      <c r="AV89" s="292" t="s">
        <f>VLOOKUP(B89,'UV台帐'!B:AL,28,0)</f>
        <v>116</v>
      </c>
      <c r="AW89" s="292" t="s">
        <f>VLOOKUP(B89,'UV台帐'!B:AL,37,0)</f>
        <v>116</v>
      </c>
      <c r="AX89" s="318" t="n">
        <f>COUNTIFS(H89,"零期",AU89,"是")+COUNTIFS(L89,"零期",AV89,"是")+COUNTIFS(P89,"零期",AW89,"是")</f>
        <v>0</v>
      </c>
      <c r="AZ89" s="483"/>
      <c r="BA89" s="197"/>
    </row>
    <row r="90" s="292" customFormat="1" ht="30" customHeight="1">
      <c r="A90" s="318" t="s">
        <v>45</v>
      </c>
      <c r="B90" s="318" t="n">
        <v>4628703443</v>
      </c>
      <c r="C90" s="114" t="s">
        <f>VLOOKUP(B90,'UV台帐'!B:AL,2,0)</f>
        <v>1231</v>
      </c>
      <c r="D90" s="114" t="s">
        <f>VLOOKUP(B90,'UV台帐'!B:AL,3,0)</f>
        <v>46</v>
      </c>
      <c r="E90" s="114" t="s">
        <f>VLOOKUP(B90,'UV台帐'!B:AL,13,0)</f>
        <v>31</v>
      </c>
      <c r="F90" s="114" t="s">
        <f>VLOOKUP(B90,'UV台帐'!B:AL,15,0)</f>
        <v>246</v>
      </c>
      <c r="G90" s="114" t="s">
        <f>VLOOKUP(B90,'UV台帐'!B:AL,16,0)</f>
        <v>234</v>
      </c>
      <c r="H90" s="114" t="s">
        <f>VLOOKUP(B90,'UV台帐'!B:AL,17,0)</f>
        <v>88</v>
      </c>
      <c r="I90" s="114" t="s">
        <f>VLOOKUP(B90,'UV台帐'!B:AL,18,0)</f>
        <v>165</v>
      </c>
      <c r="J90" s="114" t="s">
        <f>VLOOKUP(B90,'UV台帐'!B:AL,22,0)</f>
        <v>116</v>
      </c>
      <c r="K90" s="114" t="s">
        <f>VLOOKUP(B90,'UV台帐'!B:AL,24,0)</f>
        <v>116</v>
      </c>
      <c r="L90" s="114" t="s">
        <f>VLOOKUP(B90,'UV台帐'!B:AL,26,0)</f>
        <v>116</v>
      </c>
      <c r="M90" s="114" t="s">
        <f>VLOOKUP(B90,'UV台帐'!B:AL,27,0)</f>
        <v>116</v>
      </c>
      <c r="N90" s="114" t="s">
        <f>VLOOKUP(B90,'UV台帐'!B:AL,31,0)</f>
        <v>52</v>
      </c>
      <c r="O90" s="114" t="s">
        <f>VLOOKUP(B90,'UV台帐'!B:AL,33,0)</f>
        <v>215</v>
      </c>
      <c r="P90" s="114" t="s">
        <f>VLOOKUP(B90,'UV台帐'!B:AL,35,0)</f>
        <v>88</v>
      </c>
      <c r="Q90" s="114" t="s">
        <f>VLOOKUP(B90,'UV台帐'!B:AL,36,0)</f>
        <v>165</v>
      </c>
      <c r="R90" s="318"/>
      <c r="S90" s="318" t="s">
        <v>217</v>
      </c>
      <c r="T90" s="318" t="s">
        <v>218</v>
      </c>
      <c r="W90" s="318"/>
      <c r="X90" s="318"/>
      <c r="Y90" s="318" t="s">
        <v>52</v>
      </c>
      <c r="Z90" s="318"/>
      <c r="AA90" s="75" t="s">
        <v>31</v>
      </c>
      <c r="AB90" s="318" t="s">
        <v>217</v>
      </c>
      <c r="AC90" s="81" t="s">
        <v>1681</v>
      </c>
      <c r="AD90" s="114" t="s">
        <v>217</v>
      </c>
      <c r="AE90" s="318" t="s">
        <v>46</v>
      </c>
      <c r="AF90" s="318" t="n">
        <f>VLOOKUP(B90,'UV台帐'!B:G,6,0)</f>
        <v>0</v>
      </c>
      <c r="AG90" s="318"/>
      <c r="AH90" s="318" t="s">
        <v>217</v>
      </c>
      <c r="AI90" s="241" t="s">
        <v>1682</v>
      </c>
      <c r="AJ90" s="668" t="s">
        <v>1683</v>
      </c>
      <c r="AK90" s="669" t="s">
        <v>1684</v>
      </c>
      <c r="AL90" s="290" t="s">
        <v>25</v>
      </c>
      <c r="AM90" s="290"/>
      <c r="AN90" s="290"/>
      <c r="AO90" s="290" t="s">
        <v>27</v>
      </c>
      <c r="AP90" s="484"/>
      <c r="AQ90" s="292" t="s">
        <v>217</v>
      </c>
      <c r="AR90" s="436" t="s">
        <v>1685</v>
      </c>
      <c r="AS90" s="318" t="n">
        <f>COUNTIFS(H90,"零期",I90,"在读")+COUNTIFS(L90,"零期",M90,"在读")+COUNTIFS(P90,"零期",Q90,"在读")</f>
        <v>2</v>
      </c>
      <c r="AT90" s="318" t="n">
        <f>AS90-AX90</f>
        <v>0</v>
      </c>
      <c r="AU90" s="292" t="s">
        <f>VLOOKUP(B90,'UV台帐'!B:AL,19,0)</f>
        <v>217</v>
      </c>
      <c r="AV90" s="292" t="s">
        <f>VLOOKUP(B90,'UV台帐'!B:AL,28,0)</f>
        <v>116</v>
      </c>
      <c r="AW90" s="292" t="s">
        <f>VLOOKUP(B90,'UV台帐'!B:AL,37,0)</f>
        <v>217</v>
      </c>
      <c r="AX90" s="318" t="n">
        <f>COUNTIFS(H90,"零期",AU90,"是")+COUNTIFS(L90,"零期",AV90,"是")+COUNTIFS(P90,"零期",AW90,"是")</f>
        <v>2</v>
      </c>
      <c r="AZ90" s="483" t="s">
        <v>1686</v>
      </c>
      <c r="BA90" s="197"/>
    </row>
    <row r="91" s="292" customFormat="1" ht="30" customHeight="1">
      <c r="A91" s="318" t="s">
        <v>45</v>
      </c>
      <c r="B91" s="318" t="n">
        <v>4634094018</v>
      </c>
      <c r="C91" s="114" t="s">
        <f>VLOOKUP(B91,'UV台帐'!B:AL,2,0)</f>
        <v>1239</v>
      </c>
      <c r="D91" s="114" t="s">
        <f>VLOOKUP(B91,'UV台帐'!B:AL,3,0)</f>
        <v>46</v>
      </c>
      <c r="E91" s="114" t="s">
        <f>VLOOKUP(B91,'UV台帐'!B:AL,13,0)</f>
        <v>37</v>
      </c>
      <c r="F91" s="114" t="s">
        <f>VLOOKUP(B91,'UV台帐'!B:AL,15,0)</f>
        <v>215</v>
      </c>
      <c r="G91" s="114" t="s">
        <f>VLOOKUP(B91,'UV台帐'!B:AL,16,0)</f>
        <v>283</v>
      </c>
      <c r="H91" s="114" t="s">
        <f>VLOOKUP(B91,'UV台帐'!B:AL,17,0)</f>
        <v>88</v>
      </c>
      <c r="I91" s="114" t="s">
        <f>VLOOKUP(B91,'UV台帐'!B:AL,18,0)</f>
        <v>444</v>
      </c>
      <c r="J91" s="114" t="s">
        <f>VLOOKUP(B91,'UV台帐'!B:AL,22,0)</f>
        <v>49</v>
      </c>
      <c r="K91" s="114" t="s">
        <f>VLOOKUP(B91,'UV台帐'!B:AL,24,0)</f>
        <v>216</v>
      </c>
      <c r="L91" s="114" t="s">
        <f>VLOOKUP(B91,'UV台帐'!B:AL,26,0)</f>
        <v>88</v>
      </c>
      <c r="M91" s="114" t="s">
        <f>VLOOKUP(B91,'UV台帐'!B:AL,27,0)</f>
        <v>165</v>
      </c>
      <c r="N91" s="114" t="s">
        <f>VLOOKUP(B91,'UV台帐'!B:AL,31,0)</f>
        <v>52</v>
      </c>
      <c r="O91" s="114" t="s">
        <f>VLOOKUP(B91,'UV台帐'!B:AL,33,0)</f>
        <v>215</v>
      </c>
      <c r="P91" s="114" t="s">
        <f>VLOOKUP(B91,'UV台帐'!B:AL,35,0)</f>
        <v>88</v>
      </c>
      <c r="Q91" s="114" t="s">
        <f>VLOOKUP(B91,'UV台帐'!B:AL,36,0)</f>
        <v>165</v>
      </c>
      <c r="R91" s="318"/>
      <c r="S91" s="318" t="s">
        <v>218</v>
      </c>
      <c r="T91" s="318" t="s">
        <v>218</v>
      </c>
      <c r="W91" s="318" t="s">
        <v>49</v>
      </c>
      <c r="X91" s="318"/>
      <c r="Y91" s="318"/>
      <c r="Z91" s="318"/>
      <c r="AA91" s="68" t="s">
        <v>52</v>
      </c>
      <c r="AB91" s="318" t="s">
        <v>217</v>
      </c>
      <c r="AC91" s="104" t="s">
        <v>34</v>
      </c>
      <c r="AD91" s="104" t="s">
        <v>217</v>
      </c>
      <c r="AE91" s="318" t="s">
        <v>46</v>
      </c>
      <c r="AF91" s="318" t="n">
        <f>VLOOKUP(B91,'UV台帐'!B:G,6,0)</f>
        <v>0</v>
      </c>
      <c r="AG91" s="318"/>
      <c r="AH91" s="318" t="s">
        <v>217</v>
      </c>
      <c r="AI91" s="241" t="s">
        <v>1379</v>
      </c>
      <c r="AJ91" s="508" t="s">
        <v>1352</v>
      </c>
      <c r="AK91" s="508" t="s">
        <v>1352</v>
      </c>
      <c r="AL91" s="290" t="s">
        <v>27</v>
      </c>
      <c r="AM91" s="290" t="s">
        <v>29</v>
      </c>
      <c r="AN91" s="290" t="s">
        <v>27</v>
      </c>
      <c r="AO91" s="290" t="s">
        <v>27</v>
      </c>
      <c r="AP91" s="484"/>
      <c r="AR91" s="436"/>
      <c r="AS91" s="318" t="n">
        <f>COUNTIFS(H91,"零期",I91,"在读")+COUNTIFS(L91,"零期",M91,"在读")+COUNTIFS(P91,"零期",Q91,"在读")</f>
        <v>2</v>
      </c>
      <c r="AT91" s="318" t="n">
        <f>AS91-AX91</f>
        <v>2</v>
      </c>
      <c r="AU91" s="292" t="s">
        <f>VLOOKUP(B91,'UV台帐'!B:AL,19,0)</f>
        <v>116</v>
      </c>
      <c r="AV91" s="292" t="s">
        <f>VLOOKUP(B91,'UV台帐'!B:AL,28,0)</f>
        <v>116</v>
      </c>
      <c r="AW91" s="292" t="s">
        <f>VLOOKUP(B91,'UV台帐'!B:AL,37,0)</f>
        <v>116</v>
      </c>
      <c r="AX91" s="318" t="n">
        <f>COUNTIFS(H91,"零期",AU91,"是")+COUNTIFS(L91,"零期",AV91,"是")+COUNTIFS(P91,"零期",AW91,"是")</f>
        <v>0</v>
      </c>
      <c r="AZ91" s="483" t="s">
        <v>1687</v>
      </c>
      <c r="BA91" s="197"/>
    </row>
    <row r="92" s="292" customFormat="1" ht="30" customHeight="1">
      <c r="A92" s="318" t="s">
        <v>54</v>
      </c>
      <c r="B92" s="318" t="n">
        <v>4635810658</v>
      </c>
      <c r="C92" s="114" t="s">
        <f>VLOOKUP(B92,'UV台帐'!B:AL,2,0)</f>
        <v>785</v>
      </c>
      <c r="D92" s="114" t="s">
        <f>VLOOKUP(B92,'UV台帐'!B:AL,3,0)</f>
        <v>36</v>
      </c>
      <c r="E92" s="114" t="s">
        <f>VLOOKUP(B92,'UV台帐'!B:AL,13,0)</f>
        <v>35</v>
      </c>
      <c r="F92" s="114" t="s">
        <f>VLOOKUP(B92,'UV台帐'!B:AL,15,0)</f>
        <v>216</v>
      </c>
      <c r="G92" s="114" t="s">
        <f>VLOOKUP(B92,'UV台帐'!B:AL,16,0)</f>
        <v>283</v>
      </c>
      <c r="H92" s="114" t="s">
        <f>VLOOKUP(B92,'UV台帐'!B:AL,17,0)</f>
        <v>65</v>
      </c>
      <c r="I92" s="114" t="s">
        <f>VLOOKUP(B92,'UV台帐'!B:AL,18,0)</f>
        <v>165</v>
      </c>
      <c r="J92" s="114" t="s">
        <f>VLOOKUP(B92,'UV台帐'!B:AL,22,0)</f>
        <v>43</v>
      </c>
      <c r="K92" s="114" t="s">
        <f>VLOOKUP(B92,'UV台帐'!B:AL,24,0)</f>
        <v>215</v>
      </c>
      <c r="L92" s="114" t="s">
        <f>VLOOKUP(B92,'UV台帐'!B:AL,26,0)</f>
        <v>88</v>
      </c>
      <c r="M92" s="114" t="s">
        <f>VLOOKUP(B92,'UV台帐'!B:AL,27,0)</f>
        <v>165</v>
      </c>
      <c r="N92" s="114" t="s">
        <f>VLOOKUP(B92,'UV台帐'!B:AL,31,0)</f>
        <v>56</v>
      </c>
      <c r="O92" s="114" t="s">
        <f>VLOOKUP(B92,'UV台帐'!B:AL,33,0)</f>
        <v>216</v>
      </c>
      <c r="P92" s="114" t="s">
        <f>VLOOKUP(B92,'UV台帐'!B:AL,35,0)</f>
        <v>88</v>
      </c>
      <c r="Q92" s="114" t="s">
        <f>VLOOKUP(B92,'UV台帐'!B:AL,36,0)</f>
        <v>165</v>
      </c>
      <c r="R92" s="318"/>
      <c r="S92" s="318" t="s">
        <v>217</v>
      </c>
      <c r="T92" s="318" t="s">
        <v>217</v>
      </c>
      <c r="W92" s="318"/>
      <c r="X92" s="318"/>
      <c r="Y92" s="292" t="s">
        <v>43</v>
      </c>
      <c r="AA92" s="76" t="s">
        <v>43</v>
      </c>
      <c r="AB92" s="318" t="s">
        <v>217</v>
      </c>
      <c r="AC92" s="7" t="s">
        <v>1631</v>
      </c>
      <c r="AD92" s="318" t="s">
        <v>217</v>
      </c>
      <c r="AE92" s="318" t="s">
        <v>36</v>
      </c>
      <c r="AF92" s="318" t="n">
        <f>VLOOKUP(B92,'UV台帐'!B:G,6,0)</f>
        <v>0</v>
      </c>
      <c r="AG92" s="318" t="s">
        <v>281</v>
      </c>
      <c r="AH92" s="318" t="s">
        <v>217</v>
      </c>
      <c r="AI92" s="241" t="s">
        <v>1688</v>
      </c>
      <c r="AJ92" s="508" t="s">
        <v>1689</v>
      </c>
      <c r="AK92" s="508" t="s">
        <v>1689</v>
      </c>
      <c r="AL92" s="290" t="s">
        <v>28</v>
      </c>
      <c r="AM92" s="290"/>
      <c r="AN92" s="290" t="s">
        <v>28</v>
      </c>
      <c r="AO92" s="290" t="s">
        <v>27</v>
      </c>
      <c r="AP92" s="484" t="s">
        <v>1690</v>
      </c>
      <c r="AQ92" s="292" t="s">
        <v>217</v>
      </c>
      <c r="AR92" s="436"/>
      <c r="AS92" s="318" t="n">
        <f>COUNTIFS(H92,"零期",I92,"在读")+COUNTIFS(L92,"零期",M92,"在读")+COUNTIFS(P92,"零期",Q92,"在读")</f>
        <v>2</v>
      </c>
      <c r="AT92" s="318" t="n">
        <f>AS92-AX92</f>
        <v>0</v>
      </c>
      <c r="AU92" s="292" t="s">
        <f>VLOOKUP(B92,'UV台帐'!B:AL,19,0)</f>
        <v>217</v>
      </c>
      <c r="AV92" s="292" t="s">
        <f>VLOOKUP(B92,'UV台帐'!B:AL,28,0)</f>
        <v>217</v>
      </c>
      <c r="AW92" s="292" t="s">
        <f>VLOOKUP(B92,'UV台帐'!B:AL,37,0)</f>
        <v>217</v>
      </c>
      <c r="AX92" s="318" t="n">
        <f>COUNTIFS(H92,"零期",AU92,"是")+COUNTIFS(L92,"零期",AV92,"是")+COUNTIFS(P92,"零期",AW92,"是")</f>
        <v>2</v>
      </c>
      <c r="AZ92" s="483" t="s">
        <v>1691</v>
      </c>
      <c r="BA92" s="197"/>
    </row>
    <row r="93" s="292" customFormat="1" ht="30" customHeight="1">
      <c r="A93" s="318" t="s">
        <v>54</v>
      </c>
      <c r="B93" s="318" t="n">
        <v>4638864572</v>
      </c>
      <c r="C93" s="114" t="s">
        <f>VLOOKUP(B93,'UV台帐'!B:AL,2,0)</f>
        <v>1038</v>
      </c>
      <c r="D93" s="114" t="s">
        <f>VLOOKUP(B93,'UV台帐'!B:AL,3,0)</f>
        <v>38</v>
      </c>
      <c r="E93" s="114" t="s">
        <f>VLOOKUP(B93,'UV台帐'!B:AL,13,0)</f>
        <v>37</v>
      </c>
      <c r="F93" s="114" t="s">
        <f>VLOOKUP(B93,'UV台帐'!B:AL,15,0)</f>
        <v>216</v>
      </c>
      <c r="G93" s="114" t="s">
        <f>VLOOKUP(B93,'UV台帐'!B:AL,16,0)</f>
        <v>283</v>
      </c>
      <c r="H93" s="114" t="s">
        <f>VLOOKUP(B93,'UV台帐'!B:AL,17,0)</f>
        <v>88</v>
      </c>
      <c r="I93" s="114" t="s">
        <f>VLOOKUP(B93,'UV台帐'!B:AL,18,0)</f>
        <v>165</v>
      </c>
      <c r="J93" s="114" t="s">
        <f>VLOOKUP(B93,'UV台帐'!B:AL,22,0)</f>
        <v>43</v>
      </c>
      <c r="K93" s="114" t="s">
        <f>VLOOKUP(B93,'UV台帐'!B:AL,24,0)</f>
        <v>215</v>
      </c>
      <c r="L93" s="114" t="s">
        <f>VLOOKUP(B93,'UV台帐'!B:AL,26,0)</f>
        <v>88</v>
      </c>
      <c r="M93" s="114" t="s">
        <f>VLOOKUP(B93,'UV台帐'!B:AL,27,0)</f>
        <v>165</v>
      </c>
      <c r="N93" s="114" t="s">
        <f>VLOOKUP(B93,'UV台帐'!B:AL,31,0)</f>
        <v>56</v>
      </c>
      <c r="O93" s="114" t="s">
        <f>VLOOKUP(B93,'UV台帐'!B:AL,33,0)</f>
        <v>233</v>
      </c>
      <c r="P93" s="114" t="s">
        <f>VLOOKUP(B93,'UV台帐'!B:AL,35,0)</f>
        <v>88</v>
      </c>
      <c r="Q93" s="114" t="s">
        <f>VLOOKUP(B93,'UV台帐'!B:AL,36,0)</f>
        <v>165</v>
      </c>
      <c r="R93" s="318"/>
      <c r="S93" s="318" t="s">
        <v>217</v>
      </c>
      <c r="T93" s="318" t="s">
        <v>217</v>
      </c>
      <c r="W93" s="318"/>
      <c r="X93" s="318"/>
      <c r="Y93" s="292" t="s">
        <v>1358</v>
      </c>
      <c r="AA93" s="76" t="s">
        <v>43</v>
      </c>
      <c r="AB93" s="476" t="s">
        <v>1419</v>
      </c>
      <c r="AC93" s="104"/>
      <c r="AD93" s="318" t="s">
        <v>218</v>
      </c>
      <c r="AE93" s="318" t="s">
        <v>38</v>
      </c>
      <c r="AF93" s="318" t="s">
        <f>VLOOKUP(B93,'UV台帐'!B:G,6,0)</f>
        <v>1039</v>
      </c>
      <c r="AG93" s="318"/>
      <c r="AH93" s="318" t="s">
        <v>217</v>
      </c>
      <c r="AI93" s="241" t="s">
        <v>1692</v>
      </c>
      <c r="AJ93" s="508" t="s">
        <v>1693</v>
      </c>
      <c r="AK93" s="508" t="s">
        <v>1693</v>
      </c>
      <c r="AL93" s="290" t="s">
        <v>27</v>
      </c>
      <c r="AM93" s="290" t="s">
        <v>27</v>
      </c>
      <c r="AN93" s="290" t="s">
        <v>27</v>
      </c>
      <c r="AO93" s="290" t="s">
        <v>27</v>
      </c>
      <c r="AP93" s="484" t="s">
        <v>1694</v>
      </c>
      <c r="AR93" s="436"/>
      <c r="AS93" s="318" t="n">
        <f>COUNTIFS(H93,"零期",I93,"在读")+COUNTIFS(L93,"零期",M93,"在读")+COUNTIFS(P93,"零期",Q93,"在读")</f>
        <v>3</v>
      </c>
      <c r="AT93" s="318" t="n">
        <f>AS93-AX93</f>
        <v>3</v>
      </c>
      <c r="AU93" s="292" t="s">
        <f>VLOOKUP(B93,'UV台帐'!B:AL,19,0)</f>
        <v>116</v>
      </c>
      <c r="AV93" s="292" t="s">
        <f>VLOOKUP(B93,'UV台帐'!B:AL,28,0)</f>
        <v>116</v>
      </c>
      <c r="AW93" s="292" t="s">
        <f>VLOOKUP(B93,'UV台帐'!B:AL,37,0)</f>
        <v>116</v>
      </c>
      <c r="AX93" s="318" t="n">
        <f>COUNTIFS(H93,"零期",AU93,"是")+COUNTIFS(L93,"零期",AV93,"是")+COUNTIFS(P93,"零期",AW93,"是")</f>
        <v>0</v>
      </c>
      <c r="AZ93" s="483"/>
      <c r="BA93" s="197"/>
    </row>
    <row r="94" s="292" customFormat="1" ht="30" customHeight="1">
      <c r="A94" s="318" t="s">
        <v>45</v>
      </c>
      <c r="B94" s="318" t="n">
        <v>4700610785</v>
      </c>
      <c r="C94" s="114" t="s">
        <f>VLOOKUP(B94,'UV台帐'!B:AL,2,0)</f>
        <v>1302</v>
      </c>
      <c r="D94" s="114" t="s">
        <f>VLOOKUP(B94,'UV台帐'!B:AL,3,0)</f>
        <v>48</v>
      </c>
      <c r="E94" s="114" t="s">
        <f>VLOOKUP(B94,'UV台帐'!B:AL,13,0)</f>
        <v>31</v>
      </c>
      <c r="F94" s="114" t="s">
        <f>VLOOKUP(B94,'UV台帐'!B:AL,15,0)</f>
        <v>246</v>
      </c>
      <c r="G94" s="114" t="s">
        <f>VLOOKUP(B94,'UV台帐'!B:AL,16,0)</f>
        <v>234</v>
      </c>
      <c r="H94" s="114" t="s">
        <f>VLOOKUP(B94,'UV台帐'!B:AL,17,0)</f>
        <v>88</v>
      </c>
      <c r="I94" s="114" t="s">
        <f>VLOOKUP(B94,'UV台帐'!B:AL,18,0)</f>
        <v>165</v>
      </c>
      <c r="J94" s="114" t="s">
        <f>VLOOKUP(B94,'UV台帐'!B:AL,22,0)</f>
        <v>43</v>
      </c>
      <c r="K94" s="114" t="s">
        <f>VLOOKUP(B94,'UV台帐'!B:AL,24,0)</f>
        <v>216</v>
      </c>
      <c r="L94" s="114" t="s">
        <f>VLOOKUP(B94,'UV台帐'!B:AL,26,0)</f>
        <v>88</v>
      </c>
      <c r="M94" s="114" t="s">
        <f>VLOOKUP(B94,'UV台帐'!B:AL,27,0)</f>
        <v>165</v>
      </c>
      <c r="N94" s="114" t="s">
        <f>VLOOKUP(B94,'UV台帐'!B:AL,31,0)</f>
        <v>52</v>
      </c>
      <c r="O94" s="114" t="s">
        <f>VLOOKUP(B94,'UV台帐'!B:AL,33,0)</f>
        <v>215</v>
      </c>
      <c r="P94" s="114" t="s">
        <f>VLOOKUP(B94,'UV台帐'!B:AL,35,0)</f>
        <v>88</v>
      </c>
      <c r="Q94" s="114" t="s">
        <f>VLOOKUP(B94,'UV台帐'!B:AL,36,0)</f>
        <v>165</v>
      </c>
      <c r="R94" s="318"/>
      <c r="S94" s="318" t="s">
        <v>218</v>
      </c>
      <c r="T94" s="318" t="s">
        <v>218</v>
      </c>
      <c r="U94" s="292" t="s">
        <v>1695</v>
      </c>
      <c r="W94" s="318"/>
      <c r="X94" s="318"/>
      <c r="Y94" s="318"/>
      <c r="Z94" s="318"/>
      <c r="AA94" s="75" t="s">
        <v>31</v>
      </c>
      <c r="AB94" s="318" t="s">
        <v>218</v>
      </c>
      <c r="AC94" s="114" t="s">
        <v>1473</v>
      </c>
      <c r="AD94" s="114" t="s">
        <v>218</v>
      </c>
      <c r="AE94" s="318" t="s">
        <v>48</v>
      </c>
      <c r="AF94" s="318" t="n">
        <f>VLOOKUP(B94,'UV台帐'!B:G,6,0)</f>
        <v>0</v>
      </c>
      <c r="AG94" s="318"/>
      <c r="AH94" s="318" t="s">
        <v>217</v>
      </c>
      <c r="AI94" s="241" t="s">
        <v>1466</v>
      </c>
      <c r="AJ94" s="508" t="s">
        <v>1475</v>
      </c>
      <c r="AK94" s="508" t="s">
        <v>1475</v>
      </c>
      <c r="AL94" s="290"/>
      <c r="AM94" s="290"/>
      <c r="AN94" s="290"/>
      <c r="AO94" s="290"/>
      <c r="AP94" s="484"/>
      <c r="AR94" s="436"/>
      <c r="AS94" s="318" t="n">
        <f>COUNTIFS(H94,"零期",I94,"在读")+COUNTIFS(L94,"零期",M94,"在读")+COUNTIFS(P94,"零期",Q94,"在读")</f>
        <v>3</v>
      </c>
      <c r="AT94" s="318" t="n">
        <f>AS94-AX94</f>
        <v>0</v>
      </c>
      <c r="AU94" s="292" t="s">
        <f>VLOOKUP(B94,'UV台帐'!B:AL,19,0)</f>
        <v>217</v>
      </c>
      <c r="AV94" s="292" t="s">
        <f>VLOOKUP(B94,'UV台帐'!B:AL,28,0)</f>
        <v>217</v>
      </c>
      <c r="AW94" s="292" t="s">
        <f>VLOOKUP(B94,'UV台帐'!B:AL,37,0)</f>
        <v>217</v>
      </c>
      <c r="AX94" s="318" t="n">
        <f>COUNTIFS(H94,"零期",AU94,"是")+COUNTIFS(L94,"零期",AV94,"是")+COUNTIFS(P94,"零期",AW94,"是")</f>
        <v>3</v>
      </c>
      <c r="AZ94" s="483"/>
      <c r="BA94" s="197"/>
    </row>
    <row r="95" s="292" customFormat="1" ht="30" customHeight="1">
      <c r="A95" s="318" t="s">
        <v>45</v>
      </c>
      <c r="B95" s="318" t="n">
        <v>4744732648</v>
      </c>
      <c r="C95" s="114" t="s">
        <f>VLOOKUP(B95,'UV台帐'!B:AL,2,0)</f>
        <v>1307</v>
      </c>
      <c r="D95" s="114" t="s">
        <f>VLOOKUP(B95,'UV台帐'!B:AL,3,0)</f>
        <v>50</v>
      </c>
      <c r="E95" s="114" t="s">
        <f>VLOOKUP(B95,'UV台帐'!B:AL,13,0)</f>
        <v>31</v>
      </c>
      <c r="F95" s="114" t="s">
        <f>VLOOKUP(B95,'UV台帐'!B:AL,15,0)</f>
        <v>215</v>
      </c>
      <c r="G95" s="114" t="s">
        <f>VLOOKUP(B95,'UV台帐'!B:AL,16,0)</f>
        <v>283</v>
      </c>
      <c r="H95" s="114" t="s">
        <f>VLOOKUP(B95,'UV台帐'!B:AL,17,0)</f>
        <v>88</v>
      </c>
      <c r="I95" s="114" t="s">
        <f>VLOOKUP(B95,'UV台帐'!B:AL,18,0)</f>
        <v>165</v>
      </c>
      <c r="J95" s="114" t="s">
        <f>VLOOKUP(B95,'UV台帐'!B:AL,22,0)</f>
        <v>47</v>
      </c>
      <c r="K95" s="114" t="s">
        <f>VLOOKUP(B95,'UV台帐'!B:AL,24,0)</f>
        <v>233</v>
      </c>
      <c r="L95" s="114" t="s">
        <f>VLOOKUP(B95,'UV台帐'!B:AL,26,0)</f>
        <v>88</v>
      </c>
      <c r="M95" s="114" t="s">
        <f>VLOOKUP(B95,'UV台帐'!B:AL,27,0)</f>
        <v>165</v>
      </c>
      <c r="N95" s="114" t="s">
        <f>VLOOKUP(B95,'UV台帐'!B:AL,31,0)</f>
        <v>58</v>
      </c>
      <c r="O95" s="114" t="s">
        <f>VLOOKUP(B95,'UV台帐'!B:AL,33,0)</f>
        <v>216</v>
      </c>
      <c r="P95" s="114" t="s">
        <f>VLOOKUP(B95,'UV台帐'!B:AL,35,0)</f>
        <v>88</v>
      </c>
      <c r="Q95" s="114" t="s">
        <f>VLOOKUP(B95,'UV台帐'!B:AL,36,0)</f>
        <v>165</v>
      </c>
      <c r="R95" s="318"/>
      <c r="S95" s="318" t="s">
        <v>217</v>
      </c>
      <c r="T95" s="318" t="s">
        <v>217</v>
      </c>
      <c r="W95" s="318" t="s">
        <v>58</v>
      </c>
      <c r="X95" s="318"/>
      <c r="Y95" s="114" t="s">
        <v>47</v>
      </c>
      <c r="Z95" s="114"/>
      <c r="AA95" s="68" t="s">
        <v>58</v>
      </c>
      <c r="AB95" s="318" t="s">
        <v>1398</v>
      </c>
      <c r="AC95" s="104"/>
      <c r="AD95" s="104" t="s">
        <v>218</v>
      </c>
      <c r="AE95" s="318" t="s">
        <v>50</v>
      </c>
      <c r="AF95" s="318" t="n">
        <f>VLOOKUP(B95,'UV台帐'!B:G,6,0)</f>
        <v>0</v>
      </c>
      <c r="AG95" s="318" t="s">
        <v>1696</v>
      </c>
      <c r="AH95" s="318" t="s">
        <v>217</v>
      </c>
      <c r="AI95" s="241" t="s">
        <v>1697</v>
      </c>
      <c r="AJ95" s="508" t="s">
        <v>1698</v>
      </c>
      <c r="AK95" s="508" t="s">
        <v>1698</v>
      </c>
      <c r="AL95" s="290" t="s">
        <v>25</v>
      </c>
      <c r="AM95" s="290" t="s">
        <v>28</v>
      </c>
      <c r="AN95" s="290" t="s">
        <v>28</v>
      </c>
      <c r="AO95" s="290" t="s">
        <v>28</v>
      </c>
      <c r="AP95" s="670" t="s">
        <v>1699</v>
      </c>
      <c r="AR95" s="436"/>
      <c r="AS95" s="318" t="n">
        <f>COUNTIFS(H95,"零期",I95,"在读")+COUNTIFS(L95,"零期",M95,"在读")+COUNTIFS(P95,"零期",Q95,"在读")</f>
        <v>3</v>
      </c>
      <c r="AT95" s="318" t="n">
        <f>AS95-AX95</f>
        <v>0</v>
      </c>
      <c r="AU95" s="292" t="s">
        <f>VLOOKUP(B95,'UV台帐'!B:AL,19,0)</f>
        <v>217</v>
      </c>
      <c r="AV95" s="292" t="s">
        <f>VLOOKUP(B95,'UV台帐'!B:AL,28,0)</f>
        <v>217</v>
      </c>
      <c r="AW95" s="292" t="s">
        <f>VLOOKUP(B95,'UV台帐'!B:AL,37,0)</f>
        <v>217</v>
      </c>
      <c r="AX95" s="318" t="n">
        <f>COUNTIFS(H95,"零期",AU95,"是")+COUNTIFS(L95,"零期",AV95,"是")+COUNTIFS(P95,"零期",AW95,"是")</f>
        <v>3</v>
      </c>
      <c r="AZ95" s="483" t="s">
        <v>1700</v>
      </c>
      <c r="BA95" s="197"/>
    </row>
    <row r="96" s="292" customFormat="1" ht="30" customHeight="1">
      <c r="A96" s="318" t="s">
        <v>45</v>
      </c>
      <c r="B96" s="318" t="n">
        <v>4762945633</v>
      </c>
      <c r="C96" s="114" t="s">
        <f>VLOOKUP(B96,'UV台帐'!B:AL,2,0)</f>
        <v>1014</v>
      </c>
      <c r="D96" s="114" t="s">
        <f>VLOOKUP(B96,'UV台帐'!B:AL,3,0)</f>
        <v>46</v>
      </c>
      <c r="E96" s="114" t="s">
        <f>VLOOKUP(B96,'UV台帐'!B:AL,13,0)</f>
        <v>31</v>
      </c>
      <c r="F96" s="114" t="s">
        <f>VLOOKUP(B96,'UV台帐'!B:AL,15,0)</f>
        <v>246</v>
      </c>
      <c r="G96" s="114" t="s">
        <f>VLOOKUP(B96,'UV台帐'!B:AL,16,0)</f>
        <v>234</v>
      </c>
      <c r="H96" s="114" t="s">
        <f>VLOOKUP(B96,'UV台帐'!B:AL,17,0)</f>
        <v>88</v>
      </c>
      <c r="I96" s="114" t="s">
        <f>VLOOKUP(B96,'UV台帐'!B:AL,18,0)</f>
        <v>165</v>
      </c>
      <c r="J96" s="114" t="s">
        <f>VLOOKUP(B96,'UV台帐'!B:AL,22,0)</f>
        <v>43</v>
      </c>
      <c r="K96" s="114" t="s">
        <f>VLOOKUP(B96,'UV台帐'!B:AL,24,0)</f>
        <v>216</v>
      </c>
      <c r="L96" s="114" t="s">
        <f>VLOOKUP(B96,'UV台帐'!B:AL,26,0)</f>
        <v>88</v>
      </c>
      <c r="M96" s="114" t="s">
        <f>VLOOKUP(B96,'UV台帐'!B:AL,27,0)</f>
        <v>165</v>
      </c>
      <c r="N96" s="114" t="s">
        <f>VLOOKUP(B96,'UV台帐'!B:AL,31,0)</f>
        <v>52</v>
      </c>
      <c r="O96" s="114" t="s">
        <f>VLOOKUP(B96,'UV台帐'!B:AL,33,0)</f>
        <v>215</v>
      </c>
      <c r="P96" s="114" t="s">
        <f>VLOOKUP(B96,'UV台帐'!B:AL,35,0)</f>
        <v>88</v>
      </c>
      <c r="Q96" s="114" t="s">
        <f>VLOOKUP(B96,'UV台帐'!B:AL,36,0)</f>
        <v>165</v>
      </c>
      <c r="R96" s="318"/>
      <c r="S96" s="318" t="s">
        <v>217</v>
      </c>
      <c r="T96" s="318" t="s">
        <v>217</v>
      </c>
      <c r="U96" s="292" t="s">
        <v>52</v>
      </c>
      <c r="W96" s="318"/>
      <c r="X96" s="318"/>
      <c r="Y96" s="292" t="s">
        <v>43</v>
      </c>
      <c r="AA96" s="75" t="s">
        <v>31</v>
      </c>
      <c r="AB96" s="318" t="s">
        <v>217</v>
      </c>
      <c r="AC96" s="104" t="s">
        <v>31</v>
      </c>
      <c r="AD96" s="114" t="s">
        <v>217</v>
      </c>
      <c r="AE96" s="318" t="s">
        <v>46</v>
      </c>
      <c r="AF96" s="318" t="n">
        <f>VLOOKUP(B96,'UV台帐'!B:G,6,0)</f>
        <v>0</v>
      </c>
      <c r="AG96" s="318"/>
      <c r="AH96" s="318" t="s">
        <v>217</v>
      </c>
      <c r="AI96" s="241" t="s">
        <v>1379</v>
      </c>
      <c r="AJ96" s="671" t="s">
        <v>1701</v>
      </c>
      <c r="AK96" s="672" t="s">
        <v>1701</v>
      </c>
      <c r="AL96" s="290" t="s">
        <v>25</v>
      </c>
      <c r="AM96" s="290" t="s">
        <v>27</v>
      </c>
      <c r="AN96" s="290" t="s">
        <v>27</v>
      </c>
      <c r="AO96" s="290" t="s">
        <v>27</v>
      </c>
      <c r="AP96" s="484"/>
      <c r="AQ96" s="292" t="s">
        <v>217</v>
      </c>
      <c r="AR96" s="436"/>
      <c r="AS96" s="318" t="n">
        <f>COUNTIFS(H96,"零期",I96,"在读")+COUNTIFS(L96,"零期",M96,"在读")+COUNTIFS(P96,"零期",Q96,"在读")</f>
        <v>3</v>
      </c>
      <c r="AT96" s="318" t="n">
        <f>AS96-AX96</f>
        <v>0</v>
      </c>
      <c r="AU96" s="292" t="s">
        <f>VLOOKUP(B96,'UV台帐'!B:AL,19,0)</f>
        <v>217</v>
      </c>
      <c r="AV96" s="292" t="s">
        <f>VLOOKUP(B96,'UV台帐'!B:AL,28,0)</f>
        <v>217</v>
      </c>
      <c r="AW96" s="292" t="s">
        <f>VLOOKUP(B96,'UV台帐'!B:AL,37,0)</f>
        <v>217</v>
      </c>
      <c r="AX96" s="318" t="n">
        <f>COUNTIFS(H96,"零期",AU96,"是")+COUNTIFS(L96,"零期",AV96,"是")+COUNTIFS(P96,"零期",AW96,"是")</f>
        <v>3</v>
      </c>
      <c r="AZ96" s="483" t="s">
        <v>1702</v>
      </c>
      <c r="BA96" s="197"/>
    </row>
    <row r="97" s="292" customFormat="1" ht="30" customHeight="1">
      <c r="A97" s="318" t="s">
        <v>54</v>
      </c>
      <c r="B97" s="318" t="n">
        <v>4769415192</v>
      </c>
      <c r="C97" s="114" t="s">
        <f>VLOOKUP(B97,'UV台帐'!B:AL,2,0)</f>
        <v>847</v>
      </c>
      <c r="D97" s="114" t="s">
        <f>VLOOKUP(B97,'UV台帐'!B:AL,3,0)</f>
        <v>57</v>
      </c>
      <c r="E97" s="114" t="s">
        <f>VLOOKUP(B97,'UV台帐'!B:AL,13,0)</f>
        <v>31</v>
      </c>
      <c r="F97" s="114" t="s">
        <f>VLOOKUP(B97,'UV台帐'!B:AL,15,0)</f>
        <v>233</v>
      </c>
      <c r="G97" s="114" t="s">
        <f>VLOOKUP(B97,'UV台帐'!B:AL,16,0)</f>
        <v>234</v>
      </c>
      <c r="H97" s="114" t="s">
        <f>VLOOKUP(B97,'UV台帐'!B:AL,17,0)</f>
        <v>100</v>
      </c>
      <c r="I97" s="114" t="s">
        <f>VLOOKUP(B97,'UV台帐'!B:AL,18,0)</f>
        <v>165</v>
      </c>
      <c r="J97" s="114" t="s">
        <f>VLOOKUP(B97,'UV台帐'!B:AL,22,0)</f>
        <v>43</v>
      </c>
      <c r="K97" s="114" t="s">
        <f>VLOOKUP(B97,'UV台帐'!B:AL,24,0)</f>
        <v>216</v>
      </c>
      <c r="L97" s="114" t="s">
        <f>VLOOKUP(B97,'UV台帐'!B:AL,26,0)</f>
        <v>100</v>
      </c>
      <c r="M97" s="114" t="s">
        <f>VLOOKUP(B97,'UV台帐'!B:AL,27,0)</f>
        <v>165</v>
      </c>
      <c r="N97" s="114" t="s">
        <f>VLOOKUP(B97,'UV台帐'!B:AL,31,0)</f>
        <v>56</v>
      </c>
      <c r="O97" s="114" t="s">
        <f>VLOOKUP(B97,'UV台帐'!B:AL,33,0)</f>
        <v>216</v>
      </c>
      <c r="P97" s="114" t="s">
        <f>VLOOKUP(B97,'UV台帐'!B:AL,35,0)</f>
        <v>88</v>
      </c>
      <c r="Q97" s="114" t="s">
        <f>VLOOKUP(B97,'UV台帐'!B:AL,36,0)</f>
        <v>165</v>
      </c>
      <c r="R97" s="318"/>
      <c r="S97" s="318" t="s">
        <v>217</v>
      </c>
      <c r="T97" s="318" t="s">
        <v>218</v>
      </c>
      <c r="W97" s="318"/>
      <c r="X97" s="318"/>
      <c r="Y97" s="318"/>
      <c r="Z97" s="318"/>
      <c r="AA97" s="68" t="s">
        <v>56</v>
      </c>
      <c r="AB97" s="318" t="s">
        <v>217</v>
      </c>
      <c r="AC97" s="147" t="s">
        <v>1492</v>
      </c>
      <c r="AD97" s="104" t="s">
        <v>217</v>
      </c>
      <c r="AE97" s="318" t="s">
        <v>57</v>
      </c>
      <c r="AF97" s="318" t="n">
        <f>VLOOKUP(B97,'UV台帐'!B:G,6,0)</f>
        <v>0</v>
      </c>
      <c r="AG97" s="318" t="s">
        <v>339</v>
      </c>
      <c r="AH97" s="318" t="s">
        <v>217</v>
      </c>
      <c r="AI97" s="241" t="s">
        <v>1692</v>
      </c>
      <c r="AJ97" s="508" t="s">
        <v>1703</v>
      </c>
      <c r="AK97" s="508" t="s">
        <v>1703</v>
      </c>
      <c r="AL97" s="290" t="s">
        <v>25</v>
      </c>
      <c r="AM97" s="290"/>
      <c r="AN97" s="290"/>
      <c r="AO97" s="290" t="s">
        <v>25</v>
      </c>
      <c r="AP97" s="484" t="s">
        <v>1704</v>
      </c>
      <c r="AQ97" s="292" t="s">
        <v>217</v>
      </c>
      <c r="AR97" s="436"/>
      <c r="AS97" s="318" t="n">
        <f>COUNTIFS(H97,"零期",I97,"在读")+COUNTIFS(L97,"零期",M97,"在读")+COUNTIFS(P97,"零期",Q97,"在读")</f>
        <v>1</v>
      </c>
      <c r="AT97" s="318" t="n">
        <f>AS97-AX97</f>
        <v>0</v>
      </c>
      <c r="AU97" s="292" t="s">
        <f>VLOOKUP(B97,'UV台帐'!B:AL,19,0)</f>
        <v>217</v>
      </c>
      <c r="AV97" s="292" t="s">
        <f>VLOOKUP(B97,'UV台帐'!B:AL,28,0)</f>
        <v>217</v>
      </c>
      <c r="AW97" s="292" t="s">
        <f>VLOOKUP(B97,'UV台帐'!B:AL,37,0)</f>
        <v>217</v>
      </c>
      <c r="AX97" s="318" t="n">
        <f>COUNTIFS(H97,"零期",AU97,"是")+COUNTIFS(L97,"零期",AV97,"是")+COUNTIFS(P97,"零期",AW97,"是")</f>
        <v>1</v>
      </c>
      <c r="AZ97" s="483" t="s">
        <v>1464</v>
      </c>
      <c r="BA97" s="197"/>
    </row>
    <row r="98" s="292" customFormat="1" ht="30" customHeight="1">
      <c r="A98" s="318" t="s">
        <v>54</v>
      </c>
      <c r="B98" s="318" t="n">
        <v>4773663119</v>
      </c>
      <c r="C98" s="114" t="s">
        <f>VLOOKUP(B98,'UV台帐'!B:AL,2,0)</f>
        <v>1165</v>
      </c>
      <c r="D98" s="114" t="s">
        <f>VLOOKUP(B98,'UV台帐'!B:AL,3,0)</f>
        <v>57</v>
      </c>
      <c r="E98" s="114" t="s">
        <f>VLOOKUP(B98,'UV台帐'!B:AL,13,0)</f>
        <v>37</v>
      </c>
      <c r="F98" s="114" t="s">
        <f>VLOOKUP(B98,'UV台帐'!B:AL,15,0)</f>
        <v>216</v>
      </c>
      <c r="G98" s="114" t="s">
        <f>VLOOKUP(B98,'UV台帐'!B:AL,16,0)</f>
        <v>283</v>
      </c>
      <c r="H98" s="114" t="s">
        <f>VLOOKUP(B98,'UV台帐'!B:AL,17,0)</f>
        <v>88</v>
      </c>
      <c r="I98" s="114" t="s">
        <f>VLOOKUP(B98,'UV台帐'!B:AL,18,0)</f>
        <v>165</v>
      </c>
      <c r="J98" s="114" t="s">
        <f>VLOOKUP(B98,'UV台帐'!B:AL,22,0)</f>
        <v>47</v>
      </c>
      <c r="K98" s="114" t="s">
        <f>VLOOKUP(B98,'UV台帐'!B:AL,24,0)</f>
        <v>216</v>
      </c>
      <c r="L98" s="114" t="s">
        <f>VLOOKUP(B98,'UV台帐'!B:AL,26,0)</f>
        <v>65</v>
      </c>
      <c r="M98" s="114" t="s">
        <f>VLOOKUP(B98,'UV台帐'!B:AL,27,0)</f>
        <v>444</v>
      </c>
      <c r="N98" s="114" t="s">
        <f>VLOOKUP(B98,'UV台帐'!B:AL,31,0)</f>
        <v>56</v>
      </c>
      <c r="O98" s="114" t="s">
        <f>VLOOKUP(B98,'UV台帐'!B:AL,33,0)</f>
        <v>233</v>
      </c>
      <c r="P98" s="114" t="s">
        <f>VLOOKUP(B98,'UV台帐'!B:AL,35,0)</f>
        <v>88</v>
      </c>
      <c r="Q98" s="114" t="s">
        <f>VLOOKUP(B98,'UV台帐'!B:AL,36,0)</f>
        <v>165</v>
      </c>
      <c r="R98" s="318"/>
      <c r="S98" s="318" t="s">
        <v>217</v>
      </c>
      <c r="T98" s="318" t="s">
        <v>217</v>
      </c>
      <c r="W98" s="318"/>
      <c r="X98" s="318"/>
      <c r="Y98" s="318" t="s">
        <v>37</v>
      </c>
      <c r="Z98" s="318"/>
      <c r="AA98" s="68" t="s">
        <v>37</v>
      </c>
      <c r="AB98" s="318" t="s">
        <v>217</v>
      </c>
      <c r="AC98" s="147"/>
      <c r="AD98" s="104" t="s">
        <v>217</v>
      </c>
      <c r="AE98" s="318" t="s">
        <v>57</v>
      </c>
      <c r="AF98" s="318" t="n">
        <f>VLOOKUP(B98,'UV台帐'!B:G,6,0)</f>
        <v>0</v>
      </c>
      <c r="AG98" s="318" t="s">
        <v>1705</v>
      </c>
      <c r="AH98" s="318" t="s">
        <v>217</v>
      </c>
      <c r="AI98" s="241"/>
      <c r="AJ98" s="508" t="s">
        <v>1706</v>
      </c>
      <c r="AK98" s="508" t="s">
        <v>1706</v>
      </c>
      <c r="AL98" s="290" t="s">
        <v>29</v>
      </c>
      <c r="AM98" s="290" t="s">
        <v>29</v>
      </c>
      <c r="AN98" s="290" t="s">
        <v>29</v>
      </c>
      <c r="AO98" s="290" t="s">
        <v>29</v>
      </c>
      <c r="AP98" s="484" t="s">
        <v>1707</v>
      </c>
      <c r="AQ98" s="292" t="s">
        <v>217</v>
      </c>
      <c r="AR98" s="436"/>
      <c r="AS98" s="318" t="n">
        <f>COUNTIFS(H98,"零期",I98,"在读")+COUNTIFS(L98,"零期",M98,"在读")+COUNTIFS(P98,"零期",Q98,"在读")</f>
        <v>2</v>
      </c>
      <c r="AT98" s="318" t="n">
        <f>AS98-AX98</f>
        <v>2</v>
      </c>
      <c r="AU98" s="292" t="s">
        <f>VLOOKUP(B98,'UV台帐'!B:AL,19,0)</f>
        <v>116</v>
      </c>
      <c r="AV98" s="292" t="s">
        <f>VLOOKUP(B98,'UV台帐'!B:AL,28,0)</f>
        <v>116</v>
      </c>
      <c r="AW98" s="292" t="s">
        <f>VLOOKUP(B98,'UV台帐'!B:AL,37,0)</f>
        <v>116</v>
      </c>
      <c r="AX98" s="318" t="n">
        <f>COUNTIFS(H98,"零期",AU98,"是")+COUNTIFS(L98,"零期",AV98,"是")+COUNTIFS(P98,"零期",AW98,"是")</f>
        <v>0</v>
      </c>
      <c r="AZ98" s="483" t="s">
        <v>1708</v>
      </c>
      <c r="BA98" s="197"/>
    </row>
    <row r="99" s="292" customFormat="1" ht="41.666666666666664" customHeight="1">
      <c r="A99" s="318" t="s">
        <v>45</v>
      </c>
      <c r="B99" s="318" t="n">
        <v>4774287872</v>
      </c>
      <c r="C99" s="114" t="s">
        <f>VLOOKUP(B99,'UV台帐'!B:AL,2,0)</f>
        <v>1270</v>
      </c>
      <c r="D99" s="114" t="s">
        <f>VLOOKUP(B99,'UV台帐'!B:AL,3,0)</f>
        <v>48</v>
      </c>
      <c r="E99" s="114" t="s">
        <f>VLOOKUP(B99,'UV台帐'!B:AL,13,0)</f>
        <v>37</v>
      </c>
      <c r="F99" s="114" t="s">
        <f>VLOOKUP(B99,'UV台帐'!B:AL,15,0)</f>
        <v>215</v>
      </c>
      <c r="G99" s="114" t="s">
        <f>VLOOKUP(B99,'UV台帐'!B:AL,16,0)</f>
        <v>283</v>
      </c>
      <c r="H99" s="114" t="s">
        <f>VLOOKUP(B99,'UV台帐'!B:AL,17,0)</f>
        <v>88</v>
      </c>
      <c r="I99" s="114" t="s">
        <f>VLOOKUP(B99,'UV台帐'!B:AL,18,0)</f>
        <v>165</v>
      </c>
      <c r="J99" s="114" t="s">
        <f>VLOOKUP(B99,'UV台帐'!B:AL,22,0)</f>
        <v>116</v>
      </c>
      <c r="K99" s="114" t="s">
        <f>VLOOKUP(B99,'UV台帐'!B:AL,24,0)</f>
        <v>116</v>
      </c>
      <c r="L99" s="114" t="s">
        <f>VLOOKUP(B99,'UV台帐'!B:AL,26,0)</f>
        <v>116</v>
      </c>
      <c r="M99" s="114" t="s">
        <f>VLOOKUP(B99,'UV台帐'!B:AL,27,0)</f>
        <v>116</v>
      </c>
      <c r="N99" s="114" t="s">
        <f>VLOOKUP(B99,'UV台帐'!B:AL,31,0)</f>
        <v>58</v>
      </c>
      <c r="O99" s="114" t="s">
        <f>VLOOKUP(B99,'UV台帐'!B:AL,33,0)</f>
        <v>216</v>
      </c>
      <c r="P99" s="114" t="s">
        <f>VLOOKUP(B99,'UV台帐'!B:AL,35,0)</f>
        <v>88</v>
      </c>
      <c r="Q99" s="114" t="s">
        <f>VLOOKUP(B99,'UV台帐'!B:AL,36,0)</f>
        <v>165</v>
      </c>
      <c r="R99" s="318"/>
      <c r="S99" s="318" t="s">
        <v>218</v>
      </c>
      <c r="T99" s="318" t="s">
        <v>218</v>
      </c>
      <c r="U99" s="318" t="s">
        <v>37</v>
      </c>
      <c r="V99" s="318"/>
      <c r="W99" s="318"/>
      <c r="X99" s="318"/>
      <c r="Y99" s="318" t="s">
        <v>58</v>
      </c>
      <c r="Z99" s="318"/>
      <c r="AA99" s="68" t="s">
        <v>58</v>
      </c>
      <c r="AB99" s="476" t="s">
        <v>217</v>
      </c>
      <c r="AC99" s="104" t="s">
        <v>1476</v>
      </c>
      <c r="AD99" s="104" t="s">
        <v>217</v>
      </c>
      <c r="AE99" s="318" t="s">
        <v>48</v>
      </c>
      <c r="AF99" s="318" t="n">
        <f>VLOOKUP(B99,'UV台帐'!B:G,6,0)</f>
        <v>0</v>
      </c>
      <c r="AG99" s="318" t="s">
        <v>597</v>
      </c>
      <c r="AH99" s="318" t="s">
        <v>217</v>
      </c>
      <c r="AI99" s="241" t="s">
        <v>1709</v>
      </c>
      <c r="AJ99" s="508" t="s">
        <v>1710</v>
      </c>
      <c r="AK99" s="508" t="s">
        <v>1710</v>
      </c>
      <c r="AL99" s="290" t="s">
        <v>27</v>
      </c>
      <c r="AM99" s="290"/>
      <c r="AN99" s="290"/>
      <c r="AO99" s="290" t="s">
        <v>27</v>
      </c>
      <c r="AP99" s="484" t="s">
        <v>1711</v>
      </c>
      <c r="AR99" s="436"/>
      <c r="AS99" s="318" t="n">
        <f>COUNTIFS(H99,"零期",I99,"在读")+COUNTIFS(L99,"零期",M99,"在读")+COUNTIFS(P99,"零期",Q99,"在读")</f>
        <v>2</v>
      </c>
      <c r="AT99" s="318" t="n">
        <f>AS99-AX99</f>
        <v>1</v>
      </c>
      <c r="AU99" s="292" t="s">
        <f>VLOOKUP(B99,'UV台帐'!B:AL,19,0)</f>
        <v>217</v>
      </c>
      <c r="AV99" s="292" t="s">
        <f>VLOOKUP(B99,'UV台帐'!B:AL,28,0)</f>
        <v>116</v>
      </c>
      <c r="AW99" s="292" t="s">
        <f>VLOOKUP(B99,'UV台帐'!B:AL,37,0)</f>
        <v>116</v>
      </c>
      <c r="AX99" s="318" t="n">
        <f>COUNTIFS(H99,"零期",AU99,"是")+COUNTIFS(L99,"零期",AV99,"是")+COUNTIFS(P99,"零期",AW99,"是")</f>
        <v>1</v>
      </c>
      <c r="AZ99" s="673" t="s">
        <v>1712</v>
      </c>
      <c r="BA99" s="197"/>
    </row>
    <row r="100" s="292" customFormat="1" ht="30" customHeight="1">
      <c r="A100" s="318" t="s">
        <v>54</v>
      </c>
      <c r="B100" s="318" t="n">
        <v>4777253883</v>
      </c>
      <c r="C100" s="114" t="s">
        <f>VLOOKUP(B100,'UV台帐'!B:AL,2,0)</f>
        <v>1162</v>
      </c>
      <c r="D100" s="114" t="s">
        <f>VLOOKUP(B100,'UV台帐'!B:AL,3,0)</f>
        <v>57</v>
      </c>
      <c r="E100" s="114" t="s">
        <f>VLOOKUP(B100,'UV台帐'!B:AL,13,0)</f>
        <v>37</v>
      </c>
      <c r="F100" s="114" t="s">
        <f>VLOOKUP(B100,'UV台帐'!B:AL,15,0)</f>
        <v>216</v>
      </c>
      <c r="G100" s="114" t="s">
        <f>VLOOKUP(B100,'UV台帐'!B:AL,16,0)</f>
        <v>283</v>
      </c>
      <c r="H100" s="114" t="s">
        <f>VLOOKUP(B100,'UV台帐'!B:AL,17,0)</f>
        <v>88</v>
      </c>
      <c r="I100" s="114" t="s">
        <f>VLOOKUP(B100,'UV台帐'!B:AL,18,0)</f>
        <v>165</v>
      </c>
      <c r="J100" s="114" t="s">
        <f>VLOOKUP(B100,'UV台帐'!B:AL,22,0)</f>
        <v>47</v>
      </c>
      <c r="K100" s="114" t="s">
        <f>VLOOKUP(B100,'UV台帐'!B:AL,24,0)</f>
        <v>215</v>
      </c>
      <c r="L100" s="114" t="s">
        <f>VLOOKUP(B100,'UV台帐'!B:AL,26,0)</f>
        <v>88</v>
      </c>
      <c r="M100" s="114" t="s">
        <f>VLOOKUP(B100,'UV台帐'!B:AL,27,0)</f>
        <v>165</v>
      </c>
      <c r="N100" s="114" t="s">
        <f>VLOOKUP(B100,'UV台帐'!B:AL,31,0)</f>
        <v>56</v>
      </c>
      <c r="O100" s="114" t="s">
        <f>VLOOKUP(B100,'UV台帐'!B:AL,33,0)</f>
        <v>233</v>
      </c>
      <c r="P100" s="114" t="s">
        <f>VLOOKUP(B100,'UV台帐'!B:AL,35,0)</f>
        <v>88</v>
      </c>
      <c r="Q100" s="114" t="s">
        <f>VLOOKUP(B100,'UV台帐'!B:AL,36,0)</f>
        <v>165</v>
      </c>
      <c r="R100" s="318"/>
      <c r="S100" s="318" t="s">
        <v>217</v>
      </c>
      <c r="T100" s="318" t="s">
        <v>217</v>
      </c>
      <c r="W100" s="318" t="s">
        <v>1426</v>
      </c>
      <c r="X100" s="318"/>
      <c r="Y100" s="318"/>
      <c r="Z100" s="318"/>
      <c r="AA100" s="68" t="s">
        <v>56</v>
      </c>
      <c r="AB100" s="318" t="s">
        <v>218</v>
      </c>
      <c r="AC100" s="104"/>
      <c r="AD100" s="104" t="s">
        <v>218</v>
      </c>
      <c r="AE100" s="318" t="s">
        <v>57</v>
      </c>
      <c r="AF100" s="318" t="n">
        <f>VLOOKUP(B100,'UV台帐'!B:G,6,0)</f>
        <v>0</v>
      </c>
      <c r="AG100" s="318" t="s">
        <v>503</v>
      </c>
      <c r="AH100" s="318" t="s">
        <v>217</v>
      </c>
      <c r="AI100" s="241"/>
      <c r="AJ100" s="508" t="s">
        <v>1713</v>
      </c>
      <c r="AK100" s="508" t="s">
        <v>1713</v>
      </c>
      <c r="AL100" s="290" t="s">
        <v>27</v>
      </c>
      <c r="AM100" s="290" t="s">
        <v>27</v>
      </c>
      <c r="AN100" s="290" t="s">
        <v>27</v>
      </c>
      <c r="AO100" s="290" t="s">
        <v>27</v>
      </c>
      <c r="AP100" s="484" t="s">
        <v>1714</v>
      </c>
      <c r="AR100" s="436"/>
      <c r="AS100" s="318" t="n">
        <f>COUNTIFS(H100,"零期",I100,"在读")+COUNTIFS(L100,"零期",M100,"在读")+COUNTIFS(P100,"零期",Q100,"在读")</f>
        <v>3</v>
      </c>
      <c r="AT100" s="318" t="n">
        <f>AS100-AX100</f>
        <v>3</v>
      </c>
      <c r="AU100" s="292" t="s">
        <f>VLOOKUP(B100,'UV台帐'!B:AL,19,0)</f>
        <v>116</v>
      </c>
      <c r="AV100" s="292" t="s">
        <f>VLOOKUP(B100,'UV台帐'!B:AL,28,0)</f>
        <v>116</v>
      </c>
      <c r="AW100" s="292" t="s">
        <f>VLOOKUP(B100,'UV台帐'!B:AL,37,0)</f>
        <v>116</v>
      </c>
      <c r="AX100" s="318" t="n">
        <f>COUNTIFS(H100,"零期",AU100,"是")+COUNTIFS(L100,"零期",AV100,"是")+COUNTIFS(P100,"零期",AW100,"是")</f>
        <v>0</v>
      </c>
      <c r="AZ100" s="483"/>
      <c r="BA100" s="197"/>
    </row>
    <row r="101" s="292" customFormat="1" ht="30" customHeight="1">
      <c r="A101" s="318" t="s">
        <v>45</v>
      </c>
      <c r="B101" s="318" t="n">
        <v>4787927529</v>
      </c>
      <c r="C101" s="114" t="s">
        <f>VLOOKUP(B101,'UV台帐'!B:AL,2,0)</f>
        <v>1329</v>
      </c>
      <c r="D101" s="114" t="s">
        <f>VLOOKUP(B101,'UV台帐'!B:AL,3,0)</f>
        <v>46</v>
      </c>
      <c r="E101" s="114" t="s">
        <f>VLOOKUP(B101,'UV台帐'!B:AL,13,0)</f>
        <v>37</v>
      </c>
      <c r="F101" s="114" t="s">
        <f>VLOOKUP(B101,'UV台帐'!B:AL,15,0)</f>
        <v>215</v>
      </c>
      <c r="G101" s="114" t="s">
        <f>VLOOKUP(B101,'UV台帐'!B:AL,16,0)</f>
        <v>283</v>
      </c>
      <c r="H101" s="114" t="s">
        <f>VLOOKUP(B101,'UV台帐'!B:AL,17,0)</f>
        <v>88</v>
      </c>
      <c r="I101" s="114" t="s">
        <f>VLOOKUP(B101,'UV台帐'!B:AL,18,0)</f>
        <v>165</v>
      </c>
      <c r="J101" s="114" t="s">
        <f>VLOOKUP(B101,'UV台帐'!B:AL,22,0)</f>
        <v>43</v>
      </c>
      <c r="K101" s="114" t="s">
        <f>VLOOKUP(B101,'UV台帐'!B:AL,24,0)</f>
        <v>216</v>
      </c>
      <c r="L101" s="114" t="s">
        <f>VLOOKUP(B101,'UV台帐'!B:AL,26,0)</f>
        <v>88</v>
      </c>
      <c r="M101" s="114" t="s">
        <f>VLOOKUP(B101,'UV台帐'!B:AL,27,0)</f>
        <v>444</v>
      </c>
      <c r="N101" s="114" t="s">
        <f>VLOOKUP(B101,'UV台帐'!B:AL,31,0)</f>
        <v>52</v>
      </c>
      <c r="O101" s="114" t="s">
        <f>VLOOKUP(B101,'UV台帐'!B:AL,33,0)</f>
        <v>215</v>
      </c>
      <c r="P101" s="114" t="s">
        <f>VLOOKUP(B101,'UV台帐'!B:AL,35,0)</f>
        <v>88</v>
      </c>
      <c r="Q101" s="114" t="s">
        <f>VLOOKUP(B101,'UV台帐'!B:AL,36,0)</f>
        <v>444</v>
      </c>
      <c r="R101" s="318"/>
      <c r="S101" s="318" t="s">
        <v>218</v>
      </c>
      <c r="T101" s="318" t="s">
        <v>218</v>
      </c>
      <c r="W101" s="318"/>
      <c r="X101" s="318"/>
      <c r="Y101" s="318"/>
      <c r="Z101" s="318"/>
      <c r="AA101" s="68" t="s">
        <v>37</v>
      </c>
      <c r="AB101" s="318" t="s">
        <v>217</v>
      </c>
      <c r="AC101" s="104" t="s">
        <v>1715</v>
      </c>
      <c r="AD101" s="104" t="s">
        <v>217</v>
      </c>
      <c r="AE101" s="318" t="s">
        <v>46</v>
      </c>
      <c r="AF101" s="318" t="n">
        <f>VLOOKUP(B101,'UV台帐'!B:G,6,0)</f>
        <v>0</v>
      </c>
      <c r="AG101" s="318"/>
      <c r="AH101" s="318" t="s">
        <v>217</v>
      </c>
      <c r="AI101" s="241" t="s">
        <v>1716</v>
      </c>
      <c r="AJ101" s="508" t="s">
        <v>1717</v>
      </c>
      <c r="AK101" s="508" t="s">
        <v>1717</v>
      </c>
      <c r="AL101" s="290" t="s">
        <v>27</v>
      </c>
      <c r="AM101" s="290"/>
      <c r="AN101" s="290"/>
      <c r="AO101" s="290"/>
      <c r="AP101" s="484"/>
      <c r="AR101" s="436"/>
      <c r="AS101" s="318" t="n">
        <f>COUNTIFS(H101,"零期",I101,"在读")+COUNTIFS(L101,"零期",M101,"在读")+COUNTIFS(P101,"零期",Q101,"在读")</f>
        <v>1</v>
      </c>
      <c r="AT101" s="318" t="n">
        <f>AS101-AX101</f>
        <v>1</v>
      </c>
      <c r="AU101" s="292" t="s">
        <f>VLOOKUP(B101,'UV台帐'!B:AL,19,0)</f>
        <v>116</v>
      </c>
      <c r="AV101" s="292" t="s">
        <f>VLOOKUP(B101,'UV台帐'!B:AL,28,0)</f>
        <v>116</v>
      </c>
      <c r="AW101" s="292" t="s">
        <f>VLOOKUP(B101,'UV台帐'!B:AL,37,0)</f>
        <v>116</v>
      </c>
      <c r="AX101" s="318" t="n">
        <f>COUNTIFS(H101,"零期",AU101,"是")+COUNTIFS(L101,"零期",AV101,"是")+COUNTIFS(P101,"零期",AW101,"是")</f>
        <v>0</v>
      </c>
      <c r="AZ101" s="483" t="s">
        <v>1718</v>
      </c>
      <c r="BA101" s="197"/>
    </row>
    <row r="102" s="292" customFormat="1" ht="30" customHeight="1">
      <c r="A102" s="318" t="s">
        <v>45</v>
      </c>
      <c r="B102" s="318" t="n">
        <v>4815418129</v>
      </c>
      <c r="C102" s="114" t="s">
        <f>VLOOKUP(B102,'UV台帐'!B:AL,2,0)</f>
        <v>1337</v>
      </c>
      <c r="D102" s="114" t="s">
        <f>VLOOKUP(B102,'UV台帐'!B:AL,3,0)</f>
        <v>48</v>
      </c>
      <c r="E102" s="114" t="s">
        <f>VLOOKUP(B102,'UV台帐'!B:AL,13,0)</f>
        <v>37</v>
      </c>
      <c r="F102" s="114" t="s">
        <f>VLOOKUP(B102,'UV台帐'!B:AL,15,0)</f>
        <v>215</v>
      </c>
      <c r="G102" s="114" t="s">
        <f>VLOOKUP(B102,'UV台帐'!B:AL,16,0)</f>
        <v>283</v>
      </c>
      <c r="H102" s="114" t="s">
        <f>VLOOKUP(B102,'UV台帐'!B:AL,17,0)</f>
        <v>88</v>
      </c>
      <c r="I102" s="114" t="s">
        <f>VLOOKUP(B102,'UV台帐'!B:AL,18,0)</f>
        <v>165</v>
      </c>
      <c r="J102" s="114" t="s">
        <f>VLOOKUP(B102,'UV台帐'!B:AL,22,0)</f>
        <v>49</v>
      </c>
      <c r="K102" s="114" t="s">
        <f>VLOOKUP(B102,'UV台帐'!B:AL,24,0)</f>
        <v>216</v>
      </c>
      <c r="L102" s="114" t="s">
        <f>VLOOKUP(B102,'UV台帐'!B:AL,26,0)</f>
        <v>88</v>
      </c>
      <c r="M102" s="114" t="s">
        <f>VLOOKUP(B102,'UV台帐'!B:AL,27,0)</f>
        <v>165</v>
      </c>
      <c r="N102" s="114" t="s">
        <f>VLOOKUP(B102,'UV台帐'!B:AL,31,0)</f>
        <v>52</v>
      </c>
      <c r="O102" s="114" t="s">
        <f>VLOOKUP(B102,'UV台帐'!B:AL,33,0)</f>
        <v>233</v>
      </c>
      <c r="P102" s="114" t="s">
        <f>VLOOKUP(B102,'UV台帐'!B:AL,35,0)</f>
        <v>88</v>
      </c>
      <c r="Q102" s="114" t="s">
        <f>VLOOKUP(B102,'UV台帐'!B:AL,36,0)</f>
        <v>165</v>
      </c>
      <c r="R102" s="318"/>
      <c r="S102" s="318" t="s">
        <v>217</v>
      </c>
      <c r="T102" s="318" t="s">
        <v>217</v>
      </c>
      <c r="U102" s="318"/>
      <c r="V102" s="318"/>
      <c r="W102" s="318" t="s">
        <v>49</v>
      </c>
      <c r="X102" s="318"/>
      <c r="Y102" s="318" t="s">
        <v>1656</v>
      </c>
      <c r="Z102" s="318"/>
      <c r="AA102" s="68" t="s">
        <v>49</v>
      </c>
      <c r="AB102" s="7" t="s">
        <v>217</v>
      </c>
      <c r="AC102" s="104" t="s">
        <v>1631</v>
      </c>
      <c r="AD102" s="104" t="s">
        <v>217</v>
      </c>
      <c r="AE102" s="318" t="s">
        <v>48</v>
      </c>
      <c r="AF102" s="318" t="n">
        <f>VLOOKUP(B102,'UV台帐'!B:G,6,0)</f>
        <v>0</v>
      </c>
      <c r="AG102" s="318" t="s">
        <v>325</v>
      </c>
      <c r="AH102" s="318" t="s">
        <v>217</v>
      </c>
      <c r="AI102" s="241" t="s">
        <v>1675</v>
      </c>
      <c r="AJ102" s="508" t="s">
        <v>1676</v>
      </c>
      <c r="AK102" s="508" t="s">
        <v>1676</v>
      </c>
      <c r="AL102" s="290" t="s">
        <v>28</v>
      </c>
      <c r="AM102" s="290" t="s">
        <v>28</v>
      </c>
      <c r="AN102" s="290" t="s">
        <v>29</v>
      </c>
      <c r="AO102" s="290"/>
      <c r="AP102" s="484" t="s">
        <v>1677</v>
      </c>
      <c r="AQ102" s="292" t="s">
        <v>217</v>
      </c>
      <c r="AR102" s="436"/>
      <c r="AS102" s="318" t="n">
        <f>COUNTIFS(H102,"零期",I102,"在读")+COUNTIFS(L102,"零期",M102,"在读")+COUNTIFS(P102,"零期",Q102,"在读")</f>
        <v>3</v>
      </c>
      <c r="AT102" s="318" t="n">
        <f>AS102-AX102</f>
        <v>3</v>
      </c>
      <c r="AU102" s="292" t="s">
        <f>VLOOKUP(B102,'UV台帐'!B:AL,19,0)</f>
        <v>116</v>
      </c>
      <c r="AV102" s="292" t="s">
        <f>VLOOKUP(B102,'UV台帐'!B:AL,28,0)</f>
        <v>116</v>
      </c>
      <c r="AW102" s="292" t="s">
        <f>VLOOKUP(B102,'UV台帐'!B:AL,37,0)</f>
        <v>116</v>
      </c>
      <c r="AX102" s="318" t="n">
        <f>COUNTIFS(H102,"零期",AU102,"是")+COUNTIFS(L102,"零期",AV102,"是")+COUNTIFS(P102,"零期",AW102,"是")</f>
        <v>0</v>
      </c>
      <c r="AZ102" s="496" t="s">
        <v>1678</v>
      </c>
      <c r="BA102" s="197"/>
    </row>
    <row r="103" s="292" customFormat="1" ht="30" customHeight="1">
      <c r="A103" s="318" t="s">
        <v>45</v>
      </c>
      <c r="B103" s="318" t="n">
        <v>4815840303</v>
      </c>
      <c r="C103" s="114" t="s">
        <f>VLOOKUP(B103,'UV台帐'!B:AL,2,0)</f>
        <v>1326</v>
      </c>
      <c r="D103" s="114" t="s">
        <f>VLOOKUP(B103,'UV台帐'!B:AL,3,0)</f>
        <v>50</v>
      </c>
      <c r="E103" s="114" t="s">
        <f>VLOOKUP(B103,'UV台帐'!B:AL,13,0)</f>
        <v>31</v>
      </c>
      <c r="F103" s="114" t="s">
        <f>VLOOKUP(B103,'UV台帐'!B:AL,15,0)</f>
        <v>215</v>
      </c>
      <c r="G103" s="114" t="s">
        <f>VLOOKUP(B103,'UV台帐'!B:AL,16,0)</f>
        <v>283</v>
      </c>
      <c r="H103" s="114" t="s">
        <f>VLOOKUP(B103,'UV台帐'!B:AL,17,0)</f>
        <v>88</v>
      </c>
      <c r="I103" s="114" t="s">
        <f>VLOOKUP(B103,'UV台帐'!B:AL,18,0)</f>
        <v>165</v>
      </c>
      <c r="J103" s="114" t="s">
        <f>VLOOKUP(B103,'UV台帐'!B:AL,22,0)</f>
        <v>47</v>
      </c>
      <c r="K103" s="114" t="s">
        <f>VLOOKUP(B103,'UV台帐'!B:AL,24,0)</f>
        <v>233</v>
      </c>
      <c r="L103" s="114" t="s">
        <f>VLOOKUP(B103,'UV台帐'!B:AL,26,0)</f>
        <v>88</v>
      </c>
      <c r="M103" s="114" t="s">
        <f>VLOOKUP(B103,'UV台帐'!B:AL,27,0)</f>
        <v>165</v>
      </c>
      <c r="N103" s="114" t="s">
        <f>VLOOKUP(B103,'UV台帐'!B:AL,31,0)</f>
        <v>58</v>
      </c>
      <c r="O103" s="114" t="s">
        <f>VLOOKUP(B103,'UV台帐'!B:AL,33,0)</f>
        <v>216</v>
      </c>
      <c r="P103" s="114" t="s">
        <f>VLOOKUP(B103,'UV台帐'!B:AL,35,0)</f>
        <v>88</v>
      </c>
      <c r="Q103" s="114" t="s">
        <f>VLOOKUP(B103,'UV台帐'!B:AL,36,0)</f>
        <v>165</v>
      </c>
      <c r="R103" s="318"/>
      <c r="S103" s="318" t="s">
        <v>217</v>
      </c>
      <c r="T103" s="318" t="s">
        <v>217</v>
      </c>
      <c r="W103" s="318"/>
      <c r="X103" s="318"/>
      <c r="Y103" s="318" t="s">
        <v>58</v>
      </c>
      <c r="Z103" s="318"/>
      <c r="AA103" s="68" t="s">
        <v>58</v>
      </c>
      <c r="AB103" s="318" t="s">
        <v>217</v>
      </c>
      <c r="AC103" s="104" t="s">
        <v>50</v>
      </c>
      <c r="AD103" s="104" t="s">
        <v>217</v>
      </c>
      <c r="AE103" s="318" t="s">
        <v>50</v>
      </c>
      <c r="AF103" s="318" t="n">
        <f>VLOOKUP(B103,'UV台帐'!B:G,6,0)</f>
        <v>0</v>
      </c>
      <c r="AG103" s="318" t="s">
        <v>1719</v>
      </c>
      <c r="AH103" s="318" t="s">
        <v>217</v>
      </c>
      <c r="AI103" s="241" t="s">
        <v>1720</v>
      </c>
      <c r="AJ103" s="508" t="s">
        <v>1721</v>
      </c>
      <c r="AK103" s="508" t="s">
        <v>1721</v>
      </c>
      <c r="AL103" s="290" t="s">
        <v>27</v>
      </c>
      <c r="AM103" s="290" t="s">
        <v>28</v>
      </c>
      <c r="AN103" s="290" t="s">
        <v>28</v>
      </c>
      <c r="AO103" s="290" t="s">
        <v>28</v>
      </c>
      <c r="AP103" s="674" t="s">
        <v>1722</v>
      </c>
      <c r="AQ103" s="292" t="s">
        <v>217</v>
      </c>
      <c r="AR103" s="436"/>
      <c r="AS103" s="318" t="n">
        <f>COUNTIFS(H103,"零期",I103,"在读")+COUNTIFS(L103,"零期",M103,"在读")+COUNTIFS(P103,"零期",Q103,"在读")</f>
        <v>3</v>
      </c>
      <c r="AT103" s="318" t="n">
        <f>AS103-AX103</f>
        <v>3</v>
      </c>
      <c r="AU103" s="292" t="s">
        <f>VLOOKUP(B103,'UV台帐'!B:AL,19,0)</f>
        <v>116</v>
      </c>
      <c r="AV103" s="292" t="s">
        <f>VLOOKUP(B103,'UV台帐'!B:AL,28,0)</f>
        <v>116</v>
      </c>
      <c r="AW103" s="292" t="s">
        <f>VLOOKUP(B103,'UV台帐'!B:AL,37,0)</f>
        <v>116</v>
      </c>
      <c r="AX103" s="318" t="n">
        <f>COUNTIFS(H103,"零期",AU103,"是")+COUNTIFS(L103,"零期",AV103,"是")+COUNTIFS(P103,"零期",AW103,"是")</f>
        <v>0</v>
      </c>
      <c r="AZ103" s="483" t="s">
        <v>1723</v>
      </c>
      <c r="BA103" s="197"/>
    </row>
    <row r="104" s="292" customFormat="1" ht="30" customHeight="1">
      <c r="A104" s="318" t="s">
        <v>54</v>
      </c>
      <c r="B104" s="318" t="n">
        <v>4815971458</v>
      </c>
      <c r="C104" s="114" t="s">
        <f>VLOOKUP(B104,'UV台帐'!B:AL,2,0)</f>
        <v>1289</v>
      </c>
      <c r="D104" s="114" t="s">
        <f>VLOOKUP(B104,'UV台帐'!B:AL,3,0)</f>
        <v>59</v>
      </c>
      <c r="E104" s="114" t="s">
        <f>VLOOKUP(B104,'UV台帐'!B:AL,13,0)</f>
        <v>31</v>
      </c>
      <c r="F104" s="114" t="s">
        <f>VLOOKUP(B104,'UV台帐'!B:AL,15,0)</f>
        <v>233</v>
      </c>
      <c r="G104" s="114" t="s">
        <f>VLOOKUP(B104,'UV台帐'!B:AL,16,0)</f>
        <v>234</v>
      </c>
      <c r="H104" s="114" t="s">
        <f>VLOOKUP(B104,'UV台帐'!B:AL,17,0)</f>
        <v>88</v>
      </c>
      <c r="I104" s="114" t="s">
        <f>VLOOKUP(B104,'UV台帐'!B:AL,18,0)</f>
        <v>444</v>
      </c>
      <c r="J104" s="114" t="s">
        <f>VLOOKUP(B104,'UV台帐'!B:AL,22,0)</f>
        <v>43</v>
      </c>
      <c r="K104" s="114" t="s">
        <f>VLOOKUP(B104,'UV台帐'!B:AL,24,0)</f>
        <v>216</v>
      </c>
      <c r="L104" s="114" t="s">
        <f>VLOOKUP(B104,'UV台帐'!B:AL,26,0)</f>
        <v>100</v>
      </c>
      <c r="M104" s="114" t="s">
        <f>VLOOKUP(B104,'UV台帐'!B:AL,27,0)</f>
        <v>444</v>
      </c>
      <c r="N104" s="114" t="s">
        <f>VLOOKUP(B104,'UV台帐'!B:AL,31,0)</f>
        <v>56</v>
      </c>
      <c r="O104" s="114" t="s">
        <f>VLOOKUP(B104,'UV台帐'!B:AL,33,0)</f>
        <v>216</v>
      </c>
      <c r="P104" s="114" t="s">
        <f>VLOOKUP(B104,'UV台帐'!B:AL,35,0)</f>
        <v>88</v>
      </c>
      <c r="Q104" s="114" t="s">
        <f>VLOOKUP(B104,'UV台帐'!B:AL,36,0)</f>
        <v>165</v>
      </c>
      <c r="R104" s="318"/>
      <c r="S104" s="318" t="s">
        <v>217</v>
      </c>
      <c r="T104" s="318" t="s">
        <v>217</v>
      </c>
      <c r="W104" s="318" t="s">
        <v>56</v>
      </c>
      <c r="X104" s="318"/>
      <c r="Y104" s="318"/>
      <c r="Z104" s="318"/>
      <c r="AA104" s="68" t="s">
        <v>56</v>
      </c>
      <c r="AB104" s="318" t="s">
        <v>217</v>
      </c>
      <c r="AC104" s="147" t="s">
        <v>1382</v>
      </c>
      <c r="AD104" s="104" t="s">
        <v>217</v>
      </c>
      <c r="AE104" s="318" t="s">
        <v>59</v>
      </c>
      <c r="AF104" s="318" t="n">
        <f>VLOOKUP(B104,'UV台帐'!B:G,6,0)</f>
        <v>0</v>
      </c>
      <c r="AG104" s="318" t="s">
        <v>464</v>
      </c>
      <c r="AH104" s="318" t="s">
        <v>217</v>
      </c>
      <c r="AI104" s="241" t="s">
        <v>1466</v>
      </c>
      <c r="AJ104" s="508" t="s">
        <v>1724</v>
      </c>
      <c r="AK104" s="508" t="s">
        <v>1724</v>
      </c>
      <c r="AL104" s="290" t="s">
        <v>28</v>
      </c>
      <c r="AM104" s="290" t="s">
        <v>28</v>
      </c>
      <c r="AN104" s="290"/>
      <c r="AO104" s="290"/>
      <c r="AP104" s="484" t="s">
        <v>1725</v>
      </c>
      <c r="AQ104" s="292" t="s">
        <v>217</v>
      </c>
      <c r="AR104" s="436" t="s">
        <v>1726</v>
      </c>
      <c r="AS104" s="318" t="n">
        <f>COUNTIFS(H104,"零期",I104,"在读")+COUNTIFS(L104,"零期",M104,"在读")+COUNTIFS(P104,"零期",Q104,"在读")</f>
        <v>1</v>
      </c>
      <c r="AT104" s="318" t="n">
        <f>AS104-AX104</f>
        <v>1</v>
      </c>
      <c r="AU104" s="292" t="s">
        <f>VLOOKUP(B104,'UV台帐'!B:AL,19,0)</f>
        <v>116</v>
      </c>
      <c r="AV104" s="292" t="s">
        <f>VLOOKUP(B104,'UV台帐'!B:AL,28,0)</f>
        <v>116</v>
      </c>
      <c r="AW104" s="292" t="s">
        <f>VLOOKUP(B104,'UV台帐'!B:AL,37,0)</f>
        <v>116</v>
      </c>
      <c r="AX104" s="318" t="n">
        <f>COUNTIFS(H104,"零期",AU104,"是")+COUNTIFS(L104,"零期",AV104,"是")+COUNTIFS(P104,"零期",AW104,"是")</f>
        <v>0</v>
      </c>
      <c r="AZ104" s="675" t="s">
        <v>1727</v>
      </c>
      <c r="BA104" s="483" t="s">
        <v>1728</v>
      </c>
    </row>
    <row r="105" s="292" customFormat="1" ht="30" customHeight="1">
      <c r="A105" s="318" t="s">
        <v>54</v>
      </c>
      <c r="B105" s="318" t="n">
        <v>4816521213</v>
      </c>
      <c r="C105" s="114" t="s">
        <f>VLOOKUP(B105,'UV台帐'!B:AL,2,0)</f>
        <v>1300</v>
      </c>
      <c r="D105" s="114" t="s">
        <f>VLOOKUP(B105,'UV台帐'!B:AL,3,0)</f>
        <v>48</v>
      </c>
      <c r="E105" s="114" t="s">
        <f>VLOOKUP(B105,'UV台帐'!B:AL,13,0)</f>
        <v>37</v>
      </c>
      <c r="F105" s="114" t="s">
        <f>VLOOKUP(B105,'UV台帐'!B:AL,15,0)</f>
        <v>216</v>
      </c>
      <c r="G105" s="114" t="s">
        <f>VLOOKUP(B105,'UV台帐'!B:AL,16,0)</f>
        <v>283</v>
      </c>
      <c r="H105" s="114" t="s">
        <f>VLOOKUP(B105,'UV台帐'!B:AL,17,0)</f>
        <v>88</v>
      </c>
      <c r="I105" s="114" t="s">
        <f>VLOOKUP(B105,'UV台帐'!B:AL,18,0)</f>
        <v>165</v>
      </c>
      <c r="J105" s="114" t="s">
        <f>VLOOKUP(B105,'UV台帐'!B:AL,22,0)</f>
        <v>47</v>
      </c>
      <c r="K105" s="114" t="s">
        <f>VLOOKUP(B105,'UV台帐'!B:AL,24,0)</f>
        <v>215</v>
      </c>
      <c r="L105" s="114" t="s">
        <f>VLOOKUP(B105,'UV台帐'!B:AL,26,0)</f>
        <v>88</v>
      </c>
      <c r="M105" s="114" t="s">
        <f>VLOOKUP(B105,'UV台帐'!B:AL,27,0)</f>
        <v>165</v>
      </c>
      <c r="N105" s="114" t="s">
        <f>VLOOKUP(B105,'UV台帐'!B:AL,31,0)</f>
        <v>56</v>
      </c>
      <c r="O105" s="114" t="s">
        <f>VLOOKUP(B105,'UV台帐'!B:AL,33,0)</f>
        <v>233</v>
      </c>
      <c r="P105" s="114" t="s">
        <f>VLOOKUP(B105,'UV台帐'!B:AL,35,0)</f>
        <v>88</v>
      </c>
      <c r="Q105" s="114" t="s">
        <f>VLOOKUP(B105,'UV台帐'!B:AL,36,0)</f>
        <v>165</v>
      </c>
      <c r="R105" s="318"/>
      <c r="S105" s="318" t="s">
        <v>217</v>
      </c>
      <c r="T105" s="318" t="s">
        <v>217</v>
      </c>
      <c r="W105" s="318" t="s">
        <v>37</v>
      </c>
      <c r="X105" s="318"/>
      <c r="Y105" s="114"/>
      <c r="Z105" s="114"/>
      <c r="AA105" s="68" t="s">
        <v>37</v>
      </c>
      <c r="AB105" s="318" t="s">
        <v>217</v>
      </c>
      <c r="AC105" s="147" t="s">
        <v>48</v>
      </c>
      <c r="AD105" s="104" t="s">
        <v>217</v>
      </c>
      <c r="AE105" s="318" t="s">
        <v>48</v>
      </c>
      <c r="AF105" s="318" t="n">
        <f>VLOOKUP(B105,'UV台帐'!B:G,6,0)</f>
        <v>0</v>
      </c>
      <c r="AG105" s="318" t="s">
        <v>1729</v>
      </c>
      <c r="AH105" s="318" t="s">
        <v>217</v>
      </c>
      <c r="AI105" s="241" t="s">
        <v>1730</v>
      </c>
      <c r="AJ105" s="508" t="s">
        <v>1731</v>
      </c>
      <c r="AK105" s="508" t="s">
        <v>1731</v>
      </c>
      <c r="AL105" s="290" t="s">
        <v>27</v>
      </c>
      <c r="AM105" s="290"/>
      <c r="AN105" s="290" t="s">
        <v>27</v>
      </c>
      <c r="AO105" s="290"/>
      <c r="AP105" s="484"/>
      <c r="AR105" s="436"/>
      <c r="AS105" s="318" t="n">
        <f>COUNTIFS(H105,"零期",I105,"在读")+COUNTIFS(L105,"零期",M105,"在读")+COUNTIFS(P105,"零期",Q105,"在读")</f>
        <v>3</v>
      </c>
      <c r="AT105" s="318" t="n">
        <f>AS105-AX105</f>
        <v>3</v>
      </c>
      <c r="AU105" s="292" t="s">
        <f>VLOOKUP(B105,'UV台帐'!B:AL,19,0)</f>
        <v>116</v>
      </c>
      <c r="AV105" s="292" t="s">
        <f>VLOOKUP(B105,'UV台帐'!B:AL,28,0)</f>
        <v>116</v>
      </c>
      <c r="AW105" s="292" t="s">
        <f>VLOOKUP(B105,'UV台帐'!B:AL,37,0)</f>
        <v>116</v>
      </c>
      <c r="AX105" s="318" t="n">
        <f>COUNTIFS(H105,"零期",AU105,"是")+COUNTIFS(L105,"零期",AV105,"是")+COUNTIFS(P105,"零期",AW105,"是")</f>
        <v>0</v>
      </c>
      <c r="AZ105" s="483" t="s">
        <v>1732</v>
      </c>
      <c r="BA105" s="197"/>
    </row>
    <row r="106" s="292" customFormat="1" ht="30" customHeight="1">
      <c r="A106" s="318" t="s">
        <v>45</v>
      </c>
      <c r="B106" s="318" t="n">
        <v>4816966506</v>
      </c>
      <c r="C106" s="114" t="s">
        <f>VLOOKUP(B106,'UV台帐'!B:AL,2,0)</f>
        <v>1303</v>
      </c>
      <c r="D106" s="114" t="s">
        <f>VLOOKUP(B106,'UV台帐'!B:AL,3,0)</f>
        <v>46</v>
      </c>
      <c r="E106" s="114" t="s">
        <f>VLOOKUP(B106,'UV台帐'!B:AL,13,0)</f>
        <v>31</v>
      </c>
      <c r="F106" s="114" t="s">
        <f>VLOOKUP(B106,'UV台帐'!B:AL,15,0)</f>
        <v>246</v>
      </c>
      <c r="G106" s="114" t="s">
        <f>VLOOKUP(B106,'UV台帐'!B:AL,16,0)</f>
        <v>234</v>
      </c>
      <c r="H106" s="114" t="s">
        <f>VLOOKUP(B106,'UV台帐'!B:AL,17,0)</f>
        <v>88</v>
      </c>
      <c r="I106" s="114" t="s">
        <f>VLOOKUP(B106,'UV台帐'!B:AL,18,0)</f>
        <v>165</v>
      </c>
      <c r="J106" s="114" t="s">
        <f>VLOOKUP(B106,'UV台帐'!B:AL,22,0)</f>
        <v>43</v>
      </c>
      <c r="K106" s="114" t="s">
        <f>VLOOKUP(B106,'UV台帐'!B:AL,24,0)</f>
        <v>216</v>
      </c>
      <c r="L106" s="114" t="s">
        <f>VLOOKUP(B106,'UV台帐'!B:AL,26,0)</f>
        <v>88</v>
      </c>
      <c r="M106" s="114" t="s">
        <f>VLOOKUP(B106,'UV台帐'!B:AL,27,0)</f>
        <v>165</v>
      </c>
      <c r="N106" s="114" t="s">
        <f>VLOOKUP(B106,'UV台帐'!B:AL,31,0)</f>
        <v>52</v>
      </c>
      <c r="O106" s="114" t="s">
        <f>VLOOKUP(B106,'UV台帐'!B:AL,33,0)</f>
        <v>215</v>
      </c>
      <c r="P106" s="114" t="s">
        <f>VLOOKUP(B106,'UV台帐'!B:AL,35,0)</f>
        <v>88</v>
      </c>
      <c r="Q106" s="114" t="s">
        <f>VLOOKUP(B106,'UV台帐'!B:AL,36,0)</f>
        <v>165</v>
      </c>
      <c r="R106" s="318"/>
      <c r="S106" s="318" t="s">
        <v>217</v>
      </c>
      <c r="T106" s="318" t="s">
        <v>217</v>
      </c>
      <c r="W106" s="318"/>
      <c r="X106" s="318"/>
      <c r="Y106" s="318" t="s">
        <v>31</v>
      </c>
      <c r="Z106" s="318"/>
      <c r="AA106" s="75" t="s">
        <v>31</v>
      </c>
      <c r="AB106" s="318" t="s">
        <v>217</v>
      </c>
      <c r="AC106" s="104" t="s">
        <v>59</v>
      </c>
      <c r="AD106" s="114" t="s">
        <v>217</v>
      </c>
      <c r="AE106" s="318" t="s">
        <v>46</v>
      </c>
      <c r="AF106" s="318" t="n">
        <f>VLOOKUP(B106,'UV台帐'!B:G,6,0)</f>
        <v>0</v>
      </c>
      <c r="AG106" s="318" t="s">
        <v>495</v>
      </c>
      <c r="AH106" s="318" t="s">
        <v>217</v>
      </c>
      <c r="AI106" s="241" t="s">
        <v>1379</v>
      </c>
      <c r="AJ106" s="676" t="s">
        <v>1733</v>
      </c>
      <c r="AK106" s="677" t="s">
        <v>1733</v>
      </c>
      <c r="AL106" s="290" t="s">
        <v>28</v>
      </c>
      <c r="AM106" s="290" t="s">
        <v>28</v>
      </c>
      <c r="AN106" s="290" t="s">
        <v>28</v>
      </c>
      <c r="AO106" s="290" t="s">
        <v>28</v>
      </c>
      <c r="AP106" s="484" t="s">
        <v>1734</v>
      </c>
      <c r="AQ106" s="292" t="s">
        <v>217</v>
      </c>
      <c r="AR106" s="436"/>
      <c r="AS106" s="318" t="n">
        <f>COUNTIFS(H106,"零期",I106,"在读")+COUNTIFS(L106,"零期",M106,"在读")+COUNTIFS(P106,"零期",Q106,"在读")</f>
        <v>3</v>
      </c>
      <c r="AT106" s="318" t="n">
        <f>AS106-AX106</f>
        <v>1</v>
      </c>
      <c r="AU106" s="292" t="s">
        <f>VLOOKUP(B106,'UV台帐'!B:AL,19,0)</f>
        <v>217</v>
      </c>
      <c r="AV106" s="292" t="s">
        <f>VLOOKUP(B106,'UV台帐'!B:AL,28,0)</f>
        <v>116</v>
      </c>
      <c r="AW106" s="292" t="s">
        <f>VLOOKUP(B106,'UV台帐'!B:AL,37,0)</f>
        <v>217</v>
      </c>
      <c r="AX106" s="318" t="n">
        <f>COUNTIFS(H106,"零期",AU106,"是")+COUNTIFS(L106,"零期",AV106,"是")+COUNTIFS(P106,"零期",AW106,"是")</f>
        <v>2</v>
      </c>
      <c r="AZ106" s="483" t="s">
        <v>1364</v>
      </c>
      <c r="BA106" s="197"/>
    </row>
    <row r="107" s="292" customFormat="1" ht="30" customHeight="1">
      <c r="A107" s="318" t="s">
        <v>45</v>
      </c>
      <c r="B107" s="318" t="n">
        <v>4819955828</v>
      </c>
      <c r="C107" s="114" t="s">
        <f>VLOOKUP(B107,'UV台帐'!B:AL,2,0)</f>
        <v>1313</v>
      </c>
      <c r="D107" s="114" t="s">
        <f>VLOOKUP(B107,'UV台帐'!B:AL,3,0)</f>
        <v>48</v>
      </c>
      <c r="E107" s="114" t="s">
        <f>VLOOKUP(B107,'UV台帐'!B:AL,13,0)</f>
        <v>31</v>
      </c>
      <c r="F107" s="114" t="s">
        <f>VLOOKUP(B107,'UV台帐'!B:AL,15,0)</f>
        <v>246</v>
      </c>
      <c r="G107" s="114" t="s">
        <f>VLOOKUP(B107,'UV台帐'!B:AL,16,0)</f>
        <v>234</v>
      </c>
      <c r="H107" s="114" t="s">
        <f>VLOOKUP(B107,'UV台帐'!B:AL,17,0)</f>
        <v>88</v>
      </c>
      <c r="I107" s="114" t="s">
        <f>VLOOKUP(B107,'UV台帐'!B:AL,18,0)</f>
        <v>165</v>
      </c>
      <c r="J107" s="114" t="s">
        <f>VLOOKUP(B107,'UV台帐'!B:AL,22,0)</f>
        <v>43</v>
      </c>
      <c r="K107" s="114" t="s">
        <f>VLOOKUP(B107,'UV台帐'!B:AL,24,0)</f>
        <v>216</v>
      </c>
      <c r="L107" s="114" t="s">
        <f>VLOOKUP(B107,'UV台帐'!B:AL,26,0)</f>
        <v>88</v>
      </c>
      <c r="M107" s="114" t="s">
        <f>VLOOKUP(B107,'UV台帐'!B:AL,27,0)</f>
        <v>165</v>
      </c>
      <c r="N107" s="114" t="s">
        <f>VLOOKUP(B107,'UV台帐'!B:AL,31,0)</f>
        <v>52</v>
      </c>
      <c r="O107" s="114" t="s">
        <f>VLOOKUP(B107,'UV台帐'!B:AL,33,0)</f>
        <v>215</v>
      </c>
      <c r="P107" s="114" t="s">
        <f>VLOOKUP(B107,'UV台帐'!B:AL,35,0)</f>
        <v>88</v>
      </c>
      <c r="Q107" s="114" t="s">
        <f>VLOOKUP(B107,'UV台帐'!B:AL,36,0)</f>
        <v>165</v>
      </c>
      <c r="R107" s="318"/>
      <c r="S107" s="318" t="s">
        <v>217</v>
      </c>
      <c r="T107" s="318" t="s">
        <v>217</v>
      </c>
      <c r="W107" s="318" t="s">
        <v>31</v>
      </c>
      <c r="X107" s="318"/>
      <c r="Y107" s="318" t="s">
        <v>52</v>
      </c>
      <c r="Z107" s="318"/>
      <c r="AA107" s="68" t="s">
        <v>43</v>
      </c>
      <c r="AB107" s="318" t="s">
        <v>217</v>
      </c>
      <c r="AC107" s="104" t="s">
        <v>1672</v>
      </c>
      <c r="AD107" s="104" t="s">
        <v>217</v>
      </c>
      <c r="AE107" s="318" t="s">
        <v>48</v>
      </c>
      <c r="AF107" s="318" t="n">
        <f>VLOOKUP(B107,'UV台帐'!B:G,6,0)</f>
        <v>0</v>
      </c>
      <c r="AG107" s="318" t="s">
        <v>464</v>
      </c>
      <c r="AH107" s="318" t="s">
        <v>217</v>
      </c>
      <c r="AI107" s="241" t="s">
        <v>1735</v>
      </c>
      <c r="AJ107" s="508" t="s">
        <v>1736</v>
      </c>
      <c r="AK107" s="508" t="s">
        <v>1736</v>
      </c>
      <c r="AL107" s="290"/>
      <c r="AM107" s="290"/>
      <c r="AN107" s="290"/>
      <c r="AO107" s="290"/>
      <c r="AP107" s="484" t="s">
        <v>1737</v>
      </c>
      <c r="AR107" s="436"/>
      <c r="AS107" s="318" t="n">
        <f>COUNTIFS(H107,"零期",I107,"在读")+COUNTIFS(L107,"零期",M107,"在读")+COUNTIFS(P107,"零期",Q107,"在读")</f>
        <v>3</v>
      </c>
      <c r="AT107" s="318" t="n">
        <f>AS107-AX107</f>
        <v>0</v>
      </c>
      <c r="AU107" s="292" t="s">
        <f>VLOOKUP(B107,'UV台帐'!B:AL,19,0)</f>
        <v>217</v>
      </c>
      <c r="AV107" s="292" t="s">
        <f>VLOOKUP(B107,'UV台帐'!B:AL,28,0)</f>
        <v>217</v>
      </c>
      <c r="AW107" s="292" t="s">
        <f>VLOOKUP(B107,'UV台帐'!B:AL,37,0)</f>
        <v>217</v>
      </c>
      <c r="AX107" s="318" t="n">
        <f>COUNTIFS(H107,"零期",AU107,"是")+COUNTIFS(L107,"零期",AV107,"是")+COUNTIFS(P107,"零期",AW107,"是")</f>
        <v>3</v>
      </c>
      <c r="AZ107" s="483" t="s">
        <v>1364</v>
      </c>
      <c r="BA107" s="197"/>
    </row>
    <row r="108" s="292" customFormat="1" ht="30" customHeight="1">
      <c r="A108" s="318" t="s">
        <v>45</v>
      </c>
      <c r="B108" s="318" t="n">
        <v>4823074947</v>
      </c>
      <c r="C108" s="114" t="s">
        <f>VLOOKUP(B108,'UV台帐'!B:AL,2,0)</f>
        <v>1169</v>
      </c>
      <c r="D108" s="114" t="s">
        <f>VLOOKUP(B108,'UV台帐'!B:AL,3,0)</f>
        <v>48</v>
      </c>
      <c r="E108" s="114" t="s">
        <f>VLOOKUP(B108,'UV台帐'!B:AL,13,0)</f>
        <v>31</v>
      </c>
      <c r="F108" s="114" t="s">
        <f>VLOOKUP(B108,'UV台帐'!B:AL,15,0)</f>
        <v>215</v>
      </c>
      <c r="G108" s="114" t="s">
        <f>VLOOKUP(B108,'UV台帐'!B:AL,16,0)</f>
        <v>283</v>
      </c>
      <c r="H108" s="114" t="s">
        <f>VLOOKUP(B108,'UV台帐'!B:AL,17,0)</f>
        <v>88</v>
      </c>
      <c r="I108" s="114" t="s">
        <f>VLOOKUP(B108,'UV台帐'!B:AL,18,0)</f>
        <v>165</v>
      </c>
      <c r="J108" s="114" t="s">
        <f>VLOOKUP(B108,'UV台帐'!B:AL,22,0)</f>
        <v>47</v>
      </c>
      <c r="K108" s="114" t="s">
        <f>VLOOKUP(B108,'UV台帐'!B:AL,24,0)</f>
        <v>233</v>
      </c>
      <c r="L108" s="114" t="s">
        <f>VLOOKUP(B108,'UV台帐'!B:AL,26,0)</f>
        <v>88</v>
      </c>
      <c r="M108" s="114" t="s">
        <f>VLOOKUP(B108,'UV台帐'!B:AL,27,0)</f>
        <v>165</v>
      </c>
      <c r="N108" s="114" t="s">
        <f>VLOOKUP(B108,'UV台帐'!B:AL,31,0)</f>
        <v>58</v>
      </c>
      <c r="O108" s="114" t="s">
        <f>VLOOKUP(B108,'UV台帐'!B:AL,33,0)</f>
        <v>216</v>
      </c>
      <c r="P108" s="114" t="s">
        <f>VLOOKUP(B108,'UV台帐'!B:AL,35,0)</f>
        <v>88</v>
      </c>
      <c r="Q108" s="114" t="s">
        <f>VLOOKUP(B108,'UV台帐'!B:AL,36,0)</f>
        <v>165</v>
      </c>
      <c r="R108" s="318"/>
      <c r="S108" s="318" t="s">
        <v>217</v>
      </c>
      <c r="T108" s="318" t="s">
        <v>217</v>
      </c>
      <c r="W108" s="318"/>
      <c r="X108" s="318"/>
      <c r="Y108" s="318" t="s">
        <v>1738</v>
      </c>
      <c r="Z108" s="318"/>
      <c r="AA108" s="68" t="s">
        <v>58</v>
      </c>
      <c r="AB108" s="318" t="s">
        <v>217</v>
      </c>
      <c r="AC108" s="104" t="s">
        <v>48</v>
      </c>
      <c r="AD108" s="104" t="s">
        <v>217</v>
      </c>
      <c r="AE108" s="318" t="s">
        <v>48</v>
      </c>
      <c r="AF108" s="318" t="n">
        <f>VLOOKUP(B108,'UV台帐'!B:G,6,0)</f>
        <v>0</v>
      </c>
      <c r="AG108" s="318"/>
      <c r="AH108" s="318" t="s">
        <v>217</v>
      </c>
      <c r="AI108" s="241" t="s">
        <v>1466</v>
      </c>
      <c r="AJ108" s="508" t="s">
        <v>1739</v>
      </c>
      <c r="AK108" s="508" t="s">
        <v>1739</v>
      </c>
      <c r="AL108" s="290" t="s">
        <v>28</v>
      </c>
      <c r="AM108" s="290" t="s">
        <v>28</v>
      </c>
      <c r="AN108" s="290" t="s">
        <v>28</v>
      </c>
      <c r="AO108" s="290" t="s">
        <v>28</v>
      </c>
      <c r="AP108" s="484" t="s">
        <v>1740</v>
      </c>
      <c r="AR108" s="436"/>
      <c r="AS108" s="318" t="n">
        <f>COUNTIFS(H108,"零期",I108,"在读")+COUNTIFS(L108,"零期",M108,"在读")+COUNTIFS(P108,"零期",Q108,"在读")</f>
        <v>3</v>
      </c>
      <c r="AT108" s="318" t="n">
        <f>AS108-AX108</f>
        <v>2</v>
      </c>
      <c r="AU108" s="292" t="s">
        <f>VLOOKUP(B108,'UV台帐'!B:AL,19,0)</f>
        <v>116</v>
      </c>
      <c r="AV108" s="292" t="s">
        <f>VLOOKUP(B108,'UV台帐'!B:AL,28,0)</f>
        <v>116</v>
      </c>
      <c r="AW108" s="292" t="s">
        <f>VLOOKUP(B108,'UV台帐'!B:AL,37,0)</f>
        <v>217</v>
      </c>
      <c r="AX108" s="318" t="n">
        <f>COUNTIFS(H108,"零期",AU108,"是")+COUNTIFS(L108,"零期",AV108,"是")+COUNTIFS(P108,"零期",AW108,"是")</f>
        <v>1</v>
      </c>
      <c r="AZ108" s="483" t="s">
        <v>1741</v>
      </c>
      <c r="BA108" s="197"/>
    </row>
    <row r="109" s="292" customFormat="1" ht="30" customHeight="1">
      <c r="A109" s="318" t="s">
        <v>54</v>
      </c>
      <c r="B109" s="318" t="n">
        <v>4827301500</v>
      </c>
      <c r="C109" s="114" t="s">
        <f>VLOOKUP(B109,'UV台帐'!B:AL,2,0)</f>
        <v>959</v>
      </c>
      <c r="D109" s="114" t="s">
        <f>VLOOKUP(B109,'UV台帐'!B:AL,3,0)</f>
        <v>55</v>
      </c>
      <c r="E109" s="114" t="s">
        <f>VLOOKUP(B109,'UV台帐'!B:AL,13,0)</f>
        <v>35</v>
      </c>
      <c r="F109" s="114" t="s">
        <f>VLOOKUP(B109,'UV台帐'!B:AL,15,0)</f>
        <v>233</v>
      </c>
      <c r="G109" s="114" t="s">
        <f>VLOOKUP(B109,'UV台帐'!B:AL,16,0)</f>
        <v>234</v>
      </c>
      <c r="H109" s="114" t="s">
        <f>VLOOKUP(B109,'UV台帐'!B:AL,17,0)</f>
        <v>101</v>
      </c>
      <c r="I109" s="114" t="s">
        <f>VLOOKUP(B109,'UV台帐'!B:AL,18,0)</f>
        <v>165</v>
      </c>
      <c r="J109" s="114" t="s">
        <f>VLOOKUP(B109,'UV台帐'!B:AL,22,0)</f>
        <v>47</v>
      </c>
      <c r="K109" s="114" t="s">
        <f>VLOOKUP(B109,'UV台帐'!B:AL,24,0)</f>
        <v>215</v>
      </c>
      <c r="L109" s="114" t="s">
        <f>VLOOKUP(B109,'UV台帐'!B:AL,26,0)</f>
        <v>88</v>
      </c>
      <c r="M109" s="114" t="s">
        <f>VLOOKUP(B109,'UV台帐'!B:AL,27,0)</f>
        <v>444</v>
      </c>
      <c r="N109" s="114" t="s">
        <f>VLOOKUP(B109,'UV台帐'!B:AL,31,0)</f>
        <v>56</v>
      </c>
      <c r="O109" s="114" t="s">
        <f>VLOOKUP(B109,'UV台帐'!B:AL,33,0)</f>
        <v>216</v>
      </c>
      <c r="P109" s="114" t="s">
        <f>VLOOKUP(B109,'UV台帐'!B:AL,35,0)</f>
        <v>101</v>
      </c>
      <c r="Q109" s="114" t="s">
        <f>VLOOKUP(B109,'UV台帐'!B:AL,36,0)</f>
        <v>165</v>
      </c>
      <c r="R109" s="318"/>
      <c r="S109" s="318" t="s">
        <v>217</v>
      </c>
      <c r="T109" s="318" t="s">
        <v>218</v>
      </c>
      <c r="W109" s="318"/>
      <c r="X109" s="318"/>
      <c r="Y109" s="318"/>
      <c r="Z109" s="318"/>
      <c r="AA109" s="68" t="s">
        <v>31</v>
      </c>
      <c r="AB109" s="318" t="s">
        <v>218</v>
      </c>
      <c r="AC109" s="104"/>
      <c r="AD109" s="104" t="s">
        <v>218</v>
      </c>
      <c r="AE109" s="318" t="s">
        <v>55</v>
      </c>
      <c r="AF109" s="318" t="n">
        <f>VLOOKUP(B109,'UV台帐'!B:G,6,0)</f>
        <v>0</v>
      </c>
      <c r="AG109" s="318"/>
      <c r="AH109" s="318" t="s">
        <v>217</v>
      </c>
      <c r="AI109" s="241" t="s">
        <v>1742</v>
      </c>
      <c r="AJ109" s="508" t="s">
        <v>1743</v>
      </c>
      <c r="AK109" s="508" t="s">
        <v>1743</v>
      </c>
      <c r="AL109" s="290" t="s">
        <v>29</v>
      </c>
      <c r="AM109" s="290" t="s">
        <v>29</v>
      </c>
      <c r="AN109" s="290"/>
      <c r="AO109" s="290" t="s">
        <v>29</v>
      </c>
      <c r="AP109" s="484" t="s">
        <v>1744</v>
      </c>
      <c r="AR109" s="436"/>
      <c r="AS109" s="318" t="n">
        <f>COUNTIFS(H109,"零期",I109,"在读")+COUNTIFS(L109,"零期",M109,"在读")+COUNTIFS(P109,"零期",Q109,"在读")</f>
        <v>0</v>
      </c>
      <c r="AT109" s="318" t="n">
        <f>AS109-AX109</f>
        <v>0</v>
      </c>
      <c r="AU109" s="292" t="s">
        <f>VLOOKUP(B109,'UV台帐'!B:AL,19,0)</f>
        <v>116</v>
      </c>
      <c r="AV109" s="292" t="s">
        <f>VLOOKUP(B109,'UV台帐'!B:AL,28,0)</f>
        <v>116</v>
      </c>
      <c r="AW109" s="292" t="s">
        <f>VLOOKUP(B109,'UV台帐'!B:AL,37,0)</f>
        <v>116</v>
      </c>
      <c r="AX109" s="318" t="n">
        <f>COUNTIFS(H109,"零期",AU109,"是")+COUNTIFS(L109,"零期",AV109,"是")+COUNTIFS(P109,"零期",AW109,"是")</f>
        <v>0</v>
      </c>
      <c r="AZ109" s="483"/>
      <c r="BA109" s="197"/>
    </row>
    <row r="110" s="292" customFormat="1" ht="30" customHeight="1">
      <c r="A110" s="318" t="s">
        <v>45</v>
      </c>
      <c r="B110" s="318" t="n">
        <v>4827599311</v>
      </c>
      <c r="C110" s="114" t="s">
        <f>VLOOKUP(B110,'UV台帐'!B:AL,2,0)</f>
        <v>1049</v>
      </c>
      <c r="D110" s="114" t="s">
        <f>VLOOKUP(B110,'UV台帐'!B:AL,3,0)</f>
        <v>48</v>
      </c>
      <c r="E110" s="114" t="s">
        <f>VLOOKUP(B110,'UV台帐'!B:AL,13,0)</f>
        <v>37</v>
      </c>
      <c r="F110" s="114" t="s">
        <f>VLOOKUP(B110,'UV台帐'!B:AL,15,0)</f>
        <v>215</v>
      </c>
      <c r="G110" s="114" t="s">
        <f>VLOOKUP(B110,'UV台帐'!B:AL,16,0)</f>
        <v>283</v>
      </c>
      <c r="H110" s="114" t="s">
        <f>VLOOKUP(B110,'UV台帐'!B:AL,17,0)</f>
        <v>88</v>
      </c>
      <c r="I110" s="114" t="s">
        <f>VLOOKUP(B110,'UV台帐'!B:AL,18,0)</f>
        <v>165</v>
      </c>
      <c r="J110" s="114" t="s">
        <f>VLOOKUP(B110,'UV台帐'!B:AL,22,0)</f>
        <v>49</v>
      </c>
      <c r="K110" s="114" t="s">
        <f>VLOOKUP(B110,'UV台帐'!B:AL,24,0)</f>
        <v>216</v>
      </c>
      <c r="L110" s="114" t="s">
        <f>VLOOKUP(B110,'UV台帐'!B:AL,26,0)</f>
        <v>88</v>
      </c>
      <c r="M110" s="114" t="s">
        <f>VLOOKUP(B110,'UV台帐'!B:AL,27,0)</f>
        <v>165</v>
      </c>
      <c r="N110" s="114" t="s">
        <f>VLOOKUP(B110,'UV台帐'!B:AL,31,0)</f>
        <v>52</v>
      </c>
      <c r="O110" s="114" t="s">
        <f>VLOOKUP(B110,'UV台帐'!B:AL,33,0)</f>
        <v>233</v>
      </c>
      <c r="P110" s="114" t="s">
        <f>VLOOKUP(B110,'UV台帐'!B:AL,35,0)</f>
        <v>88</v>
      </c>
      <c r="Q110" s="114" t="s">
        <f>VLOOKUP(B110,'UV台帐'!B:AL,36,0)</f>
        <v>165</v>
      </c>
      <c r="R110" s="318"/>
      <c r="S110" s="318" t="s">
        <v>217</v>
      </c>
      <c r="T110" s="318" t="s">
        <v>217</v>
      </c>
      <c r="W110" s="318"/>
      <c r="X110" s="318"/>
      <c r="Y110" s="318"/>
      <c r="Z110" s="318"/>
      <c r="AA110" s="68" t="s">
        <v>49</v>
      </c>
      <c r="AB110" s="476" t="s">
        <v>217</v>
      </c>
      <c r="AC110" s="104" t="s">
        <v>1745</v>
      </c>
      <c r="AD110" s="104" t="s">
        <v>217</v>
      </c>
      <c r="AE110" s="318" t="s">
        <v>48</v>
      </c>
      <c r="AF110" s="318" t="n">
        <f>VLOOKUP(B110,'UV台帐'!B:G,6,0)</f>
        <v>0</v>
      </c>
      <c r="AG110" s="318" t="s">
        <v>1383</v>
      </c>
      <c r="AH110" s="318" t="s">
        <v>217</v>
      </c>
      <c r="AI110" s="241" t="s">
        <v>1746</v>
      </c>
      <c r="AJ110" s="508" t="s">
        <v>1747</v>
      </c>
      <c r="AK110" s="508" t="s">
        <v>1747</v>
      </c>
      <c r="AL110" s="290" t="s">
        <v>27</v>
      </c>
      <c r="AM110" s="290" t="s">
        <v>28</v>
      </c>
      <c r="AN110" s="290" t="s">
        <v>28</v>
      </c>
      <c r="AO110" s="290" t="s">
        <v>28</v>
      </c>
      <c r="AP110" s="484" t="s">
        <v>1748</v>
      </c>
      <c r="AQ110" s="292" t="s">
        <v>217</v>
      </c>
      <c r="AR110" s="436"/>
      <c r="AS110" s="318" t="n">
        <f>COUNTIFS(H110,"零期",I110,"在读")+COUNTIFS(L110,"零期",M110,"在读")+COUNTIFS(P110,"零期",Q110,"在读")</f>
        <v>3</v>
      </c>
      <c r="AT110" s="318" t="n">
        <f>AS110-AX110</f>
        <v>3</v>
      </c>
      <c r="AU110" s="292" t="s">
        <f>VLOOKUP(B110,'UV台帐'!B:AL,19,0)</f>
        <v>116</v>
      </c>
      <c r="AV110" s="292" t="s">
        <f>VLOOKUP(B110,'UV台帐'!B:AL,28,0)</f>
        <v>116</v>
      </c>
      <c r="AW110" s="292" t="s">
        <f>VLOOKUP(B110,'UV台帐'!B:AL,37,0)</f>
        <v>116</v>
      </c>
      <c r="AX110" s="318" t="n">
        <f>COUNTIFS(H110,"零期",AU110,"是")+COUNTIFS(L110,"零期",AV110,"是")+COUNTIFS(P110,"零期",AW110,"是")</f>
        <v>0</v>
      </c>
      <c r="AZ110" s="483" t="s">
        <v>1749</v>
      </c>
      <c r="BA110" s="197"/>
    </row>
    <row r="111" s="292" customFormat="1" ht="30" customHeight="1">
      <c r="A111" s="318" t="s">
        <v>54</v>
      </c>
      <c r="B111" s="318" t="n">
        <v>4827744612</v>
      </c>
      <c r="C111" s="114" t="s">
        <f>VLOOKUP(B111,'UV台帐'!B:AL,2,0)</f>
        <v>1224</v>
      </c>
      <c r="D111" s="114" t="s">
        <f>VLOOKUP(B111,'UV台帐'!B:AL,3,0)</f>
        <v>38</v>
      </c>
      <c r="E111" s="114" t="s">
        <f>VLOOKUP(B111,'UV台帐'!B:AL,13,0)</f>
        <v>37</v>
      </c>
      <c r="F111" s="114" t="s">
        <f>VLOOKUP(B111,'UV台帐'!B:AL,15,0)</f>
        <v>216</v>
      </c>
      <c r="G111" s="114" t="s">
        <f>VLOOKUP(B111,'UV台帐'!B:AL,16,0)</f>
        <v>283</v>
      </c>
      <c r="H111" s="114" t="s">
        <f>VLOOKUP(B111,'UV台帐'!B:AL,17,0)</f>
        <v>88</v>
      </c>
      <c r="I111" s="114" t="s">
        <f>VLOOKUP(B111,'UV台帐'!B:AL,18,0)</f>
        <v>165</v>
      </c>
      <c r="J111" s="114" t="s">
        <f>VLOOKUP(B111,'UV台帐'!B:AL,22,0)</f>
        <v>47</v>
      </c>
      <c r="K111" s="114" t="s">
        <f>VLOOKUP(B111,'UV台帐'!B:AL,24,0)</f>
        <v>215</v>
      </c>
      <c r="L111" s="114" t="s">
        <f>VLOOKUP(B111,'UV台帐'!B:AL,26,0)</f>
        <v>88</v>
      </c>
      <c r="M111" s="114" t="s">
        <f>VLOOKUP(B111,'UV台帐'!B:AL,27,0)</f>
        <v>165</v>
      </c>
      <c r="N111" s="114" t="s">
        <f>VLOOKUP(B111,'UV台帐'!B:AL,31,0)</f>
        <v>56</v>
      </c>
      <c r="O111" s="114" t="s">
        <f>VLOOKUP(B111,'UV台帐'!B:AL,33,0)</f>
        <v>233</v>
      </c>
      <c r="P111" s="114" t="s">
        <f>VLOOKUP(B111,'UV台帐'!B:AL,35,0)</f>
        <v>88</v>
      </c>
      <c r="Q111" s="114" t="s">
        <f>VLOOKUP(B111,'UV台帐'!B:AL,36,0)</f>
        <v>165</v>
      </c>
      <c r="R111" s="318"/>
      <c r="S111" s="318" t="s">
        <v>217</v>
      </c>
      <c r="T111" s="318" t="s">
        <v>217</v>
      </c>
      <c r="W111" s="318" t="s">
        <v>37</v>
      </c>
      <c r="X111" s="318"/>
      <c r="Y111" s="114"/>
      <c r="Z111" s="114"/>
      <c r="AA111" s="68" t="s">
        <v>56</v>
      </c>
      <c r="AB111" s="318" t="s">
        <v>217</v>
      </c>
      <c r="AC111" s="147" t="s">
        <v>38</v>
      </c>
      <c r="AD111" s="104" t="s">
        <v>217</v>
      </c>
      <c r="AE111" s="318" t="s">
        <v>38</v>
      </c>
      <c r="AF111" s="318" t="n">
        <f>VLOOKUP(B111,'UV台帐'!B:G,6,0)</f>
        <v>0</v>
      </c>
      <c r="AG111" s="318" t="s">
        <v>1750</v>
      </c>
      <c r="AH111" s="318" t="s">
        <v>217</v>
      </c>
      <c r="AI111" s="241" t="s">
        <v>1403</v>
      </c>
      <c r="AJ111" s="508"/>
      <c r="AK111" s="508"/>
      <c r="AL111" s="290" t="s">
        <v>25</v>
      </c>
      <c r="AM111" s="290" t="s">
        <v>28</v>
      </c>
      <c r="AN111" s="290" t="s">
        <v>25</v>
      </c>
      <c r="AO111" s="290" t="s">
        <v>25</v>
      </c>
      <c r="AP111" s="484" t="s">
        <v>1751</v>
      </c>
      <c r="AQ111" s="292" t="s">
        <v>217</v>
      </c>
      <c r="AR111" s="436"/>
      <c r="AS111" s="318" t="n">
        <f>COUNTIFS(H111,"零期",I111,"在读")+COUNTIFS(L111,"零期",M111,"在读")+COUNTIFS(P111,"零期",Q111,"在读")</f>
        <v>3</v>
      </c>
      <c r="AT111" s="318" t="n">
        <f>AS111-AX111</f>
        <v>3</v>
      </c>
      <c r="AU111" s="292" t="s">
        <f>VLOOKUP(B111,'UV台帐'!B:AL,19,0)</f>
        <v>116</v>
      </c>
      <c r="AV111" s="292" t="s">
        <f>VLOOKUP(B111,'UV台帐'!B:AL,28,0)</f>
        <v>116</v>
      </c>
      <c r="AW111" s="292" t="s">
        <f>VLOOKUP(B111,'UV台帐'!B:AL,37,0)</f>
        <v>116</v>
      </c>
      <c r="AX111" s="318" t="n">
        <f>COUNTIFS(H111,"零期",AU111,"是")+COUNTIFS(L111,"零期",AV111,"是")+COUNTIFS(P111,"零期",AW111,"是")</f>
        <v>0</v>
      </c>
      <c r="AZ111" s="483" t="s">
        <v>1752</v>
      </c>
      <c r="BA111" s="197"/>
    </row>
    <row r="112" s="292" customFormat="1" ht="30" customHeight="1">
      <c r="A112" s="318" t="s">
        <v>54</v>
      </c>
      <c r="B112" s="318" t="n">
        <v>4828248928</v>
      </c>
      <c r="C112" s="114" t="s">
        <f>VLOOKUP(B112,'UV台帐'!B:AL,2,0)</f>
        <v>1168</v>
      </c>
      <c r="D112" s="114" t="s">
        <f>VLOOKUP(B112,'UV台帐'!B:AL,3,0)</f>
        <v>36</v>
      </c>
      <c r="E112" s="114" t="s">
        <f>VLOOKUP(B112,'UV台帐'!B:AL,13,0)</f>
        <v>37</v>
      </c>
      <c r="F112" s="114" t="s">
        <f>VLOOKUP(B112,'UV台帐'!B:AL,15,0)</f>
        <v>216</v>
      </c>
      <c r="G112" s="114" t="s">
        <f>VLOOKUP(B112,'UV台帐'!B:AL,16,0)</f>
        <v>283</v>
      </c>
      <c r="H112" s="114" t="s">
        <f>VLOOKUP(B112,'UV台帐'!B:AL,17,0)</f>
        <v>88</v>
      </c>
      <c r="I112" s="114" t="s">
        <f>VLOOKUP(B112,'UV台帐'!B:AL,18,0)</f>
        <v>165</v>
      </c>
      <c r="J112" s="114" t="s">
        <f>VLOOKUP(B112,'UV台帐'!B:AL,22,0)</f>
        <v>47</v>
      </c>
      <c r="K112" s="114" t="s">
        <f>VLOOKUP(B112,'UV台帐'!B:AL,24,0)</f>
        <v>215</v>
      </c>
      <c r="L112" s="114" t="s">
        <f>VLOOKUP(B112,'UV台帐'!B:AL,26,0)</f>
        <v>88</v>
      </c>
      <c r="M112" s="114" t="s">
        <f>VLOOKUP(B112,'UV台帐'!B:AL,27,0)</f>
        <v>165</v>
      </c>
      <c r="N112" s="114" t="s">
        <f>VLOOKUP(B112,'UV台帐'!B:AL,31,0)</f>
        <v>56</v>
      </c>
      <c r="O112" s="114" t="s">
        <f>VLOOKUP(B112,'UV台帐'!B:AL,33,0)</f>
        <v>233</v>
      </c>
      <c r="P112" s="114" t="s">
        <f>VLOOKUP(B112,'UV台帐'!B:AL,35,0)</f>
        <v>88</v>
      </c>
      <c r="Q112" s="114" t="s">
        <f>VLOOKUP(B112,'UV台帐'!B:AL,36,0)</f>
        <v>165</v>
      </c>
      <c r="R112" s="318"/>
      <c r="S112" s="318" t="s">
        <v>217</v>
      </c>
      <c r="T112" s="318" t="s">
        <v>218</v>
      </c>
      <c r="W112" s="318"/>
      <c r="X112" s="318"/>
      <c r="Y112" s="318"/>
      <c r="Z112" s="318"/>
      <c r="AA112" s="68" t="s">
        <v>47</v>
      </c>
      <c r="AB112" s="318" t="s">
        <v>217</v>
      </c>
      <c r="AC112" s="147" t="s">
        <v>1631</v>
      </c>
      <c r="AD112" s="104" t="s">
        <v>218</v>
      </c>
      <c r="AE112" s="318" t="s">
        <v>36</v>
      </c>
      <c r="AF112" s="318" t="s">
        <f>VLOOKUP(B112,'UV台帐'!B:G,6,0)</f>
        <v>1077</v>
      </c>
      <c r="AG112" s="318"/>
      <c r="AH112" s="318" t="s">
        <v>217</v>
      </c>
      <c r="AI112" s="241" t="s">
        <v>1753</v>
      </c>
      <c r="AJ112" s="508" t="s">
        <v>1754</v>
      </c>
      <c r="AK112" s="508" t="s">
        <v>1754</v>
      </c>
      <c r="AL112" s="290" t="s">
        <v>27</v>
      </c>
      <c r="AM112" s="290" t="s">
        <v>27</v>
      </c>
      <c r="AN112" s="290" t="s">
        <v>27</v>
      </c>
      <c r="AO112" s="290" t="s">
        <v>27</v>
      </c>
      <c r="AP112" s="484" t="s">
        <v>1755</v>
      </c>
      <c r="AQ112" s="292" t="s">
        <v>217</v>
      </c>
      <c r="AR112" s="436" t="s">
        <v>1756</v>
      </c>
      <c r="AS112" s="318" t="n">
        <f>COUNTIFS(H112,"零期",I112,"在读")+COUNTIFS(L112,"零期",M112,"在读")+COUNTIFS(P112,"零期",Q112,"在读")</f>
        <v>3</v>
      </c>
      <c r="AT112" s="318" t="n">
        <f>AS112-AX112</f>
        <v>1</v>
      </c>
      <c r="AU112" s="292" t="s">
        <f>VLOOKUP(B112,'UV台帐'!B:AL,19,0)</f>
        <v>217</v>
      </c>
      <c r="AV112" s="292" t="s">
        <f>VLOOKUP(B112,'UV台帐'!B:AL,28,0)</f>
        <v>116</v>
      </c>
      <c r="AW112" s="292" t="s">
        <f>VLOOKUP(B112,'UV台帐'!B:AL,37,0)</f>
        <v>217</v>
      </c>
      <c r="AX112" s="318" t="n">
        <f>COUNTIFS(H112,"零期",AU112,"是")+COUNTIFS(L112,"零期",AV112,"是")+COUNTIFS(P112,"零期",AW112,"是")</f>
        <v>2</v>
      </c>
      <c r="AZ112" s="483"/>
      <c r="BA112" s="197"/>
    </row>
    <row r="113" s="292" customFormat="1" ht="30" customHeight="1">
      <c r="A113" s="318" t="s">
        <v>45</v>
      </c>
      <c r="B113" s="318" t="n">
        <v>4829563345</v>
      </c>
      <c r="C113" s="114" t="s">
        <f>VLOOKUP(B113,'UV台帐'!B:AL,2,0)</f>
        <v>636</v>
      </c>
      <c r="D113" s="114" t="s">
        <f>VLOOKUP(B113,'UV台帐'!B:AL,3,0)</f>
        <v>48</v>
      </c>
      <c r="E113" s="114" t="s">
        <f>VLOOKUP(B113,'UV台帐'!B:AL,13,0)</f>
        <v>37</v>
      </c>
      <c r="F113" s="114" t="s">
        <f>VLOOKUP(B113,'UV台帐'!B:AL,15,0)</f>
        <v>233</v>
      </c>
      <c r="G113" s="114" t="s">
        <f>VLOOKUP(B113,'UV台帐'!B:AL,16,0)</f>
        <v>283</v>
      </c>
      <c r="H113" s="114" t="s">
        <f>VLOOKUP(B113,'UV台帐'!B:AL,17,0)</f>
        <v>65</v>
      </c>
      <c r="I113" s="114" t="s">
        <f>VLOOKUP(B113,'UV台帐'!B:AL,18,0)</f>
        <v>165</v>
      </c>
      <c r="J113" s="114" t="s">
        <f>VLOOKUP(B113,'UV台帐'!B:AL,22,0)</f>
        <v>49</v>
      </c>
      <c r="K113" s="114" t="s">
        <f>VLOOKUP(B113,'UV台帐'!B:AL,24,0)</f>
        <v>215</v>
      </c>
      <c r="L113" s="114" t="s">
        <f>VLOOKUP(B113,'UV台帐'!B:AL,26,0)</f>
        <v>65</v>
      </c>
      <c r="M113" s="114" t="s">
        <f>VLOOKUP(B113,'UV台帐'!B:AL,27,0)</f>
        <v>165</v>
      </c>
      <c r="N113" s="114" t="s">
        <f>VLOOKUP(B113,'UV台帐'!B:AL,31,0)</f>
        <v>52</v>
      </c>
      <c r="O113" s="114" t="s">
        <f>VLOOKUP(B113,'UV台帐'!B:AL,33,0)</f>
        <v>233</v>
      </c>
      <c r="P113" s="114" t="s">
        <f>VLOOKUP(B113,'UV台帐'!B:AL,35,0)</f>
        <v>88</v>
      </c>
      <c r="Q113" s="114" t="s">
        <f>VLOOKUP(B113,'UV台帐'!B:AL,36,0)</f>
        <v>165</v>
      </c>
      <c r="R113" s="318"/>
      <c r="S113" s="318" t="s">
        <v>217</v>
      </c>
      <c r="T113" s="318" t="s">
        <v>217</v>
      </c>
      <c r="U113" s="292" t="s">
        <v>52</v>
      </c>
      <c r="W113" s="318" t="s">
        <v>49</v>
      </c>
      <c r="X113" s="318"/>
      <c r="Y113" s="318"/>
      <c r="Z113" s="318"/>
      <c r="AA113" s="68" t="s">
        <v>52</v>
      </c>
      <c r="AB113" s="7" t="s">
        <v>218</v>
      </c>
      <c r="AC113" s="104"/>
      <c r="AD113" s="104" t="s">
        <v>218</v>
      </c>
      <c r="AE113" s="318" t="s">
        <v>48</v>
      </c>
      <c r="AF113" s="318" t="s">
        <f>VLOOKUP(B113,'UV台帐'!B:G,6,0)</f>
        <v>641</v>
      </c>
      <c r="AG113" s="318" t="s">
        <v>464</v>
      </c>
      <c r="AH113" s="318" t="s">
        <v>217</v>
      </c>
      <c r="AI113" s="241" t="s">
        <v>1757</v>
      </c>
      <c r="AJ113" s="508" t="s">
        <v>1758</v>
      </c>
      <c r="AK113" s="508" t="s">
        <v>1758</v>
      </c>
      <c r="AL113" s="290" t="s">
        <v>27</v>
      </c>
      <c r="AM113" s="290" t="s">
        <v>27</v>
      </c>
      <c r="AN113" s="290" t="s">
        <v>27</v>
      </c>
      <c r="AO113" s="290" t="s">
        <v>27</v>
      </c>
      <c r="AP113" s="484" t="s">
        <v>1759</v>
      </c>
      <c r="AR113" s="436"/>
      <c r="AS113" s="318" t="n">
        <f>COUNTIFS(H113,"零期",I113,"在读")+COUNTIFS(L113,"零期",M113,"在读")+COUNTIFS(P113,"零期",Q113,"在读")</f>
        <v>1</v>
      </c>
      <c r="AT113" s="318" t="n">
        <f>AS113-AX113</f>
        <v>0</v>
      </c>
      <c r="AU113" s="292" t="s">
        <f>VLOOKUP(B113,'UV台帐'!B:AL,19,0)</f>
        <v>217</v>
      </c>
      <c r="AV113" s="292" t="s">
        <f>VLOOKUP(B113,'UV台帐'!B:AL,28,0)</f>
        <v>217</v>
      </c>
      <c r="AW113" s="292" t="s">
        <f>VLOOKUP(B113,'UV台帐'!B:AL,37,0)</f>
        <v>217</v>
      </c>
      <c r="AX113" s="318" t="n">
        <f>COUNTIFS(H113,"零期",AU113,"是")+COUNTIFS(L113,"零期",AV113,"是")+COUNTIFS(P113,"零期",AW113,"是")</f>
        <v>1</v>
      </c>
      <c r="AZ113" s="483" t="s">
        <v>1760</v>
      </c>
      <c r="BA113" s="197"/>
    </row>
    <row r="114" s="292" customFormat="1" ht="30" customHeight="1">
      <c r="A114" s="318" t="s">
        <v>45</v>
      </c>
      <c r="B114" s="318" t="n">
        <v>4830601122</v>
      </c>
      <c r="C114" s="114" t="s">
        <f>VLOOKUP(B114,'UV台帐'!B:AL,2,0)</f>
        <v>1215</v>
      </c>
      <c r="D114" s="114" t="s">
        <f>VLOOKUP(B114,'UV台帐'!B:AL,3,0)</f>
        <v>46</v>
      </c>
      <c r="E114" s="114" t="s">
        <f>VLOOKUP(B114,'UV台帐'!B:AL,13,0)</f>
        <v>37</v>
      </c>
      <c r="F114" s="114" t="s">
        <f>VLOOKUP(B114,'UV台帐'!B:AL,15,0)</f>
        <v>215</v>
      </c>
      <c r="G114" s="114" t="s">
        <f>VLOOKUP(B114,'UV台帐'!B:AL,16,0)</f>
        <v>283</v>
      </c>
      <c r="H114" s="114" t="s">
        <f>VLOOKUP(B114,'UV台帐'!B:AL,17,0)</f>
        <v>88</v>
      </c>
      <c r="I114" s="114" t="s">
        <f>VLOOKUP(B114,'UV台帐'!B:AL,18,0)</f>
        <v>165</v>
      </c>
      <c r="J114" s="114" t="s">
        <f>VLOOKUP(B114,'UV台帐'!B:AL,22,0)</f>
        <v>49</v>
      </c>
      <c r="K114" s="114" t="s">
        <f>VLOOKUP(B114,'UV台帐'!B:AL,24,0)</f>
        <v>216</v>
      </c>
      <c r="L114" s="114" t="s">
        <f>VLOOKUP(B114,'UV台帐'!B:AL,26,0)</f>
        <v>88</v>
      </c>
      <c r="M114" s="114" t="s">
        <f>VLOOKUP(B114,'UV台帐'!B:AL,27,0)</f>
        <v>444</v>
      </c>
      <c r="N114" s="114" t="s">
        <f>VLOOKUP(B114,'UV台帐'!B:AL,31,0)</f>
        <v>52</v>
      </c>
      <c r="O114" s="114" t="s">
        <f>VLOOKUP(B114,'UV台帐'!B:AL,33,0)</f>
        <v>233</v>
      </c>
      <c r="P114" s="114" t="s">
        <f>VLOOKUP(B114,'UV台帐'!B:AL,35,0)</f>
        <v>88</v>
      </c>
      <c r="Q114" s="114" t="s">
        <f>VLOOKUP(B114,'UV台帐'!B:AL,36,0)</f>
        <v>444</v>
      </c>
      <c r="R114" s="318"/>
      <c r="S114" s="318" t="s">
        <v>218</v>
      </c>
      <c r="T114" s="318" t="s">
        <v>218</v>
      </c>
      <c r="W114" s="318"/>
      <c r="X114" s="318"/>
      <c r="Y114" s="318"/>
      <c r="Z114" s="318"/>
      <c r="AA114" s="68" t="s">
        <v>37</v>
      </c>
      <c r="AB114" s="7" t="s">
        <v>217</v>
      </c>
      <c r="AC114" s="104" t="s">
        <v>1715</v>
      </c>
      <c r="AD114" s="104" t="s">
        <v>217</v>
      </c>
      <c r="AE114" s="318" t="s">
        <v>46</v>
      </c>
      <c r="AF114" s="318" t="n">
        <f>VLOOKUP(B114,'UV台帐'!B:G,6,0)</f>
        <v>0</v>
      </c>
      <c r="AG114" s="318" t="s">
        <v>325</v>
      </c>
      <c r="AH114" s="318" t="s">
        <v>217</v>
      </c>
      <c r="AI114" s="241" t="s">
        <v>1761</v>
      </c>
      <c r="AJ114" s="508" t="s">
        <v>1762</v>
      </c>
      <c r="AK114" s="508" t="s">
        <v>1762</v>
      </c>
      <c r="AL114" s="290" t="s">
        <v>27</v>
      </c>
      <c r="AM114" s="290" t="s">
        <v>27</v>
      </c>
      <c r="AN114" s="290"/>
      <c r="AO114" s="290"/>
      <c r="AP114" s="484"/>
      <c r="AR114" s="436"/>
      <c r="AS114" s="318" t="n">
        <f>COUNTIFS(H114,"零期",I114,"在读")+COUNTIFS(L114,"零期",M114,"在读")+COUNTIFS(P114,"零期",Q114,"在读")</f>
        <v>1</v>
      </c>
      <c r="AT114" s="318" t="n">
        <f>AS114-AX114</f>
        <v>1</v>
      </c>
      <c r="AU114" s="292" t="s">
        <f>VLOOKUP(B114,'UV台帐'!B:AL,19,0)</f>
        <v>116</v>
      </c>
      <c r="AV114" s="292" t="s">
        <f>VLOOKUP(B114,'UV台帐'!B:AL,28,0)</f>
        <v>116</v>
      </c>
      <c r="AW114" s="292" t="s">
        <f>VLOOKUP(B114,'UV台帐'!B:AL,37,0)</f>
        <v>116</v>
      </c>
      <c r="AX114" s="318" t="n">
        <f>COUNTIFS(H114,"零期",AU114,"是")+COUNTIFS(L114,"零期",AV114,"是")+COUNTIFS(P114,"零期",AW114,"是")</f>
        <v>0</v>
      </c>
      <c r="AZ114" s="483" t="s">
        <v>1763</v>
      </c>
      <c r="BA114" s="197"/>
    </row>
    <row r="115" s="292" customFormat="1" ht="30" customHeight="1">
      <c r="A115" s="318" t="s">
        <v>45</v>
      </c>
      <c r="B115" s="318" t="n">
        <v>4840530615</v>
      </c>
      <c r="C115" s="114" t="s">
        <f>VLOOKUP(B115,'UV台帐'!B:AL,2,0)</f>
        <v>1143</v>
      </c>
      <c r="D115" s="114" t="s">
        <f>VLOOKUP(B115,'UV台帐'!B:AL,3,0)</f>
        <v>48</v>
      </c>
      <c r="E115" s="114" t="s">
        <f>VLOOKUP(B115,'UV台帐'!B:AL,13,0)</f>
        <v>31</v>
      </c>
      <c r="F115" s="114" t="s">
        <f>VLOOKUP(B115,'UV台帐'!B:AL,15,0)</f>
        <v>246</v>
      </c>
      <c r="G115" s="114" t="s">
        <f>VLOOKUP(B115,'UV台帐'!B:AL,16,0)</f>
        <v>234</v>
      </c>
      <c r="H115" s="114" t="s">
        <f>VLOOKUP(B115,'UV台帐'!B:AL,17,0)</f>
        <v>88</v>
      </c>
      <c r="I115" s="114" t="s">
        <f>VLOOKUP(B115,'UV台帐'!B:AL,18,0)</f>
        <v>165</v>
      </c>
      <c r="J115" s="114" t="s">
        <f>VLOOKUP(B115,'UV台帐'!B:AL,22,0)</f>
        <v>47</v>
      </c>
      <c r="K115" s="114" t="s">
        <f>VLOOKUP(B115,'UV台帐'!B:AL,24,0)</f>
        <v>215</v>
      </c>
      <c r="L115" s="114" t="s">
        <f>VLOOKUP(B115,'UV台帐'!B:AL,26,0)</f>
        <v>100</v>
      </c>
      <c r="M115" s="114" t="s">
        <f>VLOOKUP(B115,'UV台帐'!B:AL,27,0)</f>
        <v>165</v>
      </c>
      <c r="N115" s="114" t="s">
        <f>VLOOKUP(B115,'UV台帐'!B:AL,31,0)</f>
        <v>52</v>
      </c>
      <c r="O115" s="114" t="s">
        <f>VLOOKUP(B115,'UV台帐'!B:AL,33,0)</f>
        <v>215</v>
      </c>
      <c r="P115" s="114" t="s">
        <f>VLOOKUP(B115,'UV台帐'!B:AL,35,0)</f>
        <v>88</v>
      </c>
      <c r="Q115" s="114" t="s">
        <f>VLOOKUP(B115,'UV台帐'!B:AL,36,0)</f>
        <v>165</v>
      </c>
      <c r="R115" s="318"/>
      <c r="S115" s="318" t="s">
        <v>217</v>
      </c>
      <c r="T115" s="318" t="s">
        <v>217</v>
      </c>
      <c r="W115" s="318"/>
      <c r="X115" s="318"/>
      <c r="Y115" s="318" t="s">
        <v>31</v>
      </c>
      <c r="Z115" s="318"/>
      <c r="AA115" s="75" t="s">
        <v>31</v>
      </c>
      <c r="AB115" s="318" t="s">
        <v>218</v>
      </c>
      <c r="AC115" s="114"/>
      <c r="AD115" s="114" t="s">
        <v>218</v>
      </c>
      <c r="AE115" s="318" t="s">
        <v>48</v>
      </c>
      <c r="AF115" s="318" t="n">
        <f>VLOOKUP(B115,'UV台帐'!B:G,6,0)</f>
        <v>0</v>
      </c>
      <c r="AG115" s="318" t="s">
        <v>1764</v>
      </c>
      <c r="AH115" s="318" t="s">
        <v>217</v>
      </c>
      <c r="AI115" s="241" t="s">
        <v>1765</v>
      </c>
      <c r="AJ115" s="678" t="s">
        <v>1766</v>
      </c>
      <c r="AK115" s="679" t="s">
        <v>1766</v>
      </c>
      <c r="AL115" s="290" t="s">
        <v>28</v>
      </c>
      <c r="AM115" s="290" t="s">
        <v>28</v>
      </c>
      <c r="AN115" s="290"/>
      <c r="AO115" s="290" t="s">
        <v>28</v>
      </c>
      <c r="AP115" s="680" t="s">
        <v>1767</v>
      </c>
      <c r="AR115" s="436"/>
      <c r="AS115" s="318" t="n">
        <f>COUNTIFS(H115,"零期",I115,"在读")+COUNTIFS(L115,"零期",M115,"在读")+COUNTIFS(P115,"零期",Q115,"在读")</f>
        <v>2</v>
      </c>
      <c r="AT115" s="318" t="n">
        <f>AS115-AX115</f>
        <v>2</v>
      </c>
      <c r="AU115" s="292" t="s">
        <f>VLOOKUP(B115,'UV台帐'!B:AL,19,0)</f>
        <v>116</v>
      </c>
      <c r="AV115" s="292" t="s">
        <f>VLOOKUP(B115,'UV台帐'!B:AL,28,0)</f>
        <v>116</v>
      </c>
      <c r="AW115" s="292" t="s">
        <f>VLOOKUP(B115,'UV台帐'!B:AL,37,0)</f>
        <v>116</v>
      </c>
      <c r="AX115" s="318" t="n">
        <f>COUNTIFS(H115,"零期",AU115,"是")+COUNTIFS(L115,"零期",AV115,"是")+COUNTIFS(P115,"零期",AW115,"是")</f>
        <v>0</v>
      </c>
      <c r="AZ115" s="483" t="s">
        <v>1768</v>
      </c>
      <c r="BA115" s="197"/>
    </row>
    <row r="116" s="292" customFormat="1" ht="30" customHeight="1">
      <c r="A116" s="318" t="s">
        <v>54</v>
      </c>
      <c r="B116" s="318" t="n">
        <v>4840889658</v>
      </c>
      <c r="C116" s="114" t="s">
        <f>VLOOKUP(B116,'UV台帐'!B:AL,2,0)</f>
        <v>1052</v>
      </c>
      <c r="D116" s="114" t="s">
        <f>VLOOKUP(B116,'UV台帐'!B:AL,3,0)</f>
        <v>55</v>
      </c>
      <c r="E116" s="114" t="s">
        <f>VLOOKUP(B116,'UV台帐'!B:AL,13,0)</f>
        <v>37</v>
      </c>
      <c r="F116" s="114" t="s">
        <f>VLOOKUP(B116,'UV台帐'!B:AL,15,0)</f>
        <v>216</v>
      </c>
      <c r="G116" s="114" t="s">
        <f>VLOOKUP(B116,'UV台帐'!B:AL,16,0)</f>
        <v>283</v>
      </c>
      <c r="H116" s="114" t="s">
        <f>VLOOKUP(B116,'UV台帐'!B:AL,17,0)</f>
        <v>88</v>
      </c>
      <c r="I116" s="114" t="s">
        <f>VLOOKUP(B116,'UV台帐'!B:AL,18,0)</f>
        <v>165</v>
      </c>
      <c r="J116" s="114" t="s">
        <f>VLOOKUP(B116,'UV台帐'!B:AL,22,0)</f>
        <v>47</v>
      </c>
      <c r="K116" s="114" t="s">
        <f>VLOOKUP(B116,'UV台帐'!B:AL,24,0)</f>
        <v>215</v>
      </c>
      <c r="L116" s="114" t="s">
        <f>VLOOKUP(B116,'UV台帐'!B:AL,26,0)</f>
        <v>88</v>
      </c>
      <c r="M116" s="114" t="s">
        <f>VLOOKUP(B116,'UV台帐'!B:AL,27,0)</f>
        <v>165</v>
      </c>
      <c r="N116" s="114" t="s">
        <f>VLOOKUP(B116,'UV台帐'!B:AL,31,0)</f>
        <v>56</v>
      </c>
      <c r="O116" s="114" t="s">
        <f>VLOOKUP(B116,'UV台帐'!B:AL,33,0)</f>
        <v>233</v>
      </c>
      <c r="P116" s="114" t="s">
        <f>VLOOKUP(B116,'UV台帐'!B:AL,35,0)</f>
        <v>88</v>
      </c>
      <c r="Q116" s="114" t="s">
        <f>VLOOKUP(B116,'UV台帐'!B:AL,36,0)</f>
        <v>165</v>
      </c>
      <c r="R116" s="318"/>
      <c r="S116" s="318" t="s">
        <v>217</v>
      </c>
      <c r="T116" s="318" t="s">
        <v>217</v>
      </c>
      <c r="U116" s="292" t="s">
        <v>47</v>
      </c>
      <c r="W116" s="318"/>
      <c r="X116" s="318"/>
      <c r="Y116" s="318"/>
      <c r="Z116" s="318"/>
      <c r="AA116" s="68" t="s">
        <v>37</v>
      </c>
      <c r="AB116" s="7" t="s">
        <v>1398</v>
      </c>
      <c r="AC116" s="104"/>
      <c r="AD116" s="104" t="s">
        <v>218</v>
      </c>
      <c r="AE116" s="318" t="s">
        <v>55</v>
      </c>
      <c r="AF116" s="318" t="n">
        <f>VLOOKUP(B116,'UV台帐'!B:G,6,0)</f>
        <v>0</v>
      </c>
      <c r="AG116" s="318" t="s">
        <v>267</v>
      </c>
      <c r="AH116" s="318" t="s">
        <v>217</v>
      </c>
      <c r="AI116" s="241"/>
      <c r="AJ116" s="508" t="s">
        <v>1769</v>
      </c>
      <c r="AK116" s="508" t="s">
        <v>1769</v>
      </c>
      <c r="AL116" s="290" t="s">
        <v>27</v>
      </c>
      <c r="AM116" s="290" t="s">
        <v>27</v>
      </c>
      <c r="AN116" s="290" t="s">
        <v>27</v>
      </c>
      <c r="AO116" s="290" t="s">
        <v>27</v>
      </c>
      <c r="AP116" s="484" t="s">
        <v>1770</v>
      </c>
      <c r="AQ116" s="292" t="s">
        <v>217</v>
      </c>
      <c r="AR116" s="436"/>
      <c r="AS116" s="318" t="n">
        <f>COUNTIFS(H116,"零期",I116,"在读")+COUNTIFS(L116,"零期",M116,"在读")+COUNTIFS(P116,"零期",Q116,"在读")</f>
        <v>3</v>
      </c>
      <c r="AT116" s="318" t="n">
        <f>AS116-AX116</f>
        <v>3</v>
      </c>
      <c r="AU116" s="292" t="s">
        <f>VLOOKUP(B116,'UV台帐'!B:AL,19,0)</f>
        <v>116</v>
      </c>
      <c r="AV116" s="292" t="s">
        <f>VLOOKUP(B116,'UV台帐'!B:AL,28,0)</f>
        <v>116</v>
      </c>
      <c r="AW116" s="292" t="s">
        <f>VLOOKUP(B116,'UV台帐'!B:AL,37,0)</f>
        <v>116</v>
      </c>
      <c r="AX116" s="318" t="n">
        <f>COUNTIFS(H116,"零期",AU116,"是")+COUNTIFS(L116,"零期",AV116,"是")+COUNTIFS(P116,"零期",AW116,"是")</f>
        <v>0</v>
      </c>
      <c r="AZ116" s="483"/>
      <c r="BA116" s="197"/>
    </row>
    <row r="117" s="292" customFormat="1" ht="30" customHeight="1">
      <c r="A117" s="318" t="s">
        <v>45</v>
      </c>
      <c r="B117" s="318" t="n">
        <v>4841600400</v>
      </c>
      <c r="C117" s="114" t="s">
        <f>VLOOKUP(B117,'UV台帐'!B:AL,2,0)</f>
        <v>1056</v>
      </c>
      <c r="D117" s="114" t="s">
        <f>VLOOKUP(B117,'UV台帐'!B:AL,3,0)</f>
        <v>48</v>
      </c>
      <c r="E117" s="114" t="s">
        <f>VLOOKUP(B117,'UV台帐'!B:AL,13,0)</f>
        <v>37</v>
      </c>
      <c r="F117" s="114" t="s">
        <f>VLOOKUP(B117,'UV台帐'!B:AL,15,0)</f>
        <v>215</v>
      </c>
      <c r="G117" s="114" t="s">
        <f>VLOOKUP(B117,'UV台帐'!B:AL,16,0)</f>
        <v>283</v>
      </c>
      <c r="H117" s="114" t="s">
        <f>VLOOKUP(B117,'UV台帐'!B:AL,17,0)</f>
        <v>88</v>
      </c>
      <c r="I117" s="114" t="s">
        <f>VLOOKUP(B117,'UV台帐'!B:AL,18,0)</f>
        <v>165</v>
      </c>
      <c r="J117" s="114" t="s">
        <f>VLOOKUP(B117,'UV台帐'!B:AL,22,0)</f>
        <v>49</v>
      </c>
      <c r="K117" s="114" t="s">
        <f>VLOOKUP(B117,'UV台帐'!B:AL,24,0)</f>
        <v>216</v>
      </c>
      <c r="L117" s="114" t="s">
        <f>VLOOKUP(B117,'UV台帐'!B:AL,26,0)</f>
        <v>88</v>
      </c>
      <c r="M117" s="114" t="s">
        <f>VLOOKUP(B117,'UV台帐'!B:AL,27,0)</f>
        <v>165</v>
      </c>
      <c r="N117" s="114" t="s">
        <f>VLOOKUP(B117,'UV台帐'!B:AL,31,0)</f>
        <v>52</v>
      </c>
      <c r="O117" s="114" t="s">
        <f>VLOOKUP(B117,'UV台帐'!B:AL,33,0)</f>
        <v>233</v>
      </c>
      <c r="P117" s="114" t="s">
        <f>VLOOKUP(B117,'UV台帐'!B:AL,35,0)</f>
        <v>88</v>
      </c>
      <c r="Q117" s="114" t="s">
        <f>VLOOKUP(B117,'UV台帐'!B:AL,36,0)</f>
        <v>165</v>
      </c>
      <c r="R117" s="318"/>
      <c r="S117" s="318" t="s">
        <v>218</v>
      </c>
      <c r="T117" s="318" t="s">
        <v>218</v>
      </c>
      <c r="U117" s="318" t="s">
        <v>37</v>
      </c>
      <c r="V117" s="318"/>
      <c r="W117" s="318" t="s">
        <v>37</v>
      </c>
      <c r="X117" s="318"/>
      <c r="Y117" s="318"/>
      <c r="Z117" s="318"/>
      <c r="AA117" s="68" t="s">
        <v>49</v>
      </c>
      <c r="AB117" s="476" t="s">
        <v>217</v>
      </c>
      <c r="AC117" s="104"/>
      <c r="AD117" s="104" t="s">
        <v>218</v>
      </c>
      <c r="AE117" s="318" t="s">
        <v>48</v>
      </c>
      <c r="AF117" s="318" t="s">
        <f>VLOOKUP(B117,'UV台帐'!B:G,6,0)</f>
        <v>1049</v>
      </c>
      <c r="AG117" s="318"/>
      <c r="AH117" s="318" t="s">
        <v>217</v>
      </c>
      <c r="AI117" s="241" t="s">
        <v>1466</v>
      </c>
      <c r="AJ117" s="508" t="s">
        <v>1771</v>
      </c>
      <c r="AK117" s="508" t="s">
        <v>1771</v>
      </c>
      <c r="AL117" s="290" t="s">
        <v>27</v>
      </c>
      <c r="AM117" s="290" t="s">
        <v>27</v>
      </c>
      <c r="AN117" s="290" t="s">
        <v>27</v>
      </c>
      <c r="AO117" s="290" t="s">
        <v>28</v>
      </c>
      <c r="AP117" s="484" t="s">
        <v>1772</v>
      </c>
      <c r="AR117" s="436"/>
      <c r="AS117" s="318" t="n">
        <f>COUNTIFS(H117,"零期",I117,"在读")+COUNTIFS(L117,"零期",M117,"在读")+COUNTIFS(P117,"零期",Q117,"在读")</f>
        <v>3</v>
      </c>
      <c r="AT117" s="318" t="n">
        <f>AS117-AX117</f>
        <v>3</v>
      </c>
      <c r="AU117" s="292" t="s">
        <f>VLOOKUP(B117,'UV台帐'!B:AL,19,0)</f>
        <v>116</v>
      </c>
      <c r="AV117" s="292" t="s">
        <f>VLOOKUP(B117,'UV台帐'!B:AL,28,0)</f>
        <v>116</v>
      </c>
      <c r="AW117" s="292" t="s">
        <f>VLOOKUP(B117,'UV台帐'!B:AL,37,0)</f>
        <v>116</v>
      </c>
      <c r="AX117" s="318" t="n">
        <f>COUNTIFS(H117,"零期",AU117,"是")+COUNTIFS(L117,"零期",AV117,"是")+COUNTIFS(P117,"零期",AW117,"是")</f>
        <v>0</v>
      </c>
      <c r="AZ117" s="483" t="s">
        <v>1773</v>
      </c>
      <c r="BA117" s="197"/>
    </row>
    <row r="118" s="292" customFormat="1" ht="30" customHeight="1">
      <c r="A118" s="292" t="s">
        <v>45</v>
      </c>
      <c r="B118" s="292" t="n">
        <v>4848923450</v>
      </c>
      <c r="C118" s="114" t="s">
        <f>VLOOKUP(B118,'UV台帐'!B:AL,2,0)</f>
        <v>1042</v>
      </c>
      <c r="D118" s="114" t="s">
        <f>VLOOKUP(B118,'UV台帐'!B:AL,3,0)</f>
        <v>36</v>
      </c>
      <c r="E118" s="114" t="s">
        <f>VLOOKUP(B118,'UV台帐'!B:AL,13,0)</f>
        <v>31</v>
      </c>
      <c r="F118" s="114" t="s">
        <f>VLOOKUP(B118,'UV台帐'!B:AL,15,0)</f>
        <v>215</v>
      </c>
      <c r="G118" s="114" t="s">
        <f>VLOOKUP(B118,'UV台帐'!B:AL,16,0)</f>
        <v>283</v>
      </c>
      <c r="H118" s="114" t="s">
        <f>VLOOKUP(B118,'UV台帐'!B:AL,17,0)</f>
        <v>88</v>
      </c>
      <c r="I118" s="114" t="s">
        <f>VLOOKUP(B118,'UV台帐'!B:AL,18,0)</f>
        <v>165</v>
      </c>
      <c r="J118" s="114" t="s">
        <f>VLOOKUP(B118,'UV台帐'!B:AL,22,0)</f>
        <v>47</v>
      </c>
      <c r="K118" s="114" t="s">
        <f>VLOOKUP(B118,'UV台帐'!B:AL,24,0)</f>
        <v>233</v>
      </c>
      <c r="L118" s="114" t="s">
        <f>VLOOKUP(B118,'UV台帐'!B:AL,26,0)</f>
        <v>88</v>
      </c>
      <c r="M118" s="114" t="s">
        <f>VLOOKUP(B118,'UV台帐'!B:AL,27,0)</f>
        <v>165</v>
      </c>
      <c r="N118" s="114" t="s">
        <f>VLOOKUP(B118,'UV台帐'!B:AL,31,0)</f>
        <v>58</v>
      </c>
      <c r="O118" s="114" t="s">
        <f>VLOOKUP(B118,'UV台帐'!B:AL,33,0)</f>
        <v>216</v>
      </c>
      <c r="P118" s="114" t="s">
        <f>VLOOKUP(B118,'UV台帐'!B:AL,35,0)</f>
        <v>88</v>
      </c>
      <c r="Q118" s="114" t="s">
        <f>VLOOKUP(B118,'UV台帐'!B:AL,36,0)</f>
        <v>165</v>
      </c>
      <c r="R118" s="318"/>
      <c r="S118" s="318" t="s">
        <v>217</v>
      </c>
      <c r="T118" s="318" t="s">
        <v>217</v>
      </c>
      <c r="U118" s="318" t="s">
        <v>1738</v>
      </c>
      <c r="V118" s="318"/>
      <c r="W118" s="318"/>
      <c r="X118" s="318"/>
      <c r="Y118" s="114"/>
      <c r="Z118" s="114"/>
      <c r="AA118" s="68" t="s">
        <v>31</v>
      </c>
      <c r="AB118" s="290" t="s">
        <v>218</v>
      </c>
      <c r="AC118" s="104"/>
      <c r="AD118" s="104" t="s">
        <v>218</v>
      </c>
      <c r="AE118" s="318" t="s">
        <v>36</v>
      </c>
      <c r="AF118" s="318" t="s">
        <f>VLOOKUP(B118,'UV台帐'!B:G,6,0)</f>
        <v>1007</v>
      </c>
      <c r="AG118" s="318" t="s">
        <v>1774</v>
      </c>
      <c r="AH118" s="318" t="s">
        <v>217</v>
      </c>
      <c r="AI118" s="241" t="s">
        <v>1354</v>
      </c>
      <c r="AJ118" s="508" t="s">
        <v>1775</v>
      </c>
      <c r="AK118" s="508" t="s">
        <v>1775</v>
      </c>
      <c r="AL118" s="290" t="s">
        <v>27</v>
      </c>
      <c r="AM118" s="290" t="s">
        <v>27</v>
      </c>
      <c r="AN118" s="290" t="s">
        <v>28</v>
      </c>
      <c r="AO118" s="290" t="s">
        <v>27</v>
      </c>
      <c r="AP118" s="484" t="s">
        <v>1776</v>
      </c>
      <c r="AQ118" s="292" t="s">
        <v>217</v>
      </c>
      <c r="AR118" s="436"/>
      <c r="AS118" s="318" t="n">
        <f>COUNTIFS(H118,"零期",I118,"在读")+COUNTIFS(L118,"零期",M118,"在读")+COUNTIFS(P118,"零期",Q118,"在读")</f>
        <v>3</v>
      </c>
      <c r="AT118" s="318" t="n">
        <f>AS118-AX118</f>
        <v>3</v>
      </c>
      <c r="AU118" s="292" t="s">
        <f>VLOOKUP(B118,'UV台帐'!B:AL,19,0)</f>
        <v>116</v>
      </c>
      <c r="AV118" s="292" t="s">
        <f>VLOOKUP(B118,'UV台帐'!B:AL,28,0)</f>
        <v>116</v>
      </c>
      <c r="AW118" s="292" t="s">
        <f>VLOOKUP(B118,'UV台帐'!B:AL,37,0)</f>
        <v>116</v>
      </c>
      <c r="AX118" s="318" t="n">
        <f>COUNTIFS(H118,"零期",AU118,"是")+COUNTIFS(L118,"零期",AV118,"是")+COUNTIFS(P118,"零期",AW118,"是")</f>
        <v>0</v>
      </c>
      <c r="AZ118" s="483" t="s">
        <v>1777</v>
      </c>
      <c r="BA118" s="197"/>
    </row>
    <row r="119" s="292" customFormat="1" ht="30" customHeight="1">
      <c r="A119" s="292" t="s">
        <v>54</v>
      </c>
      <c r="B119" s="292" t="n">
        <v>4854640403</v>
      </c>
      <c r="C119" s="114" t="s">
        <f>VLOOKUP(B119,'UV台帐'!B:AL,2,0)</f>
        <v>1009</v>
      </c>
      <c r="D119" s="114" t="s">
        <f>VLOOKUP(B119,'UV台帐'!B:AL,3,0)</f>
        <v>57</v>
      </c>
      <c r="E119" s="114" t="s">
        <f>VLOOKUP(B119,'UV台帐'!B:AL,13,0)</f>
        <v>116</v>
      </c>
      <c r="F119" s="114" t="s">
        <f>VLOOKUP(B119,'UV台帐'!B:AL,15,0)</f>
        <v>116</v>
      </c>
      <c r="G119" s="114" t="s">
        <f>VLOOKUP(B119,'UV台帐'!B:AL,16,0)</f>
        <v>116</v>
      </c>
      <c r="H119" s="114" t="s">
        <f>VLOOKUP(B119,'UV台帐'!B:AL,17,0)</f>
        <v>116</v>
      </c>
      <c r="I119" s="114" t="s">
        <f>VLOOKUP(B119,'UV台帐'!B:AL,18,0)</f>
        <v>116</v>
      </c>
      <c r="J119" s="114" t="s">
        <f>VLOOKUP(B119,'UV台帐'!B:AL,22,0)</f>
        <v>43</v>
      </c>
      <c r="K119" s="114" t="s">
        <f>VLOOKUP(B119,'UV台帐'!B:AL,24,0)</f>
        <v>215</v>
      </c>
      <c r="L119" s="114" t="s">
        <f>VLOOKUP(B119,'UV台帐'!B:AL,26,0)</f>
        <v>88</v>
      </c>
      <c r="M119" s="114" t="s">
        <f>VLOOKUP(B119,'UV台帐'!B:AL,27,0)</f>
        <v>165</v>
      </c>
      <c r="N119" s="114" t="s">
        <f>VLOOKUP(B119,'UV台帐'!B:AL,31,0)</f>
        <v>56</v>
      </c>
      <c r="O119" s="114" t="s">
        <f>VLOOKUP(B119,'UV台帐'!B:AL,33,0)</f>
        <v>216</v>
      </c>
      <c r="P119" s="114" t="s">
        <f>VLOOKUP(B119,'UV台帐'!B:AL,35,0)</f>
        <v>88</v>
      </c>
      <c r="Q119" s="114" t="s">
        <f>VLOOKUP(B119,'UV台帐'!B:AL,36,0)</f>
        <v>165</v>
      </c>
      <c r="R119" s="318"/>
      <c r="S119" s="318" t="s">
        <v>217</v>
      </c>
      <c r="T119" s="318" t="s">
        <v>217</v>
      </c>
      <c r="W119" s="318" t="s">
        <v>56</v>
      </c>
      <c r="X119" s="318"/>
      <c r="Y119" s="318"/>
      <c r="Z119" s="318"/>
      <c r="AA119" s="68" t="s">
        <v>43</v>
      </c>
      <c r="AB119" s="290" t="s">
        <v>217</v>
      </c>
      <c r="AC119" s="147" t="s">
        <v>1492</v>
      </c>
      <c r="AD119" s="104" t="s">
        <v>218</v>
      </c>
      <c r="AE119" s="318" t="s">
        <v>57</v>
      </c>
      <c r="AF119" s="318" t="n">
        <f>VLOOKUP(B119,'UV台帐'!B:G,6,0)</f>
        <v>0</v>
      </c>
      <c r="AG119" s="318" t="s">
        <v>1778</v>
      </c>
      <c r="AH119" s="318" t="s">
        <v>217</v>
      </c>
      <c r="AI119" s="241"/>
      <c r="AJ119" s="508" t="s">
        <v>1779</v>
      </c>
      <c r="AK119" s="508" t="s">
        <v>1779</v>
      </c>
      <c r="AL119" s="290" t="s">
        <v>27</v>
      </c>
      <c r="AM119" s="290"/>
      <c r="AN119" s="290" t="s">
        <v>27</v>
      </c>
      <c r="AO119" s="290" t="s">
        <v>27</v>
      </c>
      <c r="AP119" s="484" t="s">
        <v>1780</v>
      </c>
      <c r="AR119" s="436"/>
      <c r="AS119" s="318" t="n">
        <f>COUNTIFS(H119,"零期",I119,"在读")+COUNTIFS(L119,"零期",M119,"在读")+COUNTIFS(P119,"零期",Q119,"在读")</f>
        <v>2</v>
      </c>
      <c r="AT119" s="318" t="n">
        <f>AS119-AX119</f>
        <v>2</v>
      </c>
      <c r="AU119" s="292" t="s">
        <f>VLOOKUP(B119,'UV台帐'!B:AL,19,0)</f>
        <v>116</v>
      </c>
      <c r="AV119" s="292" t="s">
        <f>VLOOKUP(B119,'UV台帐'!B:AL,28,0)</f>
        <v>116</v>
      </c>
      <c r="AW119" s="292" t="s">
        <f>VLOOKUP(B119,'UV台帐'!B:AL,37,0)</f>
        <v>116</v>
      </c>
      <c r="AX119" s="318" t="n">
        <f>COUNTIFS(H119,"零期",AU119,"是")+COUNTIFS(L119,"零期",AV119,"是")+COUNTIFS(P119,"零期",AW119,"是")</f>
        <v>0</v>
      </c>
      <c r="AZ119" s="483" t="s">
        <v>1781</v>
      </c>
      <c r="BA119" s="197"/>
    </row>
    <row r="120" s="292" customFormat="1" ht="30" customHeight="1">
      <c r="A120" s="318" t="s">
        <v>45</v>
      </c>
      <c r="B120" s="318" t="n">
        <v>4844205877</v>
      </c>
      <c r="C120" s="114" t="s">
        <f>VLOOKUP(B120,'UV台帐'!B:AL,2,0)</f>
        <v>1110</v>
      </c>
      <c r="D120" s="114" t="s">
        <f>VLOOKUP(B120,'UV台帐'!B:AL,3,0)</f>
        <v>46</v>
      </c>
      <c r="E120" s="114" t="s">
        <f>VLOOKUP(B120,'UV台帐'!B:AL,13,0)</f>
        <v>31</v>
      </c>
      <c r="F120" s="114" t="s">
        <f>VLOOKUP(B120,'UV台帐'!B:AL,15,0)</f>
        <v>215</v>
      </c>
      <c r="G120" s="114" t="s">
        <f>VLOOKUP(B120,'UV台帐'!B:AL,16,0)</f>
        <v>283</v>
      </c>
      <c r="H120" s="114" t="s">
        <f>VLOOKUP(B120,'UV台帐'!B:AL,17,0)</f>
        <v>88</v>
      </c>
      <c r="I120" s="114" t="s">
        <f>VLOOKUP(B120,'UV台帐'!B:AL,18,0)</f>
        <v>165</v>
      </c>
      <c r="J120" s="114" t="s">
        <f>VLOOKUP(B120,'UV台帐'!B:AL,22,0)</f>
        <v>49</v>
      </c>
      <c r="K120" s="114" t="s">
        <f>VLOOKUP(B120,'UV台帐'!B:AL,24,0)</f>
        <v>216</v>
      </c>
      <c r="L120" s="114" t="s">
        <f>VLOOKUP(B120,'UV台帐'!B:AL,26,0)</f>
        <v>88</v>
      </c>
      <c r="M120" s="114" t="s">
        <f>VLOOKUP(B120,'UV台帐'!B:AL,27,0)</f>
        <v>165</v>
      </c>
      <c r="N120" s="114" t="s">
        <f>VLOOKUP(B120,'UV台帐'!B:AL,31,0)</f>
        <v>52</v>
      </c>
      <c r="O120" s="114" t="s">
        <f>VLOOKUP(B120,'UV台帐'!B:AL,33,0)</f>
        <v>233</v>
      </c>
      <c r="P120" s="114" t="s">
        <f>VLOOKUP(B120,'UV台帐'!B:AL,35,0)</f>
        <v>88</v>
      </c>
      <c r="Q120" s="114" t="s">
        <f>VLOOKUP(B120,'UV台帐'!B:AL,36,0)</f>
        <v>165</v>
      </c>
      <c r="R120" s="318"/>
      <c r="S120" s="318" t="s">
        <v>217</v>
      </c>
      <c r="T120" s="318" t="s">
        <v>217</v>
      </c>
      <c r="U120" s="197"/>
      <c r="V120" s="197"/>
      <c r="W120" s="197"/>
      <c r="X120" s="197"/>
      <c r="Y120" s="318" t="s">
        <v>1782</v>
      </c>
      <c r="Z120" s="318"/>
      <c r="AA120" s="68" t="s">
        <v>49</v>
      </c>
      <c r="AB120" s="318" t="s">
        <v>217</v>
      </c>
      <c r="AC120" s="104" t="s">
        <v>1672</v>
      </c>
      <c r="AD120" s="104" t="s">
        <v>217</v>
      </c>
      <c r="AE120" s="318" t="s">
        <v>46</v>
      </c>
      <c r="AF120" s="318" t="n">
        <f>VLOOKUP(B120,'UV台帐'!B:G,6,0)</f>
        <v>0</v>
      </c>
      <c r="AG120" s="318"/>
      <c r="AH120" s="318" t="s">
        <v>217</v>
      </c>
      <c r="AI120" s="241" t="s">
        <v>1379</v>
      </c>
      <c r="AJ120" s="508" t="s">
        <v>1783</v>
      </c>
      <c r="AK120" s="508" t="s">
        <v>1783</v>
      </c>
      <c r="AL120" s="290" t="s">
        <v>25</v>
      </c>
      <c r="AM120" s="290" t="s">
        <v>28</v>
      </c>
      <c r="AN120" s="290"/>
      <c r="AO120" s="290" t="s">
        <v>25</v>
      </c>
      <c r="AP120" s="484"/>
      <c r="AR120" s="436"/>
      <c r="AS120" s="318" t="n">
        <f>COUNTIFS(H120,"零期",I120,"在读")+COUNTIFS(L120,"零期",M120,"在读")+COUNTIFS(P120,"零期",Q120,"在读")</f>
        <v>3</v>
      </c>
      <c r="AT120" s="318" t="n">
        <f>AS120-AX120</f>
        <v>3</v>
      </c>
      <c r="AU120" s="292" t="s">
        <f>VLOOKUP(B120,'UV台帐'!B:AL,19,0)</f>
        <v>116</v>
      </c>
      <c r="AV120" s="292" t="s">
        <f>VLOOKUP(B120,'UV台帐'!B:AL,28,0)</f>
        <v>116</v>
      </c>
      <c r="AW120" s="292" t="s">
        <f>VLOOKUP(B120,'UV台帐'!B:AL,37,0)</f>
        <v>116</v>
      </c>
      <c r="AX120" s="318" t="n">
        <f>COUNTIFS(H120,"零期",AU120,"是")+COUNTIFS(L120,"零期",AV120,"是")+COUNTIFS(P120,"零期",AW120,"是")</f>
        <v>0</v>
      </c>
      <c r="AZ120" s="483" t="s">
        <v>1784</v>
      </c>
      <c r="BA120" s="197"/>
    </row>
    <row r="121" s="292" customFormat="1" ht="30" customHeight="1">
      <c r="A121" s="318" t="s">
        <v>45</v>
      </c>
      <c r="B121" s="318" t="n">
        <v>2567690678</v>
      </c>
      <c r="C121" s="114" t="s">
        <f>VLOOKUP(B121,'UV台帐'!B:AL,2,0)</f>
        <v>1111</v>
      </c>
      <c r="D121" s="114" t="s">
        <f>VLOOKUP(B121,'UV台帐'!B:AL,3,0)</f>
        <v>46</v>
      </c>
      <c r="E121" s="114" t="s">
        <f>VLOOKUP(B121,'UV台帐'!B:AL,13,0)</f>
        <v>31</v>
      </c>
      <c r="F121" s="114" t="s">
        <f>VLOOKUP(B121,'UV台帐'!B:AL,15,0)</f>
        <v>215</v>
      </c>
      <c r="G121" s="114" t="s">
        <f>VLOOKUP(B121,'UV台帐'!B:AL,16,0)</f>
        <v>283</v>
      </c>
      <c r="H121" s="114" t="s">
        <f>VLOOKUP(B121,'UV台帐'!B:AL,17,0)</f>
        <v>88</v>
      </c>
      <c r="I121" s="114" t="s">
        <f>VLOOKUP(B121,'UV台帐'!B:AL,18,0)</f>
        <v>165</v>
      </c>
      <c r="J121" s="114" t="s">
        <f>VLOOKUP(B121,'UV台帐'!B:AL,22,0)</f>
        <v>49</v>
      </c>
      <c r="K121" s="114" t="s">
        <f>VLOOKUP(B121,'UV台帐'!B:AL,24,0)</f>
        <v>216</v>
      </c>
      <c r="L121" s="114" t="s">
        <f>VLOOKUP(B121,'UV台帐'!B:AL,26,0)</f>
        <v>88</v>
      </c>
      <c r="M121" s="114" t="s">
        <f>VLOOKUP(B121,'UV台帐'!B:AL,27,0)</f>
        <v>165</v>
      </c>
      <c r="N121" s="114" t="s">
        <f>VLOOKUP(B121,'UV台帐'!B:AL,31,0)</f>
        <v>52</v>
      </c>
      <c r="O121" s="114" t="s">
        <f>VLOOKUP(B121,'UV台帐'!B:AL,33,0)</f>
        <v>233</v>
      </c>
      <c r="P121" s="114" t="s">
        <f>VLOOKUP(B121,'UV台帐'!B:AL,35,0)</f>
        <v>88</v>
      </c>
      <c r="Q121" s="114" t="s">
        <f>VLOOKUP(B121,'UV台帐'!B:AL,36,0)</f>
        <v>165</v>
      </c>
      <c r="R121" s="318"/>
      <c r="S121" s="318" t="s">
        <v>217</v>
      </c>
      <c r="T121" s="318" t="s">
        <v>217</v>
      </c>
      <c r="U121" s="197"/>
      <c r="V121" s="197"/>
      <c r="W121" s="197"/>
      <c r="X121" s="197"/>
      <c r="Y121" s="318" t="s">
        <v>1782</v>
      </c>
      <c r="Z121" s="318"/>
      <c r="AA121" s="68" t="s">
        <v>49</v>
      </c>
      <c r="AB121" s="318" t="s">
        <v>217</v>
      </c>
      <c r="AC121" s="104" t="s">
        <v>1672</v>
      </c>
      <c r="AD121" s="104" t="s">
        <v>217</v>
      </c>
      <c r="AE121" s="318" t="s">
        <v>46</v>
      </c>
      <c r="AF121" s="318" t="n">
        <f>VLOOKUP(B121,'UV台帐'!B:G,6,0)</f>
        <v>0</v>
      </c>
      <c r="AG121" s="318"/>
      <c r="AH121" s="318" t="s">
        <v>217</v>
      </c>
      <c r="AI121" s="241" t="s">
        <v>1379</v>
      </c>
      <c r="AJ121" s="508" t="s">
        <v>1783</v>
      </c>
      <c r="AK121" s="508" t="s">
        <v>1783</v>
      </c>
      <c r="AL121" s="290" t="s">
        <v>25</v>
      </c>
      <c r="AM121" s="290" t="s">
        <v>28</v>
      </c>
      <c r="AN121" s="290"/>
      <c r="AO121" s="290" t="s">
        <v>25</v>
      </c>
      <c r="AP121" s="484"/>
      <c r="AR121" s="436"/>
      <c r="AS121" s="318" t="n">
        <f>COUNTIFS(H121,"零期",I121,"在读")+COUNTIFS(L121,"零期",M121,"在读")+COUNTIFS(P121,"零期",Q121,"在读")</f>
        <v>3</v>
      </c>
      <c r="AT121" s="318" t="n">
        <f>AS121-AX121</f>
        <v>3</v>
      </c>
      <c r="AU121" s="292" t="s">
        <f>VLOOKUP(B121,'UV台帐'!B:AL,19,0)</f>
        <v>116</v>
      </c>
      <c r="AV121" s="292" t="s">
        <f>VLOOKUP(B121,'UV台帐'!B:AL,28,0)</f>
        <v>116</v>
      </c>
      <c r="AW121" s="292" t="s">
        <f>VLOOKUP(B121,'UV台帐'!B:AL,37,0)</f>
        <v>116</v>
      </c>
      <c r="AX121" s="318" t="n">
        <f>COUNTIFS(H121,"零期",AU121,"是")+COUNTIFS(L121,"零期",AV121,"是")+COUNTIFS(P121,"零期",AW121,"是")</f>
        <v>0</v>
      </c>
      <c r="AZ121" s="483" t="s">
        <v>1785</v>
      </c>
      <c r="BA121" s="197"/>
    </row>
    <row r="122" ht="30" customHeight="1">
      <c r="A122" s="197" t="s">
        <v>54</v>
      </c>
      <c r="B122" s="318" t="n">
        <v>4835737630</v>
      </c>
      <c r="C122" s="114" t="s">
        <f>VLOOKUP(B122,'UV台帐'!B:AL,2,0)</f>
        <v>1181</v>
      </c>
      <c r="D122" s="114" t="s">
        <f>VLOOKUP(B122,'UV台帐'!B:AL,3,0)</f>
        <v>59</v>
      </c>
      <c r="E122" s="114" t="s">
        <f>VLOOKUP(B122,'UV台帐'!B:AL,13,0)</f>
        <v>37</v>
      </c>
      <c r="F122" s="114" t="s">
        <f>VLOOKUP(B122,'UV台帐'!B:AL,15,0)</f>
        <v>216</v>
      </c>
      <c r="G122" s="114" t="s">
        <f>VLOOKUP(B122,'UV台帐'!B:AL,16,0)</f>
        <v>283</v>
      </c>
      <c r="H122" s="114" t="s">
        <f>VLOOKUP(B122,'UV台帐'!B:AL,17,0)</f>
        <v>88</v>
      </c>
      <c r="I122" s="114" t="s">
        <f>VLOOKUP(B122,'UV台帐'!B:AL,18,0)</f>
        <v>165</v>
      </c>
      <c r="J122" s="114" t="s">
        <f>VLOOKUP(B122,'UV台帐'!B:AL,22,0)</f>
        <v>47</v>
      </c>
      <c r="K122" s="114" t="s">
        <f>VLOOKUP(B122,'UV台帐'!B:AL,24,0)</f>
        <v>215</v>
      </c>
      <c r="L122" s="114" t="s">
        <f>VLOOKUP(B122,'UV台帐'!B:AL,26,0)</f>
        <v>88</v>
      </c>
      <c r="M122" s="114" t="s">
        <f>VLOOKUP(B122,'UV台帐'!B:AL,27,0)</f>
        <v>165</v>
      </c>
      <c r="N122" s="114" t="s">
        <f>VLOOKUP(B122,'UV台帐'!B:AL,31,0)</f>
        <v>56</v>
      </c>
      <c r="O122" s="114" t="s">
        <f>VLOOKUP(B122,'UV台帐'!B:AL,33,0)</f>
        <v>233</v>
      </c>
      <c r="P122" s="114" t="s">
        <f>VLOOKUP(B122,'UV台帐'!B:AL,35,0)</f>
        <v>88</v>
      </c>
      <c r="Q122" s="114" t="s">
        <f>VLOOKUP(B122,'UV台帐'!B:AL,36,0)</f>
        <v>165</v>
      </c>
      <c r="R122" s="318"/>
      <c r="S122" s="318" t="s">
        <v>217</v>
      </c>
      <c r="T122" s="318" t="s">
        <v>217</v>
      </c>
      <c r="U122" s="197"/>
      <c r="V122" s="197"/>
      <c r="Y122" s="318"/>
      <c r="Z122" s="318"/>
      <c r="AA122" s="68"/>
      <c r="AB122" s="318" t="s">
        <v>217</v>
      </c>
      <c r="AC122" s="104" t="s">
        <v>59</v>
      </c>
      <c r="AD122" s="104" t="s">
        <v>217</v>
      </c>
      <c r="AE122" s="522" t="s">
        <v>59</v>
      </c>
      <c r="AF122" s="318"/>
      <c r="AG122" s="318"/>
      <c r="AH122" s="318" t="s">
        <v>217</v>
      </c>
      <c r="AI122" s="241"/>
      <c r="AL122" s="290" t="s">
        <v>27</v>
      </c>
      <c r="AM122" s="290" t="s">
        <v>27</v>
      </c>
      <c r="AN122" s="290" t="s">
        <v>27</v>
      </c>
      <c r="AO122" s="290" t="s">
        <v>27</v>
      </c>
      <c r="AQ122" s="292" t="s">
        <v>217</v>
      </c>
      <c r="AS122" s="318" t="n">
        <f>COUNTIFS(H122,"零期",I122,"在读")+COUNTIFS(L122,"零期",M122,"在读")+COUNTIFS(P122,"零期",Q122,"在读")</f>
        <v>3</v>
      </c>
      <c r="AT122" s="318" t="n">
        <f>AS122-AX122</f>
        <v>3</v>
      </c>
      <c r="AU122" s="292" t="s">
        <f>VLOOKUP(B122,'UV台帐'!B:AL,19,0)</f>
        <v>116</v>
      </c>
      <c r="AV122" s="292" t="s">
        <f>VLOOKUP(B122,'UV台帐'!B:AL,28,0)</f>
        <v>116</v>
      </c>
      <c r="AW122" s="292" t="s">
        <f>VLOOKUP(B122,'UV台帐'!B:AL,37,0)</f>
        <v>116</v>
      </c>
      <c r="AX122" s="318" t="n">
        <f>COUNTIFS(H122,"零期",AU122,"是")+COUNTIFS(L122,"零期",AV122,"是")+COUNTIFS(P122,"零期",AW122,"是")</f>
        <v>0</v>
      </c>
      <c r="AZ122" s="483" t="s">
        <v>1786</v>
      </c>
      <c r="BA122" s="483" t="s">
        <v>1787</v>
      </c>
    </row>
    <row r="123" ht="30" customHeight="1">
      <c r="AC123" s="104"/>
      <c r="AF123" s="318"/>
      <c r="AP123" s="5"/>
      <c r="AS123" s="318"/>
      <c r="AT123" s="318"/>
      <c r="AX123" s="318"/>
    </row>
    <row r="124" ht="30" customHeight="1">
      <c r="AC124" s="104"/>
      <c r="AF124" s="318"/>
      <c r="AP124" s="5"/>
      <c r="AS124" s="318"/>
      <c r="AT124" s="318"/>
      <c r="AX124" s="318"/>
    </row>
    <row r="125" ht="30" customHeight="1">
      <c r="AC125" s="104"/>
      <c r="AF125" s="318"/>
      <c r="AP125" s="5"/>
      <c r="AS125" s="318"/>
      <c r="AT125" s="318"/>
      <c r="AX125" s="318"/>
    </row>
    <row r="126" ht="30" customHeight="1">
      <c r="AC126" s="104"/>
      <c r="AF126" s="318"/>
      <c r="AP126" s="5"/>
      <c r="AS126" s="318"/>
      <c r="AT126" s="318"/>
      <c r="AX126" s="318"/>
    </row>
    <row r="127" ht="30" customHeight="1">
      <c r="AC127" s="104"/>
      <c r="AF127" s="318"/>
      <c r="AP127" s="5"/>
      <c r="AS127" s="318"/>
      <c r="AT127" s="318"/>
      <c r="AX127" s="318"/>
    </row>
    <row r="128" ht="30" customHeight="1">
      <c r="AC128" s="104"/>
      <c r="AF128" s="318"/>
      <c r="AP128" s="5"/>
      <c r="AS128" s="318"/>
      <c r="AT128" s="318"/>
      <c r="AX128" s="318"/>
    </row>
    <row r="129" ht="30" customHeight="1">
      <c r="AC129" s="104"/>
      <c r="AP129" s="5"/>
    </row>
    <row r="130" ht="30" customHeight="1">
      <c r="AC130" s="104"/>
      <c r="AP130" s="5"/>
    </row>
    <row r="131" ht="30" customHeight="1">
      <c r="AC131" s="104"/>
      <c r="AP131" s="5"/>
    </row>
    <row r="132" ht="30" customHeight="1">
      <c r="AC132" s="104"/>
      <c r="AP132" s="5"/>
    </row>
    <row r="133" ht="30" customHeight="1">
      <c r="AC133" s="104"/>
      <c r="AP133" s="5"/>
    </row>
    <row r="134" ht="30" customHeight="1">
      <c r="AC134" s="104"/>
      <c r="AP134" s="5"/>
    </row>
    <row r="135" ht="30" customHeight="1">
      <c r="AC135" s="104"/>
      <c r="AP135" s="5"/>
    </row>
    <row r="136" ht="30" customHeight="1">
      <c r="AC136" s="104"/>
      <c r="AP136" s="5"/>
    </row>
    <row r="137" ht="30" customHeight="1">
      <c r="AC137" s="104"/>
      <c r="AP137" s="5"/>
    </row>
    <row r="138" ht="30" customHeight="1">
      <c r="AC138" s="104"/>
      <c r="AP138" s="5"/>
    </row>
    <row r="139" ht="30" customHeight="1">
      <c r="AC139" s="104"/>
      <c r="AP139" s="5"/>
    </row>
    <row r="140" ht="30" customHeight="1">
      <c r="AC140" s="104"/>
      <c r="AP140" s="5"/>
    </row>
    <row r="141" ht="30" customHeight="1">
      <c r="AC141" s="104"/>
      <c r="AP141" s="5"/>
    </row>
    <row r="142" ht="30" customHeight="1">
      <c r="AC142" s="104"/>
      <c r="AP142" s="5"/>
    </row>
    <row r="143" ht="30" customHeight="1">
      <c r="AC143" s="104"/>
      <c r="AP143" s="5"/>
    </row>
    <row r="144" ht="30" customHeight="1">
      <c r="AC144" s="104"/>
      <c r="AP144" s="5"/>
    </row>
    <row r="145" ht="30" customHeight="1">
      <c r="AC145" s="104"/>
      <c r="AP145" s="5"/>
    </row>
    <row r="146" ht="30" customHeight="1">
      <c r="AC146" s="104"/>
      <c r="AP146" s="5"/>
    </row>
    <row r="147" ht="30" customHeight="1">
      <c r="AC147" s="104"/>
      <c r="AP147" s="5"/>
    </row>
    <row r="148" ht="30" customHeight="1">
      <c r="AC148" s="104"/>
      <c r="AP148" s="5"/>
    </row>
    <row r="149" ht="30" customHeight="1">
      <c r="AC149" s="104"/>
      <c r="AP149" s="5"/>
    </row>
    <row r="150" ht="30" customHeight="1">
      <c r="AC150" s="104"/>
      <c r="AP150" s="5"/>
    </row>
    <row r="151" ht="30" customHeight="1">
      <c r="AC151" s="104"/>
      <c r="AP151" s="5"/>
    </row>
    <row r="152" ht="30" customHeight="1">
      <c r="AC152" s="104"/>
      <c r="AP152" s="5"/>
    </row>
    <row r="153" ht="30" customHeight="1">
      <c r="AC153" s="104"/>
      <c r="AP153" s="5"/>
    </row>
    <row r="154" ht="30" customHeight="1">
      <c r="AC154" s="104"/>
      <c r="AP154" s="5"/>
    </row>
    <row r="155" ht="30" customHeight="1">
      <c r="AC155" s="104"/>
      <c r="AP155" s="5"/>
    </row>
    <row r="156" ht="30" customHeight="1">
      <c r="AC156" s="104"/>
      <c r="AP156" s="5"/>
    </row>
    <row r="157" ht="30" customHeight="1">
      <c r="AC157" s="104"/>
      <c r="AP157" s="5"/>
    </row>
    <row r="158" ht="30" customHeight="1">
      <c r="AC158" s="104"/>
      <c r="AP158" s="5"/>
    </row>
    <row r="159" ht="30" customHeight="1">
      <c r="AC159" s="104"/>
      <c r="AP159" s="5"/>
    </row>
    <row r="160" ht="30" customHeight="1">
      <c r="AC160" s="104"/>
      <c r="AP160" s="5"/>
    </row>
    <row r="161" ht="30" customHeight="1">
      <c r="AC161" s="104"/>
      <c r="AP161" s="5"/>
    </row>
    <row r="162" ht="30" customHeight="1">
      <c r="AC162" s="104"/>
      <c r="AP162" s="5"/>
    </row>
    <row r="163" ht="30" customHeight="1">
      <c r="AC163" s="104"/>
      <c r="AP163" s="5"/>
    </row>
    <row r="164" ht="30" customHeight="1">
      <c r="AC164" s="104"/>
      <c r="AP164" s="5"/>
    </row>
    <row r="165" ht="30" customHeight="1">
      <c r="AC165" s="104"/>
      <c r="AP165" s="5"/>
    </row>
    <row r="166" ht="30" customHeight="1">
      <c r="AC166" s="104"/>
      <c r="AP166" s="5"/>
    </row>
    <row r="167" ht="30" customHeight="1">
      <c r="AC167" s="104"/>
      <c r="AP167" s="5"/>
    </row>
    <row r="168" ht="30" customHeight="1">
      <c r="AC168" s="104"/>
      <c r="AP168" s="5"/>
    </row>
    <row r="169" ht="30" customHeight="1">
      <c r="AC169" s="104"/>
      <c r="AP169" s="5"/>
    </row>
    <row r="170" ht="30" customHeight="1">
      <c r="AC170" s="104"/>
      <c r="AP170" s="5"/>
    </row>
    <row r="171" ht="30" customHeight="1">
      <c r="AC171" s="104"/>
      <c r="AP171" s="5"/>
    </row>
    <row r="172" ht="30" customHeight="1">
      <c r="AC172" s="104"/>
      <c r="AP172" s="5"/>
    </row>
    <row r="173" ht="30" customHeight="1">
      <c r="AC173" s="104"/>
    </row>
    <row r="174" ht="30" customHeight="1">
      <c r="AC174" s="104"/>
    </row>
    <row r="175" ht="30" customHeight="1">
      <c r="AC175" s="104"/>
    </row>
    <row r="176" ht="30" customHeight="1">
      <c r="AC176" s="104"/>
    </row>
    <row r="177" ht="30" customHeight="1">
      <c r="AC177" s="104"/>
    </row>
    <row r="178" ht="30" customHeight="1">
      <c r="AC178" s="104"/>
    </row>
    <row r="179" ht="30" customHeight="1">
      <c r="AC179" s="104"/>
    </row>
    <row r="180" ht="30" customHeight="1">
      <c r="AC180" s="104"/>
    </row>
    <row r="181" ht="30" customHeight="1">
      <c r="AC181" s="104"/>
    </row>
    <row r="182" ht="30" customHeight="1">
      <c r="AC182" s="104"/>
    </row>
    <row r="183" ht="30" customHeight="1">
      <c r="AC183" s="104"/>
    </row>
    <row r="184" ht="30" customHeight="1">
      <c r="AC184" s="104"/>
    </row>
    <row r="185" ht="30" customHeight="1">
      <c r="AC185" s="104"/>
    </row>
    <row r="186" ht="30" customHeight="1">
      <c r="AC186" s="104"/>
    </row>
    <row r="187" ht="30" customHeight="1">
      <c r="AC187" s="104"/>
    </row>
    <row r="188" ht="30" customHeight="1">
      <c r="AC188" s="104"/>
    </row>
    <row r="189" ht="30" customHeight="1">
      <c r="AC189" s="104"/>
    </row>
    <row r="190" ht="30" customHeight="1">
      <c r="AC190" s="104"/>
    </row>
    <row r="191" ht="30" customHeight="1">
      <c r="AC191" s="104"/>
    </row>
    <row r="192" ht="30" customHeight="1">
      <c r="AC192" s="104"/>
    </row>
    <row r="193" ht="30" customHeight="1">
      <c r="AC193" s="104"/>
    </row>
    <row r="194" ht="30" customHeight="1">
      <c r="AC194" s="104"/>
    </row>
    <row r="195" ht="30" customHeight="1">
      <c r="AC195" s="104"/>
    </row>
    <row r="196" ht="30" customHeight="1">
      <c r="AC196" s="104"/>
    </row>
    <row r="197" ht="30" customHeight="1">
      <c r="AC197" s="104"/>
    </row>
    <row r="198" ht="30" customHeight="1">
      <c r="AC198" s="104"/>
    </row>
    <row r="199" ht="30" customHeight="1">
      <c r="AC199" s="104"/>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28" type="duplicateValues" dxfId="0"/>
  </conditionalFormatting>
  <conditionalFormatting sqref="C3:C199">
    <cfRule priority="21"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51"/>
    <col min="2" max="2" width="10"/>
    <col min="5" max="5" width="7.5" customWidth="1"/>
    <col min="6" max="6" width="25.1806640625" customWidth="1"/>
    <col min="7" max="7" width="8.4697265625" customWidth="1"/>
    <col min="8" max="9" width="7.5" customWidth="1"/>
    <col min="10" max="10" width="7.5" customWidth="1" style="251"/>
    <col min="11" max="11" width="7.5" customWidth="1"/>
    <col min="12" max="12" width="27.4423828125" customWidth="1" style="251"/>
    <col min="13" max="16" width="7.5" customWidth="1"/>
    <col min="17" max="17" width="17.4462890625" customWidth="1"/>
    <col min="18" max="21" width="7.5" customWidth="1"/>
    <col min="22" max="22" width="21.919921875" customWidth="1"/>
    <col min="24" max="24" width="16.998046875" customWidth="1"/>
    <col min="27" max="27" width="26.1357421875" customWidth="1" style="251"/>
    <col min="28" max="37" width="10" style="251"/>
    <col min="40" max="41" width="10" style="251"/>
    <col min="44" max="48" width="10" style="251"/>
  </cols>
  <sheetData>
    <row r="1" s="210" customFormat="1" ht="21.613636363636363" customHeight="1">
      <c r="A1" s="345" t="s">
        <v>146</v>
      </c>
      <c r="B1" s="345" t="s">
        <v>147</v>
      </c>
      <c r="C1" s="345" t="s">
        <v>148</v>
      </c>
      <c r="D1" s="345" t="s">
        <v>149</v>
      </c>
      <c r="E1" s="346" t="s">
        <v>1788</v>
      </c>
      <c r="F1" s="346" t="s">
        <v>1789</v>
      </c>
      <c r="G1" s="346" t="s">
        <v>1790</v>
      </c>
      <c r="H1" s="345" t="s">
        <v>1791</v>
      </c>
      <c r="I1" s="345" t="s">
        <v>174</v>
      </c>
      <c r="J1" s="345" t="s">
        <v>1792</v>
      </c>
      <c r="K1" s="345" t="s">
        <v>1793</v>
      </c>
      <c r="L1" s="345" t="s">
        <v>197</v>
      </c>
      <c r="M1" s="345" t="s">
        <v>1794</v>
      </c>
      <c r="N1" s="345" t="s">
        <v>174</v>
      </c>
      <c r="O1" s="345" t="s">
        <v>1795</v>
      </c>
      <c r="P1" s="345" t="s">
        <v>1793</v>
      </c>
      <c r="Q1" s="345" t="s">
        <v>197</v>
      </c>
      <c r="R1" s="345" t="s">
        <v>1796</v>
      </c>
      <c r="S1" s="345" t="s">
        <v>174</v>
      </c>
      <c r="T1" s="345" t="s">
        <v>1795</v>
      </c>
      <c r="U1" s="345" t="s">
        <v>1793</v>
      </c>
      <c r="V1" s="345" t="s">
        <v>197</v>
      </c>
      <c r="W1" s="210" t="s">
        <v>1797</v>
      </c>
      <c r="X1" s="210" t="s">
        <v>1798</v>
      </c>
      <c r="AA1" s="159"/>
      <c r="AB1" s="159" t="s">
        <v>172</v>
      </c>
      <c r="AC1" s="159" t="s">
        <v>165</v>
      </c>
      <c r="AD1" s="159" t="s">
        <v>170</v>
      </c>
      <c r="AE1" s="159" t="s">
        <v>1799</v>
      </c>
      <c r="AF1" s="159" t="s">
        <v>1800</v>
      </c>
      <c r="AG1" s="159" t="s">
        <v>26</v>
      </c>
      <c r="AH1" s="159" t="s">
        <v>1801</v>
      </c>
      <c r="AI1" s="159" t="s">
        <v>26</v>
      </c>
      <c r="AJ1" s="159" t="s">
        <v>1802</v>
      </c>
      <c r="AK1" s="159" t="s">
        <v>26</v>
      </c>
      <c r="AM1" s="384"/>
      <c r="AN1" s="385" t="s">
        <v>1803</v>
      </c>
      <c r="AO1" s="386" t="s">
        <v>170</v>
      </c>
      <c r="AP1" s="387" t="n">
        <v>0.25</v>
      </c>
      <c r="AQ1" s="387" t="n">
        <v>0.3</v>
      </c>
      <c r="AR1" s="387" t="n">
        <v>0.35</v>
      </c>
      <c r="AS1" s="387" t="n">
        <v>0.4</v>
      </c>
      <c r="AT1" s="387" t="n">
        <v>0.45</v>
      </c>
      <c r="AU1" s="387" t="n">
        <v>0.5</v>
      </c>
      <c r="AV1" s="387" t="n">
        <v>0.55</v>
      </c>
    </row>
    <row r="2" ht="16.5" customHeight="1">
      <c r="A2" s="212" t="s">
        <v>45</v>
      </c>
      <c r="B2" s="212" t="n">
        <v>2270640709</v>
      </c>
      <c r="C2" s="212" t="s">
        <v>1297</v>
      </c>
      <c r="D2" s="212" t="s">
        <v>46</v>
      </c>
      <c r="E2" s="232" t="s">
        <v>25</v>
      </c>
      <c r="F2" s="232"/>
      <c r="G2" s="232" t="s">
        <v>217</v>
      </c>
      <c r="H2" s="232" t="s">
        <v>31</v>
      </c>
      <c r="I2" s="232" t="s">
        <f>VLOOKUP(B2,'零期·UV电访分配'!B:Q,7,0)</f>
        <v>88</v>
      </c>
      <c r="J2" s="232" t="s">
        <v>1343</v>
      </c>
      <c r="K2" s="232"/>
      <c r="L2" s="232"/>
      <c r="M2" s="232" t="s">
        <v>47</v>
      </c>
      <c r="N2" s="232" t="s">
        <f>VLOOKUP(B2,'零期·UV电访分配'!B:Q,11,0)</f>
        <v>88</v>
      </c>
      <c r="O2" s="232" t="s">
        <v>1343</v>
      </c>
      <c r="P2" s="232"/>
      <c r="Q2" s="232"/>
      <c r="R2" s="232" t="s">
        <v>58</v>
      </c>
      <c r="S2" s="232" t="s">
        <f>VLOOKUP(B2,'零期·UV电访分配'!B:Q,15,0)</f>
        <v>88</v>
      </c>
      <c r="T2" s="232" t="s">
        <v>1343</v>
      </c>
      <c r="U2" s="232"/>
      <c r="V2" s="232"/>
      <c r="AA2" s="314"/>
      <c r="AB2" s="190" t="s">
        <v>31</v>
      </c>
      <c r="AC2" s="190" t="n">
        <f>COUNTIFS(H:H,AB2,I:I,"零期")</f>
        <v>58</v>
      </c>
      <c r="AD2" s="190" t="n">
        <f>'新初一数据看板'!G45</f>
        <v>30</v>
      </c>
      <c r="AE2" s="191" t="n">
        <f>AD2/AC2</f>
        <v>0.517241379310345</v>
      </c>
      <c r="AF2" s="190" t="n">
        <f>COUNTIFS(H:H,AB2,J:J,"A")</f>
        <v>5</v>
      </c>
      <c r="AG2" s="191" t="n">
        <f>AF2/(AC2)</f>
        <v>0.0862068965517241</v>
      </c>
      <c r="AH2" s="190" t="n">
        <f>COUNTIFS(H:H,AB2,J:J,"B")</f>
        <v>15</v>
      </c>
      <c r="AI2" s="191" t="n">
        <f>AH2/AC2</f>
        <v>0.258620689655172</v>
      </c>
      <c r="AJ2" s="190" t="n">
        <f>COUNTIFS(H:H,AB2,J:J,"C")</f>
        <v>9</v>
      </c>
      <c r="AK2" s="191" t="n">
        <f>AJ2/(AC2)</f>
        <v>0.155172413793103</v>
      </c>
      <c r="AM2" s="326"/>
      <c r="AN2" s="323" t="n">
        <v>298</v>
      </c>
      <c r="AO2" s="325" t="n">
        <v>95</v>
      </c>
      <c r="AP2" s="325" t="n">
        <f>AN2*AP1</f>
        <v>74.5</v>
      </c>
      <c r="AQ2" s="325" t="n">
        <f>AN2*AQ1</f>
        <v>89.4</v>
      </c>
      <c r="AR2" s="322" t="n">
        <f>AN2*AR1</f>
        <v>104.3</v>
      </c>
      <c r="AS2" s="322" t="n">
        <f>AN2*AS1</f>
        <v>119.2</v>
      </c>
      <c r="AT2" s="322" t="n">
        <f>AN2*AT1</f>
        <v>134.1</v>
      </c>
      <c r="AU2" s="322" t="n">
        <f>AN2*AU1</f>
        <v>149</v>
      </c>
      <c r="AV2" s="322" t="n">
        <f>AN2*0.55</f>
        <v>163.9</v>
      </c>
    </row>
    <row r="3" ht="16.5" customHeight="1">
      <c r="A3" s="212" t="s">
        <v>45</v>
      </c>
      <c r="B3" s="212" t="n">
        <v>4819955828</v>
      </c>
      <c r="C3" s="212" t="s">
        <v>1313</v>
      </c>
      <c r="D3" s="212" t="s">
        <v>48</v>
      </c>
      <c r="E3" s="232" t="s">
        <v>25</v>
      </c>
      <c r="F3" s="232"/>
      <c r="G3" s="232" t="s">
        <v>217</v>
      </c>
      <c r="H3" s="232" t="s">
        <v>31</v>
      </c>
      <c r="I3" s="232" t="s">
        <f>VLOOKUP(B3,'零期·UV电访分配'!B:Q,7,0)</f>
        <v>88</v>
      </c>
      <c r="J3" s="232" t="s">
        <v>1343</v>
      </c>
      <c r="K3" s="232"/>
      <c r="L3" s="232"/>
      <c r="M3" s="232" t="s">
        <v>43</v>
      </c>
      <c r="N3" s="232" t="s">
        <f>VLOOKUP(B3,'零期·UV电访分配'!B:Q,11,0)</f>
        <v>88</v>
      </c>
      <c r="O3" s="232" t="s">
        <v>1343</v>
      </c>
      <c r="P3" s="232"/>
      <c r="Q3" s="232"/>
      <c r="R3" s="232" t="s">
        <v>52</v>
      </c>
      <c r="S3" s="232" t="s">
        <f>VLOOKUP(B3,'零期·UV电访分配'!B:Q,15,0)</f>
        <v>88</v>
      </c>
      <c r="T3" s="232" t="s">
        <v>1343</v>
      </c>
      <c r="U3" s="232"/>
      <c r="V3" s="232"/>
      <c r="AA3" s="314"/>
      <c r="AB3" s="192" t="s">
        <v>37</v>
      </c>
      <c r="AC3" s="192" t="n">
        <f>COUNTIFS(H:H,AB3,I:I,"零期")</f>
        <v>40</v>
      </c>
      <c r="AD3" s="192" t="n">
        <f>'新初一数据看板'!G47</f>
        <v>11</v>
      </c>
      <c r="AE3" s="194" t="n">
        <f>AD3/AC3</f>
        <v>0.275</v>
      </c>
      <c r="AF3" s="192" t="n">
        <f>COUNTIFS(H:H,AB3,J:J,"A")</f>
        <v>3</v>
      </c>
      <c r="AG3" s="194" t="n">
        <f>AF3/(AC3)</f>
        <v>0.075</v>
      </c>
      <c r="AH3" s="192" t="n">
        <f>COUNTIFS(H:H,AB3,J:J,"B")</f>
        <v>14</v>
      </c>
      <c r="AI3" s="194" t="n">
        <f>AH3/AC3</f>
        <v>0.35</v>
      </c>
      <c r="AJ3" s="192" t="n">
        <f>COUNTIFS(H:H,AB3,J:J,"C")</f>
        <v>13</v>
      </c>
      <c r="AK3" s="194" t="n">
        <f>AJ3/(AC3)</f>
        <v>0.325</v>
      </c>
      <c r="AM3" s="314" t="s">
        <v>31</v>
      </c>
      <c r="AN3" s="323" t="n">
        <v>59</v>
      </c>
      <c r="AO3" s="323" t="n">
        <v>30</v>
      </c>
      <c r="AP3" s="325" t="n">
        <f>AN3*AP1</f>
        <v>14.75</v>
      </c>
      <c r="AQ3" s="325" t="n">
        <f>AN3*0.3</f>
        <v>17.7</v>
      </c>
      <c r="AR3" s="325" t="n">
        <f>AN3*0.35</f>
        <v>20.65</v>
      </c>
      <c r="AS3" s="325" t="n">
        <f>AN3*0.4</f>
        <v>23.6</v>
      </c>
      <c r="AT3" s="325" t="n">
        <f>AN3*0.45</f>
        <v>26.55</v>
      </c>
      <c r="AU3" s="325" t="n">
        <f>AN3*0.5</f>
        <v>29.5</v>
      </c>
      <c r="AV3" s="322" t="n">
        <f>AN3*0.55</f>
        <v>32.45</v>
      </c>
    </row>
    <row r="4" ht="16.5" customHeight="1">
      <c r="A4" s="212" t="s">
        <v>45</v>
      </c>
      <c r="B4" s="212" t="n">
        <v>2545862641</v>
      </c>
      <c r="C4" s="212" t="s">
        <v>1306</v>
      </c>
      <c r="D4" s="212" t="s">
        <v>48</v>
      </c>
      <c r="E4" s="232" t="s">
        <v>25</v>
      </c>
      <c r="F4" s="232"/>
      <c r="G4" s="232" t="s">
        <v>218</v>
      </c>
      <c r="H4" s="232" t="s">
        <v>31</v>
      </c>
      <c r="I4" s="232" t="s">
        <f>VLOOKUP(B4,'零期·UV电访分配'!B:Q,7,0)</f>
        <v>88</v>
      </c>
      <c r="J4" s="232" t="s">
        <v>1343</v>
      </c>
      <c r="K4" s="232"/>
      <c r="L4" s="232"/>
      <c r="M4" s="232" t="s">
        <v>43</v>
      </c>
      <c r="N4" s="232" t="s">
        <f>VLOOKUP(B4,'零期·UV电访分配'!B:Q,11,0)</f>
        <v>88</v>
      </c>
      <c r="O4" s="232" t="s">
        <v>1343</v>
      </c>
      <c r="P4" s="232"/>
      <c r="Q4" s="232"/>
      <c r="R4" s="232" t="s">
        <v>52</v>
      </c>
      <c r="S4" s="232" t="s">
        <f>VLOOKUP(B4,'零期·UV电访分配'!B:Q,15,0)</f>
        <v>88</v>
      </c>
      <c r="T4" s="232" t="s">
        <v>1343</v>
      </c>
      <c r="U4" s="232"/>
      <c r="V4" s="232"/>
      <c r="AA4" s="314"/>
      <c r="AB4" s="196" t="s">
        <v>43</v>
      </c>
      <c r="AC4" s="196" t="n">
        <f>COUNTIFS(M:M,AB4,N:N,"零期")</f>
        <v>39</v>
      </c>
      <c r="AD4" s="196" t="n">
        <f>'新初一数据看板'!G50</f>
        <v>19</v>
      </c>
      <c r="AE4" s="198" t="n">
        <f>AD4/AC4</f>
        <v>0.487179487179487</v>
      </c>
      <c r="AF4" s="196" t="n">
        <f>COUNTIFS(M:M,AB4,O:O,"A")</f>
        <v>1</v>
      </c>
      <c r="AG4" s="198" t="n">
        <f>AF4/(AC4)</f>
        <v>0.0256410256410256</v>
      </c>
      <c r="AH4" s="196" t="n">
        <f>COUNTIFS(M:M,AB4,O:O,"B")</f>
        <v>16</v>
      </c>
      <c r="AI4" s="198" t="n">
        <f>AH4/AC4</f>
        <v>0.41025641025641</v>
      </c>
      <c r="AJ4" s="196" t="n">
        <f>COUNTIFS(M:M,AB4,O:O,"C")</f>
        <v>4</v>
      </c>
      <c r="AK4" s="198" t="n">
        <f>AJ4/(AC4)</f>
        <v>0.102564102564103</v>
      </c>
      <c r="AM4" s="314" t="s">
        <v>37</v>
      </c>
      <c r="AN4" s="323" t="n">
        <v>40</v>
      </c>
      <c r="AO4" s="323" t="n">
        <v>10</v>
      </c>
      <c r="AP4" s="325" t="n">
        <f>AN4*AP1</f>
        <v>10</v>
      </c>
      <c r="AQ4" s="322" t="n">
        <f>AN4*0.3</f>
        <v>12</v>
      </c>
      <c r="AR4" s="322" t="n">
        <f>AN4*0.35</f>
        <v>14</v>
      </c>
      <c r="AS4" s="322" t="n">
        <f>AN4*0.4</f>
        <v>16</v>
      </c>
      <c r="AT4" s="322" t="n">
        <f>AN4*0.45</f>
        <v>18</v>
      </c>
      <c r="AU4" s="322" t="n">
        <f>AN4*0.5</f>
        <v>20</v>
      </c>
      <c r="AV4" s="322" t="n">
        <f>AN4*0.55</f>
        <v>22</v>
      </c>
    </row>
    <row r="5" ht="16.5" customHeight="1">
      <c r="A5" s="212" t="s">
        <v>45</v>
      </c>
      <c r="B5" s="212" t="n">
        <v>4700610785</v>
      </c>
      <c r="C5" s="212" t="s">
        <v>1302</v>
      </c>
      <c r="D5" s="212" t="s">
        <v>48</v>
      </c>
      <c r="E5" s="232" t="s">
        <v>25</v>
      </c>
      <c r="F5" s="232"/>
      <c r="G5" s="232" t="s">
        <v>218</v>
      </c>
      <c r="H5" s="232" t="s">
        <v>31</v>
      </c>
      <c r="I5" s="232" t="s">
        <f>VLOOKUP(B5,'零期·UV电访分配'!B:Q,7,0)</f>
        <v>88</v>
      </c>
      <c r="J5" s="232" t="s">
        <v>1343</v>
      </c>
      <c r="K5" s="232"/>
      <c r="L5" s="232"/>
      <c r="M5" s="232" t="s">
        <v>43</v>
      </c>
      <c r="N5" s="232" t="s">
        <f>VLOOKUP(B5,'零期·UV电访分配'!B:Q,11,0)</f>
        <v>88</v>
      </c>
      <c r="O5" s="232" t="s">
        <v>1343</v>
      </c>
      <c r="P5" s="232"/>
      <c r="Q5" s="232"/>
      <c r="R5" s="232" t="s">
        <v>52</v>
      </c>
      <c r="S5" s="232" t="s">
        <f>VLOOKUP(B5,'零期·UV电访分配'!B:Q,15,0)</f>
        <v>88</v>
      </c>
      <c r="T5" s="232" t="s">
        <v>1343</v>
      </c>
      <c r="U5" s="232"/>
      <c r="V5" s="232"/>
      <c r="AA5" s="314"/>
      <c r="AB5" s="192" t="s">
        <v>47</v>
      </c>
      <c r="AC5" s="192" t="n">
        <f>COUNTIFS(M:M,AB5,N:N,"零期")</f>
        <v>42</v>
      </c>
      <c r="AD5" s="192" t="n">
        <f>'新初一数据看板'!G51</f>
        <v>4</v>
      </c>
      <c r="AE5" s="194" t="n">
        <f>AD5/AC5</f>
        <v>0.0952380952380952</v>
      </c>
      <c r="AF5" s="192" t="n">
        <f>COUNTIFS(M:M,AB5,O:O,"A")</f>
        <v>0</v>
      </c>
      <c r="AG5" s="194" t="n">
        <f>AF5/(AC5)</f>
        <v>0</v>
      </c>
      <c r="AH5" s="192" t="n">
        <f>COUNTIFS(M:M,AB5,O:O,"B")</f>
        <v>26</v>
      </c>
      <c r="AI5" s="194" t="n">
        <f>AH5/AC5</f>
        <v>0.619047619047619</v>
      </c>
      <c r="AJ5" s="192" t="n">
        <f>COUNTIFS(M:M,AB5,O:O,"C")</f>
        <v>13</v>
      </c>
      <c r="AK5" s="194" t="n">
        <f>AJ5/(AC5)</f>
        <v>0.30952380952381</v>
      </c>
      <c r="AM5" s="314" t="s">
        <v>43</v>
      </c>
      <c r="AN5" s="323" t="n">
        <v>39</v>
      </c>
      <c r="AO5" s="323" t="n">
        <v>18</v>
      </c>
      <c r="AP5" s="325" t="n">
        <f>AN5*AP1</f>
        <v>9.75</v>
      </c>
      <c r="AQ5" s="325" t="n">
        <f>AN5*0.3</f>
        <v>11.7</v>
      </c>
      <c r="AR5" s="325" t="n">
        <f>AN5*0.35</f>
        <v>13.65</v>
      </c>
      <c r="AS5" s="325" t="n">
        <f>AN5*0.4</f>
        <v>15.6</v>
      </c>
      <c r="AT5" s="325" t="n">
        <f>AN5*0.45</f>
        <v>17.55</v>
      </c>
      <c r="AU5" s="322" t="n">
        <f>AN5*0.5</f>
        <v>19.5</v>
      </c>
      <c r="AV5" s="322" t="n">
        <f>AN5*0.55</f>
        <v>21.45</v>
      </c>
    </row>
    <row r="6" ht="16.5" customHeight="1">
      <c r="A6" s="233" t="s">
        <v>45</v>
      </c>
      <c r="B6" s="233" t="n">
        <v>4149980338</v>
      </c>
      <c r="C6" s="212" t="s">
        <v>1253</v>
      </c>
      <c r="D6" s="212" t="s">
        <v>48</v>
      </c>
      <c r="E6" s="232" t="s">
        <v>25</v>
      </c>
      <c r="F6" s="232"/>
      <c r="G6" s="232" t="s">
        <v>217</v>
      </c>
      <c r="H6" s="232" t="s">
        <v>31</v>
      </c>
      <c r="I6" s="232" t="s">
        <f>VLOOKUP(B6,'零期·UV电访分配'!B:Q,7,0)</f>
        <v>88</v>
      </c>
      <c r="J6" s="232" t="s">
        <v>1343</v>
      </c>
      <c r="K6" s="232"/>
      <c r="L6" s="232"/>
      <c r="M6" s="232" t="s">
        <v>43</v>
      </c>
      <c r="N6" s="232" t="s">
        <f>VLOOKUP(B6,'零期·UV电访分配'!B:Q,11,0)</f>
        <v>88</v>
      </c>
      <c r="O6" s="232" t="s">
        <v>1343</v>
      </c>
      <c r="P6" s="232"/>
      <c r="Q6" s="232"/>
      <c r="R6" s="232" t="s">
        <v>116</v>
      </c>
      <c r="S6" s="232" t="s">
        <f>VLOOKUP(B6,'零期·UV电访分配'!B:Q,15,0)</f>
        <v>116</v>
      </c>
      <c r="T6" s="232"/>
      <c r="U6" s="232"/>
      <c r="V6" s="232"/>
      <c r="AA6" s="314"/>
      <c r="AB6" s="196" t="s">
        <v>49</v>
      </c>
      <c r="AC6" s="196" t="n">
        <f>COUNTIFS(M:M,AB6,N:N,"零期")</f>
        <v>15</v>
      </c>
      <c r="AD6" s="196" t="n">
        <f>'新初一数据看板'!G52</f>
        <v>3</v>
      </c>
      <c r="AE6" s="198" t="n">
        <f>AD6/AC6</f>
        <v>0.2</v>
      </c>
      <c r="AF6" s="196" t="n">
        <f>COUNTIFS(M:M,AB6,O:O,"A")</f>
        <v>1</v>
      </c>
      <c r="AG6" s="198" t="n">
        <f>AF6/(AC6)</f>
        <v>0.0666666666666667</v>
      </c>
      <c r="AH6" s="196" t="n">
        <f>COUNTIFS(M:M,AB6,O:O,"B")</f>
        <v>2</v>
      </c>
      <c r="AI6" s="198" t="n">
        <f>AH6/AC6</f>
        <v>0.133333333333333</v>
      </c>
      <c r="AJ6" s="196" t="n">
        <f>COUNTIFS(M:M,AB6,O:O,"C")</f>
        <v>9</v>
      </c>
      <c r="AK6" s="198" t="n">
        <f>AJ6/(AC6)</f>
        <v>0.6</v>
      </c>
      <c r="AM6" s="314" t="s">
        <v>47</v>
      </c>
      <c r="AN6" s="323" t="n">
        <v>42</v>
      </c>
      <c r="AO6" s="323" t="n">
        <v>4</v>
      </c>
      <c r="AP6" s="322" t="n">
        <f>AN6*AP1</f>
        <v>10.5</v>
      </c>
      <c r="AQ6" s="322" t="n">
        <f>AN6*0.3</f>
        <v>12.6</v>
      </c>
      <c r="AR6" s="322" t="n">
        <f>AN6*0.35</f>
        <v>14.7</v>
      </c>
      <c r="AS6" s="322" t="n">
        <f>AN6*0.4</f>
        <v>16.8</v>
      </c>
      <c r="AT6" s="322" t="n">
        <f>AN6*0.45</f>
        <v>18.9</v>
      </c>
      <c r="AU6" s="322" t="n">
        <f>AN6*0.5</f>
        <v>21</v>
      </c>
      <c r="AV6" s="322" t="n">
        <f>AN6*0.55</f>
        <v>23.1</v>
      </c>
    </row>
    <row r="7" ht="16.5" customHeight="1">
      <c r="A7" s="233" t="s">
        <v>45</v>
      </c>
      <c r="B7" s="233" t="n">
        <v>4357593784</v>
      </c>
      <c r="C7" s="212" t="s">
        <v>1204</v>
      </c>
      <c r="D7" s="212" t="s">
        <v>48</v>
      </c>
      <c r="E7" s="232" t="s">
        <v>25</v>
      </c>
      <c r="F7" s="232"/>
      <c r="G7" s="232" t="s">
        <v>218</v>
      </c>
      <c r="H7" s="232" t="s">
        <v>31</v>
      </c>
      <c r="I7" s="232" t="s">
        <f>VLOOKUP(B7,'零期·UV电访分配'!B:Q,7,0)</f>
        <v>88</v>
      </c>
      <c r="J7" s="232" t="s">
        <v>1343</v>
      </c>
      <c r="K7" s="232"/>
      <c r="L7" s="232"/>
      <c r="M7" s="232" t="s">
        <v>43</v>
      </c>
      <c r="N7" s="232" t="s">
        <f>VLOOKUP(B7,'零期·UV电访分配'!B:Q,11,0)</f>
        <v>88</v>
      </c>
      <c r="O7" s="232" t="s">
        <v>1343</v>
      </c>
      <c r="P7" s="232"/>
      <c r="Q7" s="232"/>
      <c r="R7" s="232" t="s">
        <v>116</v>
      </c>
      <c r="S7" s="232" t="s">
        <f>VLOOKUP(B7,'零期·UV电访分配'!B:Q,15,0)</f>
        <v>116</v>
      </c>
      <c r="T7" s="232"/>
      <c r="U7" s="232"/>
      <c r="V7" s="232"/>
      <c r="W7" s="114"/>
      <c r="X7" s="114"/>
      <c r="Y7" s="114"/>
      <c r="AA7" s="314"/>
      <c r="AB7" s="192" t="s">
        <v>52</v>
      </c>
      <c r="AC7" s="192" t="n">
        <f>COUNTIFS(R:R,AB7,S:S,"零期")</f>
        <v>37</v>
      </c>
      <c r="AD7" s="192" t="n">
        <f>'新初一数据看板'!G54</f>
        <v>12</v>
      </c>
      <c r="AE7" s="194" t="n">
        <f>AD7/AC7</f>
        <v>0.324324324324324</v>
      </c>
      <c r="AF7" s="192" t="n">
        <f>COUNTIFS(R:R,AB7,T:T,"A")</f>
        <v>3</v>
      </c>
      <c r="AG7" s="194" t="n">
        <f>AF7/(AC7)</f>
        <v>0.0810810810810811</v>
      </c>
      <c r="AH7" s="192" t="n">
        <f>COUNTIFS(R:R,AB7,T:T,"B")</f>
        <v>9</v>
      </c>
      <c r="AI7" s="194" t="n">
        <f>AH7/AC7</f>
        <v>0.243243243243243</v>
      </c>
      <c r="AJ7" s="192" t="n">
        <f>COUNTIFS(R:R,AB7,T:T,"C")</f>
        <v>13</v>
      </c>
      <c r="AK7" s="194" t="n">
        <f>AJ7/(AC7)</f>
        <v>0.351351351351351</v>
      </c>
      <c r="AM7" s="314" t="s">
        <v>49</v>
      </c>
      <c r="AN7" s="323" t="n">
        <v>15</v>
      </c>
      <c r="AO7" s="323" t="n">
        <v>3</v>
      </c>
      <c r="AP7" s="322" t="n">
        <f>AN7*AP1</f>
        <v>3.75</v>
      </c>
      <c r="AQ7" s="322" t="n">
        <f>AN7*0.3</f>
        <v>4.5</v>
      </c>
      <c r="AR7" s="322" t="n">
        <f>AN7*0.35</f>
        <v>5.25</v>
      </c>
      <c r="AS7" s="322" t="n">
        <f>AN7*0.4</f>
        <v>6</v>
      </c>
      <c r="AT7" s="322" t="n">
        <f>AN7*0.45</f>
        <v>6.75</v>
      </c>
      <c r="AU7" s="322" t="n">
        <f>AN7*0.5</f>
        <v>7.5</v>
      </c>
      <c r="AV7" s="322" t="n">
        <f>AN7*0.55</f>
        <v>8.25</v>
      </c>
    </row>
    <row r="8" ht="16.5" customHeight="1">
      <c r="A8" s="233" t="s">
        <v>45</v>
      </c>
      <c r="B8" s="233" t="n">
        <v>4279445279</v>
      </c>
      <c r="C8" s="212" t="s">
        <v>1240</v>
      </c>
      <c r="D8" s="212" t="s">
        <v>46</v>
      </c>
      <c r="E8" s="232"/>
      <c r="F8" s="232"/>
      <c r="G8" s="232" t="s">
        <v>217</v>
      </c>
      <c r="H8" s="232" t="s">
        <v>31</v>
      </c>
      <c r="I8" s="232" t="s">
        <f>VLOOKUP(B8,'零期·UV电访分配'!B:Q,7,0)</f>
        <v>88</v>
      </c>
      <c r="J8" s="232" t="s">
        <v>1343</v>
      </c>
      <c r="K8" s="232"/>
      <c r="L8" s="232"/>
      <c r="M8" s="232" t="s">
        <v>116</v>
      </c>
      <c r="N8" s="232" t="s">
        <f>VLOOKUP(B8,'零期·UV电访分配'!B:Q,11,0)</f>
        <v>116</v>
      </c>
      <c r="O8" s="232"/>
      <c r="P8" s="232"/>
      <c r="Q8" s="232"/>
      <c r="R8" s="232" t="s">
        <v>58</v>
      </c>
      <c r="S8" s="232" t="s">
        <f>VLOOKUP(B8,'零期·UV电访分配'!B:Q,15,0)</f>
        <v>88</v>
      </c>
      <c r="T8" s="232" t="s">
        <v>1343</v>
      </c>
      <c r="U8" s="232"/>
      <c r="V8" s="232"/>
      <c r="W8" s="114"/>
      <c r="X8" s="114"/>
      <c r="Y8" s="114"/>
      <c r="AA8" s="314"/>
      <c r="AB8" s="196" t="s">
        <v>56</v>
      </c>
      <c r="AC8" s="196" t="n">
        <f>COUNTIFS(R:R,AB8,S:S,"零期")</f>
        <v>44</v>
      </c>
      <c r="AD8" s="196" t="n">
        <f>'新初一数据看板'!G55</f>
        <v>11</v>
      </c>
      <c r="AE8" s="198" t="n">
        <f>AD8/AC8</f>
        <v>0.25</v>
      </c>
      <c r="AF8" s="196" t="n">
        <f>COUNTIFS(R:R,AB8,T:T,"A")</f>
        <v>2</v>
      </c>
      <c r="AG8" s="198" t="n">
        <f>AF8/(AC8)</f>
        <v>0.0454545454545455</v>
      </c>
      <c r="AH8" s="196" t="n">
        <f>COUNTIFS(R:R,AB8,T:T,"B")</f>
        <v>8</v>
      </c>
      <c r="AI8" s="198" t="n">
        <f>AH8/AC8</f>
        <v>0.181818181818182</v>
      </c>
      <c r="AJ8" s="196" t="n">
        <f>COUNTIFS(R:R,AB8,T:T,"C")</f>
        <v>26</v>
      </c>
      <c r="AK8" s="198" t="n">
        <f>AJ8/(AC8)</f>
        <v>0.590909090909091</v>
      </c>
      <c r="AM8" s="314" t="s">
        <v>52</v>
      </c>
      <c r="AN8" s="323" t="n">
        <v>37</v>
      </c>
      <c r="AO8" s="323" t="n">
        <v>11</v>
      </c>
      <c r="AP8" s="325" t="n">
        <f>AN8*AP1</f>
        <v>9.25</v>
      </c>
      <c r="AQ8" s="325" t="n">
        <f>AN8*0.3</f>
        <v>11.1</v>
      </c>
      <c r="AR8" s="322" t="n">
        <f>AN8*0.35</f>
        <v>12.95</v>
      </c>
      <c r="AS8" s="322" t="n">
        <f>AN8*0.4</f>
        <v>14.8</v>
      </c>
      <c r="AT8" s="322" t="n">
        <f>AN8*0.45</f>
        <v>16.65</v>
      </c>
      <c r="AU8" s="322" t="n">
        <f>AN8*0.5</f>
        <v>18.5</v>
      </c>
      <c r="AV8" s="322" t="n">
        <f>AN8*0.55</f>
        <v>20.35</v>
      </c>
    </row>
    <row r="9" ht="16.5" customHeight="1">
      <c r="A9" s="233" t="s">
        <v>45</v>
      </c>
      <c r="B9" s="233" t="n">
        <v>4628703443</v>
      </c>
      <c r="C9" s="212" t="s">
        <v>1231</v>
      </c>
      <c r="D9" s="212" t="s">
        <v>46</v>
      </c>
      <c r="E9" s="232" t="s">
        <v>25</v>
      </c>
      <c r="F9" s="232"/>
      <c r="G9" s="232" t="s">
        <v>217</v>
      </c>
      <c r="H9" s="232" t="s">
        <v>31</v>
      </c>
      <c r="I9" s="232" t="s">
        <f>VLOOKUP(B9,'零期·UV电访分配'!B:Q,7,0)</f>
        <v>88</v>
      </c>
      <c r="J9" s="232" t="s">
        <v>1343</v>
      </c>
      <c r="K9" s="232"/>
      <c r="L9" s="232"/>
      <c r="M9" s="232" t="s">
        <v>116</v>
      </c>
      <c r="N9" s="232" t="s">
        <f>VLOOKUP(B9,'零期·UV电访分配'!B:Q,11,0)</f>
        <v>116</v>
      </c>
      <c r="O9" s="232"/>
      <c r="P9" s="232"/>
      <c r="Q9" s="232"/>
      <c r="R9" s="232" t="s">
        <v>52</v>
      </c>
      <c r="S9" s="232" t="s">
        <f>VLOOKUP(B9,'零期·UV电访分配'!B:Q,15,0)</f>
        <v>88</v>
      </c>
      <c r="T9" s="232" t="s">
        <v>1343</v>
      </c>
      <c r="U9" s="232"/>
      <c r="V9" s="232"/>
      <c r="W9" s="114"/>
      <c r="X9" s="114"/>
      <c r="Y9" s="114"/>
      <c r="AA9" s="314"/>
      <c r="AB9" s="192" t="s">
        <v>58</v>
      </c>
      <c r="AC9" s="192" t="n">
        <f>COUNTIFS(R:R,AB9,S:S,"零期")</f>
        <v>20</v>
      </c>
      <c r="AD9" s="192" t="n">
        <f>'新初一数据看板'!G56</f>
        <v>9</v>
      </c>
      <c r="AE9" s="194" t="n">
        <f>AD9/AC9</f>
        <v>0.45</v>
      </c>
      <c r="AF9" s="192" t="n">
        <f>COUNTIFS(R:R,AB9,T:T,"A")</f>
        <v>0</v>
      </c>
      <c r="AG9" s="194" t="n">
        <f>AF9/(AC9)</f>
        <v>0</v>
      </c>
      <c r="AH9" s="192" t="n">
        <f>COUNTIFS(R:R,AB9,T:T,"B")</f>
        <v>3</v>
      </c>
      <c r="AI9" s="194" t="n">
        <f>AH9/AC9</f>
        <v>0.15</v>
      </c>
      <c r="AJ9" s="192" t="n">
        <f>COUNTIFS(R:R,AB9,T:T,"C")</f>
        <v>8</v>
      </c>
      <c r="AK9" s="194" t="n">
        <f>AJ9/(AC9)</f>
        <v>0.4</v>
      </c>
      <c r="AM9" s="314" t="s">
        <v>56</v>
      </c>
      <c r="AN9" s="323" t="n">
        <v>46</v>
      </c>
      <c r="AO9" s="323" t="n">
        <v>10</v>
      </c>
      <c r="AP9" s="322" t="n">
        <f>AN9*AP1</f>
        <v>11.5</v>
      </c>
      <c r="AQ9" s="322" t="n">
        <f>AN9*0.3</f>
        <v>13.8</v>
      </c>
      <c r="AR9" s="322" t="n">
        <f>AN9*0.35</f>
        <v>16.1</v>
      </c>
      <c r="AS9" s="322" t="n">
        <f>AN9*0.4</f>
        <v>18.4</v>
      </c>
      <c r="AT9" s="322" t="n">
        <f>AN9*0.45</f>
        <v>20.7</v>
      </c>
      <c r="AU9" s="322" t="n">
        <f>AN9*0.5</f>
        <v>23</v>
      </c>
      <c r="AV9" s="322" t="n">
        <f>AN9*0.55</f>
        <v>25.3</v>
      </c>
    </row>
    <row r="10" ht="16.5" customHeight="1">
      <c r="A10" s="233" t="s">
        <v>45</v>
      </c>
      <c r="B10" s="233" t="n">
        <v>2488140963</v>
      </c>
      <c r="C10" s="212" t="s">
        <v>1260</v>
      </c>
      <c r="D10" s="212" t="s">
        <v>46</v>
      </c>
      <c r="E10" s="232" t="s">
        <v>25</v>
      </c>
      <c r="F10" s="232"/>
      <c r="G10" s="232" t="s">
        <v>217</v>
      </c>
      <c r="H10" s="232" t="s">
        <v>31</v>
      </c>
      <c r="I10" s="232" t="s">
        <f>VLOOKUP(B10,'零期·UV电访分配'!B:Q,7,0)</f>
        <v>88</v>
      </c>
      <c r="J10" s="232" t="s">
        <v>1343</v>
      </c>
      <c r="K10" s="232"/>
      <c r="L10" s="232"/>
      <c r="M10" s="232" t="s">
        <v>43</v>
      </c>
      <c r="N10" s="232" t="s">
        <f>VLOOKUP(B10,'零期·UV电访分配'!B:Q,11,0)</f>
        <v>88</v>
      </c>
      <c r="O10" s="232" t="s">
        <v>1343</v>
      </c>
      <c r="P10" s="232"/>
      <c r="Q10" s="232"/>
      <c r="R10" s="232" t="s">
        <v>52</v>
      </c>
      <c r="S10" s="232" t="s">
        <f>VLOOKUP(B10,'零期·UV电访分配'!B:Q,15,0)</f>
        <v>88</v>
      </c>
      <c r="T10" s="232" t="s">
        <v>1343</v>
      </c>
      <c r="U10" s="232"/>
      <c r="V10" s="232"/>
      <c r="W10" s="318"/>
      <c r="X10" s="318"/>
      <c r="Y10" s="318"/>
      <c r="AA10" s="96"/>
      <c r="AB10" s="206" t="s">
        <v>42</v>
      </c>
      <c r="AC10" s="206" t="n">
        <f>AC2+AC3+AC4+AC5+AC6+AC7+AC8+AC9</f>
        <v>295</v>
      </c>
      <c r="AD10" s="206" t="n">
        <f>AD2+AD3+AD4+AD5+AD6+AD7+AD8+AD9</f>
        <v>99</v>
      </c>
      <c r="AE10" s="198" t="n">
        <f>AD10/AC10</f>
        <v>0.335593220338983</v>
      </c>
      <c r="AF10" s="196" t="n">
        <f>AF2+AF3+AF4+AF5+AF6+AF7+AF8+AF9</f>
        <v>15</v>
      </c>
      <c r="AG10" s="198" t="n">
        <f>AF10/(AC10)</f>
        <v>0.0508474576271187</v>
      </c>
      <c r="AH10" s="196" t="n">
        <f>AH2+AH3+AH4+AH5+AH6+AH7+AH8+AH9</f>
        <v>93</v>
      </c>
      <c r="AI10" s="198" t="n">
        <f>AH10/AC10</f>
        <v>0.315254237288136</v>
      </c>
      <c r="AJ10" s="196" t="n">
        <f>AJ2+AJ3+AJ4+AJ6+AJ5+AJ7+AJ8+AJ9</f>
        <v>95</v>
      </c>
      <c r="AK10" s="198" t="n">
        <f>AJ10/(AC10)</f>
        <v>0.322033898305085</v>
      </c>
      <c r="AM10" s="314" t="s">
        <v>58</v>
      </c>
      <c r="AN10" s="323" t="n">
        <v>20</v>
      </c>
      <c r="AO10" s="323" t="n">
        <v>9</v>
      </c>
      <c r="AP10" s="325" t="n">
        <f>AN10*AP1</f>
        <v>5</v>
      </c>
      <c r="AQ10" s="325" t="n">
        <f>AN10*0.3</f>
        <v>6</v>
      </c>
      <c r="AR10" s="325" t="n">
        <f>AN10*0.35</f>
        <v>7</v>
      </c>
      <c r="AS10" s="325" t="n">
        <f>AN10*0.4</f>
        <v>8</v>
      </c>
      <c r="AT10" s="325" t="n">
        <f>AN10*0.45</f>
        <v>9</v>
      </c>
      <c r="AU10" s="322" t="n">
        <f>AN10*0.5</f>
        <v>10</v>
      </c>
      <c r="AV10" s="322" t="n">
        <f>AN10*0.55</f>
        <v>11</v>
      </c>
    </row>
    <row r="11" ht="16.5" customHeight="1">
      <c r="A11" s="233" t="s">
        <v>45</v>
      </c>
      <c r="B11" s="233" t="n">
        <v>4762945633</v>
      </c>
      <c r="C11" s="212" t="s">
        <v>1014</v>
      </c>
      <c r="D11" s="212" t="s">
        <v>46</v>
      </c>
      <c r="E11" s="232" t="s">
        <v>25</v>
      </c>
      <c r="F11" s="232"/>
      <c r="G11" s="232" t="s">
        <v>217</v>
      </c>
      <c r="H11" s="232" t="s">
        <v>31</v>
      </c>
      <c r="I11" s="232" t="s">
        <f>VLOOKUP(B11,'零期·UV电访分配'!B:Q,7,0)</f>
        <v>88</v>
      </c>
      <c r="J11" s="232" t="s">
        <v>1343</v>
      </c>
      <c r="K11" s="232"/>
      <c r="L11" s="232"/>
      <c r="M11" s="232" t="s">
        <v>43</v>
      </c>
      <c r="N11" s="232" t="s">
        <f>VLOOKUP(B11,'零期·UV电访分配'!B:Q,11,0)</f>
        <v>88</v>
      </c>
      <c r="O11" s="232" t="s">
        <v>1343</v>
      </c>
      <c r="P11" s="232"/>
      <c r="Q11" s="232"/>
      <c r="R11" s="232" t="s">
        <v>52</v>
      </c>
      <c r="S11" s="232" t="s">
        <f>VLOOKUP(B11,'零期·UV电访分配'!B:Q,15,0)</f>
        <v>88</v>
      </c>
      <c r="T11" s="232" t="s">
        <v>1343</v>
      </c>
      <c r="U11" s="232"/>
      <c r="V11" s="232"/>
      <c r="W11" s="318"/>
      <c r="X11" s="318"/>
      <c r="Y11" s="318"/>
      <c r="AM11" s="5"/>
      <c r="AN11" s="5"/>
      <c r="AO11" s="5"/>
      <c r="AP11" s="5"/>
      <c r="AQ11" s="5"/>
      <c r="AR11" s="5"/>
      <c r="AS11" s="5"/>
      <c r="AT11" s="5"/>
      <c r="AU11" s="5"/>
      <c r="AV11" s="5"/>
    </row>
    <row r="12" ht="16.5" customHeight="1">
      <c r="A12" s="234" t="s">
        <v>45</v>
      </c>
      <c r="B12" s="234" t="n">
        <v>4042838194</v>
      </c>
      <c r="C12" s="232" t="s">
        <v>1055</v>
      </c>
      <c r="D12" s="232" t="s">
        <v>46</v>
      </c>
      <c r="E12" s="232" t="s">
        <v>27</v>
      </c>
      <c r="F12" s="232"/>
      <c r="G12" s="232" t="s">
        <v>218</v>
      </c>
      <c r="H12" s="232" t="s">
        <v>37</v>
      </c>
      <c r="I12" s="232" t="s">
        <f>VLOOKUP(B12,'零期·UV电访分配'!B:Q,7,0)</f>
        <v>88</v>
      </c>
      <c r="J12" s="232" t="s">
        <v>1343</v>
      </c>
      <c r="K12" s="232"/>
      <c r="L12" s="232"/>
      <c r="M12" s="232" t="s">
        <v>49</v>
      </c>
      <c r="N12" s="232" t="s">
        <f>VLOOKUP(B12,'零期·UV电访分配'!B:Q,11,0)</f>
        <v>88</v>
      </c>
      <c r="O12" s="232" t="s">
        <v>1343</v>
      </c>
      <c r="P12" s="232"/>
      <c r="Q12" s="232"/>
      <c r="R12" s="232" t="s">
        <v>52</v>
      </c>
      <c r="S12" s="232" t="s">
        <f>VLOOKUP(B12,'零期·UV电访分配'!B:Q,15,0)</f>
        <v>88</v>
      </c>
      <c r="T12" s="232" t="s">
        <v>1343</v>
      </c>
      <c r="U12" s="232"/>
      <c r="V12" s="232"/>
      <c r="W12" s="318"/>
      <c r="X12" s="318"/>
      <c r="Y12" s="318"/>
      <c r="AM12" s="5"/>
      <c r="AN12" s="5"/>
      <c r="AO12" s="5"/>
      <c r="AP12" s="5"/>
      <c r="AQ12" s="5"/>
      <c r="AR12" s="5"/>
      <c r="AS12" s="5"/>
      <c r="AT12" s="5"/>
      <c r="AU12" s="5"/>
      <c r="AV12" s="5"/>
    </row>
    <row r="13" ht="16.5" customHeight="1">
      <c r="A13" s="234" t="s">
        <v>45</v>
      </c>
      <c r="B13" s="234" t="n">
        <v>2531326234</v>
      </c>
      <c r="C13" s="232" t="s">
        <v>1152</v>
      </c>
      <c r="D13" s="232" t="s">
        <v>48</v>
      </c>
      <c r="E13" s="232" t="s">
        <v>27</v>
      </c>
      <c r="F13" s="232"/>
      <c r="G13" s="232" t="s">
        <v>218</v>
      </c>
      <c r="H13" s="232" t="s">
        <v>31</v>
      </c>
      <c r="I13" s="232" t="s">
        <f>VLOOKUP(B13,'零期·UV电访分配'!B:Q,7,0)</f>
        <v>88</v>
      </c>
      <c r="J13" s="232" t="s">
        <v>1343</v>
      </c>
      <c r="K13" s="232"/>
      <c r="L13" s="232"/>
      <c r="M13" s="232" t="s">
        <v>116</v>
      </c>
      <c r="N13" s="232" t="s">
        <f>VLOOKUP(B13,'零期·UV电访分配'!B:Q,11,0)</f>
        <v>100</v>
      </c>
      <c r="O13" s="232"/>
      <c r="P13" s="232"/>
      <c r="Q13" s="232"/>
      <c r="R13" s="232" t="s">
        <v>58</v>
      </c>
      <c r="S13" s="232" t="s">
        <f>VLOOKUP(B13,'零期·UV电访分配'!B:Q,15,0)</f>
        <v>88</v>
      </c>
      <c r="T13" s="232" t="s">
        <v>1343</v>
      </c>
      <c r="U13" s="232"/>
      <c r="V13" s="232"/>
      <c r="W13" s="318"/>
      <c r="X13" s="318"/>
      <c r="Y13" s="318"/>
    </row>
    <row r="14" ht="16.5" customHeight="1">
      <c r="A14" s="233" t="s">
        <v>45</v>
      </c>
      <c r="B14" s="233" t="n">
        <v>2564941289</v>
      </c>
      <c r="C14" s="212" t="s">
        <v>641</v>
      </c>
      <c r="D14" s="212" t="s">
        <v>48</v>
      </c>
      <c r="E14" s="232" t="s">
        <v>27</v>
      </c>
      <c r="F14" s="232"/>
      <c r="G14" s="232" t="s">
        <v>218</v>
      </c>
      <c r="H14" s="232" t="s">
        <v>31</v>
      </c>
      <c r="I14" s="232" t="s">
        <f>VLOOKUP(B14,'零期·UV电访分配'!B:Q,7,0)</f>
        <v>88</v>
      </c>
      <c r="J14" s="232" t="s">
        <v>1343</v>
      </c>
      <c r="K14" s="232"/>
      <c r="L14" s="232"/>
      <c r="M14" s="232" t="s">
        <v>116</v>
      </c>
      <c r="N14" s="232" t="s">
        <f>VLOOKUP(B14,'零期·UV电访分配'!B:Q,11,0)</f>
        <v>116</v>
      </c>
      <c r="O14" s="232"/>
      <c r="P14" s="232"/>
      <c r="Q14" s="232"/>
      <c r="R14" s="232" t="s">
        <v>58</v>
      </c>
      <c r="S14" s="232" t="s">
        <f>VLOOKUP(B14,'零期·UV电访分配'!B:Q,15,0)</f>
        <v>88</v>
      </c>
      <c r="T14" s="232" t="s">
        <v>1343</v>
      </c>
      <c r="U14" s="232"/>
      <c r="V14" s="232"/>
      <c r="W14" s="318"/>
      <c r="X14" s="318"/>
      <c r="Y14" s="318"/>
    </row>
    <row r="15" ht="16.5" customHeight="1">
      <c r="A15" s="234" t="s">
        <v>45</v>
      </c>
      <c r="B15" s="234" t="n">
        <v>4829563345</v>
      </c>
      <c r="C15" s="232" t="s">
        <v>636</v>
      </c>
      <c r="D15" s="232" t="s">
        <v>48</v>
      </c>
      <c r="E15" s="232" t="s">
        <v>27</v>
      </c>
      <c r="F15" s="232"/>
      <c r="G15" s="232" t="s">
        <v>218</v>
      </c>
      <c r="H15" s="232" t="s">
        <v>37</v>
      </c>
      <c r="I15" s="232" t="s">
        <v>65</v>
      </c>
      <c r="J15" s="232" t="s">
        <v>1343</v>
      </c>
      <c r="K15" s="232"/>
      <c r="L15" s="232"/>
      <c r="M15" s="232" t="s">
        <v>116</v>
      </c>
      <c r="N15" s="232" t="s">
        <f>VLOOKUP(B15,'零期·UV电访分配'!B:Q,11,0)</f>
        <v>65</v>
      </c>
      <c r="O15" s="232"/>
      <c r="P15" s="232"/>
      <c r="Q15" s="232"/>
      <c r="R15" s="232" t="s">
        <v>52</v>
      </c>
      <c r="S15" s="232" t="s">
        <f>VLOOKUP(B15,'零期·UV电访分配'!B:Q,15,0)</f>
        <v>88</v>
      </c>
      <c r="T15" s="232" t="s">
        <v>1343</v>
      </c>
      <c r="U15" s="232"/>
      <c r="V15" s="232"/>
      <c r="W15" s="318"/>
      <c r="X15" s="318"/>
      <c r="Y15" s="318"/>
    </row>
    <row r="16" ht="16.5" customHeight="1">
      <c r="A16" s="234" t="s">
        <v>45</v>
      </c>
      <c r="B16" s="234" t="n">
        <v>4744732648</v>
      </c>
      <c r="C16" s="232" t="s">
        <v>1307</v>
      </c>
      <c r="D16" s="232" t="s">
        <v>50</v>
      </c>
      <c r="E16" s="232" t="s">
        <v>27</v>
      </c>
      <c r="F16" s="232"/>
      <c r="G16" s="232" t="s">
        <v>218</v>
      </c>
      <c r="H16" s="232" t="s">
        <v>31</v>
      </c>
      <c r="I16" s="232" t="s">
        <f>VLOOKUP(B16,'零期·UV电访分配'!B:Q,7,0)</f>
        <v>88</v>
      </c>
      <c r="J16" s="232" t="s">
        <v>1343</v>
      </c>
      <c r="K16" s="232"/>
      <c r="L16" s="232"/>
      <c r="M16" s="232" t="s">
        <v>47</v>
      </c>
      <c r="N16" s="232" t="s">
        <f>VLOOKUP(B16,'零期·UV电访分配'!B:Q,11,0)</f>
        <v>88</v>
      </c>
      <c r="O16" s="232" t="s">
        <v>1343</v>
      </c>
      <c r="P16" s="232"/>
      <c r="Q16" s="232"/>
      <c r="R16" s="232" t="s">
        <v>58</v>
      </c>
      <c r="S16" s="232" t="s">
        <f>VLOOKUP(B16,'零期·UV电访分配'!B:Q,15,0)</f>
        <v>88</v>
      </c>
      <c r="T16" s="232" t="s">
        <v>1343</v>
      </c>
      <c r="U16" s="232"/>
      <c r="V16" s="232"/>
      <c r="W16" s="318"/>
      <c r="X16" s="318"/>
      <c r="Y16" s="318"/>
    </row>
    <row r="17" ht="16.5" customHeight="1">
      <c r="A17" s="233" t="s">
        <v>45</v>
      </c>
      <c r="B17" s="233" t="n">
        <v>4231131337</v>
      </c>
      <c r="C17" s="212" t="s">
        <v>1244</v>
      </c>
      <c r="D17" s="212" t="s">
        <v>46</v>
      </c>
      <c r="E17" s="232" t="s">
        <v>25</v>
      </c>
      <c r="F17" s="232" t="s">
        <v>1804</v>
      </c>
      <c r="G17" s="232" t="s">
        <v>217</v>
      </c>
      <c r="H17" s="232" t="s">
        <v>31</v>
      </c>
      <c r="I17" s="232" t="s">
        <f>VLOOKUP(B17,'零期·UV电访分配'!B:Q,7,0)</f>
        <v>88</v>
      </c>
      <c r="J17" s="232" t="s">
        <v>1343</v>
      </c>
      <c r="K17" s="232"/>
      <c r="L17" s="232" t="s">
        <v>1805</v>
      </c>
      <c r="M17" s="232" t="s">
        <v>43</v>
      </c>
      <c r="N17" s="232" t="s">
        <f>VLOOKUP(B17,'零期·UV电访分配'!B:Q,11,0)</f>
        <v>88</v>
      </c>
      <c r="O17" s="232" t="s">
        <v>1343</v>
      </c>
      <c r="P17" s="232" t="s">
        <v>217</v>
      </c>
      <c r="Q17" s="232" t="s">
        <v>1806</v>
      </c>
      <c r="R17" s="232" t="s">
        <v>52</v>
      </c>
      <c r="S17" s="232" t="s">
        <f>VLOOKUP(B17,'零期·UV电访分配'!B:Q,15,0)</f>
        <v>88</v>
      </c>
      <c r="T17" s="232" t="s">
        <v>1343</v>
      </c>
      <c r="U17" s="232"/>
      <c r="V17" s="232" t="s">
        <v>1807</v>
      </c>
    </row>
    <row r="18" ht="16.5" customHeight="1">
      <c r="A18" s="293" t="s">
        <v>45</v>
      </c>
      <c r="B18" s="293" t="n">
        <v>4247653400</v>
      </c>
      <c r="C18" s="497" t="s">
        <v>862</v>
      </c>
      <c r="D18" s="497" t="s">
        <v>48</v>
      </c>
      <c r="E18" s="272" t="s">
        <v>25</v>
      </c>
      <c r="F18" s="272"/>
      <c r="G18" s="272" t="s">
        <v>218</v>
      </c>
      <c r="H18" s="272" t="s">
        <v>116</v>
      </c>
      <c r="I18" s="272" t="s">
        <v>65</v>
      </c>
      <c r="J18" s="272" t="s">
        <v>1343</v>
      </c>
      <c r="K18" s="272"/>
      <c r="L18" s="272"/>
      <c r="M18" s="272" t="s">
        <v>116</v>
      </c>
      <c r="N18" s="272" t="s">
        <f>VLOOKUP(B18,'零期·UV电访分配'!B:Q,11,0)</f>
        <v>65</v>
      </c>
      <c r="O18" s="272" t="s">
        <v>1343</v>
      </c>
      <c r="P18" s="272"/>
      <c r="Q18" s="272"/>
      <c r="R18" s="272" t="s">
        <v>52</v>
      </c>
      <c r="S18" s="272" t="s">
        <f>VLOOKUP(B18,'零期·UV电访分配'!B:Q,15,0)</f>
        <v>88</v>
      </c>
      <c r="T18" s="272" t="s">
        <v>29</v>
      </c>
      <c r="U18" s="272"/>
      <c r="V18" s="272" t="s">
        <v>1808</v>
      </c>
      <c r="W18" s="318"/>
      <c r="X18" s="318"/>
      <c r="Y18" s="318"/>
    </row>
    <row r="19" ht="77.25" customHeight="1">
      <c r="A19" s="294" t="s">
        <v>45</v>
      </c>
      <c r="B19" s="294" t="n">
        <v>2429621505</v>
      </c>
      <c r="C19" s="272" t="s">
        <v>1221</v>
      </c>
      <c r="D19" s="272" t="s">
        <v>50</v>
      </c>
      <c r="E19" s="272" t="s">
        <v>29</v>
      </c>
      <c r="F19" s="272" t="s">
        <v>1809</v>
      </c>
      <c r="G19" s="272" t="s">
        <v>218</v>
      </c>
      <c r="H19" s="272" t="s">
        <v>37</v>
      </c>
      <c r="I19" s="272" t="s">
        <f>VLOOKUP(B19,'零期·UV电访分配'!B:Q,7,0)</f>
        <v>88</v>
      </c>
      <c r="J19" s="272" t="s">
        <v>29</v>
      </c>
      <c r="K19" s="272" t="s">
        <v>217</v>
      </c>
      <c r="L19" s="681" t="s">
        <v>1810</v>
      </c>
      <c r="M19" s="272" t="s">
        <v>43</v>
      </c>
      <c r="N19" s="272" t="s">
        <f>VLOOKUP(B19,'零期·UV电访分配'!B:Q,11,0)</f>
        <v>88</v>
      </c>
      <c r="O19" s="272" t="s">
        <v>1343</v>
      </c>
      <c r="P19" s="272"/>
      <c r="Q19" s="272"/>
      <c r="R19" s="272" t="s">
        <v>52</v>
      </c>
      <c r="S19" s="272" t="s">
        <f>VLOOKUP(B19,'零期·UV电访分配'!B:Q,15,0)</f>
        <v>88</v>
      </c>
      <c r="T19" s="272" t="s">
        <v>29</v>
      </c>
      <c r="U19" s="272" t="s">
        <v>217</v>
      </c>
      <c r="V19" s="272" t="s">
        <v>1811</v>
      </c>
      <c r="W19" s="318"/>
      <c r="X19" s="318"/>
      <c r="Y19" s="318"/>
    </row>
    <row r="20" ht="16.5" customHeight="1">
      <c r="A20" s="293" t="s">
        <v>45</v>
      </c>
      <c r="B20" s="293" t="n">
        <v>4373949634</v>
      </c>
      <c r="C20" s="497" t="s">
        <v>657</v>
      </c>
      <c r="D20" s="497" t="s">
        <v>38</v>
      </c>
      <c r="E20" s="272" t="s">
        <v>25</v>
      </c>
      <c r="F20" s="272"/>
      <c r="G20" s="272" t="s">
        <v>217</v>
      </c>
      <c r="H20" s="272" t="s">
        <v>31</v>
      </c>
      <c r="I20" s="272" t="s">
        <f>VLOOKUP(B20,'零期·UV电访分配'!B:Q,7,0)</f>
        <v>88</v>
      </c>
      <c r="J20" s="272" t="s">
        <v>1343</v>
      </c>
      <c r="K20" s="272"/>
      <c r="L20" s="272"/>
      <c r="M20" s="272" t="s">
        <v>43</v>
      </c>
      <c r="N20" s="272" t="s">
        <f>VLOOKUP(B20,'零期·UV电访分配'!B:Q,11,0)</f>
        <v>88</v>
      </c>
      <c r="O20" s="272" t="s">
        <v>1343</v>
      </c>
      <c r="P20" s="272"/>
      <c r="Q20" s="272"/>
      <c r="R20" s="272" t="s">
        <v>52</v>
      </c>
      <c r="S20" s="366" t="s">
        <f>VLOOKUP(B20,'零期·UV电访分配'!B:Q,15,0)</f>
        <v>65</v>
      </c>
      <c r="T20" s="366"/>
      <c r="U20" s="366"/>
      <c r="V20" s="366"/>
      <c r="W20" s="318"/>
      <c r="X20" s="318"/>
      <c r="Y20" s="318"/>
    </row>
    <row r="21" ht="16.5" customHeight="1">
      <c r="A21" s="497" t="s">
        <v>45</v>
      </c>
      <c r="B21" s="497" t="n">
        <v>2163375170</v>
      </c>
      <c r="C21" s="497" t="s">
        <v>810</v>
      </c>
      <c r="D21" s="497" t="s">
        <v>48</v>
      </c>
      <c r="E21" s="272" t="s">
        <v>25</v>
      </c>
      <c r="F21" s="272"/>
      <c r="G21" s="272" t="s">
        <v>217</v>
      </c>
      <c r="H21" s="272" t="s">
        <v>37</v>
      </c>
      <c r="I21" s="272" t="s">
        <f>VLOOKUP(B21,'零期·UV电访分配'!B:Q,7,0)</f>
        <v>88</v>
      </c>
      <c r="J21" s="272" t="s">
        <v>1343</v>
      </c>
      <c r="K21" s="272"/>
      <c r="L21" s="272"/>
      <c r="M21" s="272" t="s">
        <v>43</v>
      </c>
      <c r="N21" s="272" t="s">
        <f>VLOOKUP(B21,'零期·UV电访分配'!B:Q,11,0)</f>
        <v>88</v>
      </c>
      <c r="O21" s="272" t="s">
        <v>1343</v>
      </c>
      <c r="P21" s="272"/>
      <c r="Q21" s="272"/>
      <c r="R21" s="272" t="s">
        <v>58</v>
      </c>
      <c r="S21" s="366"/>
      <c r="T21" s="366"/>
      <c r="U21" s="366"/>
      <c r="V21" s="366"/>
      <c r="W21" s="318"/>
      <c r="X21" s="318"/>
      <c r="Y21" s="318"/>
    </row>
    <row r="22" ht="16.5" customHeight="1">
      <c r="A22" s="497" t="s">
        <v>45</v>
      </c>
      <c r="B22" s="497" t="n">
        <v>2234603980</v>
      </c>
      <c r="C22" s="497" t="s">
        <v>1103</v>
      </c>
      <c r="D22" s="497" t="s">
        <v>46</v>
      </c>
      <c r="E22" s="272" t="s">
        <v>25</v>
      </c>
      <c r="F22" s="272"/>
      <c r="G22" s="272" t="s">
        <v>217</v>
      </c>
      <c r="H22" s="272" t="s">
        <v>37</v>
      </c>
      <c r="I22" s="272" t="s">
        <f>VLOOKUP(B22,'零期·UV电访分配'!B:Q,7,0)</f>
        <v>88</v>
      </c>
      <c r="J22" s="272" t="s">
        <v>1343</v>
      </c>
      <c r="K22" s="272"/>
      <c r="L22" s="272"/>
      <c r="M22" s="272" t="s">
        <v>49</v>
      </c>
      <c r="N22" s="272" t="s">
        <f>VLOOKUP(B22,'零期·UV电访分配'!B:Q,11,0)</f>
        <v>88</v>
      </c>
      <c r="O22" s="272" t="s">
        <v>1343</v>
      </c>
      <c r="P22" s="272"/>
      <c r="Q22" s="272"/>
      <c r="R22" s="272" t="s">
        <v>52</v>
      </c>
      <c r="S22" s="272" t="s">
        <f>VLOOKUP(B22,'零期·UV电访分配'!B:Q,15,0)</f>
        <v>88</v>
      </c>
      <c r="T22" s="272" t="s">
        <v>28</v>
      </c>
      <c r="U22" s="272"/>
      <c r="V22" s="272" t="s">
        <v>1812</v>
      </c>
      <c r="W22" s="318"/>
      <c r="X22" s="318"/>
      <c r="Y22" s="318"/>
      <c r="AA22" s="251"/>
      <c r="AB22" s="251"/>
      <c r="AC22" s="251"/>
      <c r="AD22" s="251"/>
      <c r="AE22" s="251"/>
      <c r="AF22" s="251"/>
      <c r="AG22" s="251"/>
      <c r="AH22" s="251"/>
      <c r="AI22" s="251"/>
      <c r="AJ22" s="251"/>
      <c r="AK22" s="251"/>
      <c r="AM22" s="5"/>
      <c r="AN22" s="5"/>
      <c r="AO22" s="5"/>
      <c r="AP22" s="5"/>
      <c r="AQ22" s="5"/>
      <c r="AR22" s="5"/>
      <c r="AS22" s="5"/>
      <c r="AT22" s="5"/>
      <c r="AU22" s="5"/>
      <c r="AV22" s="5"/>
    </row>
    <row r="23" ht="51.75" customHeight="1">
      <c r="A23" s="293" t="s">
        <v>45</v>
      </c>
      <c r="B23" s="293" t="n">
        <v>2578637555</v>
      </c>
      <c r="C23" s="497" t="s">
        <v>1338</v>
      </c>
      <c r="D23" s="497" t="s">
        <v>57</v>
      </c>
      <c r="E23" s="272" t="s">
        <v>25</v>
      </c>
      <c r="F23" s="272" t="s">
        <v>1813</v>
      </c>
      <c r="G23" s="272" t="s">
        <v>217</v>
      </c>
      <c r="H23" s="272" t="s">
        <v>31</v>
      </c>
      <c r="I23" s="272" t="s">
        <f>VLOOKUP(B23,'零期·UV电访分配'!B:Q,7,0)</f>
        <v>88</v>
      </c>
      <c r="J23" s="272" t="s">
        <v>1343</v>
      </c>
      <c r="K23" s="272"/>
      <c r="L23" s="272"/>
      <c r="M23" s="272" t="s">
        <v>47</v>
      </c>
      <c r="N23" s="272" t="s">
        <f>VLOOKUP(B23,'零期·UV电访分配'!B:Q,11,0)</f>
        <v>88</v>
      </c>
      <c r="O23" s="272" t="s">
        <v>29</v>
      </c>
      <c r="P23" s="272" t="s">
        <v>217</v>
      </c>
      <c r="Q23" s="272" t="s">
        <v>1814</v>
      </c>
      <c r="R23" s="272" t="s">
        <v>58</v>
      </c>
      <c r="S23" s="272" t="s">
        <f>VLOOKUP(B23,'零期·UV电访分配'!B:Q,15,0)</f>
        <v>88</v>
      </c>
      <c r="T23" s="272" t="s">
        <v>29</v>
      </c>
      <c r="U23" s="272" t="s">
        <v>217</v>
      </c>
      <c r="V23" s="272" t="s">
        <v>1815</v>
      </c>
      <c r="W23" s="318" t="s">
        <v>1492</v>
      </c>
      <c r="X23" s="318" t="s">
        <v>1816</v>
      </c>
      <c r="Y23" s="318"/>
      <c r="AA23" s="251"/>
      <c r="AB23" s="251"/>
      <c r="AC23" s="251"/>
      <c r="AD23" s="251"/>
      <c r="AE23" s="251"/>
      <c r="AF23" s="251"/>
      <c r="AG23" s="251"/>
      <c r="AH23" s="251"/>
      <c r="AI23" s="251"/>
      <c r="AJ23" s="251"/>
      <c r="AK23" s="251"/>
      <c r="AN23" s="251"/>
      <c r="AO23" s="251"/>
      <c r="AR23" s="251"/>
      <c r="AS23" s="251"/>
      <c r="AT23" s="251"/>
      <c r="AU23" s="251"/>
      <c r="AV23" s="251"/>
    </row>
    <row r="24" ht="26.25" customHeight="1">
      <c r="A24" s="293" t="s">
        <v>45</v>
      </c>
      <c r="B24" s="293" t="n">
        <v>2717412875</v>
      </c>
      <c r="C24" s="497" t="s">
        <v>869</v>
      </c>
      <c r="D24" s="497" t="s">
        <v>46</v>
      </c>
      <c r="E24" s="272" t="s">
        <v>28</v>
      </c>
      <c r="F24" s="272" t="s">
        <v>1817</v>
      </c>
      <c r="G24" s="272" t="s">
        <v>217</v>
      </c>
      <c r="H24" s="272" t="s">
        <v>31</v>
      </c>
      <c r="I24" s="272" t="s">
        <f>VLOOKUP(B24,'零期·UV电访分配'!B:Q,7,0)</f>
        <v>88</v>
      </c>
      <c r="J24" s="272" t="s">
        <v>1343</v>
      </c>
      <c r="K24" s="272"/>
      <c r="L24" s="272"/>
      <c r="M24" s="272" t="s">
        <v>47</v>
      </c>
      <c r="N24" s="272" t="s">
        <f>VLOOKUP(B24,'零期·UV电访分配'!B:Q,11,0)</f>
        <v>88</v>
      </c>
      <c r="O24" s="272" t="s">
        <v>28</v>
      </c>
      <c r="P24" s="272" t="s">
        <v>217</v>
      </c>
      <c r="Q24" s="272" t="s">
        <v>1818</v>
      </c>
      <c r="R24" s="272" t="s">
        <v>58</v>
      </c>
      <c r="S24" s="366"/>
      <c r="T24" s="366"/>
      <c r="U24" s="366"/>
      <c r="V24" s="366"/>
      <c r="W24" s="318"/>
      <c r="X24" s="318"/>
      <c r="Y24" s="318"/>
      <c r="AA24" s="251"/>
      <c r="AB24" s="251"/>
      <c r="AC24" s="251"/>
      <c r="AD24" s="251"/>
      <c r="AE24" s="251"/>
      <c r="AF24" s="251"/>
      <c r="AG24" s="251"/>
      <c r="AH24" s="251"/>
      <c r="AI24" s="251"/>
      <c r="AJ24" s="251"/>
      <c r="AK24" s="251"/>
      <c r="AN24" s="251"/>
      <c r="AO24" s="251"/>
      <c r="AR24" s="251"/>
      <c r="AS24" s="251"/>
      <c r="AT24" s="251"/>
      <c r="AU24" s="251"/>
      <c r="AV24" s="251"/>
    </row>
    <row r="25" ht="26.25" customHeight="1">
      <c r="A25" s="294" t="s">
        <v>45</v>
      </c>
      <c r="B25" s="294" t="n">
        <v>4443796286</v>
      </c>
      <c r="C25" s="272" t="s">
        <v>914</v>
      </c>
      <c r="D25" s="272" t="s">
        <v>46</v>
      </c>
      <c r="E25" s="272" t="s">
        <v>29</v>
      </c>
      <c r="F25" s="272" t="s">
        <v>1819</v>
      </c>
      <c r="G25" s="272" t="s">
        <v>218</v>
      </c>
      <c r="H25" s="272" t="s">
        <v>116</v>
      </c>
      <c r="I25" s="272" t="s">
        <f>VLOOKUP(B25,'零期·UV电访分配'!B:Q,7,0)</f>
        <v>116</v>
      </c>
      <c r="J25" s="272"/>
      <c r="K25" s="272"/>
      <c r="L25" s="272"/>
      <c r="M25" s="272" t="s">
        <v>116</v>
      </c>
      <c r="N25" s="272" t="s">
        <f>VLOOKUP(B25,'零期·UV电访分配'!B:Q,11,0)</f>
        <v>65</v>
      </c>
      <c r="O25" s="272" t="s">
        <v>1343</v>
      </c>
      <c r="P25" s="272"/>
      <c r="Q25" s="272"/>
      <c r="R25" s="272" t="s">
        <v>52</v>
      </c>
      <c r="S25" s="272" t="s">
        <f>VLOOKUP(B25,'零期·UV电访分配'!B:Q,15,0)</f>
        <v>88</v>
      </c>
      <c r="T25" s="272" t="s">
        <v>29</v>
      </c>
      <c r="U25" s="272"/>
      <c r="V25" s="272" t="s">
        <v>1820</v>
      </c>
      <c r="W25" s="318"/>
      <c r="X25" s="318"/>
      <c r="Y25" s="318"/>
      <c r="AA25" s="251"/>
      <c r="AB25" s="251"/>
      <c r="AC25" s="251"/>
      <c r="AD25" s="251"/>
      <c r="AE25" s="251"/>
      <c r="AF25" s="251"/>
      <c r="AG25" s="251"/>
      <c r="AH25" s="251"/>
      <c r="AI25" s="251"/>
      <c r="AJ25" s="251"/>
      <c r="AK25" s="251"/>
      <c r="AN25" s="251"/>
      <c r="AO25" s="251"/>
      <c r="AR25" s="251"/>
      <c r="AS25" s="251"/>
      <c r="AT25" s="251"/>
      <c r="AU25" s="251"/>
      <c r="AV25" s="251"/>
    </row>
    <row r="26" ht="16.5" customHeight="1">
      <c r="A26" s="293" t="s">
        <v>45</v>
      </c>
      <c r="B26" s="293" t="n">
        <v>4521435533</v>
      </c>
      <c r="C26" s="497" t="s">
        <v>1054</v>
      </c>
      <c r="D26" s="497" t="s">
        <v>48</v>
      </c>
      <c r="E26" s="272" t="s">
        <v>25</v>
      </c>
      <c r="F26" s="272" t="s">
        <v>1821</v>
      </c>
      <c r="G26" s="272" t="s">
        <v>217</v>
      </c>
      <c r="H26" s="272" t="s">
        <v>37</v>
      </c>
      <c r="I26" s="272" t="s">
        <f>VLOOKUP(B26,'零期·UV电访分配'!B:Q,7,0)</f>
        <v>88</v>
      </c>
      <c r="J26" s="272" t="s">
        <v>1343</v>
      </c>
      <c r="K26" s="272"/>
      <c r="L26" s="272"/>
      <c r="M26" s="272" t="s">
        <v>49</v>
      </c>
      <c r="N26" s="272" t="s">
        <f>VLOOKUP(B26,'零期·UV电访分配'!B:Q,11,0)</f>
        <v>88</v>
      </c>
      <c r="O26" s="272" t="s">
        <v>1343</v>
      </c>
      <c r="P26" s="272"/>
      <c r="Q26" s="272"/>
      <c r="R26" s="272" t="s">
        <v>52</v>
      </c>
      <c r="S26" s="272" t="s">
        <f>VLOOKUP(B26,'零期·UV电访分配'!B:Q,15,0)</f>
        <v>88</v>
      </c>
      <c r="T26" s="272" t="s">
        <v>29</v>
      </c>
      <c r="U26" s="272"/>
      <c r="V26" s="272" t="s">
        <v>1822</v>
      </c>
      <c r="W26" s="318"/>
      <c r="X26" s="318"/>
      <c r="Y26" s="318"/>
      <c r="AA26" s="251"/>
      <c r="AB26" s="251"/>
      <c r="AC26" s="251"/>
      <c r="AD26" s="251"/>
      <c r="AE26" s="251"/>
      <c r="AF26" s="251"/>
      <c r="AG26" s="251"/>
      <c r="AH26" s="251"/>
      <c r="AI26" s="251"/>
      <c r="AJ26" s="251"/>
      <c r="AK26" s="251"/>
      <c r="AN26" s="251"/>
      <c r="AO26" s="251"/>
      <c r="AR26" s="251"/>
      <c r="AS26" s="251"/>
      <c r="AT26" s="251"/>
      <c r="AU26" s="251"/>
      <c r="AV26" s="251"/>
    </row>
    <row r="27" ht="77.25" customHeight="1">
      <c r="A27" s="293" t="s">
        <v>45</v>
      </c>
      <c r="B27" s="293" t="n">
        <v>2596648105</v>
      </c>
      <c r="C27" s="497" t="s">
        <v>1086</v>
      </c>
      <c r="D27" s="497" t="s">
        <v>48</v>
      </c>
      <c r="E27" s="272" t="s">
        <v>27</v>
      </c>
      <c r="F27" s="272" t="s">
        <v>1823</v>
      </c>
      <c r="G27" s="272" t="s">
        <v>217</v>
      </c>
      <c r="H27" s="272" t="s">
        <v>31</v>
      </c>
      <c r="I27" s="272" t="s">
        <f>VLOOKUP(B27,'零期·UV电访分配'!B:Q,7,0)</f>
        <v>88</v>
      </c>
      <c r="J27" s="272" t="s">
        <v>1343</v>
      </c>
      <c r="K27" s="272"/>
      <c r="L27" s="272"/>
      <c r="M27" s="272" t="s">
        <v>47</v>
      </c>
      <c r="N27" s="272" t="s">
        <f>VLOOKUP(B27,'零期·UV电访分配'!B:Q,11,0)</f>
        <v>88</v>
      </c>
      <c r="O27" s="272" t="s">
        <v>28</v>
      </c>
      <c r="P27" s="272" t="s">
        <v>217</v>
      </c>
      <c r="Q27" s="272" t="s">
        <v>1824</v>
      </c>
      <c r="R27" s="272" t="s">
        <v>58</v>
      </c>
      <c r="S27" s="272" t="s">
        <f>VLOOKUP(B27,'零期·UV电访分配'!B:Q,15,0)</f>
        <v>88</v>
      </c>
      <c r="T27" s="272" t="s">
        <v>1343</v>
      </c>
      <c r="U27" s="272"/>
      <c r="V27" s="272"/>
      <c r="W27" s="318"/>
      <c r="X27" s="318"/>
      <c r="Y27" s="318"/>
      <c r="AA27" s="251"/>
      <c r="AB27" s="251"/>
      <c r="AC27" s="251"/>
      <c r="AD27" s="251"/>
      <c r="AE27" s="251"/>
      <c r="AF27" s="251"/>
      <c r="AG27" s="251"/>
      <c r="AH27" s="251"/>
      <c r="AI27" s="251"/>
      <c r="AJ27" s="251"/>
      <c r="AK27" s="251"/>
      <c r="AN27" s="251"/>
      <c r="AO27" s="251"/>
      <c r="AR27" s="251"/>
      <c r="AS27" s="251"/>
      <c r="AT27" s="251"/>
      <c r="AU27" s="251"/>
      <c r="AV27" s="251"/>
    </row>
    <row r="28" ht="51.75" customHeight="1">
      <c r="A28" s="293" t="s">
        <v>45</v>
      </c>
      <c r="B28" s="293" t="n">
        <v>4774287872</v>
      </c>
      <c r="C28" s="497" t="s">
        <v>1270</v>
      </c>
      <c r="D28" s="497" t="s">
        <v>48</v>
      </c>
      <c r="E28" s="272" t="s">
        <v>27</v>
      </c>
      <c r="F28" s="272" t="s">
        <v>1825</v>
      </c>
      <c r="G28" s="272" t="s">
        <v>217</v>
      </c>
      <c r="H28" s="272" t="s">
        <v>37</v>
      </c>
      <c r="I28" s="272" t="s">
        <f>VLOOKUP(B28,'零期·UV电访分配'!B:Q,7,0)</f>
        <v>88</v>
      </c>
      <c r="J28" s="272" t="s">
        <v>1343</v>
      </c>
      <c r="K28" s="272"/>
      <c r="L28" s="272" t="s">
        <v>1826</v>
      </c>
      <c r="M28" s="272" t="s">
        <v>116</v>
      </c>
      <c r="N28" s="272" t="s">
        <f>VLOOKUP(B28,'零期·UV电访分配'!B:Q,11,0)</f>
        <v>116</v>
      </c>
      <c r="O28" s="272"/>
      <c r="P28" s="272"/>
      <c r="Q28" s="272"/>
      <c r="R28" s="272" t="s">
        <v>58</v>
      </c>
      <c r="S28" s="272" t="s">
        <f>VLOOKUP(B28,'零期·UV电访分配'!B:Q,15,0)</f>
        <v>88</v>
      </c>
      <c r="T28" s="272" t="s">
        <v>29</v>
      </c>
      <c r="U28" s="272" t="s">
        <v>217</v>
      </c>
      <c r="V28" s="272" t="s">
        <v>1827</v>
      </c>
      <c r="W28" s="318"/>
      <c r="X28" s="318"/>
      <c r="Y28" s="318"/>
      <c r="AA28" s="251"/>
      <c r="AB28" s="251"/>
      <c r="AC28" s="251"/>
      <c r="AD28" s="251"/>
      <c r="AE28" s="251"/>
      <c r="AF28" s="251"/>
      <c r="AG28" s="251"/>
      <c r="AH28" s="251"/>
      <c r="AI28" s="251"/>
      <c r="AJ28" s="251"/>
      <c r="AK28" s="251"/>
      <c r="AN28" s="251"/>
      <c r="AO28" s="251"/>
      <c r="AR28" s="251"/>
      <c r="AS28" s="251"/>
      <c r="AT28" s="251"/>
      <c r="AU28" s="251"/>
      <c r="AV28" s="251"/>
    </row>
    <row r="29" ht="26.25" customHeight="1">
      <c r="A29" s="293" t="s">
        <v>45</v>
      </c>
      <c r="B29" s="293" t="n">
        <v>4816966506</v>
      </c>
      <c r="C29" s="497" t="s">
        <v>1303</v>
      </c>
      <c r="D29" s="497" t="s">
        <v>46</v>
      </c>
      <c r="E29" s="272" t="s">
        <v>25</v>
      </c>
      <c r="F29" s="682" t="s">
        <v>1828</v>
      </c>
      <c r="G29" s="272" t="s">
        <v>217</v>
      </c>
      <c r="H29" s="272" t="s">
        <v>31</v>
      </c>
      <c r="I29" s="272" t="s">
        <f>VLOOKUP(B29,'零期·UV电访分配'!B:Q,7,0)</f>
        <v>88</v>
      </c>
      <c r="J29" s="272" t="s">
        <v>1343</v>
      </c>
      <c r="K29" s="272"/>
      <c r="L29" s="272"/>
      <c r="M29" s="272" t="s">
        <v>43</v>
      </c>
      <c r="N29" s="272" t="s">
        <f>VLOOKUP(B29,'零期·UV电访分配'!B:Q,11,0)</f>
        <v>88</v>
      </c>
      <c r="O29" s="272" t="s">
        <v>28</v>
      </c>
      <c r="P29" s="272" t="s">
        <v>218</v>
      </c>
      <c r="Q29" s="272" t="s">
        <v>1829</v>
      </c>
      <c r="R29" s="272" t="s">
        <v>52</v>
      </c>
      <c r="S29" s="272" t="s">
        <f>VLOOKUP(B29,'零期·UV电访分配'!B:Q,15,0)</f>
        <v>88</v>
      </c>
      <c r="T29" s="272" t="s">
        <v>1343</v>
      </c>
      <c r="U29" s="272"/>
      <c r="V29" s="272"/>
      <c r="W29" s="318"/>
      <c r="X29" s="318"/>
      <c r="Y29" s="318"/>
      <c r="AA29" s="251"/>
      <c r="AB29" s="251"/>
      <c r="AC29" s="251"/>
      <c r="AD29" s="251"/>
      <c r="AE29" s="251"/>
      <c r="AF29" s="251"/>
      <c r="AG29" s="251"/>
      <c r="AH29" s="251"/>
      <c r="AI29" s="251"/>
      <c r="AJ29" s="251"/>
      <c r="AK29" s="251"/>
      <c r="AN29" s="251"/>
      <c r="AO29" s="251"/>
      <c r="AR29" s="251"/>
      <c r="AS29" s="251"/>
      <c r="AT29" s="251"/>
      <c r="AU29" s="251"/>
      <c r="AV29" s="251"/>
    </row>
    <row r="30" ht="26.25" customHeight="1">
      <c r="A30" s="293" t="s">
        <v>45</v>
      </c>
      <c r="B30" s="293" t="n">
        <v>4024784462</v>
      </c>
      <c r="C30" s="497" t="s">
        <v>1280</v>
      </c>
      <c r="D30" s="497" t="s">
        <v>1266</v>
      </c>
      <c r="E30" s="272" t="s">
        <v>28</v>
      </c>
      <c r="F30" s="272"/>
      <c r="G30" s="272" t="s">
        <v>217</v>
      </c>
      <c r="H30" s="272" t="s">
        <v>31</v>
      </c>
      <c r="I30" s="272" t="s">
        <f>VLOOKUP(B30,'零期·UV电访分配'!B:Q,7,0)</f>
        <v>88</v>
      </c>
      <c r="J30" s="272" t="s">
        <v>1343</v>
      </c>
      <c r="K30" s="272"/>
      <c r="L30" s="272"/>
      <c r="M30" s="272" t="s">
        <v>47</v>
      </c>
      <c r="N30" s="272" t="s">
        <f>VLOOKUP(B30,'零期·UV电访分配'!B:Q,11,0)</f>
        <v>88</v>
      </c>
      <c r="O30" s="272" t="s">
        <v>28</v>
      </c>
      <c r="P30" s="272" t="s">
        <v>217</v>
      </c>
      <c r="Q30" s="272" t="s">
        <v>1830</v>
      </c>
      <c r="R30" s="272" t="s">
        <v>58</v>
      </c>
      <c r="S30" s="272" t="s">
        <f>VLOOKUP(B30,'零期·UV电访分配'!B:Q,15,0)</f>
        <v>88</v>
      </c>
      <c r="T30" s="272" t="s">
        <v>1343</v>
      </c>
      <c r="U30" s="272"/>
      <c r="V30" s="272"/>
      <c r="W30" s="318"/>
      <c r="X30" s="318"/>
      <c r="Y30" s="318"/>
      <c r="AA30" s="251"/>
      <c r="AB30" s="251"/>
      <c r="AC30" s="251"/>
      <c r="AD30" s="251"/>
      <c r="AE30" s="251"/>
      <c r="AF30" s="251"/>
      <c r="AG30" s="251"/>
      <c r="AH30" s="251"/>
      <c r="AI30" s="251"/>
      <c r="AJ30" s="251"/>
      <c r="AK30" s="251"/>
      <c r="AN30" s="251"/>
      <c r="AO30" s="251"/>
      <c r="AR30" s="251"/>
      <c r="AS30" s="251"/>
      <c r="AT30" s="251"/>
      <c r="AU30" s="251"/>
      <c r="AV30" s="251"/>
    </row>
    <row r="31" ht="26.25" customHeight="1">
      <c r="A31" s="272" t="s">
        <v>45</v>
      </c>
      <c r="B31" s="272" t="n">
        <v>4823074947</v>
      </c>
      <c r="C31" s="272" t="s">
        <v>1169</v>
      </c>
      <c r="D31" s="272" t="s">
        <v>48</v>
      </c>
      <c r="E31" s="272" t="s">
        <v>29</v>
      </c>
      <c r="F31" s="272" t="s">
        <v>1831</v>
      </c>
      <c r="G31" s="272" t="s">
        <v>217</v>
      </c>
      <c r="H31" s="272" t="s">
        <v>31</v>
      </c>
      <c r="I31" s="272" t="s">
        <f>VLOOKUP(B31,'零期·UV电访分配'!B:Q,7,0)</f>
        <v>88</v>
      </c>
      <c r="J31" s="272" t="s">
        <v>29</v>
      </c>
      <c r="K31" s="272"/>
      <c r="L31" s="272"/>
      <c r="M31" s="272" t="s">
        <v>47</v>
      </c>
      <c r="N31" s="272" t="s">
        <f>VLOOKUP(B31,'零期·UV电访分配'!B:Q,11,0)</f>
        <v>88</v>
      </c>
      <c r="O31" s="272" t="s">
        <v>29</v>
      </c>
      <c r="P31" s="272" t="s">
        <v>218</v>
      </c>
      <c r="Q31" s="272" t="s">
        <v>1832</v>
      </c>
      <c r="R31" s="272" t="s">
        <v>58</v>
      </c>
      <c r="S31" s="272" t="s">
        <f>VLOOKUP(B31,'零期·UV电访分配'!B:Q,15,0)</f>
        <v>88</v>
      </c>
      <c r="T31" s="272" t="s">
        <v>1343</v>
      </c>
      <c r="U31" s="272" t="s">
        <v>217</v>
      </c>
      <c r="V31" s="272"/>
      <c r="W31" s="318"/>
      <c r="X31" s="318"/>
      <c r="Y31" s="318"/>
      <c r="AA31" s="251"/>
      <c r="AB31" s="251"/>
      <c r="AC31" s="251"/>
      <c r="AD31" s="251"/>
      <c r="AE31" s="251"/>
      <c r="AF31" s="251"/>
      <c r="AG31" s="251"/>
      <c r="AH31" s="251"/>
      <c r="AI31" s="251"/>
      <c r="AJ31" s="251"/>
      <c r="AK31" s="251"/>
      <c r="AN31" s="251"/>
      <c r="AO31" s="251"/>
      <c r="AR31" s="251"/>
      <c r="AS31" s="251"/>
      <c r="AT31" s="251"/>
      <c r="AU31" s="251"/>
      <c r="AV31" s="251"/>
    </row>
    <row r="32" ht="16.5" customHeight="1">
      <c r="A32" s="294" t="s">
        <v>45</v>
      </c>
      <c r="B32" s="294" t="n">
        <v>4078699077</v>
      </c>
      <c r="C32" s="272" t="s">
        <v>895</v>
      </c>
      <c r="D32" s="272" t="s">
        <v>48</v>
      </c>
      <c r="E32" s="272" t="s">
        <v>27</v>
      </c>
      <c r="F32" s="272"/>
      <c r="G32" s="272" t="s">
        <v>218</v>
      </c>
      <c r="H32" s="272" t="s">
        <v>116</v>
      </c>
      <c r="I32" s="272" t="s">
        <f>VLOOKUP(B32,'零期·UV电访分配'!B:Q,7,0)</f>
        <v>65</v>
      </c>
      <c r="J32" s="272"/>
      <c r="K32" s="272"/>
      <c r="L32" s="272"/>
      <c r="M32" s="272" t="s">
        <v>47</v>
      </c>
      <c r="N32" s="272" t="s">
        <f>VLOOKUP(B32,'零期·UV电访分配'!B:Q,11,0)</f>
        <v>88</v>
      </c>
      <c r="O32" s="272" t="s">
        <v>29</v>
      </c>
      <c r="P32" s="272"/>
      <c r="Q32" s="272"/>
      <c r="R32" s="272" t="s">
        <v>58</v>
      </c>
      <c r="S32" s="272" t="s">
        <f>VLOOKUP(B32,'零期·UV电访分配'!B:Q,15,0)</f>
        <v>88</v>
      </c>
      <c r="T32" s="272" t="s">
        <v>1343</v>
      </c>
      <c r="U32" s="272" t="s">
        <v>217</v>
      </c>
      <c r="V32" s="272"/>
      <c r="W32" s="318"/>
      <c r="X32" s="318"/>
      <c r="Y32" s="318"/>
      <c r="AA32" s="251"/>
      <c r="AB32" s="251"/>
      <c r="AC32" s="251"/>
      <c r="AD32" s="251"/>
      <c r="AE32" s="251"/>
      <c r="AF32" s="251"/>
      <c r="AG32" s="251"/>
      <c r="AH32" s="251"/>
      <c r="AI32" s="251"/>
      <c r="AJ32" s="251"/>
      <c r="AK32" s="251"/>
      <c r="AN32" s="251"/>
      <c r="AO32" s="251"/>
      <c r="AR32" s="251"/>
      <c r="AS32" s="251"/>
      <c r="AT32" s="251"/>
      <c r="AU32" s="251"/>
      <c r="AV32" s="251"/>
    </row>
    <row r="33" ht="16.5" customHeight="1">
      <c r="A33" s="294" t="s">
        <v>45</v>
      </c>
      <c r="B33" s="294" t="n">
        <v>2948961140</v>
      </c>
      <c r="C33" s="272" t="s">
        <v>1327</v>
      </c>
      <c r="D33" s="272" t="s">
        <v>46</v>
      </c>
      <c r="E33" s="272" t="s">
        <v>25</v>
      </c>
      <c r="F33" s="272" t="s">
        <v>1833</v>
      </c>
      <c r="G33" s="272" t="s">
        <v>218</v>
      </c>
      <c r="H33" s="272" t="s">
        <v>31</v>
      </c>
      <c r="I33" s="272" t="s">
        <f>VLOOKUP(B33,'零期·UV电访分配'!B:Q,7,0)</f>
        <v>88</v>
      </c>
      <c r="J33" s="272" t="s">
        <v>1343</v>
      </c>
      <c r="K33" s="272"/>
      <c r="L33" s="272" t="s">
        <v>1834</v>
      </c>
      <c r="M33" s="272" t="s">
        <v>43</v>
      </c>
      <c r="N33" s="272" t="s">
        <f>VLOOKUP(B33,'零期·UV电访分配'!B:Q,11,0)</f>
        <v>88</v>
      </c>
      <c r="O33" s="272" t="s">
        <v>29</v>
      </c>
      <c r="P33" s="272" t="s">
        <v>218</v>
      </c>
      <c r="Q33" s="272" t="s">
        <v>1835</v>
      </c>
      <c r="R33" s="272" t="s">
        <v>52</v>
      </c>
      <c r="S33" s="272" t="s">
        <f>VLOOKUP(B33,'零期·UV电访分配'!B:Q,15,0)</f>
        <v>88</v>
      </c>
      <c r="T33" s="272" t="s">
        <v>1343</v>
      </c>
      <c r="U33" s="272"/>
      <c r="V33" s="272"/>
    </row>
    <row r="34" ht="166.5" customHeight="1">
      <c r="A34" s="318" t="s">
        <v>45</v>
      </c>
      <c r="B34" s="318" t="n">
        <v>4018505986</v>
      </c>
      <c r="C34" s="114" t="s">
        <v>1063</v>
      </c>
      <c r="D34" s="114" t="s">
        <v>50</v>
      </c>
      <c r="E34" s="247" t="s">
        <v>28</v>
      </c>
      <c r="F34" s="683" t="s">
        <v>1836</v>
      </c>
      <c r="G34" s="247" t="s">
        <v>217</v>
      </c>
      <c r="H34" s="247" t="s">
        <v>37</v>
      </c>
      <c r="I34" s="247" t="s">
        <f>VLOOKUP(B34,'零期·UV电访分配'!B:Q,7,0)</f>
        <v>88</v>
      </c>
      <c r="J34" s="247" t="s">
        <v>28</v>
      </c>
      <c r="K34" s="247" t="s">
        <v>217</v>
      </c>
      <c r="L34" s="684" t="s">
        <v>1837</v>
      </c>
      <c r="M34" s="247" t="s">
        <v>49</v>
      </c>
      <c r="N34" s="247" t="s">
        <f>VLOOKUP(B34,'零期·UV电访分配'!B:Q,11,0)</f>
        <v>88</v>
      </c>
      <c r="O34" s="247" t="s">
        <v>27</v>
      </c>
      <c r="P34" s="247" t="s">
        <v>217</v>
      </c>
      <c r="Q34" s="247" t="s">
        <v>1838</v>
      </c>
      <c r="R34" s="247" t="s">
        <v>52</v>
      </c>
      <c r="S34" s="247" t="s">
        <f>VLOOKUP(B34,'零期·UV电访分配'!B:Q,15,0)</f>
        <v>88</v>
      </c>
      <c r="T34" s="247" t="s">
        <v>27</v>
      </c>
      <c r="U34" s="247" t="s">
        <v>217</v>
      </c>
      <c r="V34" s="685" t="s">
        <v>1839</v>
      </c>
      <c r="W34" s="318"/>
      <c r="X34" s="318"/>
      <c r="Y34" s="318"/>
      <c r="AA34" s="251"/>
      <c r="AB34" s="251"/>
      <c r="AC34" s="251"/>
      <c r="AD34" s="251"/>
      <c r="AE34" s="251"/>
      <c r="AF34" s="251"/>
      <c r="AG34" s="251"/>
      <c r="AH34" s="251"/>
      <c r="AI34" s="251"/>
      <c r="AJ34" s="251"/>
      <c r="AK34" s="251"/>
      <c r="AN34" s="251"/>
      <c r="AO34" s="251"/>
      <c r="AR34" s="251"/>
      <c r="AS34" s="251"/>
      <c r="AT34" s="251"/>
      <c r="AU34" s="251"/>
      <c r="AV34" s="251"/>
    </row>
    <row r="35" ht="115.5" customHeight="1">
      <c r="A35" s="248" t="s">
        <v>45</v>
      </c>
      <c r="B35" s="248" t="n">
        <v>2566532002</v>
      </c>
      <c r="C35" s="247" t="s">
        <v>1033</v>
      </c>
      <c r="D35" s="247" t="s">
        <v>59</v>
      </c>
      <c r="E35" s="247" t="s">
        <v>28</v>
      </c>
      <c r="F35" s="247" t="s">
        <v>1840</v>
      </c>
      <c r="G35" s="247" t="s">
        <v>218</v>
      </c>
      <c r="H35" s="247" t="s">
        <v>37</v>
      </c>
      <c r="I35" s="247" t="s">
        <f>VLOOKUP(B35,'零期·UV电访分配'!B:Q,7,0)</f>
        <v>88</v>
      </c>
      <c r="J35" s="247" t="s">
        <v>28</v>
      </c>
      <c r="K35" s="247" t="s">
        <v>217</v>
      </c>
      <c r="L35" s="686" t="s">
        <v>1841</v>
      </c>
      <c r="M35" s="247" t="s">
        <v>49</v>
      </c>
      <c r="N35" s="247" t="s">
        <f>VLOOKUP(B35,'零期·UV电访分配'!B:Q,11,0)</f>
        <v>88</v>
      </c>
      <c r="O35" s="247" t="s">
        <v>29</v>
      </c>
      <c r="P35" s="247" t="s">
        <v>217</v>
      </c>
      <c r="Q35" s="247" t="s">
        <v>1842</v>
      </c>
      <c r="R35" s="247" t="s">
        <v>52</v>
      </c>
      <c r="S35" s="247" t="s">
        <f>VLOOKUP(B35,'零期·UV电访分配'!B:Q,15,0)</f>
        <v>88</v>
      </c>
      <c r="T35" s="247" t="s">
        <v>28</v>
      </c>
      <c r="U35" s="247" t="s">
        <v>217</v>
      </c>
      <c r="V35" s="687" t="s">
        <v>1843</v>
      </c>
      <c r="W35" s="318" t="s">
        <v>1366</v>
      </c>
      <c r="X35" s="199" t="s">
        <v>1844</v>
      </c>
      <c r="Y35" s="318"/>
      <c r="AA35" s="251"/>
      <c r="AB35" s="251"/>
      <c r="AC35" s="251"/>
      <c r="AD35" s="251"/>
      <c r="AE35" s="251"/>
      <c r="AF35" s="251"/>
      <c r="AG35" s="251"/>
      <c r="AH35" s="251"/>
      <c r="AI35" s="251"/>
      <c r="AJ35" s="251"/>
      <c r="AK35" s="251"/>
      <c r="AN35" s="251"/>
      <c r="AO35" s="251"/>
      <c r="AR35" s="251"/>
      <c r="AS35" s="251"/>
      <c r="AT35" s="251"/>
      <c r="AU35" s="251"/>
      <c r="AV35" s="251"/>
    </row>
    <row r="36" ht="26.25" customHeight="1">
      <c r="A36" s="248" t="s">
        <v>45</v>
      </c>
      <c r="B36" s="248" t="n">
        <v>2496864413</v>
      </c>
      <c r="C36" s="247" t="s">
        <v>1062</v>
      </c>
      <c r="D36" s="247" t="s">
        <v>50</v>
      </c>
      <c r="E36" s="247" t="s">
        <v>29</v>
      </c>
      <c r="F36" s="688" t="s">
        <v>1845</v>
      </c>
      <c r="G36" s="247" t="s">
        <v>218</v>
      </c>
      <c r="H36" s="247" t="s">
        <v>37</v>
      </c>
      <c r="I36" s="247" t="s">
        <f>VLOOKUP(B36,'零期·UV电访分配'!B:Q,7,0)</f>
        <v>88</v>
      </c>
      <c r="J36" s="247" t="s">
        <v>28</v>
      </c>
      <c r="K36" s="247" t="s">
        <v>217</v>
      </c>
      <c r="L36" s="341" t="s">
        <v>1846</v>
      </c>
      <c r="M36" s="247" t="s">
        <v>47</v>
      </c>
      <c r="N36" s="247" t="s">
        <f>VLOOKUP(B36,'零期·UV电访分配'!B:Q,11,0)</f>
        <v>88</v>
      </c>
      <c r="O36" s="247" t="s">
        <v>28</v>
      </c>
      <c r="P36" s="247"/>
      <c r="Q36" s="247"/>
      <c r="R36" s="247" t="s">
        <v>58</v>
      </c>
      <c r="S36" s="247" t="s">
        <f>VLOOKUP(B36,'零期·UV电访分配'!B:Q,15,0)</f>
        <v>88</v>
      </c>
      <c r="T36" s="247" t="s">
        <v>29</v>
      </c>
      <c r="U36" s="247" t="s">
        <v>217</v>
      </c>
      <c r="V36" s="247" t="s">
        <v>1847</v>
      </c>
      <c r="W36" s="318"/>
      <c r="X36" s="318"/>
      <c r="Y36" s="318"/>
      <c r="AA36" s="251"/>
      <c r="AB36" s="251"/>
      <c r="AC36" s="251"/>
      <c r="AD36" s="251"/>
      <c r="AE36" s="251"/>
      <c r="AF36" s="251"/>
      <c r="AG36" s="251"/>
      <c r="AH36" s="251"/>
      <c r="AI36" s="251"/>
      <c r="AJ36" s="251"/>
      <c r="AK36" s="251"/>
      <c r="AN36" s="251"/>
      <c r="AO36" s="251"/>
      <c r="AR36" s="251"/>
      <c r="AS36" s="251"/>
      <c r="AT36" s="251"/>
      <c r="AU36" s="251"/>
      <c r="AV36" s="251"/>
    </row>
    <row r="37" ht="39" customHeight="1">
      <c r="A37" s="318" t="s">
        <v>45</v>
      </c>
      <c r="B37" s="318" t="n">
        <v>4594246595</v>
      </c>
      <c r="C37" s="114" t="s">
        <v>1226</v>
      </c>
      <c r="D37" s="114" t="s">
        <v>46</v>
      </c>
      <c r="E37" s="247" t="s">
        <v>29</v>
      </c>
      <c r="F37" s="689" t="s">
        <v>1848</v>
      </c>
      <c r="G37" s="247" t="s">
        <v>217</v>
      </c>
      <c r="H37" s="247" t="s">
        <v>37</v>
      </c>
      <c r="I37" s="247" t="s">
        <f>VLOOKUP(B37,'零期·UV电访分配'!B:Q,7,0)</f>
        <v>88</v>
      </c>
      <c r="J37" s="247" t="s">
        <v>29</v>
      </c>
      <c r="K37" s="247" t="s">
        <v>217</v>
      </c>
      <c r="L37" s="690" t="s">
        <v>1849</v>
      </c>
      <c r="M37" s="247" t="s">
        <v>49</v>
      </c>
      <c r="N37" s="247" t="s">
        <f>VLOOKUP(B37,'零期·UV电访分配'!B:Q,11,0)</f>
        <v>88</v>
      </c>
      <c r="O37" s="247" t="s">
        <v>29</v>
      </c>
      <c r="P37" s="247" t="s">
        <v>218</v>
      </c>
      <c r="Q37" s="691" t="s">
        <v>1850</v>
      </c>
      <c r="R37" s="247" t="s">
        <v>52</v>
      </c>
      <c r="S37" s="247" t="s">
        <f>VLOOKUP(B37,'零期·UV电访分配'!B:Q,15,0)</f>
        <v>88</v>
      </c>
      <c r="T37" s="247" t="s">
        <v>29</v>
      </c>
      <c r="U37" s="247"/>
      <c r="V37" s="247" t="s">
        <v>1851</v>
      </c>
      <c r="W37" s="318" t="s">
        <v>1382</v>
      </c>
      <c r="X37" s="318" t="s">
        <v>1852</v>
      </c>
      <c r="Y37" s="318"/>
      <c r="AA37" s="251"/>
      <c r="AB37" s="251"/>
      <c r="AC37" s="251"/>
      <c r="AD37" s="251"/>
      <c r="AE37" s="251"/>
      <c r="AF37" s="251"/>
      <c r="AG37" s="251"/>
      <c r="AH37" s="251"/>
      <c r="AI37" s="251"/>
      <c r="AJ37" s="251"/>
      <c r="AK37" s="251"/>
      <c r="AN37" s="251"/>
      <c r="AO37" s="251"/>
      <c r="AR37" s="251"/>
      <c r="AS37" s="251"/>
      <c r="AT37" s="251"/>
      <c r="AU37" s="251"/>
      <c r="AV37" s="251"/>
    </row>
    <row r="38" ht="26.25" customHeight="1">
      <c r="A38" s="318" t="s">
        <v>45</v>
      </c>
      <c r="B38" s="318" t="n">
        <v>4787927529</v>
      </c>
      <c r="C38" s="114" t="s">
        <v>1329</v>
      </c>
      <c r="D38" s="114" t="s">
        <v>46</v>
      </c>
      <c r="E38" s="247" t="s">
        <v>28</v>
      </c>
      <c r="F38" s="247" t="s">
        <v>1853</v>
      </c>
      <c r="G38" s="247" t="s">
        <v>217</v>
      </c>
      <c r="H38" s="247" t="s">
        <v>37</v>
      </c>
      <c r="I38" s="247" t="s">
        <f>VLOOKUP(B38,'零期·UV电访分配'!B:Q,7,0)</f>
        <v>88</v>
      </c>
      <c r="J38" s="247" t="s">
        <v>28</v>
      </c>
      <c r="K38" s="247" t="s">
        <v>217</v>
      </c>
      <c r="L38" s="342" t="s">
        <v>1854</v>
      </c>
      <c r="M38" s="247" t="s">
        <v>116</v>
      </c>
      <c r="N38" s="247" t="s">
        <v>116</v>
      </c>
      <c r="O38" s="247"/>
      <c r="P38" s="247"/>
      <c r="Q38" s="247"/>
      <c r="R38" s="247" t="s">
        <v>116</v>
      </c>
      <c r="S38" s="247" t="s">
        <v>116</v>
      </c>
      <c r="T38" s="247"/>
      <c r="U38" s="247"/>
      <c r="V38" s="247"/>
      <c r="W38" s="318"/>
      <c r="X38" s="318"/>
      <c r="Y38" s="318"/>
      <c r="AA38" s="251"/>
      <c r="AB38" s="251"/>
      <c r="AC38" s="251"/>
      <c r="AD38" s="251"/>
      <c r="AE38" s="251"/>
      <c r="AF38" s="251"/>
      <c r="AG38" s="251"/>
      <c r="AH38" s="251"/>
      <c r="AI38" s="251"/>
      <c r="AJ38" s="251"/>
      <c r="AK38" s="251"/>
      <c r="AN38" s="251"/>
      <c r="AO38" s="251"/>
      <c r="AR38" s="251"/>
      <c r="AS38" s="251"/>
      <c r="AT38" s="251"/>
      <c r="AU38" s="251"/>
      <c r="AV38" s="251"/>
    </row>
    <row r="39" ht="26.25" customHeight="1">
      <c r="A39" s="247" t="s">
        <v>45</v>
      </c>
      <c r="B39" s="247" t="n">
        <v>4827599311</v>
      </c>
      <c r="C39" s="247" t="s">
        <v>1049</v>
      </c>
      <c r="D39" s="247" t="s">
        <v>48</v>
      </c>
      <c r="E39" s="247" t="s">
        <v>28</v>
      </c>
      <c r="F39" s="247" t="s">
        <v>1855</v>
      </c>
      <c r="G39" s="247" t="s">
        <v>217</v>
      </c>
      <c r="H39" s="247" t="s">
        <v>37</v>
      </c>
      <c r="I39" s="247" t="s">
        <f>VLOOKUP(B39,'零期·UV电访分配'!B:Q,7,0)</f>
        <v>88</v>
      </c>
      <c r="J39" s="247" t="s">
        <v>28</v>
      </c>
      <c r="K39" s="247" t="s">
        <v>217</v>
      </c>
      <c r="L39" s="341" t="s">
        <v>1856</v>
      </c>
      <c r="M39" s="247" t="s">
        <v>49</v>
      </c>
      <c r="N39" s="247" t="s">
        <f>VLOOKUP(B39,'零期·UV电访分配'!B:Q,11,0)</f>
        <v>88</v>
      </c>
      <c r="O39" s="247" t="s">
        <v>28</v>
      </c>
      <c r="P39" s="247" t="s">
        <v>217</v>
      </c>
      <c r="Q39" s="247" t="s">
        <v>1857</v>
      </c>
      <c r="R39" s="247" t="s">
        <v>52</v>
      </c>
      <c r="S39" s="247" t="s">
        <f>VLOOKUP(B39,'零期·UV电访分配'!B:Q,15,0)</f>
        <v>88</v>
      </c>
      <c r="T39" s="247"/>
      <c r="U39" s="247"/>
      <c r="V39" s="247" t="s">
        <v>1858</v>
      </c>
      <c r="W39" s="318"/>
      <c r="X39" s="318"/>
      <c r="Y39" s="318"/>
      <c r="AA39" s="251"/>
      <c r="AB39" s="251"/>
      <c r="AC39" s="251"/>
      <c r="AD39" s="251"/>
      <c r="AE39" s="251"/>
      <c r="AF39" s="251"/>
      <c r="AG39" s="251"/>
      <c r="AH39" s="251"/>
      <c r="AI39" s="251"/>
      <c r="AJ39" s="251"/>
      <c r="AK39" s="251"/>
      <c r="AN39" s="251"/>
      <c r="AO39" s="251"/>
      <c r="AR39" s="251"/>
      <c r="AS39" s="251"/>
      <c r="AT39" s="251"/>
      <c r="AU39" s="251"/>
      <c r="AV39" s="251"/>
    </row>
    <row r="40" ht="16.5" customHeight="1">
      <c r="A40" s="248" t="s">
        <v>45</v>
      </c>
      <c r="B40" s="248" t="n">
        <v>4830601122</v>
      </c>
      <c r="C40" s="247" t="s">
        <v>1215</v>
      </c>
      <c r="D40" s="247" t="s">
        <v>46</v>
      </c>
      <c r="E40" s="247" t="s">
        <v>28</v>
      </c>
      <c r="F40" s="247" t="s">
        <v>1859</v>
      </c>
      <c r="G40" s="247" t="s">
        <v>217</v>
      </c>
      <c r="H40" s="247" t="s">
        <v>37</v>
      </c>
      <c r="I40" s="247" t="s">
        <f>VLOOKUP(B40,'零期·UV电访分配'!B:Q,7,0)</f>
        <v>88</v>
      </c>
      <c r="J40" s="247" t="s">
        <v>28</v>
      </c>
      <c r="K40" s="247" t="s">
        <v>217</v>
      </c>
      <c r="L40" s="247" t="s">
        <v>1860</v>
      </c>
      <c r="M40" s="247" t="s">
        <v>116</v>
      </c>
      <c r="N40" s="247" t="s">
        <v>116</v>
      </c>
      <c r="O40" s="247"/>
      <c r="P40" s="247"/>
      <c r="Q40" s="247"/>
      <c r="R40" s="247" t="s">
        <v>116</v>
      </c>
      <c r="S40" s="247" t="s">
        <v>116</v>
      </c>
      <c r="T40" s="247"/>
      <c r="U40" s="247"/>
      <c r="V40" s="247"/>
      <c r="W40" s="318"/>
      <c r="X40" s="318"/>
      <c r="Y40" s="318"/>
      <c r="AA40" s="251"/>
      <c r="AB40" s="251"/>
      <c r="AC40" s="251"/>
      <c r="AD40" s="251"/>
      <c r="AE40" s="251"/>
      <c r="AF40" s="251"/>
      <c r="AG40" s="251"/>
      <c r="AH40" s="251"/>
      <c r="AI40" s="251"/>
      <c r="AJ40" s="251"/>
      <c r="AK40" s="251"/>
      <c r="AN40" s="251"/>
      <c r="AO40" s="251"/>
      <c r="AR40" s="251"/>
      <c r="AS40" s="251"/>
      <c r="AT40" s="251"/>
      <c r="AU40" s="251"/>
      <c r="AV40" s="251"/>
    </row>
    <row r="41" ht="64.5" customHeight="1">
      <c r="A41" s="248" t="s">
        <v>45</v>
      </c>
      <c r="B41" s="248" t="n">
        <v>4841600400</v>
      </c>
      <c r="C41" s="247" t="s">
        <v>1056</v>
      </c>
      <c r="D41" s="247" t="s">
        <v>48</v>
      </c>
      <c r="E41" s="247" t="s">
        <v>28</v>
      </c>
      <c r="F41" s="247" t="s">
        <v>1861</v>
      </c>
      <c r="G41" s="247" t="s">
        <v>218</v>
      </c>
      <c r="H41" s="247" t="s">
        <v>37</v>
      </c>
      <c r="I41" s="247" t="s">
        <f>VLOOKUP(B41,'零期·UV电访分配'!B:Q,7,0)</f>
        <v>88</v>
      </c>
      <c r="J41" s="247" t="s">
        <v>28</v>
      </c>
      <c r="K41" s="247" t="s">
        <v>217</v>
      </c>
      <c r="L41" s="692" t="s">
        <v>1862</v>
      </c>
      <c r="M41" s="247" t="s">
        <v>49</v>
      </c>
      <c r="N41" s="247" t="s">
        <f>VLOOKUP(B41,'零期·UV电访分配'!B:Q,11,0)</f>
        <v>88</v>
      </c>
      <c r="O41" s="247" t="s">
        <v>28</v>
      </c>
      <c r="P41" s="247" t="s">
        <v>217</v>
      </c>
      <c r="Q41" s="247" t="s">
        <v>1863</v>
      </c>
      <c r="R41" s="247" t="s">
        <v>52</v>
      </c>
      <c r="S41" s="247" t="s">
        <f>VLOOKUP(B41,'零期·UV电访分配'!B:Q,15,0)</f>
        <v>88</v>
      </c>
      <c r="T41" s="247" t="s">
        <v>29</v>
      </c>
      <c r="U41" s="247"/>
      <c r="V41" s="247" t="s">
        <v>1864</v>
      </c>
      <c r="W41" s="318"/>
      <c r="X41" s="318"/>
      <c r="Y41" s="318"/>
      <c r="AA41" s="251"/>
      <c r="AB41" s="251"/>
      <c r="AC41" s="251"/>
      <c r="AD41" s="251"/>
      <c r="AE41" s="251"/>
      <c r="AF41" s="251"/>
      <c r="AG41" s="251"/>
      <c r="AH41" s="251"/>
      <c r="AI41" s="251"/>
      <c r="AJ41" s="251"/>
      <c r="AK41" s="251"/>
      <c r="AN41" s="251"/>
      <c r="AO41" s="251"/>
      <c r="AR41" s="251"/>
      <c r="AS41" s="251"/>
      <c r="AT41" s="251"/>
      <c r="AU41" s="251"/>
      <c r="AV41" s="251"/>
    </row>
    <row r="42" ht="39" customHeight="1">
      <c r="A42" s="318" t="s">
        <v>45</v>
      </c>
      <c r="B42" s="318" t="n">
        <v>2225312488</v>
      </c>
      <c r="C42" s="114" t="s">
        <v>1112</v>
      </c>
      <c r="D42" s="114" t="s">
        <v>48</v>
      </c>
      <c r="E42" s="247" t="s">
        <v>29</v>
      </c>
      <c r="F42" s="247" t="s">
        <v>1865</v>
      </c>
      <c r="G42" s="247" t="s">
        <v>217</v>
      </c>
      <c r="H42" s="247" t="s">
        <v>37</v>
      </c>
      <c r="I42" s="247" t="s">
        <f>VLOOKUP(B42,'零期·UV电访分配'!B:Q,7,0)</f>
        <v>88</v>
      </c>
      <c r="J42" s="247" t="s">
        <v>29</v>
      </c>
      <c r="K42" s="247" t="s">
        <v>217</v>
      </c>
      <c r="L42" s="693" t="s">
        <v>1866</v>
      </c>
      <c r="M42" s="247" t="s">
        <v>49</v>
      </c>
      <c r="N42" s="247" t="s">
        <f>VLOOKUP(B42,'零期·UV电访分配'!B:Q,11,0)</f>
        <v>88</v>
      </c>
      <c r="O42" s="247" t="s">
        <v>29</v>
      </c>
      <c r="P42" s="247" t="s">
        <v>218</v>
      </c>
      <c r="Q42" s="247" t="s">
        <v>1867</v>
      </c>
      <c r="R42" s="247" t="s">
        <v>52</v>
      </c>
      <c r="S42" s="247" t="s">
        <f>VLOOKUP(B42,'零期·UV电访分配'!B:Q,15,0)</f>
        <v>88</v>
      </c>
      <c r="T42" s="247" t="s">
        <v>29</v>
      </c>
      <c r="U42" s="247"/>
      <c r="V42" s="247" t="s">
        <v>1868</v>
      </c>
      <c r="W42" s="318"/>
      <c r="X42" s="318"/>
      <c r="Y42" s="318"/>
    </row>
    <row r="43" ht="39" customHeight="1">
      <c r="A43" s="318" t="s">
        <v>45</v>
      </c>
      <c r="B43" s="318" t="n">
        <v>4613866328</v>
      </c>
      <c r="C43" s="114" t="s">
        <v>1335</v>
      </c>
      <c r="D43" s="114" t="s">
        <v>48</v>
      </c>
      <c r="E43" s="247" t="s">
        <v>29</v>
      </c>
      <c r="F43" s="247" t="s">
        <v>1869</v>
      </c>
      <c r="G43" s="247" t="s">
        <v>217</v>
      </c>
      <c r="H43" s="247" t="s">
        <v>37</v>
      </c>
      <c r="I43" s="247" t="s">
        <f>VLOOKUP(B43,'零期·UV电访分配'!B:Q,7,0)</f>
        <v>88</v>
      </c>
      <c r="J43" s="37" t="s">
        <v>29</v>
      </c>
      <c r="K43" s="247"/>
      <c r="L43" s="247" t="s">
        <v>1870</v>
      </c>
      <c r="M43" s="247" t="s">
        <v>49</v>
      </c>
      <c r="N43" s="247" t="s">
        <f>VLOOKUP(B43,'零期·UV电访分配'!B:Q,11,0)</f>
        <v>88</v>
      </c>
      <c r="O43" s="247" t="s">
        <v>29</v>
      </c>
      <c r="P43" s="247" t="s">
        <v>218</v>
      </c>
      <c r="Q43" s="247" t="s">
        <v>1871</v>
      </c>
      <c r="R43" s="247" t="s">
        <v>52</v>
      </c>
      <c r="S43" s="247" t="s">
        <f>VLOOKUP(B43,'零期·UV电访分配'!B:Q,15,0)</f>
        <v>88</v>
      </c>
      <c r="T43" s="247" t="s">
        <v>29</v>
      </c>
      <c r="U43" s="247" t="s">
        <v>217</v>
      </c>
      <c r="V43" s="694" t="s">
        <v>1872</v>
      </c>
      <c r="W43" s="318"/>
      <c r="X43" s="318"/>
      <c r="Y43" s="318"/>
      <c r="AA43" s="251"/>
      <c r="AB43" s="251"/>
      <c r="AC43" s="251"/>
      <c r="AD43" s="251"/>
      <c r="AE43" s="251"/>
      <c r="AF43" s="251"/>
      <c r="AG43" s="251"/>
      <c r="AH43" s="251"/>
      <c r="AI43" s="251"/>
      <c r="AJ43" s="251"/>
      <c r="AK43" s="251"/>
      <c r="AN43" s="251"/>
      <c r="AO43" s="251"/>
      <c r="AR43" s="251"/>
      <c r="AS43" s="251"/>
      <c r="AT43" s="251"/>
      <c r="AU43" s="251"/>
      <c r="AV43" s="251"/>
    </row>
    <row r="44" ht="26.25" customHeight="1">
      <c r="A44" s="318" t="s">
        <v>45</v>
      </c>
      <c r="B44" s="318" t="n">
        <v>4815418129</v>
      </c>
      <c r="C44" s="114" t="s">
        <v>1337</v>
      </c>
      <c r="D44" s="114" t="s">
        <v>48</v>
      </c>
      <c r="E44" s="247" t="s">
        <v>29</v>
      </c>
      <c r="F44" s="247" t="s">
        <v>1869</v>
      </c>
      <c r="G44" s="247" t="s">
        <v>217</v>
      </c>
      <c r="H44" s="247" t="s">
        <v>37</v>
      </c>
      <c r="I44" s="247" t="s">
        <f>VLOOKUP(B44,'零期·UV电访分配'!B:Q,7,0)</f>
        <v>88</v>
      </c>
      <c r="J44" s="247" t="s">
        <v>29</v>
      </c>
      <c r="K44" s="247"/>
      <c r="L44" s="247" t="s">
        <v>1870</v>
      </c>
      <c r="M44" s="247" t="s">
        <v>49</v>
      </c>
      <c r="N44" s="247" t="s">
        <f>VLOOKUP(B44,'零期·UV电访分配'!B:Q,11,0)</f>
        <v>88</v>
      </c>
      <c r="O44" s="247" t="s">
        <v>29</v>
      </c>
      <c r="P44" s="247" t="s">
        <v>218</v>
      </c>
      <c r="Q44" s="247" t="s">
        <v>1871</v>
      </c>
      <c r="R44" s="247" t="s">
        <v>52</v>
      </c>
      <c r="S44" s="247" t="s">
        <f>VLOOKUP(B44,'零期·UV电访分配'!B:Q,15,0)</f>
        <v>88</v>
      </c>
      <c r="T44" s="247" t="s">
        <v>29</v>
      </c>
      <c r="U44" s="247" t="s">
        <v>217</v>
      </c>
      <c r="V44" s="247" t="s">
        <v>1873</v>
      </c>
      <c r="W44" s="292"/>
      <c r="X44" s="292"/>
      <c r="Y44" s="292"/>
      <c r="AA44" s="251"/>
      <c r="AB44" s="251"/>
      <c r="AC44" s="251"/>
      <c r="AD44" s="251"/>
      <c r="AE44" s="251"/>
      <c r="AF44" s="251"/>
      <c r="AG44" s="251"/>
      <c r="AH44" s="251"/>
      <c r="AI44" s="251"/>
      <c r="AJ44" s="251"/>
      <c r="AK44" s="251"/>
      <c r="AN44" s="251"/>
      <c r="AO44" s="251"/>
      <c r="AR44" s="251"/>
      <c r="AS44" s="251"/>
      <c r="AT44" s="251"/>
      <c r="AU44" s="251"/>
      <c r="AV44" s="251"/>
    </row>
    <row r="45" ht="16.5" customHeight="1">
      <c r="A45" s="248" t="s">
        <v>45</v>
      </c>
      <c r="B45" s="248" t="n">
        <v>2581075620</v>
      </c>
      <c r="C45" s="247" t="s">
        <v>1069</v>
      </c>
      <c r="D45" s="247" t="s">
        <v>48</v>
      </c>
      <c r="E45" s="247" t="s">
        <v>29</v>
      </c>
      <c r="F45" s="247" t="s">
        <v>1874</v>
      </c>
      <c r="G45" s="247" t="s">
        <v>218</v>
      </c>
      <c r="H45" s="247" t="s">
        <v>37</v>
      </c>
      <c r="I45" s="247" t="s">
        <f>VLOOKUP(B45,'零期·UV电访分配'!B:Q,7,0)</f>
        <v>88</v>
      </c>
      <c r="J45" s="247" t="s">
        <v>29</v>
      </c>
      <c r="K45" s="247" t="s">
        <v>217</v>
      </c>
      <c r="L45" s="247" t="s">
        <v>1875</v>
      </c>
      <c r="M45" s="247" t="s">
        <v>116</v>
      </c>
      <c r="N45" s="247" t="s">
        <f>VLOOKUP(B45,'零期·UV电访分配'!B:Q,11,0)</f>
        <v>116</v>
      </c>
      <c r="O45" s="247"/>
      <c r="P45" s="247"/>
      <c r="Q45" s="247"/>
      <c r="R45" s="247" t="s">
        <v>116</v>
      </c>
      <c r="S45" s="247" t="s">
        <f>VLOOKUP(B45,'零期·UV电访分配'!B:Q,15,0)</f>
        <v>116</v>
      </c>
      <c r="T45" s="247"/>
      <c r="U45" s="247"/>
      <c r="V45" s="247"/>
      <c r="W45" s="292"/>
      <c r="X45" s="292"/>
      <c r="Y45" s="292"/>
      <c r="AA45" s="251"/>
      <c r="AB45" s="251"/>
      <c r="AC45" s="251"/>
      <c r="AD45" s="251"/>
      <c r="AE45" s="251"/>
      <c r="AF45" s="251"/>
      <c r="AG45" s="251"/>
      <c r="AH45" s="251"/>
      <c r="AI45" s="251"/>
      <c r="AJ45" s="251"/>
      <c r="AK45" s="251"/>
      <c r="AN45" s="251"/>
      <c r="AO45" s="251"/>
      <c r="AR45" s="251"/>
      <c r="AS45" s="251"/>
      <c r="AT45" s="251"/>
      <c r="AU45" s="251"/>
      <c r="AV45" s="251"/>
    </row>
    <row r="46" ht="64.5" customHeight="1">
      <c r="A46" s="318" t="s">
        <v>45</v>
      </c>
      <c r="B46" s="318" t="n">
        <v>4067487942</v>
      </c>
      <c r="C46" s="114" t="s">
        <v>1013</v>
      </c>
      <c r="D46" s="114" t="s">
        <v>46</v>
      </c>
      <c r="E46" s="247" t="s">
        <v>25</v>
      </c>
      <c r="F46" s="695" t="s">
        <v>1876</v>
      </c>
      <c r="G46" s="247" t="s">
        <v>217</v>
      </c>
      <c r="H46" s="247" t="s">
        <v>31</v>
      </c>
      <c r="I46" s="247" t="s">
        <f>VLOOKUP(B46,'零期·UV电访分配'!B:Q,7,0)</f>
        <v>88</v>
      </c>
      <c r="J46" s="247" t="s">
        <v>27</v>
      </c>
      <c r="K46" s="247"/>
      <c r="L46" s="247" t="s">
        <v>1877</v>
      </c>
      <c r="M46" s="247" t="s">
        <v>47</v>
      </c>
      <c r="N46" s="247" t="s">
        <f>VLOOKUP(B46,'零期·UV电访分配'!B:Q,11,0)</f>
        <v>88</v>
      </c>
      <c r="O46" s="247" t="s">
        <v>28</v>
      </c>
      <c r="P46" s="247"/>
      <c r="Q46" s="247" t="s">
        <v>1878</v>
      </c>
      <c r="R46" s="247" t="s">
        <v>58</v>
      </c>
      <c r="S46" s="247" t="s">
        <f>VLOOKUP(B46,'零期·UV电访分配'!B:Q,15,0)</f>
        <v>88</v>
      </c>
      <c r="T46" s="247" t="s">
        <v>28</v>
      </c>
      <c r="U46" s="247" t="s">
        <v>217</v>
      </c>
      <c r="V46" s="247" t="s">
        <v>1879</v>
      </c>
      <c r="W46" s="292"/>
      <c r="X46" s="292"/>
      <c r="Y46" s="292"/>
      <c r="AA46" s="251"/>
      <c r="AB46" s="251"/>
      <c r="AC46" s="251"/>
      <c r="AD46" s="251"/>
      <c r="AE46" s="251"/>
      <c r="AF46" s="251"/>
      <c r="AG46" s="251"/>
      <c r="AH46" s="251"/>
      <c r="AI46" s="251"/>
      <c r="AJ46" s="251"/>
      <c r="AK46" s="251"/>
      <c r="AN46" s="251"/>
      <c r="AO46" s="251"/>
      <c r="AR46" s="251"/>
      <c r="AS46" s="251"/>
      <c r="AT46" s="251"/>
      <c r="AU46" s="251"/>
      <c r="AV46" s="251"/>
    </row>
    <row r="47" ht="64.5" customHeight="1">
      <c r="A47" s="318" t="s">
        <v>45</v>
      </c>
      <c r="B47" s="318" t="n">
        <v>2418049678</v>
      </c>
      <c r="C47" s="114" t="s">
        <v>1171</v>
      </c>
      <c r="D47" s="114" t="s">
        <v>38</v>
      </c>
      <c r="E47" s="247" t="s">
        <v>27</v>
      </c>
      <c r="F47" s="696" t="s">
        <v>1880</v>
      </c>
      <c r="G47" s="247" t="s">
        <v>217</v>
      </c>
      <c r="H47" s="247" t="s">
        <v>31</v>
      </c>
      <c r="I47" s="247" t="s">
        <f>VLOOKUP(B47,'零期·UV电访分配'!B:Q,7,0)</f>
        <v>88</v>
      </c>
      <c r="J47" s="247" t="s">
        <v>27</v>
      </c>
      <c r="K47" s="247"/>
      <c r="L47" s="247" t="s">
        <v>1881</v>
      </c>
      <c r="M47" s="247" t="s">
        <v>43</v>
      </c>
      <c r="N47" s="247" t="s">
        <f>VLOOKUP(B47,'零期·UV电访分配'!B:Q,11,0)</f>
        <v>88</v>
      </c>
      <c r="O47" s="247" t="s">
        <v>28</v>
      </c>
      <c r="P47" s="247" t="s">
        <v>217</v>
      </c>
      <c r="Q47" s="247" t="s">
        <v>1882</v>
      </c>
      <c r="R47" s="247" t="s">
        <v>52</v>
      </c>
      <c r="S47" s="247" t="s">
        <f>VLOOKUP(B47,'零期·UV电访分配'!B:Q,15,0)</f>
        <v>88</v>
      </c>
      <c r="T47" s="247" t="s">
        <v>27</v>
      </c>
      <c r="U47" s="247" t="s">
        <v>217</v>
      </c>
      <c r="V47" s="247" t="s">
        <v>1883</v>
      </c>
      <c r="W47" s="292" t="s">
        <v>38</v>
      </c>
      <c r="X47" s="292" t="s">
        <v>1884</v>
      </c>
      <c r="Y47" s="292"/>
      <c r="AA47" s="251"/>
      <c r="AB47" s="251"/>
      <c r="AC47" s="251"/>
      <c r="AD47" s="251"/>
      <c r="AE47" s="251"/>
      <c r="AF47" s="251"/>
      <c r="AG47" s="251"/>
      <c r="AH47" s="251"/>
      <c r="AI47" s="251"/>
      <c r="AJ47" s="251"/>
      <c r="AK47" s="251"/>
      <c r="AN47" s="251"/>
      <c r="AO47" s="251"/>
      <c r="AR47" s="251"/>
      <c r="AS47" s="251"/>
      <c r="AT47" s="251"/>
      <c r="AU47" s="251"/>
      <c r="AV47" s="251"/>
    </row>
    <row r="48" ht="39" customHeight="1">
      <c r="A48" s="318" t="s">
        <v>45</v>
      </c>
      <c r="B48" s="318" t="n">
        <v>2930670841</v>
      </c>
      <c r="C48" s="114" t="s">
        <v>1322</v>
      </c>
      <c r="D48" s="114" t="s">
        <v>50</v>
      </c>
      <c r="E48" s="247" t="s">
        <v>27</v>
      </c>
      <c r="F48" s="247" t="s">
        <v>1885</v>
      </c>
      <c r="G48" s="247" t="s">
        <v>217</v>
      </c>
      <c r="H48" s="247" t="s">
        <v>31</v>
      </c>
      <c r="I48" s="247" t="s">
        <f>VLOOKUP(B48,'零期·UV电访分配'!B:Q,7,0)</f>
        <v>88</v>
      </c>
      <c r="J48" s="247" t="s">
        <v>27</v>
      </c>
      <c r="K48" s="247"/>
      <c r="L48" s="247" t="s">
        <v>1886</v>
      </c>
      <c r="M48" s="247" t="s">
        <v>47</v>
      </c>
      <c r="N48" s="247" t="s">
        <f>VLOOKUP(B48,'零期·UV电访分配'!B:Q,11,0)</f>
        <v>88</v>
      </c>
      <c r="O48" s="247" t="s">
        <v>29</v>
      </c>
      <c r="P48" s="247"/>
      <c r="Q48" s="247" t="s">
        <v>1887</v>
      </c>
      <c r="R48" s="247" t="s">
        <v>58</v>
      </c>
      <c r="S48" s="247" t="s">
        <f>VLOOKUP(B48,'零期·UV电访分配'!B:Q,15,0)</f>
        <v>88</v>
      </c>
      <c r="T48" s="247" t="s">
        <v>29</v>
      </c>
      <c r="U48" s="247" t="s">
        <v>217</v>
      </c>
      <c r="V48" s="247" t="s">
        <v>1888</v>
      </c>
      <c r="W48" s="292"/>
      <c r="X48" s="292"/>
      <c r="Y48" s="292"/>
      <c r="AA48" s="251"/>
      <c r="AB48" s="251"/>
      <c r="AC48" s="251"/>
      <c r="AD48" s="251"/>
      <c r="AE48" s="251"/>
      <c r="AF48" s="251"/>
      <c r="AG48" s="251"/>
      <c r="AH48" s="251"/>
      <c r="AI48" s="251"/>
      <c r="AJ48" s="251"/>
      <c r="AK48" s="251"/>
      <c r="AN48" s="251"/>
      <c r="AO48" s="251"/>
      <c r="AR48" s="251"/>
      <c r="AS48" s="251"/>
      <c r="AT48" s="251"/>
      <c r="AU48" s="251"/>
      <c r="AV48" s="251"/>
    </row>
    <row r="49" ht="26.25" customHeight="1">
      <c r="A49" s="248" t="s">
        <v>45</v>
      </c>
      <c r="B49" s="248" t="n">
        <v>4844205877</v>
      </c>
      <c r="C49" s="247" t="s">
        <v>1110</v>
      </c>
      <c r="D49" s="247" t="s">
        <v>46</v>
      </c>
      <c r="E49" s="247" t="s">
        <v>28</v>
      </c>
      <c r="F49" s="247" t="s">
        <v>1889</v>
      </c>
      <c r="G49" s="247" t="s">
        <v>217</v>
      </c>
      <c r="H49" s="247" t="s">
        <v>31</v>
      </c>
      <c r="I49" s="247" t="s">
        <f>VLOOKUP(B49,'零期·UV电访分配'!B:Q,7,0)</f>
        <v>88</v>
      </c>
      <c r="J49" s="247" t="s">
        <v>28</v>
      </c>
      <c r="K49" s="247"/>
      <c r="L49" s="247" t="s">
        <v>1890</v>
      </c>
      <c r="M49" s="247" t="s">
        <v>49</v>
      </c>
      <c r="N49" s="247" t="s">
        <f>VLOOKUP(B49,'零期·UV电访分配'!B:Q,11,0)</f>
        <v>88</v>
      </c>
      <c r="O49" s="247" t="s">
        <v>29</v>
      </c>
      <c r="P49" s="247" t="s">
        <v>218</v>
      </c>
      <c r="Q49" s="247" t="s">
        <v>1891</v>
      </c>
      <c r="R49" s="247" t="s">
        <v>52</v>
      </c>
      <c r="S49" s="247" t="s">
        <f>VLOOKUP(B49,'零期·UV电访分配'!B:Q,15,0)</f>
        <v>88</v>
      </c>
      <c r="T49" s="247" t="s">
        <v>28</v>
      </c>
      <c r="U49" s="247" t="s">
        <v>217</v>
      </c>
      <c r="V49" s="697" t="s">
        <v>1892</v>
      </c>
      <c r="AA49" s="251"/>
      <c r="AB49" s="251"/>
      <c r="AC49" s="251"/>
      <c r="AD49" s="251"/>
      <c r="AE49" s="251"/>
      <c r="AF49" s="251"/>
      <c r="AG49" s="251"/>
      <c r="AH49" s="251"/>
      <c r="AI49" s="251"/>
      <c r="AJ49" s="251"/>
      <c r="AK49" s="251"/>
      <c r="AN49" s="251"/>
      <c r="AO49" s="251"/>
      <c r="AR49" s="251"/>
      <c r="AS49" s="251"/>
      <c r="AT49" s="251"/>
      <c r="AU49" s="251"/>
      <c r="AV49" s="251"/>
    </row>
    <row r="50" ht="26.25" customHeight="1">
      <c r="A50" s="248" t="s">
        <v>45</v>
      </c>
      <c r="B50" s="248" t="n">
        <v>2567690678</v>
      </c>
      <c r="C50" s="247" t="s">
        <v>1111</v>
      </c>
      <c r="D50" s="247" t="s">
        <v>46</v>
      </c>
      <c r="E50" s="247" t="s">
        <v>29</v>
      </c>
      <c r="F50" s="247" t="s">
        <v>1893</v>
      </c>
      <c r="G50" s="247" t="s">
        <v>217</v>
      </c>
      <c r="H50" s="247" t="s">
        <v>31</v>
      </c>
      <c r="I50" s="247" t="s">
        <f>VLOOKUP(B50,'零期·UV电访分配'!B:Q,7,0)</f>
        <v>88</v>
      </c>
      <c r="J50" s="247" t="s">
        <v>28</v>
      </c>
      <c r="K50" s="247"/>
      <c r="L50" s="247" t="s">
        <v>1890</v>
      </c>
      <c r="M50" s="247" t="s">
        <v>49</v>
      </c>
      <c r="N50" s="247" t="s">
        <f>VLOOKUP(B50,'零期·UV电访分配'!B:Q,11,0)</f>
        <v>88</v>
      </c>
      <c r="O50" s="247" t="s">
        <v>29</v>
      </c>
      <c r="P50" s="247" t="s">
        <v>218</v>
      </c>
      <c r="Q50" s="247" t="s">
        <v>1891</v>
      </c>
      <c r="R50" s="247" t="s">
        <v>52</v>
      </c>
      <c r="S50" s="247" t="s">
        <f>VLOOKUP(B50,'零期·UV电访分配'!B:Q,15,0)</f>
        <v>88</v>
      </c>
      <c r="T50" s="247" t="s">
        <v>28</v>
      </c>
      <c r="U50" s="247" t="s">
        <v>217</v>
      </c>
      <c r="V50" s="247" t="s">
        <v>1873</v>
      </c>
      <c r="AA50" s="251"/>
      <c r="AB50" s="251"/>
      <c r="AC50" s="251"/>
      <c r="AD50" s="251"/>
      <c r="AE50" s="251"/>
      <c r="AF50" s="251"/>
      <c r="AG50" s="251"/>
      <c r="AH50" s="251"/>
      <c r="AI50" s="251"/>
      <c r="AJ50" s="251"/>
      <c r="AK50" s="251"/>
      <c r="AN50" s="251"/>
      <c r="AO50" s="251"/>
      <c r="AR50" s="251"/>
      <c r="AS50" s="251"/>
      <c r="AT50" s="251"/>
      <c r="AU50" s="251"/>
      <c r="AV50" s="251"/>
    </row>
    <row r="51" ht="18" customHeight="1">
      <c r="A51" s="318" t="s">
        <v>45</v>
      </c>
      <c r="B51" s="318" t="n">
        <v>2451166246</v>
      </c>
      <c r="C51" s="114" t="s">
        <v>1175</v>
      </c>
      <c r="D51" s="114" t="s">
        <v>48</v>
      </c>
      <c r="E51" s="247" t="s">
        <v>29</v>
      </c>
      <c r="F51" s="247" t="s">
        <v>1894</v>
      </c>
      <c r="G51" s="247" t="s">
        <v>217</v>
      </c>
      <c r="H51" s="247" t="s">
        <v>31</v>
      </c>
      <c r="I51" s="247" t="s">
        <f>VLOOKUP(B51,'零期·UV电访分配'!B:Q,7,0)</f>
        <v>88</v>
      </c>
      <c r="J51" s="247" t="s">
        <v>28</v>
      </c>
      <c r="K51" s="247"/>
      <c r="L51" s="247" t="s">
        <v>1895</v>
      </c>
      <c r="M51" s="247" t="s">
        <v>47</v>
      </c>
      <c r="N51" s="247" t="s">
        <f>VLOOKUP(B51,'零期·UV电访分配'!B:Q,11,0)</f>
        <v>88</v>
      </c>
      <c r="O51" s="247" t="s">
        <v>29</v>
      </c>
      <c r="P51" s="247" t="s">
        <v>218</v>
      </c>
      <c r="Q51" s="247" t="s">
        <v>1896</v>
      </c>
      <c r="R51" s="247" t="s">
        <v>52</v>
      </c>
      <c r="S51" s="247" t="s">
        <f>VLOOKUP(B51,'零期·UV电访分配'!B:Q,15,0)</f>
        <v>88</v>
      </c>
      <c r="T51" s="247" t="s">
        <v>29</v>
      </c>
      <c r="U51" s="247"/>
      <c r="V51" s="247" t="s">
        <v>1897</v>
      </c>
      <c r="AA51" s="251"/>
      <c r="AB51" s="251"/>
      <c r="AC51" s="251"/>
      <c r="AD51" s="251"/>
      <c r="AE51" s="251"/>
      <c r="AF51" s="251"/>
      <c r="AG51" s="251"/>
      <c r="AH51" s="251"/>
      <c r="AI51" s="251"/>
      <c r="AJ51" s="251"/>
      <c r="AK51" s="251"/>
      <c r="AN51" s="251"/>
      <c r="AO51" s="251"/>
      <c r="AR51" s="251"/>
      <c r="AS51" s="251"/>
      <c r="AT51" s="251"/>
      <c r="AU51" s="251"/>
      <c r="AV51" s="251"/>
    </row>
    <row r="52" ht="26.25" customHeight="1">
      <c r="A52" s="318" t="s">
        <v>45</v>
      </c>
      <c r="B52" s="318" t="n">
        <v>2514322951</v>
      </c>
      <c r="C52" s="114" t="s">
        <v>1159</v>
      </c>
      <c r="D52" s="114" t="s">
        <v>50</v>
      </c>
      <c r="E52" s="272" t="s">
        <v>29</v>
      </c>
      <c r="F52" s="247" t="s">
        <v>1898</v>
      </c>
      <c r="G52" s="247" t="s">
        <v>217</v>
      </c>
      <c r="H52" s="247" t="s">
        <v>31</v>
      </c>
      <c r="I52" s="247" t="s">
        <f>VLOOKUP(B52,'零期·UV电访分配'!B:Q,7,0)</f>
        <v>88</v>
      </c>
      <c r="J52" s="247" t="s">
        <v>28</v>
      </c>
      <c r="K52" s="247"/>
      <c r="L52" s="247" t="s">
        <v>1899</v>
      </c>
      <c r="M52" s="247" t="s">
        <v>43</v>
      </c>
      <c r="N52" s="247" t="s">
        <f>VLOOKUP(B52,'零期·UV电访分配'!B:Q,11,0)</f>
        <v>88</v>
      </c>
      <c r="O52" s="247" t="s">
        <v>28</v>
      </c>
      <c r="P52" s="247" t="s">
        <v>217</v>
      </c>
      <c r="Q52" s="247" t="s">
        <v>1900</v>
      </c>
      <c r="R52" s="247" t="s">
        <v>52</v>
      </c>
      <c r="S52" s="247" t="s">
        <f>VLOOKUP(B52,'零期·UV电访分配'!B:Q,15,0)</f>
        <v>88</v>
      </c>
      <c r="T52" s="247" t="s">
        <v>29</v>
      </c>
      <c r="U52" s="247" t="s">
        <v>217</v>
      </c>
      <c r="V52" s="247" t="s">
        <v>1901</v>
      </c>
      <c r="AA52" s="251"/>
      <c r="AB52" s="251"/>
      <c r="AC52" s="251"/>
      <c r="AD52" s="251"/>
      <c r="AE52" s="251"/>
      <c r="AF52" s="251"/>
      <c r="AG52" s="251"/>
      <c r="AH52" s="251"/>
      <c r="AI52" s="251"/>
      <c r="AJ52" s="251"/>
      <c r="AK52" s="251"/>
      <c r="AN52" s="251"/>
      <c r="AO52" s="251"/>
      <c r="AR52" s="251"/>
      <c r="AS52" s="251"/>
      <c r="AT52" s="251"/>
      <c r="AU52" s="251"/>
      <c r="AV52" s="251"/>
    </row>
    <row r="53" ht="26.25" customHeight="1">
      <c r="A53" s="318" t="s">
        <v>45</v>
      </c>
      <c r="B53" s="318" t="n">
        <v>2717337139</v>
      </c>
      <c r="C53" s="114" t="s">
        <v>1292</v>
      </c>
      <c r="D53" s="114" t="s">
        <v>48</v>
      </c>
      <c r="E53" s="247" t="s">
        <v>28</v>
      </c>
      <c r="F53" s="247" t="s">
        <v>1902</v>
      </c>
      <c r="G53" s="247" t="s">
        <v>217</v>
      </c>
      <c r="H53" s="247" t="s">
        <v>31</v>
      </c>
      <c r="I53" s="247" t="s">
        <f>VLOOKUP(B53,'零期·UV电访分配'!B:Q,7,0)</f>
        <v>88</v>
      </c>
      <c r="J53" s="247" t="s">
        <v>28</v>
      </c>
      <c r="K53" s="247"/>
      <c r="L53" s="247" t="s">
        <v>1903</v>
      </c>
      <c r="M53" s="247" t="s">
        <v>43</v>
      </c>
      <c r="N53" s="247" t="s">
        <f>VLOOKUP(B53,'零期·UV电访分配'!B:Q,11,0)</f>
        <v>88</v>
      </c>
      <c r="O53" s="247" t="s">
        <v>28</v>
      </c>
      <c r="P53" s="247" t="s">
        <v>218</v>
      </c>
      <c r="Q53" s="247"/>
      <c r="R53" s="247" t="s">
        <v>52</v>
      </c>
      <c r="S53" s="247" t="s">
        <f>VLOOKUP(B53,'零期·UV电访分配'!B:Q,15,0)</f>
        <v>88</v>
      </c>
      <c r="T53" s="247" t="s">
        <v>28</v>
      </c>
      <c r="U53" s="247"/>
      <c r="V53" s="247" t="s">
        <v>1904</v>
      </c>
      <c r="AA53" s="251"/>
      <c r="AB53" s="251"/>
      <c r="AC53" s="251"/>
      <c r="AD53" s="251"/>
      <c r="AE53" s="251"/>
      <c r="AF53" s="251"/>
      <c r="AG53" s="251"/>
      <c r="AH53" s="251"/>
      <c r="AI53" s="251"/>
      <c r="AJ53" s="251"/>
      <c r="AK53" s="251"/>
      <c r="AN53" s="251"/>
      <c r="AO53" s="251"/>
      <c r="AR53" s="251"/>
      <c r="AS53" s="251"/>
      <c r="AT53" s="251"/>
      <c r="AU53" s="251"/>
      <c r="AV53" s="251"/>
    </row>
    <row r="54" ht="26.25" customHeight="1">
      <c r="A54" s="318" t="s">
        <v>45</v>
      </c>
      <c r="B54" s="318" t="n">
        <v>4029496535</v>
      </c>
      <c r="C54" s="114" t="s">
        <v>1309</v>
      </c>
      <c r="D54" s="114" t="s">
        <v>48</v>
      </c>
      <c r="E54" s="247" t="s">
        <v>28</v>
      </c>
      <c r="F54" s="698" t="s">
        <v>1905</v>
      </c>
      <c r="G54" s="247" t="s">
        <v>217</v>
      </c>
      <c r="H54" s="247" t="s">
        <v>31</v>
      </c>
      <c r="I54" s="247" t="s">
        <f>VLOOKUP(B54,'零期·UV电访分配'!B:Q,7,0)</f>
        <v>88</v>
      </c>
      <c r="J54" s="247" t="s">
        <v>1343</v>
      </c>
      <c r="K54" s="247"/>
      <c r="L54" s="247" t="s">
        <v>1834</v>
      </c>
      <c r="M54" s="247" t="s">
        <v>43</v>
      </c>
      <c r="N54" s="247" t="s">
        <f>VLOOKUP(B54,'零期·UV电访分配'!B:Q,11,0)</f>
        <v>88</v>
      </c>
      <c r="O54" s="247" t="s">
        <v>27</v>
      </c>
      <c r="P54" s="247" t="s">
        <v>217</v>
      </c>
      <c r="Q54" s="247" t="s">
        <v>1906</v>
      </c>
      <c r="R54" s="247" t="s">
        <v>52</v>
      </c>
      <c r="S54" s="247" t="s">
        <f>VLOOKUP(B54,'零期·UV电访分配'!B:Q,15,0)</f>
        <v>88</v>
      </c>
      <c r="T54" s="247" t="s">
        <v>27</v>
      </c>
      <c r="U54" s="247" t="s">
        <v>217</v>
      </c>
      <c r="V54" s="247" t="s">
        <v>1907</v>
      </c>
      <c r="AA54" s="251"/>
      <c r="AB54" s="251"/>
      <c r="AC54" s="251"/>
      <c r="AD54" s="251"/>
      <c r="AE54" s="251"/>
      <c r="AF54" s="251"/>
      <c r="AG54" s="251"/>
      <c r="AH54" s="251"/>
      <c r="AI54" s="251"/>
      <c r="AJ54" s="251"/>
      <c r="AK54" s="251"/>
      <c r="AN54" s="251"/>
      <c r="AO54" s="251"/>
      <c r="AR54" s="251"/>
      <c r="AS54" s="251"/>
      <c r="AT54" s="251"/>
      <c r="AU54" s="251"/>
      <c r="AV54" s="251"/>
    </row>
    <row r="55" ht="39" customHeight="1">
      <c r="A55" s="318" t="s">
        <v>45</v>
      </c>
      <c r="B55" s="318" t="n">
        <v>4111183270</v>
      </c>
      <c r="C55" s="114" t="s">
        <v>1051</v>
      </c>
      <c r="D55" s="114" t="s">
        <v>40</v>
      </c>
      <c r="E55" s="247" t="s">
        <v>29</v>
      </c>
      <c r="F55" s="247" t="s">
        <v>1908</v>
      </c>
      <c r="G55" s="247" t="s">
        <v>217</v>
      </c>
      <c r="H55" s="247" t="s">
        <v>31</v>
      </c>
      <c r="I55" s="247" t="s">
        <f>VLOOKUP(B55,'零期·UV电访分配'!B:Q,7,0)</f>
        <v>88</v>
      </c>
      <c r="J55" s="247" t="s">
        <v>28</v>
      </c>
      <c r="K55" s="247"/>
      <c r="L55" s="247"/>
      <c r="M55" s="247" t="s">
        <v>47</v>
      </c>
      <c r="N55" s="247" t="s">
        <f>VLOOKUP(B55,'零期·UV电访分配'!B:Q,11,0)</f>
        <v>88</v>
      </c>
      <c r="O55" s="247" t="s">
        <v>28</v>
      </c>
      <c r="P55" s="247" t="s">
        <v>217</v>
      </c>
      <c r="Q55" s="247" t="s">
        <v>1909</v>
      </c>
      <c r="R55" s="247" t="s">
        <v>52</v>
      </c>
      <c r="S55" s="247" t="s">
        <f>VLOOKUP(B55,'零期·UV电访分配'!B:Q,15,0)</f>
        <v>88</v>
      </c>
      <c r="T55" s="247" t="s">
        <v>28</v>
      </c>
      <c r="U55" s="247"/>
      <c r="V55" s="247" t="s">
        <v>1910</v>
      </c>
      <c r="W55" s="251" t="s">
        <v>34</v>
      </c>
      <c r="X55" s="335" t="s">
        <v>1911</v>
      </c>
      <c r="AA55" s="251"/>
      <c r="AB55" s="251"/>
      <c r="AC55" s="251"/>
      <c r="AD55" s="251"/>
      <c r="AE55" s="251"/>
      <c r="AF55" s="251"/>
      <c r="AG55" s="251"/>
      <c r="AH55" s="251"/>
      <c r="AI55" s="251"/>
      <c r="AJ55" s="251"/>
      <c r="AK55" s="251"/>
      <c r="AN55" s="251"/>
      <c r="AO55" s="251"/>
      <c r="AR55" s="251"/>
      <c r="AS55" s="251"/>
      <c r="AT55" s="251"/>
      <c r="AU55" s="251"/>
      <c r="AV55" s="251"/>
    </row>
    <row r="56" ht="26.25" customHeight="1">
      <c r="A56" s="318" t="s">
        <v>45</v>
      </c>
      <c r="B56" s="318" t="n">
        <v>4815840303</v>
      </c>
      <c r="C56" s="114" t="s">
        <v>1326</v>
      </c>
      <c r="D56" s="114" t="s">
        <v>50</v>
      </c>
      <c r="E56" s="272" t="s">
        <v>29</v>
      </c>
      <c r="F56" s="247" t="s">
        <v>1912</v>
      </c>
      <c r="G56" s="247" t="s">
        <v>217</v>
      </c>
      <c r="H56" s="247" t="s">
        <v>31</v>
      </c>
      <c r="I56" s="247" t="s">
        <f>VLOOKUP(B56,'零期·UV电访分配'!B:Q,7,0)</f>
        <v>88</v>
      </c>
      <c r="J56" s="247" t="s">
        <v>28</v>
      </c>
      <c r="K56" s="247"/>
      <c r="L56" s="247" t="s">
        <v>1913</v>
      </c>
      <c r="M56" s="247" t="s">
        <v>47</v>
      </c>
      <c r="N56" s="247" t="s">
        <f>VLOOKUP(B56,'零期·UV电访分配'!B:Q,11,0)</f>
        <v>88</v>
      </c>
      <c r="O56" s="247" t="s">
        <v>29</v>
      </c>
      <c r="P56" s="247" t="s">
        <v>218</v>
      </c>
      <c r="Q56" s="247" t="s">
        <v>1914</v>
      </c>
      <c r="R56" s="247" t="s">
        <v>58</v>
      </c>
      <c r="S56" s="247" t="s">
        <f>VLOOKUP(B56,'零期·UV电访分配'!B:Q,15,0)</f>
        <v>88</v>
      </c>
      <c r="T56" s="247" t="s">
        <v>29</v>
      </c>
      <c r="U56" s="247" t="s">
        <v>218</v>
      </c>
      <c r="V56" s="247" t="s">
        <v>1915</v>
      </c>
      <c r="AA56" s="251"/>
      <c r="AB56" s="251"/>
      <c r="AC56" s="251"/>
      <c r="AD56" s="251"/>
      <c r="AE56" s="251"/>
      <c r="AF56" s="251"/>
      <c r="AG56" s="251"/>
      <c r="AH56" s="251"/>
      <c r="AI56" s="251"/>
      <c r="AJ56" s="251"/>
      <c r="AK56" s="251"/>
      <c r="AN56" s="251"/>
      <c r="AO56" s="251"/>
      <c r="AR56" s="251"/>
      <c r="AS56" s="251"/>
      <c r="AT56" s="251"/>
      <c r="AU56" s="251"/>
      <c r="AV56" s="251"/>
    </row>
    <row r="57" ht="54.75" customHeight="1">
      <c r="A57" s="274" t="s">
        <v>45</v>
      </c>
      <c r="B57" s="274" t="n">
        <v>4848923450</v>
      </c>
      <c r="C57" s="247" t="s">
        <v>1042</v>
      </c>
      <c r="D57" s="247" t="s">
        <v>40</v>
      </c>
      <c r="E57" s="247" t="s">
        <v>27</v>
      </c>
      <c r="F57" s="699" t="s">
        <v>1916</v>
      </c>
      <c r="G57" s="247" t="s">
        <v>218</v>
      </c>
      <c r="H57" s="247" t="s">
        <v>31</v>
      </c>
      <c r="I57" s="247" t="s">
        <f>VLOOKUP(B57,'零期·UV电访分配'!B:Q,7,0)</f>
        <v>88</v>
      </c>
      <c r="J57" s="247" t="s">
        <v>28</v>
      </c>
      <c r="K57" s="247"/>
      <c r="L57" s="247" t="s">
        <v>1917</v>
      </c>
      <c r="M57" s="247" t="s">
        <v>47</v>
      </c>
      <c r="N57" s="247" t="s">
        <f>VLOOKUP(B57,'零期·UV电访分配'!B:Q,11,0)</f>
        <v>88</v>
      </c>
      <c r="O57" s="247" t="s">
        <v>28</v>
      </c>
      <c r="P57" s="247" t="s">
        <v>217</v>
      </c>
      <c r="Q57" s="247" t="s">
        <v>1918</v>
      </c>
      <c r="R57" s="247" t="s">
        <v>58</v>
      </c>
      <c r="S57" s="247" t="s">
        <f>VLOOKUP(B57,'零期·UV电访分配'!B:Q,15,0)</f>
        <v>88</v>
      </c>
      <c r="T57" s="247" t="s">
        <v>28</v>
      </c>
      <c r="U57" s="247" t="s">
        <v>217</v>
      </c>
      <c r="V57" s="247" t="s">
        <v>1919</v>
      </c>
      <c r="W57" s="251" t="s">
        <v>40</v>
      </c>
      <c r="X57" s="210" t="s">
        <v>1920</v>
      </c>
      <c r="AA57" s="251"/>
      <c r="AB57" s="251"/>
      <c r="AC57" s="251"/>
      <c r="AD57" s="251"/>
      <c r="AE57" s="251"/>
      <c r="AF57" s="251"/>
      <c r="AG57" s="251"/>
      <c r="AH57" s="251"/>
      <c r="AI57" s="251"/>
      <c r="AJ57" s="251"/>
      <c r="AK57" s="251"/>
      <c r="AN57" s="251"/>
      <c r="AO57" s="251"/>
      <c r="AR57" s="251"/>
      <c r="AS57" s="251"/>
      <c r="AT57" s="251"/>
      <c r="AU57" s="251"/>
      <c r="AV57" s="251"/>
    </row>
    <row r="58" ht="26.25" customHeight="1">
      <c r="A58" s="248" t="s">
        <v>45</v>
      </c>
      <c r="B58" s="248" t="n">
        <v>2577448328</v>
      </c>
      <c r="C58" s="247" t="s">
        <v>1053</v>
      </c>
      <c r="D58" s="247" t="s">
        <v>57</v>
      </c>
      <c r="E58" s="247" t="s">
        <v>28</v>
      </c>
      <c r="F58" s="247" t="s">
        <v>1921</v>
      </c>
      <c r="G58" s="247" t="s">
        <v>218</v>
      </c>
      <c r="H58" s="247" t="s">
        <v>31</v>
      </c>
      <c r="I58" s="247" t="s">
        <f>VLOOKUP(B58,'零期·UV电访分配'!B:Q,7,0)</f>
        <v>88</v>
      </c>
      <c r="J58" s="247" t="s">
        <v>28</v>
      </c>
      <c r="K58" s="247"/>
      <c r="L58" s="247"/>
      <c r="M58" s="247" t="s">
        <v>47</v>
      </c>
      <c r="N58" s="247" t="s">
        <f>VLOOKUP(B58,'零期·UV电访分配'!B:Q,11,0)</f>
        <v>88</v>
      </c>
      <c r="O58" s="247" t="s">
        <v>29</v>
      </c>
      <c r="P58" s="247" t="s">
        <v>217</v>
      </c>
      <c r="Q58" s="247" t="s">
        <v>1922</v>
      </c>
      <c r="R58" s="247" t="s">
        <v>58</v>
      </c>
      <c r="S58" s="247" t="s">
        <f>VLOOKUP(B58,'零期·UV电访分配'!B:Q,15,0)</f>
        <v>88</v>
      </c>
      <c r="T58" s="247" t="s">
        <v>29</v>
      </c>
      <c r="U58" s="247" t="s">
        <v>217</v>
      </c>
      <c r="V58" s="247" t="s">
        <v>1923</v>
      </c>
      <c r="W58" s="246" t="s">
        <v>1492</v>
      </c>
      <c r="X58" s="246" t="s">
        <v>1924</v>
      </c>
      <c r="AA58" s="251"/>
      <c r="AB58" s="251"/>
      <c r="AC58" s="251"/>
      <c r="AD58" s="251"/>
      <c r="AE58" s="251"/>
      <c r="AF58" s="251"/>
      <c r="AG58" s="251"/>
      <c r="AH58" s="251"/>
      <c r="AI58" s="251"/>
      <c r="AJ58" s="251"/>
      <c r="AK58" s="251"/>
      <c r="AN58" s="251"/>
      <c r="AO58" s="251"/>
      <c r="AR58" s="251"/>
      <c r="AS58" s="251"/>
      <c r="AT58" s="251"/>
      <c r="AU58" s="251"/>
      <c r="AV58" s="251"/>
    </row>
    <row r="59" ht="39" customHeight="1">
      <c r="A59" s="248" t="s">
        <v>45</v>
      </c>
      <c r="B59" s="248" t="n">
        <v>4183729955</v>
      </c>
      <c r="C59" s="247" t="s">
        <v>1104</v>
      </c>
      <c r="D59" s="247" t="s">
        <v>50</v>
      </c>
      <c r="E59" s="247" t="s">
        <v>29</v>
      </c>
      <c r="F59" s="700" t="s">
        <v>1925</v>
      </c>
      <c r="G59" s="247" t="s">
        <v>218</v>
      </c>
      <c r="H59" s="247" t="s">
        <v>31</v>
      </c>
      <c r="I59" s="247" t="s">
        <f>VLOOKUP(B59,'零期·UV电访分配'!B:Q,7,0)</f>
        <v>88</v>
      </c>
      <c r="J59" s="247" t="s">
        <v>29</v>
      </c>
      <c r="K59" s="247"/>
      <c r="L59" s="247" t="s">
        <v>1913</v>
      </c>
      <c r="M59" s="247" t="s">
        <v>49</v>
      </c>
      <c r="N59" s="247" t="s">
        <f>VLOOKUP(B59,'零期·UV电访分配'!B:Q,11,0)</f>
        <v>88</v>
      </c>
      <c r="O59" s="247" t="s">
        <v>29</v>
      </c>
      <c r="P59" s="247" t="s">
        <v>218</v>
      </c>
      <c r="Q59" s="247" t="s">
        <v>1926</v>
      </c>
      <c r="R59" s="247" t="s">
        <v>52</v>
      </c>
      <c r="S59" s="247" t="s">
        <f>VLOOKUP(B59,'零期·UV电访分配'!B:Q,15,0)</f>
        <v>88</v>
      </c>
      <c r="T59" s="247" t="s">
        <v>29</v>
      </c>
      <c r="U59" s="247"/>
      <c r="V59" s="247" t="s">
        <v>1927</v>
      </c>
      <c r="AA59" s="251"/>
      <c r="AB59" s="251"/>
      <c r="AC59" s="251"/>
      <c r="AD59" s="251"/>
      <c r="AE59" s="251"/>
      <c r="AF59" s="251"/>
      <c r="AG59" s="251"/>
      <c r="AH59" s="251"/>
      <c r="AI59" s="251"/>
      <c r="AJ59" s="251"/>
      <c r="AK59" s="251"/>
      <c r="AN59" s="251"/>
      <c r="AO59" s="251"/>
      <c r="AR59" s="251"/>
      <c r="AS59" s="251"/>
      <c r="AT59" s="251"/>
      <c r="AU59" s="251"/>
      <c r="AV59" s="251"/>
    </row>
    <row r="60" ht="50.25" customHeight="1">
      <c r="A60" s="248" t="s">
        <v>45</v>
      </c>
      <c r="B60" s="248" t="n">
        <v>4267765050</v>
      </c>
      <c r="C60" s="247" t="s">
        <v>1007</v>
      </c>
      <c r="D60" s="247" t="s">
        <v>36</v>
      </c>
      <c r="E60" s="247" t="s">
        <v>27</v>
      </c>
      <c r="F60" s="247" t="s">
        <v>1928</v>
      </c>
      <c r="G60" s="247" t="s">
        <v>218</v>
      </c>
      <c r="H60" s="247" t="s">
        <v>31</v>
      </c>
      <c r="I60" s="247" t="s">
        <f>VLOOKUP(B60,'零期·UV电访分配'!B:Q,7,0)</f>
        <v>88</v>
      </c>
      <c r="J60" s="247" t="s">
        <v>28</v>
      </c>
      <c r="K60" s="247"/>
      <c r="L60" s="247" t="s">
        <v>1917</v>
      </c>
      <c r="M60" s="247" t="s">
        <v>47</v>
      </c>
      <c r="N60" s="247" t="s">
        <f>VLOOKUP(B60,'零期·UV电访分配'!B:Q,11,0)</f>
        <v>88</v>
      </c>
      <c r="O60" s="247" t="s">
        <v>28</v>
      </c>
      <c r="P60" s="247" t="s">
        <v>217</v>
      </c>
      <c r="Q60" s="247" t="s">
        <v>1929</v>
      </c>
      <c r="R60" s="247" t="s">
        <v>58</v>
      </c>
      <c r="S60" s="247" t="s">
        <f>VLOOKUP(B60,'零期·UV电访分配'!B:Q,15,0)</f>
        <v>88</v>
      </c>
      <c r="T60" s="247" t="s">
        <v>28</v>
      </c>
      <c r="U60" s="247" t="s">
        <v>217</v>
      </c>
      <c r="V60" s="247" t="s">
        <v>1930</v>
      </c>
      <c r="W60" s="251" t="s">
        <v>34</v>
      </c>
      <c r="X60" s="483" t="s">
        <v>1637</v>
      </c>
      <c r="AA60" s="251"/>
      <c r="AB60" s="251"/>
      <c r="AC60" s="251"/>
      <c r="AD60" s="251"/>
      <c r="AE60" s="251"/>
      <c r="AF60" s="251"/>
      <c r="AG60" s="251"/>
      <c r="AH60" s="251"/>
      <c r="AI60" s="251"/>
      <c r="AJ60" s="251"/>
      <c r="AK60" s="251"/>
      <c r="AN60" s="251"/>
      <c r="AO60" s="251"/>
      <c r="AR60" s="251"/>
      <c r="AS60" s="251"/>
      <c r="AT60" s="251"/>
      <c r="AU60" s="251"/>
      <c r="AV60" s="251"/>
    </row>
    <row r="61" ht="16.5" customHeight="1">
      <c r="A61" s="248" t="s">
        <v>45</v>
      </c>
      <c r="B61" s="248" t="n">
        <v>4840530615</v>
      </c>
      <c r="C61" s="247" t="s">
        <v>1143</v>
      </c>
      <c r="D61" s="247" t="s">
        <v>48</v>
      </c>
      <c r="E61" s="247" t="s">
        <v>28</v>
      </c>
      <c r="F61" s="247" t="s">
        <v>1931</v>
      </c>
      <c r="G61" s="247" t="s">
        <v>218</v>
      </c>
      <c r="H61" s="247" t="s">
        <v>31</v>
      </c>
      <c r="I61" s="247" t="s">
        <f>VLOOKUP(B61,'零期·UV电访分配'!B:Q,7,0)</f>
        <v>88</v>
      </c>
      <c r="J61" s="247" t="s">
        <v>27</v>
      </c>
      <c r="K61" s="247"/>
      <c r="L61" s="247" t="s">
        <v>1932</v>
      </c>
      <c r="M61" s="247" t="s">
        <v>116</v>
      </c>
      <c r="N61" s="247" t="s">
        <f>VLOOKUP(B61,'零期·UV电访分配'!B:Q,11,0)</f>
        <v>100</v>
      </c>
      <c r="O61" s="247"/>
      <c r="P61" s="247"/>
      <c r="Q61" s="247"/>
      <c r="R61" s="247" t="s">
        <v>52</v>
      </c>
      <c r="S61" s="247" t="s">
        <f>VLOOKUP(B61,'零期·UV电访分配'!B:Q,15,0)</f>
        <v>88</v>
      </c>
      <c r="T61" s="247" t="s">
        <v>28</v>
      </c>
      <c r="U61" s="247"/>
      <c r="V61" s="247" t="s">
        <v>1933</v>
      </c>
      <c r="AA61" s="251"/>
      <c r="AB61" s="251"/>
      <c r="AC61" s="251"/>
      <c r="AD61" s="251"/>
      <c r="AE61" s="251"/>
      <c r="AF61" s="251"/>
      <c r="AG61" s="251"/>
      <c r="AH61" s="251"/>
      <c r="AI61" s="251"/>
      <c r="AJ61" s="251"/>
      <c r="AK61" s="251"/>
      <c r="AN61" s="251"/>
      <c r="AO61" s="251"/>
      <c r="AR61" s="251"/>
      <c r="AS61" s="251"/>
      <c r="AT61" s="251"/>
      <c r="AU61" s="251"/>
      <c r="AV61" s="251"/>
    </row>
    <row r="62" ht="64.5" customHeight="1">
      <c r="A62" s="318" t="s">
        <v>45</v>
      </c>
      <c r="B62" s="318" t="n">
        <v>2721240331</v>
      </c>
      <c r="C62" s="114" t="s">
        <v>1339</v>
      </c>
      <c r="D62" s="114" t="s">
        <v>46</v>
      </c>
      <c r="E62" s="247" t="s">
        <v>28</v>
      </c>
      <c r="F62" s="247" t="s">
        <v>1934</v>
      </c>
      <c r="G62" s="247" t="s">
        <v>217</v>
      </c>
      <c r="H62" s="247" t="s">
        <v>31</v>
      </c>
      <c r="I62" s="247" t="s">
        <f>VLOOKUP(B62,'零期·UV电访分配'!B:Q,7,0)</f>
        <v>88</v>
      </c>
      <c r="J62" s="247" t="s">
        <v>28</v>
      </c>
      <c r="K62" s="247"/>
      <c r="L62" s="247"/>
      <c r="M62" s="247" t="s">
        <v>47</v>
      </c>
      <c r="N62" s="247" t="s">
        <f>VLOOKUP(B62,'零期·UV电访分配'!B:Q,11,0)</f>
        <v>88</v>
      </c>
      <c r="O62" s="247" t="s">
        <v>28</v>
      </c>
      <c r="P62" s="247" t="s">
        <v>218</v>
      </c>
      <c r="Q62" s="247" t="s">
        <v>1935</v>
      </c>
      <c r="R62" s="247" t="s">
        <v>58</v>
      </c>
      <c r="S62" s="247" t="s">
        <f>VLOOKUP(B62,'零期·UV电访分配'!B:Q,15,0)</f>
        <v>88</v>
      </c>
      <c r="T62" s="247" t="s">
        <v>29</v>
      </c>
      <c r="U62" s="247" t="s">
        <v>217</v>
      </c>
      <c r="V62" s="247" t="s">
        <v>1936</v>
      </c>
      <c r="AA62" s="251"/>
      <c r="AB62" s="251"/>
      <c r="AC62" s="251"/>
      <c r="AD62" s="251"/>
      <c r="AE62" s="251"/>
      <c r="AF62" s="251"/>
      <c r="AG62" s="251"/>
      <c r="AH62" s="251"/>
      <c r="AI62" s="251"/>
      <c r="AJ62" s="251"/>
      <c r="AK62" s="251"/>
      <c r="AN62" s="251"/>
      <c r="AO62" s="251"/>
      <c r="AR62" s="251"/>
      <c r="AS62" s="251"/>
      <c r="AT62" s="251"/>
      <c r="AU62" s="251"/>
      <c r="AV62" s="251"/>
    </row>
    <row r="63" ht="26.25" customHeight="1">
      <c r="A63" s="248" t="s">
        <v>45</v>
      </c>
      <c r="B63" s="248" t="n">
        <v>2520917908</v>
      </c>
      <c r="C63" s="247" t="s">
        <v>1314</v>
      </c>
      <c r="D63" s="247" t="s">
        <v>48</v>
      </c>
      <c r="E63" s="247" t="s">
        <v>29</v>
      </c>
      <c r="F63" s="247" t="s">
        <v>1937</v>
      </c>
      <c r="G63" s="247" t="s">
        <v>218</v>
      </c>
      <c r="H63" s="247" t="s">
        <v>31</v>
      </c>
      <c r="I63" s="247" t="s">
        <f>VLOOKUP(B63,'零期·UV电访分配'!B:Q,7,0)</f>
        <v>88</v>
      </c>
      <c r="J63" s="247" t="s">
        <v>29</v>
      </c>
      <c r="K63" s="247"/>
      <c r="L63" s="247"/>
      <c r="M63" s="247" t="s">
        <v>47</v>
      </c>
      <c r="N63" s="247" t="s">
        <f>VLOOKUP(B63,'零期·UV电访分配'!B:Q,11,0)</f>
        <v>88</v>
      </c>
      <c r="O63" s="247" t="s">
        <v>29</v>
      </c>
      <c r="P63" s="247" t="s">
        <v>217</v>
      </c>
      <c r="Q63" s="247" t="s">
        <v>1938</v>
      </c>
      <c r="R63" s="247" t="s">
        <v>58</v>
      </c>
      <c r="S63" s="247" t="s">
        <f>VLOOKUP(B63,'零期·UV电访分配'!B:Q,15,0)</f>
        <v>88</v>
      </c>
      <c r="T63" s="247" t="s">
        <v>29</v>
      </c>
      <c r="U63" s="247" t="s">
        <v>218</v>
      </c>
      <c r="V63" s="247" t="s">
        <v>1939</v>
      </c>
      <c r="AA63" s="251"/>
      <c r="AB63" s="251"/>
      <c r="AC63" s="251"/>
      <c r="AD63" s="251"/>
      <c r="AE63" s="251"/>
      <c r="AF63" s="251"/>
      <c r="AG63" s="251"/>
      <c r="AH63" s="251"/>
      <c r="AI63" s="251"/>
      <c r="AJ63" s="251"/>
      <c r="AK63" s="251"/>
      <c r="AN63" s="251"/>
      <c r="AO63" s="251"/>
      <c r="AR63" s="251"/>
      <c r="AS63" s="251"/>
      <c r="AT63" s="251"/>
      <c r="AU63" s="251"/>
      <c r="AV63" s="251"/>
    </row>
    <row r="64" ht="16.5" customHeight="1">
      <c r="A64" s="369" t="s">
        <v>45</v>
      </c>
      <c r="B64" s="369" t="n">
        <v>4050031794</v>
      </c>
      <c r="C64" s="370" t="s">
        <v>494</v>
      </c>
      <c r="D64" s="370" t="s">
        <v>46</v>
      </c>
      <c r="E64" s="371" t="s">
        <v>28</v>
      </c>
      <c r="F64" s="371" t="s">
        <v>1940</v>
      </c>
      <c r="G64" s="371" t="s">
        <v>217</v>
      </c>
      <c r="H64" s="371" t="s">
        <v>116</v>
      </c>
      <c r="I64" s="371" t="s">
        <f>VLOOKUP(B64,'零期·UV电访分配'!B:Q,7,0)</f>
        <v>116</v>
      </c>
      <c r="J64" s="371"/>
      <c r="K64" s="371"/>
      <c r="L64" s="371"/>
      <c r="M64" s="371" t="s">
        <v>43</v>
      </c>
      <c r="N64" s="371" t="s">
        <f>VLOOKUP(B64,'零期·UV电访分配'!B:Q,11,0)</f>
        <v>101</v>
      </c>
      <c r="O64" s="371"/>
      <c r="P64" s="371"/>
      <c r="Q64" s="371"/>
      <c r="R64" s="371" t="s">
        <v>52</v>
      </c>
      <c r="S64" s="371" t="s">
        <f>VLOOKUP(B64,'零期·UV电访分配'!B:Q,15,0)</f>
        <v>88</v>
      </c>
      <c r="T64" s="371" t="s">
        <v>28</v>
      </c>
      <c r="U64" s="371" t="s">
        <v>217</v>
      </c>
      <c r="V64" s="371" t="s">
        <v>1941</v>
      </c>
      <c r="AA64" s="251"/>
      <c r="AB64" s="251"/>
      <c r="AC64" s="251"/>
      <c r="AD64" s="251"/>
      <c r="AE64" s="251"/>
      <c r="AF64" s="251"/>
      <c r="AG64" s="251"/>
      <c r="AH64" s="251"/>
      <c r="AI64" s="251"/>
      <c r="AJ64" s="251"/>
      <c r="AK64" s="251"/>
      <c r="AN64" s="251"/>
      <c r="AO64" s="251"/>
      <c r="AR64" s="251"/>
      <c r="AS64" s="251"/>
      <c r="AT64" s="251"/>
      <c r="AU64" s="251"/>
      <c r="AV64" s="251"/>
    </row>
    <row r="65" ht="26.25" customHeight="1">
      <c r="A65" s="369" t="s">
        <v>45</v>
      </c>
      <c r="B65" s="369" t="n">
        <v>4634094018</v>
      </c>
      <c r="C65" s="370" t="s">
        <v>1239</v>
      </c>
      <c r="D65" s="370" t="s">
        <v>46</v>
      </c>
      <c r="E65" s="371" t="s">
        <v>29</v>
      </c>
      <c r="F65" s="371" t="s">
        <v>1942</v>
      </c>
      <c r="G65" s="371" t="s">
        <v>217</v>
      </c>
      <c r="H65" s="371" t="s">
        <v>116</v>
      </c>
      <c r="I65" s="371" t="s">
        <v>116</v>
      </c>
      <c r="J65" s="371"/>
      <c r="K65" s="371"/>
      <c r="L65" s="371"/>
      <c r="M65" s="371" t="s">
        <v>49</v>
      </c>
      <c r="N65" s="371" t="s">
        <f>VLOOKUP(B65,'零期·UV电访分配'!B:Q,11,0)</f>
        <v>88</v>
      </c>
      <c r="O65" s="371" t="s">
        <v>29</v>
      </c>
      <c r="P65" s="371" t="s">
        <v>217</v>
      </c>
      <c r="Q65" s="371" t="s">
        <v>1943</v>
      </c>
      <c r="R65" s="371" t="s">
        <v>52</v>
      </c>
      <c r="S65" s="371" t="s">
        <f>VLOOKUP(B65,'零期·UV电访分配'!B:Q,15,0)</f>
        <v>88</v>
      </c>
      <c r="T65" s="371" t="s">
        <v>29</v>
      </c>
      <c r="U65" s="371"/>
      <c r="V65" s="371" t="s">
        <v>1944</v>
      </c>
      <c r="AA65" s="251"/>
      <c r="AB65" s="251"/>
      <c r="AC65" s="251"/>
      <c r="AD65" s="251"/>
      <c r="AE65" s="251"/>
      <c r="AF65" s="251"/>
      <c r="AG65" s="251"/>
      <c r="AH65" s="251"/>
      <c r="AI65" s="251"/>
      <c r="AJ65" s="251"/>
      <c r="AK65" s="251"/>
      <c r="AN65" s="251"/>
      <c r="AO65" s="251"/>
      <c r="AR65" s="251"/>
      <c r="AS65" s="251"/>
      <c r="AT65" s="251"/>
      <c r="AU65" s="251"/>
      <c r="AV65" s="251"/>
    </row>
    <row r="66" ht="26.25" customHeight="1">
      <c r="A66" s="373" t="s">
        <v>45</v>
      </c>
      <c r="B66" s="373" t="n">
        <v>2472389311</v>
      </c>
      <c r="C66" s="371" t="s">
        <v>620</v>
      </c>
      <c r="D66" s="371" t="s">
        <v>46</v>
      </c>
      <c r="E66" s="371" t="s">
        <v>28</v>
      </c>
      <c r="F66" s="371" t="s">
        <v>1945</v>
      </c>
      <c r="G66" s="371" t="s">
        <v>218</v>
      </c>
      <c r="H66" s="371" t="s">
        <v>116</v>
      </c>
      <c r="I66" s="371" t="s">
        <f>VLOOKUP(B66,'零期·UV电访分配'!B:Q,7,0)</f>
        <v>101</v>
      </c>
      <c r="J66" s="371"/>
      <c r="K66" s="371"/>
      <c r="L66" s="371"/>
      <c r="M66" s="371" t="s">
        <v>47</v>
      </c>
      <c r="N66" s="371" t="s">
        <f>VLOOKUP(B66,'零期·UV电访分配'!B:Q,11,0)</f>
        <v>88</v>
      </c>
      <c r="O66" s="371" t="s">
        <v>29</v>
      </c>
      <c r="P66" s="371" t="s">
        <v>217</v>
      </c>
      <c r="Q66" s="371" t="s">
        <v>1946</v>
      </c>
      <c r="R66" s="371" t="s">
        <v>116</v>
      </c>
      <c r="S66" s="371" t="s">
        <f>VLOOKUP(B66,'零期·UV电访分配'!B:Q,15,0)</f>
        <v>101</v>
      </c>
      <c r="T66" s="371"/>
      <c r="U66" s="371"/>
      <c r="V66" s="371"/>
      <c r="AA66" s="251"/>
      <c r="AB66" s="251"/>
      <c r="AC66" s="251"/>
      <c r="AD66" s="251"/>
      <c r="AE66" s="251"/>
      <c r="AF66" s="251"/>
      <c r="AG66" s="251"/>
      <c r="AH66" s="251"/>
      <c r="AI66" s="251"/>
      <c r="AJ66" s="251"/>
      <c r="AK66" s="251"/>
      <c r="AN66" s="251"/>
      <c r="AO66" s="251"/>
      <c r="AR66" s="251"/>
      <c r="AS66" s="251"/>
      <c r="AT66" s="251"/>
      <c r="AU66" s="251"/>
      <c r="AV66" s="251"/>
    </row>
    <row r="67" ht="39" customHeight="1">
      <c r="A67" s="373" t="s">
        <v>45</v>
      </c>
      <c r="B67" s="373" t="n">
        <v>2439586675</v>
      </c>
      <c r="C67" s="371" t="s">
        <v>1321</v>
      </c>
      <c r="D67" s="371" t="s">
        <v>46</v>
      </c>
      <c r="E67" s="371" t="s">
        <v>29</v>
      </c>
      <c r="F67" s="371" t="s">
        <v>1947</v>
      </c>
      <c r="G67" s="371" t="s">
        <v>218</v>
      </c>
      <c r="H67" s="371" t="s">
        <v>116</v>
      </c>
      <c r="I67" s="371" t="s">
        <f>VLOOKUP(B67,'零期·UV电访分配'!B:Q,7,0)</f>
        <v>100</v>
      </c>
      <c r="J67" s="371"/>
      <c r="K67" s="371"/>
      <c r="L67" s="371"/>
      <c r="M67" s="371" t="s">
        <v>43</v>
      </c>
      <c r="N67" s="371" t="s">
        <f>VLOOKUP(B67,'零期·UV电访分配'!B:Q,11,0)</f>
        <v>88</v>
      </c>
      <c r="O67" s="371" t="s">
        <v>28</v>
      </c>
      <c r="P67" s="371" t="s">
        <v>218</v>
      </c>
      <c r="Q67" s="371" t="s">
        <v>1948</v>
      </c>
      <c r="R67" s="371" t="s">
        <v>52</v>
      </c>
      <c r="S67" s="371" t="s">
        <f>VLOOKUP(B67,'零期·UV电访分配'!B:Q,15,0)</f>
        <v>88</v>
      </c>
      <c r="T67" s="371" t="s">
        <v>28</v>
      </c>
      <c r="U67" s="371" t="s">
        <v>217</v>
      </c>
      <c r="V67" s="371" t="s">
        <v>1949</v>
      </c>
      <c r="AA67" s="251"/>
      <c r="AB67" s="251"/>
      <c r="AC67" s="251"/>
      <c r="AD67" s="251"/>
      <c r="AE67" s="251"/>
      <c r="AF67" s="251"/>
      <c r="AG67" s="251"/>
      <c r="AH67" s="251"/>
      <c r="AI67" s="251"/>
      <c r="AJ67" s="251"/>
      <c r="AK67" s="251"/>
      <c r="AN67" s="251"/>
      <c r="AO67" s="251"/>
      <c r="AR67" s="251"/>
      <c r="AS67" s="251"/>
      <c r="AT67" s="251"/>
      <c r="AU67" s="251"/>
      <c r="AV67" s="251"/>
    </row>
    <row r="68" ht="16.5" customHeight="1">
      <c r="A68" s="212" t="s">
        <v>54</v>
      </c>
      <c r="B68" s="212" t="n">
        <v>2305874638</v>
      </c>
      <c r="C68" s="212" t="s">
        <v>1150</v>
      </c>
      <c r="D68" s="212" t="s">
        <v>59</v>
      </c>
      <c r="E68" s="232" t="s">
        <v>25</v>
      </c>
      <c r="F68" s="232"/>
      <c r="G68" s="232" t="s">
        <v>217</v>
      </c>
      <c r="H68" s="232" t="s">
        <v>31</v>
      </c>
      <c r="I68" s="232" t="s">
        <f>VLOOKUP(B68,'零期·UV电访分配'!B:Q,7,0)</f>
        <v>88</v>
      </c>
      <c r="J68" s="232" t="s">
        <v>1343</v>
      </c>
      <c r="K68" s="232"/>
      <c r="L68" s="232"/>
      <c r="M68" s="232" t="s">
        <v>43</v>
      </c>
      <c r="N68" s="232" t="s">
        <f>VLOOKUP(B68,'零期·UV电访分配'!B:Q,11,0)</f>
        <v>88</v>
      </c>
      <c r="O68" s="232" t="s">
        <v>1343</v>
      </c>
      <c r="P68" s="232"/>
      <c r="Q68" s="232"/>
      <c r="R68" s="232" t="s">
        <v>56</v>
      </c>
      <c r="S68" s="232" t="s">
        <f>VLOOKUP(B68,'零期·UV电访分配'!B:Q,15,0)</f>
        <v>88</v>
      </c>
      <c r="T68" s="232" t="s">
        <v>1343</v>
      </c>
      <c r="U68" s="232"/>
      <c r="V68" s="232"/>
      <c r="AA68" s="251"/>
      <c r="AB68" s="251"/>
      <c r="AC68" s="251"/>
      <c r="AD68" s="251"/>
      <c r="AE68" s="251"/>
      <c r="AF68" s="251"/>
      <c r="AG68" s="251"/>
      <c r="AH68" s="251"/>
      <c r="AI68" s="251"/>
      <c r="AJ68" s="251"/>
      <c r="AK68" s="251"/>
      <c r="AN68" s="251"/>
      <c r="AO68" s="251"/>
      <c r="AR68" s="251"/>
      <c r="AS68" s="251"/>
      <c r="AT68" s="251"/>
      <c r="AU68" s="251"/>
      <c r="AV68" s="251"/>
    </row>
    <row r="69" ht="16.5" customHeight="1">
      <c r="A69" s="212" t="s">
        <v>54</v>
      </c>
      <c r="B69" s="212" t="n">
        <v>2519098261</v>
      </c>
      <c r="C69" s="212" t="s">
        <v>317</v>
      </c>
      <c r="D69" s="212" t="s">
        <v>34</v>
      </c>
      <c r="E69" s="232" t="s">
        <v>25</v>
      </c>
      <c r="F69" s="232"/>
      <c r="G69" s="232" t="s">
        <v>217</v>
      </c>
      <c r="H69" s="232" t="s">
        <v>31</v>
      </c>
      <c r="I69" s="232" t="s">
        <f>VLOOKUP(B69,'零期·UV电访分配'!B:Q,7,0)</f>
        <v>88</v>
      </c>
      <c r="J69" s="232" t="s">
        <v>1343</v>
      </c>
      <c r="K69" s="232"/>
      <c r="L69" s="389"/>
      <c r="M69" s="232" t="s">
        <v>47</v>
      </c>
      <c r="N69" s="232" t="s">
        <f>VLOOKUP(B69,'零期·UV电访分配'!B:Q,11,0)</f>
        <v>88</v>
      </c>
      <c r="O69" s="232" t="s">
        <v>1343</v>
      </c>
      <c r="P69" s="232"/>
      <c r="Q69" s="232"/>
      <c r="R69" s="232" t="s">
        <v>56</v>
      </c>
      <c r="S69" s="232" t="s">
        <f>VLOOKUP(B69,'零期·UV电访分配'!B:Q,15,0)</f>
        <v>88</v>
      </c>
      <c r="T69" s="232" t="s">
        <v>1343</v>
      </c>
      <c r="U69" s="232"/>
      <c r="V69" s="232"/>
      <c r="AA69" s="251"/>
      <c r="AB69" s="251"/>
      <c r="AC69" s="251"/>
      <c r="AD69" s="251"/>
      <c r="AE69" s="251"/>
      <c r="AF69" s="251"/>
      <c r="AG69" s="251"/>
      <c r="AH69" s="251"/>
      <c r="AI69" s="251"/>
      <c r="AJ69" s="251"/>
      <c r="AK69" s="251"/>
      <c r="AN69" s="251"/>
      <c r="AO69" s="251"/>
      <c r="AR69" s="251"/>
      <c r="AS69" s="251"/>
      <c r="AT69" s="251"/>
      <c r="AU69" s="251"/>
      <c r="AV69" s="251"/>
    </row>
    <row r="70" ht="16.5" customHeight="1">
      <c r="A70" s="212" t="s">
        <v>54</v>
      </c>
      <c r="B70" s="212" t="n">
        <v>2577771687</v>
      </c>
      <c r="C70" s="212" t="s">
        <v>1271</v>
      </c>
      <c r="D70" s="212" t="s">
        <v>57</v>
      </c>
      <c r="E70" s="232" t="s">
        <v>25</v>
      </c>
      <c r="F70" s="232"/>
      <c r="G70" s="232" t="s">
        <v>217</v>
      </c>
      <c r="H70" s="232" t="s">
        <v>31</v>
      </c>
      <c r="I70" s="232" t="s">
        <f>VLOOKUP(B70,'零期·UV电访分配'!B:Q,7,0)</f>
        <v>88</v>
      </c>
      <c r="J70" s="232" t="s">
        <v>1343</v>
      </c>
      <c r="K70" s="232"/>
      <c r="L70" s="389"/>
      <c r="M70" s="232" t="s">
        <v>43</v>
      </c>
      <c r="N70" s="232" t="s">
        <f>VLOOKUP(B70,'零期·UV电访分配'!B:Q,11,0)</f>
        <v>88</v>
      </c>
      <c r="O70" s="232" t="s">
        <v>1343</v>
      </c>
      <c r="P70" s="232"/>
      <c r="Q70" s="232"/>
      <c r="R70" s="232" t="s">
        <v>56</v>
      </c>
      <c r="S70" s="232" t="s">
        <f>VLOOKUP(B70,'零期·UV电访分配'!B:Q,15,0)</f>
        <v>88</v>
      </c>
      <c r="T70" s="232" t="s">
        <v>1343</v>
      </c>
      <c r="U70" s="232"/>
      <c r="V70" s="232"/>
      <c r="AA70" s="251"/>
      <c r="AB70" s="251"/>
      <c r="AC70" s="251"/>
      <c r="AD70" s="251"/>
      <c r="AE70" s="251"/>
      <c r="AF70" s="251"/>
      <c r="AG70" s="251"/>
      <c r="AH70" s="251"/>
      <c r="AI70" s="251"/>
      <c r="AJ70" s="251"/>
      <c r="AK70" s="251"/>
      <c r="AN70" s="251"/>
      <c r="AO70" s="251"/>
      <c r="AR70" s="251"/>
      <c r="AS70" s="251"/>
      <c r="AT70" s="251"/>
      <c r="AU70" s="251"/>
      <c r="AV70" s="251"/>
    </row>
    <row r="71" ht="16.5" customHeight="1">
      <c r="A71" s="212" t="s">
        <v>54</v>
      </c>
      <c r="B71" s="212" t="n">
        <v>2748777690</v>
      </c>
      <c r="C71" s="212" t="s">
        <v>1282</v>
      </c>
      <c r="D71" s="212" t="s">
        <v>57</v>
      </c>
      <c r="E71" s="232" t="s">
        <v>27</v>
      </c>
      <c r="F71" s="232"/>
      <c r="G71" s="232" t="s">
        <v>217</v>
      </c>
      <c r="H71" s="232" t="s">
        <v>31</v>
      </c>
      <c r="I71" s="232" t="s">
        <f>VLOOKUP(B71,'零期·UV电访分配'!B:Q,7,0)</f>
        <v>88</v>
      </c>
      <c r="J71" s="232" t="s">
        <v>1343</v>
      </c>
      <c r="K71" s="232"/>
      <c r="L71" s="389"/>
      <c r="M71" s="232" t="s">
        <v>43</v>
      </c>
      <c r="N71" s="232" t="s">
        <f>VLOOKUP(B71,'零期·UV电访分配'!B:Q,11,0)</f>
        <v>88</v>
      </c>
      <c r="O71" s="232" t="s">
        <v>1343</v>
      </c>
      <c r="P71" s="232"/>
      <c r="Q71" s="232"/>
      <c r="R71" s="232" t="s">
        <v>56</v>
      </c>
      <c r="S71" s="232" t="s">
        <f>VLOOKUP(B71,'零期·UV电访分配'!B:Q,15,0)</f>
        <v>88</v>
      </c>
      <c r="T71" s="232" t="s">
        <v>1343</v>
      </c>
      <c r="U71" s="232"/>
      <c r="V71" s="232"/>
      <c r="AA71" s="251"/>
      <c r="AB71" s="251"/>
      <c r="AC71" s="251"/>
      <c r="AD71" s="251"/>
      <c r="AE71" s="251"/>
      <c r="AF71" s="251"/>
      <c r="AG71" s="251"/>
      <c r="AH71" s="251"/>
      <c r="AI71" s="251"/>
      <c r="AJ71" s="251"/>
      <c r="AK71" s="251"/>
      <c r="AN71" s="251"/>
      <c r="AO71" s="251"/>
      <c r="AR71" s="251"/>
      <c r="AS71" s="251"/>
      <c r="AT71" s="251"/>
      <c r="AU71" s="251"/>
      <c r="AV71" s="251"/>
    </row>
    <row r="72" ht="16.5" customHeight="1">
      <c r="A72" s="233" t="s">
        <v>54</v>
      </c>
      <c r="B72" s="233" t="n">
        <v>4769415192</v>
      </c>
      <c r="C72" s="212" t="s">
        <v>847</v>
      </c>
      <c r="D72" s="212" t="s">
        <v>57</v>
      </c>
      <c r="E72" s="232" t="s">
        <v>27</v>
      </c>
      <c r="F72" s="232"/>
      <c r="G72" s="232" t="s">
        <v>217</v>
      </c>
      <c r="H72" s="232" t="s">
        <v>116</v>
      </c>
      <c r="I72" s="232" t="s">
        <v>100</v>
      </c>
      <c r="J72" s="232" t="s">
        <v>1343</v>
      </c>
      <c r="K72" s="232"/>
      <c r="L72" s="389"/>
      <c r="M72" s="232" t="s">
        <v>116</v>
      </c>
      <c r="N72" s="232" t="s">
        <v>100</v>
      </c>
      <c r="O72" s="232" t="s">
        <v>1343</v>
      </c>
      <c r="P72" s="232"/>
      <c r="Q72" s="232"/>
      <c r="R72" s="232" t="s">
        <v>56</v>
      </c>
      <c r="S72" s="232" t="s">
        <f>VLOOKUP(B72,'零期·UV电访分配'!B:Q,15,0)</f>
        <v>88</v>
      </c>
      <c r="T72" s="232" t="s">
        <v>1343</v>
      </c>
      <c r="U72" s="232"/>
      <c r="V72" s="232"/>
      <c r="AA72" s="251"/>
      <c r="AB72" s="251"/>
      <c r="AC72" s="251"/>
      <c r="AD72" s="251"/>
      <c r="AE72" s="251"/>
      <c r="AF72" s="251"/>
      <c r="AG72" s="251"/>
      <c r="AH72" s="251"/>
      <c r="AI72" s="251"/>
      <c r="AJ72" s="251"/>
      <c r="AK72" s="251"/>
      <c r="AN72" s="251"/>
      <c r="AO72" s="251"/>
      <c r="AR72" s="251"/>
      <c r="AS72" s="251"/>
      <c r="AT72" s="251"/>
      <c r="AU72" s="251"/>
      <c r="AV72" s="251"/>
    </row>
    <row r="73" ht="16.5" customHeight="1">
      <c r="A73" s="233" t="s">
        <v>54</v>
      </c>
      <c r="B73" s="233" t="n">
        <v>2442647983</v>
      </c>
      <c r="C73" s="212" t="s">
        <v>1220</v>
      </c>
      <c r="D73" s="212" t="s">
        <v>349</v>
      </c>
      <c r="E73" s="232"/>
      <c r="F73" s="232"/>
      <c r="G73" s="232" t="s">
        <v>218</v>
      </c>
      <c r="H73" s="232" t="s">
        <v>116</v>
      </c>
      <c r="I73" s="232" t="s">
        <f>VLOOKUP(B73,'零期·UV电访分配'!B:Q,7,0)</f>
        <v>116</v>
      </c>
      <c r="J73" s="232"/>
      <c r="K73" s="232"/>
      <c r="L73" s="389"/>
      <c r="M73" s="232" t="s">
        <v>43</v>
      </c>
      <c r="N73" s="232" t="s">
        <f>VLOOKUP(B73,'零期·UV电访分配'!B:Q,11,0)</f>
        <v>88</v>
      </c>
      <c r="O73" s="232" t="s">
        <v>1343</v>
      </c>
      <c r="P73" s="232"/>
      <c r="Q73" s="232"/>
      <c r="R73" s="232" t="s">
        <v>116</v>
      </c>
      <c r="S73" s="232" t="s">
        <f>VLOOKUP(B73,'零期·UV电访分配'!B:Q,15,0)</f>
        <v>116</v>
      </c>
      <c r="T73" s="232"/>
      <c r="U73" s="232"/>
      <c r="V73" s="232"/>
      <c r="Z73" s="140"/>
      <c r="AA73" s="140"/>
      <c r="AB73" s="140"/>
      <c r="AC73" s="140"/>
      <c r="AD73" s="140"/>
      <c r="AE73" s="141"/>
      <c r="AF73" s="138"/>
      <c r="AG73" s="251"/>
      <c r="AH73" s="251"/>
      <c r="AI73" s="251"/>
      <c r="AJ73" s="251"/>
      <c r="AK73" s="251"/>
      <c r="AN73" s="251"/>
      <c r="AO73" s="251"/>
      <c r="AR73" s="251"/>
      <c r="AS73" s="251"/>
      <c r="AT73" s="251"/>
      <c r="AU73" s="251"/>
      <c r="AV73" s="251"/>
    </row>
    <row r="74" ht="16.5" customHeight="1">
      <c r="A74" s="233" t="s">
        <v>54</v>
      </c>
      <c r="B74" s="233" t="n">
        <v>4090250168</v>
      </c>
      <c r="C74" s="212" t="s">
        <v>1227</v>
      </c>
      <c r="D74" s="212" t="s">
        <v>1228</v>
      </c>
      <c r="E74" s="232" t="s">
        <v>25</v>
      </c>
      <c r="F74" s="232"/>
      <c r="G74" s="232" t="s">
        <v>218</v>
      </c>
      <c r="H74" s="232" t="s">
        <v>116</v>
      </c>
      <c r="I74" s="232" t="s">
        <f>VLOOKUP(B74,'零期·UV电访分配'!B:Q,7,0)</f>
        <v>116</v>
      </c>
      <c r="J74" s="232"/>
      <c r="K74" s="232"/>
      <c r="L74" s="389"/>
      <c r="M74" s="232" t="s">
        <v>43</v>
      </c>
      <c r="N74" s="232" t="s">
        <f>VLOOKUP(B74,'零期·UV电访分配'!B:Q,11,0)</f>
        <v>88</v>
      </c>
      <c r="O74" s="232" t="s">
        <v>1343</v>
      </c>
      <c r="P74" s="232"/>
      <c r="Q74" s="232"/>
      <c r="R74" s="232" t="s">
        <v>116</v>
      </c>
      <c r="S74" s="232" t="s">
        <f>VLOOKUP(B74,'零期·UV电访分配'!B:Q,15,0)</f>
        <v>116</v>
      </c>
      <c r="T74" s="232"/>
      <c r="U74" s="232"/>
      <c r="V74" s="232"/>
      <c r="Z74" s="140"/>
      <c r="AA74" s="5"/>
      <c r="AB74" s="140"/>
      <c r="AC74" s="140"/>
      <c r="AD74" s="140"/>
      <c r="AE74" s="140"/>
      <c r="AF74" s="141"/>
      <c r="AG74" s="251"/>
      <c r="AH74" s="251"/>
      <c r="AI74" s="251"/>
      <c r="AJ74" s="251"/>
      <c r="AK74" s="251"/>
      <c r="AN74" s="251"/>
      <c r="AO74" s="251"/>
      <c r="AR74" s="251"/>
      <c r="AS74" s="251"/>
      <c r="AT74" s="251"/>
      <c r="AU74" s="251"/>
      <c r="AV74" s="251"/>
    </row>
    <row r="75" ht="16.5" customHeight="1">
      <c r="A75" s="208" t="s">
        <v>54</v>
      </c>
      <c r="B75" s="233" t="n">
        <v>4635810658</v>
      </c>
      <c r="C75" s="212" t="s">
        <v>785</v>
      </c>
      <c r="D75" s="212" t="s">
        <v>36</v>
      </c>
      <c r="E75" s="232" t="s">
        <v>25</v>
      </c>
      <c r="F75" s="232"/>
      <c r="G75" s="232" t="s">
        <v>217</v>
      </c>
      <c r="H75" s="232" t="s">
        <v>35</v>
      </c>
      <c r="I75" s="232" t="s">
        <v>116</v>
      </c>
      <c r="J75" s="232" t="s">
        <v>1343</v>
      </c>
      <c r="K75" s="232"/>
      <c r="L75" s="389"/>
      <c r="M75" s="232" t="s">
        <v>43</v>
      </c>
      <c r="N75" s="232" t="s">
        <f>VLOOKUP(B75,'零期·UV电访分配'!B:Q,11,0)</f>
        <v>88</v>
      </c>
      <c r="O75" s="232" t="s">
        <v>1343</v>
      </c>
      <c r="P75" s="232"/>
      <c r="Q75" s="232"/>
      <c r="R75" s="232" t="s">
        <v>56</v>
      </c>
      <c r="S75" s="232" t="s">
        <f>VLOOKUP(B75,'零期·UV电访分配'!B:Q,15,0)</f>
        <v>88</v>
      </c>
      <c r="T75" s="232" t="s">
        <v>1343</v>
      </c>
      <c r="U75" s="232"/>
      <c r="V75" s="232"/>
      <c r="Z75" s="140"/>
      <c r="AA75" s="5"/>
      <c r="AB75" s="140"/>
      <c r="AC75" s="140"/>
      <c r="AD75" s="140"/>
      <c r="AE75" s="140"/>
      <c r="AF75" s="141"/>
      <c r="AG75" s="251"/>
      <c r="AH75" s="251"/>
      <c r="AI75" s="251"/>
      <c r="AJ75" s="251"/>
      <c r="AK75" s="251"/>
      <c r="AN75" s="251"/>
      <c r="AO75" s="251"/>
      <c r="AR75" s="251"/>
      <c r="AS75" s="251"/>
      <c r="AT75" s="251"/>
      <c r="AU75" s="251"/>
      <c r="AV75" s="251"/>
    </row>
    <row r="76" ht="16.5" customHeight="1">
      <c r="A76" s="233" t="s">
        <v>54</v>
      </c>
      <c r="B76" s="233" t="n">
        <v>4613006507</v>
      </c>
      <c r="C76" s="212" t="s">
        <v>1333</v>
      </c>
      <c r="D76" s="212" t="s">
        <v>57</v>
      </c>
      <c r="E76" s="232" t="s">
        <v>27</v>
      </c>
      <c r="F76" s="232"/>
      <c r="G76" s="232" t="s">
        <v>217</v>
      </c>
      <c r="H76" s="232" t="s">
        <v>37</v>
      </c>
      <c r="I76" s="232" t="s">
        <f>VLOOKUP(B76,'零期·UV电访分配'!B:Q,7,0)</f>
        <v>88</v>
      </c>
      <c r="J76" s="232" t="s">
        <v>1343</v>
      </c>
      <c r="K76" s="232"/>
      <c r="L76" s="390"/>
      <c r="M76" s="232" t="s">
        <v>47</v>
      </c>
      <c r="N76" s="232" t="s">
        <f>VLOOKUP(B76,'零期·UV电访分配'!B:Q,11,0)</f>
        <v>88</v>
      </c>
      <c r="O76" s="232" t="s">
        <v>1343</v>
      </c>
      <c r="P76" s="232"/>
      <c r="Q76" s="232"/>
      <c r="R76" s="232" t="s">
        <v>56</v>
      </c>
      <c r="S76" s="232" t="s">
        <f>VLOOKUP(B76,'零期·UV电访分配'!B:Q,15,0)</f>
        <v>88</v>
      </c>
      <c r="T76" s="232" t="s">
        <v>1343</v>
      </c>
      <c r="U76" s="232" t="s">
        <v>217</v>
      </c>
      <c r="V76" s="232" t="s">
        <v>1950</v>
      </c>
      <c r="Z76" s="140"/>
      <c r="AA76" s="5"/>
      <c r="AB76" s="140"/>
      <c r="AC76" s="140"/>
      <c r="AD76" s="140"/>
      <c r="AE76" s="140"/>
      <c r="AF76" s="141"/>
    </row>
    <row r="77" ht="16.5" customHeight="1">
      <c r="A77" s="233" t="s">
        <v>54</v>
      </c>
      <c r="B77" s="233" t="n">
        <v>2718515302</v>
      </c>
      <c r="C77" s="212" t="s">
        <v>1238</v>
      </c>
      <c r="D77" s="212" t="s">
        <v>50</v>
      </c>
      <c r="E77" s="232" t="s">
        <v>28</v>
      </c>
      <c r="F77" s="232"/>
      <c r="G77" s="232" t="s">
        <v>217</v>
      </c>
      <c r="H77" s="232" t="s">
        <v>116</v>
      </c>
      <c r="I77" s="232" t="s">
        <f>VLOOKUP(B77,'零期·UV电访分配'!B:Q,7,0)</f>
        <v>116</v>
      </c>
      <c r="J77" s="232"/>
      <c r="K77" s="232"/>
      <c r="L77" s="389"/>
      <c r="M77" s="232" t="s">
        <v>43</v>
      </c>
      <c r="N77" s="232" t="s">
        <f>VLOOKUP(B77,'零期·UV电访分配'!B:Q,11,0)</f>
        <v>88</v>
      </c>
      <c r="O77" s="232" t="s">
        <v>1343</v>
      </c>
      <c r="P77" s="232" t="s">
        <v>217</v>
      </c>
      <c r="Q77" s="232" t="s">
        <v>1951</v>
      </c>
      <c r="R77" s="232" t="s">
        <v>116</v>
      </c>
      <c r="S77" s="232" t="s">
        <f>VLOOKUP(B77,'零期·UV电访分配'!B:Q,15,0)</f>
        <v>116</v>
      </c>
      <c r="T77" s="232"/>
      <c r="U77" s="232"/>
      <c r="V77" s="232"/>
      <c r="Z77" s="140"/>
      <c r="AA77" s="5"/>
      <c r="AB77" s="140"/>
      <c r="AC77" s="140"/>
      <c r="AD77" s="140"/>
      <c r="AE77" s="140"/>
      <c r="AF77" s="141"/>
    </row>
    <row r="78" ht="16.5" customHeight="1">
      <c r="A78" s="233" t="s">
        <v>54</v>
      </c>
      <c r="B78" s="233" t="n">
        <v>2136468815</v>
      </c>
      <c r="C78" s="212" t="s">
        <v>1071</v>
      </c>
      <c r="D78" s="212" t="s">
        <v>36</v>
      </c>
      <c r="E78" s="232" t="s">
        <v>25</v>
      </c>
      <c r="F78" s="232"/>
      <c r="G78" s="232" t="s">
        <v>217</v>
      </c>
      <c r="H78" s="232" t="s">
        <v>116</v>
      </c>
      <c r="I78" s="393" t="s">
        <f>VLOOKUP(B78,'零期·UV电访分配'!B:Q,7,0)</f>
        <v>101</v>
      </c>
      <c r="J78" s="232" t="s">
        <v>1343</v>
      </c>
      <c r="K78" s="232"/>
      <c r="L78" s="389" t="s">
        <v>1952</v>
      </c>
      <c r="M78" s="232" t="s">
        <v>116</v>
      </c>
      <c r="N78" s="232" t="s">
        <f>VLOOKUP(B78,'零期·UV电访分配'!B:Q,11,0)</f>
        <v>101</v>
      </c>
      <c r="O78" s="232" t="s">
        <v>1343</v>
      </c>
      <c r="P78" s="232" t="s">
        <v>218</v>
      </c>
      <c r="Q78" s="232"/>
      <c r="R78" s="232" t="s">
        <v>56</v>
      </c>
      <c r="S78" s="232" t="s">
        <f>VLOOKUP(B78,'零期·UV电访分配'!B:Q,15,0)</f>
        <v>88</v>
      </c>
      <c r="T78" s="232" t="s">
        <v>1343</v>
      </c>
      <c r="U78" s="232"/>
      <c r="V78" s="232"/>
      <c r="Z78" s="140"/>
      <c r="AA78" s="5"/>
      <c r="AB78" s="138"/>
      <c r="AC78" s="138"/>
      <c r="AD78" s="138"/>
      <c r="AE78" s="138"/>
      <c r="AF78" s="138"/>
    </row>
    <row r="79" ht="16.5" customHeight="1">
      <c r="A79" s="293" t="s">
        <v>54</v>
      </c>
      <c r="B79" s="293" t="n">
        <v>2271507248</v>
      </c>
      <c r="C79" s="497" t="s">
        <v>1141</v>
      </c>
      <c r="D79" s="497" t="s">
        <v>36</v>
      </c>
      <c r="E79" s="272" t="s">
        <v>25</v>
      </c>
      <c r="F79" s="272"/>
      <c r="G79" s="272" t="s">
        <v>217</v>
      </c>
      <c r="H79" s="272" t="s">
        <v>31</v>
      </c>
      <c r="I79" s="272" t="s">
        <f>VLOOKUP(B79,'零期·UV电访分配'!B:Q,7,0)</f>
        <v>88</v>
      </c>
      <c r="J79" s="272" t="s">
        <v>1343</v>
      </c>
      <c r="K79" s="272"/>
      <c r="L79" s="391"/>
      <c r="M79" s="272" t="s">
        <v>47</v>
      </c>
      <c r="N79" s="272" t="s">
        <f>VLOOKUP(B79,'零期·UV电访分配'!B:Q,11,0)</f>
        <v>88</v>
      </c>
      <c r="O79" s="272" t="s">
        <v>28</v>
      </c>
      <c r="P79" s="272" t="s">
        <v>218</v>
      </c>
      <c r="Q79" s="272"/>
      <c r="R79" s="272" t="s">
        <v>56</v>
      </c>
      <c r="S79" s="272" t="s">
        <f>VLOOKUP(B79,'零期·UV电访分配'!B:Q,15,0)</f>
        <v>88</v>
      </c>
      <c r="T79" s="272" t="s">
        <v>1343</v>
      </c>
      <c r="U79" s="272"/>
      <c r="V79" s="272"/>
      <c r="W79" s="246" t="s">
        <v>1953</v>
      </c>
      <c r="Z79" s="126"/>
      <c r="AA79" s="251"/>
      <c r="AB79" s="251"/>
      <c r="AC79" s="251"/>
      <c r="AD79" s="251"/>
      <c r="AE79" s="251"/>
      <c r="AF79" s="251"/>
      <c r="AG79" s="251"/>
      <c r="AH79" s="251"/>
      <c r="AI79" s="251"/>
      <c r="AJ79" s="251"/>
      <c r="AK79" s="251"/>
      <c r="AN79" s="251"/>
      <c r="AO79" s="251"/>
      <c r="AR79" s="251"/>
      <c r="AS79" s="251"/>
      <c r="AT79" s="251"/>
      <c r="AU79" s="251"/>
      <c r="AV79" s="251"/>
    </row>
    <row r="80" s="354" customFormat="1" ht="16.5" customHeight="1">
      <c r="A80" s="233" t="s">
        <v>54</v>
      </c>
      <c r="B80" s="233" t="n">
        <v>2716091722</v>
      </c>
      <c r="C80" s="212" t="s">
        <v>1036</v>
      </c>
      <c r="D80" s="212" t="s">
        <v>57</v>
      </c>
      <c r="E80" s="232" t="s">
        <v>27</v>
      </c>
      <c r="F80" s="232"/>
      <c r="G80" s="232" t="s">
        <v>217</v>
      </c>
      <c r="H80" s="232" t="s">
        <v>37</v>
      </c>
      <c r="I80" s="232" t="s">
        <f>VLOOKUP(B80,'零期·UV电访分配'!B:Q,7,0)</f>
        <v>88</v>
      </c>
      <c r="J80" s="232" t="s">
        <v>1343</v>
      </c>
      <c r="K80" s="232"/>
      <c r="L80" s="389" t="s">
        <v>1954</v>
      </c>
      <c r="M80" s="232" t="s">
        <v>47</v>
      </c>
      <c r="N80" s="232" t="s">
        <f>VLOOKUP(B80,'零期·UV电访分配'!B:Q,11,0)</f>
        <v>88</v>
      </c>
      <c r="O80" s="232" t="s">
        <v>29</v>
      </c>
      <c r="P80" s="232" t="s">
        <v>218</v>
      </c>
      <c r="Q80" s="232"/>
      <c r="R80" s="232" t="s">
        <v>56</v>
      </c>
      <c r="S80" s="232" t="s">
        <f>VLOOKUP(B80,'零期·UV电访分配'!B:Q,15,0)</f>
        <v>88</v>
      </c>
      <c r="T80" s="232" t="s">
        <v>1343</v>
      </c>
      <c r="U80" s="232"/>
      <c r="V80" s="232"/>
      <c r="Z80" s="355"/>
      <c r="AA80" s="356"/>
      <c r="AB80" s="356"/>
      <c r="AC80" s="356"/>
      <c r="AD80" s="356"/>
      <c r="AE80" s="356"/>
      <c r="AF80" s="356"/>
      <c r="AG80" s="356"/>
      <c r="AH80" s="356"/>
      <c r="AI80" s="356"/>
      <c r="AJ80" s="356"/>
      <c r="AK80" s="356"/>
      <c r="AN80" s="356"/>
      <c r="AO80" s="356"/>
      <c r="AR80" s="356"/>
      <c r="AS80" s="356"/>
      <c r="AT80" s="356"/>
      <c r="AU80" s="356"/>
      <c r="AV80" s="356"/>
    </row>
    <row r="81" ht="16.5" customHeight="1">
      <c r="A81" s="293" t="s">
        <v>54</v>
      </c>
      <c r="B81" s="293" t="n">
        <v>2207027530</v>
      </c>
      <c r="C81" s="497" t="s">
        <v>1029</v>
      </c>
      <c r="D81" s="497" t="s">
        <v>55</v>
      </c>
      <c r="E81" s="272" t="s">
        <v>27</v>
      </c>
      <c r="F81" s="272"/>
      <c r="G81" s="272" t="s">
        <v>217</v>
      </c>
      <c r="H81" s="272" t="s">
        <v>37</v>
      </c>
      <c r="I81" s="272" t="s">
        <f>VLOOKUP(B81,'零期·UV电访分配'!B:Q,7,0)</f>
        <v>88</v>
      </c>
      <c r="J81" s="272" t="s">
        <v>1343</v>
      </c>
      <c r="K81" s="272"/>
      <c r="L81" s="391"/>
      <c r="M81" s="272" t="s">
        <v>47</v>
      </c>
      <c r="N81" s="366" t="s">
        <f>VLOOKUP(B81,'零期·UV电访分配'!B:Q,11,0)</f>
        <v>100</v>
      </c>
      <c r="O81" s="366"/>
      <c r="P81" s="366"/>
      <c r="Q81" s="366"/>
      <c r="R81" s="272" t="s">
        <v>56</v>
      </c>
      <c r="S81" s="272" t="s">
        <f>VLOOKUP(B81,'零期·UV电访分配'!B:Q,15,0)</f>
        <v>88</v>
      </c>
      <c r="T81" s="272" t="s">
        <v>29</v>
      </c>
      <c r="U81" s="272"/>
      <c r="V81" s="272"/>
      <c r="Z81" s="126"/>
      <c r="AA81" s="251"/>
      <c r="AB81" s="251"/>
      <c r="AC81" s="251"/>
      <c r="AD81" s="251"/>
      <c r="AE81" s="251"/>
      <c r="AF81" s="251"/>
      <c r="AG81" s="251"/>
      <c r="AH81" s="251"/>
      <c r="AI81" s="251"/>
      <c r="AJ81" s="251"/>
      <c r="AK81" s="251"/>
      <c r="AN81" s="251"/>
      <c r="AO81" s="251"/>
      <c r="AR81" s="251"/>
      <c r="AS81" s="251"/>
      <c r="AT81" s="251"/>
      <c r="AU81" s="251"/>
      <c r="AV81" s="251"/>
    </row>
    <row r="82" s="354" customFormat="1" ht="16.5" customHeight="1">
      <c r="A82" s="233" t="s">
        <v>54</v>
      </c>
      <c r="B82" s="233" t="n">
        <v>2466589641</v>
      </c>
      <c r="C82" s="212" t="s">
        <v>1250</v>
      </c>
      <c r="D82" s="212" t="s">
        <v>57</v>
      </c>
      <c r="E82" s="232" t="s">
        <v>27</v>
      </c>
      <c r="F82" s="232" t="s">
        <v>1955</v>
      </c>
      <c r="G82" s="232" t="s">
        <v>217</v>
      </c>
      <c r="H82" s="232" t="s">
        <v>37</v>
      </c>
      <c r="I82" s="232" t="s">
        <f>VLOOKUP(B82,'零期·UV电访分配'!B:Q,7,0)</f>
        <v>88</v>
      </c>
      <c r="J82" s="232" t="s">
        <v>1343</v>
      </c>
      <c r="K82" s="232"/>
      <c r="L82" s="389"/>
      <c r="M82" s="232" t="s">
        <v>116</v>
      </c>
      <c r="N82" s="232" t="s">
        <f>VLOOKUP(B82,'零期·UV电访分配'!B:Q,11,0)</f>
        <v>116</v>
      </c>
      <c r="O82" s="232"/>
      <c r="P82" s="232"/>
      <c r="Q82" s="232"/>
      <c r="R82" s="232" t="s">
        <v>56</v>
      </c>
      <c r="S82" s="232" t="s">
        <f>VLOOKUP(B82,'零期·UV电访分配'!B:Q,15,0)</f>
        <v>88</v>
      </c>
      <c r="T82" s="232" t="s">
        <v>29</v>
      </c>
      <c r="U82" s="232" t="s">
        <v>217</v>
      </c>
      <c r="V82" s="232" t="s">
        <v>1956</v>
      </c>
      <c r="Z82" s="355"/>
      <c r="AA82" s="356"/>
      <c r="AB82" s="356"/>
      <c r="AC82" s="356"/>
      <c r="AD82" s="356"/>
      <c r="AE82" s="356"/>
      <c r="AF82" s="356"/>
      <c r="AG82" s="356"/>
      <c r="AH82" s="356"/>
      <c r="AI82" s="356"/>
      <c r="AJ82" s="356"/>
      <c r="AK82" s="356"/>
      <c r="AN82" s="356"/>
      <c r="AO82" s="356"/>
      <c r="AR82" s="356"/>
      <c r="AS82" s="356"/>
      <c r="AT82" s="356"/>
      <c r="AU82" s="356"/>
      <c r="AV82" s="356"/>
    </row>
    <row r="83" s="354" customFormat="1" ht="16.5" customHeight="1">
      <c r="A83" s="233" t="s">
        <v>54</v>
      </c>
      <c r="B83" s="233" t="n">
        <v>2499809313</v>
      </c>
      <c r="C83" s="212" t="s">
        <v>1242</v>
      </c>
      <c r="D83" s="212" t="s">
        <v>57</v>
      </c>
      <c r="E83" s="232" t="s">
        <v>29</v>
      </c>
      <c r="F83" s="232" t="s">
        <v>1957</v>
      </c>
      <c r="G83" s="232" t="s">
        <v>217</v>
      </c>
      <c r="H83" s="232" t="s">
        <v>31</v>
      </c>
      <c r="I83" s="232" t="s">
        <f>VLOOKUP(B83,'零期·UV电访分配'!B:Q,7,0)</f>
        <v>88</v>
      </c>
      <c r="J83" s="232" t="s">
        <v>1343</v>
      </c>
      <c r="K83" s="232"/>
      <c r="L83" s="389" t="s">
        <v>1958</v>
      </c>
      <c r="M83" s="232" t="s">
        <v>47</v>
      </c>
      <c r="N83" s="232" t="s">
        <f>VLOOKUP(B83,'零期·UV电访分配'!B:Q,11,0)</f>
        <v>88</v>
      </c>
      <c r="O83" s="232" t="s">
        <v>29</v>
      </c>
      <c r="P83" s="232" t="s">
        <v>218</v>
      </c>
      <c r="Q83" s="232" t="s">
        <v>1959</v>
      </c>
      <c r="R83" s="232" t="s">
        <v>56</v>
      </c>
      <c r="S83" s="232" t="s">
        <f>VLOOKUP(B83,'零期·UV电访分配'!B:Q,15,0)</f>
        <v>88</v>
      </c>
      <c r="T83" s="232" t="s">
        <v>29</v>
      </c>
      <c r="U83" s="232" t="s">
        <v>217</v>
      </c>
      <c r="V83" s="232" t="s">
        <v>1960</v>
      </c>
      <c r="Z83" s="355"/>
      <c r="AA83" s="356"/>
      <c r="AB83" s="356"/>
      <c r="AC83" s="356"/>
      <c r="AD83" s="356"/>
      <c r="AE83" s="356"/>
      <c r="AF83" s="356"/>
      <c r="AG83" s="356"/>
      <c r="AH83" s="356"/>
      <c r="AI83" s="356"/>
      <c r="AJ83" s="356"/>
      <c r="AK83" s="356"/>
      <c r="AN83" s="356"/>
      <c r="AO83" s="356"/>
      <c r="AR83" s="356"/>
      <c r="AS83" s="356"/>
      <c r="AT83" s="356"/>
      <c r="AU83" s="356"/>
      <c r="AV83" s="356"/>
    </row>
    <row r="84" s="354" customFormat="1" ht="18" customHeight="1">
      <c r="A84" s="233" t="s">
        <v>54</v>
      </c>
      <c r="B84" s="233" t="n">
        <v>4534492760</v>
      </c>
      <c r="C84" s="212" t="s">
        <v>1243</v>
      </c>
      <c r="D84" s="212" t="s">
        <v>57</v>
      </c>
      <c r="E84" s="232" t="s">
        <v>28</v>
      </c>
      <c r="F84" s="232"/>
      <c r="G84" s="232" t="s">
        <v>218</v>
      </c>
      <c r="H84" s="232" t="s">
        <v>31</v>
      </c>
      <c r="I84" s="232" t="s">
        <f>VLOOKUP(B84,'零期·UV电访分配'!B:Q,7,0)</f>
        <v>88</v>
      </c>
      <c r="J84" s="232" t="s">
        <v>1343</v>
      </c>
      <c r="K84" s="232"/>
      <c r="L84" s="389" t="s">
        <v>1961</v>
      </c>
      <c r="M84" s="232" t="s">
        <v>43</v>
      </c>
      <c r="N84" s="232" t="s">
        <f>VLOOKUP(B84,'零期·UV电访分配'!B:Q,11,0)</f>
        <v>88</v>
      </c>
      <c r="O84" s="232" t="s">
        <v>28</v>
      </c>
      <c r="P84" s="232" t="s">
        <v>218</v>
      </c>
      <c r="Q84" s="232" t="s">
        <v>561</v>
      </c>
      <c r="R84" s="232" t="s">
        <v>56</v>
      </c>
      <c r="S84" s="232" t="s">
        <f>VLOOKUP(B84,'零期·UV电访分配'!B:Q,15,0)</f>
        <v>88</v>
      </c>
      <c r="T84" s="232" t="s">
        <v>29</v>
      </c>
      <c r="U84" s="232" t="s">
        <v>217</v>
      </c>
      <c r="V84" s="232"/>
      <c r="Z84" s="355"/>
      <c r="AA84" s="356"/>
      <c r="AB84" s="356"/>
      <c r="AC84" s="356"/>
      <c r="AD84" s="356"/>
      <c r="AE84" s="356"/>
      <c r="AF84" s="356"/>
      <c r="AG84" s="356"/>
      <c r="AH84" s="356"/>
      <c r="AI84" s="356"/>
      <c r="AJ84" s="356"/>
      <c r="AK84" s="356"/>
      <c r="AN84" s="356"/>
      <c r="AO84" s="356"/>
      <c r="AR84" s="356"/>
      <c r="AS84" s="356"/>
      <c r="AT84" s="356"/>
      <c r="AU84" s="356"/>
      <c r="AV84" s="356"/>
    </row>
    <row r="85" ht="26.25" customHeight="1">
      <c r="A85" s="293" t="s">
        <v>54</v>
      </c>
      <c r="B85" s="293" t="n">
        <v>2425704855</v>
      </c>
      <c r="C85" s="497" t="s">
        <v>1085</v>
      </c>
      <c r="D85" s="497" t="s">
        <v>36</v>
      </c>
      <c r="E85" s="272" t="s">
        <v>25</v>
      </c>
      <c r="F85" s="272" t="s">
        <v>1962</v>
      </c>
      <c r="G85" s="272" t="s">
        <v>217</v>
      </c>
      <c r="H85" s="272" t="s">
        <v>31</v>
      </c>
      <c r="I85" s="272" t="s">
        <f>VLOOKUP(B85,'零期·UV电访分配'!B:Q,7,0)</f>
        <v>88</v>
      </c>
      <c r="J85" s="272" t="s">
        <v>1343</v>
      </c>
      <c r="K85" s="272"/>
      <c r="L85" s="391"/>
      <c r="M85" s="272" t="s">
        <v>43</v>
      </c>
      <c r="N85" s="272" t="s">
        <f>VLOOKUP(B85,'零期·UV电访分配'!B:Q,11,0)</f>
        <v>88</v>
      </c>
      <c r="O85" s="272" t="s">
        <v>28</v>
      </c>
      <c r="P85" s="272" t="s">
        <v>217</v>
      </c>
      <c r="Q85" s="272" t="s">
        <v>1963</v>
      </c>
      <c r="R85" s="272" t="s">
        <v>56</v>
      </c>
      <c r="S85" s="272" t="s">
        <f>VLOOKUP(B85,'零期·UV电访分配'!B:Q,15,0)</f>
        <v>88</v>
      </c>
      <c r="T85" s="272" t="s">
        <v>29</v>
      </c>
      <c r="U85" s="272" t="s">
        <v>217</v>
      </c>
      <c r="V85" s="272" t="s">
        <v>1964</v>
      </c>
      <c r="AA85" s="251"/>
      <c r="AB85" s="251"/>
      <c r="AC85" s="251"/>
      <c r="AD85" s="251"/>
      <c r="AE85" s="251"/>
      <c r="AF85" s="251"/>
      <c r="AG85" s="251"/>
      <c r="AH85" s="251"/>
      <c r="AI85" s="251"/>
      <c r="AJ85" s="251"/>
      <c r="AK85" s="251"/>
      <c r="AN85" s="251"/>
      <c r="AO85" s="251"/>
      <c r="AR85" s="251"/>
      <c r="AS85" s="251"/>
      <c r="AT85" s="251"/>
      <c r="AU85" s="251"/>
      <c r="AV85" s="251"/>
    </row>
    <row r="86" ht="64.5" customHeight="1">
      <c r="A86" s="294" t="s">
        <v>54</v>
      </c>
      <c r="B86" s="294" t="n">
        <v>2327899563</v>
      </c>
      <c r="C86" s="272" t="s">
        <v>1147</v>
      </c>
      <c r="D86" s="272" t="s">
        <v>34</v>
      </c>
      <c r="E86" s="272" t="s">
        <v>25</v>
      </c>
      <c r="F86" s="272" t="s">
        <v>1965</v>
      </c>
      <c r="G86" s="272" t="s">
        <v>218</v>
      </c>
      <c r="H86" s="272" t="s">
        <v>37</v>
      </c>
      <c r="I86" s="272" t="s">
        <f>VLOOKUP(B86,'零期·UV电访分配'!B:Q,7,0)</f>
        <v>88</v>
      </c>
      <c r="J86" s="272" t="s">
        <v>1343</v>
      </c>
      <c r="K86" s="272" t="s">
        <v>217</v>
      </c>
      <c r="L86" s="391"/>
      <c r="M86" s="272" t="s">
        <v>47</v>
      </c>
      <c r="N86" s="272" t="s">
        <f>VLOOKUP(B86,'零期·UV电访分配'!B:Q,11,0)</f>
        <v>88</v>
      </c>
      <c r="O86" s="272" t="s">
        <v>28</v>
      </c>
      <c r="P86" s="272" t="s">
        <v>218</v>
      </c>
      <c r="Q86" s="272"/>
      <c r="R86" s="272" t="s">
        <v>56</v>
      </c>
      <c r="S86" s="272" t="s">
        <f>VLOOKUP(B86,'零期·UV电访分配'!B:Q,15,0)</f>
        <v>88</v>
      </c>
      <c r="T86" s="272" t="s">
        <v>28</v>
      </c>
      <c r="U86" s="272"/>
      <c r="V86" s="272" t="s">
        <v>1966</v>
      </c>
      <c r="AA86" s="251"/>
      <c r="AB86" s="251"/>
      <c r="AC86" s="251"/>
      <c r="AD86" s="251"/>
      <c r="AE86" s="251"/>
      <c r="AF86" s="251"/>
      <c r="AG86" s="251"/>
      <c r="AH86" s="251"/>
      <c r="AI86" s="251"/>
      <c r="AJ86" s="251"/>
      <c r="AK86" s="251"/>
      <c r="AN86" s="251"/>
      <c r="AO86" s="251"/>
      <c r="AR86" s="251"/>
      <c r="AS86" s="251"/>
      <c r="AT86" s="251"/>
      <c r="AU86" s="251"/>
      <c r="AV86" s="251"/>
    </row>
    <row r="87" ht="51.75" customHeight="1">
      <c r="A87" s="318" t="s">
        <v>54</v>
      </c>
      <c r="B87" s="318" t="n">
        <v>4827744612</v>
      </c>
      <c r="C87" s="114" t="s">
        <v>1224</v>
      </c>
      <c r="D87" s="247" t="s">
        <v>38</v>
      </c>
      <c r="E87" s="247" t="s">
        <v>28</v>
      </c>
      <c r="F87" s="701" t="s">
        <v>1967</v>
      </c>
      <c r="G87" s="247" t="s">
        <v>218</v>
      </c>
      <c r="H87" s="247" t="s">
        <v>37</v>
      </c>
      <c r="I87" s="247" t="s">
        <f>VLOOKUP(B87,'零期·UV电访分配'!B:Q,7,0)</f>
        <v>88</v>
      </c>
      <c r="J87" s="247" t="s">
        <v>28</v>
      </c>
      <c r="K87" s="247" t="s">
        <v>217</v>
      </c>
      <c r="L87" s="702" t="s">
        <v>1968</v>
      </c>
      <c r="M87" s="247" t="s">
        <v>47</v>
      </c>
      <c r="N87" s="247" t="s">
        <f>VLOOKUP(B87,'零期·UV电访分配'!B:Q,11,0)</f>
        <v>88</v>
      </c>
      <c r="O87" s="247" t="s">
        <v>28</v>
      </c>
      <c r="P87" s="247" t="s">
        <v>218</v>
      </c>
      <c r="Q87" s="247"/>
      <c r="R87" s="331" t="s">
        <v>56</v>
      </c>
      <c r="S87" s="247" t="s">
        <f>VLOOKUP(B87,'零期·UV电访分配'!B:Q,15,0)</f>
        <v>88</v>
      </c>
      <c r="T87" s="247" t="s">
        <v>28</v>
      </c>
      <c r="U87" s="247" t="n">
        <v>7.8</v>
      </c>
      <c r="V87" s="187" t="s">
        <v>1969</v>
      </c>
      <c r="W87" s="246" t="s">
        <v>38</v>
      </c>
      <c r="X87" s="246" t="s">
        <v>1970</v>
      </c>
      <c r="AA87" s="251"/>
      <c r="AB87" s="251"/>
      <c r="AC87" s="251"/>
      <c r="AD87" s="251"/>
      <c r="AE87" s="251"/>
      <c r="AF87" s="251"/>
      <c r="AG87" s="251"/>
      <c r="AH87" s="251"/>
      <c r="AI87" s="251"/>
      <c r="AJ87" s="251"/>
      <c r="AK87" s="251"/>
      <c r="AN87" s="251"/>
      <c r="AO87" s="251"/>
      <c r="AR87" s="251"/>
      <c r="AS87" s="251"/>
      <c r="AT87" s="251"/>
      <c r="AU87" s="251"/>
      <c r="AV87" s="251"/>
    </row>
    <row r="88" ht="39" customHeight="1">
      <c r="A88" s="248" t="s">
        <v>54</v>
      </c>
      <c r="B88" s="248" t="n">
        <v>4828248928</v>
      </c>
      <c r="C88" s="247" t="s">
        <v>1168</v>
      </c>
      <c r="D88" s="247" t="s">
        <v>36</v>
      </c>
      <c r="E88" s="247" t="s">
        <v>27</v>
      </c>
      <c r="F88" s="247" t="s">
        <v>1971</v>
      </c>
      <c r="G88" s="247" t="s">
        <v>218</v>
      </c>
      <c r="H88" s="247" t="s">
        <v>37</v>
      </c>
      <c r="I88" s="247" t="s">
        <f>VLOOKUP(B88,'零期·UV电访分配'!B:Q,7,0)</f>
        <v>88</v>
      </c>
      <c r="J88" s="247" t="s">
        <v>27</v>
      </c>
      <c r="K88" s="247" t="s">
        <v>217</v>
      </c>
      <c r="L88" s="343" t="s">
        <v>1972</v>
      </c>
      <c r="M88" s="247" t="s">
        <v>47</v>
      </c>
      <c r="N88" s="247" t="s">
        <f>VLOOKUP(B88,'零期·UV电访分配'!B:Q,11,0)</f>
        <v>88</v>
      </c>
      <c r="O88" s="247" t="s">
        <v>28</v>
      </c>
      <c r="P88" s="247" t="s">
        <v>217</v>
      </c>
      <c r="Q88" s="247" t="s">
        <v>1973</v>
      </c>
      <c r="R88" s="247" t="s">
        <v>56</v>
      </c>
      <c r="S88" s="247" t="s">
        <f>VLOOKUP(B88,'零期·UV电访分配'!B:Q,15,0)</f>
        <v>88</v>
      </c>
      <c r="T88" s="247" t="s">
        <v>1343</v>
      </c>
      <c r="U88" s="247" t="n">
        <v>7.8</v>
      </c>
      <c r="V88" s="247"/>
      <c r="W88" s="246" t="s">
        <v>1631</v>
      </c>
      <c r="X88" s="246" t="s">
        <v>1974</v>
      </c>
      <c r="AA88" s="251"/>
      <c r="AB88" s="251"/>
      <c r="AC88" s="251"/>
      <c r="AD88" s="251"/>
      <c r="AE88" s="251"/>
      <c r="AF88" s="251"/>
      <c r="AG88" s="251"/>
      <c r="AH88" s="251"/>
      <c r="AI88" s="251"/>
      <c r="AJ88" s="251"/>
      <c r="AK88" s="251"/>
      <c r="AN88" s="251"/>
      <c r="AO88" s="251"/>
      <c r="AR88" s="251"/>
      <c r="AS88" s="251"/>
      <c r="AT88" s="251"/>
      <c r="AU88" s="251"/>
      <c r="AV88" s="251"/>
    </row>
    <row r="89" ht="64.5" customHeight="1">
      <c r="A89" s="114" t="s">
        <v>54</v>
      </c>
      <c r="B89" s="114" t="n">
        <v>4840889658</v>
      </c>
      <c r="C89" s="114" t="s">
        <v>1052</v>
      </c>
      <c r="D89" s="247" t="s">
        <v>55</v>
      </c>
      <c r="E89" s="247" t="s">
        <v>28</v>
      </c>
      <c r="F89" s="703" t="s">
        <v>1975</v>
      </c>
      <c r="G89" s="247" t="s">
        <v>218</v>
      </c>
      <c r="H89" s="247" t="s">
        <v>37</v>
      </c>
      <c r="I89" s="247" t="s">
        <f>VLOOKUP(B89,'零期·UV电访分配'!B:Q,7,0)</f>
        <v>88</v>
      </c>
      <c r="J89" s="247" t="s">
        <v>28</v>
      </c>
      <c r="K89" s="247" t="s">
        <v>217</v>
      </c>
      <c r="L89" s="342" t="s">
        <v>1976</v>
      </c>
      <c r="M89" s="247" t="s">
        <v>47</v>
      </c>
      <c r="N89" s="247" t="s">
        <f>VLOOKUP(B89,'零期·UV电访分配'!B:Q,11,0)</f>
        <v>88</v>
      </c>
      <c r="O89" s="247" t="s">
        <v>28</v>
      </c>
      <c r="P89" s="247" t="s">
        <v>217</v>
      </c>
      <c r="Q89" s="247" t="s">
        <v>1977</v>
      </c>
      <c r="R89" s="247" t="s">
        <v>56</v>
      </c>
      <c r="S89" s="247" t="s">
        <f>VLOOKUP(B89,'零期·UV电访分配'!B:Q,15,0)</f>
        <v>88</v>
      </c>
      <c r="T89" s="247" t="s">
        <v>27</v>
      </c>
      <c r="U89" s="247" t="s">
        <v>217</v>
      </c>
      <c r="V89" s="187" t="s">
        <v>1978</v>
      </c>
      <c r="W89" s="246" t="s">
        <v>1366</v>
      </c>
      <c r="AA89" s="251"/>
      <c r="AB89" s="251"/>
      <c r="AC89" s="251"/>
      <c r="AD89" s="251"/>
      <c r="AE89" s="251"/>
      <c r="AF89" s="251"/>
      <c r="AG89" s="251"/>
      <c r="AH89" s="251"/>
      <c r="AI89" s="251"/>
      <c r="AJ89" s="251"/>
      <c r="AK89" s="251"/>
      <c r="AN89" s="251"/>
      <c r="AO89" s="251"/>
      <c r="AR89" s="251"/>
      <c r="AS89" s="251"/>
      <c r="AT89" s="251"/>
      <c r="AU89" s="251"/>
      <c r="AV89" s="251"/>
    </row>
    <row r="90" ht="115.5" customHeight="1">
      <c r="A90" s="292" t="s">
        <v>54</v>
      </c>
      <c r="B90" s="292" t="n">
        <v>4777253883</v>
      </c>
      <c r="C90" s="114" t="s">
        <v>1162</v>
      </c>
      <c r="D90" s="247" t="s">
        <v>57</v>
      </c>
      <c r="E90" s="247" t="s">
        <v>28</v>
      </c>
      <c r="F90" s="704" t="s">
        <v>1979</v>
      </c>
      <c r="G90" s="247" t="s">
        <v>218</v>
      </c>
      <c r="H90" s="247" t="s">
        <v>37</v>
      </c>
      <c r="I90" s="247" t="s">
        <f>VLOOKUP(B90,'零期·UV电访分配'!B:Q,7,0)</f>
        <v>88</v>
      </c>
      <c r="J90" s="247" t="s">
        <v>28</v>
      </c>
      <c r="K90" s="247" t="s">
        <v>217</v>
      </c>
      <c r="L90" s="705" t="s">
        <v>1980</v>
      </c>
      <c r="M90" s="247" t="s">
        <v>47</v>
      </c>
      <c r="N90" s="247" t="s">
        <f>VLOOKUP(B90,'零期·UV电访分配'!B:Q,11,0)</f>
        <v>88</v>
      </c>
      <c r="O90" s="247" t="s">
        <v>28</v>
      </c>
      <c r="P90" s="247" t="s">
        <v>218</v>
      </c>
      <c r="Q90" s="247" t="s">
        <v>1981</v>
      </c>
      <c r="R90" s="247" t="s">
        <v>56</v>
      </c>
      <c r="S90" s="247" t="s">
        <f>VLOOKUP(B90,'零期·UV电访分配'!B:Q,15,0)</f>
        <v>88</v>
      </c>
      <c r="T90" s="247" t="s">
        <v>28</v>
      </c>
      <c r="U90" s="247"/>
      <c r="V90" s="247"/>
      <c r="W90" s="246" t="s">
        <v>1366</v>
      </c>
      <c r="X90" s="246" t="s">
        <v>1982</v>
      </c>
      <c r="AA90" s="251"/>
      <c r="AB90" s="251"/>
      <c r="AC90" s="251"/>
      <c r="AD90" s="251"/>
      <c r="AE90" s="251"/>
      <c r="AF90" s="251"/>
      <c r="AG90" s="251"/>
      <c r="AH90" s="251"/>
      <c r="AI90" s="251"/>
      <c r="AJ90" s="251"/>
      <c r="AK90" s="251"/>
      <c r="AN90" s="251"/>
      <c r="AO90" s="251"/>
      <c r="AR90" s="251"/>
      <c r="AS90" s="251"/>
      <c r="AT90" s="251"/>
      <c r="AU90" s="251"/>
      <c r="AV90" s="251"/>
    </row>
    <row r="91" ht="41.25" customHeight="1">
      <c r="A91" s="248" t="s">
        <v>54</v>
      </c>
      <c r="B91" s="248" t="n">
        <v>4816521213</v>
      </c>
      <c r="C91" s="247" t="s">
        <v>1300</v>
      </c>
      <c r="D91" s="247" t="s">
        <v>48</v>
      </c>
      <c r="E91" s="247" t="s">
        <v>28</v>
      </c>
      <c r="F91" s="247" t="s">
        <v>1983</v>
      </c>
      <c r="G91" s="247" t="s">
        <v>217</v>
      </c>
      <c r="H91" s="247" t="s">
        <v>37</v>
      </c>
      <c r="I91" s="247" t="s">
        <f>VLOOKUP(B91,'零期·UV电访分配'!B:Q,7,0)</f>
        <v>88</v>
      </c>
      <c r="J91" s="247" t="s">
        <v>28</v>
      </c>
      <c r="K91" s="5"/>
      <c r="L91" s="201" t="s">
        <v>1984</v>
      </c>
      <c r="M91" s="247" t="s">
        <v>47</v>
      </c>
      <c r="N91" s="247" t="s">
        <f>VLOOKUP(B91,'零期·UV电访分配'!B:Q,11,0)</f>
        <v>88</v>
      </c>
      <c r="O91" s="247" t="s">
        <v>28</v>
      </c>
      <c r="P91" s="247" t="s">
        <v>217</v>
      </c>
      <c r="Q91" s="247" t="s">
        <v>1985</v>
      </c>
      <c r="R91" s="247" t="s">
        <v>56</v>
      </c>
      <c r="S91" s="247" t="s">
        <f>VLOOKUP(B91,'零期·UV电访分配'!B:Q,15,0)</f>
        <v>88</v>
      </c>
      <c r="T91" s="247" t="s">
        <v>29</v>
      </c>
      <c r="U91" s="247" t="s">
        <v>1986</v>
      </c>
      <c r="V91" s="247"/>
      <c r="AA91" s="251"/>
      <c r="AB91" s="251"/>
      <c r="AC91" s="251"/>
      <c r="AD91" s="251"/>
      <c r="AE91" s="251"/>
      <c r="AF91" s="251"/>
      <c r="AG91" s="251"/>
      <c r="AH91" s="251"/>
      <c r="AI91" s="251"/>
      <c r="AJ91" s="251"/>
      <c r="AK91" s="251"/>
      <c r="AN91" s="251"/>
      <c r="AO91" s="251"/>
      <c r="AR91" s="251"/>
      <c r="AS91" s="251"/>
      <c r="AT91" s="251"/>
      <c r="AU91" s="251"/>
      <c r="AV91" s="251"/>
    </row>
    <row r="92" ht="51.75" customHeight="1">
      <c r="A92" s="248" t="s">
        <v>54</v>
      </c>
      <c r="B92" s="248" t="n">
        <v>4835737630</v>
      </c>
      <c r="C92" s="247" t="s">
        <v>1181</v>
      </c>
      <c r="D92" s="247" t="s">
        <v>59</v>
      </c>
      <c r="E92" s="247" t="s">
        <v>29</v>
      </c>
      <c r="F92" s="247" t="s">
        <v>1987</v>
      </c>
      <c r="G92" s="247" t="s">
        <v>217</v>
      </c>
      <c r="H92" s="247" t="s">
        <v>37</v>
      </c>
      <c r="I92" s="247" t="s">
        <f>VLOOKUP(B92,'零期·UV电访分配'!B:Q,7,0)</f>
        <v>88</v>
      </c>
      <c r="J92" s="247" t="s">
        <v>28</v>
      </c>
      <c r="K92" s="247"/>
      <c r="L92" s="706" t="s">
        <v>1988</v>
      </c>
      <c r="M92" s="247" t="s">
        <v>47</v>
      </c>
      <c r="N92" s="247" t="s">
        <f>VLOOKUP(B92,'零期·UV电访分配'!B:Q,11,0)</f>
        <v>88</v>
      </c>
      <c r="O92" s="247" t="s">
        <v>28</v>
      </c>
      <c r="P92" s="247" t="s">
        <v>218</v>
      </c>
      <c r="Q92" s="247" t="s">
        <v>1989</v>
      </c>
      <c r="R92" s="247" t="s">
        <v>56</v>
      </c>
      <c r="S92" s="247" t="s">
        <f>VLOOKUP(B92,'零期·UV电访分配'!B:Q,15,0)</f>
        <v>88</v>
      </c>
      <c r="T92" s="247" t="s">
        <v>29</v>
      </c>
      <c r="U92" s="247"/>
      <c r="V92" s="247" t="s">
        <v>1990</v>
      </c>
      <c r="W92" s="246" t="s">
        <v>59</v>
      </c>
      <c r="X92" s="246" t="s">
        <v>1991</v>
      </c>
    </row>
    <row r="93" ht="39" customHeight="1">
      <c r="A93" s="318" t="s">
        <v>54</v>
      </c>
      <c r="B93" s="318" t="n">
        <v>2658073609</v>
      </c>
      <c r="C93" s="114" t="s">
        <v>298</v>
      </c>
      <c r="D93" s="114" t="s">
        <v>59</v>
      </c>
      <c r="E93" s="247" t="s">
        <v>28</v>
      </c>
      <c r="F93" s="187" t="s">
        <v>1992</v>
      </c>
      <c r="G93" s="247" t="s">
        <v>217</v>
      </c>
      <c r="H93" s="247" t="s">
        <v>37</v>
      </c>
      <c r="I93" s="247" t="s">
        <f>VLOOKUP(B93,'零期·UV电访分配'!B:Q,7,0)</f>
        <v>88</v>
      </c>
      <c r="J93" s="247" t="s">
        <v>27</v>
      </c>
      <c r="K93" s="247"/>
      <c r="L93" s="707" t="s">
        <v>1993</v>
      </c>
      <c r="M93" s="247" t="s">
        <v>47</v>
      </c>
      <c r="N93" s="247" t="s">
        <f>VLOOKUP(B93,'零期·UV电访分配'!B:Q,11,0)</f>
        <v>88</v>
      </c>
      <c r="O93" s="247" t="s">
        <v>28</v>
      </c>
      <c r="P93" s="247" t="s">
        <v>218</v>
      </c>
      <c r="Q93" s="247" t="s">
        <v>1994</v>
      </c>
      <c r="R93" s="247" t="s">
        <v>56</v>
      </c>
      <c r="S93" s="247" t="s">
        <f>VLOOKUP(B93,'零期·UV电访分配'!B:Q,15,0)</f>
        <v>88</v>
      </c>
      <c r="T93" s="247" t="s">
        <v>28</v>
      </c>
      <c r="U93" s="247" t="n">
        <v>7.8</v>
      </c>
      <c r="V93" s="247" t="s">
        <v>1995</v>
      </c>
      <c r="W93" s="246" t="s">
        <v>1492</v>
      </c>
      <c r="X93" s="246" t="s">
        <v>1996</v>
      </c>
      <c r="AA93" s="251"/>
      <c r="AB93" s="251"/>
      <c r="AC93" s="251"/>
      <c r="AD93" s="251"/>
      <c r="AE93" s="251"/>
      <c r="AF93" s="251"/>
      <c r="AG93" s="251"/>
      <c r="AH93" s="251"/>
      <c r="AI93" s="251"/>
      <c r="AJ93" s="251"/>
      <c r="AK93" s="251"/>
      <c r="AN93" s="251"/>
      <c r="AO93" s="251"/>
      <c r="AR93" s="251"/>
      <c r="AS93" s="251"/>
      <c r="AT93" s="251"/>
      <c r="AU93" s="251"/>
      <c r="AV93" s="251"/>
    </row>
    <row r="94" ht="26.25" customHeight="1">
      <c r="A94" s="248" t="s">
        <v>54</v>
      </c>
      <c r="B94" s="248" t="n">
        <v>4197197873</v>
      </c>
      <c r="C94" s="247" t="s">
        <v>1294</v>
      </c>
      <c r="D94" s="247" t="s">
        <v>48</v>
      </c>
      <c r="E94" s="247" t="s">
        <v>28</v>
      </c>
      <c r="F94" s="247" t="s">
        <v>1997</v>
      </c>
      <c r="G94" s="247" t="s">
        <v>218</v>
      </c>
      <c r="H94" s="247" t="s">
        <v>37</v>
      </c>
      <c r="I94" s="247" t="s">
        <f>VLOOKUP(B94,'零期·UV电访分配'!B:Q,7,0)</f>
        <v>88</v>
      </c>
      <c r="J94" s="247" t="s">
        <v>28</v>
      </c>
      <c r="K94" s="247" t="s">
        <v>217</v>
      </c>
      <c r="L94" s="342" t="s">
        <v>1998</v>
      </c>
      <c r="M94" s="247" t="s">
        <v>47</v>
      </c>
      <c r="N94" s="247" t="s">
        <f>VLOOKUP(B94,'零期·UV电访分配'!B:Q,11,0)</f>
        <v>88</v>
      </c>
      <c r="O94" s="247" t="s">
        <v>28</v>
      </c>
      <c r="P94" s="247" t="s">
        <v>217</v>
      </c>
      <c r="Q94" s="247" t="s">
        <v>1999</v>
      </c>
      <c r="R94" s="247" t="s">
        <v>56</v>
      </c>
      <c r="S94" s="247" t="s">
        <f>VLOOKUP(B94,'零期·UV电访分配'!B:Q,15,0)</f>
        <v>88</v>
      </c>
      <c r="T94" s="247" t="s">
        <v>29</v>
      </c>
      <c r="U94" s="247" t="s">
        <v>1783</v>
      </c>
      <c r="V94" s="247" t="s">
        <v>2000</v>
      </c>
      <c r="AA94" s="251"/>
      <c r="AB94" s="251"/>
      <c r="AC94" s="251"/>
      <c r="AD94" s="251"/>
      <c r="AE94" s="251"/>
      <c r="AF94" s="251"/>
      <c r="AG94" s="251"/>
      <c r="AH94" s="251"/>
      <c r="AI94" s="251"/>
      <c r="AJ94" s="251"/>
      <c r="AK94" s="251"/>
      <c r="AN94" s="251"/>
      <c r="AO94" s="251"/>
      <c r="AR94" s="251"/>
      <c r="AS94" s="251"/>
      <c r="AT94" s="251"/>
      <c r="AU94" s="251"/>
      <c r="AV94" s="251"/>
    </row>
    <row r="95" ht="77.25" customHeight="1">
      <c r="A95" s="248" t="s">
        <v>54</v>
      </c>
      <c r="B95" s="248" t="n">
        <v>4638864572</v>
      </c>
      <c r="C95" s="247" t="s">
        <v>1038</v>
      </c>
      <c r="D95" s="247" t="s">
        <v>38</v>
      </c>
      <c r="E95" s="247" t="s">
        <v>27</v>
      </c>
      <c r="F95" s="247" t="s">
        <v>2001</v>
      </c>
      <c r="G95" s="247" t="s">
        <v>218</v>
      </c>
      <c r="H95" s="247" t="s">
        <v>37</v>
      </c>
      <c r="I95" s="247" t="s">
        <f>VLOOKUP(B95,'零期·UV电访分配'!B:Q,7,0)</f>
        <v>88</v>
      </c>
      <c r="J95" s="247" t="s">
        <v>27</v>
      </c>
      <c r="K95" s="247" t="s">
        <v>217</v>
      </c>
      <c r="L95" s="708" t="s">
        <v>2002</v>
      </c>
      <c r="M95" s="247" t="s">
        <v>43</v>
      </c>
      <c r="N95" s="247" t="s">
        <f>VLOOKUP(B95,'零期·UV电访分配'!B:Q,11,0)</f>
        <v>88</v>
      </c>
      <c r="O95" s="247" t="s">
        <v>28</v>
      </c>
      <c r="P95" s="247" t="s">
        <v>217</v>
      </c>
      <c r="Q95" s="247" t="s">
        <v>2003</v>
      </c>
      <c r="R95" s="247" t="s">
        <v>56</v>
      </c>
      <c r="S95" s="247" t="s">
        <f>VLOOKUP(B95,'零期·UV电访分配'!B:Q,15,0)</f>
        <v>88</v>
      </c>
      <c r="T95" s="247" t="s">
        <v>28</v>
      </c>
      <c r="U95" s="247" t="s">
        <v>1783</v>
      </c>
      <c r="V95" s="247"/>
      <c r="W95" s="246" t="s">
        <v>38</v>
      </c>
      <c r="X95" s="246" t="s">
        <v>2004</v>
      </c>
      <c r="AA95" s="251"/>
      <c r="AB95" s="251"/>
      <c r="AC95" s="251"/>
      <c r="AD95" s="251"/>
      <c r="AE95" s="251"/>
      <c r="AF95" s="251"/>
      <c r="AG95" s="251"/>
      <c r="AH95" s="251"/>
      <c r="AI95" s="251"/>
      <c r="AJ95" s="251"/>
      <c r="AK95" s="251"/>
      <c r="AN95" s="251"/>
      <c r="AO95" s="251"/>
      <c r="AR95" s="251"/>
      <c r="AS95" s="251"/>
      <c r="AT95" s="251"/>
      <c r="AU95" s="251"/>
      <c r="AV95" s="251"/>
    </row>
    <row r="96" ht="26.25" customHeight="1">
      <c r="A96" s="318" t="s">
        <v>54</v>
      </c>
      <c r="B96" s="318" t="n">
        <v>4250803345</v>
      </c>
      <c r="C96" s="114" t="s">
        <v>1166</v>
      </c>
      <c r="D96" s="114" t="s">
        <v>55</v>
      </c>
      <c r="E96" s="247" t="s">
        <v>28</v>
      </c>
      <c r="F96" s="187" t="s">
        <v>2005</v>
      </c>
      <c r="G96" s="247" t="s">
        <v>217</v>
      </c>
      <c r="H96" s="247" t="s">
        <v>37</v>
      </c>
      <c r="I96" s="247" t="s">
        <f>VLOOKUP(B96,'零期·UV电访分配'!B:Q,7,0)</f>
        <v>88</v>
      </c>
      <c r="J96" s="247" t="s">
        <v>28</v>
      </c>
      <c r="K96" s="247"/>
      <c r="L96" s="342" t="s">
        <v>2006</v>
      </c>
      <c r="M96" s="247" t="s">
        <v>47</v>
      </c>
      <c r="N96" s="247" t="s">
        <f>VLOOKUP(B96,'零期·UV电访分配'!B:Q,11,0)</f>
        <v>88</v>
      </c>
      <c r="O96" s="247" t="s">
        <v>28</v>
      </c>
      <c r="P96" s="247" t="s">
        <v>218</v>
      </c>
      <c r="Q96" s="247"/>
      <c r="R96" s="247" t="s">
        <v>56</v>
      </c>
      <c r="S96" s="247" t="s">
        <f>VLOOKUP(B96,'零期·UV电访分配'!B:Q,15,0)</f>
        <v>88</v>
      </c>
      <c r="T96" s="247" t="s">
        <v>29</v>
      </c>
      <c r="U96" s="247" t="n">
        <v>7.8</v>
      </c>
      <c r="V96" s="247"/>
      <c r="W96" s="246" t="s">
        <v>1366</v>
      </c>
      <c r="X96" s="246" t="s">
        <v>2007</v>
      </c>
      <c r="AA96" s="251"/>
      <c r="AB96" s="251"/>
      <c r="AC96" s="251"/>
      <c r="AD96" s="251"/>
      <c r="AE96" s="251"/>
      <c r="AF96" s="251"/>
      <c r="AG96" s="251"/>
      <c r="AH96" s="251"/>
      <c r="AI96" s="251"/>
      <c r="AJ96" s="251"/>
      <c r="AK96" s="251"/>
      <c r="AN96" s="251"/>
      <c r="AO96" s="251"/>
      <c r="AR96" s="251"/>
      <c r="AS96" s="251"/>
      <c r="AT96" s="251"/>
      <c r="AU96" s="251"/>
      <c r="AV96" s="251"/>
    </row>
    <row r="97" ht="16.5" customHeight="1">
      <c r="A97" s="318" t="s">
        <v>54</v>
      </c>
      <c r="B97" s="318" t="n">
        <v>2752351775</v>
      </c>
      <c r="C97" s="114" t="s">
        <v>1318</v>
      </c>
      <c r="D97" s="114" t="s">
        <v>57</v>
      </c>
      <c r="E97" s="247" t="s">
        <v>29</v>
      </c>
      <c r="F97" s="247" t="s">
        <v>2008</v>
      </c>
      <c r="G97" s="247" t="s">
        <v>217</v>
      </c>
      <c r="H97" s="247" t="s">
        <v>37</v>
      </c>
      <c r="I97" s="247" t="s">
        <f>VLOOKUP(B97,'零期·UV电访分配'!B:Q,7,0)</f>
        <v>88</v>
      </c>
      <c r="J97" s="247" t="s">
        <v>29</v>
      </c>
      <c r="K97" s="247" t="s">
        <v>217</v>
      </c>
      <c r="L97" s="342" t="s">
        <v>2009</v>
      </c>
      <c r="M97" s="247" t="s">
        <v>116</v>
      </c>
      <c r="N97" s="247" t="s">
        <f>VLOOKUP(B97,'零期·UV电访分配'!B:Q,11,0)</f>
        <v>116</v>
      </c>
      <c r="O97" s="247"/>
      <c r="P97" s="247"/>
      <c r="Q97" s="247"/>
      <c r="R97" s="247" t="s">
        <v>56</v>
      </c>
      <c r="S97" s="247" t="s">
        <f>VLOOKUP(B97,'零期·UV电访分配'!B:Q,15,0)</f>
        <v>88</v>
      </c>
      <c r="T97" s="247" t="s">
        <v>29</v>
      </c>
      <c r="U97" s="247"/>
      <c r="V97" s="247" t="s">
        <v>2010</v>
      </c>
      <c r="W97" s="246" t="s">
        <v>1492</v>
      </c>
      <c r="X97" s="246" t="s">
        <v>2011</v>
      </c>
    </row>
    <row r="98" ht="26.25" customHeight="1">
      <c r="A98" s="318" t="s">
        <v>54</v>
      </c>
      <c r="B98" s="318" t="n">
        <v>4607796539</v>
      </c>
      <c r="C98" s="114" t="s">
        <v>1158</v>
      </c>
      <c r="D98" s="247" t="s">
        <v>57</v>
      </c>
      <c r="E98" s="247" t="s">
        <v>29</v>
      </c>
      <c r="F98" s="247"/>
      <c r="G98" s="247" t="s">
        <v>218</v>
      </c>
      <c r="H98" s="247" t="s">
        <v>37</v>
      </c>
      <c r="I98" s="247" t="s">
        <f>VLOOKUP(B98,'零期·UV电访分配'!B:Q,7,0)</f>
        <v>88</v>
      </c>
      <c r="J98" s="247" t="s">
        <v>29</v>
      </c>
      <c r="K98" s="247" t="s">
        <v>217</v>
      </c>
      <c r="L98" s="342" t="s">
        <v>2012</v>
      </c>
      <c r="M98" s="247" t="s">
        <v>47</v>
      </c>
      <c r="N98" s="247" t="s">
        <f>VLOOKUP(B98,'零期·UV电访分配'!B:Q,11,0)</f>
        <v>88</v>
      </c>
      <c r="O98" s="247" t="s">
        <v>28</v>
      </c>
      <c r="P98" s="247" t="s">
        <v>218</v>
      </c>
      <c r="Q98" s="247"/>
      <c r="R98" s="247" t="s">
        <v>56</v>
      </c>
      <c r="S98" s="247" t="s">
        <f>VLOOKUP(B98,'零期·UV电访分配'!B:Q,15,0)</f>
        <v>88</v>
      </c>
      <c r="T98" s="247" t="s">
        <v>29</v>
      </c>
      <c r="U98" s="247"/>
      <c r="V98" s="247"/>
      <c r="W98" s="246" t="s">
        <v>1492</v>
      </c>
      <c r="X98" s="246" t="s">
        <v>2013</v>
      </c>
    </row>
    <row r="99" ht="26.25" customHeight="1">
      <c r="A99" s="318" t="s">
        <v>54</v>
      </c>
      <c r="B99" s="318" t="n">
        <v>4055682554</v>
      </c>
      <c r="C99" s="114" t="s">
        <v>1015</v>
      </c>
      <c r="D99" s="114" t="s">
        <v>59</v>
      </c>
      <c r="E99" s="247" t="s">
        <v>29</v>
      </c>
      <c r="F99" s="709" t="s">
        <v>2014</v>
      </c>
      <c r="G99" s="247" t="s">
        <v>217</v>
      </c>
      <c r="H99" s="247" t="s">
        <v>37</v>
      </c>
      <c r="I99" s="247" t="s">
        <f>VLOOKUP(B99,'零期·UV电访分配'!B:Q,7,0)</f>
        <v>88</v>
      </c>
      <c r="J99" s="247" t="s">
        <v>29</v>
      </c>
      <c r="K99" s="247" t="s">
        <v>217</v>
      </c>
      <c r="L99" s="710" t="s">
        <v>2015</v>
      </c>
      <c r="M99" s="247" t="s">
        <v>47</v>
      </c>
      <c r="N99" s="247" t="s">
        <f>VLOOKUP(B99,'零期·UV电访分配'!B:Q,11,0)</f>
        <v>88</v>
      </c>
      <c r="O99" s="247" t="s">
        <v>28</v>
      </c>
      <c r="P99" s="247" t="s">
        <v>218</v>
      </c>
      <c r="Q99" s="187" t="s">
        <v>1878</v>
      </c>
      <c r="R99" s="247" t="s">
        <v>56</v>
      </c>
      <c r="S99" s="247" t="s">
        <f>VLOOKUP(B99,'零期·UV电访分配'!B:Q,15,0)</f>
        <v>88</v>
      </c>
      <c r="T99" s="247" t="s">
        <v>27</v>
      </c>
      <c r="U99" s="247" t="n">
        <v>7.8</v>
      </c>
      <c r="V99" s="247"/>
      <c r="W99" s="246" t="s">
        <v>1366</v>
      </c>
      <c r="X99" s="246" t="s">
        <v>2016</v>
      </c>
    </row>
    <row r="100" ht="51.75" customHeight="1">
      <c r="A100" s="248" t="s">
        <v>54</v>
      </c>
      <c r="B100" s="248" t="n">
        <v>4459633645</v>
      </c>
      <c r="C100" s="247" t="s">
        <v>1048</v>
      </c>
      <c r="D100" s="247" t="s">
        <v>48</v>
      </c>
      <c r="E100" s="247" t="s">
        <v>28</v>
      </c>
      <c r="F100" s="247" t="s">
        <v>2017</v>
      </c>
      <c r="G100" s="247" t="s">
        <v>218</v>
      </c>
      <c r="H100" s="247" t="s">
        <v>37</v>
      </c>
      <c r="I100" s="247" t="s">
        <f>VLOOKUP(B100,'零期·UV电访分配'!B:Q,7,0)</f>
        <v>88</v>
      </c>
      <c r="J100" s="247" t="s">
        <v>29</v>
      </c>
      <c r="K100" s="247" t="s">
        <v>217</v>
      </c>
      <c r="L100" s="711" t="s">
        <v>2018</v>
      </c>
      <c r="M100" s="247" t="s">
        <v>43</v>
      </c>
      <c r="N100" s="247" t="s">
        <f>VLOOKUP(B100,'零期·UV电访分配'!B:Q,11,0)</f>
        <v>88</v>
      </c>
      <c r="O100" s="247" t="s">
        <v>29</v>
      </c>
      <c r="P100" s="247" t="s">
        <v>217</v>
      </c>
      <c r="Q100" s="247" t="s">
        <v>1419</v>
      </c>
      <c r="R100" s="247" t="s">
        <v>56</v>
      </c>
      <c r="S100" s="247" t="s">
        <f>VLOOKUP(B100,'零期·UV电访分配'!B:Q,15,0)</f>
        <v>88</v>
      </c>
      <c r="T100" s="247" t="s">
        <v>28</v>
      </c>
      <c r="U100" s="187" t="n">
        <v>7.8</v>
      </c>
      <c r="V100" s="187" t="s">
        <v>2019</v>
      </c>
    </row>
    <row r="101" ht="71.25" customHeight="1">
      <c r="A101" s="248" t="s">
        <v>54</v>
      </c>
      <c r="B101" s="248" t="n">
        <v>2356540819</v>
      </c>
      <c r="C101" s="247" t="s">
        <v>1236</v>
      </c>
      <c r="D101" s="247" t="s">
        <v>55</v>
      </c>
      <c r="E101" s="247" t="s">
        <v>28</v>
      </c>
      <c r="F101" s="247" t="s">
        <v>2020</v>
      </c>
      <c r="G101" s="247" t="s">
        <v>218</v>
      </c>
      <c r="H101" s="247" t="s">
        <v>37</v>
      </c>
      <c r="I101" s="247" t="s">
        <f>VLOOKUP(B101,'零期·UV电访分配'!B:Q,7,0)</f>
        <v>88</v>
      </c>
      <c r="J101" s="247" t="s">
        <v>29</v>
      </c>
      <c r="K101" s="247" t="s">
        <v>217</v>
      </c>
      <c r="L101" s="712" t="s">
        <v>2021</v>
      </c>
      <c r="M101" s="247" t="s">
        <v>47</v>
      </c>
      <c r="N101" s="247" t="s">
        <f>VLOOKUP(B101,'零期·UV电访分配'!B:Q,11,0)</f>
        <v>88</v>
      </c>
      <c r="O101" s="247" t="s">
        <v>29</v>
      </c>
      <c r="P101" s="247" t="s">
        <v>218</v>
      </c>
      <c r="Q101" s="247"/>
      <c r="R101" s="247" t="s">
        <v>56</v>
      </c>
      <c r="S101" s="247" t="s">
        <f>VLOOKUP(B101,'零期·UV电访分配'!B:Q,15,0)</f>
        <v>88</v>
      </c>
      <c r="T101" s="247" t="s">
        <v>29</v>
      </c>
      <c r="U101" s="247"/>
      <c r="V101" s="247"/>
      <c r="W101" s="246" t="s">
        <v>1366</v>
      </c>
      <c r="X101" s="246" t="s">
        <v>2022</v>
      </c>
      <c r="AA101" s="251"/>
      <c r="AB101" s="251"/>
      <c r="AC101" s="251"/>
      <c r="AD101" s="251"/>
      <c r="AE101" s="251"/>
      <c r="AF101" s="251"/>
      <c r="AG101" s="251"/>
      <c r="AH101" s="251"/>
      <c r="AI101" s="251"/>
      <c r="AJ101" s="251"/>
      <c r="AK101" s="251"/>
      <c r="AN101" s="251"/>
      <c r="AO101" s="251"/>
      <c r="AR101" s="251"/>
      <c r="AS101" s="251"/>
      <c r="AT101" s="251"/>
      <c r="AU101" s="251"/>
      <c r="AV101" s="251"/>
    </row>
    <row r="102" ht="51.75" customHeight="1">
      <c r="A102" s="318" t="s">
        <v>54</v>
      </c>
      <c r="B102" s="318" t="n">
        <v>2463978823</v>
      </c>
      <c r="C102" s="114" t="s">
        <v>1241</v>
      </c>
      <c r="D102" s="247" t="s">
        <v>36</v>
      </c>
      <c r="E102" s="247" t="s">
        <v>29</v>
      </c>
      <c r="F102" s="247" t="s">
        <v>2023</v>
      </c>
      <c r="G102" s="247" t="s">
        <v>218</v>
      </c>
      <c r="H102" s="247" t="s">
        <v>37</v>
      </c>
      <c r="I102" s="247" t="s">
        <f>VLOOKUP(B102,'零期·UV电访分配'!B:Q,7,0)</f>
        <v>88</v>
      </c>
      <c r="J102" s="247" t="s">
        <v>29</v>
      </c>
      <c r="K102" s="247" t="s">
        <v>217</v>
      </c>
      <c r="L102" s="713" t="s">
        <v>2024</v>
      </c>
      <c r="M102" s="247" t="s">
        <v>47</v>
      </c>
      <c r="N102" s="247" t="s">
        <f>VLOOKUP(B102,'零期·UV电访分配'!B:Q,11,0)</f>
        <v>88</v>
      </c>
      <c r="O102" s="247" t="s">
        <v>28</v>
      </c>
      <c r="P102" s="247" t="s">
        <v>218</v>
      </c>
      <c r="Q102" s="247"/>
      <c r="R102" s="247" t="s">
        <v>116</v>
      </c>
      <c r="S102" s="247" t="s">
        <f>VLOOKUP(B102,'零期·UV电访分配'!B:Q,15,0)</f>
        <v>116</v>
      </c>
      <c r="T102" s="247"/>
      <c r="U102" s="247"/>
      <c r="V102" s="247"/>
      <c r="W102" s="246" t="s">
        <v>34</v>
      </c>
      <c r="X102" s="483" t="s">
        <v>2025</v>
      </c>
    </row>
    <row r="103" ht="16.5" customHeight="1">
      <c r="A103" s="248" t="s">
        <v>54</v>
      </c>
      <c r="B103" s="248" t="n">
        <v>4773663119</v>
      </c>
      <c r="C103" s="247" t="s">
        <v>1165</v>
      </c>
      <c r="D103" s="247" t="s">
        <v>57</v>
      </c>
      <c r="E103" s="247" t="s">
        <v>29</v>
      </c>
      <c r="F103" s="247"/>
      <c r="G103" s="247" t="s">
        <v>217</v>
      </c>
      <c r="H103" s="247" t="s">
        <v>37</v>
      </c>
      <c r="I103" s="247" t="s">
        <f>VLOOKUP(B103,'零期·UV电访分配'!B:Q,7,0)</f>
        <v>88</v>
      </c>
      <c r="J103" s="247" t="s">
        <v>29</v>
      </c>
      <c r="K103" s="247"/>
      <c r="L103" s="342" t="s">
        <v>2026</v>
      </c>
      <c r="M103" s="247" t="s">
        <v>47</v>
      </c>
      <c r="N103" s="366" t="s">
        <f>VLOOKUP(B103,'零期·UV电访分配'!B:Q,11,0)</f>
        <v>65</v>
      </c>
      <c r="O103" s="366" t="s">
        <v>28</v>
      </c>
      <c r="P103" s="366" t="s">
        <v>218</v>
      </c>
      <c r="Q103" s="366"/>
      <c r="R103" s="247" t="s">
        <v>56</v>
      </c>
      <c r="S103" s="247" t="s">
        <f>VLOOKUP(B103,'零期·UV电访分配'!B:Q,15,0)</f>
        <v>88</v>
      </c>
      <c r="T103" s="247" t="s">
        <v>29</v>
      </c>
      <c r="U103" s="247"/>
      <c r="V103" s="247"/>
      <c r="W103" s="246" t="s">
        <v>1492</v>
      </c>
      <c r="X103" s="246" t="s">
        <v>2027</v>
      </c>
      <c r="AA103" s="251"/>
      <c r="AB103" s="251"/>
      <c r="AC103" s="251"/>
      <c r="AD103" s="251"/>
      <c r="AE103" s="251"/>
      <c r="AF103" s="251"/>
      <c r="AG103" s="251"/>
      <c r="AH103" s="251"/>
      <c r="AI103" s="251"/>
      <c r="AJ103" s="251"/>
      <c r="AK103" s="251"/>
      <c r="AN103" s="251"/>
      <c r="AO103" s="251"/>
      <c r="AR103" s="251"/>
      <c r="AS103" s="251"/>
      <c r="AT103" s="251"/>
      <c r="AU103" s="251"/>
      <c r="AV103" s="251"/>
    </row>
    <row r="104" ht="26.25" customHeight="1">
      <c r="A104" s="318" t="s">
        <v>54</v>
      </c>
      <c r="B104" s="318" t="n">
        <v>4155497428</v>
      </c>
      <c r="C104" s="114" t="s">
        <v>1091</v>
      </c>
      <c r="D104" s="114" t="s">
        <v>55</v>
      </c>
      <c r="E104" s="247" t="s">
        <v>28</v>
      </c>
      <c r="F104" s="187" t="s">
        <v>2028</v>
      </c>
      <c r="G104" s="247" t="s">
        <v>217</v>
      </c>
      <c r="H104" s="247" t="s">
        <v>31</v>
      </c>
      <c r="I104" s="247" t="s">
        <f>VLOOKUP(B104,'零期·UV电访分配'!B:Q,7,0)</f>
        <v>88</v>
      </c>
      <c r="J104" s="247" t="s">
        <v>28</v>
      </c>
      <c r="K104" s="247" t="s">
        <v>217</v>
      </c>
      <c r="L104" s="342" t="s">
        <v>2029</v>
      </c>
      <c r="M104" s="247" t="s">
        <v>116</v>
      </c>
      <c r="N104" s="247" t="s">
        <v>116</v>
      </c>
      <c r="O104" s="247"/>
      <c r="P104" s="247"/>
      <c r="Q104" s="247"/>
      <c r="R104" s="247" t="s">
        <v>116</v>
      </c>
      <c r="S104" s="247" t="s">
        <v>116</v>
      </c>
      <c r="T104" s="247"/>
      <c r="U104" s="247"/>
      <c r="V104" s="247"/>
      <c r="W104" s="246" t="s">
        <v>1366</v>
      </c>
      <c r="X104" s="246" t="s">
        <v>2030</v>
      </c>
      <c r="AA104" s="251"/>
      <c r="AB104" s="251"/>
      <c r="AC104" s="251"/>
      <c r="AD104" s="251"/>
      <c r="AE104" s="251"/>
      <c r="AF104" s="251"/>
      <c r="AG104" s="251"/>
      <c r="AH104" s="251"/>
      <c r="AI104" s="251"/>
      <c r="AJ104" s="251"/>
      <c r="AK104" s="251"/>
      <c r="AN104" s="251"/>
      <c r="AO104" s="251"/>
      <c r="AR104" s="251"/>
      <c r="AS104" s="251"/>
      <c r="AT104" s="251"/>
      <c r="AU104" s="251"/>
      <c r="AV104" s="251"/>
    </row>
    <row r="105" ht="16.5" customHeight="1">
      <c r="A105" s="318" t="s">
        <v>54</v>
      </c>
      <c r="B105" s="318" t="n">
        <v>4199533248</v>
      </c>
      <c r="C105" s="114" t="s">
        <v>1320</v>
      </c>
      <c r="D105" s="114" t="s">
        <v>57</v>
      </c>
      <c r="E105" s="247" t="s">
        <v>29</v>
      </c>
      <c r="F105" s="247"/>
      <c r="G105" s="247" t="s">
        <v>217</v>
      </c>
      <c r="H105" s="247" t="s">
        <v>31</v>
      </c>
      <c r="I105" s="247" t="s">
        <f>VLOOKUP(B105,'零期·UV电访分配'!B:Q,7,0)</f>
        <v>88</v>
      </c>
      <c r="J105" s="247" t="s">
        <v>29</v>
      </c>
      <c r="K105" s="247"/>
      <c r="L105" s="342" t="s">
        <v>2031</v>
      </c>
      <c r="M105" s="247" t="s">
        <v>43</v>
      </c>
      <c r="N105" s="247" t="s">
        <f>VLOOKUP(B105,'零期·UV电访分配'!B:Q,11,0)</f>
        <v>88</v>
      </c>
      <c r="O105" s="247" t="s">
        <v>28</v>
      </c>
      <c r="P105" s="247" t="s">
        <v>218</v>
      </c>
      <c r="Q105" s="247" t="s">
        <v>2032</v>
      </c>
      <c r="R105" s="247" t="s">
        <v>56</v>
      </c>
      <c r="S105" s="247" t="s">
        <f>VLOOKUP(B105,'零期·UV电访分配'!B:Q,15,0)</f>
        <v>88</v>
      </c>
      <c r="T105" s="247" t="s">
        <v>29</v>
      </c>
      <c r="U105" s="247" t="s">
        <v>217</v>
      </c>
      <c r="V105" s="247" t="s">
        <v>2033</v>
      </c>
      <c r="W105" s="246" t="s">
        <v>1492</v>
      </c>
      <c r="AA105" s="251"/>
      <c r="AB105" s="251"/>
      <c r="AC105" s="251"/>
      <c r="AD105" s="251"/>
      <c r="AE105" s="251"/>
      <c r="AF105" s="251"/>
      <c r="AG105" s="251"/>
      <c r="AH105" s="251"/>
      <c r="AI105" s="251"/>
      <c r="AJ105" s="251"/>
      <c r="AK105" s="251"/>
      <c r="AN105" s="251"/>
      <c r="AO105" s="251"/>
      <c r="AR105" s="251"/>
      <c r="AS105" s="251"/>
      <c r="AT105" s="251"/>
      <c r="AU105" s="251"/>
      <c r="AV105" s="251"/>
    </row>
    <row r="106" ht="39" customHeight="1">
      <c r="A106" s="248" t="s">
        <v>54</v>
      </c>
      <c r="B106" s="248" t="n">
        <v>2583024622</v>
      </c>
      <c r="C106" s="247" t="s">
        <v>1225</v>
      </c>
      <c r="D106" s="247" t="s">
        <v>38</v>
      </c>
      <c r="E106" s="247" t="s">
        <v>29</v>
      </c>
      <c r="F106" s="714" t="s">
        <v>2034</v>
      </c>
      <c r="G106" s="247" t="s">
        <v>218</v>
      </c>
      <c r="H106" s="247" t="s">
        <v>31</v>
      </c>
      <c r="I106" s="247" t="s">
        <f>VLOOKUP(B106,'零期·UV电访分配'!B:Q,7,0)</f>
        <v>88</v>
      </c>
      <c r="J106" s="247" t="s">
        <v>29</v>
      </c>
      <c r="K106" s="247"/>
      <c r="L106" s="342"/>
      <c r="M106" s="247" t="s">
        <v>43</v>
      </c>
      <c r="N106" s="247" t="s">
        <f>VLOOKUP(B106,'零期·UV电访分配'!B:Q,11,0)</f>
        <v>88</v>
      </c>
      <c r="O106" s="247" t="s">
        <v>29</v>
      </c>
      <c r="P106" s="247" t="s">
        <v>217</v>
      </c>
      <c r="Q106" s="247" t="s">
        <v>2035</v>
      </c>
      <c r="R106" s="247" t="s">
        <v>56</v>
      </c>
      <c r="S106" s="247" t="s">
        <f>VLOOKUP(B106,'零期·UV电访分配'!B:Q,15,0)</f>
        <v>88</v>
      </c>
      <c r="T106" s="247" t="s">
        <v>29</v>
      </c>
      <c r="U106" s="247" t="s">
        <v>2036</v>
      </c>
      <c r="V106" s="247"/>
      <c r="W106" s="246" t="s">
        <v>34</v>
      </c>
      <c r="X106" s="246" t="s">
        <v>2037</v>
      </c>
      <c r="AA106" s="251"/>
      <c r="AB106" s="251"/>
      <c r="AC106" s="251"/>
      <c r="AD106" s="251"/>
      <c r="AE106" s="251"/>
      <c r="AF106" s="251"/>
      <c r="AG106" s="251"/>
      <c r="AH106" s="251"/>
      <c r="AI106" s="251"/>
      <c r="AJ106" s="251"/>
      <c r="AK106" s="251"/>
      <c r="AN106" s="251"/>
      <c r="AO106" s="251"/>
      <c r="AR106" s="251"/>
      <c r="AS106" s="251"/>
      <c r="AT106" s="251"/>
      <c r="AU106" s="251"/>
      <c r="AV106" s="251"/>
    </row>
    <row r="107" ht="39" customHeight="1">
      <c r="A107" s="318" t="s">
        <v>54</v>
      </c>
      <c r="B107" s="318" t="n">
        <v>4151361146</v>
      </c>
      <c r="C107" s="114" t="s">
        <v>1087</v>
      </c>
      <c r="D107" s="114" t="s">
        <v>55</v>
      </c>
      <c r="E107" s="247" t="s">
        <v>28</v>
      </c>
      <c r="F107" s="247" t="s">
        <v>2038</v>
      </c>
      <c r="G107" s="247" t="s">
        <v>217</v>
      </c>
      <c r="H107" s="247" t="s">
        <v>31</v>
      </c>
      <c r="I107" s="247" t="s">
        <f>VLOOKUP(B107,'零期·UV电访分配'!B:Q,7,0)</f>
        <v>88</v>
      </c>
      <c r="J107" s="247" t="s">
        <v>28</v>
      </c>
      <c r="K107" s="247"/>
      <c r="L107" s="342"/>
      <c r="M107" s="247" t="s">
        <v>43</v>
      </c>
      <c r="N107" s="247" t="s">
        <f>VLOOKUP(B107,'零期·UV电访分配'!B:Q,11,0)</f>
        <v>88</v>
      </c>
      <c r="O107" s="247" t="s">
        <v>28</v>
      </c>
      <c r="P107" s="247" t="s">
        <v>218</v>
      </c>
      <c r="Q107" s="247" t="s">
        <v>2039</v>
      </c>
      <c r="R107" s="247" t="s">
        <v>56</v>
      </c>
      <c r="S107" s="247" t="s">
        <f>VLOOKUP(B107,'零期·UV电访分配'!B:Q,15,0)</f>
        <v>88</v>
      </c>
      <c r="T107" s="247" t="s">
        <v>29</v>
      </c>
      <c r="U107" s="247" t="s">
        <v>2040</v>
      </c>
      <c r="V107" s="247"/>
      <c r="W107" s="246" t="s">
        <v>1366</v>
      </c>
      <c r="AA107" s="251"/>
      <c r="AB107" s="251"/>
      <c r="AC107" s="251"/>
      <c r="AD107" s="251"/>
      <c r="AE107" s="251"/>
      <c r="AF107" s="251"/>
      <c r="AG107" s="251"/>
      <c r="AH107" s="251"/>
      <c r="AI107" s="251"/>
      <c r="AJ107" s="251"/>
      <c r="AK107" s="251"/>
      <c r="AN107" s="251"/>
      <c r="AO107" s="251"/>
      <c r="AR107" s="251"/>
      <c r="AS107" s="251"/>
      <c r="AT107" s="251"/>
      <c r="AU107" s="251"/>
      <c r="AV107" s="251"/>
    </row>
    <row r="108" ht="16.5" customHeight="1">
      <c r="A108" s="318" t="s">
        <v>54</v>
      </c>
      <c r="B108" s="318" t="n">
        <v>4190977864</v>
      </c>
      <c r="C108" s="114" t="s">
        <v>1089</v>
      </c>
      <c r="D108" s="114" t="s">
        <v>55</v>
      </c>
      <c r="E108" s="247" t="s">
        <v>28</v>
      </c>
      <c r="F108" s="247" t="s">
        <v>2041</v>
      </c>
      <c r="G108" s="247" t="s">
        <v>217</v>
      </c>
      <c r="H108" s="247" t="s">
        <v>31</v>
      </c>
      <c r="I108" s="247" t="s">
        <f>VLOOKUP(B108,'零期·UV电访分配'!B:Q,7,0)</f>
        <v>88</v>
      </c>
      <c r="J108" s="247" t="s">
        <v>28</v>
      </c>
      <c r="K108" s="247"/>
      <c r="L108" s="342"/>
      <c r="M108" s="247" t="s">
        <v>43</v>
      </c>
      <c r="N108" s="247" t="s">
        <f>VLOOKUP(B108,'零期·UV电访分配'!B:Q,11,0)</f>
        <v>88</v>
      </c>
      <c r="O108" s="247" t="s">
        <v>28</v>
      </c>
      <c r="P108" s="247" t="s">
        <v>218</v>
      </c>
      <c r="Q108" s="247" t="s">
        <v>2042</v>
      </c>
      <c r="R108" s="247" t="s">
        <v>56</v>
      </c>
      <c r="S108" s="247" t="s">
        <f>VLOOKUP(B108,'零期·UV电访分配'!B:Q,15,0)</f>
        <v>88</v>
      </c>
      <c r="T108" s="247" t="s">
        <v>29</v>
      </c>
      <c r="U108" s="247"/>
      <c r="V108" s="247"/>
      <c r="W108" s="246" t="s">
        <v>1366</v>
      </c>
      <c r="X108" s="246" t="s">
        <v>2043</v>
      </c>
      <c r="AA108" s="251"/>
      <c r="AB108" s="251"/>
      <c r="AC108" s="251"/>
      <c r="AD108" s="251"/>
      <c r="AE108" s="251"/>
      <c r="AF108" s="251"/>
      <c r="AG108" s="251"/>
      <c r="AH108" s="251"/>
      <c r="AI108" s="251"/>
      <c r="AJ108" s="251"/>
      <c r="AK108" s="251"/>
      <c r="AN108" s="251"/>
      <c r="AO108" s="251"/>
      <c r="AR108" s="251"/>
      <c r="AS108" s="251"/>
      <c r="AT108" s="251"/>
      <c r="AU108" s="251"/>
      <c r="AV108" s="251"/>
    </row>
    <row r="109" ht="39" customHeight="1">
      <c r="A109" s="248" t="s">
        <v>54</v>
      </c>
      <c r="B109" s="248" t="n">
        <v>4815971458</v>
      </c>
      <c r="C109" s="247" t="s">
        <v>1289</v>
      </c>
      <c r="D109" s="247" t="s">
        <v>59</v>
      </c>
      <c r="E109" s="247" t="s">
        <v>28</v>
      </c>
      <c r="F109" s="247" t="s">
        <v>2044</v>
      </c>
      <c r="G109" s="247" t="s">
        <v>217</v>
      </c>
      <c r="H109" s="247" t="s">
        <v>116</v>
      </c>
      <c r="I109" s="247" t="s">
        <v>116</v>
      </c>
      <c r="J109" s="247"/>
      <c r="K109" s="247"/>
      <c r="L109" s="247"/>
      <c r="M109" s="247" t="s">
        <v>116</v>
      </c>
      <c r="N109" s="247" t="s">
        <v>116</v>
      </c>
      <c r="O109" s="247"/>
      <c r="P109" s="247"/>
      <c r="Q109" s="247"/>
      <c r="R109" s="247" t="s">
        <v>56</v>
      </c>
      <c r="S109" s="247" t="s">
        <f>VLOOKUP(B109,'零期·UV电访分配'!B:Q,15,0)</f>
        <v>88</v>
      </c>
      <c r="T109" s="247" t="s">
        <v>29</v>
      </c>
      <c r="U109" s="187"/>
      <c r="V109" s="187" t="s">
        <v>2045</v>
      </c>
      <c r="W109" s="246" t="s">
        <v>1492</v>
      </c>
      <c r="X109" s="246" t="s">
        <v>2046</v>
      </c>
      <c r="AA109" s="251"/>
      <c r="AB109" s="251"/>
      <c r="AC109" s="251"/>
      <c r="AD109" s="251"/>
      <c r="AE109" s="251"/>
      <c r="AF109" s="251"/>
      <c r="AG109" s="251"/>
      <c r="AH109" s="251"/>
      <c r="AI109" s="251"/>
      <c r="AJ109" s="251"/>
      <c r="AK109" s="251"/>
      <c r="AN109" s="251"/>
      <c r="AO109" s="251"/>
      <c r="AR109" s="251"/>
      <c r="AS109" s="251"/>
      <c r="AT109" s="251"/>
      <c r="AU109" s="251"/>
      <c r="AV109" s="251"/>
    </row>
    <row r="110" ht="16.5" customHeight="1">
      <c r="A110" s="318" t="s">
        <v>54</v>
      </c>
      <c r="B110" s="318" t="n">
        <v>4000464385</v>
      </c>
      <c r="C110" s="114" t="s">
        <v>1037</v>
      </c>
      <c r="D110" s="247" t="s">
        <v>57</v>
      </c>
      <c r="E110" s="247" t="s">
        <v>28</v>
      </c>
      <c r="F110" s="342" t="s">
        <v>2047</v>
      </c>
      <c r="G110" s="247" t="s">
        <v>218</v>
      </c>
      <c r="H110" s="247" t="s">
        <v>31</v>
      </c>
      <c r="I110" s="247" t="s">
        <f>VLOOKUP(B110,'零期·UV电访分配'!B:Q,7,0)</f>
        <v>88</v>
      </c>
      <c r="J110" s="247" t="s">
        <v>27</v>
      </c>
      <c r="K110" s="247"/>
      <c r="L110" s="342" t="s">
        <v>2048</v>
      </c>
      <c r="M110" s="247" t="s">
        <v>43</v>
      </c>
      <c r="N110" s="247" t="s">
        <f>VLOOKUP(B110,'零期·UV电访分配'!B:Q,11,0)</f>
        <v>88</v>
      </c>
      <c r="O110" s="247" t="s">
        <v>28</v>
      </c>
      <c r="P110" s="247" t="s">
        <v>218</v>
      </c>
      <c r="Q110" s="247"/>
      <c r="R110" s="247" t="s">
        <v>56</v>
      </c>
      <c r="S110" s="247" t="s">
        <f>VLOOKUP(B110,'零期·UV电访分配'!B:Q,15,0)</f>
        <v>88</v>
      </c>
      <c r="T110" s="247" t="s">
        <v>28</v>
      </c>
      <c r="U110" s="247"/>
      <c r="V110" s="247"/>
      <c r="W110" s="246" t="s">
        <v>1366</v>
      </c>
      <c r="X110" s="246" t="s">
        <v>2049</v>
      </c>
      <c r="AA110" s="251"/>
      <c r="AB110" s="251"/>
      <c r="AC110" s="251"/>
      <c r="AD110" s="251"/>
      <c r="AE110" s="251"/>
      <c r="AF110" s="251"/>
      <c r="AG110" s="251"/>
      <c r="AH110" s="251"/>
      <c r="AI110" s="251"/>
      <c r="AJ110" s="251"/>
      <c r="AK110" s="251"/>
      <c r="AN110" s="251"/>
      <c r="AO110" s="251"/>
      <c r="AR110" s="251"/>
      <c r="AS110" s="251"/>
      <c r="AT110" s="251"/>
      <c r="AU110" s="251"/>
      <c r="AV110" s="251"/>
    </row>
    <row r="111" ht="16.5" customHeight="1">
      <c r="A111" s="318" t="s">
        <v>54</v>
      </c>
      <c r="B111" s="318" t="n">
        <v>4299356242</v>
      </c>
      <c r="C111" s="114" t="s">
        <v>1138</v>
      </c>
      <c r="D111" s="247" t="s">
        <v>57</v>
      </c>
      <c r="E111" s="247" t="s">
        <v>29</v>
      </c>
      <c r="F111" s="247"/>
      <c r="G111" s="247" t="s">
        <v>218</v>
      </c>
      <c r="H111" s="247" t="s">
        <v>31</v>
      </c>
      <c r="I111" s="247" t="s">
        <f>VLOOKUP(B111,'零期·UV电访分配'!B:Q,7,0)</f>
        <v>88</v>
      </c>
      <c r="J111" s="247" t="s">
        <v>28</v>
      </c>
      <c r="K111" s="247"/>
      <c r="L111" s="342" t="s">
        <v>2050</v>
      </c>
      <c r="M111" s="247" t="s">
        <v>47</v>
      </c>
      <c r="N111" s="247" t="s">
        <f>VLOOKUP(B111,'零期·UV电访分配'!B:Q,11,0)</f>
        <v>88</v>
      </c>
      <c r="O111" s="247" t="s">
        <v>29</v>
      </c>
      <c r="P111" s="247" t="s">
        <v>218</v>
      </c>
      <c r="Q111" s="247" t="s">
        <v>2051</v>
      </c>
      <c r="R111" s="247" t="s">
        <v>56</v>
      </c>
      <c r="S111" s="247" t="s">
        <f>VLOOKUP(B111,'零期·UV电访分配'!B:Q,15,0)</f>
        <v>88</v>
      </c>
      <c r="T111" s="247" t="s">
        <v>29</v>
      </c>
      <c r="U111" s="247"/>
      <c r="V111" s="247"/>
      <c r="W111" s="246" t="s">
        <v>1492</v>
      </c>
      <c r="X111" s="246" t="s">
        <v>2052</v>
      </c>
      <c r="AA111" s="251"/>
      <c r="AB111" s="251"/>
      <c r="AC111" s="251"/>
      <c r="AD111" s="251"/>
      <c r="AE111" s="251"/>
      <c r="AF111" s="251"/>
      <c r="AG111" s="251"/>
      <c r="AH111" s="251"/>
      <c r="AI111" s="251"/>
      <c r="AJ111" s="251"/>
      <c r="AK111" s="251"/>
      <c r="AN111" s="251"/>
      <c r="AO111" s="251"/>
      <c r="AR111" s="251"/>
      <c r="AS111" s="251"/>
      <c r="AT111" s="251"/>
      <c r="AU111" s="251"/>
      <c r="AV111" s="251"/>
    </row>
    <row r="112" ht="16.5" customHeight="1">
      <c r="A112" s="318" t="s">
        <v>54</v>
      </c>
      <c r="B112" s="318" t="n">
        <v>4616206863</v>
      </c>
      <c r="C112" s="114" t="s">
        <v>1308</v>
      </c>
      <c r="D112" s="247" t="s">
        <v>57</v>
      </c>
      <c r="E112" s="247" t="s">
        <v>29</v>
      </c>
      <c r="F112" s="247"/>
      <c r="G112" s="247" t="s">
        <v>218</v>
      </c>
      <c r="H112" s="247" t="s">
        <v>31</v>
      </c>
      <c r="I112" s="247" t="s">
        <f>VLOOKUP(B112,'零期·UV电访分配'!B:Q,7,0)</f>
        <v>88</v>
      </c>
      <c r="J112" s="247" t="s">
        <v>29</v>
      </c>
      <c r="K112" s="247"/>
      <c r="L112" s="342" t="s">
        <v>2053</v>
      </c>
      <c r="M112" s="247" t="s">
        <v>43</v>
      </c>
      <c r="N112" s="247" t="s">
        <f>VLOOKUP(B112,'零期·UV电访分配'!B:Q,11,0)</f>
        <v>88</v>
      </c>
      <c r="O112" s="247" t="s">
        <v>28</v>
      </c>
      <c r="P112" s="247" t="s">
        <v>218</v>
      </c>
      <c r="Q112" s="247"/>
      <c r="R112" s="247" t="s">
        <v>56</v>
      </c>
      <c r="S112" s="247" t="s">
        <f>VLOOKUP(B112,'零期·UV电访分配'!B:Q,15,0)</f>
        <v>88</v>
      </c>
      <c r="T112" s="247" t="s">
        <v>29</v>
      </c>
      <c r="U112" s="247"/>
      <c r="V112" s="247"/>
      <c r="W112" s="246" t="s">
        <v>1492</v>
      </c>
      <c r="X112" s="246" t="s">
        <v>2054</v>
      </c>
      <c r="AA112" s="251"/>
      <c r="AB112" s="251"/>
      <c r="AC112" s="251"/>
      <c r="AD112" s="251"/>
      <c r="AE112" s="251"/>
      <c r="AF112" s="251"/>
      <c r="AG112" s="251"/>
      <c r="AH112" s="251"/>
      <c r="AI112" s="251"/>
      <c r="AJ112" s="251"/>
      <c r="AK112" s="251"/>
      <c r="AN112" s="251"/>
      <c r="AO112" s="251"/>
      <c r="AR112" s="251"/>
      <c r="AS112" s="251"/>
      <c r="AT112" s="251"/>
      <c r="AU112" s="251"/>
      <c r="AV112" s="251"/>
    </row>
    <row r="113" ht="39" customHeight="1">
      <c r="A113" s="248" t="s">
        <v>54</v>
      </c>
      <c r="B113" s="248" t="n">
        <v>2578142359</v>
      </c>
      <c r="C113" s="247" t="s">
        <v>1177</v>
      </c>
      <c r="D113" s="247" t="s">
        <v>55</v>
      </c>
      <c r="E113" s="247" t="s">
        <v>28</v>
      </c>
      <c r="F113" s="247" t="s">
        <v>2055</v>
      </c>
      <c r="G113" s="247" t="s">
        <v>218</v>
      </c>
      <c r="H113" s="247" t="s">
        <v>31</v>
      </c>
      <c r="I113" s="247" t="s">
        <f>VLOOKUP(B113,'零期·UV电访分配'!B:Q,7,0)</f>
        <v>88</v>
      </c>
      <c r="J113" s="247" t="s">
        <v>29</v>
      </c>
      <c r="K113" s="247"/>
      <c r="L113" s="342"/>
      <c r="M113" s="247" t="s">
        <v>43</v>
      </c>
      <c r="N113" s="247" t="s">
        <f>VLOOKUP(B113,'零期·UV电访分配'!B:Q,11,0)</f>
        <v>88</v>
      </c>
      <c r="O113" s="247" t="s">
        <v>28</v>
      </c>
      <c r="P113" s="247" t="s">
        <v>218</v>
      </c>
      <c r="Q113" s="247" t="s">
        <v>1419</v>
      </c>
      <c r="R113" s="247" t="s">
        <v>56</v>
      </c>
      <c r="S113" s="247" t="s">
        <f>VLOOKUP(B113,'零期·UV电访分配'!B:Q,15,0)</f>
        <v>88</v>
      </c>
      <c r="T113" s="247" t="s">
        <v>28</v>
      </c>
      <c r="U113" s="247" t="s">
        <v>2056</v>
      </c>
      <c r="V113" s="247"/>
      <c r="W113" s="246" t="s">
        <v>1366</v>
      </c>
      <c r="X113" s="246" t="s">
        <v>2057</v>
      </c>
      <c r="AA113" s="251"/>
      <c r="AB113" s="251"/>
      <c r="AC113" s="251"/>
      <c r="AD113" s="251"/>
      <c r="AE113" s="251"/>
      <c r="AF113" s="251"/>
      <c r="AG113" s="251"/>
      <c r="AH113" s="251"/>
      <c r="AI113" s="251"/>
      <c r="AJ113" s="251"/>
      <c r="AK113" s="251"/>
      <c r="AN113" s="251"/>
      <c r="AO113" s="251"/>
      <c r="AR113" s="251"/>
      <c r="AS113" s="251"/>
      <c r="AT113" s="251"/>
      <c r="AU113" s="251"/>
      <c r="AV113" s="251"/>
    </row>
    <row r="114" ht="26.25" customHeight="1">
      <c r="A114" s="318" t="s">
        <v>54</v>
      </c>
      <c r="B114" s="318" t="n">
        <v>4484241011</v>
      </c>
      <c r="C114" s="114" t="s">
        <v>1148</v>
      </c>
      <c r="D114" s="247" t="s">
        <v>57</v>
      </c>
      <c r="E114" s="247" t="s">
        <v>29</v>
      </c>
      <c r="F114" s="247"/>
      <c r="G114" s="247" t="s">
        <v>218</v>
      </c>
      <c r="H114" s="247" t="s">
        <v>31</v>
      </c>
      <c r="I114" s="247" t="s">
        <f>VLOOKUP(B114,'零期·UV电访分配'!B:Q,7,0)</f>
        <v>88</v>
      </c>
      <c r="J114" s="247" t="s">
        <v>29</v>
      </c>
      <c r="K114" s="247"/>
      <c r="L114" s="342"/>
      <c r="M114" s="247" t="s">
        <v>47</v>
      </c>
      <c r="N114" s="247" t="s">
        <f>VLOOKUP(B114,'零期·UV电访分配'!B:Q,11,0)</f>
        <v>88</v>
      </c>
      <c r="O114" s="247" t="s">
        <v>28</v>
      </c>
      <c r="P114" s="247" t="s">
        <v>218</v>
      </c>
      <c r="Q114" s="247" t="s">
        <v>2058</v>
      </c>
      <c r="R114" s="247" t="s">
        <v>56</v>
      </c>
      <c r="S114" s="247" t="s">
        <f>VLOOKUP(B114,'零期·UV电访分配'!B:Q,15,0)</f>
        <v>88</v>
      </c>
      <c r="T114" s="247" t="s">
        <v>29</v>
      </c>
      <c r="U114" s="247"/>
      <c r="V114" s="247"/>
      <c r="W114" s="246" t="s">
        <v>59</v>
      </c>
      <c r="X114" s="246" t="s">
        <v>2059</v>
      </c>
    </row>
    <row r="115" ht="16.5" customHeight="1">
      <c r="A115" s="248" t="s">
        <v>54</v>
      </c>
      <c r="B115" s="248" t="n">
        <v>2515578569</v>
      </c>
      <c r="C115" s="247" t="s">
        <v>827</v>
      </c>
      <c r="D115" s="247" t="s">
        <v>59</v>
      </c>
      <c r="E115" s="247" t="s">
        <v>28</v>
      </c>
      <c r="F115" s="247"/>
      <c r="G115" s="247" t="s">
        <v>218</v>
      </c>
      <c r="H115" s="247" t="s">
        <v>31</v>
      </c>
      <c r="I115" s="247" t="s">
        <f>VLOOKUP(B115,'零期·UV电访分配'!B:Q,7,0)</f>
        <v>101</v>
      </c>
      <c r="J115" s="247" t="s">
        <v>29</v>
      </c>
      <c r="K115" s="247"/>
      <c r="L115" s="247" t="s">
        <v>2060</v>
      </c>
      <c r="M115" s="247" t="s">
        <v>116</v>
      </c>
      <c r="N115" s="366" t="s">
        <f>VLOOKUP(B115,'零期·UV电访分配'!B:Q,11,0)</f>
        <v>101</v>
      </c>
      <c r="O115" s="366"/>
      <c r="P115" s="366"/>
      <c r="Q115" s="366"/>
      <c r="R115" s="247" t="s">
        <v>56</v>
      </c>
      <c r="S115" s="247" t="s">
        <f>VLOOKUP(B115,'零期·UV电访分配'!B:Q,15,0)</f>
        <v>101</v>
      </c>
      <c r="T115" s="247" t="s">
        <v>29</v>
      </c>
      <c r="U115" s="247"/>
      <c r="V115" s="247"/>
      <c r="X115" s="246" t="s">
        <v>2061</v>
      </c>
    </row>
    <row r="116" ht="16.5" customHeight="1">
      <c r="A116" s="369" t="s">
        <v>54</v>
      </c>
      <c r="B116" s="369" t="n">
        <v>2572765383</v>
      </c>
      <c r="C116" s="370" t="s">
        <v>962</v>
      </c>
      <c r="D116" s="371" t="s">
        <v>57</v>
      </c>
      <c r="E116" s="371" t="s">
        <v>29</v>
      </c>
      <c r="F116" s="371"/>
      <c r="G116" s="371" t="s">
        <v>218</v>
      </c>
      <c r="H116" s="371" t="s">
        <v>116</v>
      </c>
      <c r="I116" s="371" t="s">
        <f>VLOOKUP(B116,'零期·UV电访分配'!B:Q,7,0)</f>
        <v>116</v>
      </c>
      <c r="J116" s="371"/>
      <c r="K116" s="371"/>
      <c r="L116" s="392"/>
      <c r="M116" s="371" t="s">
        <v>116</v>
      </c>
      <c r="N116" s="371" t="s">
        <f>VLOOKUP(B116,'零期·UV电访分配'!B:Q,11,0)</f>
        <v>116</v>
      </c>
      <c r="O116" s="371"/>
      <c r="P116" s="371"/>
      <c r="Q116" s="371"/>
      <c r="R116" s="371" t="s">
        <v>56</v>
      </c>
      <c r="S116" s="371" t="s">
        <f>VLOOKUP(B116,'零期·UV电访分配'!B:Q,15,0)</f>
        <v>65</v>
      </c>
      <c r="T116" s="371" t="s">
        <v>29</v>
      </c>
      <c r="U116" s="371" t="s">
        <v>217</v>
      </c>
      <c r="V116" s="371" t="s">
        <v>2062</v>
      </c>
      <c r="W116" s="246" t="s">
        <v>1492</v>
      </c>
      <c r="X116" s="371" t="s">
        <v>2062</v>
      </c>
      <c r="AA116" s="251"/>
      <c r="AB116" s="251"/>
      <c r="AC116" s="251"/>
      <c r="AD116" s="251"/>
      <c r="AE116" s="251"/>
      <c r="AF116" s="251"/>
      <c r="AG116" s="251"/>
      <c r="AH116" s="251"/>
      <c r="AI116" s="251"/>
      <c r="AJ116" s="251"/>
      <c r="AK116" s="251"/>
      <c r="AN116" s="251"/>
      <c r="AO116" s="251"/>
      <c r="AR116" s="251"/>
      <c r="AS116" s="251"/>
      <c r="AT116" s="251"/>
      <c r="AU116" s="251"/>
      <c r="AV116" s="251"/>
    </row>
    <row r="117" ht="39" customHeight="1">
      <c r="A117" s="370" t="s">
        <v>54</v>
      </c>
      <c r="B117" s="370" t="n">
        <v>4854640403</v>
      </c>
      <c r="C117" s="370" t="s">
        <v>1009</v>
      </c>
      <c r="D117" s="371" t="s">
        <v>57</v>
      </c>
      <c r="E117" s="371" t="s">
        <v>28</v>
      </c>
      <c r="F117" s="371" t="s">
        <v>2063</v>
      </c>
      <c r="G117" s="371" t="s">
        <v>218</v>
      </c>
      <c r="H117" s="371" t="s">
        <v>116</v>
      </c>
      <c r="I117" s="371" t="s">
        <f>VLOOKUP(B117,'零期·UV电访分配'!B:Q,7,0)</f>
        <v>116</v>
      </c>
      <c r="J117" s="371"/>
      <c r="K117" s="371"/>
      <c r="L117" s="392"/>
      <c r="M117" s="371" t="s">
        <v>43</v>
      </c>
      <c r="N117" s="371" t="s">
        <f>VLOOKUP(B117,'零期·UV电访分配'!B:Q,11,0)</f>
        <v>88</v>
      </c>
      <c r="O117" s="371" t="s">
        <v>28</v>
      </c>
      <c r="P117" s="371" t="s">
        <v>217</v>
      </c>
      <c r="Q117" s="371" t="s">
        <v>2064</v>
      </c>
      <c r="R117" s="371" t="s">
        <v>56</v>
      </c>
      <c r="S117" s="371" t="s">
        <f>VLOOKUP(B117,'零期·UV电访分配'!B:Q,15,0)</f>
        <v>88</v>
      </c>
      <c r="T117" s="371" t="s">
        <v>29</v>
      </c>
      <c r="U117" s="371" t="s">
        <v>217</v>
      </c>
      <c r="V117" s="392" t="s">
        <v>2065</v>
      </c>
      <c r="W117" s="246" t="s">
        <v>1366</v>
      </c>
      <c r="X117" s="246" t="s">
        <v>2066</v>
      </c>
      <c r="AA117" s="251"/>
      <c r="AB117" s="251"/>
      <c r="AC117" s="251"/>
      <c r="AD117" s="251"/>
      <c r="AE117" s="251"/>
      <c r="AF117" s="251"/>
      <c r="AG117" s="251"/>
      <c r="AH117" s="251"/>
      <c r="AI117" s="251"/>
      <c r="AJ117" s="251"/>
      <c r="AK117" s="251"/>
      <c r="AN117" s="251"/>
      <c r="AO117" s="251"/>
      <c r="AR117" s="251"/>
      <c r="AS117" s="251"/>
      <c r="AT117" s="251"/>
      <c r="AU117" s="251"/>
      <c r="AV117" s="251"/>
    </row>
    <row r="118" ht="26.25" customHeight="1">
      <c r="A118" s="369" t="s">
        <v>54</v>
      </c>
      <c r="B118" s="369" t="n">
        <v>2562153035</v>
      </c>
      <c r="C118" s="370" t="s">
        <v>1088</v>
      </c>
      <c r="D118" s="370" t="s">
        <v>57</v>
      </c>
      <c r="E118" s="371" t="s">
        <v>28</v>
      </c>
      <c r="F118" s="371" t="s">
        <v>2067</v>
      </c>
      <c r="G118" s="371" t="s">
        <v>217</v>
      </c>
      <c r="H118" s="371" t="s">
        <v>116</v>
      </c>
      <c r="I118" s="371" t="s">
        <f>VLOOKUP(B118,'零期·UV电访分配'!B:Q,7,0)</f>
        <v>116</v>
      </c>
      <c r="J118" s="371"/>
      <c r="K118" s="371"/>
      <c r="L118" s="392"/>
      <c r="M118" s="371" t="s">
        <v>43</v>
      </c>
      <c r="N118" s="371" t="s">
        <f>VLOOKUP(B118,'零期·UV电访分配'!B:Q,11,0)</f>
        <v>88</v>
      </c>
      <c r="O118" s="371" t="s">
        <v>29</v>
      </c>
      <c r="P118" s="371" t="s">
        <v>217</v>
      </c>
      <c r="Q118" s="371" t="s">
        <v>2064</v>
      </c>
      <c r="R118" s="371" t="s">
        <v>58</v>
      </c>
      <c r="S118" s="371"/>
      <c r="T118" s="371"/>
      <c r="U118" s="371"/>
      <c r="V118" s="371" t="s">
        <v>2068</v>
      </c>
      <c r="W118" s="246" t="s">
        <v>1492</v>
      </c>
      <c r="X118" s="246" t="s">
        <v>2069</v>
      </c>
      <c r="AA118" s="251"/>
      <c r="AB118" s="251"/>
      <c r="AC118" s="251"/>
      <c r="AD118" s="251"/>
      <c r="AE118" s="251"/>
      <c r="AF118" s="251"/>
      <c r="AG118" s="251"/>
      <c r="AH118" s="251"/>
      <c r="AI118" s="251"/>
      <c r="AJ118" s="251"/>
      <c r="AK118" s="251"/>
      <c r="AN118" s="251"/>
      <c r="AO118" s="251"/>
      <c r="AR118" s="251"/>
      <c r="AS118" s="251"/>
      <c r="AT118" s="251"/>
      <c r="AU118" s="251"/>
      <c r="AV118" s="251"/>
    </row>
    <row r="119" ht="16.5" customHeight="1">
      <c r="A119" s="373" t="s">
        <v>54</v>
      </c>
      <c r="B119" s="373" t="n">
        <v>4100299520</v>
      </c>
      <c r="C119" s="371" t="s">
        <v>605</v>
      </c>
      <c r="D119" s="371" t="s">
        <v>34</v>
      </c>
      <c r="E119" s="371" t="s">
        <v>29</v>
      </c>
      <c r="F119" s="371" t="s">
        <v>2070</v>
      </c>
      <c r="G119" s="371" t="s">
        <v>218</v>
      </c>
      <c r="H119" s="371" t="s">
        <v>116</v>
      </c>
      <c r="I119" s="371" t="s">
        <f>VLOOKUP(B119,'零期·UV电访分配'!B:Q,7,0)</f>
        <v>65</v>
      </c>
      <c r="J119" s="371"/>
      <c r="K119" s="371"/>
      <c r="L119" s="392"/>
      <c r="M119" s="371" t="s">
        <v>47</v>
      </c>
      <c r="N119" s="371" t="s">
        <f>VLOOKUP(B119,'零期·UV电访分配'!B:Q,11,0)</f>
        <v>88</v>
      </c>
      <c r="O119" s="371" t="s">
        <v>28</v>
      </c>
      <c r="P119" s="371" t="s">
        <v>218</v>
      </c>
      <c r="Q119" s="371"/>
      <c r="R119" s="371" t="s">
        <v>56</v>
      </c>
      <c r="S119" s="371" t="s">
        <f>VLOOKUP(B119,'零期·UV电访分配'!B:Q,15,0)</f>
        <v>88</v>
      </c>
      <c r="T119" s="371" t="s">
        <v>29</v>
      </c>
      <c r="U119" s="371" t="s">
        <v>1783</v>
      </c>
      <c r="V119" s="371" t="s">
        <v>2071</v>
      </c>
      <c r="W119" s="246" t="s">
        <v>34</v>
      </c>
      <c r="X119" s="246" t="s">
        <v>2071</v>
      </c>
      <c r="AA119" s="251"/>
      <c r="AB119" s="251"/>
      <c r="AC119" s="251"/>
      <c r="AD119" s="251"/>
      <c r="AE119" s="251"/>
      <c r="AF119" s="251"/>
      <c r="AG119" s="251"/>
      <c r="AH119" s="251"/>
      <c r="AI119" s="251"/>
      <c r="AJ119" s="251"/>
      <c r="AK119" s="251"/>
      <c r="AN119" s="251"/>
      <c r="AO119" s="251"/>
      <c r="AR119" s="251"/>
      <c r="AS119" s="251"/>
      <c r="AT119" s="251"/>
      <c r="AU119" s="251"/>
      <c r="AV119" s="251"/>
    </row>
    <row r="120" ht="16.5" customHeight="1">
      <c r="A120" s="369" t="s">
        <v>54</v>
      </c>
      <c r="B120" s="369" t="n">
        <v>4087881429</v>
      </c>
      <c r="C120" s="370" t="s">
        <v>1118</v>
      </c>
      <c r="D120" s="371" t="s">
        <v>57</v>
      </c>
      <c r="E120" s="371" t="s">
        <v>29</v>
      </c>
      <c r="F120" s="371"/>
      <c r="G120" s="371" t="s">
        <v>218</v>
      </c>
      <c r="H120" s="371" t="s">
        <v>116</v>
      </c>
      <c r="I120" s="371" t="s">
        <f>VLOOKUP(B120,'零期·UV电访分配'!B:Q,7,0)</f>
        <v>100</v>
      </c>
      <c r="J120" s="371"/>
      <c r="K120" s="371"/>
      <c r="L120" s="392" t="s">
        <v>2072</v>
      </c>
      <c r="M120" s="371" t="s">
        <v>43</v>
      </c>
      <c r="N120" s="371" t="s">
        <f>VLOOKUP(B120,'零期·UV电访分配'!B:Q,11,0)</f>
        <v>88</v>
      </c>
      <c r="O120" s="371" t="s">
        <v>28</v>
      </c>
      <c r="P120" s="371" t="s">
        <v>217</v>
      </c>
      <c r="Q120" s="371" t="s">
        <v>2073</v>
      </c>
      <c r="R120" s="371" t="s">
        <v>58</v>
      </c>
      <c r="S120" s="371"/>
      <c r="T120" s="371"/>
      <c r="U120" s="371"/>
      <c r="V120" s="371"/>
      <c r="W120" s="246" t="s">
        <v>1492</v>
      </c>
      <c r="X120" s="246" t="s">
        <v>2074</v>
      </c>
      <c r="AA120" s="251"/>
      <c r="AB120" s="251"/>
      <c r="AC120" s="251"/>
      <c r="AD120" s="251"/>
      <c r="AE120" s="251"/>
      <c r="AF120" s="251"/>
      <c r="AG120" s="251"/>
      <c r="AH120" s="251"/>
      <c r="AI120" s="251"/>
      <c r="AJ120" s="251"/>
      <c r="AK120" s="251"/>
      <c r="AN120" s="251"/>
      <c r="AO120" s="251"/>
      <c r="AR120" s="251"/>
      <c r="AS120" s="251"/>
      <c r="AT120" s="251"/>
      <c r="AU120" s="251"/>
      <c r="AV120" s="251"/>
    </row>
    <row r="121" ht="16.5" customHeight="1">
      <c r="A121" s="248" t="s">
        <v>54</v>
      </c>
      <c r="B121" s="248" t="n">
        <v>4827301500</v>
      </c>
      <c r="C121" s="247" t="s">
        <v>959</v>
      </c>
      <c r="D121" s="247" t="s">
        <v>55</v>
      </c>
      <c r="E121" s="247" t="s">
        <v>29</v>
      </c>
      <c r="F121" s="247" t="s">
        <v>2075</v>
      </c>
      <c r="G121" s="247" t="s">
        <v>218</v>
      </c>
      <c r="H121" s="247" t="s">
        <v>1431</v>
      </c>
      <c r="I121" s="247" t="s">
        <f>VLOOKUP(B121,'零期·UV电访分配'!B:Q,7,0)</f>
        <v>101</v>
      </c>
      <c r="J121" s="247" t="s">
        <v>29</v>
      </c>
      <c r="K121" s="247"/>
      <c r="L121" s="342"/>
      <c r="M121" s="247"/>
      <c r="N121" s="247"/>
      <c r="O121" s="247"/>
      <c r="P121" s="247"/>
      <c r="Q121" s="247"/>
      <c r="R121" s="247" t="s">
        <v>56</v>
      </c>
      <c r="S121" s="247" t="s">
        <f>VLOOKUP(B121,'零期·UV电访分配'!B:Q,15,0)</f>
        <v>101</v>
      </c>
      <c r="T121" s="247" t="s">
        <v>29</v>
      </c>
      <c r="U121" s="247"/>
      <c r="V121" s="247" t="s">
        <v>2076</v>
      </c>
      <c r="W121" s="246" t="s">
        <v>1366</v>
      </c>
      <c r="X121" s="246" t="s">
        <v>2077</v>
      </c>
    </row>
    <row r="122" ht="16.5" customHeight="1">
      <c r="A122" s="114"/>
      <c r="B122" s="114"/>
      <c r="C122" s="114"/>
      <c r="D122" s="247"/>
      <c r="E122" s="247"/>
      <c r="F122" s="247"/>
      <c r="G122" s="247"/>
      <c r="H122" s="247"/>
      <c r="I122" s="247"/>
      <c r="J122" s="247"/>
      <c r="K122" s="247"/>
      <c r="L122" s="247"/>
      <c r="M122" s="247"/>
      <c r="N122" s="247"/>
      <c r="O122" s="247"/>
      <c r="P122" s="247"/>
      <c r="Q122" s="247"/>
      <c r="R122" s="247"/>
      <c r="S122" s="247"/>
      <c r="T122" s="247"/>
      <c r="U122" s="247"/>
      <c r="V122" s="247"/>
      <c r="AA122" s="251"/>
      <c r="AB122" s="251"/>
      <c r="AC122" s="251"/>
      <c r="AD122" s="251"/>
      <c r="AE122" s="251"/>
      <c r="AF122" s="251"/>
      <c r="AG122" s="251"/>
      <c r="AH122" s="251"/>
      <c r="AI122" s="251"/>
      <c r="AJ122" s="251"/>
      <c r="AK122" s="251"/>
      <c r="AN122" s="251"/>
      <c r="AO122" s="251"/>
      <c r="AR122" s="251"/>
      <c r="AS122" s="251"/>
      <c r="AT122" s="251"/>
      <c r="AU122" s="251"/>
      <c r="AV122" s="251"/>
    </row>
    <row r="123" ht="16.5" customHeight="1">
      <c r="A123" s="114"/>
      <c r="B123" s="114"/>
      <c r="C123" s="114"/>
      <c r="D123" s="247"/>
      <c r="E123" s="247"/>
      <c r="F123" s="247"/>
      <c r="G123" s="247"/>
      <c r="H123" s="247"/>
      <c r="I123" s="247"/>
      <c r="J123" s="247"/>
      <c r="K123" s="247"/>
      <c r="L123" s="247"/>
      <c r="M123" s="247"/>
      <c r="N123" s="247"/>
      <c r="O123" s="247"/>
      <c r="P123" s="247"/>
      <c r="Q123" s="247"/>
      <c r="R123" s="247"/>
      <c r="S123" s="247"/>
      <c r="T123" s="247"/>
      <c r="U123" s="247"/>
      <c r="V123" s="247"/>
      <c r="AA123" s="251"/>
      <c r="AB123" s="251"/>
      <c r="AC123" s="251"/>
      <c r="AD123" s="251"/>
      <c r="AE123" s="251"/>
      <c r="AF123" s="251"/>
      <c r="AG123" s="251"/>
      <c r="AH123" s="251"/>
      <c r="AI123" s="251"/>
      <c r="AJ123" s="251"/>
      <c r="AK123" s="251"/>
      <c r="AN123" s="251"/>
      <c r="AO123" s="251"/>
      <c r="AR123" s="251"/>
      <c r="AS123" s="251"/>
      <c r="AT123" s="251"/>
      <c r="AU123" s="251"/>
      <c r="AV123" s="251"/>
    </row>
    <row r="124" ht="16.5" customHeight="1">
      <c r="A124" s="37"/>
      <c r="B124" s="5"/>
      <c r="C124" s="5"/>
      <c r="D124" s="247"/>
      <c r="E124" s="247"/>
      <c r="F124" s="247"/>
      <c r="G124" s="247"/>
      <c r="H124" s="247"/>
      <c r="I124" s="247"/>
      <c r="J124" s="247"/>
      <c r="K124" s="247"/>
      <c r="L124" s="247"/>
      <c r="M124" s="247"/>
      <c r="N124" s="247"/>
      <c r="O124" s="247"/>
      <c r="P124" s="247"/>
      <c r="Q124" s="247"/>
      <c r="R124" s="247"/>
      <c r="S124" s="247"/>
      <c r="T124" s="247"/>
      <c r="U124" s="247"/>
      <c r="V124" s="247"/>
      <c r="AA124" s="251"/>
      <c r="AB124" s="251"/>
      <c r="AC124" s="251"/>
      <c r="AD124" s="251"/>
      <c r="AE124" s="251"/>
      <c r="AF124" s="251"/>
      <c r="AG124" s="251"/>
      <c r="AH124" s="251"/>
      <c r="AI124" s="251"/>
      <c r="AJ124" s="251"/>
      <c r="AK124" s="251"/>
      <c r="AN124" s="251"/>
      <c r="AO124" s="251"/>
      <c r="AR124" s="251"/>
      <c r="AS124" s="251"/>
      <c r="AT124" s="251"/>
      <c r="AU124" s="251"/>
      <c r="AV124" s="251"/>
    </row>
    <row r="125" ht="16.5" customHeight="1">
      <c r="A125" s="37"/>
      <c r="B125" s="5"/>
      <c r="C125" s="5"/>
      <c r="D125" s="247"/>
      <c r="E125" s="247"/>
      <c r="F125" s="247"/>
      <c r="G125" s="247"/>
      <c r="H125" s="247"/>
      <c r="I125" s="247"/>
      <c r="J125" s="247"/>
      <c r="K125" s="247"/>
      <c r="L125" s="247"/>
      <c r="M125" s="247"/>
      <c r="N125" s="247"/>
      <c r="O125" s="247"/>
      <c r="P125" s="247"/>
      <c r="Q125" s="247"/>
      <c r="R125" s="247"/>
      <c r="S125" s="247"/>
      <c r="T125" s="247"/>
      <c r="U125" s="247"/>
      <c r="V125" s="247"/>
      <c r="AA125" s="251"/>
      <c r="AB125" s="251"/>
      <c r="AC125" s="251"/>
      <c r="AD125" s="251"/>
      <c r="AE125" s="251"/>
      <c r="AF125" s="251"/>
      <c r="AG125" s="251"/>
      <c r="AH125" s="251"/>
      <c r="AI125" s="251"/>
      <c r="AJ125" s="251"/>
      <c r="AK125" s="251"/>
      <c r="AN125" s="251"/>
      <c r="AO125" s="251"/>
      <c r="AR125" s="251"/>
      <c r="AS125" s="251"/>
      <c r="AT125" s="251"/>
      <c r="AU125" s="251"/>
      <c r="AV125" s="251"/>
    </row>
    <row r="126" ht="16.5" customHeight="1">
      <c r="A126" s="318"/>
      <c r="B126" s="318"/>
      <c r="C126" s="114"/>
      <c r="D126" s="247"/>
      <c r="E126" s="247"/>
      <c r="F126" s="247"/>
      <c r="G126" s="247"/>
      <c r="H126" s="247"/>
      <c r="I126" s="247"/>
      <c r="J126" s="247"/>
      <c r="K126" s="247"/>
      <c r="L126" s="247"/>
      <c r="M126" s="247"/>
      <c r="N126" s="247"/>
      <c r="O126" s="247"/>
      <c r="P126" s="247"/>
      <c r="Q126" s="247"/>
      <c r="R126" s="247"/>
      <c r="S126" s="247"/>
      <c r="T126" s="247"/>
      <c r="U126" s="247"/>
      <c r="V126" s="247"/>
      <c r="AA126" s="251"/>
      <c r="AB126" s="251"/>
      <c r="AC126" s="251"/>
      <c r="AD126" s="251"/>
      <c r="AE126" s="251"/>
      <c r="AF126" s="251"/>
      <c r="AG126" s="251"/>
      <c r="AH126" s="251"/>
      <c r="AI126" s="251"/>
      <c r="AJ126" s="251"/>
      <c r="AK126" s="251"/>
      <c r="AN126" s="251"/>
      <c r="AO126" s="251"/>
      <c r="AR126" s="251"/>
      <c r="AS126" s="251"/>
      <c r="AT126" s="251"/>
      <c r="AU126" s="251"/>
      <c r="AV126" s="251"/>
    </row>
    <row r="127" ht="16.5" customHeight="1">
      <c r="A127" s="318"/>
      <c r="B127" s="318"/>
      <c r="C127" s="114"/>
      <c r="I127" s="247"/>
      <c r="L127" s="246"/>
      <c r="AA127" s="251"/>
      <c r="AB127" s="251"/>
      <c r="AC127" s="251"/>
      <c r="AD127" s="251"/>
      <c r="AE127" s="251"/>
      <c r="AF127" s="251"/>
      <c r="AG127" s="251"/>
      <c r="AH127" s="251"/>
      <c r="AI127" s="251"/>
      <c r="AJ127" s="251"/>
      <c r="AK127" s="251"/>
      <c r="AN127" s="251"/>
      <c r="AO127" s="251"/>
      <c r="AR127" s="251"/>
      <c r="AS127" s="251"/>
      <c r="AT127" s="251"/>
      <c r="AU127" s="251"/>
      <c r="AV127" s="251"/>
    </row>
    <row r="128" ht="16.5" customHeight="1">
      <c r="A128" s="318"/>
      <c r="B128" s="318"/>
      <c r="C128" s="114"/>
      <c r="I128" s="247"/>
      <c r="L128" s="246"/>
      <c r="AA128" s="251"/>
      <c r="AB128" s="251"/>
      <c r="AC128" s="251"/>
      <c r="AD128" s="251"/>
      <c r="AE128" s="251"/>
      <c r="AF128" s="251"/>
      <c r="AG128" s="251"/>
      <c r="AH128" s="251"/>
      <c r="AI128" s="251"/>
      <c r="AJ128" s="251"/>
      <c r="AK128" s="251"/>
      <c r="AN128" s="251"/>
      <c r="AO128" s="251"/>
      <c r="AR128" s="251"/>
      <c r="AS128" s="251"/>
      <c r="AT128" s="251"/>
      <c r="AU128" s="251"/>
      <c r="AV128" s="251"/>
    </row>
    <row r="129" ht="16.5" customHeight="1">
      <c r="A129" s="318"/>
      <c r="B129" s="318"/>
      <c r="C129" s="114"/>
      <c r="I129" s="247"/>
      <c r="L129" s="246"/>
      <c r="AA129" s="251"/>
      <c r="AB129" s="251"/>
      <c r="AC129" s="251"/>
      <c r="AD129" s="251"/>
      <c r="AE129" s="251"/>
      <c r="AF129" s="251"/>
      <c r="AG129" s="251"/>
      <c r="AH129" s="251"/>
      <c r="AI129" s="251"/>
      <c r="AJ129" s="251"/>
      <c r="AK129" s="251"/>
      <c r="AN129" s="251"/>
      <c r="AO129" s="251"/>
      <c r="AR129" s="251"/>
      <c r="AS129" s="251"/>
      <c r="AT129" s="251"/>
      <c r="AU129" s="251"/>
      <c r="AV129" s="251"/>
    </row>
    <row r="130" ht="16.5" customHeight="1">
      <c r="A130" s="318"/>
      <c r="B130" s="318"/>
      <c r="C130" s="114"/>
      <c r="I130" s="247"/>
      <c r="L130" s="246"/>
      <c r="AA130" s="251"/>
      <c r="AB130" s="251"/>
      <c r="AC130" s="251"/>
      <c r="AD130" s="251"/>
      <c r="AE130" s="251"/>
      <c r="AF130" s="251"/>
      <c r="AG130" s="251"/>
      <c r="AH130" s="251"/>
      <c r="AI130" s="251"/>
      <c r="AJ130" s="251"/>
      <c r="AK130" s="251"/>
      <c r="AN130" s="251"/>
      <c r="AO130" s="251"/>
      <c r="AR130" s="251"/>
      <c r="AS130" s="251"/>
      <c r="AT130" s="251"/>
      <c r="AU130" s="251"/>
      <c r="AV130" s="251"/>
    </row>
    <row r="131" ht="16.5" customHeight="1">
      <c r="A131" s="37"/>
      <c r="B131" s="5"/>
      <c r="C131" s="5"/>
      <c r="I131" s="247"/>
      <c r="L131" s="246"/>
      <c r="AA131" s="251"/>
      <c r="AB131" s="251"/>
      <c r="AC131" s="251"/>
      <c r="AD131" s="251"/>
      <c r="AE131" s="251"/>
      <c r="AF131" s="251"/>
      <c r="AG131" s="251"/>
      <c r="AH131" s="251"/>
      <c r="AI131" s="251"/>
      <c r="AJ131" s="251"/>
      <c r="AK131" s="251"/>
      <c r="AN131" s="251"/>
      <c r="AO131" s="251"/>
      <c r="AR131" s="251"/>
      <c r="AS131" s="251"/>
      <c r="AT131" s="251"/>
      <c r="AU131" s="251"/>
      <c r="AV131" s="251"/>
    </row>
    <row r="132" ht="16.5" customHeight="1">
      <c r="A132" s="318"/>
      <c r="B132" s="318"/>
      <c r="C132" s="114"/>
      <c r="L132" s="246"/>
      <c r="AA132" s="251"/>
      <c r="AB132" s="251"/>
      <c r="AC132" s="251"/>
      <c r="AD132" s="251"/>
      <c r="AE132" s="251"/>
      <c r="AF132" s="251"/>
      <c r="AG132" s="251"/>
      <c r="AH132" s="251"/>
      <c r="AI132" s="251"/>
      <c r="AJ132" s="251"/>
      <c r="AK132" s="251"/>
      <c r="AN132" s="251"/>
      <c r="AO132" s="251"/>
      <c r="AR132" s="251"/>
      <c r="AS132" s="251"/>
      <c r="AT132" s="251"/>
      <c r="AU132" s="251"/>
      <c r="AV132" s="251"/>
    </row>
    <row r="133" ht="16.5" customHeight="1">
      <c r="A133" s="318"/>
      <c r="B133" s="318"/>
      <c r="C133" s="114"/>
      <c r="L133" s="246"/>
      <c r="AA133" s="251"/>
      <c r="AB133" s="251"/>
      <c r="AC133" s="251"/>
      <c r="AD133" s="251"/>
      <c r="AE133" s="251"/>
      <c r="AF133" s="251"/>
      <c r="AG133" s="251"/>
      <c r="AH133" s="251"/>
      <c r="AI133" s="251"/>
      <c r="AJ133" s="251"/>
      <c r="AK133" s="251"/>
      <c r="AN133" s="251"/>
      <c r="AO133" s="251"/>
      <c r="AR133" s="251"/>
      <c r="AS133" s="251"/>
      <c r="AT133" s="251"/>
      <c r="AU133" s="251"/>
      <c r="AV133" s="251"/>
    </row>
    <row r="134" ht="16.5" customHeight="1">
      <c r="A134" s="318"/>
      <c r="B134" s="318"/>
      <c r="C134" s="114"/>
      <c r="L134" s="246"/>
      <c r="AA134" s="251"/>
      <c r="AB134" s="251"/>
      <c r="AC134" s="251"/>
      <c r="AD134" s="251"/>
      <c r="AE134" s="251"/>
      <c r="AF134" s="251"/>
      <c r="AG134" s="251"/>
      <c r="AH134" s="251"/>
      <c r="AI134" s="251"/>
      <c r="AJ134" s="251"/>
      <c r="AK134" s="251"/>
      <c r="AN134" s="251"/>
      <c r="AO134" s="251"/>
      <c r="AR134" s="251"/>
      <c r="AS134" s="251"/>
      <c r="AT134" s="251"/>
      <c r="AU134" s="251"/>
      <c r="AV134" s="251"/>
    </row>
    <row r="135" ht="16.5" customHeight="1">
      <c r="A135" s="318"/>
      <c r="B135" s="318"/>
      <c r="C135" s="114"/>
      <c r="L135" s="246"/>
      <c r="AA135" s="251"/>
      <c r="AB135" s="251"/>
      <c r="AC135" s="251"/>
      <c r="AD135" s="251"/>
      <c r="AE135" s="251"/>
      <c r="AF135" s="251"/>
      <c r="AG135" s="251"/>
      <c r="AH135" s="251"/>
      <c r="AI135" s="251"/>
      <c r="AJ135" s="251"/>
      <c r="AK135" s="251"/>
      <c r="AN135" s="251"/>
      <c r="AO135" s="251"/>
      <c r="AR135" s="251"/>
      <c r="AS135" s="251"/>
      <c r="AT135" s="251"/>
      <c r="AU135" s="251"/>
      <c r="AV135" s="251"/>
    </row>
    <row r="136" ht="16.5" customHeight="1">
      <c r="A136" s="318"/>
      <c r="B136" s="318"/>
      <c r="C136" s="114"/>
      <c r="L136" s="246"/>
      <c r="AA136" s="251"/>
      <c r="AB136" s="251"/>
      <c r="AC136" s="251"/>
      <c r="AD136" s="251"/>
      <c r="AE136" s="251"/>
      <c r="AF136" s="251"/>
      <c r="AG136" s="251"/>
      <c r="AH136" s="251"/>
      <c r="AI136" s="251"/>
      <c r="AJ136" s="251"/>
      <c r="AK136" s="251"/>
      <c r="AN136" s="251"/>
      <c r="AO136" s="251"/>
      <c r="AR136" s="251"/>
      <c r="AS136" s="251"/>
      <c r="AT136" s="251"/>
      <c r="AU136" s="251"/>
      <c r="AV136" s="251"/>
    </row>
    <row r="137" ht="16.5" customHeight="1">
      <c r="A137" s="318"/>
      <c r="B137" s="318"/>
      <c r="C137" s="114"/>
      <c r="L137" s="246"/>
      <c r="AA137" s="251"/>
      <c r="AB137" s="251"/>
      <c r="AC137" s="251"/>
      <c r="AD137" s="251"/>
      <c r="AE137" s="251"/>
      <c r="AF137" s="251"/>
      <c r="AG137" s="251"/>
      <c r="AH137" s="251"/>
      <c r="AI137" s="251"/>
      <c r="AJ137" s="251"/>
      <c r="AK137" s="251"/>
      <c r="AN137" s="251"/>
      <c r="AO137" s="251"/>
      <c r="AR137" s="251"/>
      <c r="AS137" s="251"/>
      <c r="AT137" s="251"/>
      <c r="AU137" s="251"/>
      <c r="AV137" s="251"/>
    </row>
    <row r="138" ht="16.5" customHeight="1">
      <c r="A138" s="318"/>
      <c r="B138" s="318"/>
      <c r="C138" s="114"/>
      <c r="L138" s="246"/>
      <c r="AA138" s="251"/>
      <c r="AB138" s="251"/>
      <c r="AC138" s="251"/>
      <c r="AD138" s="251"/>
      <c r="AE138" s="251"/>
      <c r="AF138" s="251"/>
      <c r="AG138" s="251"/>
      <c r="AH138" s="251"/>
      <c r="AI138" s="251"/>
      <c r="AJ138" s="251"/>
      <c r="AK138" s="251"/>
      <c r="AN138" s="251"/>
      <c r="AO138" s="251"/>
      <c r="AR138" s="251"/>
      <c r="AS138" s="251"/>
      <c r="AT138" s="251"/>
      <c r="AU138" s="251"/>
      <c r="AV138" s="251"/>
    </row>
    <row r="139" ht="16.5" customHeight="1">
      <c r="A139" s="318"/>
      <c r="B139" s="318"/>
      <c r="C139" s="114"/>
      <c r="L139" s="246"/>
      <c r="AA139" s="251"/>
      <c r="AB139" s="251"/>
      <c r="AC139" s="251"/>
      <c r="AD139" s="251"/>
      <c r="AE139" s="251"/>
      <c r="AF139" s="251"/>
      <c r="AG139" s="251"/>
      <c r="AH139" s="251"/>
      <c r="AI139" s="251"/>
      <c r="AJ139" s="251"/>
      <c r="AK139" s="251"/>
      <c r="AN139" s="251"/>
      <c r="AO139" s="251"/>
      <c r="AR139" s="251"/>
      <c r="AS139" s="251"/>
      <c r="AT139" s="251"/>
      <c r="AU139" s="251"/>
      <c r="AV139" s="251"/>
    </row>
    <row r="140" ht="16.5" customHeight="1">
      <c r="A140" s="37"/>
      <c r="B140" s="5"/>
      <c r="C140" s="5"/>
      <c r="L140" s="246"/>
      <c r="AA140" s="251"/>
      <c r="AB140" s="251"/>
      <c r="AC140" s="251"/>
      <c r="AD140" s="251"/>
      <c r="AE140" s="251"/>
      <c r="AF140" s="251"/>
      <c r="AG140" s="251"/>
      <c r="AH140" s="251"/>
      <c r="AI140" s="251"/>
      <c r="AJ140" s="251"/>
      <c r="AK140" s="251"/>
      <c r="AN140" s="251"/>
      <c r="AO140" s="251"/>
      <c r="AR140" s="251"/>
      <c r="AS140" s="251"/>
      <c r="AT140" s="251"/>
      <c r="AU140" s="251"/>
      <c r="AV140" s="251"/>
    </row>
    <row r="141" ht="16.5" customHeight="1">
      <c r="A141" s="318"/>
      <c r="B141" s="318"/>
      <c r="C141" s="114"/>
      <c r="L141" s="246"/>
      <c r="AA141" s="251"/>
      <c r="AB141" s="251"/>
      <c r="AC141" s="251"/>
      <c r="AD141" s="251"/>
      <c r="AE141" s="251"/>
      <c r="AF141" s="251"/>
      <c r="AG141" s="251"/>
      <c r="AH141" s="251"/>
      <c r="AI141" s="251"/>
      <c r="AJ141" s="251"/>
      <c r="AK141" s="251"/>
      <c r="AN141" s="251"/>
      <c r="AO141" s="251"/>
      <c r="AR141" s="251"/>
      <c r="AS141" s="251"/>
      <c r="AT141" s="251"/>
      <c r="AU141" s="251"/>
      <c r="AV141" s="251"/>
    </row>
    <row r="142" ht="16.5" customHeight="1">
      <c r="A142" s="37"/>
      <c r="B142" s="5"/>
      <c r="C142" s="5"/>
      <c r="L142" s="246"/>
      <c r="AA142" s="251"/>
      <c r="AB142" s="251"/>
      <c r="AC142" s="251"/>
      <c r="AD142" s="251"/>
      <c r="AE142" s="251"/>
      <c r="AF142" s="251"/>
      <c r="AG142" s="251"/>
      <c r="AH142" s="251"/>
      <c r="AI142" s="251"/>
      <c r="AJ142" s="251"/>
      <c r="AK142" s="251"/>
      <c r="AN142" s="251"/>
      <c r="AO142" s="251"/>
      <c r="AR142" s="251"/>
      <c r="AS142" s="251"/>
      <c r="AT142" s="251"/>
      <c r="AU142" s="251"/>
      <c r="AV142" s="251"/>
    </row>
    <row r="143" ht="16.5" customHeight="1">
      <c r="A143" s="37"/>
      <c r="B143" s="5"/>
      <c r="C143" s="5"/>
      <c r="L143" s="246"/>
      <c r="AA143" s="251"/>
      <c r="AB143" s="251"/>
      <c r="AC143" s="251"/>
      <c r="AD143" s="251"/>
      <c r="AE143" s="251"/>
      <c r="AF143" s="251"/>
      <c r="AG143" s="251"/>
      <c r="AH143" s="251"/>
      <c r="AI143" s="251"/>
      <c r="AJ143" s="251"/>
      <c r="AK143" s="251"/>
      <c r="AN143" s="251"/>
      <c r="AO143" s="251"/>
      <c r="AR143" s="251"/>
      <c r="AS143" s="251"/>
      <c r="AT143" s="251"/>
      <c r="AU143" s="251"/>
      <c r="AV143" s="251"/>
    </row>
    <row r="144" ht="16.5" customHeight="1">
      <c r="A144" s="318"/>
      <c r="B144" s="318"/>
      <c r="C144" s="114"/>
      <c r="L144" s="246"/>
      <c r="AA144" s="251"/>
      <c r="AB144" s="251"/>
      <c r="AC144" s="251"/>
      <c r="AD144" s="251"/>
      <c r="AE144" s="251"/>
      <c r="AF144" s="251"/>
      <c r="AG144" s="251"/>
      <c r="AH144" s="251"/>
      <c r="AI144" s="251"/>
      <c r="AJ144" s="251"/>
      <c r="AK144" s="251"/>
      <c r="AN144" s="251"/>
      <c r="AO144" s="251"/>
      <c r="AR144" s="251"/>
      <c r="AS144" s="251"/>
      <c r="AT144" s="251"/>
      <c r="AU144" s="251"/>
      <c r="AV144" s="251"/>
    </row>
    <row r="145" ht="16.5" customHeight="1">
      <c r="A145" s="318"/>
      <c r="B145" s="318"/>
      <c r="C145" s="114"/>
      <c r="L145" s="246"/>
      <c r="AA145" s="251"/>
      <c r="AB145" s="251"/>
      <c r="AC145" s="251"/>
      <c r="AD145" s="251"/>
      <c r="AE145" s="251"/>
      <c r="AF145" s="251"/>
      <c r="AG145" s="251"/>
      <c r="AH145" s="251"/>
      <c r="AI145" s="251"/>
      <c r="AJ145" s="251"/>
      <c r="AK145" s="251"/>
      <c r="AN145" s="251"/>
      <c r="AO145" s="251"/>
      <c r="AR145" s="251"/>
      <c r="AS145" s="251"/>
      <c r="AT145" s="251"/>
      <c r="AU145" s="251"/>
      <c r="AV145" s="251"/>
    </row>
    <row r="146" ht="16.5" customHeight="1">
      <c r="A146" s="318"/>
      <c r="B146" s="318"/>
      <c r="C146" s="114"/>
      <c r="L146" s="246"/>
      <c r="AA146" s="251"/>
      <c r="AB146" s="251"/>
      <c r="AC146" s="251"/>
      <c r="AD146" s="251"/>
      <c r="AE146" s="251"/>
      <c r="AF146" s="251"/>
      <c r="AG146" s="251"/>
      <c r="AH146" s="251"/>
      <c r="AI146" s="251"/>
      <c r="AJ146" s="251"/>
      <c r="AK146" s="251"/>
      <c r="AN146" s="251"/>
      <c r="AO146" s="251"/>
      <c r="AR146" s="251"/>
      <c r="AS146" s="251"/>
      <c r="AT146" s="251"/>
      <c r="AU146" s="251"/>
      <c r="AV146" s="251"/>
    </row>
    <row r="147" ht="16.5" customHeight="1">
      <c r="A147" s="318"/>
      <c r="B147" s="318"/>
      <c r="C147" s="114"/>
      <c r="L147" s="246"/>
      <c r="AA147" s="251"/>
      <c r="AB147" s="251"/>
      <c r="AC147" s="251"/>
      <c r="AD147" s="251"/>
      <c r="AE147" s="251"/>
      <c r="AF147" s="251"/>
      <c r="AG147" s="251"/>
      <c r="AH147" s="251"/>
      <c r="AI147" s="251"/>
      <c r="AJ147" s="251"/>
      <c r="AK147" s="251"/>
      <c r="AN147" s="251"/>
      <c r="AO147" s="251"/>
      <c r="AR147" s="251"/>
      <c r="AS147" s="251"/>
      <c r="AT147" s="251"/>
      <c r="AU147" s="251"/>
      <c r="AV147" s="251"/>
    </row>
    <row r="148" ht="16.5" customHeight="1">
      <c r="A148" s="318"/>
      <c r="B148" s="318"/>
      <c r="C148" s="114"/>
      <c r="L148" s="246"/>
      <c r="AA148" s="251"/>
      <c r="AB148" s="251"/>
      <c r="AC148" s="251"/>
      <c r="AD148" s="251"/>
      <c r="AE148" s="251"/>
      <c r="AF148" s="251"/>
      <c r="AG148" s="251"/>
      <c r="AH148" s="251"/>
      <c r="AI148" s="251"/>
      <c r="AJ148" s="251"/>
      <c r="AK148" s="251"/>
      <c r="AN148" s="251"/>
      <c r="AO148" s="251"/>
      <c r="AR148" s="251"/>
      <c r="AS148" s="251"/>
      <c r="AT148" s="251"/>
      <c r="AU148" s="251"/>
      <c r="AV148" s="251"/>
    </row>
    <row r="149" ht="16.5" customHeight="1">
      <c r="A149" s="318"/>
      <c r="B149" s="318"/>
      <c r="C149" s="114"/>
      <c r="L149" s="246"/>
      <c r="AA149" s="251"/>
      <c r="AB149" s="251"/>
      <c r="AC149" s="251"/>
      <c r="AD149" s="251"/>
      <c r="AE149" s="251"/>
      <c r="AF149" s="251"/>
      <c r="AG149" s="251"/>
      <c r="AH149" s="251"/>
      <c r="AI149" s="251"/>
      <c r="AJ149" s="251"/>
      <c r="AK149" s="251"/>
      <c r="AN149" s="251"/>
      <c r="AO149" s="251"/>
      <c r="AR149" s="251"/>
      <c r="AS149" s="251"/>
      <c r="AT149" s="251"/>
      <c r="AU149" s="251"/>
      <c r="AV149" s="251"/>
    </row>
    <row r="150" ht="16.5" customHeight="1">
      <c r="A150" s="318"/>
      <c r="B150" s="318"/>
      <c r="C150" s="114"/>
      <c r="L150" s="246"/>
      <c r="AA150" s="251"/>
      <c r="AB150" s="251"/>
      <c r="AC150" s="251"/>
      <c r="AD150" s="251"/>
      <c r="AE150" s="251"/>
      <c r="AF150" s="251"/>
      <c r="AG150" s="251"/>
      <c r="AH150" s="251"/>
      <c r="AI150" s="251"/>
      <c r="AJ150" s="251"/>
      <c r="AK150" s="251"/>
      <c r="AN150" s="251"/>
      <c r="AO150" s="251"/>
      <c r="AR150" s="251"/>
      <c r="AS150" s="251"/>
      <c r="AT150" s="251"/>
      <c r="AU150" s="251"/>
      <c r="AV150" s="251"/>
    </row>
    <row r="151" ht="16.5" customHeight="1">
      <c r="A151" s="37"/>
      <c r="B151" s="5"/>
      <c r="C151" s="5"/>
      <c r="L151" s="246"/>
      <c r="AA151" s="251"/>
      <c r="AB151" s="251"/>
      <c r="AC151" s="251"/>
      <c r="AD151" s="251"/>
      <c r="AE151" s="251"/>
      <c r="AF151" s="251"/>
      <c r="AG151" s="251"/>
      <c r="AH151" s="251"/>
      <c r="AI151" s="251"/>
      <c r="AJ151" s="251"/>
      <c r="AK151" s="251"/>
      <c r="AN151" s="251"/>
      <c r="AO151" s="251"/>
      <c r="AR151" s="251"/>
      <c r="AS151" s="251"/>
      <c r="AT151" s="251"/>
      <c r="AU151" s="251"/>
      <c r="AV151" s="251"/>
    </row>
    <row r="152" ht="16.5" customHeight="1">
      <c r="A152" s="318"/>
      <c r="B152" s="318"/>
      <c r="C152" s="114"/>
      <c r="L152" s="246"/>
      <c r="AA152" s="251"/>
      <c r="AB152" s="251"/>
      <c r="AC152" s="251"/>
      <c r="AD152" s="251"/>
      <c r="AE152" s="251"/>
      <c r="AF152" s="251"/>
      <c r="AG152" s="251"/>
      <c r="AH152" s="251"/>
      <c r="AI152" s="251"/>
      <c r="AJ152" s="251"/>
      <c r="AK152" s="251"/>
      <c r="AN152" s="251"/>
      <c r="AO152" s="251"/>
      <c r="AR152" s="251"/>
      <c r="AS152" s="251"/>
      <c r="AT152" s="251"/>
      <c r="AU152" s="251"/>
      <c r="AV152" s="251"/>
    </row>
    <row r="153" ht="16.5" customHeight="1">
      <c r="A153" s="318"/>
      <c r="B153" s="318"/>
      <c r="C153" s="114"/>
      <c r="L153" s="246"/>
      <c r="AA153" s="251"/>
      <c r="AB153" s="251"/>
      <c r="AC153" s="251"/>
      <c r="AD153" s="251"/>
      <c r="AE153" s="251"/>
      <c r="AF153" s="251"/>
      <c r="AG153" s="251"/>
      <c r="AH153" s="251"/>
      <c r="AI153" s="251"/>
      <c r="AJ153" s="251"/>
      <c r="AK153" s="251"/>
      <c r="AN153" s="251"/>
      <c r="AO153" s="251"/>
      <c r="AR153" s="251"/>
      <c r="AS153" s="251"/>
      <c r="AT153" s="251"/>
      <c r="AU153" s="251"/>
      <c r="AV153" s="251"/>
    </row>
    <row r="154" ht="16.5" customHeight="1">
      <c r="A154" s="318"/>
      <c r="B154" s="318"/>
      <c r="C154" s="114"/>
      <c r="L154" s="246"/>
      <c r="AA154" s="251"/>
      <c r="AB154" s="251"/>
      <c r="AC154" s="251"/>
      <c r="AD154" s="251"/>
      <c r="AE154" s="251"/>
      <c r="AF154" s="251"/>
      <c r="AG154" s="251"/>
      <c r="AH154" s="251"/>
      <c r="AI154" s="251"/>
      <c r="AJ154" s="251"/>
      <c r="AK154" s="251"/>
      <c r="AN154" s="251"/>
      <c r="AO154" s="251"/>
      <c r="AR154" s="251"/>
      <c r="AS154" s="251"/>
      <c r="AT154" s="251"/>
      <c r="AU154" s="251"/>
      <c r="AV154" s="251"/>
    </row>
    <row r="155" ht="16.5" customHeight="1">
      <c r="A155" s="37"/>
      <c r="B155" s="5"/>
      <c r="C155" s="5"/>
      <c r="L155" s="246"/>
      <c r="AA155" s="251"/>
      <c r="AB155" s="251"/>
      <c r="AC155" s="251"/>
      <c r="AD155" s="251"/>
      <c r="AE155" s="251"/>
      <c r="AF155" s="251"/>
      <c r="AG155" s="251"/>
      <c r="AH155" s="251"/>
      <c r="AI155" s="251"/>
      <c r="AJ155" s="251"/>
      <c r="AK155" s="251"/>
      <c r="AN155" s="251"/>
      <c r="AO155" s="251"/>
      <c r="AR155" s="251"/>
      <c r="AS155" s="251"/>
      <c r="AT155" s="251"/>
      <c r="AU155" s="251"/>
      <c r="AV155" s="251"/>
    </row>
    <row r="156" ht="16.5" customHeight="1">
      <c r="A156" s="318"/>
      <c r="B156" s="318"/>
      <c r="C156" s="114"/>
      <c r="L156" s="246"/>
      <c r="AA156" s="251"/>
      <c r="AB156" s="251"/>
      <c r="AC156" s="251"/>
      <c r="AD156" s="251"/>
      <c r="AE156" s="251"/>
      <c r="AF156" s="251"/>
      <c r="AG156" s="251"/>
      <c r="AH156" s="251"/>
      <c r="AI156" s="251"/>
      <c r="AJ156" s="251"/>
      <c r="AK156" s="251"/>
      <c r="AN156" s="251"/>
      <c r="AO156" s="251"/>
      <c r="AR156" s="251"/>
      <c r="AS156" s="251"/>
      <c r="AT156" s="251"/>
      <c r="AU156" s="251"/>
      <c r="AV156" s="251"/>
    </row>
    <row r="157" ht="16.5" customHeight="1">
      <c r="A157" s="37"/>
      <c r="B157" s="5"/>
      <c r="C157" s="5"/>
      <c r="L157" s="246"/>
      <c r="AA157" s="251"/>
      <c r="AB157" s="251"/>
      <c r="AC157" s="251"/>
      <c r="AD157" s="251"/>
      <c r="AE157" s="251"/>
      <c r="AF157" s="251"/>
      <c r="AG157" s="251"/>
      <c r="AH157" s="251"/>
      <c r="AI157" s="251"/>
      <c r="AJ157" s="251"/>
      <c r="AK157" s="251"/>
      <c r="AN157" s="251"/>
      <c r="AO157" s="251"/>
      <c r="AR157" s="251"/>
      <c r="AS157" s="251"/>
      <c r="AT157" s="251"/>
      <c r="AU157" s="251"/>
      <c r="AV157" s="251"/>
    </row>
    <row r="158" ht="16.5" customHeight="1">
      <c r="A158" s="318"/>
      <c r="B158" s="318"/>
      <c r="C158" s="114"/>
      <c r="L158" s="246"/>
      <c r="AA158" s="251"/>
      <c r="AB158" s="251"/>
      <c r="AC158" s="251"/>
      <c r="AD158" s="251"/>
      <c r="AE158" s="251"/>
      <c r="AF158" s="251"/>
      <c r="AG158" s="251"/>
      <c r="AH158" s="251"/>
      <c r="AI158" s="251"/>
      <c r="AJ158" s="251"/>
      <c r="AK158" s="251"/>
      <c r="AN158" s="251"/>
      <c r="AO158" s="251"/>
      <c r="AR158" s="251"/>
      <c r="AS158" s="251"/>
      <c r="AT158" s="251"/>
      <c r="AU158" s="251"/>
      <c r="AV158" s="251"/>
    </row>
    <row r="159" ht="16.5" customHeight="1">
      <c r="A159" s="318"/>
      <c r="B159" s="318"/>
      <c r="C159" s="114"/>
      <c r="L159" s="246"/>
      <c r="AA159" s="251"/>
      <c r="AB159" s="251"/>
      <c r="AC159" s="251"/>
      <c r="AD159" s="251"/>
      <c r="AE159" s="251"/>
      <c r="AF159" s="251"/>
      <c r="AG159" s="251"/>
      <c r="AH159" s="251"/>
      <c r="AI159" s="251"/>
      <c r="AJ159" s="251"/>
      <c r="AK159" s="251"/>
      <c r="AN159" s="251"/>
      <c r="AO159" s="251"/>
      <c r="AR159" s="251"/>
      <c r="AS159" s="251"/>
      <c r="AT159" s="251"/>
      <c r="AU159" s="251"/>
      <c r="AV159" s="251"/>
    </row>
    <row r="160" ht="16.5" customHeight="1">
      <c r="A160" s="318"/>
      <c r="B160" s="318"/>
      <c r="C160" s="114"/>
      <c r="L160" s="246"/>
      <c r="AA160" s="251"/>
      <c r="AB160" s="251"/>
      <c r="AC160" s="251"/>
      <c r="AD160" s="251"/>
      <c r="AE160" s="251"/>
      <c r="AF160" s="251"/>
      <c r="AG160" s="251"/>
      <c r="AH160" s="251"/>
      <c r="AI160" s="251"/>
      <c r="AJ160" s="251"/>
      <c r="AK160" s="251"/>
      <c r="AN160" s="251"/>
      <c r="AO160" s="251"/>
      <c r="AR160" s="251"/>
      <c r="AS160" s="251"/>
      <c r="AT160" s="251"/>
      <c r="AU160" s="251"/>
      <c r="AV160" s="251"/>
    </row>
    <row r="161" ht="16.5" customHeight="1">
      <c r="A161" s="318"/>
      <c r="B161" s="318"/>
      <c r="C161" s="114"/>
      <c r="L161" s="246"/>
      <c r="AA161" s="251"/>
      <c r="AB161" s="251"/>
      <c r="AC161" s="251"/>
      <c r="AD161" s="251"/>
      <c r="AE161" s="251"/>
      <c r="AF161" s="251"/>
      <c r="AG161" s="251"/>
      <c r="AH161" s="251"/>
      <c r="AI161" s="251"/>
      <c r="AJ161" s="251"/>
      <c r="AK161" s="251"/>
      <c r="AN161" s="251"/>
      <c r="AO161" s="251"/>
      <c r="AR161" s="251"/>
      <c r="AS161" s="251"/>
      <c r="AT161" s="251"/>
      <c r="AU161" s="251"/>
      <c r="AV161" s="251"/>
    </row>
    <row r="162" ht="16.5" customHeight="1">
      <c r="A162" s="37"/>
      <c r="B162" s="5"/>
      <c r="C162" s="5"/>
      <c r="L162" s="246"/>
      <c r="AA162" s="251"/>
      <c r="AB162" s="251"/>
      <c r="AC162" s="251"/>
      <c r="AD162" s="251"/>
      <c r="AE162" s="251"/>
      <c r="AF162" s="251"/>
      <c r="AG162" s="251"/>
      <c r="AH162" s="251"/>
      <c r="AI162" s="251"/>
      <c r="AJ162" s="251"/>
      <c r="AK162" s="251"/>
      <c r="AN162" s="251"/>
      <c r="AO162" s="251"/>
      <c r="AR162" s="251"/>
      <c r="AS162" s="251"/>
      <c r="AT162" s="251"/>
      <c r="AU162" s="251"/>
      <c r="AV162" s="251"/>
    </row>
    <row r="163" ht="16.5" customHeight="1">
      <c r="A163" s="318"/>
      <c r="B163" s="318"/>
      <c r="C163" s="114"/>
      <c r="L163" s="246"/>
      <c r="AA163" s="251"/>
      <c r="AB163" s="251"/>
      <c r="AC163" s="251"/>
      <c r="AD163" s="251"/>
      <c r="AE163" s="251"/>
      <c r="AF163" s="251"/>
      <c r="AG163" s="251"/>
      <c r="AH163" s="251"/>
      <c r="AI163" s="251"/>
      <c r="AJ163" s="251"/>
      <c r="AK163" s="251"/>
      <c r="AN163" s="251"/>
      <c r="AO163" s="251"/>
      <c r="AR163" s="251"/>
      <c r="AS163" s="251"/>
      <c r="AT163" s="251"/>
      <c r="AU163" s="251"/>
      <c r="AV163" s="251"/>
    </row>
    <row r="164" ht="16.5" customHeight="1">
      <c r="A164" s="318"/>
      <c r="B164" s="318"/>
      <c r="C164" s="114"/>
      <c r="L164" s="246"/>
      <c r="AA164" s="251"/>
      <c r="AB164" s="251"/>
      <c r="AC164" s="251"/>
      <c r="AD164" s="251"/>
      <c r="AE164" s="251"/>
      <c r="AF164" s="251"/>
      <c r="AG164" s="251"/>
      <c r="AH164" s="251"/>
      <c r="AI164" s="251"/>
      <c r="AJ164" s="251"/>
      <c r="AK164" s="251"/>
      <c r="AN164" s="251"/>
      <c r="AO164" s="251"/>
      <c r="AR164" s="251"/>
      <c r="AS164" s="251"/>
      <c r="AT164" s="251"/>
      <c r="AU164" s="251"/>
      <c r="AV164" s="251"/>
    </row>
    <row r="165" ht="16.5" customHeight="1">
      <c r="A165" s="318"/>
      <c r="B165" s="318"/>
      <c r="C165" s="114"/>
      <c r="L165" s="246"/>
      <c r="AA165" s="251"/>
      <c r="AB165" s="251"/>
      <c r="AC165" s="251"/>
      <c r="AD165" s="251"/>
      <c r="AE165" s="251"/>
      <c r="AF165" s="251"/>
      <c r="AG165" s="251"/>
      <c r="AH165" s="251"/>
      <c r="AI165" s="251"/>
      <c r="AJ165" s="251"/>
      <c r="AK165" s="251"/>
      <c r="AN165" s="251"/>
      <c r="AO165" s="251"/>
      <c r="AR165" s="251"/>
      <c r="AS165" s="251"/>
      <c r="AT165" s="251"/>
      <c r="AU165" s="251"/>
      <c r="AV165" s="251"/>
    </row>
    <row r="166" ht="16.5" customHeight="1">
      <c r="A166" s="318"/>
      <c r="B166" s="318"/>
      <c r="C166" s="114"/>
      <c r="L166" s="246"/>
      <c r="AA166" s="251"/>
      <c r="AB166" s="251"/>
      <c r="AC166" s="251"/>
      <c r="AD166" s="251"/>
      <c r="AE166" s="251"/>
      <c r="AF166" s="251"/>
      <c r="AG166" s="251"/>
      <c r="AH166" s="251"/>
      <c r="AI166" s="251"/>
      <c r="AJ166" s="251"/>
      <c r="AK166" s="251"/>
      <c r="AN166" s="251"/>
      <c r="AO166" s="251"/>
      <c r="AR166" s="251"/>
      <c r="AS166" s="251"/>
      <c r="AT166" s="251"/>
      <c r="AU166" s="251"/>
      <c r="AV166" s="251"/>
    </row>
    <row r="167" ht="16.5" customHeight="1">
      <c r="A167" s="318"/>
      <c r="B167" s="318"/>
      <c r="C167" s="114"/>
      <c r="L167" s="246"/>
      <c r="AA167" s="251"/>
      <c r="AB167" s="251"/>
      <c r="AC167" s="251"/>
      <c r="AD167" s="251"/>
      <c r="AE167" s="251"/>
      <c r="AF167" s="251"/>
      <c r="AG167" s="251"/>
      <c r="AH167" s="251"/>
      <c r="AI167" s="251"/>
      <c r="AJ167" s="251"/>
      <c r="AK167" s="251"/>
      <c r="AN167" s="251"/>
      <c r="AO167" s="251"/>
      <c r="AR167" s="251"/>
      <c r="AS167" s="251"/>
      <c r="AT167" s="251"/>
      <c r="AU167" s="251"/>
      <c r="AV167" s="251"/>
    </row>
    <row r="168" ht="16.5" customHeight="1">
      <c r="A168" s="318"/>
      <c r="B168" s="318"/>
      <c r="C168" s="114"/>
      <c r="L168" s="246"/>
      <c r="AA168" s="251"/>
      <c r="AB168" s="251"/>
      <c r="AC168" s="251"/>
      <c r="AD168" s="251"/>
      <c r="AE168" s="251"/>
      <c r="AF168" s="251"/>
      <c r="AG168" s="251"/>
      <c r="AH168" s="251"/>
      <c r="AI168" s="251"/>
      <c r="AJ168" s="251"/>
      <c r="AK168" s="251"/>
      <c r="AN168" s="251"/>
      <c r="AO168" s="251"/>
      <c r="AR168" s="251"/>
      <c r="AS168" s="251"/>
      <c r="AT168" s="251"/>
      <c r="AU168" s="251"/>
      <c r="AV168" s="251"/>
    </row>
    <row r="169" ht="16.5" customHeight="1">
      <c r="A169" s="37"/>
      <c r="B169" s="5"/>
      <c r="C169" s="5"/>
      <c r="L169" s="246"/>
      <c r="AA169" s="251"/>
      <c r="AB169" s="251"/>
      <c r="AC169" s="251"/>
      <c r="AD169" s="251"/>
      <c r="AE169" s="251"/>
      <c r="AF169" s="251"/>
      <c r="AG169" s="251"/>
      <c r="AH169" s="251"/>
      <c r="AI169" s="251"/>
      <c r="AJ169" s="251"/>
      <c r="AK169" s="251"/>
      <c r="AN169" s="251"/>
      <c r="AO169" s="251"/>
      <c r="AR169" s="251"/>
      <c r="AS169" s="251"/>
      <c r="AT169" s="251"/>
      <c r="AU169" s="251"/>
      <c r="AV169" s="251"/>
    </row>
    <row r="170" ht="16.5" customHeight="1">
      <c r="A170" s="292"/>
      <c r="B170" s="318"/>
      <c r="C170" s="114"/>
      <c r="L170" s="246"/>
      <c r="AA170" s="251"/>
      <c r="AB170" s="251"/>
      <c r="AC170" s="251"/>
      <c r="AD170" s="251"/>
      <c r="AE170" s="251"/>
      <c r="AF170" s="251"/>
      <c r="AG170" s="251"/>
      <c r="AH170" s="251"/>
      <c r="AI170" s="251"/>
      <c r="AJ170" s="251"/>
      <c r="AK170" s="251"/>
      <c r="AN170" s="251"/>
      <c r="AO170" s="251"/>
      <c r="AR170" s="251"/>
      <c r="AS170" s="251"/>
      <c r="AT170" s="251"/>
      <c r="AU170" s="251"/>
      <c r="AV170" s="251"/>
    </row>
    <row r="171" ht="16.5" customHeight="1">
      <c r="A171" s="251"/>
      <c r="L171" s="246"/>
      <c r="AA171" s="251"/>
      <c r="AB171" s="251"/>
      <c r="AC171" s="251"/>
      <c r="AD171" s="251"/>
      <c r="AE171" s="251"/>
      <c r="AF171" s="251"/>
      <c r="AG171" s="251"/>
      <c r="AH171" s="251"/>
      <c r="AI171" s="251"/>
      <c r="AJ171" s="251"/>
      <c r="AK171" s="251"/>
      <c r="AN171" s="251"/>
      <c r="AO171" s="251"/>
      <c r="AR171" s="251"/>
      <c r="AS171" s="251"/>
      <c r="AT171" s="251"/>
      <c r="AU171" s="251"/>
      <c r="AV171" s="251"/>
    </row>
    <row r="172" ht="16.5" customHeight="1">
      <c r="A172" s="5"/>
      <c r="L172" s="246"/>
      <c r="AA172" s="251"/>
      <c r="AB172" s="251"/>
      <c r="AC172" s="251"/>
      <c r="AD172" s="251"/>
      <c r="AE172" s="251"/>
      <c r="AF172" s="251"/>
      <c r="AG172" s="251"/>
      <c r="AH172" s="251"/>
      <c r="AI172" s="251"/>
      <c r="AJ172" s="251"/>
      <c r="AK172" s="251"/>
      <c r="AN172" s="251"/>
      <c r="AO172" s="251"/>
      <c r="AR172" s="251"/>
      <c r="AS172" s="251"/>
      <c r="AT172" s="251"/>
      <c r="AU172" s="251"/>
      <c r="AV172" s="251"/>
    </row>
    <row r="173" ht="16.5" customHeight="1">
      <c r="A173" s="5"/>
      <c r="L173" s="246"/>
      <c r="AA173" s="251"/>
      <c r="AB173" s="251"/>
      <c r="AC173" s="251"/>
      <c r="AD173" s="251"/>
      <c r="AE173" s="251"/>
      <c r="AF173" s="251"/>
      <c r="AG173" s="251"/>
      <c r="AH173" s="251"/>
      <c r="AI173" s="251"/>
      <c r="AJ173" s="251"/>
      <c r="AK173" s="251"/>
      <c r="AN173" s="251"/>
      <c r="AO173" s="251"/>
      <c r="AR173" s="251"/>
      <c r="AS173" s="251"/>
      <c r="AT173" s="251"/>
      <c r="AU173" s="251"/>
      <c r="AV173" s="251"/>
    </row>
    <row r="174" ht="16.5" customHeight="1">
      <c r="A174" s="5"/>
      <c r="L174" s="246"/>
      <c r="AA174" s="251"/>
      <c r="AB174" s="251"/>
      <c r="AC174" s="251"/>
      <c r="AD174" s="251"/>
      <c r="AE174" s="251"/>
      <c r="AF174" s="251"/>
      <c r="AG174" s="251"/>
      <c r="AH174" s="251"/>
      <c r="AI174" s="251"/>
      <c r="AJ174" s="251"/>
      <c r="AK174" s="251"/>
      <c r="AN174" s="251"/>
      <c r="AO174" s="251"/>
      <c r="AR174" s="251"/>
      <c r="AS174" s="251"/>
      <c r="AT174" s="251"/>
      <c r="AU174" s="251"/>
      <c r="AV174" s="251"/>
    </row>
    <row r="175" ht="16.5" customHeight="1">
      <c r="A175" s="5"/>
      <c r="L175" s="246"/>
    </row>
    <row r="176" ht="16.5" customHeight="1">
      <c r="A176" s="5"/>
      <c r="L176" s="246"/>
    </row>
  </sheetData>
  <autoFilter ref="A1:XFD1048576"/>
  <phoneticPr fontId="1" type="noConversion"/>
  <conditionalFormatting sqref="B1:B123 B126:B130 B132:B139 B141 B144:B150 B152:B154 B156 B158:B161 B163:B168 B170">
    <cfRule priority="20" type="duplicateValues" dxfId="0"/>
  </conditionalFormatting>
  <conditionalFormatting sqref="Z1:Z1048576 C1:C1048576">
    <cfRule priority="14" type="duplicateValues" dxfId="0"/>
  </conditionalFormatting>
  <conditionalFormatting sqref="W1:W176">
    <cfRule priority="19"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32"/>
  </cols>
  <sheetData>
    <row r="1" ht="16.5" customHeight="1">
      <c r="A1" s="527" t="s">
        <v>2078</v>
      </c>
      <c r="B1" s="527" t="s">
        <v>2079</v>
      </c>
      <c r="C1" s="527" t="s">
        <v>2080</v>
      </c>
      <c r="D1" s="527" t="s">
        <v>2081</v>
      </c>
      <c r="E1" s="527" t="s">
        <v>2082</v>
      </c>
      <c r="F1" s="527" t="s">
        <v>2083</v>
      </c>
      <c r="G1" s="527" t="s">
        <v>2084</v>
      </c>
      <c r="H1" s="527" t="s">
        <v>2085</v>
      </c>
      <c r="I1" s="527" t="s">
        <v>2086</v>
      </c>
      <c r="J1" s="527" t="s">
        <v>2087</v>
      </c>
      <c r="K1" s="527" t="s">
        <v>2088</v>
      </c>
      <c r="L1" s="527" t="s">
        <v>2089</v>
      </c>
      <c r="M1" s="527" t="s">
        <v>2090</v>
      </c>
      <c r="N1" s="527" t="s">
        <v>2091</v>
      </c>
      <c r="O1" s="527" t="s">
        <v>2092</v>
      </c>
      <c r="P1" s="527" t="s">
        <v>2093</v>
      </c>
      <c r="Q1" s="527" t="s">
        <v>2094</v>
      </c>
      <c r="R1" s="527" t="s">
        <v>2095</v>
      </c>
      <c r="S1" s="527" t="s">
        <v>2096</v>
      </c>
      <c r="T1" s="527" t="s">
        <v>2097</v>
      </c>
      <c r="U1" s="527" t="s">
        <v>2098</v>
      </c>
      <c r="V1" s="527" t="s">
        <v>2099</v>
      </c>
      <c r="W1" s="527" t="s">
        <v>2100</v>
      </c>
      <c r="X1" s="527" t="s">
        <v>2101</v>
      </c>
      <c r="Y1" s="527" t="s">
        <v>2102</v>
      </c>
      <c r="Z1" s="527" t="s">
        <v>2103</v>
      </c>
      <c r="AA1" s="527" t="s">
        <v>2104</v>
      </c>
      <c r="AB1" s="527" t="s">
        <v>2105</v>
      </c>
      <c r="AC1" s="527" t="s">
        <v>2106</v>
      </c>
      <c r="AD1" s="527" t="s">
        <v>2107</v>
      </c>
      <c r="AE1" s="527" t="s">
        <v>2108</v>
      </c>
      <c r="AF1" s="527" t="s">
        <v>2109</v>
      </c>
    </row>
    <row r="2" ht="16.5" customHeight="1">
      <c r="A2" s="528" t="s">
        <v>2110</v>
      </c>
      <c r="B2" s="529" t="n">
        <v>46205.79353009259</v>
      </c>
      <c r="C2" s="527" t="s">
        <v>2111</v>
      </c>
      <c r="D2" s="527" t="s">
        <v>2112</v>
      </c>
      <c r="E2" s="527" t="s">
        <v>2113</v>
      </c>
      <c r="F2" s="527" t="s">
        <v>2114</v>
      </c>
      <c r="G2" s="528" t="s">
        <v>2115</v>
      </c>
      <c r="H2" s="527" t="s">
        <v>1175</v>
      </c>
      <c r="I2" s="527" t="s">
        <v>2116</v>
      </c>
      <c r="J2" s="528" t="s">
        <v>2117</v>
      </c>
      <c r="K2" s="528" t="s">
        <v>2117</v>
      </c>
      <c r="L2" s="528" t="s">
        <v>2117</v>
      </c>
      <c r="M2" s="528" t="s">
        <v>2117</v>
      </c>
      <c r="N2" s="528" t="s">
        <v>2117</v>
      </c>
      <c r="O2" s="528" t="s">
        <v>2117</v>
      </c>
      <c r="P2" s="528" t="s">
        <v>2117</v>
      </c>
      <c r="Q2" s="528" t="s">
        <v>2117</v>
      </c>
      <c r="R2" s="528" t="s">
        <v>2117</v>
      </c>
      <c r="S2" s="528" t="s">
        <v>2117</v>
      </c>
      <c r="T2" s="528" t="s">
        <v>2117</v>
      </c>
      <c r="U2" s="528" t="s">
        <v>2117</v>
      </c>
      <c r="V2" s="528" t="s">
        <v>2117</v>
      </c>
      <c r="W2" s="528" t="s">
        <v>2117</v>
      </c>
      <c r="X2" s="528" t="s">
        <v>2117</v>
      </c>
      <c r="Y2" s="527" t="s">
        <v>2118</v>
      </c>
      <c r="Z2" s="527" t="s">
        <v>2119</v>
      </c>
      <c r="AA2" s="527" t="s">
        <v>2120</v>
      </c>
      <c r="AB2" s="527" t="s">
        <v>2121</v>
      </c>
      <c r="AC2" s="528" t="s">
        <v>2122</v>
      </c>
      <c r="AD2" s="527" t="s">
        <v>2123</v>
      </c>
      <c r="AE2" s="527" t="s">
        <v>2124</v>
      </c>
      <c r="AF2" s="527" t="s">
        <v>2125</v>
      </c>
    </row>
    <row r="3" ht="16.5" customHeight="1">
      <c r="A3" s="528" t="s">
        <v>2126</v>
      </c>
      <c r="B3" s="529" t="n">
        <v>46205.79409722222</v>
      </c>
      <c r="C3" s="527" t="s">
        <v>2127</v>
      </c>
      <c r="D3" s="527" t="s">
        <v>2112</v>
      </c>
      <c r="E3" s="527" t="s">
        <v>2113</v>
      </c>
      <c r="F3" s="527" t="s">
        <v>2128</v>
      </c>
      <c r="G3" s="528" t="s">
        <v>2129</v>
      </c>
      <c r="H3" s="527" t="s">
        <v>494</v>
      </c>
      <c r="I3" s="527" t="s">
        <v>2130</v>
      </c>
      <c r="J3" s="528" t="s">
        <v>2117</v>
      </c>
      <c r="K3" s="528" t="s">
        <v>2117</v>
      </c>
      <c r="L3" s="528" t="s">
        <v>2117</v>
      </c>
      <c r="M3" s="528" t="s">
        <v>2117</v>
      </c>
      <c r="N3" s="528" t="s">
        <v>2117</v>
      </c>
      <c r="O3" s="528" t="s">
        <v>2117</v>
      </c>
      <c r="P3" s="528" t="s">
        <v>2117</v>
      </c>
      <c r="Q3" s="528" t="s">
        <v>2117</v>
      </c>
      <c r="R3" s="528" t="s">
        <v>2117</v>
      </c>
      <c r="S3" s="528" t="s">
        <v>2117</v>
      </c>
      <c r="T3" s="528" t="s">
        <v>2117</v>
      </c>
      <c r="U3" s="528" t="s">
        <v>2117</v>
      </c>
      <c r="V3" s="528" t="s">
        <v>2117</v>
      </c>
      <c r="W3" s="528" t="s">
        <v>2131</v>
      </c>
      <c r="X3" s="528" t="s">
        <v>2131</v>
      </c>
      <c r="Y3" s="527" t="s">
        <v>2118</v>
      </c>
      <c r="Z3" s="527" t="s">
        <v>2119</v>
      </c>
      <c r="AA3" s="527" t="s">
        <v>2132</v>
      </c>
      <c r="AB3" s="527" t="s">
        <v>2121</v>
      </c>
      <c r="AC3" s="528" t="s">
        <v>2122</v>
      </c>
      <c r="AD3" s="527" t="s">
        <v>2123</v>
      </c>
      <c r="AE3" s="527" t="s">
        <v>2124</v>
      </c>
      <c r="AF3" s="528" t="s">
        <v>2110</v>
      </c>
    </row>
    <row r="4" ht="16.5" customHeight="1">
      <c r="A4" s="528" t="s">
        <v>2133</v>
      </c>
      <c r="B4" s="529" t="n">
        <v>46205.79503472222</v>
      </c>
      <c r="C4" s="527" t="s">
        <v>2134</v>
      </c>
      <c r="D4" s="527" t="s">
        <v>2112</v>
      </c>
      <c r="E4" s="527" t="s">
        <v>2113</v>
      </c>
      <c r="F4" s="527" t="s">
        <v>2135</v>
      </c>
      <c r="G4" s="528" t="s">
        <v>2115</v>
      </c>
      <c r="H4" s="527" t="s">
        <v>2136</v>
      </c>
      <c r="I4" s="527" t="s">
        <v>2116</v>
      </c>
      <c r="J4" s="528" t="s">
        <v>2117</v>
      </c>
      <c r="K4" s="528" t="s">
        <v>2117</v>
      </c>
      <c r="L4" s="528" t="s">
        <v>2117</v>
      </c>
      <c r="M4" s="528" t="s">
        <v>2117</v>
      </c>
      <c r="N4" s="528" t="s">
        <v>2117</v>
      </c>
      <c r="O4" s="528" t="s">
        <v>2117</v>
      </c>
      <c r="P4" s="528" t="s">
        <v>2117</v>
      </c>
      <c r="Q4" s="528" t="s">
        <v>2117</v>
      </c>
      <c r="R4" s="528" t="s">
        <v>2117</v>
      </c>
      <c r="S4" s="528" t="s">
        <v>2117</v>
      </c>
      <c r="T4" s="528" t="s">
        <v>2117</v>
      </c>
      <c r="U4" s="528" t="s">
        <v>2117</v>
      </c>
      <c r="V4" s="528" t="s">
        <v>2117</v>
      </c>
      <c r="W4" s="528" t="s">
        <v>2117</v>
      </c>
      <c r="X4" s="528" t="s">
        <v>2117</v>
      </c>
      <c r="Y4" s="527" t="s">
        <v>2137</v>
      </c>
      <c r="Z4" s="527" t="s">
        <v>2138</v>
      </c>
      <c r="AA4" s="527" t="s">
        <v>2139</v>
      </c>
      <c r="AB4" s="527" t="s">
        <v>2140</v>
      </c>
      <c r="AC4" s="528" t="s">
        <v>2122</v>
      </c>
      <c r="AD4" s="527" t="s">
        <v>2123</v>
      </c>
      <c r="AE4" s="527" t="s">
        <v>2141</v>
      </c>
      <c r="AF4" s="527" t="s">
        <v>2142</v>
      </c>
    </row>
    <row r="5" ht="16.5" customHeight="1">
      <c r="A5" s="528" t="s">
        <v>2131</v>
      </c>
      <c r="B5" s="529" t="n">
        <v>46205.80024305556</v>
      </c>
      <c r="C5" s="527" t="s">
        <v>2143</v>
      </c>
      <c r="D5" s="527" t="s">
        <v>2112</v>
      </c>
      <c r="E5" s="527" t="s">
        <v>2113</v>
      </c>
      <c r="F5" s="527" t="s">
        <v>2144</v>
      </c>
      <c r="G5" s="528" t="s">
        <v>2115</v>
      </c>
      <c r="H5" s="527" t="s">
        <v>1029</v>
      </c>
      <c r="I5" s="527" t="s">
        <v>2145</v>
      </c>
      <c r="J5" s="528" t="s">
        <v>2117</v>
      </c>
      <c r="K5" s="528" t="s">
        <v>2117</v>
      </c>
      <c r="L5" s="528" t="s">
        <v>2117</v>
      </c>
      <c r="M5" s="528" t="s">
        <v>2117</v>
      </c>
      <c r="N5" s="528" t="s">
        <v>2117</v>
      </c>
      <c r="O5" s="528" t="s">
        <v>2117</v>
      </c>
      <c r="P5" s="528" t="s">
        <v>2117</v>
      </c>
      <c r="Q5" s="528" t="s">
        <v>2117</v>
      </c>
      <c r="R5" s="528" t="s">
        <v>2117</v>
      </c>
      <c r="S5" s="528" t="s">
        <v>2117</v>
      </c>
      <c r="T5" s="528" t="s">
        <v>2117</v>
      </c>
      <c r="U5" s="528" t="s">
        <v>2117</v>
      </c>
      <c r="V5" s="528" t="s">
        <v>2117</v>
      </c>
      <c r="W5" s="528" t="s">
        <v>2117</v>
      </c>
      <c r="X5" s="528" t="s">
        <v>2117</v>
      </c>
      <c r="Y5" s="527" t="s">
        <v>2146</v>
      </c>
      <c r="Z5" s="527" t="s">
        <v>2147</v>
      </c>
      <c r="AA5" s="527" t="s">
        <v>2139</v>
      </c>
      <c r="AB5" s="527" t="s">
        <v>2140</v>
      </c>
      <c r="AC5" s="528" t="s">
        <v>2122</v>
      </c>
      <c r="AD5" s="527" t="s">
        <v>2123</v>
      </c>
      <c r="AE5" s="527" t="s">
        <v>2148</v>
      </c>
      <c r="AF5" s="527" t="s">
        <v>2149</v>
      </c>
    </row>
    <row r="6" ht="16.5" customHeight="1">
      <c r="A6" s="528" t="s">
        <v>2117</v>
      </c>
      <c r="B6" s="529" t="n">
        <v>46205.80287037037</v>
      </c>
      <c r="C6" s="527" t="s">
        <v>2150</v>
      </c>
      <c r="D6" s="527" t="s">
        <v>2112</v>
      </c>
      <c r="E6" s="527" t="s">
        <v>2113</v>
      </c>
      <c r="F6" s="527" t="s">
        <v>2151</v>
      </c>
      <c r="G6" s="528" t="s">
        <v>2115</v>
      </c>
      <c r="H6" s="527" t="s">
        <v>1048</v>
      </c>
      <c r="I6" s="527" t="s">
        <v>2116</v>
      </c>
      <c r="J6" s="528" t="s">
        <v>2117</v>
      </c>
      <c r="K6" s="528" t="s">
        <v>2117</v>
      </c>
      <c r="L6" s="528" t="s">
        <v>2117</v>
      </c>
      <c r="M6" s="528" t="s">
        <v>2117</v>
      </c>
      <c r="N6" s="528" t="s">
        <v>2117</v>
      </c>
      <c r="O6" s="528" t="s">
        <v>2117</v>
      </c>
      <c r="P6" s="528" t="s">
        <v>2117</v>
      </c>
      <c r="Q6" s="528" t="s">
        <v>2117</v>
      </c>
      <c r="R6" s="528" t="s">
        <v>2117</v>
      </c>
      <c r="S6" s="528" t="s">
        <v>2117</v>
      </c>
      <c r="T6" s="528" t="s">
        <v>2117</v>
      </c>
      <c r="U6" s="528" t="s">
        <v>2117</v>
      </c>
      <c r="V6" s="528" t="s">
        <v>2117</v>
      </c>
      <c r="W6" s="528" t="s">
        <v>2117</v>
      </c>
      <c r="X6" s="528" t="s">
        <v>2117</v>
      </c>
      <c r="Y6" s="527" t="s">
        <v>2118</v>
      </c>
      <c r="Z6" s="527" t="s">
        <v>2119</v>
      </c>
      <c r="AA6" s="527" t="s">
        <v>2152</v>
      </c>
      <c r="AB6" s="527" t="s">
        <v>2140</v>
      </c>
      <c r="AC6" s="528" t="s">
        <v>2122</v>
      </c>
      <c r="AD6" s="527" t="s">
        <v>2153</v>
      </c>
      <c r="AE6" s="527" t="s">
        <v>2154</v>
      </c>
      <c r="AF6" s="527" t="s">
        <v>2125</v>
      </c>
    </row>
    <row r="7" ht="16.5" customHeight="1">
      <c r="A7" s="528" t="s">
        <v>2155</v>
      </c>
      <c r="B7" s="529" t="n">
        <v>46205.809699074074</v>
      </c>
      <c r="C7" s="527" t="s">
        <v>2156</v>
      </c>
      <c r="D7" s="527" t="s">
        <v>2112</v>
      </c>
      <c r="E7" s="527" t="s">
        <v>2113</v>
      </c>
      <c r="F7" s="527" t="s">
        <v>2157</v>
      </c>
      <c r="G7" s="528" t="s">
        <v>2115</v>
      </c>
      <c r="H7" s="527" t="s">
        <v>1303</v>
      </c>
      <c r="I7" s="527" t="s">
        <v>2116</v>
      </c>
      <c r="J7" s="528" t="s">
        <v>2117</v>
      </c>
      <c r="K7" s="528" t="s">
        <v>2117</v>
      </c>
      <c r="L7" s="528" t="s">
        <v>2117</v>
      </c>
      <c r="M7" s="528" t="s">
        <v>2117</v>
      </c>
      <c r="N7" s="528" t="s">
        <v>2117</v>
      </c>
      <c r="O7" s="528" t="s">
        <v>2117</v>
      </c>
      <c r="P7" s="528" t="s">
        <v>2117</v>
      </c>
      <c r="Q7" s="528" t="s">
        <v>2117</v>
      </c>
      <c r="R7" s="528" t="s">
        <v>2117</v>
      </c>
      <c r="S7" s="528" t="s">
        <v>2117</v>
      </c>
      <c r="T7" s="528" t="s">
        <v>2117</v>
      </c>
      <c r="U7" s="528" t="s">
        <v>2117</v>
      </c>
      <c r="V7" s="528" t="s">
        <v>2117</v>
      </c>
      <c r="W7" s="528" t="s">
        <v>2117</v>
      </c>
      <c r="X7" s="528" t="s">
        <v>2117</v>
      </c>
      <c r="Y7" s="527" t="s">
        <v>2137</v>
      </c>
      <c r="Z7" s="527" t="s">
        <v>2119</v>
      </c>
      <c r="AA7" s="527" t="s">
        <v>2158</v>
      </c>
      <c r="AB7" s="527" t="s">
        <v>2140</v>
      </c>
      <c r="AC7" s="528" t="s">
        <v>2122</v>
      </c>
      <c r="AD7" s="527" t="s">
        <v>2153</v>
      </c>
      <c r="AE7" s="527" t="s">
        <v>2154</v>
      </c>
      <c r="AF7" s="527" t="s">
        <v>2125</v>
      </c>
    </row>
    <row r="8" ht="16.5" customHeight="1">
      <c r="A8" s="528" t="s">
        <v>2159</v>
      </c>
      <c r="B8" s="529" t="n">
        <v>46205.824907407405</v>
      </c>
      <c r="C8" s="527" t="s">
        <v>2160</v>
      </c>
      <c r="D8" s="527" t="s">
        <v>2112</v>
      </c>
      <c r="E8" s="527" t="s">
        <v>2113</v>
      </c>
      <c r="F8" s="527" t="s">
        <v>2161</v>
      </c>
      <c r="G8" s="528" t="s">
        <v>2162</v>
      </c>
      <c r="H8" s="527" t="s">
        <v>1168</v>
      </c>
      <c r="I8" s="527" t="s">
        <v>2116</v>
      </c>
      <c r="J8" s="528" t="s">
        <v>2117</v>
      </c>
      <c r="K8" s="528" t="s">
        <v>2117</v>
      </c>
      <c r="L8" s="528" t="s">
        <v>2117</v>
      </c>
      <c r="M8" s="528" t="s">
        <v>2117</v>
      </c>
      <c r="N8" s="528" t="s">
        <v>2117</v>
      </c>
      <c r="O8" s="528" t="s">
        <v>2117</v>
      </c>
      <c r="P8" s="528" t="s">
        <v>2117</v>
      </c>
      <c r="Q8" s="528" t="s">
        <v>2117</v>
      </c>
      <c r="R8" s="528" t="s">
        <v>2131</v>
      </c>
      <c r="S8" s="528" t="s">
        <v>2117</v>
      </c>
      <c r="T8" s="528" t="s">
        <v>2117</v>
      </c>
      <c r="U8" s="528" t="s">
        <v>2117</v>
      </c>
      <c r="V8" s="528" t="s">
        <v>2117</v>
      </c>
      <c r="W8" s="528" t="s">
        <v>2117</v>
      </c>
      <c r="X8" s="528" t="s">
        <v>2117</v>
      </c>
      <c r="Y8" s="527" t="s">
        <v>2118</v>
      </c>
      <c r="Z8" s="527" t="s">
        <v>2119</v>
      </c>
      <c r="AA8" s="527" t="s">
        <v>2163</v>
      </c>
      <c r="AB8" s="527" t="s">
        <v>2121</v>
      </c>
      <c r="AC8" s="528" t="s">
        <v>2122</v>
      </c>
      <c r="AD8" s="527" t="s">
        <v>2153</v>
      </c>
      <c r="AE8" s="527" t="s">
        <v>2148</v>
      </c>
      <c r="AF8" s="527" t="s">
        <v>2164</v>
      </c>
    </row>
    <row r="9" ht="16.5" customHeight="1">
      <c r="A9" s="528" t="s">
        <v>2165</v>
      </c>
      <c r="B9" s="529" t="n">
        <v>46205.82678240741</v>
      </c>
      <c r="C9" s="527" t="s">
        <v>2166</v>
      </c>
      <c r="D9" s="527" t="s">
        <v>2112</v>
      </c>
      <c r="E9" s="527" t="s">
        <v>2113</v>
      </c>
      <c r="F9" s="527" t="s">
        <v>2167</v>
      </c>
      <c r="G9" s="528" t="s">
        <v>2115</v>
      </c>
      <c r="H9" s="527" t="s">
        <v>1051</v>
      </c>
      <c r="I9" s="527" t="s">
        <v>2116</v>
      </c>
      <c r="J9" s="528" t="s">
        <v>2117</v>
      </c>
      <c r="K9" s="528" t="s">
        <v>2117</v>
      </c>
      <c r="L9" s="528" t="s">
        <v>2117</v>
      </c>
      <c r="M9" s="528" t="s">
        <v>2117</v>
      </c>
      <c r="N9" s="528" t="s">
        <v>2117</v>
      </c>
      <c r="O9" s="528" t="s">
        <v>2117</v>
      </c>
      <c r="P9" s="528" t="s">
        <v>2117</v>
      </c>
      <c r="Q9" s="528" t="s">
        <v>2117</v>
      </c>
      <c r="R9" s="528" t="s">
        <v>2117</v>
      </c>
      <c r="S9" s="528" t="s">
        <v>2117</v>
      </c>
      <c r="T9" s="528" t="s">
        <v>2117</v>
      </c>
      <c r="U9" s="528" t="s">
        <v>2117</v>
      </c>
      <c r="V9" s="528" t="s">
        <v>2117</v>
      </c>
      <c r="W9" s="528" t="s">
        <v>2117</v>
      </c>
      <c r="X9" s="528" t="s">
        <v>2117</v>
      </c>
      <c r="Y9" s="527" t="s">
        <v>2118</v>
      </c>
      <c r="Z9" s="527" t="s">
        <v>2119</v>
      </c>
      <c r="AA9" s="527" t="s">
        <v>2132</v>
      </c>
      <c r="AB9" s="527" t="s">
        <v>2140</v>
      </c>
      <c r="AC9" s="528" t="s">
        <v>2122</v>
      </c>
      <c r="AD9" s="527" t="s">
        <v>2123</v>
      </c>
      <c r="AE9" s="527" t="s">
        <v>2154</v>
      </c>
      <c r="AF9" s="527" t="s">
        <v>2168</v>
      </c>
    </row>
    <row r="10" ht="16.5" customHeight="1">
      <c r="A10" s="528" t="s">
        <v>2169</v>
      </c>
      <c r="B10" s="529" t="n">
        <v>46205.83226851852</v>
      </c>
      <c r="C10" s="527" t="s">
        <v>2170</v>
      </c>
      <c r="D10" s="527" t="s">
        <v>2112</v>
      </c>
      <c r="E10" s="527" t="s">
        <v>2113</v>
      </c>
      <c r="F10" s="527" t="s">
        <v>2171</v>
      </c>
      <c r="G10" s="528" t="s">
        <v>2115</v>
      </c>
      <c r="H10" s="527" t="s">
        <v>1171</v>
      </c>
      <c r="I10" s="527" t="s">
        <v>2116</v>
      </c>
      <c r="J10" s="528" t="s">
        <v>2117</v>
      </c>
      <c r="K10" s="528" t="s">
        <v>2117</v>
      </c>
      <c r="L10" s="528" t="s">
        <v>2117</v>
      </c>
      <c r="M10" s="528" t="s">
        <v>2117</v>
      </c>
      <c r="N10" s="528" t="s">
        <v>2117</v>
      </c>
      <c r="O10" s="528" t="s">
        <v>2117</v>
      </c>
      <c r="P10" s="528" t="s">
        <v>2117</v>
      </c>
      <c r="Q10" s="528" t="s">
        <v>2117</v>
      </c>
      <c r="R10" s="528" t="s">
        <v>2117</v>
      </c>
      <c r="S10" s="528" t="s">
        <v>2117</v>
      </c>
      <c r="T10" s="528" t="s">
        <v>2117</v>
      </c>
      <c r="U10" s="528" t="s">
        <v>2117</v>
      </c>
      <c r="V10" s="528" t="s">
        <v>2117</v>
      </c>
      <c r="W10" s="528" t="s">
        <v>2117</v>
      </c>
      <c r="X10" s="528" t="s">
        <v>2117</v>
      </c>
      <c r="Y10" s="527" t="s">
        <v>2118</v>
      </c>
      <c r="Z10" s="527" t="s">
        <v>2119</v>
      </c>
      <c r="AA10" s="527" t="s">
        <v>2172</v>
      </c>
      <c r="AB10" s="527" t="s">
        <v>2140</v>
      </c>
      <c r="AC10" s="528" t="s">
        <v>2122</v>
      </c>
      <c r="AD10" s="527" t="s">
        <v>2153</v>
      </c>
      <c r="AE10" s="527" t="s">
        <v>2154</v>
      </c>
      <c r="AF10" s="527" t="s">
        <v>2173</v>
      </c>
    </row>
    <row r="11" ht="16.5" customHeight="1">
      <c r="A11" s="528" t="s">
        <v>2174</v>
      </c>
      <c r="B11" s="529" t="n">
        <v>46205.83474537037</v>
      </c>
      <c r="C11" s="527" t="s">
        <v>2175</v>
      </c>
      <c r="D11" s="527" t="s">
        <v>2112</v>
      </c>
      <c r="E11" s="527" t="s">
        <v>2113</v>
      </c>
      <c r="F11" s="527" t="s">
        <v>2176</v>
      </c>
      <c r="G11" s="528" t="s">
        <v>2162</v>
      </c>
      <c r="H11" s="527" t="s">
        <v>298</v>
      </c>
      <c r="I11" s="527" t="s">
        <v>2116</v>
      </c>
      <c r="J11" s="528" t="s">
        <v>2117</v>
      </c>
      <c r="K11" s="528" t="s">
        <v>2117</v>
      </c>
      <c r="L11" s="528" t="s">
        <v>2117</v>
      </c>
      <c r="M11" s="528" t="s">
        <v>2131</v>
      </c>
      <c r="N11" s="528" t="s">
        <v>2117</v>
      </c>
      <c r="O11" s="528" t="s">
        <v>2117</v>
      </c>
      <c r="P11" s="528" t="s">
        <v>2117</v>
      </c>
      <c r="Q11" s="528" t="s">
        <v>2117</v>
      </c>
      <c r="R11" s="528" t="s">
        <v>2117</v>
      </c>
      <c r="S11" s="528" t="s">
        <v>2117</v>
      </c>
      <c r="T11" s="528" t="s">
        <v>2117</v>
      </c>
      <c r="U11" s="528" t="s">
        <v>2117</v>
      </c>
      <c r="V11" s="528" t="s">
        <v>2117</v>
      </c>
      <c r="W11" s="528" t="s">
        <v>2117</v>
      </c>
      <c r="X11" s="528" t="s">
        <v>2117</v>
      </c>
      <c r="Y11" s="527" t="s">
        <v>2118</v>
      </c>
      <c r="Z11" s="527" t="s">
        <v>2177</v>
      </c>
      <c r="AA11" s="527" t="s">
        <v>2178</v>
      </c>
      <c r="AB11" s="527" t="s">
        <v>2121</v>
      </c>
      <c r="AC11" s="528" t="s">
        <v>2122</v>
      </c>
      <c r="AD11" s="527" t="s">
        <v>2123</v>
      </c>
      <c r="AE11" s="527" t="s">
        <v>2148</v>
      </c>
      <c r="AF11" s="527" t="s">
        <v>2179</v>
      </c>
    </row>
    <row r="12" ht="16.5" customHeight="1">
      <c r="A12" s="528" t="s">
        <v>2180</v>
      </c>
      <c r="B12" s="529" t="n">
        <v>46205.83872685185</v>
      </c>
      <c r="C12" s="527" t="s">
        <v>2181</v>
      </c>
      <c r="D12" s="527" t="s">
        <v>2112</v>
      </c>
      <c r="E12" s="527" t="s">
        <v>2113</v>
      </c>
      <c r="F12" s="527" t="s">
        <v>2182</v>
      </c>
      <c r="G12" s="528" t="s">
        <v>2183</v>
      </c>
      <c r="H12" s="527" t="s">
        <v>1141</v>
      </c>
      <c r="I12" s="527" t="s">
        <v>2116</v>
      </c>
      <c r="J12" s="528" t="s">
        <v>2131</v>
      </c>
      <c r="K12" s="528" t="s">
        <v>2131</v>
      </c>
      <c r="L12" s="528" t="s">
        <v>2131</v>
      </c>
      <c r="M12" s="528" t="s">
        <v>2131</v>
      </c>
      <c r="N12" s="528" t="s">
        <v>2117</v>
      </c>
      <c r="O12" s="528" t="s">
        <v>2131</v>
      </c>
      <c r="P12" s="528" t="s">
        <v>2131</v>
      </c>
      <c r="Q12" s="528" t="s">
        <v>2131</v>
      </c>
      <c r="R12" s="528" t="s">
        <v>2131</v>
      </c>
      <c r="S12" s="528" t="s">
        <v>2117</v>
      </c>
      <c r="T12" s="528" t="s">
        <v>2131</v>
      </c>
      <c r="U12" s="528" t="s">
        <v>2131</v>
      </c>
      <c r="V12" s="528" t="s">
        <v>2131</v>
      </c>
      <c r="W12" s="528" t="s">
        <v>2131</v>
      </c>
      <c r="X12" s="528" t="s">
        <v>2117</v>
      </c>
      <c r="Y12" s="527" t="s">
        <v>2146</v>
      </c>
      <c r="Z12" s="527" t="s">
        <v>2177</v>
      </c>
      <c r="AA12" s="527" t="s">
        <v>2184</v>
      </c>
      <c r="AB12" s="527" t="s">
        <v>505</v>
      </c>
      <c r="AC12" s="528" t="s">
        <v>2122</v>
      </c>
      <c r="AD12" s="527" t="s">
        <v>2123</v>
      </c>
      <c r="AE12" s="527" t="s">
        <v>2154</v>
      </c>
      <c r="AF12" s="527" t="s">
        <v>2185</v>
      </c>
    </row>
    <row r="13" ht="16.5" customHeight="1">
      <c r="A13" s="528" t="s">
        <v>2186</v>
      </c>
      <c r="B13" s="529" t="n">
        <v>46205.84143518518</v>
      </c>
      <c r="C13" s="527" t="s">
        <v>2187</v>
      </c>
      <c r="D13" s="527" t="s">
        <v>2112</v>
      </c>
      <c r="E13" s="527" t="s">
        <v>2113</v>
      </c>
      <c r="F13" s="527" t="s">
        <v>2188</v>
      </c>
      <c r="G13" s="528" t="s">
        <v>2189</v>
      </c>
      <c r="H13" s="527" t="s">
        <v>1015</v>
      </c>
      <c r="I13" s="527" t="s">
        <v>2116</v>
      </c>
      <c r="J13" s="528" t="s">
        <v>2117</v>
      </c>
      <c r="K13" s="528" t="s">
        <v>2117</v>
      </c>
      <c r="L13" s="528" t="s">
        <v>2117</v>
      </c>
      <c r="M13" s="528" t="s">
        <v>2131</v>
      </c>
      <c r="N13" s="528" t="s">
        <v>2131</v>
      </c>
      <c r="O13" s="528" t="s">
        <v>2117</v>
      </c>
      <c r="P13" s="528" t="s">
        <v>2117</v>
      </c>
      <c r="Q13" s="528" t="s">
        <v>2117</v>
      </c>
      <c r="R13" s="528" t="s">
        <v>2117</v>
      </c>
      <c r="S13" s="528" t="s">
        <v>2117</v>
      </c>
      <c r="T13" s="528" t="s">
        <v>2117</v>
      </c>
      <c r="U13" s="528" t="s">
        <v>2117</v>
      </c>
      <c r="V13" s="528" t="s">
        <v>2131</v>
      </c>
      <c r="W13" s="528" t="s">
        <v>2117</v>
      </c>
      <c r="X13" s="528" t="s">
        <v>2131</v>
      </c>
      <c r="Y13" s="527" t="s">
        <v>2118</v>
      </c>
      <c r="Z13" s="527" t="s">
        <v>2119</v>
      </c>
      <c r="AA13" s="527" t="s">
        <v>2139</v>
      </c>
      <c r="AB13" s="527" t="s">
        <v>2121</v>
      </c>
      <c r="AC13" s="528" t="s">
        <v>2122</v>
      </c>
      <c r="AD13" s="527" t="s">
        <v>2123</v>
      </c>
      <c r="AE13" s="527" t="s">
        <v>2154</v>
      </c>
      <c r="AF13" s="527" t="s">
        <v>2125</v>
      </c>
    </row>
    <row r="14" ht="16.5" customHeight="1">
      <c r="A14" s="528" t="s">
        <v>2190</v>
      </c>
      <c r="B14" s="529" t="n">
        <v>46205.844502314816</v>
      </c>
      <c r="C14" s="527" t="s">
        <v>2191</v>
      </c>
      <c r="D14" s="527" t="s">
        <v>2112</v>
      </c>
      <c r="E14" s="527" t="s">
        <v>2113</v>
      </c>
      <c r="F14" s="527" t="s">
        <v>2192</v>
      </c>
      <c r="G14" s="528" t="s">
        <v>2115</v>
      </c>
      <c r="H14" s="527" t="s">
        <v>1241</v>
      </c>
      <c r="I14" s="527" t="s">
        <v>2193</v>
      </c>
      <c r="J14" s="528" t="s">
        <v>2117</v>
      </c>
      <c r="K14" s="528" t="s">
        <v>2117</v>
      </c>
      <c r="L14" s="528" t="s">
        <v>2117</v>
      </c>
      <c r="M14" s="528" t="s">
        <v>2117</v>
      </c>
      <c r="N14" s="528" t="s">
        <v>2117</v>
      </c>
      <c r="O14" s="528" t="s">
        <v>2117</v>
      </c>
      <c r="P14" s="528" t="s">
        <v>2117</v>
      </c>
      <c r="Q14" s="528" t="s">
        <v>2117</v>
      </c>
      <c r="R14" s="528" t="s">
        <v>2117</v>
      </c>
      <c r="S14" s="528" t="s">
        <v>2117</v>
      </c>
      <c r="T14" s="528" t="s">
        <v>2117</v>
      </c>
      <c r="U14" s="528" t="s">
        <v>2117</v>
      </c>
      <c r="V14" s="528" t="s">
        <v>2117</v>
      </c>
      <c r="W14" s="528" t="s">
        <v>2117</v>
      </c>
      <c r="X14" s="528" t="s">
        <v>2117</v>
      </c>
      <c r="Y14" s="527" t="s">
        <v>2146</v>
      </c>
      <c r="Z14" s="527" t="s">
        <v>2119</v>
      </c>
      <c r="AA14" s="527" t="s">
        <v>2139</v>
      </c>
      <c r="AB14" s="527" t="s">
        <v>2121</v>
      </c>
      <c r="AC14" s="528" t="s">
        <v>2122</v>
      </c>
      <c r="AD14" s="527" t="s">
        <v>2123</v>
      </c>
      <c r="AE14" s="527" t="s">
        <v>2154</v>
      </c>
      <c r="AF14" s="527" t="s">
        <v>2179</v>
      </c>
    </row>
    <row r="15" ht="16.5" customHeight="1">
      <c r="A15" s="528" t="s">
        <v>2194</v>
      </c>
      <c r="B15" s="529" t="n">
        <v>46205.84700231482</v>
      </c>
      <c r="C15" s="527" t="s">
        <v>2195</v>
      </c>
      <c r="D15" s="527" t="s">
        <v>2112</v>
      </c>
      <c r="E15" s="527" t="s">
        <v>2113</v>
      </c>
      <c r="F15" s="527" t="s">
        <v>2196</v>
      </c>
      <c r="G15" s="528" t="s">
        <v>2129</v>
      </c>
      <c r="H15" s="527" t="s">
        <v>1033</v>
      </c>
      <c r="I15" s="527" t="s">
        <v>2116</v>
      </c>
      <c r="J15" s="528" t="s">
        <v>2117</v>
      </c>
      <c r="K15" s="528" t="s">
        <v>2117</v>
      </c>
      <c r="L15" s="528" t="s">
        <v>2117</v>
      </c>
      <c r="M15" s="528" t="s">
        <v>2117</v>
      </c>
      <c r="N15" s="528" t="s">
        <v>2117</v>
      </c>
      <c r="O15" s="528" t="s">
        <v>2117</v>
      </c>
      <c r="P15" s="528" t="s">
        <v>2117</v>
      </c>
      <c r="Q15" s="528" t="s">
        <v>2131</v>
      </c>
      <c r="R15" s="528" t="s">
        <v>2117</v>
      </c>
      <c r="S15" s="528" t="s">
        <v>2117</v>
      </c>
      <c r="T15" s="528" t="s">
        <v>2131</v>
      </c>
      <c r="U15" s="528" t="s">
        <v>2117</v>
      </c>
      <c r="V15" s="528" t="s">
        <v>2117</v>
      </c>
      <c r="W15" s="528" t="s">
        <v>2117</v>
      </c>
      <c r="X15" s="528" t="s">
        <v>2117</v>
      </c>
      <c r="Y15" s="527" t="s">
        <v>2118</v>
      </c>
      <c r="Z15" s="527" t="s">
        <v>2119</v>
      </c>
      <c r="AA15" s="527" t="s">
        <v>2120</v>
      </c>
      <c r="AB15" s="527" t="s">
        <v>2121</v>
      </c>
      <c r="AC15" s="528" t="s">
        <v>2122</v>
      </c>
      <c r="AD15" s="527" t="s">
        <v>2123</v>
      </c>
      <c r="AE15" s="527" t="s">
        <v>2197</v>
      </c>
      <c r="AF15" s="527" t="s">
        <v>2198</v>
      </c>
    </row>
    <row r="16" ht="16.5" customHeight="1">
      <c r="A16" s="528" t="s">
        <v>2199</v>
      </c>
      <c r="B16" s="529" t="n">
        <v>46205.85412037037</v>
      </c>
      <c r="C16" s="527" t="s">
        <v>2200</v>
      </c>
      <c r="D16" s="527" t="s">
        <v>2112</v>
      </c>
      <c r="E16" s="527" t="s">
        <v>2113</v>
      </c>
      <c r="F16" s="527" t="s">
        <v>2201</v>
      </c>
      <c r="G16" s="528" t="s">
        <v>2115</v>
      </c>
      <c r="H16" s="527" t="s">
        <v>1166</v>
      </c>
      <c r="I16" s="527" t="s">
        <v>2116</v>
      </c>
      <c r="J16" s="528" t="s">
        <v>2117</v>
      </c>
      <c r="K16" s="528" t="s">
        <v>2117</v>
      </c>
      <c r="L16" s="528" t="s">
        <v>2117</v>
      </c>
      <c r="M16" s="528" t="s">
        <v>2117</v>
      </c>
      <c r="N16" s="528" t="s">
        <v>2117</v>
      </c>
      <c r="O16" s="528" t="s">
        <v>2117</v>
      </c>
      <c r="P16" s="528" t="s">
        <v>2117</v>
      </c>
      <c r="Q16" s="528" t="s">
        <v>2117</v>
      </c>
      <c r="R16" s="528" t="s">
        <v>2117</v>
      </c>
      <c r="S16" s="528" t="s">
        <v>2117</v>
      </c>
      <c r="T16" s="528" t="s">
        <v>2117</v>
      </c>
      <c r="U16" s="528" t="s">
        <v>2117</v>
      </c>
      <c r="V16" s="528" t="s">
        <v>2117</v>
      </c>
      <c r="W16" s="528" t="s">
        <v>2117</v>
      </c>
      <c r="X16" s="528" t="s">
        <v>2117</v>
      </c>
      <c r="Y16" s="527" t="s">
        <v>2118</v>
      </c>
      <c r="Z16" s="527" t="s">
        <v>2177</v>
      </c>
      <c r="AA16" s="527" t="s">
        <v>2132</v>
      </c>
      <c r="AB16" s="527" t="s">
        <v>2121</v>
      </c>
      <c r="AC16" s="528" t="s">
        <v>2122</v>
      </c>
      <c r="AD16" s="527" t="s">
        <v>2123</v>
      </c>
      <c r="AE16" s="527" t="s">
        <v>2154</v>
      </c>
      <c r="AF16" s="527" t="s">
        <v>2202</v>
      </c>
    </row>
    <row r="17" ht="16.5" customHeight="1">
      <c r="A17" s="528" t="s">
        <v>2203</v>
      </c>
      <c r="B17" s="529" t="n">
        <v>46205.855416666665</v>
      </c>
      <c r="C17" s="527" t="s">
        <v>2204</v>
      </c>
      <c r="D17" s="527" t="s">
        <v>2112</v>
      </c>
      <c r="E17" s="527" t="s">
        <v>2113</v>
      </c>
      <c r="F17" s="527" t="s">
        <v>2205</v>
      </c>
      <c r="G17" s="528" t="s">
        <v>2115</v>
      </c>
      <c r="H17" s="527" t="s">
        <v>1250</v>
      </c>
      <c r="I17" s="527" t="s">
        <v>2145</v>
      </c>
      <c r="J17" s="528" t="s">
        <v>2117</v>
      </c>
      <c r="K17" s="528" t="s">
        <v>2117</v>
      </c>
      <c r="L17" s="528" t="s">
        <v>2117</v>
      </c>
      <c r="M17" s="528" t="s">
        <v>2117</v>
      </c>
      <c r="N17" s="528" t="s">
        <v>2117</v>
      </c>
      <c r="O17" s="528" t="s">
        <v>2117</v>
      </c>
      <c r="P17" s="528" t="s">
        <v>2117</v>
      </c>
      <c r="Q17" s="528" t="s">
        <v>2117</v>
      </c>
      <c r="R17" s="528" t="s">
        <v>2117</v>
      </c>
      <c r="S17" s="528" t="s">
        <v>2117</v>
      </c>
      <c r="T17" s="528" t="s">
        <v>2117</v>
      </c>
      <c r="U17" s="528" t="s">
        <v>2117</v>
      </c>
      <c r="V17" s="528" t="s">
        <v>2117</v>
      </c>
      <c r="W17" s="528" t="s">
        <v>2117</v>
      </c>
      <c r="X17" s="528" t="s">
        <v>2117</v>
      </c>
      <c r="Y17" s="527" t="s">
        <v>2137</v>
      </c>
      <c r="Z17" s="527" t="s">
        <v>2119</v>
      </c>
      <c r="AA17" s="527" t="s">
        <v>2139</v>
      </c>
      <c r="AB17" s="527" t="s">
        <v>2140</v>
      </c>
      <c r="AC17" s="528" t="s">
        <v>2122</v>
      </c>
      <c r="AD17" s="527" t="s">
        <v>2153</v>
      </c>
      <c r="AE17" s="527" t="s">
        <v>2124</v>
      </c>
      <c r="AF17" s="527" t="s">
        <v>2125</v>
      </c>
    </row>
    <row r="18" ht="16.5" customHeight="1">
      <c r="A18" s="528" t="s">
        <v>2206</v>
      </c>
      <c r="B18" s="529" t="n">
        <v>46205.85780092593</v>
      </c>
      <c r="C18" s="527" t="s">
        <v>2207</v>
      </c>
      <c r="D18" s="527" t="s">
        <v>2112</v>
      </c>
      <c r="E18" s="527" t="s">
        <v>2113</v>
      </c>
      <c r="F18" s="527" t="s">
        <v>2208</v>
      </c>
      <c r="G18" s="528" t="s">
        <v>2115</v>
      </c>
      <c r="H18" s="527" t="s">
        <v>1165</v>
      </c>
      <c r="I18" s="527" t="s">
        <v>2145</v>
      </c>
      <c r="J18" s="528" t="s">
        <v>2117</v>
      </c>
      <c r="K18" s="528" t="s">
        <v>2117</v>
      </c>
      <c r="L18" s="528" t="s">
        <v>2117</v>
      </c>
      <c r="M18" s="528" t="s">
        <v>2117</v>
      </c>
      <c r="N18" s="528" t="s">
        <v>2117</v>
      </c>
      <c r="O18" s="528" t="s">
        <v>2117</v>
      </c>
      <c r="P18" s="528" t="s">
        <v>2117</v>
      </c>
      <c r="Q18" s="528" t="s">
        <v>2117</v>
      </c>
      <c r="R18" s="528" t="s">
        <v>2117</v>
      </c>
      <c r="S18" s="528" t="s">
        <v>2117</v>
      </c>
      <c r="T18" s="528" t="s">
        <v>2117</v>
      </c>
      <c r="U18" s="528" t="s">
        <v>2117</v>
      </c>
      <c r="V18" s="528" t="s">
        <v>2117</v>
      </c>
      <c r="W18" s="528" t="s">
        <v>2117</v>
      </c>
      <c r="X18" s="528" t="s">
        <v>2117</v>
      </c>
      <c r="Y18" s="527" t="s">
        <v>2118</v>
      </c>
      <c r="Z18" s="527" t="s">
        <v>2177</v>
      </c>
      <c r="AA18" s="527" t="s">
        <v>2132</v>
      </c>
      <c r="AB18" s="527" t="s">
        <v>2121</v>
      </c>
      <c r="AC18" s="528" t="s">
        <v>2122</v>
      </c>
      <c r="AD18" s="527" t="s">
        <v>2209</v>
      </c>
      <c r="AE18" s="527" t="s">
        <v>2141</v>
      </c>
      <c r="AF18" s="527" t="s">
        <v>2125</v>
      </c>
    </row>
    <row r="19" ht="16.5" customHeight="1">
      <c r="A19" s="528" t="s">
        <v>2210</v>
      </c>
      <c r="B19" s="529" t="n">
        <v>46205.86015046296</v>
      </c>
      <c r="C19" s="527" t="s">
        <v>2211</v>
      </c>
      <c r="D19" s="527" t="s">
        <v>2112</v>
      </c>
      <c r="E19" s="527" t="s">
        <v>2113</v>
      </c>
      <c r="F19" s="527" t="s">
        <v>2212</v>
      </c>
      <c r="G19" s="528" t="s">
        <v>2115</v>
      </c>
      <c r="H19" s="527" t="s">
        <v>1282</v>
      </c>
      <c r="I19" s="527" t="s">
        <v>2116</v>
      </c>
      <c r="J19" s="528" t="s">
        <v>2117</v>
      </c>
      <c r="K19" s="528" t="s">
        <v>2117</v>
      </c>
      <c r="L19" s="528" t="s">
        <v>2117</v>
      </c>
      <c r="M19" s="528" t="s">
        <v>2117</v>
      </c>
      <c r="N19" s="528" t="s">
        <v>2117</v>
      </c>
      <c r="O19" s="528" t="s">
        <v>2117</v>
      </c>
      <c r="P19" s="528" t="s">
        <v>2117</v>
      </c>
      <c r="Q19" s="528" t="s">
        <v>2117</v>
      </c>
      <c r="R19" s="528" t="s">
        <v>2117</v>
      </c>
      <c r="S19" s="528" t="s">
        <v>2117</v>
      </c>
      <c r="T19" s="528" t="s">
        <v>2117</v>
      </c>
      <c r="U19" s="528" t="s">
        <v>2117</v>
      </c>
      <c r="V19" s="528" t="s">
        <v>2117</v>
      </c>
      <c r="W19" s="528" t="s">
        <v>2117</v>
      </c>
      <c r="X19" s="528" t="s">
        <v>2117</v>
      </c>
      <c r="Y19" s="527" t="s">
        <v>2118</v>
      </c>
      <c r="Z19" s="527" t="s">
        <v>2119</v>
      </c>
      <c r="AA19" s="527" t="s">
        <v>2158</v>
      </c>
      <c r="AB19" s="527" t="s">
        <v>2121</v>
      </c>
      <c r="AC19" s="528" t="s">
        <v>2122</v>
      </c>
      <c r="AD19" s="527" t="s">
        <v>2153</v>
      </c>
      <c r="AE19" s="527" t="s">
        <v>2154</v>
      </c>
      <c r="AF19" s="527" t="s">
        <v>2125</v>
      </c>
    </row>
    <row r="20" ht="16.5" customHeight="1">
      <c r="A20" s="528" t="s">
        <v>2213</v>
      </c>
      <c r="B20" s="529" t="n">
        <v>46205.8609375</v>
      </c>
      <c r="C20" s="527" t="s">
        <v>2214</v>
      </c>
      <c r="D20" s="527" t="s">
        <v>2112</v>
      </c>
      <c r="E20" s="527" t="s">
        <v>2113</v>
      </c>
      <c r="F20" s="527" t="s">
        <v>2215</v>
      </c>
      <c r="G20" s="528" t="s">
        <v>2115</v>
      </c>
      <c r="H20" s="527" t="s">
        <v>1322</v>
      </c>
      <c r="I20" s="527" t="s">
        <v>2116</v>
      </c>
      <c r="J20" s="528" t="s">
        <v>2117</v>
      </c>
      <c r="K20" s="528" t="s">
        <v>2117</v>
      </c>
      <c r="L20" s="528" t="s">
        <v>2117</v>
      </c>
      <c r="M20" s="528" t="s">
        <v>2117</v>
      </c>
      <c r="N20" s="528" t="s">
        <v>2117</v>
      </c>
      <c r="O20" s="528" t="s">
        <v>2117</v>
      </c>
      <c r="P20" s="528" t="s">
        <v>2117</v>
      </c>
      <c r="Q20" s="528" t="s">
        <v>2117</v>
      </c>
      <c r="R20" s="528" t="s">
        <v>2117</v>
      </c>
      <c r="S20" s="528" t="s">
        <v>2117</v>
      </c>
      <c r="T20" s="528" t="s">
        <v>2117</v>
      </c>
      <c r="U20" s="528" t="s">
        <v>2117</v>
      </c>
      <c r="V20" s="528" t="s">
        <v>2117</v>
      </c>
      <c r="W20" s="528" t="s">
        <v>2117</v>
      </c>
      <c r="X20" s="528" t="s">
        <v>2117</v>
      </c>
      <c r="Y20" s="527" t="s">
        <v>2146</v>
      </c>
      <c r="Z20" s="527" t="s">
        <v>2119</v>
      </c>
      <c r="AA20" s="527" t="s">
        <v>2139</v>
      </c>
      <c r="AB20" s="527" t="s">
        <v>2121</v>
      </c>
      <c r="AC20" s="528" t="s">
        <v>2122</v>
      </c>
      <c r="AD20" s="527" t="s">
        <v>2123</v>
      </c>
      <c r="AE20" s="527" t="s">
        <v>2154</v>
      </c>
      <c r="AF20" s="527" t="s">
        <v>2216</v>
      </c>
    </row>
    <row r="21" ht="16.5" customHeight="1">
      <c r="A21" s="528" t="s">
        <v>2217</v>
      </c>
      <c r="B21" s="529" t="n">
        <v>46205.861921296295</v>
      </c>
      <c r="C21" s="527" t="s">
        <v>2218</v>
      </c>
      <c r="D21" s="527" t="s">
        <v>2112</v>
      </c>
      <c r="E21" s="527" t="s">
        <v>2113</v>
      </c>
      <c r="F21" s="527" t="s">
        <v>2219</v>
      </c>
      <c r="G21" s="528" t="s">
        <v>2115</v>
      </c>
      <c r="H21" s="527" t="s">
        <v>1318</v>
      </c>
      <c r="I21" s="527" t="s">
        <v>2145</v>
      </c>
      <c r="J21" s="528" t="s">
        <v>2117</v>
      </c>
      <c r="K21" s="528" t="s">
        <v>2117</v>
      </c>
      <c r="L21" s="528" t="s">
        <v>2117</v>
      </c>
      <c r="M21" s="528" t="s">
        <v>2117</v>
      </c>
      <c r="N21" s="528" t="s">
        <v>2117</v>
      </c>
      <c r="O21" s="528" t="s">
        <v>2117</v>
      </c>
      <c r="P21" s="528" t="s">
        <v>2117</v>
      </c>
      <c r="Q21" s="528" t="s">
        <v>2117</v>
      </c>
      <c r="R21" s="528" t="s">
        <v>2117</v>
      </c>
      <c r="S21" s="528" t="s">
        <v>2117</v>
      </c>
      <c r="T21" s="528" t="s">
        <v>2117</v>
      </c>
      <c r="U21" s="528" t="s">
        <v>2117</v>
      </c>
      <c r="V21" s="528" t="s">
        <v>2117</v>
      </c>
      <c r="W21" s="528" t="s">
        <v>2117</v>
      </c>
      <c r="X21" s="528" t="s">
        <v>2117</v>
      </c>
      <c r="Y21" s="527" t="s">
        <v>2118</v>
      </c>
      <c r="Z21" s="527" t="s">
        <v>2177</v>
      </c>
      <c r="AA21" s="527" t="s">
        <v>2139</v>
      </c>
      <c r="AB21" s="527" t="s">
        <v>2121</v>
      </c>
      <c r="AC21" s="528" t="s">
        <v>2122</v>
      </c>
      <c r="AD21" s="527" t="s">
        <v>2123</v>
      </c>
      <c r="AE21" s="527" t="s">
        <v>2148</v>
      </c>
      <c r="AF21" s="527" t="s">
        <v>2125</v>
      </c>
    </row>
    <row r="22" ht="16.5" customHeight="1">
      <c r="A22" s="528" t="s">
        <v>2220</v>
      </c>
      <c r="B22" s="529" t="n">
        <v>46205.86472222222</v>
      </c>
      <c r="C22" s="527" t="s">
        <v>2221</v>
      </c>
      <c r="D22" s="527" t="s">
        <v>2112</v>
      </c>
      <c r="E22" s="527" t="s">
        <v>2113</v>
      </c>
      <c r="F22" s="527" t="s">
        <v>2222</v>
      </c>
      <c r="G22" s="528" t="s">
        <v>2115</v>
      </c>
      <c r="H22" s="527" t="s">
        <v>1053</v>
      </c>
      <c r="I22" s="527" t="s">
        <v>2116</v>
      </c>
      <c r="J22" s="528" t="s">
        <v>2117</v>
      </c>
      <c r="K22" s="528" t="s">
        <v>2117</v>
      </c>
      <c r="L22" s="528" t="s">
        <v>2117</v>
      </c>
      <c r="M22" s="528" t="s">
        <v>2117</v>
      </c>
      <c r="N22" s="528" t="s">
        <v>2117</v>
      </c>
      <c r="O22" s="528" t="s">
        <v>2117</v>
      </c>
      <c r="P22" s="528" t="s">
        <v>2117</v>
      </c>
      <c r="Q22" s="528" t="s">
        <v>2117</v>
      </c>
      <c r="R22" s="528" t="s">
        <v>2117</v>
      </c>
      <c r="S22" s="528" t="s">
        <v>2117</v>
      </c>
      <c r="T22" s="528" t="s">
        <v>2117</v>
      </c>
      <c r="U22" s="528" t="s">
        <v>2117</v>
      </c>
      <c r="V22" s="528" t="s">
        <v>2117</v>
      </c>
      <c r="W22" s="528" t="s">
        <v>2117</v>
      </c>
      <c r="X22" s="528" t="s">
        <v>2117</v>
      </c>
      <c r="Y22" s="527" t="s">
        <v>2146</v>
      </c>
      <c r="Z22" s="527" t="s">
        <v>2119</v>
      </c>
      <c r="AA22" s="527" t="s">
        <v>2178</v>
      </c>
      <c r="AB22" s="527" t="s">
        <v>2121</v>
      </c>
      <c r="AC22" s="528" t="s">
        <v>2122</v>
      </c>
      <c r="AD22" s="527" t="s">
        <v>2123</v>
      </c>
      <c r="AE22" s="527" t="s">
        <v>2197</v>
      </c>
      <c r="AF22" s="527" t="s">
        <v>2223</v>
      </c>
    </row>
    <row r="23" ht="16.5" customHeight="1">
      <c r="A23" s="528" t="s">
        <v>2224</v>
      </c>
      <c r="B23" s="529" t="n">
        <v>46205.865115740744</v>
      </c>
      <c r="C23" s="527" t="s">
        <v>2225</v>
      </c>
      <c r="D23" s="527" t="s">
        <v>2112</v>
      </c>
      <c r="E23" s="527" t="s">
        <v>2113</v>
      </c>
      <c r="F23" s="527" t="s">
        <v>2226</v>
      </c>
      <c r="G23" s="528" t="s">
        <v>2227</v>
      </c>
      <c r="H23" s="527" t="s">
        <v>1238</v>
      </c>
      <c r="I23" s="527" t="s">
        <v>44</v>
      </c>
      <c r="J23" s="528" t="s">
        <v>2110</v>
      </c>
      <c r="K23" s="528" t="s">
        <v>2110</v>
      </c>
      <c r="L23" s="528" t="s">
        <v>2110</v>
      </c>
      <c r="M23" s="528" t="s">
        <v>2110</v>
      </c>
      <c r="N23" s="528" t="s">
        <v>2110</v>
      </c>
      <c r="O23" s="528" t="s">
        <v>2117</v>
      </c>
      <c r="P23" s="528" t="s">
        <v>2117</v>
      </c>
      <c r="Q23" s="528" t="s">
        <v>2117</v>
      </c>
      <c r="R23" s="528" t="s">
        <v>2117</v>
      </c>
      <c r="S23" s="528" t="s">
        <v>2117</v>
      </c>
      <c r="T23" s="528" t="s">
        <v>2110</v>
      </c>
      <c r="U23" s="528" t="s">
        <v>2110</v>
      </c>
      <c r="V23" s="528" t="s">
        <v>2110</v>
      </c>
      <c r="W23" s="528" t="s">
        <v>2110</v>
      </c>
      <c r="X23" s="528" t="s">
        <v>2110</v>
      </c>
      <c r="Y23" s="527" t="s">
        <v>2118</v>
      </c>
      <c r="Z23" s="527" t="s">
        <v>2119</v>
      </c>
      <c r="AA23" s="527" t="s">
        <v>2139</v>
      </c>
      <c r="AB23" s="527" t="s">
        <v>2140</v>
      </c>
      <c r="AC23" s="528" t="s">
        <v>2122</v>
      </c>
      <c r="AD23" s="527" t="s">
        <v>2123</v>
      </c>
      <c r="AE23" s="527" t="s">
        <v>2148</v>
      </c>
      <c r="AF23" s="527" t="s">
        <v>2125</v>
      </c>
    </row>
    <row r="24" ht="16.5" customHeight="1">
      <c r="A24" s="528" t="s">
        <v>2228</v>
      </c>
      <c r="B24" s="529" t="n">
        <v>46205.867372685185</v>
      </c>
      <c r="C24" s="527" t="s">
        <v>2229</v>
      </c>
      <c r="D24" s="527" t="s">
        <v>2112</v>
      </c>
      <c r="E24" s="527" t="s">
        <v>2113</v>
      </c>
      <c r="F24" s="527" t="s">
        <v>2230</v>
      </c>
      <c r="G24" s="528" t="s">
        <v>2227</v>
      </c>
      <c r="H24" s="527" t="s">
        <v>2231</v>
      </c>
      <c r="I24" s="527" t="s">
        <v>53</v>
      </c>
      <c r="J24" s="528" t="s">
        <v>2110</v>
      </c>
      <c r="K24" s="528" t="s">
        <v>2110</v>
      </c>
      <c r="L24" s="528" t="s">
        <v>2110</v>
      </c>
      <c r="M24" s="528" t="s">
        <v>2110</v>
      </c>
      <c r="N24" s="528" t="s">
        <v>2110</v>
      </c>
      <c r="O24" s="528" t="s">
        <v>2110</v>
      </c>
      <c r="P24" s="528" t="s">
        <v>2110</v>
      </c>
      <c r="Q24" s="528" t="s">
        <v>2110</v>
      </c>
      <c r="R24" s="528" t="s">
        <v>2110</v>
      </c>
      <c r="S24" s="528" t="s">
        <v>2110</v>
      </c>
      <c r="T24" s="528" t="s">
        <v>2117</v>
      </c>
      <c r="U24" s="528" t="s">
        <v>2117</v>
      </c>
      <c r="V24" s="528" t="s">
        <v>2117</v>
      </c>
      <c r="W24" s="528" t="s">
        <v>2117</v>
      </c>
      <c r="X24" s="528" t="s">
        <v>2117</v>
      </c>
      <c r="Y24" s="527" t="s">
        <v>2118</v>
      </c>
      <c r="Z24" s="527" t="s">
        <v>2119</v>
      </c>
      <c r="AA24" s="527" t="s">
        <v>2163</v>
      </c>
      <c r="AB24" s="527" t="s">
        <v>505</v>
      </c>
      <c r="AC24" s="528" t="s">
        <v>2122</v>
      </c>
      <c r="AD24" s="527" t="s">
        <v>2123</v>
      </c>
      <c r="AE24" s="527" t="s">
        <v>2141</v>
      </c>
      <c r="AF24" s="527" t="s">
        <v>2232</v>
      </c>
    </row>
    <row r="25" ht="16.5" customHeight="1">
      <c r="A25" s="528" t="s">
        <v>2233</v>
      </c>
      <c r="B25" s="529" t="n">
        <v>46205.86900462963</v>
      </c>
      <c r="C25" s="527" t="s">
        <v>2234</v>
      </c>
      <c r="D25" s="527" t="s">
        <v>2112</v>
      </c>
      <c r="E25" s="527" t="s">
        <v>2113</v>
      </c>
      <c r="F25" s="527" t="s">
        <v>2235</v>
      </c>
      <c r="G25" s="528" t="s">
        <v>2162</v>
      </c>
      <c r="H25" s="527" t="s">
        <v>1320</v>
      </c>
      <c r="I25" s="527" t="s">
        <v>2116</v>
      </c>
      <c r="J25" s="528" t="s">
        <v>2236</v>
      </c>
      <c r="K25" s="528" t="s">
        <v>2236</v>
      </c>
      <c r="L25" s="528" t="s">
        <v>2117</v>
      </c>
      <c r="M25" s="528" t="s">
        <v>2117</v>
      </c>
      <c r="N25" s="528" t="s">
        <v>2117</v>
      </c>
      <c r="O25" s="528" t="s">
        <v>2117</v>
      </c>
      <c r="P25" s="528" t="s">
        <v>2117</v>
      </c>
      <c r="Q25" s="528" t="s">
        <v>2117</v>
      </c>
      <c r="R25" s="528" t="s">
        <v>2117</v>
      </c>
      <c r="S25" s="528" t="s">
        <v>2117</v>
      </c>
      <c r="T25" s="528" t="s">
        <v>2117</v>
      </c>
      <c r="U25" s="528" t="s">
        <v>2117</v>
      </c>
      <c r="V25" s="528" t="s">
        <v>2117</v>
      </c>
      <c r="W25" s="528" t="s">
        <v>2117</v>
      </c>
      <c r="X25" s="528" t="s">
        <v>2117</v>
      </c>
      <c r="Y25" s="527" t="s">
        <v>2146</v>
      </c>
      <c r="Z25" s="527" t="s">
        <v>2119</v>
      </c>
      <c r="AA25" s="527" t="s">
        <v>2178</v>
      </c>
      <c r="AB25" s="527" t="s">
        <v>2121</v>
      </c>
      <c r="AC25" s="528" t="s">
        <v>2122</v>
      </c>
      <c r="AD25" s="527" t="s">
        <v>2123</v>
      </c>
      <c r="AE25" s="527" t="s">
        <v>2141</v>
      </c>
      <c r="AF25" s="527" t="s">
        <v>2237</v>
      </c>
    </row>
    <row r="26" ht="16.5" customHeight="1">
      <c r="A26" s="528" t="s">
        <v>2238</v>
      </c>
      <c r="B26" s="529" t="n">
        <v>46205.87017361111</v>
      </c>
      <c r="C26" s="527" t="s">
        <v>2239</v>
      </c>
      <c r="D26" s="527" t="s">
        <v>2112</v>
      </c>
      <c r="E26" s="527" t="s">
        <v>2113</v>
      </c>
      <c r="F26" s="527" t="s">
        <v>2240</v>
      </c>
      <c r="G26" s="528" t="s">
        <v>2115</v>
      </c>
      <c r="H26" s="527" t="s">
        <v>1177</v>
      </c>
      <c r="I26" s="527" t="s">
        <v>2116</v>
      </c>
      <c r="J26" s="528" t="s">
        <v>2117</v>
      </c>
      <c r="K26" s="528" t="s">
        <v>2117</v>
      </c>
      <c r="L26" s="528" t="s">
        <v>2117</v>
      </c>
      <c r="M26" s="528" t="s">
        <v>2117</v>
      </c>
      <c r="N26" s="528" t="s">
        <v>2117</v>
      </c>
      <c r="O26" s="528" t="s">
        <v>2117</v>
      </c>
      <c r="P26" s="528" t="s">
        <v>2117</v>
      </c>
      <c r="Q26" s="528" t="s">
        <v>2117</v>
      </c>
      <c r="R26" s="528" t="s">
        <v>2117</v>
      </c>
      <c r="S26" s="528" t="s">
        <v>2117</v>
      </c>
      <c r="T26" s="528" t="s">
        <v>2117</v>
      </c>
      <c r="U26" s="528" t="s">
        <v>2117</v>
      </c>
      <c r="V26" s="528" t="s">
        <v>2117</v>
      </c>
      <c r="W26" s="528" t="s">
        <v>2117</v>
      </c>
      <c r="X26" s="528" t="s">
        <v>2117</v>
      </c>
      <c r="Y26" s="527" t="s">
        <v>2118</v>
      </c>
      <c r="Z26" s="527" t="s">
        <v>2119</v>
      </c>
      <c r="AA26" s="527" t="s">
        <v>2139</v>
      </c>
      <c r="AB26" s="527" t="s">
        <v>2140</v>
      </c>
      <c r="AC26" s="528" t="s">
        <v>2122</v>
      </c>
      <c r="AD26" s="527" t="s">
        <v>2123</v>
      </c>
      <c r="AE26" s="527" t="s">
        <v>2148</v>
      </c>
      <c r="AF26" s="527" t="s">
        <v>2125</v>
      </c>
    </row>
    <row r="27" ht="16.5" customHeight="1">
      <c r="A27" s="528" t="s">
        <v>2241</v>
      </c>
      <c r="B27" s="529" t="n">
        <v>46205.87173611111</v>
      </c>
      <c r="C27" s="527" t="s">
        <v>2242</v>
      </c>
      <c r="D27" s="527" t="s">
        <v>2112</v>
      </c>
      <c r="E27" s="527" t="s">
        <v>2113</v>
      </c>
      <c r="F27" s="527" t="s">
        <v>2243</v>
      </c>
      <c r="G27" s="528" t="s">
        <v>2244</v>
      </c>
      <c r="H27" s="527" t="s">
        <v>2245</v>
      </c>
      <c r="I27" s="527" t="s">
        <v>2116</v>
      </c>
      <c r="J27" s="528" t="s">
        <v>2133</v>
      </c>
      <c r="K27" s="528" t="s">
        <v>2133</v>
      </c>
      <c r="L27" s="528" t="s">
        <v>2133</v>
      </c>
      <c r="M27" s="528" t="s">
        <v>2133</v>
      </c>
      <c r="N27" s="528" t="s">
        <v>2133</v>
      </c>
      <c r="O27" s="528" t="s">
        <v>2117</v>
      </c>
      <c r="P27" s="528" t="s">
        <v>2117</v>
      </c>
      <c r="Q27" s="528" t="s">
        <v>2117</v>
      </c>
      <c r="R27" s="528" t="s">
        <v>2117</v>
      </c>
      <c r="S27" s="528" t="s">
        <v>2117</v>
      </c>
      <c r="T27" s="528" t="s">
        <v>2117</v>
      </c>
      <c r="U27" s="528" t="s">
        <v>2117</v>
      </c>
      <c r="V27" s="528" t="s">
        <v>2117</v>
      </c>
      <c r="W27" s="528" t="s">
        <v>2117</v>
      </c>
      <c r="X27" s="528" t="s">
        <v>2117</v>
      </c>
      <c r="Y27" s="527" t="s">
        <v>2137</v>
      </c>
      <c r="Z27" s="527" t="s">
        <v>2138</v>
      </c>
      <c r="AA27" s="527" t="s">
        <v>2246</v>
      </c>
      <c r="AB27" s="527" t="s">
        <v>2140</v>
      </c>
      <c r="AC27" s="528" t="s">
        <v>2122</v>
      </c>
      <c r="AD27" s="527" t="s">
        <v>2153</v>
      </c>
      <c r="AE27" s="527" t="s">
        <v>2154</v>
      </c>
      <c r="AF27" s="527" t="s">
        <v>2179</v>
      </c>
    </row>
    <row r="28" ht="16.5" customHeight="1">
      <c r="A28" s="528" t="s">
        <v>2247</v>
      </c>
      <c r="B28" s="529" t="n">
        <v>46205.87267361111</v>
      </c>
      <c r="C28" s="527" t="s">
        <v>2248</v>
      </c>
      <c r="D28" s="527" t="s">
        <v>2112</v>
      </c>
      <c r="E28" s="527" t="s">
        <v>2113</v>
      </c>
      <c r="F28" s="527" t="s">
        <v>2249</v>
      </c>
      <c r="G28" s="528" t="s">
        <v>2250</v>
      </c>
      <c r="H28" s="527" t="s">
        <v>1253</v>
      </c>
      <c r="I28" s="527" t="s">
        <v>2193</v>
      </c>
      <c r="J28" s="528" t="s">
        <v>2117</v>
      </c>
      <c r="K28" s="528" t="s">
        <v>2117</v>
      </c>
      <c r="L28" s="528" t="s">
        <v>2131</v>
      </c>
      <c r="M28" s="528" t="s">
        <v>2236</v>
      </c>
      <c r="N28" s="528" t="s">
        <v>2236</v>
      </c>
      <c r="O28" s="528" t="s">
        <v>2131</v>
      </c>
      <c r="P28" s="528" t="s">
        <v>2131</v>
      </c>
      <c r="Q28" s="528" t="s">
        <v>2131</v>
      </c>
      <c r="R28" s="528" t="s">
        <v>2131</v>
      </c>
      <c r="S28" s="528" t="s">
        <v>2131</v>
      </c>
      <c r="T28" s="528" t="s">
        <v>2133</v>
      </c>
      <c r="U28" s="528" t="s">
        <v>2133</v>
      </c>
      <c r="V28" s="528" t="s">
        <v>2133</v>
      </c>
      <c r="W28" s="528" t="s">
        <v>2133</v>
      </c>
      <c r="X28" s="528" t="s">
        <v>2133</v>
      </c>
      <c r="Y28" s="527" t="s">
        <v>2177</v>
      </c>
      <c r="Z28" s="527" t="s">
        <v>2119</v>
      </c>
      <c r="AA28" s="527" t="s">
        <v>2152</v>
      </c>
      <c r="AB28" s="527" t="s">
        <v>2121</v>
      </c>
      <c r="AC28" s="528" t="s">
        <v>2122</v>
      </c>
      <c r="AD28" s="527" t="s">
        <v>2153</v>
      </c>
      <c r="AE28" s="527" t="s">
        <v>2251</v>
      </c>
      <c r="AF28" s="527" t="s">
        <v>2252</v>
      </c>
    </row>
    <row r="29" ht="16.5" customHeight="1">
      <c r="A29" s="528" t="s">
        <v>2253</v>
      </c>
      <c r="B29" s="529" t="n">
        <v>46205.872708333336</v>
      </c>
      <c r="C29" s="527" t="s">
        <v>2254</v>
      </c>
      <c r="D29" s="527" t="s">
        <v>2112</v>
      </c>
      <c r="E29" s="527" t="s">
        <v>2113</v>
      </c>
      <c r="F29" s="527" t="s">
        <v>2255</v>
      </c>
      <c r="G29" s="528" t="s">
        <v>2115</v>
      </c>
      <c r="H29" s="527" t="s">
        <v>1052</v>
      </c>
      <c r="I29" s="527" t="s">
        <v>2116</v>
      </c>
      <c r="J29" s="528" t="s">
        <v>2117</v>
      </c>
      <c r="K29" s="528" t="s">
        <v>2117</v>
      </c>
      <c r="L29" s="528" t="s">
        <v>2117</v>
      </c>
      <c r="M29" s="528" t="s">
        <v>2117</v>
      </c>
      <c r="N29" s="528" t="s">
        <v>2117</v>
      </c>
      <c r="O29" s="528" t="s">
        <v>2117</v>
      </c>
      <c r="P29" s="528" t="s">
        <v>2117</v>
      </c>
      <c r="Q29" s="528" t="s">
        <v>2117</v>
      </c>
      <c r="R29" s="528" t="s">
        <v>2117</v>
      </c>
      <c r="S29" s="528" t="s">
        <v>2117</v>
      </c>
      <c r="T29" s="528" t="s">
        <v>2117</v>
      </c>
      <c r="U29" s="528" t="s">
        <v>2117</v>
      </c>
      <c r="V29" s="528" t="s">
        <v>2117</v>
      </c>
      <c r="W29" s="528" t="s">
        <v>2117</v>
      </c>
      <c r="X29" s="528" t="s">
        <v>2117</v>
      </c>
      <c r="Y29" s="527" t="s">
        <v>2146</v>
      </c>
      <c r="Z29" s="527" t="s">
        <v>2119</v>
      </c>
      <c r="AA29" s="527" t="s">
        <v>2172</v>
      </c>
      <c r="AB29" s="527" t="s">
        <v>2121</v>
      </c>
      <c r="AC29" s="528" t="s">
        <v>2122</v>
      </c>
      <c r="AD29" s="527" t="s">
        <v>2123</v>
      </c>
      <c r="AE29" s="527" t="s">
        <v>2154</v>
      </c>
      <c r="AF29" s="527" t="s">
        <v>2125</v>
      </c>
    </row>
    <row r="30" ht="16.5" customHeight="1">
      <c r="A30" s="528" t="s">
        <v>2256</v>
      </c>
      <c r="B30" s="529" t="n">
        <v>46205.87634259259</v>
      </c>
      <c r="C30" s="527" t="s">
        <v>2211</v>
      </c>
      <c r="D30" s="527" t="s">
        <v>2112</v>
      </c>
      <c r="E30" s="527" t="s">
        <v>2113</v>
      </c>
      <c r="F30" s="527" t="s">
        <v>2257</v>
      </c>
      <c r="G30" s="528" t="s">
        <v>2115</v>
      </c>
      <c r="H30" s="527" t="s">
        <v>657</v>
      </c>
      <c r="I30" s="527" t="s">
        <v>2193</v>
      </c>
      <c r="J30" s="528" t="s">
        <v>2117</v>
      </c>
      <c r="K30" s="528" t="s">
        <v>2117</v>
      </c>
      <c r="L30" s="528" t="s">
        <v>2117</v>
      </c>
      <c r="M30" s="528" t="s">
        <v>2117</v>
      </c>
      <c r="N30" s="528" t="s">
        <v>2117</v>
      </c>
      <c r="O30" s="528" t="s">
        <v>2117</v>
      </c>
      <c r="P30" s="528" t="s">
        <v>2117</v>
      </c>
      <c r="Q30" s="528" t="s">
        <v>2117</v>
      </c>
      <c r="R30" s="528" t="s">
        <v>2117</v>
      </c>
      <c r="S30" s="528" t="s">
        <v>2117</v>
      </c>
      <c r="T30" s="528" t="s">
        <v>2117</v>
      </c>
      <c r="U30" s="528" t="s">
        <v>2117</v>
      </c>
      <c r="V30" s="528" t="s">
        <v>2117</v>
      </c>
      <c r="W30" s="528" t="s">
        <v>2117</v>
      </c>
      <c r="X30" s="528" t="s">
        <v>2117</v>
      </c>
      <c r="Y30" s="527" t="s">
        <v>2118</v>
      </c>
      <c r="Z30" s="527" t="s">
        <v>2119</v>
      </c>
      <c r="AA30" s="527" t="s">
        <v>2139</v>
      </c>
      <c r="AB30" s="527" t="s">
        <v>2121</v>
      </c>
      <c r="AC30" s="528" t="s">
        <v>2122</v>
      </c>
      <c r="AD30" s="527" t="s">
        <v>2153</v>
      </c>
      <c r="AE30" s="527" t="s">
        <v>2197</v>
      </c>
      <c r="AF30" s="527" t="s">
        <v>2258</v>
      </c>
    </row>
    <row r="31" ht="16.5" customHeight="1">
      <c r="A31" s="528" t="s">
        <v>2259</v>
      </c>
      <c r="B31" s="529" t="n">
        <v>46205.878275462965</v>
      </c>
      <c r="C31" s="527" t="s">
        <v>2260</v>
      </c>
      <c r="D31" s="527" t="s">
        <v>2112</v>
      </c>
      <c r="E31" s="527" t="s">
        <v>2113</v>
      </c>
      <c r="F31" s="527" t="s">
        <v>2261</v>
      </c>
      <c r="G31" s="528" t="s">
        <v>2115</v>
      </c>
      <c r="H31" s="527" t="s">
        <v>810</v>
      </c>
      <c r="I31" s="527" t="s">
        <v>2116</v>
      </c>
      <c r="J31" s="528" t="s">
        <v>2117</v>
      </c>
      <c r="K31" s="528" t="s">
        <v>2117</v>
      </c>
      <c r="L31" s="528" t="s">
        <v>2117</v>
      </c>
      <c r="M31" s="528" t="s">
        <v>2117</v>
      </c>
      <c r="N31" s="528" t="s">
        <v>2117</v>
      </c>
      <c r="O31" s="528" t="s">
        <v>2117</v>
      </c>
      <c r="P31" s="528" t="s">
        <v>2117</v>
      </c>
      <c r="Q31" s="528" t="s">
        <v>2117</v>
      </c>
      <c r="R31" s="528" t="s">
        <v>2117</v>
      </c>
      <c r="S31" s="528" t="s">
        <v>2117</v>
      </c>
      <c r="T31" s="528" t="s">
        <v>2117</v>
      </c>
      <c r="U31" s="528" t="s">
        <v>2117</v>
      </c>
      <c r="V31" s="528" t="s">
        <v>2117</v>
      </c>
      <c r="W31" s="528" t="s">
        <v>2117</v>
      </c>
      <c r="X31" s="528" t="s">
        <v>2117</v>
      </c>
      <c r="Y31" s="527" t="s">
        <v>2137</v>
      </c>
      <c r="Z31" s="527" t="s">
        <v>2138</v>
      </c>
      <c r="AA31" s="527" t="s">
        <v>2262</v>
      </c>
      <c r="AB31" s="527" t="s">
        <v>2140</v>
      </c>
      <c r="AC31" s="528" t="s">
        <v>2122</v>
      </c>
      <c r="AD31" s="527" t="s">
        <v>2263</v>
      </c>
      <c r="AE31" s="527" t="s">
        <v>2141</v>
      </c>
      <c r="AF31" s="527" t="s">
        <v>2264</v>
      </c>
    </row>
    <row r="32" ht="16.5" customHeight="1">
      <c r="A32" s="528" t="s">
        <v>2265</v>
      </c>
      <c r="B32" s="529" t="n">
        <v>46205.87924768519</v>
      </c>
      <c r="C32" s="527" t="s">
        <v>2266</v>
      </c>
      <c r="D32" s="527" t="s">
        <v>2112</v>
      </c>
      <c r="E32" s="527" t="s">
        <v>2113</v>
      </c>
      <c r="F32" s="527" t="s">
        <v>2267</v>
      </c>
      <c r="G32" s="528" t="s">
        <v>2115</v>
      </c>
      <c r="H32" s="527" t="s">
        <v>1007</v>
      </c>
      <c r="I32" s="527" t="s">
        <v>2116</v>
      </c>
      <c r="J32" s="528" t="s">
        <v>2117</v>
      </c>
      <c r="K32" s="528" t="s">
        <v>2117</v>
      </c>
      <c r="L32" s="528" t="s">
        <v>2117</v>
      </c>
      <c r="M32" s="528" t="s">
        <v>2117</v>
      </c>
      <c r="N32" s="528" t="s">
        <v>2117</v>
      </c>
      <c r="O32" s="528" t="s">
        <v>2117</v>
      </c>
      <c r="P32" s="528" t="s">
        <v>2117</v>
      </c>
      <c r="Q32" s="528" t="s">
        <v>2117</v>
      </c>
      <c r="R32" s="528" t="s">
        <v>2117</v>
      </c>
      <c r="S32" s="528" t="s">
        <v>2117</v>
      </c>
      <c r="T32" s="528" t="s">
        <v>2117</v>
      </c>
      <c r="U32" s="528" t="s">
        <v>2117</v>
      </c>
      <c r="V32" s="528" t="s">
        <v>2117</v>
      </c>
      <c r="W32" s="528" t="s">
        <v>2117</v>
      </c>
      <c r="X32" s="528" t="s">
        <v>2117</v>
      </c>
      <c r="Y32" s="527" t="s">
        <v>2118</v>
      </c>
      <c r="Z32" s="527" t="s">
        <v>2119</v>
      </c>
      <c r="AA32" s="527" t="s">
        <v>2152</v>
      </c>
      <c r="AB32" s="527" t="s">
        <v>2121</v>
      </c>
      <c r="AC32" s="528" t="s">
        <v>2122</v>
      </c>
      <c r="AD32" s="527" t="s">
        <v>2123</v>
      </c>
      <c r="AE32" s="527" t="s">
        <v>2148</v>
      </c>
      <c r="AF32" s="527" t="s">
        <v>2125</v>
      </c>
    </row>
    <row r="33" ht="16.5" customHeight="1">
      <c r="A33" s="528" t="s">
        <v>2268</v>
      </c>
      <c r="B33" s="529" t="n">
        <v>46205.88447916666</v>
      </c>
      <c r="C33" s="527" t="s">
        <v>2269</v>
      </c>
      <c r="D33" s="527" t="s">
        <v>2112</v>
      </c>
      <c r="E33" s="527" t="s">
        <v>2113</v>
      </c>
      <c r="F33" s="527" t="s">
        <v>2270</v>
      </c>
      <c r="G33" s="528" t="s">
        <v>2271</v>
      </c>
      <c r="H33" s="527" t="s">
        <v>1326</v>
      </c>
      <c r="I33" s="527" t="s">
        <v>2116</v>
      </c>
      <c r="J33" s="528" t="s">
        <v>2117</v>
      </c>
      <c r="K33" s="528" t="s">
        <v>2117</v>
      </c>
      <c r="L33" s="528" t="s">
        <v>2131</v>
      </c>
      <c r="M33" s="528" t="s">
        <v>2117</v>
      </c>
      <c r="N33" s="528" t="s">
        <v>2117</v>
      </c>
      <c r="O33" s="528" t="s">
        <v>2117</v>
      </c>
      <c r="P33" s="528" t="s">
        <v>2117</v>
      </c>
      <c r="Q33" s="528" t="s">
        <v>2117</v>
      </c>
      <c r="R33" s="528" t="s">
        <v>2117</v>
      </c>
      <c r="S33" s="528" t="s">
        <v>2117</v>
      </c>
      <c r="T33" s="528" t="s">
        <v>2117</v>
      </c>
      <c r="U33" s="528" t="s">
        <v>2117</v>
      </c>
      <c r="V33" s="528" t="s">
        <v>2117</v>
      </c>
      <c r="W33" s="528" t="s">
        <v>2236</v>
      </c>
      <c r="X33" s="528" t="s">
        <v>2117</v>
      </c>
      <c r="Y33" s="527" t="s">
        <v>2137</v>
      </c>
      <c r="Z33" s="527" t="s">
        <v>2119</v>
      </c>
      <c r="AA33" s="527" t="s">
        <v>2158</v>
      </c>
      <c r="AB33" s="527" t="s">
        <v>2140</v>
      </c>
      <c r="AC33" s="528" t="s">
        <v>2272</v>
      </c>
      <c r="AD33" s="527" t="s">
        <v>2153</v>
      </c>
      <c r="AE33" s="527" t="s">
        <v>2197</v>
      </c>
      <c r="AF33" s="527" t="s">
        <v>2125</v>
      </c>
    </row>
    <row r="34" ht="16.5" customHeight="1">
      <c r="A34" s="528" t="s">
        <v>2273</v>
      </c>
      <c r="B34" s="529" t="n">
        <v>46205.88928240741</v>
      </c>
      <c r="C34" s="527" t="s">
        <v>2274</v>
      </c>
      <c r="D34" s="527" t="s">
        <v>2112</v>
      </c>
      <c r="E34" s="527" t="s">
        <v>2113</v>
      </c>
      <c r="F34" s="527" t="s">
        <v>2196</v>
      </c>
      <c r="G34" s="528" t="s">
        <v>2115</v>
      </c>
      <c r="H34" s="527" t="s">
        <v>1147</v>
      </c>
      <c r="I34" s="527" t="s">
        <v>2116</v>
      </c>
      <c r="J34" s="528" t="s">
        <v>2117</v>
      </c>
      <c r="K34" s="528" t="s">
        <v>2117</v>
      </c>
      <c r="L34" s="528" t="s">
        <v>2117</v>
      </c>
      <c r="M34" s="528" t="s">
        <v>2117</v>
      </c>
      <c r="N34" s="528" t="s">
        <v>2117</v>
      </c>
      <c r="O34" s="528" t="s">
        <v>2117</v>
      </c>
      <c r="P34" s="528" t="s">
        <v>2117</v>
      </c>
      <c r="Q34" s="528" t="s">
        <v>2117</v>
      </c>
      <c r="R34" s="528" t="s">
        <v>2117</v>
      </c>
      <c r="S34" s="528" t="s">
        <v>2117</v>
      </c>
      <c r="T34" s="528" t="s">
        <v>2117</v>
      </c>
      <c r="U34" s="528" t="s">
        <v>2117</v>
      </c>
      <c r="V34" s="528" t="s">
        <v>2117</v>
      </c>
      <c r="W34" s="528" t="s">
        <v>2117</v>
      </c>
      <c r="X34" s="528" t="s">
        <v>2117</v>
      </c>
      <c r="Y34" s="527" t="s">
        <v>2146</v>
      </c>
      <c r="Z34" s="527" t="s">
        <v>2177</v>
      </c>
      <c r="AA34" s="527" t="s">
        <v>2163</v>
      </c>
      <c r="AB34" s="527" t="s">
        <v>2121</v>
      </c>
      <c r="AC34" s="528" t="s">
        <v>2122</v>
      </c>
      <c r="AD34" s="527" t="s">
        <v>2123</v>
      </c>
      <c r="AE34" s="527" t="s">
        <v>2154</v>
      </c>
      <c r="AF34" s="527" t="s">
        <v>2125</v>
      </c>
    </row>
    <row r="35" ht="16.5" customHeight="1">
      <c r="A35" s="528" t="s">
        <v>2275</v>
      </c>
      <c r="B35" s="529" t="n">
        <v>46205.889375</v>
      </c>
      <c r="C35" s="527" t="s">
        <v>2276</v>
      </c>
      <c r="D35" s="527" t="s">
        <v>2112</v>
      </c>
      <c r="E35" s="527" t="s">
        <v>2113</v>
      </c>
      <c r="F35" s="527" t="s">
        <v>2277</v>
      </c>
      <c r="G35" s="528" t="s">
        <v>2115</v>
      </c>
      <c r="H35" s="527" t="s">
        <v>1037</v>
      </c>
      <c r="I35" s="527" t="s">
        <v>2116</v>
      </c>
      <c r="J35" s="528" t="s">
        <v>2117</v>
      </c>
      <c r="K35" s="528" t="s">
        <v>2117</v>
      </c>
      <c r="L35" s="528" t="s">
        <v>2117</v>
      </c>
      <c r="M35" s="528" t="s">
        <v>2117</v>
      </c>
      <c r="N35" s="528" t="s">
        <v>2117</v>
      </c>
      <c r="O35" s="528" t="s">
        <v>2117</v>
      </c>
      <c r="P35" s="528" t="s">
        <v>2117</v>
      </c>
      <c r="Q35" s="528" t="s">
        <v>2117</v>
      </c>
      <c r="R35" s="528" t="s">
        <v>2117</v>
      </c>
      <c r="S35" s="528" t="s">
        <v>2117</v>
      </c>
      <c r="T35" s="528" t="s">
        <v>2117</v>
      </c>
      <c r="U35" s="528" t="s">
        <v>2117</v>
      </c>
      <c r="V35" s="528" t="s">
        <v>2117</v>
      </c>
      <c r="W35" s="528" t="s">
        <v>2117</v>
      </c>
      <c r="X35" s="528" t="s">
        <v>2117</v>
      </c>
      <c r="Y35" s="527" t="s">
        <v>2146</v>
      </c>
      <c r="Z35" s="527" t="s">
        <v>2177</v>
      </c>
      <c r="AA35" s="527" t="s">
        <v>2163</v>
      </c>
      <c r="AB35" s="527" t="s">
        <v>2121</v>
      </c>
      <c r="AC35" s="528" t="s">
        <v>2122</v>
      </c>
      <c r="AD35" s="527" t="s">
        <v>2123</v>
      </c>
      <c r="AE35" s="527" t="s">
        <v>2148</v>
      </c>
      <c r="AF35" s="527" t="s">
        <v>2278</v>
      </c>
    </row>
    <row r="36" ht="16.5" customHeight="1">
      <c r="A36" s="528" t="s">
        <v>2227</v>
      </c>
      <c r="B36" s="529" t="n">
        <v>46205.89068287037</v>
      </c>
      <c r="C36" s="527" t="s">
        <v>2150</v>
      </c>
      <c r="D36" s="527" t="s">
        <v>2112</v>
      </c>
      <c r="E36" s="527" t="s">
        <v>2113</v>
      </c>
      <c r="F36" s="527" t="s">
        <v>2279</v>
      </c>
      <c r="G36" s="528" t="s">
        <v>2115</v>
      </c>
      <c r="H36" s="527" t="s">
        <v>1181</v>
      </c>
      <c r="I36" s="527" t="s">
        <v>2116</v>
      </c>
      <c r="J36" s="528" t="s">
        <v>2117</v>
      </c>
      <c r="K36" s="528" t="s">
        <v>2117</v>
      </c>
      <c r="L36" s="528" t="s">
        <v>2117</v>
      </c>
      <c r="M36" s="528" t="s">
        <v>2117</v>
      </c>
      <c r="N36" s="528" t="s">
        <v>2117</v>
      </c>
      <c r="O36" s="528" t="s">
        <v>2117</v>
      </c>
      <c r="P36" s="528" t="s">
        <v>2117</v>
      </c>
      <c r="Q36" s="528" t="s">
        <v>2117</v>
      </c>
      <c r="R36" s="528" t="s">
        <v>2117</v>
      </c>
      <c r="S36" s="528" t="s">
        <v>2117</v>
      </c>
      <c r="T36" s="528" t="s">
        <v>2117</v>
      </c>
      <c r="U36" s="528" t="s">
        <v>2117</v>
      </c>
      <c r="V36" s="528" t="s">
        <v>2117</v>
      </c>
      <c r="W36" s="528" t="s">
        <v>2117</v>
      </c>
      <c r="X36" s="528" t="s">
        <v>2117</v>
      </c>
      <c r="Y36" s="527" t="s">
        <v>2137</v>
      </c>
      <c r="Z36" s="527" t="s">
        <v>2138</v>
      </c>
      <c r="AA36" s="527" t="s">
        <v>2280</v>
      </c>
      <c r="AB36" s="527" t="s">
        <v>2121</v>
      </c>
      <c r="AC36" s="528" t="s">
        <v>2272</v>
      </c>
      <c r="AD36" s="527" t="s">
        <v>2123</v>
      </c>
      <c r="AE36" s="527" t="s">
        <v>2154</v>
      </c>
      <c r="AF36" s="527" t="s">
        <v>2125</v>
      </c>
    </row>
    <row r="37" ht="16.5" customHeight="1">
      <c r="A37" s="528" t="s">
        <v>2281</v>
      </c>
      <c r="B37" s="529" t="n">
        <v>46205.892743055556</v>
      </c>
      <c r="C37" s="527" t="s">
        <v>2282</v>
      </c>
      <c r="D37" s="527" t="s">
        <v>2112</v>
      </c>
      <c r="E37" s="527" t="s">
        <v>2113</v>
      </c>
      <c r="F37" s="527" t="s">
        <v>2283</v>
      </c>
      <c r="G37" s="528" t="s">
        <v>2115</v>
      </c>
      <c r="H37" s="527" t="s">
        <v>641</v>
      </c>
      <c r="I37" s="527" t="s">
        <v>2145</v>
      </c>
      <c r="J37" s="528" t="s">
        <v>2117</v>
      </c>
      <c r="K37" s="528" t="s">
        <v>2117</v>
      </c>
      <c r="L37" s="528" t="s">
        <v>2117</v>
      </c>
      <c r="M37" s="528" t="s">
        <v>2117</v>
      </c>
      <c r="N37" s="528" t="s">
        <v>2117</v>
      </c>
      <c r="O37" s="528" t="s">
        <v>2117</v>
      </c>
      <c r="P37" s="528" t="s">
        <v>2117</v>
      </c>
      <c r="Q37" s="528" t="s">
        <v>2117</v>
      </c>
      <c r="R37" s="528" t="s">
        <v>2117</v>
      </c>
      <c r="S37" s="528" t="s">
        <v>2117</v>
      </c>
      <c r="T37" s="528" t="s">
        <v>2117</v>
      </c>
      <c r="U37" s="528" t="s">
        <v>2117</v>
      </c>
      <c r="V37" s="528" t="s">
        <v>2117</v>
      </c>
      <c r="W37" s="528" t="s">
        <v>2117</v>
      </c>
      <c r="X37" s="528" t="s">
        <v>2117</v>
      </c>
      <c r="Y37" s="527" t="s">
        <v>2137</v>
      </c>
      <c r="Z37" s="527" t="s">
        <v>2119</v>
      </c>
      <c r="AA37" s="527" t="s">
        <v>2262</v>
      </c>
      <c r="AB37" s="527" t="s">
        <v>2140</v>
      </c>
      <c r="AC37" s="528" t="s">
        <v>2122</v>
      </c>
      <c r="AD37" s="527" t="s">
        <v>2153</v>
      </c>
      <c r="AE37" s="527" t="s">
        <v>2197</v>
      </c>
      <c r="AF37" s="527" t="s">
        <v>2284</v>
      </c>
    </row>
    <row r="38" ht="16.5" customHeight="1">
      <c r="A38" s="528" t="s">
        <v>2285</v>
      </c>
      <c r="B38" s="529" t="n">
        <v>46205.893472222226</v>
      </c>
      <c r="C38" s="527" t="s">
        <v>2286</v>
      </c>
      <c r="D38" s="527" t="s">
        <v>2112</v>
      </c>
      <c r="E38" s="527" t="s">
        <v>2113</v>
      </c>
      <c r="F38" s="527" t="s">
        <v>2287</v>
      </c>
      <c r="G38" s="528" t="s">
        <v>2115</v>
      </c>
      <c r="H38" s="527" t="s">
        <v>1271</v>
      </c>
      <c r="I38" s="527" t="s">
        <v>2116</v>
      </c>
      <c r="J38" s="528" t="s">
        <v>2117</v>
      </c>
      <c r="K38" s="528" t="s">
        <v>2117</v>
      </c>
      <c r="L38" s="528" t="s">
        <v>2117</v>
      </c>
      <c r="M38" s="528" t="s">
        <v>2117</v>
      </c>
      <c r="N38" s="528" t="s">
        <v>2117</v>
      </c>
      <c r="O38" s="528" t="s">
        <v>2117</v>
      </c>
      <c r="P38" s="528" t="s">
        <v>2117</v>
      </c>
      <c r="Q38" s="528" t="s">
        <v>2117</v>
      </c>
      <c r="R38" s="528" t="s">
        <v>2117</v>
      </c>
      <c r="S38" s="528" t="s">
        <v>2117</v>
      </c>
      <c r="T38" s="528" t="s">
        <v>2117</v>
      </c>
      <c r="U38" s="528" t="s">
        <v>2117</v>
      </c>
      <c r="V38" s="528" t="s">
        <v>2117</v>
      </c>
      <c r="W38" s="528" t="s">
        <v>2117</v>
      </c>
      <c r="X38" s="528" t="s">
        <v>2117</v>
      </c>
      <c r="Y38" s="527" t="s">
        <v>2146</v>
      </c>
      <c r="Z38" s="527" t="s">
        <v>2119</v>
      </c>
      <c r="AA38" s="527" t="s">
        <v>2152</v>
      </c>
      <c r="AB38" s="527" t="s">
        <v>2121</v>
      </c>
      <c r="AC38" s="528" t="s">
        <v>2122</v>
      </c>
      <c r="AD38" s="527" t="s">
        <v>2153</v>
      </c>
      <c r="AE38" s="527" t="s">
        <v>2251</v>
      </c>
      <c r="AF38" s="527" t="s">
        <v>2125</v>
      </c>
    </row>
    <row r="39" ht="16.5" customHeight="1">
      <c r="A39" s="528" t="s">
        <v>2288</v>
      </c>
      <c r="B39" s="529" t="n">
        <v>46205.897569444445</v>
      </c>
      <c r="C39" s="527" t="s">
        <v>2289</v>
      </c>
      <c r="D39" s="527" t="s">
        <v>2112</v>
      </c>
      <c r="E39" s="527" t="s">
        <v>2113</v>
      </c>
      <c r="F39" s="527" t="s">
        <v>2290</v>
      </c>
      <c r="G39" s="528" t="s">
        <v>2291</v>
      </c>
      <c r="H39" s="527" t="s">
        <v>1104</v>
      </c>
      <c r="I39" s="527" t="s">
        <v>2116</v>
      </c>
      <c r="J39" s="528" t="s">
        <v>2117</v>
      </c>
      <c r="K39" s="528" t="s">
        <v>2117</v>
      </c>
      <c r="L39" s="528" t="s">
        <v>2117</v>
      </c>
      <c r="M39" s="528" t="s">
        <v>2117</v>
      </c>
      <c r="N39" s="528" t="s">
        <v>2117</v>
      </c>
      <c r="O39" s="528" t="s">
        <v>2117</v>
      </c>
      <c r="P39" s="528" t="s">
        <v>2117</v>
      </c>
      <c r="Q39" s="528" t="s">
        <v>2117</v>
      </c>
      <c r="R39" s="528" t="s">
        <v>2117</v>
      </c>
      <c r="S39" s="528" t="s">
        <v>2117</v>
      </c>
      <c r="T39" s="528" t="s">
        <v>2131</v>
      </c>
      <c r="U39" s="528" t="s">
        <v>2131</v>
      </c>
      <c r="V39" s="528" t="s">
        <v>2131</v>
      </c>
      <c r="W39" s="528" t="s">
        <v>2131</v>
      </c>
      <c r="X39" s="528" t="s">
        <v>2131</v>
      </c>
      <c r="Y39" s="527" t="s">
        <v>2118</v>
      </c>
      <c r="Z39" s="527" t="s">
        <v>2119</v>
      </c>
      <c r="AA39" s="527" t="s">
        <v>2152</v>
      </c>
      <c r="AB39" s="527" t="s">
        <v>2121</v>
      </c>
      <c r="AC39" s="528" t="s">
        <v>2122</v>
      </c>
      <c r="AD39" s="527" t="s">
        <v>2153</v>
      </c>
      <c r="AE39" s="527" t="s">
        <v>2197</v>
      </c>
      <c r="AF39" s="527" t="s">
        <v>2125</v>
      </c>
    </row>
    <row r="40" ht="16.5" customHeight="1">
      <c r="A40" s="528" t="s">
        <v>2292</v>
      </c>
      <c r="B40" s="529" t="n">
        <v>46205.90094907407</v>
      </c>
      <c r="C40" s="527" t="s">
        <v>2293</v>
      </c>
      <c r="D40" s="527" t="s">
        <v>2112</v>
      </c>
      <c r="E40" s="527" t="s">
        <v>2113</v>
      </c>
      <c r="F40" s="527" t="s">
        <v>2294</v>
      </c>
      <c r="G40" s="528" t="s">
        <v>2162</v>
      </c>
      <c r="H40" s="527" t="s">
        <v>1089</v>
      </c>
      <c r="I40" s="527" t="s">
        <v>2116</v>
      </c>
      <c r="J40" s="528" t="s">
        <v>2117</v>
      </c>
      <c r="K40" s="528" t="s">
        <v>2117</v>
      </c>
      <c r="L40" s="528" t="s">
        <v>2117</v>
      </c>
      <c r="M40" s="528" t="s">
        <v>2131</v>
      </c>
      <c r="N40" s="528" t="s">
        <v>2117</v>
      </c>
      <c r="O40" s="528" t="s">
        <v>2117</v>
      </c>
      <c r="P40" s="528" t="s">
        <v>2117</v>
      </c>
      <c r="Q40" s="528" t="s">
        <v>2117</v>
      </c>
      <c r="R40" s="528" t="s">
        <v>2117</v>
      </c>
      <c r="S40" s="528" t="s">
        <v>2117</v>
      </c>
      <c r="T40" s="528" t="s">
        <v>2117</v>
      </c>
      <c r="U40" s="528" t="s">
        <v>2117</v>
      </c>
      <c r="V40" s="528" t="s">
        <v>2117</v>
      </c>
      <c r="W40" s="528" t="s">
        <v>2117</v>
      </c>
      <c r="X40" s="528" t="s">
        <v>2117</v>
      </c>
      <c r="Y40" s="527" t="s">
        <v>2118</v>
      </c>
      <c r="Z40" s="527" t="s">
        <v>2119</v>
      </c>
      <c r="AA40" s="527" t="s">
        <v>2178</v>
      </c>
      <c r="AB40" s="527" t="s">
        <v>2121</v>
      </c>
      <c r="AC40" s="528" t="s">
        <v>2122</v>
      </c>
      <c r="AD40" s="527" t="s">
        <v>2209</v>
      </c>
      <c r="AE40" s="527" t="s">
        <v>2197</v>
      </c>
      <c r="AF40" s="527" t="s">
        <v>2125</v>
      </c>
    </row>
    <row r="41" ht="16.5" customHeight="1">
      <c r="A41" s="528" t="s">
        <v>2295</v>
      </c>
      <c r="B41" s="529" t="n">
        <v>46205.901724537034</v>
      </c>
      <c r="C41" s="527" t="s">
        <v>2296</v>
      </c>
      <c r="D41" s="527" t="s">
        <v>2112</v>
      </c>
      <c r="E41" s="527" t="s">
        <v>2113</v>
      </c>
      <c r="F41" s="527" t="s">
        <v>2297</v>
      </c>
      <c r="G41" s="528" t="s">
        <v>2115</v>
      </c>
      <c r="H41" s="527" t="s">
        <v>1243</v>
      </c>
      <c r="I41" s="527" t="s">
        <v>2116</v>
      </c>
      <c r="J41" s="528" t="s">
        <v>2117</v>
      </c>
      <c r="K41" s="528" t="s">
        <v>2117</v>
      </c>
      <c r="L41" s="528" t="s">
        <v>2117</v>
      </c>
      <c r="M41" s="528" t="s">
        <v>2117</v>
      </c>
      <c r="N41" s="528" t="s">
        <v>2117</v>
      </c>
      <c r="O41" s="528" t="s">
        <v>2117</v>
      </c>
      <c r="P41" s="528" t="s">
        <v>2117</v>
      </c>
      <c r="Q41" s="528" t="s">
        <v>2117</v>
      </c>
      <c r="R41" s="528" t="s">
        <v>2117</v>
      </c>
      <c r="S41" s="528" t="s">
        <v>2117</v>
      </c>
      <c r="T41" s="528" t="s">
        <v>2117</v>
      </c>
      <c r="U41" s="528" t="s">
        <v>2117</v>
      </c>
      <c r="V41" s="528" t="s">
        <v>2117</v>
      </c>
      <c r="W41" s="528" t="s">
        <v>2117</v>
      </c>
      <c r="X41" s="528" t="s">
        <v>2117</v>
      </c>
      <c r="Y41" s="527" t="s">
        <v>2137</v>
      </c>
      <c r="Z41" s="527" t="s">
        <v>2119</v>
      </c>
      <c r="AA41" s="527" t="s">
        <v>2152</v>
      </c>
      <c r="AB41" s="527" t="s">
        <v>2140</v>
      </c>
      <c r="AC41" s="528" t="s">
        <v>2122</v>
      </c>
      <c r="AD41" s="527" t="s">
        <v>2123</v>
      </c>
      <c r="AE41" s="527" t="s">
        <v>2154</v>
      </c>
      <c r="AF41" s="527" t="s">
        <v>2298</v>
      </c>
    </row>
    <row r="42" ht="16.5" customHeight="1">
      <c r="A42" s="528" t="s">
        <v>2299</v>
      </c>
      <c r="B42" s="529" t="n">
        <v>46205.9131712963</v>
      </c>
      <c r="C42" s="527" t="s">
        <v>2300</v>
      </c>
      <c r="D42" s="527" t="s">
        <v>2112</v>
      </c>
      <c r="E42" s="527" t="s">
        <v>2113</v>
      </c>
      <c r="F42" s="527" t="s">
        <v>2301</v>
      </c>
      <c r="G42" s="528" t="s">
        <v>2115</v>
      </c>
      <c r="H42" s="527" t="s">
        <v>1091</v>
      </c>
      <c r="I42" s="527" t="s">
        <v>32</v>
      </c>
      <c r="J42" s="528" t="s">
        <v>2117</v>
      </c>
      <c r="K42" s="528" t="s">
        <v>2117</v>
      </c>
      <c r="L42" s="528" t="s">
        <v>2117</v>
      </c>
      <c r="M42" s="528" t="s">
        <v>2117</v>
      </c>
      <c r="N42" s="528" t="s">
        <v>2117</v>
      </c>
      <c r="O42" s="528" t="s">
        <v>2117</v>
      </c>
      <c r="P42" s="528" t="s">
        <v>2117</v>
      </c>
      <c r="Q42" s="528" t="s">
        <v>2117</v>
      </c>
      <c r="R42" s="528" t="s">
        <v>2117</v>
      </c>
      <c r="S42" s="528" t="s">
        <v>2117</v>
      </c>
      <c r="T42" s="528" t="s">
        <v>2117</v>
      </c>
      <c r="U42" s="528" t="s">
        <v>2117</v>
      </c>
      <c r="V42" s="528" t="s">
        <v>2117</v>
      </c>
      <c r="W42" s="528" t="s">
        <v>2117</v>
      </c>
      <c r="X42" s="528" t="s">
        <v>2117</v>
      </c>
      <c r="Y42" s="527" t="s">
        <v>2146</v>
      </c>
      <c r="Z42" s="527" t="s">
        <v>2119</v>
      </c>
      <c r="AA42" s="527" t="s">
        <v>2120</v>
      </c>
      <c r="AB42" s="527" t="s">
        <v>2121</v>
      </c>
      <c r="AC42" s="528" t="s">
        <v>2122</v>
      </c>
      <c r="AD42" s="527" t="s">
        <v>2123</v>
      </c>
      <c r="AE42" s="527" t="s">
        <v>2124</v>
      </c>
      <c r="AF42" s="527" t="s">
        <v>2125</v>
      </c>
    </row>
    <row r="43" ht="16.5" customHeight="1">
      <c r="A43" s="528" t="s">
        <v>2302</v>
      </c>
      <c r="B43" s="529" t="n">
        <v>46205.921805555554</v>
      </c>
      <c r="C43" s="527" t="s">
        <v>2303</v>
      </c>
      <c r="D43" s="527" t="s">
        <v>2112</v>
      </c>
      <c r="E43" s="527" t="s">
        <v>2113</v>
      </c>
      <c r="F43" s="527" t="s">
        <v>2304</v>
      </c>
      <c r="G43" s="528" t="s">
        <v>2115</v>
      </c>
      <c r="H43" s="527" t="s">
        <v>1042</v>
      </c>
      <c r="I43" s="527" t="s">
        <v>2116</v>
      </c>
      <c r="J43" s="528" t="s">
        <v>2117</v>
      </c>
      <c r="K43" s="528" t="s">
        <v>2117</v>
      </c>
      <c r="L43" s="528" t="s">
        <v>2117</v>
      </c>
      <c r="M43" s="528" t="s">
        <v>2117</v>
      </c>
      <c r="N43" s="528" t="s">
        <v>2117</v>
      </c>
      <c r="O43" s="528" t="s">
        <v>2117</v>
      </c>
      <c r="P43" s="528" t="s">
        <v>2117</v>
      </c>
      <c r="Q43" s="528" t="s">
        <v>2117</v>
      </c>
      <c r="R43" s="528" t="s">
        <v>2117</v>
      </c>
      <c r="S43" s="528" t="s">
        <v>2117</v>
      </c>
      <c r="T43" s="528" t="s">
        <v>2117</v>
      </c>
      <c r="U43" s="528" t="s">
        <v>2117</v>
      </c>
      <c r="V43" s="528" t="s">
        <v>2117</v>
      </c>
      <c r="W43" s="528" t="s">
        <v>2117</v>
      </c>
      <c r="X43" s="528" t="s">
        <v>2117</v>
      </c>
      <c r="Y43" s="527" t="s">
        <v>2137</v>
      </c>
      <c r="Z43" s="527" t="s">
        <v>2119</v>
      </c>
      <c r="AA43" s="527" t="s">
        <v>2152</v>
      </c>
      <c r="AB43" s="527" t="s">
        <v>2140</v>
      </c>
      <c r="AC43" s="528" t="s">
        <v>2122</v>
      </c>
      <c r="AD43" s="527" t="s">
        <v>2123</v>
      </c>
      <c r="AE43" s="527" t="s">
        <v>2148</v>
      </c>
      <c r="AF43" s="527" t="s">
        <v>2305</v>
      </c>
    </row>
    <row r="44" ht="16.5" customHeight="1">
      <c r="A44" s="528" t="s">
        <v>2306</v>
      </c>
      <c r="B44" s="529" t="n">
        <v>46205.92512731482</v>
      </c>
      <c r="C44" s="527" t="s">
        <v>2307</v>
      </c>
      <c r="D44" s="527" t="s">
        <v>2112</v>
      </c>
      <c r="E44" s="527" t="s">
        <v>2113</v>
      </c>
      <c r="F44" s="527" t="s">
        <v>2308</v>
      </c>
      <c r="G44" s="528" t="s">
        <v>2271</v>
      </c>
      <c r="H44" s="527" t="s">
        <v>1224</v>
      </c>
      <c r="I44" s="527" t="s">
        <v>2116</v>
      </c>
      <c r="J44" s="528" t="s">
        <v>2117</v>
      </c>
      <c r="K44" s="528" t="s">
        <v>2117</v>
      </c>
      <c r="L44" s="528" t="s">
        <v>2117</v>
      </c>
      <c r="M44" s="528" t="s">
        <v>2117</v>
      </c>
      <c r="N44" s="528" t="s">
        <v>2117</v>
      </c>
      <c r="O44" s="528" t="s">
        <v>2236</v>
      </c>
      <c r="P44" s="528" t="s">
        <v>2117</v>
      </c>
      <c r="Q44" s="528" t="s">
        <v>2236</v>
      </c>
      <c r="R44" s="528" t="s">
        <v>2117</v>
      </c>
      <c r="S44" s="528" t="s">
        <v>2236</v>
      </c>
      <c r="T44" s="528" t="s">
        <v>2117</v>
      </c>
      <c r="U44" s="528" t="s">
        <v>2117</v>
      </c>
      <c r="V44" s="528" t="s">
        <v>2117</v>
      </c>
      <c r="W44" s="528" t="s">
        <v>2117</v>
      </c>
      <c r="X44" s="528" t="s">
        <v>2117</v>
      </c>
      <c r="Y44" s="527" t="s">
        <v>2146</v>
      </c>
      <c r="Z44" s="527" t="s">
        <v>2177</v>
      </c>
      <c r="AA44" s="527" t="s">
        <v>2139</v>
      </c>
      <c r="AB44" s="527" t="s">
        <v>2121</v>
      </c>
      <c r="AC44" s="528" t="s">
        <v>2122</v>
      </c>
      <c r="AD44" s="527" t="s">
        <v>2123</v>
      </c>
      <c r="AE44" s="527" t="s">
        <v>2154</v>
      </c>
      <c r="AF44" s="527" t="s">
        <v>2309</v>
      </c>
    </row>
    <row r="45" ht="16.5" customHeight="1">
      <c r="A45" s="528" t="s">
        <v>2310</v>
      </c>
      <c r="B45" s="529" t="n">
        <v>46205.92989583333</v>
      </c>
      <c r="C45" s="527" t="s">
        <v>2311</v>
      </c>
      <c r="D45" s="527" t="s">
        <v>2112</v>
      </c>
      <c r="E45" s="527" t="s">
        <v>2113</v>
      </c>
      <c r="F45" s="527" t="s">
        <v>2312</v>
      </c>
      <c r="G45" s="528" t="s">
        <v>2115</v>
      </c>
      <c r="H45" s="527" t="s">
        <v>1333</v>
      </c>
      <c r="I45" s="527" t="s">
        <v>2116</v>
      </c>
      <c r="J45" s="528" t="s">
        <v>2117</v>
      </c>
      <c r="K45" s="528" t="s">
        <v>2117</v>
      </c>
      <c r="L45" s="528" t="s">
        <v>2117</v>
      </c>
      <c r="M45" s="528" t="s">
        <v>2117</v>
      </c>
      <c r="N45" s="528" t="s">
        <v>2117</v>
      </c>
      <c r="O45" s="528" t="s">
        <v>2117</v>
      </c>
      <c r="P45" s="528" t="s">
        <v>2117</v>
      </c>
      <c r="Q45" s="528" t="s">
        <v>2117</v>
      </c>
      <c r="R45" s="528" t="s">
        <v>2117</v>
      </c>
      <c r="S45" s="528" t="s">
        <v>2117</v>
      </c>
      <c r="T45" s="528" t="s">
        <v>2117</v>
      </c>
      <c r="U45" s="528" t="s">
        <v>2117</v>
      </c>
      <c r="V45" s="528" t="s">
        <v>2117</v>
      </c>
      <c r="W45" s="528" t="s">
        <v>2117</v>
      </c>
      <c r="X45" s="528" t="s">
        <v>2117</v>
      </c>
      <c r="Y45" s="527" t="s">
        <v>2137</v>
      </c>
      <c r="Z45" s="527" t="s">
        <v>2138</v>
      </c>
      <c r="AA45" s="527" t="s">
        <v>2120</v>
      </c>
      <c r="AB45" s="527" t="s">
        <v>2140</v>
      </c>
      <c r="AC45" s="528" t="s">
        <v>2122</v>
      </c>
      <c r="AD45" s="527" t="s">
        <v>2153</v>
      </c>
      <c r="AE45" s="527" t="s">
        <v>2251</v>
      </c>
      <c r="AF45" s="527" t="s">
        <v>2313</v>
      </c>
    </row>
    <row r="46" ht="16.5" customHeight="1">
      <c r="A46" s="528" t="s">
        <v>2314</v>
      </c>
      <c r="B46" s="529" t="n">
        <v>46205.934537037036</v>
      </c>
      <c r="C46" s="527" t="s">
        <v>2315</v>
      </c>
      <c r="D46" s="527" t="s">
        <v>2112</v>
      </c>
      <c r="E46" s="527" t="s">
        <v>2113</v>
      </c>
      <c r="F46" s="527" t="s">
        <v>2316</v>
      </c>
      <c r="G46" s="528" t="s">
        <v>2115</v>
      </c>
      <c r="H46" s="527" t="s">
        <v>1221</v>
      </c>
      <c r="I46" s="527" t="s">
        <v>2116</v>
      </c>
      <c r="J46" s="528" t="s">
        <v>2117</v>
      </c>
      <c r="K46" s="528" t="s">
        <v>2117</v>
      </c>
      <c r="L46" s="528" t="s">
        <v>2117</v>
      </c>
      <c r="M46" s="528" t="s">
        <v>2117</v>
      </c>
      <c r="N46" s="528" t="s">
        <v>2117</v>
      </c>
      <c r="O46" s="528" t="s">
        <v>2117</v>
      </c>
      <c r="P46" s="528" t="s">
        <v>2117</v>
      </c>
      <c r="Q46" s="528" t="s">
        <v>2117</v>
      </c>
      <c r="R46" s="528" t="s">
        <v>2117</v>
      </c>
      <c r="S46" s="528" t="s">
        <v>2117</v>
      </c>
      <c r="T46" s="528" t="s">
        <v>2117</v>
      </c>
      <c r="U46" s="528" t="s">
        <v>2117</v>
      </c>
      <c r="V46" s="528" t="s">
        <v>2117</v>
      </c>
      <c r="W46" s="528" t="s">
        <v>2117</v>
      </c>
      <c r="X46" s="528" t="s">
        <v>2117</v>
      </c>
      <c r="Y46" s="527" t="s">
        <v>2146</v>
      </c>
      <c r="Z46" s="527" t="s">
        <v>2147</v>
      </c>
      <c r="AA46" s="527" t="s">
        <v>2184</v>
      </c>
      <c r="AB46" s="527" t="s">
        <v>2121</v>
      </c>
      <c r="AC46" s="528" t="s">
        <v>2122</v>
      </c>
      <c r="AD46" s="527" t="s">
        <v>2123</v>
      </c>
      <c r="AE46" s="527" t="s">
        <v>2251</v>
      </c>
      <c r="AF46" s="527" t="s">
        <v>2317</v>
      </c>
    </row>
    <row r="47" ht="16.5" customHeight="1">
      <c r="A47" s="528" t="s">
        <v>2318</v>
      </c>
      <c r="B47" s="529" t="n">
        <v>46205.94865740741</v>
      </c>
      <c r="C47" s="527" t="s">
        <v>2319</v>
      </c>
      <c r="D47" s="527" t="s">
        <v>2112</v>
      </c>
      <c r="E47" s="527" t="s">
        <v>2113</v>
      </c>
      <c r="F47" s="527" t="s">
        <v>2320</v>
      </c>
      <c r="G47" s="528" t="s">
        <v>2321</v>
      </c>
      <c r="H47" s="527" t="s">
        <v>2322</v>
      </c>
      <c r="I47" s="527" t="s">
        <v>2116</v>
      </c>
      <c r="J47" s="528" t="s">
        <v>2117</v>
      </c>
      <c r="K47" s="528" t="s">
        <v>2117</v>
      </c>
      <c r="L47" s="528" t="s">
        <v>2117</v>
      </c>
      <c r="M47" s="528" t="s">
        <v>2133</v>
      </c>
      <c r="N47" s="528" t="s">
        <v>2117</v>
      </c>
      <c r="O47" s="528" t="s">
        <v>2117</v>
      </c>
      <c r="P47" s="528" t="s">
        <v>2117</v>
      </c>
      <c r="Q47" s="528" t="s">
        <v>2117</v>
      </c>
      <c r="R47" s="528" t="s">
        <v>2133</v>
      </c>
      <c r="S47" s="528" t="s">
        <v>2117</v>
      </c>
      <c r="T47" s="528" t="s">
        <v>2117</v>
      </c>
      <c r="U47" s="528" t="s">
        <v>2117</v>
      </c>
      <c r="V47" s="528" t="s">
        <v>2117</v>
      </c>
      <c r="W47" s="528" t="s">
        <v>2133</v>
      </c>
      <c r="X47" s="528" t="s">
        <v>2117</v>
      </c>
      <c r="Y47" s="527" t="s">
        <v>2146</v>
      </c>
      <c r="Z47" s="527" t="s">
        <v>2147</v>
      </c>
      <c r="AA47" s="527" t="s">
        <v>2184</v>
      </c>
      <c r="AB47" s="527" t="s">
        <v>505</v>
      </c>
      <c r="AC47" s="528" t="s">
        <v>2122</v>
      </c>
      <c r="AD47" s="527" t="s">
        <v>2123</v>
      </c>
      <c r="AE47" s="527" t="s">
        <v>2154</v>
      </c>
      <c r="AF47" s="527" t="s">
        <v>2179</v>
      </c>
    </row>
    <row r="48" ht="16.5" customHeight="1">
      <c r="A48" s="528" t="s">
        <v>2323</v>
      </c>
      <c r="B48" s="529" t="n">
        <v>46205.950162037036</v>
      </c>
      <c r="C48" s="527" t="s">
        <v>2324</v>
      </c>
      <c r="D48" s="527" t="s">
        <v>2112</v>
      </c>
      <c r="E48" s="527" t="s">
        <v>2113</v>
      </c>
      <c r="F48" s="527" t="s">
        <v>2325</v>
      </c>
      <c r="G48" s="528" t="s">
        <v>2115</v>
      </c>
      <c r="H48" s="527" t="s">
        <v>1158</v>
      </c>
      <c r="I48" s="527" t="s">
        <v>2116</v>
      </c>
      <c r="J48" s="528" t="s">
        <v>2117</v>
      </c>
      <c r="K48" s="528" t="s">
        <v>2117</v>
      </c>
      <c r="L48" s="528" t="s">
        <v>2117</v>
      </c>
      <c r="M48" s="528" t="s">
        <v>2117</v>
      </c>
      <c r="N48" s="528" t="s">
        <v>2117</v>
      </c>
      <c r="O48" s="528" t="s">
        <v>2117</v>
      </c>
      <c r="P48" s="528" t="s">
        <v>2117</v>
      </c>
      <c r="Q48" s="528" t="s">
        <v>2117</v>
      </c>
      <c r="R48" s="528" t="s">
        <v>2117</v>
      </c>
      <c r="S48" s="528" t="s">
        <v>2117</v>
      </c>
      <c r="T48" s="528" t="s">
        <v>2117</v>
      </c>
      <c r="U48" s="528" t="s">
        <v>2117</v>
      </c>
      <c r="V48" s="528" t="s">
        <v>2117</v>
      </c>
      <c r="W48" s="528" t="s">
        <v>2117</v>
      </c>
      <c r="X48" s="528" t="s">
        <v>2117</v>
      </c>
      <c r="Y48" s="527" t="s">
        <v>2118</v>
      </c>
      <c r="Z48" s="527" t="s">
        <v>2119</v>
      </c>
      <c r="AA48" s="527" t="s">
        <v>2326</v>
      </c>
      <c r="AB48" s="527" t="s">
        <v>2121</v>
      </c>
      <c r="AC48" s="528" t="s">
        <v>2122</v>
      </c>
      <c r="AD48" s="527" t="s">
        <v>2123</v>
      </c>
      <c r="AE48" s="527" t="s">
        <v>2197</v>
      </c>
      <c r="AF48" s="527" t="s">
        <v>2327</v>
      </c>
    </row>
    <row r="49" ht="16.5" customHeight="1">
      <c r="A49" s="528" t="s">
        <v>2328</v>
      </c>
      <c r="B49" s="529" t="n">
        <v>46205.95103009259</v>
      </c>
      <c r="C49" s="527" t="s">
        <v>2200</v>
      </c>
      <c r="D49" s="527" t="s">
        <v>2112</v>
      </c>
      <c r="E49" s="527" t="s">
        <v>2113</v>
      </c>
      <c r="F49" s="527" t="s">
        <v>2329</v>
      </c>
      <c r="G49" s="528" t="s">
        <v>2115</v>
      </c>
      <c r="H49" s="527" t="s">
        <v>1260</v>
      </c>
      <c r="I49" s="527" t="s">
        <v>2116</v>
      </c>
      <c r="J49" s="528" t="s">
        <v>2117</v>
      </c>
      <c r="K49" s="528" t="s">
        <v>2117</v>
      </c>
      <c r="L49" s="528" t="s">
        <v>2117</v>
      </c>
      <c r="M49" s="528" t="s">
        <v>2117</v>
      </c>
      <c r="N49" s="528" t="s">
        <v>2117</v>
      </c>
      <c r="O49" s="528" t="s">
        <v>2117</v>
      </c>
      <c r="P49" s="528" t="s">
        <v>2117</v>
      </c>
      <c r="Q49" s="528" t="s">
        <v>2117</v>
      </c>
      <c r="R49" s="528" t="s">
        <v>2117</v>
      </c>
      <c r="S49" s="528" t="s">
        <v>2117</v>
      </c>
      <c r="T49" s="528" t="s">
        <v>2117</v>
      </c>
      <c r="U49" s="528" t="s">
        <v>2117</v>
      </c>
      <c r="V49" s="528" t="s">
        <v>2117</v>
      </c>
      <c r="W49" s="528" t="s">
        <v>2117</v>
      </c>
      <c r="X49" s="528" t="s">
        <v>2117</v>
      </c>
      <c r="Y49" s="527" t="s">
        <v>2118</v>
      </c>
      <c r="Z49" s="527" t="s">
        <v>2119</v>
      </c>
      <c r="AA49" s="527" t="s">
        <v>2132</v>
      </c>
      <c r="AB49" s="527" t="s">
        <v>2121</v>
      </c>
      <c r="AC49" s="528" t="s">
        <v>2122</v>
      </c>
      <c r="AD49" s="527" t="s">
        <v>2153</v>
      </c>
      <c r="AE49" s="527" t="s">
        <v>2154</v>
      </c>
      <c r="AF49" s="527" t="s">
        <v>2330</v>
      </c>
    </row>
    <row r="50" ht="16.5" customHeight="1">
      <c r="A50" s="528" t="s">
        <v>2331</v>
      </c>
      <c r="B50" s="529" t="n">
        <v>46205.97791666666</v>
      </c>
      <c r="C50" s="527" t="s">
        <v>2332</v>
      </c>
      <c r="D50" s="527" t="s">
        <v>2112</v>
      </c>
      <c r="E50" s="527" t="s">
        <v>2113</v>
      </c>
      <c r="F50" s="527" t="s">
        <v>2333</v>
      </c>
      <c r="G50" s="528" t="s">
        <v>2115</v>
      </c>
      <c r="H50" s="527" t="s">
        <v>1338</v>
      </c>
      <c r="I50" s="527" t="s">
        <v>2116</v>
      </c>
      <c r="J50" s="528" t="s">
        <v>2117</v>
      </c>
      <c r="K50" s="528" t="s">
        <v>2117</v>
      </c>
      <c r="L50" s="528" t="s">
        <v>2117</v>
      </c>
      <c r="M50" s="528" t="s">
        <v>2117</v>
      </c>
      <c r="N50" s="528" t="s">
        <v>2117</v>
      </c>
      <c r="O50" s="528" t="s">
        <v>2117</v>
      </c>
      <c r="P50" s="528" t="s">
        <v>2117</v>
      </c>
      <c r="Q50" s="528" t="s">
        <v>2117</v>
      </c>
      <c r="R50" s="528" t="s">
        <v>2117</v>
      </c>
      <c r="S50" s="528" t="s">
        <v>2117</v>
      </c>
      <c r="T50" s="528" t="s">
        <v>2117</v>
      </c>
      <c r="U50" s="528" t="s">
        <v>2117</v>
      </c>
      <c r="V50" s="528" t="s">
        <v>2117</v>
      </c>
      <c r="W50" s="528" t="s">
        <v>2117</v>
      </c>
      <c r="X50" s="528" t="s">
        <v>2117</v>
      </c>
      <c r="Y50" s="527" t="s">
        <v>2137</v>
      </c>
      <c r="Z50" s="527" t="s">
        <v>2138</v>
      </c>
      <c r="AA50" s="527" t="s">
        <v>2334</v>
      </c>
      <c r="AB50" s="527" t="s">
        <v>2140</v>
      </c>
      <c r="AC50" s="528" t="s">
        <v>2272</v>
      </c>
      <c r="AD50" s="527" t="s">
        <v>2153</v>
      </c>
      <c r="AE50" s="527" t="s">
        <v>2197</v>
      </c>
      <c r="AF50" s="527" t="s">
        <v>2335</v>
      </c>
    </row>
    <row r="51" ht="16.5" customHeight="1">
      <c r="A51" s="528" t="s">
        <v>2336</v>
      </c>
      <c r="B51" s="529" t="n">
        <v>46206.379479166666</v>
      </c>
      <c r="C51" s="527" t="s">
        <v>2337</v>
      </c>
      <c r="D51" s="527" t="s">
        <v>2112</v>
      </c>
      <c r="E51" s="527" t="s">
        <v>2113</v>
      </c>
      <c r="F51" s="527" t="s">
        <v>2338</v>
      </c>
      <c r="G51" s="528" t="s">
        <v>2115</v>
      </c>
      <c r="H51" s="527" t="s">
        <v>1087</v>
      </c>
      <c r="I51" s="527" t="s">
        <v>2116</v>
      </c>
      <c r="J51" s="528" t="s">
        <v>2117</v>
      </c>
      <c r="K51" s="528" t="s">
        <v>2117</v>
      </c>
      <c r="L51" s="528" t="s">
        <v>2117</v>
      </c>
      <c r="M51" s="528" t="s">
        <v>2117</v>
      </c>
      <c r="N51" s="528" t="s">
        <v>2117</v>
      </c>
      <c r="O51" s="528" t="s">
        <v>2117</v>
      </c>
      <c r="P51" s="528" t="s">
        <v>2117</v>
      </c>
      <c r="Q51" s="528" t="s">
        <v>2117</v>
      </c>
      <c r="R51" s="528" t="s">
        <v>2117</v>
      </c>
      <c r="S51" s="528" t="s">
        <v>2117</v>
      </c>
      <c r="T51" s="528" t="s">
        <v>2117</v>
      </c>
      <c r="U51" s="528" t="s">
        <v>2117</v>
      </c>
      <c r="V51" s="528" t="s">
        <v>2117</v>
      </c>
      <c r="W51" s="528" t="s">
        <v>2117</v>
      </c>
      <c r="X51" s="528" t="s">
        <v>2117</v>
      </c>
      <c r="Y51" s="527" t="s">
        <v>2146</v>
      </c>
      <c r="Z51" s="527" t="s">
        <v>2177</v>
      </c>
      <c r="AA51" s="527" t="s">
        <v>2163</v>
      </c>
      <c r="AB51" s="527" t="s">
        <v>2121</v>
      </c>
      <c r="AC51" s="528" t="s">
        <v>2122</v>
      </c>
      <c r="AD51" s="527" t="s">
        <v>2123</v>
      </c>
      <c r="AE51" s="527" t="s">
        <v>2154</v>
      </c>
      <c r="AF51" s="527" t="s">
        <v>2339</v>
      </c>
    </row>
    <row r="52" ht="16.5" customHeight="1">
      <c r="A52" s="528" t="s">
        <v>2340</v>
      </c>
      <c r="B52" s="529" t="n">
        <v>46206.522465277776</v>
      </c>
      <c r="C52" s="527" t="s">
        <v>2207</v>
      </c>
      <c r="D52" s="527" t="s">
        <v>2112</v>
      </c>
      <c r="E52" s="527" t="s">
        <v>2113</v>
      </c>
      <c r="F52" s="527" t="s">
        <v>2341</v>
      </c>
      <c r="G52" s="528" t="s">
        <v>2115</v>
      </c>
      <c r="H52" s="527" t="s">
        <v>1150</v>
      </c>
      <c r="I52" s="527" t="s">
        <v>2116</v>
      </c>
      <c r="J52" s="528" t="s">
        <v>2117</v>
      </c>
      <c r="K52" s="528" t="s">
        <v>2117</v>
      </c>
      <c r="L52" s="528" t="s">
        <v>2117</v>
      </c>
      <c r="M52" s="528" t="s">
        <v>2117</v>
      </c>
      <c r="N52" s="528" t="s">
        <v>2117</v>
      </c>
      <c r="O52" s="528" t="s">
        <v>2117</v>
      </c>
      <c r="P52" s="528" t="s">
        <v>2117</v>
      </c>
      <c r="Q52" s="528" t="s">
        <v>2117</v>
      </c>
      <c r="R52" s="528" t="s">
        <v>2117</v>
      </c>
      <c r="S52" s="528" t="s">
        <v>2117</v>
      </c>
      <c r="T52" s="528" t="s">
        <v>2117</v>
      </c>
      <c r="U52" s="528" t="s">
        <v>2117</v>
      </c>
      <c r="V52" s="528" t="s">
        <v>2117</v>
      </c>
      <c r="W52" s="528" t="s">
        <v>2117</v>
      </c>
      <c r="X52" s="528" t="s">
        <v>2117</v>
      </c>
      <c r="Y52" s="527" t="s">
        <v>2118</v>
      </c>
      <c r="Z52" s="527" t="s">
        <v>2138</v>
      </c>
      <c r="AA52" s="527" t="s">
        <v>2334</v>
      </c>
      <c r="AB52" s="527" t="s">
        <v>2140</v>
      </c>
      <c r="AC52" s="528" t="s">
        <v>2122</v>
      </c>
      <c r="AD52" s="527" t="s">
        <v>2153</v>
      </c>
      <c r="AE52" s="527" t="s">
        <v>2154</v>
      </c>
      <c r="AF52" s="527" t="s">
        <v>2342</v>
      </c>
    </row>
    <row r="53" ht="16.5" customHeight="1">
      <c r="A53" s="528" t="s">
        <v>2343</v>
      </c>
      <c r="B53" s="529" t="n">
        <v>46206.61116898148</v>
      </c>
      <c r="C53" s="527" t="s">
        <v>2344</v>
      </c>
      <c r="D53" s="527" t="s">
        <v>2112</v>
      </c>
      <c r="E53" s="527" t="s">
        <v>2113</v>
      </c>
      <c r="F53" s="527" t="s">
        <v>2345</v>
      </c>
      <c r="G53" s="528" t="s">
        <v>2115</v>
      </c>
      <c r="H53" s="527" t="s">
        <v>2346</v>
      </c>
      <c r="I53" s="527" t="s">
        <v>2116</v>
      </c>
      <c r="J53" s="528" t="s">
        <v>2117</v>
      </c>
      <c r="K53" s="528" t="s">
        <v>2117</v>
      </c>
      <c r="L53" s="528" t="s">
        <v>2117</v>
      </c>
      <c r="M53" s="528" t="s">
        <v>2117</v>
      </c>
      <c r="N53" s="528" t="s">
        <v>2117</v>
      </c>
      <c r="O53" s="528" t="s">
        <v>2117</v>
      </c>
      <c r="P53" s="528" t="s">
        <v>2117</v>
      </c>
      <c r="Q53" s="528" t="s">
        <v>2117</v>
      </c>
      <c r="R53" s="528" t="s">
        <v>2117</v>
      </c>
      <c r="S53" s="528" t="s">
        <v>2117</v>
      </c>
      <c r="T53" s="528" t="s">
        <v>2117</v>
      </c>
      <c r="U53" s="528" t="s">
        <v>2117</v>
      </c>
      <c r="V53" s="528" t="s">
        <v>2117</v>
      </c>
      <c r="W53" s="528" t="s">
        <v>2117</v>
      </c>
      <c r="X53" s="528" t="s">
        <v>2117</v>
      </c>
      <c r="Y53" s="527" t="s">
        <v>2347</v>
      </c>
      <c r="Z53" s="527" t="s">
        <v>2177</v>
      </c>
      <c r="AA53" s="527" t="s">
        <v>2139</v>
      </c>
      <c r="AB53" s="527" t="s">
        <v>2121</v>
      </c>
      <c r="AC53" s="528" t="s">
        <v>2122</v>
      </c>
      <c r="AD53" s="527" t="s">
        <v>2263</v>
      </c>
      <c r="AE53" s="527" t="s">
        <v>2154</v>
      </c>
      <c r="AF53" s="527" t="s">
        <v>586</v>
      </c>
    </row>
    <row r="54" ht="16.5" customHeight="1">
      <c r="A54" s="528" t="s">
        <v>2348</v>
      </c>
      <c r="B54" s="529" t="n">
        <v>46208.284212962964</v>
      </c>
      <c r="C54" s="527" t="s">
        <v>2349</v>
      </c>
      <c r="D54" s="527" t="s">
        <v>2112</v>
      </c>
      <c r="E54" s="527" t="s">
        <v>2113</v>
      </c>
      <c r="F54" s="527" t="s">
        <v>2350</v>
      </c>
      <c r="G54" s="528" t="s">
        <v>2115</v>
      </c>
      <c r="H54" s="527" t="s">
        <v>1307</v>
      </c>
      <c r="I54" s="527" t="s">
        <v>2116</v>
      </c>
      <c r="J54" s="528" t="s">
        <v>2117</v>
      </c>
      <c r="K54" s="528" t="s">
        <v>2117</v>
      </c>
      <c r="L54" s="528" t="s">
        <v>2117</v>
      </c>
      <c r="M54" s="528" t="s">
        <v>2117</v>
      </c>
      <c r="N54" s="528" t="s">
        <v>2117</v>
      </c>
      <c r="O54" s="528" t="s">
        <v>2117</v>
      </c>
      <c r="P54" s="528" t="s">
        <v>2117</v>
      </c>
      <c r="Q54" s="528" t="s">
        <v>2117</v>
      </c>
      <c r="R54" s="528" t="s">
        <v>2117</v>
      </c>
      <c r="S54" s="528" t="s">
        <v>2117</v>
      </c>
      <c r="T54" s="528" t="s">
        <v>2117</v>
      </c>
      <c r="U54" s="528" t="s">
        <v>2117</v>
      </c>
      <c r="V54" s="528" t="s">
        <v>2117</v>
      </c>
      <c r="W54" s="528" t="s">
        <v>2117</v>
      </c>
      <c r="X54" s="528" t="s">
        <v>2117</v>
      </c>
      <c r="Y54" s="527" t="s">
        <v>2137</v>
      </c>
      <c r="Z54" s="527" t="s">
        <v>2138</v>
      </c>
      <c r="AA54" s="527" t="s">
        <v>2139</v>
      </c>
      <c r="AB54" s="527" t="s">
        <v>2140</v>
      </c>
      <c r="AC54" s="528" t="s">
        <v>2122</v>
      </c>
      <c r="AD54" s="527" t="s">
        <v>2153</v>
      </c>
      <c r="AE54" s="527" t="s">
        <v>2197</v>
      </c>
      <c r="AF54" s="527" t="s">
        <v>2125</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92"/>
    <col min="11" max="11" width="13.3740234375"/>
    <col min="12" max="12" width="11.625"/>
    <col min="13" max="13" width="29.1240234375"/>
    <col min="14" max="14" width="20.373046875"/>
    <col min="15" max="15" width="27.123046875" style="317"/>
    <col min="17" max="17" width="10" style="292"/>
    <col min="26" max="28" width="10" style="5"/>
  </cols>
  <sheetData>
    <row r="1" ht="26.25" customHeight="1">
      <c r="A1" s="471" t="s">
        <v>1953</v>
      </c>
      <c r="B1" s="472"/>
      <c r="C1" s="290"/>
      <c r="D1" s="472"/>
      <c r="E1" s="472"/>
      <c r="F1" s="472"/>
      <c r="G1" s="472"/>
      <c r="H1" s="472"/>
      <c r="I1" s="472"/>
      <c r="J1" s="472"/>
      <c r="K1" s="473" t="s">
        <v>2351</v>
      </c>
      <c r="L1" s="472"/>
      <c r="M1" s="472"/>
      <c r="N1" s="472"/>
      <c r="O1" s="291"/>
      <c r="P1" s="474" t="s">
        <v>2352</v>
      </c>
      <c r="Q1" s="290"/>
      <c r="R1" s="472"/>
      <c r="S1" s="472"/>
      <c r="T1" s="475" t="s">
        <v>2353</v>
      </c>
      <c r="U1" s="472"/>
      <c r="V1" s="472"/>
      <c r="W1" s="472"/>
      <c r="X1" s="472"/>
      <c r="Y1" s="472"/>
    </row>
    <row r="2" ht="26.25" customHeight="1">
      <c r="A2" s="337" t="s">
        <v>71</v>
      </c>
      <c r="B2" s="337" t="s">
        <v>174</v>
      </c>
      <c r="C2" s="337" t="s">
        <v>2354</v>
      </c>
      <c r="D2" s="337" t="s">
        <v>2355</v>
      </c>
      <c r="E2" s="337" t="s">
        <v>94</v>
      </c>
      <c r="F2" s="337" t="s">
        <v>148</v>
      </c>
      <c r="G2" s="337" t="s">
        <v>172</v>
      </c>
      <c r="H2" s="337" t="s">
        <v>2356</v>
      </c>
      <c r="I2" s="337" t="s">
        <v>2357</v>
      </c>
      <c r="J2" s="337" t="s">
        <v>2358</v>
      </c>
      <c r="K2" s="337" t="s">
        <v>2359</v>
      </c>
      <c r="L2" s="337" t="s">
        <v>2360</v>
      </c>
      <c r="M2" s="715" t="s">
        <v>2361</v>
      </c>
      <c r="N2" s="337" t="s">
        <v>2362</v>
      </c>
      <c r="O2" s="337" t="s">
        <v>2363</v>
      </c>
      <c r="P2" s="337" t="s">
        <v>126</v>
      </c>
      <c r="Q2" s="337" t="s">
        <v>125</v>
      </c>
      <c r="R2" s="337" t="s">
        <v>2364</v>
      </c>
      <c r="S2" s="337" t="s">
        <v>2365</v>
      </c>
      <c r="T2" s="337" t="s">
        <v>2366</v>
      </c>
      <c r="U2" s="337" t="s">
        <v>2367</v>
      </c>
      <c r="V2" s="337" t="s">
        <v>176</v>
      </c>
      <c r="W2" s="337" t="s">
        <v>2368</v>
      </c>
      <c r="X2" s="337" t="s">
        <v>2369</v>
      </c>
      <c r="Y2" s="337" t="s">
        <v>2370</v>
      </c>
    </row>
    <row r="3" s="338" customFormat="1" ht="26.25" customHeight="1">
      <c r="A3" s="338" t="s">
        <v>54</v>
      </c>
      <c r="B3" s="338" t="s">
        <v>88</v>
      </c>
      <c r="C3" s="339" t="n">
        <v>3132880</v>
      </c>
      <c r="D3" s="338" t="s">
        <v>233</v>
      </c>
      <c r="E3" s="338" t="s">
        <v>234</v>
      </c>
      <c r="F3" s="338" t="s">
        <v>1282</v>
      </c>
      <c r="G3" s="338" t="s">
        <v>31</v>
      </c>
      <c r="H3" s="338" t="s">
        <v>43</v>
      </c>
      <c r="I3" s="338" t="s">
        <v>56</v>
      </c>
      <c r="J3" s="338" t="s">
        <v>57</v>
      </c>
      <c r="K3" s="338" t="s">
        <v>2371</v>
      </c>
      <c r="L3" s="338" t="s">
        <v>1544</v>
      </c>
      <c r="M3" s="716" t="s">
        <v>2372</v>
      </c>
      <c r="N3" s="717" t="s">
        <v>2373</v>
      </c>
      <c r="O3" s="338" t="s">
        <v>2374</v>
      </c>
      <c r="P3" s="338" t="s">
        <v>2375</v>
      </c>
      <c r="Q3" s="339" t="n">
        <v>90</v>
      </c>
      <c r="T3" s="338" t="s">
        <v>217</v>
      </c>
      <c r="U3" s="338" t="s">
        <v>217</v>
      </c>
      <c r="V3" s="338" t="s">
        <v>217</v>
      </c>
      <c r="W3" s="338" t="s">
        <v>217</v>
      </c>
      <c r="X3" s="338" t="s">
        <v>217</v>
      </c>
      <c r="Y3" s="338" t="s">
        <v>217</v>
      </c>
    </row>
    <row r="4" s="338" customFormat="1" ht="26.25" customHeight="1">
      <c r="A4" s="338" t="s">
        <v>54</v>
      </c>
      <c r="B4" s="338" t="s">
        <v>101</v>
      </c>
      <c r="C4" s="339" t="n">
        <v>3132902</v>
      </c>
      <c r="D4" s="338" t="s">
        <v>216</v>
      </c>
      <c r="E4" s="338" t="s">
        <v>283</v>
      </c>
      <c r="F4" s="338" t="s">
        <v>847</v>
      </c>
      <c r="G4" s="338" t="s">
        <v>31</v>
      </c>
      <c r="H4" s="338" t="s">
        <v>43</v>
      </c>
      <c r="I4" s="338" t="s">
        <v>56</v>
      </c>
      <c r="J4" s="338" t="s">
        <v>57</v>
      </c>
      <c r="K4" s="338" t="s">
        <v>2376</v>
      </c>
      <c r="L4" s="338" t="s">
        <v>339</v>
      </c>
      <c r="M4" s="338" t="s">
        <v>2377</v>
      </c>
      <c r="N4" s="338" t="s">
        <v>2378</v>
      </c>
      <c r="O4" s="718" t="s">
        <v>2379</v>
      </c>
      <c r="P4" s="338" t="n">
        <v>90</v>
      </c>
      <c r="Q4" s="339" t="n">
        <v>70</v>
      </c>
      <c r="T4" s="338" t="s">
        <v>217</v>
      </c>
      <c r="U4" s="338" t="s">
        <v>217</v>
      </c>
      <c r="V4" s="338" t="s">
        <v>217</v>
      </c>
      <c r="W4" s="338" t="s">
        <v>217</v>
      </c>
      <c r="X4" s="338" t="s">
        <v>217</v>
      </c>
      <c r="Y4" s="338" t="s">
        <v>217</v>
      </c>
    </row>
    <row r="5" s="338" customFormat="1" ht="26.25" customHeight="1">
      <c r="A5" s="338" t="s">
        <v>54</v>
      </c>
      <c r="B5" s="338" t="s">
        <v>88</v>
      </c>
      <c r="C5" s="339" t="n">
        <v>3132880</v>
      </c>
      <c r="D5" s="338" t="s">
        <v>233</v>
      </c>
      <c r="E5" s="338" t="s">
        <v>234</v>
      </c>
      <c r="F5" s="338" t="s">
        <v>1037</v>
      </c>
      <c r="G5" s="338" t="s">
        <v>31</v>
      </c>
      <c r="H5" s="338" t="s">
        <v>43</v>
      </c>
      <c r="I5" s="338" t="s">
        <v>56</v>
      </c>
      <c r="J5" s="338" t="s">
        <v>57</v>
      </c>
      <c r="L5" s="338" t="s">
        <v>267</v>
      </c>
      <c r="M5" s="719" t="s">
        <v>2380</v>
      </c>
      <c r="N5" s="720" t="s">
        <v>2381</v>
      </c>
      <c r="O5" s="721" t="s">
        <v>2382</v>
      </c>
      <c r="P5" s="338" t="s">
        <v>2375</v>
      </c>
      <c r="Q5" s="339"/>
      <c r="T5" s="338" t="s">
        <v>217</v>
      </c>
      <c r="U5" s="338" t="s">
        <v>217</v>
      </c>
      <c r="V5" s="338" t="s">
        <v>217</v>
      </c>
      <c r="W5" s="338" t="s">
        <v>217</v>
      </c>
      <c r="X5" s="338" t="s">
        <v>218</v>
      </c>
      <c r="Y5" s="338" t="s">
        <v>218</v>
      </c>
    </row>
    <row r="6" s="338" customFormat="1" ht="26.25" customHeight="1">
      <c r="A6" s="338" t="s">
        <v>54</v>
      </c>
      <c r="B6" s="338" t="s">
        <v>88</v>
      </c>
      <c r="C6" s="339" t="n">
        <v>3132880</v>
      </c>
      <c r="D6" s="338" t="s">
        <v>233</v>
      </c>
      <c r="E6" s="338" t="s">
        <v>234</v>
      </c>
      <c r="F6" s="338" t="s">
        <v>1271</v>
      </c>
      <c r="G6" s="338" t="s">
        <v>31</v>
      </c>
      <c r="H6" s="338" t="s">
        <v>43</v>
      </c>
      <c r="I6" s="338" t="s">
        <v>56</v>
      </c>
      <c r="J6" s="338" t="s">
        <v>57</v>
      </c>
      <c r="K6" s="722" t="s">
        <v>2383</v>
      </c>
      <c r="L6" s="338" t="s">
        <v>2384</v>
      </c>
      <c r="M6" s="723" t="s">
        <v>2385</v>
      </c>
      <c r="N6" s="724" t="s">
        <v>2373</v>
      </c>
      <c r="O6" s="338" t="s">
        <v>2374</v>
      </c>
      <c r="P6" s="338" t="s">
        <v>2375</v>
      </c>
      <c r="Q6" s="339" t="n">
        <v>75</v>
      </c>
      <c r="T6" s="338" t="s">
        <v>217</v>
      </c>
      <c r="U6" s="338" t="s">
        <v>217</v>
      </c>
      <c r="V6" s="338" t="s">
        <v>217</v>
      </c>
      <c r="W6" s="338" t="s">
        <v>217</v>
      </c>
      <c r="X6" s="338" t="s">
        <v>217</v>
      </c>
      <c r="Y6" s="338" t="s">
        <v>217</v>
      </c>
    </row>
    <row r="7" s="338" customFormat="1" ht="26.25" customHeight="1">
      <c r="A7" s="338" t="s">
        <v>54</v>
      </c>
      <c r="B7" s="338" t="s">
        <v>88</v>
      </c>
      <c r="C7" s="339" t="n">
        <v>3132880</v>
      </c>
      <c r="D7" s="338" t="s">
        <v>233</v>
      </c>
      <c r="E7" s="338" t="s">
        <v>234</v>
      </c>
      <c r="F7" s="338" t="s">
        <v>1243</v>
      </c>
      <c r="G7" s="338" t="s">
        <v>31</v>
      </c>
      <c r="H7" s="338" t="s">
        <v>43</v>
      </c>
      <c r="I7" s="338" t="s">
        <v>56</v>
      </c>
      <c r="J7" s="338" t="s">
        <v>57</v>
      </c>
      <c r="K7" s="338" t="s">
        <v>2386</v>
      </c>
      <c r="L7" s="338" t="s">
        <v>2387</v>
      </c>
      <c r="M7" s="725" t="s">
        <v>2388</v>
      </c>
      <c r="N7" s="726" t="s">
        <v>2373</v>
      </c>
      <c r="O7" s="338" t="s">
        <v>2374</v>
      </c>
      <c r="P7" s="338" t="s">
        <v>2375</v>
      </c>
      <c r="Q7" s="339" t="n">
        <v>80</v>
      </c>
      <c r="T7" s="338" t="s">
        <v>217</v>
      </c>
      <c r="U7" s="338" t="s">
        <v>217</v>
      </c>
      <c r="V7" s="338" t="s">
        <v>217</v>
      </c>
      <c r="W7" s="338" t="s">
        <v>217</v>
      </c>
      <c r="X7" s="338" t="s">
        <v>217</v>
      </c>
      <c r="Y7" s="338" t="s">
        <v>217</v>
      </c>
    </row>
    <row r="8" s="338" customFormat="1" ht="26.25" customHeight="1">
      <c r="A8" s="338" t="s">
        <v>54</v>
      </c>
      <c r="B8" s="338" t="s">
        <v>88</v>
      </c>
      <c r="C8" s="339" t="n">
        <v>3132880</v>
      </c>
      <c r="D8" s="338" t="s">
        <v>233</v>
      </c>
      <c r="E8" s="338" t="s">
        <v>234</v>
      </c>
      <c r="F8" s="338" t="s">
        <v>1150</v>
      </c>
      <c r="G8" s="338" t="s">
        <v>31</v>
      </c>
      <c r="H8" s="338" t="s">
        <v>43</v>
      </c>
      <c r="I8" s="338" t="s">
        <v>56</v>
      </c>
      <c r="J8" s="338" t="s">
        <v>59</v>
      </c>
      <c r="K8" s="338" t="s">
        <v>2389</v>
      </c>
      <c r="L8" s="338" t="s">
        <v>553</v>
      </c>
      <c r="M8" s="338" t="s">
        <v>2390</v>
      </c>
      <c r="N8" s="727" t="s">
        <v>2373</v>
      </c>
      <c r="O8" s="338" t="s">
        <v>2391</v>
      </c>
      <c r="P8" s="338" t="n">
        <v>95</v>
      </c>
      <c r="Q8" s="339" t="n">
        <v>80</v>
      </c>
      <c r="T8" s="338" t="s">
        <v>217</v>
      </c>
      <c r="U8" s="338" t="s">
        <v>217</v>
      </c>
      <c r="V8" s="338" t="s">
        <v>217</v>
      </c>
      <c r="W8" s="338" t="s">
        <v>217</v>
      </c>
      <c r="X8" s="338" t="s">
        <v>217</v>
      </c>
      <c r="Y8" s="338" t="s">
        <v>218</v>
      </c>
    </row>
    <row r="9" s="338" customFormat="1" ht="26.25" customHeight="1">
      <c r="A9" s="338" t="s">
        <v>54</v>
      </c>
      <c r="B9" s="338" t="s">
        <v>88</v>
      </c>
      <c r="C9" s="339" t="n">
        <v>3132880</v>
      </c>
      <c r="D9" s="338" t="s">
        <v>233</v>
      </c>
      <c r="E9" s="338" t="s">
        <v>234</v>
      </c>
      <c r="F9" s="338" t="s">
        <v>2392</v>
      </c>
      <c r="G9" s="338" t="s">
        <v>31</v>
      </c>
      <c r="H9" s="338" t="s">
        <v>47</v>
      </c>
      <c r="I9" s="338" t="s">
        <v>56</v>
      </c>
      <c r="J9" s="338" t="s">
        <v>57</v>
      </c>
      <c r="K9" s="338" t="s">
        <v>2393</v>
      </c>
      <c r="L9" s="338" t="s">
        <v>2394</v>
      </c>
      <c r="M9" s="728" t="s">
        <v>2395</v>
      </c>
      <c r="N9" s="729" t="s">
        <v>2396</v>
      </c>
      <c r="O9" s="730" t="s">
        <v>2397</v>
      </c>
      <c r="P9" s="338" t="s">
        <v>2375</v>
      </c>
      <c r="Q9" s="339" t="n">
        <v>100</v>
      </c>
      <c r="T9" s="338" t="s">
        <v>217</v>
      </c>
      <c r="U9" s="338" t="s">
        <v>217</v>
      </c>
      <c r="V9" s="338" t="s">
        <v>217</v>
      </c>
      <c r="W9" s="338" t="s">
        <v>217</v>
      </c>
      <c r="X9" s="338" t="s">
        <v>217</v>
      </c>
      <c r="Y9" s="338" t="s">
        <v>217</v>
      </c>
    </row>
    <row r="10" s="338" customFormat="1" ht="26.25" customHeight="1">
      <c r="A10" s="338" t="s">
        <v>54</v>
      </c>
      <c r="B10" s="338" t="s">
        <v>88</v>
      </c>
      <c r="C10" s="339" t="n">
        <v>3132880</v>
      </c>
      <c r="D10" s="338" t="s">
        <v>233</v>
      </c>
      <c r="E10" s="338" t="s">
        <v>234</v>
      </c>
      <c r="F10" s="338" t="s">
        <v>1087</v>
      </c>
      <c r="G10" s="338" t="s">
        <v>31</v>
      </c>
      <c r="H10" s="338" t="s">
        <v>43</v>
      </c>
      <c r="I10" s="338" t="s">
        <v>56</v>
      </c>
      <c r="J10" s="338" t="s">
        <v>55</v>
      </c>
      <c r="K10" s="338" t="s">
        <v>1473</v>
      </c>
      <c r="L10" s="338" t="s">
        <v>2398</v>
      </c>
      <c r="M10" s="338" t="s">
        <v>1473</v>
      </c>
      <c r="N10" s="338" t="s">
        <v>1473</v>
      </c>
      <c r="O10" s="338" t="s">
        <v>2399</v>
      </c>
      <c r="P10" s="338" t="n">
        <v>88</v>
      </c>
      <c r="Q10" s="339"/>
      <c r="T10" s="338" t="s">
        <v>217</v>
      </c>
      <c r="U10" s="338" t="s">
        <v>218</v>
      </c>
      <c r="V10" s="338" t="s">
        <v>217</v>
      </c>
      <c r="W10" s="338" t="s">
        <v>217</v>
      </c>
      <c r="X10" s="338" t="s">
        <v>217</v>
      </c>
      <c r="Y10" s="338" t="s">
        <v>218</v>
      </c>
    </row>
    <row r="11" s="338" customFormat="1" ht="26.25" customHeight="1">
      <c r="A11" s="338" t="s">
        <v>54</v>
      </c>
      <c r="B11" s="338" t="s">
        <v>88</v>
      </c>
      <c r="C11" s="339" t="n">
        <v>3132880</v>
      </c>
      <c r="D11" s="338" t="s">
        <v>233</v>
      </c>
      <c r="E11" s="338" t="s">
        <v>234</v>
      </c>
      <c r="F11" s="338" t="s">
        <v>1242</v>
      </c>
      <c r="G11" s="338" t="s">
        <v>31</v>
      </c>
      <c r="H11" s="338" t="s">
        <v>47</v>
      </c>
      <c r="I11" s="338" t="s">
        <v>56</v>
      </c>
      <c r="J11" s="338" t="s">
        <v>57</v>
      </c>
      <c r="K11" s="338" t="s">
        <v>2393</v>
      </c>
      <c r="L11" s="338" t="s">
        <v>2400</v>
      </c>
      <c r="M11" s="731" t="s">
        <v>2401</v>
      </c>
      <c r="N11" s="732" t="s">
        <v>2373</v>
      </c>
      <c r="O11" s="338" t="s">
        <v>2402</v>
      </c>
      <c r="P11" s="338" t="n">
        <v>95</v>
      </c>
      <c r="Q11" s="339" t="n">
        <v>75</v>
      </c>
      <c r="T11" s="338" t="s">
        <v>217</v>
      </c>
      <c r="U11" s="338" t="s">
        <v>217</v>
      </c>
      <c r="V11" s="338" t="s">
        <v>217</v>
      </c>
      <c r="W11" s="338" t="s">
        <v>217</v>
      </c>
      <c r="X11" s="338" t="s">
        <v>217</v>
      </c>
      <c r="Y11" s="338" t="s">
        <v>217</v>
      </c>
    </row>
    <row r="12" s="338" customFormat="1" ht="26.25" customHeight="1">
      <c r="A12" s="338" t="s">
        <v>54</v>
      </c>
      <c r="B12" s="338" t="s">
        <v>88</v>
      </c>
      <c r="C12" s="339" t="n">
        <v>3132880</v>
      </c>
      <c r="D12" s="338" t="s">
        <v>233</v>
      </c>
      <c r="E12" s="338" t="s">
        <v>234</v>
      </c>
      <c r="F12" s="338" t="s">
        <v>1138</v>
      </c>
      <c r="G12" s="338" t="s">
        <v>31</v>
      </c>
      <c r="H12" s="338" t="s">
        <v>47</v>
      </c>
      <c r="I12" s="338" t="s">
        <v>56</v>
      </c>
      <c r="J12" s="338" t="s">
        <v>57</v>
      </c>
      <c r="K12" s="338" t="s">
        <v>2403</v>
      </c>
      <c r="L12" s="338" t="s">
        <v>2404</v>
      </c>
      <c r="M12" s="733" t="s">
        <v>2405</v>
      </c>
      <c r="N12" s="338" t="s">
        <v>2406</v>
      </c>
      <c r="O12" s="734" t="s">
        <v>2407</v>
      </c>
      <c r="P12" s="338" t="n">
        <v>86</v>
      </c>
      <c r="Q12" s="339"/>
      <c r="T12" s="338" t="s">
        <v>217</v>
      </c>
      <c r="U12" s="338" t="s">
        <v>217</v>
      </c>
      <c r="V12" s="338" t="s">
        <v>217</v>
      </c>
      <c r="W12" s="338" t="s">
        <v>217</v>
      </c>
      <c r="X12" s="338" t="s">
        <v>218</v>
      </c>
      <c r="Y12" s="338" t="s">
        <v>218</v>
      </c>
    </row>
    <row r="13" s="338" customFormat="1" ht="26.25" customHeight="1">
      <c r="A13" s="338" t="s">
        <v>54</v>
      </c>
      <c r="B13" s="338" t="s">
        <v>88</v>
      </c>
      <c r="C13" s="339" t="n">
        <v>3132880</v>
      </c>
      <c r="D13" s="338" t="s">
        <v>233</v>
      </c>
      <c r="E13" s="338" t="s">
        <v>234</v>
      </c>
      <c r="F13" s="338" t="s">
        <v>1308</v>
      </c>
      <c r="G13" s="338" t="s">
        <v>31</v>
      </c>
      <c r="H13" s="338" t="s">
        <v>43</v>
      </c>
      <c r="I13" s="338" t="s">
        <v>56</v>
      </c>
      <c r="J13" s="338" t="s">
        <v>57</v>
      </c>
      <c r="K13" s="338" t="s">
        <v>2408</v>
      </c>
      <c r="L13" s="338" t="s">
        <v>2409</v>
      </c>
      <c r="N13" s="338" t="s">
        <v>2410</v>
      </c>
      <c r="O13" s="338" t="s">
        <v>2399</v>
      </c>
      <c r="Q13" s="339" t="n">
        <v>110</v>
      </c>
      <c r="T13" s="338" t="s">
        <v>217</v>
      </c>
      <c r="U13" s="338" t="s">
        <v>218</v>
      </c>
      <c r="V13" s="338" t="s">
        <v>217</v>
      </c>
      <c r="W13" s="338" t="s">
        <v>217</v>
      </c>
      <c r="X13" s="338" t="s">
        <v>217</v>
      </c>
      <c r="Y13" s="338" t="s">
        <v>217</v>
      </c>
    </row>
    <row r="14" s="338" customFormat="1" ht="26.25" customHeight="1">
      <c r="A14" s="338" t="s">
        <v>54</v>
      </c>
      <c r="B14" s="338" t="s">
        <v>88</v>
      </c>
      <c r="C14" s="339" t="n">
        <v>3132880</v>
      </c>
      <c r="D14" s="338" t="s">
        <v>233</v>
      </c>
      <c r="E14" s="338" t="s">
        <v>234</v>
      </c>
      <c r="F14" s="338" t="s">
        <v>1141</v>
      </c>
      <c r="G14" s="338" t="s">
        <v>31</v>
      </c>
      <c r="H14" s="338" t="s">
        <v>47</v>
      </c>
      <c r="I14" s="338" t="s">
        <v>56</v>
      </c>
      <c r="J14" s="338" t="s">
        <v>36</v>
      </c>
      <c r="K14" s="338" t="s">
        <v>1473</v>
      </c>
      <c r="L14" s="338" t="s">
        <v>2411</v>
      </c>
      <c r="M14" s="735" t="s">
        <v>2412</v>
      </c>
      <c r="N14" s="338" t="s">
        <v>2413</v>
      </c>
      <c r="O14" s="736" t="s">
        <v>2414</v>
      </c>
      <c r="P14" s="338" t="s">
        <v>2415</v>
      </c>
      <c r="Q14" s="339"/>
      <c r="T14" s="338" t="s">
        <v>217</v>
      </c>
      <c r="U14" s="338" t="s">
        <v>217</v>
      </c>
      <c r="V14" s="338" t="s">
        <v>217</v>
      </c>
      <c r="W14" s="338" t="s">
        <v>217</v>
      </c>
      <c r="X14" s="338" t="s">
        <v>218</v>
      </c>
      <c r="Y14" s="338" t="s">
        <v>218</v>
      </c>
    </row>
    <row r="15" s="338" customFormat="1" ht="26.25" customHeight="1">
      <c r="A15" s="338" t="s">
        <v>54</v>
      </c>
      <c r="B15" s="338" t="s">
        <v>88</v>
      </c>
      <c r="C15" s="339" t="n">
        <v>3132880</v>
      </c>
      <c r="D15" s="338" t="s">
        <v>233</v>
      </c>
      <c r="E15" s="338" t="s">
        <v>234</v>
      </c>
      <c r="F15" s="338" t="s">
        <v>1089</v>
      </c>
      <c r="G15" s="338" t="s">
        <v>31</v>
      </c>
      <c r="H15" s="338" t="s">
        <v>43</v>
      </c>
      <c r="I15" s="338" t="s">
        <v>56</v>
      </c>
      <c r="J15" s="338" t="s">
        <v>55</v>
      </c>
      <c r="K15" s="338" t="s">
        <v>2416</v>
      </c>
      <c r="L15" s="338" t="s">
        <v>267</v>
      </c>
      <c r="M15" s="737" t="s">
        <v>2417</v>
      </c>
      <c r="N15" s="338" t="s">
        <v>2418</v>
      </c>
      <c r="O15" s="738" t="s">
        <v>2419</v>
      </c>
      <c r="P15" s="338" t="n">
        <v>95</v>
      </c>
      <c r="Q15" s="339" t="n">
        <v>95</v>
      </c>
      <c r="T15" s="338" t="s">
        <v>217</v>
      </c>
      <c r="U15" s="338" t="s">
        <v>217</v>
      </c>
      <c r="V15" s="338" t="s">
        <v>217</v>
      </c>
      <c r="W15" s="338" t="s">
        <v>217</v>
      </c>
      <c r="X15" s="338" t="s">
        <v>217</v>
      </c>
      <c r="Y15" s="338" t="s">
        <v>217</v>
      </c>
    </row>
    <row r="16" s="338" customFormat="1" ht="26.25" customHeight="1">
      <c r="A16" s="338" t="s">
        <v>54</v>
      </c>
      <c r="B16" s="338" t="s">
        <v>88</v>
      </c>
      <c r="C16" s="339" t="n">
        <v>3132880</v>
      </c>
      <c r="D16" s="338" t="s">
        <v>233</v>
      </c>
      <c r="E16" s="338" t="s">
        <v>234</v>
      </c>
      <c r="F16" s="338" t="s">
        <v>959</v>
      </c>
      <c r="G16" s="338" t="s">
        <v>31</v>
      </c>
      <c r="I16" s="338" t="s">
        <v>56</v>
      </c>
      <c r="J16" s="338" t="s">
        <v>55</v>
      </c>
      <c r="L16" s="338" t="s">
        <v>2420</v>
      </c>
      <c r="M16" s="739" t="s">
        <v>2421</v>
      </c>
      <c r="N16" s="338" t="s">
        <v>2418</v>
      </c>
      <c r="O16" s="740" t="s">
        <v>2422</v>
      </c>
      <c r="P16" s="338" t="n">
        <v>90</v>
      </c>
      <c r="Q16" s="339"/>
      <c r="T16" s="338" t="s">
        <v>217</v>
      </c>
      <c r="U16" s="338" t="s">
        <v>217</v>
      </c>
      <c r="V16" s="338" t="s">
        <v>217</v>
      </c>
      <c r="W16" s="338" t="s">
        <v>217</v>
      </c>
      <c r="X16" s="338" t="s">
        <v>218</v>
      </c>
      <c r="Y16" s="338" t="s">
        <v>218</v>
      </c>
    </row>
    <row r="17" s="338" customFormat="1" ht="26.25" customHeight="1">
      <c r="A17" s="338" t="s">
        <v>54</v>
      </c>
      <c r="B17" s="338" t="s">
        <v>88</v>
      </c>
      <c r="C17" s="339" t="n">
        <v>3132880</v>
      </c>
      <c r="D17" s="338" t="s">
        <v>233</v>
      </c>
      <c r="E17" s="338" t="s">
        <v>234</v>
      </c>
      <c r="F17" s="338" t="s">
        <v>1177</v>
      </c>
      <c r="G17" s="338" t="s">
        <v>31</v>
      </c>
      <c r="H17" s="338" t="s">
        <v>43</v>
      </c>
      <c r="I17" s="338" t="s">
        <v>56</v>
      </c>
      <c r="J17" s="338" t="s">
        <v>55</v>
      </c>
      <c r="L17" s="741" t="s">
        <v>2423</v>
      </c>
      <c r="M17" s="742" t="s">
        <v>2424</v>
      </c>
      <c r="N17" s="338" t="s">
        <v>2425</v>
      </c>
      <c r="O17" s="743" t="s">
        <v>2426</v>
      </c>
      <c r="P17" s="338" t="n">
        <v>98</v>
      </c>
      <c r="Q17" s="339"/>
      <c r="T17" s="338" t="s">
        <v>217</v>
      </c>
      <c r="U17" s="338" t="s">
        <v>217</v>
      </c>
      <c r="V17" s="338" t="s">
        <v>217</v>
      </c>
      <c r="W17" s="338" t="s">
        <v>217</v>
      </c>
      <c r="X17" s="338" t="s">
        <v>218</v>
      </c>
      <c r="Y17" s="338" t="s">
        <v>217</v>
      </c>
    </row>
    <row r="18" s="338" customFormat="1" ht="26.25" customHeight="1">
      <c r="A18" s="338" t="s">
        <v>54</v>
      </c>
      <c r="B18" s="338" t="s">
        <v>88</v>
      </c>
      <c r="C18" s="339" t="n">
        <v>3132880</v>
      </c>
      <c r="D18" s="338" t="s">
        <v>233</v>
      </c>
      <c r="E18" s="338" t="s">
        <v>234</v>
      </c>
      <c r="F18" s="338" t="s">
        <v>1091</v>
      </c>
      <c r="G18" s="338" t="s">
        <v>31</v>
      </c>
      <c r="J18" s="338" t="s">
        <v>55</v>
      </c>
      <c r="K18" s="338" t="s">
        <v>2427</v>
      </c>
      <c r="L18" s="338" t="s">
        <v>267</v>
      </c>
      <c r="O18" s="338" t="s">
        <v>2428</v>
      </c>
      <c r="P18" s="338" t="n">
        <v>90</v>
      </c>
      <c r="Q18" s="339"/>
      <c r="T18" s="338" t="s">
        <v>217</v>
      </c>
      <c r="U18" s="338" t="s">
        <v>217</v>
      </c>
      <c r="V18" s="338" t="s">
        <v>217</v>
      </c>
      <c r="W18" s="338" t="s">
        <v>217</v>
      </c>
      <c r="X18" s="338" t="s">
        <v>218</v>
      </c>
      <c r="Y18" s="338" t="s">
        <v>217</v>
      </c>
    </row>
    <row r="19" s="338" customFormat="1" ht="26.25" customHeight="1">
      <c r="A19" s="338" t="s">
        <v>54</v>
      </c>
      <c r="B19" s="338" t="s">
        <v>88</v>
      </c>
      <c r="C19" s="339" t="n">
        <v>3132880</v>
      </c>
      <c r="D19" s="338" t="s">
        <v>233</v>
      </c>
      <c r="E19" s="338" t="s">
        <v>234</v>
      </c>
      <c r="F19" s="338" t="s">
        <v>1320</v>
      </c>
      <c r="G19" s="338" t="s">
        <v>31</v>
      </c>
      <c r="H19" s="338" t="s">
        <v>43</v>
      </c>
      <c r="I19" s="338" t="s">
        <v>56</v>
      </c>
      <c r="J19" s="338" t="s">
        <v>57</v>
      </c>
      <c r="L19" s="338" t="s">
        <v>267</v>
      </c>
      <c r="M19" s="744" t="s">
        <v>2429</v>
      </c>
      <c r="N19" s="338" t="s">
        <v>2430</v>
      </c>
      <c r="O19" s="745" t="s">
        <v>2431</v>
      </c>
      <c r="P19" s="338" t="n">
        <v>90</v>
      </c>
      <c r="Q19" s="339" t="n">
        <v>80</v>
      </c>
      <c r="T19" s="338" t="s">
        <v>217</v>
      </c>
      <c r="U19" s="338" t="s">
        <v>217</v>
      </c>
      <c r="V19" s="338" t="s">
        <v>217</v>
      </c>
      <c r="W19" s="338" t="s">
        <v>217</v>
      </c>
      <c r="X19" s="338" t="s">
        <v>217</v>
      </c>
      <c r="Y19" s="338" t="s">
        <v>217</v>
      </c>
    </row>
    <row r="20" s="338" customFormat="1" ht="26.25" customHeight="1">
      <c r="A20" s="338" t="s">
        <v>54</v>
      </c>
      <c r="B20" s="338" t="s">
        <v>88</v>
      </c>
      <c r="C20" s="339" t="n">
        <v>3132880</v>
      </c>
      <c r="D20" s="338" t="s">
        <v>233</v>
      </c>
      <c r="E20" s="338" t="s">
        <v>234</v>
      </c>
      <c r="F20" s="338" t="s">
        <v>533</v>
      </c>
      <c r="G20" s="338" t="s">
        <v>31</v>
      </c>
      <c r="H20" s="338" t="s">
        <v>43</v>
      </c>
      <c r="I20" s="338" t="s">
        <v>56</v>
      </c>
      <c r="J20" s="338" t="s">
        <v>59</v>
      </c>
      <c r="K20" s="338" t="s">
        <v>2432</v>
      </c>
      <c r="M20" s="338" t="s">
        <v>2433</v>
      </c>
      <c r="P20" s="338" t="n">
        <v>88</v>
      </c>
      <c r="Q20" s="339"/>
      <c r="T20" s="338" t="s">
        <v>217</v>
      </c>
      <c r="U20" s="338" t="s">
        <v>217</v>
      </c>
      <c r="V20" s="338" t="s">
        <v>217</v>
      </c>
      <c r="W20" s="338" t="s">
        <v>217</v>
      </c>
      <c r="X20" s="338" t="s">
        <v>218</v>
      </c>
      <c r="Y20" s="338" t="s">
        <v>217</v>
      </c>
    </row>
    <row r="21" s="338" customFormat="1" ht="26.25" customHeight="1">
      <c r="A21" s="338" t="s">
        <v>54</v>
      </c>
      <c r="B21" s="338" t="s">
        <v>88</v>
      </c>
      <c r="C21" s="339" t="n">
        <v>3132880</v>
      </c>
      <c r="D21" s="338" t="s">
        <v>233</v>
      </c>
      <c r="E21" s="338" t="s">
        <v>234</v>
      </c>
      <c r="F21" s="338" t="s">
        <v>827</v>
      </c>
      <c r="G21" s="338" t="s">
        <v>31</v>
      </c>
      <c r="H21" s="338" t="s">
        <v>43</v>
      </c>
      <c r="I21" s="338" t="s">
        <v>56</v>
      </c>
      <c r="J21" s="338" t="s">
        <v>59</v>
      </c>
      <c r="K21" s="338" t="s">
        <v>2434</v>
      </c>
      <c r="L21" s="338" t="s">
        <v>267</v>
      </c>
      <c r="M21" s="338" t="s">
        <v>2435</v>
      </c>
      <c r="N21" s="338" t="s">
        <v>2410</v>
      </c>
      <c r="O21" s="746" t="s">
        <v>2436</v>
      </c>
      <c r="Q21" s="339" t="n">
        <v>80</v>
      </c>
      <c r="T21" s="338" t="s">
        <v>217</v>
      </c>
      <c r="U21" s="338" t="s">
        <v>217</v>
      </c>
      <c r="V21" s="338" t="s">
        <v>217</v>
      </c>
      <c r="W21" s="338" t="s">
        <v>217</v>
      </c>
      <c r="X21" s="338" t="s">
        <v>217</v>
      </c>
      <c r="Y21" s="338" t="s">
        <v>218</v>
      </c>
    </row>
    <row r="22" s="338" customFormat="1" ht="26.25" customHeight="1">
      <c r="A22" s="338" t="s">
        <v>54</v>
      </c>
      <c r="B22" s="338" t="s">
        <v>88</v>
      </c>
      <c r="C22" s="339" t="n">
        <v>3132880</v>
      </c>
      <c r="D22" s="338" t="s">
        <v>233</v>
      </c>
      <c r="E22" s="338" t="s">
        <v>234</v>
      </c>
      <c r="F22" s="338" t="s">
        <v>1085</v>
      </c>
      <c r="G22" s="338" t="s">
        <v>31</v>
      </c>
      <c r="H22" s="338" t="s">
        <v>43</v>
      </c>
      <c r="I22" s="338" t="s">
        <v>56</v>
      </c>
      <c r="J22" s="338" t="s">
        <v>36</v>
      </c>
      <c r="K22" s="338" t="s">
        <v>2437</v>
      </c>
      <c r="L22" s="338" t="s">
        <v>2438</v>
      </c>
      <c r="M22" s="338" t="s">
        <v>2439</v>
      </c>
      <c r="N22" s="338" t="s">
        <v>2440</v>
      </c>
      <c r="P22" s="338" t="n">
        <v>99.5</v>
      </c>
      <c r="Q22" s="339" t="n">
        <v>85</v>
      </c>
      <c r="T22" s="338" t="s">
        <v>217</v>
      </c>
      <c r="U22" s="338" t="s">
        <v>217</v>
      </c>
      <c r="V22" s="338" t="s">
        <v>217</v>
      </c>
      <c r="W22" s="338" t="s">
        <v>217</v>
      </c>
      <c r="X22" s="338" t="s">
        <v>217</v>
      </c>
      <c r="Y22" s="338" t="s">
        <v>217</v>
      </c>
    </row>
    <row r="23" s="338" customFormat="1" ht="26.25" customHeight="1">
      <c r="A23" s="338" t="s">
        <v>45</v>
      </c>
      <c r="B23" s="338" t="s">
        <v>88</v>
      </c>
      <c r="C23" s="339" t="n">
        <v>3132897</v>
      </c>
      <c r="D23" s="338" t="s">
        <v>215</v>
      </c>
      <c r="E23" s="338" t="s">
        <v>283</v>
      </c>
      <c r="F23" s="338" t="s">
        <v>1339</v>
      </c>
      <c r="G23" s="338" t="s">
        <v>31</v>
      </c>
      <c r="H23" s="338" t="s">
        <v>47</v>
      </c>
      <c r="I23" s="338" t="s">
        <v>58</v>
      </c>
      <c r="J23" s="338" t="s">
        <v>46</v>
      </c>
      <c r="L23" s="338" t="s">
        <v>582</v>
      </c>
      <c r="M23" s="338" t="s">
        <v>2441</v>
      </c>
      <c r="N23" s="747" t="s">
        <v>2442</v>
      </c>
      <c r="O23" s="338" t="s">
        <v>2443</v>
      </c>
      <c r="P23" s="338" t="s">
        <v>2375</v>
      </c>
      <c r="Q23" s="339" t="n">
        <v>66.5</v>
      </c>
      <c r="T23" s="338" t="s">
        <v>217</v>
      </c>
      <c r="U23" s="338" t="s">
        <v>217</v>
      </c>
      <c r="V23" s="338" t="s">
        <v>217</v>
      </c>
      <c r="W23" s="338" t="s">
        <v>217</v>
      </c>
      <c r="X23" s="338" t="s">
        <v>217</v>
      </c>
      <c r="Y23" s="338" t="s">
        <v>218</v>
      </c>
    </row>
    <row r="24" s="338" customFormat="1" ht="26.25" customHeight="1">
      <c r="A24" s="338" t="s">
        <v>45</v>
      </c>
      <c r="B24" s="338" t="s">
        <v>88</v>
      </c>
      <c r="C24" s="339" t="n">
        <v>3132897</v>
      </c>
      <c r="D24" s="338" t="s">
        <v>215</v>
      </c>
      <c r="E24" s="338" t="s">
        <v>283</v>
      </c>
      <c r="F24" s="338" t="s">
        <v>1007</v>
      </c>
      <c r="G24" s="338" t="s">
        <v>31</v>
      </c>
      <c r="H24" s="338" t="s">
        <v>47</v>
      </c>
      <c r="I24" s="338" t="s">
        <v>58</v>
      </c>
      <c r="J24" s="338" t="s">
        <v>36</v>
      </c>
      <c r="K24" s="338" t="s">
        <v>2444</v>
      </c>
      <c r="L24" s="338" t="s">
        <v>2445</v>
      </c>
      <c r="M24" s="748" t="s">
        <v>2446</v>
      </c>
      <c r="N24" s="749" t="s">
        <v>2442</v>
      </c>
      <c r="O24" s="750" t="s">
        <v>2447</v>
      </c>
      <c r="P24" s="338" t="s">
        <v>2375</v>
      </c>
      <c r="Q24" s="339" t="n">
        <v>95</v>
      </c>
      <c r="T24" s="338" t="s">
        <v>217</v>
      </c>
      <c r="U24" s="338" t="s">
        <v>217</v>
      </c>
      <c r="V24" s="338" t="s">
        <v>217</v>
      </c>
      <c r="W24" s="338" t="s">
        <v>217</v>
      </c>
      <c r="X24" s="338" t="s">
        <v>217</v>
      </c>
      <c r="Y24" s="338" t="s">
        <v>218</v>
      </c>
    </row>
    <row r="25" s="338" customFormat="1" ht="26.25" customHeight="1">
      <c r="A25" s="338" t="s">
        <v>45</v>
      </c>
      <c r="B25" s="338" t="s">
        <v>88</v>
      </c>
      <c r="C25" s="339" t="n">
        <v>3132897</v>
      </c>
      <c r="D25" s="338" t="s">
        <v>215</v>
      </c>
      <c r="E25" s="338" t="s">
        <v>283</v>
      </c>
      <c r="F25" s="338" t="s">
        <v>1053</v>
      </c>
      <c r="G25" s="338" t="s">
        <v>31</v>
      </c>
      <c r="H25" s="338" t="s">
        <v>47</v>
      </c>
      <c r="I25" s="338" t="s">
        <v>58</v>
      </c>
      <c r="J25" s="338" t="s">
        <v>57</v>
      </c>
      <c r="L25" s="751" t="s">
        <v>2448</v>
      </c>
      <c r="M25" s="752" t="s">
        <v>2449</v>
      </c>
      <c r="N25" s="338" t="s">
        <v>2410</v>
      </c>
      <c r="O25" s="338" t="s">
        <v>2374</v>
      </c>
      <c r="P25" s="338" t="n">
        <v>88</v>
      </c>
      <c r="Q25" s="339"/>
      <c r="T25" s="338" t="s">
        <v>217</v>
      </c>
      <c r="U25" s="338" t="s">
        <v>217</v>
      </c>
      <c r="V25" s="338" t="s">
        <v>217</v>
      </c>
      <c r="W25" s="338" t="s">
        <v>217</v>
      </c>
      <c r="X25" s="338" t="s">
        <v>218</v>
      </c>
      <c r="Y25" s="338" t="s">
        <v>218</v>
      </c>
    </row>
    <row r="26" s="338" customFormat="1" ht="26.25" customHeight="1">
      <c r="A26" s="338" t="s">
        <v>45</v>
      </c>
      <c r="B26" s="338" t="s">
        <v>88</v>
      </c>
      <c r="C26" s="339" t="n">
        <v>3132897</v>
      </c>
      <c r="D26" s="338" t="s">
        <v>215</v>
      </c>
      <c r="E26" s="338" t="s">
        <v>283</v>
      </c>
      <c r="F26" s="338" t="s">
        <v>1042</v>
      </c>
      <c r="G26" s="338" t="s">
        <v>31</v>
      </c>
      <c r="H26" s="338" t="s">
        <v>47</v>
      </c>
      <c r="I26" s="338" t="s">
        <v>58</v>
      </c>
      <c r="J26" s="338" t="s">
        <v>36</v>
      </c>
      <c r="L26" s="338" t="s">
        <v>2450</v>
      </c>
      <c r="M26" s="753" t="s">
        <v>2451</v>
      </c>
      <c r="N26" s="338" t="s">
        <v>2413</v>
      </c>
      <c r="O26" s="754" t="s">
        <v>2452</v>
      </c>
      <c r="P26" s="338" t="s">
        <v>2453</v>
      </c>
      <c r="Q26" s="339"/>
      <c r="T26" s="338" t="s">
        <v>217</v>
      </c>
      <c r="U26" s="338" t="s">
        <v>217</v>
      </c>
      <c r="V26" s="338" t="s">
        <v>217</v>
      </c>
      <c r="W26" s="338" t="s">
        <v>217</v>
      </c>
      <c r="X26" s="338" t="s">
        <v>218</v>
      </c>
      <c r="Y26" s="338" t="s">
        <v>218</v>
      </c>
    </row>
    <row r="27" s="338" customFormat="1" ht="26.25" customHeight="1">
      <c r="A27" s="338" t="s">
        <v>45</v>
      </c>
      <c r="B27" s="338" t="s">
        <v>88</v>
      </c>
      <c r="C27" s="339" t="n">
        <v>3132897</v>
      </c>
      <c r="D27" s="338" t="s">
        <v>215</v>
      </c>
      <c r="E27" s="338" t="s">
        <v>283</v>
      </c>
      <c r="F27" s="338" t="s">
        <v>1086</v>
      </c>
      <c r="G27" s="338" t="s">
        <v>31</v>
      </c>
      <c r="H27" s="338" t="s">
        <v>47</v>
      </c>
      <c r="I27" s="338" t="s">
        <v>58</v>
      </c>
      <c r="J27" s="338" t="s">
        <v>48</v>
      </c>
      <c r="K27" s="338" t="s">
        <v>2454</v>
      </c>
      <c r="L27" s="338" t="s">
        <v>1774</v>
      </c>
      <c r="M27" s="755" t="s">
        <v>2455</v>
      </c>
      <c r="N27" s="756" t="s">
        <v>2373</v>
      </c>
      <c r="O27" s="338" t="s">
        <v>2456</v>
      </c>
      <c r="P27" s="338" t="s">
        <v>2457</v>
      </c>
      <c r="Q27" s="339"/>
      <c r="T27" s="338" t="s">
        <v>217</v>
      </c>
      <c r="U27" s="338" t="s">
        <v>217</v>
      </c>
      <c r="V27" s="338" t="s">
        <v>217</v>
      </c>
      <c r="W27" s="338" t="s">
        <v>217</v>
      </c>
      <c r="X27" s="338" t="s">
        <v>218</v>
      </c>
      <c r="Y27" s="338" t="s">
        <v>217</v>
      </c>
    </row>
    <row r="28" s="338" customFormat="1" ht="26.25" customHeight="1">
      <c r="A28" s="338" t="s">
        <v>45</v>
      </c>
      <c r="B28" s="338" t="s">
        <v>88</v>
      </c>
      <c r="C28" s="339" t="n">
        <v>3132897</v>
      </c>
      <c r="D28" s="338" t="s">
        <v>215</v>
      </c>
      <c r="E28" s="338" t="s">
        <v>283</v>
      </c>
      <c r="F28" s="338" t="s">
        <v>641</v>
      </c>
      <c r="G28" s="338" t="s">
        <v>31</v>
      </c>
      <c r="I28" s="338" t="s">
        <v>58</v>
      </c>
      <c r="J28" s="338" t="s">
        <v>48</v>
      </c>
      <c r="K28" s="338" t="s">
        <v>407</v>
      </c>
      <c r="L28" s="338" t="s">
        <v>464</v>
      </c>
      <c r="M28" s="757" t="s">
        <v>2458</v>
      </c>
      <c r="N28" s="758" t="s">
        <v>2373</v>
      </c>
      <c r="O28" s="338" t="s">
        <v>2374</v>
      </c>
      <c r="P28" s="338" t="s">
        <v>2375</v>
      </c>
      <c r="Q28" s="339" t="n">
        <v>85</v>
      </c>
      <c r="T28" s="338" t="s">
        <v>217</v>
      </c>
      <c r="U28" s="338" t="s">
        <v>217</v>
      </c>
      <c r="V28" s="338" t="s">
        <v>217</v>
      </c>
      <c r="W28" s="338" t="s">
        <v>217</v>
      </c>
      <c r="X28" s="338" t="s">
        <v>217</v>
      </c>
      <c r="Y28" s="338" t="s">
        <v>217</v>
      </c>
    </row>
    <row r="29" s="338" customFormat="1" ht="26.25" customHeight="1">
      <c r="A29" s="338" t="s">
        <v>45</v>
      </c>
      <c r="B29" s="338" t="s">
        <v>88</v>
      </c>
      <c r="C29" s="339" t="n">
        <v>3132897</v>
      </c>
      <c r="D29" s="338" t="s">
        <v>215</v>
      </c>
      <c r="E29" s="338" t="s">
        <v>283</v>
      </c>
      <c r="F29" s="338" t="s">
        <v>1307</v>
      </c>
      <c r="G29" s="338" t="s">
        <v>31</v>
      </c>
      <c r="H29" s="338" t="s">
        <v>47</v>
      </c>
      <c r="I29" s="338" t="s">
        <v>58</v>
      </c>
      <c r="J29" s="338" t="s">
        <v>50</v>
      </c>
      <c r="K29" s="338" t="s">
        <v>2459</v>
      </c>
      <c r="L29" s="759" t="s">
        <v>2460</v>
      </c>
      <c r="M29" s="760" t="s">
        <v>2461</v>
      </c>
      <c r="N29" s="761" t="s">
        <v>2462</v>
      </c>
      <c r="O29" s="762" t="s">
        <v>2463</v>
      </c>
      <c r="P29" s="338" t="n">
        <v>298.5</v>
      </c>
      <c r="Q29" s="339" t="n">
        <v>75</v>
      </c>
      <c r="T29" s="338" t="s">
        <v>217</v>
      </c>
      <c r="U29" s="338" t="s">
        <v>217</v>
      </c>
      <c r="V29" s="338" t="s">
        <v>217</v>
      </c>
      <c r="W29" s="338" t="s">
        <v>217</v>
      </c>
      <c r="X29" s="338" t="s">
        <v>217</v>
      </c>
      <c r="Y29" s="338" t="s">
        <v>217</v>
      </c>
    </row>
    <row r="30" s="338" customFormat="1" ht="26.25" customHeight="1">
      <c r="A30" s="338" t="s">
        <v>45</v>
      </c>
      <c r="B30" s="338" t="s">
        <v>88</v>
      </c>
      <c r="C30" s="339" t="n">
        <v>3132897</v>
      </c>
      <c r="D30" s="338" t="s">
        <v>215</v>
      </c>
      <c r="E30" s="338" t="s">
        <v>283</v>
      </c>
      <c r="F30" s="338" t="s">
        <v>1104</v>
      </c>
      <c r="G30" s="338" t="s">
        <v>31</v>
      </c>
      <c r="H30" s="338" t="s">
        <v>49</v>
      </c>
      <c r="I30" s="338" t="s">
        <v>52</v>
      </c>
      <c r="J30" s="338" t="s">
        <v>50</v>
      </c>
      <c r="L30" s="338" t="s">
        <v>1606</v>
      </c>
      <c r="P30" s="338" t="n">
        <v>72</v>
      </c>
      <c r="Q30" s="339"/>
      <c r="T30" s="338" t="s">
        <v>217</v>
      </c>
      <c r="U30" s="338" t="s">
        <v>217</v>
      </c>
      <c r="V30" s="338" t="s">
        <v>217</v>
      </c>
      <c r="W30" s="338" t="s">
        <v>217</v>
      </c>
      <c r="X30" s="338" t="s">
        <v>218</v>
      </c>
      <c r="Y30" s="338" t="s">
        <v>217</v>
      </c>
    </row>
    <row r="31" s="338" customFormat="1" ht="26.25" customHeight="1">
      <c r="A31" s="338" t="s">
        <v>45</v>
      </c>
      <c r="B31" s="338" t="s">
        <v>88</v>
      </c>
      <c r="C31" s="339" t="n">
        <v>3132897</v>
      </c>
      <c r="D31" s="338" t="s">
        <v>215</v>
      </c>
      <c r="E31" s="338" t="s">
        <v>283</v>
      </c>
      <c r="F31" s="338" t="s">
        <v>1314</v>
      </c>
      <c r="G31" s="338" t="s">
        <v>31</v>
      </c>
      <c r="H31" s="338" t="s">
        <v>47</v>
      </c>
      <c r="I31" s="338" t="s">
        <v>58</v>
      </c>
      <c r="J31" s="338" t="s">
        <v>48</v>
      </c>
      <c r="K31" s="338" t="s">
        <v>2464</v>
      </c>
      <c r="L31" s="338" t="s">
        <v>1465</v>
      </c>
      <c r="M31" s="763" t="s">
        <v>2465</v>
      </c>
      <c r="N31" s="338" t="s">
        <v>2466</v>
      </c>
      <c r="O31" s="764" t="s">
        <v>2467</v>
      </c>
      <c r="P31" s="338" t="s">
        <v>28</v>
      </c>
      <c r="Q31" s="339" t="n">
        <v>75</v>
      </c>
      <c r="T31" s="338" t="s">
        <v>217</v>
      </c>
      <c r="U31" s="338" t="s">
        <v>217</v>
      </c>
      <c r="V31" s="338" t="s">
        <v>217</v>
      </c>
      <c r="W31" s="338" t="s">
        <v>217</v>
      </c>
      <c r="X31" s="338" t="s">
        <v>217</v>
      </c>
      <c r="Y31" s="338" t="s">
        <v>217</v>
      </c>
    </row>
    <row r="32" s="338" customFormat="1" ht="26.25" customHeight="1">
      <c r="A32" s="338" t="s">
        <v>45</v>
      </c>
      <c r="B32" s="338" t="s">
        <v>88</v>
      </c>
      <c r="C32" s="339" t="n">
        <v>3132897</v>
      </c>
      <c r="D32" s="338" t="s">
        <v>215</v>
      </c>
      <c r="E32" s="338" t="s">
        <v>283</v>
      </c>
      <c r="F32" s="338" t="s">
        <v>1297</v>
      </c>
      <c r="G32" s="338" t="s">
        <v>31</v>
      </c>
      <c r="H32" s="338" t="s">
        <v>47</v>
      </c>
      <c r="I32" s="338" t="s">
        <v>58</v>
      </c>
      <c r="J32" s="338" t="s">
        <v>46</v>
      </c>
      <c r="K32" s="338" t="s">
        <v>2468</v>
      </c>
      <c r="L32" s="338" t="s">
        <v>2469</v>
      </c>
      <c r="M32" s="765" t="s">
        <v>2470</v>
      </c>
      <c r="N32" s="766" t="s">
        <v>2373</v>
      </c>
      <c r="O32" s="338" t="s">
        <v>2471</v>
      </c>
      <c r="P32" s="338" t="s">
        <v>2375</v>
      </c>
      <c r="Q32" s="339" t="n">
        <v>75</v>
      </c>
      <c r="T32" s="338" t="s">
        <v>217</v>
      </c>
      <c r="U32" s="338" t="s">
        <v>217</v>
      </c>
      <c r="V32" s="338" t="s">
        <v>217</v>
      </c>
      <c r="W32" s="338" t="s">
        <v>217</v>
      </c>
      <c r="X32" s="338" t="s">
        <v>217</v>
      </c>
      <c r="Y32" s="338" t="s">
        <v>217</v>
      </c>
    </row>
    <row r="33" s="338" customFormat="1" ht="26.25" customHeight="1">
      <c r="A33" s="338" t="s">
        <v>45</v>
      </c>
      <c r="B33" s="338" t="s">
        <v>88</v>
      </c>
      <c r="C33" s="339" t="n">
        <v>3132897</v>
      </c>
      <c r="D33" s="338" t="s">
        <v>215</v>
      </c>
      <c r="E33" s="338" t="s">
        <v>283</v>
      </c>
      <c r="F33" s="338" t="s">
        <v>1338</v>
      </c>
      <c r="G33" s="338" t="s">
        <v>31</v>
      </c>
      <c r="H33" s="338" t="s">
        <v>47</v>
      </c>
      <c r="I33" s="338" t="s">
        <v>58</v>
      </c>
      <c r="J33" s="338" t="s">
        <v>57</v>
      </c>
      <c r="K33" s="767" t="s">
        <v>2383</v>
      </c>
      <c r="L33" s="338" t="s">
        <v>2384</v>
      </c>
      <c r="M33" s="768" t="s">
        <v>2472</v>
      </c>
      <c r="N33" s="338" t="s">
        <v>2410</v>
      </c>
      <c r="O33" s="338" t="s">
        <v>2473</v>
      </c>
      <c r="P33" s="338" t="s">
        <v>2474</v>
      </c>
      <c r="Q33" s="339" t="n">
        <v>75</v>
      </c>
      <c r="T33" s="338" t="s">
        <v>217</v>
      </c>
      <c r="U33" s="338" t="s">
        <v>217</v>
      </c>
      <c r="V33" s="338" t="s">
        <v>217</v>
      </c>
      <c r="W33" s="338" t="s">
        <v>217</v>
      </c>
      <c r="X33" s="338" t="s">
        <v>217</v>
      </c>
      <c r="Y33" s="338" t="s">
        <v>217</v>
      </c>
    </row>
    <row r="34" s="338" customFormat="1" ht="26.25" customHeight="1">
      <c r="A34" s="338" t="s">
        <v>45</v>
      </c>
      <c r="B34" s="338" t="s">
        <v>88</v>
      </c>
      <c r="C34" s="339" t="n">
        <v>3132897</v>
      </c>
      <c r="D34" s="338" t="s">
        <v>215</v>
      </c>
      <c r="E34" s="338" t="s">
        <v>283</v>
      </c>
      <c r="F34" s="338" t="s">
        <v>1280</v>
      </c>
      <c r="G34" s="338" t="s">
        <v>31</v>
      </c>
      <c r="H34" s="338" t="s">
        <v>47</v>
      </c>
      <c r="I34" s="338" t="s">
        <v>58</v>
      </c>
      <c r="J34" s="338" t="s">
        <v>1266</v>
      </c>
      <c r="L34" s="338" t="s">
        <v>475</v>
      </c>
      <c r="M34" s="769" t="s">
        <v>2475</v>
      </c>
      <c r="N34" s="770" t="s">
        <v>2373</v>
      </c>
      <c r="O34" s="338" t="s">
        <v>2374</v>
      </c>
      <c r="P34" s="338" t="s">
        <v>2457</v>
      </c>
      <c r="Q34" s="339" t="n">
        <v>70</v>
      </c>
      <c r="T34" s="338" t="s">
        <v>217</v>
      </c>
      <c r="U34" s="338" t="s">
        <v>217</v>
      </c>
      <c r="V34" s="338" t="s">
        <v>217</v>
      </c>
      <c r="W34" s="338" t="s">
        <v>217</v>
      </c>
      <c r="X34" s="338" t="s">
        <v>217</v>
      </c>
      <c r="Y34" s="338" t="s">
        <v>217</v>
      </c>
    </row>
    <row r="35" s="338" customFormat="1" ht="26.25" customHeight="1">
      <c r="A35" s="338" t="s">
        <v>45</v>
      </c>
      <c r="B35" s="338" t="s">
        <v>88</v>
      </c>
      <c r="C35" s="339" t="n">
        <v>3132897</v>
      </c>
      <c r="D35" s="338" t="s">
        <v>215</v>
      </c>
      <c r="E35" s="338" t="s">
        <v>283</v>
      </c>
      <c r="F35" s="338" t="s">
        <v>869</v>
      </c>
      <c r="G35" s="338" t="s">
        <v>31</v>
      </c>
      <c r="H35" s="338" t="s">
        <v>47</v>
      </c>
      <c r="I35" s="338" t="s">
        <v>58</v>
      </c>
      <c r="J35" s="338" t="s">
        <v>46</v>
      </c>
      <c r="K35" s="338" t="s">
        <v>2468</v>
      </c>
      <c r="L35" s="338" t="s">
        <v>464</v>
      </c>
      <c r="M35" s="771" t="s">
        <v>2476</v>
      </c>
      <c r="N35" s="772" t="s">
        <v>2373</v>
      </c>
      <c r="O35" s="773" t="s">
        <v>2477</v>
      </c>
      <c r="P35" s="338" t="s">
        <v>2457</v>
      </c>
      <c r="Q35" s="339" t="n">
        <v>68</v>
      </c>
      <c r="T35" s="338" t="s">
        <v>217</v>
      </c>
      <c r="U35" s="338" t="s">
        <v>217</v>
      </c>
      <c r="V35" s="338" t="s">
        <v>217</v>
      </c>
      <c r="W35" s="338" t="s">
        <v>217</v>
      </c>
      <c r="X35" s="338" t="s">
        <v>217</v>
      </c>
      <c r="Y35" s="338" t="s">
        <v>217</v>
      </c>
    </row>
    <row r="36" s="338" customFormat="1" ht="26.25" customHeight="1">
      <c r="A36" s="338" t="s">
        <v>45</v>
      </c>
      <c r="B36" s="338" t="s">
        <v>88</v>
      </c>
      <c r="C36" s="339" t="n">
        <v>3132897</v>
      </c>
      <c r="D36" s="338" t="s">
        <v>215</v>
      </c>
      <c r="E36" s="338" t="s">
        <v>283</v>
      </c>
      <c r="F36" s="338" t="s">
        <v>1152</v>
      </c>
      <c r="G36" s="338" t="s">
        <v>31</v>
      </c>
      <c r="H36" s="338" t="s">
        <v>47</v>
      </c>
      <c r="I36" s="338" t="s">
        <v>58</v>
      </c>
      <c r="J36" s="338" t="s">
        <v>48</v>
      </c>
      <c r="K36" s="338" t="s">
        <v>407</v>
      </c>
      <c r="M36" s="774" t="s">
        <v>2478</v>
      </c>
      <c r="N36" s="338" t="s">
        <v>2479</v>
      </c>
      <c r="O36" s="775" t="s">
        <v>2480</v>
      </c>
      <c r="P36" s="338" t="n">
        <v>64</v>
      </c>
      <c r="Q36" s="339"/>
      <c r="T36" s="338" t="s">
        <v>217</v>
      </c>
      <c r="U36" s="338" t="s">
        <v>217</v>
      </c>
      <c r="V36" s="338" t="s">
        <v>217</v>
      </c>
      <c r="W36" s="338" t="s">
        <v>217</v>
      </c>
      <c r="X36" s="338" t="s">
        <v>218</v>
      </c>
      <c r="Y36" s="338" t="s">
        <v>217</v>
      </c>
    </row>
    <row r="37" s="338" customFormat="1" ht="26.25" customHeight="1">
      <c r="A37" s="338" t="s">
        <v>85</v>
      </c>
      <c r="B37" s="338" t="s">
        <v>88</v>
      </c>
      <c r="C37" s="339" t="n">
        <v>3132897</v>
      </c>
      <c r="D37" s="338" t="s">
        <v>215</v>
      </c>
      <c r="E37" s="338" t="s">
        <v>283</v>
      </c>
      <c r="F37" s="338" t="s">
        <v>657</v>
      </c>
      <c r="G37" s="338" t="s">
        <v>31</v>
      </c>
      <c r="H37" s="338" t="s">
        <v>43</v>
      </c>
      <c r="I37" s="338" t="s">
        <v>52</v>
      </c>
      <c r="J37" s="338" t="s">
        <v>38</v>
      </c>
      <c r="K37" s="338" t="s">
        <v>2481</v>
      </c>
      <c r="L37" s="338" t="s">
        <v>2482</v>
      </c>
      <c r="M37" s="776" t="s">
        <v>2483</v>
      </c>
      <c r="N37" s="338" t="s">
        <v>2410</v>
      </c>
      <c r="O37" s="338" t="s">
        <v>2484</v>
      </c>
      <c r="P37" s="338" t="s">
        <v>2474</v>
      </c>
      <c r="Q37" s="339" t="n">
        <v>70</v>
      </c>
      <c r="T37" s="338" t="s">
        <v>217</v>
      </c>
      <c r="U37" s="338" t="s">
        <v>217</v>
      </c>
      <c r="V37" s="338" t="s">
        <v>217</v>
      </c>
      <c r="W37" s="338" t="s">
        <v>217</v>
      </c>
      <c r="X37" s="338" t="s">
        <v>217</v>
      </c>
      <c r="Y37" s="338" t="s">
        <v>217</v>
      </c>
    </row>
    <row r="38" s="338" customFormat="1" ht="26.25" customHeight="1">
      <c r="A38" s="338" t="s">
        <v>45</v>
      </c>
      <c r="B38" s="338" t="s">
        <v>88</v>
      </c>
      <c r="C38" s="339" t="n">
        <v>3132897</v>
      </c>
      <c r="D38" s="338" t="s">
        <v>215</v>
      </c>
      <c r="E38" s="338" t="s">
        <v>283</v>
      </c>
      <c r="F38" s="338" t="s">
        <v>1326</v>
      </c>
      <c r="G38" s="338" t="s">
        <v>31</v>
      </c>
      <c r="H38" s="338" t="s">
        <v>47</v>
      </c>
      <c r="I38" s="338" t="s">
        <v>58</v>
      </c>
      <c r="J38" s="338" t="s">
        <v>50</v>
      </c>
      <c r="L38" s="338" t="s">
        <v>2485</v>
      </c>
      <c r="Q38" s="339" t="n">
        <v>60</v>
      </c>
      <c r="T38" s="338" t="s">
        <v>217</v>
      </c>
      <c r="U38" s="338" t="s">
        <v>217</v>
      </c>
      <c r="V38" s="338" t="s">
        <v>217</v>
      </c>
      <c r="W38" s="338" t="s">
        <v>217</v>
      </c>
      <c r="X38" s="338" t="s">
        <v>217</v>
      </c>
      <c r="Y38" s="338" t="s">
        <v>218</v>
      </c>
    </row>
    <row r="39" s="338" customFormat="1" ht="26.25" customHeight="1">
      <c r="A39" s="338" t="s">
        <v>45</v>
      </c>
      <c r="B39" s="338" t="s">
        <v>88</v>
      </c>
      <c r="C39" s="339" t="n">
        <v>3132897</v>
      </c>
      <c r="D39" s="338" t="s">
        <v>215</v>
      </c>
      <c r="E39" s="338" t="s">
        <v>283</v>
      </c>
      <c r="F39" s="338" t="s">
        <v>1240</v>
      </c>
      <c r="G39" s="338" t="s">
        <v>31</v>
      </c>
      <c r="I39" s="338" t="s">
        <v>58</v>
      </c>
      <c r="J39" s="338" t="s">
        <v>46</v>
      </c>
      <c r="K39" s="338" t="s">
        <v>2459</v>
      </c>
      <c r="L39" s="338" t="s">
        <v>517</v>
      </c>
      <c r="M39" s="777" t="s">
        <v>2486</v>
      </c>
      <c r="N39" s="778" t="s">
        <v>2373</v>
      </c>
      <c r="O39" s="338" t="s">
        <v>2487</v>
      </c>
      <c r="P39" s="338" t="s">
        <v>2457</v>
      </c>
      <c r="Q39" s="339" t="n">
        <v>59</v>
      </c>
      <c r="T39" s="338" t="s">
        <v>217</v>
      </c>
      <c r="U39" s="338" t="s">
        <v>217</v>
      </c>
      <c r="V39" s="338" t="s">
        <v>217</v>
      </c>
      <c r="W39" s="338" t="s">
        <v>217</v>
      </c>
      <c r="X39" s="338" t="s">
        <v>217</v>
      </c>
      <c r="Y39" s="338" t="s">
        <v>217</v>
      </c>
    </row>
    <row r="40" s="338" customFormat="1" ht="26.25" customHeight="1">
      <c r="A40" s="338" t="s">
        <v>45</v>
      </c>
      <c r="B40" s="338" t="s">
        <v>88</v>
      </c>
      <c r="C40" s="339" t="n">
        <v>3132897</v>
      </c>
      <c r="D40" s="338" t="s">
        <v>215</v>
      </c>
      <c r="E40" s="338" t="s">
        <v>283</v>
      </c>
      <c r="F40" s="338" t="s">
        <v>1169</v>
      </c>
      <c r="G40" s="338" t="s">
        <v>31</v>
      </c>
      <c r="H40" s="338" t="s">
        <v>47</v>
      </c>
      <c r="I40" s="338" t="s">
        <v>58</v>
      </c>
      <c r="J40" s="338" t="s">
        <v>48</v>
      </c>
      <c r="K40" s="338" t="s">
        <v>2488</v>
      </c>
      <c r="L40" s="338" t="s">
        <v>2398</v>
      </c>
      <c r="M40" s="779" t="s">
        <v>2489</v>
      </c>
      <c r="O40" s="338" t="s">
        <v>2374</v>
      </c>
      <c r="P40" s="338" t="s">
        <v>2457</v>
      </c>
      <c r="Q40" s="339"/>
      <c r="T40" s="338" t="s">
        <v>217</v>
      </c>
      <c r="U40" s="338" t="s">
        <v>217</v>
      </c>
      <c r="V40" s="338" t="s">
        <v>217</v>
      </c>
      <c r="W40" s="338" t="s">
        <v>217</v>
      </c>
      <c r="X40" s="338" t="s">
        <v>218</v>
      </c>
      <c r="Y40" s="338" t="s">
        <v>217</v>
      </c>
    </row>
    <row r="41" s="338" customFormat="1" ht="26.25" customHeight="1">
      <c r="A41" s="338" t="s">
        <v>45</v>
      </c>
      <c r="B41" s="338" t="s">
        <v>88</v>
      </c>
      <c r="C41" s="339" t="n">
        <v>3132897</v>
      </c>
      <c r="D41" s="338" t="s">
        <v>215</v>
      </c>
      <c r="E41" s="338" t="s">
        <v>283</v>
      </c>
      <c r="F41" s="338" t="s">
        <v>1013</v>
      </c>
      <c r="G41" s="338" t="s">
        <v>31</v>
      </c>
      <c r="H41" s="338" t="s">
        <v>47</v>
      </c>
      <c r="I41" s="338" t="s">
        <v>58</v>
      </c>
      <c r="J41" s="338" t="s">
        <v>46</v>
      </c>
      <c r="O41" s="780" t="s">
        <v>2490</v>
      </c>
      <c r="P41" s="338" t="s">
        <v>2457</v>
      </c>
      <c r="Q41" s="339"/>
      <c r="T41" s="338" t="s">
        <v>217</v>
      </c>
      <c r="V41" s="338" t="s">
        <v>217</v>
      </c>
      <c r="W41" s="338" t="s">
        <v>217</v>
      </c>
      <c r="X41" s="338" t="s">
        <v>218</v>
      </c>
      <c r="Y41" s="338" t="s">
        <v>218</v>
      </c>
    </row>
    <row r="42" s="338" customFormat="1" ht="26.25" customHeight="1">
      <c r="A42" s="338" t="s">
        <v>54</v>
      </c>
      <c r="B42" s="338" t="s">
        <v>101</v>
      </c>
      <c r="C42" s="339" t="n">
        <v>3132902</v>
      </c>
      <c r="D42" s="338" t="s">
        <v>216</v>
      </c>
      <c r="E42" s="338" t="s">
        <v>283</v>
      </c>
      <c r="F42" s="338" t="s">
        <v>1182</v>
      </c>
      <c r="G42" s="338" t="s">
        <v>31</v>
      </c>
      <c r="H42" s="338" t="s">
        <v>49</v>
      </c>
      <c r="I42" s="338" t="s">
        <v>56</v>
      </c>
      <c r="J42" s="338" t="s">
        <v>59</v>
      </c>
      <c r="Q42" s="339" t="n">
        <v>61</v>
      </c>
      <c r="T42" s="338" t="s">
        <v>217</v>
      </c>
    </row>
    <row r="43" s="338" customFormat="1" ht="26.25" customHeight="1">
      <c r="A43" s="338" t="s">
        <v>54</v>
      </c>
      <c r="B43" s="338" t="s">
        <v>101</v>
      </c>
      <c r="C43" s="339" t="n">
        <v>3132902</v>
      </c>
      <c r="D43" s="338" t="s">
        <v>216</v>
      </c>
      <c r="E43" s="338" t="s">
        <v>283</v>
      </c>
      <c r="F43" s="338" t="s">
        <v>1132</v>
      </c>
      <c r="G43" s="338" t="s">
        <v>31</v>
      </c>
      <c r="H43" s="338" t="s">
        <v>49</v>
      </c>
      <c r="I43" s="338" t="s">
        <v>56</v>
      </c>
      <c r="J43" s="338" t="s">
        <v>48</v>
      </c>
      <c r="P43" s="338" t="n">
        <v>72</v>
      </c>
      <c r="Q43" s="339"/>
      <c r="T43" s="338" t="s">
        <v>217</v>
      </c>
    </row>
    <row r="44" s="338" customFormat="1" ht="26.25" customHeight="1">
      <c r="A44" s="338" t="s">
        <v>54</v>
      </c>
      <c r="B44" s="338" t="s">
        <v>101</v>
      </c>
      <c r="C44" s="339" t="n">
        <v>3132902</v>
      </c>
      <c r="D44" s="338" t="s">
        <v>216</v>
      </c>
      <c r="E44" s="338" t="s">
        <v>283</v>
      </c>
      <c r="F44" s="338" t="s">
        <v>958</v>
      </c>
      <c r="G44" s="338" t="s">
        <v>31</v>
      </c>
      <c r="H44" s="338" t="s">
        <v>43</v>
      </c>
      <c r="I44" s="338" t="s">
        <v>58</v>
      </c>
      <c r="J44" s="338" t="s">
        <v>59</v>
      </c>
      <c r="Q44" s="339" t="n">
        <v>43</v>
      </c>
      <c r="T44" s="338" t="s">
        <v>217</v>
      </c>
    </row>
    <row r="45" s="338" customFormat="1" ht="26.25" customHeight="1">
      <c r="A45" s="338" t="s">
        <v>54</v>
      </c>
      <c r="B45" s="338" t="s">
        <v>101</v>
      </c>
      <c r="C45" s="339" t="n">
        <v>3132902</v>
      </c>
      <c r="D45" s="338" t="s">
        <v>216</v>
      </c>
      <c r="E45" s="338" t="s">
        <v>283</v>
      </c>
      <c r="F45" s="338" t="s">
        <v>1207</v>
      </c>
      <c r="G45" s="338" t="s">
        <v>31</v>
      </c>
      <c r="H45" s="338" t="s">
        <v>49</v>
      </c>
      <c r="I45" s="338" t="s">
        <v>56</v>
      </c>
      <c r="J45" s="338" t="s">
        <v>59</v>
      </c>
      <c r="Q45" s="339" t="n">
        <v>70</v>
      </c>
      <c r="T45" s="338" t="s">
        <v>217</v>
      </c>
    </row>
    <row r="46" s="338" customFormat="1" ht="26.25" customHeight="1">
      <c r="A46" s="338" t="s">
        <v>54</v>
      </c>
      <c r="B46" s="338" t="s">
        <v>101</v>
      </c>
      <c r="C46" s="339" t="n">
        <v>3132902</v>
      </c>
      <c r="D46" s="338" t="s">
        <v>216</v>
      </c>
      <c r="E46" s="338" t="s">
        <v>283</v>
      </c>
      <c r="F46" s="338" t="s">
        <v>524</v>
      </c>
      <c r="G46" s="338" t="s">
        <v>31</v>
      </c>
      <c r="H46" s="338" t="s">
        <v>49</v>
      </c>
      <c r="I46" s="338" t="s">
        <v>56</v>
      </c>
      <c r="J46" s="338" t="s">
        <v>59</v>
      </c>
      <c r="Q46" s="339" t="n">
        <v>60</v>
      </c>
      <c r="T46" s="338" t="s">
        <v>217</v>
      </c>
    </row>
    <row r="47" s="338" customFormat="1" ht="26.25" customHeight="1">
      <c r="A47" s="338" t="s">
        <v>54</v>
      </c>
      <c r="B47" s="338" t="s">
        <v>101</v>
      </c>
      <c r="C47" s="339" t="n">
        <v>3132902</v>
      </c>
      <c r="D47" s="338" t="s">
        <v>216</v>
      </c>
      <c r="E47" s="338" t="s">
        <v>283</v>
      </c>
      <c r="F47" s="338" t="s">
        <v>1256</v>
      </c>
      <c r="G47" s="338" t="s">
        <v>31</v>
      </c>
      <c r="H47" s="338" t="s">
        <v>49</v>
      </c>
      <c r="I47" s="338" t="s">
        <v>56</v>
      </c>
      <c r="J47" s="338" t="s">
        <v>55</v>
      </c>
      <c r="O47" s="338" t="s">
        <v>1257</v>
      </c>
      <c r="Q47" s="339" t="n">
        <v>40</v>
      </c>
      <c r="T47" s="338" t="s">
        <v>217</v>
      </c>
    </row>
    <row r="48" s="338" customFormat="1" ht="26.25" customHeight="1">
      <c r="A48" s="338" t="s">
        <v>54</v>
      </c>
      <c r="B48" s="338" t="s">
        <v>101</v>
      </c>
      <c r="C48" s="339" t="n">
        <v>3132902</v>
      </c>
      <c r="D48" s="338" t="s">
        <v>216</v>
      </c>
      <c r="E48" s="338" t="s">
        <v>283</v>
      </c>
      <c r="F48" s="338" t="s">
        <v>1186</v>
      </c>
      <c r="G48" s="338" t="s">
        <v>31</v>
      </c>
      <c r="H48" s="338" t="s">
        <v>49</v>
      </c>
      <c r="I48" s="338" t="s">
        <v>56</v>
      </c>
      <c r="J48" s="338" t="s">
        <v>57</v>
      </c>
      <c r="N48" s="338" t="s">
        <v>2491</v>
      </c>
      <c r="O48" s="338" t="s">
        <v>1187</v>
      </c>
      <c r="Q48" s="339" t="n">
        <v>19</v>
      </c>
      <c r="T48" s="338" t="s">
        <v>217</v>
      </c>
    </row>
    <row r="49" s="338" customFormat="1" ht="26.25" customHeight="1">
      <c r="A49" s="338" t="s">
        <v>54</v>
      </c>
      <c r="B49" s="338" t="s">
        <v>101</v>
      </c>
      <c r="C49" s="339" t="n">
        <v>3132902</v>
      </c>
      <c r="D49" s="338" t="s">
        <v>216</v>
      </c>
      <c r="E49" s="338" t="s">
        <v>283</v>
      </c>
      <c r="F49" s="338" t="s">
        <v>1291</v>
      </c>
      <c r="G49" s="338" t="s">
        <v>31</v>
      </c>
      <c r="H49" s="338" t="s">
        <v>49</v>
      </c>
      <c r="I49" s="338" t="s">
        <v>56</v>
      </c>
      <c r="J49" s="338" t="s">
        <v>55</v>
      </c>
      <c r="N49" s="338" t="s">
        <v>2491</v>
      </c>
      <c r="O49" s="338" t="s">
        <v>1269</v>
      </c>
      <c r="P49" s="338" t="n">
        <v>60</v>
      </c>
      <c r="Q49" s="339"/>
      <c r="T49" s="338" t="s">
        <v>217</v>
      </c>
    </row>
    <row r="50" s="338" customFormat="1" ht="26.25" customHeight="1">
      <c r="A50" s="338" t="s">
        <v>54</v>
      </c>
      <c r="B50" s="338" t="s">
        <v>101</v>
      </c>
      <c r="C50" s="339" t="n">
        <v>3132902</v>
      </c>
      <c r="D50" s="338" t="s">
        <v>216</v>
      </c>
      <c r="E50" s="338" t="s">
        <v>283</v>
      </c>
      <c r="F50" s="338" t="s">
        <v>1281</v>
      </c>
      <c r="G50" s="338" t="s">
        <v>31</v>
      </c>
      <c r="H50" s="338" t="s">
        <v>49</v>
      </c>
      <c r="I50" s="338" t="s">
        <v>56</v>
      </c>
      <c r="J50" s="338" t="s">
        <v>34</v>
      </c>
      <c r="Q50" s="339" t="n">
        <v>57</v>
      </c>
      <c r="T50" s="338" t="s">
        <v>217</v>
      </c>
    </row>
    <row r="51" s="338" customFormat="1" ht="26.25" customHeight="1">
      <c r="A51" s="338" t="s">
        <v>54</v>
      </c>
      <c r="B51" s="338" t="s">
        <v>101</v>
      </c>
      <c r="C51" s="339" t="n">
        <v>3132902</v>
      </c>
      <c r="D51" s="338" t="s">
        <v>216</v>
      </c>
      <c r="E51" s="338" t="s">
        <v>283</v>
      </c>
      <c r="F51" s="338" t="s">
        <v>1235</v>
      </c>
      <c r="G51" s="338" t="s">
        <v>31</v>
      </c>
      <c r="H51" s="338" t="s">
        <v>49</v>
      </c>
      <c r="I51" s="338" t="s">
        <v>56</v>
      </c>
      <c r="J51" s="338" t="s">
        <v>36</v>
      </c>
      <c r="Q51" s="339" t="n">
        <v>80</v>
      </c>
      <c r="T51" s="338" t="s">
        <v>217</v>
      </c>
    </row>
    <row r="52" s="338" customFormat="1" ht="26.25" customHeight="1">
      <c r="A52" s="338" t="s">
        <v>54</v>
      </c>
      <c r="B52" s="338" t="s">
        <v>101</v>
      </c>
      <c r="C52" s="339" t="n">
        <v>3132902</v>
      </c>
      <c r="D52" s="338" t="s">
        <v>216</v>
      </c>
      <c r="E52" s="338" t="s">
        <v>283</v>
      </c>
      <c r="F52" s="338" t="s">
        <v>1304</v>
      </c>
      <c r="G52" s="338" t="s">
        <v>31</v>
      </c>
      <c r="H52" s="338" t="s">
        <v>43</v>
      </c>
      <c r="I52" s="338" t="s">
        <v>58</v>
      </c>
      <c r="J52" s="338" t="s">
        <v>59</v>
      </c>
      <c r="O52" s="338" t="s">
        <v>2492</v>
      </c>
      <c r="Q52" s="339" t="n">
        <v>43</v>
      </c>
      <c r="T52" s="338" t="s">
        <v>217</v>
      </c>
    </row>
    <row r="53" s="338" customFormat="1" ht="26.25" customHeight="1">
      <c r="A53" s="338" t="s">
        <v>54</v>
      </c>
      <c r="B53" s="338" t="s">
        <v>101</v>
      </c>
      <c r="C53" s="339" t="n">
        <v>3132902</v>
      </c>
      <c r="D53" s="338" t="s">
        <v>216</v>
      </c>
      <c r="E53" s="338" t="s">
        <v>283</v>
      </c>
      <c r="F53" s="338" t="s">
        <v>1284</v>
      </c>
      <c r="G53" s="338" t="s">
        <v>31</v>
      </c>
      <c r="H53" s="338" t="s">
        <v>49</v>
      </c>
      <c r="I53" s="338" t="s">
        <v>56</v>
      </c>
      <c r="J53" s="338" t="s">
        <v>59</v>
      </c>
      <c r="Q53" s="339" t="n">
        <v>43</v>
      </c>
      <c r="T53" s="338" t="s">
        <v>217</v>
      </c>
    </row>
    <row r="54" s="338" customFormat="1" ht="26.25" customHeight="1">
      <c r="A54" s="338" t="s">
        <v>54</v>
      </c>
      <c r="B54" s="338" t="s">
        <v>101</v>
      </c>
      <c r="C54" s="339" t="n">
        <v>3132902</v>
      </c>
      <c r="D54" s="338" t="s">
        <v>216</v>
      </c>
      <c r="E54" s="338" t="s">
        <v>283</v>
      </c>
      <c r="F54" s="338" t="s">
        <v>1131</v>
      </c>
      <c r="G54" s="338" t="s">
        <v>31</v>
      </c>
      <c r="H54" s="338" t="s">
        <v>47</v>
      </c>
      <c r="I54" s="338" t="s">
        <v>56</v>
      </c>
      <c r="J54" s="338" t="s">
        <v>55</v>
      </c>
      <c r="Q54" s="339" t="n">
        <v>45</v>
      </c>
      <c r="T54" s="338" t="s">
        <v>217</v>
      </c>
    </row>
    <row r="55" s="338" customFormat="1" ht="26.25" customHeight="1">
      <c r="A55" s="338" t="s">
        <v>54</v>
      </c>
      <c r="B55" s="338" t="s">
        <v>101</v>
      </c>
      <c r="C55" s="339" t="n">
        <v>3132902</v>
      </c>
      <c r="D55" s="338" t="s">
        <v>216</v>
      </c>
      <c r="E55" s="338" t="s">
        <v>283</v>
      </c>
      <c r="F55" s="338" t="s">
        <v>1156</v>
      </c>
      <c r="G55" s="338" t="s">
        <v>31</v>
      </c>
      <c r="H55" s="338" t="s">
        <v>49</v>
      </c>
      <c r="I55" s="338" t="s">
        <v>56</v>
      </c>
      <c r="J55" s="338" t="s">
        <v>57</v>
      </c>
      <c r="P55" s="338" t="n">
        <v>64</v>
      </c>
      <c r="Q55" s="339"/>
      <c r="T55" s="338" t="s">
        <v>217</v>
      </c>
    </row>
    <row r="56" s="338" customFormat="1" ht="26.25" customHeight="1">
      <c r="A56" s="338" t="s">
        <v>54</v>
      </c>
      <c r="B56" s="338" t="s">
        <v>101</v>
      </c>
      <c r="C56" s="339" t="n">
        <v>3132902</v>
      </c>
      <c r="D56" s="338" t="s">
        <v>216</v>
      </c>
      <c r="E56" s="338" t="s">
        <v>283</v>
      </c>
      <c r="F56" s="338" t="s">
        <v>1157</v>
      </c>
      <c r="G56" s="338" t="s">
        <v>31</v>
      </c>
      <c r="H56" s="338" t="s">
        <v>49</v>
      </c>
      <c r="I56" s="338" t="s">
        <v>56</v>
      </c>
      <c r="J56" s="338" t="s">
        <v>57</v>
      </c>
      <c r="P56" s="338" t="n">
        <v>60</v>
      </c>
      <c r="Q56" s="339"/>
      <c r="T56" s="338" t="s">
        <v>217</v>
      </c>
    </row>
    <row r="57" s="338" customFormat="1" ht="26.25" customHeight="1">
      <c r="A57" s="338" t="s">
        <v>54</v>
      </c>
      <c r="B57" s="338" t="s">
        <v>101</v>
      </c>
      <c r="C57" s="339" t="n">
        <v>3132902</v>
      </c>
      <c r="D57" s="338" t="s">
        <v>216</v>
      </c>
      <c r="E57" s="338" t="s">
        <v>283</v>
      </c>
      <c r="F57" s="338" t="s">
        <v>1149</v>
      </c>
      <c r="G57" s="338" t="s">
        <v>31</v>
      </c>
      <c r="H57" s="338" t="s">
        <v>49</v>
      </c>
      <c r="I57" s="338" t="s">
        <v>56</v>
      </c>
      <c r="J57" s="338" t="s">
        <v>57</v>
      </c>
      <c r="P57" s="338" t="n">
        <v>62</v>
      </c>
      <c r="Q57" s="339"/>
      <c r="T57" s="338" t="s">
        <v>217</v>
      </c>
    </row>
    <row r="58" s="338" customFormat="1" ht="26.25" customHeight="1">
      <c r="A58" s="338" t="s">
        <v>54</v>
      </c>
      <c r="B58" s="338" t="s">
        <v>101</v>
      </c>
      <c r="C58" s="339" t="n">
        <v>3132902</v>
      </c>
      <c r="D58" s="338" t="s">
        <v>216</v>
      </c>
      <c r="E58" s="338" t="s">
        <v>283</v>
      </c>
      <c r="F58" s="338" t="s">
        <v>1120</v>
      </c>
      <c r="G58" s="338" t="s">
        <v>31</v>
      </c>
      <c r="H58" s="338" t="s">
        <v>47</v>
      </c>
      <c r="I58" s="338" t="s">
        <v>56</v>
      </c>
      <c r="J58" s="338" t="s">
        <v>57</v>
      </c>
      <c r="P58" s="338" t="n">
        <v>72</v>
      </c>
      <c r="Q58" s="339"/>
      <c r="T58" s="338" t="s">
        <v>217</v>
      </c>
    </row>
    <row r="59" s="338" customFormat="1" ht="26.25" customHeight="1">
      <c r="A59" s="338" t="s">
        <v>54</v>
      </c>
      <c r="B59" s="338" t="s">
        <v>101</v>
      </c>
      <c r="C59" s="339" t="n">
        <v>3132902</v>
      </c>
      <c r="D59" s="338" t="s">
        <v>216</v>
      </c>
      <c r="E59" s="338" t="s">
        <v>283</v>
      </c>
      <c r="F59" s="338" t="s">
        <v>1135</v>
      </c>
      <c r="G59" s="338" t="s">
        <v>31</v>
      </c>
      <c r="H59" s="338" t="s">
        <v>49</v>
      </c>
      <c r="I59" s="338" t="s">
        <v>56</v>
      </c>
      <c r="J59" s="338" t="s">
        <v>55</v>
      </c>
      <c r="P59" s="338" t="n">
        <v>64</v>
      </c>
      <c r="Q59" s="339"/>
      <c r="T59" s="338" t="s">
        <v>217</v>
      </c>
    </row>
    <row r="60" s="338" customFormat="1" ht="26.25" customHeight="1">
      <c r="A60" s="338" t="s">
        <v>54</v>
      </c>
      <c r="B60" s="338" t="s">
        <v>101</v>
      </c>
      <c r="C60" s="339" t="n">
        <v>3132902</v>
      </c>
      <c r="D60" s="338" t="s">
        <v>216</v>
      </c>
      <c r="E60" s="338" t="s">
        <v>283</v>
      </c>
      <c r="F60" s="338" t="s">
        <v>1164</v>
      </c>
      <c r="G60" s="338" t="s">
        <v>31</v>
      </c>
      <c r="H60" s="338" t="s">
        <v>49</v>
      </c>
      <c r="I60" s="338" t="s">
        <v>56</v>
      </c>
      <c r="J60" s="338" t="s">
        <v>59</v>
      </c>
      <c r="O60" s="338" t="s">
        <v>2493</v>
      </c>
      <c r="P60" s="338" t="n">
        <v>65</v>
      </c>
      <c r="Q60" s="339"/>
      <c r="T60" s="338" t="s">
        <v>217</v>
      </c>
    </row>
    <row r="61" s="338" customFormat="1" ht="26.25" customHeight="1">
      <c r="A61" s="338" t="s">
        <v>54</v>
      </c>
      <c r="B61" s="338" t="s">
        <v>101</v>
      </c>
      <c r="C61" s="339" t="n">
        <v>3132902</v>
      </c>
      <c r="D61" s="338" t="s">
        <v>216</v>
      </c>
      <c r="E61" s="338" t="s">
        <v>283</v>
      </c>
      <c r="F61" s="338" t="s">
        <v>1212</v>
      </c>
      <c r="G61" s="338" t="s">
        <v>31</v>
      </c>
      <c r="H61" s="338" t="s">
        <v>49</v>
      </c>
      <c r="I61" s="338" t="s">
        <v>56</v>
      </c>
      <c r="J61" s="338" t="s">
        <v>55</v>
      </c>
      <c r="Q61" s="339" t="n">
        <v>60</v>
      </c>
      <c r="T61" s="338" t="s">
        <v>217</v>
      </c>
    </row>
    <row r="62" s="338" customFormat="1" ht="26.25" customHeight="1">
      <c r="A62" s="338" t="s">
        <v>54</v>
      </c>
      <c r="B62" s="338" t="s">
        <v>101</v>
      </c>
      <c r="C62" s="339" t="n">
        <v>3132902</v>
      </c>
      <c r="D62" s="338" t="s">
        <v>216</v>
      </c>
      <c r="E62" s="338" t="s">
        <v>283</v>
      </c>
      <c r="F62" s="338" t="s">
        <v>1275</v>
      </c>
      <c r="G62" s="338" t="s">
        <v>31</v>
      </c>
      <c r="H62" s="338" t="s">
        <v>49</v>
      </c>
      <c r="I62" s="338" t="s">
        <v>56</v>
      </c>
      <c r="J62" s="338" t="s">
        <v>55</v>
      </c>
      <c r="O62" s="338" t="s">
        <v>1276</v>
      </c>
      <c r="Q62" s="339" t="n">
        <v>70</v>
      </c>
      <c r="T62" s="338" t="s">
        <v>217</v>
      </c>
    </row>
    <row r="63" s="338" customFormat="1" ht="26.25" customHeight="1">
      <c r="A63" s="338" t="s">
        <v>54</v>
      </c>
      <c r="B63" s="338" t="s">
        <v>101</v>
      </c>
      <c r="C63" s="339" t="n">
        <v>3132902</v>
      </c>
      <c r="D63" s="338" t="s">
        <v>216</v>
      </c>
      <c r="E63" s="338" t="s">
        <v>283</v>
      </c>
      <c r="F63" s="338" t="s">
        <v>1267</v>
      </c>
      <c r="G63" s="338" t="s">
        <v>31</v>
      </c>
      <c r="H63" s="338" t="s">
        <v>49</v>
      </c>
      <c r="I63" s="338" t="s">
        <v>56</v>
      </c>
      <c r="J63" s="338" t="s">
        <v>57</v>
      </c>
      <c r="P63" s="338" t="n">
        <v>64</v>
      </c>
      <c r="Q63" s="339"/>
      <c r="T63" s="338" t="s">
        <v>218</v>
      </c>
    </row>
    <row r="64" s="338" customFormat="1" ht="26.25" customHeight="1">
      <c r="A64" s="338" t="s">
        <v>54</v>
      </c>
      <c r="B64" s="338" t="s">
        <v>101</v>
      </c>
      <c r="C64" s="339" t="n">
        <v>3132902</v>
      </c>
      <c r="D64" s="338" t="s">
        <v>216</v>
      </c>
      <c r="E64" s="338" t="s">
        <v>283</v>
      </c>
      <c r="F64" s="338" t="s">
        <v>1106</v>
      </c>
      <c r="G64" s="338" t="s">
        <v>31</v>
      </c>
      <c r="H64" s="338" t="s">
        <v>49</v>
      </c>
      <c r="I64" s="338" t="s">
        <v>56</v>
      </c>
      <c r="J64" s="338" t="s">
        <v>59</v>
      </c>
      <c r="P64" s="338" t="n">
        <v>62</v>
      </c>
      <c r="Q64" s="339"/>
      <c r="T64" s="338" t="s">
        <v>217</v>
      </c>
    </row>
    <row r="65" s="338" customFormat="1" ht="26.25" customHeight="1">
      <c r="A65" s="338" t="s">
        <v>54</v>
      </c>
      <c r="B65" s="338" t="s">
        <v>101</v>
      </c>
      <c r="C65" s="339" t="n">
        <v>3132902</v>
      </c>
      <c r="D65" s="338" t="s">
        <v>216</v>
      </c>
      <c r="E65" s="338" t="s">
        <v>283</v>
      </c>
      <c r="F65" s="338" t="s">
        <v>1128</v>
      </c>
      <c r="G65" s="338" t="s">
        <v>31</v>
      </c>
      <c r="H65" s="338" t="s">
        <v>49</v>
      </c>
      <c r="I65" s="338" t="s">
        <v>56</v>
      </c>
      <c r="J65" s="338" t="s">
        <v>55</v>
      </c>
      <c r="P65" s="338" t="n">
        <v>72</v>
      </c>
      <c r="Q65" s="339"/>
      <c r="T65" s="338" t="s">
        <v>217</v>
      </c>
    </row>
    <row r="66" s="338" customFormat="1" ht="26.25" customHeight="1">
      <c r="A66" s="338" t="s">
        <v>54</v>
      </c>
      <c r="B66" s="338" t="s">
        <v>101</v>
      </c>
      <c r="C66" s="339" t="n">
        <v>3132902</v>
      </c>
      <c r="D66" s="338" t="s">
        <v>216</v>
      </c>
      <c r="E66" s="338" t="s">
        <v>283</v>
      </c>
      <c r="F66" s="338" t="s">
        <v>1105</v>
      </c>
      <c r="G66" s="338" t="s">
        <v>31</v>
      </c>
      <c r="H66" s="338" t="s">
        <v>49</v>
      </c>
      <c r="I66" s="338" t="s">
        <v>56</v>
      </c>
      <c r="J66" s="338" t="s">
        <v>59</v>
      </c>
      <c r="P66" s="338" t="n">
        <v>72</v>
      </c>
      <c r="Q66" s="339"/>
      <c r="T66" s="338" t="s">
        <v>217</v>
      </c>
    </row>
    <row r="67" s="338" customFormat="1" ht="26.25" customHeight="1">
      <c r="A67" s="338" t="s">
        <v>54</v>
      </c>
      <c r="B67" s="338" t="s">
        <v>100</v>
      </c>
      <c r="C67" s="339" t="n">
        <v>4513341</v>
      </c>
      <c r="D67" s="338" t="s">
        <v>233</v>
      </c>
      <c r="E67" s="338" t="s">
        <v>234</v>
      </c>
      <c r="F67" s="338" t="s">
        <v>1332</v>
      </c>
      <c r="G67" s="338" t="s">
        <v>31</v>
      </c>
      <c r="H67" s="338" t="s">
        <v>43</v>
      </c>
      <c r="I67" s="338" t="s">
        <v>58</v>
      </c>
      <c r="J67" s="338" t="s">
        <v>59</v>
      </c>
      <c r="K67" s="338" t="s">
        <v>2434</v>
      </c>
      <c r="L67" s="781" t="s">
        <v>2494</v>
      </c>
      <c r="N67" s="338" t="s">
        <v>2495</v>
      </c>
      <c r="O67" s="338" t="s">
        <v>1269</v>
      </c>
      <c r="Q67" s="339" t="n">
        <v>95</v>
      </c>
      <c r="T67" s="338" t="s">
        <v>217</v>
      </c>
    </row>
    <row r="68" s="338" customFormat="1" ht="26.25" customHeight="1">
      <c r="A68" s="338" t="s">
        <v>54</v>
      </c>
      <c r="B68" s="338" t="s">
        <v>100</v>
      </c>
      <c r="C68" s="339" t="n">
        <v>4513341</v>
      </c>
      <c r="D68" s="338" t="s">
        <v>233</v>
      </c>
      <c r="E68" s="338" t="s">
        <v>234</v>
      </c>
      <c r="F68" s="338" t="s">
        <v>1254</v>
      </c>
      <c r="G68" s="338" t="s">
        <v>31</v>
      </c>
      <c r="H68" s="338" t="s">
        <v>43</v>
      </c>
      <c r="I68" s="338" t="s">
        <v>58</v>
      </c>
      <c r="J68" s="338" t="s">
        <v>59</v>
      </c>
      <c r="Q68" s="339" t="n">
        <v>86</v>
      </c>
      <c r="T68" s="338" t="s">
        <v>217</v>
      </c>
    </row>
    <row r="69" s="338" customFormat="1" ht="26.25" customHeight="1">
      <c r="A69" s="338" t="s">
        <v>54</v>
      </c>
      <c r="B69" s="338" t="s">
        <v>100</v>
      </c>
      <c r="C69" s="339" t="n">
        <v>4513341</v>
      </c>
      <c r="D69" s="338" t="s">
        <v>233</v>
      </c>
      <c r="E69" s="338" t="s">
        <v>234</v>
      </c>
      <c r="F69" s="338" t="s">
        <v>1234</v>
      </c>
      <c r="G69" s="338" t="s">
        <v>31</v>
      </c>
      <c r="I69" s="338" t="s">
        <v>58</v>
      </c>
      <c r="J69" s="338" t="s">
        <v>55</v>
      </c>
      <c r="Q69" s="339" t="n">
        <v>65</v>
      </c>
      <c r="T69" s="338" t="s">
        <v>217</v>
      </c>
    </row>
    <row r="70" s="338" customFormat="1" ht="26.25" customHeight="1">
      <c r="A70" s="338" t="s">
        <v>54</v>
      </c>
      <c r="B70" s="338" t="s">
        <v>100</v>
      </c>
      <c r="C70" s="339" t="n">
        <v>4513341</v>
      </c>
      <c r="D70" s="338" t="s">
        <v>233</v>
      </c>
      <c r="E70" s="338" t="s">
        <v>234</v>
      </c>
      <c r="F70" s="338" t="s">
        <v>1222</v>
      </c>
      <c r="G70" s="338" t="s">
        <v>31</v>
      </c>
      <c r="H70" s="338" t="s">
        <v>43</v>
      </c>
      <c r="I70" s="338" t="s">
        <v>58</v>
      </c>
      <c r="J70" s="338" t="s">
        <v>59</v>
      </c>
      <c r="L70" s="338" t="s">
        <v>2496</v>
      </c>
      <c r="Q70" s="339" t="n">
        <v>70</v>
      </c>
      <c r="T70" s="338" t="s">
        <v>217</v>
      </c>
    </row>
    <row r="71" s="338" customFormat="1" ht="26.25" customHeight="1">
      <c r="A71" s="338" t="s">
        <v>54</v>
      </c>
      <c r="B71" s="338" t="s">
        <v>100</v>
      </c>
      <c r="C71" s="339" t="n">
        <v>4513341</v>
      </c>
      <c r="D71" s="338" t="s">
        <v>233</v>
      </c>
      <c r="E71" s="338" t="s">
        <v>234</v>
      </c>
      <c r="F71" s="338" t="s">
        <v>1216</v>
      </c>
      <c r="G71" s="338" t="s">
        <v>31</v>
      </c>
      <c r="H71" s="338" t="s">
        <v>43</v>
      </c>
      <c r="I71" s="338" t="s">
        <v>58</v>
      </c>
      <c r="J71" s="338" t="s">
        <v>1217</v>
      </c>
      <c r="Q71" s="339" t="n">
        <v>85</v>
      </c>
      <c r="T71" s="338" t="s">
        <v>217</v>
      </c>
    </row>
    <row r="72" s="338" customFormat="1" ht="26.25" customHeight="1">
      <c r="A72" s="338" t="s">
        <v>54</v>
      </c>
      <c r="B72" s="338" t="s">
        <v>100</v>
      </c>
      <c r="C72" s="339" t="n">
        <v>4513341</v>
      </c>
      <c r="D72" s="338" t="s">
        <v>233</v>
      </c>
      <c r="E72" s="338" t="s">
        <v>234</v>
      </c>
      <c r="F72" s="338" t="s">
        <v>1201</v>
      </c>
      <c r="G72" s="338" t="s">
        <v>31</v>
      </c>
      <c r="H72" s="338" t="s">
        <v>43</v>
      </c>
      <c r="I72" s="338" t="s">
        <v>58</v>
      </c>
      <c r="J72" s="338" t="s">
        <v>59</v>
      </c>
      <c r="Q72" s="339" t="n">
        <v>65</v>
      </c>
      <c r="T72" s="338" t="s">
        <v>217</v>
      </c>
    </row>
    <row r="73" s="338" customFormat="1" ht="26.25" customHeight="1">
      <c r="A73" s="338" t="s">
        <v>54</v>
      </c>
      <c r="B73" s="338" t="s">
        <v>100</v>
      </c>
      <c r="C73" s="339" t="n">
        <v>4513341</v>
      </c>
      <c r="D73" s="338" t="s">
        <v>233</v>
      </c>
      <c r="E73" s="338" t="s">
        <v>234</v>
      </c>
      <c r="F73" s="338" t="s">
        <v>1174</v>
      </c>
      <c r="G73" s="338" t="s">
        <v>31</v>
      </c>
      <c r="H73" s="338" t="s">
        <v>43</v>
      </c>
      <c r="I73" s="338" t="s">
        <v>58</v>
      </c>
      <c r="J73" s="338" t="s">
        <v>50</v>
      </c>
      <c r="P73" s="338" t="n">
        <v>87</v>
      </c>
      <c r="Q73" s="339"/>
      <c r="T73" s="338" t="s">
        <v>217</v>
      </c>
    </row>
    <row r="74" s="338" customFormat="1" ht="26.25" customHeight="1">
      <c r="A74" s="338" t="s">
        <v>54</v>
      </c>
      <c r="B74" s="338" t="s">
        <v>100</v>
      </c>
      <c r="C74" s="339" t="n">
        <v>4513341</v>
      </c>
      <c r="D74" s="338" t="s">
        <v>233</v>
      </c>
      <c r="E74" s="338" t="s">
        <v>234</v>
      </c>
      <c r="F74" s="338" t="s">
        <v>1255</v>
      </c>
      <c r="G74" s="338" t="s">
        <v>31</v>
      </c>
      <c r="H74" s="338" t="s">
        <v>43</v>
      </c>
      <c r="I74" s="338" t="s">
        <v>58</v>
      </c>
      <c r="J74" s="338" t="s">
        <v>38</v>
      </c>
      <c r="Q74" s="339" t="n">
        <v>85</v>
      </c>
      <c r="T74" s="338" t="s">
        <v>217</v>
      </c>
    </row>
    <row r="75" s="338" customFormat="1" ht="26.25" customHeight="1">
      <c r="A75" s="338" t="s">
        <v>54</v>
      </c>
      <c r="B75" s="338" t="s">
        <v>100</v>
      </c>
      <c r="C75" s="339" t="n">
        <v>4513341</v>
      </c>
      <c r="D75" s="338" t="s">
        <v>233</v>
      </c>
      <c r="E75" s="338" t="s">
        <v>234</v>
      </c>
      <c r="F75" s="338" t="s">
        <v>1208</v>
      </c>
      <c r="G75" s="338" t="s">
        <v>31</v>
      </c>
      <c r="H75" s="338" t="s">
        <v>43</v>
      </c>
      <c r="I75" s="338" t="s">
        <v>58</v>
      </c>
      <c r="J75" s="338" t="s">
        <v>59</v>
      </c>
      <c r="Q75" s="339" t="n">
        <v>92</v>
      </c>
      <c r="T75" s="338" t="s">
        <v>217</v>
      </c>
    </row>
    <row r="76" s="338" customFormat="1" ht="26.25" customHeight="1">
      <c r="A76" s="338" t="s">
        <v>54</v>
      </c>
      <c r="B76" s="338" t="s">
        <v>100</v>
      </c>
      <c r="C76" s="339" t="n">
        <v>4513341</v>
      </c>
      <c r="D76" s="338" t="s">
        <v>233</v>
      </c>
      <c r="E76" s="338" t="s">
        <v>234</v>
      </c>
      <c r="F76" s="338" t="s">
        <v>1047</v>
      </c>
      <c r="G76" s="338" t="s">
        <v>31</v>
      </c>
      <c r="J76" s="338" t="s">
        <v>59</v>
      </c>
      <c r="Q76" s="339" t="n">
        <v>94</v>
      </c>
      <c r="T76" s="338" t="s">
        <v>217</v>
      </c>
    </row>
    <row r="77" s="338" customFormat="1" ht="26.25" customHeight="1">
      <c r="A77" s="338" t="s">
        <v>54</v>
      </c>
      <c r="B77" s="338" t="s">
        <v>100</v>
      </c>
      <c r="C77" s="339" t="n">
        <v>4513341</v>
      </c>
      <c r="D77" s="338" t="s">
        <v>233</v>
      </c>
      <c r="E77" s="338" t="s">
        <v>234</v>
      </c>
      <c r="F77" s="338" t="s">
        <v>1295</v>
      </c>
      <c r="G77" s="338" t="s">
        <v>31</v>
      </c>
      <c r="H77" s="338" t="s">
        <v>43</v>
      </c>
      <c r="I77" s="338" t="s">
        <v>58</v>
      </c>
      <c r="J77" s="338" t="s">
        <v>59</v>
      </c>
      <c r="Q77" s="339" t="n">
        <v>82</v>
      </c>
      <c r="T77" s="338" t="s">
        <v>217</v>
      </c>
    </row>
    <row r="78" s="338" customFormat="1" ht="26.25" customHeight="1">
      <c r="A78" s="338" t="s">
        <v>54</v>
      </c>
      <c r="B78" s="338" t="s">
        <v>100</v>
      </c>
      <c r="C78" s="339" t="n">
        <v>4513341</v>
      </c>
      <c r="D78" s="338" t="s">
        <v>233</v>
      </c>
      <c r="E78" s="338" t="s">
        <v>234</v>
      </c>
      <c r="F78" s="338" t="s">
        <v>2497</v>
      </c>
      <c r="G78" s="338" t="s">
        <v>31</v>
      </c>
      <c r="H78" s="338" t="s">
        <v>43</v>
      </c>
      <c r="I78" s="338" t="s">
        <v>58</v>
      </c>
      <c r="J78" s="338" t="s">
        <v>55</v>
      </c>
      <c r="Q78" s="339" t="n">
        <v>74</v>
      </c>
      <c r="T78" s="338" t="s">
        <v>217</v>
      </c>
    </row>
    <row r="79" s="338" customFormat="1" ht="26.25" customHeight="1">
      <c r="A79" s="338" t="s">
        <v>54</v>
      </c>
      <c r="B79" s="338" t="s">
        <v>100</v>
      </c>
      <c r="C79" s="339" t="n">
        <v>4513341</v>
      </c>
      <c r="D79" s="338" t="s">
        <v>233</v>
      </c>
      <c r="E79" s="338" t="s">
        <v>234</v>
      </c>
      <c r="F79" s="338" t="s">
        <v>1261</v>
      </c>
      <c r="G79" s="338" t="s">
        <v>31</v>
      </c>
      <c r="Q79" s="339" t="n">
        <v>60</v>
      </c>
      <c r="T79" s="338" t="s">
        <v>217</v>
      </c>
    </row>
    <row r="80" s="338" customFormat="1" ht="26.25" customHeight="1">
      <c r="A80" s="338" t="s">
        <v>54</v>
      </c>
      <c r="B80" s="338" t="s">
        <v>100</v>
      </c>
      <c r="C80" s="339" t="n">
        <v>4513341</v>
      </c>
      <c r="D80" s="338" t="s">
        <v>233</v>
      </c>
      <c r="E80" s="338" t="s">
        <v>234</v>
      </c>
      <c r="F80" s="338" t="s">
        <v>1258</v>
      </c>
      <c r="G80" s="338" t="s">
        <v>31</v>
      </c>
      <c r="H80" s="338" t="s">
        <v>43</v>
      </c>
      <c r="I80" s="338" t="s">
        <v>58</v>
      </c>
      <c r="J80" s="338" t="s">
        <v>57</v>
      </c>
      <c r="O80" s="338" t="s">
        <v>2498</v>
      </c>
      <c r="Q80" s="339" t="n">
        <v>86</v>
      </c>
      <c r="T80" s="338" t="s">
        <v>217</v>
      </c>
    </row>
    <row r="81" s="338" customFormat="1" ht="26.25" customHeight="1">
      <c r="A81" s="338" t="s">
        <v>54</v>
      </c>
      <c r="B81" s="338" t="s">
        <v>100</v>
      </c>
      <c r="C81" s="339" t="n">
        <v>4513341</v>
      </c>
      <c r="D81" s="338" t="s">
        <v>233</v>
      </c>
      <c r="E81" s="338" t="s">
        <v>234</v>
      </c>
      <c r="F81" s="338" t="s">
        <v>1045</v>
      </c>
      <c r="G81" s="338" t="s">
        <v>31</v>
      </c>
      <c r="J81" s="338" t="s">
        <v>57</v>
      </c>
      <c r="Q81" s="339"/>
    </row>
    <row r="82" s="338" customFormat="1" ht="26.25" customHeight="1">
      <c r="A82" s="338" t="s">
        <v>54</v>
      </c>
      <c r="B82" s="338" t="s">
        <v>100</v>
      </c>
      <c r="C82" s="339" t="n">
        <v>4513341</v>
      </c>
      <c r="D82" s="338" t="s">
        <v>233</v>
      </c>
      <c r="E82" s="338" t="s">
        <v>234</v>
      </c>
      <c r="F82" s="338" t="s">
        <v>1043</v>
      </c>
      <c r="G82" s="338" t="s">
        <v>31</v>
      </c>
      <c r="J82" s="338" t="s">
        <v>59</v>
      </c>
      <c r="Q82" s="339"/>
    </row>
    <row r="83" s="338" customFormat="1" ht="26.25" customHeight="1">
      <c r="A83" s="338" t="s">
        <v>54</v>
      </c>
      <c r="B83" s="338" t="s">
        <v>100</v>
      </c>
      <c r="C83" s="339" t="n">
        <v>4513341</v>
      </c>
      <c r="D83" s="338" t="s">
        <v>233</v>
      </c>
      <c r="E83" s="338" t="s">
        <v>234</v>
      </c>
      <c r="F83" s="338" t="s">
        <v>1046</v>
      </c>
      <c r="G83" s="338" t="s">
        <v>31</v>
      </c>
      <c r="J83" s="338" t="s">
        <v>59</v>
      </c>
      <c r="Q83" s="339"/>
    </row>
    <row r="84" s="338" customFormat="1" ht="26.25" customHeight="1">
      <c r="A84" s="338" t="s">
        <v>45</v>
      </c>
      <c r="B84" s="338" t="s">
        <v>100</v>
      </c>
      <c r="C84" s="339" t="n">
        <v>4513341</v>
      </c>
      <c r="D84" s="338" t="s">
        <v>233</v>
      </c>
      <c r="E84" s="338" t="s">
        <v>234</v>
      </c>
      <c r="F84" s="338" t="s">
        <v>719</v>
      </c>
      <c r="G84" s="338" t="s">
        <v>31</v>
      </c>
      <c r="H84" s="338" t="s">
        <v>43</v>
      </c>
      <c r="I84" s="338" t="s">
        <v>58</v>
      </c>
      <c r="J84" s="338" t="s">
        <v>46</v>
      </c>
      <c r="Q84" s="339" t="n">
        <v>80</v>
      </c>
      <c r="T84" s="338" t="s">
        <v>217</v>
      </c>
    </row>
    <row r="85" s="338" customFormat="1" ht="26.25" customHeight="1">
      <c r="A85" s="338" t="s">
        <v>54</v>
      </c>
      <c r="B85" s="338" t="s">
        <v>100</v>
      </c>
      <c r="C85" s="339" t="n">
        <v>4513341</v>
      </c>
      <c r="D85" s="338" t="s">
        <v>233</v>
      </c>
      <c r="E85" s="338" t="s">
        <v>234</v>
      </c>
      <c r="F85" s="338" t="s">
        <v>474</v>
      </c>
      <c r="G85" s="338" t="s">
        <v>31</v>
      </c>
      <c r="H85" s="338" t="s">
        <v>47</v>
      </c>
      <c r="I85" s="338" t="s">
        <v>58</v>
      </c>
      <c r="J85" s="338" t="s">
        <v>38</v>
      </c>
      <c r="P85" s="338" t="n">
        <v>72</v>
      </c>
      <c r="Q85" s="339"/>
      <c r="T85" s="338" t="s">
        <v>217</v>
      </c>
    </row>
    <row r="86" s="338" customFormat="1" ht="26.25" customHeight="1">
      <c r="A86" s="338" t="s">
        <v>54</v>
      </c>
      <c r="B86" s="338" t="s">
        <v>100</v>
      </c>
      <c r="C86" s="339" t="n">
        <v>4513341</v>
      </c>
      <c r="D86" s="338" t="s">
        <v>233</v>
      </c>
      <c r="E86" s="338" t="s">
        <v>234</v>
      </c>
      <c r="F86" s="338" t="s">
        <v>1195</v>
      </c>
      <c r="G86" s="338" t="s">
        <v>31</v>
      </c>
      <c r="H86" s="338" t="s">
        <v>43</v>
      </c>
      <c r="I86" s="338" t="s">
        <v>58</v>
      </c>
      <c r="J86" s="338" t="s">
        <v>38</v>
      </c>
      <c r="K86" s="338" t="s">
        <v>2434</v>
      </c>
      <c r="L86" s="338" t="s">
        <v>2499</v>
      </c>
      <c r="Q86" s="339" t="n">
        <v>64</v>
      </c>
      <c r="T86" s="338" t="s">
        <v>217</v>
      </c>
    </row>
    <row r="87" s="338" customFormat="1" ht="26.25" customHeight="1">
      <c r="A87" s="338" t="s">
        <v>54</v>
      </c>
      <c r="B87" s="338" t="s">
        <v>100</v>
      </c>
      <c r="C87" s="339" t="n">
        <v>4513341</v>
      </c>
      <c r="D87" s="338" t="s">
        <v>233</v>
      </c>
      <c r="E87" s="338" t="s">
        <v>234</v>
      </c>
      <c r="F87" s="338" t="s">
        <v>1113</v>
      </c>
      <c r="G87" s="338" t="s">
        <v>31</v>
      </c>
      <c r="H87" s="338" t="s">
        <v>43</v>
      </c>
      <c r="I87" s="338" t="s">
        <v>58</v>
      </c>
      <c r="J87" s="338" t="s">
        <v>59</v>
      </c>
      <c r="P87" s="338" t="n">
        <v>89</v>
      </c>
      <c r="Q87" s="339"/>
      <c r="T87" s="338" t="s">
        <v>217</v>
      </c>
    </row>
    <row r="88" s="338" customFormat="1" ht="26.25" customHeight="1">
      <c r="A88" s="338" t="s">
        <v>54</v>
      </c>
      <c r="B88" s="338" t="s">
        <v>100</v>
      </c>
      <c r="C88" s="339" t="n">
        <v>4513341</v>
      </c>
      <c r="D88" s="338" t="s">
        <v>233</v>
      </c>
      <c r="E88" s="338" t="s">
        <v>234</v>
      </c>
      <c r="F88" s="338" t="s">
        <v>628</v>
      </c>
      <c r="G88" s="338" t="s">
        <v>31</v>
      </c>
      <c r="H88" s="338" t="s">
        <v>47</v>
      </c>
      <c r="I88" s="338" t="s">
        <v>56</v>
      </c>
      <c r="J88" s="338" t="s">
        <v>57</v>
      </c>
      <c r="Q88" s="339" t="n">
        <v>60</v>
      </c>
      <c r="T88" s="338" t="s">
        <v>217</v>
      </c>
    </row>
    <row r="89" s="338" customFormat="1" ht="26.25" customHeight="1">
      <c r="A89" s="338" t="s">
        <v>54</v>
      </c>
      <c r="B89" s="338" t="s">
        <v>100</v>
      </c>
      <c r="C89" s="339" t="n">
        <v>4513341</v>
      </c>
      <c r="D89" s="338" t="s">
        <v>233</v>
      </c>
      <c r="E89" s="338" t="s">
        <v>234</v>
      </c>
      <c r="F89" s="338" t="s">
        <v>563</v>
      </c>
      <c r="G89" s="338" t="s">
        <v>31</v>
      </c>
      <c r="H89" s="338" t="s">
        <v>47</v>
      </c>
      <c r="I89" s="338" t="s">
        <v>58</v>
      </c>
      <c r="J89" s="338" t="s">
        <v>38</v>
      </c>
      <c r="P89" s="338" t="n">
        <v>75</v>
      </c>
      <c r="Q89" s="339"/>
      <c r="T89" s="338" t="s">
        <v>217</v>
      </c>
    </row>
    <row r="90" s="338" customFormat="1" ht="26.25" customHeight="1">
      <c r="A90" s="338" t="s">
        <v>54</v>
      </c>
      <c r="B90" s="338" t="s">
        <v>100</v>
      </c>
      <c r="C90" s="339" t="n">
        <v>4513341</v>
      </c>
      <c r="D90" s="338" t="s">
        <v>233</v>
      </c>
      <c r="E90" s="338" t="s">
        <v>234</v>
      </c>
      <c r="F90" s="338" t="s">
        <v>1334</v>
      </c>
      <c r="G90" s="338" t="s">
        <v>31</v>
      </c>
      <c r="H90" s="338" t="s">
        <v>43</v>
      </c>
      <c r="I90" s="338" t="s">
        <v>58</v>
      </c>
      <c r="J90" s="338" t="s">
        <v>57</v>
      </c>
      <c r="Q90" s="339" t="n">
        <v>70</v>
      </c>
      <c r="T90" s="338" t="s">
        <v>217</v>
      </c>
    </row>
    <row r="91" s="338" customFormat="1" ht="26.25" customHeight="1">
      <c r="A91" s="338" t="s">
        <v>45</v>
      </c>
      <c r="B91" s="338" t="s">
        <v>65</v>
      </c>
      <c r="C91" s="339" t="n">
        <v>5230719</v>
      </c>
      <c r="D91" s="338" t="s">
        <v>216</v>
      </c>
      <c r="E91" s="338" t="s">
        <v>234</v>
      </c>
      <c r="F91" s="338" t="s">
        <v>361</v>
      </c>
      <c r="G91" s="338" t="s">
        <v>31</v>
      </c>
      <c r="H91" s="338" t="s">
        <v>43</v>
      </c>
      <c r="I91" s="338" t="s">
        <v>58</v>
      </c>
      <c r="J91" s="338" t="s">
        <v>46</v>
      </c>
      <c r="P91" s="338" t="n">
        <v>88</v>
      </c>
      <c r="Q91" s="339"/>
      <c r="T91" s="338" t="s">
        <v>217</v>
      </c>
    </row>
    <row r="92" s="338" customFormat="1" ht="26.25" customHeight="1">
      <c r="A92" s="338" t="s">
        <v>45</v>
      </c>
      <c r="B92" s="338" t="s">
        <v>65</v>
      </c>
      <c r="C92" s="339" t="n">
        <v>5230719</v>
      </c>
      <c r="D92" s="338" t="s">
        <v>216</v>
      </c>
      <c r="E92" s="338" t="s">
        <v>234</v>
      </c>
      <c r="F92" s="338" t="s">
        <v>348</v>
      </c>
      <c r="G92" s="338" t="s">
        <v>31</v>
      </c>
      <c r="H92" s="338" t="s">
        <v>43</v>
      </c>
      <c r="I92" s="338" t="s">
        <v>58</v>
      </c>
      <c r="J92" s="338" t="s">
        <v>349</v>
      </c>
      <c r="Q92" s="339"/>
      <c r="T92" s="338" t="s">
        <v>217</v>
      </c>
    </row>
    <row r="93" s="338" customFormat="1" ht="26.25" customHeight="1">
      <c r="A93" s="338" t="s">
        <v>45</v>
      </c>
      <c r="B93" s="338" t="s">
        <v>65</v>
      </c>
      <c r="C93" s="339" t="n">
        <v>5230719</v>
      </c>
      <c r="D93" s="338" t="s">
        <v>216</v>
      </c>
      <c r="E93" s="338" t="s">
        <v>234</v>
      </c>
      <c r="F93" s="467" t="s">
        <v>900</v>
      </c>
      <c r="G93" s="338" t="s">
        <v>31</v>
      </c>
      <c r="H93" s="338" t="s">
        <v>43</v>
      </c>
      <c r="I93" s="338" t="s">
        <v>58</v>
      </c>
      <c r="J93" s="338" t="s">
        <v>46</v>
      </c>
      <c r="Q93" s="339" t="n">
        <v>85</v>
      </c>
      <c r="T93" s="338" t="s">
        <v>217</v>
      </c>
    </row>
    <row r="94" s="338" customFormat="1" ht="26.25" customHeight="1">
      <c r="A94" s="338" t="s">
        <v>45</v>
      </c>
      <c r="B94" s="338" t="s">
        <v>65</v>
      </c>
      <c r="C94" s="339" t="n">
        <v>5230719</v>
      </c>
      <c r="D94" s="338" t="s">
        <v>216</v>
      </c>
      <c r="E94" s="338" t="s">
        <v>234</v>
      </c>
      <c r="F94" s="338" t="s">
        <v>875</v>
      </c>
      <c r="G94" s="338" t="s">
        <v>31</v>
      </c>
      <c r="H94" s="338" t="s">
        <v>43</v>
      </c>
      <c r="I94" s="338" t="s">
        <v>52</v>
      </c>
      <c r="J94" s="338" t="s">
        <v>50</v>
      </c>
      <c r="K94" s="338" t="s">
        <v>2488</v>
      </c>
      <c r="P94" s="338" t="s">
        <v>2375</v>
      </c>
      <c r="Q94" s="339" t="n">
        <v>95</v>
      </c>
      <c r="T94" s="338" t="s">
        <v>217</v>
      </c>
      <c r="U94" s="338" t="s">
        <v>217</v>
      </c>
      <c r="V94" s="338" t="s">
        <v>217</v>
      </c>
      <c r="W94" s="338" t="s">
        <v>217</v>
      </c>
      <c r="X94" s="338" t="s">
        <v>217</v>
      </c>
      <c r="Y94" s="338" t="s">
        <v>218</v>
      </c>
    </row>
    <row r="95" s="338" customFormat="1" ht="26.25" customHeight="1">
      <c r="A95" s="338" t="s">
        <v>45</v>
      </c>
      <c r="B95" s="338" t="s">
        <v>65</v>
      </c>
      <c r="C95" s="339" t="n">
        <v>5230719</v>
      </c>
      <c r="D95" s="338" t="s">
        <v>216</v>
      </c>
      <c r="E95" s="338" t="s">
        <v>234</v>
      </c>
      <c r="F95" s="338" t="s">
        <v>895</v>
      </c>
      <c r="G95" s="338" t="s">
        <v>31</v>
      </c>
      <c r="H95" s="338" t="s">
        <v>47</v>
      </c>
      <c r="I95" s="338" t="s">
        <v>58</v>
      </c>
      <c r="J95" s="338" t="s">
        <v>48</v>
      </c>
      <c r="P95" s="338" t="n">
        <v>72</v>
      </c>
      <c r="Q95" s="339"/>
      <c r="T95" s="338" t="s">
        <v>217</v>
      </c>
    </row>
    <row r="96" s="338" customFormat="1" ht="26.25" customHeight="1">
      <c r="A96" s="338" t="s">
        <v>45</v>
      </c>
      <c r="B96" s="338" t="s">
        <v>65</v>
      </c>
      <c r="C96" s="339" t="n">
        <v>5230719</v>
      </c>
      <c r="D96" s="338" t="s">
        <v>216</v>
      </c>
      <c r="E96" s="338" t="s">
        <v>234</v>
      </c>
      <c r="F96" s="467" t="s">
        <v>663</v>
      </c>
      <c r="G96" s="338" t="s">
        <v>31</v>
      </c>
      <c r="H96" s="338" t="s">
        <v>43</v>
      </c>
      <c r="I96" s="338" t="s">
        <v>58</v>
      </c>
      <c r="J96" s="338" t="s">
        <v>48</v>
      </c>
      <c r="Q96" s="339" t="n">
        <v>70</v>
      </c>
      <c r="T96" s="338" t="s">
        <v>217</v>
      </c>
    </row>
    <row r="97" s="338" customFormat="1" ht="26.25" customHeight="1">
      <c r="A97" s="338" t="s">
        <v>45</v>
      </c>
      <c r="B97" s="338" t="s">
        <v>65</v>
      </c>
      <c r="C97" s="339" t="n">
        <v>5230719</v>
      </c>
      <c r="D97" s="338" t="s">
        <v>216</v>
      </c>
      <c r="E97" s="338" t="s">
        <v>234</v>
      </c>
      <c r="F97" s="338" t="s">
        <v>620</v>
      </c>
      <c r="G97" s="338" t="s">
        <v>31</v>
      </c>
      <c r="H97" s="338" t="s">
        <v>47</v>
      </c>
      <c r="I97" s="338" t="s">
        <v>58</v>
      </c>
      <c r="J97" s="338" t="s">
        <v>46</v>
      </c>
      <c r="Q97" s="339" t="n">
        <v>87</v>
      </c>
      <c r="T97" s="338" t="s">
        <v>217</v>
      </c>
    </row>
    <row r="98" s="338" customFormat="1" ht="26.25" customHeight="1">
      <c r="A98" s="338" t="s">
        <v>45</v>
      </c>
      <c r="B98" s="338" t="s">
        <v>65</v>
      </c>
      <c r="C98" s="339" t="n">
        <v>5230719</v>
      </c>
      <c r="D98" s="338" t="s">
        <v>216</v>
      </c>
      <c r="E98" s="338" t="s">
        <v>234</v>
      </c>
      <c r="F98" s="338" t="s">
        <v>674</v>
      </c>
      <c r="G98" s="338" t="s">
        <v>31</v>
      </c>
      <c r="H98" s="338" t="s">
        <v>43</v>
      </c>
      <c r="I98" s="338" t="s">
        <v>58</v>
      </c>
      <c r="J98" s="338" t="s">
        <v>46</v>
      </c>
      <c r="O98" s="338" t="s">
        <v>1219</v>
      </c>
      <c r="P98" s="338" t="n">
        <v>72</v>
      </c>
      <c r="Q98" s="339"/>
      <c r="T98" s="338" t="s">
        <v>217</v>
      </c>
    </row>
    <row r="99" s="338" customFormat="1" ht="26.25" customHeight="1">
      <c r="A99" s="338" t="s">
        <v>45</v>
      </c>
      <c r="B99" s="338" t="s">
        <v>65</v>
      </c>
      <c r="C99" s="339" t="n">
        <v>5230719</v>
      </c>
      <c r="D99" s="338" t="s">
        <v>216</v>
      </c>
      <c r="E99" s="338" t="s">
        <v>234</v>
      </c>
      <c r="F99" s="338" t="s">
        <v>591</v>
      </c>
      <c r="G99" s="338" t="s">
        <v>31</v>
      </c>
      <c r="H99" s="338" t="s">
        <v>43</v>
      </c>
      <c r="I99" s="338" t="s">
        <v>58</v>
      </c>
      <c r="J99" s="338" t="s">
        <v>46</v>
      </c>
      <c r="Q99" s="339" t="n">
        <v>90</v>
      </c>
      <c r="T99" s="338" t="s">
        <v>217</v>
      </c>
    </row>
    <row r="100" s="338" customFormat="1" ht="26.25" customHeight="1">
      <c r="A100" s="338" t="s">
        <v>45</v>
      </c>
      <c r="B100" s="338" t="s">
        <v>65</v>
      </c>
      <c r="C100" s="339" t="n">
        <v>5230719</v>
      </c>
      <c r="D100" s="338" t="s">
        <v>216</v>
      </c>
      <c r="E100" s="338" t="s">
        <v>234</v>
      </c>
      <c r="F100" s="462" t="s">
        <v>354</v>
      </c>
      <c r="G100" s="338" t="s">
        <v>31</v>
      </c>
      <c r="H100" s="338" t="s">
        <v>43</v>
      </c>
      <c r="I100" s="338" t="s">
        <v>58</v>
      </c>
      <c r="J100" s="338" t="s">
        <v>46</v>
      </c>
      <c r="Q100" s="339"/>
    </row>
    <row r="101" s="338" customFormat="1" ht="26.25" customHeight="1">
      <c r="A101" s="338" t="s">
        <v>45</v>
      </c>
      <c r="B101" s="338" t="s">
        <v>65</v>
      </c>
      <c r="C101" s="339" t="n">
        <v>5230719</v>
      </c>
      <c r="D101" s="338" t="s">
        <v>216</v>
      </c>
      <c r="E101" s="338" t="s">
        <v>234</v>
      </c>
      <c r="F101" s="467" t="s">
        <v>862</v>
      </c>
      <c r="G101" s="338" t="s">
        <v>31</v>
      </c>
      <c r="H101" s="338" t="s">
        <v>43</v>
      </c>
      <c r="I101" s="338" t="s">
        <v>52</v>
      </c>
      <c r="J101" s="338" t="s">
        <v>48</v>
      </c>
      <c r="Q101" s="339" t="n">
        <v>65</v>
      </c>
      <c r="T101" s="338" t="s">
        <v>217</v>
      </c>
    </row>
    <row r="102" s="338" customFormat="1" ht="26.25" customHeight="1">
      <c r="A102" s="338" t="s">
        <v>45</v>
      </c>
      <c r="B102" s="338" t="s">
        <v>65</v>
      </c>
      <c r="C102" s="339" t="n">
        <v>5230719</v>
      </c>
      <c r="D102" s="338" t="s">
        <v>216</v>
      </c>
      <c r="E102" s="338" t="s">
        <v>234</v>
      </c>
      <c r="F102" s="338" t="s">
        <v>363</v>
      </c>
      <c r="G102" s="338" t="s">
        <v>31</v>
      </c>
      <c r="H102" s="338" t="s">
        <v>43</v>
      </c>
      <c r="I102" s="338" t="s">
        <v>58</v>
      </c>
      <c r="J102" s="338" t="s">
        <v>349</v>
      </c>
      <c r="P102" s="338" t="n">
        <v>72</v>
      </c>
      <c r="Q102" s="339"/>
      <c r="T102" s="338" t="s">
        <v>217</v>
      </c>
    </row>
    <row r="103" s="338" customFormat="1" ht="26.25" customHeight="1">
      <c r="A103" s="338" t="s">
        <v>45</v>
      </c>
      <c r="B103" s="338" t="s">
        <v>65</v>
      </c>
      <c r="C103" s="339" t="n">
        <v>5230719</v>
      </c>
      <c r="D103" s="338" t="s">
        <v>216</v>
      </c>
      <c r="E103" s="338" t="s">
        <v>234</v>
      </c>
      <c r="F103" s="338" t="s">
        <v>741</v>
      </c>
      <c r="G103" s="338" t="s">
        <v>31</v>
      </c>
      <c r="H103" s="338" t="s">
        <v>43</v>
      </c>
      <c r="I103" s="338" t="s">
        <v>58</v>
      </c>
      <c r="J103" s="338" t="s">
        <v>48</v>
      </c>
      <c r="Q103" s="339" t="n">
        <v>100</v>
      </c>
      <c r="T103" s="338" t="s">
        <v>217</v>
      </c>
    </row>
    <row r="104" s="338" customFormat="1" ht="26.25" customHeight="1">
      <c r="A104" s="338" t="s">
        <v>45</v>
      </c>
      <c r="B104" s="338" t="s">
        <v>65</v>
      </c>
      <c r="C104" s="339" t="n">
        <v>5230719</v>
      </c>
      <c r="D104" s="338" t="s">
        <v>216</v>
      </c>
      <c r="E104" s="338" t="s">
        <v>234</v>
      </c>
      <c r="F104" s="338" t="s">
        <v>848</v>
      </c>
      <c r="G104" s="338" t="s">
        <v>31</v>
      </c>
      <c r="H104" s="338" t="s">
        <v>43</v>
      </c>
      <c r="I104" s="338" t="s">
        <v>58</v>
      </c>
      <c r="J104" s="338" t="s">
        <v>46</v>
      </c>
      <c r="Q104" s="339" t="n">
        <v>80</v>
      </c>
      <c r="T104" s="338" t="s">
        <v>217</v>
      </c>
    </row>
    <row r="105" s="338" customFormat="1" ht="26.25" customHeight="1">
      <c r="A105" s="338" t="s">
        <v>45</v>
      </c>
      <c r="B105" s="338" t="s">
        <v>65</v>
      </c>
      <c r="C105" s="339" t="n">
        <v>5230719</v>
      </c>
      <c r="D105" s="338" t="s">
        <v>216</v>
      </c>
      <c r="E105" s="338" t="s">
        <v>234</v>
      </c>
      <c r="F105" s="338" t="s">
        <v>821</v>
      </c>
      <c r="G105" s="338" t="s">
        <v>31</v>
      </c>
      <c r="H105" s="338" t="s">
        <v>49</v>
      </c>
      <c r="I105" s="338" t="s">
        <v>58</v>
      </c>
      <c r="J105" s="338" t="s">
        <v>50</v>
      </c>
      <c r="K105" s="338" t="s">
        <v>362</v>
      </c>
      <c r="L105" s="338" t="s">
        <v>2500</v>
      </c>
      <c r="M105" s="338" t="s">
        <v>2501</v>
      </c>
      <c r="Q105" s="339"/>
      <c r="T105" s="338" t="s">
        <v>217</v>
      </c>
      <c r="V105" s="338" t="s">
        <v>218</v>
      </c>
      <c r="X105" s="338" t="s">
        <v>217</v>
      </c>
      <c r="Y105" s="338" t="s">
        <v>217</v>
      </c>
    </row>
    <row r="106" s="338" customFormat="1" ht="26.25" customHeight="1">
      <c r="A106" s="338" t="s">
        <v>45</v>
      </c>
      <c r="B106" s="338" t="s">
        <v>65</v>
      </c>
      <c r="C106" s="339" t="n">
        <v>5230719</v>
      </c>
      <c r="D106" s="338" t="s">
        <v>216</v>
      </c>
      <c r="E106" s="338" t="s">
        <v>234</v>
      </c>
      <c r="F106" s="338" t="s">
        <v>854</v>
      </c>
      <c r="G106" s="338" t="s">
        <v>31</v>
      </c>
      <c r="H106" s="338" t="s">
        <v>43</v>
      </c>
      <c r="I106" s="338" t="s">
        <v>58</v>
      </c>
      <c r="J106" s="338" t="s">
        <v>46</v>
      </c>
      <c r="O106" s="338" t="s">
        <v>2502</v>
      </c>
      <c r="Q106" s="339" t="n">
        <v>75</v>
      </c>
      <c r="T106" s="338" t="s">
        <v>217</v>
      </c>
      <c r="U106" s="338" t="s">
        <v>217</v>
      </c>
      <c r="V106" s="338" t="s">
        <v>218</v>
      </c>
      <c r="X106" s="338" t="s">
        <v>217</v>
      </c>
      <c r="Y106" s="338" t="s">
        <v>217</v>
      </c>
    </row>
    <row r="107" s="338" customFormat="1" ht="26.25" customHeight="1">
      <c r="A107" s="338" t="s">
        <v>45</v>
      </c>
      <c r="B107" s="338" t="s">
        <v>65</v>
      </c>
      <c r="C107" s="339" t="n">
        <v>5230719</v>
      </c>
      <c r="D107" s="338" t="s">
        <v>216</v>
      </c>
      <c r="E107" s="338" t="s">
        <v>234</v>
      </c>
      <c r="F107" s="338" t="s">
        <v>411</v>
      </c>
      <c r="G107" s="338" t="s">
        <v>31</v>
      </c>
      <c r="H107" s="338" t="s">
        <v>47</v>
      </c>
      <c r="I107" s="338" t="s">
        <v>58</v>
      </c>
      <c r="J107" s="338" t="s">
        <v>50</v>
      </c>
      <c r="Q107" s="339" t="n">
        <v>85</v>
      </c>
      <c r="T107" s="338" t="s">
        <v>217</v>
      </c>
    </row>
    <row r="108" s="338" customFormat="1" ht="26.25" customHeight="1">
      <c r="A108" s="338" t="s">
        <v>85</v>
      </c>
      <c r="B108" s="338" t="s">
        <v>65</v>
      </c>
      <c r="C108" s="339" t="n">
        <v>5230775</v>
      </c>
      <c r="D108" s="338" t="s">
        <v>215</v>
      </c>
      <c r="E108" s="338" t="s">
        <v>283</v>
      </c>
      <c r="F108" s="338" t="s">
        <v>557</v>
      </c>
      <c r="G108" s="338" t="s">
        <v>31</v>
      </c>
      <c r="H108" s="338" t="s">
        <v>47</v>
      </c>
      <c r="I108" s="338" t="s">
        <v>52</v>
      </c>
      <c r="J108" s="338" t="s">
        <v>34</v>
      </c>
      <c r="Q108" s="339" t="n">
        <v>100</v>
      </c>
      <c r="T108" s="338" t="s">
        <v>217</v>
      </c>
    </row>
    <row r="109" s="338" customFormat="1" ht="26.25" customHeight="1">
      <c r="A109" s="338" t="s">
        <v>85</v>
      </c>
      <c r="B109" s="338" t="s">
        <v>65</v>
      </c>
      <c r="C109" s="339" t="n">
        <v>5230775</v>
      </c>
      <c r="D109" s="338" t="s">
        <v>215</v>
      </c>
      <c r="E109" s="338" t="s">
        <v>283</v>
      </c>
      <c r="F109" s="467" t="s">
        <v>682</v>
      </c>
      <c r="G109" s="338" t="s">
        <v>31</v>
      </c>
      <c r="Q109" s="339" t="n">
        <v>80</v>
      </c>
      <c r="T109" s="338" t="s">
        <v>217</v>
      </c>
    </row>
    <row r="110" s="338" customFormat="1" ht="26.25" customHeight="1">
      <c r="A110" s="338" t="s">
        <v>85</v>
      </c>
      <c r="B110" s="338" t="s">
        <v>65</v>
      </c>
      <c r="C110" s="339" t="n">
        <v>5230775</v>
      </c>
      <c r="D110" s="338" t="s">
        <v>215</v>
      </c>
      <c r="E110" s="338" t="s">
        <v>283</v>
      </c>
      <c r="F110" s="338" t="s">
        <v>909</v>
      </c>
      <c r="G110" s="338" t="s">
        <v>31</v>
      </c>
      <c r="H110" s="338" t="s">
        <v>47</v>
      </c>
      <c r="I110" s="338" t="s">
        <v>52</v>
      </c>
      <c r="J110" s="338" t="s">
        <v>38</v>
      </c>
      <c r="P110" s="338" t="n">
        <v>87</v>
      </c>
      <c r="Q110" s="339"/>
      <c r="T110" s="338" t="s">
        <v>217</v>
      </c>
    </row>
    <row r="111" s="338" customFormat="1" ht="26.25" customHeight="1">
      <c r="A111" s="338" t="s">
        <v>85</v>
      </c>
      <c r="B111" s="338" t="s">
        <v>65</v>
      </c>
      <c r="C111" s="339" t="n">
        <v>5230775</v>
      </c>
      <c r="D111" s="338" t="s">
        <v>215</v>
      </c>
      <c r="E111" s="338" t="s">
        <v>283</v>
      </c>
      <c r="F111" s="338" t="s">
        <v>650</v>
      </c>
      <c r="G111" s="338" t="s">
        <v>31</v>
      </c>
      <c r="H111" s="338" t="s">
        <v>47</v>
      </c>
      <c r="I111" s="338" t="s">
        <v>52</v>
      </c>
      <c r="J111" s="338" t="s">
        <v>38</v>
      </c>
      <c r="Q111" s="339" t="n">
        <v>70</v>
      </c>
      <c r="T111" s="338" t="s">
        <v>217</v>
      </c>
    </row>
    <row r="112" s="338" customFormat="1" ht="26.25" customHeight="1">
      <c r="A112" s="338" t="s">
        <v>85</v>
      </c>
      <c r="B112" s="338" t="s">
        <v>65</v>
      </c>
      <c r="C112" s="339" t="n">
        <v>5230775</v>
      </c>
      <c r="D112" s="338" t="s">
        <v>215</v>
      </c>
      <c r="E112" s="338" t="s">
        <v>283</v>
      </c>
      <c r="F112" s="338" t="s">
        <v>451</v>
      </c>
      <c r="G112" s="338" t="s">
        <v>31</v>
      </c>
      <c r="H112" s="338" t="s">
        <v>47</v>
      </c>
      <c r="I112" s="338" t="s">
        <v>52</v>
      </c>
      <c r="J112" s="338" t="s">
        <v>34</v>
      </c>
      <c r="P112" s="338" t="n">
        <v>72</v>
      </c>
      <c r="Q112" s="339"/>
      <c r="T112" s="338" t="s">
        <v>217</v>
      </c>
    </row>
    <row r="113" s="338" customFormat="1" ht="26.25" customHeight="1">
      <c r="A113" s="338" t="s">
        <v>85</v>
      </c>
      <c r="B113" s="338" t="s">
        <v>65</v>
      </c>
      <c r="C113" s="339" t="n">
        <v>5230775</v>
      </c>
      <c r="D113" s="338" t="s">
        <v>215</v>
      </c>
      <c r="E113" s="338" t="s">
        <v>283</v>
      </c>
      <c r="F113" s="467" t="s">
        <v>820</v>
      </c>
      <c r="G113" s="338" t="s">
        <v>31</v>
      </c>
      <c r="Q113" s="339" t="n">
        <v>65</v>
      </c>
      <c r="T113" s="338" t="s">
        <v>217</v>
      </c>
    </row>
    <row r="114" s="338" customFormat="1" ht="26.25" customHeight="1">
      <c r="A114" s="338" t="s">
        <v>85</v>
      </c>
      <c r="B114" s="338" t="s">
        <v>65</v>
      </c>
      <c r="C114" s="339" t="n">
        <v>5230775</v>
      </c>
      <c r="D114" s="338" t="s">
        <v>215</v>
      </c>
      <c r="E114" s="338" t="s">
        <v>283</v>
      </c>
      <c r="F114" s="467" t="s">
        <v>814</v>
      </c>
      <c r="G114" s="338" t="s">
        <v>31</v>
      </c>
      <c r="I114" s="338" t="s">
        <v>52</v>
      </c>
      <c r="J114" s="338" t="s">
        <v>34</v>
      </c>
      <c r="Q114" s="339" t="n">
        <v>60</v>
      </c>
      <c r="T114" s="338" t="s">
        <v>217</v>
      </c>
    </row>
    <row r="115" s="338" customFormat="1" ht="26.25" customHeight="1">
      <c r="A115" s="338" t="s">
        <v>85</v>
      </c>
      <c r="B115" s="338" t="s">
        <v>65</v>
      </c>
      <c r="C115" s="339" t="n">
        <v>5230775</v>
      </c>
      <c r="D115" s="338" t="s">
        <v>215</v>
      </c>
      <c r="E115" s="338" t="s">
        <v>283</v>
      </c>
      <c r="F115" s="467" t="s">
        <v>927</v>
      </c>
      <c r="G115" s="338" t="s">
        <v>31</v>
      </c>
      <c r="J115" s="338" t="s">
        <v>36</v>
      </c>
      <c r="Q115" s="339" t="n">
        <v>90</v>
      </c>
      <c r="T115" s="338" t="s">
        <v>217</v>
      </c>
    </row>
    <row r="116" s="338" customFormat="1" ht="26.25" customHeight="1" outlineLevel="1">
      <c r="A116" s="338" t="s">
        <v>85</v>
      </c>
      <c r="B116" s="338" t="s">
        <v>65</v>
      </c>
      <c r="C116" s="339" t="n">
        <v>5230775</v>
      </c>
      <c r="D116" s="338" t="s">
        <v>215</v>
      </c>
      <c r="E116" s="338" t="s">
        <v>283</v>
      </c>
      <c r="F116" s="467" t="s">
        <v>833</v>
      </c>
      <c r="G116" s="338" t="s">
        <v>31</v>
      </c>
      <c r="I116" s="338" t="s">
        <v>52</v>
      </c>
      <c r="J116" s="338" t="s">
        <v>36</v>
      </c>
      <c r="Q116" s="339" t="n">
        <v>60</v>
      </c>
      <c r="T116" s="338" t="s">
        <v>217</v>
      </c>
    </row>
    <row r="117" s="338" customFormat="1" ht="26.25" customHeight="1">
      <c r="A117" s="338" t="s">
        <v>85</v>
      </c>
      <c r="B117" s="338" t="s">
        <v>65</v>
      </c>
      <c r="C117" s="339" t="n">
        <v>5230775</v>
      </c>
      <c r="D117" s="338" t="s">
        <v>215</v>
      </c>
      <c r="E117" s="338" t="s">
        <v>283</v>
      </c>
      <c r="F117" s="467" t="s">
        <v>893</v>
      </c>
      <c r="G117" s="338" t="s">
        <v>31</v>
      </c>
      <c r="Q117" s="339" t="n">
        <v>50</v>
      </c>
      <c r="T117" s="338" t="s">
        <v>217</v>
      </c>
    </row>
    <row r="118" s="338" customFormat="1" ht="26.25" customHeight="1">
      <c r="A118" s="338" t="s">
        <v>45</v>
      </c>
      <c r="B118" s="338" t="s">
        <v>88</v>
      </c>
      <c r="C118" s="339" t="n">
        <v>5230814</v>
      </c>
      <c r="D118" s="338" t="s">
        <v>246</v>
      </c>
      <c r="E118" s="338" t="s">
        <v>234</v>
      </c>
      <c r="F118" s="338" t="s">
        <v>1143</v>
      </c>
      <c r="G118" s="338" t="s">
        <v>31</v>
      </c>
      <c r="H118" s="338" t="s">
        <v>49</v>
      </c>
      <c r="I118" s="338" t="s">
        <v>52</v>
      </c>
      <c r="J118" s="338" t="s">
        <v>48</v>
      </c>
      <c r="L118" s="338" t="s">
        <v>2503</v>
      </c>
      <c r="M118" s="338" t="s">
        <v>2504</v>
      </c>
      <c r="N118" s="338" t="s">
        <v>2410</v>
      </c>
      <c r="O118" s="338" t="s">
        <v>2505</v>
      </c>
      <c r="P118" s="338" t="n">
        <v>75</v>
      </c>
      <c r="Q118" s="339"/>
      <c r="T118" s="338" t="s">
        <v>217</v>
      </c>
      <c r="U118" s="338" t="s">
        <v>217</v>
      </c>
      <c r="V118" s="338" t="s">
        <v>217</v>
      </c>
      <c r="W118" s="338" t="s">
        <v>217</v>
      </c>
      <c r="X118" s="338" t="s">
        <v>218</v>
      </c>
      <c r="Y118" s="338" t="s">
        <v>217</v>
      </c>
    </row>
    <row r="119" s="338" customFormat="1" ht="26.25" customHeight="1">
      <c r="A119" s="338" t="s">
        <v>45</v>
      </c>
      <c r="B119" s="338" t="s">
        <v>88</v>
      </c>
      <c r="C119" s="339" t="n">
        <v>5230814</v>
      </c>
      <c r="D119" s="338" t="s">
        <v>246</v>
      </c>
      <c r="E119" s="338" t="s">
        <v>234</v>
      </c>
      <c r="F119" s="338" t="s">
        <v>1306</v>
      </c>
      <c r="G119" s="338" t="s">
        <v>31</v>
      </c>
      <c r="H119" s="338" t="s">
        <v>43</v>
      </c>
      <c r="I119" s="338" t="s">
        <v>52</v>
      </c>
      <c r="J119" s="338" t="s">
        <v>48</v>
      </c>
      <c r="L119" s="338" t="s">
        <v>2488</v>
      </c>
      <c r="M119" s="782" t="s">
        <v>2506</v>
      </c>
      <c r="N119" s="338" t="s">
        <v>2410</v>
      </c>
      <c r="O119" s="338" t="s">
        <v>2374</v>
      </c>
      <c r="P119" s="338" t="s">
        <v>2507</v>
      </c>
      <c r="Q119" s="339" t="n">
        <v>80</v>
      </c>
      <c r="T119" s="338" t="s">
        <v>217</v>
      </c>
      <c r="U119" s="338" t="s">
        <v>217</v>
      </c>
      <c r="V119" s="338" t="s">
        <v>217</v>
      </c>
      <c r="W119" s="338" t="s">
        <v>217</v>
      </c>
      <c r="X119" s="338" t="s">
        <v>217</v>
      </c>
      <c r="Y119" s="338" t="s">
        <v>217</v>
      </c>
    </row>
    <row r="120" s="338" customFormat="1" ht="26.25" customHeight="1">
      <c r="A120" s="338" t="s">
        <v>45</v>
      </c>
      <c r="B120" s="338" t="s">
        <v>88</v>
      </c>
      <c r="C120" s="339" t="n">
        <v>5230814</v>
      </c>
      <c r="D120" s="338" t="s">
        <v>246</v>
      </c>
      <c r="E120" s="338" t="s">
        <v>234</v>
      </c>
      <c r="F120" s="338" t="s">
        <v>1171</v>
      </c>
      <c r="G120" s="338" t="s">
        <v>31</v>
      </c>
      <c r="H120" s="338" t="s">
        <v>43</v>
      </c>
      <c r="I120" s="338" t="s">
        <v>52</v>
      </c>
      <c r="J120" s="338" t="s">
        <v>38</v>
      </c>
      <c r="K120" s="338" t="s">
        <v>2508</v>
      </c>
      <c r="L120" s="338" t="s">
        <v>2509</v>
      </c>
      <c r="M120" s="783" t="s">
        <v>2510</v>
      </c>
      <c r="N120" s="784" t="s">
        <v>2511</v>
      </c>
      <c r="O120" s="785" t="s">
        <v>2512</v>
      </c>
      <c r="Q120" s="339" t="n">
        <v>118</v>
      </c>
      <c r="T120" s="338" t="s">
        <v>217</v>
      </c>
      <c r="U120" s="338" t="s">
        <v>217</v>
      </c>
      <c r="V120" s="338" t="s">
        <v>217</v>
      </c>
      <c r="W120" s="338" t="s">
        <v>217</v>
      </c>
      <c r="X120" s="338" t="s">
        <v>217</v>
      </c>
      <c r="Y120" s="338" t="s">
        <v>217</v>
      </c>
    </row>
    <row r="121" s="338" customFormat="1" ht="26.25" customHeight="1">
      <c r="A121" s="338" t="s">
        <v>45</v>
      </c>
      <c r="B121" s="338" t="s">
        <v>88</v>
      </c>
      <c r="C121" s="339" t="n">
        <v>5230814</v>
      </c>
      <c r="D121" s="338" t="s">
        <v>246</v>
      </c>
      <c r="E121" s="338" t="s">
        <v>234</v>
      </c>
      <c r="F121" s="338" t="s">
        <v>1313</v>
      </c>
      <c r="G121" s="338" t="s">
        <v>31</v>
      </c>
      <c r="H121" s="338" t="s">
        <v>43</v>
      </c>
      <c r="I121" s="338" t="s">
        <v>52</v>
      </c>
      <c r="J121" s="338" t="s">
        <v>48</v>
      </c>
      <c r="K121" s="338" t="s">
        <v>2468</v>
      </c>
      <c r="L121" s="338" t="s">
        <v>464</v>
      </c>
      <c r="M121" s="786" t="s">
        <v>2513</v>
      </c>
      <c r="N121" s="787" t="s">
        <v>2514</v>
      </c>
      <c r="O121" s="338" t="s">
        <v>2374</v>
      </c>
      <c r="P121" s="338" t="s">
        <v>2375</v>
      </c>
      <c r="Q121" s="339" t="n">
        <v>91</v>
      </c>
      <c r="T121" s="338" t="s">
        <v>217</v>
      </c>
      <c r="U121" s="338" t="s">
        <v>217</v>
      </c>
      <c r="V121" s="338" t="s">
        <v>217</v>
      </c>
      <c r="W121" s="338" t="s">
        <v>217</v>
      </c>
      <c r="X121" s="338" t="s">
        <v>217</v>
      </c>
      <c r="Y121" s="338" t="s">
        <v>217</v>
      </c>
    </row>
    <row r="122" s="338" customFormat="1" ht="26.25" customHeight="1">
      <c r="A122" s="338" t="s">
        <v>45</v>
      </c>
      <c r="B122" s="338" t="s">
        <v>88</v>
      </c>
      <c r="C122" s="339" t="n">
        <v>5230814</v>
      </c>
      <c r="D122" s="338" t="s">
        <v>246</v>
      </c>
      <c r="E122" s="338" t="s">
        <v>234</v>
      </c>
      <c r="F122" s="338" t="s">
        <v>1175</v>
      </c>
      <c r="G122" s="338" t="s">
        <v>31</v>
      </c>
      <c r="H122" s="338" t="s">
        <v>47</v>
      </c>
      <c r="I122" s="338" t="s">
        <v>52</v>
      </c>
      <c r="J122" s="338" t="s">
        <v>48</v>
      </c>
      <c r="L122" s="788" t="s">
        <v>2515</v>
      </c>
      <c r="M122" s="789" t="s">
        <v>2516</v>
      </c>
      <c r="N122" s="790" t="s">
        <v>2514</v>
      </c>
      <c r="O122" s="338" t="s">
        <v>2517</v>
      </c>
      <c r="P122" s="338" t="s">
        <v>2375</v>
      </c>
      <c r="Q122" s="339"/>
      <c r="T122" s="338" t="s">
        <v>217</v>
      </c>
      <c r="U122" s="338" t="s">
        <v>217</v>
      </c>
      <c r="V122" s="338" t="s">
        <v>217</v>
      </c>
      <c r="W122" s="338" t="s">
        <v>217</v>
      </c>
      <c r="X122" s="338" t="s">
        <v>218</v>
      </c>
      <c r="Y122" s="338" t="s">
        <v>217</v>
      </c>
    </row>
    <row r="123" s="338" customFormat="1" ht="26.25" customHeight="1">
      <c r="A123" s="338" t="s">
        <v>45</v>
      </c>
      <c r="B123" s="338" t="s">
        <v>88</v>
      </c>
      <c r="C123" s="339" t="n">
        <v>5230814</v>
      </c>
      <c r="D123" s="338" t="s">
        <v>246</v>
      </c>
      <c r="E123" s="338" t="s">
        <v>234</v>
      </c>
      <c r="F123" s="338" t="s">
        <v>1225</v>
      </c>
      <c r="G123" s="338" t="s">
        <v>31</v>
      </c>
      <c r="H123" s="338" t="s">
        <v>43</v>
      </c>
      <c r="I123" s="338" t="s">
        <v>52</v>
      </c>
      <c r="J123" s="338" t="s">
        <v>38</v>
      </c>
      <c r="K123" s="338" t="s">
        <v>2432</v>
      </c>
      <c r="L123" s="338" t="s">
        <v>2518</v>
      </c>
      <c r="M123" s="791" t="s">
        <v>2519</v>
      </c>
      <c r="N123" s="338" t="s">
        <v>2520</v>
      </c>
      <c r="O123" s="792" t="s">
        <v>2521</v>
      </c>
      <c r="P123" s="338" t="s">
        <v>2375</v>
      </c>
      <c r="Q123" s="339" t="n">
        <v>100</v>
      </c>
      <c r="T123" s="338" t="s">
        <v>217</v>
      </c>
      <c r="U123" s="338" t="s">
        <v>217</v>
      </c>
      <c r="V123" s="338" t="s">
        <v>217</v>
      </c>
      <c r="W123" s="338" t="s">
        <v>217</v>
      </c>
      <c r="X123" s="338" t="s">
        <v>217</v>
      </c>
      <c r="Y123" s="338" t="s">
        <v>217</v>
      </c>
    </row>
    <row r="124" s="338" customFormat="1" ht="26.25" customHeight="1">
      <c r="A124" s="338" t="s">
        <v>45</v>
      </c>
      <c r="B124" s="338" t="s">
        <v>88</v>
      </c>
      <c r="C124" s="339" t="n">
        <v>5230814</v>
      </c>
      <c r="D124" s="338" t="s">
        <v>246</v>
      </c>
      <c r="E124" s="338" t="s">
        <v>234</v>
      </c>
      <c r="F124" s="338" t="s">
        <v>1014</v>
      </c>
      <c r="G124" s="338" t="s">
        <v>31</v>
      </c>
      <c r="H124" s="338" t="s">
        <v>43</v>
      </c>
      <c r="I124" s="338" t="s">
        <v>52</v>
      </c>
      <c r="J124" s="338" t="s">
        <v>46</v>
      </c>
      <c r="K124" s="338" t="s">
        <v>2468</v>
      </c>
      <c r="L124" s="338" t="s">
        <v>849</v>
      </c>
      <c r="M124" s="793" t="s">
        <v>2522</v>
      </c>
      <c r="N124" s="338" t="s">
        <v>2523</v>
      </c>
      <c r="O124" s="794" t="s">
        <v>2524</v>
      </c>
      <c r="P124" s="338" t="s">
        <v>2507</v>
      </c>
      <c r="Q124" s="339" t="n">
        <v>100</v>
      </c>
      <c r="T124" s="338" t="s">
        <v>217</v>
      </c>
      <c r="U124" s="338" t="s">
        <v>217</v>
      </c>
      <c r="V124" s="338" t="s">
        <v>217</v>
      </c>
      <c r="W124" s="338" t="s">
        <v>217</v>
      </c>
      <c r="X124" s="338" t="s">
        <v>217</v>
      </c>
      <c r="Y124" s="338" t="s">
        <v>217</v>
      </c>
    </row>
    <row r="125" s="338" customFormat="1" ht="26.25" customHeight="1">
      <c r="A125" s="338" t="s">
        <v>45</v>
      </c>
      <c r="B125" s="338" t="s">
        <v>88</v>
      </c>
      <c r="C125" s="339" t="n">
        <v>5230814</v>
      </c>
      <c r="D125" s="338" t="s">
        <v>246</v>
      </c>
      <c r="E125" s="338" t="s">
        <v>234</v>
      </c>
      <c r="F125" s="338" t="s">
        <v>1260</v>
      </c>
      <c r="G125" s="338" t="s">
        <v>31</v>
      </c>
      <c r="H125" s="338" t="s">
        <v>43</v>
      </c>
      <c r="I125" s="338" t="s">
        <v>52</v>
      </c>
      <c r="J125" s="338" t="s">
        <v>46</v>
      </c>
      <c r="K125" s="338" t="s">
        <v>2444</v>
      </c>
      <c r="L125" s="338" t="s">
        <v>2525</v>
      </c>
      <c r="M125" s="795" t="s">
        <v>2526</v>
      </c>
      <c r="N125" s="796" t="s">
        <v>2373</v>
      </c>
      <c r="O125" s="338" t="s">
        <v>2527</v>
      </c>
      <c r="P125" s="338" t="s">
        <v>2507</v>
      </c>
      <c r="Q125" s="339" t="n">
        <v>90</v>
      </c>
      <c r="T125" s="338" t="s">
        <v>217</v>
      </c>
      <c r="U125" s="338" t="s">
        <v>217</v>
      </c>
      <c r="V125" s="338" t="s">
        <v>217</v>
      </c>
      <c r="W125" s="338" t="s">
        <v>217</v>
      </c>
      <c r="X125" s="338" t="s">
        <v>217</v>
      </c>
      <c r="Y125" s="338" t="s">
        <v>217</v>
      </c>
    </row>
    <row r="126" s="338" customFormat="1" ht="26.25" customHeight="1">
      <c r="A126" s="338" t="s">
        <v>45</v>
      </c>
      <c r="B126" s="338" t="s">
        <v>88</v>
      </c>
      <c r="C126" s="339" t="n">
        <v>5230814</v>
      </c>
      <c r="D126" s="338" t="s">
        <v>246</v>
      </c>
      <c r="E126" s="338" t="s">
        <v>234</v>
      </c>
      <c r="F126" s="338" t="s">
        <v>1292</v>
      </c>
      <c r="G126" s="338" t="s">
        <v>31</v>
      </c>
      <c r="H126" s="338" t="s">
        <v>43</v>
      </c>
      <c r="I126" s="338" t="s">
        <v>52</v>
      </c>
      <c r="J126" s="338" t="s">
        <v>48</v>
      </c>
      <c r="K126" s="338" t="s">
        <v>2528</v>
      </c>
      <c r="L126" s="797" t="s">
        <v>2529</v>
      </c>
      <c r="M126" s="798" t="s">
        <v>2530</v>
      </c>
      <c r="N126" s="338" t="s">
        <v>2523</v>
      </c>
      <c r="O126" s="799" t="s">
        <v>2531</v>
      </c>
      <c r="P126" s="338" t="s">
        <v>2375</v>
      </c>
      <c r="Q126" s="339" t="n">
        <v>95</v>
      </c>
      <c r="T126" s="338" t="s">
        <v>217</v>
      </c>
      <c r="U126" s="338" t="s">
        <v>217</v>
      </c>
      <c r="V126" s="338" t="s">
        <v>217</v>
      </c>
      <c r="W126" s="338" t="s">
        <v>217</v>
      </c>
      <c r="X126" s="338" t="s">
        <v>217</v>
      </c>
      <c r="Y126" s="338" t="s">
        <v>217</v>
      </c>
    </row>
    <row r="127" s="338" customFormat="1" ht="26.25" customHeight="1">
      <c r="A127" s="338" t="s">
        <v>45</v>
      </c>
      <c r="B127" s="338" t="s">
        <v>88</v>
      </c>
      <c r="C127" s="339" t="n">
        <v>5230814</v>
      </c>
      <c r="D127" s="338" t="s">
        <v>246</v>
      </c>
      <c r="E127" s="338" t="s">
        <v>234</v>
      </c>
      <c r="F127" s="338" t="s">
        <v>1303</v>
      </c>
      <c r="G127" s="338" t="s">
        <v>31</v>
      </c>
      <c r="H127" s="338" t="s">
        <v>43</v>
      </c>
      <c r="I127" s="338" t="s">
        <v>52</v>
      </c>
      <c r="J127" s="338" t="s">
        <v>46</v>
      </c>
      <c r="K127" s="338" t="s">
        <v>2468</v>
      </c>
      <c r="L127" s="338" t="s">
        <v>2532</v>
      </c>
      <c r="M127" s="800" t="s">
        <v>2533</v>
      </c>
      <c r="N127" s="338" t="s">
        <v>2534</v>
      </c>
      <c r="O127" s="801" t="s">
        <v>2535</v>
      </c>
      <c r="P127" s="338" t="s">
        <v>2457</v>
      </c>
      <c r="Q127" s="339" t="n">
        <v>93</v>
      </c>
      <c r="T127" s="338" t="s">
        <v>217</v>
      </c>
      <c r="U127" s="338" t="s">
        <v>217</v>
      </c>
      <c r="V127" s="338" t="s">
        <v>217</v>
      </c>
      <c r="W127" s="338" t="s">
        <v>217</v>
      </c>
      <c r="X127" s="338" t="s">
        <v>217</v>
      </c>
      <c r="Y127" s="338" t="s">
        <v>217</v>
      </c>
    </row>
    <row r="128" s="338" customFormat="1" ht="26.25" customHeight="1">
      <c r="A128" s="338" t="s">
        <v>45</v>
      </c>
      <c r="B128" s="338" t="s">
        <v>88</v>
      </c>
      <c r="C128" s="339" t="n">
        <v>5230814</v>
      </c>
      <c r="D128" s="338" t="s">
        <v>246</v>
      </c>
      <c r="E128" s="338" t="s">
        <v>234</v>
      </c>
      <c r="F128" s="338" t="s">
        <v>1204</v>
      </c>
      <c r="G128" s="338" t="s">
        <v>31</v>
      </c>
      <c r="H128" s="338" t="s">
        <v>43</v>
      </c>
      <c r="J128" s="338" t="s">
        <v>48</v>
      </c>
      <c r="K128" s="338" t="s">
        <v>2536</v>
      </c>
      <c r="L128" s="338" t="s">
        <v>2384</v>
      </c>
      <c r="M128" s="802" t="s">
        <v>2537</v>
      </c>
      <c r="N128" s="803" t="s">
        <v>2373</v>
      </c>
      <c r="O128" s="804" t="s">
        <v>2538</v>
      </c>
      <c r="P128" s="338" t="s">
        <v>2375</v>
      </c>
      <c r="Q128" s="339" t="n">
        <v>90</v>
      </c>
      <c r="T128" s="338" t="s">
        <v>217</v>
      </c>
      <c r="U128" s="338" t="s">
        <v>217</v>
      </c>
      <c r="V128" s="338" t="s">
        <v>217</v>
      </c>
      <c r="W128" s="338" t="s">
        <v>217</v>
      </c>
      <c r="X128" s="338" t="s">
        <v>217</v>
      </c>
      <c r="Y128" s="338" t="s">
        <v>217</v>
      </c>
    </row>
    <row r="129" s="338" customFormat="1" ht="26.25" customHeight="1">
      <c r="A129" s="338" t="s">
        <v>45</v>
      </c>
      <c r="B129" s="338" t="s">
        <v>88</v>
      </c>
      <c r="C129" s="339" t="n">
        <v>5230814</v>
      </c>
      <c r="D129" s="338" t="s">
        <v>246</v>
      </c>
      <c r="E129" s="338" t="s">
        <v>234</v>
      </c>
      <c r="F129" s="338" t="s">
        <v>1159</v>
      </c>
      <c r="G129" s="338" t="s">
        <v>31</v>
      </c>
      <c r="H129" s="338" t="s">
        <v>43</v>
      </c>
      <c r="I129" s="338" t="s">
        <v>52</v>
      </c>
      <c r="J129" s="338" t="s">
        <v>50</v>
      </c>
      <c r="K129" s="338" t="s">
        <v>407</v>
      </c>
      <c r="L129" s="338" t="s">
        <v>2384</v>
      </c>
      <c r="M129" s="805" t="s">
        <v>2539</v>
      </c>
      <c r="N129" s="338" t="s">
        <v>2523</v>
      </c>
      <c r="O129" s="806" t="s">
        <v>2540</v>
      </c>
      <c r="P129" s="338" t="s">
        <v>2507</v>
      </c>
      <c r="Q129" s="339" t="n">
        <v>95</v>
      </c>
      <c r="T129" s="338" t="s">
        <v>217</v>
      </c>
      <c r="U129" s="338" t="s">
        <v>217</v>
      </c>
      <c r="V129" s="338" t="s">
        <v>217</v>
      </c>
      <c r="W129" s="338" t="s">
        <v>217</v>
      </c>
      <c r="X129" s="338" t="s">
        <v>217</v>
      </c>
      <c r="Y129" s="338" t="s">
        <v>217</v>
      </c>
    </row>
    <row r="130" s="338" customFormat="1" ht="26.25" customHeight="1">
      <c r="A130" s="338" t="s">
        <v>45</v>
      </c>
      <c r="B130" s="338" t="s">
        <v>88</v>
      </c>
      <c r="C130" s="339" t="n">
        <v>5230814</v>
      </c>
      <c r="D130" s="338" t="s">
        <v>246</v>
      </c>
      <c r="E130" s="338" t="s">
        <v>234</v>
      </c>
      <c r="F130" s="338" t="s">
        <v>1231</v>
      </c>
      <c r="G130" s="338" t="s">
        <v>31</v>
      </c>
      <c r="I130" s="338" t="s">
        <v>52</v>
      </c>
      <c r="J130" s="338" t="s">
        <v>46</v>
      </c>
      <c r="K130" s="338" t="s">
        <v>2432</v>
      </c>
      <c r="L130" s="338" t="s">
        <v>2384</v>
      </c>
      <c r="M130" s="807" t="s">
        <v>2541</v>
      </c>
      <c r="N130" s="808" t="s">
        <v>2373</v>
      </c>
      <c r="O130" s="338" t="s">
        <v>2374</v>
      </c>
      <c r="P130" s="338" t="s">
        <v>2375</v>
      </c>
      <c r="Q130" s="339" t="n">
        <v>90</v>
      </c>
      <c r="T130" s="338" t="s">
        <v>217</v>
      </c>
      <c r="U130" s="338" t="s">
        <v>217</v>
      </c>
      <c r="V130" s="338" t="s">
        <v>217</v>
      </c>
      <c r="W130" s="338" t="s">
        <v>217</v>
      </c>
      <c r="X130" s="338" t="s">
        <v>217</v>
      </c>
      <c r="Y130" s="338" t="s">
        <v>218</v>
      </c>
    </row>
    <row r="131" s="338" customFormat="1" ht="26.25" customHeight="1">
      <c r="A131" s="338" t="s">
        <v>45</v>
      </c>
      <c r="B131" s="338" t="s">
        <v>88</v>
      </c>
      <c r="C131" s="339" t="n">
        <v>5230814</v>
      </c>
      <c r="D131" s="338" t="s">
        <v>246</v>
      </c>
      <c r="E131" s="338" t="s">
        <v>234</v>
      </c>
      <c r="F131" s="338" t="s">
        <v>1327</v>
      </c>
      <c r="G131" s="338" t="s">
        <v>31</v>
      </c>
      <c r="H131" s="338" t="s">
        <v>43</v>
      </c>
      <c r="I131" s="338" t="s">
        <v>52</v>
      </c>
      <c r="J131" s="338" t="s">
        <v>46</v>
      </c>
      <c r="K131" s="338" t="s">
        <v>2542</v>
      </c>
      <c r="L131" s="338" t="s">
        <v>2543</v>
      </c>
      <c r="M131" s="809" t="s">
        <v>2544</v>
      </c>
      <c r="N131" s="810" t="s">
        <v>2373</v>
      </c>
      <c r="O131" s="338" t="s">
        <v>2374</v>
      </c>
      <c r="P131" s="338" t="s">
        <v>2375</v>
      </c>
      <c r="Q131" s="339" t="n">
        <v>82</v>
      </c>
      <c r="T131" s="338" t="s">
        <v>217</v>
      </c>
      <c r="U131" s="338" t="s">
        <v>217</v>
      </c>
      <c r="V131" s="338" t="s">
        <v>217</v>
      </c>
      <c r="W131" s="338" t="s">
        <v>217</v>
      </c>
      <c r="X131" s="338" t="s">
        <v>217</v>
      </c>
      <c r="Y131" s="338" t="s">
        <v>217</v>
      </c>
    </row>
    <row r="132" s="338" customFormat="1" ht="26.25" customHeight="1">
      <c r="A132" s="338" t="s">
        <v>45</v>
      </c>
      <c r="B132" s="338" t="s">
        <v>88</v>
      </c>
      <c r="C132" s="339" t="n">
        <v>5230814</v>
      </c>
      <c r="D132" s="338" t="s">
        <v>246</v>
      </c>
      <c r="E132" s="338" t="s">
        <v>234</v>
      </c>
      <c r="F132" s="338" t="s">
        <v>1309</v>
      </c>
      <c r="G132" s="338" t="s">
        <v>31</v>
      </c>
      <c r="H132" s="338" t="s">
        <v>43</v>
      </c>
      <c r="I132" s="338" t="s">
        <v>52</v>
      </c>
      <c r="J132" s="338" t="s">
        <v>48</v>
      </c>
      <c r="K132" s="338" t="s">
        <v>2545</v>
      </c>
      <c r="L132" s="338" t="s">
        <v>2500</v>
      </c>
      <c r="M132" s="811" t="s">
        <v>2546</v>
      </c>
      <c r="N132" s="812" t="s">
        <v>2547</v>
      </c>
      <c r="O132" s="338" t="s">
        <v>2374</v>
      </c>
      <c r="P132" s="338" t="s">
        <v>2375</v>
      </c>
      <c r="Q132" s="339" t="n">
        <v>109</v>
      </c>
      <c r="T132" s="338" t="s">
        <v>217</v>
      </c>
      <c r="U132" s="338" t="s">
        <v>217</v>
      </c>
      <c r="V132" s="338" t="s">
        <v>217</v>
      </c>
      <c r="W132" s="338" t="s">
        <v>217</v>
      </c>
      <c r="X132" s="338" t="s">
        <v>217</v>
      </c>
      <c r="Y132" s="338" t="s">
        <v>218</v>
      </c>
    </row>
    <row r="133" s="338" customFormat="1" ht="26.25" customHeight="1">
      <c r="A133" s="338" t="s">
        <v>45</v>
      </c>
      <c r="B133" s="338" t="s">
        <v>88</v>
      </c>
      <c r="C133" s="339" t="n">
        <v>5230814</v>
      </c>
      <c r="D133" s="338" t="s">
        <v>246</v>
      </c>
      <c r="E133" s="338" t="s">
        <v>234</v>
      </c>
      <c r="F133" s="338" t="s">
        <v>1051</v>
      </c>
      <c r="G133" s="338" t="s">
        <v>31</v>
      </c>
      <c r="H133" s="338" t="s">
        <v>47</v>
      </c>
      <c r="I133" s="338" t="s">
        <v>52</v>
      </c>
      <c r="J133" s="338" t="s">
        <v>40</v>
      </c>
      <c r="K133" s="338" t="s">
        <v>2468</v>
      </c>
      <c r="L133" s="813" t="s">
        <v>2548</v>
      </c>
      <c r="M133" s="814" t="s">
        <v>2549</v>
      </c>
      <c r="N133" s="338" t="s">
        <v>2534</v>
      </c>
      <c r="O133" s="338" t="s">
        <v>2374</v>
      </c>
      <c r="P133" s="338" t="s">
        <v>2375</v>
      </c>
      <c r="Q133" s="339" t="n">
        <v>74</v>
      </c>
      <c r="T133" s="338" t="s">
        <v>217</v>
      </c>
      <c r="U133" s="338" t="s">
        <v>217</v>
      </c>
      <c r="V133" s="338" t="s">
        <v>217</v>
      </c>
      <c r="W133" s="338" t="s">
        <v>217</v>
      </c>
      <c r="X133" s="338" t="s">
        <v>217</v>
      </c>
      <c r="Y133" s="338" t="s">
        <v>218</v>
      </c>
    </row>
    <row r="134" s="338" customFormat="1" ht="26.25" customHeight="1">
      <c r="A134" s="338" t="s">
        <v>45</v>
      </c>
      <c r="B134" s="338" t="s">
        <v>88</v>
      </c>
      <c r="C134" s="339" t="n">
        <v>5230814</v>
      </c>
      <c r="D134" s="338" t="s">
        <v>246</v>
      </c>
      <c r="E134" s="338" t="s">
        <v>234</v>
      </c>
      <c r="F134" s="338" t="s">
        <v>1253</v>
      </c>
      <c r="G134" s="338" t="s">
        <v>31</v>
      </c>
      <c r="H134" s="338" t="s">
        <v>43</v>
      </c>
      <c r="J134" s="338" t="s">
        <v>48</v>
      </c>
      <c r="K134" s="338" t="s">
        <v>407</v>
      </c>
      <c r="L134" s="338" t="s">
        <v>2550</v>
      </c>
      <c r="M134" s="815" t="s">
        <v>2551</v>
      </c>
      <c r="N134" s="816" t="s">
        <v>2373</v>
      </c>
      <c r="O134" s="338" t="s">
        <v>2552</v>
      </c>
      <c r="P134" s="338" t="s">
        <v>2375</v>
      </c>
      <c r="Q134" s="339" t="n">
        <v>90</v>
      </c>
      <c r="T134" s="338" t="s">
        <v>217</v>
      </c>
      <c r="U134" s="338" t="s">
        <v>217</v>
      </c>
      <c r="V134" s="338" t="s">
        <v>217</v>
      </c>
      <c r="W134" s="338" t="s">
        <v>217</v>
      </c>
      <c r="X134" s="338" t="s">
        <v>217</v>
      </c>
      <c r="Y134" s="338" t="s">
        <v>217</v>
      </c>
    </row>
    <row r="135" s="338" customFormat="1" ht="26.25" customHeight="1">
      <c r="A135" s="338" t="s">
        <v>45</v>
      </c>
      <c r="B135" s="338" t="s">
        <v>88</v>
      </c>
      <c r="C135" s="339" t="n">
        <v>5230814</v>
      </c>
      <c r="D135" s="338" t="s">
        <v>246</v>
      </c>
      <c r="E135" s="338" t="s">
        <v>234</v>
      </c>
      <c r="F135" s="338" t="s">
        <v>1244</v>
      </c>
      <c r="G135" s="338" t="s">
        <v>31</v>
      </c>
      <c r="H135" s="338" t="s">
        <v>43</v>
      </c>
      <c r="I135" s="338" t="s">
        <v>52</v>
      </c>
      <c r="J135" s="338" t="s">
        <v>46</v>
      </c>
      <c r="L135" s="338" t="s">
        <v>464</v>
      </c>
      <c r="N135" s="338" t="s">
        <v>2553</v>
      </c>
      <c r="O135" s="338" t="s">
        <v>2554</v>
      </c>
      <c r="P135" s="338" t="s">
        <v>2375</v>
      </c>
      <c r="Q135" s="339" t="n">
        <v>90</v>
      </c>
      <c r="T135" s="338" t="s">
        <v>217</v>
      </c>
      <c r="U135" s="338" t="s">
        <v>217</v>
      </c>
      <c r="V135" s="338" t="s">
        <v>217</v>
      </c>
      <c r="W135" s="338" t="s">
        <v>217</v>
      </c>
      <c r="X135" s="338" t="s">
        <v>217</v>
      </c>
      <c r="Y135" s="338" t="s">
        <v>218</v>
      </c>
    </row>
    <row r="136" s="338" customFormat="1" ht="26.25" customHeight="1">
      <c r="A136" s="338" t="s">
        <v>45</v>
      </c>
      <c r="B136" s="338" t="s">
        <v>88</v>
      </c>
      <c r="C136" s="25" t="n">
        <v>5230814</v>
      </c>
      <c r="D136" s="338" t="s">
        <v>246</v>
      </c>
      <c r="E136" s="338" t="s">
        <v>234</v>
      </c>
      <c r="F136" s="338" t="s">
        <v>1302</v>
      </c>
      <c r="G136" s="338" t="s">
        <v>31</v>
      </c>
      <c r="H136" s="338" t="s">
        <v>43</v>
      </c>
      <c r="I136" s="338" t="s">
        <v>52</v>
      </c>
      <c r="J136" s="338" t="s">
        <v>48</v>
      </c>
      <c r="K136" s="338" t="s">
        <v>407</v>
      </c>
      <c r="L136" s="338" t="s">
        <v>1774</v>
      </c>
      <c r="M136" s="817" t="s">
        <v>2555</v>
      </c>
      <c r="N136" s="818" t="s">
        <v>2373</v>
      </c>
      <c r="O136" s="338" t="s">
        <v>2374</v>
      </c>
      <c r="P136" s="338" t="s">
        <v>2375</v>
      </c>
      <c r="Q136" s="339" t="n">
        <v>90</v>
      </c>
      <c r="T136" s="338" t="s">
        <v>217</v>
      </c>
      <c r="U136" s="338" t="s">
        <v>217</v>
      </c>
      <c r="V136" s="338" t="s">
        <v>217</v>
      </c>
      <c r="W136" s="338" t="s">
        <v>217</v>
      </c>
      <c r="X136" s="338" t="s">
        <v>217</v>
      </c>
      <c r="Y136" s="338" t="s">
        <v>218</v>
      </c>
    </row>
    <row r="137" s="338" customFormat="1" ht="26.25" customHeight="1">
      <c r="A137" s="338" t="s">
        <v>54</v>
      </c>
      <c r="B137" s="338" t="s">
        <v>88</v>
      </c>
      <c r="C137" s="25" t="n">
        <v>3132884</v>
      </c>
      <c r="D137" s="338" t="s">
        <v>216</v>
      </c>
      <c r="E137" s="338" t="s">
        <v>283</v>
      </c>
      <c r="F137" s="338" t="s">
        <v>317</v>
      </c>
      <c r="G137" s="338" t="s">
        <v>37</v>
      </c>
      <c r="H137" s="338" t="s">
        <v>47</v>
      </c>
      <c r="I137" s="338" t="s">
        <v>56</v>
      </c>
      <c r="J137" s="338" t="s">
        <v>34</v>
      </c>
      <c r="K137" s="338" t="s">
        <v>2556</v>
      </c>
      <c r="L137" s="338" t="s">
        <v>267</v>
      </c>
      <c r="M137" s="338" t="s">
        <v>2557</v>
      </c>
      <c r="N137" s="338" t="s">
        <v>2558</v>
      </c>
      <c r="O137" s="338" t="s">
        <v>2559</v>
      </c>
      <c r="Q137" s="339" t="n">
        <v>68</v>
      </c>
      <c r="T137" s="338" t="s">
        <v>217</v>
      </c>
      <c r="V137" s="338" t="s">
        <v>217</v>
      </c>
      <c r="W137" s="338" t="s">
        <v>217</v>
      </c>
      <c r="X137" s="338" t="s">
        <v>217</v>
      </c>
      <c r="Y137" s="338" t="s">
        <v>217</v>
      </c>
    </row>
    <row r="138" s="338" customFormat="1" ht="26.25" customHeight="1">
      <c r="A138" s="338" t="s">
        <v>85</v>
      </c>
      <c r="B138" s="338" t="s">
        <v>65</v>
      </c>
      <c r="C138" s="25" t="s">
        <v>2560</v>
      </c>
      <c r="D138" s="338" t="s">
        <v>215</v>
      </c>
      <c r="E138" s="338" t="s">
        <v>283</v>
      </c>
      <c r="F138" s="338" t="s">
        <v>774</v>
      </c>
      <c r="G138" s="338" t="s">
        <v>31</v>
      </c>
      <c r="I138" s="338" t="s">
        <v>52</v>
      </c>
      <c r="J138" s="338" t="s">
        <v>38</v>
      </c>
      <c r="Q138" s="339"/>
      <c r="T138" s="338" t="s">
        <v>217</v>
      </c>
    </row>
    <row r="139" s="338" customFormat="1" ht="26.25" customHeight="1">
      <c r="A139" s="338" t="s">
        <v>85</v>
      </c>
      <c r="B139" s="338" t="s">
        <v>65</v>
      </c>
      <c r="C139" s="25" t="s">
        <v>2560</v>
      </c>
      <c r="D139" s="338" t="s">
        <v>215</v>
      </c>
      <c r="E139" s="338" t="s">
        <v>283</v>
      </c>
      <c r="F139" s="338" t="s">
        <v>762</v>
      </c>
      <c r="G139" s="338" t="s">
        <v>31</v>
      </c>
      <c r="H139" s="338" t="s">
        <v>47</v>
      </c>
      <c r="I139" s="338" t="s">
        <v>52</v>
      </c>
      <c r="J139" s="338" t="s">
        <v>36</v>
      </c>
      <c r="Q139" s="339" t="s">
        <v>2561</v>
      </c>
      <c r="T139" s="338" t="s">
        <v>217</v>
      </c>
    </row>
    <row r="140" s="338" customFormat="1" ht="26.25" customHeight="1">
      <c r="A140" s="338" t="s">
        <v>85</v>
      </c>
      <c r="B140" s="338" t="s">
        <v>65</v>
      </c>
      <c r="C140" s="25" t="s">
        <v>2560</v>
      </c>
      <c r="D140" s="338" t="s">
        <v>215</v>
      </c>
      <c r="E140" s="338" t="s">
        <v>283</v>
      </c>
      <c r="F140" s="338" t="s">
        <v>781</v>
      </c>
      <c r="G140" s="338" t="s">
        <v>31</v>
      </c>
      <c r="H140" s="338" t="s">
        <v>47</v>
      </c>
      <c r="I140" s="338" t="s">
        <v>52</v>
      </c>
      <c r="J140" s="338" t="s">
        <v>36</v>
      </c>
      <c r="Q140" s="339" t="s">
        <v>2562</v>
      </c>
      <c r="T140" s="338" t="s">
        <v>217</v>
      </c>
    </row>
    <row r="141" s="338" customFormat="1" ht="26.25" customHeight="1">
      <c r="A141" s="338" t="s">
        <v>45</v>
      </c>
      <c r="B141" s="338" t="s">
        <v>65</v>
      </c>
      <c r="C141" s="25" t="s">
        <v>2563</v>
      </c>
      <c r="D141" s="338" t="s">
        <v>216</v>
      </c>
      <c r="E141" s="338" t="s">
        <v>234</v>
      </c>
      <c r="F141" s="467" t="s">
        <v>724</v>
      </c>
      <c r="G141" s="338" t="s">
        <v>31</v>
      </c>
      <c r="H141" s="338" t="s">
        <v>43</v>
      </c>
      <c r="I141" s="338" t="s">
        <v>58</v>
      </c>
      <c r="J141" s="338" t="s">
        <v>46</v>
      </c>
      <c r="Q141" s="339" t="s">
        <v>2291</v>
      </c>
      <c r="T141" s="338" t="s">
        <v>217</v>
      </c>
    </row>
    <row r="142" s="338" customFormat="1" ht="26.25" customHeight="1">
      <c r="C142" s="339"/>
      <c r="Q142" s="339"/>
    </row>
    <row r="143" ht="26.25" customHeight="1">
      <c r="O143" s="197"/>
      <c r="Z143" s="197"/>
      <c r="AA143" s="197"/>
      <c r="AB143" s="197"/>
    </row>
    <row r="144" ht="26.25" customHeight="1">
      <c r="O144" s="197"/>
      <c r="Z144" s="197"/>
      <c r="AA144" s="197"/>
      <c r="AB144" s="197"/>
    </row>
    <row r="145" ht="26.25" customHeight="1">
      <c r="O145" s="197"/>
      <c r="Z145" s="197"/>
      <c r="AA145" s="197"/>
      <c r="AB145" s="197"/>
    </row>
    <row r="146" ht="26.25" customHeight="1">
      <c r="O146" s="197"/>
      <c r="Z146" s="197"/>
      <c r="AA146" s="197"/>
      <c r="AB146" s="197"/>
    </row>
    <row r="147" ht="26.25" customHeight="1">
      <c r="O147" s="197"/>
      <c r="Z147" s="197"/>
      <c r="AA147" s="197"/>
      <c r="AB147" s="197"/>
    </row>
    <row r="148" ht="26.25" customHeight="1">
      <c r="O148" s="197"/>
      <c r="Z148" s="197"/>
      <c r="AA148" s="197"/>
      <c r="AB148" s="197"/>
    </row>
    <row r="149" ht="26.25" customHeight="1">
      <c r="O149" s="197"/>
      <c r="Z149" s="197"/>
      <c r="AA149" s="197"/>
      <c r="AB149" s="197"/>
    </row>
    <row r="150" ht="26.25" customHeight="1">
      <c r="O150" s="197"/>
      <c r="Z150" s="197"/>
      <c r="AA150" s="197"/>
      <c r="AB150" s="197"/>
    </row>
    <row r="151" ht="26.25" customHeight="1">
      <c r="O151" s="197"/>
      <c r="Z151" s="197"/>
      <c r="AA151" s="197"/>
      <c r="AB151" s="197"/>
    </row>
    <row r="152" ht="26.25" customHeight="1">
      <c r="O152" s="197"/>
      <c r="Z152" s="197"/>
      <c r="AA152" s="197"/>
      <c r="AB152" s="197"/>
    </row>
    <row r="153" ht="26.25" customHeight="1">
      <c r="O153" s="197"/>
      <c r="Z153" s="197"/>
      <c r="AA153" s="197"/>
      <c r="AB153" s="197"/>
    </row>
    <row r="154" ht="26.25" customHeight="1">
      <c r="O154" s="197"/>
      <c r="Z154" s="197"/>
      <c r="AA154" s="197"/>
      <c r="AB154" s="197"/>
    </row>
    <row r="155" ht="26.25" customHeight="1">
      <c r="O155" s="197"/>
      <c r="Z155" s="197"/>
      <c r="AA155" s="197"/>
      <c r="AB155" s="197"/>
    </row>
    <row r="156" ht="26.25" customHeight="1">
      <c r="O156" s="197"/>
      <c r="Z156" s="197"/>
      <c r="AA156" s="197"/>
      <c r="AB156" s="197"/>
    </row>
    <row r="157" ht="26.25" customHeight="1">
      <c r="O157" s="197"/>
      <c r="Z157" s="197"/>
      <c r="AA157" s="197"/>
      <c r="AB157" s="197"/>
    </row>
    <row r="158" ht="26.25" customHeight="1">
      <c r="O158" s="197"/>
      <c r="Z158" s="197"/>
      <c r="AA158" s="197"/>
      <c r="AB158" s="197"/>
    </row>
    <row r="159" ht="26.25" customHeight="1">
      <c r="O159" s="197"/>
      <c r="Z159" s="197"/>
      <c r="AA159" s="197"/>
      <c r="AB159" s="197"/>
    </row>
    <row r="160" ht="26.25" customHeight="1">
      <c r="O160" s="197"/>
      <c r="Z160" s="197"/>
      <c r="AA160" s="197"/>
      <c r="AB160" s="197"/>
    </row>
    <row r="161" ht="26.25" customHeight="1">
      <c r="O161" s="197"/>
      <c r="Z161" s="197"/>
      <c r="AA161" s="197"/>
      <c r="AB161" s="197"/>
    </row>
    <row r="162" ht="26.25" customHeight="1">
      <c r="O162" s="197"/>
      <c r="Z162" s="197"/>
      <c r="AA162" s="197"/>
      <c r="AB162" s="197"/>
    </row>
    <row r="163" ht="26.25" customHeight="1">
      <c r="O163" s="197"/>
      <c r="Z163" s="197"/>
      <c r="AA163" s="197"/>
      <c r="AB163" s="197"/>
    </row>
    <row r="164" ht="26.25" customHeight="1">
      <c r="O164" s="197"/>
      <c r="Z164" s="197"/>
      <c r="AA164" s="197"/>
      <c r="AB164" s="197"/>
    </row>
    <row r="165" ht="26.25" customHeight="1">
      <c r="O165" s="197"/>
      <c r="Z165" s="197"/>
      <c r="AA165" s="197"/>
      <c r="AB165" s="197"/>
    </row>
    <row r="166" ht="26.25" customHeight="1">
      <c r="O166" s="197"/>
      <c r="Z166" s="197"/>
      <c r="AA166" s="197"/>
      <c r="AB166" s="197"/>
    </row>
    <row r="167" ht="26.25" customHeight="1">
      <c r="O167" s="197"/>
      <c r="Z167" s="197"/>
      <c r="AA167" s="197"/>
      <c r="AB167" s="197"/>
    </row>
    <row r="168" ht="26.25" customHeight="1">
      <c r="O168" s="197"/>
      <c r="Z168" s="197"/>
      <c r="AA168" s="197"/>
      <c r="AB168" s="197"/>
    </row>
    <row r="169" ht="26.25" customHeight="1">
      <c r="O169" s="197"/>
      <c r="Z169" s="197"/>
      <c r="AA169" s="197"/>
      <c r="AB169" s="197"/>
    </row>
    <row r="170" ht="26.25" customHeight="1">
      <c r="O170" s="197"/>
      <c r="Z170" s="197"/>
      <c r="AA170" s="197"/>
      <c r="AB170" s="197"/>
    </row>
    <row r="171" ht="26.25" customHeight="1">
      <c r="O171" s="197"/>
      <c r="Z171" s="197"/>
      <c r="AA171" s="197"/>
      <c r="AB171" s="197"/>
    </row>
    <row r="172" ht="26.25" customHeight="1">
      <c r="O172" s="197"/>
      <c r="Z172" s="197"/>
      <c r="AA172" s="197"/>
      <c r="AB172" s="197"/>
    </row>
    <row r="173" ht="26.25" customHeight="1">
      <c r="O173" s="197"/>
      <c r="Z173" s="197"/>
      <c r="AA173" s="197"/>
      <c r="AB173" s="197"/>
    </row>
    <row r="174" ht="26.25" customHeight="1">
      <c r="O174" s="197"/>
      <c r="Z174" s="197"/>
      <c r="AA174" s="197"/>
      <c r="AB174" s="197"/>
    </row>
    <row r="175" ht="26.25" customHeight="1">
      <c r="O175" s="197"/>
      <c r="Z175" s="197"/>
      <c r="AA175" s="197"/>
      <c r="AB175" s="197"/>
    </row>
    <row r="176" ht="26.25" customHeight="1">
      <c r="O176" s="197"/>
      <c r="Z176" s="197"/>
      <c r="AA176" s="197"/>
      <c r="AB176" s="197"/>
    </row>
    <row r="177" ht="26.25" customHeight="1">
      <c r="O177" s="197"/>
      <c r="Z177" s="197"/>
      <c r="AA177" s="197"/>
      <c r="AB177" s="197"/>
    </row>
    <row r="178" ht="26.25" customHeight="1">
      <c r="O178" s="197"/>
      <c r="Z178" s="197"/>
      <c r="AA178" s="197"/>
      <c r="AB178" s="197"/>
    </row>
    <row r="179" ht="26.25" customHeight="1">
      <c r="O179" s="197"/>
      <c r="Z179" s="197"/>
      <c r="AA179" s="197"/>
      <c r="AB179" s="197"/>
    </row>
    <row r="180" ht="16.5" customHeight="1">
      <c r="Z180" s="197"/>
      <c r="AA180" s="197"/>
      <c r="AB180" s="197"/>
    </row>
    <row r="181" ht="16.5" customHeight="1">
      <c r="Z181" s="197"/>
      <c r="AA181" s="197"/>
      <c r="AB181" s="197"/>
    </row>
    <row r="182" ht="16.5" customHeight="1">
      <c r="Z182" s="197"/>
      <c r="AA182" s="197"/>
      <c r="AB182" s="197"/>
    </row>
    <row r="183" ht="16.5" customHeight="1">
      <c r="Z183" s="197"/>
      <c r="AA183" s="197"/>
      <c r="AB183" s="197"/>
    </row>
    <row r="184" ht="16.5" customHeight="1">
      <c r="Z184" s="197"/>
      <c r="AA184" s="197"/>
      <c r="AB184" s="197"/>
    </row>
    <row r="185" ht="16.5" customHeight="1">
      <c r="Z185" s="197"/>
      <c r="AA185" s="197"/>
      <c r="AB185" s="197"/>
    </row>
    <row r="186" ht="16.5" customHeight="1">
      <c r="Z186" s="197"/>
      <c r="AA186" s="197"/>
      <c r="AB186" s="197"/>
    </row>
    <row r="187" ht="16.5" customHeight="1">
      <c r="Z187" s="197"/>
      <c r="AA187" s="197"/>
      <c r="AB187" s="197"/>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1" t="s">
        <v>2078</v>
      </c>
      <c r="B1" s="31" t="s">
        <v>2564</v>
      </c>
      <c r="C1" s="31" t="s">
        <v>2565</v>
      </c>
      <c r="D1" s="31" t="s">
        <v>2566</v>
      </c>
      <c r="E1" s="31" t="s">
        <v>2567</v>
      </c>
      <c r="F1" s="31" t="s">
        <v>2568</v>
      </c>
      <c r="G1" s="40" t="s">
        <v>2569</v>
      </c>
      <c r="H1" s="40" t="s">
        <v>2570</v>
      </c>
      <c r="I1" s="112" t="s">
        <v>2571</v>
      </c>
      <c r="J1" s="40" t="s">
        <v>2572</v>
      </c>
      <c r="K1" s="40" t="s">
        <v>2573</v>
      </c>
      <c r="L1" s="6"/>
    </row>
    <row r="2" ht="18.75" customHeight="1">
      <c r="A2" s="36" t="n">
        <v>1</v>
      </c>
      <c r="B2" s="38" t="s">
        <v>1029</v>
      </c>
      <c r="C2" s="44" t="n">
        <v>13422057011</v>
      </c>
      <c r="D2" s="35" t="s">
        <v>2574</v>
      </c>
      <c r="E2" s="34" t="s">
        <v>2575</v>
      </c>
      <c r="F2" s="41" t="s">
        <v>2576</v>
      </c>
      <c r="G2" s="36" t="s">
        <v>217</v>
      </c>
      <c r="H2" s="36" t="s">
        <v>217</v>
      </c>
      <c r="I2" s="111" t="s">
        <v>217</v>
      </c>
      <c r="J2" s="36" t="s">
        <v>217</v>
      </c>
      <c r="K2" s="36" t="s">
        <v>217</v>
      </c>
      <c r="L2" s="6"/>
    </row>
    <row r="3" ht="18.75" customHeight="1">
      <c r="A3" s="36" t="n">
        <v>2</v>
      </c>
      <c r="B3" s="38" t="s">
        <v>1088</v>
      </c>
      <c r="C3" s="44" t="n">
        <v>15626018703</v>
      </c>
      <c r="D3" s="35" t="s">
        <v>2574</v>
      </c>
      <c r="E3" s="34" t="s">
        <v>2575</v>
      </c>
      <c r="F3" s="41" t="s">
        <v>1420</v>
      </c>
      <c r="G3" s="36" t="s">
        <v>217</v>
      </c>
      <c r="H3" s="36" t="s">
        <v>217</v>
      </c>
      <c r="I3" s="111" t="s">
        <v>217</v>
      </c>
      <c r="J3" s="36" t="s">
        <v>217</v>
      </c>
      <c r="K3" s="36" t="s">
        <v>217</v>
      </c>
      <c r="L3" s="6"/>
    </row>
    <row r="4" ht="18.75" customHeight="1">
      <c r="A4" s="38" t="n">
        <v>3</v>
      </c>
      <c r="B4" s="38" t="s">
        <v>1195</v>
      </c>
      <c r="C4" s="44" t="n">
        <v>13570452078</v>
      </c>
      <c r="D4" s="35" t="s">
        <v>2574</v>
      </c>
      <c r="E4" s="34" t="s">
        <v>2575</v>
      </c>
      <c r="F4" s="41" t="s">
        <v>1420</v>
      </c>
      <c r="G4" s="36" t="s">
        <v>217</v>
      </c>
      <c r="H4" s="36" t="s">
        <v>217</v>
      </c>
      <c r="I4" s="111" t="s">
        <v>217</v>
      </c>
      <c r="J4" s="36" t="s">
        <v>217</v>
      </c>
      <c r="K4" s="36" t="s">
        <v>217</v>
      </c>
      <c r="L4" s="6"/>
    </row>
    <row r="5" ht="18.75" customHeight="1">
      <c r="A5" s="36" t="n">
        <v>4</v>
      </c>
      <c r="B5" s="38" t="s">
        <v>1332</v>
      </c>
      <c r="C5" s="44" t="n">
        <v>15876549373</v>
      </c>
      <c r="D5" s="35" t="s">
        <v>2574</v>
      </c>
      <c r="E5" s="34" t="s">
        <v>2575</v>
      </c>
      <c r="F5" s="41" t="s">
        <v>1420</v>
      </c>
      <c r="G5" s="36" t="s">
        <v>217</v>
      </c>
      <c r="H5" s="36" t="s">
        <v>218</v>
      </c>
      <c r="I5" s="111" t="s">
        <v>217</v>
      </c>
      <c r="J5" s="36" t="s">
        <v>218</v>
      </c>
      <c r="K5" s="36" t="s">
        <v>217</v>
      </c>
      <c r="L5" s="6"/>
    </row>
    <row r="6" ht="18.75" customHeight="1">
      <c r="A6" s="36" t="n">
        <v>5</v>
      </c>
      <c r="B6" s="38" t="s">
        <v>1250</v>
      </c>
      <c r="C6" s="44" t="n">
        <v>13710800828</v>
      </c>
      <c r="D6" s="35" t="s">
        <v>2574</v>
      </c>
      <c r="E6" s="34" t="s">
        <v>2575</v>
      </c>
      <c r="F6" s="41" t="s">
        <v>2576</v>
      </c>
      <c r="G6" s="36" t="s">
        <v>217</v>
      </c>
      <c r="H6" s="36" t="s">
        <v>218</v>
      </c>
      <c r="I6" s="111" t="s">
        <v>218</v>
      </c>
      <c r="J6" s="36" t="s">
        <v>218</v>
      </c>
      <c r="K6" s="36" t="s">
        <v>218</v>
      </c>
      <c r="L6" s="6"/>
    </row>
    <row r="7" ht="18.75" customHeight="1">
      <c r="A7" s="36" t="n">
        <v>6</v>
      </c>
      <c r="B7" s="38" t="s">
        <v>1166</v>
      </c>
      <c r="C7" s="36" t="n">
        <v>13682720313</v>
      </c>
      <c r="D7" s="35" t="s">
        <v>2574</v>
      </c>
      <c r="E7" s="34" t="s">
        <v>2575</v>
      </c>
      <c r="F7" s="41" t="s">
        <v>2576</v>
      </c>
      <c r="G7" s="36" t="s">
        <v>217</v>
      </c>
      <c r="H7" s="36" t="s">
        <v>217</v>
      </c>
      <c r="I7" s="111" t="s">
        <v>217</v>
      </c>
      <c r="J7" s="36" t="s">
        <v>217</v>
      </c>
      <c r="K7" s="36" t="s">
        <v>217</v>
      </c>
      <c r="L7" s="6"/>
    </row>
    <row r="8" ht="18.75" customHeight="1">
      <c r="A8" s="38" t="n">
        <v>7</v>
      </c>
      <c r="B8" s="38" t="s">
        <v>959</v>
      </c>
      <c r="C8" s="36" t="n">
        <v>13710345569</v>
      </c>
      <c r="D8" s="35" t="s">
        <v>2574</v>
      </c>
      <c r="E8" s="34" t="s">
        <v>2575</v>
      </c>
      <c r="F8" s="41" t="s">
        <v>2576</v>
      </c>
      <c r="G8" s="36" t="s">
        <v>217</v>
      </c>
      <c r="H8" s="36" t="s">
        <v>217</v>
      </c>
      <c r="I8" s="111" t="s">
        <v>218</v>
      </c>
      <c r="J8" s="36" t="s">
        <v>217</v>
      </c>
      <c r="K8" s="36" t="s">
        <v>217</v>
      </c>
      <c r="L8" s="6"/>
    </row>
    <row r="9" ht="18.75" customHeight="1">
      <c r="A9" s="36" t="n">
        <v>8</v>
      </c>
      <c r="B9" s="38" t="s">
        <v>2577</v>
      </c>
      <c r="C9" s="44" t="n">
        <v>13428888960</v>
      </c>
      <c r="D9" s="35" t="s">
        <v>2574</v>
      </c>
      <c r="E9" s="34" t="s">
        <v>2578</v>
      </c>
      <c r="F9" s="41" t="s">
        <v>2579</v>
      </c>
      <c r="G9" s="36" t="s">
        <v>218</v>
      </c>
      <c r="H9" s="36" t="s">
        <v>218</v>
      </c>
      <c r="I9" s="111" t="s">
        <v>218</v>
      </c>
      <c r="J9" s="36" t="s">
        <v>218</v>
      </c>
      <c r="K9" s="36" t="s">
        <v>218</v>
      </c>
      <c r="L9" s="6" t="s">
        <v>2580</v>
      </c>
    </row>
    <row r="10" ht="18.75" customHeight="1">
      <c r="A10" s="36" t="n">
        <v>9</v>
      </c>
      <c r="B10" s="38" t="s">
        <v>2581</v>
      </c>
      <c r="C10" s="44" t="n">
        <v>15989061923</v>
      </c>
      <c r="D10" s="35" t="s">
        <v>2574</v>
      </c>
      <c r="E10" s="34" t="s">
        <v>2578</v>
      </c>
      <c r="F10" s="41" t="s">
        <v>2579</v>
      </c>
      <c r="G10" s="36" t="s">
        <v>218</v>
      </c>
      <c r="H10" s="36" t="s">
        <v>218</v>
      </c>
      <c r="I10" s="111" t="s">
        <v>218</v>
      </c>
      <c r="J10" s="36" t="s">
        <v>218</v>
      </c>
      <c r="K10" s="36" t="s">
        <v>218</v>
      </c>
      <c r="L10" s="6" t="s">
        <v>2582</v>
      </c>
    </row>
    <row r="11" ht="18.75" customHeight="1">
      <c r="A11" s="36" t="n">
        <v>10</v>
      </c>
      <c r="B11" s="38" t="s">
        <v>741</v>
      </c>
      <c r="C11" s="44" t="n">
        <v>15920103852</v>
      </c>
      <c r="D11" s="35" t="s">
        <v>2574</v>
      </c>
      <c r="E11" s="34" t="s">
        <v>2578</v>
      </c>
      <c r="F11" s="41" t="s">
        <v>1420</v>
      </c>
      <c r="G11" s="36" t="s">
        <v>217</v>
      </c>
      <c r="H11" s="36" t="s">
        <v>217</v>
      </c>
      <c r="I11" s="111" t="s">
        <v>217</v>
      </c>
      <c r="J11" s="36" t="s">
        <v>217</v>
      </c>
      <c r="K11" s="36" t="s">
        <v>217</v>
      </c>
      <c r="L11" s="6"/>
    </row>
    <row r="12" ht="18.75" customHeight="1">
      <c r="A12" s="38" t="n">
        <v>11</v>
      </c>
      <c r="B12" s="38" t="s">
        <v>854</v>
      </c>
      <c r="C12" s="44" t="n">
        <v>13719434040</v>
      </c>
      <c r="D12" s="35" t="s">
        <v>2574</v>
      </c>
      <c r="E12" s="34" t="s">
        <v>2578</v>
      </c>
      <c r="F12" s="41" t="s">
        <v>1420</v>
      </c>
      <c r="G12" s="36" t="s">
        <v>217</v>
      </c>
      <c r="H12" s="36" t="s">
        <v>217</v>
      </c>
      <c r="I12" s="111" t="s">
        <v>217</v>
      </c>
      <c r="J12" s="36" t="s">
        <v>217</v>
      </c>
      <c r="K12" s="36" t="s">
        <v>217</v>
      </c>
      <c r="L12" s="6"/>
    </row>
    <row r="13" ht="18.75" customHeight="1">
      <c r="A13" s="36" t="n">
        <v>12</v>
      </c>
      <c r="B13" s="38" t="s">
        <v>1253</v>
      </c>
      <c r="C13" s="44" t="n">
        <v>13889900796</v>
      </c>
      <c r="D13" s="35" t="s">
        <v>2574</v>
      </c>
      <c r="E13" s="34" t="s">
        <v>2578</v>
      </c>
      <c r="F13" s="41" t="s">
        <v>1420</v>
      </c>
      <c r="G13" s="36" t="s">
        <v>217</v>
      </c>
      <c r="H13" s="36" t="s">
        <v>217</v>
      </c>
      <c r="I13" s="111" t="s">
        <v>217</v>
      </c>
      <c r="J13" s="36" t="s">
        <v>217</v>
      </c>
      <c r="K13" s="36" t="s">
        <v>217</v>
      </c>
      <c r="L13" s="6"/>
    </row>
    <row r="14" ht="18.75" customHeight="1">
      <c r="A14" s="36" t="n">
        <v>13</v>
      </c>
      <c r="B14" s="38" t="s">
        <v>1307</v>
      </c>
      <c r="C14" s="44" t="n">
        <v>18922765106</v>
      </c>
      <c r="D14" s="35" t="s">
        <v>2574</v>
      </c>
      <c r="E14" s="34" t="s">
        <v>2578</v>
      </c>
      <c r="F14" s="41" t="s">
        <v>1420</v>
      </c>
      <c r="G14" s="36" t="s">
        <v>217</v>
      </c>
      <c r="H14" s="36" t="s">
        <v>218</v>
      </c>
      <c r="I14" s="111" t="s">
        <v>218</v>
      </c>
      <c r="J14" s="36" t="s">
        <v>218</v>
      </c>
      <c r="K14" s="36" t="s">
        <v>218</v>
      </c>
      <c r="L14" s="6"/>
    </row>
    <row r="15" ht="18.75" customHeight="1">
      <c r="A15" s="36" t="n">
        <v>14</v>
      </c>
      <c r="B15" s="38" t="s">
        <v>1338</v>
      </c>
      <c r="C15" s="44" t="n">
        <v>18022392462</v>
      </c>
      <c r="D15" s="35" t="s">
        <v>2574</v>
      </c>
      <c r="E15" s="34" t="s">
        <v>2578</v>
      </c>
      <c r="F15" s="41" t="s">
        <v>1420</v>
      </c>
      <c r="G15" s="36" t="s">
        <v>217</v>
      </c>
      <c r="H15" s="36" t="s">
        <v>218</v>
      </c>
      <c r="I15" s="111" t="s">
        <v>218</v>
      </c>
      <c r="J15" s="36" t="s">
        <v>218</v>
      </c>
      <c r="K15" s="36" t="s">
        <v>218</v>
      </c>
      <c r="L15" s="6"/>
    </row>
    <row r="16" ht="18.75" customHeight="1">
      <c r="A16" s="38" t="n">
        <v>15</v>
      </c>
      <c r="B16" s="38" t="s">
        <v>1159</v>
      </c>
      <c r="C16" s="44" t="n">
        <v>18102758130</v>
      </c>
      <c r="D16" s="35" t="s">
        <v>2574</v>
      </c>
      <c r="E16" s="34" t="s">
        <v>2578</v>
      </c>
      <c r="F16" s="41" t="s">
        <v>1420</v>
      </c>
      <c r="G16" s="36" t="s">
        <v>217</v>
      </c>
      <c r="H16" s="36" t="s">
        <v>217</v>
      </c>
      <c r="I16" s="111" t="s">
        <v>217</v>
      </c>
      <c r="J16" s="36" t="s">
        <v>217</v>
      </c>
      <c r="K16" s="36" t="s">
        <v>217</v>
      </c>
      <c r="L16" s="6"/>
    </row>
    <row r="17" ht="18.75" customHeight="1">
      <c r="A17" s="36" t="n">
        <v>17</v>
      </c>
      <c r="B17" s="38" t="s">
        <v>1077</v>
      </c>
      <c r="C17" s="44" t="n">
        <v>18676620258</v>
      </c>
      <c r="D17" s="35" t="s">
        <v>2574</v>
      </c>
      <c r="E17" s="34" t="s">
        <v>2583</v>
      </c>
      <c r="F17" s="41" t="s">
        <v>1420</v>
      </c>
      <c r="G17" s="36" t="s">
        <v>217</v>
      </c>
      <c r="H17" s="36" t="s">
        <v>217</v>
      </c>
      <c r="I17" s="111" t="s">
        <v>218</v>
      </c>
      <c r="J17" s="36" t="s">
        <v>217</v>
      </c>
      <c r="K17" s="36" t="s">
        <v>217</v>
      </c>
      <c r="L17" s="6"/>
    </row>
    <row r="18" ht="18.75" customHeight="1">
      <c r="A18" s="36" t="n">
        <v>18</v>
      </c>
      <c r="B18" s="38" t="s">
        <v>2584</v>
      </c>
      <c r="C18" s="36" t="n">
        <v>17324313225</v>
      </c>
      <c r="D18" s="35" t="s">
        <v>2574</v>
      </c>
      <c r="E18" s="34" t="s">
        <v>2578</v>
      </c>
      <c r="F18" s="41" t="s">
        <v>2579</v>
      </c>
      <c r="G18" s="36" t="s">
        <v>218</v>
      </c>
      <c r="H18" s="36" t="s">
        <v>218</v>
      </c>
      <c r="I18" s="111" t="s">
        <v>218</v>
      </c>
      <c r="J18" s="36" t="s">
        <v>218</v>
      </c>
      <c r="K18" s="36" t="s">
        <v>218</v>
      </c>
      <c r="L18" s="6" t="s">
        <v>2582</v>
      </c>
    </row>
    <row r="19" ht="18.75" customHeight="1">
      <c r="A19" s="36" t="n">
        <v>19</v>
      </c>
      <c r="B19" s="38" t="s">
        <v>1147</v>
      </c>
      <c r="C19" s="36"/>
      <c r="D19" s="35" t="s">
        <v>2574</v>
      </c>
      <c r="E19" s="34" t="s">
        <v>2575</v>
      </c>
      <c r="F19" s="41" t="s">
        <v>2585</v>
      </c>
      <c r="G19" s="36" t="s">
        <v>217</v>
      </c>
      <c r="H19" s="36" t="s">
        <v>217</v>
      </c>
      <c r="I19" s="111" t="s">
        <v>217</v>
      </c>
      <c r="J19" s="36" t="s">
        <v>217</v>
      </c>
      <c r="K19" s="36" t="s">
        <v>217</v>
      </c>
      <c r="L19" s="6"/>
    </row>
    <row r="20" ht="18.75" customHeight="1">
      <c r="A20" s="36" t="n">
        <v>20</v>
      </c>
      <c r="B20" s="38" t="s">
        <v>541</v>
      </c>
      <c r="C20" s="36"/>
      <c r="D20" s="35" t="s">
        <v>2574</v>
      </c>
      <c r="E20" s="34" t="s">
        <v>2575</v>
      </c>
      <c r="F20" s="41" t="s">
        <v>1420</v>
      </c>
      <c r="G20" s="36" t="s">
        <v>217</v>
      </c>
      <c r="H20" s="36" t="s">
        <v>217</v>
      </c>
      <c r="I20" s="111" t="s">
        <v>217</v>
      </c>
      <c r="J20" s="36" t="s">
        <v>217</v>
      </c>
      <c r="K20" s="36" t="s">
        <v>217</v>
      </c>
      <c r="L20" s="6"/>
    </row>
    <row r="21" ht="18.75" customHeight="1">
      <c r="A21" s="36" t="n">
        <v>21</v>
      </c>
      <c r="B21" s="103" t="s">
        <v>2586</v>
      </c>
      <c r="C21" s="36"/>
      <c r="D21" s="35" t="s">
        <v>2574</v>
      </c>
      <c r="E21" s="34" t="s">
        <v>2575</v>
      </c>
      <c r="F21" s="41" t="s">
        <v>2585</v>
      </c>
      <c r="G21" s="95" t="s">
        <v>218</v>
      </c>
      <c r="H21" s="95" t="s">
        <v>218</v>
      </c>
      <c r="I21" s="113" t="s">
        <v>218</v>
      </c>
      <c r="J21" s="36" t="s">
        <v>218</v>
      </c>
      <c r="K21" s="36" t="s">
        <v>218</v>
      </c>
      <c r="L21" s="6" t="s">
        <v>2587</v>
      </c>
    </row>
    <row r="22" ht="18" customHeight="1">
      <c r="A22" s="111" t="n">
        <v>22</v>
      </c>
      <c r="B22" s="36" t="s">
        <v>1168</v>
      </c>
      <c r="D22" s="35" t="s">
        <v>2574</v>
      </c>
      <c r="E22" s="34" t="s">
        <v>2575</v>
      </c>
      <c r="F22" s="101" t="s">
        <v>2576</v>
      </c>
      <c r="G22" s="36" t="s">
        <v>218</v>
      </c>
      <c r="H22" s="36" t="s">
        <v>218</v>
      </c>
      <c r="I22" s="111" t="s">
        <v>218</v>
      </c>
      <c r="J22" s="36" t="s">
        <v>217</v>
      </c>
      <c r="K22" s="36" t="s">
        <v>218</v>
      </c>
    </row>
    <row r="23" ht="18" customHeight="1">
      <c r="A23" s="113" t="n">
        <v>23</v>
      </c>
      <c r="B23" s="95" t="s">
        <v>1300</v>
      </c>
      <c r="D23" s="35" t="s">
        <v>2574</v>
      </c>
      <c r="E23" s="34" t="s">
        <v>2575</v>
      </c>
      <c r="F23" s="101" t="s">
        <v>2576</v>
      </c>
      <c r="G23" s="36" t="s">
        <v>218</v>
      </c>
      <c r="H23" s="36" t="s">
        <v>218</v>
      </c>
      <c r="I23" s="111" t="s">
        <v>218</v>
      </c>
      <c r="J23" s="36" t="s">
        <v>217</v>
      </c>
      <c r="K23" s="36" t="s">
        <v>218</v>
      </c>
    </row>
    <row r="24" ht="18" customHeight="1">
      <c r="A24" s="36" t="n">
        <v>24</v>
      </c>
      <c r="B24" s="36" t="s">
        <v>1215</v>
      </c>
      <c r="D24" s="35" t="s">
        <v>2574</v>
      </c>
      <c r="E24" s="34" t="s">
        <v>2578</v>
      </c>
      <c r="F24" s="101" t="s">
        <v>2576</v>
      </c>
      <c r="G24" s="36" t="s">
        <v>218</v>
      </c>
      <c r="H24" s="36" t="s">
        <v>218</v>
      </c>
      <c r="I24" s="111" t="s">
        <v>218</v>
      </c>
      <c r="J24" s="36" t="s">
        <v>217</v>
      </c>
      <c r="K24" s="36" t="s">
        <v>218</v>
      </c>
    </row>
    <row r="25" ht="18" customHeight="1">
      <c r="A25" s="36" t="n">
        <v>26</v>
      </c>
      <c r="B25" s="36" t="s">
        <v>1241</v>
      </c>
      <c r="D25" s="35" t="s">
        <v>2574</v>
      </c>
      <c r="E25" s="34" t="s">
        <v>2575</v>
      </c>
      <c r="F25" s="101" t="s">
        <v>2576</v>
      </c>
      <c r="G25" s="36" t="s">
        <v>218</v>
      </c>
      <c r="H25" s="36" t="s">
        <v>218</v>
      </c>
      <c r="I25" s="111" t="s">
        <v>218</v>
      </c>
      <c r="J25" s="36" t="s">
        <v>217</v>
      </c>
      <c r="K25" s="36" t="s">
        <v>218</v>
      </c>
    </row>
    <row r="26" ht="18" customHeight="1">
      <c r="A26" s="36" t="n">
        <v>27</v>
      </c>
      <c r="B26" s="36" t="s">
        <v>1110</v>
      </c>
      <c r="D26" s="35" t="s">
        <v>2574</v>
      </c>
      <c r="E26" s="34" t="s">
        <v>2575</v>
      </c>
      <c r="F26" s="101" t="s">
        <v>2576</v>
      </c>
      <c r="G26" s="36" t="s">
        <v>218</v>
      </c>
      <c r="H26" s="36" t="s">
        <v>218</v>
      </c>
      <c r="I26" s="111" t="s">
        <v>218</v>
      </c>
      <c r="J26" s="36" t="s">
        <v>217</v>
      </c>
      <c r="K26" s="36" t="s">
        <v>218</v>
      </c>
    </row>
    <row r="27" ht="18" customHeight="1">
      <c r="A27" s="36" t="n">
        <v>28</v>
      </c>
      <c r="B27" s="36" t="s">
        <v>569</v>
      </c>
      <c r="D27" s="35" t="s">
        <v>2574</v>
      </c>
      <c r="E27" s="34" t="s">
        <v>2575</v>
      </c>
      <c r="F27" s="41" t="s">
        <v>2579</v>
      </c>
      <c r="G27" s="36" t="s">
        <v>218</v>
      </c>
      <c r="H27" s="36" t="s">
        <v>218</v>
      </c>
      <c r="I27" s="111" t="s">
        <v>218</v>
      </c>
      <c r="J27" s="36" t="s">
        <v>217</v>
      </c>
      <c r="K27" s="36" t="s">
        <v>218</v>
      </c>
    </row>
    <row r="28" ht="18" customHeight="1">
      <c r="A28" s="36" t="n">
        <v>29</v>
      </c>
      <c r="B28" s="36" t="s">
        <v>1279</v>
      </c>
      <c r="D28" s="35" t="s">
        <v>2574</v>
      </c>
      <c r="E28" s="34" t="s">
        <v>2575</v>
      </c>
      <c r="F28" s="101" t="s">
        <v>2576</v>
      </c>
      <c r="G28" s="36" t="s">
        <v>218</v>
      </c>
      <c r="H28" s="36" t="s">
        <v>218</v>
      </c>
      <c r="I28" s="111" t="s">
        <v>218</v>
      </c>
      <c r="J28" s="36" t="s">
        <v>217</v>
      </c>
      <c r="K28" s="36"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485" t="s">
        <v>2588</v>
      </c>
      <c r="B1" s="472"/>
      <c r="C1" s="472"/>
      <c r="D1" s="472"/>
      <c r="E1" s="472"/>
      <c r="F1" s="472"/>
      <c r="G1" s="472"/>
      <c r="H1" s="472"/>
      <c r="I1" s="472"/>
      <c r="J1" s="472"/>
      <c r="K1" s="486" t="s">
        <v>2351</v>
      </c>
      <c r="L1" s="472"/>
      <c r="M1" s="472"/>
      <c r="N1" s="472"/>
      <c r="O1" s="472"/>
      <c r="P1" s="487" t="s">
        <v>2352</v>
      </c>
      <c r="Q1" s="472"/>
      <c r="R1" s="472"/>
      <c r="S1" s="472"/>
      <c r="T1" s="488" t="s">
        <v>2353</v>
      </c>
      <c r="U1" s="472"/>
      <c r="V1" s="472"/>
      <c r="W1" s="472"/>
      <c r="X1" s="472"/>
      <c r="Y1" s="472"/>
    </row>
    <row r="2" ht="26.25" customHeight="1">
      <c r="A2" s="211" t="s">
        <v>71</v>
      </c>
      <c r="B2" s="211" t="s">
        <v>174</v>
      </c>
      <c r="C2" s="211" t="s">
        <v>2354</v>
      </c>
      <c r="D2" s="211" t="s">
        <v>2355</v>
      </c>
      <c r="E2" s="211" t="s">
        <v>94</v>
      </c>
      <c r="F2" s="211" t="s">
        <v>148</v>
      </c>
      <c r="G2" s="211" t="s">
        <v>172</v>
      </c>
      <c r="H2" s="211" t="s">
        <v>2356</v>
      </c>
      <c r="I2" s="211" t="s">
        <v>2357</v>
      </c>
      <c r="J2" s="211" t="s">
        <v>2358</v>
      </c>
      <c r="K2" s="211" t="s">
        <v>2359</v>
      </c>
      <c r="L2" s="211" t="s">
        <v>2360</v>
      </c>
      <c r="M2" s="819" t="s">
        <v>2361</v>
      </c>
      <c r="N2" s="211" t="s">
        <v>2362</v>
      </c>
      <c r="O2" s="211" t="s">
        <v>2363</v>
      </c>
      <c r="P2" s="211" t="s">
        <v>126</v>
      </c>
      <c r="Q2" s="211" t="s">
        <v>125</v>
      </c>
      <c r="R2" s="211" t="s">
        <v>2364</v>
      </c>
      <c r="S2" s="211" t="s">
        <v>2365</v>
      </c>
      <c r="T2" s="211" t="s">
        <v>2366</v>
      </c>
      <c r="U2" s="211" t="s">
        <v>2367</v>
      </c>
      <c r="V2" s="211" t="s">
        <v>176</v>
      </c>
      <c r="W2" s="211" t="s">
        <v>2368</v>
      </c>
      <c r="X2" s="211" t="s">
        <v>2369</v>
      </c>
      <c r="Y2" s="211" t="s">
        <v>2370</v>
      </c>
    </row>
    <row r="3" s="382" customFormat="1" ht="26.25" customHeight="1">
      <c r="A3" s="382" t="s">
        <v>45</v>
      </c>
      <c r="B3" s="382" t="s">
        <v>100</v>
      </c>
      <c r="C3" s="382" t="n">
        <v>3132872</v>
      </c>
      <c r="D3" s="382" t="s">
        <v>216</v>
      </c>
      <c r="E3" s="382" t="s">
        <v>283</v>
      </c>
      <c r="F3" s="382" t="s">
        <v>1136</v>
      </c>
      <c r="G3" s="382" t="s">
        <v>35</v>
      </c>
      <c r="H3" s="382" t="s">
        <v>47</v>
      </c>
      <c r="I3" s="382" t="s">
        <v>52</v>
      </c>
      <c r="J3" s="382" t="s">
        <v>48</v>
      </c>
      <c r="K3" s="382" t="s">
        <v>2589</v>
      </c>
      <c r="L3" s="382" t="s">
        <v>2500</v>
      </c>
      <c r="M3" s="382" t="s">
        <v>2590</v>
      </c>
      <c r="N3" s="820" t="s">
        <v>2591</v>
      </c>
      <c r="O3" s="382" t="s">
        <v>2592</v>
      </c>
      <c r="P3" s="382" t="s">
        <v>2593</v>
      </c>
      <c r="T3" s="382" t="s">
        <v>217</v>
      </c>
      <c r="U3" s="382" t="s">
        <v>217</v>
      </c>
    </row>
    <row r="4" s="382" customFormat="1" ht="26.25" customHeight="1">
      <c r="A4" s="382" t="s">
        <v>45</v>
      </c>
      <c r="B4" s="382" t="s">
        <v>100</v>
      </c>
      <c r="C4" s="382" t="n">
        <v>3132872</v>
      </c>
      <c r="D4" s="382" t="s">
        <v>216</v>
      </c>
      <c r="E4" s="382" t="s">
        <v>283</v>
      </c>
      <c r="F4" s="382" t="s">
        <v>1321</v>
      </c>
      <c r="G4" s="382" t="s">
        <v>35</v>
      </c>
      <c r="H4" s="382" t="s">
        <v>43</v>
      </c>
      <c r="I4" s="382" t="s">
        <v>52</v>
      </c>
      <c r="J4" s="382" t="s">
        <v>46</v>
      </c>
      <c r="K4" s="382" t="s">
        <v>621</v>
      </c>
      <c r="L4" s="382" t="s">
        <v>483</v>
      </c>
      <c r="M4" s="821" t="s">
        <v>2594</v>
      </c>
      <c r="N4" s="822" t="s">
        <v>2595</v>
      </c>
      <c r="O4" s="823" t="s">
        <v>2596</v>
      </c>
      <c r="P4" s="382" t="s">
        <v>2597</v>
      </c>
      <c r="Q4" s="382" t="n">
        <v>85</v>
      </c>
      <c r="T4" s="382" t="s">
        <v>217</v>
      </c>
      <c r="U4" s="382" t="s">
        <v>217</v>
      </c>
    </row>
    <row r="5" s="382" customFormat="1" ht="26.25" customHeight="1">
      <c r="A5" s="382" t="s">
        <v>45</v>
      </c>
      <c r="B5" s="382" t="s">
        <v>100</v>
      </c>
      <c r="C5" s="382" t="n">
        <v>3132872</v>
      </c>
      <c r="D5" s="382" t="s">
        <v>216</v>
      </c>
      <c r="E5" s="382" t="s">
        <v>283</v>
      </c>
      <c r="F5" s="382" t="s">
        <v>1285</v>
      </c>
      <c r="G5" s="382" t="s">
        <v>35</v>
      </c>
      <c r="J5" s="382" t="s">
        <v>48</v>
      </c>
      <c r="O5" s="382" t="s">
        <v>2598</v>
      </c>
      <c r="T5" s="382" t="s">
        <v>218</v>
      </c>
    </row>
    <row r="6" s="382" customFormat="1" ht="26.25" customHeight="1">
      <c r="A6" s="382" t="s">
        <v>45</v>
      </c>
      <c r="B6" s="382" t="s">
        <v>100</v>
      </c>
      <c r="C6" s="382" t="n">
        <v>3132872</v>
      </c>
      <c r="D6" s="382" t="s">
        <v>216</v>
      </c>
      <c r="E6" s="382" t="s">
        <v>283</v>
      </c>
      <c r="F6" s="382" t="s">
        <v>1180</v>
      </c>
      <c r="G6" s="382" t="s">
        <v>35</v>
      </c>
      <c r="H6" s="382" t="s">
        <v>47</v>
      </c>
      <c r="I6" s="382" t="s">
        <v>52</v>
      </c>
      <c r="J6" s="382" t="s">
        <v>48</v>
      </c>
      <c r="K6" s="382" t="s">
        <v>2599</v>
      </c>
      <c r="L6" s="382" t="s">
        <v>2600</v>
      </c>
      <c r="M6" s="824" t="s">
        <v>2601</v>
      </c>
      <c r="N6" s="825" t="s">
        <v>2602</v>
      </c>
      <c r="O6" s="826" t="s">
        <v>2603</v>
      </c>
      <c r="P6" s="382" t="s">
        <v>2604</v>
      </c>
      <c r="T6" s="382" t="s">
        <v>217</v>
      </c>
      <c r="U6" s="382" t="s">
        <v>217</v>
      </c>
    </row>
    <row r="7" s="382" customFormat="1" ht="26.25" customHeight="1">
      <c r="A7" s="382" t="s">
        <v>45</v>
      </c>
      <c r="B7" s="382" t="s">
        <v>100</v>
      </c>
      <c r="C7" s="382" t="n">
        <v>3132872</v>
      </c>
      <c r="D7" s="382" t="s">
        <v>216</v>
      </c>
      <c r="E7" s="382" t="s">
        <v>283</v>
      </c>
      <c r="F7" s="382" t="s">
        <v>1161</v>
      </c>
      <c r="G7" s="382" t="s">
        <v>35</v>
      </c>
      <c r="H7" s="382" t="s">
        <v>47</v>
      </c>
      <c r="I7" s="382" t="s">
        <v>52</v>
      </c>
      <c r="J7" s="382" t="s">
        <v>46</v>
      </c>
      <c r="O7" s="827" t="s">
        <v>2605</v>
      </c>
      <c r="Q7" s="382" t="n">
        <v>86</v>
      </c>
      <c r="T7" s="382" t="s">
        <v>217</v>
      </c>
      <c r="U7" s="382" t="s">
        <v>217</v>
      </c>
    </row>
    <row r="8" s="382" customFormat="1" ht="26.25" customHeight="1">
      <c r="A8" s="382" t="s">
        <v>45</v>
      </c>
      <c r="B8" s="382" t="s">
        <v>100</v>
      </c>
      <c r="C8" s="382" t="n">
        <v>3132872</v>
      </c>
      <c r="D8" s="382" t="s">
        <v>216</v>
      </c>
      <c r="E8" s="382" t="s">
        <v>283</v>
      </c>
      <c r="F8" s="382" t="s">
        <v>1139</v>
      </c>
      <c r="G8" s="382" t="s">
        <v>35</v>
      </c>
      <c r="H8" s="382" t="s">
        <v>47</v>
      </c>
      <c r="I8" s="382" t="s">
        <v>52</v>
      </c>
      <c r="J8" s="382" t="s">
        <v>48</v>
      </c>
      <c r="K8" s="382" t="s">
        <v>2606</v>
      </c>
      <c r="O8" s="828" t="s">
        <v>2607</v>
      </c>
      <c r="P8" s="382" t="s">
        <v>2608</v>
      </c>
      <c r="T8" s="382" t="s">
        <v>217</v>
      </c>
      <c r="U8" s="382" t="s">
        <v>217</v>
      </c>
    </row>
    <row r="9" s="382" customFormat="1" ht="26.25" customHeight="1">
      <c r="A9" s="382" t="s">
        <v>45</v>
      </c>
      <c r="B9" s="382" t="s">
        <v>100</v>
      </c>
      <c r="C9" s="382" t="n">
        <v>3132872</v>
      </c>
      <c r="D9" s="382" t="s">
        <v>216</v>
      </c>
      <c r="E9" s="382" t="s">
        <v>283</v>
      </c>
      <c r="F9" s="382" t="s">
        <v>1101</v>
      </c>
      <c r="G9" s="382" t="s">
        <v>35</v>
      </c>
      <c r="H9" s="382" t="s">
        <v>47</v>
      </c>
      <c r="I9" s="382" t="s">
        <v>52</v>
      </c>
      <c r="J9" s="382" t="s">
        <v>46</v>
      </c>
      <c r="K9" s="382" t="s">
        <v>2609</v>
      </c>
      <c r="L9" s="382" t="s">
        <v>2610</v>
      </c>
      <c r="M9" s="829" t="s">
        <v>2611</v>
      </c>
      <c r="N9" s="830" t="s">
        <v>2611</v>
      </c>
      <c r="O9" s="831" t="s">
        <v>2611</v>
      </c>
      <c r="P9" s="382" t="s">
        <v>2612</v>
      </c>
      <c r="T9" s="382" t="s">
        <v>217</v>
      </c>
      <c r="U9" s="382" t="s">
        <v>217</v>
      </c>
    </row>
    <row r="10" s="382" customFormat="1" ht="26.25" customHeight="1">
      <c r="A10" s="382" t="s">
        <v>45</v>
      </c>
      <c r="B10" s="382" t="s">
        <v>100</v>
      </c>
      <c r="C10" s="382" t="n">
        <v>3132872</v>
      </c>
      <c r="D10" s="382" t="s">
        <v>216</v>
      </c>
      <c r="E10" s="382" t="s">
        <v>283</v>
      </c>
      <c r="F10" s="382" t="s">
        <v>1092</v>
      </c>
      <c r="G10" s="382" t="s">
        <v>35</v>
      </c>
      <c r="H10" s="382" t="s">
        <v>47</v>
      </c>
      <c r="I10" s="382" t="s">
        <v>52</v>
      </c>
      <c r="J10" s="382" t="s">
        <v>50</v>
      </c>
      <c r="K10" s="382" t="s">
        <v>2613</v>
      </c>
      <c r="L10" s="382" t="s">
        <v>2600</v>
      </c>
      <c r="M10" s="832" t="s">
        <v>2614</v>
      </c>
      <c r="N10" s="833" t="s">
        <v>2615</v>
      </c>
      <c r="O10" s="834" t="s">
        <v>2616</v>
      </c>
      <c r="P10" s="382" t="s">
        <v>2617</v>
      </c>
      <c r="T10" s="382" t="s">
        <v>217</v>
      </c>
      <c r="U10" s="382" t="s">
        <v>217</v>
      </c>
    </row>
    <row r="11" s="382" customFormat="1" ht="26.25" customHeight="1">
      <c r="A11" s="382" t="s">
        <v>45</v>
      </c>
      <c r="B11" s="382" t="s">
        <v>100</v>
      </c>
      <c r="C11" s="382" t="n">
        <v>3132872</v>
      </c>
      <c r="D11" s="382" t="s">
        <v>216</v>
      </c>
      <c r="E11" s="382" t="s">
        <v>283</v>
      </c>
      <c r="F11" s="382" t="s">
        <v>1140</v>
      </c>
      <c r="G11" s="382" t="s">
        <v>35</v>
      </c>
      <c r="H11" s="382" t="s">
        <v>47</v>
      </c>
      <c r="I11" s="382" t="s">
        <v>52</v>
      </c>
      <c r="J11" s="382" t="s">
        <v>40</v>
      </c>
      <c r="K11" s="382" t="s">
        <v>2618</v>
      </c>
      <c r="L11" s="382" t="s">
        <v>2619</v>
      </c>
      <c r="M11" s="835" t="s">
        <v>2620</v>
      </c>
      <c r="N11" s="836" t="s">
        <v>2621</v>
      </c>
      <c r="O11" s="382" t="s">
        <v>2622</v>
      </c>
      <c r="P11" s="382" t="s">
        <v>2612</v>
      </c>
      <c r="Q11" s="382" t="n">
        <v>70</v>
      </c>
      <c r="T11" s="382" t="s">
        <v>217</v>
      </c>
      <c r="U11" s="382" t="s">
        <v>217</v>
      </c>
    </row>
    <row r="12" s="382" customFormat="1" ht="26.25" customHeight="1">
      <c r="A12" s="382" t="s">
        <v>54</v>
      </c>
      <c r="B12" s="382" t="s">
        <v>101</v>
      </c>
      <c r="C12" s="382" t="n">
        <v>5111035</v>
      </c>
      <c r="D12" s="382" t="s">
        <v>233</v>
      </c>
      <c r="E12" s="382" t="s">
        <v>234</v>
      </c>
      <c r="F12" s="382" t="s">
        <v>1098</v>
      </c>
      <c r="G12" s="382" t="s">
        <v>35</v>
      </c>
      <c r="H12" s="382" t="s">
        <v>47</v>
      </c>
      <c r="I12" s="382" t="s">
        <v>56</v>
      </c>
      <c r="J12" s="382" t="s">
        <v>59</v>
      </c>
      <c r="L12" s="382" t="s">
        <v>2623</v>
      </c>
      <c r="P12" s="382" t="s">
        <v>2453</v>
      </c>
      <c r="T12" s="382" t="s">
        <v>217</v>
      </c>
      <c r="U12" s="382" t="s">
        <v>217</v>
      </c>
    </row>
    <row r="13" s="382" customFormat="1" ht="26.25" customHeight="1">
      <c r="A13" s="382" t="s">
        <v>54</v>
      </c>
      <c r="B13" s="382" t="s">
        <v>101</v>
      </c>
      <c r="C13" s="382" t="n">
        <v>5111035</v>
      </c>
      <c r="D13" s="382" t="s">
        <v>233</v>
      </c>
      <c r="E13" s="382" t="s">
        <v>234</v>
      </c>
      <c r="F13" s="382" t="s">
        <v>1146</v>
      </c>
      <c r="G13" s="382" t="s">
        <v>35</v>
      </c>
      <c r="H13" s="382" t="s">
        <v>47</v>
      </c>
      <c r="I13" s="382" t="s">
        <v>56</v>
      </c>
      <c r="J13" s="382" t="s">
        <v>55</v>
      </c>
      <c r="K13" s="382" t="s">
        <v>2624</v>
      </c>
      <c r="M13" s="837" t="s">
        <v>2625</v>
      </c>
      <c r="N13" s="838" t="s">
        <v>2626</v>
      </c>
      <c r="O13" s="839" t="s">
        <v>2627</v>
      </c>
      <c r="P13" s="382" t="s">
        <v>2628</v>
      </c>
      <c r="T13" s="382" t="s">
        <v>217</v>
      </c>
      <c r="U13" s="382" t="s">
        <v>217</v>
      </c>
    </row>
    <row r="14" s="382" customFormat="1" ht="26.25" customHeight="1">
      <c r="A14" s="382" t="s">
        <v>54</v>
      </c>
      <c r="B14" s="382" t="s">
        <v>101</v>
      </c>
      <c r="C14" s="382" t="n">
        <v>5111035</v>
      </c>
      <c r="D14" s="382" t="s">
        <v>233</v>
      </c>
      <c r="E14" s="382" t="s">
        <v>234</v>
      </c>
      <c r="F14" s="382" t="s">
        <v>1185</v>
      </c>
      <c r="G14" s="382" t="s">
        <v>35</v>
      </c>
      <c r="H14" s="382" t="s">
        <v>47</v>
      </c>
      <c r="I14" s="382" t="s">
        <v>56</v>
      </c>
      <c r="J14" s="382" t="s">
        <v>59</v>
      </c>
      <c r="K14" s="382" t="s">
        <v>2389</v>
      </c>
      <c r="L14" s="382" t="s">
        <v>2629</v>
      </c>
      <c r="N14" s="382" t="s">
        <v>2410</v>
      </c>
      <c r="O14" s="840" t="s">
        <v>2630</v>
      </c>
      <c r="P14" s="382" t="s">
        <v>2631</v>
      </c>
      <c r="Q14" s="382" t="n">
        <v>100</v>
      </c>
      <c r="T14" s="382" t="s">
        <v>217</v>
      </c>
      <c r="U14" s="382" t="s">
        <v>217</v>
      </c>
    </row>
    <row r="15" s="382" customFormat="1" ht="26.25" customHeight="1">
      <c r="A15" s="382" t="s">
        <v>54</v>
      </c>
      <c r="B15" s="382" t="s">
        <v>101</v>
      </c>
      <c r="C15" s="382" t="n">
        <v>5111035</v>
      </c>
      <c r="D15" s="382" t="s">
        <v>233</v>
      </c>
      <c r="E15" s="382" t="s">
        <v>234</v>
      </c>
      <c r="F15" s="382" t="s">
        <v>1115</v>
      </c>
      <c r="G15" s="382" t="s">
        <v>35</v>
      </c>
      <c r="H15" s="382" t="s">
        <v>47</v>
      </c>
      <c r="I15" s="382" t="s">
        <v>56</v>
      </c>
      <c r="J15" s="382" t="s">
        <v>59</v>
      </c>
      <c r="K15" s="382" t="s">
        <v>473</v>
      </c>
      <c r="L15" s="382" t="s">
        <v>473</v>
      </c>
      <c r="M15" s="841" t="s">
        <v>2632</v>
      </c>
      <c r="N15" s="842" t="s">
        <v>2633</v>
      </c>
      <c r="O15" s="843" t="s">
        <v>2634</v>
      </c>
      <c r="P15" s="382" t="n">
        <v>85</v>
      </c>
      <c r="T15" s="382" t="s">
        <v>217</v>
      </c>
      <c r="U15" s="382" t="s">
        <v>217</v>
      </c>
    </row>
    <row r="16" s="382" customFormat="1" ht="26.25" customHeight="1">
      <c r="A16" s="382" t="s">
        <v>54</v>
      </c>
      <c r="B16" s="382" t="s">
        <v>101</v>
      </c>
      <c r="C16" s="382" t="n">
        <v>5111035</v>
      </c>
      <c r="D16" s="382" t="s">
        <v>233</v>
      </c>
      <c r="E16" s="382" t="s">
        <v>234</v>
      </c>
      <c r="F16" s="382" t="s">
        <v>1044</v>
      </c>
      <c r="G16" s="382" t="s">
        <v>35</v>
      </c>
      <c r="H16" s="382" t="s">
        <v>47</v>
      </c>
      <c r="I16" s="382" t="s">
        <v>56</v>
      </c>
      <c r="J16" s="382" t="s">
        <v>59</v>
      </c>
      <c r="K16" s="382" t="s">
        <v>473</v>
      </c>
      <c r="L16" s="382" t="s">
        <v>473</v>
      </c>
      <c r="M16" s="844" t="s">
        <v>2635</v>
      </c>
      <c r="N16" s="382" t="s">
        <v>2636</v>
      </c>
      <c r="O16" s="845" t="s">
        <v>2637</v>
      </c>
      <c r="P16" s="382" t="s">
        <v>2638</v>
      </c>
      <c r="T16" s="382" t="s">
        <v>217</v>
      </c>
      <c r="U16" s="382" t="s">
        <v>217</v>
      </c>
    </row>
    <row r="17" s="382" customFormat="1" ht="26.25" customHeight="1">
      <c r="A17" s="382" t="s">
        <v>54</v>
      </c>
      <c r="B17" s="382" t="s">
        <v>101</v>
      </c>
      <c r="C17" s="382" t="n">
        <v>5111035</v>
      </c>
      <c r="D17" s="382" t="s">
        <v>233</v>
      </c>
      <c r="E17" s="382" t="s">
        <v>234</v>
      </c>
      <c r="F17" s="382" t="s">
        <v>1097</v>
      </c>
      <c r="G17" s="382" t="s">
        <v>35</v>
      </c>
      <c r="H17" s="382" t="s">
        <v>47</v>
      </c>
      <c r="I17" s="382" t="s">
        <v>56</v>
      </c>
      <c r="J17" s="382" t="s">
        <v>59</v>
      </c>
      <c r="K17" s="382" t="s">
        <v>2639</v>
      </c>
      <c r="M17" s="382" t="s">
        <v>2640</v>
      </c>
      <c r="N17" s="846" t="s">
        <v>2641</v>
      </c>
      <c r="O17" s="847" t="s">
        <v>2642</v>
      </c>
      <c r="P17" s="382" t="s">
        <v>2643</v>
      </c>
      <c r="T17" s="382" t="s">
        <v>217</v>
      </c>
      <c r="U17" s="382" t="s">
        <v>217</v>
      </c>
    </row>
    <row r="18" s="382" customFormat="1" ht="26.25" customHeight="1">
      <c r="A18" s="382" t="s">
        <v>54</v>
      </c>
      <c r="B18" s="382" t="s">
        <v>101</v>
      </c>
      <c r="C18" s="382" t="n">
        <v>5111035</v>
      </c>
      <c r="D18" s="382" t="s">
        <v>233</v>
      </c>
      <c r="E18" s="382" t="s">
        <v>234</v>
      </c>
      <c r="F18" s="382" t="s">
        <v>1176</v>
      </c>
      <c r="G18" s="382" t="s">
        <v>35</v>
      </c>
      <c r="H18" s="382" t="s">
        <v>47</v>
      </c>
      <c r="I18" s="382" t="s">
        <v>56</v>
      </c>
      <c r="J18" s="382" t="s">
        <v>55</v>
      </c>
      <c r="K18" s="382" t="s">
        <v>2432</v>
      </c>
      <c r="M18" s="382" t="s">
        <v>2644</v>
      </c>
      <c r="N18" s="382" t="s">
        <v>2645</v>
      </c>
      <c r="O18" s="848" t="s">
        <v>2646</v>
      </c>
      <c r="P18" s="382" t="n">
        <v>86</v>
      </c>
      <c r="T18" s="382" t="s">
        <v>217</v>
      </c>
      <c r="U18" s="382" t="s">
        <v>217</v>
      </c>
    </row>
    <row r="19" s="382" customFormat="1" ht="26.25" customHeight="1">
      <c r="A19" s="382" t="s">
        <v>54</v>
      </c>
      <c r="B19" s="382" t="s">
        <v>101</v>
      </c>
      <c r="C19" s="382" t="n">
        <v>5111035</v>
      </c>
      <c r="D19" s="382" t="s">
        <v>233</v>
      </c>
      <c r="E19" s="382" t="s">
        <v>234</v>
      </c>
      <c r="F19" s="382" t="s">
        <v>1193</v>
      </c>
      <c r="G19" s="382" t="s">
        <v>35</v>
      </c>
      <c r="H19" s="382" t="s">
        <v>47</v>
      </c>
      <c r="I19" s="382" t="s">
        <v>56</v>
      </c>
      <c r="J19" s="382" t="s">
        <v>55</v>
      </c>
      <c r="K19" s="382" t="s">
        <v>2647</v>
      </c>
      <c r="L19" s="849" t="s">
        <v>2648</v>
      </c>
      <c r="M19" s="382" t="s">
        <v>2649</v>
      </c>
      <c r="N19" s="382" t="s">
        <v>2410</v>
      </c>
      <c r="O19" s="850" t="s">
        <v>2650</v>
      </c>
      <c r="P19" s="382" t="n">
        <v>85</v>
      </c>
      <c r="T19" s="382" t="s">
        <v>217</v>
      </c>
      <c r="U19" s="382" t="s">
        <v>217</v>
      </c>
    </row>
    <row r="20" s="382" customFormat="1" ht="26.25" customHeight="1">
      <c r="A20" s="382" t="s">
        <v>54</v>
      </c>
      <c r="B20" s="382" t="s">
        <v>101</v>
      </c>
      <c r="C20" s="382" t="n">
        <v>5111035</v>
      </c>
      <c r="D20" s="382" t="s">
        <v>233</v>
      </c>
      <c r="E20" s="382" t="s">
        <v>234</v>
      </c>
      <c r="F20" s="382" t="s">
        <v>1183</v>
      </c>
      <c r="G20" s="382" t="s">
        <v>35</v>
      </c>
      <c r="H20" s="382" t="s">
        <v>47</v>
      </c>
      <c r="I20" s="382" t="s">
        <v>56</v>
      </c>
      <c r="J20" s="382" t="s">
        <v>36</v>
      </c>
      <c r="L20" s="382" t="s">
        <v>325</v>
      </c>
      <c r="M20" s="382" t="s">
        <v>2651</v>
      </c>
      <c r="N20" s="382" t="s">
        <v>2652</v>
      </c>
      <c r="O20" s="851" t="s">
        <v>2653</v>
      </c>
      <c r="P20" s="382" t="s">
        <v>2654</v>
      </c>
      <c r="Q20" s="382" t="n">
        <v>80</v>
      </c>
      <c r="T20" s="382" t="s">
        <v>217</v>
      </c>
      <c r="U20" s="382" t="s">
        <v>217</v>
      </c>
    </row>
    <row r="21" s="382" customFormat="1" ht="26.25" customHeight="1">
      <c r="A21" s="382" t="s">
        <v>54</v>
      </c>
      <c r="B21" s="382" t="s">
        <v>101</v>
      </c>
      <c r="C21" s="382" t="n">
        <v>5111035</v>
      </c>
      <c r="D21" s="382" t="s">
        <v>233</v>
      </c>
      <c r="E21" s="382" t="s">
        <v>234</v>
      </c>
      <c r="F21" s="382" t="s">
        <v>1155</v>
      </c>
      <c r="G21" s="382" t="s">
        <v>35</v>
      </c>
      <c r="H21" s="382" t="s">
        <v>47</v>
      </c>
      <c r="I21" s="382" t="s">
        <v>56</v>
      </c>
      <c r="J21" s="382" t="s">
        <v>57</v>
      </c>
      <c r="K21" s="382" t="s">
        <v>2437</v>
      </c>
      <c r="L21" s="382" t="s">
        <v>2384</v>
      </c>
      <c r="N21" s="852" t="s">
        <v>2655</v>
      </c>
      <c r="P21" s="382" t="n">
        <v>86</v>
      </c>
      <c r="T21" s="382" t="s">
        <v>217</v>
      </c>
      <c r="U21" s="382" t="s">
        <v>217</v>
      </c>
    </row>
    <row r="22" s="382" customFormat="1" ht="26.25" customHeight="1">
      <c r="A22" s="382" t="s">
        <v>54</v>
      </c>
      <c r="B22" s="382" t="s">
        <v>101</v>
      </c>
      <c r="C22" s="382" t="n">
        <v>5111035</v>
      </c>
      <c r="D22" s="382" t="s">
        <v>233</v>
      </c>
      <c r="E22" s="382" t="s">
        <v>234</v>
      </c>
      <c r="F22" s="382" t="s">
        <v>1298</v>
      </c>
      <c r="G22" s="382" t="s">
        <v>35</v>
      </c>
      <c r="H22" s="382" t="s">
        <v>47</v>
      </c>
      <c r="I22" s="382" t="s">
        <v>56</v>
      </c>
      <c r="J22" s="382" t="s">
        <v>57</v>
      </c>
      <c r="L22" s="382" t="s">
        <v>2656</v>
      </c>
      <c r="M22" s="853" t="s">
        <v>2657</v>
      </c>
      <c r="N22" s="382" t="s">
        <v>2658</v>
      </c>
      <c r="O22" s="382" t="s">
        <v>2659</v>
      </c>
      <c r="P22" s="382" t="s">
        <v>2660</v>
      </c>
      <c r="T22" s="382" t="s">
        <v>217</v>
      </c>
      <c r="U22" s="382" t="s">
        <v>217</v>
      </c>
    </row>
    <row r="23" s="382" customFormat="1" ht="26.25" customHeight="1">
      <c r="A23" s="382" t="s">
        <v>54</v>
      </c>
      <c r="B23" s="382" t="s">
        <v>101</v>
      </c>
      <c r="C23" s="382" t="n">
        <v>5111035</v>
      </c>
      <c r="D23" s="382" t="s">
        <v>233</v>
      </c>
      <c r="E23" s="382" t="s">
        <v>234</v>
      </c>
      <c r="F23" s="382" t="s">
        <v>1057</v>
      </c>
      <c r="G23" s="382" t="s">
        <v>35</v>
      </c>
      <c r="H23" s="382" t="s">
        <v>47</v>
      </c>
      <c r="I23" s="382" t="s">
        <v>56</v>
      </c>
      <c r="J23" s="382" t="s">
        <v>40</v>
      </c>
      <c r="K23" s="382" t="s">
        <v>2661</v>
      </c>
      <c r="L23" s="382" t="s">
        <v>2662</v>
      </c>
      <c r="N23" s="382" t="s">
        <v>2663</v>
      </c>
      <c r="P23" s="382" t="s">
        <v>2664</v>
      </c>
      <c r="Q23" s="382" t="n">
        <v>85</v>
      </c>
      <c r="T23" s="382" t="s">
        <v>217</v>
      </c>
      <c r="U23" s="382" t="s">
        <v>217</v>
      </c>
    </row>
    <row r="24" s="382" customFormat="1" ht="26.25" customHeight="1">
      <c r="A24" s="382" t="s">
        <v>54</v>
      </c>
      <c r="B24" s="382" t="s">
        <v>101</v>
      </c>
      <c r="C24" s="382" t="n">
        <v>5111035</v>
      </c>
      <c r="D24" s="382" t="s">
        <v>233</v>
      </c>
      <c r="E24" s="382" t="s">
        <v>234</v>
      </c>
      <c r="F24" s="382" t="s">
        <v>1114</v>
      </c>
      <c r="G24" s="382" t="s">
        <v>35</v>
      </c>
      <c r="H24" s="382" t="s">
        <v>47</v>
      </c>
      <c r="I24" s="382" t="s">
        <v>56</v>
      </c>
      <c r="J24" s="382" t="s">
        <v>59</v>
      </c>
      <c r="K24" s="382" t="s">
        <v>473</v>
      </c>
      <c r="L24" s="382" t="s">
        <v>473</v>
      </c>
      <c r="M24" s="854" t="s">
        <v>2665</v>
      </c>
      <c r="N24" s="382" t="s">
        <v>2666</v>
      </c>
      <c r="O24" s="855" t="s">
        <v>2667</v>
      </c>
      <c r="P24" s="382" t="s">
        <v>27</v>
      </c>
      <c r="T24" s="382" t="s">
        <v>217</v>
      </c>
      <c r="U24" s="382" t="s">
        <v>217</v>
      </c>
    </row>
    <row r="25" s="382" customFormat="1" ht="26.25" customHeight="1">
      <c r="A25" s="382" t="s">
        <v>54</v>
      </c>
      <c r="B25" s="382" t="s">
        <v>101</v>
      </c>
      <c r="C25" s="382" t="n">
        <v>5111035</v>
      </c>
      <c r="D25" s="382" t="s">
        <v>233</v>
      </c>
      <c r="E25" s="382" t="s">
        <v>234</v>
      </c>
      <c r="F25" s="382" t="s">
        <v>1179</v>
      </c>
      <c r="G25" s="382" t="s">
        <v>35</v>
      </c>
      <c r="H25" s="382" t="s">
        <v>47</v>
      </c>
      <c r="I25" s="382" t="s">
        <v>56</v>
      </c>
      <c r="J25" s="382" t="s">
        <v>55</v>
      </c>
      <c r="K25" s="382" t="s">
        <v>2668</v>
      </c>
      <c r="L25" s="382" t="s">
        <v>2600</v>
      </c>
      <c r="M25" s="856" t="s">
        <v>2669</v>
      </c>
      <c r="N25" s="382" t="s">
        <v>2670</v>
      </c>
      <c r="O25" s="857" t="s">
        <v>2671</v>
      </c>
      <c r="P25" s="382" t="s">
        <v>2457</v>
      </c>
      <c r="T25" s="382" t="s">
        <v>217</v>
      </c>
      <c r="U25" s="382" t="s">
        <v>217</v>
      </c>
    </row>
    <row r="26" s="382" customFormat="1" ht="26.25" customHeight="1">
      <c r="A26" s="382" t="s">
        <v>54</v>
      </c>
      <c r="B26" s="382" t="s">
        <v>101</v>
      </c>
      <c r="C26" s="382" t="n">
        <v>5111035</v>
      </c>
      <c r="D26" s="382" t="s">
        <v>233</v>
      </c>
      <c r="E26" s="382" t="s">
        <v>234</v>
      </c>
      <c r="F26" s="382" t="s">
        <v>1125</v>
      </c>
      <c r="G26" s="382" t="s">
        <v>35</v>
      </c>
      <c r="H26" s="382" t="s">
        <v>47</v>
      </c>
      <c r="I26" s="382" t="s">
        <v>56</v>
      </c>
      <c r="J26" s="382" t="s">
        <v>55</v>
      </c>
      <c r="K26" s="382" t="s">
        <v>2672</v>
      </c>
      <c r="M26" s="858" t="s">
        <v>2673</v>
      </c>
      <c r="N26" s="382" t="s">
        <v>2674</v>
      </c>
      <c r="O26" s="382" t="s">
        <v>2675</v>
      </c>
      <c r="P26" s="382" t="s">
        <v>28</v>
      </c>
      <c r="T26" s="382" t="s">
        <v>217</v>
      </c>
      <c r="U26" s="382" t="s">
        <v>217</v>
      </c>
    </row>
    <row r="27" s="382" customFormat="1" ht="26.25" customHeight="1">
      <c r="A27" s="382" t="s">
        <v>54</v>
      </c>
      <c r="B27" s="382" t="s">
        <v>101</v>
      </c>
      <c r="C27" s="382" t="n">
        <v>5111035</v>
      </c>
      <c r="D27" s="382" t="s">
        <v>233</v>
      </c>
      <c r="E27" s="382" t="s">
        <v>234</v>
      </c>
      <c r="F27" s="382" t="s">
        <v>1003</v>
      </c>
      <c r="G27" s="382" t="s">
        <v>35</v>
      </c>
      <c r="H27" s="382" t="s">
        <v>47</v>
      </c>
      <c r="I27" s="382" t="s">
        <v>56</v>
      </c>
      <c r="J27" s="382" t="s">
        <v>59</v>
      </c>
      <c r="K27" s="382" t="s">
        <v>2437</v>
      </c>
      <c r="L27" s="859" t="s">
        <v>2494</v>
      </c>
      <c r="N27" s="382" t="s">
        <v>2676</v>
      </c>
      <c r="O27" s="860" t="s">
        <v>2677</v>
      </c>
      <c r="P27" s="382" t="s">
        <v>2678</v>
      </c>
      <c r="Q27" s="382" t="n">
        <v>95</v>
      </c>
      <c r="T27" s="382" t="s">
        <v>217</v>
      </c>
      <c r="U27" s="382" t="s">
        <v>217</v>
      </c>
    </row>
    <row r="28" s="382" customFormat="1" ht="26.25" customHeight="1">
      <c r="A28" s="382" t="s">
        <v>54</v>
      </c>
      <c r="B28" s="382" t="s">
        <v>101</v>
      </c>
      <c r="C28" s="382" t="n">
        <v>5111035</v>
      </c>
      <c r="D28" s="382" t="s">
        <v>233</v>
      </c>
      <c r="E28" s="382" t="s">
        <v>234</v>
      </c>
      <c r="F28" s="382" t="s">
        <v>1274</v>
      </c>
      <c r="G28" s="382" t="s">
        <v>35</v>
      </c>
      <c r="H28" s="382" t="s">
        <v>47</v>
      </c>
      <c r="I28" s="382" t="s">
        <v>56</v>
      </c>
      <c r="J28" s="382" t="s">
        <v>55</v>
      </c>
      <c r="K28" s="382" t="s">
        <v>2678</v>
      </c>
      <c r="L28" s="382" t="s">
        <v>2678</v>
      </c>
      <c r="M28" s="861" t="s">
        <v>2679</v>
      </c>
      <c r="N28" s="862" t="s">
        <v>2680</v>
      </c>
      <c r="O28" s="863" t="s">
        <v>2681</v>
      </c>
      <c r="Q28" s="382" t="n">
        <v>84</v>
      </c>
      <c r="T28" s="382" t="s">
        <v>217</v>
      </c>
      <c r="U28" s="382" t="s">
        <v>217</v>
      </c>
    </row>
    <row r="29" s="382" customFormat="1" ht="26.25" customHeight="1">
      <c r="A29" s="382" t="s">
        <v>54</v>
      </c>
      <c r="B29" s="382" t="s">
        <v>101</v>
      </c>
      <c r="C29" s="382" t="n">
        <v>5111035</v>
      </c>
      <c r="D29" s="382" t="s">
        <v>233</v>
      </c>
      <c r="E29" s="382" t="s">
        <v>234</v>
      </c>
      <c r="F29" s="382" t="s">
        <v>1116</v>
      </c>
      <c r="G29" s="382" t="s">
        <v>35</v>
      </c>
      <c r="H29" s="382" t="s">
        <v>47</v>
      </c>
      <c r="I29" s="382" t="s">
        <v>56</v>
      </c>
      <c r="J29" s="382" t="s">
        <v>59</v>
      </c>
      <c r="K29" s="382" t="s">
        <v>473</v>
      </c>
      <c r="L29" s="382" t="s">
        <v>2682</v>
      </c>
      <c r="M29" s="382" t="s">
        <v>2683</v>
      </c>
      <c r="N29" s="382" t="s">
        <v>2684</v>
      </c>
      <c r="O29" s="864" t="s">
        <v>2685</v>
      </c>
      <c r="P29" s="382" t="s">
        <v>27</v>
      </c>
      <c r="T29" s="382" t="s">
        <v>217</v>
      </c>
      <c r="U29" s="382" t="s">
        <v>217</v>
      </c>
    </row>
    <row r="30" s="382" customFormat="1" ht="26.25" customHeight="1">
      <c r="A30" s="382" t="s">
        <v>54</v>
      </c>
      <c r="B30" s="382" t="s">
        <v>101</v>
      </c>
      <c r="C30" s="382" t="n">
        <v>5111035</v>
      </c>
      <c r="D30" s="382" t="s">
        <v>233</v>
      </c>
      <c r="E30" s="382" t="s">
        <v>234</v>
      </c>
      <c r="F30" s="382" t="s">
        <v>1160</v>
      </c>
      <c r="G30" s="382" t="s">
        <v>35</v>
      </c>
      <c r="H30" s="382" t="s">
        <v>47</v>
      </c>
      <c r="I30" s="382" t="s">
        <v>56</v>
      </c>
      <c r="J30" s="382" t="s">
        <v>59</v>
      </c>
      <c r="K30" s="382" t="s">
        <v>2437</v>
      </c>
      <c r="L30" s="382" t="s">
        <v>2384</v>
      </c>
      <c r="N30" s="382" t="s">
        <v>2686</v>
      </c>
      <c r="O30" s="865" t="s">
        <v>2687</v>
      </c>
      <c r="P30" s="382" t="s">
        <v>2688</v>
      </c>
      <c r="Q30" s="382" t="n">
        <v>95</v>
      </c>
      <c r="T30" s="382" t="s">
        <v>217</v>
      </c>
      <c r="U30" s="382" t="s">
        <v>217</v>
      </c>
    </row>
    <row r="31" s="382" customFormat="1" ht="26.25" customHeight="1">
      <c r="A31" s="382" t="s">
        <v>54</v>
      </c>
      <c r="B31" s="382" t="s">
        <v>101</v>
      </c>
      <c r="C31" s="382" t="n">
        <v>5111035</v>
      </c>
      <c r="D31" s="382" t="s">
        <v>233</v>
      </c>
      <c r="E31" s="382" t="s">
        <v>234</v>
      </c>
      <c r="F31" s="382" t="s">
        <v>1127</v>
      </c>
      <c r="G31" s="382" t="s">
        <v>35</v>
      </c>
      <c r="H31" s="382" t="s">
        <v>47</v>
      </c>
      <c r="I31" s="382" t="s">
        <v>56</v>
      </c>
      <c r="J31" s="382" t="s">
        <v>59</v>
      </c>
      <c r="O31" s="866" t="s">
        <v>2689</v>
      </c>
      <c r="P31" s="382" t="n">
        <v>64</v>
      </c>
      <c r="T31" s="382" t="s">
        <v>217</v>
      </c>
      <c r="U31" s="382" t="s">
        <v>217</v>
      </c>
    </row>
    <row r="32" s="382" customFormat="1" ht="26.25" customHeight="1">
      <c r="A32" s="382" t="s">
        <v>54</v>
      </c>
      <c r="B32" s="382" t="s">
        <v>101</v>
      </c>
      <c r="C32" s="382" t="n">
        <v>5111035</v>
      </c>
      <c r="D32" s="382" t="s">
        <v>233</v>
      </c>
      <c r="E32" s="382" t="s">
        <v>234</v>
      </c>
      <c r="F32" s="382" t="s">
        <v>1100</v>
      </c>
      <c r="G32" s="382" t="s">
        <v>35</v>
      </c>
      <c r="H32" s="382" t="s">
        <v>47</v>
      </c>
      <c r="I32" s="382" t="s">
        <v>56</v>
      </c>
      <c r="J32" s="382" t="s">
        <v>59</v>
      </c>
      <c r="K32" s="382" t="s">
        <v>2668</v>
      </c>
      <c r="L32" s="382" t="s">
        <v>318</v>
      </c>
      <c r="M32" s="867" t="s">
        <v>2690</v>
      </c>
      <c r="N32" s="868" t="s">
        <v>2691</v>
      </c>
      <c r="O32" s="869" t="s">
        <v>2692</v>
      </c>
      <c r="P32" s="382" t="s">
        <v>2693</v>
      </c>
      <c r="T32" s="382" t="s">
        <v>217</v>
      </c>
      <c r="U32" s="382" t="s">
        <v>217</v>
      </c>
    </row>
    <row r="33" s="382" customFormat="1" ht="26.25" customHeight="1">
      <c r="A33" s="382" t="s">
        <v>54</v>
      </c>
      <c r="B33" s="382" t="s">
        <v>101</v>
      </c>
      <c r="C33" s="382" t="n">
        <v>5111035</v>
      </c>
      <c r="D33" s="382" t="s">
        <v>233</v>
      </c>
      <c r="E33" s="382" t="s">
        <v>234</v>
      </c>
      <c r="F33" s="382" t="s">
        <v>1094</v>
      </c>
      <c r="G33" s="382" t="s">
        <v>35</v>
      </c>
      <c r="H33" s="382" t="s">
        <v>47</v>
      </c>
      <c r="I33" s="382" t="s">
        <v>56</v>
      </c>
      <c r="J33" s="382" t="s">
        <v>59</v>
      </c>
      <c r="K33" s="382" t="s">
        <v>473</v>
      </c>
      <c r="L33" s="382" t="s">
        <v>2682</v>
      </c>
      <c r="M33" s="382" t="s">
        <v>2694</v>
      </c>
      <c r="N33" s="382" t="s">
        <v>2695</v>
      </c>
      <c r="O33" s="382" t="s">
        <v>2696</v>
      </c>
      <c r="P33" s="382" t="s">
        <v>2697</v>
      </c>
      <c r="T33" s="382" t="s">
        <v>217</v>
      </c>
      <c r="U33" s="382" t="s">
        <v>217</v>
      </c>
    </row>
    <row r="34" s="382" customFormat="1" ht="26.25" customHeight="1">
      <c r="A34" s="382" t="s">
        <v>54</v>
      </c>
      <c r="B34" s="382" t="s">
        <v>101</v>
      </c>
      <c r="C34" s="382" t="n">
        <v>5111035</v>
      </c>
      <c r="D34" s="382" t="s">
        <v>233</v>
      </c>
      <c r="E34" s="382" t="s">
        <v>234</v>
      </c>
      <c r="F34" s="382" t="s">
        <v>1117</v>
      </c>
      <c r="G34" s="382" t="s">
        <v>35</v>
      </c>
      <c r="H34" s="382" t="s">
        <v>47</v>
      </c>
      <c r="I34" s="382" t="s">
        <v>56</v>
      </c>
      <c r="J34" s="382" t="s">
        <v>59</v>
      </c>
      <c r="K34" s="382" t="s">
        <v>473</v>
      </c>
      <c r="L34" s="382" t="s">
        <v>2682</v>
      </c>
      <c r="M34" s="870" t="s">
        <v>2698</v>
      </c>
      <c r="N34" s="871" t="s">
        <v>2699</v>
      </c>
      <c r="O34" s="872" t="s">
        <v>2700</v>
      </c>
      <c r="P34" s="382" t="s">
        <v>27</v>
      </c>
      <c r="T34" s="382" t="s">
        <v>217</v>
      </c>
      <c r="U34" s="382" t="s">
        <v>217</v>
      </c>
    </row>
    <row r="35" s="382" customFormat="1" ht="26.25" customHeight="1">
      <c r="A35" s="382" t="s">
        <v>54</v>
      </c>
      <c r="B35" s="382" t="s">
        <v>65</v>
      </c>
      <c r="C35" s="382" t="n">
        <v>5230732</v>
      </c>
      <c r="D35" s="382" t="s">
        <v>245</v>
      </c>
      <c r="E35" s="382" t="s">
        <v>234</v>
      </c>
      <c r="F35" s="382" t="s">
        <v>598</v>
      </c>
      <c r="G35" s="382" t="s">
        <v>35</v>
      </c>
      <c r="H35" s="382" t="s">
        <v>47</v>
      </c>
      <c r="I35" s="382" t="s">
        <v>56</v>
      </c>
      <c r="J35" s="382" t="s">
        <v>57</v>
      </c>
      <c r="N35" s="382" t="s">
        <v>2491</v>
      </c>
      <c r="O35" s="873" t="s">
        <v>2701</v>
      </c>
      <c r="Q35" s="382" t="n">
        <v>100</v>
      </c>
      <c r="T35" s="382" t="s">
        <v>217</v>
      </c>
      <c r="U35" s="382" t="s">
        <v>217</v>
      </c>
    </row>
    <row r="36" s="382" customFormat="1" ht="26.25" customHeight="1">
      <c r="A36" s="382" t="s">
        <v>54</v>
      </c>
      <c r="B36" s="382" t="s">
        <v>65</v>
      </c>
      <c r="C36" s="382" t="n">
        <v>5230732</v>
      </c>
      <c r="D36" s="382" t="s">
        <v>245</v>
      </c>
      <c r="E36" s="382" t="s">
        <v>234</v>
      </c>
      <c r="F36" s="382" t="s">
        <v>552</v>
      </c>
      <c r="G36" s="382" t="s">
        <v>35</v>
      </c>
      <c r="H36" s="382" t="s">
        <v>47</v>
      </c>
      <c r="I36" s="382" t="s">
        <v>56</v>
      </c>
      <c r="J36" s="382" t="s">
        <v>55</v>
      </c>
      <c r="K36" s="382" t="s">
        <v>2416</v>
      </c>
      <c r="L36" s="382" t="s">
        <v>2600</v>
      </c>
      <c r="M36" s="874" t="s">
        <v>2702</v>
      </c>
      <c r="N36" s="382" t="s">
        <v>2703</v>
      </c>
      <c r="O36" s="875" t="s">
        <v>2704</v>
      </c>
      <c r="P36" s="382" t="s">
        <v>2593</v>
      </c>
      <c r="T36" s="382" t="s">
        <v>217</v>
      </c>
      <c r="U36" s="382" t="s">
        <v>217</v>
      </c>
    </row>
    <row r="37" s="382" customFormat="1" ht="26.25" customHeight="1">
      <c r="A37" s="382" t="s">
        <v>54</v>
      </c>
      <c r="B37" s="382" t="s">
        <v>65</v>
      </c>
      <c r="C37" s="382" t="n">
        <v>5230732</v>
      </c>
      <c r="D37" s="382" t="s">
        <v>245</v>
      </c>
      <c r="E37" s="382" t="s">
        <v>234</v>
      </c>
      <c r="F37" s="382" t="s">
        <v>569</v>
      </c>
      <c r="G37" s="382" t="s">
        <v>35</v>
      </c>
      <c r="H37" s="382" t="s">
        <v>47</v>
      </c>
      <c r="I37" s="382" t="s">
        <v>56</v>
      </c>
      <c r="J37" s="382" t="s">
        <v>59</v>
      </c>
      <c r="L37" s="382" t="s">
        <v>1461</v>
      </c>
      <c r="O37" s="876" t="s">
        <v>2705</v>
      </c>
      <c r="Q37" s="382" t="n">
        <v>99</v>
      </c>
      <c r="T37" s="382" t="s">
        <v>217</v>
      </c>
      <c r="U37" s="382" t="s">
        <v>217</v>
      </c>
    </row>
    <row r="38" s="382" customFormat="1" ht="26.25" customHeight="1">
      <c r="A38" s="382" t="s">
        <v>54</v>
      </c>
      <c r="B38" s="382" t="s">
        <v>65</v>
      </c>
      <c r="C38" s="382" t="n">
        <v>5230732</v>
      </c>
      <c r="D38" s="382" t="s">
        <v>245</v>
      </c>
      <c r="E38" s="382" t="s">
        <v>234</v>
      </c>
      <c r="F38" s="382" t="s">
        <v>2586</v>
      </c>
      <c r="G38" s="382" t="s">
        <v>35</v>
      </c>
      <c r="H38" s="382" t="s">
        <v>47</v>
      </c>
      <c r="J38" s="382" t="s">
        <v>57</v>
      </c>
      <c r="O38" s="877" t="s">
        <v>2706</v>
      </c>
      <c r="T38" s="382" t="s">
        <v>217</v>
      </c>
      <c r="U38" s="382" t="s">
        <v>217</v>
      </c>
    </row>
    <row r="39" s="382" customFormat="1" ht="26.25" customHeight="1">
      <c r="A39" s="382" t="s">
        <v>54</v>
      </c>
      <c r="B39" s="382" t="s">
        <v>65</v>
      </c>
      <c r="C39" s="382" t="n">
        <v>5230732</v>
      </c>
      <c r="D39" s="382" t="s">
        <v>245</v>
      </c>
      <c r="E39" s="382" t="s">
        <v>234</v>
      </c>
      <c r="F39" s="214" t="s">
        <v>727</v>
      </c>
      <c r="G39" s="382" t="s">
        <v>35</v>
      </c>
      <c r="H39" s="382" t="s">
        <v>47</v>
      </c>
      <c r="I39" s="382" t="s">
        <v>56</v>
      </c>
      <c r="J39" s="382" t="s">
        <v>59</v>
      </c>
      <c r="K39" s="382" t="s">
        <v>2707</v>
      </c>
      <c r="L39" s="382" t="s">
        <v>2682</v>
      </c>
      <c r="M39" s="878" t="s">
        <v>2708</v>
      </c>
      <c r="N39" s="879" t="s">
        <v>2709</v>
      </c>
      <c r="O39" s="880" t="s">
        <v>2710</v>
      </c>
      <c r="P39" s="382" t="s">
        <v>2593</v>
      </c>
      <c r="T39" s="382" t="s">
        <v>217</v>
      </c>
      <c r="U39" s="382" t="s">
        <v>217</v>
      </c>
    </row>
    <row r="40" s="382" customFormat="1" ht="26.25" customHeight="1">
      <c r="A40" s="382" t="s">
        <v>54</v>
      </c>
      <c r="B40" s="382" t="s">
        <v>65</v>
      </c>
      <c r="C40" s="382" t="n">
        <v>5230732</v>
      </c>
      <c r="D40" s="382" t="s">
        <v>245</v>
      </c>
      <c r="E40" s="382" t="s">
        <v>234</v>
      </c>
      <c r="F40" s="382" t="s">
        <v>417</v>
      </c>
      <c r="G40" s="382" t="s">
        <v>35</v>
      </c>
      <c r="H40" s="382" t="s">
        <v>47</v>
      </c>
      <c r="I40" s="382" t="s">
        <v>58</v>
      </c>
      <c r="J40" s="382" t="s">
        <v>38</v>
      </c>
      <c r="K40" s="382" t="s">
        <v>2711</v>
      </c>
      <c r="L40" s="881" t="s">
        <v>2712</v>
      </c>
      <c r="M40" s="882" t="s">
        <v>2713</v>
      </c>
      <c r="N40" s="883" t="s">
        <v>2714</v>
      </c>
      <c r="O40" s="382" t="s">
        <v>1953</v>
      </c>
      <c r="P40" s="382" t="s">
        <v>2612</v>
      </c>
      <c r="T40" s="382" t="s">
        <v>217</v>
      </c>
      <c r="U40" s="382" t="s">
        <v>217</v>
      </c>
    </row>
    <row r="41" s="382" customFormat="1" ht="26.25" customHeight="1">
      <c r="A41" s="382" t="s">
        <v>54</v>
      </c>
      <c r="B41" s="382" t="s">
        <v>65</v>
      </c>
      <c r="C41" s="382" t="n">
        <v>5230732</v>
      </c>
      <c r="D41" s="382" t="s">
        <v>245</v>
      </c>
      <c r="E41" s="382" t="s">
        <v>234</v>
      </c>
      <c r="F41" s="382" t="s">
        <v>482</v>
      </c>
      <c r="G41" s="382" t="s">
        <v>35</v>
      </c>
      <c r="H41" s="382" t="s">
        <v>47</v>
      </c>
      <c r="I41" s="382" t="s">
        <v>56</v>
      </c>
      <c r="J41" s="382" t="s">
        <v>48</v>
      </c>
      <c r="L41" s="382" t="s">
        <v>2600</v>
      </c>
      <c r="M41" s="884" t="s">
        <v>2715</v>
      </c>
      <c r="N41" s="885" t="s">
        <v>2716</v>
      </c>
      <c r="O41" s="886" t="s">
        <v>2717</v>
      </c>
      <c r="P41" s="382" t="n">
        <v>74</v>
      </c>
      <c r="T41" s="382" t="s">
        <v>217</v>
      </c>
      <c r="U41" s="382" t="s">
        <v>217</v>
      </c>
    </row>
    <row r="42" s="382" customFormat="1" ht="26.25" customHeight="1">
      <c r="A42" s="382" t="s">
        <v>54</v>
      </c>
      <c r="B42" s="382" t="s">
        <v>65</v>
      </c>
      <c r="C42" s="382" t="n">
        <v>5230732</v>
      </c>
      <c r="D42" s="382" t="s">
        <v>245</v>
      </c>
      <c r="E42" s="382" t="s">
        <v>234</v>
      </c>
      <c r="F42" s="382" t="s">
        <v>525</v>
      </c>
      <c r="G42" s="382" t="s">
        <v>35</v>
      </c>
      <c r="H42" s="382" t="s">
        <v>47</v>
      </c>
      <c r="I42" s="382" t="s">
        <v>56</v>
      </c>
      <c r="J42" s="382" t="s">
        <v>55</v>
      </c>
      <c r="K42" s="382" t="s">
        <v>2718</v>
      </c>
      <c r="L42" s="887" t="s">
        <v>2719</v>
      </c>
      <c r="N42" s="382" t="s">
        <v>2720</v>
      </c>
      <c r="P42" s="382" t="s">
        <v>2721</v>
      </c>
      <c r="T42" s="382" t="s">
        <v>217</v>
      </c>
      <c r="U42" s="382" t="s">
        <v>217</v>
      </c>
    </row>
    <row r="43" s="382" customFormat="1" ht="26.25" customHeight="1">
      <c r="A43" s="382" t="s">
        <v>54</v>
      </c>
      <c r="B43" s="382" t="s">
        <v>65</v>
      </c>
      <c r="C43" s="382" t="n">
        <v>5230732</v>
      </c>
      <c r="D43" s="382" t="s">
        <v>245</v>
      </c>
      <c r="E43" s="382" t="s">
        <v>234</v>
      </c>
      <c r="F43" s="382" t="s">
        <v>733</v>
      </c>
      <c r="G43" s="382" t="s">
        <v>35</v>
      </c>
      <c r="H43" s="382" t="s">
        <v>47</v>
      </c>
      <c r="I43" s="382" t="s">
        <v>56</v>
      </c>
      <c r="J43" s="382" t="s">
        <v>48</v>
      </c>
      <c r="K43" s="382" t="s">
        <v>2722</v>
      </c>
      <c r="M43" s="888" t="s">
        <v>2723</v>
      </c>
      <c r="N43" s="889" t="s">
        <v>2723</v>
      </c>
      <c r="O43" s="890" t="s">
        <v>2724</v>
      </c>
      <c r="P43" s="382" t="s">
        <v>2725</v>
      </c>
      <c r="T43" s="382" t="s">
        <v>217</v>
      </c>
      <c r="U43" s="382" t="s">
        <v>217</v>
      </c>
    </row>
    <row r="44" s="382" customFormat="1" ht="26.25" customHeight="1">
      <c r="A44" s="382" t="s">
        <v>54</v>
      </c>
      <c r="B44" s="382" t="s">
        <v>65</v>
      </c>
      <c r="C44" s="382" t="n">
        <v>5230732</v>
      </c>
      <c r="D44" s="382" t="s">
        <v>245</v>
      </c>
      <c r="E44" s="382" t="s">
        <v>234</v>
      </c>
      <c r="F44" s="382" t="s">
        <v>649</v>
      </c>
      <c r="G44" s="382" t="s">
        <v>35</v>
      </c>
      <c r="H44" s="382" t="s">
        <v>47</v>
      </c>
      <c r="I44" s="382" t="s">
        <v>56</v>
      </c>
      <c r="J44" s="382" t="s">
        <v>59</v>
      </c>
      <c r="K44" s="382" t="s">
        <v>2624</v>
      </c>
      <c r="L44" s="382" t="s">
        <v>2726</v>
      </c>
      <c r="M44" s="382" t="s">
        <v>2727</v>
      </c>
      <c r="N44" s="891" t="s">
        <v>2728</v>
      </c>
      <c r="O44" s="892" t="s">
        <v>2729</v>
      </c>
      <c r="P44" s="382" t="s">
        <v>2730</v>
      </c>
      <c r="Q44" s="382" t="n">
        <v>88</v>
      </c>
      <c r="T44" s="382" t="s">
        <v>217</v>
      </c>
      <c r="U44" s="382" t="s">
        <v>217</v>
      </c>
    </row>
    <row r="45" s="382" customFormat="1" ht="26.25" customHeight="1">
      <c r="A45" s="382" t="s">
        <v>54</v>
      </c>
      <c r="B45" s="382" t="s">
        <v>65</v>
      </c>
      <c r="C45" s="382" t="n">
        <v>5230732</v>
      </c>
      <c r="D45" s="382" t="s">
        <v>245</v>
      </c>
      <c r="E45" s="382" t="s">
        <v>234</v>
      </c>
      <c r="F45" s="382" t="s">
        <v>605</v>
      </c>
      <c r="G45" s="382" t="s">
        <v>35</v>
      </c>
      <c r="H45" s="382" t="s">
        <v>47</v>
      </c>
      <c r="I45" s="382" t="s">
        <v>56</v>
      </c>
      <c r="J45" s="382" t="s">
        <v>34</v>
      </c>
      <c r="K45" s="382" t="s">
        <v>2639</v>
      </c>
      <c r="M45" s="893" t="s">
        <v>2731</v>
      </c>
      <c r="N45" s="894" t="s">
        <v>2732</v>
      </c>
      <c r="O45" s="895" t="s">
        <v>2733</v>
      </c>
      <c r="P45" s="382" t="s">
        <v>2734</v>
      </c>
      <c r="Q45" s="382" t="n">
        <v>84</v>
      </c>
      <c r="T45" s="382" t="s">
        <v>217</v>
      </c>
      <c r="U45" s="382" t="s">
        <v>217</v>
      </c>
      <c r="V45" s="382" t="s">
        <v>217</v>
      </c>
    </row>
    <row r="46" s="382" customFormat="1" ht="26.25" customHeight="1">
      <c r="A46" s="382" t="s">
        <v>54</v>
      </c>
      <c r="B46" s="382" t="s">
        <v>65</v>
      </c>
      <c r="C46" s="382" t="n">
        <v>5230732</v>
      </c>
      <c r="D46" s="382" t="s">
        <v>245</v>
      </c>
      <c r="E46" s="382" t="s">
        <v>234</v>
      </c>
      <c r="F46" s="382" t="s">
        <v>1211</v>
      </c>
      <c r="G46" s="382" t="s">
        <v>35</v>
      </c>
      <c r="H46" s="382" t="s">
        <v>47</v>
      </c>
      <c r="I46" s="382" t="s">
        <v>56</v>
      </c>
      <c r="J46" s="382" t="s">
        <v>55</v>
      </c>
      <c r="K46" s="382" t="s">
        <v>2735</v>
      </c>
      <c r="L46" s="382" t="s">
        <v>2736</v>
      </c>
      <c r="M46" s="382" t="s">
        <v>2737</v>
      </c>
      <c r="N46" s="382" t="s">
        <v>2738</v>
      </c>
      <c r="O46" s="896" t="s">
        <v>2739</v>
      </c>
      <c r="P46" s="382" t="s">
        <v>2740</v>
      </c>
      <c r="T46" s="382" t="s">
        <v>217</v>
      </c>
      <c r="U46" s="382" t="s">
        <v>217</v>
      </c>
    </row>
    <row r="47" s="382" customFormat="1" ht="26.25" customHeight="1">
      <c r="A47" s="382" t="s">
        <v>54</v>
      </c>
      <c r="B47" s="382" t="s">
        <v>65</v>
      </c>
      <c r="C47" s="382" t="n">
        <v>5230732</v>
      </c>
      <c r="D47" s="382" t="s">
        <v>245</v>
      </c>
      <c r="E47" s="382" t="s">
        <v>234</v>
      </c>
      <c r="F47" s="382" t="s">
        <v>576</v>
      </c>
      <c r="G47" s="382" t="s">
        <v>35</v>
      </c>
      <c r="H47" s="382" t="s">
        <v>47</v>
      </c>
      <c r="I47" s="382" t="s">
        <v>56</v>
      </c>
      <c r="J47" s="382" t="s">
        <v>59</v>
      </c>
      <c r="K47" s="382" t="s">
        <v>2711</v>
      </c>
      <c r="M47" s="897" t="s">
        <v>2741</v>
      </c>
      <c r="N47" s="898" t="s">
        <v>2742</v>
      </c>
      <c r="O47" s="899" t="s">
        <v>2743</v>
      </c>
      <c r="P47" s="382" t="s">
        <v>2744</v>
      </c>
      <c r="Q47" s="382" t="n">
        <v>73</v>
      </c>
      <c r="T47" s="382" t="s">
        <v>217</v>
      </c>
      <c r="U47" s="382" t="s">
        <v>217</v>
      </c>
    </row>
    <row r="48" s="382" customFormat="1" ht="26.25" customHeight="1">
      <c r="A48" s="382" t="s">
        <v>54</v>
      </c>
      <c r="B48" s="382" t="s">
        <v>65</v>
      </c>
      <c r="C48" s="382" t="n">
        <v>5230732</v>
      </c>
      <c r="D48" s="382" t="s">
        <v>245</v>
      </c>
      <c r="E48" s="382" t="s">
        <v>234</v>
      </c>
      <c r="F48" s="382" t="s">
        <v>612</v>
      </c>
      <c r="G48" s="382" t="s">
        <v>35</v>
      </c>
      <c r="H48" s="382" t="s">
        <v>47</v>
      </c>
      <c r="I48" s="382" t="s">
        <v>56</v>
      </c>
      <c r="J48" s="382" t="s">
        <v>36</v>
      </c>
      <c r="K48" s="382" t="s">
        <v>2434</v>
      </c>
      <c r="L48" s="382" t="s">
        <v>2745</v>
      </c>
      <c r="N48" s="382" t="s">
        <v>2746</v>
      </c>
      <c r="O48" s="900" t="s">
        <v>2747</v>
      </c>
      <c r="P48" s="382" t="s">
        <v>2748</v>
      </c>
      <c r="T48" s="382" t="s">
        <v>217</v>
      </c>
      <c r="U48" s="382" t="s">
        <v>217</v>
      </c>
    </row>
    <row r="49" s="382" customFormat="1" ht="26.25" customHeight="1">
      <c r="A49" s="382" t="s">
        <v>54</v>
      </c>
      <c r="B49" s="382" t="s">
        <v>65</v>
      </c>
      <c r="C49" s="382" t="n">
        <v>5230732</v>
      </c>
      <c r="D49" s="382" t="s">
        <v>245</v>
      </c>
      <c r="E49" s="382" t="s">
        <v>234</v>
      </c>
      <c r="F49" s="382" t="s">
        <v>792</v>
      </c>
      <c r="G49" s="382" t="s">
        <v>35</v>
      </c>
      <c r="H49" s="382" t="s">
        <v>47</v>
      </c>
      <c r="I49" s="382" t="s">
        <v>56</v>
      </c>
      <c r="J49" s="382" t="s">
        <v>38</v>
      </c>
      <c r="K49" s="382" t="s">
        <v>2749</v>
      </c>
      <c r="L49" s="382" t="s">
        <v>2600</v>
      </c>
      <c r="M49" s="901" t="s">
        <v>2750</v>
      </c>
      <c r="N49" s="902" t="s">
        <v>2751</v>
      </c>
      <c r="O49" s="903" t="s">
        <v>2752</v>
      </c>
      <c r="P49" s="382" t="s">
        <v>2593</v>
      </c>
      <c r="Q49" s="382" t="n">
        <v>80</v>
      </c>
      <c r="T49" s="382" t="s">
        <v>217</v>
      </c>
      <c r="U49" s="382" t="s">
        <v>217</v>
      </c>
    </row>
    <row r="50" s="382" customFormat="1" ht="26.25" customHeight="1">
      <c r="A50" s="382" t="s">
        <v>54</v>
      </c>
      <c r="B50" s="382" t="s">
        <v>65</v>
      </c>
      <c r="C50" s="382" t="n">
        <v>5230732</v>
      </c>
      <c r="D50" s="382" t="s">
        <v>245</v>
      </c>
      <c r="E50" s="382" t="s">
        <v>234</v>
      </c>
      <c r="F50" s="382" t="s">
        <v>837</v>
      </c>
      <c r="G50" s="382" t="s">
        <v>35</v>
      </c>
      <c r="H50" s="382" t="s">
        <v>43</v>
      </c>
      <c r="I50" s="382" t="s">
        <v>56</v>
      </c>
      <c r="J50" s="382" t="s">
        <v>55</v>
      </c>
      <c r="M50" s="904" t="s">
        <v>2753</v>
      </c>
      <c r="N50" s="905" t="s">
        <v>2754</v>
      </c>
      <c r="O50" s="906" t="s">
        <v>2755</v>
      </c>
      <c r="P50" s="382" t="s">
        <v>27</v>
      </c>
      <c r="Q50" s="382" t="n">
        <v>85</v>
      </c>
      <c r="T50" s="382" t="s">
        <v>217</v>
      </c>
      <c r="U50" s="382" t="s">
        <v>217</v>
      </c>
    </row>
    <row r="51" s="382" customFormat="1" ht="26.25" customHeight="1">
      <c r="A51" s="382" t="s">
        <v>54</v>
      </c>
      <c r="B51" s="382" t="s">
        <v>65</v>
      </c>
      <c r="C51" s="382" t="n">
        <v>5230742</v>
      </c>
      <c r="D51" s="382" t="s">
        <v>216</v>
      </c>
      <c r="E51" s="382" t="s">
        <v>283</v>
      </c>
      <c r="F51" s="382" t="s">
        <v>704</v>
      </c>
      <c r="G51" s="382" t="s">
        <v>35</v>
      </c>
      <c r="H51" s="382" t="s">
        <v>49</v>
      </c>
      <c r="I51" s="382" t="s">
        <v>56</v>
      </c>
      <c r="J51" s="382" t="s">
        <v>36</v>
      </c>
      <c r="O51" s="907" t="s">
        <v>2756</v>
      </c>
      <c r="Q51" s="382" t="n">
        <v>86</v>
      </c>
      <c r="T51" s="382" t="s">
        <v>217</v>
      </c>
      <c r="U51" s="382" t="s">
        <v>217</v>
      </c>
    </row>
    <row r="52" s="382" customFormat="1" ht="26.25" customHeight="1">
      <c r="A52" s="382" t="s">
        <v>54</v>
      </c>
      <c r="B52" s="382" t="s">
        <v>65</v>
      </c>
      <c r="C52" s="382" t="n">
        <v>5230742</v>
      </c>
      <c r="D52" s="382" t="s">
        <v>216</v>
      </c>
      <c r="E52" s="382" t="s">
        <v>283</v>
      </c>
      <c r="F52" s="382" t="s">
        <v>502</v>
      </c>
      <c r="G52" s="382" t="s">
        <v>35</v>
      </c>
      <c r="H52" s="382" t="s">
        <v>49</v>
      </c>
      <c r="I52" s="382" t="s">
        <v>56</v>
      </c>
      <c r="J52" s="382" t="s">
        <v>55</v>
      </c>
      <c r="K52" s="382" t="s">
        <v>2757</v>
      </c>
      <c r="L52" s="382" t="s">
        <v>2500</v>
      </c>
      <c r="M52" s="382" t="s">
        <v>2758</v>
      </c>
      <c r="N52" s="908" t="s">
        <v>2759</v>
      </c>
      <c r="O52" s="909" t="s">
        <v>2760</v>
      </c>
      <c r="P52" s="382" t="s">
        <v>28</v>
      </c>
      <c r="T52" s="382" t="s">
        <v>217</v>
      </c>
      <c r="U52" s="382" t="s">
        <v>217</v>
      </c>
    </row>
    <row r="53" s="382" customFormat="1" ht="26.25" customHeight="1">
      <c r="A53" s="382" t="s">
        <v>54</v>
      </c>
      <c r="B53" s="382" t="s">
        <v>65</v>
      </c>
      <c r="C53" s="382" t="n">
        <v>5230742</v>
      </c>
      <c r="D53" s="382" t="s">
        <v>216</v>
      </c>
      <c r="E53" s="382" t="s">
        <v>283</v>
      </c>
      <c r="F53" s="382" t="s">
        <v>887</v>
      </c>
      <c r="G53" s="382" t="s">
        <v>35</v>
      </c>
      <c r="I53" s="382" t="s">
        <v>56</v>
      </c>
      <c r="J53" s="382" t="s">
        <v>36</v>
      </c>
      <c r="K53" s="382" t="s">
        <v>2761</v>
      </c>
      <c r="L53" s="382" t="s">
        <v>2600</v>
      </c>
      <c r="M53" s="910" t="s">
        <v>2762</v>
      </c>
      <c r="N53" s="911" t="s">
        <v>2763</v>
      </c>
      <c r="O53" s="912" t="s">
        <v>2764</v>
      </c>
      <c r="P53" s="382" t="s">
        <v>2765</v>
      </c>
      <c r="Q53" s="382" t="n">
        <v>74</v>
      </c>
      <c r="T53" s="382" t="s">
        <v>217</v>
      </c>
      <c r="U53" s="382" t="s">
        <v>217</v>
      </c>
    </row>
    <row r="54" s="382" customFormat="1" ht="26.25" customHeight="1">
      <c r="A54" s="382" t="s">
        <v>54</v>
      </c>
      <c r="B54" s="382" t="s">
        <v>65</v>
      </c>
      <c r="C54" s="382" t="n">
        <v>5230742</v>
      </c>
      <c r="D54" s="382" t="s">
        <v>216</v>
      </c>
      <c r="E54" s="382" t="s">
        <v>283</v>
      </c>
      <c r="F54" s="382" t="s">
        <v>377</v>
      </c>
      <c r="G54" s="382" t="s">
        <v>35</v>
      </c>
      <c r="H54" s="382" t="s">
        <v>49</v>
      </c>
      <c r="I54" s="382" t="s">
        <v>56</v>
      </c>
      <c r="J54" s="382" t="s">
        <v>57</v>
      </c>
      <c r="K54" s="382" t="s">
        <v>2766</v>
      </c>
      <c r="L54" s="382" t="s">
        <v>2409</v>
      </c>
      <c r="M54" s="913" t="s">
        <v>2767</v>
      </c>
      <c r="N54" s="382" t="s">
        <v>2768</v>
      </c>
      <c r="O54" s="382" t="s">
        <v>1953</v>
      </c>
      <c r="P54" s="382" t="s">
        <v>2769</v>
      </c>
      <c r="T54" s="382" t="s">
        <v>217</v>
      </c>
      <c r="U54" s="382" t="s">
        <v>217</v>
      </c>
    </row>
    <row r="55" s="382" customFormat="1" ht="26.25" customHeight="1">
      <c r="A55" s="382" t="s">
        <v>54</v>
      </c>
      <c r="B55" s="382" t="s">
        <v>65</v>
      </c>
      <c r="C55" s="382" t="n">
        <v>5230742</v>
      </c>
      <c r="D55" s="382" t="s">
        <v>216</v>
      </c>
      <c r="E55" s="382" t="s">
        <v>283</v>
      </c>
      <c r="F55" s="382" t="s">
        <v>755</v>
      </c>
      <c r="G55" s="382" t="s">
        <v>35</v>
      </c>
      <c r="H55" s="382" t="s">
        <v>49</v>
      </c>
      <c r="I55" s="382" t="s">
        <v>58</v>
      </c>
      <c r="J55" s="382" t="s">
        <v>59</v>
      </c>
      <c r="K55" s="382" t="s">
        <v>2770</v>
      </c>
      <c r="L55" s="382" t="s">
        <v>2745</v>
      </c>
      <c r="M55" s="914" t="s">
        <v>2771</v>
      </c>
      <c r="N55" s="915" t="s">
        <v>2772</v>
      </c>
      <c r="O55" s="382" t="s">
        <v>1953</v>
      </c>
      <c r="P55" s="382" t="s">
        <v>2773</v>
      </c>
      <c r="Q55" s="382" t="n">
        <v>65</v>
      </c>
      <c r="T55" s="382" t="s">
        <v>217</v>
      </c>
      <c r="U55" s="382" t="s">
        <v>217</v>
      </c>
    </row>
    <row r="56" s="382" customFormat="1" ht="26.25" customHeight="1">
      <c r="A56" s="382" t="s">
        <v>54</v>
      </c>
      <c r="B56" s="382" t="s">
        <v>65</v>
      </c>
      <c r="C56" s="382" t="n">
        <v>5230742</v>
      </c>
      <c r="D56" s="382" t="s">
        <v>216</v>
      </c>
      <c r="E56" s="382" t="s">
        <v>283</v>
      </c>
      <c r="F56" s="382" t="s">
        <v>747</v>
      </c>
      <c r="G56" s="382" t="s">
        <v>35</v>
      </c>
      <c r="J56" s="382" t="s">
        <v>57</v>
      </c>
      <c r="L56" s="382" t="s">
        <v>2774</v>
      </c>
      <c r="M56" s="916" t="s">
        <v>2775</v>
      </c>
      <c r="N56" s="917" t="s">
        <v>2776</v>
      </c>
      <c r="O56" s="918" t="s">
        <v>2777</v>
      </c>
      <c r="P56" s="382" t="s">
        <v>2778</v>
      </c>
      <c r="Q56" s="382" t="n">
        <v>70</v>
      </c>
      <c r="T56" s="382" t="s">
        <v>217</v>
      </c>
      <c r="U56" s="382" t="s">
        <v>217</v>
      </c>
    </row>
    <row r="57" s="382" customFormat="1" ht="26.25" customHeight="1">
      <c r="A57" s="382" t="s">
        <v>54</v>
      </c>
      <c r="B57" s="382" t="s">
        <v>65</v>
      </c>
      <c r="C57" s="382" t="n">
        <v>5230742</v>
      </c>
      <c r="D57" s="382" t="s">
        <v>216</v>
      </c>
      <c r="E57" s="382" t="s">
        <v>283</v>
      </c>
      <c r="F57" s="382" t="s">
        <v>509</v>
      </c>
      <c r="G57" s="382" t="s">
        <v>35</v>
      </c>
      <c r="J57" s="382" t="s">
        <v>59</v>
      </c>
      <c r="M57" s="919" t="s">
        <v>2779</v>
      </c>
      <c r="N57" s="920" t="s">
        <v>2780</v>
      </c>
      <c r="O57" s="921" t="s">
        <v>2781</v>
      </c>
      <c r="Q57" s="382" t="n">
        <v>71</v>
      </c>
      <c r="T57" s="382" t="s">
        <v>217</v>
      </c>
      <c r="U57" s="382" t="s">
        <v>217</v>
      </c>
    </row>
    <row r="58" s="382" customFormat="1" ht="26.25" customHeight="1">
      <c r="A58" s="382" t="s">
        <v>54</v>
      </c>
      <c r="B58" s="382" t="s">
        <v>65</v>
      </c>
      <c r="C58" s="382" t="n">
        <v>5230742</v>
      </c>
      <c r="D58" s="382" t="s">
        <v>216</v>
      </c>
      <c r="E58" s="382" t="s">
        <v>283</v>
      </c>
      <c r="F58" s="382" t="s">
        <v>340</v>
      </c>
      <c r="G58" s="382" t="s">
        <v>35</v>
      </c>
      <c r="H58" s="382" t="s">
        <v>49</v>
      </c>
      <c r="I58" s="382" t="s">
        <v>56</v>
      </c>
      <c r="J58" s="382" t="s">
        <v>57</v>
      </c>
      <c r="O58" s="382" t="s">
        <v>1953</v>
      </c>
      <c r="T58" s="382" t="s">
        <v>217</v>
      </c>
      <c r="U58" s="382" t="s">
        <v>217</v>
      </c>
    </row>
    <row r="59" s="382" customFormat="1" ht="26.25" customHeight="1">
      <c r="A59" s="382" t="s">
        <v>54</v>
      </c>
      <c r="B59" s="382" t="s">
        <v>65</v>
      </c>
      <c r="C59" s="382" t="n">
        <v>5230742</v>
      </c>
      <c r="D59" s="382" t="s">
        <v>216</v>
      </c>
      <c r="E59" s="382" t="s">
        <v>283</v>
      </c>
      <c r="F59" s="382" t="s">
        <v>642</v>
      </c>
      <c r="G59" s="382" t="s">
        <v>35</v>
      </c>
      <c r="H59" s="382" t="s">
        <v>49</v>
      </c>
      <c r="I59" s="382" t="s">
        <v>56</v>
      </c>
      <c r="J59" s="382" t="s">
        <v>59</v>
      </c>
      <c r="L59" s="382" t="s">
        <v>2782</v>
      </c>
      <c r="M59" s="382" t="s">
        <v>2783</v>
      </c>
      <c r="N59" s="922" t="s">
        <v>2784</v>
      </c>
      <c r="O59" s="923" t="s">
        <v>2785</v>
      </c>
      <c r="P59" s="382" t="n">
        <v>95</v>
      </c>
      <c r="Q59" s="382" t="n">
        <v>70</v>
      </c>
      <c r="T59" s="382" t="s">
        <v>217</v>
      </c>
      <c r="U59" s="382" t="s">
        <v>217</v>
      </c>
    </row>
    <row r="60" s="382" customFormat="1" ht="26.25" customHeight="1">
      <c r="A60" s="382" t="s">
        <v>54</v>
      </c>
      <c r="B60" s="382" t="s">
        <v>65</v>
      </c>
      <c r="C60" s="382" t="n">
        <v>5230742</v>
      </c>
      <c r="D60" s="382" t="s">
        <v>216</v>
      </c>
      <c r="E60" s="382" t="s">
        <v>283</v>
      </c>
      <c r="F60" s="382" t="s">
        <v>465</v>
      </c>
      <c r="G60" s="382" t="s">
        <v>35</v>
      </c>
      <c r="H60" s="382" t="s">
        <v>49</v>
      </c>
      <c r="I60" s="382" t="s">
        <v>56</v>
      </c>
      <c r="J60" s="382" t="s">
        <v>59</v>
      </c>
      <c r="K60" s="382" t="s">
        <v>786</v>
      </c>
      <c r="L60" s="382" t="s">
        <v>2409</v>
      </c>
      <c r="M60" s="924" t="s">
        <v>2786</v>
      </c>
      <c r="N60" s="382" t="s">
        <v>2787</v>
      </c>
      <c r="O60" s="925" t="s">
        <v>2788</v>
      </c>
      <c r="P60" s="926" t="s">
        <v>2789</v>
      </c>
      <c r="T60" s="382" t="s">
        <v>217</v>
      </c>
      <c r="U60" s="382" t="s">
        <v>217</v>
      </c>
    </row>
    <row r="61" s="382" customFormat="1" ht="26.25" customHeight="1">
      <c r="A61" s="382" t="s">
        <v>54</v>
      </c>
      <c r="B61" s="382" t="s">
        <v>65</v>
      </c>
      <c r="C61" s="382" t="n">
        <v>5230742</v>
      </c>
      <c r="D61" s="382" t="s">
        <v>216</v>
      </c>
      <c r="E61" s="382" t="s">
        <v>283</v>
      </c>
      <c r="F61" s="382" t="s">
        <v>842</v>
      </c>
      <c r="G61" s="382" t="s">
        <v>35</v>
      </c>
      <c r="H61" s="382" t="s">
        <v>49</v>
      </c>
      <c r="I61" s="382" t="s">
        <v>56</v>
      </c>
      <c r="J61" s="382" t="s">
        <v>57</v>
      </c>
      <c r="L61" s="382" t="s">
        <v>473</v>
      </c>
      <c r="O61" s="927" t="s">
        <v>2790</v>
      </c>
      <c r="P61" s="382" t="n">
        <v>60</v>
      </c>
      <c r="T61" s="382" t="s">
        <v>217</v>
      </c>
      <c r="U61" s="382" t="s">
        <v>217</v>
      </c>
    </row>
    <row r="62" s="382" customFormat="1" ht="26.25" customHeight="1">
      <c r="A62" s="382" t="s">
        <v>54</v>
      </c>
      <c r="B62" s="382" t="s">
        <v>65</v>
      </c>
      <c r="C62" s="382" t="n">
        <v>5230742</v>
      </c>
      <c r="D62" s="382" t="s">
        <v>216</v>
      </c>
      <c r="E62" s="382" t="s">
        <v>283</v>
      </c>
      <c r="F62" s="382" t="s">
        <v>516</v>
      </c>
      <c r="G62" s="382" t="s">
        <v>35</v>
      </c>
      <c r="H62" s="382" t="s">
        <v>49</v>
      </c>
      <c r="I62" s="382" t="s">
        <v>56</v>
      </c>
      <c r="J62" s="382" t="s">
        <v>59</v>
      </c>
      <c r="L62" s="382" t="s">
        <v>2600</v>
      </c>
      <c r="M62" s="928" t="s">
        <v>2791</v>
      </c>
      <c r="N62" s="929" t="s">
        <v>2792</v>
      </c>
      <c r="O62" s="930" t="s">
        <v>2793</v>
      </c>
      <c r="P62" s="382" t="s">
        <v>2794</v>
      </c>
      <c r="Q62" s="382" t="n">
        <v>75</v>
      </c>
      <c r="T62" s="382" t="s">
        <v>217</v>
      </c>
      <c r="U62" s="382" t="s">
        <v>217</v>
      </c>
    </row>
    <row r="63" s="382" customFormat="1" ht="26.25" customHeight="1">
      <c r="A63" s="382" t="s">
        <v>54</v>
      </c>
      <c r="B63" s="382" t="s">
        <v>65</v>
      </c>
      <c r="C63" s="382" t="n">
        <v>5230742</v>
      </c>
      <c r="D63" s="382" t="s">
        <v>216</v>
      </c>
      <c r="E63" s="382" t="s">
        <v>283</v>
      </c>
      <c r="F63" s="382" t="s">
        <v>1191</v>
      </c>
      <c r="G63" s="382" t="s">
        <v>35</v>
      </c>
      <c r="H63" s="382" t="s">
        <v>49</v>
      </c>
      <c r="I63" s="382" t="s">
        <v>56</v>
      </c>
      <c r="J63" s="382" t="s">
        <v>38</v>
      </c>
      <c r="O63" s="382" t="s">
        <v>2795</v>
      </c>
      <c r="Q63" s="382" t="n">
        <v>64</v>
      </c>
      <c r="T63" s="382" t="s">
        <v>217</v>
      </c>
      <c r="U63" s="382" t="s">
        <v>217</v>
      </c>
    </row>
    <row r="64" s="382" customFormat="1" ht="26.25" customHeight="1">
      <c r="A64" s="382" t="s">
        <v>54</v>
      </c>
      <c r="B64" s="382" t="s">
        <v>65</v>
      </c>
      <c r="C64" s="382" t="n">
        <v>5230742</v>
      </c>
      <c r="D64" s="382" t="s">
        <v>216</v>
      </c>
      <c r="E64" s="382" t="s">
        <v>283</v>
      </c>
      <c r="F64" s="382" t="s">
        <v>698</v>
      </c>
      <c r="G64" s="382" t="s">
        <v>35</v>
      </c>
      <c r="J64" s="382" t="s">
        <v>34</v>
      </c>
      <c r="K64" s="382" t="s">
        <v>2796</v>
      </c>
      <c r="L64" s="382" t="s">
        <v>2797</v>
      </c>
      <c r="M64" s="931" t="s">
        <v>2798</v>
      </c>
      <c r="N64" s="382" t="s">
        <v>2799</v>
      </c>
      <c r="O64" s="382" t="s">
        <v>2800</v>
      </c>
      <c r="P64" s="382" t="s">
        <v>27</v>
      </c>
      <c r="T64" s="382" t="s">
        <v>217</v>
      </c>
      <c r="U64" s="382" t="s">
        <v>217</v>
      </c>
    </row>
    <row r="65" s="382" customFormat="1" ht="26.25" customHeight="1">
      <c r="A65" s="382" t="s">
        <v>54</v>
      </c>
      <c r="B65" s="382" t="s">
        <v>65</v>
      </c>
      <c r="C65" s="382" t="n">
        <v>5230742</v>
      </c>
      <c r="D65" s="382" t="s">
        <v>216</v>
      </c>
      <c r="E65" s="382" t="s">
        <v>283</v>
      </c>
      <c r="F65" s="382" t="s">
        <v>797</v>
      </c>
      <c r="G65" s="382" t="s">
        <v>35</v>
      </c>
      <c r="H65" s="382" t="s">
        <v>49</v>
      </c>
      <c r="I65" s="382" t="s">
        <v>56</v>
      </c>
      <c r="J65" s="382" t="s">
        <v>34</v>
      </c>
      <c r="L65" s="932" t="s">
        <v>2801</v>
      </c>
      <c r="M65" s="382" t="s">
        <v>2711</v>
      </c>
      <c r="N65" s="382" t="s">
        <v>877</v>
      </c>
      <c r="O65" s="382" t="s">
        <v>2802</v>
      </c>
      <c r="Q65" s="382" t="n">
        <v>22</v>
      </c>
      <c r="T65" s="382" t="s">
        <v>217</v>
      </c>
      <c r="U65" s="382" t="s">
        <v>217</v>
      </c>
    </row>
    <row r="66" s="382" customFormat="1" ht="26.25" customHeight="1">
      <c r="A66" s="382" t="s">
        <v>54</v>
      </c>
      <c r="B66" s="382" t="s">
        <v>65</v>
      </c>
      <c r="C66" s="382" t="n">
        <v>5230742</v>
      </c>
      <c r="D66" s="382" t="s">
        <v>216</v>
      </c>
      <c r="E66" s="382" t="s">
        <v>283</v>
      </c>
      <c r="F66" s="382" t="s">
        <v>692</v>
      </c>
      <c r="G66" s="382" t="s">
        <v>35</v>
      </c>
      <c r="H66" s="382" t="s">
        <v>49</v>
      </c>
      <c r="I66" s="382" t="s">
        <v>56</v>
      </c>
      <c r="J66" s="382" t="s">
        <v>38</v>
      </c>
      <c r="K66" s="382" t="s">
        <v>2711</v>
      </c>
      <c r="L66" s="382" t="s">
        <v>877</v>
      </c>
      <c r="M66" s="382" t="s">
        <v>2803</v>
      </c>
      <c r="N66" s="933" t="s">
        <v>2804</v>
      </c>
      <c r="O66" s="934" t="s">
        <v>2805</v>
      </c>
      <c r="P66" s="382" t="s">
        <v>2765</v>
      </c>
      <c r="T66" s="382" t="s">
        <v>217</v>
      </c>
      <c r="U66" s="382" t="s">
        <v>217</v>
      </c>
    </row>
    <row r="67" s="382" customFormat="1" ht="26.25" customHeight="1">
      <c r="A67" s="382" t="s">
        <v>54</v>
      </c>
      <c r="B67" s="382" t="s">
        <v>65</v>
      </c>
      <c r="C67" s="382" t="n">
        <v>5230742</v>
      </c>
      <c r="D67" s="382" t="s">
        <v>216</v>
      </c>
      <c r="E67" s="382" t="s">
        <v>283</v>
      </c>
      <c r="F67" s="382" t="s">
        <v>369</v>
      </c>
      <c r="G67" s="382" t="s">
        <v>35</v>
      </c>
      <c r="H67" s="382" t="s">
        <v>49</v>
      </c>
      <c r="I67" s="382" t="s">
        <v>56</v>
      </c>
      <c r="J67" s="382" t="s">
        <v>57</v>
      </c>
      <c r="K67" s="382" t="s">
        <v>2711</v>
      </c>
      <c r="L67" s="382" t="s">
        <v>473</v>
      </c>
      <c r="M67" s="935" t="s">
        <v>2806</v>
      </c>
      <c r="N67" s="936" t="s">
        <v>2807</v>
      </c>
      <c r="O67" s="937" t="s">
        <v>2808</v>
      </c>
      <c r="P67" s="382" t="s">
        <v>2765</v>
      </c>
      <c r="T67" s="382" t="s">
        <v>217</v>
      </c>
      <c r="U67" s="382" t="s">
        <v>217</v>
      </c>
    </row>
    <row r="68" s="382" customFormat="1" ht="26.25" customHeight="1">
      <c r="A68" s="382" t="s">
        <v>54</v>
      </c>
      <c r="B68" s="382" t="s">
        <v>65</v>
      </c>
      <c r="C68" s="382" t="n">
        <v>5230742</v>
      </c>
      <c r="D68" s="382" t="s">
        <v>216</v>
      </c>
      <c r="E68" s="382" t="s">
        <v>283</v>
      </c>
      <c r="F68" s="382" t="s">
        <v>1153</v>
      </c>
      <c r="G68" s="382" t="s">
        <v>35</v>
      </c>
      <c r="J68" s="382" t="s">
        <v>34</v>
      </c>
      <c r="K68" s="382" t="s">
        <v>2809</v>
      </c>
      <c r="L68" s="382" t="s">
        <v>2600</v>
      </c>
      <c r="M68" s="382" t="s">
        <v>2810</v>
      </c>
      <c r="N68" s="382" t="s">
        <v>2811</v>
      </c>
      <c r="O68" s="938" t="s">
        <v>2812</v>
      </c>
      <c r="P68" s="382" t="s">
        <v>2813</v>
      </c>
      <c r="T68" s="382" t="s">
        <v>217</v>
      </c>
      <c r="U68" s="382" t="s">
        <v>217</v>
      </c>
    </row>
    <row r="69" s="382" customFormat="1" ht="26.25" customHeight="1">
      <c r="A69" s="382" t="s">
        <v>54</v>
      </c>
      <c r="B69" s="382" t="s">
        <v>65</v>
      </c>
      <c r="C69" s="382" t="n">
        <v>5230742</v>
      </c>
      <c r="D69" s="382" t="s">
        <v>216</v>
      </c>
      <c r="E69" s="382" t="s">
        <v>283</v>
      </c>
      <c r="F69" s="382" t="s">
        <v>785</v>
      </c>
      <c r="G69" s="382" t="s">
        <v>35</v>
      </c>
      <c r="H69" s="382" t="s">
        <v>43</v>
      </c>
      <c r="I69" s="382" t="s">
        <v>56</v>
      </c>
      <c r="J69" s="382" t="s">
        <v>36</v>
      </c>
      <c r="K69" s="382" t="s">
        <v>2668</v>
      </c>
      <c r="M69" s="939" t="s">
        <v>2814</v>
      </c>
      <c r="N69" s="940" t="s">
        <v>2815</v>
      </c>
      <c r="O69" s="941" t="s">
        <v>2816</v>
      </c>
      <c r="P69" s="382" t="s">
        <v>2817</v>
      </c>
      <c r="Q69" s="382" t="n">
        <v>59</v>
      </c>
      <c r="T69" s="382" t="s">
        <v>217</v>
      </c>
      <c r="U69" s="382" t="s">
        <v>217</v>
      </c>
      <c r="V69" s="382" t="s">
        <v>217</v>
      </c>
    </row>
    <row r="70" s="382" customFormat="1" ht="26.25" customHeight="1">
      <c r="A70" s="382" t="s">
        <v>54</v>
      </c>
      <c r="B70" s="382" t="s">
        <v>65</v>
      </c>
      <c r="C70" s="382" t="n">
        <v>5230742</v>
      </c>
      <c r="D70" s="382" t="s">
        <v>216</v>
      </c>
      <c r="E70" s="382" t="s">
        <v>283</v>
      </c>
      <c r="F70" s="382" t="s">
        <v>684</v>
      </c>
      <c r="G70" s="382" t="s">
        <v>35</v>
      </c>
      <c r="I70" s="382" t="s">
        <v>58</v>
      </c>
      <c r="J70" s="382" t="s">
        <v>59</v>
      </c>
      <c r="K70" s="382" t="s">
        <v>2818</v>
      </c>
      <c r="N70" s="942" t="s">
        <v>2819</v>
      </c>
      <c r="O70" s="943" t="s">
        <v>2820</v>
      </c>
      <c r="P70" s="944" t="s">
        <v>2821</v>
      </c>
      <c r="Q70" s="382" t="n">
        <v>35</v>
      </c>
      <c r="T70" s="382" t="s">
        <v>217</v>
      </c>
      <c r="U70" s="382" t="s">
        <v>217</v>
      </c>
    </row>
    <row r="71" s="382" customFormat="1" ht="26.25" customHeight="1">
      <c r="A71" s="382" t="s">
        <v>54</v>
      </c>
      <c r="B71" s="382" t="s">
        <v>65</v>
      </c>
      <c r="C71" s="382" t="n">
        <v>5230742</v>
      </c>
      <c r="D71" s="382" t="s">
        <v>216</v>
      </c>
      <c r="E71" s="382" t="s">
        <v>283</v>
      </c>
      <c r="F71" s="382" t="s">
        <v>770</v>
      </c>
      <c r="G71" s="382" t="s">
        <v>35</v>
      </c>
      <c r="H71" s="382" t="s">
        <v>49</v>
      </c>
      <c r="I71" s="382" t="s">
        <v>56</v>
      </c>
      <c r="J71" s="382" t="s">
        <v>55</v>
      </c>
      <c r="K71" s="382" t="s">
        <v>2822</v>
      </c>
      <c r="L71" s="382" t="s">
        <v>2823</v>
      </c>
      <c r="M71" s="945" t="s">
        <v>2824</v>
      </c>
      <c r="N71" s="946" t="s">
        <v>2825</v>
      </c>
      <c r="O71" s="947" t="s">
        <v>2826</v>
      </c>
      <c r="P71" s="382" t="s">
        <v>2827</v>
      </c>
      <c r="Q71" s="382" t="n">
        <v>70</v>
      </c>
      <c r="T71" s="382" t="s">
        <v>217</v>
      </c>
      <c r="U71" s="382" t="s">
        <v>217</v>
      </c>
    </row>
    <row r="72" s="382" customFormat="1" ht="26.25" customHeight="1">
      <c r="A72" s="382" t="s">
        <v>54</v>
      </c>
      <c r="B72" s="382" t="s">
        <v>65</v>
      </c>
      <c r="C72" s="382" t="n">
        <v>5230742</v>
      </c>
      <c r="D72" s="382" t="s">
        <v>216</v>
      </c>
      <c r="E72" s="382" t="s">
        <v>283</v>
      </c>
      <c r="F72" s="382" t="s">
        <v>882</v>
      </c>
      <c r="G72" s="382" t="s">
        <v>35</v>
      </c>
      <c r="H72" s="382" t="s">
        <v>49</v>
      </c>
      <c r="I72" s="382" t="s">
        <v>56</v>
      </c>
      <c r="J72" s="382" t="s">
        <v>55</v>
      </c>
      <c r="K72" s="382" t="s">
        <v>2770</v>
      </c>
      <c r="M72" s="948" t="s">
        <v>2828</v>
      </c>
      <c r="N72" s="949" t="s">
        <v>2829</v>
      </c>
      <c r="O72" s="950" t="s">
        <v>2830</v>
      </c>
      <c r="P72" s="382" t="s">
        <v>2831</v>
      </c>
      <c r="Q72" s="382" t="n">
        <v>35</v>
      </c>
      <c r="T72" s="382" t="s">
        <v>217</v>
      </c>
      <c r="U72" s="382" t="s">
        <v>217</v>
      </c>
    </row>
    <row r="73" s="382" customFormat="1" ht="26.25" customHeight="1">
      <c r="A73" s="382" t="s">
        <v>54</v>
      </c>
      <c r="B73" s="382" t="s">
        <v>65</v>
      </c>
      <c r="C73" s="382" t="n">
        <v>5230742</v>
      </c>
      <c r="D73" s="382" t="s">
        <v>216</v>
      </c>
      <c r="E73" s="382" t="s">
        <v>283</v>
      </c>
      <c r="F73" s="382" t="s">
        <v>387</v>
      </c>
      <c r="G73" s="382" t="s">
        <v>35</v>
      </c>
      <c r="H73" s="382" t="s">
        <v>49</v>
      </c>
      <c r="I73" s="382" t="s">
        <v>56</v>
      </c>
      <c r="J73" s="382" t="s">
        <v>57</v>
      </c>
      <c r="K73" s="382" t="s">
        <v>2749</v>
      </c>
      <c r="L73" s="382" t="s">
        <v>2832</v>
      </c>
      <c r="M73" s="951" t="s">
        <v>2833</v>
      </c>
      <c r="N73" s="382" t="s">
        <v>2479</v>
      </c>
      <c r="O73" s="952" t="s">
        <v>2834</v>
      </c>
      <c r="P73" s="382" t="s">
        <v>2835</v>
      </c>
      <c r="T73" s="382" t="s">
        <v>217</v>
      </c>
      <c r="U73" s="382" t="s">
        <v>217</v>
      </c>
    </row>
    <row r="74" s="382" customFormat="1" ht="26.25" customHeight="1">
      <c r="A74" s="382" t="s">
        <v>54</v>
      </c>
      <c r="B74" s="382" t="s">
        <v>65</v>
      </c>
      <c r="C74" s="382" t="n">
        <v>5230742</v>
      </c>
      <c r="D74" s="382" t="s">
        <v>216</v>
      </c>
      <c r="E74" s="382" t="s">
        <v>283</v>
      </c>
      <c r="F74" s="382" t="s">
        <v>541</v>
      </c>
      <c r="G74" s="382" t="s">
        <v>35</v>
      </c>
      <c r="H74" s="382" t="s">
        <v>49</v>
      </c>
      <c r="I74" s="382" t="s">
        <v>56</v>
      </c>
      <c r="J74" s="382" t="s">
        <v>55</v>
      </c>
      <c r="K74" s="382" t="s">
        <v>2757</v>
      </c>
      <c r="L74" s="382" t="s">
        <v>2600</v>
      </c>
      <c r="M74" s="953" t="s">
        <v>2836</v>
      </c>
      <c r="N74" s="954" t="s">
        <v>2837</v>
      </c>
      <c r="O74" s="382" t="s">
        <v>2838</v>
      </c>
      <c r="P74" s="955" t="s">
        <v>2839</v>
      </c>
      <c r="T74" s="382" t="s">
        <v>217</v>
      </c>
      <c r="U74" s="382" t="s">
        <v>217</v>
      </c>
    </row>
    <row r="75" s="382" customFormat="1" ht="26.25" customHeight="1">
      <c r="A75" s="382" t="s">
        <v>54</v>
      </c>
      <c r="B75" s="382" t="s">
        <v>65</v>
      </c>
      <c r="C75" s="382" t="n">
        <v>5230742</v>
      </c>
      <c r="D75" s="382" t="s">
        <v>216</v>
      </c>
      <c r="E75" s="382" t="s">
        <v>283</v>
      </c>
      <c r="F75" s="382" t="s">
        <v>548</v>
      </c>
      <c r="G75" s="382" t="s">
        <v>35</v>
      </c>
      <c r="J75" s="382" t="s">
        <v>55</v>
      </c>
      <c r="K75" s="382" t="s">
        <v>2840</v>
      </c>
      <c r="L75" s="382" t="s">
        <v>2841</v>
      </c>
      <c r="M75" s="382" t="s">
        <v>2842</v>
      </c>
      <c r="N75" s="382" t="s">
        <v>2843</v>
      </c>
      <c r="O75" s="956" t="s">
        <v>2844</v>
      </c>
      <c r="P75" s="382" t="n">
        <v>75</v>
      </c>
      <c r="T75" s="382" t="s">
        <v>218</v>
      </c>
      <c r="V75" s="382" t="s">
        <v>217</v>
      </c>
      <c r="W75" s="382" t="s">
        <v>217</v>
      </c>
      <c r="X75" s="382" t="s">
        <v>217</v>
      </c>
      <c r="Y75" s="382" t="s">
        <v>218</v>
      </c>
    </row>
    <row r="76" s="382" customFormat="1" ht="26.25" customHeight="1">
      <c r="A76" s="382" t="s">
        <v>54</v>
      </c>
      <c r="B76" s="382" t="s">
        <v>65</v>
      </c>
      <c r="C76" s="382" t="s">
        <v>2845</v>
      </c>
      <c r="D76" s="382" t="s">
        <v>245</v>
      </c>
      <c r="E76" s="382" t="s">
        <v>234</v>
      </c>
      <c r="F76" s="382" t="s">
        <v>951</v>
      </c>
      <c r="G76" s="382" t="s">
        <v>35</v>
      </c>
      <c r="H76" s="382" t="s">
        <v>43</v>
      </c>
      <c r="I76" s="382" t="s">
        <v>56</v>
      </c>
      <c r="J76" s="382" t="s">
        <v>59</v>
      </c>
      <c r="O76" s="957" t="s">
        <v>2846</v>
      </c>
      <c r="P76" s="382" t="s">
        <v>2847</v>
      </c>
      <c r="Q76" s="5"/>
      <c r="T76" s="382" t="s">
        <v>217</v>
      </c>
    </row>
    <row r="77" s="382" customFormat="1" ht="26.25" customHeight="1">
      <c r="A77" s="382" t="s">
        <v>54</v>
      </c>
      <c r="B77" s="382" t="s">
        <v>65</v>
      </c>
      <c r="C77" s="382" t="s">
        <v>2848</v>
      </c>
      <c r="D77" s="382" t="s">
        <v>216</v>
      </c>
      <c r="E77" s="382" t="s">
        <v>283</v>
      </c>
      <c r="F77" s="382" t="s">
        <v>308</v>
      </c>
      <c r="G77" s="382" t="s">
        <v>35</v>
      </c>
      <c r="H77" s="382" t="s">
        <v>49</v>
      </c>
      <c r="I77" s="382" t="s">
        <v>56</v>
      </c>
      <c r="J77" s="382" t="s">
        <v>34</v>
      </c>
      <c r="P77" s="382" t="s">
        <v>2849</v>
      </c>
      <c r="Q77" s="5"/>
      <c r="T77" s="382" t="s">
        <v>217</v>
      </c>
    </row>
    <row r="78" s="382" customFormat="1" ht="26.25" customHeight="1">
      <c r="A78" s="382" t="s">
        <v>54</v>
      </c>
      <c r="B78" s="382" t="s">
        <v>65</v>
      </c>
      <c r="C78" s="382" t="s">
        <v>2845</v>
      </c>
      <c r="D78" s="382" t="s">
        <v>245</v>
      </c>
      <c r="E78" s="382" t="s">
        <v>234</v>
      </c>
      <c r="F78" s="382" t="s">
        <v>257</v>
      </c>
      <c r="G78" s="382" t="s">
        <v>35</v>
      </c>
      <c r="H78" s="382" t="s">
        <v>49</v>
      </c>
      <c r="I78" s="382" t="s">
        <v>56</v>
      </c>
      <c r="J78" s="382" t="s">
        <v>55</v>
      </c>
      <c r="P78" s="382" t="s">
        <v>2850</v>
      </c>
      <c r="Q78" s="5"/>
      <c r="T78" s="382" t="s">
        <v>217</v>
      </c>
    </row>
    <row r="79" s="382" customFormat="1" ht="26.25" customHeight="1">
      <c r="A79" s="382" t="s">
        <v>54</v>
      </c>
      <c r="B79" s="382" t="s">
        <v>65</v>
      </c>
      <c r="C79" s="382" t="s">
        <v>2845</v>
      </c>
      <c r="D79" s="382" t="s">
        <v>245</v>
      </c>
      <c r="E79" s="382" t="s">
        <v>234</v>
      </c>
      <c r="F79" s="382" t="s">
        <v>244</v>
      </c>
      <c r="G79" s="382" t="s">
        <v>35</v>
      </c>
      <c r="H79" s="382" t="s">
        <v>49</v>
      </c>
      <c r="I79" s="382" t="s">
        <v>56</v>
      </c>
      <c r="J79" s="382" t="s">
        <v>57</v>
      </c>
      <c r="O79" s="958" t="s">
        <v>2851</v>
      </c>
      <c r="P79" s="382" t="s">
        <v>2852</v>
      </c>
      <c r="Q79" s="5"/>
      <c r="T79" s="382" t="s">
        <v>217</v>
      </c>
    </row>
    <row r="80" s="382" customFormat="1" ht="26.25" customHeight="1">
      <c r="A80" s="382" t="s">
        <v>54</v>
      </c>
      <c r="B80" s="382" t="s">
        <v>65</v>
      </c>
      <c r="C80" s="382" t="s">
        <v>2845</v>
      </c>
      <c r="D80" s="382" t="s">
        <v>245</v>
      </c>
      <c r="E80" s="382" t="s">
        <v>234</v>
      </c>
      <c r="F80" s="382" t="s">
        <v>959</v>
      </c>
      <c r="G80" s="382" t="s">
        <v>35</v>
      </c>
      <c r="H80" s="382" t="s">
        <v>47</v>
      </c>
      <c r="I80" s="382" t="s">
        <v>56</v>
      </c>
      <c r="J80" s="382" t="s">
        <v>55</v>
      </c>
      <c r="O80" s="382" t="s">
        <v>2853</v>
      </c>
      <c r="P80" s="382" t="s">
        <v>2849</v>
      </c>
      <c r="Q80" s="5"/>
      <c r="T80" s="382" t="s">
        <v>217</v>
      </c>
      <c r="V80" s="382" t="s">
        <v>217</v>
      </c>
    </row>
    <row r="81" s="382" customFormat="1" ht="26.25" customHeight="1">
      <c r="A81" s="382" t="s">
        <v>54</v>
      </c>
      <c r="B81" s="382" t="s">
        <v>65</v>
      </c>
      <c r="C81" s="382" t="s">
        <v>2845</v>
      </c>
      <c r="D81" s="382" t="s">
        <v>245</v>
      </c>
      <c r="E81" s="382" t="s">
        <v>234</v>
      </c>
      <c r="F81" s="382" t="s">
        <v>268</v>
      </c>
      <c r="G81" s="382" t="s">
        <v>35</v>
      </c>
      <c r="H81" s="382" t="s">
        <v>47</v>
      </c>
      <c r="I81" s="382" t="s">
        <v>52</v>
      </c>
      <c r="J81" s="382" t="s">
        <v>57</v>
      </c>
      <c r="O81" s="959" t="s">
        <v>2854</v>
      </c>
      <c r="P81" s="382" t="s">
        <v>2855</v>
      </c>
      <c r="Q81" s="5"/>
      <c r="T81" s="382" t="s">
        <v>217</v>
      </c>
    </row>
    <row r="82" s="382" customFormat="1" ht="26.25" customHeight="1">
      <c r="A82" s="382" t="s">
        <v>54</v>
      </c>
      <c r="B82" s="382" t="s">
        <v>65</v>
      </c>
      <c r="C82" s="382" t="s">
        <v>2845</v>
      </c>
      <c r="D82" s="382" t="s">
        <v>245</v>
      </c>
      <c r="E82" s="382" t="s">
        <v>234</v>
      </c>
      <c r="F82" s="382" t="s">
        <v>533</v>
      </c>
      <c r="G82" s="382" t="s">
        <v>35</v>
      </c>
      <c r="H82" s="382" t="s">
        <v>47</v>
      </c>
      <c r="I82" s="382" t="s">
        <v>56</v>
      </c>
      <c r="J82" s="382" t="s">
        <v>59</v>
      </c>
      <c r="O82" s="960" t="s">
        <v>2856</v>
      </c>
      <c r="P82" s="382" t="s">
        <v>2847</v>
      </c>
      <c r="Q82" s="5"/>
      <c r="T82" s="382" t="s">
        <v>217</v>
      </c>
      <c r="V82" s="382" t="s">
        <v>217</v>
      </c>
    </row>
    <row r="83" s="382" customFormat="1" ht="26.25" customHeight="1">
      <c r="A83" s="382" t="s">
        <v>54</v>
      </c>
      <c r="B83" s="382" t="s">
        <v>65</v>
      </c>
      <c r="C83" s="382" t="s">
        <v>2845</v>
      </c>
      <c r="D83" s="382" t="s">
        <v>245</v>
      </c>
      <c r="E83" s="382" t="s">
        <v>234</v>
      </c>
      <c r="F83" s="382" t="s">
        <v>827</v>
      </c>
      <c r="G83" s="382" t="s">
        <v>35</v>
      </c>
      <c r="H83" s="382" t="s">
        <v>47</v>
      </c>
      <c r="I83" s="382" t="s">
        <v>56</v>
      </c>
      <c r="J83" s="382" t="s">
        <v>59</v>
      </c>
      <c r="P83" s="382" t="s">
        <v>2857</v>
      </c>
      <c r="Q83" s="5"/>
      <c r="T83" s="382" t="s">
        <v>217</v>
      </c>
      <c r="V83" s="382" t="s">
        <v>217</v>
      </c>
    </row>
    <row r="84" s="382" customFormat="1" ht="26.25" customHeight="1">
      <c r="A84" s="382" t="s">
        <v>54</v>
      </c>
      <c r="B84" s="382" t="s">
        <v>65</v>
      </c>
      <c r="C84" s="382" t="s">
        <v>2845</v>
      </c>
      <c r="D84" s="382" t="s">
        <v>245</v>
      </c>
      <c r="E84" s="382" t="s">
        <v>234</v>
      </c>
      <c r="F84" s="382" t="s">
        <v>232</v>
      </c>
      <c r="G84" s="382" t="s">
        <v>35</v>
      </c>
      <c r="H84" s="382" t="s">
        <v>49</v>
      </c>
      <c r="I84" s="382" t="s">
        <v>56</v>
      </c>
      <c r="J84" s="382" t="s">
        <v>57</v>
      </c>
      <c r="O84" s="961" t="s">
        <v>2858</v>
      </c>
      <c r="P84" s="382" t="s">
        <v>2855</v>
      </c>
      <c r="Q84" s="5"/>
      <c r="T84" s="382"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76" t="s">
        <v>2588</v>
      </c>
      <c r="K1" s="377" t="s">
        <v>2351</v>
      </c>
      <c r="P1" s="378" t="s">
        <v>2352</v>
      </c>
      <c r="T1" s="379" t="s">
        <v>2353</v>
      </c>
    </row>
    <row r="2" ht="26.25" customHeight="1">
      <c r="A2" s="388" t="s">
        <v>71</v>
      </c>
      <c r="B2" s="388" t="s">
        <v>174</v>
      </c>
      <c r="C2" s="388" t="s">
        <v>2354</v>
      </c>
      <c r="D2" s="388" t="s">
        <v>2355</v>
      </c>
      <c r="E2" s="388" t="s">
        <v>94</v>
      </c>
      <c r="F2" s="388" t="s">
        <v>148</v>
      </c>
      <c r="G2" s="388" t="s">
        <v>172</v>
      </c>
      <c r="H2" s="388" t="s">
        <v>2356</v>
      </c>
      <c r="I2" s="388" t="s">
        <v>2357</v>
      </c>
      <c r="J2" s="388" t="s">
        <v>2358</v>
      </c>
      <c r="K2" s="388" t="s">
        <v>2359</v>
      </c>
      <c r="L2" s="388" t="s">
        <v>2360</v>
      </c>
      <c r="M2" s="962" t="s">
        <v>2361</v>
      </c>
      <c r="N2" s="388" t="s">
        <v>2362</v>
      </c>
      <c r="O2" s="388" t="s">
        <v>2363</v>
      </c>
      <c r="P2" s="388" t="s">
        <v>126</v>
      </c>
      <c r="Q2" s="388" t="s">
        <v>125</v>
      </c>
      <c r="R2" s="388" t="s">
        <v>2364</v>
      </c>
      <c r="S2" s="388" t="s">
        <v>2365</v>
      </c>
      <c r="T2" s="388" t="s">
        <v>2366</v>
      </c>
      <c r="U2" s="388" t="s">
        <v>2367</v>
      </c>
      <c r="V2" s="388" t="s">
        <v>176</v>
      </c>
      <c r="W2" s="388" t="s">
        <v>2368</v>
      </c>
      <c r="X2" s="388" t="s">
        <v>2369</v>
      </c>
      <c r="Y2" s="388" t="s">
        <v>2370</v>
      </c>
    </row>
    <row r="3" ht="26.25" customHeight="1">
      <c r="A3" s="382" t="s">
        <v>54</v>
      </c>
      <c r="B3" s="382" t="s">
        <v>88</v>
      </c>
      <c r="C3" s="382" t="n">
        <v>3132884</v>
      </c>
      <c r="D3" s="382" t="s">
        <v>216</v>
      </c>
      <c r="E3" s="382" t="s">
        <v>283</v>
      </c>
      <c r="F3" s="382" t="s">
        <v>1224</v>
      </c>
      <c r="G3" s="382" t="s">
        <v>37</v>
      </c>
      <c r="H3" s="382" t="s">
        <v>47</v>
      </c>
      <c r="I3" s="382" t="s">
        <v>56</v>
      </c>
      <c r="J3" s="382" t="s">
        <v>38</v>
      </c>
      <c r="K3" s="382"/>
      <c r="L3" s="382"/>
      <c r="M3" s="382" t="s">
        <v>2859</v>
      </c>
      <c r="N3" s="963" t="s">
        <v>2860</v>
      </c>
      <c r="O3" s="382" t="s">
        <v>2861</v>
      </c>
      <c r="P3" s="382"/>
      <c r="Q3" s="382" t="n">
        <v>66</v>
      </c>
      <c r="R3" s="382"/>
      <c r="S3" s="382"/>
      <c r="T3" s="382" t="s">
        <v>217</v>
      </c>
      <c r="U3" s="382" t="s">
        <v>217</v>
      </c>
      <c r="V3" s="382" t="s">
        <v>217</v>
      </c>
      <c r="W3" s="382" t="s">
        <v>217</v>
      </c>
      <c r="X3" s="382" t="s">
        <v>217</v>
      </c>
      <c r="Y3" s="382" t="s">
        <v>217</v>
      </c>
    </row>
    <row r="4" ht="26.25" customHeight="1">
      <c r="A4" s="382" t="s">
        <v>54</v>
      </c>
      <c r="B4" s="382" t="s">
        <v>88</v>
      </c>
      <c r="C4" s="382" t="n">
        <v>3132884</v>
      </c>
      <c r="D4" s="382" t="s">
        <v>216</v>
      </c>
      <c r="E4" s="382" t="s">
        <v>283</v>
      </c>
      <c r="F4" s="382" t="s">
        <v>2862</v>
      </c>
      <c r="G4" s="382" t="s">
        <v>37</v>
      </c>
      <c r="H4" s="382" t="s">
        <v>47</v>
      </c>
      <c r="I4" s="382"/>
      <c r="J4" s="382" t="s">
        <v>59</v>
      </c>
      <c r="K4" s="382" t="s">
        <v>267</v>
      </c>
      <c r="L4" s="382"/>
      <c r="M4" s="382" t="s">
        <v>2863</v>
      </c>
      <c r="N4" s="382" t="s">
        <v>2864</v>
      </c>
      <c r="O4" s="382" t="s">
        <v>2125</v>
      </c>
      <c r="P4" s="382"/>
      <c r="Q4" s="382" t="n">
        <v>60</v>
      </c>
      <c r="R4" s="382"/>
      <c r="S4" s="382"/>
      <c r="T4" s="382" t="s">
        <v>217</v>
      </c>
      <c r="U4" s="382" t="s">
        <v>217</v>
      </c>
      <c r="V4" s="382" t="s">
        <v>217</v>
      </c>
      <c r="W4" s="382" t="s">
        <v>217</v>
      </c>
      <c r="X4" s="382" t="s">
        <v>218</v>
      </c>
      <c r="Y4" s="382" t="s">
        <v>217</v>
      </c>
    </row>
    <row r="5" ht="26.25" customHeight="1">
      <c r="A5" s="382" t="s">
        <v>54</v>
      </c>
      <c r="B5" s="382" t="s">
        <v>88</v>
      </c>
      <c r="C5" s="382" t="n">
        <v>3132884</v>
      </c>
      <c r="D5" s="382" t="s">
        <v>216</v>
      </c>
      <c r="E5" s="382" t="s">
        <v>283</v>
      </c>
      <c r="F5" s="382" t="s">
        <v>1036</v>
      </c>
      <c r="G5" s="382" t="s">
        <v>37</v>
      </c>
      <c r="H5" s="382" t="s">
        <v>47</v>
      </c>
      <c r="I5" s="382" t="s">
        <v>56</v>
      </c>
      <c r="J5" s="382" t="s">
        <v>57</v>
      </c>
      <c r="K5" s="382"/>
      <c r="L5" s="382"/>
      <c r="M5" s="382" t="s">
        <v>2865</v>
      </c>
      <c r="N5" s="382" t="s">
        <v>2866</v>
      </c>
      <c r="O5" s="382" t="s">
        <v>2867</v>
      </c>
      <c r="P5" s="382"/>
      <c r="Q5" s="382"/>
      <c r="R5" s="382"/>
      <c r="S5" s="382"/>
      <c r="T5" s="382" t="s">
        <v>217</v>
      </c>
      <c r="U5" s="382" t="s">
        <v>217</v>
      </c>
      <c r="V5" s="382" t="s">
        <v>217</v>
      </c>
      <c r="W5" s="382" t="s">
        <v>217</v>
      </c>
      <c r="X5" s="382" t="s">
        <v>218</v>
      </c>
      <c r="Y5" s="382" t="s">
        <v>218</v>
      </c>
    </row>
    <row r="6" ht="26.25" customHeight="1">
      <c r="A6" s="382" t="s">
        <v>54</v>
      </c>
      <c r="B6" s="382" t="s">
        <v>88</v>
      </c>
      <c r="C6" s="382" t="n">
        <v>3132884</v>
      </c>
      <c r="D6" s="382" t="s">
        <v>216</v>
      </c>
      <c r="E6" s="382" t="s">
        <v>283</v>
      </c>
      <c r="F6" s="382" t="s">
        <v>1300</v>
      </c>
      <c r="G6" s="382" t="s">
        <v>37</v>
      </c>
      <c r="H6" s="382" t="s">
        <v>47</v>
      </c>
      <c r="I6" s="382" t="s">
        <v>56</v>
      </c>
      <c r="J6" s="382" t="s">
        <v>48</v>
      </c>
      <c r="K6" s="382" t="s">
        <v>2868</v>
      </c>
      <c r="L6" s="382"/>
      <c r="M6" s="382" t="s">
        <v>2869</v>
      </c>
      <c r="N6" s="382" t="s">
        <v>2870</v>
      </c>
      <c r="O6" s="382" t="s">
        <v>2871</v>
      </c>
      <c r="P6" s="382" t="n">
        <v>72</v>
      </c>
      <c r="Q6" s="382"/>
      <c r="R6" s="382"/>
      <c r="S6" s="382"/>
      <c r="T6" s="382" t="s">
        <v>217</v>
      </c>
      <c r="U6" s="382" t="s">
        <v>217</v>
      </c>
      <c r="V6" s="382" t="s">
        <v>217</v>
      </c>
      <c r="W6" s="382" t="s">
        <v>217</v>
      </c>
      <c r="X6" s="382" t="s">
        <v>217</v>
      </c>
      <c r="Y6" s="382" t="s">
        <v>218</v>
      </c>
    </row>
    <row r="7" ht="26.25" customHeight="1">
      <c r="A7" s="382" t="s">
        <v>54</v>
      </c>
      <c r="B7" s="382" t="s">
        <v>88</v>
      </c>
      <c r="C7" s="382" t="n">
        <v>3132884</v>
      </c>
      <c r="D7" s="382" t="s">
        <v>216</v>
      </c>
      <c r="E7" s="382" t="s">
        <v>283</v>
      </c>
      <c r="F7" s="382" t="s">
        <v>1333</v>
      </c>
      <c r="G7" s="382" t="s">
        <v>37</v>
      </c>
      <c r="H7" s="382" t="s">
        <v>47</v>
      </c>
      <c r="I7" s="382" t="s">
        <v>56</v>
      </c>
      <c r="J7" s="382" t="s">
        <v>57</v>
      </c>
      <c r="K7" s="382"/>
      <c r="L7" s="382"/>
      <c r="M7" s="382" t="s">
        <v>2872</v>
      </c>
      <c r="N7" s="382" t="s">
        <v>2873</v>
      </c>
      <c r="O7" s="382" t="s">
        <v>2874</v>
      </c>
      <c r="P7" s="382"/>
      <c r="Q7" s="382" t="n">
        <v>75</v>
      </c>
      <c r="R7" s="382"/>
      <c r="S7" s="382"/>
      <c r="T7" s="382" t="s">
        <v>217</v>
      </c>
      <c r="U7" s="382" t="s">
        <v>217</v>
      </c>
      <c r="V7" s="382" t="s">
        <v>217</v>
      </c>
      <c r="W7" s="382" t="s">
        <v>217</v>
      </c>
      <c r="X7" s="382" t="s">
        <v>217</v>
      </c>
      <c r="Y7" s="382" t="s">
        <v>218</v>
      </c>
    </row>
    <row r="8" ht="26.25" customHeight="1">
      <c r="A8" s="382" t="s">
        <v>54</v>
      </c>
      <c r="B8" s="382" t="s">
        <v>88</v>
      </c>
      <c r="C8" s="382" t="n">
        <v>3132884</v>
      </c>
      <c r="D8" s="382" t="s">
        <v>216</v>
      </c>
      <c r="E8" s="382" t="s">
        <v>283</v>
      </c>
      <c r="F8" s="382" t="s">
        <v>1318</v>
      </c>
      <c r="G8" s="382" t="s">
        <v>37</v>
      </c>
      <c r="H8" s="382"/>
      <c r="I8" s="382" t="s">
        <v>56</v>
      </c>
      <c r="J8" s="382" t="s">
        <v>57</v>
      </c>
      <c r="K8" s="382"/>
      <c r="L8" s="382"/>
      <c r="M8" s="382"/>
      <c r="N8" s="382" t="s">
        <v>2875</v>
      </c>
      <c r="O8" s="382" t="s">
        <v>2876</v>
      </c>
      <c r="P8" s="382"/>
      <c r="Q8" s="382" t="n">
        <v>70</v>
      </c>
      <c r="R8" s="382"/>
      <c r="S8" s="382"/>
      <c r="T8" s="382" t="s">
        <v>217</v>
      </c>
      <c r="U8" s="382" t="s">
        <v>217</v>
      </c>
      <c r="V8" s="382" t="s">
        <v>217</v>
      </c>
      <c r="W8" s="382" t="s">
        <v>217</v>
      </c>
      <c r="X8" s="382" t="s">
        <v>217</v>
      </c>
      <c r="Y8" s="382" t="s">
        <v>218</v>
      </c>
    </row>
    <row r="9" ht="26.25" customHeight="1">
      <c r="A9" s="382" t="s">
        <v>54</v>
      </c>
      <c r="B9" s="382" t="s">
        <v>88</v>
      </c>
      <c r="C9" s="382" t="n">
        <v>3132884</v>
      </c>
      <c r="D9" s="382" t="s">
        <v>216</v>
      </c>
      <c r="E9" s="382" t="s">
        <v>283</v>
      </c>
      <c r="F9" s="382" t="s">
        <v>2877</v>
      </c>
      <c r="G9" s="382" t="s">
        <v>37</v>
      </c>
      <c r="H9" s="382" t="s">
        <v>47</v>
      </c>
      <c r="I9" s="382" t="s">
        <v>56</v>
      </c>
      <c r="J9" s="382" t="s">
        <v>36</v>
      </c>
      <c r="K9" s="382"/>
      <c r="L9" s="382"/>
      <c r="M9" s="382" t="s">
        <v>2878</v>
      </c>
      <c r="N9" s="382" t="s">
        <v>2879</v>
      </c>
      <c r="O9" s="382" t="s">
        <v>2880</v>
      </c>
      <c r="P9" s="382"/>
      <c r="Q9" s="382" t="n">
        <v>77</v>
      </c>
      <c r="R9" s="382"/>
      <c r="S9" s="382"/>
      <c r="T9" s="382" t="s">
        <v>217</v>
      </c>
      <c r="U9" s="382" t="s">
        <v>217</v>
      </c>
      <c r="V9" s="382" t="s">
        <v>217</v>
      </c>
      <c r="W9" s="382" t="s">
        <v>217</v>
      </c>
      <c r="X9" s="382" t="s">
        <v>218</v>
      </c>
      <c r="Y9" s="382" t="s">
        <v>218</v>
      </c>
    </row>
    <row r="10" ht="26.25" customHeight="1">
      <c r="A10" s="382" t="s">
        <v>54</v>
      </c>
      <c r="B10" s="382" t="s">
        <v>88</v>
      </c>
      <c r="C10" s="382" t="n">
        <v>3132884</v>
      </c>
      <c r="D10" s="382" t="s">
        <v>216</v>
      </c>
      <c r="E10" s="382" t="s">
        <v>283</v>
      </c>
      <c r="F10" s="382" t="s">
        <v>1029</v>
      </c>
      <c r="G10" s="382" t="s">
        <v>37</v>
      </c>
      <c r="H10" s="382" t="s">
        <v>47</v>
      </c>
      <c r="I10" s="382" t="s">
        <v>56</v>
      </c>
      <c r="J10" s="382" t="s">
        <v>55</v>
      </c>
      <c r="K10" s="382"/>
      <c r="L10" s="382"/>
      <c r="M10" s="382" t="s">
        <v>2881</v>
      </c>
      <c r="N10" s="382" t="s">
        <v>2882</v>
      </c>
      <c r="O10" s="382"/>
      <c r="P10" s="382"/>
      <c r="Q10" s="382" t="n">
        <v>68</v>
      </c>
      <c r="R10" s="382"/>
      <c r="S10" s="382"/>
      <c r="T10" s="382" t="s">
        <v>217</v>
      </c>
      <c r="U10" s="382" t="s">
        <v>217</v>
      </c>
      <c r="V10" s="382" t="s">
        <v>217</v>
      </c>
      <c r="W10" s="382" t="s">
        <v>217</v>
      </c>
      <c r="X10" s="382" t="s">
        <v>217</v>
      </c>
      <c r="Y10" s="382" t="s">
        <v>217</v>
      </c>
    </row>
    <row r="11" ht="26.25" customHeight="1">
      <c r="A11" s="382" t="s">
        <v>54</v>
      </c>
      <c r="B11" s="382" t="s">
        <v>88</v>
      </c>
      <c r="C11" s="382" t="n">
        <v>3132884</v>
      </c>
      <c r="D11" s="382" t="s">
        <v>216</v>
      </c>
      <c r="E11" s="382" t="s">
        <v>283</v>
      </c>
      <c r="F11" s="382" t="s">
        <v>1168</v>
      </c>
      <c r="G11" s="382" t="s">
        <v>37</v>
      </c>
      <c r="H11" s="382" t="s">
        <v>47</v>
      </c>
      <c r="I11" s="382" t="s">
        <v>56</v>
      </c>
      <c r="J11" s="382" t="s">
        <v>36</v>
      </c>
      <c r="K11" s="382"/>
      <c r="L11" s="382"/>
      <c r="M11" s="382" t="s">
        <v>2883</v>
      </c>
      <c r="N11" s="382" t="s">
        <v>2884</v>
      </c>
      <c r="O11" s="382" t="s">
        <v>2885</v>
      </c>
      <c r="P11" s="382"/>
      <c r="Q11" s="382" t="n">
        <v>60</v>
      </c>
      <c r="R11" s="382"/>
      <c r="S11" s="382"/>
      <c r="T11" s="382" t="s">
        <v>217</v>
      </c>
      <c r="U11" s="382" t="s">
        <v>217</v>
      </c>
      <c r="V11" s="382" t="s">
        <v>217</v>
      </c>
      <c r="W11" s="382" t="s">
        <v>217</v>
      </c>
      <c r="X11" s="382" t="s">
        <v>217</v>
      </c>
      <c r="Y11" s="382" t="s">
        <v>218</v>
      </c>
    </row>
    <row r="12" ht="26.25" customHeight="1">
      <c r="A12" s="382" t="s">
        <v>54</v>
      </c>
      <c r="B12" s="382" t="s">
        <v>88</v>
      </c>
      <c r="C12" s="382" t="n">
        <v>3132884</v>
      </c>
      <c r="D12" s="382" t="s">
        <v>216</v>
      </c>
      <c r="E12" s="382" t="s">
        <v>283</v>
      </c>
      <c r="F12" s="382" t="s">
        <v>1162</v>
      </c>
      <c r="G12" s="382" t="s">
        <v>37</v>
      </c>
      <c r="H12" s="382" t="s">
        <v>47</v>
      </c>
      <c r="I12" s="382" t="s">
        <v>56</v>
      </c>
      <c r="J12" s="382" t="s">
        <v>57</v>
      </c>
      <c r="K12" s="382"/>
      <c r="L12" s="382"/>
      <c r="M12" s="382" t="s">
        <v>2886</v>
      </c>
      <c r="N12" s="382" t="s">
        <v>2887</v>
      </c>
      <c r="O12" s="382" t="s">
        <v>2888</v>
      </c>
      <c r="P12" s="382"/>
      <c r="Q12" s="382" t="n">
        <v>29</v>
      </c>
      <c r="R12" s="382"/>
      <c r="S12" s="382"/>
      <c r="T12" s="382" t="s">
        <v>217</v>
      </c>
      <c r="U12" s="382" t="s">
        <v>217</v>
      </c>
      <c r="V12" s="382" t="s">
        <v>217</v>
      </c>
      <c r="W12" s="382" t="s">
        <v>217</v>
      </c>
      <c r="X12" s="382" t="s">
        <v>217</v>
      </c>
      <c r="Y12" s="382" t="s">
        <v>217</v>
      </c>
    </row>
    <row r="13" ht="26.25" customHeight="1">
      <c r="A13" s="382" t="s">
        <v>54</v>
      </c>
      <c r="B13" s="382" t="s">
        <v>88</v>
      </c>
      <c r="C13" s="382" t="n">
        <v>3132884</v>
      </c>
      <c r="D13" s="382" t="s">
        <v>216</v>
      </c>
      <c r="E13" s="382" t="s">
        <v>283</v>
      </c>
      <c r="F13" s="382" t="s">
        <v>1048</v>
      </c>
      <c r="G13" s="382" t="s">
        <v>37</v>
      </c>
      <c r="H13" s="382" t="s">
        <v>43</v>
      </c>
      <c r="I13" s="382" t="s">
        <v>56</v>
      </c>
      <c r="J13" s="382" t="s">
        <v>48</v>
      </c>
      <c r="K13" s="382"/>
      <c r="L13" s="382"/>
      <c r="M13" s="382" t="s">
        <v>2889</v>
      </c>
      <c r="N13" s="382"/>
      <c r="O13" s="382" t="s">
        <v>2890</v>
      </c>
      <c r="P13" s="382"/>
      <c r="Q13" s="382"/>
      <c r="R13" s="382"/>
      <c r="S13" s="382"/>
      <c r="T13" s="382" t="s">
        <v>217</v>
      </c>
      <c r="U13" s="382" t="s">
        <v>217</v>
      </c>
      <c r="V13" s="382" t="s">
        <v>217</v>
      </c>
      <c r="W13" s="382" t="s">
        <v>217</v>
      </c>
      <c r="X13" s="382" t="s">
        <v>218</v>
      </c>
      <c r="Y13" s="382" t="s">
        <v>218</v>
      </c>
    </row>
    <row r="14" ht="26.25" customHeight="1">
      <c r="A14" s="382" t="s">
        <v>54</v>
      </c>
      <c r="B14" s="382" t="s">
        <v>88</v>
      </c>
      <c r="C14" s="382" t="n">
        <v>3132884</v>
      </c>
      <c r="D14" s="382" t="s">
        <v>216</v>
      </c>
      <c r="E14" s="382" t="s">
        <v>283</v>
      </c>
      <c r="F14" s="382" t="s">
        <v>1015</v>
      </c>
      <c r="G14" s="382" t="s">
        <v>37</v>
      </c>
      <c r="H14" s="382" t="s">
        <v>47</v>
      </c>
      <c r="I14" s="382" t="s">
        <v>56</v>
      </c>
      <c r="J14" s="382" t="s">
        <v>59</v>
      </c>
      <c r="K14" s="382"/>
      <c r="L14" s="382"/>
      <c r="M14" s="382" t="s">
        <v>2891</v>
      </c>
      <c r="N14" s="382" t="s">
        <v>2892</v>
      </c>
      <c r="O14" s="964" t="s">
        <v>2893</v>
      </c>
      <c r="P14" s="382"/>
      <c r="Q14" s="382" t="n">
        <v>63</v>
      </c>
      <c r="R14" s="382"/>
      <c r="S14" s="382"/>
      <c r="T14" s="382" t="s">
        <v>217</v>
      </c>
      <c r="U14" s="382" t="s">
        <v>217</v>
      </c>
      <c r="V14" s="382" t="s">
        <v>217</v>
      </c>
      <c r="W14" s="382" t="s">
        <v>217</v>
      </c>
      <c r="X14" s="382" t="s">
        <v>217</v>
      </c>
      <c r="Y14" s="382" t="s">
        <v>217</v>
      </c>
    </row>
    <row r="15" ht="26.25" customHeight="1">
      <c r="A15" s="382" t="s">
        <v>54</v>
      </c>
      <c r="B15" s="382" t="s">
        <v>88</v>
      </c>
      <c r="C15" s="382" t="n">
        <v>3132884</v>
      </c>
      <c r="D15" s="382" t="s">
        <v>216</v>
      </c>
      <c r="E15" s="382" t="s">
        <v>283</v>
      </c>
      <c r="F15" s="382" t="s">
        <v>1052</v>
      </c>
      <c r="G15" s="382" t="s">
        <v>37</v>
      </c>
      <c r="H15" s="382" t="s">
        <v>47</v>
      </c>
      <c r="I15" s="382" t="s">
        <v>56</v>
      </c>
      <c r="J15" s="382" t="s">
        <v>55</v>
      </c>
      <c r="K15" s="382"/>
      <c r="L15" s="382"/>
      <c r="M15" s="382" t="s">
        <v>2894</v>
      </c>
      <c r="N15" s="965" t="s">
        <v>2895</v>
      </c>
      <c r="O15" s="382" t="s">
        <v>2896</v>
      </c>
      <c r="P15" s="382" t="n">
        <v>64</v>
      </c>
      <c r="Q15" s="382"/>
      <c r="R15" s="382"/>
      <c r="S15" s="382"/>
      <c r="T15" s="382" t="s">
        <v>217</v>
      </c>
      <c r="U15" s="382" t="s">
        <v>217</v>
      </c>
      <c r="V15" s="382" t="s">
        <v>217</v>
      </c>
      <c r="W15" s="382" t="s">
        <v>217</v>
      </c>
      <c r="X15" s="382" t="s">
        <v>218</v>
      </c>
      <c r="Y15" s="382" t="s">
        <v>218</v>
      </c>
    </row>
    <row r="16" ht="26.25" customHeight="1">
      <c r="A16" s="382" t="s">
        <v>54</v>
      </c>
      <c r="B16" s="382" t="s">
        <v>100</v>
      </c>
      <c r="C16" s="382" t="n">
        <v>5111034</v>
      </c>
      <c r="D16" s="382" t="s">
        <v>216</v>
      </c>
      <c r="E16" s="382" t="s">
        <v>283</v>
      </c>
      <c r="F16" s="382" t="s">
        <v>1279</v>
      </c>
      <c r="G16" s="382" t="s">
        <v>37</v>
      </c>
      <c r="H16" s="382" t="s">
        <v>43</v>
      </c>
      <c r="I16" s="382" t="s">
        <v>58</v>
      </c>
      <c r="J16" s="382" t="s">
        <v>57</v>
      </c>
      <c r="K16" s="382"/>
      <c r="L16" s="382"/>
      <c r="M16" s="382"/>
      <c r="N16" s="382" t="s">
        <v>2897</v>
      </c>
      <c r="O16" s="382" t="s">
        <v>2898</v>
      </c>
      <c r="P16" s="382"/>
      <c r="Q16" s="382" t="n">
        <v>65</v>
      </c>
      <c r="R16" s="382"/>
      <c r="S16" s="382"/>
      <c r="T16" s="382" t="s">
        <v>217</v>
      </c>
      <c r="U16" s="382" t="s">
        <v>217</v>
      </c>
      <c r="V16" s="382" t="s">
        <v>217</v>
      </c>
      <c r="W16" s="382" t="s">
        <v>217</v>
      </c>
      <c r="X16" s="382" t="s">
        <v>217</v>
      </c>
      <c r="Y16" s="382" t="s">
        <v>217</v>
      </c>
    </row>
    <row r="17" ht="26.25" customHeight="1">
      <c r="A17" s="382" t="s">
        <v>54</v>
      </c>
      <c r="B17" s="382" t="s">
        <v>88</v>
      </c>
      <c r="C17" s="382" t="n">
        <v>3132884</v>
      </c>
      <c r="D17" s="382" t="s">
        <v>216</v>
      </c>
      <c r="E17" s="382" t="s">
        <v>283</v>
      </c>
      <c r="F17" s="382" t="s">
        <v>1166</v>
      </c>
      <c r="G17" s="382" t="s">
        <v>37</v>
      </c>
      <c r="H17" s="382" t="s">
        <v>47</v>
      </c>
      <c r="I17" s="382" t="s">
        <v>56</v>
      </c>
      <c r="J17" s="382" t="s">
        <v>55</v>
      </c>
      <c r="K17" s="382"/>
      <c r="L17" s="382"/>
      <c r="M17" s="382" t="s">
        <v>2899</v>
      </c>
      <c r="N17" s="382" t="s">
        <v>2900</v>
      </c>
      <c r="O17" s="382"/>
      <c r="P17" s="382" t="s">
        <v>2901</v>
      </c>
      <c r="Q17" s="382" t="n">
        <v>68</v>
      </c>
      <c r="R17" s="382"/>
      <c r="S17" s="382"/>
      <c r="T17" s="382" t="s">
        <v>217</v>
      </c>
      <c r="U17" s="382" t="s">
        <v>217</v>
      </c>
      <c r="V17" s="382" t="s">
        <v>217</v>
      </c>
      <c r="W17" s="382" t="s">
        <v>217</v>
      </c>
      <c r="X17" s="382" t="s">
        <v>217</v>
      </c>
      <c r="Y17" s="382" t="s">
        <v>218</v>
      </c>
    </row>
    <row r="18" ht="26.25" customHeight="1">
      <c r="A18" s="382" t="s">
        <v>54</v>
      </c>
      <c r="B18" s="382" t="s">
        <v>88</v>
      </c>
      <c r="C18" s="382" t="n">
        <v>3132884</v>
      </c>
      <c r="D18" s="382" t="s">
        <v>216</v>
      </c>
      <c r="E18" s="382" t="s">
        <v>283</v>
      </c>
      <c r="F18" s="382" t="s">
        <v>1158</v>
      </c>
      <c r="G18" s="382" t="s">
        <v>37</v>
      </c>
      <c r="H18" s="382" t="s">
        <v>47</v>
      </c>
      <c r="I18" s="382" t="s">
        <v>56</v>
      </c>
      <c r="J18" s="382" t="s">
        <v>57</v>
      </c>
      <c r="K18" s="382"/>
      <c r="L18" s="382"/>
      <c r="M18" s="382"/>
      <c r="N18" s="382"/>
      <c r="O18" s="382"/>
      <c r="P18" s="382"/>
      <c r="Q18" s="382" t="n">
        <v>72</v>
      </c>
      <c r="R18" s="382"/>
      <c r="S18" s="382"/>
      <c r="T18" s="382" t="s">
        <v>217</v>
      </c>
      <c r="U18" s="382"/>
      <c r="V18" s="382" t="s">
        <v>217</v>
      </c>
      <c r="W18" s="382" t="s">
        <v>217</v>
      </c>
      <c r="X18" s="382" t="s">
        <v>217</v>
      </c>
      <c r="Y18" s="382" t="s">
        <v>218</v>
      </c>
    </row>
    <row r="19" ht="26.25" customHeight="1">
      <c r="A19" s="382" t="s">
        <v>54</v>
      </c>
      <c r="B19" s="382" t="s">
        <v>88</v>
      </c>
      <c r="C19" s="382" t="n">
        <v>3132884</v>
      </c>
      <c r="D19" s="382" t="s">
        <v>216</v>
      </c>
      <c r="E19" s="382" t="s">
        <v>283</v>
      </c>
      <c r="F19" s="382" t="s">
        <v>1250</v>
      </c>
      <c r="G19" s="382" t="s">
        <v>37</v>
      </c>
      <c r="H19" s="382"/>
      <c r="I19" s="382" t="s">
        <v>56</v>
      </c>
      <c r="J19" s="382" t="s">
        <v>57</v>
      </c>
      <c r="K19" s="382"/>
      <c r="L19" s="382"/>
      <c r="M19" s="382" t="s">
        <v>2902</v>
      </c>
      <c r="N19" s="382" t="s">
        <v>2903</v>
      </c>
      <c r="O19" s="382" t="s">
        <v>2904</v>
      </c>
      <c r="P19" s="382"/>
      <c r="Q19" s="382" t="n">
        <v>60</v>
      </c>
      <c r="R19" s="382"/>
      <c r="S19" s="382"/>
      <c r="T19" s="382" t="s">
        <v>217</v>
      </c>
      <c r="U19" s="382" t="s">
        <v>217</v>
      </c>
      <c r="V19" s="382" t="s">
        <v>217</v>
      </c>
      <c r="W19" s="382" t="s">
        <v>217</v>
      </c>
      <c r="X19" s="382" t="s">
        <v>217</v>
      </c>
      <c r="Y19" s="382" t="s">
        <v>217</v>
      </c>
    </row>
    <row r="20" ht="26.25" customHeight="1">
      <c r="A20" s="382" t="s">
        <v>54</v>
      </c>
      <c r="B20" s="382" t="s">
        <v>88</v>
      </c>
      <c r="C20" s="382" t="n">
        <v>3132884</v>
      </c>
      <c r="D20" s="382" t="s">
        <v>216</v>
      </c>
      <c r="E20" s="382" t="s">
        <v>283</v>
      </c>
      <c r="F20" s="382" t="s">
        <v>1147</v>
      </c>
      <c r="G20" s="382" t="s">
        <v>37</v>
      </c>
      <c r="H20" s="382" t="s">
        <v>47</v>
      </c>
      <c r="I20" s="382" t="s">
        <v>56</v>
      </c>
      <c r="J20" s="382" t="s">
        <v>34</v>
      </c>
      <c r="K20" s="382"/>
      <c r="L20" s="382"/>
      <c r="M20" s="382" t="s">
        <v>2905</v>
      </c>
      <c r="N20" s="382" t="s">
        <v>2906</v>
      </c>
      <c r="O20" s="382" t="s">
        <v>2907</v>
      </c>
      <c r="P20" s="382" t="n">
        <v>72</v>
      </c>
      <c r="Q20" s="382"/>
      <c r="R20" s="382"/>
      <c r="S20" s="382"/>
      <c r="T20" s="382" t="s">
        <v>217</v>
      </c>
      <c r="U20" s="382" t="s">
        <v>217</v>
      </c>
      <c r="V20" s="382" t="s">
        <v>217</v>
      </c>
      <c r="W20" s="382" t="s">
        <v>217</v>
      </c>
      <c r="X20" s="382" t="s">
        <v>218</v>
      </c>
      <c r="Y20" s="382" t="s">
        <v>218</v>
      </c>
    </row>
    <row r="21" ht="26.25" customHeight="1">
      <c r="A21" s="382" t="s">
        <v>54</v>
      </c>
      <c r="B21" s="382" t="s">
        <v>88</v>
      </c>
      <c r="C21" s="382" t="n">
        <v>3132884</v>
      </c>
      <c r="D21" s="382" t="s">
        <v>216</v>
      </c>
      <c r="E21" s="382" t="s">
        <v>283</v>
      </c>
      <c r="F21" s="382" t="s">
        <v>1165</v>
      </c>
      <c r="G21" s="382" t="s">
        <v>37</v>
      </c>
      <c r="H21" s="382" t="s">
        <v>47</v>
      </c>
      <c r="I21" s="382" t="s">
        <v>56</v>
      </c>
      <c r="J21" s="382" t="s">
        <v>57</v>
      </c>
      <c r="K21" s="382"/>
      <c r="L21" s="382"/>
      <c r="M21" s="382" t="s">
        <v>2908</v>
      </c>
      <c r="N21" s="382" t="s">
        <v>2909</v>
      </c>
      <c r="O21" s="382" t="s">
        <v>2910</v>
      </c>
      <c r="P21" s="382" t="n">
        <v>64</v>
      </c>
      <c r="Q21" s="382"/>
      <c r="R21" s="382"/>
      <c r="S21" s="382"/>
      <c r="T21" s="382" t="s">
        <v>217</v>
      </c>
      <c r="U21" s="382" t="s">
        <v>217</v>
      </c>
      <c r="V21" s="382" t="s">
        <v>217</v>
      </c>
      <c r="W21" s="382" t="s">
        <v>217</v>
      </c>
      <c r="X21" s="382" t="s">
        <v>217</v>
      </c>
      <c r="Y21" s="382" t="s">
        <v>218</v>
      </c>
    </row>
    <row r="22" ht="26.25" customHeight="1">
      <c r="A22" s="382" t="s">
        <v>54</v>
      </c>
      <c r="B22" s="382" t="s">
        <v>88</v>
      </c>
      <c r="C22" s="382" t="n">
        <v>3132884</v>
      </c>
      <c r="D22" s="382" t="s">
        <v>216</v>
      </c>
      <c r="E22" s="382" t="s">
        <v>283</v>
      </c>
      <c r="F22" s="382" t="s">
        <v>298</v>
      </c>
      <c r="G22" s="382" t="s">
        <v>37</v>
      </c>
      <c r="H22" s="382" t="s">
        <v>47</v>
      </c>
      <c r="I22" s="382" t="s">
        <v>56</v>
      </c>
      <c r="J22" s="382" t="s">
        <v>59</v>
      </c>
      <c r="K22" s="382"/>
      <c r="L22" s="382"/>
      <c r="M22" s="382"/>
      <c r="N22" s="382" t="s">
        <v>2911</v>
      </c>
      <c r="O22" s="382" t="s">
        <v>2912</v>
      </c>
      <c r="P22" s="382" t="n">
        <v>60</v>
      </c>
      <c r="Q22" s="382"/>
      <c r="R22" s="382"/>
      <c r="S22" s="382"/>
      <c r="T22" s="382" t="s">
        <v>217</v>
      </c>
      <c r="U22" s="382" t="s">
        <v>217</v>
      </c>
      <c r="V22" s="382" t="s">
        <v>217</v>
      </c>
      <c r="W22" s="382" t="s">
        <v>217</v>
      </c>
      <c r="X22" s="382" t="s">
        <v>217</v>
      </c>
      <c r="Y22" s="382" t="s">
        <v>217</v>
      </c>
    </row>
    <row r="23" ht="26.25" customHeight="1">
      <c r="A23" s="382" t="s">
        <v>54</v>
      </c>
      <c r="B23" s="382" t="s">
        <v>2913</v>
      </c>
      <c r="C23" s="382" t="n">
        <v>3132884</v>
      </c>
      <c r="D23" s="382" t="s">
        <v>216</v>
      </c>
      <c r="E23" s="382" t="s">
        <v>283</v>
      </c>
      <c r="F23" s="382" t="s">
        <v>1181</v>
      </c>
      <c r="G23" s="382" t="s">
        <v>37</v>
      </c>
      <c r="H23" s="382" t="s">
        <v>47</v>
      </c>
      <c r="I23" s="382" t="s">
        <v>56</v>
      </c>
      <c r="J23" s="382" t="s">
        <v>59</v>
      </c>
      <c r="K23" s="382"/>
      <c r="L23" s="382"/>
      <c r="M23" s="382"/>
      <c r="N23" s="382" t="s">
        <v>2914</v>
      </c>
      <c r="O23" s="382" t="s">
        <v>2915</v>
      </c>
      <c r="P23" s="382"/>
      <c r="Q23" s="382" t="n">
        <v>73</v>
      </c>
      <c r="R23" s="382"/>
      <c r="S23" s="382"/>
      <c r="T23" s="382" t="s">
        <v>217</v>
      </c>
      <c r="U23" s="382" t="s">
        <v>217</v>
      </c>
      <c r="V23" s="382" t="s">
        <v>217</v>
      </c>
      <c r="W23" s="382" t="s">
        <v>217</v>
      </c>
      <c r="X23" s="382" t="s">
        <v>217</v>
      </c>
      <c r="Y23" s="382" t="s">
        <v>218</v>
      </c>
    </row>
    <row r="24" ht="26.25" customHeight="1">
      <c r="A24" s="382" t="s">
        <v>54</v>
      </c>
      <c r="B24" s="382" t="s">
        <v>88</v>
      </c>
      <c r="C24" s="382" t="n">
        <v>3132884</v>
      </c>
      <c r="D24" s="382" t="s">
        <v>216</v>
      </c>
      <c r="E24" s="382" t="s">
        <v>283</v>
      </c>
      <c r="F24" s="382" t="s">
        <v>1294</v>
      </c>
      <c r="G24" s="382" t="s">
        <v>37</v>
      </c>
      <c r="H24" s="382" t="s">
        <v>47</v>
      </c>
      <c r="I24" s="382" t="s">
        <v>56</v>
      </c>
      <c r="J24" s="382" t="s">
        <v>48</v>
      </c>
      <c r="K24" s="382"/>
      <c r="L24" s="382"/>
      <c r="M24" s="382"/>
      <c r="N24" s="382"/>
      <c r="O24" s="382"/>
      <c r="P24" s="382" t="n">
        <v>72</v>
      </c>
      <c r="Q24" s="382"/>
      <c r="R24" s="382"/>
      <c r="S24" s="382"/>
      <c r="T24" s="382" t="s">
        <v>217</v>
      </c>
      <c r="U24" s="382"/>
      <c r="V24" s="382" t="s">
        <v>217</v>
      </c>
      <c r="W24" s="382" t="s">
        <v>217</v>
      </c>
      <c r="X24" s="382" t="s">
        <v>217</v>
      </c>
      <c r="Y24" s="382" t="s">
        <v>217</v>
      </c>
    </row>
    <row r="25" ht="26.25" customHeight="1">
      <c r="A25" s="382" t="s">
        <v>54</v>
      </c>
      <c r="B25" s="382" t="s">
        <v>88</v>
      </c>
      <c r="C25" s="382" t="n">
        <v>3132884</v>
      </c>
      <c r="D25" s="382" t="s">
        <v>216</v>
      </c>
      <c r="E25" s="382" t="s">
        <v>283</v>
      </c>
      <c r="F25" s="382" t="s">
        <v>1236</v>
      </c>
      <c r="G25" s="382" t="s">
        <v>37</v>
      </c>
      <c r="H25" s="382" t="s">
        <v>47</v>
      </c>
      <c r="I25" s="382" t="s">
        <v>56</v>
      </c>
      <c r="J25" s="382" t="s">
        <v>55</v>
      </c>
      <c r="K25" s="382"/>
      <c r="L25" s="382"/>
      <c r="M25" s="382" t="s">
        <v>2916</v>
      </c>
      <c r="N25" s="382" t="s">
        <v>2917</v>
      </c>
      <c r="O25" s="966" t="s">
        <v>2918</v>
      </c>
      <c r="P25" s="382"/>
      <c r="Q25" s="382" t="n">
        <v>26</v>
      </c>
      <c r="R25" s="382"/>
      <c r="S25" s="382"/>
      <c r="T25" s="382" t="s">
        <v>217</v>
      </c>
      <c r="U25" s="382" t="s">
        <v>217</v>
      </c>
      <c r="V25" s="382" t="s">
        <v>217</v>
      </c>
      <c r="W25" s="382" t="s">
        <v>217</v>
      </c>
      <c r="X25" s="382" t="s">
        <v>217</v>
      </c>
      <c r="Y25" s="382" t="s">
        <v>217</v>
      </c>
    </row>
    <row r="26" ht="26.25" customHeight="1">
      <c r="A26" s="382" t="s">
        <v>54</v>
      </c>
      <c r="B26" s="382" t="s">
        <v>88</v>
      </c>
      <c r="C26" s="382" t="n">
        <v>3132884</v>
      </c>
      <c r="D26" s="382" t="s">
        <v>216</v>
      </c>
      <c r="E26" s="382" t="s">
        <v>283</v>
      </c>
      <c r="F26" s="382" t="s">
        <v>1038</v>
      </c>
      <c r="G26" s="382" t="s">
        <v>37</v>
      </c>
      <c r="H26" s="382"/>
      <c r="I26" s="382"/>
      <c r="J26" s="382"/>
      <c r="K26" s="382"/>
      <c r="L26" s="382"/>
      <c r="M26" s="382"/>
      <c r="N26" s="382"/>
      <c r="O26" s="382"/>
      <c r="P26" s="382"/>
      <c r="Q26" s="382"/>
      <c r="R26" s="382"/>
      <c r="S26" s="382"/>
      <c r="T26" s="382" t="s">
        <v>217</v>
      </c>
      <c r="U26" s="382"/>
      <c r="V26" s="382" t="s">
        <v>217</v>
      </c>
      <c r="W26" s="382"/>
      <c r="X26" s="382"/>
      <c r="Y26" s="382"/>
    </row>
    <row r="27" ht="26.25" customHeight="1">
      <c r="A27" s="382" t="s">
        <v>54</v>
      </c>
      <c r="B27" s="382" t="s">
        <v>101</v>
      </c>
      <c r="C27" s="382" t="n">
        <v>4632447</v>
      </c>
      <c r="D27" s="382" t="s">
        <v>215</v>
      </c>
      <c r="E27" s="382" t="s">
        <v>283</v>
      </c>
      <c r="F27" s="382" t="s">
        <v>1058</v>
      </c>
      <c r="G27" s="382" t="s">
        <v>37</v>
      </c>
      <c r="H27" s="382" t="s">
        <v>47</v>
      </c>
      <c r="I27" s="382" t="s">
        <v>56</v>
      </c>
      <c r="J27" s="382" t="s">
        <v>55</v>
      </c>
      <c r="K27" s="382"/>
      <c r="L27" s="382"/>
      <c r="M27" s="382"/>
      <c r="N27" s="382"/>
      <c r="O27" s="382"/>
      <c r="P27" s="382" t="n">
        <v>60</v>
      </c>
      <c r="Q27" s="382"/>
      <c r="R27" s="382"/>
      <c r="S27" s="382"/>
      <c r="T27" s="382"/>
      <c r="U27" s="382"/>
      <c r="V27" s="382"/>
      <c r="W27" s="382"/>
      <c r="X27" s="382" t="s">
        <v>218</v>
      </c>
      <c r="Y27" s="382" t="s">
        <v>218</v>
      </c>
    </row>
    <row r="28" ht="26.25" customHeight="1">
      <c r="A28" s="382" t="s">
        <v>54</v>
      </c>
      <c r="B28" s="382" t="s">
        <v>101</v>
      </c>
      <c r="C28" s="382" t="n">
        <v>4632447</v>
      </c>
      <c r="D28" s="382" t="s">
        <v>215</v>
      </c>
      <c r="E28" s="382" t="s">
        <v>283</v>
      </c>
      <c r="F28" s="382" t="s">
        <v>1070</v>
      </c>
      <c r="G28" s="382" t="s">
        <v>37</v>
      </c>
      <c r="H28" s="382" t="s">
        <v>47</v>
      </c>
      <c r="I28" s="382" t="s">
        <v>56</v>
      </c>
      <c r="J28" s="382" t="s">
        <v>38</v>
      </c>
      <c r="K28" s="382"/>
      <c r="L28" s="382"/>
      <c r="M28" s="382"/>
      <c r="N28" s="382"/>
      <c r="O28" s="382"/>
      <c r="P28" s="382" t="n">
        <v>72</v>
      </c>
      <c r="Q28" s="382"/>
      <c r="R28" s="382"/>
      <c r="S28" s="382"/>
      <c r="T28" s="382"/>
      <c r="U28" s="382"/>
      <c r="V28" s="382"/>
      <c r="W28" s="382"/>
      <c r="X28" s="382" t="s">
        <v>218</v>
      </c>
      <c r="Y28" s="382" t="s">
        <v>218</v>
      </c>
    </row>
    <row r="29" ht="26.25" customHeight="1">
      <c r="A29" s="382" t="s">
        <v>54</v>
      </c>
      <c r="B29" s="382" t="s">
        <v>101</v>
      </c>
      <c r="C29" s="382" t="n">
        <v>4632447</v>
      </c>
      <c r="D29" s="382" t="s">
        <v>215</v>
      </c>
      <c r="E29" s="382" t="s">
        <v>283</v>
      </c>
      <c r="F29" s="382" t="s">
        <v>1039</v>
      </c>
      <c r="G29" s="382" t="s">
        <v>37</v>
      </c>
      <c r="H29" s="382"/>
      <c r="I29" s="382"/>
      <c r="J29" s="382" t="s">
        <v>57</v>
      </c>
      <c r="K29" s="382"/>
      <c r="L29" s="382"/>
      <c r="M29" s="382"/>
      <c r="N29" s="382"/>
      <c r="O29" s="382"/>
      <c r="P29" s="382"/>
      <c r="Q29" s="382"/>
      <c r="R29" s="382"/>
      <c r="S29" s="382"/>
      <c r="T29" s="382"/>
      <c r="U29" s="382"/>
      <c r="V29" s="382"/>
      <c r="W29" s="382"/>
      <c r="X29" s="382"/>
      <c r="Y29" s="382"/>
    </row>
    <row r="30" ht="26.25" customHeight="1">
      <c r="A30" s="382" t="s">
        <v>54</v>
      </c>
      <c r="B30" s="382" t="s">
        <v>101</v>
      </c>
      <c r="C30" s="382" t="n">
        <v>4632447</v>
      </c>
      <c r="D30" s="382" t="s">
        <v>215</v>
      </c>
      <c r="E30" s="382" t="s">
        <v>283</v>
      </c>
      <c r="F30" s="382" t="s">
        <v>1040</v>
      </c>
      <c r="G30" s="382" t="s">
        <v>37</v>
      </c>
      <c r="H30" s="382"/>
      <c r="I30" s="382"/>
      <c r="J30" s="382" t="s">
        <v>57</v>
      </c>
      <c r="K30" s="382"/>
      <c r="L30" s="382"/>
      <c r="M30" s="382"/>
      <c r="N30" s="382"/>
      <c r="O30" s="382"/>
      <c r="P30" s="382"/>
      <c r="Q30" s="382"/>
      <c r="R30" s="382"/>
      <c r="S30" s="382"/>
      <c r="T30" s="382"/>
      <c r="U30" s="382"/>
      <c r="V30" s="382"/>
      <c r="W30" s="382"/>
      <c r="X30" s="382"/>
      <c r="Y30" s="382"/>
    </row>
    <row r="31" ht="26.25" customHeight="1">
      <c r="A31" s="382" t="s">
        <v>54</v>
      </c>
      <c r="B31" s="382" t="s">
        <v>101</v>
      </c>
      <c r="C31" s="382" t="n">
        <v>4632447</v>
      </c>
      <c r="D31" s="382" t="s">
        <v>215</v>
      </c>
      <c r="E31" s="382" t="s">
        <v>283</v>
      </c>
      <c r="F31" s="382" t="s">
        <v>1192</v>
      </c>
      <c r="G31" s="382" t="s">
        <v>37</v>
      </c>
      <c r="H31" s="382" t="s">
        <v>47</v>
      </c>
      <c r="I31" s="382" t="s">
        <v>56</v>
      </c>
      <c r="J31" s="382" t="s">
        <v>36</v>
      </c>
      <c r="K31" s="382"/>
      <c r="L31" s="382"/>
      <c r="M31" s="382"/>
      <c r="N31" s="382"/>
      <c r="O31" s="382"/>
      <c r="P31" s="382" t="n">
        <v>85</v>
      </c>
      <c r="Q31" s="382"/>
      <c r="R31" s="382"/>
      <c r="S31" s="382"/>
      <c r="T31" s="382"/>
      <c r="U31" s="382"/>
      <c r="V31" s="382"/>
      <c r="W31" s="382"/>
      <c r="X31" s="382" t="s">
        <v>218</v>
      </c>
      <c r="Y31" s="382" t="s">
        <v>218</v>
      </c>
    </row>
    <row r="32" ht="26.25" customHeight="1">
      <c r="A32" s="382" t="s">
        <v>54</v>
      </c>
      <c r="B32" s="382" t="s">
        <v>101</v>
      </c>
      <c r="C32" s="382" t="n">
        <v>4632447</v>
      </c>
      <c r="D32" s="382" t="s">
        <v>215</v>
      </c>
      <c r="E32" s="382" t="s">
        <v>283</v>
      </c>
      <c r="F32" s="382" t="s">
        <v>1093</v>
      </c>
      <c r="G32" s="382" t="s">
        <v>37</v>
      </c>
      <c r="H32" s="382" t="s">
        <v>47</v>
      </c>
      <c r="I32" s="382" t="s">
        <v>56</v>
      </c>
      <c r="J32" s="382" t="s">
        <v>59</v>
      </c>
      <c r="K32" s="382"/>
      <c r="L32" s="382"/>
      <c r="M32" s="382"/>
      <c r="N32" s="382"/>
      <c r="O32" s="382"/>
      <c r="P32" s="382" t="n">
        <v>62</v>
      </c>
      <c r="Q32" s="382"/>
      <c r="R32" s="382"/>
      <c r="S32" s="382"/>
      <c r="T32" s="382"/>
      <c r="U32" s="382"/>
      <c r="V32" s="382"/>
      <c r="W32" s="382"/>
      <c r="X32" s="382" t="s">
        <v>218</v>
      </c>
      <c r="Y32" s="382" t="s">
        <v>218</v>
      </c>
    </row>
    <row r="33" ht="26.25" customHeight="1">
      <c r="A33" s="382" t="s">
        <v>54</v>
      </c>
      <c r="B33" s="382" t="s">
        <v>101</v>
      </c>
      <c r="C33" s="382" t="n">
        <v>4632447</v>
      </c>
      <c r="D33" s="382" t="s">
        <v>215</v>
      </c>
      <c r="E33" s="382" t="s">
        <v>283</v>
      </c>
      <c r="F33" s="382" t="s">
        <v>1061</v>
      </c>
      <c r="G33" s="382" t="s">
        <v>37</v>
      </c>
      <c r="H33" s="382" t="s">
        <v>47</v>
      </c>
      <c r="I33" s="382" t="s">
        <v>56</v>
      </c>
      <c r="J33" s="382" t="s">
        <v>48</v>
      </c>
      <c r="K33" s="382"/>
      <c r="L33" s="382"/>
      <c r="M33" s="382"/>
      <c r="N33" s="382"/>
      <c r="O33" s="382"/>
      <c r="P33" s="382" t="n">
        <v>85</v>
      </c>
      <c r="Q33" s="382"/>
      <c r="R33" s="382"/>
      <c r="S33" s="382"/>
      <c r="T33" s="382"/>
      <c r="U33" s="382"/>
      <c r="V33" s="382"/>
      <c r="W33" s="382"/>
      <c r="X33" s="382" t="s">
        <v>218</v>
      </c>
      <c r="Y33" s="382" t="s">
        <v>218</v>
      </c>
    </row>
    <row r="34" s="330" customFormat="1" ht="26.25" customHeight="1">
      <c r="A34" s="382" t="s">
        <v>54</v>
      </c>
      <c r="B34" s="382" t="s">
        <v>101</v>
      </c>
      <c r="C34" s="382" t="n">
        <v>4632447</v>
      </c>
      <c r="D34" s="382" t="s">
        <v>215</v>
      </c>
      <c r="E34" s="382" t="s">
        <v>283</v>
      </c>
      <c r="F34" s="382" t="s">
        <v>1026</v>
      </c>
      <c r="G34" s="382" t="s">
        <v>37</v>
      </c>
      <c r="H34" s="382" t="s">
        <v>47</v>
      </c>
      <c r="I34" s="382" t="s">
        <v>56</v>
      </c>
      <c r="J34" s="382" t="s">
        <v>55</v>
      </c>
      <c r="K34" s="382"/>
      <c r="L34" s="382"/>
      <c r="M34" s="382"/>
      <c r="N34" s="382"/>
      <c r="O34" s="382"/>
      <c r="P34" s="382" t="n">
        <v>60</v>
      </c>
      <c r="Q34" s="382"/>
      <c r="R34" s="382"/>
      <c r="S34" s="382"/>
      <c r="T34" s="382"/>
      <c r="U34" s="382"/>
      <c r="V34" s="382"/>
      <c r="W34" s="382"/>
      <c r="X34" s="382" t="s">
        <v>217</v>
      </c>
      <c r="Y34" s="382" t="s">
        <v>217</v>
      </c>
    </row>
    <row r="35" ht="26.25" customHeight="1">
      <c r="A35" s="382" t="s">
        <v>54</v>
      </c>
      <c r="B35" s="382" t="s">
        <v>101</v>
      </c>
      <c r="C35" s="382" t="n">
        <v>4632447</v>
      </c>
      <c r="D35" s="382" t="s">
        <v>215</v>
      </c>
      <c r="E35" s="382" t="s">
        <v>283</v>
      </c>
      <c r="F35" s="382" t="s">
        <v>1075</v>
      </c>
      <c r="G35" s="382" t="s">
        <v>37</v>
      </c>
      <c r="H35" s="382" t="s">
        <v>47</v>
      </c>
      <c r="I35" s="382" t="s">
        <v>56</v>
      </c>
      <c r="J35" s="382" t="s">
        <v>55</v>
      </c>
      <c r="K35" s="382"/>
      <c r="L35" s="382"/>
      <c r="M35" s="382"/>
      <c r="N35" s="382"/>
      <c r="O35" s="382"/>
      <c r="P35" s="382" t="n">
        <v>64</v>
      </c>
      <c r="Q35" s="382"/>
      <c r="R35" s="382"/>
      <c r="S35" s="382"/>
      <c r="T35" s="382"/>
      <c r="U35" s="382"/>
      <c r="V35" s="382"/>
      <c r="W35" s="382"/>
      <c r="X35" s="382" t="s">
        <v>218</v>
      </c>
      <c r="Y35" s="382" t="s">
        <v>218</v>
      </c>
    </row>
    <row r="36" ht="26.25" customHeight="1">
      <c r="A36" s="382" t="s">
        <v>54</v>
      </c>
      <c r="B36" s="382" t="s">
        <v>101</v>
      </c>
      <c r="C36" s="382" t="n">
        <v>4632447</v>
      </c>
      <c r="D36" s="382" t="s">
        <v>215</v>
      </c>
      <c r="E36" s="382" t="s">
        <v>283</v>
      </c>
      <c r="F36" s="382" t="s">
        <v>1060</v>
      </c>
      <c r="G36" s="382" t="s">
        <v>37</v>
      </c>
      <c r="H36" s="382" t="s">
        <v>47</v>
      </c>
      <c r="I36" s="382" t="s">
        <v>56</v>
      </c>
      <c r="J36" s="382" t="s">
        <v>48</v>
      </c>
      <c r="K36" s="382"/>
      <c r="L36" s="382"/>
      <c r="M36" s="382"/>
      <c r="N36" s="382"/>
      <c r="O36" s="382"/>
      <c r="P36" s="382" t="n">
        <v>72</v>
      </c>
      <c r="Q36" s="382"/>
      <c r="R36" s="382"/>
      <c r="S36" s="382"/>
      <c r="T36" s="382"/>
      <c r="U36" s="382"/>
      <c r="V36" s="382"/>
      <c r="W36" s="382"/>
      <c r="X36" s="382" t="s">
        <v>218</v>
      </c>
      <c r="Y36" s="382" t="s">
        <v>218</v>
      </c>
    </row>
    <row r="37" ht="26.25" customHeight="1">
      <c r="A37" s="382" t="s">
        <v>54</v>
      </c>
      <c r="B37" s="382" t="s">
        <v>101</v>
      </c>
      <c r="C37" s="382" t="n">
        <v>4632447</v>
      </c>
      <c r="D37" s="382" t="s">
        <v>215</v>
      </c>
      <c r="E37" s="382" t="s">
        <v>283</v>
      </c>
      <c r="F37" s="382" t="s">
        <v>1074</v>
      </c>
      <c r="G37" s="382" t="s">
        <v>37</v>
      </c>
      <c r="H37" s="382" t="s">
        <v>47</v>
      </c>
      <c r="I37" s="382" t="s">
        <v>56</v>
      </c>
      <c r="J37" s="382" t="s">
        <v>55</v>
      </c>
      <c r="K37" s="382"/>
      <c r="L37" s="382"/>
      <c r="M37" s="382"/>
      <c r="N37" s="382"/>
      <c r="O37" s="382"/>
      <c r="P37" s="382" t="n">
        <v>64</v>
      </c>
      <c r="Q37" s="382"/>
      <c r="R37" s="382"/>
      <c r="S37" s="382"/>
      <c r="T37" s="382"/>
      <c r="U37" s="382"/>
      <c r="V37" s="382"/>
      <c r="W37" s="382"/>
      <c r="X37" s="382" t="s">
        <v>218</v>
      </c>
      <c r="Y37" s="382" t="s">
        <v>218</v>
      </c>
    </row>
    <row r="38" ht="26.25" customHeight="1">
      <c r="A38" s="382" t="s">
        <v>54</v>
      </c>
      <c r="B38" s="382" t="s">
        <v>101</v>
      </c>
      <c r="C38" s="382" t="n">
        <v>4632447</v>
      </c>
      <c r="D38" s="382" t="s">
        <v>215</v>
      </c>
      <c r="E38" s="382" t="s">
        <v>283</v>
      </c>
      <c r="F38" s="382" t="s">
        <v>1090</v>
      </c>
      <c r="G38" s="382" t="s">
        <v>37</v>
      </c>
      <c r="H38" s="382" t="s">
        <v>47</v>
      </c>
      <c r="I38" s="382" t="s">
        <v>56</v>
      </c>
      <c r="J38" s="382" t="s">
        <v>57</v>
      </c>
      <c r="K38" s="382"/>
      <c r="L38" s="382"/>
      <c r="M38" s="382"/>
      <c r="N38" s="382"/>
      <c r="O38" s="382"/>
      <c r="P38" s="382" t="n">
        <v>72</v>
      </c>
      <c r="Q38" s="382"/>
      <c r="R38" s="382"/>
      <c r="S38" s="382"/>
      <c r="T38" s="382"/>
      <c r="U38" s="382"/>
      <c r="V38" s="382"/>
      <c r="W38" s="382"/>
      <c r="X38" s="382" t="s">
        <v>218</v>
      </c>
      <c r="Y38" s="382" t="s">
        <v>218</v>
      </c>
    </row>
    <row r="39" ht="26.25" customHeight="1">
      <c r="A39" s="382" t="s">
        <v>54</v>
      </c>
      <c r="B39" s="382" t="s">
        <v>101</v>
      </c>
      <c r="C39" s="382" t="n">
        <v>4632447</v>
      </c>
      <c r="D39" s="382" t="s">
        <v>215</v>
      </c>
      <c r="E39" s="382" t="s">
        <v>283</v>
      </c>
      <c r="F39" s="382" t="s">
        <v>1059</v>
      </c>
      <c r="G39" s="382" t="s">
        <v>37</v>
      </c>
      <c r="H39" s="382" t="s">
        <v>47</v>
      </c>
      <c r="I39" s="382" t="s">
        <v>56</v>
      </c>
      <c r="J39" s="382" t="s">
        <v>48</v>
      </c>
      <c r="K39" s="382"/>
      <c r="L39" s="382"/>
      <c r="M39" s="382"/>
      <c r="N39" s="382"/>
      <c r="O39" s="382"/>
      <c r="P39" s="382" t="n">
        <v>60</v>
      </c>
      <c r="Q39" s="382"/>
      <c r="R39" s="382"/>
      <c r="S39" s="382"/>
      <c r="T39" s="382"/>
      <c r="U39" s="382"/>
      <c r="V39" s="382"/>
      <c r="W39" s="382"/>
      <c r="X39" s="382" t="s">
        <v>218</v>
      </c>
      <c r="Y39" s="382" t="s">
        <v>218</v>
      </c>
    </row>
    <row r="40" ht="26.25" customHeight="1">
      <c r="A40" s="382" t="s">
        <v>54</v>
      </c>
      <c r="B40" s="382" t="s">
        <v>101</v>
      </c>
      <c r="C40" s="382" t="n">
        <v>4632447</v>
      </c>
      <c r="D40" s="382" t="s">
        <v>215</v>
      </c>
      <c r="E40" s="382" t="s">
        <v>283</v>
      </c>
      <c r="F40" s="382" t="s">
        <v>1107</v>
      </c>
      <c r="G40" s="382" t="s">
        <v>37</v>
      </c>
      <c r="H40" s="382" t="s">
        <v>47</v>
      </c>
      <c r="I40" s="382" t="s">
        <v>56</v>
      </c>
      <c r="J40" s="382" t="s">
        <v>36</v>
      </c>
      <c r="K40" s="382"/>
      <c r="L40" s="382"/>
      <c r="M40" s="382"/>
      <c r="N40" s="382"/>
      <c r="O40" s="382"/>
      <c r="P40" s="382" t="n">
        <v>64</v>
      </c>
      <c r="Q40" s="382"/>
      <c r="R40" s="382"/>
      <c r="S40" s="382"/>
      <c r="T40" s="382"/>
      <c r="U40" s="382"/>
      <c r="V40" s="382"/>
      <c r="W40" s="382"/>
      <c r="X40" s="382" t="s">
        <v>218</v>
      </c>
      <c r="Y40" s="382" t="s">
        <v>218</v>
      </c>
    </row>
    <row r="41" ht="26.25" customHeight="1">
      <c r="A41" s="382" t="s">
        <v>54</v>
      </c>
      <c r="B41" s="382" t="s">
        <v>101</v>
      </c>
      <c r="C41" s="382" t="n">
        <v>4632447</v>
      </c>
      <c r="D41" s="382" t="s">
        <v>215</v>
      </c>
      <c r="E41" s="382" t="s">
        <v>283</v>
      </c>
      <c r="F41" s="382" t="s">
        <v>1084</v>
      </c>
      <c r="G41" s="382" t="s">
        <v>37</v>
      </c>
      <c r="H41" s="382" t="s">
        <v>47</v>
      </c>
      <c r="I41" s="382" t="s">
        <v>56</v>
      </c>
      <c r="J41" s="382" t="s">
        <v>36</v>
      </c>
      <c r="K41" s="382"/>
      <c r="L41" s="382"/>
      <c r="M41" s="382"/>
      <c r="N41" s="382"/>
      <c r="O41" s="382"/>
      <c r="P41" s="382"/>
      <c r="Q41" s="382" t="n">
        <v>83</v>
      </c>
      <c r="R41" s="382"/>
      <c r="S41" s="382"/>
      <c r="T41" s="382"/>
      <c r="U41" s="382"/>
      <c r="V41" s="382"/>
      <c r="W41" s="382"/>
      <c r="X41" s="382" t="s">
        <v>218</v>
      </c>
      <c r="Y41" s="382" t="s">
        <v>218</v>
      </c>
    </row>
    <row r="42" ht="26.25" customHeight="1">
      <c r="A42" s="382" t="s">
        <v>54</v>
      </c>
      <c r="B42" s="382" t="s">
        <v>100</v>
      </c>
      <c r="C42" s="382" t="n">
        <v>5111034</v>
      </c>
      <c r="D42" s="382" t="s">
        <v>216</v>
      </c>
      <c r="E42" s="382" t="s">
        <v>283</v>
      </c>
      <c r="F42" s="382" t="s">
        <v>967</v>
      </c>
      <c r="G42" s="382" t="s">
        <v>37</v>
      </c>
      <c r="H42" s="382"/>
      <c r="I42" s="382"/>
      <c r="J42" s="382" t="s">
        <v>59</v>
      </c>
      <c r="K42" s="382"/>
      <c r="L42" s="382"/>
      <c r="M42" s="382"/>
      <c r="N42" s="382"/>
      <c r="O42" s="382"/>
      <c r="P42" s="382"/>
      <c r="Q42" s="382"/>
      <c r="R42" s="382"/>
      <c r="S42" s="382"/>
      <c r="T42" s="382"/>
      <c r="U42" s="382"/>
      <c r="V42" s="382"/>
      <c r="W42" s="382"/>
      <c r="X42" s="382"/>
      <c r="Y42" s="382"/>
    </row>
    <row r="43" ht="26.25" customHeight="1">
      <c r="A43" s="382" t="s">
        <v>54</v>
      </c>
      <c r="B43" s="382" t="s">
        <v>100</v>
      </c>
      <c r="C43" s="382" t="n">
        <v>5111034</v>
      </c>
      <c r="D43" s="382" t="s">
        <v>216</v>
      </c>
      <c r="E43" s="382" t="s">
        <v>283</v>
      </c>
      <c r="F43" s="382" t="s">
        <v>1095</v>
      </c>
      <c r="G43" s="382" t="s">
        <v>37</v>
      </c>
      <c r="H43" s="382" t="s">
        <v>43</v>
      </c>
      <c r="I43" s="382" t="s">
        <v>58</v>
      </c>
      <c r="J43" s="382" t="s">
        <v>59</v>
      </c>
      <c r="K43" s="382"/>
      <c r="L43" s="382"/>
      <c r="M43" s="382"/>
      <c r="N43" s="382"/>
      <c r="O43" s="382"/>
      <c r="P43" s="382" t="n">
        <v>75</v>
      </c>
      <c r="Q43" s="382"/>
      <c r="R43" s="382"/>
      <c r="S43" s="382"/>
      <c r="T43" s="382" t="s">
        <v>217</v>
      </c>
      <c r="U43" s="382"/>
      <c r="V43" s="382"/>
      <c r="W43" s="382"/>
      <c r="X43" s="382" t="s">
        <v>217</v>
      </c>
      <c r="Y43" s="382" t="s">
        <v>218</v>
      </c>
    </row>
    <row r="44" ht="26.25" customHeight="1">
      <c r="A44" s="382" t="s">
        <v>54</v>
      </c>
      <c r="B44" s="382" t="s">
        <v>100</v>
      </c>
      <c r="C44" s="382" t="n">
        <v>5111034</v>
      </c>
      <c r="D44" s="382" t="s">
        <v>216</v>
      </c>
      <c r="E44" s="382" t="s">
        <v>283</v>
      </c>
      <c r="F44" s="382" t="s">
        <v>1066</v>
      </c>
      <c r="G44" s="382" t="s">
        <v>37</v>
      </c>
      <c r="H44" s="382" t="s">
        <v>43</v>
      </c>
      <c r="I44" s="382" t="s">
        <v>58</v>
      </c>
      <c r="J44" s="382" t="s">
        <v>59</v>
      </c>
      <c r="K44" s="382"/>
      <c r="L44" s="382"/>
      <c r="M44" s="382"/>
      <c r="N44" s="382"/>
      <c r="O44" s="382"/>
      <c r="P44" s="382" t="n">
        <v>75</v>
      </c>
      <c r="Q44" s="382"/>
      <c r="R44" s="382"/>
      <c r="S44" s="382"/>
      <c r="T44" s="382" t="s">
        <v>217</v>
      </c>
      <c r="U44" s="382"/>
      <c r="V44" s="382"/>
      <c r="W44" s="382"/>
      <c r="X44" s="382" t="s">
        <v>218</v>
      </c>
      <c r="Y44" s="382" t="s">
        <v>218</v>
      </c>
    </row>
    <row r="45" ht="26.25" customHeight="1">
      <c r="A45" s="382" t="s">
        <v>54</v>
      </c>
      <c r="B45" s="382" t="s">
        <v>100</v>
      </c>
      <c r="C45" s="382" t="n">
        <v>5111034</v>
      </c>
      <c r="D45" s="382" t="s">
        <v>216</v>
      </c>
      <c r="E45" s="382" t="s">
        <v>283</v>
      </c>
      <c r="F45" s="382" t="s">
        <v>1288</v>
      </c>
      <c r="G45" s="382" t="s">
        <v>37</v>
      </c>
      <c r="H45" s="382" t="s">
        <v>43</v>
      </c>
      <c r="I45" s="382" t="s">
        <v>58</v>
      </c>
      <c r="J45" s="382" t="s">
        <v>55</v>
      </c>
      <c r="K45" s="382" t="s">
        <v>2809</v>
      </c>
      <c r="L45" s="382" t="s">
        <v>267</v>
      </c>
      <c r="M45" s="382" t="s">
        <v>2919</v>
      </c>
      <c r="N45" s="382" t="s">
        <v>2920</v>
      </c>
      <c r="O45" s="382" t="s">
        <v>2921</v>
      </c>
      <c r="P45" s="382"/>
      <c r="Q45" s="382" t="n">
        <v>65</v>
      </c>
      <c r="R45" s="382"/>
      <c r="S45" s="382"/>
      <c r="T45" s="382" t="s">
        <v>217</v>
      </c>
      <c r="U45" s="382"/>
      <c r="V45" s="382"/>
      <c r="W45" s="382"/>
      <c r="X45" s="382" t="s">
        <v>217</v>
      </c>
      <c r="Y45" s="382" t="s">
        <v>217</v>
      </c>
    </row>
    <row r="46" ht="26.25" customHeight="1">
      <c r="A46" s="382" t="s">
        <v>54</v>
      </c>
      <c r="B46" s="382" t="s">
        <v>100</v>
      </c>
      <c r="C46" s="382" t="n">
        <v>5111034</v>
      </c>
      <c r="D46" s="382" t="s">
        <v>216</v>
      </c>
      <c r="E46" s="382" t="s">
        <v>283</v>
      </c>
      <c r="F46" s="382" t="s">
        <v>1184</v>
      </c>
      <c r="G46" s="382" t="s">
        <v>37</v>
      </c>
      <c r="H46" s="382" t="s">
        <v>43</v>
      </c>
      <c r="I46" s="382" t="s">
        <v>58</v>
      </c>
      <c r="J46" s="382" t="s">
        <v>38</v>
      </c>
      <c r="K46" s="382"/>
      <c r="L46" s="382"/>
      <c r="M46" s="382"/>
      <c r="N46" s="382"/>
      <c r="O46" s="382"/>
      <c r="P46" s="382" t="n">
        <v>60</v>
      </c>
      <c r="Q46" s="382"/>
      <c r="R46" s="382"/>
      <c r="S46" s="382"/>
      <c r="T46" s="382" t="s">
        <v>217</v>
      </c>
      <c r="U46" s="382"/>
      <c r="V46" s="382"/>
      <c r="W46" s="382"/>
      <c r="X46" s="382" t="s">
        <v>217</v>
      </c>
      <c r="Y46" s="382" t="s">
        <v>217</v>
      </c>
    </row>
    <row r="47" s="398" customFormat="1" ht="26.25" customHeight="1">
      <c r="A47" s="382" t="s">
        <v>54</v>
      </c>
      <c r="B47" s="382" t="s">
        <v>100</v>
      </c>
      <c r="C47" s="382" t="n">
        <v>5111034</v>
      </c>
      <c r="D47" s="382" t="s">
        <v>216</v>
      </c>
      <c r="E47" s="382" t="s">
        <v>283</v>
      </c>
      <c r="F47" s="382" t="s">
        <v>1118</v>
      </c>
      <c r="G47" s="382" t="s">
        <v>37</v>
      </c>
      <c r="H47" s="382" t="s">
        <v>43</v>
      </c>
      <c r="I47" s="382" t="s">
        <v>58</v>
      </c>
      <c r="J47" s="382" t="s">
        <v>57</v>
      </c>
      <c r="K47" s="382"/>
      <c r="L47" s="382"/>
      <c r="M47" s="382"/>
      <c r="N47" s="382"/>
      <c r="O47" s="382"/>
      <c r="P47" s="382" t="n">
        <v>60</v>
      </c>
      <c r="Q47" s="382"/>
      <c r="R47" s="382"/>
      <c r="S47" s="382"/>
      <c r="T47" s="382" t="s">
        <v>217</v>
      </c>
      <c r="U47" s="382"/>
      <c r="V47" s="382"/>
      <c r="W47" s="382"/>
      <c r="X47" s="382" t="s">
        <v>217</v>
      </c>
      <c r="Y47" s="382" t="s">
        <v>217</v>
      </c>
    </row>
    <row r="48" ht="26.25" customHeight="1">
      <c r="A48" s="382" t="s">
        <v>54</v>
      </c>
      <c r="B48" s="382" t="s">
        <v>100</v>
      </c>
      <c r="C48" s="382" t="n">
        <v>5111034</v>
      </c>
      <c r="D48" s="382" t="s">
        <v>216</v>
      </c>
      <c r="E48" s="382" t="s">
        <v>283</v>
      </c>
      <c r="F48" s="382" t="s">
        <v>1249</v>
      </c>
      <c r="G48" s="382" t="s">
        <v>37</v>
      </c>
      <c r="H48" s="382" t="s">
        <v>43</v>
      </c>
      <c r="I48" s="382"/>
      <c r="J48" s="382" t="s">
        <v>57</v>
      </c>
      <c r="K48" s="382"/>
      <c r="L48" s="382"/>
      <c r="M48" s="382"/>
      <c r="N48" s="382"/>
      <c r="O48" s="382"/>
      <c r="P48" s="382" t="n">
        <v>72</v>
      </c>
      <c r="Q48" s="382"/>
      <c r="R48" s="382"/>
      <c r="S48" s="382"/>
      <c r="T48" s="382" t="s">
        <v>217</v>
      </c>
      <c r="U48" s="382"/>
      <c r="V48" s="382"/>
      <c r="W48" s="382"/>
      <c r="X48" s="382" t="s">
        <v>217</v>
      </c>
      <c r="Y48" s="382" t="s">
        <v>217</v>
      </c>
    </row>
    <row r="49" ht="26.25" customHeight="1">
      <c r="A49" s="382" t="s">
        <v>54</v>
      </c>
      <c r="B49" s="382" t="s">
        <v>100</v>
      </c>
      <c r="C49" s="382" t="n">
        <v>5111034</v>
      </c>
      <c r="D49" s="382" t="s">
        <v>216</v>
      </c>
      <c r="E49" s="382" t="s">
        <v>283</v>
      </c>
      <c r="F49" s="382" t="s">
        <v>1017</v>
      </c>
      <c r="G49" s="382" t="s">
        <v>37</v>
      </c>
      <c r="H49" s="382" t="s">
        <v>43</v>
      </c>
      <c r="I49" s="382" t="s">
        <v>58</v>
      </c>
      <c r="J49" s="382" t="s">
        <v>38</v>
      </c>
      <c r="K49" s="382"/>
      <c r="L49" s="382"/>
      <c r="M49" s="382"/>
      <c r="N49" s="382"/>
      <c r="O49" s="382"/>
      <c r="P49" s="382" t="n">
        <v>88</v>
      </c>
      <c r="Q49" s="382"/>
      <c r="R49" s="382"/>
      <c r="S49" s="382"/>
      <c r="T49" s="382" t="s">
        <v>217</v>
      </c>
      <c r="U49" s="382"/>
      <c r="V49" s="382"/>
      <c r="W49" s="382"/>
      <c r="X49" s="382" t="s">
        <v>217</v>
      </c>
      <c r="Y49" s="382" t="s">
        <v>217</v>
      </c>
    </row>
    <row r="50" ht="26.25" customHeight="1">
      <c r="A50" s="382" t="s">
        <v>54</v>
      </c>
      <c r="B50" s="382" t="s">
        <v>100</v>
      </c>
      <c r="C50" s="382" t="n">
        <v>5111034</v>
      </c>
      <c r="D50" s="382" t="s">
        <v>216</v>
      </c>
      <c r="E50" s="382" t="s">
        <v>283</v>
      </c>
      <c r="F50" s="382" t="s">
        <v>1064</v>
      </c>
      <c r="G50" s="382" t="s">
        <v>37</v>
      </c>
      <c r="H50" s="382" t="s">
        <v>43</v>
      </c>
      <c r="I50" s="382" t="s">
        <v>58</v>
      </c>
      <c r="J50" s="382" t="s">
        <v>57</v>
      </c>
      <c r="K50" s="382"/>
      <c r="L50" s="382"/>
      <c r="M50" s="382"/>
      <c r="N50" s="382"/>
      <c r="O50" s="382"/>
      <c r="P50" s="382" t="n">
        <v>72</v>
      </c>
      <c r="Q50" s="382"/>
      <c r="R50" s="382"/>
      <c r="S50" s="382"/>
      <c r="T50" s="382"/>
      <c r="U50" s="382"/>
      <c r="V50" s="382"/>
      <c r="W50" s="382"/>
      <c r="X50" s="382" t="s">
        <v>218</v>
      </c>
      <c r="Y50" s="382" t="s">
        <v>218</v>
      </c>
    </row>
    <row r="51" ht="26.25" customHeight="1">
      <c r="A51" s="382" t="s">
        <v>54</v>
      </c>
      <c r="B51" s="382" t="s">
        <v>100</v>
      </c>
      <c r="C51" s="382" t="n">
        <v>5111034</v>
      </c>
      <c r="D51" s="382" t="s">
        <v>216</v>
      </c>
      <c r="E51" s="382" t="s">
        <v>283</v>
      </c>
      <c r="F51" s="382" t="s">
        <v>1065</v>
      </c>
      <c r="G51" s="382" t="s">
        <v>37</v>
      </c>
      <c r="H51" s="382" t="s">
        <v>43</v>
      </c>
      <c r="I51" s="382" t="s">
        <v>58</v>
      </c>
      <c r="J51" s="382" t="s">
        <v>50</v>
      </c>
      <c r="K51" s="382"/>
      <c r="L51" s="382"/>
      <c r="M51" s="382"/>
      <c r="N51" s="382"/>
      <c r="O51" s="382"/>
      <c r="P51" s="382" t="n">
        <v>72</v>
      </c>
      <c r="Q51" s="382"/>
      <c r="R51" s="382"/>
      <c r="S51" s="382"/>
      <c r="T51" s="382" t="s">
        <v>217</v>
      </c>
      <c r="U51" s="382"/>
      <c r="V51" s="382"/>
      <c r="W51" s="382"/>
      <c r="X51" s="382" t="s">
        <v>218</v>
      </c>
      <c r="Y51" s="382" t="s">
        <v>218</v>
      </c>
    </row>
    <row r="52" ht="26.25" customHeight="1">
      <c r="A52" s="382" t="s">
        <v>54</v>
      </c>
      <c r="B52" s="382" t="s">
        <v>100</v>
      </c>
      <c r="C52" s="382" t="n">
        <v>5111034</v>
      </c>
      <c r="D52" s="382" t="s">
        <v>216</v>
      </c>
      <c r="E52" s="382" t="s">
        <v>283</v>
      </c>
      <c r="F52" s="382" t="s">
        <v>1109</v>
      </c>
      <c r="G52" s="382" t="s">
        <v>37</v>
      </c>
      <c r="H52" s="382" t="s">
        <v>43</v>
      </c>
      <c r="I52" s="382" t="s">
        <v>58</v>
      </c>
      <c r="J52" s="382" t="s">
        <v>57</v>
      </c>
      <c r="K52" s="382"/>
      <c r="L52" s="382"/>
      <c r="M52" s="382"/>
      <c r="N52" s="382"/>
      <c r="O52" s="382"/>
      <c r="P52" s="382"/>
      <c r="Q52" s="382" t="n">
        <v>50</v>
      </c>
      <c r="R52" s="382"/>
      <c r="S52" s="382"/>
      <c r="T52" s="382" t="s">
        <v>217</v>
      </c>
      <c r="U52" s="382"/>
      <c r="V52" s="382"/>
      <c r="W52" s="382"/>
      <c r="X52" s="382" t="s">
        <v>217</v>
      </c>
      <c r="Y52" s="382" t="s">
        <v>217</v>
      </c>
    </row>
    <row r="53" ht="26.25" customHeight="1">
      <c r="A53" s="382" t="s">
        <v>54</v>
      </c>
      <c r="B53" s="382" t="s">
        <v>100</v>
      </c>
      <c r="C53" s="382" t="n">
        <v>5111034</v>
      </c>
      <c r="D53" s="382" t="s">
        <v>216</v>
      </c>
      <c r="E53" s="382" t="s">
        <v>283</v>
      </c>
      <c r="F53" s="382" t="s">
        <v>1223</v>
      </c>
      <c r="G53" s="382" t="s">
        <v>37</v>
      </c>
      <c r="H53" s="382" t="s">
        <v>43</v>
      </c>
      <c r="I53" s="382" t="s">
        <v>58</v>
      </c>
      <c r="J53" s="382" t="s">
        <v>55</v>
      </c>
      <c r="K53" s="382"/>
      <c r="L53" s="382"/>
      <c r="M53" s="382"/>
      <c r="N53" s="382"/>
      <c r="O53" s="382"/>
      <c r="P53" s="382"/>
      <c r="Q53" s="382" t="n">
        <v>50</v>
      </c>
      <c r="R53" s="382"/>
      <c r="S53" s="382"/>
      <c r="T53" s="382" t="s">
        <v>217</v>
      </c>
      <c r="U53" s="382"/>
      <c r="V53" s="382"/>
      <c r="W53" s="382"/>
      <c r="X53" s="382" t="s">
        <v>217</v>
      </c>
      <c r="Y53" s="382" t="s">
        <v>217</v>
      </c>
    </row>
    <row r="54" ht="26.25" customHeight="1">
      <c r="A54" s="382" t="s">
        <v>54</v>
      </c>
      <c r="B54" s="382" t="s">
        <v>100</v>
      </c>
      <c r="C54" s="382" t="n">
        <v>5111034</v>
      </c>
      <c r="D54" s="382" t="s">
        <v>216</v>
      </c>
      <c r="E54" s="382" t="s">
        <v>283</v>
      </c>
      <c r="F54" s="382" t="s">
        <v>1077</v>
      </c>
      <c r="G54" s="382" t="s">
        <v>37</v>
      </c>
      <c r="H54" s="382" t="s">
        <v>43</v>
      </c>
      <c r="I54" s="382" t="s">
        <v>58</v>
      </c>
      <c r="J54" s="382" t="s">
        <v>36</v>
      </c>
      <c r="K54" s="382"/>
      <c r="L54" s="382"/>
      <c r="M54" s="382"/>
      <c r="N54" s="382"/>
      <c r="O54" s="382"/>
      <c r="P54" s="382" t="n">
        <v>73</v>
      </c>
      <c r="Q54" s="382"/>
      <c r="R54" s="382"/>
      <c r="S54" s="382"/>
      <c r="T54" s="382" t="s">
        <v>217</v>
      </c>
      <c r="U54" s="382"/>
      <c r="V54" s="382"/>
      <c r="W54" s="382"/>
      <c r="X54" s="382" t="s">
        <v>217</v>
      </c>
      <c r="Y54" s="382" t="s">
        <v>218</v>
      </c>
    </row>
    <row r="55" ht="26.25" customHeight="1">
      <c r="A55" s="382" t="s">
        <v>54</v>
      </c>
      <c r="B55" s="382" t="s">
        <v>100</v>
      </c>
      <c r="C55" s="382" t="n">
        <v>5111034</v>
      </c>
      <c r="D55" s="382" t="s">
        <v>216</v>
      </c>
      <c r="E55" s="382" t="s">
        <v>283</v>
      </c>
      <c r="F55" s="382" t="s">
        <v>1096</v>
      </c>
      <c r="G55" s="382" t="s">
        <v>37</v>
      </c>
      <c r="H55" s="382" t="s">
        <v>43</v>
      </c>
      <c r="I55" s="382" t="s">
        <v>58</v>
      </c>
      <c r="J55" s="382" t="s">
        <v>57</v>
      </c>
      <c r="K55" s="382"/>
      <c r="L55" s="382"/>
      <c r="M55" s="382"/>
      <c r="N55" s="382"/>
      <c r="O55" s="382"/>
      <c r="P55" s="382" t="n">
        <v>64</v>
      </c>
      <c r="Q55" s="382"/>
      <c r="R55" s="382"/>
      <c r="S55" s="382"/>
      <c r="T55" s="382" t="s">
        <v>217</v>
      </c>
      <c r="U55" s="382"/>
      <c r="V55" s="382"/>
      <c r="W55" s="382"/>
      <c r="X55" s="382" t="s">
        <v>217</v>
      </c>
      <c r="Y55" s="382" t="s">
        <v>218</v>
      </c>
    </row>
    <row r="56" ht="26.25" customHeight="1">
      <c r="A56" s="382" t="s">
        <v>54</v>
      </c>
      <c r="B56" s="382" t="s">
        <v>100</v>
      </c>
      <c r="C56" s="382" t="n">
        <v>5111034</v>
      </c>
      <c r="D56" s="382" t="s">
        <v>216</v>
      </c>
      <c r="E56" s="382" t="s">
        <v>283</v>
      </c>
      <c r="F56" s="382" t="s">
        <v>1067</v>
      </c>
      <c r="G56" s="382" t="s">
        <v>37</v>
      </c>
      <c r="H56" s="382" t="s">
        <v>43</v>
      </c>
      <c r="I56" s="382" t="s">
        <v>58</v>
      </c>
      <c r="J56" s="382" t="s">
        <v>59</v>
      </c>
      <c r="K56" s="382"/>
      <c r="L56" s="382"/>
      <c r="M56" s="382"/>
      <c r="N56" s="382"/>
      <c r="O56" s="382"/>
      <c r="P56" s="382" t="n">
        <v>72</v>
      </c>
      <c r="Q56" s="382"/>
      <c r="R56" s="382"/>
      <c r="S56" s="382"/>
      <c r="T56" s="382"/>
      <c r="U56" s="382"/>
      <c r="V56" s="382"/>
      <c r="W56" s="382"/>
      <c r="X56" s="382" t="s">
        <v>218</v>
      </c>
      <c r="Y56" s="382" t="s">
        <v>218</v>
      </c>
    </row>
    <row r="57" ht="26.25" customHeight="1">
      <c r="A57" s="382" t="s">
        <v>54</v>
      </c>
      <c r="B57" s="382" t="s">
        <v>100</v>
      </c>
      <c r="C57" s="382" t="n">
        <v>5111034</v>
      </c>
      <c r="D57" s="382" t="s">
        <v>216</v>
      </c>
      <c r="E57" s="382" t="s">
        <v>283</v>
      </c>
      <c r="F57" s="382" t="s">
        <v>1073</v>
      </c>
      <c r="G57" s="382" t="s">
        <v>37</v>
      </c>
      <c r="H57" s="382" t="s">
        <v>43</v>
      </c>
      <c r="I57" s="382" t="s">
        <v>56</v>
      </c>
      <c r="J57" s="382" t="s">
        <v>59</v>
      </c>
      <c r="K57" s="382"/>
      <c r="L57" s="382"/>
      <c r="M57" s="382"/>
      <c r="N57" s="382"/>
      <c r="O57" s="382"/>
      <c r="P57" s="382"/>
      <c r="Q57" s="382" t="n">
        <v>66</v>
      </c>
      <c r="R57" s="382"/>
      <c r="S57" s="382"/>
      <c r="T57" s="382" t="s">
        <v>217</v>
      </c>
      <c r="U57" s="382"/>
      <c r="V57" s="382"/>
      <c r="W57" s="382"/>
      <c r="X57" s="382" t="s">
        <v>217</v>
      </c>
      <c r="Y57" s="382" t="s">
        <v>217</v>
      </c>
    </row>
    <row r="58" ht="26.25" customHeight="1">
      <c r="A58" s="382" t="s">
        <v>54</v>
      </c>
      <c r="B58" s="382" t="s">
        <v>100</v>
      </c>
      <c r="C58" s="382" t="n">
        <v>5111034</v>
      </c>
      <c r="D58" s="382" t="s">
        <v>216</v>
      </c>
      <c r="E58" s="382" t="s">
        <v>283</v>
      </c>
      <c r="F58" s="382" t="s">
        <v>1068</v>
      </c>
      <c r="G58" s="382" t="s">
        <v>37</v>
      </c>
      <c r="H58" s="382" t="s">
        <v>43</v>
      </c>
      <c r="I58" s="382" t="s">
        <v>58</v>
      </c>
      <c r="J58" s="382" t="s">
        <v>55</v>
      </c>
      <c r="K58" s="382"/>
      <c r="L58" s="382"/>
      <c r="M58" s="382"/>
      <c r="N58" s="382"/>
      <c r="O58" s="382"/>
      <c r="P58" s="382"/>
      <c r="Q58" s="382"/>
      <c r="R58" s="382"/>
      <c r="S58" s="382"/>
      <c r="T58" s="382"/>
      <c r="U58" s="382"/>
      <c r="V58" s="382"/>
      <c r="W58" s="382"/>
      <c r="X58" s="382" t="s">
        <v>218</v>
      </c>
      <c r="Y58" s="382" t="s">
        <v>218</v>
      </c>
    </row>
    <row r="59" ht="26.25" customHeight="1">
      <c r="A59" s="382" t="s">
        <v>54</v>
      </c>
      <c r="B59" s="382" t="s">
        <v>100</v>
      </c>
      <c r="C59" s="382" t="n">
        <v>5111034</v>
      </c>
      <c r="D59" s="382" t="s">
        <v>216</v>
      </c>
      <c r="E59" s="382" t="s">
        <v>283</v>
      </c>
      <c r="F59" s="382" t="s">
        <v>1102</v>
      </c>
      <c r="G59" s="382" t="s">
        <v>37</v>
      </c>
      <c r="H59" s="382" t="s">
        <v>43</v>
      </c>
      <c r="I59" s="382" t="s">
        <v>58</v>
      </c>
      <c r="J59" s="382" t="s">
        <v>48</v>
      </c>
      <c r="K59" s="382"/>
      <c r="L59" s="382"/>
      <c r="M59" s="382"/>
      <c r="N59" s="382"/>
      <c r="O59" s="382"/>
      <c r="P59" s="382" t="n">
        <v>60</v>
      </c>
      <c r="Q59" s="382"/>
      <c r="R59" s="382"/>
      <c r="S59" s="382"/>
      <c r="T59" s="382" t="s">
        <v>217</v>
      </c>
      <c r="U59" s="382"/>
      <c r="V59" s="382"/>
      <c r="W59" s="382"/>
      <c r="X59" s="382" t="s">
        <v>217</v>
      </c>
      <c r="Y59" s="382" t="s">
        <v>218</v>
      </c>
    </row>
    <row r="60" ht="26.25" customHeight="1">
      <c r="A60" s="382" t="s">
        <v>54</v>
      </c>
      <c r="B60" s="382" t="s">
        <v>100</v>
      </c>
      <c r="C60" s="382" t="n">
        <v>5111034</v>
      </c>
      <c r="D60" s="382" t="s">
        <v>216</v>
      </c>
      <c r="E60" s="382" t="s">
        <v>283</v>
      </c>
      <c r="F60" s="382" t="s">
        <v>1121</v>
      </c>
      <c r="G60" s="382" t="s">
        <v>37</v>
      </c>
      <c r="H60" s="382" t="s">
        <v>43</v>
      </c>
      <c r="I60" s="382"/>
      <c r="J60" s="382" t="s">
        <v>55</v>
      </c>
      <c r="K60" s="382"/>
      <c r="L60" s="382"/>
      <c r="M60" s="382"/>
      <c r="N60" s="382"/>
      <c r="O60" s="382"/>
      <c r="P60" s="382" t="n">
        <v>85</v>
      </c>
      <c r="Q60" s="382"/>
      <c r="R60" s="382"/>
      <c r="S60" s="382"/>
      <c r="T60" s="382" t="s">
        <v>217</v>
      </c>
      <c r="U60" s="382"/>
      <c r="V60" s="382"/>
      <c r="W60" s="382"/>
      <c r="X60" s="382" t="s">
        <v>217</v>
      </c>
      <c r="Y60" s="382" t="s">
        <v>218</v>
      </c>
    </row>
    <row r="61" ht="26.25" customHeight="1">
      <c r="A61" s="382" t="s">
        <v>54</v>
      </c>
      <c r="B61" s="382" t="s">
        <v>100</v>
      </c>
      <c r="C61" s="382" t="n">
        <v>5111034</v>
      </c>
      <c r="D61" s="382" t="s">
        <v>216</v>
      </c>
      <c r="E61" s="382" t="s">
        <v>283</v>
      </c>
      <c r="F61" s="382" t="s">
        <v>1264</v>
      </c>
      <c r="G61" s="382" t="s">
        <v>37</v>
      </c>
      <c r="H61" s="382" t="s">
        <v>43</v>
      </c>
      <c r="I61" s="382" t="s">
        <v>58</v>
      </c>
      <c r="J61" s="382" t="s">
        <v>48</v>
      </c>
      <c r="K61" s="382"/>
      <c r="L61" s="382"/>
      <c r="M61" s="382"/>
      <c r="N61" s="382"/>
      <c r="O61" s="382"/>
      <c r="P61" s="382"/>
      <c r="Q61" s="382" t="n">
        <v>29</v>
      </c>
      <c r="R61" s="382"/>
      <c r="S61" s="382"/>
      <c r="T61" s="382" t="s">
        <v>217</v>
      </c>
      <c r="U61" s="382"/>
      <c r="V61" s="382"/>
      <c r="W61" s="382"/>
      <c r="X61" s="382" t="s">
        <v>217</v>
      </c>
      <c r="Y61" s="382" t="s">
        <v>218</v>
      </c>
    </row>
    <row r="62" ht="26.25" customHeight="1">
      <c r="A62" s="382" t="s">
        <v>54</v>
      </c>
      <c r="B62" s="382" t="s">
        <v>100</v>
      </c>
      <c r="C62" s="382" t="n">
        <v>5111034</v>
      </c>
      <c r="D62" s="382" t="s">
        <v>216</v>
      </c>
      <c r="E62" s="382" t="s">
        <v>283</v>
      </c>
      <c r="F62" s="382" t="s">
        <v>1323</v>
      </c>
      <c r="G62" s="382" t="s">
        <v>37</v>
      </c>
      <c r="H62" s="382" t="s">
        <v>43</v>
      </c>
      <c r="I62" s="382" t="s">
        <v>58</v>
      </c>
      <c r="J62" s="382" t="s">
        <v>59</v>
      </c>
      <c r="K62" s="382" t="s">
        <v>597</v>
      </c>
      <c r="L62" s="382"/>
      <c r="M62" s="382" t="s">
        <v>505</v>
      </c>
      <c r="N62" s="382" t="s">
        <v>2922</v>
      </c>
      <c r="O62" s="382" t="s">
        <v>2923</v>
      </c>
      <c r="P62" s="382"/>
      <c r="Q62" s="382" t="n">
        <v>60</v>
      </c>
      <c r="R62" s="382"/>
      <c r="S62" s="382"/>
      <c r="T62" s="382" t="s">
        <v>217</v>
      </c>
      <c r="U62" s="382"/>
      <c r="V62" s="382"/>
      <c r="W62" s="382"/>
      <c r="X62" s="382" t="s">
        <v>217</v>
      </c>
      <c r="Y62" s="382" t="s">
        <v>218</v>
      </c>
    </row>
    <row r="63" ht="26.25" customHeight="1">
      <c r="A63" s="382" t="s">
        <v>54</v>
      </c>
      <c r="B63" s="382" t="s">
        <v>100</v>
      </c>
      <c r="C63" s="382" t="n">
        <v>5111034</v>
      </c>
      <c r="D63" s="382" t="s">
        <v>216</v>
      </c>
      <c r="E63" s="382" t="s">
        <v>283</v>
      </c>
      <c r="F63" s="382" t="s">
        <v>1050</v>
      </c>
      <c r="G63" s="382" t="s">
        <v>37</v>
      </c>
      <c r="H63" s="382" t="s">
        <v>43</v>
      </c>
      <c r="I63" s="382" t="s">
        <v>58</v>
      </c>
      <c r="J63" s="382" t="s">
        <v>55</v>
      </c>
      <c r="K63" s="382"/>
      <c r="L63" s="382"/>
      <c r="M63" s="382"/>
      <c r="N63" s="382"/>
      <c r="O63" s="46"/>
      <c r="P63" s="382"/>
      <c r="Q63" s="382"/>
      <c r="R63" s="382"/>
      <c r="S63" s="382"/>
      <c r="T63" s="382"/>
      <c r="U63" s="382"/>
      <c r="V63" s="382"/>
      <c r="W63" s="382"/>
      <c r="X63" s="382"/>
      <c r="Y63" s="382"/>
    </row>
    <row r="64" ht="18" customHeight="1">
      <c r="A64" s="382" t="s">
        <v>45</v>
      </c>
      <c r="B64" s="382" t="s">
        <v>65</v>
      </c>
      <c r="C64" s="382" t="n">
        <v>5230802</v>
      </c>
      <c r="D64" s="382" t="s">
        <v>233</v>
      </c>
      <c r="E64" s="382" t="s">
        <v>283</v>
      </c>
      <c r="F64" s="382" t="s">
        <v>364</v>
      </c>
      <c r="G64" s="382" t="s">
        <v>37</v>
      </c>
      <c r="H64" s="382" t="s">
        <v>47</v>
      </c>
      <c r="I64" s="382" t="s">
        <v>58</v>
      </c>
      <c r="J64" s="382" t="s">
        <v>48</v>
      </c>
      <c r="K64" s="382"/>
      <c r="L64" s="382"/>
      <c r="M64" s="382"/>
      <c r="N64" s="51"/>
      <c r="O64" s="127" t="s">
        <v>368</v>
      </c>
      <c r="P64" s="116" t="n">
        <v>72</v>
      </c>
      <c r="Q64" s="382"/>
      <c r="R64" s="382"/>
      <c r="S64" s="382"/>
      <c r="T64" s="382" t="s">
        <v>217</v>
      </c>
      <c r="U64" s="382"/>
      <c r="V64" s="382" t="s">
        <v>217</v>
      </c>
      <c r="W64" s="382"/>
      <c r="X64" s="382" t="s">
        <v>218</v>
      </c>
      <c r="Y64" s="382" t="s">
        <v>218</v>
      </c>
    </row>
    <row r="65" ht="54.75" customHeight="1">
      <c r="A65" s="382" t="s">
        <v>45</v>
      </c>
      <c r="B65" s="382" t="s">
        <v>65</v>
      </c>
      <c r="C65" s="382" t="n">
        <v>5230802</v>
      </c>
      <c r="D65" s="382" t="s">
        <v>233</v>
      </c>
      <c r="E65" s="382" t="s">
        <v>283</v>
      </c>
      <c r="F65" s="382" t="s">
        <v>378</v>
      </c>
      <c r="G65" s="382" t="s">
        <v>37</v>
      </c>
      <c r="H65" s="382" t="s">
        <v>49</v>
      </c>
      <c r="I65" s="382" t="s">
        <v>58</v>
      </c>
      <c r="J65" s="382" t="s">
        <v>46</v>
      </c>
      <c r="K65" s="382"/>
      <c r="L65" s="382"/>
      <c r="M65" s="382"/>
      <c r="N65" s="51"/>
      <c r="O65" s="967" t="s">
        <v>2924</v>
      </c>
      <c r="P65" s="116" t="n">
        <v>72</v>
      </c>
      <c r="Q65" s="382"/>
      <c r="R65" s="382"/>
      <c r="S65" s="382"/>
      <c r="T65" s="382" t="s">
        <v>217</v>
      </c>
      <c r="U65" s="382"/>
      <c r="V65" s="382" t="s">
        <v>217</v>
      </c>
      <c r="W65" s="382"/>
      <c r="X65" s="382" t="s">
        <v>217</v>
      </c>
      <c r="Y65" s="382" t="s">
        <v>218</v>
      </c>
    </row>
    <row r="66" ht="68.25" customHeight="1">
      <c r="A66" s="382" t="s">
        <v>45</v>
      </c>
      <c r="B66" s="382" t="s">
        <v>65</v>
      </c>
      <c r="C66" s="382" t="n">
        <v>5230802</v>
      </c>
      <c r="D66" s="382" t="s">
        <v>233</v>
      </c>
      <c r="E66" s="382" t="s">
        <v>283</v>
      </c>
      <c r="F66" s="382" t="s">
        <v>919</v>
      </c>
      <c r="G66" s="382" t="s">
        <v>37</v>
      </c>
      <c r="H66" s="382" t="s">
        <v>49</v>
      </c>
      <c r="I66" s="382" t="s">
        <v>58</v>
      </c>
      <c r="J66" s="382" t="s">
        <v>38</v>
      </c>
      <c r="K66" s="382" t="s">
        <v>2868</v>
      </c>
      <c r="L66" s="382"/>
      <c r="M66" s="382"/>
      <c r="N66" s="51"/>
      <c r="O66" s="968" t="s">
        <v>2925</v>
      </c>
      <c r="P66" s="116"/>
      <c r="Q66" s="382" t="n">
        <v>29</v>
      </c>
      <c r="R66" s="382"/>
      <c r="S66" s="382"/>
      <c r="T66" s="382" t="s">
        <v>217</v>
      </c>
      <c r="U66" s="382"/>
      <c r="V66" s="382" t="s">
        <v>217</v>
      </c>
      <c r="W66" s="382"/>
      <c r="X66" s="382" t="s">
        <v>217</v>
      </c>
      <c r="Y66" s="382" t="s">
        <v>217</v>
      </c>
    </row>
    <row r="67" ht="54.75" customHeight="1">
      <c r="A67" s="382" t="s">
        <v>45</v>
      </c>
      <c r="B67" s="382" t="s">
        <v>65</v>
      </c>
      <c r="C67" s="382" t="n">
        <v>5230802</v>
      </c>
      <c r="D67" s="382" t="s">
        <v>233</v>
      </c>
      <c r="E67" s="382" t="s">
        <v>283</v>
      </c>
      <c r="F67" s="382" t="s">
        <v>406</v>
      </c>
      <c r="G67" s="382" t="s">
        <v>37</v>
      </c>
      <c r="H67" s="382" t="s">
        <v>49</v>
      </c>
      <c r="I67" s="382" t="s">
        <v>58</v>
      </c>
      <c r="J67" s="382" t="s">
        <v>48</v>
      </c>
      <c r="K67" s="382"/>
      <c r="L67" s="382"/>
      <c r="M67" s="382"/>
      <c r="N67" s="51"/>
      <c r="O67" s="127" t="s">
        <v>2926</v>
      </c>
      <c r="P67" s="116"/>
      <c r="Q67" s="382" t="n">
        <v>70</v>
      </c>
      <c r="R67" s="382"/>
      <c r="S67" s="382"/>
      <c r="T67" s="382" t="s">
        <v>217</v>
      </c>
      <c r="U67" s="382"/>
      <c r="V67" s="382" t="s">
        <v>217</v>
      </c>
      <c r="W67" s="382"/>
      <c r="X67" s="382" t="s">
        <v>217</v>
      </c>
      <c r="Y67" s="382" t="s">
        <v>218</v>
      </c>
    </row>
    <row r="68" ht="41.25" customHeight="1">
      <c r="A68" s="382" t="s">
        <v>45</v>
      </c>
      <c r="B68" s="382" t="s">
        <v>65</v>
      </c>
      <c r="C68" s="382" t="n">
        <v>5230802</v>
      </c>
      <c r="D68" s="382" t="s">
        <v>233</v>
      </c>
      <c r="E68" s="382" t="s">
        <v>283</v>
      </c>
      <c r="F68" s="382" t="s">
        <v>332</v>
      </c>
      <c r="G68" s="382" t="s">
        <v>37</v>
      </c>
      <c r="H68" s="382" t="s">
        <v>49</v>
      </c>
      <c r="I68" s="382" t="s">
        <v>58</v>
      </c>
      <c r="J68" s="382" t="s">
        <v>50</v>
      </c>
      <c r="K68" s="382"/>
      <c r="L68" s="382"/>
      <c r="M68" s="382"/>
      <c r="N68" s="51"/>
      <c r="O68" s="969" t="s">
        <v>2927</v>
      </c>
      <c r="P68" s="116"/>
      <c r="Q68" s="382"/>
      <c r="R68" s="382"/>
      <c r="S68" s="382"/>
      <c r="T68" s="382" t="s">
        <v>217</v>
      </c>
      <c r="U68" s="382"/>
      <c r="V68" s="382" t="s">
        <v>217</v>
      </c>
      <c r="W68" s="382"/>
      <c r="X68" s="382"/>
      <c r="Y68" s="382"/>
    </row>
    <row r="69" ht="27.75" customHeight="1">
      <c r="A69" s="382" t="s">
        <v>45</v>
      </c>
      <c r="B69" s="382" t="s">
        <v>65</v>
      </c>
      <c r="C69" s="382" t="n">
        <v>5230802</v>
      </c>
      <c r="D69" s="382" t="s">
        <v>233</v>
      </c>
      <c r="E69" s="382" t="s">
        <v>283</v>
      </c>
      <c r="F69" s="382" t="s">
        <v>443</v>
      </c>
      <c r="G69" s="382" t="s">
        <v>37</v>
      </c>
      <c r="H69" s="382" t="s">
        <v>49</v>
      </c>
      <c r="I69" s="382"/>
      <c r="J69" s="382" t="s">
        <v>50</v>
      </c>
      <c r="K69" s="382"/>
      <c r="L69" s="382"/>
      <c r="M69" s="382"/>
      <c r="N69" s="51"/>
      <c r="O69" s="970" t="s">
        <v>2928</v>
      </c>
      <c r="P69" s="116" t="n">
        <v>90</v>
      </c>
      <c r="Q69" s="382"/>
      <c r="R69" s="382"/>
      <c r="S69" s="382"/>
      <c r="T69" s="382" t="s">
        <v>217</v>
      </c>
      <c r="U69" s="382"/>
      <c r="V69" s="382" t="s">
        <v>217</v>
      </c>
      <c r="W69" s="382"/>
      <c r="X69" s="382" t="s">
        <v>217</v>
      </c>
      <c r="Y69" s="382" t="s">
        <v>217</v>
      </c>
    </row>
    <row r="70" ht="27.75" customHeight="1">
      <c r="A70" s="382" t="s">
        <v>45</v>
      </c>
      <c r="B70" s="382" t="s">
        <v>88</v>
      </c>
      <c r="C70" s="382" t="n">
        <v>5230806</v>
      </c>
      <c r="D70" s="382" t="s">
        <v>215</v>
      </c>
      <c r="E70" s="382" t="s">
        <v>283</v>
      </c>
      <c r="F70" s="382" t="s">
        <v>1103</v>
      </c>
      <c r="G70" s="382" t="s">
        <v>37</v>
      </c>
      <c r="H70" s="382" t="s">
        <v>49</v>
      </c>
      <c r="I70" s="382" t="s">
        <v>52</v>
      </c>
      <c r="J70" s="382" t="s">
        <v>46</v>
      </c>
      <c r="K70" s="382" t="s">
        <v>2459</v>
      </c>
      <c r="L70" s="971" t="s">
        <v>2929</v>
      </c>
      <c r="M70" s="382" t="s">
        <v>2930</v>
      </c>
      <c r="N70" s="382" t="s">
        <v>2931</v>
      </c>
      <c r="O70" s="382" t="s">
        <v>2932</v>
      </c>
      <c r="P70" s="382" t="n">
        <v>72</v>
      </c>
      <c r="Q70" s="382"/>
      <c r="R70" s="382"/>
      <c r="S70" s="382"/>
      <c r="T70" s="382" t="s">
        <v>217</v>
      </c>
      <c r="U70" s="382" t="s">
        <v>217</v>
      </c>
      <c r="V70" s="382" t="s">
        <v>217</v>
      </c>
      <c r="W70" s="382" t="s">
        <v>217</v>
      </c>
      <c r="X70" s="382" t="s">
        <v>217</v>
      </c>
      <c r="Y70" s="382" t="s">
        <v>218</v>
      </c>
    </row>
    <row r="71" ht="16.5" customHeight="1">
      <c r="A71" s="382" t="s">
        <v>45</v>
      </c>
      <c r="B71" s="382" t="s">
        <v>88</v>
      </c>
      <c r="C71" s="382" t="n">
        <v>5230806</v>
      </c>
      <c r="D71" s="382" t="s">
        <v>215</v>
      </c>
      <c r="E71" s="382" t="s">
        <v>283</v>
      </c>
      <c r="F71" s="382" t="s">
        <v>1056</v>
      </c>
      <c r="G71" s="382" t="s">
        <v>37</v>
      </c>
      <c r="H71" s="382" t="s">
        <v>49</v>
      </c>
      <c r="I71" s="382" t="s">
        <v>52</v>
      </c>
      <c r="J71" s="382" t="s">
        <v>48</v>
      </c>
      <c r="K71" s="382"/>
      <c r="L71" s="382"/>
      <c r="M71" s="382" t="s">
        <v>2933</v>
      </c>
      <c r="N71" s="382" t="s">
        <v>2934</v>
      </c>
      <c r="O71" s="382" t="s">
        <v>2935</v>
      </c>
      <c r="P71" s="382" t="n">
        <v>72</v>
      </c>
      <c r="Q71" s="382"/>
      <c r="R71" s="382"/>
      <c r="S71" s="382"/>
      <c r="T71" s="382" t="s">
        <v>217</v>
      </c>
      <c r="U71" s="382" t="s">
        <v>217</v>
      </c>
      <c r="V71" s="382" t="s">
        <v>217</v>
      </c>
      <c r="W71" s="382" t="s">
        <v>217</v>
      </c>
      <c r="X71" s="382" t="s">
        <v>218</v>
      </c>
      <c r="Y71" s="382" t="s">
        <v>218</v>
      </c>
    </row>
    <row r="72" s="330" customFormat="1" ht="16.5" customHeight="1">
      <c r="A72" s="382" t="s">
        <v>45</v>
      </c>
      <c r="B72" s="382" t="s">
        <v>88</v>
      </c>
      <c r="C72" s="382" t="n">
        <v>5230806</v>
      </c>
      <c r="D72" s="382" t="s">
        <v>215</v>
      </c>
      <c r="E72" s="382" t="s">
        <v>283</v>
      </c>
      <c r="F72" s="382" t="s">
        <v>1062</v>
      </c>
      <c r="G72" s="382" t="s">
        <v>37</v>
      </c>
      <c r="H72" s="382" t="s">
        <v>47</v>
      </c>
      <c r="I72" s="382" t="s">
        <v>58</v>
      </c>
      <c r="J72" s="382" t="s">
        <v>50</v>
      </c>
      <c r="K72" s="382"/>
      <c r="L72" s="382"/>
      <c r="M72" s="382" t="s">
        <v>2936</v>
      </c>
      <c r="N72" s="382" t="s">
        <v>2937</v>
      </c>
      <c r="O72" s="382" t="s">
        <v>2938</v>
      </c>
      <c r="P72" s="382" t="n">
        <v>72</v>
      </c>
      <c r="Q72" s="382"/>
      <c r="R72" s="382"/>
      <c r="S72" s="382"/>
      <c r="T72" s="382" t="s">
        <v>217</v>
      </c>
      <c r="U72" s="382" t="s">
        <v>217</v>
      </c>
      <c r="V72" s="382" t="s">
        <v>217</v>
      </c>
      <c r="W72" s="382" t="s">
        <v>217</v>
      </c>
      <c r="X72" s="382" t="s">
        <v>218</v>
      </c>
      <c r="Y72" s="382" t="s">
        <v>218</v>
      </c>
    </row>
    <row r="73" ht="27.75" customHeight="1">
      <c r="A73" s="382" t="s">
        <v>45</v>
      </c>
      <c r="B73" s="382" t="s">
        <v>88</v>
      </c>
      <c r="C73" s="382" t="n">
        <v>5230806</v>
      </c>
      <c r="D73" s="382" t="s">
        <v>215</v>
      </c>
      <c r="E73" s="382" t="s">
        <v>283</v>
      </c>
      <c r="F73" s="382" t="s">
        <v>1055</v>
      </c>
      <c r="G73" s="382" t="s">
        <v>37</v>
      </c>
      <c r="H73" s="382" t="s">
        <v>49</v>
      </c>
      <c r="I73" s="382" t="s">
        <v>52</v>
      </c>
      <c r="J73" s="382" t="s">
        <v>46</v>
      </c>
      <c r="K73" s="382"/>
      <c r="L73" s="382"/>
      <c r="M73" s="382" t="s">
        <v>2939</v>
      </c>
      <c r="N73" s="382" t="s">
        <v>2940</v>
      </c>
      <c r="O73" s="972" t="s">
        <v>2941</v>
      </c>
      <c r="P73" s="382" t="n">
        <v>74</v>
      </c>
      <c r="Q73" s="382"/>
      <c r="R73" s="382"/>
      <c r="S73" s="382"/>
      <c r="T73" s="382" t="s">
        <v>217</v>
      </c>
      <c r="U73" s="382" t="s">
        <v>217</v>
      </c>
      <c r="V73" s="382" t="s">
        <v>217</v>
      </c>
      <c r="W73" s="382" t="s">
        <v>217</v>
      </c>
      <c r="X73" s="382" t="s">
        <v>218</v>
      </c>
      <c r="Y73" s="382" t="s">
        <v>218</v>
      </c>
    </row>
    <row r="74" ht="27.75" customHeight="1">
      <c r="A74" s="382" t="s">
        <v>45</v>
      </c>
      <c r="B74" s="382" t="s">
        <v>88</v>
      </c>
      <c r="C74" s="382" t="n">
        <v>5230806</v>
      </c>
      <c r="D74" s="382" t="s">
        <v>215</v>
      </c>
      <c r="E74" s="382" t="s">
        <v>283</v>
      </c>
      <c r="F74" s="382" t="s">
        <v>1329</v>
      </c>
      <c r="G74" s="382" t="s">
        <v>37</v>
      </c>
      <c r="H74" s="382" t="s">
        <v>43</v>
      </c>
      <c r="I74" s="382" t="s">
        <v>52</v>
      </c>
      <c r="J74" s="382" t="s">
        <v>46</v>
      </c>
      <c r="K74" s="382" t="s">
        <v>2488</v>
      </c>
      <c r="L74" s="973" t="s">
        <v>2529</v>
      </c>
      <c r="M74" s="382"/>
      <c r="N74" s="382" t="s">
        <v>2523</v>
      </c>
      <c r="O74" s="382" t="s">
        <v>2942</v>
      </c>
      <c r="P74" s="382"/>
      <c r="Q74" s="382" t="n">
        <v>105</v>
      </c>
      <c r="R74" s="382"/>
      <c r="S74" s="382"/>
      <c r="T74" s="382" t="s">
        <v>217</v>
      </c>
      <c r="U74" s="382" t="s">
        <v>217</v>
      </c>
      <c r="V74" s="382" t="s">
        <v>217</v>
      </c>
      <c r="W74" s="382" t="s">
        <v>217</v>
      </c>
      <c r="X74" s="382" t="s">
        <v>218</v>
      </c>
      <c r="Y74" s="382" t="s">
        <v>218</v>
      </c>
    </row>
    <row r="75" ht="16.5" customHeight="1">
      <c r="A75" s="382" t="s">
        <v>45</v>
      </c>
      <c r="B75" s="382" t="s">
        <v>88</v>
      </c>
      <c r="C75" s="382" t="n">
        <v>5230806</v>
      </c>
      <c r="D75" s="382" t="s">
        <v>215</v>
      </c>
      <c r="E75" s="382" t="s">
        <v>283</v>
      </c>
      <c r="F75" s="382" t="s">
        <v>1063</v>
      </c>
      <c r="G75" s="382" t="s">
        <v>37</v>
      </c>
      <c r="H75" s="382" t="s">
        <v>49</v>
      </c>
      <c r="I75" s="382" t="s">
        <v>52</v>
      </c>
      <c r="J75" s="382" t="s">
        <v>50</v>
      </c>
      <c r="K75" s="382" t="s">
        <v>2943</v>
      </c>
      <c r="L75" s="382" t="s">
        <v>362</v>
      </c>
      <c r="M75" s="382" t="s">
        <v>2944</v>
      </c>
      <c r="N75" s="382" t="s">
        <v>2945</v>
      </c>
      <c r="O75" s="382" t="s">
        <v>2946</v>
      </c>
      <c r="P75" s="382" t="n">
        <v>72</v>
      </c>
      <c r="Q75" s="382"/>
      <c r="R75" s="382"/>
      <c r="S75" s="382"/>
      <c r="T75" s="382" t="s">
        <v>217</v>
      </c>
      <c r="U75" s="382" t="s">
        <v>217</v>
      </c>
      <c r="V75" s="382" t="s">
        <v>217</v>
      </c>
      <c r="W75" s="382" t="s">
        <v>217</v>
      </c>
      <c r="X75" s="382" t="s">
        <v>218</v>
      </c>
      <c r="Y75" s="382" t="s">
        <v>218</v>
      </c>
    </row>
    <row r="76" ht="16.5" customHeight="1">
      <c r="A76" s="382" t="s">
        <v>45</v>
      </c>
      <c r="B76" s="382" t="s">
        <v>88</v>
      </c>
      <c r="C76" s="382" t="n">
        <v>5230806</v>
      </c>
      <c r="D76" s="382" t="s">
        <v>215</v>
      </c>
      <c r="E76" s="382" t="s">
        <v>283</v>
      </c>
      <c r="F76" s="382" t="s">
        <v>1226</v>
      </c>
      <c r="G76" s="382" t="s">
        <v>37</v>
      </c>
      <c r="H76" s="382" t="s">
        <v>49</v>
      </c>
      <c r="I76" s="382" t="s">
        <v>52</v>
      </c>
      <c r="J76" s="382" t="s">
        <v>46</v>
      </c>
      <c r="K76" s="382" t="s">
        <v>2735</v>
      </c>
      <c r="L76" s="382" t="s">
        <v>597</v>
      </c>
      <c r="M76" s="382" t="s">
        <v>2947</v>
      </c>
      <c r="N76" s="382" t="s">
        <v>2948</v>
      </c>
      <c r="O76" s="382" t="s">
        <v>2949</v>
      </c>
      <c r="P76" s="382"/>
      <c r="Q76" s="382" t="n">
        <v>80</v>
      </c>
      <c r="R76" s="382"/>
      <c r="S76" s="382"/>
      <c r="T76" s="382" t="s">
        <v>217</v>
      </c>
      <c r="U76" s="382" t="s">
        <v>217</v>
      </c>
      <c r="V76" s="382" t="s">
        <v>217</v>
      </c>
      <c r="W76" s="382" t="s">
        <v>217</v>
      </c>
      <c r="X76" s="382" t="s">
        <v>217</v>
      </c>
      <c r="Y76" s="382" t="s">
        <v>218</v>
      </c>
    </row>
    <row r="77" ht="16.5" customHeight="1">
      <c r="A77" s="382" t="s">
        <v>45</v>
      </c>
      <c r="B77" s="382" t="s">
        <v>88</v>
      </c>
      <c r="C77" s="382" t="n">
        <v>5230806</v>
      </c>
      <c r="D77" s="382" t="s">
        <v>215</v>
      </c>
      <c r="E77" s="382" t="s">
        <v>283</v>
      </c>
      <c r="F77" s="382" t="s">
        <v>636</v>
      </c>
      <c r="G77" s="382" t="s">
        <v>37</v>
      </c>
      <c r="H77" s="382" t="s">
        <v>49</v>
      </c>
      <c r="I77" s="382" t="s">
        <v>52</v>
      </c>
      <c r="J77" s="382" t="s">
        <v>48</v>
      </c>
      <c r="K77" s="382" t="s">
        <v>407</v>
      </c>
      <c r="L77" s="382" t="s">
        <v>464</v>
      </c>
      <c r="M77" s="382" t="s">
        <v>2950</v>
      </c>
      <c r="N77" s="382" t="s">
        <v>2951</v>
      </c>
      <c r="O77" s="382" t="s">
        <v>2952</v>
      </c>
      <c r="P77" s="382"/>
      <c r="Q77" s="382" t="n">
        <v>64</v>
      </c>
      <c r="R77" s="382"/>
      <c r="S77" s="382"/>
      <c r="T77" s="382" t="s">
        <v>217</v>
      </c>
      <c r="U77" s="382" t="s">
        <v>217</v>
      </c>
      <c r="V77" s="382" t="s">
        <v>217</v>
      </c>
      <c r="W77" s="382" t="s">
        <v>217</v>
      </c>
      <c r="X77" s="382" t="s">
        <v>218</v>
      </c>
      <c r="Y77" s="382" t="s">
        <v>217</v>
      </c>
    </row>
    <row r="78" ht="16.5" customHeight="1">
      <c r="A78" s="382" t="s">
        <v>45</v>
      </c>
      <c r="B78" s="382" t="s">
        <v>88</v>
      </c>
      <c r="C78" s="382" t="n">
        <v>5230806</v>
      </c>
      <c r="D78" s="382" t="s">
        <v>215</v>
      </c>
      <c r="E78" s="382" t="s">
        <v>283</v>
      </c>
      <c r="F78" s="382" t="s">
        <v>1054</v>
      </c>
      <c r="G78" s="382" t="s">
        <v>37</v>
      </c>
      <c r="H78" s="382" t="s">
        <v>49</v>
      </c>
      <c r="I78" s="382" t="s">
        <v>52</v>
      </c>
      <c r="J78" s="382" t="s">
        <v>48</v>
      </c>
      <c r="K78" s="382"/>
      <c r="L78" s="382"/>
      <c r="M78" s="382" t="s">
        <v>2953</v>
      </c>
      <c r="N78" s="382" t="s">
        <v>2954</v>
      </c>
      <c r="O78" s="382" t="s">
        <v>2955</v>
      </c>
      <c r="P78" s="382" t="n">
        <v>53</v>
      </c>
      <c r="Q78" s="382"/>
      <c r="R78" s="382"/>
      <c r="S78" s="382"/>
      <c r="T78" s="382" t="s">
        <v>217</v>
      </c>
      <c r="U78" s="382" t="s">
        <v>217</v>
      </c>
      <c r="V78" s="382" t="s">
        <v>217</v>
      </c>
      <c r="W78" s="382" t="s">
        <v>217</v>
      </c>
      <c r="X78" s="382" t="s">
        <v>218</v>
      </c>
      <c r="Y78" s="382" t="s">
        <v>218</v>
      </c>
    </row>
    <row r="79" ht="16.5" customHeight="1">
      <c r="A79" s="382" t="s">
        <v>45</v>
      </c>
      <c r="B79" s="382" t="s">
        <v>88</v>
      </c>
      <c r="C79" s="382" t="n">
        <v>5230806</v>
      </c>
      <c r="D79" s="382" t="s">
        <v>215</v>
      </c>
      <c r="E79" s="382" t="s">
        <v>283</v>
      </c>
      <c r="F79" s="382" t="s">
        <v>1049</v>
      </c>
      <c r="G79" s="382" t="s">
        <v>37</v>
      </c>
      <c r="H79" s="382" t="s">
        <v>49</v>
      </c>
      <c r="I79" s="382" t="s">
        <v>52</v>
      </c>
      <c r="J79" s="382" t="s">
        <v>48</v>
      </c>
      <c r="K79" s="382"/>
      <c r="L79" s="382"/>
      <c r="M79" s="382" t="s">
        <v>2956</v>
      </c>
      <c r="N79" s="382" t="s">
        <v>2957</v>
      </c>
      <c r="O79" s="382" t="s">
        <v>2958</v>
      </c>
      <c r="P79" s="382"/>
      <c r="Q79" s="382" t="n">
        <v>62</v>
      </c>
      <c r="R79" s="382"/>
      <c r="S79" s="382"/>
      <c r="T79" s="382" t="s">
        <v>217</v>
      </c>
      <c r="U79" s="382" t="s">
        <v>217</v>
      </c>
      <c r="V79" s="382" t="s">
        <v>217</v>
      </c>
      <c r="W79" s="382" t="s">
        <v>217</v>
      </c>
      <c r="X79" s="382" t="s">
        <v>218</v>
      </c>
      <c r="Y79" s="382" t="s">
        <v>218</v>
      </c>
    </row>
    <row r="80" ht="16.5" customHeight="1">
      <c r="A80" s="382" t="s">
        <v>45</v>
      </c>
      <c r="B80" s="382" t="s">
        <v>88</v>
      </c>
      <c r="C80" s="382" t="n">
        <v>5230806</v>
      </c>
      <c r="D80" s="382" t="s">
        <v>215</v>
      </c>
      <c r="E80" s="382" t="s">
        <v>283</v>
      </c>
      <c r="F80" s="382" t="s">
        <v>1069</v>
      </c>
      <c r="G80" s="382" t="s">
        <v>37</v>
      </c>
      <c r="H80" s="382"/>
      <c r="I80" s="382"/>
      <c r="J80" s="382" t="s">
        <v>48</v>
      </c>
      <c r="K80" s="382" t="s">
        <v>903</v>
      </c>
      <c r="L80" s="382" t="s">
        <v>2959</v>
      </c>
      <c r="M80" s="382" t="s">
        <v>2960</v>
      </c>
      <c r="N80" s="382" t="s">
        <v>2961</v>
      </c>
      <c r="O80" s="382" t="s">
        <v>2962</v>
      </c>
      <c r="P80" s="382" t="n">
        <v>72</v>
      </c>
      <c r="Q80" s="382"/>
      <c r="R80" s="382"/>
      <c r="S80" s="382"/>
      <c r="T80" s="382" t="s">
        <v>217</v>
      </c>
      <c r="U80" s="382" t="s">
        <v>217</v>
      </c>
      <c r="V80" s="382" t="s">
        <v>217</v>
      </c>
      <c r="W80" s="382" t="s">
        <v>217</v>
      </c>
      <c r="X80" s="382" t="s">
        <v>218</v>
      </c>
      <c r="Y80" s="382" t="s">
        <v>218</v>
      </c>
    </row>
    <row r="81" ht="27.75" customHeight="1">
      <c r="A81" s="382" t="s">
        <v>45</v>
      </c>
      <c r="B81" s="382" t="s">
        <v>88</v>
      </c>
      <c r="C81" s="382" t="n">
        <v>5230806</v>
      </c>
      <c r="D81" s="382" t="s">
        <v>215</v>
      </c>
      <c r="E81" s="382" t="s">
        <v>283</v>
      </c>
      <c r="F81" s="382" t="s">
        <v>1112</v>
      </c>
      <c r="G81" s="382" t="s">
        <v>37</v>
      </c>
      <c r="H81" s="382" t="s">
        <v>49</v>
      </c>
      <c r="I81" s="382" t="s">
        <v>52</v>
      </c>
      <c r="J81" s="382" t="s">
        <v>48</v>
      </c>
      <c r="K81" s="382" t="s">
        <v>2963</v>
      </c>
      <c r="L81" s="974" t="s">
        <v>2964</v>
      </c>
      <c r="M81" s="382" t="s">
        <v>2965</v>
      </c>
      <c r="N81" s="382" t="s">
        <v>2966</v>
      </c>
      <c r="O81" s="382" t="s">
        <v>2967</v>
      </c>
      <c r="P81" s="382" t="n">
        <v>72</v>
      </c>
      <c r="Q81" s="382"/>
      <c r="R81" s="382"/>
      <c r="S81" s="382"/>
      <c r="T81" s="382" t="s">
        <v>217</v>
      </c>
      <c r="U81" s="382" t="s">
        <v>217</v>
      </c>
      <c r="V81" s="382" t="s">
        <v>217</v>
      </c>
      <c r="W81" s="382" t="s">
        <v>217</v>
      </c>
      <c r="X81" s="382" t="s">
        <v>217</v>
      </c>
      <c r="Y81" s="382" t="s">
        <v>217</v>
      </c>
    </row>
    <row r="82" ht="16.5" customHeight="1">
      <c r="A82" s="382" t="s">
        <v>45</v>
      </c>
      <c r="B82" s="382" t="s">
        <v>88</v>
      </c>
      <c r="C82" s="382" t="n">
        <v>5230806</v>
      </c>
      <c r="D82" s="382" t="s">
        <v>215</v>
      </c>
      <c r="E82" s="382" t="s">
        <v>283</v>
      </c>
      <c r="F82" s="382" t="s">
        <v>1221</v>
      </c>
      <c r="G82" s="382" t="s">
        <v>37</v>
      </c>
      <c r="H82" s="382" t="s">
        <v>43</v>
      </c>
      <c r="I82" s="382" t="s">
        <v>52</v>
      </c>
      <c r="J82" s="382" t="s">
        <v>50</v>
      </c>
      <c r="K82" s="382" t="s">
        <v>2968</v>
      </c>
      <c r="L82" s="382" t="s">
        <v>582</v>
      </c>
      <c r="M82" s="382" t="s">
        <v>2969</v>
      </c>
      <c r="N82" s="382" t="s">
        <v>2970</v>
      </c>
      <c r="O82" s="382" t="s">
        <v>2971</v>
      </c>
      <c r="P82" s="382"/>
      <c r="Q82" s="382" t="n">
        <v>50</v>
      </c>
      <c r="R82" s="382"/>
      <c r="S82" s="382"/>
      <c r="T82" s="382" t="s">
        <v>217</v>
      </c>
      <c r="U82" s="382" t="s">
        <v>217</v>
      </c>
      <c r="V82" s="382" t="s">
        <v>217</v>
      </c>
      <c r="W82" s="382" t="s">
        <v>217</v>
      </c>
      <c r="X82" s="382" t="s">
        <v>217</v>
      </c>
      <c r="Y82" s="382" t="s">
        <v>218</v>
      </c>
    </row>
    <row r="83" ht="16.5" customHeight="1">
      <c r="A83" s="382" t="s">
        <v>45</v>
      </c>
      <c r="B83" s="382" t="s">
        <v>88</v>
      </c>
      <c r="C83" s="382" t="n">
        <v>5230806</v>
      </c>
      <c r="D83" s="382" t="s">
        <v>215</v>
      </c>
      <c r="E83" s="382" t="s">
        <v>283</v>
      </c>
      <c r="F83" s="382" t="s">
        <v>810</v>
      </c>
      <c r="G83" s="382" t="s">
        <v>37</v>
      </c>
      <c r="H83" s="382" t="s">
        <v>43</v>
      </c>
      <c r="I83" s="382" t="s">
        <v>52</v>
      </c>
      <c r="J83" s="382" t="s">
        <v>48</v>
      </c>
      <c r="K83" s="382" t="s">
        <v>597</v>
      </c>
      <c r="L83" s="382" t="s">
        <v>597</v>
      </c>
      <c r="M83" s="382" t="s">
        <v>2972</v>
      </c>
      <c r="N83" s="382" t="s">
        <v>2973</v>
      </c>
      <c r="O83" s="382" t="s">
        <v>2974</v>
      </c>
      <c r="P83" s="382"/>
      <c r="Q83" s="382" t="n">
        <v>50</v>
      </c>
      <c r="R83" s="382"/>
      <c r="S83" s="382"/>
      <c r="T83" s="382" t="s">
        <v>217</v>
      </c>
      <c r="U83" s="382" t="s">
        <v>218</v>
      </c>
      <c r="V83" s="382" t="s">
        <v>217</v>
      </c>
      <c r="W83" s="382" t="s">
        <v>217</v>
      </c>
      <c r="X83" s="382" t="s">
        <v>217</v>
      </c>
      <c r="Y83" s="382" t="s">
        <v>217</v>
      </c>
    </row>
    <row r="84" ht="16.5" customHeight="1">
      <c r="A84" s="382" t="s">
        <v>45</v>
      </c>
      <c r="B84" s="382" t="s">
        <v>88</v>
      </c>
      <c r="C84" s="382" t="n">
        <v>5230806</v>
      </c>
      <c r="D84" s="382" t="s">
        <v>215</v>
      </c>
      <c r="E84" s="382" t="s">
        <v>283</v>
      </c>
      <c r="F84" s="382" t="s">
        <v>1270</v>
      </c>
      <c r="G84" s="382" t="s">
        <v>37</v>
      </c>
      <c r="H84" s="382"/>
      <c r="I84" s="382" t="s">
        <v>58</v>
      </c>
      <c r="J84" s="382" t="s">
        <v>48</v>
      </c>
      <c r="K84" s="382" t="s">
        <v>362</v>
      </c>
      <c r="L84" s="382" t="s">
        <v>386</v>
      </c>
      <c r="M84" s="382" t="s">
        <v>2975</v>
      </c>
      <c r="N84" s="382" t="s">
        <v>2976</v>
      </c>
      <c r="O84" s="382" t="s">
        <v>2977</v>
      </c>
      <c r="P84" s="382"/>
      <c r="Q84" s="382" t="n">
        <v>35</v>
      </c>
      <c r="R84" s="382"/>
      <c r="S84" s="382"/>
      <c r="T84" s="382" t="s">
        <v>217</v>
      </c>
      <c r="U84" s="382" t="s">
        <v>217</v>
      </c>
      <c r="V84" s="382" t="s">
        <v>217</v>
      </c>
      <c r="W84" s="382" t="s">
        <v>217</v>
      </c>
      <c r="X84" s="382" t="s">
        <v>217</v>
      </c>
      <c r="Y84" s="382" t="s">
        <v>218</v>
      </c>
    </row>
    <row r="85" ht="16.5" customHeight="1">
      <c r="A85" s="382" t="s">
        <v>45</v>
      </c>
      <c r="B85" s="382" t="s">
        <v>88</v>
      </c>
      <c r="C85" s="382" t="n">
        <v>5230806</v>
      </c>
      <c r="D85" s="382" t="s">
        <v>215</v>
      </c>
      <c r="E85" s="382" t="s">
        <v>283</v>
      </c>
      <c r="F85" s="382" t="s">
        <v>1111</v>
      </c>
      <c r="G85" s="382" t="s">
        <v>37</v>
      </c>
      <c r="H85" s="382" t="s">
        <v>49</v>
      </c>
      <c r="I85" s="382" t="s">
        <v>52</v>
      </c>
      <c r="J85" s="382" t="s">
        <v>46</v>
      </c>
      <c r="K85" s="382" t="s">
        <v>621</v>
      </c>
      <c r="L85" s="382" t="s">
        <v>1402</v>
      </c>
      <c r="M85" s="382" t="s">
        <v>2978</v>
      </c>
      <c r="N85" s="382" t="s">
        <v>2979</v>
      </c>
      <c r="O85" s="382" t="s">
        <v>2980</v>
      </c>
      <c r="P85" s="382" t="n">
        <v>85</v>
      </c>
      <c r="Q85" s="382"/>
      <c r="R85" s="382"/>
      <c r="S85" s="382"/>
      <c r="T85" s="382" t="s">
        <v>217</v>
      </c>
      <c r="U85" s="382"/>
      <c r="V85" s="382" t="s">
        <v>217</v>
      </c>
      <c r="W85" s="382" t="s">
        <v>217</v>
      </c>
      <c r="X85" s="382" t="s">
        <v>217</v>
      </c>
      <c r="Y85" s="382" t="s">
        <v>217</v>
      </c>
    </row>
    <row r="86" ht="27.75" customHeight="1">
      <c r="A86" s="382" t="s">
        <v>45</v>
      </c>
      <c r="B86" s="382" t="s">
        <v>88</v>
      </c>
      <c r="C86" s="382" t="n">
        <v>5230806</v>
      </c>
      <c r="D86" s="382" t="s">
        <v>215</v>
      </c>
      <c r="E86" s="382" t="s">
        <v>283</v>
      </c>
      <c r="F86" s="382" t="s">
        <v>1215</v>
      </c>
      <c r="G86" s="382" t="s">
        <v>37</v>
      </c>
      <c r="H86" s="382" t="s">
        <v>49</v>
      </c>
      <c r="I86" s="382" t="s">
        <v>52</v>
      </c>
      <c r="J86" s="382" t="s">
        <v>46</v>
      </c>
      <c r="K86" s="382" t="s">
        <v>621</v>
      </c>
      <c r="L86" s="382" t="s">
        <v>2959</v>
      </c>
      <c r="M86" s="382" t="s">
        <v>2981</v>
      </c>
      <c r="N86" s="382" t="s">
        <v>2982</v>
      </c>
      <c r="O86" s="975" t="s">
        <v>2983</v>
      </c>
      <c r="P86" s="382"/>
      <c r="Q86" s="382" t="n">
        <v>55</v>
      </c>
      <c r="R86" s="382"/>
      <c r="S86" s="382"/>
      <c r="T86" s="382" t="s">
        <v>217</v>
      </c>
      <c r="U86" s="382" t="s">
        <v>217</v>
      </c>
      <c r="V86" s="382" t="s">
        <v>217</v>
      </c>
      <c r="W86" s="382" t="s">
        <v>217</v>
      </c>
      <c r="X86" s="382" t="s">
        <v>217</v>
      </c>
      <c r="Y86" s="382" t="s">
        <v>217</v>
      </c>
    </row>
    <row r="87" ht="16.5" customHeight="1">
      <c r="A87" s="382" t="s">
        <v>45</v>
      </c>
      <c r="B87" s="382" t="s">
        <v>88</v>
      </c>
      <c r="C87" s="382" t="n">
        <v>5230806</v>
      </c>
      <c r="D87" s="382" t="s">
        <v>215</v>
      </c>
      <c r="E87" s="382" t="s">
        <v>283</v>
      </c>
      <c r="F87" s="382" t="s">
        <v>1110</v>
      </c>
      <c r="G87" s="382" t="s">
        <v>37</v>
      </c>
      <c r="H87" s="382" t="s">
        <v>49</v>
      </c>
      <c r="I87" s="382" t="s">
        <v>52</v>
      </c>
      <c r="J87" s="382" t="s">
        <v>46</v>
      </c>
      <c r="K87" s="382" t="s">
        <v>621</v>
      </c>
      <c r="L87" s="382" t="s">
        <v>1402</v>
      </c>
      <c r="M87" s="382" t="s">
        <v>505</v>
      </c>
      <c r="N87" s="382" t="s">
        <v>2979</v>
      </c>
      <c r="O87" s="382" t="s">
        <v>2984</v>
      </c>
      <c r="P87" s="382" t="n">
        <v>72</v>
      </c>
      <c r="Q87" s="382"/>
      <c r="R87" s="382"/>
      <c r="S87" s="382"/>
      <c r="T87" s="382" t="s">
        <v>217</v>
      </c>
      <c r="U87" s="382"/>
      <c r="V87" s="382" t="s">
        <v>217</v>
      </c>
      <c r="W87" s="382" t="s">
        <v>217</v>
      </c>
      <c r="X87" s="382" t="s">
        <v>217</v>
      </c>
      <c r="Y87" s="382" t="s">
        <v>218</v>
      </c>
    </row>
    <row r="88" ht="16.5" customHeight="1">
      <c r="A88" s="382" t="s">
        <v>45</v>
      </c>
      <c r="B88" s="382" t="s">
        <v>88</v>
      </c>
      <c r="C88" s="382" t="n">
        <v>5230806</v>
      </c>
      <c r="D88" s="382" t="s">
        <v>215</v>
      </c>
      <c r="E88" s="382" t="s">
        <v>283</v>
      </c>
      <c r="F88" s="382" t="s">
        <v>1335</v>
      </c>
      <c r="G88" s="382" t="s">
        <v>37</v>
      </c>
      <c r="H88" s="382" t="s">
        <v>49</v>
      </c>
      <c r="I88" s="382" t="s">
        <v>52</v>
      </c>
      <c r="J88" s="382" t="s">
        <v>48</v>
      </c>
      <c r="K88" s="382" t="s">
        <v>2985</v>
      </c>
      <c r="L88" s="382"/>
      <c r="M88" s="382" t="s">
        <v>2986</v>
      </c>
      <c r="N88" s="382" t="s">
        <v>2987</v>
      </c>
      <c r="O88" s="382" t="s">
        <v>2988</v>
      </c>
      <c r="P88" s="382"/>
      <c r="Q88" s="382" t="n">
        <v>45</v>
      </c>
      <c r="R88" s="382"/>
      <c r="S88" s="382"/>
      <c r="T88" s="382" t="s">
        <v>217</v>
      </c>
      <c r="U88" s="382" t="s">
        <v>217</v>
      </c>
      <c r="V88" s="382" t="s">
        <v>217</v>
      </c>
      <c r="W88" s="382" t="s">
        <v>217</v>
      </c>
      <c r="X88" s="382" t="s">
        <v>217</v>
      </c>
      <c r="Y88" s="382" t="s">
        <v>217</v>
      </c>
    </row>
    <row r="89" ht="16.5" customHeight="1">
      <c r="A89" s="382" t="s">
        <v>45</v>
      </c>
      <c r="B89" s="382" t="s">
        <v>88</v>
      </c>
      <c r="C89" s="382" t="n">
        <v>5230806</v>
      </c>
      <c r="D89" s="382" t="s">
        <v>215</v>
      </c>
      <c r="E89" s="382" t="s">
        <v>283</v>
      </c>
      <c r="F89" s="382" t="s">
        <v>1337</v>
      </c>
      <c r="G89" s="382" t="s">
        <v>37</v>
      </c>
      <c r="H89" s="382" t="s">
        <v>49</v>
      </c>
      <c r="I89" s="382" t="s">
        <v>52</v>
      </c>
      <c r="J89" s="382" t="s">
        <v>48</v>
      </c>
      <c r="K89" s="382" t="s">
        <v>2985</v>
      </c>
      <c r="L89" s="382"/>
      <c r="M89" s="382" t="s">
        <v>2989</v>
      </c>
      <c r="N89" s="382" t="s">
        <v>2987</v>
      </c>
      <c r="O89" s="382" t="s">
        <v>2990</v>
      </c>
      <c r="P89" s="382"/>
      <c r="Q89" s="382" t="n">
        <v>55</v>
      </c>
      <c r="R89" s="382"/>
      <c r="S89" s="382"/>
      <c r="T89" s="382" t="s">
        <v>217</v>
      </c>
      <c r="U89" s="382" t="s">
        <v>217</v>
      </c>
      <c r="V89" s="382" t="s">
        <v>217</v>
      </c>
      <c r="W89" s="382" t="s">
        <v>217</v>
      </c>
      <c r="X89" s="382" t="s">
        <v>217</v>
      </c>
      <c r="Y89" s="382" t="s">
        <v>217</v>
      </c>
    </row>
    <row r="90" ht="16.5" customHeight="1">
      <c r="A90" s="382" t="s">
        <v>45</v>
      </c>
      <c r="B90" s="382" t="s">
        <v>88</v>
      </c>
      <c r="C90" s="382" t="n">
        <v>5230806</v>
      </c>
      <c r="D90" s="382" t="s">
        <v>215</v>
      </c>
      <c r="E90" s="382" t="s">
        <v>283</v>
      </c>
      <c r="F90" s="382" t="s">
        <v>1033</v>
      </c>
      <c r="G90" s="382" t="s">
        <v>37</v>
      </c>
      <c r="H90" s="382" t="s">
        <v>49</v>
      </c>
      <c r="I90" s="382" t="s">
        <v>52</v>
      </c>
      <c r="J90" s="382" t="s">
        <v>59</v>
      </c>
      <c r="K90" s="382"/>
      <c r="L90" s="382" t="s">
        <v>267</v>
      </c>
      <c r="M90" s="382" t="s">
        <v>2991</v>
      </c>
      <c r="N90" s="382" t="s">
        <v>2992</v>
      </c>
      <c r="O90" s="382" t="s">
        <v>2993</v>
      </c>
      <c r="P90" s="382"/>
      <c r="Q90" s="382"/>
      <c r="R90" s="382"/>
      <c r="S90" s="382"/>
      <c r="T90" s="382" t="s">
        <v>217</v>
      </c>
      <c r="U90" s="382" t="s">
        <v>217</v>
      </c>
      <c r="V90" s="382" t="s">
        <v>217</v>
      </c>
      <c r="W90" s="382" t="s">
        <v>217</v>
      </c>
      <c r="X90" s="382" t="s">
        <v>218</v>
      </c>
      <c r="Y90" s="382" t="s">
        <v>218</v>
      </c>
    </row>
    <row r="91" s="396" customFormat="1" ht="27.75" customHeight="1">
      <c r="A91" s="382" t="s">
        <v>45</v>
      </c>
      <c r="B91" s="382" t="s">
        <v>65</v>
      </c>
      <c r="C91" s="382" t="n">
        <v>5230802</v>
      </c>
      <c r="D91" s="382" t="s">
        <v>233</v>
      </c>
      <c r="E91" s="382" t="s">
        <v>283</v>
      </c>
      <c r="F91" s="382" t="s">
        <v>902</v>
      </c>
      <c r="G91" s="382" t="s">
        <v>37</v>
      </c>
      <c r="H91" s="382" t="s">
        <v>49</v>
      </c>
      <c r="I91" s="382" t="s">
        <v>58</v>
      </c>
      <c r="J91" s="382" t="s">
        <v>48</v>
      </c>
      <c r="K91" s="382"/>
      <c r="L91" s="382"/>
      <c r="M91" s="382"/>
      <c r="N91" s="51"/>
      <c r="O91" s="127" t="s">
        <v>2994</v>
      </c>
      <c r="P91" s="116"/>
      <c r="Q91" s="382" t="n">
        <v>65</v>
      </c>
      <c r="R91" s="382"/>
      <c r="S91" s="382"/>
      <c r="T91" s="382" t="s">
        <v>217</v>
      </c>
      <c r="U91" s="382" t="s">
        <v>217</v>
      </c>
      <c r="V91" s="382" t="s">
        <v>217</v>
      </c>
      <c r="W91" s="382"/>
      <c r="X91" s="382" t="s">
        <v>217</v>
      </c>
      <c r="Y91" s="382" t="s">
        <v>217</v>
      </c>
    </row>
    <row r="92" s="396" customFormat="1" ht="68.25" customHeight="1">
      <c r="A92" s="382" t="s">
        <v>45</v>
      </c>
      <c r="B92" s="382" t="s">
        <v>65</v>
      </c>
      <c r="C92" s="382" t="n">
        <v>5230802</v>
      </c>
      <c r="D92" s="382" t="s">
        <v>233</v>
      </c>
      <c r="E92" s="382" t="s">
        <v>283</v>
      </c>
      <c r="F92" s="382" t="s">
        <v>929</v>
      </c>
      <c r="G92" s="382" t="s">
        <v>37</v>
      </c>
      <c r="H92" s="382" t="s">
        <v>49</v>
      </c>
      <c r="I92" s="382" t="s">
        <v>58</v>
      </c>
      <c r="J92" s="382" t="s">
        <v>48</v>
      </c>
      <c r="K92" s="382"/>
      <c r="L92" s="382"/>
      <c r="M92" s="382"/>
      <c r="N92" s="51"/>
      <c r="O92" s="976" t="s">
        <v>2995</v>
      </c>
      <c r="P92" s="116"/>
      <c r="Q92" s="382" t="n">
        <v>72</v>
      </c>
      <c r="R92" s="382"/>
      <c r="S92" s="382"/>
      <c r="T92" s="382" t="s">
        <v>217</v>
      </c>
      <c r="U92" s="382"/>
      <c r="V92" s="382" t="s">
        <v>217</v>
      </c>
      <c r="W92" s="382"/>
      <c r="X92" s="382"/>
      <c r="Y92" s="382"/>
    </row>
    <row r="93" s="396" customFormat="1" ht="18" customHeight="1">
      <c r="A93" s="382" t="s">
        <v>45</v>
      </c>
      <c r="B93" s="382" t="s">
        <v>65</v>
      </c>
      <c r="C93" s="382" t="n">
        <v>5230802</v>
      </c>
      <c r="D93" s="382" t="s">
        <v>233</v>
      </c>
      <c r="E93" s="382" t="s">
        <v>283</v>
      </c>
      <c r="F93" s="382" t="s">
        <v>636</v>
      </c>
      <c r="G93" s="382" t="s">
        <v>37</v>
      </c>
      <c r="H93" s="382" t="s">
        <v>49</v>
      </c>
      <c r="I93" s="382" t="s">
        <v>52</v>
      </c>
      <c r="J93" s="382" t="s">
        <v>48</v>
      </c>
      <c r="K93" s="382"/>
      <c r="L93" s="382"/>
      <c r="M93" s="382"/>
      <c r="N93" s="51"/>
      <c r="O93" s="127" t="s">
        <v>639</v>
      </c>
      <c r="P93" s="116"/>
      <c r="Q93" s="382" t="n">
        <v>64</v>
      </c>
      <c r="R93" s="382"/>
      <c r="S93" s="382"/>
      <c r="T93" s="382" t="s">
        <v>217</v>
      </c>
      <c r="U93" s="382"/>
      <c r="V93" s="382" t="s">
        <v>217</v>
      </c>
      <c r="W93" s="382"/>
      <c r="X93" s="382"/>
      <c r="Y93" s="382"/>
    </row>
    <row r="94" s="396" customFormat="1" ht="41.25" customHeight="1">
      <c r="A94" s="382" t="s">
        <v>45</v>
      </c>
      <c r="B94" s="382" t="s">
        <v>65</v>
      </c>
      <c r="C94" s="382" t="n">
        <v>5230802</v>
      </c>
      <c r="D94" s="382" t="s">
        <v>233</v>
      </c>
      <c r="E94" s="382" t="s">
        <v>283</v>
      </c>
      <c r="F94" s="382" t="s">
        <v>941</v>
      </c>
      <c r="G94" s="382" t="s">
        <v>37</v>
      </c>
      <c r="H94" s="382" t="s">
        <v>49</v>
      </c>
      <c r="I94" s="382" t="s">
        <v>58</v>
      </c>
      <c r="J94" s="382" t="s">
        <v>46</v>
      </c>
      <c r="K94" s="382"/>
      <c r="L94" s="382"/>
      <c r="M94" s="382"/>
      <c r="N94" s="51"/>
      <c r="O94" s="977" t="s">
        <v>2996</v>
      </c>
      <c r="P94" s="116"/>
      <c r="Q94" s="382" t="n">
        <v>72</v>
      </c>
      <c r="R94" s="382"/>
      <c r="S94" s="382"/>
      <c r="T94" s="382" t="s">
        <v>217</v>
      </c>
      <c r="U94" s="382"/>
      <c r="V94" s="382" t="s">
        <v>217</v>
      </c>
      <c r="W94" s="382"/>
      <c r="X94" s="382"/>
      <c r="Y94" s="382"/>
    </row>
    <row r="95" s="396" customFormat="1" ht="41.25" customHeight="1">
      <c r="A95" s="382" t="s">
        <v>45</v>
      </c>
      <c r="B95" s="382" t="s">
        <v>65</v>
      </c>
      <c r="C95" s="382" t="n">
        <v>5230802</v>
      </c>
      <c r="D95" s="382" t="s">
        <v>233</v>
      </c>
      <c r="E95" s="382" t="s">
        <v>283</v>
      </c>
      <c r="F95" s="382" t="s">
        <v>324</v>
      </c>
      <c r="G95" s="382" t="s">
        <v>37</v>
      </c>
      <c r="H95" s="382" t="s">
        <v>49</v>
      </c>
      <c r="I95" s="382" t="s">
        <v>58</v>
      </c>
      <c r="J95" s="382" t="s">
        <v>50</v>
      </c>
      <c r="K95" s="382"/>
      <c r="L95" s="382"/>
      <c r="M95" s="382"/>
      <c r="N95" s="51"/>
      <c r="O95" s="978" t="s">
        <v>2997</v>
      </c>
      <c r="P95" s="116"/>
      <c r="Q95" s="382" t="n">
        <v>72</v>
      </c>
      <c r="R95" s="382"/>
      <c r="S95" s="382"/>
      <c r="T95" s="382" t="s">
        <v>217</v>
      </c>
      <c r="U95" s="382"/>
      <c r="V95" s="382" t="s">
        <v>217</v>
      </c>
      <c r="W95" s="382"/>
      <c r="X95" s="382"/>
      <c r="Y95" s="382"/>
    </row>
    <row r="96" s="396" customFormat="1" ht="27.75" customHeight="1">
      <c r="A96" s="382" t="s">
        <v>45</v>
      </c>
      <c r="B96" s="382" t="s">
        <v>65</v>
      </c>
      <c r="C96" s="382" t="n">
        <v>5230802</v>
      </c>
      <c r="D96" s="382" t="s">
        <v>233</v>
      </c>
      <c r="E96" s="382" t="s">
        <v>283</v>
      </c>
      <c r="F96" s="382" t="s">
        <v>299</v>
      </c>
      <c r="G96" s="382" t="s">
        <v>37</v>
      </c>
      <c r="H96" s="382" t="s">
        <v>49</v>
      </c>
      <c r="I96" s="382" t="s">
        <v>58</v>
      </c>
      <c r="J96" s="382" t="s">
        <v>46</v>
      </c>
      <c r="K96" s="382"/>
      <c r="L96" s="382"/>
      <c r="M96" s="382"/>
      <c r="N96" s="51"/>
      <c r="O96" s="979" t="s">
        <v>2998</v>
      </c>
      <c r="P96" s="116"/>
      <c r="Q96" s="382" t="n">
        <v>72</v>
      </c>
      <c r="R96" s="382"/>
      <c r="S96" s="382"/>
      <c r="T96" s="382" t="s">
        <v>217</v>
      </c>
      <c r="U96" s="382"/>
      <c r="V96" s="382" t="s">
        <v>217</v>
      </c>
      <c r="W96" s="382"/>
      <c r="X96" s="382"/>
      <c r="Y96" s="382"/>
    </row>
    <row r="97" s="396" customFormat="1" ht="27.75" customHeight="1">
      <c r="A97" s="382" t="s">
        <v>45</v>
      </c>
      <c r="B97" s="382" t="s">
        <v>65</v>
      </c>
      <c r="C97" s="382" t="n">
        <v>5230802</v>
      </c>
      <c r="D97" s="382" t="s">
        <v>233</v>
      </c>
      <c r="E97" s="382" t="s">
        <v>283</v>
      </c>
      <c r="F97" s="382" t="s">
        <v>935</v>
      </c>
      <c r="G97" s="382" t="s">
        <v>37</v>
      </c>
      <c r="H97" s="382" t="s">
        <v>49</v>
      </c>
      <c r="I97" s="382" t="s">
        <v>58</v>
      </c>
      <c r="J97" s="382" t="s">
        <v>46</v>
      </c>
      <c r="K97" s="382"/>
      <c r="L97" s="382"/>
      <c r="M97" s="382"/>
      <c r="N97" s="51"/>
      <c r="O97" s="980" t="s">
        <v>2999</v>
      </c>
      <c r="P97" s="116"/>
      <c r="Q97" s="382" t="n">
        <v>72</v>
      </c>
      <c r="R97" s="382"/>
      <c r="S97" s="382"/>
      <c r="T97" s="382" t="s">
        <v>217</v>
      </c>
      <c r="U97" s="382"/>
      <c r="V97" s="382" t="s">
        <v>217</v>
      </c>
      <c r="W97" s="382"/>
      <c r="X97" s="382"/>
      <c r="Y97" s="382"/>
    </row>
    <row r="98" s="396" customFormat="1" ht="41.25" customHeight="1">
      <c r="A98" s="382" t="s">
        <v>45</v>
      </c>
      <c r="B98" s="382" t="s">
        <v>65</v>
      </c>
      <c r="C98" s="382" t="n">
        <v>5230802</v>
      </c>
      <c r="D98" s="382" t="s">
        <v>233</v>
      </c>
      <c r="E98" s="382" t="s">
        <v>283</v>
      </c>
      <c r="F98" s="382" t="s">
        <v>946</v>
      </c>
      <c r="G98" s="382" t="s">
        <v>37</v>
      </c>
      <c r="H98" s="382" t="s">
        <v>49</v>
      </c>
      <c r="I98" s="382" t="s">
        <v>58</v>
      </c>
      <c r="J98" s="382" t="s">
        <v>46</v>
      </c>
      <c r="K98" s="382"/>
      <c r="L98" s="382"/>
      <c r="M98" s="382"/>
      <c r="N98" s="51"/>
      <c r="O98" s="981" t="s">
        <v>3000</v>
      </c>
      <c r="P98" s="116"/>
      <c r="Q98" s="382" t="n">
        <v>86</v>
      </c>
      <c r="R98" s="382"/>
      <c r="S98" s="382"/>
      <c r="T98" s="382" t="s">
        <v>217</v>
      </c>
      <c r="U98" s="382"/>
      <c r="V98" s="382" t="s">
        <v>217</v>
      </c>
      <c r="W98" s="382"/>
      <c r="X98" s="382"/>
      <c r="Y98" s="382"/>
    </row>
    <row r="99" s="396" customFormat="1" ht="27.75" customHeight="1">
      <c r="A99" s="382" t="s">
        <v>45</v>
      </c>
      <c r="B99" s="382" t="s">
        <v>65</v>
      </c>
      <c r="C99" s="382" t="n">
        <v>5230802</v>
      </c>
      <c r="D99" s="382" t="s">
        <v>233</v>
      </c>
      <c r="E99" s="382" t="s">
        <v>283</v>
      </c>
      <c r="F99" s="382" t="s">
        <v>282</v>
      </c>
      <c r="G99" s="382" t="s">
        <v>37</v>
      </c>
      <c r="H99" s="382" t="s">
        <v>49</v>
      </c>
      <c r="I99" s="382" t="s">
        <v>58</v>
      </c>
      <c r="J99" s="382" t="s">
        <v>50</v>
      </c>
      <c r="K99" s="382"/>
      <c r="L99" s="382"/>
      <c r="M99" s="382"/>
      <c r="N99" s="51"/>
      <c r="O99" s="982" t="s">
        <v>3001</v>
      </c>
      <c r="P99" s="116"/>
      <c r="Q99" s="382" t="n">
        <v>72</v>
      </c>
      <c r="R99" s="382"/>
      <c r="S99" s="382"/>
      <c r="T99" s="382" t="s">
        <v>217</v>
      </c>
      <c r="U99" s="382"/>
      <c r="V99" s="382" t="s">
        <v>217</v>
      </c>
      <c r="W99" s="382"/>
      <c r="X99" s="382"/>
      <c r="Y99" s="382"/>
    </row>
    <row r="100" s="396" customFormat="1" ht="54.75" customHeight="1">
      <c r="A100" s="382" t="s">
        <v>45</v>
      </c>
      <c r="B100" s="382" t="s">
        <v>65</v>
      </c>
      <c r="C100" s="382" t="n">
        <v>5230802</v>
      </c>
      <c r="D100" s="382" t="s">
        <v>233</v>
      </c>
      <c r="E100" s="382" t="s">
        <v>283</v>
      </c>
      <c r="F100" s="382" t="s">
        <v>292</v>
      </c>
      <c r="G100" s="382" t="s">
        <v>37</v>
      </c>
      <c r="H100" s="382" t="s">
        <v>49</v>
      </c>
      <c r="I100" s="382" t="s">
        <v>58</v>
      </c>
      <c r="J100" s="382" t="s">
        <v>59</v>
      </c>
      <c r="K100" s="382"/>
      <c r="L100" s="382"/>
      <c r="M100" s="382"/>
      <c r="N100" s="51"/>
      <c r="O100" s="983" t="s">
        <v>3002</v>
      </c>
      <c r="P100" s="116"/>
      <c r="Q100" s="382" t="n">
        <v>72</v>
      </c>
      <c r="R100" s="382"/>
      <c r="S100" s="382"/>
      <c r="T100" s="382" t="s">
        <v>217</v>
      </c>
      <c r="U100" s="382"/>
      <c r="V100" s="382" t="s">
        <v>217</v>
      </c>
      <c r="W100" s="382"/>
      <c r="X100" s="382"/>
      <c r="Y100" s="382"/>
    </row>
    <row r="101" ht="54.75" customHeight="1">
      <c r="A101" s="382" t="s">
        <v>45</v>
      </c>
      <c r="B101" s="382" t="s">
        <v>65</v>
      </c>
      <c r="C101" s="382" t="n">
        <v>5230802</v>
      </c>
      <c r="D101" s="382" t="s">
        <v>233</v>
      </c>
      <c r="E101" s="382" t="s">
        <v>283</v>
      </c>
      <c r="F101" s="382" t="s">
        <v>319</v>
      </c>
      <c r="G101" s="382" t="s">
        <v>37</v>
      </c>
      <c r="H101" s="382" t="s">
        <v>49</v>
      </c>
      <c r="I101" s="382" t="s">
        <v>58</v>
      </c>
      <c r="J101" s="382" t="s">
        <v>46</v>
      </c>
      <c r="K101" s="382"/>
      <c r="L101" s="382"/>
      <c r="M101" s="382"/>
      <c r="N101" s="51"/>
      <c r="O101" s="984" t="s">
        <v>3003</v>
      </c>
      <c r="P101" s="116"/>
      <c r="Q101" s="382" t="n">
        <v>85</v>
      </c>
      <c r="R101" s="382"/>
      <c r="S101" s="382"/>
      <c r="T101" s="382" t="s">
        <v>217</v>
      </c>
      <c r="U101" s="382"/>
      <c r="V101" s="382" t="s">
        <v>217</v>
      </c>
      <c r="W101" s="382"/>
      <c r="X101" s="382"/>
      <c r="Y101" s="382"/>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61"/>
      <c r="O283" s="120"/>
      <c r="P283" s="118"/>
    </row>
  </sheetData>
  <autoFilter ref="A2:XFD1048576"/>
  <mergeCells count="4">
    <mergeCell ref="A1:J1"/>
    <mergeCell ref="K1:O1"/>
    <mergeCell ref="P1:S1"/>
    <mergeCell ref="T1:Y1"/>
  </mergeCells>
  <phoneticPr fontId="1" type="noConversion"/>
  <conditionalFormatting sqref="A1:E1 G1:J1">
    <cfRule priority="43" type="duplicateValues" dxfId="0"/>
  </conditionalFormatting>
  <conditionalFormatting sqref="F1:F2 F102:F282">
    <cfRule priority="22"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471" t="s">
        <v>2588</v>
      </c>
      <c r="B1" s="472"/>
      <c r="C1" s="472"/>
      <c r="D1" s="472"/>
      <c r="E1" s="472"/>
      <c r="F1" s="472"/>
      <c r="G1" s="472"/>
      <c r="H1" s="472"/>
      <c r="I1" s="472"/>
      <c r="J1" s="472"/>
      <c r="K1" s="473" t="s">
        <v>2351</v>
      </c>
      <c r="L1" s="472"/>
      <c r="M1" s="472"/>
      <c r="N1" s="472"/>
      <c r="O1" s="472"/>
      <c r="P1" s="474" t="s">
        <v>2352</v>
      </c>
      <c r="Q1" s="472"/>
      <c r="R1" s="472"/>
      <c r="S1" s="472"/>
      <c r="T1" s="475" t="s">
        <v>2353</v>
      </c>
      <c r="U1" s="472"/>
      <c r="V1" s="472"/>
      <c r="W1" s="472"/>
      <c r="X1" s="472"/>
      <c r="Y1" s="472"/>
    </row>
    <row r="2" ht="26.25" customHeight="1">
      <c r="A2" s="19" t="s">
        <v>71</v>
      </c>
      <c r="B2" s="19" t="s">
        <v>174</v>
      </c>
      <c r="C2" s="19" t="s">
        <v>2354</v>
      </c>
      <c r="D2" s="19" t="s">
        <v>2355</v>
      </c>
      <c r="E2" s="19" t="s">
        <v>94</v>
      </c>
      <c r="F2" s="19" t="s">
        <v>148</v>
      </c>
      <c r="G2" s="19" t="s">
        <v>172</v>
      </c>
      <c r="H2" s="19" t="s">
        <v>2356</v>
      </c>
      <c r="I2" s="19" t="s">
        <v>2357</v>
      </c>
      <c r="J2" s="19" t="s">
        <v>2358</v>
      </c>
      <c r="K2" s="19" t="s">
        <v>2359</v>
      </c>
      <c r="L2" s="19" t="s">
        <v>2360</v>
      </c>
      <c r="M2" s="985" t="s">
        <v>2361</v>
      </c>
      <c r="N2" s="19" t="s">
        <v>2362</v>
      </c>
      <c r="O2" s="19" t="s">
        <v>2363</v>
      </c>
      <c r="P2" s="19" t="s">
        <v>126</v>
      </c>
      <c r="Q2" s="19" t="s">
        <v>125</v>
      </c>
      <c r="R2" s="19" t="s">
        <v>2364</v>
      </c>
      <c r="S2" s="19" t="s">
        <v>2365</v>
      </c>
      <c r="T2" s="19" t="s">
        <v>2366</v>
      </c>
      <c r="U2" s="19" t="s">
        <v>2367</v>
      </c>
      <c r="V2" s="19" t="s">
        <v>176</v>
      </c>
      <c r="W2" s="19" t="s">
        <v>2368</v>
      </c>
      <c r="X2" s="19" t="s">
        <v>2369</v>
      </c>
      <c r="Y2" s="19" t="s">
        <v>2370</v>
      </c>
    </row>
    <row r="3" ht="26.25" customHeight="1">
      <c r="A3" s="8" t="s">
        <v>85</v>
      </c>
      <c r="B3" s="8" t="s">
        <v>100</v>
      </c>
      <c r="C3" s="8" t="n">
        <v>3132864</v>
      </c>
      <c r="D3" s="8" t="s">
        <v>216</v>
      </c>
      <c r="E3" s="8" t="s">
        <v>283</v>
      </c>
      <c r="F3" s="8" t="s">
        <v>1178</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216</v>
      </c>
      <c r="E4" s="8" t="s">
        <v>283</v>
      </c>
      <c r="F4" s="8" t="s">
        <v>496</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216</v>
      </c>
      <c r="E5" s="8" t="s">
        <v>283</v>
      </c>
      <c r="F5" s="8" t="s">
        <v>1081</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216</v>
      </c>
      <c r="E6" s="8" t="s">
        <v>283</v>
      </c>
      <c r="F6" s="8" t="s">
        <v>1076</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216</v>
      </c>
      <c r="E7" s="8" t="s">
        <v>283</v>
      </c>
      <c r="F7" s="8" t="s">
        <v>1129</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216</v>
      </c>
      <c r="E8" s="8" t="s">
        <v>283</v>
      </c>
      <c r="F8" s="8" t="s">
        <v>1082</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216</v>
      </c>
      <c r="E9" s="8" t="s">
        <v>283</v>
      </c>
      <c r="F9" s="8" t="s">
        <v>1080</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216</v>
      </c>
      <c r="E10" s="8" t="s">
        <v>283</v>
      </c>
      <c r="F10" s="8" t="s">
        <v>1142</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216</v>
      </c>
      <c r="E11" s="8" t="s">
        <v>283</v>
      </c>
      <c r="F11" s="8" t="s">
        <v>1134</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216</v>
      </c>
      <c r="E12" s="8" t="s">
        <v>283</v>
      </c>
      <c r="F12" s="8" t="s">
        <v>1137</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216</v>
      </c>
      <c r="E13" s="8" t="s">
        <v>283</v>
      </c>
      <c r="F13" s="8" t="s">
        <v>1083</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216</v>
      </c>
      <c r="E14" s="8" t="s">
        <v>283</v>
      </c>
      <c r="F14" s="8" t="s">
        <v>1252</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216</v>
      </c>
      <c r="E15" s="8" t="s">
        <v>283</v>
      </c>
      <c r="F15" s="8" t="s">
        <v>1078</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483"/>
    <col min="16" max="25" width="10"/>
  </cols>
  <sheetData>
    <row r="1" ht="26.25" customHeight="1">
      <c r="A1" s="471" t="s">
        <v>2588</v>
      </c>
      <c r="B1" s="472"/>
      <c r="C1" s="472"/>
      <c r="D1" s="472"/>
      <c r="E1" s="472"/>
      <c r="F1" s="472"/>
      <c r="G1" s="472"/>
      <c r="H1" s="472"/>
      <c r="I1" s="472"/>
      <c r="J1" s="472"/>
      <c r="K1" s="473" t="s">
        <v>2351</v>
      </c>
      <c r="L1" s="472"/>
      <c r="M1" s="472"/>
      <c r="N1" s="472"/>
      <c r="O1" s="484"/>
      <c r="P1" s="474" t="s">
        <v>2352</v>
      </c>
      <c r="Q1" s="472"/>
      <c r="R1" s="472"/>
      <c r="S1" s="472"/>
      <c r="T1" s="475" t="s">
        <v>2353</v>
      </c>
      <c r="U1" s="472"/>
      <c r="V1" s="472"/>
      <c r="W1" s="472"/>
      <c r="X1" s="472"/>
      <c r="Y1" s="472"/>
    </row>
    <row r="2" ht="26.25" customHeight="1">
      <c r="A2" s="337" t="s">
        <v>71</v>
      </c>
      <c r="B2" s="337" t="s">
        <v>174</v>
      </c>
      <c r="C2" s="337" t="s">
        <v>2354</v>
      </c>
      <c r="D2" s="337" t="s">
        <v>2355</v>
      </c>
      <c r="E2" s="337" t="s">
        <v>94</v>
      </c>
      <c r="F2" s="337" t="s">
        <v>148</v>
      </c>
      <c r="G2" s="337" t="s">
        <v>172</v>
      </c>
      <c r="H2" s="337" t="s">
        <v>3004</v>
      </c>
      <c r="I2" s="337" t="s">
        <v>2357</v>
      </c>
      <c r="J2" s="337" t="s">
        <v>2358</v>
      </c>
      <c r="K2" s="337" t="s">
        <v>2359</v>
      </c>
      <c r="L2" s="337" t="s">
        <v>2360</v>
      </c>
      <c r="M2" s="986" t="s">
        <v>2361</v>
      </c>
      <c r="N2" s="337" t="s">
        <v>2362</v>
      </c>
      <c r="O2" s="337" t="s">
        <v>2363</v>
      </c>
      <c r="P2" s="337" t="s">
        <v>126</v>
      </c>
      <c r="Q2" s="337" t="s">
        <v>125</v>
      </c>
      <c r="R2" s="337" t="s">
        <v>2364</v>
      </c>
      <c r="S2" s="337" t="s">
        <v>2365</v>
      </c>
      <c r="T2" s="337" t="s">
        <v>2366</v>
      </c>
      <c r="U2" s="337" t="s">
        <v>2367</v>
      </c>
      <c r="V2" s="337" t="s">
        <v>176</v>
      </c>
      <c r="W2" s="337" t="s">
        <v>2368</v>
      </c>
      <c r="X2" s="337" t="s">
        <v>2369</v>
      </c>
      <c r="Y2" s="337" t="s">
        <v>2370</v>
      </c>
    </row>
    <row r="3" s="313" customFormat="1" ht="26.25" customHeight="1">
      <c r="A3" s="313" t="s">
        <v>54</v>
      </c>
      <c r="B3" s="313" t="s">
        <v>88</v>
      </c>
      <c r="C3" s="313" t="n">
        <v>4513265</v>
      </c>
      <c r="D3" s="313" t="s">
        <v>215</v>
      </c>
      <c r="E3" s="313" t="s">
        <v>283</v>
      </c>
      <c r="F3" s="313" t="s">
        <v>1224</v>
      </c>
      <c r="G3" s="313" t="s">
        <v>47</v>
      </c>
      <c r="H3" s="313" t="s">
        <v>37</v>
      </c>
      <c r="I3" s="313" t="s">
        <v>56</v>
      </c>
      <c r="J3" s="313" t="s">
        <v>38</v>
      </c>
      <c r="K3" s="313" t="s">
        <v>2432</v>
      </c>
      <c r="O3" s="313" t="s">
        <v>3005</v>
      </c>
      <c r="Q3" s="313" t="n">
        <v>32</v>
      </c>
      <c r="T3" s="313" t="s">
        <v>217</v>
      </c>
      <c r="U3" s="313" t="s">
        <v>218</v>
      </c>
      <c r="V3" s="313" t="s">
        <v>217</v>
      </c>
      <c r="W3" s="313" t="s">
        <v>217</v>
      </c>
      <c r="Y3" s="313" t="s">
        <v>217</v>
      </c>
    </row>
    <row r="4" s="313" customFormat="1" ht="26.25" customHeight="1">
      <c r="A4" s="313" t="s">
        <v>54</v>
      </c>
      <c r="B4" s="313" t="s">
        <v>88</v>
      </c>
      <c r="C4" s="313" t="n">
        <v>4513265</v>
      </c>
      <c r="D4" s="313" t="s">
        <v>215</v>
      </c>
      <c r="E4" s="313" t="s">
        <v>283</v>
      </c>
      <c r="F4" s="313" t="s">
        <v>2862</v>
      </c>
      <c r="G4" s="313" t="s">
        <v>47</v>
      </c>
      <c r="H4" s="313" t="s">
        <v>37</v>
      </c>
      <c r="J4" s="313" t="s">
        <v>59</v>
      </c>
      <c r="M4" s="313" t="s">
        <v>3006</v>
      </c>
      <c r="N4" s="313" t="s">
        <v>3007</v>
      </c>
      <c r="O4" s="313" t="s">
        <v>3008</v>
      </c>
      <c r="P4" s="313" t="s">
        <v>3009</v>
      </c>
      <c r="Q4" s="313" t="n">
        <v>30</v>
      </c>
      <c r="T4" s="313" t="s">
        <v>217</v>
      </c>
      <c r="U4" s="313" t="s">
        <v>217</v>
      </c>
      <c r="V4" s="313" t="s">
        <v>217</v>
      </c>
      <c r="W4" s="313" t="s">
        <v>217</v>
      </c>
      <c r="Y4" s="313" t="s">
        <v>217</v>
      </c>
    </row>
    <row r="5" s="313" customFormat="1" ht="26.25" customHeight="1">
      <c r="A5" s="313" t="s">
        <v>54</v>
      </c>
      <c r="B5" s="313" t="s">
        <v>88</v>
      </c>
      <c r="C5" s="313" t="n">
        <v>4513265</v>
      </c>
      <c r="D5" s="313" t="s">
        <v>215</v>
      </c>
      <c r="E5" s="313" t="s">
        <v>283</v>
      </c>
      <c r="F5" s="313" t="s">
        <v>1036</v>
      </c>
      <c r="G5" s="313" t="s">
        <v>47</v>
      </c>
      <c r="J5" s="313" t="s">
        <v>57</v>
      </c>
      <c r="M5" s="313" t="s">
        <v>3010</v>
      </c>
      <c r="O5" s="313" t="s">
        <v>3011</v>
      </c>
      <c r="P5" s="313" t="s">
        <v>3012</v>
      </c>
      <c r="T5" s="313" t="s">
        <v>217</v>
      </c>
      <c r="U5" s="313" t="s">
        <v>217</v>
      </c>
      <c r="V5" s="313" t="s">
        <v>217</v>
      </c>
      <c r="W5" s="313" t="s">
        <v>217</v>
      </c>
    </row>
    <row r="6" s="313" customFormat="1" ht="26.25" customHeight="1">
      <c r="A6" s="313" t="s">
        <v>54</v>
      </c>
      <c r="B6" s="313" t="s">
        <v>88</v>
      </c>
      <c r="C6" s="313" t="n">
        <v>4513265</v>
      </c>
      <c r="D6" s="313" t="s">
        <v>215</v>
      </c>
      <c r="E6" s="313" t="s">
        <v>283</v>
      </c>
      <c r="F6" s="313" t="s">
        <v>1300</v>
      </c>
      <c r="G6" s="313" t="s">
        <v>47</v>
      </c>
      <c r="H6" s="313" t="s">
        <v>37</v>
      </c>
      <c r="I6" s="313" t="s">
        <v>56</v>
      </c>
      <c r="J6" s="313" t="s">
        <v>48</v>
      </c>
      <c r="M6" s="313" t="s">
        <v>3013</v>
      </c>
      <c r="N6" s="313" t="s">
        <v>3014</v>
      </c>
      <c r="O6" s="313" t="s">
        <v>3015</v>
      </c>
      <c r="P6" s="313" t="n">
        <v>95</v>
      </c>
      <c r="T6" s="313" t="s">
        <v>217</v>
      </c>
      <c r="U6" s="313" t="s">
        <v>217</v>
      </c>
      <c r="V6" s="313" t="s">
        <v>217</v>
      </c>
      <c r="W6" s="313" t="s">
        <v>217</v>
      </c>
    </row>
    <row r="7" s="313" customFormat="1" ht="26.25" customHeight="1">
      <c r="A7" s="313" t="s">
        <v>54</v>
      </c>
      <c r="B7" s="313" t="s">
        <v>88</v>
      </c>
      <c r="C7" s="313" t="n">
        <v>4513265</v>
      </c>
      <c r="D7" s="313" t="s">
        <v>215</v>
      </c>
      <c r="E7" s="313" t="s">
        <v>283</v>
      </c>
      <c r="F7" s="313" t="s">
        <v>2392</v>
      </c>
      <c r="G7" s="313" t="s">
        <v>47</v>
      </c>
      <c r="H7" s="313" t="s">
        <v>31</v>
      </c>
      <c r="I7" s="313" t="s">
        <v>56</v>
      </c>
      <c r="J7" s="313" t="s">
        <v>57</v>
      </c>
      <c r="M7" s="313" t="s">
        <v>3016</v>
      </c>
      <c r="N7" s="313" t="s">
        <v>3017</v>
      </c>
      <c r="O7" s="313" t="s">
        <v>3018</v>
      </c>
      <c r="P7" s="313" t="n">
        <v>96.5</v>
      </c>
      <c r="Q7" s="313" t="n">
        <v>30</v>
      </c>
      <c r="T7" s="313" t="s">
        <v>217</v>
      </c>
      <c r="U7" s="313" t="s">
        <v>217</v>
      </c>
      <c r="V7" s="313" t="s">
        <v>217</v>
      </c>
      <c r="W7" s="313" t="s">
        <v>217</v>
      </c>
    </row>
    <row r="8" s="313" customFormat="1" ht="26.25" customHeight="1">
      <c r="A8" s="313" t="s">
        <v>54</v>
      </c>
      <c r="B8" s="313" t="s">
        <v>88</v>
      </c>
      <c r="C8" s="313" t="n">
        <v>4513265</v>
      </c>
      <c r="D8" s="313" t="s">
        <v>215</v>
      </c>
      <c r="E8" s="313" t="s">
        <v>283</v>
      </c>
      <c r="F8" s="313" t="s">
        <v>1333</v>
      </c>
      <c r="G8" s="313" t="s">
        <v>47</v>
      </c>
      <c r="H8" s="313" t="s">
        <v>37</v>
      </c>
      <c r="I8" s="313" t="s">
        <v>56</v>
      </c>
      <c r="J8" s="313" t="s">
        <v>57</v>
      </c>
      <c r="M8" s="313" t="s">
        <v>3019</v>
      </c>
      <c r="N8" s="313" t="s">
        <v>3020</v>
      </c>
      <c r="O8" s="313" t="s">
        <v>3021</v>
      </c>
      <c r="P8" s="313" t="s">
        <v>2813</v>
      </c>
      <c r="Q8" s="313" t="n">
        <v>85</v>
      </c>
      <c r="T8" s="313" t="s">
        <v>217</v>
      </c>
      <c r="U8" s="313" t="s">
        <v>217</v>
      </c>
      <c r="V8" s="313" t="s">
        <v>217</v>
      </c>
      <c r="W8" s="313" t="s">
        <v>217</v>
      </c>
    </row>
    <row r="9" s="313" customFormat="1" ht="26.25" customHeight="1">
      <c r="A9" s="313" t="s">
        <v>54</v>
      </c>
      <c r="B9" s="313" t="s">
        <v>88</v>
      </c>
      <c r="C9" s="313" t="n">
        <v>4513265</v>
      </c>
      <c r="D9" s="313" t="s">
        <v>215</v>
      </c>
      <c r="E9" s="313" t="s">
        <v>283</v>
      </c>
      <c r="F9" s="313" t="s">
        <v>2877</v>
      </c>
      <c r="G9" s="313" t="s">
        <v>47</v>
      </c>
      <c r="H9" s="313" t="s">
        <v>37</v>
      </c>
      <c r="I9" s="313" t="s">
        <v>56</v>
      </c>
      <c r="J9" s="313" t="s">
        <v>36</v>
      </c>
      <c r="M9" s="313" t="s">
        <v>3022</v>
      </c>
      <c r="N9" s="313" t="s">
        <v>3023</v>
      </c>
      <c r="O9" s="313" t="s">
        <v>3024</v>
      </c>
      <c r="P9" s="313" t="s">
        <v>3025</v>
      </c>
      <c r="T9" s="313" t="s">
        <v>217</v>
      </c>
      <c r="U9" s="313" t="s">
        <v>217</v>
      </c>
      <c r="V9" s="313" t="s">
        <v>217</v>
      </c>
      <c r="W9" s="313" t="s">
        <v>217</v>
      </c>
    </row>
    <row r="10" s="313" customFormat="1" ht="26.25" customHeight="1">
      <c r="A10" s="313" t="s">
        <v>45</v>
      </c>
      <c r="B10" s="313" t="s">
        <v>100</v>
      </c>
      <c r="C10" s="313" t="n">
        <v>5230809</v>
      </c>
      <c r="D10" s="313" t="s">
        <v>215</v>
      </c>
      <c r="E10" s="313" t="s">
        <v>283</v>
      </c>
      <c r="F10" s="313" t="s">
        <v>1029</v>
      </c>
      <c r="G10" s="313" t="s">
        <v>47</v>
      </c>
      <c r="H10" s="313" t="s">
        <v>37</v>
      </c>
      <c r="I10" s="313" t="s">
        <v>56</v>
      </c>
      <c r="J10" s="313" t="s">
        <v>55</v>
      </c>
      <c r="M10" s="313" t="s">
        <v>3013</v>
      </c>
      <c r="N10" s="313" t="s">
        <v>3026</v>
      </c>
      <c r="O10" s="313" t="s">
        <v>3027</v>
      </c>
      <c r="P10" s="313" t="s">
        <v>3028</v>
      </c>
      <c r="Q10" s="313" t="n">
        <v>31</v>
      </c>
      <c r="T10" s="313" t="s">
        <v>217</v>
      </c>
      <c r="U10" s="313" t="s">
        <v>217</v>
      </c>
      <c r="V10" s="313" t="s">
        <v>217</v>
      </c>
      <c r="W10" s="313" t="s">
        <v>217</v>
      </c>
      <c r="Y10" s="313" t="s">
        <v>217</v>
      </c>
    </row>
    <row r="11" s="313" customFormat="1" ht="26.25" customHeight="1">
      <c r="A11" s="313" t="s">
        <v>54</v>
      </c>
      <c r="B11" s="313" t="s">
        <v>88</v>
      </c>
      <c r="C11" s="313" t="n">
        <v>4513265</v>
      </c>
      <c r="D11" s="313" t="s">
        <v>215</v>
      </c>
      <c r="E11" s="313" t="s">
        <v>283</v>
      </c>
      <c r="F11" s="313" t="s">
        <v>1168</v>
      </c>
      <c r="G11" s="313" t="s">
        <v>47</v>
      </c>
      <c r="H11" s="313" t="s">
        <v>37</v>
      </c>
      <c r="I11" s="313" t="s">
        <v>56</v>
      </c>
      <c r="J11" s="313" t="s">
        <v>36</v>
      </c>
      <c r="M11" s="313" t="s">
        <v>3029</v>
      </c>
      <c r="N11" s="313" t="s">
        <v>3030</v>
      </c>
      <c r="O11" s="313" t="s">
        <v>3031</v>
      </c>
      <c r="P11" s="313" t="s">
        <v>3028</v>
      </c>
      <c r="Q11" s="313" t="n">
        <v>32</v>
      </c>
      <c r="T11" s="313" t="s">
        <v>217</v>
      </c>
      <c r="U11" s="313" t="s">
        <v>217</v>
      </c>
      <c r="V11" s="313" t="s">
        <v>217</v>
      </c>
      <c r="W11" s="313" t="s">
        <v>217</v>
      </c>
    </row>
    <row r="12" s="313" customFormat="1" ht="26.25" customHeight="1">
      <c r="A12" s="313" t="s">
        <v>54</v>
      </c>
      <c r="B12" s="313" t="s">
        <v>88</v>
      </c>
      <c r="C12" s="313" t="n">
        <v>4513265</v>
      </c>
      <c r="D12" s="313" t="s">
        <v>215</v>
      </c>
      <c r="E12" s="313" t="s">
        <v>283</v>
      </c>
      <c r="F12" s="313" t="s">
        <v>1162</v>
      </c>
      <c r="G12" s="313" t="s">
        <v>47</v>
      </c>
      <c r="H12" s="313" t="s">
        <v>37</v>
      </c>
      <c r="I12" s="313" t="s">
        <v>56</v>
      </c>
      <c r="J12" s="313" t="s">
        <v>57</v>
      </c>
      <c r="M12" s="313" t="s">
        <v>3032</v>
      </c>
      <c r="N12" s="313" t="s">
        <v>3033</v>
      </c>
      <c r="O12" s="313" t="s">
        <v>3034</v>
      </c>
      <c r="Q12" s="313" t="n">
        <v>29</v>
      </c>
      <c r="T12" s="313" t="s">
        <v>217</v>
      </c>
      <c r="U12" s="313" t="s">
        <v>217</v>
      </c>
      <c r="V12" s="313" t="s">
        <v>217</v>
      </c>
      <c r="W12" s="313" t="s">
        <v>217</v>
      </c>
      <c r="Y12" s="313" t="s">
        <v>217</v>
      </c>
    </row>
    <row r="13" s="313" customFormat="1" ht="26.25" customHeight="1">
      <c r="A13" s="313" t="s">
        <v>54</v>
      </c>
      <c r="B13" s="313" t="s">
        <v>88</v>
      </c>
      <c r="C13" s="313" t="n">
        <v>4513265</v>
      </c>
      <c r="D13" s="313" t="s">
        <v>215</v>
      </c>
      <c r="E13" s="313" t="s">
        <v>283</v>
      </c>
      <c r="F13" s="313" t="s">
        <v>1242</v>
      </c>
      <c r="G13" s="313" t="s">
        <v>47</v>
      </c>
      <c r="H13" s="313" t="s">
        <v>31</v>
      </c>
      <c r="I13" s="313" t="s">
        <v>56</v>
      </c>
      <c r="J13" s="313" t="s">
        <v>57</v>
      </c>
      <c r="N13" s="313" t="s">
        <v>3035</v>
      </c>
      <c r="O13" s="313" t="s">
        <v>3036</v>
      </c>
      <c r="T13" s="313" t="s">
        <v>217</v>
      </c>
      <c r="U13" s="313" t="s">
        <v>217</v>
      </c>
      <c r="V13" s="313" t="s">
        <v>217</v>
      </c>
      <c r="W13" s="313" t="s">
        <v>217</v>
      </c>
      <c r="Y13" s="313" t="s">
        <v>217</v>
      </c>
    </row>
    <row r="14" s="313" customFormat="1" ht="26.25" customHeight="1">
      <c r="A14" s="313" t="s">
        <v>54</v>
      </c>
      <c r="B14" s="313" t="s">
        <v>88</v>
      </c>
      <c r="C14" s="313" t="n">
        <v>4513265</v>
      </c>
      <c r="D14" s="313" t="s">
        <v>215</v>
      </c>
      <c r="E14" s="313" t="s">
        <v>283</v>
      </c>
      <c r="F14" s="313" t="s">
        <v>1138</v>
      </c>
      <c r="G14" s="313" t="s">
        <v>47</v>
      </c>
      <c r="H14" s="313" t="s">
        <v>31</v>
      </c>
      <c r="I14" s="313" t="s">
        <v>56</v>
      </c>
      <c r="J14" s="313" t="s">
        <v>57</v>
      </c>
      <c r="M14" s="313" t="s">
        <v>3013</v>
      </c>
      <c r="N14" s="313" t="s">
        <v>3037</v>
      </c>
      <c r="O14" s="313" t="s">
        <v>3038</v>
      </c>
      <c r="P14" s="313" t="s">
        <v>28</v>
      </c>
      <c r="T14" s="313" t="s">
        <v>217</v>
      </c>
      <c r="U14" s="313" t="s">
        <v>217</v>
      </c>
      <c r="V14" s="313" t="s">
        <v>217</v>
      </c>
      <c r="W14" s="313" t="s">
        <v>217</v>
      </c>
    </row>
    <row r="15" s="313" customFormat="1" ht="26.25" customHeight="1">
      <c r="A15" s="313" t="s">
        <v>54</v>
      </c>
      <c r="B15" s="313" t="s">
        <v>88</v>
      </c>
      <c r="C15" s="313" t="n">
        <v>4513265</v>
      </c>
      <c r="D15" s="313" t="s">
        <v>215</v>
      </c>
      <c r="E15" s="313" t="s">
        <v>283</v>
      </c>
      <c r="F15" s="313" t="s">
        <v>1141</v>
      </c>
      <c r="G15" s="313" t="s">
        <v>47</v>
      </c>
      <c r="H15" s="313" t="s">
        <v>31</v>
      </c>
      <c r="I15" s="313" t="s">
        <v>56</v>
      </c>
      <c r="J15" s="313" t="s">
        <v>36</v>
      </c>
      <c r="M15" s="313" t="s">
        <v>3039</v>
      </c>
      <c r="N15" s="313" t="s">
        <v>3040</v>
      </c>
      <c r="O15" s="313" t="s">
        <v>3041</v>
      </c>
      <c r="P15" s="313" t="s">
        <v>2813</v>
      </c>
      <c r="T15" s="313" t="s">
        <v>217</v>
      </c>
      <c r="U15" s="313" t="s">
        <v>217</v>
      </c>
      <c r="V15" s="313" t="s">
        <v>217</v>
      </c>
      <c r="W15" s="313" t="s">
        <v>217</v>
      </c>
      <c r="Y15" s="313" t="s">
        <v>217</v>
      </c>
    </row>
    <row r="16" s="313" customFormat="1" ht="26.25" customHeight="1">
      <c r="A16" s="313" t="s">
        <v>54</v>
      </c>
      <c r="B16" s="313" t="s">
        <v>88</v>
      </c>
      <c r="C16" s="313" t="n">
        <v>4513265</v>
      </c>
      <c r="D16" s="313" t="s">
        <v>215</v>
      </c>
      <c r="E16" s="313" t="s">
        <v>283</v>
      </c>
      <c r="F16" s="313" t="s">
        <v>1015</v>
      </c>
      <c r="G16" s="313" t="s">
        <v>47</v>
      </c>
      <c r="H16" s="313" t="s">
        <v>37</v>
      </c>
      <c r="I16" s="313" t="s">
        <v>56</v>
      </c>
      <c r="J16" s="313" t="s">
        <v>59</v>
      </c>
      <c r="M16" s="313" t="s">
        <v>3042</v>
      </c>
      <c r="N16" s="313" t="s">
        <v>3043</v>
      </c>
      <c r="O16" s="313" t="s">
        <v>3044</v>
      </c>
      <c r="P16" s="313" t="s">
        <v>28</v>
      </c>
      <c r="Q16" s="313" t="n">
        <v>30</v>
      </c>
      <c r="T16" s="313" t="s">
        <v>217</v>
      </c>
      <c r="U16" s="313" t="s">
        <v>217</v>
      </c>
      <c r="V16" s="313" t="s">
        <v>217</v>
      </c>
      <c r="W16" s="313" t="s">
        <v>217</v>
      </c>
    </row>
    <row r="17" s="313" customFormat="1" ht="26.25" customHeight="1">
      <c r="A17" s="313" t="s">
        <v>54</v>
      </c>
      <c r="B17" s="313" t="s">
        <v>88</v>
      </c>
      <c r="C17" s="313" t="n">
        <v>4513265</v>
      </c>
      <c r="D17" s="313" t="s">
        <v>215</v>
      </c>
      <c r="E17" s="313" t="s">
        <v>283</v>
      </c>
      <c r="F17" s="313" t="s">
        <v>1052</v>
      </c>
      <c r="G17" s="313" t="s">
        <v>47</v>
      </c>
      <c r="H17" s="313" t="s">
        <v>37</v>
      </c>
      <c r="I17" s="313" t="s">
        <v>56</v>
      </c>
      <c r="J17" s="313" t="s">
        <v>55</v>
      </c>
      <c r="M17" s="313" t="s">
        <v>3045</v>
      </c>
      <c r="N17" s="313" t="s">
        <v>3046</v>
      </c>
      <c r="O17" s="313" t="s">
        <v>3047</v>
      </c>
      <c r="P17" s="313" t="s">
        <v>3048</v>
      </c>
      <c r="T17" s="313" t="s">
        <v>217</v>
      </c>
      <c r="U17" s="313" t="s">
        <v>217</v>
      </c>
      <c r="V17" s="313" t="s">
        <v>217</v>
      </c>
      <c r="W17" s="313" t="s">
        <v>217</v>
      </c>
    </row>
    <row r="18" s="313" customFormat="1" ht="26.25" customHeight="1">
      <c r="A18" s="313" t="s">
        <v>54</v>
      </c>
      <c r="B18" s="313" t="s">
        <v>88</v>
      </c>
      <c r="C18" s="313" t="n">
        <v>4513265</v>
      </c>
      <c r="D18" s="313" t="s">
        <v>215</v>
      </c>
      <c r="E18" s="313" t="s">
        <v>283</v>
      </c>
      <c r="F18" s="313" t="s">
        <v>1166</v>
      </c>
      <c r="G18" s="313" t="s">
        <v>47</v>
      </c>
      <c r="H18" s="313" t="s">
        <v>37</v>
      </c>
      <c r="I18" s="313" t="s">
        <v>56</v>
      </c>
      <c r="J18" s="313" t="s">
        <v>55</v>
      </c>
      <c r="M18" s="313" t="s">
        <v>3049</v>
      </c>
      <c r="N18" s="313" t="s">
        <v>3050</v>
      </c>
      <c r="O18" s="313" t="s">
        <v>3051</v>
      </c>
      <c r="P18" s="313" t="s">
        <v>2813</v>
      </c>
      <c r="Q18" s="313" t="n">
        <v>33</v>
      </c>
      <c r="T18" s="313" t="s">
        <v>217</v>
      </c>
      <c r="U18" s="313" t="s">
        <v>217</v>
      </c>
      <c r="V18" s="313" t="s">
        <v>217</v>
      </c>
      <c r="W18" s="313" t="s">
        <v>217</v>
      </c>
    </row>
    <row r="19" s="313" customFormat="1" ht="26.25" customHeight="1">
      <c r="A19" s="313" t="s">
        <v>54</v>
      </c>
      <c r="B19" s="313" t="s">
        <v>88</v>
      </c>
      <c r="C19" s="313" t="n">
        <v>4513265</v>
      </c>
      <c r="D19" s="313" t="s">
        <v>215</v>
      </c>
      <c r="E19" s="313" t="s">
        <v>283</v>
      </c>
      <c r="F19" s="313" t="s">
        <v>1158</v>
      </c>
      <c r="G19" s="313" t="s">
        <v>47</v>
      </c>
      <c r="H19" s="313" t="s">
        <v>37</v>
      </c>
      <c r="I19" s="313" t="s">
        <v>56</v>
      </c>
      <c r="J19" s="313" t="s">
        <v>57</v>
      </c>
      <c r="M19" s="313" t="s">
        <v>3052</v>
      </c>
      <c r="O19" s="313" t="s">
        <v>3053</v>
      </c>
      <c r="Q19" s="313" t="n">
        <v>29</v>
      </c>
      <c r="T19" s="313" t="s">
        <v>217</v>
      </c>
      <c r="U19" s="313" t="s">
        <v>217</v>
      </c>
      <c r="V19" s="313" t="s">
        <v>217</v>
      </c>
      <c r="W19" s="313" t="s">
        <v>217</v>
      </c>
    </row>
    <row r="20" s="313" customFormat="1" ht="26.25" customHeight="1">
      <c r="A20" s="313" t="s">
        <v>54</v>
      </c>
      <c r="B20" s="313" t="s">
        <v>88</v>
      </c>
      <c r="C20" s="313" t="n">
        <v>4513265</v>
      </c>
      <c r="D20" s="313" t="s">
        <v>215</v>
      </c>
      <c r="E20" s="313" t="s">
        <v>283</v>
      </c>
      <c r="F20" s="313" t="s">
        <v>1147</v>
      </c>
      <c r="G20" s="313" t="s">
        <v>47</v>
      </c>
      <c r="H20" s="313" t="s">
        <v>37</v>
      </c>
      <c r="I20" s="313" t="s">
        <v>56</v>
      </c>
      <c r="J20" s="313" t="s">
        <v>34</v>
      </c>
      <c r="L20" s="313" t="s">
        <v>1383</v>
      </c>
      <c r="M20" s="313" t="s">
        <v>3013</v>
      </c>
      <c r="N20" s="313" t="s">
        <v>3054</v>
      </c>
      <c r="O20" s="313" t="s">
        <v>3055</v>
      </c>
      <c r="P20" s="313" t="n">
        <v>95</v>
      </c>
      <c r="T20" s="313" t="s">
        <v>217</v>
      </c>
      <c r="U20" s="313" t="s">
        <v>217</v>
      </c>
      <c r="V20" s="313" t="s">
        <v>217</v>
      </c>
      <c r="W20" s="313" t="s">
        <v>217</v>
      </c>
    </row>
    <row r="21" s="313" customFormat="1" ht="26.25" customHeight="1">
      <c r="A21" s="313" t="s">
        <v>54</v>
      </c>
      <c r="B21" s="313" t="s">
        <v>88</v>
      </c>
      <c r="C21" s="313" t="n">
        <v>4513265</v>
      </c>
      <c r="D21" s="313" t="s">
        <v>215</v>
      </c>
      <c r="E21" s="313" t="s">
        <v>283</v>
      </c>
      <c r="F21" s="313" t="s">
        <v>317</v>
      </c>
      <c r="G21" s="313" t="s">
        <v>47</v>
      </c>
      <c r="H21" s="313" t="s">
        <v>37</v>
      </c>
      <c r="I21" s="313" t="s">
        <v>56</v>
      </c>
      <c r="J21" s="313" t="s">
        <v>34</v>
      </c>
      <c r="K21" s="313" t="s">
        <v>2556</v>
      </c>
      <c r="L21" s="313" t="s">
        <v>267</v>
      </c>
      <c r="M21" s="313" t="s">
        <v>3013</v>
      </c>
      <c r="N21" s="313" t="s">
        <v>3056</v>
      </c>
      <c r="O21" s="313" t="s">
        <v>3057</v>
      </c>
      <c r="P21" s="313" t="s">
        <v>3058</v>
      </c>
      <c r="Q21" s="313" t="n">
        <v>25</v>
      </c>
      <c r="T21" s="313" t="s">
        <v>217</v>
      </c>
      <c r="U21" s="313" t="s">
        <v>217</v>
      </c>
      <c r="V21" s="313" t="s">
        <v>217</v>
      </c>
      <c r="W21" s="313" t="s">
        <v>217</v>
      </c>
      <c r="Y21" s="313" t="s">
        <v>217</v>
      </c>
    </row>
    <row r="22" s="313" customFormat="1" ht="26.25" customHeight="1">
      <c r="A22" s="313" t="s">
        <v>54</v>
      </c>
      <c r="B22" s="313" t="s">
        <v>88</v>
      </c>
      <c r="C22" s="313" t="n">
        <v>4513265</v>
      </c>
      <c r="D22" s="313" t="s">
        <v>215</v>
      </c>
      <c r="E22" s="313" t="s">
        <v>283</v>
      </c>
      <c r="F22" s="313" t="s">
        <v>605</v>
      </c>
      <c r="G22" s="313" t="s">
        <v>47</v>
      </c>
      <c r="H22" s="313" t="s">
        <v>35</v>
      </c>
      <c r="I22" s="313" t="s">
        <v>56</v>
      </c>
      <c r="J22" s="313" t="s">
        <v>34</v>
      </c>
      <c r="L22" s="313" t="s">
        <v>611</v>
      </c>
      <c r="M22" s="313" t="s">
        <v>3059</v>
      </c>
      <c r="N22" s="313" t="s">
        <v>3060</v>
      </c>
      <c r="O22" s="313" t="s">
        <v>3061</v>
      </c>
      <c r="P22" s="313" t="s">
        <v>2453</v>
      </c>
      <c r="Q22" s="313" t="n">
        <v>35</v>
      </c>
      <c r="T22" s="313" t="s">
        <v>217</v>
      </c>
      <c r="U22" s="313" t="s">
        <v>217</v>
      </c>
      <c r="V22" s="313" t="s">
        <v>217</v>
      </c>
      <c r="W22" s="313" t="s">
        <v>217</v>
      </c>
      <c r="Y22" s="313" t="s">
        <v>217</v>
      </c>
    </row>
    <row r="23" s="313" customFormat="1" ht="26.25" customHeight="1">
      <c r="A23" s="313" t="s">
        <v>54</v>
      </c>
      <c r="B23" s="313" t="s">
        <v>88</v>
      </c>
      <c r="C23" s="313" t="n">
        <v>4513265</v>
      </c>
      <c r="D23" s="313" t="s">
        <v>215</v>
      </c>
      <c r="E23" s="313" t="s">
        <v>283</v>
      </c>
      <c r="F23" s="313" t="s">
        <v>298</v>
      </c>
      <c r="G23" s="313" t="s">
        <v>47</v>
      </c>
      <c r="H23" s="313" t="s">
        <v>37</v>
      </c>
      <c r="I23" s="313" t="s">
        <v>56</v>
      </c>
      <c r="J23" s="313" t="s">
        <v>59</v>
      </c>
      <c r="M23" s="313" t="s">
        <v>3062</v>
      </c>
      <c r="N23" s="313" t="s">
        <v>3063</v>
      </c>
      <c r="O23" s="313" t="s">
        <v>3064</v>
      </c>
      <c r="P23" s="313" t="s">
        <v>2813</v>
      </c>
      <c r="T23" s="313" t="s">
        <v>217</v>
      </c>
      <c r="U23" s="313" t="s">
        <v>217</v>
      </c>
      <c r="V23" s="313" t="s">
        <v>217</v>
      </c>
      <c r="W23" s="313" t="s">
        <v>217</v>
      </c>
    </row>
    <row r="24" s="313" customFormat="1" ht="26.25" customHeight="1">
      <c r="A24" s="313" t="s">
        <v>54</v>
      </c>
      <c r="B24" s="313" t="s">
        <v>88</v>
      </c>
      <c r="C24" s="313" t="n">
        <v>4513265</v>
      </c>
      <c r="D24" s="313" t="s">
        <v>215</v>
      </c>
      <c r="E24" s="313" t="s">
        <v>283</v>
      </c>
      <c r="F24" s="313" t="s">
        <v>1181</v>
      </c>
      <c r="G24" s="313" t="s">
        <v>47</v>
      </c>
      <c r="H24" s="313" t="s">
        <v>37</v>
      </c>
      <c r="I24" s="313" t="s">
        <v>56</v>
      </c>
      <c r="J24" s="313" t="s">
        <v>59</v>
      </c>
      <c r="M24" s="313" t="s">
        <v>3065</v>
      </c>
      <c r="N24" s="313" t="s">
        <v>3066</v>
      </c>
      <c r="O24" s="313" t="s">
        <v>3067</v>
      </c>
      <c r="P24" s="313" t="s">
        <v>3068</v>
      </c>
      <c r="Q24" s="313" t="n">
        <v>36</v>
      </c>
      <c r="T24" s="313" t="s">
        <v>217</v>
      </c>
      <c r="U24" s="313" t="s">
        <v>217</v>
      </c>
      <c r="V24" s="313" t="s">
        <v>217</v>
      </c>
      <c r="W24" s="313" t="s">
        <v>217</v>
      </c>
    </row>
    <row r="25" s="313" customFormat="1" ht="26.25" customHeight="1">
      <c r="A25" s="313" t="s">
        <v>54</v>
      </c>
      <c r="B25" s="313" t="s">
        <v>88</v>
      </c>
      <c r="C25" s="313" t="n">
        <v>4513265</v>
      </c>
      <c r="D25" s="313" t="s">
        <v>215</v>
      </c>
      <c r="E25" s="313" t="s">
        <v>283</v>
      </c>
      <c r="F25" s="313" t="s">
        <v>1294</v>
      </c>
      <c r="G25" s="313" t="s">
        <v>47</v>
      </c>
      <c r="H25" s="313" t="s">
        <v>37</v>
      </c>
      <c r="I25" s="313" t="s">
        <v>56</v>
      </c>
      <c r="J25" s="313" t="s">
        <v>48</v>
      </c>
      <c r="L25" s="313" t="s">
        <v>3069</v>
      </c>
      <c r="M25" s="313" t="s">
        <v>3013</v>
      </c>
      <c r="N25" s="313" t="s">
        <v>3070</v>
      </c>
      <c r="O25" s="313" t="s">
        <v>3071</v>
      </c>
      <c r="P25" s="313" t="n">
        <v>98</v>
      </c>
      <c r="T25" s="313" t="s">
        <v>217</v>
      </c>
      <c r="U25" s="313" t="s">
        <v>217</v>
      </c>
      <c r="V25" s="313" t="s">
        <v>217</v>
      </c>
      <c r="W25" s="313" t="s">
        <v>217</v>
      </c>
    </row>
    <row r="26" s="313" customFormat="1" ht="26.25" customHeight="1">
      <c r="A26" s="313" t="s">
        <v>54</v>
      </c>
      <c r="B26" s="313" t="s">
        <v>88</v>
      </c>
      <c r="C26" s="313" t="n">
        <v>4513265</v>
      </c>
      <c r="D26" s="313" t="s">
        <v>215</v>
      </c>
      <c r="E26" s="313" t="s">
        <v>283</v>
      </c>
      <c r="F26" s="313" t="s">
        <v>1236</v>
      </c>
      <c r="G26" s="313" t="s">
        <v>47</v>
      </c>
      <c r="H26" s="313" t="s">
        <v>37</v>
      </c>
      <c r="I26" s="313" t="s">
        <v>56</v>
      </c>
      <c r="J26" s="313" t="s">
        <v>55</v>
      </c>
      <c r="N26" s="313" t="s">
        <v>2491</v>
      </c>
      <c r="O26" s="313" t="s">
        <v>3072</v>
      </c>
      <c r="Q26" s="313" t="n">
        <v>31</v>
      </c>
      <c r="T26" s="313" t="s">
        <v>217</v>
      </c>
      <c r="U26" s="313" t="s">
        <v>217</v>
      </c>
      <c r="V26" s="313" t="s">
        <v>217</v>
      </c>
      <c r="W26" s="313" t="s">
        <v>217</v>
      </c>
    </row>
    <row r="27" s="313" customFormat="1" ht="26.25" customHeight="1">
      <c r="A27" s="313" t="s">
        <v>45</v>
      </c>
      <c r="B27" s="313" t="s">
        <v>88</v>
      </c>
      <c r="C27" s="313" t="n">
        <v>5230722</v>
      </c>
      <c r="D27" s="313" t="s">
        <v>233</v>
      </c>
      <c r="E27" s="313" t="s">
        <v>283</v>
      </c>
      <c r="F27" s="313" t="s">
        <v>1339</v>
      </c>
      <c r="G27" s="313" t="s">
        <v>47</v>
      </c>
      <c r="H27" s="313" t="s">
        <v>31</v>
      </c>
      <c r="I27" s="313" t="s">
        <v>58</v>
      </c>
      <c r="J27" s="313" t="s">
        <v>46</v>
      </c>
      <c r="L27" s="313" t="s">
        <v>3073</v>
      </c>
      <c r="M27" s="313" t="s">
        <v>3074</v>
      </c>
      <c r="N27" s="313" t="s">
        <v>3075</v>
      </c>
      <c r="O27" s="313" t="s">
        <v>3076</v>
      </c>
      <c r="P27" s="313" t="s">
        <v>3077</v>
      </c>
      <c r="T27" s="313" t="s">
        <v>217</v>
      </c>
      <c r="U27" s="313" t="s">
        <v>217</v>
      </c>
      <c r="V27" s="313" t="s">
        <v>217</v>
      </c>
      <c r="W27" s="313" t="s">
        <v>217</v>
      </c>
    </row>
    <row r="28" s="313" customFormat="1" ht="26.25" customHeight="1">
      <c r="A28" s="313" t="s">
        <v>45</v>
      </c>
      <c r="B28" s="313" t="s">
        <v>88</v>
      </c>
      <c r="C28" s="313" t="n">
        <v>5230722</v>
      </c>
      <c r="D28" s="313" t="s">
        <v>233</v>
      </c>
      <c r="E28" s="313" t="s">
        <v>283</v>
      </c>
      <c r="F28" s="313" t="s">
        <v>1007</v>
      </c>
      <c r="G28" s="313" t="s">
        <v>47</v>
      </c>
      <c r="H28" s="313" t="s">
        <v>31</v>
      </c>
      <c r="I28" s="313" t="s">
        <v>58</v>
      </c>
      <c r="J28" s="313" t="s">
        <v>36</v>
      </c>
      <c r="L28" s="313" t="s">
        <v>362</v>
      </c>
      <c r="M28" s="313" t="s">
        <v>2501</v>
      </c>
      <c r="N28" s="313" t="s">
        <v>3078</v>
      </c>
      <c r="O28" s="313" t="s">
        <v>3079</v>
      </c>
      <c r="P28" s="313" t="n">
        <v>95</v>
      </c>
      <c r="T28" s="313" t="s">
        <v>217</v>
      </c>
      <c r="U28" s="313" t="s">
        <v>217</v>
      </c>
      <c r="V28" s="313" t="s">
        <v>217</v>
      </c>
      <c r="W28" s="313" t="s">
        <v>217</v>
      </c>
    </row>
    <row r="29" s="313" customFormat="1" ht="26.25" customHeight="1">
      <c r="A29" s="313" t="s">
        <v>45</v>
      </c>
      <c r="B29" s="313" t="s">
        <v>88</v>
      </c>
      <c r="C29" s="313" t="n">
        <v>5230722</v>
      </c>
      <c r="D29" s="313" t="s">
        <v>233</v>
      </c>
      <c r="E29" s="313" t="s">
        <v>283</v>
      </c>
      <c r="F29" s="313" t="s">
        <v>1062</v>
      </c>
      <c r="G29" s="313" t="s">
        <v>47</v>
      </c>
      <c r="H29" s="313" t="s">
        <v>37</v>
      </c>
      <c r="I29" s="313" t="s">
        <v>58</v>
      </c>
      <c r="J29" s="313" t="s">
        <v>50</v>
      </c>
      <c r="L29" s="313" t="s">
        <v>597</v>
      </c>
      <c r="M29" s="313" t="s">
        <v>3080</v>
      </c>
      <c r="N29" s="313" t="s">
        <v>3081</v>
      </c>
      <c r="P29" s="313" t="s">
        <v>3082</v>
      </c>
      <c r="T29" s="313" t="s">
        <v>217</v>
      </c>
      <c r="U29" s="313" t="s">
        <v>217</v>
      </c>
      <c r="V29" s="313" t="s">
        <v>217</v>
      </c>
      <c r="W29" s="313" t="s">
        <v>217</v>
      </c>
    </row>
    <row r="30" s="313" customFormat="1" ht="26.25" customHeight="1">
      <c r="A30" s="313" t="s">
        <v>45</v>
      </c>
      <c r="B30" s="313" t="s">
        <v>88</v>
      </c>
      <c r="C30" s="313" t="n">
        <v>5230722</v>
      </c>
      <c r="D30" s="313" t="s">
        <v>233</v>
      </c>
      <c r="E30" s="313" t="s">
        <v>283</v>
      </c>
      <c r="F30" s="313" t="s">
        <v>1175</v>
      </c>
      <c r="G30" s="313" t="s">
        <v>47</v>
      </c>
      <c r="H30" s="313" t="s">
        <v>31</v>
      </c>
      <c r="I30" s="313" t="s">
        <v>52</v>
      </c>
      <c r="J30" s="313" t="s">
        <v>48</v>
      </c>
      <c r="L30" s="313" t="s">
        <v>3083</v>
      </c>
      <c r="M30" s="313" t="s">
        <v>3084</v>
      </c>
      <c r="N30" s="313" t="s">
        <v>3085</v>
      </c>
      <c r="O30" s="313" t="s">
        <v>3086</v>
      </c>
      <c r="P30" s="313" t="s">
        <v>3087</v>
      </c>
      <c r="T30" s="313" t="s">
        <v>217</v>
      </c>
      <c r="U30" s="313" t="s">
        <v>217</v>
      </c>
      <c r="V30" s="313" t="s">
        <v>217</v>
      </c>
      <c r="W30" s="313" t="s">
        <v>217</v>
      </c>
      <c r="Y30" s="313" t="s">
        <v>3088</v>
      </c>
    </row>
    <row r="31" s="313" customFormat="1" ht="26.25" customHeight="1">
      <c r="A31" s="313" t="s">
        <v>45</v>
      </c>
      <c r="B31" s="313" t="s">
        <v>88</v>
      </c>
      <c r="C31" s="313" t="n">
        <v>5230722</v>
      </c>
      <c r="D31" s="313" t="s">
        <v>233</v>
      </c>
      <c r="E31" s="313" t="s">
        <v>283</v>
      </c>
      <c r="F31" s="313" t="s">
        <v>1053</v>
      </c>
      <c r="G31" s="313" t="s">
        <v>47</v>
      </c>
      <c r="H31" s="313" t="s">
        <v>31</v>
      </c>
      <c r="I31" s="313" t="s">
        <v>58</v>
      </c>
      <c r="J31" s="313" t="s">
        <v>57</v>
      </c>
      <c r="M31" s="313" t="s">
        <v>2501</v>
      </c>
      <c r="N31" s="313" t="s">
        <v>3089</v>
      </c>
      <c r="O31" s="313" t="s">
        <v>3090</v>
      </c>
      <c r="P31" s="313" t="n">
        <v>90</v>
      </c>
      <c r="T31" s="313" t="s">
        <v>217</v>
      </c>
      <c r="U31" s="313" t="s">
        <v>217</v>
      </c>
      <c r="V31" s="313" t="s">
        <v>217</v>
      </c>
      <c r="W31" s="313" t="s">
        <v>217</v>
      </c>
    </row>
    <row r="32" s="313" customFormat="1" ht="26.25" customHeight="1">
      <c r="A32" s="313" t="s">
        <v>45</v>
      </c>
      <c r="B32" s="313" t="s">
        <v>88</v>
      </c>
      <c r="C32" s="313" t="n">
        <v>5230722</v>
      </c>
      <c r="D32" s="313" t="s">
        <v>233</v>
      </c>
      <c r="E32" s="313" t="s">
        <v>283</v>
      </c>
      <c r="F32" s="313" t="s">
        <v>895</v>
      </c>
      <c r="G32" s="313" t="s">
        <v>47</v>
      </c>
      <c r="H32" s="313" t="s">
        <v>31</v>
      </c>
      <c r="I32" s="313" t="s">
        <v>58</v>
      </c>
      <c r="J32" s="313" t="s">
        <v>48</v>
      </c>
      <c r="L32" s="313" t="s">
        <v>325</v>
      </c>
      <c r="O32" s="313" t="s">
        <v>3091</v>
      </c>
      <c r="T32" s="313" t="s">
        <v>217</v>
      </c>
      <c r="U32" s="313" t="s">
        <v>217</v>
      </c>
      <c r="V32" s="313" t="s">
        <v>217</v>
      </c>
      <c r="W32" s="313" t="s">
        <v>217</v>
      </c>
    </row>
    <row r="33" s="313" customFormat="1" ht="26.25" customHeight="1">
      <c r="A33" s="313" t="s">
        <v>45</v>
      </c>
      <c r="B33" s="313" t="s">
        <v>88</v>
      </c>
      <c r="C33" s="313" t="n">
        <v>5230722</v>
      </c>
      <c r="D33" s="313" t="s">
        <v>233</v>
      </c>
      <c r="E33" s="313" t="s">
        <v>283</v>
      </c>
      <c r="F33" s="313" t="s">
        <v>1042</v>
      </c>
      <c r="G33" s="313" t="s">
        <v>47</v>
      </c>
      <c r="J33" s="313" t="s">
        <v>40</v>
      </c>
      <c r="L33" s="313" t="s">
        <v>1729</v>
      </c>
      <c r="M33" s="313" t="s">
        <v>3092</v>
      </c>
      <c r="N33" s="313" t="s">
        <v>3093</v>
      </c>
      <c r="O33" s="313" t="s">
        <v>3094</v>
      </c>
      <c r="P33" s="313" t="s">
        <v>2813</v>
      </c>
      <c r="T33" s="313" t="s">
        <v>217</v>
      </c>
      <c r="U33" s="313" t="s">
        <v>217</v>
      </c>
      <c r="V33" s="313" t="s">
        <v>217</v>
      </c>
      <c r="W33" s="313" t="s">
        <v>217</v>
      </c>
    </row>
    <row r="34" s="313" customFormat="1" ht="26.25" customHeight="1">
      <c r="A34" s="313" t="s">
        <v>45</v>
      </c>
      <c r="B34" s="313" t="s">
        <v>88</v>
      </c>
      <c r="C34" s="313" t="n">
        <v>5230722</v>
      </c>
      <c r="D34" s="313" t="s">
        <v>233</v>
      </c>
      <c r="E34" s="313" t="s">
        <v>283</v>
      </c>
      <c r="F34" s="313" t="s">
        <v>1086</v>
      </c>
      <c r="G34" s="313" t="s">
        <v>47</v>
      </c>
      <c r="H34" s="313" t="s">
        <v>31</v>
      </c>
      <c r="I34" s="313" t="s">
        <v>58</v>
      </c>
      <c r="J34" s="313" t="s">
        <v>48</v>
      </c>
      <c r="N34" s="313" t="s">
        <v>3095</v>
      </c>
      <c r="O34" s="313" t="s">
        <v>3096</v>
      </c>
      <c r="T34" s="313" t="s">
        <v>217</v>
      </c>
      <c r="U34" s="313" t="s">
        <v>217</v>
      </c>
      <c r="V34" s="313" t="s">
        <v>217</v>
      </c>
      <c r="W34" s="313" t="s">
        <v>217</v>
      </c>
    </row>
    <row r="35" s="313" customFormat="1" ht="26.25" customHeight="1">
      <c r="A35" s="313" t="s">
        <v>45</v>
      </c>
      <c r="B35" s="313" t="s">
        <v>88</v>
      </c>
      <c r="C35" s="313" t="n">
        <v>5230722</v>
      </c>
      <c r="D35" s="313" t="s">
        <v>233</v>
      </c>
      <c r="E35" s="313" t="s">
        <v>283</v>
      </c>
      <c r="F35" s="313" t="s">
        <v>620</v>
      </c>
      <c r="G35" s="313" t="s">
        <v>47</v>
      </c>
      <c r="H35" s="313" t="s">
        <v>31</v>
      </c>
      <c r="I35" s="313" t="s">
        <v>58</v>
      </c>
      <c r="J35" s="313" t="s">
        <v>46</v>
      </c>
      <c r="L35" s="313" t="s">
        <v>3097</v>
      </c>
      <c r="M35" s="313" t="s">
        <v>3098</v>
      </c>
      <c r="N35" s="313" t="s">
        <v>3099</v>
      </c>
      <c r="O35" s="313" t="s">
        <v>3100</v>
      </c>
      <c r="Q35" s="313" t="n">
        <v>41</v>
      </c>
      <c r="T35" s="313" t="s">
        <v>217</v>
      </c>
      <c r="U35" s="313" t="s">
        <v>217</v>
      </c>
      <c r="V35" s="313" t="s">
        <v>217</v>
      </c>
      <c r="W35" s="313" t="s">
        <v>217</v>
      </c>
      <c r="Y35" s="313" t="s">
        <v>217</v>
      </c>
    </row>
    <row r="36" s="313" customFormat="1" ht="26.25" customHeight="1">
      <c r="A36" s="313" t="s">
        <v>45</v>
      </c>
      <c r="B36" s="313" t="s">
        <v>88</v>
      </c>
      <c r="C36" s="313" t="n">
        <v>5230722</v>
      </c>
      <c r="D36" s="313" t="s">
        <v>233</v>
      </c>
      <c r="E36" s="313" t="s">
        <v>283</v>
      </c>
      <c r="F36" s="313" t="s">
        <v>1307</v>
      </c>
      <c r="G36" s="313" t="s">
        <v>47</v>
      </c>
      <c r="H36" s="313" t="s">
        <v>31</v>
      </c>
      <c r="I36" s="313" t="s">
        <v>58</v>
      </c>
      <c r="J36" s="313" t="s">
        <v>50</v>
      </c>
      <c r="M36" s="313" t="s">
        <v>2501</v>
      </c>
      <c r="N36" s="313" t="s">
        <v>839</v>
      </c>
      <c r="O36" s="313" t="s">
        <v>3101</v>
      </c>
      <c r="P36" s="313" t="n">
        <v>98</v>
      </c>
      <c r="T36" s="313" t="s">
        <v>217</v>
      </c>
      <c r="U36" s="313" t="s">
        <v>217</v>
      </c>
      <c r="V36" s="313" t="s">
        <v>217</v>
      </c>
      <c r="W36" s="313" t="s">
        <v>217</v>
      </c>
    </row>
    <row r="37" s="313" customFormat="1" ht="26.25" customHeight="1">
      <c r="A37" s="313" t="s">
        <v>45</v>
      </c>
      <c r="B37" s="313" t="s">
        <v>88</v>
      </c>
      <c r="C37" s="313" t="n">
        <v>5230722</v>
      </c>
      <c r="D37" s="313" t="s">
        <v>233</v>
      </c>
      <c r="E37" s="313" t="s">
        <v>283</v>
      </c>
      <c r="F37" s="313" t="s">
        <v>1322</v>
      </c>
      <c r="G37" s="313" t="s">
        <v>47</v>
      </c>
      <c r="H37" s="313" t="s">
        <v>31</v>
      </c>
      <c r="I37" s="313" t="s">
        <v>58</v>
      </c>
      <c r="J37" s="313" t="s">
        <v>50</v>
      </c>
      <c r="L37" s="313" t="s">
        <v>1402</v>
      </c>
      <c r="M37" s="313" t="s">
        <v>3102</v>
      </c>
      <c r="O37" s="313" t="s">
        <v>3103</v>
      </c>
      <c r="P37" s="313" t="s">
        <v>3104</v>
      </c>
      <c r="T37" s="313" t="s">
        <v>217</v>
      </c>
      <c r="U37" s="313" t="s">
        <v>217</v>
      </c>
      <c r="V37" s="313" t="s">
        <v>217</v>
      </c>
      <c r="W37" s="313" t="s">
        <v>217</v>
      </c>
    </row>
    <row r="38" s="313" customFormat="1" ht="26.25" customHeight="1">
      <c r="A38" s="313" t="s">
        <v>45</v>
      </c>
      <c r="B38" s="313" t="s">
        <v>88</v>
      </c>
      <c r="C38" s="313" t="n">
        <v>5230722</v>
      </c>
      <c r="D38" s="313" t="s">
        <v>233</v>
      </c>
      <c r="E38" s="313" t="s">
        <v>283</v>
      </c>
      <c r="F38" s="313" t="s">
        <v>1314</v>
      </c>
      <c r="G38" s="313" t="s">
        <v>47</v>
      </c>
      <c r="H38" s="313" t="s">
        <v>31</v>
      </c>
      <c r="I38" s="313" t="s">
        <v>58</v>
      </c>
      <c r="J38" s="313" t="s">
        <v>48</v>
      </c>
      <c r="O38" s="313" t="s">
        <v>3105</v>
      </c>
      <c r="Q38" s="313" t="n">
        <v>25</v>
      </c>
      <c r="T38" s="313" t="s">
        <v>217</v>
      </c>
      <c r="U38" s="313" t="s">
        <v>217</v>
      </c>
      <c r="V38" s="313" t="s">
        <v>217</v>
      </c>
      <c r="W38" s="313" t="s">
        <v>217</v>
      </c>
      <c r="Y38" s="313" t="s">
        <v>217</v>
      </c>
    </row>
    <row r="39" s="313" customFormat="1" ht="26.25" customHeight="1">
      <c r="A39" s="313" t="s">
        <v>45</v>
      </c>
      <c r="B39" s="313" t="s">
        <v>88</v>
      </c>
      <c r="C39" s="313" t="n">
        <v>5230722</v>
      </c>
      <c r="D39" s="313" t="s">
        <v>233</v>
      </c>
      <c r="E39" s="313" t="s">
        <v>283</v>
      </c>
      <c r="F39" s="313" t="s">
        <v>1297</v>
      </c>
      <c r="G39" s="313" t="s">
        <v>47</v>
      </c>
      <c r="H39" s="313" t="s">
        <v>31</v>
      </c>
      <c r="I39" s="313" t="s">
        <v>58</v>
      </c>
      <c r="J39" s="313" t="s">
        <v>46</v>
      </c>
      <c r="L39" s="313" t="s">
        <v>3106</v>
      </c>
      <c r="N39" s="313" t="s">
        <v>3107</v>
      </c>
      <c r="O39" s="313" t="s">
        <v>3108</v>
      </c>
      <c r="P39" s="313" t="s">
        <v>2813</v>
      </c>
      <c r="Q39" s="313" t="n">
        <v>23</v>
      </c>
      <c r="T39" s="313" t="s">
        <v>217</v>
      </c>
      <c r="U39" s="313" t="s">
        <v>217</v>
      </c>
      <c r="V39" s="313" t="s">
        <v>217</v>
      </c>
      <c r="W39" s="313" t="s">
        <v>217</v>
      </c>
      <c r="Y39" s="313" t="s">
        <v>217</v>
      </c>
    </row>
    <row r="40" s="313" customFormat="1" ht="26.25" customHeight="1">
      <c r="A40" s="313" t="s">
        <v>45</v>
      </c>
      <c r="B40" s="313" t="s">
        <v>88</v>
      </c>
      <c r="C40" s="313" t="n">
        <v>5230722</v>
      </c>
      <c r="D40" s="313" t="s">
        <v>233</v>
      </c>
      <c r="E40" s="313" t="s">
        <v>283</v>
      </c>
      <c r="F40" s="313" t="s">
        <v>1338</v>
      </c>
      <c r="G40" s="313" t="s">
        <v>47</v>
      </c>
      <c r="H40" s="313" t="s">
        <v>31</v>
      </c>
      <c r="I40" s="313" t="s">
        <v>58</v>
      </c>
      <c r="J40" s="313" t="s">
        <v>57</v>
      </c>
      <c r="L40" s="313" t="s">
        <v>3109</v>
      </c>
      <c r="M40" s="313" t="s">
        <v>3110</v>
      </c>
      <c r="N40" s="313" t="s">
        <v>3111</v>
      </c>
      <c r="O40" s="313" t="s">
        <v>3112</v>
      </c>
      <c r="P40" s="313" t="s">
        <v>3113</v>
      </c>
      <c r="Q40" s="313" t="n">
        <v>79</v>
      </c>
      <c r="T40" s="313" t="s">
        <v>217</v>
      </c>
      <c r="U40" s="313" t="s">
        <v>217</v>
      </c>
      <c r="V40" s="313" t="s">
        <v>217</v>
      </c>
      <c r="W40" s="313" t="s">
        <v>217</v>
      </c>
      <c r="Y40" s="313" t="s">
        <v>217</v>
      </c>
    </row>
    <row r="41" s="313" customFormat="1" ht="26.25" customHeight="1">
      <c r="A41" s="313" t="s">
        <v>45</v>
      </c>
      <c r="B41" s="313" t="s">
        <v>88</v>
      </c>
      <c r="C41" s="313" t="n">
        <v>5230722</v>
      </c>
      <c r="D41" s="313" t="s">
        <v>233</v>
      </c>
      <c r="E41" s="313" t="s">
        <v>283</v>
      </c>
      <c r="F41" s="313" t="s">
        <v>1280</v>
      </c>
      <c r="G41" s="313" t="s">
        <v>47</v>
      </c>
      <c r="H41" s="313" t="s">
        <v>31</v>
      </c>
      <c r="I41" s="313" t="s">
        <v>58</v>
      </c>
      <c r="J41" s="313" t="s">
        <v>1266</v>
      </c>
      <c r="M41" s="313" t="s">
        <v>3114</v>
      </c>
      <c r="N41" s="313" t="s">
        <v>3115</v>
      </c>
      <c r="O41" s="313" t="s">
        <v>3116</v>
      </c>
      <c r="P41" s="313" t="s">
        <v>28</v>
      </c>
      <c r="T41" s="313" t="s">
        <v>217</v>
      </c>
      <c r="U41" s="313" t="s">
        <v>217</v>
      </c>
      <c r="V41" s="313" t="s">
        <v>217</v>
      </c>
      <c r="W41" s="313" t="s">
        <v>217</v>
      </c>
    </row>
    <row r="42" s="313" customFormat="1" ht="26.25" customHeight="1">
      <c r="A42" s="313" t="s">
        <v>45</v>
      </c>
      <c r="B42" s="313" t="s">
        <v>88</v>
      </c>
      <c r="C42" s="313" t="n">
        <v>5230722</v>
      </c>
      <c r="D42" s="313" t="s">
        <v>233</v>
      </c>
      <c r="E42" s="313" t="s">
        <v>283</v>
      </c>
      <c r="F42" s="313" t="s">
        <v>869</v>
      </c>
      <c r="G42" s="313" t="s">
        <v>47</v>
      </c>
      <c r="H42" s="313" t="s">
        <v>31</v>
      </c>
      <c r="I42" s="313" t="s">
        <v>58</v>
      </c>
      <c r="J42" s="313" t="s">
        <v>46</v>
      </c>
      <c r="L42" s="313" t="s">
        <v>2438</v>
      </c>
      <c r="O42" s="313" t="s">
        <v>3117</v>
      </c>
      <c r="Q42" s="313" t="n">
        <v>36</v>
      </c>
      <c r="T42" s="313" t="s">
        <v>217</v>
      </c>
      <c r="U42" s="313" t="s">
        <v>218</v>
      </c>
      <c r="V42" s="313" t="s">
        <v>217</v>
      </c>
      <c r="W42" s="313" t="s">
        <v>217</v>
      </c>
      <c r="Y42" s="313" t="s">
        <v>217</v>
      </c>
    </row>
    <row r="43" s="313" customFormat="1" ht="26.25" customHeight="1">
      <c r="A43" s="313" t="s">
        <v>45</v>
      </c>
      <c r="B43" s="313" t="s">
        <v>88</v>
      </c>
      <c r="C43" s="313" t="n">
        <v>5230722</v>
      </c>
      <c r="D43" s="313" t="s">
        <v>233</v>
      </c>
      <c r="E43" s="313" t="s">
        <v>283</v>
      </c>
      <c r="F43" s="313" t="s">
        <v>1051</v>
      </c>
      <c r="G43" s="313" t="s">
        <v>47</v>
      </c>
      <c r="H43" s="313" t="s">
        <v>31</v>
      </c>
      <c r="I43" s="313" t="s">
        <v>52</v>
      </c>
      <c r="J43" s="313" t="s">
        <v>40</v>
      </c>
      <c r="K43" s="313" t="s">
        <v>2468</v>
      </c>
      <c r="L43" s="987" t="s">
        <v>2548</v>
      </c>
      <c r="O43" s="313" t="s">
        <v>3118</v>
      </c>
      <c r="T43" s="313" t="s">
        <v>217</v>
      </c>
      <c r="U43" s="313" t="s">
        <v>217</v>
      </c>
      <c r="V43" s="313" t="s">
        <v>217</v>
      </c>
      <c r="W43" s="313" t="s">
        <v>217</v>
      </c>
    </row>
    <row r="44" s="313" customFormat="1" ht="26.25" customHeight="1">
      <c r="A44" s="313" t="s">
        <v>45</v>
      </c>
      <c r="B44" s="313" t="s">
        <v>100</v>
      </c>
      <c r="C44" s="313" t="n">
        <v>5230809</v>
      </c>
      <c r="D44" s="313" t="s">
        <v>215</v>
      </c>
      <c r="E44" s="313" t="s">
        <v>283</v>
      </c>
      <c r="F44" s="313" t="s">
        <v>1152</v>
      </c>
      <c r="G44" s="313" t="s">
        <v>47</v>
      </c>
      <c r="H44" s="313" t="s">
        <v>31</v>
      </c>
      <c r="I44" s="313" t="s">
        <v>58</v>
      </c>
      <c r="J44" s="313" t="s">
        <v>48</v>
      </c>
      <c r="N44" s="313" t="s">
        <v>3119</v>
      </c>
      <c r="O44" s="313" t="s">
        <v>3120</v>
      </c>
      <c r="P44" s="313" t="s">
        <v>3121</v>
      </c>
      <c r="T44" s="313" t="s">
        <v>217</v>
      </c>
      <c r="U44" s="313" t="s">
        <v>217</v>
      </c>
      <c r="V44" s="313" t="s">
        <v>217</v>
      </c>
      <c r="W44" s="313" t="s">
        <v>217</v>
      </c>
      <c r="Y44" s="313" t="s">
        <v>217</v>
      </c>
    </row>
    <row r="45" s="313" customFormat="1" ht="26.25" customHeight="1">
      <c r="A45" s="313" t="s">
        <v>45</v>
      </c>
      <c r="B45" s="313" t="s">
        <v>88</v>
      </c>
      <c r="C45" s="313" t="n">
        <v>5230722</v>
      </c>
      <c r="D45" s="313" t="s">
        <v>233</v>
      </c>
      <c r="E45" s="313" t="s">
        <v>283</v>
      </c>
      <c r="F45" s="313" t="s">
        <v>1326</v>
      </c>
      <c r="G45" s="313" t="s">
        <v>47</v>
      </c>
      <c r="H45" s="313" t="s">
        <v>31</v>
      </c>
      <c r="I45" s="313" t="s">
        <v>58</v>
      </c>
      <c r="J45" s="313" t="s">
        <v>50</v>
      </c>
      <c r="M45" s="313" t="s">
        <v>3122</v>
      </c>
      <c r="N45" s="313" t="s">
        <v>3123</v>
      </c>
      <c r="O45" s="313" t="s">
        <v>3124</v>
      </c>
      <c r="P45" s="313" t="s">
        <v>3125</v>
      </c>
      <c r="T45" s="313" t="s">
        <v>217</v>
      </c>
      <c r="U45" s="313" t="s">
        <v>217</v>
      </c>
      <c r="V45" s="313" t="s">
        <v>217</v>
      </c>
      <c r="W45" s="313" t="s">
        <v>217</v>
      </c>
    </row>
    <row r="46" s="313" customFormat="1" ht="26.25" customHeight="1">
      <c r="A46" s="313" t="s">
        <v>45</v>
      </c>
      <c r="B46" s="313" t="s">
        <v>88</v>
      </c>
      <c r="C46" s="313" t="n">
        <v>5230722</v>
      </c>
      <c r="D46" s="313" t="s">
        <v>233</v>
      </c>
      <c r="E46" s="313" t="s">
        <v>283</v>
      </c>
      <c r="F46" s="313" t="s">
        <v>1169</v>
      </c>
      <c r="G46" s="313" t="s">
        <v>47</v>
      </c>
      <c r="H46" s="313" t="s">
        <v>31</v>
      </c>
      <c r="I46" s="313" t="s">
        <v>58</v>
      </c>
      <c r="J46" s="313" t="s">
        <v>48</v>
      </c>
      <c r="M46" s="313" t="s">
        <v>3126</v>
      </c>
      <c r="N46" s="313" t="s">
        <v>3127</v>
      </c>
      <c r="O46" s="313" t="s">
        <v>3128</v>
      </c>
      <c r="P46" s="313" t="s">
        <v>3025</v>
      </c>
      <c r="T46" s="313" t="s">
        <v>217</v>
      </c>
      <c r="U46" s="313" t="s">
        <v>217</v>
      </c>
      <c r="V46" s="313" t="s">
        <v>217</v>
      </c>
      <c r="W46" s="313" t="s">
        <v>217</v>
      </c>
      <c r="Y46" s="313" t="s">
        <v>217</v>
      </c>
    </row>
    <row r="47" s="313" customFormat="1" ht="26.25" customHeight="1">
      <c r="A47" s="313" t="s">
        <v>85</v>
      </c>
      <c r="B47" s="313" t="s">
        <v>65</v>
      </c>
      <c r="C47" s="313" t="n">
        <v>3132834</v>
      </c>
      <c r="D47" s="313" t="s">
        <v>246</v>
      </c>
      <c r="E47" s="313" t="s">
        <v>283</v>
      </c>
      <c r="F47" s="313" t="s">
        <v>1209</v>
      </c>
      <c r="G47" s="313" t="s">
        <v>47</v>
      </c>
      <c r="H47" s="313" t="s">
        <v>31</v>
      </c>
      <c r="I47" s="313" t="s">
        <v>52</v>
      </c>
      <c r="J47" s="313" t="s">
        <v>38</v>
      </c>
      <c r="M47" s="313" t="s">
        <v>3052</v>
      </c>
      <c r="N47" s="313" t="s">
        <v>2491</v>
      </c>
      <c r="O47" s="313" t="s">
        <v>3129</v>
      </c>
      <c r="T47" s="313" t="s">
        <v>217</v>
      </c>
      <c r="U47" s="313" t="s">
        <v>217</v>
      </c>
    </row>
    <row r="48" s="313" customFormat="1" ht="26.25" customHeight="1">
      <c r="A48" s="313" t="s">
        <v>85</v>
      </c>
      <c r="B48" s="313" t="s">
        <v>101</v>
      </c>
      <c r="C48" s="313" t="n">
        <v>5230739</v>
      </c>
      <c r="D48" s="313" t="s">
        <v>215</v>
      </c>
      <c r="E48" s="313" t="s">
        <v>283</v>
      </c>
      <c r="F48" s="313" t="s">
        <v>1041</v>
      </c>
      <c r="G48" s="313" t="s">
        <v>47</v>
      </c>
      <c r="H48" s="313" t="s">
        <v>39</v>
      </c>
      <c r="I48" s="313" t="s">
        <v>52</v>
      </c>
      <c r="J48" s="313" t="s">
        <v>38</v>
      </c>
    </row>
    <row r="49" s="313" customFormat="1" ht="26.25" customHeight="1">
      <c r="A49" s="313" t="s">
        <v>85</v>
      </c>
      <c r="B49" s="313" t="s">
        <v>100</v>
      </c>
      <c r="C49" s="313" t="n">
        <v>3132810</v>
      </c>
      <c r="D49" s="313" t="s">
        <v>233</v>
      </c>
      <c r="E49" s="313" t="s">
        <v>283</v>
      </c>
      <c r="F49" s="313" t="s">
        <v>496</v>
      </c>
      <c r="G49" s="313" t="s">
        <v>47</v>
      </c>
      <c r="H49" s="313" t="s">
        <v>39</v>
      </c>
      <c r="I49" s="313" t="s">
        <v>52</v>
      </c>
      <c r="J49" s="313" t="s">
        <v>34</v>
      </c>
      <c r="O49" s="313" t="s">
        <v>3130</v>
      </c>
      <c r="Q49" s="313" t="n">
        <v>31</v>
      </c>
      <c r="T49" s="313" t="s">
        <v>217</v>
      </c>
      <c r="U49" s="313" t="s">
        <v>217</v>
      </c>
    </row>
    <row r="50" s="313" customFormat="1" ht="26.25" customHeight="1">
      <c r="A50" s="313" t="s">
        <v>85</v>
      </c>
      <c r="B50" s="313" t="s">
        <v>65</v>
      </c>
      <c r="C50" s="313" t="n">
        <v>3132834</v>
      </c>
      <c r="D50" s="313" t="s">
        <v>246</v>
      </c>
      <c r="E50" s="313" t="s">
        <v>283</v>
      </c>
      <c r="F50" s="313" t="s">
        <v>557</v>
      </c>
      <c r="G50" s="313" t="s">
        <v>47</v>
      </c>
      <c r="H50" s="313" t="s">
        <v>31</v>
      </c>
      <c r="I50" s="313" t="s">
        <v>52</v>
      </c>
      <c r="J50" s="313" t="s">
        <v>34</v>
      </c>
      <c r="N50" s="313" t="s">
        <v>3131</v>
      </c>
      <c r="P50" s="313" t="s">
        <v>3132</v>
      </c>
      <c r="Q50" s="313" t="n">
        <v>40</v>
      </c>
      <c r="T50" s="313" t="s">
        <v>217</v>
      </c>
      <c r="U50" s="313" t="s">
        <v>217</v>
      </c>
    </row>
    <row r="51" s="313" customFormat="1" ht="26.25" customHeight="1">
      <c r="A51" s="313" t="s">
        <v>85</v>
      </c>
      <c r="B51" s="313" t="s">
        <v>65</v>
      </c>
      <c r="C51" s="313" t="n">
        <v>3132834</v>
      </c>
      <c r="D51" s="313" t="s">
        <v>246</v>
      </c>
      <c r="E51" s="313" t="s">
        <v>283</v>
      </c>
      <c r="F51" s="313" t="s">
        <v>909</v>
      </c>
      <c r="G51" s="313" t="s">
        <v>47</v>
      </c>
      <c r="H51" s="313" t="s">
        <v>31</v>
      </c>
      <c r="I51" s="313" t="s">
        <v>52</v>
      </c>
      <c r="J51" s="313" t="s">
        <v>38</v>
      </c>
      <c r="Q51" s="313" t="n">
        <v>0</v>
      </c>
      <c r="T51" s="313" t="s">
        <v>217</v>
      </c>
    </row>
    <row r="52" s="313" customFormat="1" ht="26.25" customHeight="1">
      <c r="A52" s="313" t="s">
        <v>85</v>
      </c>
      <c r="B52" s="313" t="s">
        <v>65</v>
      </c>
      <c r="C52" s="313" t="n">
        <v>3132834</v>
      </c>
      <c r="D52" s="313" t="s">
        <v>246</v>
      </c>
      <c r="E52" s="313" t="s">
        <v>283</v>
      </c>
      <c r="F52" s="313" t="s">
        <v>650</v>
      </c>
      <c r="G52" s="313" t="s">
        <v>47</v>
      </c>
      <c r="H52" s="313" t="s">
        <v>31</v>
      </c>
      <c r="I52" s="313" t="s">
        <v>52</v>
      </c>
      <c r="J52" s="313" t="s">
        <v>38</v>
      </c>
      <c r="M52" s="313" t="s">
        <v>3133</v>
      </c>
      <c r="N52" s="313" t="s">
        <v>3134</v>
      </c>
      <c r="O52" s="313" t="s">
        <v>3135</v>
      </c>
      <c r="P52" s="313" t="s">
        <v>2813</v>
      </c>
      <c r="Q52" s="313" t="n">
        <v>32</v>
      </c>
      <c r="T52" s="313" t="s">
        <v>217</v>
      </c>
      <c r="U52" s="313" t="s">
        <v>217</v>
      </c>
    </row>
    <row r="53" s="313" customFormat="1" ht="26.25" customHeight="1">
      <c r="A53" s="313" t="s">
        <v>85</v>
      </c>
      <c r="B53" s="313" t="s">
        <v>65</v>
      </c>
      <c r="C53" s="313" t="n">
        <v>3132834</v>
      </c>
      <c r="D53" s="313" t="s">
        <v>246</v>
      </c>
      <c r="E53" s="313" t="s">
        <v>283</v>
      </c>
      <c r="F53" s="313" t="s">
        <v>451</v>
      </c>
      <c r="G53" s="313" t="s">
        <v>47</v>
      </c>
      <c r="H53" s="313" t="s">
        <v>31</v>
      </c>
      <c r="I53" s="313" t="s">
        <v>52</v>
      </c>
      <c r="J53" s="313" t="s">
        <v>34</v>
      </c>
      <c r="P53" s="313" t="s">
        <v>3136</v>
      </c>
      <c r="T53" s="313" t="s">
        <v>217</v>
      </c>
    </row>
    <row r="54" s="313" customFormat="1" ht="26.25" customHeight="1">
      <c r="A54" s="313" t="s">
        <v>85</v>
      </c>
      <c r="B54" s="313" t="s">
        <v>65</v>
      </c>
      <c r="C54" s="313" t="n">
        <v>3132834</v>
      </c>
      <c r="D54" s="313" t="s">
        <v>246</v>
      </c>
      <c r="E54" s="313" t="s">
        <v>283</v>
      </c>
      <c r="F54" s="313" t="s">
        <v>1196</v>
      </c>
      <c r="G54" s="313" t="s">
        <v>47</v>
      </c>
      <c r="H54" s="313" t="s">
        <v>31</v>
      </c>
      <c r="I54" s="313" t="s">
        <v>52</v>
      </c>
      <c r="J54" s="313" t="s">
        <v>38</v>
      </c>
      <c r="O54" s="313" t="s">
        <v>3137</v>
      </c>
      <c r="T54" s="313" t="s">
        <v>217</v>
      </c>
      <c r="U54" s="313" t="s">
        <v>217</v>
      </c>
    </row>
    <row r="55" s="313" customFormat="1" ht="26.25" customHeight="1">
      <c r="A55" s="313" t="s">
        <v>85</v>
      </c>
      <c r="B55" s="313" t="s">
        <v>65</v>
      </c>
      <c r="C55" s="313" t="n">
        <v>3132834</v>
      </c>
      <c r="D55" s="313" t="s">
        <v>246</v>
      </c>
      <c r="E55" s="313" t="s">
        <v>283</v>
      </c>
      <c r="F55" s="313" t="s">
        <v>1198</v>
      </c>
      <c r="G55" s="313" t="s">
        <v>47</v>
      </c>
      <c r="H55" s="313" t="s">
        <v>31</v>
      </c>
      <c r="I55" s="313" t="s">
        <v>52</v>
      </c>
      <c r="J55" s="313" t="s">
        <v>38</v>
      </c>
      <c r="O55" s="313" t="s">
        <v>3138</v>
      </c>
      <c r="T55" s="313" t="s">
        <v>217</v>
      </c>
      <c r="U55" s="313" t="s">
        <v>217</v>
      </c>
    </row>
    <row r="56" s="313" customFormat="1" ht="26.25" customHeight="1">
      <c r="A56" s="313" t="s">
        <v>85</v>
      </c>
      <c r="B56" s="313" t="s">
        <v>100</v>
      </c>
      <c r="C56" s="313" t="n">
        <v>3132810</v>
      </c>
      <c r="D56" s="313" t="s">
        <v>233</v>
      </c>
      <c r="E56" s="313" t="s">
        <v>283</v>
      </c>
      <c r="F56" s="313" t="s">
        <v>1301</v>
      </c>
      <c r="G56" s="313" t="s">
        <v>47</v>
      </c>
      <c r="H56" s="313" t="s">
        <v>39</v>
      </c>
      <c r="I56" s="313" t="s">
        <v>52</v>
      </c>
      <c r="J56" s="313" t="s">
        <v>38</v>
      </c>
      <c r="M56" s="313" t="s">
        <v>3139</v>
      </c>
      <c r="N56" s="313" t="s">
        <v>3140</v>
      </c>
      <c r="O56" s="313" t="s">
        <v>3141</v>
      </c>
      <c r="P56" s="313" t="s">
        <v>3048</v>
      </c>
      <c r="Q56" s="313" t="n">
        <v>63</v>
      </c>
      <c r="T56" s="313" t="s">
        <v>217</v>
      </c>
      <c r="U56" s="313" t="s">
        <v>217</v>
      </c>
    </row>
    <row r="57" s="313" customFormat="1" ht="26.25" customHeight="1">
      <c r="A57" s="313" t="s">
        <v>85</v>
      </c>
      <c r="B57" s="313" t="s">
        <v>101</v>
      </c>
      <c r="C57" s="313" t="n">
        <v>5230739</v>
      </c>
      <c r="D57" s="313" t="s">
        <v>215</v>
      </c>
      <c r="E57" s="313" t="s">
        <v>283</v>
      </c>
      <c r="F57" s="313" t="s">
        <v>1167</v>
      </c>
      <c r="G57" s="313" t="s">
        <v>47</v>
      </c>
      <c r="H57" s="313" t="s">
        <v>39</v>
      </c>
      <c r="I57" s="313" t="s">
        <v>52</v>
      </c>
      <c r="J57" s="313" t="s">
        <v>38</v>
      </c>
      <c r="M57" s="313" t="s">
        <v>3142</v>
      </c>
      <c r="N57" s="313" t="s">
        <v>3143</v>
      </c>
      <c r="O57" s="313" t="s">
        <v>3144</v>
      </c>
      <c r="P57" s="313" t="s">
        <v>2453</v>
      </c>
      <c r="T57" s="313" t="s">
        <v>217</v>
      </c>
      <c r="U57" s="313" t="s">
        <v>217</v>
      </c>
    </row>
    <row r="58" s="313" customFormat="1" ht="26.25" customHeight="1">
      <c r="A58" s="313" t="s">
        <v>85</v>
      </c>
      <c r="B58" s="313" t="s">
        <v>100</v>
      </c>
      <c r="C58" s="313" t="n">
        <v>3132810</v>
      </c>
      <c r="D58" s="313" t="s">
        <v>233</v>
      </c>
      <c r="E58" s="313" t="s">
        <v>283</v>
      </c>
      <c r="F58" s="313" t="s">
        <v>1154</v>
      </c>
      <c r="G58" s="313" t="s">
        <v>47</v>
      </c>
      <c r="J58" s="313" t="s">
        <v>34</v>
      </c>
      <c r="M58" s="313" t="s">
        <v>3145</v>
      </c>
      <c r="N58" s="313" t="s">
        <v>3146</v>
      </c>
      <c r="O58" s="313" t="s">
        <v>3147</v>
      </c>
      <c r="P58" s="313" t="s">
        <v>3025</v>
      </c>
      <c r="T58" s="313" t="s">
        <v>217</v>
      </c>
      <c r="U58" s="313" t="s">
        <v>217</v>
      </c>
    </row>
    <row r="59" s="313" customFormat="1" ht="26.25" customHeight="1">
      <c r="A59" s="313" t="s">
        <v>85</v>
      </c>
      <c r="B59" s="313" t="s">
        <v>101</v>
      </c>
      <c r="C59" s="313" t="n">
        <v>5230739</v>
      </c>
      <c r="D59" s="313" t="s">
        <v>215</v>
      </c>
      <c r="E59" s="313" t="s">
        <v>283</v>
      </c>
      <c r="F59" s="313" t="s">
        <v>1137</v>
      </c>
      <c r="G59" s="313" t="s">
        <v>47</v>
      </c>
      <c r="H59" s="313" t="s">
        <v>39</v>
      </c>
      <c r="I59" s="313" t="s">
        <v>52</v>
      </c>
      <c r="J59" s="313" t="s">
        <v>38</v>
      </c>
      <c r="M59" s="313" t="s">
        <v>3148</v>
      </c>
      <c r="N59" s="313" t="s">
        <v>3149</v>
      </c>
      <c r="O59" s="313" t="s">
        <v>3150</v>
      </c>
      <c r="P59" s="313" t="s">
        <v>3151</v>
      </c>
      <c r="Q59" s="313" t="n">
        <v>31</v>
      </c>
      <c r="T59" s="313" t="s">
        <v>217</v>
      </c>
      <c r="U59" s="313" t="s">
        <v>217</v>
      </c>
    </row>
    <row r="60" s="313" customFormat="1" ht="26.25" customHeight="1">
      <c r="A60" s="313" t="s">
        <v>54</v>
      </c>
      <c r="B60" s="313" t="s">
        <v>65</v>
      </c>
      <c r="C60" s="313" t="n">
        <v>5170706</v>
      </c>
      <c r="D60" s="313" t="s">
        <v>216</v>
      </c>
      <c r="E60" s="313" t="s">
        <v>283</v>
      </c>
      <c r="F60" s="313" t="s">
        <v>598</v>
      </c>
      <c r="G60" s="313" t="s">
        <v>47</v>
      </c>
      <c r="H60" s="313" t="s">
        <v>35</v>
      </c>
      <c r="I60" s="313" t="s">
        <v>56</v>
      </c>
      <c r="J60" s="313" t="s">
        <v>57</v>
      </c>
      <c r="N60" s="313" t="s">
        <v>2491</v>
      </c>
      <c r="O60" s="313" t="s">
        <v>1189</v>
      </c>
      <c r="T60" s="313" t="s">
        <v>217</v>
      </c>
      <c r="U60" s="313" t="s">
        <v>217</v>
      </c>
    </row>
    <row r="61" s="313" customFormat="1" ht="26.25" customHeight="1">
      <c r="A61" s="313" t="s">
        <v>54</v>
      </c>
      <c r="B61" s="313" t="s">
        <v>65</v>
      </c>
      <c r="C61" s="313" t="n">
        <v>5170706</v>
      </c>
      <c r="D61" s="313" t="s">
        <v>216</v>
      </c>
      <c r="E61" s="313" t="s">
        <v>283</v>
      </c>
      <c r="F61" s="313" t="s">
        <v>552</v>
      </c>
      <c r="G61" s="313" t="s">
        <v>47</v>
      </c>
      <c r="H61" s="313" t="s">
        <v>35</v>
      </c>
      <c r="I61" s="313" t="s">
        <v>56</v>
      </c>
      <c r="J61" s="313" t="s">
        <v>55</v>
      </c>
      <c r="M61" s="313" t="s">
        <v>3013</v>
      </c>
      <c r="N61" s="313" t="s">
        <v>3152</v>
      </c>
      <c r="O61" s="313" t="s">
        <v>3153</v>
      </c>
      <c r="P61" s="313" t="s">
        <v>2813</v>
      </c>
      <c r="T61" s="313" t="s">
        <v>217</v>
      </c>
      <c r="U61" s="313" t="s">
        <v>217</v>
      </c>
    </row>
    <row r="62" s="313" customFormat="1" ht="26.25" customHeight="1">
      <c r="A62" s="313" t="s">
        <v>54</v>
      </c>
      <c r="B62" s="313" t="s">
        <v>65</v>
      </c>
      <c r="C62" s="313" t="n">
        <v>5170706</v>
      </c>
      <c r="D62" s="313" t="s">
        <v>216</v>
      </c>
      <c r="E62" s="313" t="s">
        <v>283</v>
      </c>
      <c r="F62" s="313" t="s">
        <v>569</v>
      </c>
      <c r="G62" s="313" t="s">
        <v>47</v>
      </c>
      <c r="H62" s="313" t="s">
        <v>35</v>
      </c>
      <c r="I62" s="313" t="s">
        <v>56</v>
      </c>
      <c r="J62" s="313" t="s">
        <v>59</v>
      </c>
      <c r="M62" s="313" t="s">
        <v>3154</v>
      </c>
      <c r="N62" s="313" t="s">
        <v>3155</v>
      </c>
      <c r="P62" s="313" t="s">
        <v>27</v>
      </c>
      <c r="Q62" s="313" t="n">
        <v>34</v>
      </c>
      <c r="T62" s="313" t="s">
        <v>217</v>
      </c>
      <c r="U62" s="313" t="s">
        <v>217</v>
      </c>
    </row>
    <row r="63" s="313" customFormat="1" ht="26.25" customHeight="1">
      <c r="A63" s="313" t="s">
        <v>54</v>
      </c>
      <c r="B63" s="313" t="s">
        <v>65</v>
      </c>
      <c r="C63" s="313" t="n">
        <v>5170706</v>
      </c>
      <c r="D63" s="313" t="s">
        <v>216</v>
      </c>
      <c r="E63" s="313" t="s">
        <v>283</v>
      </c>
      <c r="F63" s="313" t="s">
        <v>438</v>
      </c>
      <c r="G63" s="313" t="s">
        <v>47</v>
      </c>
      <c r="J63" s="313" t="s">
        <v>57</v>
      </c>
      <c r="T63" s="313" t="s">
        <v>217</v>
      </c>
    </row>
    <row r="64" s="313" customFormat="1" ht="26.25" customHeight="1">
      <c r="A64" s="313" t="s">
        <v>54</v>
      </c>
      <c r="B64" s="313" t="s">
        <v>65</v>
      </c>
      <c r="C64" s="313" t="n">
        <v>5170706</v>
      </c>
      <c r="D64" s="313" t="s">
        <v>216</v>
      </c>
      <c r="E64" s="313" t="s">
        <v>283</v>
      </c>
      <c r="F64" s="313" t="s">
        <v>2586</v>
      </c>
      <c r="G64" s="313" t="s">
        <v>47</v>
      </c>
      <c r="H64" s="313" t="s">
        <v>35</v>
      </c>
      <c r="J64" s="313" t="s">
        <v>57</v>
      </c>
      <c r="O64" s="313" t="s">
        <v>3156</v>
      </c>
      <c r="T64" s="313" t="s">
        <v>217</v>
      </c>
      <c r="U64" s="313" t="s">
        <v>217</v>
      </c>
    </row>
    <row r="65" s="313" customFormat="1" ht="26.25" customHeight="1">
      <c r="A65" s="313" t="s">
        <v>54</v>
      </c>
      <c r="B65" s="313" t="s">
        <v>65</v>
      </c>
      <c r="C65" s="313" t="n">
        <v>5170706</v>
      </c>
      <c r="D65" s="313" t="s">
        <v>216</v>
      </c>
      <c r="E65" s="313" t="s">
        <v>283</v>
      </c>
      <c r="F65" s="313" t="s">
        <v>803</v>
      </c>
      <c r="G65" s="313" t="s">
        <v>47</v>
      </c>
      <c r="I65" s="313" t="s">
        <v>56</v>
      </c>
      <c r="J65" s="313" t="s">
        <v>36</v>
      </c>
      <c r="M65" s="313" t="s">
        <v>3157</v>
      </c>
      <c r="N65" s="313" t="s">
        <v>3158</v>
      </c>
      <c r="P65" s="313" t="s">
        <v>3058</v>
      </c>
      <c r="Q65" s="313" t="n">
        <v>28</v>
      </c>
      <c r="T65" s="313" t="s">
        <v>217</v>
      </c>
      <c r="U65" s="313" t="s">
        <v>217</v>
      </c>
    </row>
    <row r="66" s="313" customFormat="1" ht="26.25" customHeight="1">
      <c r="A66" s="313" t="s">
        <v>54</v>
      </c>
      <c r="B66" s="313" t="s">
        <v>65</v>
      </c>
      <c r="C66" s="313" t="n">
        <v>5170706</v>
      </c>
      <c r="D66" s="313" t="s">
        <v>216</v>
      </c>
      <c r="E66" s="313" t="s">
        <v>283</v>
      </c>
      <c r="F66" s="313" t="s">
        <v>727</v>
      </c>
      <c r="G66" s="313" t="s">
        <v>47</v>
      </c>
      <c r="H66" s="313" t="s">
        <v>35</v>
      </c>
      <c r="I66" s="313" t="s">
        <v>56</v>
      </c>
      <c r="J66" s="313" t="s">
        <v>59</v>
      </c>
      <c r="M66" s="313" t="s">
        <v>3159</v>
      </c>
      <c r="N66" s="313" t="s">
        <v>3160</v>
      </c>
      <c r="O66" s="313" t="s">
        <v>3161</v>
      </c>
      <c r="P66" s="313" t="s">
        <v>3162</v>
      </c>
      <c r="T66" s="313" t="s">
        <v>217</v>
      </c>
      <c r="U66" s="313" t="s">
        <v>217</v>
      </c>
      <c r="Y66" s="313" t="s">
        <v>217</v>
      </c>
    </row>
    <row r="67" s="313" customFormat="1" ht="26.25" customHeight="1">
      <c r="A67" s="313" t="s">
        <v>54</v>
      </c>
      <c r="B67" s="313" t="s">
        <v>65</v>
      </c>
      <c r="C67" s="313" t="n">
        <v>5170706</v>
      </c>
      <c r="D67" s="313" t="s">
        <v>216</v>
      </c>
      <c r="E67" s="313" t="s">
        <v>283</v>
      </c>
      <c r="F67" s="313" t="s">
        <v>396</v>
      </c>
      <c r="G67" s="313" t="s">
        <v>47</v>
      </c>
      <c r="J67" s="313" t="s">
        <v>59</v>
      </c>
      <c r="T67" s="313" t="s">
        <v>217</v>
      </c>
    </row>
    <row r="68" s="313" customFormat="1" ht="26.25" customHeight="1">
      <c r="A68" s="313" t="s">
        <v>54</v>
      </c>
      <c r="B68" s="313" t="s">
        <v>65</v>
      </c>
      <c r="C68" s="313" t="n">
        <v>5170706</v>
      </c>
      <c r="D68" s="313" t="s">
        <v>216</v>
      </c>
      <c r="E68" s="313" t="s">
        <v>283</v>
      </c>
      <c r="F68" s="313" t="s">
        <v>417</v>
      </c>
      <c r="G68" s="313" t="s">
        <v>47</v>
      </c>
      <c r="H68" s="313" t="s">
        <v>35</v>
      </c>
      <c r="I68" s="313" t="s">
        <v>58</v>
      </c>
      <c r="J68" s="313" t="s">
        <v>38</v>
      </c>
      <c r="O68" s="313" t="s">
        <v>3163</v>
      </c>
      <c r="T68" s="313" t="s">
        <v>217</v>
      </c>
    </row>
    <row r="69" s="313" customFormat="1" ht="26.25" customHeight="1">
      <c r="A69" s="313" t="s">
        <v>54</v>
      </c>
      <c r="B69" s="313" t="s">
        <v>65</v>
      </c>
      <c r="C69" s="313" t="n">
        <v>5170706</v>
      </c>
      <c r="D69" s="313" t="s">
        <v>216</v>
      </c>
      <c r="E69" s="313" t="s">
        <v>283</v>
      </c>
      <c r="F69" s="313" t="s">
        <v>482</v>
      </c>
      <c r="G69" s="313" t="s">
        <v>47</v>
      </c>
      <c r="H69" s="313" t="s">
        <v>35</v>
      </c>
      <c r="I69" s="313" t="s">
        <v>56</v>
      </c>
      <c r="J69" s="313" t="s">
        <v>48</v>
      </c>
      <c r="M69" s="313" t="s">
        <v>3164</v>
      </c>
      <c r="O69" s="313" t="s">
        <v>3165</v>
      </c>
      <c r="P69" s="313" t="s">
        <v>3166</v>
      </c>
      <c r="T69" s="313" t="s">
        <v>217</v>
      </c>
      <c r="U69" s="313" t="s">
        <v>217</v>
      </c>
    </row>
    <row r="70" s="313" customFormat="1" ht="26.25" customHeight="1">
      <c r="A70" s="313" t="s">
        <v>54</v>
      </c>
      <c r="B70" s="313" t="s">
        <v>65</v>
      </c>
      <c r="C70" s="313" t="n">
        <v>5170706</v>
      </c>
      <c r="D70" s="313" t="s">
        <v>216</v>
      </c>
      <c r="E70" s="313" t="s">
        <v>283</v>
      </c>
      <c r="F70" s="313" t="s">
        <v>525</v>
      </c>
      <c r="G70" s="313" t="s">
        <v>47</v>
      </c>
      <c r="H70" s="313" t="s">
        <v>35</v>
      </c>
      <c r="I70" s="313" t="s">
        <v>56</v>
      </c>
      <c r="J70" s="313" t="s">
        <v>55</v>
      </c>
      <c r="K70" s="313" t="s">
        <v>2718</v>
      </c>
      <c r="L70" s="988" t="s">
        <v>2719</v>
      </c>
      <c r="N70" s="313" t="s">
        <v>2720</v>
      </c>
      <c r="T70" s="313" t="s">
        <v>217</v>
      </c>
      <c r="U70" s="313" t="s">
        <v>217</v>
      </c>
    </row>
    <row r="71" s="313" customFormat="1" ht="26.25" customHeight="1">
      <c r="A71" s="313" t="s">
        <v>54</v>
      </c>
      <c r="B71" s="313" t="s">
        <v>65</v>
      </c>
      <c r="C71" s="313" t="n">
        <v>5170706</v>
      </c>
      <c r="D71" s="313" t="s">
        <v>216</v>
      </c>
      <c r="E71" s="313" t="s">
        <v>283</v>
      </c>
      <c r="F71" s="313" t="s">
        <v>733</v>
      </c>
      <c r="G71" s="313" t="s">
        <v>47</v>
      </c>
      <c r="H71" s="313" t="s">
        <v>35</v>
      </c>
      <c r="I71" s="313" t="s">
        <v>56</v>
      </c>
      <c r="J71" s="313" t="s">
        <v>48</v>
      </c>
      <c r="M71" s="313" t="s">
        <v>3167</v>
      </c>
      <c r="N71" s="313" t="s">
        <v>3168</v>
      </c>
      <c r="O71" s="313" t="s">
        <v>3169</v>
      </c>
      <c r="P71" s="313" t="s">
        <v>3170</v>
      </c>
      <c r="T71" s="313" t="s">
        <v>217</v>
      </c>
      <c r="U71" s="313" t="s">
        <v>217</v>
      </c>
      <c r="Y71" s="313" t="s">
        <v>217</v>
      </c>
    </row>
    <row r="72" s="313" customFormat="1" ht="26.25" customHeight="1">
      <c r="A72" s="313" t="s">
        <v>54</v>
      </c>
      <c r="B72" s="313" t="s">
        <v>65</v>
      </c>
      <c r="C72" s="313" t="n">
        <v>5170706</v>
      </c>
      <c r="D72" s="313" t="s">
        <v>216</v>
      </c>
      <c r="E72" s="313" t="s">
        <v>283</v>
      </c>
      <c r="F72" s="313" t="s">
        <v>425</v>
      </c>
      <c r="G72" s="313" t="s">
        <v>47</v>
      </c>
      <c r="J72" s="313" t="s">
        <v>59</v>
      </c>
      <c r="T72" s="313" t="s">
        <v>217</v>
      </c>
    </row>
    <row r="73" s="313" customFormat="1" ht="26.25" customHeight="1">
      <c r="A73" s="313" t="s">
        <v>54</v>
      </c>
      <c r="B73" s="313" t="s">
        <v>65</v>
      </c>
      <c r="C73" s="313" t="n">
        <v>5170706</v>
      </c>
      <c r="D73" s="313" t="s">
        <v>216</v>
      </c>
      <c r="E73" s="313" t="s">
        <v>283</v>
      </c>
      <c r="F73" s="313" t="s">
        <v>430</v>
      </c>
      <c r="G73" s="313" t="s">
        <v>47</v>
      </c>
      <c r="J73" s="313" t="s">
        <v>59</v>
      </c>
      <c r="T73" s="313" t="s">
        <v>217</v>
      </c>
    </row>
    <row r="74" s="313" customFormat="1" ht="26.25" customHeight="1">
      <c r="A74" s="313" t="s">
        <v>54</v>
      </c>
      <c r="B74" s="313" t="s">
        <v>65</v>
      </c>
      <c r="C74" s="313" t="n">
        <v>5170706</v>
      </c>
      <c r="D74" s="313" t="s">
        <v>216</v>
      </c>
      <c r="E74" s="313" t="s">
        <v>283</v>
      </c>
      <c r="F74" s="313" t="s">
        <v>474</v>
      </c>
      <c r="G74" s="313" t="s">
        <v>47</v>
      </c>
      <c r="H74" s="313" t="s">
        <v>31</v>
      </c>
      <c r="I74" s="313" t="s">
        <v>58</v>
      </c>
      <c r="J74" s="313" t="s">
        <v>38</v>
      </c>
      <c r="T74" s="313" t="s">
        <v>217</v>
      </c>
      <c r="Y74" s="313" t="s">
        <v>217</v>
      </c>
    </row>
    <row r="75" s="313" customFormat="1" ht="26.25" customHeight="1">
      <c r="A75" s="313" t="s">
        <v>54</v>
      </c>
      <c r="B75" s="313" t="s">
        <v>65</v>
      </c>
      <c r="C75" s="313" t="n">
        <v>5170706</v>
      </c>
      <c r="D75" s="313" t="s">
        <v>216</v>
      </c>
      <c r="E75" s="313" t="s">
        <v>283</v>
      </c>
      <c r="F75" s="313" t="s">
        <v>649</v>
      </c>
      <c r="G75" s="313" t="s">
        <v>47</v>
      </c>
      <c r="H75" s="313" t="s">
        <v>35</v>
      </c>
      <c r="I75" s="313" t="s">
        <v>56</v>
      </c>
      <c r="J75" s="313" t="s">
        <v>59</v>
      </c>
      <c r="K75" s="313" t="s">
        <v>3171</v>
      </c>
      <c r="M75" s="313" t="s">
        <v>3013</v>
      </c>
      <c r="N75" s="313" t="s">
        <v>3035</v>
      </c>
      <c r="O75" s="313" t="s">
        <v>3172</v>
      </c>
      <c r="P75" s="313" t="s">
        <v>3162</v>
      </c>
      <c r="Q75" s="313" t="n">
        <v>32</v>
      </c>
      <c r="T75" s="313" t="s">
        <v>217</v>
      </c>
      <c r="U75" s="313" t="s">
        <v>217</v>
      </c>
    </row>
    <row r="76" s="313" customFormat="1" ht="26.25" customHeight="1">
      <c r="A76" s="313" t="s">
        <v>54</v>
      </c>
      <c r="B76" s="313" t="s">
        <v>101</v>
      </c>
      <c r="C76" s="313" t="n">
        <v>5170873</v>
      </c>
      <c r="D76" s="313" t="s">
        <v>216</v>
      </c>
      <c r="E76" s="313" t="s">
        <v>283</v>
      </c>
      <c r="F76" s="313" t="s">
        <v>1211</v>
      </c>
      <c r="G76" s="313" t="s">
        <v>47</v>
      </c>
      <c r="H76" s="313" t="s">
        <v>35</v>
      </c>
      <c r="I76" s="313" t="s">
        <v>56</v>
      </c>
      <c r="J76" s="313" t="s">
        <v>55</v>
      </c>
      <c r="K76" s="313" t="s">
        <v>2735</v>
      </c>
      <c r="L76" s="313" t="s">
        <v>2736</v>
      </c>
      <c r="N76" s="313" t="s">
        <v>2738</v>
      </c>
      <c r="O76" s="313" t="s">
        <v>3173</v>
      </c>
      <c r="Q76" s="313" t="n">
        <v>0</v>
      </c>
      <c r="T76" s="313" t="s">
        <v>217</v>
      </c>
      <c r="U76" s="313" t="s">
        <v>217</v>
      </c>
    </row>
    <row r="77" s="313" customFormat="1" ht="26.25" customHeight="1">
      <c r="A77" s="313" t="s">
        <v>54</v>
      </c>
      <c r="B77" s="313" t="s">
        <v>65</v>
      </c>
      <c r="C77" s="313" t="n">
        <v>5170706</v>
      </c>
      <c r="D77" s="313" t="s">
        <v>216</v>
      </c>
      <c r="E77" s="313" t="s">
        <v>283</v>
      </c>
      <c r="F77" s="313" t="s">
        <v>1165</v>
      </c>
      <c r="G77" s="313" t="s">
        <v>47</v>
      </c>
      <c r="H77" s="313" t="s">
        <v>37</v>
      </c>
      <c r="I77" s="313" t="s">
        <v>56</v>
      </c>
      <c r="J77" s="313" t="s">
        <v>57</v>
      </c>
      <c r="M77" s="313" t="s">
        <v>3174</v>
      </c>
      <c r="N77" s="313" t="s">
        <v>3175</v>
      </c>
      <c r="O77" s="313" t="s">
        <v>3176</v>
      </c>
      <c r="P77" s="313" t="s">
        <v>2453</v>
      </c>
      <c r="T77" s="313" t="s">
        <v>217</v>
      </c>
      <c r="U77" s="313" t="s">
        <v>217</v>
      </c>
    </row>
    <row r="78" s="313" customFormat="1" ht="26.25" customHeight="1">
      <c r="A78" s="313" t="s">
        <v>54</v>
      </c>
      <c r="B78" s="313" t="s">
        <v>65</v>
      </c>
      <c r="C78" s="313" t="n">
        <v>5170706</v>
      </c>
      <c r="D78" s="313" t="s">
        <v>216</v>
      </c>
      <c r="E78" s="313" t="s">
        <v>283</v>
      </c>
      <c r="F78" s="313" t="s">
        <v>405</v>
      </c>
      <c r="G78" s="313" t="s">
        <v>47</v>
      </c>
      <c r="J78" s="313" t="s">
        <v>59</v>
      </c>
      <c r="T78" s="313" t="s">
        <v>217</v>
      </c>
    </row>
    <row r="79" s="313" customFormat="1" ht="26.25" customHeight="1">
      <c r="A79" s="313" t="s">
        <v>54</v>
      </c>
      <c r="B79" s="313" t="s">
        <v>65</v>
      </c>
      <c r="C79" s="313" t="n">
        <v>5170706</v>
      </c>
      <c r="D79" s="313" t="s">
        <v>216</v>
      </c>
      <c r="E79" s="313" t="s">
        <v>283</v>
      </c>
      <c r="F79" s="313" t="s">
        <v>576</v>
      </c>
      <c r="G79" s="313" t="s">
        <v>47</v>
      </c>
      <c r="H79" s="313" t="s">
        <v>35</v>
      </c>
      <c r="I79" s="313" t="s">
        <v>56</v>
      </c>
      <c r="J79" s="313" t="s">
        <v>59</v>
      </c>
      <c r="M79" s="313" t="s">
        <v>3177</v>
      </c>
      <c r="N79" s="313" t="s">
        <v>3178</v>
      </c>
      <c r="O79" s="313" t="s">
        <v>3179</v>
      </c>
      <c r="P79" s="313" t="s">
        <v>3180</v>
      </c>
      <c r="Q79" s="313" t="n">
        <v>33</v>
      </c>
      <c r="T79" s="313" t="s">
        <v>217</v>
      </c>
      <c r="U79" s="313" t="s">
        <v>217</v>
      </c>
    </row>
    <row r="80" s="313" customFormat="1" ht="26.25" customHeight="1">
      <c r="A80" s="313" t="s">
        <v>54</v>
      </c>
      <c r="B80" s="313" t="s">
        <v>65</v>
      </c>
      <c r="C80" s="313" t="n">
        <v>5170706</v>
      </c>
      <c r="D80" s="313" t="s">
        <v>216</v>
      </c>
      <c r="E80" s="313" t="s">
        <v>283</v>
      </c>
      <c r="F80" s="313" t="s">
        <v>612</v>
      </c>
      <c r="G80" s="313" t="s">
        <v>47</v>
      </c>
      <c r="H80" s="313" t="s">
        <v>35</v>
      </c>
      <c r="I80" s="313" t="s">
        <v>56</v>
      </c>
      <c r="J80" s="313" t="s">
        <v>36</v>
      </c>
      <c r="K80" s="313" t="s">
        <v>2434</v>
      </c>
      <c r="L80" s="313" t="s">
        <v>2745</v>
      </c>
      <c r="M80" s="313" t="s">
        <v>3126</v>
      </c>
      <c r="N80" s="989" t="s">
        <v>3181</v>
      </c>
      <c r="O80" s="313" t="s">
        <v>3182</v>
      </c>
      <c r="P80" s="313" t="s">
        <v>2608</v>
      </c>
      <c r="T80" s="313" t="s">
        <v>217</v>
      </c>
      <c r="U80" s="313" t="s">
        <v>217</v>
      </c>
    </row>
    <row r="81" s="313" customFormat="1" ht="26.25" customHeight="1">
      <c r="A81" s="313" t="s">
        <v>54</v>
      </c>
      <c r="B81" s="313" t="s">
        <v>65</v>
      </c>
      <c r="C81" s="313" t="n">
        <v>5170706</v>
      </c>
      <c r="D81" s="313" t="s">
        <v>216</v>
      </c>
      <c r="E81" s="313" t="s">
        <v>283</v>
      </c>
      <c r="F81" s="313" t="s">
        <v>628</v>
      </c>
      <c r="G81" s="313" t="s">
        <v>47</v>
      </c>
      <c r="H81" s="313" t="s">
        <v>31</v>
      </c>
      <c r="I81" s="313" t="s">
        <v>56</v>
      </c>
      <c r="J81" s="313" t="s">
        <v>57</v>
      </c>
      <c r="M81" s="313" t="s">
        <v>3183</v>
      </c>
      <c r="N81" s="313" t="s">
        <v>3184</v>
      </c>
      <c r="O81" s="313" t="s">
        <v>3185</v>
      </c>
      <c r="P81" s="313" t="s">
        <v>3186</v>
      </c>
      <c r="T81" s="313" t="s">
        <v>217</v>
      </c>
      <c r="U81" s="313" t="s">
        <v>217</v>
      </c>
      <c r="Y81" s="313" t="s">
        <v>217</v>
      </c>
    </row>
    <row r="82" s="313" customFormat="1" ht="26.25" customHeight="1">
      <c r="A82" s="313" t="s">
        <v>54</v>
      </c>
      <c r="B82" s="313" t="s">
        <v>65</v>
      </c>
      <c r="C82" s="313" t="n">
        <v>5170706</v>
      </c>
      <c r="D82" s="313" t="s">
        <v>216</v>
      </c>
      <c r="E82" s="313" t="s">
        <v>283</v>
      </c>
      <c r="F82" s="313" t="s">
        <v>563</v>
      </c>
      <c r="G82" s="313" t="s">
        <v>47</v>
      </c>
      <c r="H82" s="313" t="s">
        <v>31</v>
      </c>
      <c r="I82" s="313" t="s">
        <v>58</v>
      </c>
      <c r="J82" s="313" t="s">
        <v>38</v>
      </c>
      <c r="M82" s="313" t="s">
        <v>3187</v>
      </c>
      <c r="N82" s="313" t="s">
        <v>3188</v>
      </c>
      <c r="O82" s="313" t="s">
        <v>3189</v>
      </c>
      <c r="T82" s="313" t="s">
        <v>217</v>
      </c>
      <c r="U82" s="313" t="s">
        <v>217</v>
      </c>
      <c r="Y82" s="313" t="s">
        <v>217</v>
      </c>
    </row>
    <row r="83" s="313" customFormat="1" ht="26.25" customHeight="1">
      <c r="A83" s="313" t="s">
        <v>54</v>
      </c>
      <c r="B83" s="313" t="s">
        <v>65</v>
      </c>
      <c r="C83" s="313" t="n">
        <v>5170706</v>
      </c>
      <c r="D83" s="313" t="s">
        <v>216</v>
      </c>
      <c r="E83" s="313" t="s">
        <v>283</v>
      </c>
      <c r="F83" s="313" t="s">
        <v>792</v>
      </c>
      <c r="G83" s="313" t="s">
        <v>47</v>
      </c>
      <c r="H83" s="313" t="s">
        <v>35</v>
      </c>
      <c r="I83" s="313" t="s">
        <v>56</v>
      </c>
      <c r="J83" s="313" t="s">
        <v>38</v>
      </c>
      <c r="M83" s="990" t="s">
        <v>3190</v>
      </c>
      <c r="N83" s="991" t="s">
        <v>2751</v>
      </c>
      <c r="O83" s="992" t="s">
        <v>3191</v>
      </c>
      <c r="Q83" s="313" t="n">
        <v>31</v>
      </c>
      <c r="T83" s="313" t="s">
        <v>217</v>
      </c>
      <c r="U83" s="313" t="s">
        <v>217</v>
      </c>
      <c r="Y83" s="313" t="s">
        <v>217</v>
      </c>
    </row>
    <row r="84" s="313" customFormat="1" ht="26.25" customHeight="1">
      <c r="A84" s="313" t="s">
        <v>54</v>
      </c>
      <c r="B84" s="313" t="s">
        <v>101</v>
      </c>
      <c r="C84" s="313" t="n">
        <v>5111226</v>
      </c>
      <c r="D84" s="313" t="s">
        <v>233</v>
      </c>
      <c r="E84" s="313" t="s">
        <v>283</v>
      </c>
      <c r="F84" s="313" t="s">
        <v>1058</v>
      </c>
      <c r="G84" s="313" t="s">
        <v>47</v>
      </c>
      <c r="H84" s="313" t="s">
        <v>37</v>
      </c>
      <c r="I84" s="313" t="s">
        <v>56</v>
      </c>
      <c r="J84" s="313" t="s">
        <v>55</v>
      </c>
      <c r="M84" s="313" t="s">
        <v>3192</v>
      </c>
      <c r="N84" s="313" t="s">
        <v>3193</v>
      </c>
      <c r="O84" s="313" t="s">
        <v>3194</v>
      </c>
      <c r="P84" s="313" t="n">
        <v>85</v>
      </c>
      <c r="T84" s="313" t="s">
        <v>217</v>
      </c>
      <c r="U84" s="313" t="s">
        <v>217</v>
      </c>
    </row>
    <row r="85" s="313" customFormat="1" ht="26.25" customHeight="1">
      <c r="A85" s="313" t="s">
        <v>54</v>
      </c>
      <c r="B85" s="313" t="s">
        <v>101</v>
      </c>
      <c r="C85" s="313" t="n">
        <v>5111226</v>
      </c>
      <c r="D85" s="313" t="s">
        <v>233</v>
      </c>
      <c r="E85" s="313" t="s">
        <v>283</v>
      </c>
      <c r="F85" s="313" t="s">
        <v>1070</v>
      </c>
      <c r="G85" s="313" t="s">
        <v>47</v>
      </c>
      <c r="H85" s="313" t="s">
        <v>37</v>
      </c>
      <c r="I85" s="313" t="s">
        <v>56</v>
      </c>
      <c r="J85" s="313" t="s">
        <v>38</v>
      </c>
      <c r="T85" s="313" t="s">
        <v>217</v>
      </c>
    </row>
    <row r="86" s="313" customFormat="1" ht="26.25" customHeight="1">
      <c r="A86" s="313" t="s">
        <v>54</v>
      </c>
      <c r="B86" s="313" t="s">
        <v>101</v>
      </c>
      <c r="C86" s="313" t="n">
        <v>5111226</v>
      </c>
      <c r="D86" s="313" t="s">
        <v>233</v>
      </c>
      <c r="E86" s="313" t="s">
        <v>283</v>
      </c>
      <c r="F86" s="313" t="s">
        <v>1039</v>
      </c>
      <c r="G86" s="313" t="s">
        <v>47</v>
      </c>
      <c r="J86" s="313" t="s">
        <v>57</v>
      </c>
    </row>
    <row r="87" s="313" customFormat="1" ht="26.25" customHeight="1">
      <c r="A87" s="313" t="s">
        <v>54</v>
      </c>
      <c r="B87" s="313" t="s">
        <v>101</v>
      </c>
      <c r="C87" s="313" t="n">
        <v>5111226</v>
      </c>
      <c r="D87" s="313" t="s">
        <v>233</v>
      </c>
      <c r="E87" s="313" t="s">
        <v>283</v>
      </c>
      <c r="F87" s="313" t="s">
        <v>1040</v>
      </c>
      <c r="G87" s="313" t="s">
        <v>47</v>
      </c>
      <c r="J87" s="313" t="s">
        <v>57</v>
      </c>
    </row>
    <row r="88" s="313" customFormat="1" ht="26.25" customHeight="1">
      <c r="A88" s="313" t="s">
        <v>54</v>
      </c>
      <c r="B88" s="313" t="s">
        <v>101</v>
      </c>
      <c r="C88" s="313" t="n">
        <v>5111226</v>
      </c>
      <c r="D88" s="313" t="s">
        <v>233</v>
      </c>
      <c r="E88" s="313" t="s">
        <v>283</v>
      </c>
      <c r="F88" s="313" t="s">
        <v>1192</v>
      </c>
      <c r="G88" s="313" t="s">
        <v>47</v>
      </c>
      <c r="H88" s="313" t="s">
        <v>37</v>
      </c>
      <c r="I88" s="313" t="s">
        <v>56</v>
      </c>
      <c r="J88" s="313" t="s">
        <v>36</v>
      </c>
      <c r="M88" s="313" t="s">
        <v>3195</v>
      </c>
      <c r="N88" s="313" t="s">
        <v>3196</v>
      </c>
      <c r="O88" s="313" t="s">
        <v>3197</v>
      </c>
      <c r="P88" s="313" t="s">
        <v>3198</v>
      </c>
      <c r="T88" s="313" t="s">
        <v>217</v>
      </c>
      <c r="U88" s="313" t="s">
        <v>217</v>
      </c>
    </row>
    <row r="89" s="313" customFormat="1" ht="26.25" customHeight="1">
      <c r="A89" s="313" t="s">
        <v>54</v>
      </c>
      <c r="B89" s="313" t="s">
        <v>101</v>
      </c>
      <c r="C89" s="313" t="n">
        <v>5111226</v>
      </c>
      <c r="D89" s="313" t="s">
        <v>233</v>
      </c>
      <c r="E89" s="313" t="s">
        <v>283</v>
      </c>
      <c r="F89" s="313" t="s">
        <v>1093</v>
      </c>
      <c r="G89" s="313" t="s">
        <v>47</v>
      </c>
      <c r="H89" s="313" t="s">
        <v>37</v>
      </c>
      <c r="I89" s="313" t="s">
        <v>56</v>
      </c>
      <c r="J89" s="313" t="s">
        <v>59</v>
      </c>
      <c r="T89" s="313" t="s">
        <v>217</v>
      </c>
    </row>
    <row r="90" s="313" customFormat="1" ht="26.25" customHeight="1">
      <c r="A90" s="313" t="s">
        <v>54</v>
      </c>
      <c r="B90" s="313" t="s">
        <v>101</v>
      </c>
      <c r="C90" s="313" t="n">
        <v>5111226</v>
      </c>
      <c r="D90" s="313" t="s">
        <v>233</v>
      </c>
      <c r="E90" s="313" t="s">
        <v>283</v>
      </c>
      <c r="F90" s="313" t="s">
        <v>1061</v>
      </c>
      <c r="G90" s="313" t="s">
        <v>47</v>
      </c>
      <c r="H90" s="313" t="s">
        <v>37</v>
      </c>
      <c r="I90" s="313" t="s">
        <v>56</v>
      </c>
      <c r="J90" s="313" t="s">
        <v>48</v>
      </c>
    </row>
    <row r="91" s="313" customFormat="1" ht="26.25" customHeight="1">
      <c r="A91" s="313" t="s">
        <v>54</v>
      </c>
      <c r="B91" s="313" t="s">
        <v>101</v>
      </c>
      <c r="C91" s="313" t="n">
        <v>5111226</v>
      </c>
      <c r="D91" s="313" t="s">
        <v>233</v>
      </c>
      <c r="E91" s="313" t="s">
        <v>283</v>
      </c>
      <c r="F91" s="313" t="s">
        <v>1026</v>
      </c>
      <c r="G91" s="313" t="s">
        <v>47</v>
      </c>
      <c r="H91" s="313" t="s">
        <v>37</v>
      </c>
      <c r="I91" s="313" t="s">
        <v>56</v>
      </c>
      <c r="J91" s="313" t="s">
        <v>55</v>
      </c>
      <c r="T91" s="313" t="s">
        <v>217</v>
      </c>
    </row>
    <row r="92" s="313" customFormat="1" ht="26.25" customHeight="1">
      <c r="A92" s="313" t="s">
        <v>54</v>
      </c>
      <c r="B92" s="313" t="s">
        <v>101</v>
      </c>
      <c r="C92" s="313" t="n">
        <v>5111226</v>
      </c>
      <c r="D92" s="313" t="s">
        <v>233</v>
      </c>
      <c r="E92" s="313" t="s">
        <v>283</v>
      </c>
      <c r="F92" s="313" t="s">
        <v>1075</v>
      </c>
      <c r="G92" s="313" t="s">
        <v>47</v>
      </c>
      <c r="H92" s="313" t="s">
        <v>37</v>
      </c>
      <c r="I92" s="313" t="s">
        <v>56</v>
      </c>
      <c r="J92" s="313" t="s">
        <v>55</v>
      </c>
      <c r="T92" s="313" t="s">
        <v>217</v>
      </c>
    </row>
    <row r="93" s="313" customFormat="1" ht="26.25" customHeight="1">
      <c r="A93" s="313" t="s">
        <v>54</v>
      </c>
      <c r="B93" s="313" t="s">
        <v>101</v>
      </c>
      <c r="C93" s="313" t="n">
        <v>5111226</v>
      </c>
      <c r="D93" s="313" t="s">
        <v>233</v>
      </c>
      <c r="E93" s="313" t="s">
        <v>283</v>
      </c>
      <c r="F93" s="313" t="s">
        <v>1060</v>
      </c>
      <c r="G93" s="313" t="s">
        <v>47</v>
      </c>
      <c r="H93" s="313" t="s">
        <v>37</v>
      </c>
      <c r="I93" s="313" t="s">
        <v>56</v>
      </c>
      <c r="J93" s="313" t="s">
        <v>48</v>
      </c>
    </row>
    <row r="94" s="313" customFormat="1" ht="26.25" customHeight="1">
      <c r="A94" s="313" t="s">
        <v>54</v>
      </c>
      <c r="B94" s="313" t="s">
        <v>101</v>
      </c>
      <c r="C94" s="313" t="n">
        <v>5111226</v>
      </c>
      <c r="D94" s="313" t="s">
        <v>233</v>
      </c>
      <c r="E94" s="313" t="s">
        <v>283</v>
      </c>
      <c r="F94" s="313" t="s">
        <v>1074</v>
      </c>
      <c r="G94" s="313" t="s">
        <v>47</v>
      </c>
      <c r="H94" s="313" t="s">
        <v>37</v>
      </c>
      <c r="I94" s="313" t="s">
        <v>56</v>
      </c>
      <c r="J94" s="313" t="s">
        <v>55</v>
      </c>
      <c r="T94" s="313" t="s">
        <v>217</v>
      </c>
    </row>
    <row r="95" s="313" customFormat="1" ht="26.25" customHeight="1">
      <c r="A95" s="313" t="s">
        <v>54</v>
      </c>
      <c r="B95" s="313" t="s">
        <v>101</v>
      </c>
      <c r="C95" s="313" t="n">
        <v>5111226</v>
      </c>
      <c r="D95" s="313" t="s">
        <v>233</v>
      </c>
      <c r="E95" s="313" t="s">
        <v>283</v>
      </c>
      <c r="F95" s="313" t="s">
        <v>1090</v>
      </c>
      <c r="G95" s="313" t="s">
        <v>47</v>
      </c>
      <c r="H95" s="313" t="s">
        <v>37</v>
      </c>
      <c r="I95" s="313" t="s">
        <v>56</v>
      </c>
      <c r="J95" s="313" t="s">
        <v>57</v>
      </c>
      <c r="T95" s="313" t="s">
        <v>217</v>
      </c>
      <c r="Y95" s="313" t="s">
        <v>217</v>
      </c>
    </row>
    <row r="96" s="313" customFormat="1" ht="26.25" customHeight="1">
      <c r="A96" s="313" t="s">
        <v>54</v>
      </c>
      <c r="B96" s="313" t="s">
        <v>101</v>
      </c>
      <c r="C96" s="313" t="n">
        <v>5111226</v>
      </c>
      <c r="D96" s="313" t="s">
        <v>233</v>
      </c>
      <c r="E96" s="313" t="s">
        <v>283</v>
      </c>
      <c r="F96" s="313" t="s">
        <v>1059</v>
      </c>
      <c r="G96" s="313" t="s">
        <v>47</v>
      </c>
      <c r="H96" s="313" t="s">
        <v>37</v>
      </c>
      <c r="I96" s="313" t="s">
        <v>56</v>
      </c>
      <c r="J96" s="313" t="s">
        <v>48</v>
      </c>
    </row>
    <row r="97" s="313" customFormat="1" ht="26.25" customHeight="1">
      <c r="A97" s="313" t="s">
        <v>54</v>
      </c>
      <c r="B97" s="313" t="s">
        <v>101</v>
      </c>
      <c r="C97" s="313" t="n">
        <v>5111226</v>
      </c>
      <c r="D97" s="313" t="s">
        <v>233</v>
      </c>
      <c r="E97" s="313" t="s">
        <v>283</v>
      </c>
      <c r="F97" s="313" t="s">
        <v>1107</v>
      </c>
      <c r="G97" s="313" t="s">
        <v>47</v>
      </c>
      <c r="H97" s="313" t="s">
        <v>37</v>
      </c>
      <c r="I97" s="313" t="s">
        <v>56</v>
      </c>
      <c r="J97" s="313" t="s">
        <v>36</v>
      </c>
      <c r="T97" s="313" t="s">
        <v>217</v>
      </c>
    </row>
    <row r="98" s="313" customFormat="1" ht="26.25" customHeight="1">
      <c r="A98" s="313" t="s">
        <v>54</v>
      </c>
      <c r="B98" s="313" t="s">
        <v>101</v>
      </c>
      <c r="C98" s="313" t="n">
        <v>5111226</v>
      </c>
      <c r="D98" s="313" t="s">
        <v>233</v>
      </c>
      <c r="E98" s="313" t="s">
        <v>283</v>
      </c>
      <c r="F98" s="313" t="s">
        <v>1084</v>
      </c>
      <c r="G98" s="313" t="s">
        <v>47</v>
      </c>
      <c r="H98" s="313" t="s">
        <v>37</v>
      </c>
      <c r="I98" s="313" t="s">
        <v>56</v>
      </c>
      <c r="J98" s="313" t="s">
        <v>36</v>
      </c>
      <c r="T98" s="313" t="s">
        <v>217</v>
      </c>
    </row>
    <row r="99" s="313" customFormat="1" ht="26.25" customHeight="1">
      <c r="A99" s="313" t="s">
        <v>54</v>
      </c>
      <c r="B99" s="313" t="s">
        <v>101</v>
      </c>
      <c r="C99" s="313" t="n">
        <v>5170873</v>
      </c>
      <c r="D99" s="313" t="s">
        <v>216</v>
      </c>
      <c r="E99" s="313" t="s">
        <v>283</v>
      </c>
      <c r="F99" s="313" t="s">
        <v>1098</v>
      </c>
      <c r="G99" s="313" t="s">
        <v>47</v>
      </c>
      <c r="H99" s="313" t="s">
        <v>35</v>
      </c>
      <c r="I99" s="313" t="s">
        <v>56</v>
      </c>
      <c r="J99" s="313" t="s">
        <v>59</v>
      </c>
      <c r="O99" s="313" t="s">
        <v>3199</v>
      </c>
      <c r="T99" s="313" t="s">
        <v>217</v>
      </c>
      <c r="U99" s="313" t="s">
        <v>217</v>
      </c>
      <c r="Y99" s="313" t="s">
        <v>217</v>
      </c>
    </row>
    <row r="100" s="313" customFormat="1" ht="26.25" customHeight="1">
      <c r="A100" s="313" t="s">
        <v>54</v>
      </c>
      <c r="B100" s="313" t="s">
        <v>101</v>
      </c>
      <c r="C100" s="313" t="n">
        <v>5170873</v>
      </c>
      <c r="D100" s="313" t="s">
        <v>216</v>
      </c>
      <c r="E100" s="313" t="s">
        <v>283</v>
      </c>
      <c r="F100" s="313" t="s">
        <v>1146</v>
      </c>
      <c r="G100" s="313" t="s">
        <v>47</v>
      </c>
      <c r="H100" s="313" t="s">
        <v>35</v>
      </c>
      <c r="I100" s="313" t="s">
        <v>56</v>
      </c>
      <c r="J100" s="313" t="s">
        <v>55</v>
      </c>
      <c r="M100" s="313" t="s">
        <v>3200</v>
      </c>
      <c r="N100" s="313" t="s">
        <v>3035</v>
      </c>
      <c r="O100" s="313" t="s">
        <v>3201</v>
      </c>
      <c r="P100" s="313" t="s">
        <v>3162</v>
      </c>
      <c r="T100" s="313" t="s">
        <v>217</v>
      </c>
      <c r="U100" s="313" t="s">
        <v>217</v>
      </c>
      <c r="Y100" s="313" t="s">
        <v>217</v>
      </c>
    </row>
    <row r="101" s="313" customFormat="1" ht="26.25" customHeight="1">
      <c r="A101" s="313" t="s">
        <v>54</v>
      </c>
      <c r="B101" s="313" t="s">
        <v>101</v>
      </c>
      <c r="C101" s="313" t="n">
        <v>5170873</v>
      </c>
      <c r="D101" s="313" t="s">
        <v>216</v>
      </c>
      <c r="E101" s="313" t="s">
        <v>283</v>
      </c>
      <c r="F101" s="313" t="s">
        <v>1185</v>
      </c>
      <c r="G101" s="313" t="s">
        <v>47</v>
      </c>
      <c r="H101" s="313" t="s">
        <v>35</v>
      </c>
      <c r="I101" s="313" t="s">
        <v>56</v>
      </c>
      <c r="J101" s="313" t="s">
        <v>59</v>
      </c>
      <c r="K101" s="313" t="s">
        <v>2389</v>
      </c>
      <c r="L101" s="313" t="s">
        <v>2629</v>
      </c>
      <c r="M101" s="313" t="s">
        <v>3052</v>
      </c>
      <c r="N101" s="313" t="s">
        <v>3202</v>
      </c>
      <c r="O101" s="313" t="s">
        <v>3203</v>
      </c>
      <c r="P101" s="313" t="s">
        <v>3204</v>
      </c>
      <c r="T101" s="313" t="s">
        <v>217</v>
      </c>
      <c r="U101" s="313" t="s">
        <v>217</v>
      </c>
    </row>
    <row r="102" s="313" customFormat="1" ht="26.25" customHeight="1">
      <c r="A102" s="313" t="s">
        <v>54</v>
      </c>
      <c r="B102" s="313" t="s">
        <v>101</v>
      </c>
      <c r="C102" s="313" t="n">
        <v>5170873</v>
      </c>
      <c r="D102" s="313" t="s">
        <v>216</v>
      </c>
      <c r="E102" s="313" t="s">
        <v>283</v>
      </c>
      <c r="F102" s="313" t="s">
        <v>1115</v>
      </c>
      <c r="G102" s="313" t="s">
        <v>47</v>
      </c>
      <c r="H102" s="313" t="s">
        <v>35</v>
      </c>
      <c r="I102" s="313" t="s">
        <v>56</v>
      </c>
      <c r="J102" s="313" t="s">
        <v>59</v>
      </c>
      <c r="M102" s="313" t="s">
        <v>3016</v>
      </c>
      <c r="N102" s="313" t="s">
        <v>3205</v>
      </c>
      <c r="O102" s="313" t="s">
        <v>3206</v>
      </c>
      <c r="P102" s="313" t="s">
        <v>27</v>
      </c>
      <c r="T102" s="313" t="s">
        <v>217</v>
      </c>
      <c r="U102" s="313" t="s">
        <v>217</v>
      </c>
      <c r="Y102" s="313" t="s">
        <v>217</v>
      </c>
    </row>
    <row r="103" s="313" customFormat="1" ht="26.25" customHeight="1">
      <c r="A103" s="313" t="s">
        <v>54</v>
      </c>
      <c r="B103" s="313" t="s">
        <v>101</v>
      </c>
      <c r="C103" s="313" t="n">
        <v>5170873</v>
      </c>
      <c r="D103" s="313" t="s">
        <v>216</v>
      </c>
      <c r="E103" s="313" t="s">
        <v>283</v>
      </c>
      <c r="F103" s="313" t="s">
        <v>1044</v>
      </c>
      <c r="G103" s="313" t="s">
        <v>47</v>
      </c>
      <c r="H103" s="313" t="s">
        <v>35</v>
      </c>
      <c r="I103" s="313" t="s">
        <v>56</v>
      </c>
      <c r="J103" s="313" t="s">
        <v>59</v>
      </c>
      <c r="M103" s="313" t="s">
        <v>3207</v>
      </c>
      <c r="N103" s="313" t="s">
        <v>3208</v>
      </c>
      <c r="O103" s="313" t="s">
        <v>3209</v>
      </c>
      <c r="P103" s="313" t="s">
        <v>2813</v>
      </c>
      <c r="T103" s="313" t="s">
        <v>217</v>
      </c>
      <c r="U103" s="313" t="s">
        <v>217</v>
      </c>
      <c r="Y103" s="313" t="s">
        <v>217</v>
      </c>
    </row>
    <row r="104" s="313" customFormat="1" ht="26.25" customHeight="1">
      <c r="A104" s="313" t="s">
        <v>54</v>
      </c>
      <c r="B104" s="313" t="s">
        <v>101</v>
      </c>
      <c r="C104" s="313" t="n">
        <v>5170873</v>
      </c>
      <c r="D104" s="313" t="s">
        <v>216</v>
      </c>
      <c r="E104" s="313" t="s">
        <v>283</v>
      </c>
      <c r="F104" s="313" t="s">
        <v>1097</v>
      </c>
      <c r="G104" s="313" t="s">
        <v>47</v>
      </c>
      <c r="H104" s="313" t="s">
        <v>35</v>
      </c>
      <c r="I104" s="313" t="s">
        <v>56</v>
      </c>
      <c r="J104" s="313" t="s">
        <v>59</v>
      </c>
      <c r="T104" s="313" t="s">
        <v>217</v>
      </c>
    </row>
    <row r="105" s="313" customFormat="1" ht="26.25" customHeight="1">
      <c r="A105" s="313" t="s">
        <v>54</v>
      </c>
      <c r="B105" s="313" t="s">
        <v>101</v>
      </c>
      <c r="C105" s="313" t="n">
        <v>5170873</v>
      </c>
      <c r="D105" s="313" t="s">
        <v>216</v>
      </c>
      <c r="E105" s="313" t="s">
        <v>283</v>
      </c>
      <c r="F105" s="313" t="s">
        <v>1131</v>
      </c>
      <c r="G105" s="313" t="s">
        <v>47</v>
      </c>
      <c r="H105" s="313" t="s">
        <v>31</v>
      </c>
      <c r="I105" s="313" t="s">
        <v>56</v>
      </c>
      <c r="J105" s="313" t="s">
        <v>55</v>
      </c>
      <c r="M105" s="313" t="s">
        <v>505</v>
      </c>
      <c r="N105" s="313" t="s">
        <v>3210</v>
      </c>
      <c r="O105" s="313" t="s">
        <v>3211</v>
      </c>
      <c r="P105" s="313" t="s">
        <v>3212</v>
      </c>
      <c r="Q105" s="313" t="n">
        <v>28</v>
      </c>
      <c r="T105" s="313" t="s">
        <v>217</v>
      </c>
      <c r="U105" s="313" t="s">
        <v>217</v>
      </c>
      <c r="Y105" s="313" t="s">
        <v>217</v>
      </c>
    </row>
    <row r="106" s="313" customFormat="1" ht="26.25" customHeight="1">
      <c r="A106" s="313" t="s">
        <v>54</v>
      </c>
      <c r="B106" s="313" t="s">
        <v>101</v>
      </c>
      <c r="C106" s="313" t="n">
        <v>5170873</v>
      </c>
      <c r="D106" s="313" t="s">
        <v>216</v>
      </c>
      <c r="E106" s="313" t="s">
        <v>283</v>
      </c>
      <c r="F106" s="313" t="s">
        <v>1176</v>
      </c>
      <c r="G106" s="313" t="s">
        <v>47</v>
      </c>
      <c r="H106" s="313" t="s">
        <v>35</v>
      </c>
      <c r="I106" s="313" t="s">
        <v>56</v>
      </c>
      <c r="J106" s="313" t="s">
        <v>55</v>
      </c>
      <c r="M106" s="313" t="s">
        <v>3213</v>
      </c>
      <c r="N106" s="313" t="s">
        <v>3214</v>
      </c>
      <c r="O106" s="313" t="s">
        <v>3215</v>
      </c>
      <c r="P106" s="313" t="s">
        <v>3216</v>
      </c>
      <c r="T106" s="313" t="s">
        <v>217</v>
      </c>
      <c r="U106" s="313" t="s">
        <v>217</v>
      </c>
    </row>
    <row r="107" s="313" customFormat="1" ht="26.25" customHeight="1">
      <c r="A107" s="313" t="s">
        <v>54</v>
      </c>
      <c r="B107" s="313" t="s">
        <v>101</v>
      </c>
      <c r="C107" s="313" t="n">
        <v>5170873</v>
      </c>
      <c r="D107" s="313" t="s">
        <v>216</v>
      </c>
      <c r="E107" s="313" t="s">
        <v>283</v>
      </c>
      <c r="F107" s="313" t="s">
        <v>1193</v>
      </c>
      <c r="G107" s="313" t="s">
        <v>47</v>
      </c>
      <c r="H107" s="313" t="s">
        <v>35</v>
      </c>
      <c r="I107" s="313" t="s">
        <v>56</v>
      </c>
      <c r="J107" s="313" t="s">
        <v>55</v>
      </c>
      <c r="K107" s="313" t="s">
        <v>2647</v>
      </c>
      <c r="L107" s="993" t="s">
        <v>2648</v>
      </c>
      <c r="M107" s="313" t="s">
        <v>2501</v>
      </c>
      <c r="N107" s="313" t="s">
        <v>3217</v>
      </c>
      <c r="O107" s="313" t="s">
        <v>3218</v>
      </c>
      <c r="P107" s="313" t="n">
        <v>90</v>
      </c>
      <c r="T107" s="313" t="s">
        <v>217</v>
      </c>
      <c r="U107" s="313" t="s">
        <v>217</v>
      </c>
    </row>
    <row r="108" s="313" customFormat="1" ht="26.25" customHeight="1">
      <c r="A108" s="313" t="s">
        <v>54</v>
      </c>
      <c r="B108" s="313" t="s">
        <v>101</v>
      </c>
      <c r="C108" s="313" t="n">
        <v>5170873</v>
      </c>
      <c r="D108" s="313" t="s">
        <v>216</v>
      </c>
      <c r="E108" s="313" t="s">
        <v>283</v>
      </c>
      <c r="F108" s="313" t="s">
        <v>1120</v>
      </c>
      <c r="G108" s="313" t="s">
        <v>47</v>
      </c>
      <c r="H108" s="313" t="s">
        <v>31</v>
      </c>
      <c r="I108" s="313" t="s">
        <v>56</v>
      </c>
      <c r="J108" s="313" t="s">
        <v>57</v>
      </c>
      <c r="N108" s="313" t="s">
        <v>3093</v>
      </c>
      <c r="O108" s="313" t="s">
        <v>3219</v>
      </c>
      <c r="P108" s="313" t="s">
        <v>3220</v>
      </c>
      <c r="T108" s="313" t="s">
        <v>217</v>
      </c>
      <c r="U108" s="313" t="s">
        <v>217</v>
      </c>
    </row>
    <row r="109" s="313" customFormat="1" ht="26.25" customHeight="1">
      <c r="A109" s="313" t="s">
        <v>54</v>
      </c>
      <c r="B109" s="313" t="s">
        <v>101</v>
      </c>
      <c r="C109" s="313" t="n">
        <v>5170873</v>
      </c>
      <c r="D109" s="313" t="s">
        <v>216</v>
      </c>
      <c r="E109" s="313" t="s">
        <v>283</v>
      </c>
      <c r="F109" s="313" t="s">
        <v>1183</v>
      </c>
      <c r="G109" s="313" t="s">
        <v>47</v>
      </c>
      <c r="H109" s="313" t="s">
        <v>35</v>
      </c>
      <c r="I109" s="313" t="s">
        <v>56</v>
      </c>
      <c r="J109" s="313" t="s">
        <v>36</v>
      </c>
      <c r="M109" s="313" t="s">
        <v>3221</v>
      </c>
      <c r="O109" s="313" t="s">
        <v>3222</v>
      </c>
      <c r="P109" s="313" t="n">
        <v>95</v>
      </c>
      <c r="Q109" s="313" t="n">
        <v>33</v>
      </c>
      <c r="T109" s="313" t="s">
        <v>217</v>
      </c>
      <c r="U109" s="313" t="s">
        <v>217</v>
      </c>
    </row>
    <row r="110" s="313" customFormat="1" ht="26.25" customHeight="1">
      <c r="A110" s="313" t="s">
        <v>54</v>
      </c>
      <c r="B110" s="313" t="s">
        <v>101</v>
      </c>
      <c r="C110" s="313" t="n">
        <v>5170873</v>
      </c>
      <c r="D110" s="313" t="s">
        <v>216</v>
      </c>
      <c r="E110" s="313" t="s">
        <v>283</v>
      </c>
      <c r="F110" s="313" t="s">
        <v>1155</v>
      </c>
      <c r="G110" s="313" t="s">
        <v>47</v>
      </c>
      <c r="H110" s="313" t="s">
        <v>35</v>
      </c>
      <c r="I110" s="313" t="s">
        <v>56</v>
      </c>
      <c r="J110" s="313" t="s">
        <v>57</v>
      </c>
      <c r="K110" s="313" t="s">
        <v>2437</v>
      </c>
      <c r="L110" s="313" t="s">
        <v>2384</v>
      </c>
      <c r="M110" s="313" t="s">
        <v>2501</v>
      </c>
      <c r="N110" s="313" t="s">
        <v>3223</v>
      </c>
      <c r="O110" s="313" t="s">
        <v>3224</v>
      </c>
      <c r="P110" s="313" t="n">
        <v>95</v>
      </c>
      <c r="T110" s="313" t="s">
        <v>217</v>
      </c>
      <c r="U110" s="313" t="s">
        <v>217</v>
      </c>
    </row>
    <row r="111" s="313" customFormat="1" ht="26.25" customHeight="1">
      <c r="A111" s="313" t="s">
        <v>54</v>
      </c>
      <c r="B111" s="313" t="s">
        <v>101</v>
      </c>
      <c r="C111" s="313" t="n">
        <v>5170873</v>
      </c>
      <c r="D111" s="313" t="s">
        <v>216</v>
      </c>
      <c r="E111" s="313" t="s">
        <v>283</v>
      </c>
      <c r="F111" s="313" t="s">
        <v>1298</v>
      </c>
      <c r="G111" s="313" t="s">
        <v>47</v>
      </c>
      <c r="H111" s="313" t="s">
        <v>35</v>
      </c>
      <c r="I111" s="313" t="s">
        <v>56</v>
      </c>
      <c r="J111" s="313" t="s">
        <v>57</v>
      </c>
      <c r="Q111" s="313" t="n">
        <v>0</v>
      </c>
    </row>
    <row r="112" s="313" customFormat="1" ht="26.25" customHeight="1">
      <c r="A112" s="313" t="s">
        <v>54</v>
      </c>
      <c r="B112" s="313" t="s">
        <v>101</v>
      </c>
      <c r="C112" s="313" t="n">
        <v>5170873</v>
      </c>
      <c r="D112" s="313" t="s">
        <v>216</v>
      </c>
      <c r="E112" s="313" t="s">
        <v>283</v>
      </c>
      <c r="F112" s="313" t="s">
        <v>1057</v>
      </c>
      <c r="G112" s="313" t="s">
        <v>47</v>
      </c>
      <c r="H112" s="313" t="s">
        <v>35</v>
      </c>
      <c r="I112" s="313" t="s">
        <v>56</v>
      </c>
      <c r="J112" s="313" t="s">
        <v>40</v>
      </c>
      <c r="N112" s="313" t="s">
        <v>3225</v>
      </c>
      <c r="O112" s="313" t="s">
        <v>3226</v>
      </c>
      <c r="T112" s="313" t="s">
        <v>217</v>
      </c>
      <c r="U112" s="313" t="s">
        <v>217</v>
      </c>
    </row>
    <row r="113" s="313" customFormat="1" ht="26.25" customHeight="1">
      <c r="A113" s="313" t="s">
        <v>54</v>
      </c>
      <c r="B113" s="313" t="s">
        <v>101</v>
      </c>
      <c r="C113" s="313" t="n">
        <v>5170873</v>
      </c>
      <c r="D113" s="313" t="s">
        <v>216</v>
      </c>
      <c r="E113" s="313" t="s">
        <v>283</v>
      </c>
      <c r="F113" s="313" t="s">
        <v>1114</v>
      </c>
      <c r="G113" s="313" t="s">
        <v>47</v>
      </c>
      <c r="H113" s="313" t="s">
        <v>35</v>
      </c>
      <c r="I113" s="313" t="s">
        <v>56</v>
      </c>
      <c r="J113" s="313" t="s">
        <v>59</v>
      </c>
      <c r="M113" s="313" t="s">
        <v>3227</v>
      </c>
      <c r="N113" s="313" t="s">
        <v>3228</v>
      </c>
      <c r="O113" s="313" t="s">
        <v>3229</v>
      </c>
      <c r="P113" s="313" t="s">
        <v>2813</v>
      </c>
      <c r="T113" s="313" t="s">
        <v>217</v>
      </c>
      <c r="U113" s="313" t="s">
        <v>217</v>
      </c>
    </row>
    <row r="114" s="313" customFormat="1" ht="26.25" customHeight="1">
      <c r="A114" s="313" t="s">
        <v>54</v>
      </c>
      <c r="B114" s="313" t="s">
        <v>101</v>
      </c>
      <c r="C114" s="313" t="n">
        <v>5170873</v>
      </c>
      <c r="D114" s="313" t="s">
        <v>216</v>
      </c>
      <c r="E114" s="313" t="s">
        <v>283</v>
      </c>
      <c r="F114" s="313" t="s">
        <v>1179</v>
      </c>
      <c r="G114" s="313" t="s">
        <v>47</v>
      </c>
      <c r="H114" s="313" t="s">
        <v>35</v>
      </c>
      <c r="I114" s="313" t="s">
        <v>56</v>
      </c>
      <c r="J114" s="313" t="s">
        <v>55</v>
      </c>
      <c r="M114" s="313" t="s">
        <v>3230</v>
      </c>
      <c r="N114" s="313" t="s">
        <v>3231</v>
      </c>
      <c r="O114" s="313" t="s">
        <v>3232</v>
      </c>
      <c r="P114" s="313" t="s">
        <v>2415</v>
      </c>
      <c r="T114" s="313" t="s">
        <v>217</v>
      </c>
      <c r="U114" s="313" t="s">
        <v>217</v>
      </c>
    </row>
    <row r="115" s="313" customFormat="1" ht="26.25" customHeight="1">
      <c r="A115" s="313" t="s">
        <v>54</v>
      </c>
      <c r="B115" s="313" t="s">
        <v>101</v>
      </c>
      <c r="C115" s="313" t="n">
        <v>5170873</v>
      </c>
      <c r="D115" s="313" t="s">
        <v>216</v>
      </c>
      <c r="E115" s="313" t="s">
        <v>283</v>
      </c>
      <c r="F115" s="313" t="s">
        <v>1125</v>
      </c>
      <c r="G115" s="313" t="s">
        <v>47</v>
      </c>
      <c r="H115" s="313" t="s">
        <v>35</v>
      </c>
      <c r="I115" s="313" t="s">
        <v>56</v>
      </c>
      <c r="J115" s="313" t="s">
        <v>55</v>
      </c>
      <c r="M115" s="313" t="s">
        <v>3233</v>
      </c>
      <c r="N115" s="313" t="s">
        <v>3040</v>
      </c>
      <c r="O115" s="313" t="s">
        <v>3234</v>
      </c>
      <c r="P115" s="313" t="s">
        <v>3235</v>
      </c>
      <c r="T115" s="313" t="s">
        <v>217</v>
      </c>
      <c r="U115" s="313" t="s">
        <v>217</v>
      </c>
      <c r="Y115" s="313" t="s">
        <v>217</v>
      </c>
    </row>
    <row r="116" s="313" customFormat="1" ht="26.25" customHeight="1">
      <c r="A116" s="313" t="s">
        <v>54</v>
      </c>
      <c r="B116" s="313" t="s">
        <v>101</v>
      </c>
      <c r="C116" s="313" t="n">
        <v>5170873</v>
      </c>
      <c r="D116" s="313" t="s">
        <v>216</v>
      </c>
      <c r="E116" s="313" t="s">
        <v>283</v>
      </c>
      <c r="F116" s="313" t="s">
        <v>1003</v>
      </c>
      <c r="G116" s="313" t="s">
        <v>47</v>
      </c>
      <c r="H116" s="313" t="s">
        <v>35</v>
      </c>
      <c r="I116" s="313" t="s">
        <v>56</v>
      </c>
      <c r="J116" s="313" t="s">
        <v>59</v>
      </c>
      <c r="K116" s="313" t="s">
        <v>2437</v>
      </c>
      <c r="L116" s="994" t="s">
        <v>2494</v>
      </c>
      <c r="M116" s="313" t="s">
        <v>3236</v>
      </c>
      <c r="O116" s="313" t="s">
        <v>3237</v>
      </c>
      <c r="P116" s="313" t="s">
        <v>2813</v>
      </c>
      <c r="Q116" s="313" t="n">
        <v>36</v>
      </c>
      <c r="T116" s="313" t="s">
        <v>217</v>
      </c>
      <c r="U116" s="313" t="s">
        <v>217</v>
      </c>
    </row>
    <row r="117" s="313" customFormat="1" ht="26.25" customHeight="1">
      <c r="A117" s="313" t="s">
        <v>54</v>
      </c>
      <c r="B117" s="313" t="s">
        <v>101</v>
      </c>
      <c r="C117" s="313" t="n">
        <v>5170873</v>
      </c>
      <c r="D117" s="313" t="s">
        <v>216</v>
      </c>
      <c r="E117" s="313" t="s">
        <v>283</v>
      </c>
      <c r="F117" s="313" t="s">
        <v>1274</v>
      </c>
      <c r="G117" s="313" t="s">
        <v>47</v>
      </c>
      <c r="H117" s="313" t="s">
        <v>35</v>
      </c>
      <c r="I117" s="313" t="s">
        <v>56</v>
      </c>
      <c r="J117" s="313" t="s">
        <v>55</v>
      </c>
      <c r="N117" s="313" t="s">
        <v>3238</v>
      </c>
      <c r="O117" s="313" t="s">
        <v>3239</v>
      </c>
      <c r="P117" s="313" t="s">
        <v>3151</v>
      </c>
      <c r="Q117" s="313" t="n">
        <v>30</v>
      </c>
      <c r="T117" s="313" t="s">
        <v>217</v>
      </c>
      <c r="U117" s="313" t="s">
        <v>217</v>
      </c>
    </row>
    <row r="118" s="313" customFormat="1" ht="26.25" customHeight="1">
      <c r="A118" s="313" t="s">
        <v>54</v>
      </c>
      <c r="B118" s="313" t="s">
        <v>101</v>
      </c>
      <c r="C118" s="313" t="n">
        <v>5170873</v>
      </c>
      <c r="D118" s="313" t="s">
        <v>216</v>
      </c>
      <c r="E118" s="313" t="s">
        <v>283</v>
      </c>
      <c r="F118" s="313" t="s">
        <v>1116</v>
      </c>
      <c r="G118" s="313" t="s">
        <v>47</v>
      </c>
      <c r="H118" s="313" t="s">
        <v>35</v>
      </c>
      <c r="I118" s="313" t="s">
        <v>56</v>
      </c>
      <c r="J118" s="313" t="s">
        <v>59</v>
      </c>
      <c r="O118" s="313" t="s">
        <v>3240</v>
      </c>
      <c r="T118" s="313" t="s">
        <v>217</v>
      </c>
      <c r="U118" s="313" t="s">
        <v>217</v>
      </c>
      <c r="Y118" s="313" t="s">
        <v>217</v>
      </c>
    </row>
    <row r="119" s="313" customFormat="1" ht="26.25" customHeight="1">
      <c r="A119" s="313" t="s">
        <v>54</v>
      </c>
      <c r="B119" s="313" t="s">
        <v>101</v>
      </c>
      <c r="C119" s="313" t="n">
        <v>5170873</v>
      </c>
      <c r="D119" s="313" t="s">
        <v>216</v>
      </c>
      <c r="E119" s="313" t="s">
        <v>283</v>
      </c>
      <c r="F119" s="313" t="s">
        <v>1160</v>
      </c>
      <c r="G119" s="313" t="s">
        <v>47</v>
      </c>
      <c r="H119" s="313" t="s">
        <v>35</v>
      </c>
      <c r="I119" s="313" t="s">
        <v>56</v>
      </c>
      <c r="J119" s="313" t="s">
        <v>59</v>
      </c>
      <c r="K119" s="313" t="s">
        <v>2437</v>
      </c>
      <c r="L119" s="313" t="s">
        <v>2384</v>
      </c>
      <c r="M119" s="313" t="s">
        <v>3241</v>
      </c>
      <c r="N119" s="313" t="s">
        <v>3242</v>
      </c>
      <c r="O119" s="313" t="s">
        <v>3243</v>
      </c>
      <c r="P119" s="313" t="s">
        <v>3244</v>
      </c>
      <c r="Q119" s="313" t="n">
        <v>33</v>
      </c>
      <c r="T119" s="313" t="s">
        <v>217</v>
      </c>
      <c r="U119" s="313" t="s">
        <v>217</v>
      </c>
    </row>
    <row r="120" s="313" customFormat="1" ht="26.25" customHeight="1">
      <c r="A120" s="313" t="s">
        <v>54</v>
      </c>
      <c r="B120" s="313" t="s">
        <v>101</v>
      </c>
      <c r="C120" s="313" t="n">
        <v>5170873</v>
      </c>
      <c r="D120" s="313" t="s">
        <v>216</v>
      </c>
      <c r="E120" s="313" t="s">
        <v>283</v>
      </c>
      <c r="F120" s="313" t="s">
        <v>1127</v>
      </c>
      <c r="G120" s="313" t="s">
        <v>47</v>
      </c>
      <c r="H120" s="313" t="s">
        <v>35</v>
      </c>
      <c r="I120" s="313" t="s">
        <v>56</v>
      </c>
      <c r="J120" s="313" t="s">
        <v>59</v>
      </c>
      <c r="M120" s="313" t="s">
        <v>3245</v>
      </c>
      <c r="N120" s="313" t="s">
        <v>3246</v>
      </c>
      <c r="O120" s="313" t="s">
        <v>3247</v>
      </c>
      <c r="P120" s="313" t="s">
        <v>3248</v>
      </c>
      <c r="T120" s="313" t="s">
        <v>217</v>
      </c>
      <c r="U120" s="313" t="s">
        <v>217</v>
      </c>
    </row>
    <row r="121" s="313" customFormat="1" ht="26.25" customHeight="1">
      <c r="A121" s="313" t="s">
        <v>54</v>
      </c>
      <c r="B121" s="313" t="s">
        <v>101</v>
      </c>
      <c r="C121" s="313" t="n">
        <v>5170873</v>
      </c>
      <c r="D121" s="313" t="s">
        <v>216</v>
      </c>
      <c r="E121" s="313" t="s">
        <v>283</v>
      </c>
      <c r="F121" s="313" t="s">
        <v>1100</v>
      </c>
      <c r="G121" s="313" t="s">
        <v>47</v>
      </c>
      <c r="H121" s="313" t="s">
        <v>35</v>
      </c>
      <c r="I121" s="313" t="s">
        <v>56</v>
      </c>
      <c r="J121" s="313" t="s">
        <v>59</v>
      </c>
      <c r="T121" s="313" t="s">
        <v>217</v>
      </c>
      <c r="Y121" s="313" t="s">
        <v>3088</v>
      </c>
    </row>
    <row r="122" s="313" customFormat="1" ht="26.25" customHeight="1">
      <c r="A122" s="313" t="s">
        <v>54</v>
      </c>
      <c r="B122" s="313" t="s">
        <v>101</v>
      </c>
      <c r="C122" s="313" t="n">
        <v>5170873</v>
      </c>
      <c r="D122" s="313" t="s">
        <v>216</v>
      </c>
      <c r="E122" s="313" t="s">
        <v>283</v>
      </c>
      <c r="F122" s="313" t="s">
        <v>1094</v>
      </c>
      <c r="G122" s="313" t="s">
        <v>47</v>
      </c>
      <c r="H122" s="313" t="s">
        <v>35</v>
      </c>
      <c r="I122" s="313" t="s">
        <v>56</v>
      </c>
      <c r="J122" s="313" t="s">
        <v>59</v>
      </c>
      <c r="M122" s="313" t="s">
        <v>3249</v>
      </c>
      <c r="N122" s="313" t="s">
        <v>3250</v>
      </c>
      <c r="O122" s="313" t="s">
        <v>3251</v>
      </c>
      <c r="P122" s="313" t="s">
        <v>2593</v>
      </c>
      <c r="T122" s="313" t="s">
        <v>217</v>
      </c>
      <c r="U122" s="313" t="s">
        <v>217</v>
      </c>
    </row>
    <row r="123" s="313" customFormat="1" ht="26.25" customHeight="1">
      <c r="A123" s="313" t="s">
        <v>54</v>
      </c>
      <c r="B123" s="313" t="s">
        <v>101</v>
      </c>
      <c r="C123" s="313" t="n">
        <v>5170873</v>
      </c>
      <c r="D123" s="313" t="s">
        <v>216</v>
      </c>
      <c r="E123" s="313" t="s">
        <v>283</v>
      </c>
      <c r="F123" s="313" t="s">
        <v>1117</v>
      </c>
      <c r="G123" s="313" t="s">
        <v>47</v>
      </c>
      <c r="H123" s="313" t="s">
        <v>35</v>
      </c>
      <c r="I123" s="313" t="s">
        <v>56</v>
      </c>
      <c r="J123" s="313" t="s">
        <v>59</v>
      </c>
      <c r="M123" s="313" t="s">
        <v>3252</v>
      </c>
      <c r="N123" s="313" t="s">
        <v>3253</v>
      </c>
      <c r="P123" s="313" t="s">
        <v>28</v>
      </c>
      <c r="T123" s="313" t="s">
        <v>217</v>
      </c>
      <c r="U123" s="313" t="s">
        <v>217</v>
      </c>
    </row>
    <row r="124" s="313" customFormat="1" ht="26.25" customHeight="1">
      <c r="A124" s="313" t="s">
        <v>54</v>
      </c>
      <c r="B124" s="313" t="s">
        <v>101</v>
      </c>
      <c r="C124" s="313" t="n">
        <v>5170873</v>
      </c>
      <c r="D124" s="313" t="s">
        <v>3254</v>
      </c>
      <c r="E124" s="313" t="s">
        <v>283</v>
      </c>
      <c r="F124" s="313" t="s">
        <v>1025</v>
      </c>
      <c r="G124" s="313" t="s">
        <v>47</v>
      </c>
      <c r="O124" s="313" t="s">
        <v>3255</v>
      </c>
      <c r="U124" s="313" t="s">
        <v>217</v>
      </c>
    </row>
    <row r="125" s="313" customFormat="1" ht="26.25" customHeight="1">
      <c r="A125" s="313" t="s">
        <v>54</v>
      </c>
      <c r="B125" s="313" t="s">
        <v>101</v>
      </c>
      <c r="C125" s="313" t="n">
        <v>5170873</v>
      </c>
      <c r="D125" s="313" t="s">
        <v>3256</v>
      </c>
      <c r="E125" s="313" t="s">
        <v>283</v>
      </c>
      <c r="F125" s="313" t="s">
        <v>1024</v>
      </c>
      <c r="G125" s="313" t="s">
        <v>47</v>
      </c>
      <c r="O125" s="313" t="s">
        <v>3257</v>
      </c>
      <c r="U125" s="313" t="s">
        <v>217</v>
      </c>
    </row>
    <row r="126" s="313" customFormat="1" ht="26.25" customHeight="1">
      <c r="A126" s="313" t="s">
        <v>85</v>
      </c>
      <c r="B126" s="313" t="s">
        <v>101</v>
      </c>
      <c r="C126" s="313" t="n">
        <v>5230739</v>
      </c>
      <c r="D126" s="313" t="s">
        <v>215</v>
      </c>
      <c r="E126" s="313" t="s">
        <v>283</v>
      </c>
      <c r="F126" s="313" t="s">
        <v>1083</v>
      </c>
      <c r="G126" s="313" t="s">
        <v>47</v>
      </c>
      <c r="H126" s="313" t="s">
        <v>39</v>
      </c>
      <c r="I126" s="313" t="s">
        <v>52</v>
      </c>
      <c r="J126" s="313" t="s">
        <v>34</v>
      </c>
      <c r="T126" s="313" t="s">
        <v>217</v>
      </c>
    </row>
    <row r="127" s="313" customFormat="1" ht="26.25" customHeight="1">
      <c r="A127" s="313" t="s">
        <v>85</v>
      </c>
      <c r="B127" s="313" t="s">
        <v>101</v>
      </c>
      <c r="C127" s="313" t="n">
        <v>5230739</v>
      </c>
      <c r="D127" s="313" t="s">
        <v>215</v>
      </c>
      <c r="E127" s="313" t="s">
        <v>283</v>
      </c>
      <c r="F127" s="313" t="s">
        <v>1252</v>
      </c>
      <c r="G127" s="313" t="s">
        <v>47</v>
      </c>
      <c r="H127" s="313" t="s">
        <v>39</v>
      </c>
      <c r="I127" s="313" t="s">
        <v>52</v>
      </c>
      <c r="J127" s="313" t="s">
        <v>38</v>
      </c>
      <c r="Q127" s="313" t="n">
        <v>33</v>
      </c>
      <c r="T127" s="313" t="s">
        <v>217</v>
      </c>
    </row>
    <row r="128" s="313" customFormat="1" ht="26.25" customHeight="1">
      <c r="A128" s="313" t="s">
        <v>85</v>
      </c>
      <c r="B128" s="313" t="s">
        <v>101</v>
      </c>
      <c r="C128" s="313" t="n">
        <v>5230739</v>
      </c>
      <c r="D128" s="313" t="s">
        <v>215</v>
      </c>
      <c r="E128" s="313" t="s">
        <v>283</v>
      </c>
      <c r="F128" s="313" t="s">
        <v>1078</v>
      </c>
      <c r="G128" s="313" t="s">
        <v>47</v>
      </c>
      <c r="H128" s="313" t="s">
        <v>39</v>
      </c>
      <c r="I128" s="313" t="s">
        <v>52</v>
      </c>
      <c r="J128" s="313" t="s">
        <v>34</v>
      </c>
      <c r="T128" s="313" t="s">
        <v>217</v>
      </c>
    </row>
    <row r="129" s="313" customFormat="1" ht="26.25" customHeight="1">
      <c r="A129" s="313" t="s">
        <v>85</v>
      </c>
      <c r="B129" s="313" t="s">
        <v>100</v>
      </c>
      <c r="C129" s="313" t="n">
        <v>3132810</v>
      </c>
      <c r="D129" s="313" t="s">
        <v>233</v>
      </c>
      <c r="E129" s="313" t="s">
        <v>283</v>
      </c>
      <c r="F129" s="313" t="s">
        <v>1178</v>
      </c>
      <c r="G129" s="313" t="s">
        <v>47</v>
      </c>
      <c r="H129" s="313" t="s">
        <v>39</v>
      </c>
      <c r="I129" s="313" t="s">
        <v>52</v>
      </c>
      <c r="J129" s="313" t="s">
        <v>36</v>
      </c>
      <c r="O129" s="313" t="s">
        <v>3258</v>
      </c>
      <c r="Q129" s="313" t="n">
        <v>30</v>
      </c>
      <c r="T129" s="313" t="s">
        <v>217</v>
      </c>
      <c r="U129" s="313" t="s">
        <v>217</v>
      </c>
      <c r="Y129" s="313" t="s">
        <v>217</v>
      </c>
    </row>
    <row r="130" s="313" customFormat="1" ht="26.25" customHeight="1">
      <c r="A130" s="313" t="s">
        <v>85</v>
      </c>
      <c r="B130" s="313" t="s">
        <v>100</v>
      </c>
      <c r="C130" s="313" t="n">
        <v>3132810</v>
      </c>
      <c r="D130" s="313" t="s">
        <v>233</v>
      </c>
      <c r="E130" s="313" t="s">
        <v>283</v>
      </c>
      <c r="F130" s="313" t="s">
        <v>1081</v>
      </c>
      <c r="G130" s="313" t="s">
        <v>47</v>
      </c>
      <c r="H130" s="313" t="s">
        <v>39</v>
      </c>
      <c r="I130" s="313" t="s">
        <v>52</v>
      </c>
      <c r="J130" s="313" t="s">
        <v>38</v>
      </c>
      <c r="M130" s="313" t="s">
        <v>3259</v>
      </c>
      <c r="N130" s="313" t="s">
        <v>3260</v>
      </c>
      <c r="O130" s="313" t="s">
        <v>3261</v>
      </c>
      <c r="P130" s="313" t="s">
        <v>3170</v>
      </c>
      <c r="T130" s="313" t="s">
        <v>217</v>
      </c>
      <c r="U130" s="313" t="s">
        <v>217</v>
      </c>
      <c r="Y130" s="313" t="s">
        <v>217</v>
      </c>
    </row>
    <row r="131" s="313" customFormat="1" ht="26.25" customHeight="1">
      <c r="A131" s="313" t="s">
        <v>85</v>
      </c>
      <c r="B131" s="313" t="s">
        <v>100</v>
      </c>
      <c r="C131" s="313" t="n">
        <v>3132810</v>
      </c>
      <c r="D131" s="313" t="s">
        <v>233</v>
      </c>
      <c r="E131" s="313" t="s">
        <v>283</v>
      </c>
      <c r="F131" s="313" t="s">
        <v>1076</v>
      </c>
      <c r="G131" s="313" t="s">
        <v>47</v>
      </c>
      <c r="H131" s="313" t="s">
        <v>39</v>
      </c>
      <c r="J131" s="313" t="s">
        <v>38</v>
      </c>
      <c r="M131" s="313" t="s">
        <v>3126</v>
      </c>
      <c r="N131" s="313" t="s">
        <v>3262</v>
      </c>
      <c r="O131" s="313" t="s">
        <v>3263</v>
      </c>
      <c r="P131" s="313" t="s">
        <v>3264</v>
      </c>
      <c r="T131" s="313" t="s">
        <v>217</v>
      </c>
      <c r="U131" s="313" t="s">
        <v>217</v>
      </c>
    </row>
    <row r="132" s="313" customFormat="1" ht="26.25" customHeight="1">
      <c r="A132" s="313" t="s">
        <v>85</v>
      </c>
      <c r="B132" s="313" t="s">
        <v>100</v>
      </c>
      <c r="C132" s="313" t="n">
        <v>3132810</v>
      </c>
      <c r="D132" s="313" t="s">
        <v>233</v>
      </c>
      <c r="E132" s="313" t="s">
        <v>283</v>
      </c>
      <c r="F132" s="313" t="s">
        <v>1129</v>
      </c>
      <c r="G132" s="313" t="s">
        <v>47</v>
      </c>
      <c r="H132" s="313" t="s">
        <v>39</v>
      </c>
      <c r="I132" s="313" t="s">
        <v>52</v>
      </c>
      <c r="J132" s="313" t="s">
        <v>34</v>
      </c>
      <c r="M132" s="313" t="s">
        <v>3265</v>
      </c>
      <c r="N132" s="313" t="s">
        <v>3040</v>
      </c>
      <c r="O132" s="313" t="s">
        <v>3266</v>
      </c>
      <c r="P132" s="313" t="s">
        <v>28</v>
      </c>
      <c r="T132" s="313" t="s">
        <v>217</v>
      </c>
      <c r="U132" s="313" t="s">
        <v>217</v>
      </c>
    </row>
    <row r="133" s="313" customFormat="1" ht="26.25" customHeight="1">
      <c r="A133" s="313" t="s">
        <v>85</v>
      </c>
      <c r="B133" s="313" t="s">
        <v>100</v>
      </c>
      <c r="C133" s="313" t="n">
        <v>3132810</v>
      </c>
      <c r="D133" s="313" t="s">
        <v>233</v>
      </c>
      <c r="E133" s="313" t="s">
        <v>283</v>
      </c>
      <c r="F133" s="313" t="s">
        <v>1082</v>
      </c>
      <c r="G133" s="313" t="s">
        <v>47</v>
      </c>
      <c r="H133" s="313" t="s">
        <v>39</v>
      </c>
      <c r="I133" s="313" t="s">
        <v>52</v>
      </c>
      <c r="J133" s="313" t="s">
        <v>38</v>
      </c>
      <c r="M133" s="313" t="s">
        <v>505</v>
      </c>
      <c r="N133" s="313" t="s">
        <v>3267</v>
      </c>
      <c r="O133" s="313" t="s">
        <v>3268</v>
      </c>
      <c r="P133" s="313" t="s">
        <v>3269</v>
      </c>
      <c r="T133" s="313" t="s">
        <v>217</v>
      </c>
      <c r="U133" s="313" t="s">
        <v>217</v>
      </c>
    </row>
    <row r="134" s="313" customFormat="1" ht="26.25" customHeight="1">
      <c r="A134" s="313" t="s">
        <v>85</v>
      </c>
      <c r="B134" s="313" t="s">
        <v>100</v>
      </c>
      <c r="C134" s="313" t="n">
        <v>3132810</v>
      </c>
      <c r="D134" s="313" t="s">
        <v>233</v>
      </c>
      <c r="E134" s="313" t="s">
        <v>283</v>
      </c>
      <c r="F134" s="313" t="s">
        <v>1080</v>
      </c>
      <c r="G134" s="313" t="s">
        <v>47</v>
      </c>
      <c r="H134" s="313" t="s">
        <v>39</v>
      </c>
      <c r="I134" s="313" t="s">
        <v>52</v>
      </c>
      <c r="J134" s="313" t="s">
        <v>38</v>
      </c>
      <c r="M134" s="313" t="s">
        <v>3270</v>
      </c>
      <c r="N134" s="313" t="s">
        <v>3271</v>
      </c>
      <c r="P134" s="313" t="s">
        <v>3272</v>
      </c>
      <c r="T134" s="313" t="s">
        <v>217</v>
      </c>
      <c r="U134" s="313" t="s">
        <v>217</v>
      </c>
    </row>
    <row r="135" s="313" customFormat="1" ht="26.25" customHeight="1">
      <c r="A135" s="313" t="s">
        <v>85</v>
      </c>
      <c r="B135" s="313" t="s">
        <v>100</v>
      </c>
      <c r="C135" s="313" t="n">
        <v>3132810</v>
      </c>
      <c r="D135" s="313" t="s">
        <v>233</v>
      </c>
      <c r="E135" s="313" t="s">
        <v>283</v>
      </c>
      <c r="F135" s="313" t="s">
        <v>1142</v>
      </c>
      <c r="G135" s="313" t="s">
        <v>47</v>
      </c>
      <c r="H135" s="313" t="s">
        <v>39</v>
      </c>
      <c r="I135" s="313" t="s">
        <v>52</v>
      </c>
      <c r="J135" s="313" t="s">
        <v>38</v>
      </c>
      <c r="O135" s="313" t="s">
        <v>3273</v>
      </c>
      <c r="T135" s="313" t="s">
        <v>217</v>
      </c>
      <c r="U135" s="313" t="s">
        <v>217</v>
      </c>
      <c r="Y135" s="313" t="s">
        <v>217</v>
      </c>
    </row>
    <row r="136" s="313" customFormat="1" ht="26.25" customHeight="1">
      <c r="A136" s="313" t="s">
        <v>85</v>
      </c>
      <c r="B136" s="313" t="s">
        <v>100</v>
      </c>
      <c r="C136" s="313" t="n">
        <v>3132810</v>
      </c>
      <c r="D136" s="313" t="s">
        <v>233</v>
      </c>
      <c r="E136" s="313" t="s">
        <v>283</v>
      </c>
      <c r="F136" s="313" t="s">
        <v>1134</v>
      </c>
      <c r="G136" s="313" t="s">
        <v>47</v>
      </c>
      <c r="H136" s="313" t="s">
        <v>39</v>
      </c>
      <c r="I136" s="313" t="s">
        <v>52</v>
      </c>
      <c r="J136" s="313" t="s">
        <v>38</v>
      </c>
      <c r="M136" s="313" t="s">
        <v>3274</v>
      </c>
      <c r="N136" s="313" t="s">
        <v>3275</v>
      </c>
      <c r="O136" s="313" t="s">
        <v>3276</v>
      </c>
      <c r="P136" s="313" t="s">
        <v>3277</v>
      </c>
      <c r="T136" s="313" t="s">
        <v>217</v>
      </c>
      <c r="U136" s="313" t="s">
        <v>217</v>
      </c>
    </row>
    <row r="137" s="313" customFormat="1" ht="26.25" customHeight="1">
      <c r="A137" s="313" t="s">
        <v>85</v>
      </c>
      <c r="B137" s="313" t="s">
        <v>100</v>
      </c>
      <c r="C137" s="313" t="n">
        <v>3132810</v>
      </c>
      <c r="D137" s="313" t="s">
        <v>233</v>
      </c>
      <c r="E137" s="313" t="s">
        <v>283</v>
      </c>
      <c r="F137" s="313" t="s">
        <v>458</v>
      </c>
      <c r="G137" s="313" t="s">
        <v>47</v>
      </c>
      <c r="J137" s="313" t="s">
        <v>38</v>
      </c>
      <c r="K137" s="313" t="s">
        <v>3278</v>
      </c>
      <c r="M137" s="313" t="s">
        <v>3279</v>
      </c>
      <c r="N137" s="313" t="s">
        <v>3280</v>
      </c>
      <c r="O137" s="313" t="s">
        <v>3281</v>
      </c>
      <c r="P137" s="313" t="n">
        <v>95</v>
      </c>
      <c r="Q137" s="313" t="n">
        <v>32</v>
      </c>
      <c r="T137" s="313" t="s">
        <v>217</v>
      </c>
      <c r="U137" s="313" t="s">
        <v>217</v>
      </c>
    </row>
    <row r="138" s="313" customFormat="1" ht="26.25" customHeight="1">
      <c r="A138" s="313" t="s">
        <v>45</v>
      </c>
      <c r="B138" s="313" t="s">
        <v>100</v>
      </c>
      <c r="C138" s="313" t="n">
        <v>5230809</v>
      </c>
      <c r="D138" s="313" t="s">
        <v>215</v>
      </c>
      <c r="E138" s="313" t="s">
        <v>283</v>
      </c>
      <c r="F138" s="313" t="s">
        <v>364</v>
      </c>
      <c r="G138" s="313" t="s">
        <v>47</v>
      </c>
      <c r="H138" s="313" t="s">
        <v>37</v>
      </c>
      <c r="I138" s="313" t="s">
        <v>58</v>
      </c>
      <c r="J138" s="313" t="s">
        <v>48</v>
      </c>
      <c r="T138" s="313" t="s">
        <v>217</v>
      </c>
    </row>
    <row r="139" s="313" customFormat="1" ht="26.25" customHeight="1">
      <c r="A139" s="313" t="s">
        <v>45</v>
      </c>
      <c r="B139" s="313" t="s">
        <v>100</v>
      </c>
      <c r="C139" s="313" t="n">
        <v>5230809</v>
      </c>
      <c r="D139" s="313" t="s">
        <v>215</v>
      </c>
      <c r="E139" s="313" t="s">
        <v>283</v>
      </c>
      <c r="F139" s="313" t="s">
        <v>1136</v>
      </c>
      <c r="G139" s="313" t="s">
        <v>47</v>
      </c>
      <c r="H139" s="313" t="s">
        <v>35</v>
      </c>
      <c r="I139" s="313" t="s">
        <v>52</v>
      </c>
      <c r="J139" s="313" t="s">
        <v>48</v>
      </c>
      <c r="O139" s="313" t="s">
        <v>3282</v>
      </c>
      <c r="T139" s="313" t="s">
        <v>217</v>
      </c>
      <c r="U139" s="313" t="s">
        <v>217</v>
      </c>
      <c r="Y139" s="313" t="s">
        <v>217</v>
      </c>
    </row>
    <row r="140" s="313" customFormat="1" ht="26.25" customHeight="1">
      <c r="A140" s="313" t="s">
        <v>45</v>
      </c>
      <c r="B140" s="313" t="s">
        <v>100</v>
      </c>
      <c r="C140" s="313" t="n">
        <v>5230809</v>
      </c>
      <c r="D140" s="313" t="s">
        <v>215</v>
      </c>
      <c r="E140" s="313" t="s">
        <v>283</v>
      </c>
      <c r="F140" s="313" t="s">
        <v>1133</v>
      </c>
      <c r="G140" s="313" t="s">
        <v>47</v>
      </c>
      <c r="J140" s="313" t="s">
        <v>48</v>
      </c>
      <c r="M140" s="313" t="s">
        <v>3283</v>
      </c>
      <c r="N140" s="313" t="s">
        <v>3284</v>
      </c>
      <c r="O140" s="313" t="s">
        <v>3285</v>
      </c>
      <c r="P140" s="313" t="n">
        <v>295</v>
      </c>
      <c r="Q140" s="313" t="n">
        <v>30</v>
      </c>
      <c r="T140" s="313" t="s">
        <v>217</v>
      </c>
      <c r="U140" s="313" t="s">
        <v>217</v>
      </c>
      <c r="Y140" s="313" t="s">
        <v>217</v>
      </c>
    </row>
    <row r="141" s="313" customFormat="1" ht="26.25" customHeight="1">
      <c r="A141" s="313" t="s">
        <v>45</v>
      </c>
      <c r="B141" s="313" t="s">
        <v>100</v>
      </c>
      <c r="C141" s="313" t="n">
        <v>5230809</v>
      </c>
      <c r="D141" s="313" t="s">
        <v>215</v>
      </c>
      <c r="E141" s="313" t="s">
        <v>283</v>
      </c>
      <c r="F141" s="313" t="s">
        <v>1285</v>
      </c>
      <c r="G141" s="313" t="s">
        <v>47</v>
      </c>
      <c r="J141" s="313" t="s">
        <v>48</v>
      </c>
    </row>
    <row r="142" s="313" customFormat="1" ht="26.25" customHeight="1">
      <c r="A142" s="313" t="s">
        <v>45</v>
      </c>
      <c r="B142" s="313" t="s">
        <v>100</v>
      </c>
      <c r="C142" s="313" t="n">
        <v>5230809</v>
      </c>
      <c r="D142" s="313" t="s">
        <v>215</v>
      </c>
      <c r="E142" s="313" t="s">
        <v>283</v>
      </c>
      <c r="F142" s="313" t="s">
        <v>1180</v>
      </c>
      <c r="G142" s="313" t="s">
        <v>47</v>
      </c>
      <c r="H142" s="313" t="s">
        <v>35</v>
      </c>
      <c r="I142" s="313" t="s">
        <v>52</v>
      </c>
      <c r="J142" s="313" t="s">
        <v>48</v>
      </c>
      <c r="K142" s="313" t="s">
        <v>407</v>
      </c>
      <c r="M142" s="313" t="s">
        <v>3286</v>
      </c>
      <c r="N142" s="313" t="s">
        <v>3040</v>
      </c>
      <c r="O142" s="313" t="s">
        <v>3287</v>
      </c>
      <c r="P142" s="313" t="s">
        <v>3288</v>
      </c>
      <c r="T142" s="313" t="s">
        <v>217</v>
      </c>
      <c r="U142" s="313" t="s">
        <v>217</v>
      </c>
    </row>
    <row r="143" s="313" customFormat="1" ht="26.25" customHeight="1">
      <c r="A143" s="313" t="s">
        <v>45</v>
      </c>
      <c r="B143" s="313" t="s">
        <v>100</v>
      </c>
      <c r="C143" s="313" t="n">
        <v>5230809</v>
      </c>
      <c r="D143" s="313" t="s">
        <v>215</v>
      </c>
      <c r="E143" s="313" t="s">
        <v>283</v>
      </c>
      <c r="F143" s="313" t="s">
        <v>1161</v>
      </c>
      <c r="G143" s="313" t="s">
        <v>47</v>
      </c>
      <c r="H143" s="313" t="s">
        <v>35</v>
      </c>
      <c r="I143" s="313" t="s">
        <v>52</v>
      </c>
      <c r="J143" s="313" t="s">
        <v>46</v>
      </c>
      <c r="M143" s="313" t="s">
        <v>3126</v>
      </c>
      <c r="N143" s="313" t="s">
        <v>3289</v>
      </c>
      <c r="O143" s="313" t="s">
        <v>3290</v>
      </c>
      <c r="P143" s="313" t="s">
        <v>3121</v>
      </c>
      <c r="Q143" s="313" t="n">
        <v>30</v>
      </c>
      <c r="T143" s="313" t="s">
        <v>217</v>
      </c>
      <c r="U143" s="313" t="s">
        <v>217</v>
      </c>
      <c r="Y143" s="313" t="s">
        <v>217</v>
      </c>
    </row>
    <row r="144" s="313" customFormat="1" ht="26.25" customHeight="1">
      <c r="A144" s="313" t="s">
        <v>45</v>
      </c>
      <c r="B144" s="313" t="s">
        <v>100</v>
      </c>
      <c r="C144" s="313" t="n">
        <v>5230809</v>
      </c>
      <c r="D144" s="313" t="s">
        <v>215</v>
      </c>
      <c r="E144" s="313" t="s">
        <v>283</v>
      </c>
      <c r="F144" s="313" t="s">
        <v>1139</v>
      </c>
      <c r="G144" s="313" t="s">
        <v>47</v>
      </c>
      <c r="H144" s="313" t="s">
        <v>35</v>
      </c>
      <c r="I144" s="313" t="s">
        <v>52</v>
      </c>
      <c r="J144" s="313" t="s">
        <v>48</v>
      </c>
      <c r="M144" s="313" t="s">
        <v>3291</v>
      </c>
      <c r="P144" s="313" t="s">
        <v>2453</v>
      </c>
      <c r="T144" s="313" t="s">
        <v>217</v>
      </c>
      <c r="U144" s="313" t="s">
        <v>217</v>
      </c>
      <c r="Y144" s="313" t="s">
        <v>217</v>
      </c>
    </row>
    <row r="145" s="313" customFormat="1" ht="26.25" customHeight="1">
      <c r="A145" s="313" t="s">
        <v>45</v>
      </c>
      <c r="B145" s="313" t="s">
        <v>100</v>
      </c>
      <c r="C145" s="313" t="n">
        <v>5230809</v>
      </c>
      <c r="D145" s="313" t="s">
        <v>215</v>
      </c>
      <c r="E145" s="313" t="s">
        <v>283</v>
      </c>
      <c r="F145" s="313" t="s">
        <v>1101</v>
      </c>
      <c r="G145" s="313" t="s">
        <v>47</v>
      </c>
      <c r="H145" s="313" t="s">
        <v>35</v>
      </c>
      <c r="I145" s="313" t="s">
        <v>52</v>
      </c>
      <c r="J145" s="313" t="s">
        <v>46</v>
      </c>
      <c r="T145" s="313" t="s">
        <v>217</v>
      </c>
      <c r="Y145" s="313" t="s">
        <v>217</v>
      </c>
    </row>
    <row r="146" s="313" customFormat="1" ht="26.25" customHeight="1">
      <c r="A146" s="313" t="s">
        <v>45</v>
      </c>
      <c r="B146" s="313" t="s">
        <v>100</v>
      </c>
      <c r="C146" s="313" t="n">
        <v>5230809</v>
      </c>
      <c r="D146" s="313" t="s">
        <v>215</v>
      </c>
      <c r="E146" s="313" t="s">
        <v>283</v>
      </c>
      <c r="F146" s="313" t="s">
        <v>1092</v>
      </c>
      <c r="G146" s="313" t="s">
        <v>47</v>
      </c>
      <c r="H146" s="313" t="s">
        <v>35</v>
      </c>
      <c r="I146" s="313" t="s">
        <v>52</v>
      </c>
      <c r="J146" s="313" t="s">
        <v>50</v>
      </c>
      <c r="T146" s="313" t="s">
        <v>217</v>
      </c>
    </row>
    <row r="147" s="313" customFormat="1" ht="26.25" customHeight="1">
      <c r="A147" s="313" t="s">
        <v>45</v>
      </c>
      <c r="B147" s="313" t="s">
        <v>100</v>
      </c>
      <c r="C147" s="313" t="n">
        <v>5230809</v>
      </c>
      <c r="D147" s="313" t="s">
        <v>215</v>
      </c>
      <c r="E147" s="313" t="s">
        <v>283</v>
      </c>
      <c r="F147" s="313" t="s">
        <v>1140</v>
      </c>
      <c r="G147" s="313" t="s">
        <v>47</v>
      </c>
      <c r="H147" s="313" t="s">
        <v>35</v>
      </c>
      <c r="I147" s="313" t="s">
        <v>52</v>
      </c>
      <c r="J147" s="313" t="s">
        <v>40</v>
      </c>
      <c r="O147" s="313" t="s">
        <v>3292</v>
      </c>
      <c r="Q147" s="313" t="n">
        <v>31</v>
      </c>
      <c r="T147" s="313" t="s">
        <v>217</v>
      </c>
      <c r="U147" s="313" t="s">
        <v>217</v>
      </c>
    </row>
    <row r="148" s="313" customFormat="1" ht="26.25" customHeight="1">
      <c r="A148" s="313" t="s">
        <v>45</v>
      </c>
      <c r="B148" s="313" t="s">
        <v>100</v>
      </c>
      <c r="C148" s="313" t="n">
        <v>5230809</v>
      </c>
      <c r="D148" s="313" t="s">
        <v>215</v>
      </c>
      <c r="E148" s="313" t="s">
        <v>283</v>
      </c>
      <c r="F148" s="313" t="s">
        <v>411</v>
      </c>
      <c r="G148" s="313" t="s">
        <v>47</v>
      </c>
      <c r="H148" s="313" t="s">
        <v>31</v>
      </c>
      <c r="I148" s="313" t="s">
        <v>58</v>
      </c>
      <c r="J148" s="313" t="s">
        <v>50</v>
      </c>
      <c r="T148" s="313" t="s">
        <v>217</v>
      </c>
    </row>
    <row r="149" s="313" customFormat="1" ht="26.25" customHeight="1">
      <c r="A149" s="313" t="s">
        <v>85</v>
      </c>
      <c r="B149" s="313" t="s">
        <v>65</v>
      </c>
      <c r="C149" s="313" t="s">
        <v>3293</v>
      </c>
      <c r="D149" s="313" t="s">
        <v>246</v>
      </c>
      <c r="E149" s="313" t="s">
        <v>283</v>
      </c>
      <c r="F149" s="313" t="s">
        <v>762</v>
      </c>
      <c r="G149" s="313" t="s">
        <v>47</v>
      </c>
      <c r="H149" s="313" t="s">
        <v>31</v>
      </c>
      <c r="I149" s="313" t="s">
        <v>52</v>
      </c>
      <c r="J149" s="313" t="s">
        <v>36</v>
      </c>
      <c r="T149" s="313" t="s">
        <v>217</v>
      </c>
    </row>
    <row r="150" s="313" customFormat="1" ht="26.25" customHeight="1">
      <c r="A150" s="313" t="s">
        <v>54</v>
      </c>
      <c r="B150" s="313" t="s">
        <v>65</v>
      </c>
      <c r="C150" s="313" t="s">
        <v>3294</v>
      </c>
      <c r="D150" s="313" t="s">
        <v>216</v>
      </c>
      <c r="E150" s="313" t="s">
        <v>283</v>
      </c>
      <c r="F150" s="313" t="s">
        <v>642</v>
      </c>
      <c r="G150" s="313" t="s">
        <v>47</v>
      </c>
      <c r="H150" s="313" t="s">
        <v>35</v>
      </c>
      <c r="I150" s="313" t="s">
        <v>56</v>
      </c>
      <c r="J150" s="313" t="s">
        <v>59</v>
      </c>
      <c r="Q150" s="313" t="s">
        <v>2281</v>
      </c>
      <c r="T150" s="313" t="s">
        <v>217</v>
      </c>
    </row>
    <row r="151" s="313" customFormat="1" ht="26.25" customHeight="1">
      <c r="A151" s="313" t="s">
        <v>54</v>
      </c>
      <c r="B151" s="313" t="s">
        <v>65</v>
      </c>
      <c r="C151" s="313" t="s">
        <v>3294</v>
      </c>
      <c r="D151" s="313" t="s">
        <v>216</v>
      </c>
      <c r="E151" s="313" t="s">
        <v>283</v>
      </c>
      <c r="F151" s="313" t="s">
        <v>533</v>
      </c>
      <c r="G151" s="313" t="s">
        <v>47</v>
      </c>
      <c r="H151" s="313" t="s">
        <v>35</v>
      </c>
      <c r="I151" s="313" t="s">
        <v>56</v>
      </c>
      <c r="J151" s="313" t="s">
        <v>59</v>
      </c>
      <c r="M151" s="313" t="s">
        <v>1461</v>
      </c>
      <c r="O151" s="995" t="s">
        <v>3295</v>
      </c>
      <c r="P151" s="313" t="n">
        <v>95</v>
      </c>
      <c r="Q151" s="313" t="s">
        <v>87</v>
      </c>
      <c r="T151" s="313" t="s">
        <v>217</v>
      </c>
      <c r="V151" s="313" t="s">
        <v>217</v>
      </c>
    </row>
    <row r="152" s="313" customFormat="1" ht="26.25" customHeight="1">
      <c r="A152" s="313" t="s">
        <v>54</v>
      </c>
      <c r="B152" s="313" t="s">
        <v>65</v>
      </c>
      <c r="C152" s="313" t="s">
        <v>3294</v>
      </c>
      <c r="D152" s="313" t="s">
        <v>216</v>
      </c>
      <c r="E152" s="313" t="s">
        <v>283</v>
      </c>
      <c r="F152" s="313" t="s">
        <v>827</v>
      </c>
      <c r="G152" s="313" t="s">
        <v>47</v>
      </c>
      <c r="H152" s="313" t="s">
        <v>35</v>
      </c>
      <c r="I152" s="313" t="s">
        <v>56</v>
      </c>
      <c r="J152" s="313" t="s">
        <v>59</v>
      </c>
      <c r="K152" s="313" t="s">
        <v>267</v>
      </c>
      <c r="M152" s="313" t="s">
        <v>3296</v>
      </c>
      <c r="O152" s="996" t="s">
        <v>3297</v>
      </c>
      <c r="P152" s="313" t="s">
        <v>3216</v>
      </c>
      <c r="Q152" s="313" t="s">
        <v>2259</v>
      </c>
      <c r="T152" s="313" t="s">
        <v>217</v>
      </c>
      <c r="V152" s="313"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1" customFormat="1" ht="16.5" customHeight="1">
      <c r="A194" s="495" t="s">
        <v>45</v>
      </c>
      <c r="B194" s="495" t="s">
        <v>88</v>
      </c>
      <c r="C194" s="495" t="n">
        <v>5230722</v>
      </c>
      <c r="D194" s="495" t="s">
        <v>233</v>
      </c>
      <c r="E194" s="495" t="s">
        <v>283</v>
      </c>
      <c r="F194" s="495" t="s">
        <v>761</v>
      </c>
      <c r="G194" s="495" t="s">
        <v>47</v>
      </c>
      <c r="H194" s="495" t="s">
        <v>31</v>
      </c>
      <c r="I194" s="495" t="s">
        <v>58</v>
      </c>
      <c r="J194" s="131" t="s">
        <v>46</v>
      </c>
      <c r="O194" s="10"/>
      <c r="AA194" s="493"/>
    </row>
    <row r="195" ht="16.5" customHeight="1">
      <c r="AA195" s="318"/>
    </row>
    <row r="196" ht="16.5" customHeight="1">
      <c r="AA196" s="318"/>
    </row>
    <row r="197" ht="16.5" customHeight="1">
      <c r="AA197" s="318"/>
    </row>
    <row r="198" ht="16.5" customHeight="1">
      <c r="AA198" s="318"/>
    </row>
    <row r="199" ht="16.5" customHeight="1">
      <c r="AA199" s="318"/>
    </row>
    <row r="200" ht="16.5" customHeight="1">
      <c r="AA200" s="318"/>
    </row>
    <row r="201" ht="16.5" customHeight="1">
      <c r="AA201" s="318"/>
    </row>
    <row r="202" ht="16.5" customHeight="1">
      <c r="AA202" s="318"/>
    </row>
    <row r="203" ht="16.5" customHeight="1">
      <c r="AA203" s="318"/>
    </row>
    <row r="204" ht="16.5" customHeight="1">
      <c r="AA204" s="9"/>
    </row>
    <row r="205" ht="16.5" customHeight="1">
      <c r="AA205" s="318"/>
    </row>
    <row r="206" ht="16.5" customHeight="1">
      <c r="AA206" s="318"/>
    </row>
    <row r="207" ht="16.5" customHeight="1">
      <c r="AA207" s="318"/>
    </row>
    <row r="208" ht="16.5" customHeight="1">
      <c r="AA208" s="318"/>
    </row>
    <row r="209" ht="16.5" customHeight="1">
      <c r="AA209" s="318"/>
    </row>
    <row r="210" ht="16.5" customHeight="1">
      <c r="AA210" s="318"/>
    </row>
    <row r="211" ht="16.5" customHeight="1">
      <c r="AA211" s="318"/>
    </row>
    <row r="212" ht="16.5" customHeight="1">
      <c r="AA212" s="318"/>
    </row>
    <row r="213" ht="16.5" customHeight="1">
      <c r="AA213" s="318"/>
    </row>
    <row r="214" ht="16.5" customHeight="1">
      <c r="AA214" s="318"/>
    </row>
    <row r="215" ht="16.5" customHeight="1">
      <c r="AA215" s="318"/>
    </row>
    <row r="216" ht="16.5" customHeight="1">
      <c r="AA216" s="318"/>
    </row>
    <row r="217" ht="16.5" customHeight="1">
      <c r="AA217" s="318"/>
    </row>
    <row r="218" ht="16.5" customHeight="1">
      <c r="AA218" s="318"/>
    </row>
    <row r="219" ht="16.5" customHeight="1">
      <c r="AA219" s="318"/>
    </row>
    <row r="220" ht="16.5" customHeight="1">
      <c r="AA220" s="318"/>
    </row>
  </sheetData>
  <autoFilter ref="A2:XFD1048576"/>
  <mergeCells count="4">
    <mergeCell ref="A1:J1"/>
    <mergeCell ref="K1:O1"/>
    <mergeCell ref="P1:S1"/>
    <mergeCell ref="T1:Y1"/>
  </mergeCells>
  <phoneticPr fontId="1" type="noConversion"/>
  <conditionalFormatting sqref="F194">
    <cfRule priority="56" type="duplicateValues" dxfId="0"/>
  </conditionalFormatting>
  <conditionalFormatting sqref="AA1:AA2 AA153:AA220 F1:F2 F153:F193 F195:F220">
    <cfRule priority="51"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90"/>
    <col min="11" max="12" width="10" style="494"/>
    <col min="13" max="13" width="26.625" customWidth="1" style="484"/>
    <col min="14" max="14" width="21.873046875" customWidth="1" style="484"/>
    <col min="15" max="15" width="20.4990234375" customWidth="1" style="484"/>
    <col min="16" max="19" width="10" style="484"/>
  </cols>
  <sheetData>
    <row r="1" s="498" customFormat="1" ht="26.25" customHeight="1">
      <c r="A1" s="499" t="s">
        <v>2588</v>
      </c>
      <c r="F1" s="500"/>
      <c r="K1" s="501" t="s">
        <v>2351</v>
      </c>
      <c r="L1" s="502"/>
      <c r="M1" s="503"/>
      <c r="N1" s="503"/>
      <c r="O1" s="503"/>
      <c r="P1" s="504" t="s">
        <v>2352</v>
      </c>
      <c r="Q1" s="503"/>
      <c r="R1" s="503"/>
      <c r="S1" s="503"/>
      <c r="T1" s="505" t="s">
        <v>2353</v>
      </c>
    </row>
    <row r="2" s="498" customFormat="1" ht="26.25" customHeight="1">
      <c r="A2" s="506" t="s">
        <v>71</v>
      </c>
      <c r="B2" s="506" t="s">
        <v>174</v>
      </c>
      <c r="C2" s="506" t="s">
        <v>2354</v>
      </c>
      <c r="D2" s="506" t="s">
        <v>2355</v>
      </c>
      <c r="E2" s="506" t="s">
        <v>94</v>
      </c>
      <c r="F2" s="506" t="s">
        <v>148</v>
      </c>
      <c r="G2" s="506" t="s">
        <v>172</v>
      </c>
      <c r="H2" s="506" t="s">
        <v>3004</v>
      </c>
      <c r="I2" s="506" t="s">
        <v>2357</v>
      </c>
      <c r="J2" s="506" t="s">
        <v>2358</v>
      </c>
      <c r="K2" s="506" t="s">
        <v>2359</v>
      </c>
      <c r="L2" s="506" t="s">
        <v>2360</v>
      </c>
      <c r="M2" s="997" t="s">
        <v>2361</v>
      </c>
      <c r="N2" s="506" t="s">
        <v>2362</v>
      </c>
      <c r="O2" s="506" t="s">
        <v>2363</v>
      </c>
      <c r="P2" s="506" t="s">
        <v>126</v>
      </c>
      <c r="Q2" s="506" t="s">
        <v>125</v>
      </c>
      <c r="R2" s="506" t="s">
        <v>2364</v>
      </c>
      <c r="S2" s="506" t="s">
        <v>2365</v>
      </c>
      <c r="T2" s="506" t="s">
        <v>2366</v>
      </c>
      <c r="U2" s="506" t="s">
        <v>2367</v>
      </c>
      <c r="V2" s="506" t="s">
        <v>176</v>
      </c>
      <c r="W2" s="506" t="s">
        <v>2368</v>
      </c>
      <c r="X2" s="506" t="s">
        <v>2369</v>
      </c>
      <c r="Y2" s="506" t="s">
        <v>2370</v>
      </c>
    </row>
    <row r="3" s="313" customFormat="1" ht="26.25" customHeight="1">
      <c r="A3" s="313" t="s">
        <v>54</v>
      </c>
      <c r="B3" s="313" t="s">
        <v>101</v>
      </c>
      <c r="C3" s="313" t="s">
        <v>3298</v>
      </c>
      <c r="D3" s="313" t="s">
        <v>215</v>
      </c>
      <c r="E3" s="313" t="s">
        <v>283</v>
      </c>
      <c r="F3" s="313" t="s">
        <v>1248</v>
      </c>
      <c r="G3" s="313" t="s">
        <v>49</v>
      </c>
      <c r="H3" s="313" t="s">
        <v>31</v>
      </c>
      <c r="I3" s="313" t="s">
        <v>56</v>
      </c>
      <c r="J3" s="313" t="s">
        <v>34</v>
      </c>
      <c r="Q3" s="313" t="s">
        <v>2331</v>
      </c>
      <c r="T3" s="313" t="s">
        <v>217</v>
      </c>
    </row>
    <row r="4" s="313" customFormat="1" ht="26.25" customHeight="1">
      <c r="A4" s="313" t="s">
        <v>54</v>
      </c>
      <c r="B4" s="313" t="s">
        <v>65</v>
      </c>
      <c r="C4" s="313" t="n">
        <v>5230773</v>
      </c>
      <c r="D4" s="313" t="s">
        <v>216</v>
      </c>
      <c r="E4" s="313" t="s">
        <v>283</v>
      </c>
      <c r="F4" s="313" t="s">
        <v>340</v>
      </c>
      <c r="G4" s="313" t="s">
        <v>49</v>
      </c>
      <c r="H4" s="313" t="s">
        <v>35</v>
      </c>
      <c r="I4" s="313" t="s">
        <v>56</v>
      </c>
      <c r="J4" s="313" t="s">
        <v>57</v>
      </c>
      <c r="O4" s="184" t="s">
        <v>3299</v>
      </c>
      <c r="T4" s="313" t="s">
        <v>217</v>
      </c>
    </row>
    <row r="5" s="313" customFormat="1" ht="26.25" customHeight="1">
      <c r="A5" s="313" t="s">
        <v>54</v>
      </c>
      <c r="B5" s="313" t="s">
        <v>65</v>
      </c>
      <c r="C5" s="313" t="n">
        <v>5230773</v>
      </c>
      <c r="D5" s="313" t="s">
        <v>216</v>
      </c>
      <c r="E5" s="313" t="s">
        <v>283</v>
      </c>
      <c r="F5" s="313" t="s">
        <v>465</v>
      </c>
      <c r="G5" s="313" t="s">
        <v>49</v>
      </c>
      <c r="H5" s="313" t="s">
        <v>35</v>
      </c>
      <c r="I5" s="313" t="s">
        <v>56</v>
      </c>
      <c r="J5" s="313" t="s">
        <v>59</v>
      </c>
      <c r="O5" s="204" t="s">
        <v>3300</v>
      </c>
      <c r="T5" s="313" t="s">
        <v>217</v>
      </c>
    </row>
    <row r="6" s="313" customFormat="1" ht="26.25" customHeight="1">
      <c r="A6" s="313" t="s">
        <v>54</v>
      </c>
      <c r="B6" s="313" t="s">
        <v>65</v>
      </c>
      <c r="C6" s="313" t="n">
        <v>5230773</v>
      </c>
      <c r="D6" s="313" t="s">
        <v>216</v>
      </c>
      <c r="E6" s="313" t="s">
        <v>283</v>
      </c>
      <c r="F6" s="313" t="s">
        <v>842</v>
      </c>
      <c r="G6" s="313" t="s">
        <v>49</v>
      </c>
      <c r="H6" s="313" t="s">
        <v>35</v>
      </c>
      <c r="I6" s="313" t="s">
        <v>56</v>
      </c>
      <c r="J6" s="313" t="s">
        <v>57</v>
      </c>
      <c r="M6" s="313" t="s">
        <v>3301</v>
      </c>
      <c r="O6" s="204" t="s">
        <v>3302</v>
      </c>
      <c r="P6" s="313" t="s">
        <v>2498</v>
      </c>
      <c r="T6" s="313" t="s">
        <v>217</v>
      </c>
      <c r="U6" s="313" t="s">
        <v>217</v>
      </c>
    </row>
    <row r="7" s="313" customFormat="1" ht="26.25" customHeight="1">
      <c r="A7" s="313" t="s">
        <v>54</v>
      </c>
      <c r="B7" s="313" t="s">
        <v>65</v>
      </c>
      <c r="C7" s="313" t="n">
        <v>5230773</v>
      </c>
      <c r="D7" s="313" t="s">
        <v>216</v>
      </c>
      <c r="E7" s="313" t="s">
        <v>283</v>
      </c>
      <c r="F7" s="313" t="s">
        <v>516</v>
      </c>
      <c r="G7" s="313" t="s">
        <v>49</v>
      </c>
      <c r="H7" s="313" t="s">
        <v>35</v>
      </c>
      <c r="I7" s="313" t="s">
        <v>56</v>
      </c>
      <c r="J7" s="313" t="s">
        <v>59</v>
      </c>
      <c r="O7" s="184" t="s">
        <v>3303</v>
      </c>
      <c r="Q7" s="313" t="n">
        <v>30</v>
      </c>
      <c r="T7" s="313" t="s">
        <v>217</v>
      </c>
      <c r="U7" s="313" t="s">
        <v>217</v>
      </c>
    </row>
    <row r="8" s="313" customFormat="1" ht="26.25" customHeight="1">
      <c r="A8" s="313" t="s">
        <v>54</v>
      </c>
      <c r="B8" s="313" t="s">
        <v>65</v>
      </c>
      <c r="C8" s="313" t="n">
        <v>5230773</v>
      </c>
      <c r="D8" s="313" t="s">
        <v>216</v>
      </c>
      <c r="E8" s="313" t="s">
        <v>283</v>
      </c>
      <c r="F8" s="313" t="s">
        <v>698</v>
      </c>
      <c r="G8" s="313" t="s">
        <v>49</v>
      </c>
      <c r="J8" s="313" t="s">
        <v>34</v>
      </c>
      <c r="N8" s="313" t="s">
        <v>3304</v>
      </c>
      <c r="O8" s="184"/>
      <c r="T8" s="313" t="s">
        <v>217</v>
      </c>
    </row>
    <row r="9" s="313" customFormat="1" ht="26.25" customHeight="1">
      <c r="A9" s="313" t="s">
        <v>54</v>
      </c>
      <c r="B9" s="313" t="s">
        <v>65</v>
      </c>
      <c r="C9" s="313" t="n">
        <v>5230773</v>
      </c>
      <c r="D9" s="313" t="s">
        <v>216</v>
      </c>
      <c r="E9" s="313" t="s">
        <v>283</v>
      </c>
      <c r="F9" s="313" t="s">
        <v>797</v>
      </c>
      <c r="G9" s="313" t="s">
        <v>49</v>
      </c>
      <c r="H9" s="313" t="s">
        <v>35</v>
      </c>
      <c r="I9" s="313" t="s">
        <v>56</v>
      </c>
      <c r="J9" s="313" t="s">
        <v>34</v>
      </c>
      <c r="M9" s="313" t="s">
        <v>3305</v>
      </c>
      <c r="N9" s="313" t="s">
        <v>3306</v>
      </c>
      <c r="O9" s="184" t="s">
        <v>3307</v>
      </c>
      <c r="Q9" s="313" t="n">
        <v>25</v>
      </c>
      <c r="T9" s="313" t="s">
        <v>217</v>
      </c>
      <c r="U9" s="313" t="s">
        <v>217</v>
      </c>
    </row>
    <row r="10" s="313" customFormat="1" ht="26.25" customHeight="1">
      <c r="A10" s="313" t="s">
        <v>54</v>
      </c>
      <c r="B10" s="313" t="s">
        <v>65</v>
      </c>
      <c r="C10" s="313" t="n">
        <v>5230773</v>
      </c>
      <c r="D10" s="313" t="s">
        <v>216</v>
      </c>
      <c r="E10" s="313" t="s">
        <v>283</v>
      </c>
      <c r="F10" s="313" t="s">
        <v>692</v>
      </c>
      <c r="G10" s="313" t="s">
        <v>49</v>
      </c>
      <c r="H10" s="313" t="s">
        <v>35</v>
      </c>
      <c r="I10" s="313" t="s">
        <v>56</v>
      </c>
      <c r="J10" s="313" t="s">
        <v>38</v>
      </c>
      <c r="O10" s="184" t="s">
        <v>1233</v>
      </c>
      <c r="T10" s="313" t="s">
        <v>217</v>
      </c>
      <c r="U10" s="313" t="s">
        <v>217</v>
      </c>
    </row>
    <row r="11" s="313" customFormat="1" ht="26.25" customHeight="1">
      <c r="A11" s="313" t="s">
        <v>54</v>
      </c>
      <c r="B11" s="313" t="s">
        <v>65</v>
      </c>
      <c r="C11" s="313" t="n">
        <v>5230773</v>
      </c>
      <c r="D11" s="313" t="s">
        <v>216</v>
      </c>
      <c r="E11" s="313" t="s">
        <v>283</v>
      </c>
      <c r="F11" s="313" t="s">
        <v>369</v>
      </c>
      <c r="G11" s="313" t="s">
        <v>49</v>
      </c>
      <c r="H11" s="313" t="s">
        <v>35</v>
      </c>
      <c r="I11" s="313" t="s">
        <v>56</v>
      </c>
      <c r="J11" s="313" t="s">
        <v>57</v>
      </c>
      <c r="O11" s="184" t="s">
        <v>3308</v>
      </c>
      <c r="T11" s="313" t="s">
        <v>217</v>
      </c>
    </row>
    <row r="12" s="313" customFormat="1" ht="26.25" customHeight="1">
      <c r="A12" s="313" t="s">
        <v>54</v>
      </c>
      <c r="B12" s="313" t="s">
        <v>65</v>
      </c>
      <c r="C12" s="313" t="n">
        <v>5230773</v>
      </c>
      <c r="D12" s="313" t="s">
        <v>216</v>
      </c>
      <c r="E12" s="313" t="s">
        <v>283</v>
      </c>
      <c r="F12" s="313" t="s">
        <v>770</v>
      </c>
      <c r="G12" s="313" t="s">
        <v>49</v>
      </c>
      <c r="H12" s="313" t="s">
        <v>35</v>
      </c>
      <c r="I12" s="313" t="s">
        <v>56</v>
      </c>
      <c r="J12" s="313" t="s">
        <v>55</v>
      </c>
      <c r="O12" s="184"/>
      <c r="Q12" s="313" t="n">
        <v>33</v>
      </c>
      <c r="T12" s="313" t="s">
        <v>217</v>
      </c>
    </row>
    <row r="13" s="313" customFormat="1" ht="26.25" customHeight="1">
      <c r="A13" s="313" t="s">
        <v>54</v>
      </c>
      <c r="B13" s="313" t="s">
        <v>65</v>
      </c>
      <c r="C13" s="313" t="n">
        <v>5230773</v>
      </c>
      <c r="D13" s="313" t="s">
        <v>216</v>
      </c>
      <c r="E13" s="313" t="s">
        <v>283</v>
      </c>
      <c r="F13" s="313" t="s">
        <v>882</v>
      </c>
      <c r="G13" s="313" t="s">
        <v>49</v>
      </c>
      <c r="H13" s="313" t="s">
        <v>35</v>
      </c>
      <c r="I13" s="313" t="s">
        <v>56</v>
      </c>
      <c r="J13" s="313" t="s">
        <v>55</v>
      </c>
      <c r="M13" s="313" t="s">
        <v>3309</v>
      </c>
      <c r="N13" s="313" t="s">
        <v>3310</v>
      </c>
      <c r="O13" s="184" t="s">
        <v>3311</v>
      </c>
      <c r="T13" s="313" t="s">
        <v>217</v>
      </c>
      <c r="U13" s="313" t="s">
        <v>217</v>
      </c>
    </row>
    <row r="14" s="313" customFormat="1" ht="26.25" customHeight="1">
      <c r="A14" s="313" t="s">
        <v>54</v>
      </c>
      <c r="B14" s="313" t="s">
        <v>65</v>
      </c>
      <c r="C14" s="313" t="n">
        <v>5230773</v>
      </c>
      <c r="D14" s="313" t="s">
        <v>216</v>
      </c>
      <c r="E14" s="313" t="s">
        <v>283</v>
      </c>
      <c r="F14" s="313" t="s">
        <v>387</v>
      </c>
      <c r="G14" s="313" t="s">
        <v>49</v>
      </c>
      <c r="H14" s="313" t="s">
        <v>35</v>
      </c>
      <c r="I14" s="313" t="s">
        <v>56</v>
      </c>
      <c r="J14" s="313" t="s">
        <v>57</v>
      </c>
      <c r="O14" s="184" t="s">
        <v>3312</v>
      </c>
      <c r="T14" s="313" t="s">
        <v>217</v>
      </c>
    </row>
    <row r="15" s="313" customFormat="1" ht="26.25" customHeight="1">
      <c r="A15" s="313" t="s">
        <v>54</v>
      </c>
      <c r="B15" s="313" t="s">
        <v>65</v>
      </c>
      <c r="C15" s="313" t="n">
        <v>5230773</v>
      </c>
      <c r="D15" s="313" t="s">
        <v>216</v>
      </c>
      <c r="E15" s="313" t="s">
        <v>283</v>
      </c>
      <c r="F15" s="313" t="s">
        <v>541</v>
      </c>
      <c r="G15" s="313" t="s">
        <v>49</v>
      </c>
      <c r="H15" s="313" t="s">
        <v>35</v>
      </c>
      <c r="I15" s="313" t="s">
        <v>56</v>
      </c>
      <c r="J15" s="313" t="s">
        <v>55</v>
      </c>
      <c r="M15" s="313" t="s">
        <v>3313</v>
      </c>
      <c r="N15" s="313" t="s">
        <v>3314</v>
      </c>
      <c r="O15" s="184"/>
      <c r="T15" s="313" t="s">
        <v>217</v>
      </c>
      <c r="U15" s="313" t="s">
        <v>217</v>
      </c>
    </row>
    <row r="16" s="313" customFormat="1" ht="26.25" customHeight="1">
      <c r="A16" s="313" t="s">
        <v>45</v>
      </c>
      <c r="B16" s="313" t="s">
        <v>65</v>
      </c>
      <c r="C16" s="313" t="n">
        <v>4632448</v>
      </c>
      <c r="D16" s="313" t="s">
        <v>215</v>
      </c>
      <c r="E16" s="313" t="s">
        <v>283</v>
      </c>
      <c r="F16" s="217" t="s">
        <v>378</v>
      </c>
      <c r="G16" s="313" t="s">
        <v>49</v>
      </c>
      <c r="H16" s="313" t="s">
        <v>37</v>
      </c>
      <c r="I16" s="313" t="s">
        <v>58</v>
      </c>
      <c r="J16" s="313" t="s">
        <v>46</v>
      </c>
      <c r="O16" s="184" t="s">
        <v>3315</v>
      </c>
      <c r="T16" s="313" t="s">
        <v>217</v>
      </c>
    </row>
    <row r="17" s="313" customFormat="1" ht="26.25" customHeight="1">
      <c r="A17" s="313" t="s">
        <v>45</v>
      </c>
      <c r="B17" s="313" t="s">
        <v>65</v>
      </c>
      <c r="C17" s="313" t="n">
        <v>4632448</v>
      </c>
      <c r="D17" s="313" t="s">
        <v>215</v>
      </c>
      <c r="E17" s="313" t="s">
        <v>283</v>
      </c>
      <c r="F17" s="313" t="s">
        <v>919</v>
      </c>
      <c r="G17" s="313" t="s">
        <v>49</v>
      </c>
      <c r="H17" s="313" t="s">
        <v>37</v>
      </c>
      <c r="I17" s="313" t="s">
        <v>58</v>
      </c>
      <c r="J17" s="313" t="s">
        <v>38</v>
      </c>
      <c r="O17" s="184" t="s">
        <v>3316</v>
      </c>
      <c r="Q17" s="313" t="n">
        <v>34</v>
      </c>
      <c r="T17" s="313" t="s">
        <v>217</v>
      </c>
    </row>
    <row r="18" s="313" customFormat="1" ht="26.25" customHeight="1">
      <c r="A18" s="313" t="s">
        <v>45</v>
      </c>
      <c r="B18" s="313" t="s">
        <v>65</v>
      </c>
      <c r="C18" s="313" t="n">
        <v>4632448</v>
      </c>
      <c r="D18" s="313" t="s">
        <v>215</v>
      </c>
      <c r="E18" s="313" t="s">
        <v>283</v>
      </c>
      <c r="F18" s="313" t="s">
        <v>406</v>
      </c>
      <c r="G18" s="313" t="s">
        <v>49</v>
      </c>
      <c r="H18" s="313" t="s">
        <v>37</v>
      </c>
      <c r="I18" s="313" t="s">
        <v>58</v>
      </c>
      <c r="J18" s="313" t="s">
        <v>48</v>
      </c>
      <c r="O18" s="184" t="s">
        <v>3317</v>
      </c>
      <c r="T18" s="313" t="s">
        <v>217</v>
      </c>
    </row>
    <row r="19" s="313" customFormat="1" ht="26.25" customHeight="1">
      <c r="A19" s="313" t="s">
        <v>45</v>
      </c>
      <c r="B19" s="313" t="s">
        <v>65</v>
      </c>
      <c r="C19" s="313" t="n">
        <v>4632448</v>
      </c>
      <c r="D19" s="313" t="s">
        <v>215</v>
      </c>
      <c r="E19" s="313" t="s">
        <v>283</v>
      </c>
      <c r="F19" s="313" t="s">
        <v>332</v>
      </c>
      <c r="G19" s="313" t="s">
        <v>49</v>
      </c>
      <c r="J19" s="313" t="s">
        <v>50</v>
      </c>
      <c r="O19" s="184" t="s">
        <v>3318</v>
      </c>
      <c r="T19" s="313" t="s">
        <v>217</v>
      </c>
    </row>
    <row r="20" s="313" customFormat="1" ht="26.25" customHeight="1">
      <c r="A20" s="313" t="s">
        <v>45</v>
      </c>
      <c r="B20" s="313" t="s">
        <v>65</v>
      </c>
      <c r="C20" s="313" t="n">
        <v>4632448</v>
      </c>
      <c r="D20" s="313" t="s">
        <v>215</v>
      </c>
      <c r="E20" s="313" t="s">
        <v>283</v>
      </c>
      <c r="F20" s="217" t="s">
        <v>443</v>
      </c>
      <c r="G20" s="313" t="s">
        <v>49</v>
      </c>
      <c r="H20" s="313" t="s">
        <v>37</v>
      </c>
      <c r="J20" s="313" t="s">
        <v>50</v>
      </c>
      <c r="O20" s="184" t="s">
        <v>3319</v>
      </c>
      <c r="P20" s="313" t="n">
        <v>93</v>
      </c>
      <c r="T20" s="313" t="s">
        <v>217</v>
      </c>
      <c r="U20" s="313" t="s">
        <v>217</v>
      </c>
    </row>
    <row r="21" s="313" customFormat="1" ht="26.25" customHeight="1">
      <c r="A21" s="313" t="s">
        <v>45</v>
      </c>
      <c r="B21" s="313" t="s">
        <v>65</v>
      </c>
      <c r="C21" s="313" t="n">
        <v>4632448</v>
      </c>
      <c r="D21" s="313" t="s">
        <v>215</v>
      </c>
      <c r="E21" s="313" t="s">
        <v>283</v>
      </c>
      <c r="F21" s="313" t="s">
        <v>821</v>
      </c>
      <c r="G21" s="313" t="s">
        <v>49</v>
      </c>
      <c r="H21" s="313" t="s">
        <v>31</v>
      </c>
      <c r="I21" s="313" t="s">
        <v>58</v>
      </c>
      <c r="J21" s="313" t="s">
        <v>50</v>
      </c>
      <c r="O21" s="184"/>
      <c r="Q21" s="313" t="n">
        <v>42</v>
      </c>
      <c r="T21" s="313" t="s">
        <v>217</v>
      </c>
    </row>
    <row r="22" s="313" customFormat="1" ht="26.25" customHeight="1">
      <c r="A22" s="313" t="s">
        <v>45</v>
      </c>
      <c r="B22" s="313" t="s">
        <v>65</v>
      </c>
      <c r="C22" s="313" t="n">
        <v>4632448</v>
      </c>
      <c r="D22" s="313" t="s">
        <v>215</v>
      </c>
      <c r="E22" s="313" t="s">
        <v>283</v>
      </c>
      <c r="F22" s="313" t="s">
        <v>458</v>
      </c>
      <c r="G22" s="313" t="s">
        <v>49</v>
      </c>
      <c r="I22" s="313" t="s">
        <v>58</v>
      </c>
      <c r="J22" s="313" t="s">
        <v>46</v>
      </c>
      <c r="O22" s="184"/>
      <c r="T22" s="313" t="s">
        <v>217</v>
      </c>
    </row>
    <row r="23" s="313" customFormat="1" ht="26.25" customHeight="1">
      <c r="A23" s="313" t="s">
        <v>45</v>
      </c>
      <c r="B23" s="313" t="s">
        <v>88</v>
      </c>
      <c r="C23" s="313" t="n">
        <v>5170872</v>
      </c>
      <c r="D23" s="313" t="s">
        <v>216</v>
      </c>
      <c r="E23" s="313" t="s">
        <v>283</v>
      </c>
      <c r="F23" s="313" t="s">
        <v>1103</v>
      </c>
      <c r="G23" s="313" t="s">
        <v>49</v>
      </c>
      <c r="H23" s="313" t="s">
        <v>37</v>
      </c>
      <c r="I23" s="313" t="s">
        <v>52</v>
      </c>
      <c r="J23" s="313" t="s">
        <v>46</v>
      </c>
      <c r="K23" s="313" t="s">
        <v>3320</v>
      </c>
      <c r="M23" s="313" t="s">
        <v>3321</v>
      </c>
      <c r="N23" s="313" t="s">
        <v>3322</v>
      </c>
      <c r="P23" s="313" t="n">
        <v>95</v>
      </c>
      <c r="T23" s="313" t="s">
        <v>217</v>
      </c>
      <c r="U23" s="313" t="s">
        <v>217</v>
      </c>
      <c r="V23" s="313" t="s">
        <v>217</v>
      </c>
      <c r="W23" s="313" t="s">
        <v>217</v>
      </c>
    </row>
    <row r="24" s="313" customFormat="1" ht="26.25" customHeight="1">
      <c r="A24" s="313" t="s">
        <v>45</v>
      </c>
      <c r="B24" s="313" t="s">
        <v>88</v>
      </c>
      <c r="C24" s="313" t="n">
        <v>5170872</v>
      </c>
      <c r="D24" s="313" t="s">
        <v>216</v>
      </c>
      <c r="E24" s="313" t="s">
        <v>283</v>
      </c>
      <c r="F24" s="313" t="s">
        <v>1056</v>
      </c>
      <c r="G24" s="313" t="s">
        <v>49</v>
      </c>
      <c r="H24" s="313" t="s">
        <v>37</v>
      </c>
      <c r="I24" s="313" t="s">
        <v>52</v>
      </c>
      <c r="J24" s="313" t="s">
        <v>48</v>
      </c>
      <c r="M24" s="313" t="s">
        <v>3323</v>
      </c>
      <c r="P24" s="313" t="s">
        <v>28</v>
      </c>
      <c r="T24" s="313" t="s">
        <v>217</v>
      </c>
      <c r="U24" s="313" t="s">
        <v>217</v>
      </c>
      <c r="V24" s="313" t="s">
        <v>217</v>
      </c>
      <c r="W24" s="313" t="s">
        <v>217</v>
      </c>
    </row>
    <row r="25" s="313" customFormat="1" ht="26.25" customHeight="1">
      <c r="A25" s="313" t="s">
        <v>45</v>
      </c>
      <c r="B25" s="313" t="s">
        <v>88</v>
      </c>
      <c r="C25" s="313" t="n">
        <v>5170872</v>
      </c>
      <c r="D25" s="313" t="s">
        <v>216</v>
      </c>
      <c r="E25" s="313" t="s">
        <v>283</v>
      </c>
      <c r="F25" s="313" t="s">
        <v>1055</v>
      </c>
      <c r="G25" s="313" t="s">
        <v>49</v>
      </c>
      <c r="H25" s="313" t="s">
        <v>37</v>
      </c>
      <c r="I25" s="313" t="s">
        <v>52</v>
      </c>
      <c r="J25" s="313" t="s">
        <v>46</v>
      </c>
      <c r="M25" s="313" t="s">
        <v>3324</v>
      </c>
      <c r="N25" s="313" t="s">
        <v>3325</v>
      </c>
      <c r="P25" s="313" t="n">
        <v>87</v>
      </c>
      <c r="T25" s="313" t="s">
        <v>217</v>
      </c>
      <c r="U25" s="313" t="s">
        <v>217</v>
      </c>
      <c r="V25" s="313" t="s">
        <v>217</v>
      </c>
      <c r="W25" s="313" t="s">
        <v>217</v>
      </c>
    </row>
    <row r="26" s="313" customFormat="1" ht="26.25" customHeight="1">
      <c r="A26" s="313" t="s">
        <v>45</v>
      </c>
      <c r="B26" s="313" t="s">
        <v>88</v>
      </c>
      <c r="C26" s="313" t="n">
        <v>5170872</v>
      </c>
      <c r="D26" s="313" t="s">
        <v>216</v>
      </c>
      <c r="E26" s="313" t="s">
        <v>283</v>
      </c>
      <c r="F26" s="313" t="s">
        <v>1063</v>
      </c>
      <c r="G26" s="313" t="s">
        <v>49</v>
      </c>
      <c r="H26" s="313" t="s">
        <v>37</v>
      </c>
      <c r="I26" s="313" t="s">
        <v>52</v>
      </c>
      <c r="J26" s="313" t="s">
        <v>50</v>
      </c>
      <c r="M26" s="313" t="s">
        <v>3326</v>
      </c>
      <c r="N26" s="313" t="s">
        <v>3327</v>
      </c>
      <c r="O26" s="313" t="s">
        <v>3328</v>
      </c>
      <c r="P26" s="313" t="s">
        <v>27</v>
      </c>
      <c r="T26" s="313" t="s">
        <v>217</v>
      </c>
      <c r="U26" s="313" t="s">
        <v>217</v>
      </c>
      <c r="V26" s="313" t="s">
        <v>217</v>
      </c>
      <c r="W26" s="313" t="s">
        <v>217</v>
      </c>
    </row>
    <row r="27" s="313" customFormat="1" ht="26.25" customHeight="1">
      <c r="A27" s="313" t="s">
        <v>45</v>
      </c>
      <c r="B27" s="313" t="s">
        <v>88</v>
      </c>
      <c r="C27" s="313" t="n">
        <v>5170872</v>
      </c>
      <c r="D27" s="313" t="s">
        <v>216</v>
      </c>
      <c r="E27" s="313" t="s">
        <v>283</v>
      </c>
      <c r="F27" s="313" t="s">
        <v>1226</v>
      </c>
      <c r="G27" s="313" t="s">
        <v>49</v>
      </c>
      <c r="H27" s="313" t="s">
        <v>37</v>
      </c>
      <c r="I27" s="313" t="s">
        <v>52</v>
      </c>
      <c r="J27" s="313" t="s">
        <v>46</v>
      </c>
      <c r="M27" s="313" t="s">
        <v>3329</v>
      </c>
      <c r="N27" s="313" t="s">
        <v>3322</v>
      </c>
      <c r="P27" s="313" t="s">
        <v>27</v>
      </c>
      <c r="Q27" s="313" t="n">
        <v>41</v>
      </c>
      <c r="T27" s="313" t="s">
        <v>217</v>
      </c>
      <c r="U27" s="313" t="s">
        <v>217</v>
      </c>
      <c r="V27" s="313" t="s">
        <v>217</v>
      </c>
      <c r="W27" s="313" t="s">
        <v>217</v>
      </c>
    </row>
    <row r="28" s="464" customFormat="1" ht="26.25" customHeight="1">
      <c r="A28" s="464" t="s">
        <v>45</v>
      </c>
      <c r="B28" s="464" t="s">
        <v>65</v>
      </c>
      <c r="C28" s="464" t="n">
        <v>5170872</v>
      </c>
      <c r="D28" s="464" t="s">
        <v>216</v>
      </c>
      <c r="E28" s="464" t="s">
        <v>283</v>
      </c>
      <c r="F28" s="464" t="s">
        <v>636</v>
      </c>
      <c r="G28" s="464" t="s">
        <v>49</v>
      </c>
      <c r="H28" s="464" t="s">
        <v>37</v>
      </c>
      <c r="I28" s="464" t="s">
        <v>52</v>
      </c>
      <c r="J28" s="464" t="s">
        <v>48</v>
      </c>
      <c r="M28" s="464" t="s">
        <v>3330</v>
      </c>
      <c r="N28" s="464" t="s">
        <v>3331</v>
      </c>
      <c r="O28" s="186"/>
      <c r="P28" s="464" t="s">
        <v>28</v>
      </c>
      <c r="Q28" s="464" t="n">
        <v>35</v>
      </c>
      <c r="T28" s="313" t="s">
        <v>217</v>
      </c>
      <c r="U28" s="464" t="s">
        <v>217</v>
      </c>
      <c r="V28" s="464" t="s">
        <v>217</v>
      </c>
      <c r="W28" s="464" t="s">
        <v>217</v>
      </c>
    </row>
    <row r="29" s="313" customFormat="1" ht="26.25" customHeight="1">
      <c r="A29" s="313" t="s">
        <v>45</v>
      </c>
      <c r="B29" s="313" t="s">
        <v>88</v>
      </c>
      <c r="C29" s="313" t="n">
        <v>5170872</v>
      </c>
      <c r="D29" s="313" t="s">
        <v>216</v>
      </c>
      <c r="E29" s="313" t="s">
        <v>283</v>
      </c>
      <c r="F29" s="313" t="s">
        <v>1054</v>
      </c>
      <c r="G29" s="313" t="s">
        <v>49</v>
      </c>
      <c r="H29" s="313" t="s">
        <v>37</v>
      </c>
      <c r="I29" s="313" t="s">
        <v>52</v>
      </c>
      <c r="J29" s="313" t="s">
        <v>48</v>
      </c>
      <c r="M29" s="313" t="s">
        <v>3332</v>
      </c>
      <c r="N29" s="313" t="s">
        <v>3331</v>
      </c>
      <c r="T29" s="313" t="s">
        <v>217</v>
      </c>
      <c r="U29" s="313" t="s">
        <v>217</v>
      </c>
      <c r="V29" s="313" t="s">
        <v>217</v>
      </c>
      <c r="W29" s="313" t="s">
        <v>217</v>
      </c>
    </row>
    <row r="30" s="313" customFormat="1" ht="26.25" customHeight="1">
      <c r="A30" s="313" t="s">
        <v>45</v>
      </c>
      <c r="B30" s="313" t="s">
        <v>88</v>
      </c>
      <c r="C30" s="313" t="n">
        <v>5170872</v>
      </c>
      <c r="D30" s="313" t="s">
        <v>216</v>
      </c>
      <c r="E30" s="313" t="s">
        <v>283</v>
      </c>
      <c r="F30" s="313" t="s">
        <v>1104</v>
      </c>
      <c r="G30" s="313" t="s">
        <v>49</v>
      </c>
      <c r="H30" s="313" t="s">
        <v>31</v>
      </c>
      <c r="I30" s="313" t="s">
        <v>52</v>
      </c>
      <c r="J30" s="313" t="s">
        <v>50</v>
      </c>
      <c r="M30" s="313" t="s">
        <v>3329</v>
      </c>
      <c r="N30" s="313" t="s">
        <v>3322</v>
      </c>
      <c r="P30" s="313" t="s">
        <v>27</v>
      </c>
      <c r="T30" s="313" t="s">
        <v>217</v>
      </c>
      <c r="U30" s="313" t="s">
        <v>217</v>
      </c>
      <c r="V30" s="313" t="s">
        <v>217</v>
      </c>
      <c r="W30" s="313" t="s">
        <v>217</v>
      </c>
    </row>
    <row r="31" s="313" customFormat="1" ht="26.25" customHeight="1">
      <c r="A31" s="313" t="s">
        <v>45</v>
      </c>
      <c r="B31" s="313" t="s">
        <v>88</v>
      </c>
      <c r="C31" s="313" t="n">
        <v>5170872</v>
      </c>
      <c r="D31" s="313" t="s">
        <v>216</v>
      </c>
      <c r="E31" s="313" t="s">
        <v>283</v>
      </c>
      <c r="F31" s="313" t="s">
        <v>1049</v>
      </c>
      <c r="G31" s="313" t="s">
        <v>49</v>
      </c>
      <c r="H31" s="313" t="s">
        <v>37</v>
      </c>
      <c r="I31" s="313" t="s">
        <v>52</v>
      </c>
      <c r="J31" s="313" t="s">
        <v>48</v>
      </c>
      <c r="M31" s="313" t="s">
        <v>3333</v>
      </c>
      <c r="N31" s="313" t="s">
        <v>3322</v>
      </c>
      <c r="P31" s="313" t="s">
        <v>28</v>
      </c>
      <c r="T31" s="313" t="s">
        <v>217</v>
      </c>
      <c r="U31" s="313" t="s">
        <v>217</v>
      </c>
      <c r="V31" s="313" t="s">
        <v>217</v>
      </c>
      <c r="W31" s="313" t="s">
        <v>217</v>
      </c>
    </row>
    <row r="32" s="313" customFormat="1" ht="26.25" customHeight="1">
      <c r="A32" s="313" t="s">
        <v>45</v>
      </c>
      <c r="B32" s="313" t="s">
        <v>88</v>
      </c>
      <c r="C32" s="313" t="n">
        <v>5170872</v>
      </c>
      <c r="D32" s="313" t="s">
        <v>216</v>
      </c>
      <c r="E32" s="313" t="s">
        <v>283</v>
      </c>
      <c r="F32" s="313" t="s">
        <v>1112</v>
      </c>
      <c r="G32" s="313" t="s">
        <v>49</v>
      </c>
      <c r="H32" s="313" t="s">
        <v>37</v>
      </c>
      <c r="I32" s="313" t="s">
        <v>52</v>
      </c>
      <c r="J32" s="313" t="s">
        <v>48</v>
      </c>
      <c r="M32" s="313" t="s">
        <v>3321</v>
      </c>
      <c r="N32" s="313" t="s">
        <v>3334</v>
      </c>
      <c r="O32" s="313" t="s">
        <v>3335</v>
      </c>
      <c r="P32" s="313" t="s">
        <v>3336</v>
      </c>
      <c r="T32" s="313" t="s">
        <v>217</v>
      </c>
      <c r="U32" s="313" t="s">
        <v>217</v>
      </c>
      <c r="V32" s="313" t="s">
        <v>217</v>
      </c>
      <c r="W32" s="313" t="s">
        <v>217</v>
      </c>
    </row>
    <row r="33" s="313" customFormat="1" ht="26.25" customHeight="1">
      <c r="A33" s="313" t="s">
        <v>45</v>
      </c>
      <c r="B33" s="313" t="s">
        <v>88</v>
      </c>
      <c r="C33" s="313" t="n">
        <v>5170872</v>
      </c>
      <c r="D33" s="313" t="s">
        <v>216</v>
      </c>
      <c r="E33" s="313" t="s">
        <v>283</v>
      </c>
      <c r="F33" s="313" t="s">
        <v>1239</v>
      </c>
      <c r="G33" s="313" t="s">
        <v>49</v>
      </c>
      <c r="I33" s="313" t="s">
        <v>52</v>
      </c>
      <c r="J33" s="313" t="s">
        <v>46</v>
      </c>
      <c r="M33" s="313" t="s">
        <v>3337</v>
      </c>
      <c r="N33" s="313" t="s">
        <v>3331</v>
      </c>
      <c r="O33" s="313" t="s">
        <v>3338</v>
      </c>
      <c r="P33" s="313" t="s">
        <v>28</v>
      </c>
      <c r="Q33" s="313" t="n">
        <v>27</v>
      </c>
      <c r="T33" s="313" t="s">
        <v>217</v>
      </c>
      <c r="U33" s="313" t="s">
        <v>217</v>
      </c>
      <c r="V33" s="313" t="s">
        <v>217</v>
      </c>
      <c r="W33" s="313" t="s">
        <v>217</v>
      </c>
    </row>
    <row r="34" s="313" customFormat="1" ht="26.25" customHeight="1">
      <c r="A34" s="313" t="s">
        <v>45</v>
      </c>
      <c r="B34" s="313" t="s">
        <v>88</v>
      </c>
      <c r="C34" s="313" t="s">
        <v>3339</v>
      </c>
      <c r="D34" s="313" t="s">
        <v>216</v>
      </c>
      <c r="E34" s="313" t="s">
        <v>283</v>
      </c>
      <c r="F34" s="313" t="s">
        <v>1110</v>
      </c>
      <c r="G34" s="313" t="s">
        <v>49</v>
      </c>
      <c r="H34" s="313" t="s">
        <v>31</v>
      </c>
      <c r="I34" s="313" t="s">
        <v>52</v>
      </c>
      <c r="J34" s="313" t="s">
        <v>46</v>
      </c>
      <c r="M34" s="313" t="s">
        <v>3333</v>
      </c>
      <c r="N34" s="313" t="s">
        <v>2979</v>
      </c>
      <c r="T34" s="313" t="s">
        <v>217</v>
      </c>
      <c r="U34" s="313" t="s">
        <v>217</v>
      </c>
      <c r="W34" s="313" t="s">
        <v>217</v>
      </c>
    </row>
    <row r="35" s="313" customFormat="1" ht="26.25" customHeight="1">
      <c r="A35" s="313" t="s">
        <v>45</v>
      </c>
      <c r="B35" s="313" t="s">
        <v>88</v>
      </c>
      <c r="C35" s="313" t="n">
        <v>5170872</v>
      </c>
      <c r="D35" s="313" t="s">
        <v>216</v>
      </c>
      <c r="E35" s="313" t="s">
        <v>283</v>
      </c>
      <c r="F35" s="313" t="s">
        <v>1335</v>
      </c>
      <c r="G35" s="313" t="s">
        <v>49</v>
      </c>
      <c r="H35" s="313" t="s">
        <v>37</v>
      </c>
      <c r="I35" s="313" t="s">
        <v>52</v>
      </c>
      <c r="J35" s="313" t="s">
        <v>48</v>
      </c>
      <c r="K35" s="313" t="s">
        <v>2985</v>
      </c>
      <c r="M35" s="313" t="s">
        <v>3333</v>
      </c>
      <c r="N35" s="313" t="s">
        <v>2987</v>
      </c>
      <c r="O35" s="313" t="s">
        <v>1336</v>
      </c>
      <c r="T35" s="313" t="s">
        <v>217</v>
      </c>
      <c r="U35" s="313" t="s">
        <v>217</v>
      </c>
      <c r="V35" s="313" t="s">
        <v>217</v>
      </c>
      <c r="W35" s="313" t="s">
        <v>217</v>
      </c>
    </row>
    <row r="36" s="313" customFormat="1" ht="26.25" customHeight="1">
      <c r="A36" s="313" t="s">
        <v>45</v>
      </c>
      <c r="B36" s="313" t="s">
        <v>88</v>
      </c>
      <c r="C36" s="313" t="n">
        <v>5170872</v>
      </c>
      <c r="D36" s="313" t="s">
        <v>216</v>
      </c>
      <c r="E36" s="313" t="s">
        <v>283</v>
      </c>
      <c r="F36" s="313" t="s">
        <v>1337</v>
      </c>
      <c r="G36" s="313" t="s">
        <v>49</v>
      </c>
      <c r="H36" s="313" t="s">
        <v>37</v>
      </c>
      <c r="I36" s="313" t="s">
        <v>52</v>
      </c>
      <c r="J36" s="313" t="s">
        <v>48</v>
      </c>
      <c r="M36" s="313" t="s">
        <v>3333</v>
      </c>
      <c r="N36" s="313" t="s">
        <v>2987</v>
      </c>
      <c r="O36" s="313" t="s">
        <v>1336</v>
      </c>
      <c r="T36" s="313" t="s">
        <v>217</v>
      </c>
      <c r="U36" s="313" t="s">
        <v>217</v>
      </c>
      <c r="V36" s="313" t="s">
        <v>217</v>
      </c>
      <c r="W36" s="313" t="s">
        <v>217</v>
      </c>
    </row>
    <row r="37" s="313" customFormat="1" ht="26.25" customHeight="1">
      <c r="A37" s="313" t="s">
        <v>54</v>
      </c>
      <c r="B37" s="313" t="s">
        <v>101</v>
      </c>
      <c r="C37" s="313" t="n">
        <v>5230747</v>
      </c>
      <c r="D37" s="313" t="s">
        <v>215</v>
      </c>
      <c r="E37" s="313" t="s">
        <v>283</v>
      </c>
      <c r="F37" s="313" t="s">
        <v>1182</v>
      </c>
      <c r="G37" s="313" t="s">
        <v>49</v>
      </c>
      <c r="H37" s="313" t="s">
        <v>31</v>
      </c>
      <c r="I37" s="313" t="s">
        <v>56</v>
      </c>
      <c r="J37" s="313" t="s">
        <v>59</v>
      </c>
      <c r="Q37" s="313" t="n">
        <v>30</v>
      </c>
      <c r="T37" s="313" t="s">
        <v>217</v>
      </c>
      <c r="U37" s="313" t="s">
        <v>217</v>
      </c>
    </row>
    <row r="38" s="313" customFormat="1" ht="26.25" customHeight="1">
      <c r="A38" s="313" t="s">
        <v>54</v>
      </c>
      <c r="B38" s="313" t="s">
        <v>101</v>
      </c>
      <c r="C38" s="313" t="n">
        <v>5230747</v>
      </c>
      <c r="D38" s="313" t="s">
        <v>215</v>
      </c>
      <c r="E38" s="313" t="s">
        <v>283</v>
      </c>
      <c r="F38" s="313" t="s">
        <v>1144</v>
      </c>
      <c r="G38" s="313" t="s">
        <v>49</v>
      </c>
      <c r="J38" s="313" t="s">
        <v>38</v>
      </c>
      <c r="M38" s="313" t="s">
        <v>3340</v>
      </c>
      <c r="N38" s="313" t="s">
        <v>3341</v>
      </c>
      <c r="O38" s="313" t="s">
        <v>1145</v>
      </c>
      <c r="T38" s="313" t="s">
        <v>217</v>
      </c>
      <c r="U38" s="313" t="s">
        <v>217</v>
      </c>
    </row>
    <row r="39" s="313" customFormat="1" ht="26.25" customHeight="1">
      <c r="A39" s="313" t="s">
        <v>54</v>
      </c>
      <c r="B39" s="313" t="s">
        <v>101</v>
      </c>
      <c r="C39" s="313" t="n">
        <v>5230747</v>
      </c>
      <c r="D39" s="313" t="s">
        <v>215</v>
      </c>
      <c r="E39" s="313" t="s">
        <v>283</v>
      </c>
      <c r="F39" s="313" t="s">
        <v>1132</v>
      </c>
      <c r="G39" s="313" t="s">
        <v>49</v>
      </c>
      <c r="H39" s="313" t="s">
        <v>31</v>
      </c>
      <c r="I39" s="313" t="s">
        <v>56</v>
      </c>
      <c r="J39" s="313" t="s">
        <v>48</v>
      </c>
      <c r="M39" s="313" t="s">
        <v>3342</v>
      </c>
      <c r="O39" s="313" t="s">
        <v>3343</v>
      </c>
      <c r="T39" s="313" t="s">
        <v>217</v>
      </c>
      <c r="U39" s="313" t="s">
        <v>217</v>
      </c>
    </row>
    <row r="40" s="313" customFormat="1" ht="26.25" customHeight="1">
      <c r="A40" s="313" t="s">
        <v>54</v>
      </c>
      <c r="B40" s="313" t="s">
        <v>101</v>
      </c>
      <c r="C40" s="313" t="n">
        <v>5230747</v>
      </c>
      <c r="D40" s="313" t="s">
        <v>215</v>
      </c>
      <c r="E40" s="313" t="s">
        <v>283</v>
      </c>
      <c r="F40" s="313" t="s">
        <v>1207</v>
      </c>
      <c r="G40" s="313" t="s">
        <v>49</v>
      </c>
      <c r="H40" s="313" t="s">
        <v>31</v>
      </c>
      <c r="I40" s="313" t="s">
        <v>56</v>
      </c>
      <c r="J40" s="313" t="s">
        <v>59</v>
      </c>
      <c r="M40" s="313" t="s">
        <v>3344</v>
      </c>
      <c r="N40" s="313" t="s">
        <v>3310</v>
      </c>
      <c r="Q40" s="313" t="n">
        <v>32</v>
      </c>
      <c r="T40" s="313" t="s">
        <v>217</v>
      </c>
      <c r="U40" s="313" t="s">
        <v>217</v>
      </c>
    </row>
    <row r="41" s="313" customFormat="1" ht="26.25" customHeight="1">
      <c r="A41" s="313" t="s">
        <v>54</v>
      </c>
      <c r="B41" s="313" t="s">
        <v>101</v>
      </c>
      <c r="C41" s="313" t="n">
        <v>5230747</v>
      </c>
      <c r="D41" s="313" t="s">
        <v>215</v>
      </c>
      <c r="E41" s="313" t="s">
        <v>283</v>
      </c>
      <c r="F41" s="313" t="s">
        <v>524</v>
      </c>
      <c r="G41" s="313" t="s">
        <v>49</v>
      </c>
      <c r="H41" s="313" t="s">
        <v>31</v>
      </c>
      <c r="I41" s="313" t="s">
        <v>56</v>
      </c>
      <c r="J41" s="313" t="s">
        <v>59</v>
      </c>
      <c r="M41" s="313" t="s">
        <v>3345</v>
      </c>
      <c r="N41" s="313" t="s">
        <v>3322</v>
      </c>
      <c r="Q41" s="313" t="n">
        <v>80</v>
      </c>
      <c r="T41" s="313" t="s">
        <v>217</v>
      </c>
      <c r="U41" s="313" t="s">
        <v>217</v>
      </c>
    </row>
    <row r="42" s="313" customFormat="1" ht="26.25" customHeight="1">
      <c r="A42" s="313" t="s">
        <v>54</v>
      </c>
      <c r="B42" s="313" t="s">
        <v>101</v>
      </c>
      <c r="C42" s="313" t="n">
        <v>5230747</v>
      </c>
      <c r="D42" s="313" t="s">
        <v>215</v>
      </c>
      <c r="E42" s="313" t="s">
        <v>283</v>
      </c>
      <c r="F42" s="313" t="s">
        <v>1256</v>
      </c>
      <c r="G42" s="313" t="s">
        <v>49</v>
      </c>
      <c r="H42" s="313" t="s">
        <v>31</v>
      </c>
      <c r="I42" s="313" t="s">
        <v>56</v>
      </c>
      <c r="J42" s="313" t="s">
        <v>55</v>
      </c>
      <c r="M42" s="313" t="s">
        <v>3346</v>
      </c>
      <c r="N42" s="313" t="s">
        <v>3347</v>
      </c>
      <c r="O42" s="313" t="s">
        <v>3348</v>
      </c>
      <c r="P42" s="313" t="s">
        <v>1257</v>
      </c>
      <c r="T42" s="313" t="s">
        <v>217</v>
      </c>
      <c r="U42" s="313" t="s">
        <v>217</v>
      </c>
    </row>
    <row r="43" s="313" customFormat="1" ht="26.25" customHeight="1">
      <c r="A43" s="313" t="s">
        <v>54</v>
      </c>
      <c r="B43" s="313" t="s">
        <v>101</v>
      </c>
      <c r="C43" s="313" t="n">
        <v>5230747</v>
      </c>
      <c r="D43" s="313" t="s">
        <v>215</v>
      </c>
      <c r="E43" s="313" t="s">
        <v>283</v>
      </c>
      <c r="F43" s="313" t="s">
        <v>1186</v>
      </c>
      <c r="G43" s="313" t="s">
        <v>49</v>
      </c>
      <c r="H43" s="313" t="s">
        <v>31</v>
      </c>
      <c r="I43" s="313" t="s">
        <v>56</v>
      </c>
      <c r="J43" s="313" t="s">
        <v>57</v>
      </c>
      <c r="M43" s="313" t="s">
        <v>3349</v>
      </c>
      <c r="N43" s="313" t="s">
        <v>2491</v>
      </c>
      <c r="O43" s="313" t="s">
        <v>1187</v>
      </c>
      <c r="Q43" s="313" t="n">
        <v>29</v>
      </c>
      <c r="T43" s="313" t="s">
        <v>217</v>
      </c>
      <c r="U43" s="313" t="s">
        <v>217</v>
      </c>
    </row>
    <row r="44" s="313" customFormat="1" ht="26.25" customHeight="1">
      <c r="A44" s="313" t="s">
        <v>54</v>
      </c>
      <c r="B44" s="313" t="s">
        <v>101</v>
      </c>
      <c r="C44" s="313" t="n">
        <v>5230747</v>
      </c>
      <c r="D44" s="313" t="s">
        <v>215</v>
      </c>
      <c r="E44" s="313" t="s">
        <v>283</v>
      </c>
      <c r="F44" s="313" t="s">
        <v>1291</v>
      </c>
      <c r="G44" s="313" t="s">
        <v>49</v>
      </c>
      <c r="H44" s="313" t="s">
        <v>31</v>
      </c>
      <c r="I44" s="313" t="s">
        <v>56</v>
      </c>
      <c r="J44" s="313" t="s">
        <v>55</v>
      </c>
      <c r="N44" s="313" t="s">
        <v>2491</v>
      </c>
      <c r="O44" s="313" t="s">
        <v>1269</v>
      </c>
      <c r="T44" s="313" t="s">
        <v>217</v>
      </c>
      <c r="U44" s="313" t="s">
        <v>217</v>
      </c>
    </row>
    <row r="45" s="313" customFormat="1" ht="26.25" customHeight="1">
      <c r="A45" s="313" t="s">
        <v>54</v>
      </c>
      <c r="B45" s="313" t="s">
        <v>101</v>
      </c>
      <c r="C45" s="313" t="n">
        <v>5230747</v>
      </c>
      <c r="D45" s="313" t="s">
        <v>215</v>
      </c>
      <c r="E45" s="313" t="s">
        <v>283</v>
      </c>
      <c r="F45" s="313" t="s">
        <v>1281</v>
      </c>
      <c r="G45" s="313" t="s">
        <v>49</v>
      </c>
      <c r="H45" s="313" t="s">
        <v>31</v>
      </c>
      <c r="I45" s="313" t="s">
        <v>56</v>
      </c>
      <c r="J45" s="313" t="s">
        <v>34</v>
      </c>
      <c r="M45" s="313" t="s">
        <v>3350</v>
      </c>
      <c r="N45" s="313" t="s">
        <v>3351</v>
      </c>
      <c r="O45" s="313" t="s">
        <v>3352</v>
      </c>
      <c r="T45" s="313" t="s">
        <v>217</v>
      </c>
      <c r="U45" s="313" t="s">
        <v>217</v>
      </c>
    </row>
    <row r="46" s="313" customFormat="1" ht="26.25" customHeight="1">
      <c r="A46" s="313" t="s">
        <v>54</v>
      </c>
      <c r="B46" s="313" t="s">
        <v>101</v>
      </c>
      <c r="C46" s="313" t="n">
        <v>5230747</v>
      </c>
      <c r="D46" s="313" t="s">
        <v>215</v>
      </c>
      <c r="E46" s="313" t="s">
        <v>283</v>
      </c>
      <c r="F46" s="313" t="s">
        <v>1235</v>
      </c>
      <c r="G46" s="313" t="s">
        <v>49</v>
      </c>
      <c r="H46" s="313" t="s">
        <v>31</v>
      </c>
      <c r="I46" s="313" t="s">
        <v>56</v>
      </c>
      <c r="J46" s="313" t="s">
        <v>36</v>
      </c>
      <c r="Q46" s="313" t="n">
        <v>32</v>
      </c>
      <c r="T46" s="313" t="s">
        <v>217</v>
      </c>
      <c r="U46" s="313" t="s">
        <v>217</v>
      </c>
    </row>
    <row r="47" s="313" customFormat="1" ht="26.25" customHeight="1">
      <c r="A47" s="313" t="s">
        <v>54</v>
      </c>
      <c r="B47" s="313" t="s">
        <v>101</v>
      </c>
      <c r="C47" s="313" t="n">
        <v>5230747</v>
      </c>
      <c r="D47" s="313" t="s">
        <v>215</v>
      </c>
      <c r="E47" s="313" t="s">
        <v>283</v>
      </c>
      <c r="F47" s="313" t="s">
        <v>1284</v>
      </c>
      <c r="G47" s="313" t="s">
        <v>49</v>
      </c>
      <c r="H47" s="313" t="s">
        <v>31</v>
      </c>
      <c r="I47" s="313" t="s">
        <v>56</v>
      </c>
      <c r="J47" s="313" t="s">
        <v>59</v>
      </c>
      <c r="M47" s="313" t="s">
        <v>3353</v>
      </c>
      <c r="N47" s="313" t="s">
        <v>3351</v>
      </c>
      <c r="O47" s="313" t="s">
        <v>3354</v>
      </c>
      <c r="Q47" s="313" t="n">
        <v>30</v>
      </c>
      <c r="T47" s="313" t="s">
        <v>217</v>
      </c>
      <c r="U47" s="313" t="s">
        <v>217</v>
      </c>
    </row>
    <row r="48" s="313" customFormat="1" ht="26.25" customHeight="1">
      <c r="A48" s="313" t="s">
        <v>54</v>
      </c>
      <c r="B48" s="313" t="s">
        <v>101</v>
      </c>
      <c r="C48" s="313" t="n">
        <v>5230747</v>
      </c>
      <c r="D48" s="313" t="s">
        <v>215</v>
      </c>
      <c r="E48" s="313" t="s">
        <v>283</v>
      </c>
      <c r="F48" s="313" t="s">
        <v>1156</v>
      </c>
      <c r="G48" s="313" t="s">
        <v>49</v>
      </c>
      <c r="H48" s="313" t="s">
        <v>31</v>
      </c>
      <c r="I48" s="313" t="s">
        <v>56</v>
      </c>
      <c r="J48" s="313" t="s">
        <v>57</v>
      </c>
      <c r="T48" s="313" t="s">
        <v>217</v>
      </c>
      <c r="U48" s="313" t="s">
        <v>217</v>
      </c>
    </row>
    <row r="49" s="313" customFormat="1" ht="26.25" customHeight="1">
      <c r="A49" s="313" t="s">
        <v>54</v>
      </c>
      <c r="B49" s="313" t="s">
        <v>101</v>
      </c>
      <c r="C49" s="313" t="n">
        <v>5230747</v>
      </c>
      <c r="D49" s="313" t="s">
        <v>215</v>
      </c>
      <c r="E49" s="313" t="s">
        <v>283</v>
      </c>
      <c r="F49" s="313" t="s">
        <v>1157</v>
      </c>
      <c r="G49" s="313" t="s">
        <v>49</v>
      </c>
      <c r="H49" s="313" t="s">
        <v>31</v>
      </c>
      <c r="I49" s="313" t="s">
        <v>56</v>
      </c>
      <c r="J49" s="313" t="s">
        <v>57</v>
      </c>
      <c r="M49" s="313" t="s">
        <v>3355</v>
      </c>
      <c r="N49" s="313" t="s">
        <v>3356</v>
      </c>
      <c r="T49" s="313" t="s">
        <v>217</v>
      </c>
      <c r="U49" s="313" t="s">
        <v>217</v>
      </c>
    </row>
    <row r="50" s="313" customFormat="1" ht="26.25" customHeight="1">
      <c r="A50" s="313" t="s">
        <v>54</v>
      </c>
      <c r="B50" s="313" t="s">
        <v>101</v>
      </c>
      <c r="C50" s="313" t="n">
        <v>5230747</v>
      </c>
      <c r="D50" s="313" t="s">
        <v>215</v>
      </c>
      <c r="E50" s="313" t="s">
        <v>283</v>
      </c>
      <c r="F50" s="313" t="s">
        <v>1149</v>
      </c>
      <c r="G50" s="313" t="s">
        <v>49</v>
      </c>
      <c r="H50" s="313" t="s">
        <v>31</v>
      </c>
      <c r="I50" s="313" t="s">
        <v>56</v>
      </c>
      <c r="J50" s="313" t="s">
        <v>57</v>
      </c>
      <c r="T50" s="313" t="s">
        <v>217</v>
      </c>
      <c r="U50" s="313" t="s">
        <v>217</v>
      </c>
    </row>
    <row r="51" s="313" customFormat="1" ht="26.25" customHeight="1">
      <c r="A51" s="313" t="s">
        <v>54</v>
      </c>
      <c r="B51" s="313" t="s">
        <v>101</v>
      </c>
      <c r="C51" s="313" t="n">
        <v>5230747</v>
      </c>
      <c r="D51" s="313" t="s">
        <v>215</v>
      </c>
      <c r="E51" s="313" t="s">
        <v>283</v>
      </c>
      <c r="F51" s="313" t="s">
        <v>1135</v>
      </c>
      <c r="G51" s="313" t="s">
        <v>49</v>
      </c>
      <c r="H51" s="313" t="s">
        <v>31</v>
      </c>
      <c r="I51" s="313" t="s">
        <v>56</v>
      </c>
      <c r="J51" s="313" t="s">
        <v>55</v>
      </c>
      <c r="T51" s="313" t="s">
        <v>217</v>
      </c>
      <c r="U51" s="313" t="s">
        <v>217</v>
      </c>
    </row>
    <row r="52" s="313" customFormat="1" ht="26.25" customHeight="1">
      <c r="A52" s="313" t="s">
        <v>54</v>
      </c>
      <c r="B52" s="313" t="s">
        <v>101</v>
      </c>
      <c r="C52" s="313" t="n">
        <v>5230747</v>
      </c>
      <c r="D52" s="313" t="s">
        <v>215</v>
      </c>
      <c r="E52" s="313" t="s">
        <v>283</v>
      </c>
      <c r="F52" s="313" t="s">
        <v>1164</v>
      </c>
      <c r="G52" s="313" t="s">
        <v>49</v>
      </c>
      <c r="H52" s="313" t="s">
        <v>31</v>
      </c>
      <c r="I52" s="313" t="s">
        <v>56</v>
      </c>
      <c r="J52" s="313" t="s">
        <v>59</v>
      </c>
      <c r="M52" s="313" t="s">
        <v>3357</v>
      </c>
      <c r="N52" s="313" t="s">
        <v>3358</v>
      </c>
      <c r="O52" s="313" t="s">
        <v>2493</v>
      </c>
      <c r="T52" s="313" t="s">
        <v>217</v>
      </c>
      <c r="U52" s="313" t="s">
        <v>217</v>
      </c>
    </row>
    <row r="53" s="313" customFormat="1" ht="26.25" customHeight="1">
      <c r="A53" s="313" t="s">
        <v>54</v>
      </c>
      <c r="B53" s="313" t="s">
        <v>101</v>
      </c>
      <c r="C53" s="313" t="n">
        <v>5230747</v>
      </c>
      <c r="D53" s="313" t="s">
        <v>215</v>
      </c>
      <c r="E53" s="313" t="s">
        <v>283</v>
      </c>
      <c r="F53" s="313" t="s">
        <v>1212</v>
      </c>
      <c r="G53" s="313" t="s">
        <v>49</v>
      </c>
      <c r="H53" s="313" t="s">
        <v>31</v>
      </c>
      <c r="I53" s="313" t="s">
        <v>56</v>
      </c>
      <c r="J53" s="313" t="s">
        <v>55</v>
      </c>
      <c r="M53" s="313" t="s">
        <v>3359</v>
      </c>
      <c r="N53" s="313" t="s">
        <v>3360</v>
      </c>
      <c r="Q53" s="313" t="n">
        <v>30</v>
      </c>
      <c r="T53" s="313" t="s">
        <v>217</v>
      </c>
      <c r="U53" s="313" t="s">
        <v>217</v>
      </c>
    </row>
    <row r="54" s="313" customFormat="1" ht="26.25" customHeight="1">
      <c r="A54" s="313" t="s">
        <v>54</v>
      </c>
      <c r="B54" s="313" t="s">
        <v>101</v>
      </c>
      <c r="C54" s="313" t="n">
        <v>5230747</v>
      </c>
      <c r="D54" s="313" t="s">
        <v>215</v>
      </c>
      <c r="E54" s="313" t="s">
        <v>283</v>
      </c>
      <c r="F54" s="313" t="s">
        <v>1275</v>
      </c>
      <c r="G54" s="313" t="s">
        <v>49</v>
      </c>
      <c r="H54" s="313" t="s">
        <v>31</v>
      </c>
      <c r="I54" s="313" t="s">
        <v>56</v>
      </c>
      <c r="J54" s="313" t="s">
        <v>55</v>
      </c>
      <c r="M54" s="313" t="s">
        <v>3361</v>
      </c>
      <c r="N54" s="313" t="s">
        <v>3362</v>
      </c>
      <c r="O54" s="313" t="s">
        <v>1276</v>
      </c>
      <c r="Q54" s="313" t="n">
        <v>37</v>
      </c>
      <c r="T54" s="313" t="s">
        <v>217</v>
      </c>
      <c r="U54" s="313" t="s">
        <v>217</v>
      </c>
    </row>
    <row r="55" s="313" customFormat="1" ht="26.25" customHeight="1">
      <c r="A55" s="313" t="s">
        <v>54</v>
      </c>
      <c r="B55" s="313" t="s">
        <v>101</v>
      </c>
      <c r="C55" s="313" t="n">
        <v>5230747</v>
      </c>
      <c r="D55" s="313" t="s">
        <v>215</v>
      </c>
      <c r="E55" s="313" t="s">
        <v>283</v>
      </c>
      <c r="F55" s="313" t="s">
        <v>1267</v>
      </c>
      <c r="G55" s="313" t="s">
        <v>49</v>
      </c>
      <c r="H55" s="313" t="s">
        <v>31</v>
      </c>
      <c r="I55" s="313" t="s">
        <v>56</v>
      </c>
      <c r="J55" s="313" t="s">
        <v>57</v>
      </c>
      <c r="T55" s="313" t="s">
        <v>217</v>
      </c>
    </row>
    <row r="56" s="313" customFormat="1" ht="26.25" customHeight="1">
      <c r="A56" s="313" t="s">
        <v>54</v>
      </c>
      <c r="B56" s="313" t="s">
        <v>101</v>
      </c>
      <c r="C56" s="313" t="n">
        <v>5230747</v>
      </c>
      <c r="D56" s="313" t="s">
        <v>215</v>
      </c>
      <c r="E56" s="313" t="s">
        <v>283</v>
      </c>
      <c r="F56" s="313" t="s">
        <v>1106</v>
      </c>
      <c r="G56" s="313" t="s">
        <v>49</v>
      </c>
      <c r="H56" s="313" t="s">
        <v>31</v>
      </c>
      <c r="I56" s="313" t="s">
        <v>56</v>
      </c>
      <c r="J56" s="313" t="s">
        <v>59</v>
      </c>
      <c r="M56" s="313" t="s">
        <v>3363</v>
      </c>
      <c r="N56" s="313" t="s">
        <v>3364</v>
      </c>
      <c r="O56" s="313" t="s">
        <v>3365</v>
      </c>
      <c r="T56" s="313" t="s">
        <v>217</v>
      </c>
      <c r="U56" s="313" t="s">
        <v>217</v>
      </c>
    </row>
    <row r="57" s="313" customFormat="1" ht="26.25" customHeight="1">
      <c r="A57" s="313" t="s">
        <v>54</v>
      </c>
      <c r="B57" s="313" t="s">
        <v>101</v>
      </c>
      <c r="C57" s="313" t="n">
        <v>5230747</v>
      </c>
      <c r="D57" s="313" t="s">
        <v>215</v>
      </c>
      <c r="E57" s="313" t="s">
        <v>283</v>
      </c>
      <c r="F57" s="313" t="s">
        <v>1128</v>
      </c>
      <c r="G57" s="313" t="s">
        <v>49</v>
      </c>
      <c r="H57" s="313" t="s">
        <v>31</v>
      </c>
      <c r="I57" s="313" t="s">
        <v>56</v>
      </c>
      <c r="J57" s="313" t="s">
        <v>55</v>
      </c>
      <c r="T57" s="313" t="s">
        <v>217</v>
      </c>
      <c r="U57" s="313" t="s">
        <v>217</v>
      </c>
    </row>
    <row r="58" s="313" customFormat="1" ht="26.25" customHeight="1">
      <c r="A58" s="313" t="s">
        <v>54</v>
      </c>
      <c r="B58" s="313" t="s">
        <v>101</v>
      </c>
      <c r="C58" s="313" t="n">
        <v>5230747</v>
      </c>
      <c r="D58" s="313" t="s">
        <v>215</v>
      </c>
      <c r="E58" s="313" t="s">
        <v>283</v>
      </c>
      <c r="F58" s="313" t="s">
        <v>1105</v>
      </c>
      <c r="G58" s="313" t="s">
        <v>49</v>
      </c>
      <c r="H58" s="313" t="s">
        <v>31</v>
      </c>
      <c r="I58" s="313" t="s">
        <v>56</v>
      </c>
      <c r="J58" s="313" t="s">
        <v>59</v>
      </c>
      <c r="M58" s="313" t="s">
        <v>3366</v>
      </c>
      <c r="N58" s="313" t="s">
        <v>3367</v>
      </c>
      <c r="O58" s="313" t="s">
        <v>3368</v>
      </c>
      <c r="T58" s="313" t="s">
        <v>217</v>
      </c>
      <c r="U58" s="313" t="s">
        <v>217</v>
      </c>
    </row>
    <row r="59" s="313" customFormat="1" ht="26.25" customHeight="1">
      <c r="A59" s="313" t="s">
        <v>54</v>
      </c>
      <c r="B59" s="313" t="s">
        <v>65</v>
      </c>
      <c r="C59" s="313" t="n">
        <v>5230773</v>
      </c>
      <c r="D59" s="313" t="s">
        <v>215</v>
      </c>
      <c r="E59" s="313" t="s">
        <v>283</v>
      </c>
      <c r="F59" s="313" t="s">
        <v>704</v>
      </c>
      <c r="G59" s="313" t="s">
        <v>49</v>
      </c>
      <c r="H59" s="313" t="s">
        <v>35</v>
      </c>
      <c r="I59" s="313" t="s">
        <v>56</v>
      </c>
      <c r="J59" s="313" t="s">
        <v>36</v>
      </c>
      <c r="O59" s="184" t="s">
        <v>3369</v>
      </c>
      <c r="Q59" s="313" t="n">
        <v>38</v>
      </c>
      <c r="T59" s="313" t="s">
        <v>217</v>
      </c>
    </row>
    <row r="60" s="313" customFormat="1" ht="26.25" customHeight="1">
      <c r="A60" s="313" t="s">
        <v>54</v>
      </c>
      <c r="B60" s="313" t="s">
        <v>65</v>
      </c>
      <c r="C60" s="313" t="n">
        <v>5230773</v>
      </c>
      <c r="D60" s="313" t="s">
        <v>215</v>
      </c>
      <c r="E60" s="313" t="s">
        <v>283</v>
      </c>
      <c r="F60" s="313" t="s">
        <v>502</v>
      </c>
      <c r="G60" s="313" t="s">
        <v>49</v>
      </c>
      <c r="H60" s="313" t="s">
        <v>35</v>
      </c>
      <c r="I60" s="313" t="s">
        <v>56</v>
      </c>
      <c r="J60" s="313" t="s">
        <v>55</v>
      </c>
      <c r="O60" s="184" t="s">
        <v>3370</v>
      </c>
      <c r="T60" s="313" t="s">
        <v>217</v>
      </c>
      <c r="U60" s="313" t="s">
        <v>217</v>
      </c>
    </row>
    <row r="61" s="313" customFormat="1" ht="26.25" customHeight="1">
      <c r="A61" s="313" t="s">
        <v>54</v>
      </c>
      <c r="B61" s="313" t="s">
        <v>65</v>
      </c>
      <c r="C61" s="313" t="n">
        <v>5230773</v>
      </c>
      <c r="D61" s="313" t="s">
        <v>215</v>
      </c>
      <c r="E61" s="313" t="s">
        <v>283</v>
      </c>
      <c r="F61" s="313" t="s">
        <v>377</v>
      </c>
      <c r="G61" s="313" t="s">
        <v>49</v>
      </c>
      <c r="H61" s="313" t="s">
        <v>35</v>
      </c>
      <c r="I61" s="313" t="s">
        <v>56</v>
      </c>
      <c r="J61" s="313" t="s">
        <v>57</v>
      </c>
      <c r="O61" s="204" t="s">
        <v>3371</v>
      </c>
      <c r="T61" s="313" t="s">
        <v>217</v>
      </c>
    </row>
    <row r="62" s="313" customFormat="1" ht="26.25" customHeight="1">
      <c r="A62" s="313" t="s">
        <v>54</v>
      </c>
      <c r="B62" s="313" t="s">
        <v>65</v>
      </c>
      <c r="C62" s="313" t="n">
        <v>5230773</v>
      </c>
      <c r="D62" s="313" t="s">
        <v>215</v>
      </c>
      <c r="E62" s="313" t="s">
        <v>283</v>
      </c>
      <c r="F62" s="313" t="s">
        <v>755</v>
      </c>
      <c r="G62" s="313" t="s">
        <v>49</v>
      </c>
      <c r="H62" s="313" t="s">
        <v>35</v>
      </c>
      <c r="I62" s="313" t="s">
        <v>58</v>
      </c>
      <c r="J62" s="313" t="s">
        <v>59</v>
      </c>
      <c r="M62" s="313" t="s">
        <v>3372</v>
      </c>
      <c r="N62" s="313" t="s">
        <v>3373</v>
      </c>
      <c r="O62" s="184" t="s">
        <v>3374</v>
      </c>
      <c r="Q62" s="313" t="n">
        <v>30</v>
      </c>
      <c r="T62" s="313" t="s">
        <v>217</v>
      </c>
      <c r="U62" s="313" t="s">
        <v>217</v>
      </c>
    </row>
    <row r="63" s="313" customFormat="1" ht="26.25" customHeight="1">
      <c r="A63" s="313" t="s">
        <v>45</v>
      </c>
      <c r="B63" s="313" t="s">
        <v>65</v>
      </c>
      <c r="C63" s="313" t="n">
        <v>4632448</v>
      </c>
      <c r="D63" s="313" t="s">
        <v>215</v>
      </c>
      <c r="E63" s="313" t="s">
        <v>283</v>
      </c>
      <c r="F63" s="217" t="s">
        <v>902</v>
      </c>
      <c r="G63" s="313" t="s">
        <v>49</v>
      </c>
      <c r="H63" s="313" t="s">
        <v>37</v>
      </c>
      <c r="I63" s="313" t="s">
        <v>58</v>
      </c>
      <c r="J63" s="313" t="s">
        <v>48</v>
      </c>
      <c r="N63" s="313" t="s">
        <v>3375</v>
      </c>
      <c r="O63" s="184" t="s">
        <v>3376</v>
      </c>
      <c r="T63" s="313" t="s">
        <v>217</v>
      </c>
      <c r="U63" s="313" t="s">
        <v>217</v>
      </c>
      <c r="W63" s="313" t="s">
        <v>217</v>
      </c>
    </row>
    <row r="64" s="313" customFormat="1" ht="26.25" customHeight="1">
      <c r="A64" s="313" t="s">
        <v>45</v>
      </c>
      <c r="B64" s="313" t="s">
        <v>88</v>
      </c>
      <c r="C64" s="313" t="n">
        <v>5170872</v>
      </c>
      <c r="D64" s="313" t="s">
        <v>216</v>
      </c>
      <c r="E64" s="313" t="s">
        <v>283</v>
      </c>
      <c r="F64" s="313" t="s">
        <v>1033</v>
      </c>
      <c r="G64" s="313" t="s">
        <v>49</v>
      </c>
      <c r="H64" s="313" t="s">
        <v>37</v>
      </c>
      <c r="I64" s="313" t="s">
        <v>52</v>
      </c>
      <c r="J64" s="313" t="s">
        <v>59</v>
      </c>
      <c r="M64" s="313" t="s">
        <v>3377</v>
      </c>
      <c r="N64" s="313" t="s">
        <v>3331</v>
      </c>
      <c r="P64" s="313" t="n">
        <v>85</v>
      </c>
      <c r="T64" s="313" t="s">
        <v>217</v>
      </c>
      <c r="U64" s="313" t="s">
        <v>217</v>
      </c>
      <c r="V64" s="313" t="s">
        <v>217</v>
      </c>
      <c r="W64" s="313" t="s">
        <v>217</v>
      </c>
    </row>
    <row r="65" s="313" customFormat="1" ht="26.25" customHeight="1">
      <c r="A65" s="313" t="s">
        <v>45</v>
      </c>
      <c r="B65" s="313" t="s">
        <v>65</v>
      </c>
      <c r="C65" s="313" t="s">
        <v>3378</v>
      </c>
      <c r="D65" s="313" t="s">
        <v>215</v>
      </c>
      <c r="E65" s="313" t="s">
        <v>283</v>
      </c>
      <c r="F65" s="217" t="s">
        <v>929</v>
      </c>
      <c r="G65" s="313" t="s">
        <v>49</v>
      </c>
      <c r="H65" s="313" t="s">
        <v>37</v>
      </c>
      <c r="I65" s="313" t="s">
        <v>58</v>
      </c>
      <c r="J65" s="313" t="s">
        <v>48</v>
      </c>
      <c r="O65" s="998" t="s">
        <v>3379</v>
      </c>
      <c r="T65" s="313" t="s">
        <v>217</v>
      </c>
    </row>
    <row r="66" s="313" customFormat="1" ht="26.25" customHeight="1">
      <c r="A66" s="313" t="s">
        <v>45</v>
      </c>
      <c r="B66" s="313" t="s">
        <v>65</v>
      </c>
      <c r="C66" s="313" t="s">
        <v>3378</v>
      </c>
      <c r="D66" s="313" t="s">
        <v>215</v>
      </c>
      <c r="E66" s="313" t="s">
        <v>283</v>
      </c>
      <c r="F66" s="313" t="s">
        <v>941</v>
      </c>
      <c r="G66" s="313" t="s">
        <v>49</v>
      </c>
      <c r="H66" s="313" t="s">
        <v>37</v>
      </c>
      <c r="I66" s="313" t="s">
        <v>58</v>
      </c>
      <c r="J66" s="313" t="s">
        <v>46</v>
      </c>
      <c r="O66" s="184"/>
      <c r="T66" s="313" t="s">
        <v>217</v>
      </c>
    </row>
    <row r="67" s="313" customFormat="1" ht="26.25" customHeight="1">
      <c r="A67" s="313" t="s">
        <v>45</v>
      </c>
      <c r="B67" s="313" t="s">
        <v>65</v>
      </c>
      <c r="C67" s="313" t="s">
        <v>3378</v>
      </c>
      <c r="D67" s="313" t="s">
        <v>215</v>
      </c>
      <c r="E67" s="313" t="s">
        <v>283</v>
      </c>
      <c r="F67" s="313" t="s">
        <v>276</v>
      </c>
      <c r="G67" s="313" t="s">
        <v>49</v>
      </c>
      <c r="I67" s="313" t="s">
        <v>58</v>
      </c>
      <c r="J67" s="313" t="s">
        <v>48</v>
      </c>
      <c r="O67" s="184" t="s">
        <v>3380</v>
      </c>
      <c r="T67" s="313" t="s">
        <v>217</v>
      </c>
    </row>
    <row r="68" s="313" customFormat="1" ht="26.25" customHeight="1">
      <c r="A68" s="313" t="s">
        <v>54</v>
      </c>
      <c r="B68" s="313" t="s">
        <v>65</v>
      </c>
      <c r="C68" s="313" t="s">
        <v>3381</v>
      </c>
      <c r="D68" s="313" t="s">
        <v>233</v>
      </c>
      <c r="E68" s="313" t="s">
        <v>283</v>
      </c>
      <c r="F68" s="313" t="s">
        <v>214</v>
      </c>
      <c r="G68" s="313" t="s">
        <v>49</v>
      </c>
      <c r="I68" s="313" t="s">
        <v>56</v>
      </c>
      <c r="J68" s="313" t="s">
        <v>55</v>
      </c>
      <c r="O68" s="184" t="s">
        <v>3382</v>
      </c>
      <c r="T68" s="313" t="s">
        <v>217</v>
      </c>
    </row>
    <row r="69" s="313" customFormat="1" ht="26.25" customHeight="1">
      <c r="A69" s="313" t="s">
        <v>45</v>
      </c>
      <c r="B69" s="313" t="s">
        <v>65</v>
      </c>
      <c r="C69" s="313" t="s">
        <v>3378</v>
      </c>
      <c r="D69" s="313" t="s">
        <v>215</v>
      </c>
      <c r="E69" s="313" t="s">
        <v>283</v>
      </c>
      <c r="F69" s="217" t="s">
        <v>324</v>
      </c>
      <c r="G69" s="313" t="s">
        <v>49</v>
      </c>
      <c r="H69" s="313" t="s">
        <v>37</v>
      </c>
      <c r="I69" s="313" t="s">
        <v>58</v>
      </c>
      <c r="J69" s="313" t="s">
        <v>50</v>
      </c>
      <c r="O69" s="184" t="s">
        <v>3383</v>
      </c>
      <c r="P69" s="313" t="n">
        <v>285</v>
      </c>
      <c r="T69" s="313" t="s">
        <v>217</v>
      </c>
    </row>
    <row r="70" s="313" customFormat="1" ht="26.25" customHeight="1">
      <c r="A70" s="313" t="s">
        <v>45</v>
      </c>
      <c r="B70" s="313" t="s">
        <v>65</v>
      </c>
      <c r="C70" s="313" t="s">
        <v>3378</v>
      </c>
      <c r="D70" s="313" t="s">
        <v>215</v>
      </c>
      <c r="E70" s="313" t="s">
        <v>283</v>
      </c>
      <c r="F70" s="313" t="s">
        <v>299</v>
      </c>
      <c r="G70" s="313" t="s">
        <v>49</v>
      </c>
      <c r="H70" s="313" t="s">
        <v>37</v>
      </c>
      <c r="I70" s="313" t="s">
        <v>58</v>
      </c>
      <c r="J70" s="313" t="s">
        <v>46</v>
      </c>
      <c r="O70" s="184"/>
      <c r="T70" s="313" t="s">
        <v>217</v>
      </c>
    </row>
    <row r="71" s="313" customFormat="1" ht="26.25" customHeight="1">
      <c r="A71" s="313" t="s">
        <v>45</v>
      </c>
      <c r="B71" s="313" t="s">
        <v>65</v>
      </c>
      <c r="C71" s="313" t="s">
        <v>3378</v>
      </c>
      <c r="D71" s="313" t="s">
        <v>215</v>
      </c>
      <c r="E71" s="313" t="s">
        <v>283</v>
      </c>
      <c r="F71" s="217" t="s">
        <v>935</v>
      </c>
      <c r="G71" s="313" t="s">
        <v>49</v>
      </c>
      <c r="H71" s="313" t="s">
        <v>37</v>
      </c>
      <c r="I71" s="313" t="s">
        <v>58</v>
      </c>
      <c r="J71" s="313" t="s">
        <v>46</v>
      </c>
      <c r="O71" s="184" t="s">
        <v>3384</v>
      </c>
      <c r="T71" s="313" t="s">
        <v>217</v>
      </c>
    </row>
    <row r="72" s="313" customFormat="1" ht="26.25" customHeight="1">
      <c r="A72" s="313" t="s">
        <v>45</v>
      </c>
      <c r="B72" s="313" t="s">
        <v>65</v>
      </c>
      <c r="C72" s="313" t="s">
        <v>3378</v>
      </c>
      <c r="D72" s="313" t="s">
        <v>215</v>
      </c>
      <c r="E72" s="313" t="s">
        <v>283</v>
      </c>
      <c r="F72" s="313" t="s">
        <v>946</v>
      </c>
      <c r="G72" s="313" t="s">
        <v>49</v>
      </c>
      <c r="H72" s="313" t="s">
        <v>37</v>
      </c>
      <c r="I72" s="313" t="s">
        <v>58</v>
      </c>
      <c r="J72" s="313" t="s">
        <v>46</v>
      </c>
      <c r="O72" s="184"/>
      <c r="T72" s="313" t="s">
        <v>217</v>
      </c>
    </row>
    <row r="73" s="313" customFormat="1" ht="26.25" customHeight="1">
      <c r="A73" s="313" t="s">
        <v>54</v>
      </c>
      <c r="B73" s="313" t="s">
        <v>65</v>
      </c>
      <c r="C73" s="313" t="s">
        <v>3381</v>
      </c>
      <c r="D73" s="313" t="s">
        <v>233</v>
      </c>
      <c r="E73" s="313" t="s">
        <v>283</v>
      </c>
      <c r="F73" s="313" t="s">
        <v>308</v>
      </c>
      <c r="G73" s="313" t="s">
        <v>49</v>
      </c>
      <c r="H73" s="313" t="s">
        <v>35</v>
      </c>
      <c r="I73" s="313" t="s">
        <v>56</v>
      </c>
      <c r="J73" s="313" t="s">
        <v>34</v>
      </c>
      <c r="O73" s="184" t="s">
        <v>3385</v>
      </c>
      <c r="T73" s="313" t="s">
        <v>217</v>
      </c>
    </row>
    <row r="74" s="313" customFormat="1" ht="26.25" customHeight="1">
      <c r="A74" s="313" t="s">
        <v>54</v>
      </c>
      <c r="B74" s="313" t="s">
        <v>65</v>
      </c>
      <c r="C74" s="313" t="s">
        <v>3381</v>
      </c>
      <c r="D74" s="313" t="s">
        <v>233</v>
      </c>
      <c r="E74" s="313" t="s">
        <v>283</v>
      </c>
      <c r="F74" s="313" t="s">
        <v>257</v>
      </c>
      <c r="G74" s="313" t="s">
        <v>49</v>
      </c>
      <c r="H74" s="313" t="s">
        <v>35</v>
      </c>
      <c r="I74" s="313" t="s">
        <v>56</v>
      </c>
      <c r="J74" s="313" t="s">
        <v>55</v>
      </c>
      <c r="O74" s="184" t="s">
        <v>3386</v>
      </c>
      <c r="T74" s="313" t="s">
        <v>217</v>
      </c>
    </row>
    <row r="75" s="313" customFormat="1" ht="26.25" customHeight="1">
      <c r="A75" s="313" t="s">
        <v>54</v>
      </c>
      <c r="B75" s="313" t="s">
        <v>65</v>
      </c>
      <c r="C75" s="313" t="s">
        <v>3381</v>
      </c>
      <c r="D75" s="313" t="s">
        <v>233</v>
      </c>
      <c r="E75" s="313" t="s">
        <v>283</v>
      </c>
      <c r="F75" s="313" t="s">
        <v>244</v>
      </c>
      <c r="G75" s="313" t="s">
        <v>49</v>
      </c>
      <c r="H75" s="313" t="s">
        <v>35</v>
      </c>
      <c r="I75" s="313" t="s">
        <v>56</v>
      </c>
      <c r="J75" s="313" t="s">
        <v>57</v>
      </c>
      <c r="O75" s="184" t="s">
        <v>3387</v>
      </c>
      <c r="T75" s="313" t="s">
        <v>217</v>
      </c>
    </row>
    <row r="76" s="313" customFormat="1" ht="26.25" customHeight="1">
      <c r="A76" s="313" t="s">
        <v>45</v>
      </c>
      <c r="B76" s="313" t="s">
        <v>65</v>
      </c>
      <c r="C76" s="313" t="s">
        <v>3378</v>
      </c>
      <c r="D76" s="313" t="s">
        <v>215</v>
      </c>
      <c r="E76" s="313" t="s">
        <v>283</v>
      </c>
      <c r="F76" s="313" t="s">
        <v>282</v>
      </c>
      <c r="G76" s="313" t="s">
        <v>49</v>
      </c>
      <c r="H76" s="313" t="s">
        <v>37</v>
      </c>
      <c r="I76" s="313" t="s">
        <v>58</v>
      </c>
      <c r="J76" s="313" t="s">
        <v>50</v>
      </c>
      <c r="O76" s="184" t="s">
        <v>3388</v>
      </c>
      <c r="T76" s="313" t="s">
        <v>217</v>
      </c>
    </row>
    <row r="77" s="313" customFormat="1" ht="26.25" customHeight="1">
      <c r="A77" s="313" t="s">
        <v>54</v>
      </c>
      <c r="B77" s="313" t="s">
        <v>65</v>
      </c>
      <c r="C77" s="313" t="s">
        <v>3381</v>
      </c>
      <c r="D77" s="313" t="s">
        <v>233</v>
      </c>
      <c r="E77" s="313" t="s">
        <v>283</v>
      </c>
      <c r="F77" s="313" t="s">
        <v>232</v>
      </c>
      <c r="G77" s="313" t="s">
        <v>49</v>
      </c>
      <c r="H77" s="313" t="s">
        <v>35</v>
      </c>
      <c r="I77" s="313" t="s">
        <v>56</v>
      </c>
      <c r="J77" s="313" t="s">
        <v>57</v>
      </c>
      <c r="O77" s="204" t="s">
        <v>3389</v>
      </c>
      <c r="T77" s="313" t="s">
        <v>217</v>
      </c>
    </row>
    <row r="78" s="313" customFormat="1" ht="26.25" customHeight="1">
      <c r="A78" s="313" t="s">
        <v>45</v>
      </c>
      <c r="B78" s="313" t="s">
        <v>65</v>
      </c>
      <c r="C78" s="313" t="s">
        <v>3378</v>
      </c>
      <c r="D78" s="313" t="s">
        <v>215</v>
      </c>
      <c r="E78" s="313" t="s">
        <v>283</v>
      </c>
      <c r="F78" s="313" t="s">
        <v>292</v>
      </c>
      <c r="G78" s="313" t="s">
        <v>49</v>
      </c>
      <c r="H78" s="313" t="s">
        <v>37</v>
      </c>
      <c r="I78" s="313" t="s">
        <v>58</v>
      </c>
      <c r="J78" s="313" t="s">
        <v>59</v>
      </c>
      <c r="O78" s="184" t="s">
        <v>3390</v>
      </c>
      <c r="T78" s="313" t="s">
        <v>217</v>
      </c>
    </row>
    <row r="79" s="313" customFormat="1" ht="26.25" customHeight="1">
      <c r="A79" s="313" t="s">
        <v>45</v>
      </c>
      <c r="B79" s="313" t="s">
        <v>65</v>
      </c>
      <c r="C79" s="313" t="s">
        <v>3378</v>
      </c>
      <c r="D79" s="313" t="s">
        <v>215</v>
      </c>
      <c r="E79" s="313" t="s">
        <v>283</v>
      </c>
      <c r="F79" s="313" t="s">
        <v>319</v>
      </c>
      <c r="G79" s="313" t="s">
        <v>49</v>
      </c>
      <c r="H79" s="313" t="s">
        <v>37</v>
      </c>
      <c r="I79" s="313" t="s">
        <v>58</v>
      </c>
      <c r="J79" s="313" t="s">
        <v>46</v>
      </c>
      <c r="O79" s="184"/>
      <c r="T79" s="313" t="s">
        <v>217</v>
      </c>
    </row>
    <row r="80" ht="26.25" customHeight="1">
      <c r="F80" s="472"/>
      <c r="K80" s="484"/>
      <c r="L80" s="484"/>
      <c r="O80" s="484"/>
    </row>
    <row r="81" ht="26.25" customHeight="1">
      <c r="F81" s="472"/>
      <c r="K81" s="484"/>
      <c r="L81" s="484"/>
      <c r="O81" s="484"/>
    </row>
    <row r="82" ht="26.25" customHeight="1">
      <c r="F82" s="472"/>
      <c r="K82" s="484"/>
      <c r="L82" s="484"/>
      <c r="O82" s="484"/>
    </row>
    <row r="83" ht="26.25" customHeight="1">
      <c r="F83" s="472"/>
      <c r="K83" s="484"/>
      <c r="L83" s="484"/>
      <c r="O83" s="484"/>
    </row>
    <row r="84" ht="26.25" customHeight="1">
      <c r="F84" s="472"/>
      <c r="K84" s="484"/>
      <c r="L84" s="484"/>
      <c r="O84" s="484"/>
    </row>
    <row r="85" ht="26.25" customHeight="1">
      <c r="F85" s="472"/>
      <c r="K85" s="484"/>
      <c r="L85" s="484"/>
      <c r="O85" s="484"/>
    </row>
    <row r="86" ht="26.25" customHeight="1">
      <c r="F86" s="472"/>
      <c r="K86" s="484"/>
      <c r="L86" s="484"/>
      <c r="O86" s="484"/>
    </row>
    <row r="87" ht="26.25" customHeight="1">
      <c r="F87" s="472"/>
      <c r="K87" s="484"/>
      <c r="L87" s="484"/>
      <c r="O87" s="484"/>
    </row>
    <row r="88" ht="26.25" customHeight="1">
      <c r="F88" s="472"/>
      <c r="K88" s="484"/>
      <c r="L88" s="484"/>
      <c r="O88" s="484"/>
    </row>
    <row r="89" ht="26.25" customHeight="1">
      <c r="F89" s="472"/>
      <c r="K89" s="484"/>
      <c r="L89" s="484"/>
      <c r="O89" s="484"/>
    </row>
    <row r="90" ht="26.25" customHeight="1">
      <c r="F90" s="472"/>
      <c r="K90" s="484"/>
      <c r="L90" s="484"/>
      <c r="O90" s="484"/>
    </row>
    <row r="91" ht="26.25" customHeight="1">
      <c r="F91" s="472"/>
      <c r="K91" s="484"/>
      <c r="L91" s="484"/>
      <c r="O91" s="484"/>
    </row>
    <row r="92" ht="26.25" customHeight="1">
      <c r="F92" s="472"/>
      <c r="K92" s="484"/>
      <c r="L92" s="484"/>
      <c r="O92" s="484"/>
    </row>
    <row r="93" ht="26.25" customHeight="1">
      <c r="F93" s="472"/>
      <c r="K93" s="484"/>
      <c r="L93" s="484"/>
      <c r="O93" s="484"/>
    </row>
    <row r="94" ht="26.25" customHeight="1">
      <c r="F94" s="472"/>
      <c r="K94" s="484"/>
      <c r="L94" s="484"/>
      <c r="O94" s="484"/>
    </row>
    <row r="95" ht="26.25" customHeight="1">
      <c r="F95" s="472"/>
      <c r="K95" s="484"/>
      <c r="L95" s="484"/>
      <c r="O95" s="484"/>
    </row>
    <row r="96" ht="26.25" customHeight="1">
      <c r="F96" s="472"/>
      <c r="K96" s="484"/>
      <c r="L96" s="484"/>
      <c r="O96" s="484"/>
    </row>
    <row r="97" ht="26.25" customHeight="1">
      <c r="F97" s="472"/>
      <c r="K97" s="484"/>
      <c r="L97" s="484"/>
      <c r="O97" s="484"/>
    </row>
    <row r="98" ht="26.25" customHeight="1">
      <c r="F98" s="472"/>
      <c r="K98" s="484"/>
      <c r="L98" s="484"/>
      <c r="O98" s="484"/>
    </row>
    <row r="99" ht="26.25" customHeight="1">
      <c r="F99" s="472"/>
      <c r="K99" s="484"/>
      <c r="L99" s="484"/>
      <c r="O99" s="484"/>
    </row>
    <row r="100" ht="26.25" customHeight="1">
      <c r="F100" s="472"/>
      <c r="K100" s="484"/>
      <c r="L100" s="484"/>
      <c r="O100" s="484"/>
    </row>
    <row r="101" ht="26.25" customHeight="1">
      <c r="F101" s="472"/>
      <c r="K101" s="484"/>
      <c r="L101" s="484"/>
      <c r="O101" s="484"/>
    </row>
    <row r="102" ht="26.25" customHeight="1">
      <c r="F102" s="472"/>
      <c r="K102" s="484"/>
      <c r="L102" s="484"/>
      <c r="O102" s="484"/>
    </row>
    <row r="103" ht="26.25" customHeight="1">
      <c r="F103" s="472"/>
      <c r="K103" s="484"/>
      <c r="L103" s="484"/>
      <c r="O103" s="484"/>
    </row>
    <row r="104" ht="26.25" customHeight="1">
      <c r="F104" s="472"/>
      <c r="K104" s="484"/>
      <c r="L104" s="484"/>
      <c r="O104" s="484"/>
    </row>
    <row r="105" ht="26.25" customHeight="1">
      <c r="F105" s="472"/>
      <c r="K105" s="484"/>
      <c r="L105" s="484"/>
      <c r="O105" s="484"/>
    </row>
    <row r="106" ht="26.25" customHeight="1">
      <c r="F106" s="472"/>
      <c r="K106" s="484"/>
      <c r="L106" s="484"/>
      <c r="O106" s="484"/>
    </row>
    <row r="107" ht="26.25" customHeight="1">
      <c r="F107" s="472"/>
      <c r="K107" s="484"/>
      <c r="L107" s="484"/>
      <c r="O107" s="484"/>
    </row>
    <row r="108" ht="26.25" customHeight="1">
      <c r="F108" s="472"/>
      <c r="K108" s="484"/>
      <c r="L108" s="484"/>
      <c r="O108" s="484"/>
    </row>
    <row r="109" ht="26.25" customHeight="1">
      <c r="F109" s="472"/>
      <c r="K109" s="484"/>
      <c r="L109" s="484"/>
      <c r="O109" s="484"/>
    </row>
    <row r="110" ht="26.25" customHeight="1">
      <c r="F110" s="472"/>
      <c r="K110" s="484"/>
      <c r="L110" s="484"/>
      <c r="O110" s="484"/>
    </row>
    <row r="111" ht="26.25" customHeight="1">
      <c r="F111" s="472"/>
      <c r="K111" s="484"/>
      <c r="L111" s="484"/>
      <c r="O111" s="484"/>
    </row>
    <row r="112" ht="26.25" customHeight="1">
      <c r="F112" s="472"/>
      <c r="K112" s="484"/>
      <c r="L112" s="484"/>
      <c r="O112" s="484"/>
    </row>
    <row r="113" ht="26.25" customHeight="1">
      <c r="F113" s="472"/>
      <c r="K113" s="484"/>
      <c r="L113" s="484"/>
      <c r="O113" s="484"/>
    </row>
    <row r="114" ht="26.25" customHeight="1">
      <c r="F114" s="472"/>
      <c r="K114" s="484"/>
      <c r="L114" s="484"/>
      <c r="O114" s="484"/>
    </row>
    <row r="115" ht="26.25" customHeight="1">
      <c r="F115" s="472"/>
      <c r="K115" s="484"/>
      <c r="L115" s="484"/>
      <c r="O115" s="484"/>
    </row>
    <row r="116" ht="26.25" customHeight="1">
      <c r="F116" s="472"/>
      <c r="K116" s="484"/>
      <c r="L116" s="484"/>
      <c r="O116" s="484"/>
    </row>
    <row r="117" ht="26.25" customHeight="1">
      <c r="F117" s="472"/>
      <c r="K117" s="484"/>
      <c r="L117" s="484"/>
      <c r="O117" s="484"/>
    </row>
    <row r="118" ht="26.25" customHeight="1">
      <c r="F118" s="472"/>
      <c r="K118" s="484"/>
      <c r="L118" s="484"/>
      <c r="O118" s="484"/>
    </row>
    <row r="119" ht="26.25" customHeight="1">
      <c r="F119" s="472"/>
      <c r="K119" s="484"/>
      <c r="L119" s="484"/>
      <c r="O119" s="484"/>
    </row>
    <row r="120" ht="26.25" customHeight="1">
      <c r="F120" s="472"/>
      <c r="K120" s="484"/>
      <c r="L120" s="484"/>
      <c r="O120" s="484"/>
    </row>
    <row r="121" ht="26.25" customHeight="1">
      <c r="F121" s="472"/>
      <c r="K121" s="484"/>
      <c r="L121" s="484"/>
      <c r="O121" s="484"/>
    </row>
    <row r="122" ht="26.25" customHeight="1">
      <c r="F122" s="472"/>
      <c r="K122" s="484"/>
      <c r="L122" s="484"/>
      <c r="O122" s="484"/>
    </row>
    <row r="123" ht="26.25" customHeight="1">
      <c r="F123" s="472"/>
      <c r="K123" s="484"/>
      <c r="L123" s="484"/>
      <c r="O123" s="484"/>
    </row>
    <row r="124" ht="26.25" customHeight="1">
      <c r="F124" s="472"/>
      <c r="K124" s="484"/>
      <c r="L124" s="484"/>
      <c r="O124" s="484"/>
    </row>
    <row r="125" ht="26.25" customHeight="1">
      <c r="F125" s="472"/>
      <c r="K125" s="484"/>
      <c r="L125" s="484"/>
      <c r="O125" s="484"/>
    </row>
    <row r="126" ht="26.25" customHeight="1">
      <c r="F126" s="472"/>
      <c r="K126" s="484"/>
      <c r="L126" s="484"/>
      <c r="O126" s="484"/>
    </row>
    <row r="127" ht="26.25" customHeight="1">
      <c r="F127" s="472"/>
      <c r="K127" s="484"/>
      <c r="L127" s="484"/>
      <c r="O127" s="484"/>
    </row>
    <row r="128" ht="26.25" customHeight="1">
      <c r="F128" s="472"/>
      <c r="K128" s="484"/>
      <c r="L128" s="484"/>
      <c r="O128" s="484"/>
    </row>
    <row r="129" ht="26.25" customHeight="1">
      <c r="F129" s="472"/>
      <c r="K129" s="484"/>
      <c r="L129" s="484"/>
      <c r="O129" s="484"/>
    </row>
    <row r="130" ht="26.25" customHeight="1">
      <c r="F130" s="472"/>
      <c r="K130" s="484"/>
      <c r="L130" s="484"/>
      <c r="O130" s="484"/>
    </row>
    <row r="131" ht="26.25" customHeight="1">
      <c r="F131" s="472"/>
      <c r="K131" s="484"/>
      <c r="L131" s="484"/>
      <c r="O131" s="484"/>
    </row>
    <row r="132" ht="26.25" customHeight="1">
      <c r="F132" s="472"/>
      <c r="K132" s="484"/>
      <c r="L132" s="484"/>
      <c r="O132" s="484"/>
    </row>
    <row r="133" ht="26.25" customHeight="1">
      <c r="F133" s="472"/>
      <c r="K133" s="484"/>
      <c r="L133" s="484"/>
      <c r="O133" s="484"/>
    </row>
    <row r="134" ht="26.25" customHeight="1">
      <c r="F134" s="472"/>
      <c r="K134" s="484"/>
      <c r="L134" s="484"/>
      <c r="O134" s="484"/>
    </row>
    <row r="135" ht="26.25" customHeight="1">
      <c r="F135" s="472"/>
      <c r="K135" s="484"/>
      <c r="L135" s="484"/>
      <c r="O135" s="484"/>
    </row>
    <row r="136" ht="26.25" customHeight="1">
      <c r="F136" s="472"/>
      <c r="K136" s="484"/>
      <c r="L136" s="484"/>
      <c r="O136" s="484"/>
    </row>
    <row r="137" ht="26.25" customHeight="1">
      <c r="F137" s="472"/>
      <c r="K137" s="484"/>
      <c r="L137" s="484"/>
      <c r="O137" s="484"/>
    </row>
    <row r="138" ht="26.25" customHeight="1">
      <c r="F138" s="472"/>
      <c r="K138" s="484"/>
      <c r="L138" s="484"/>
      <c r="O138" s="484"/>
    </row>
    <row r="139" ht="26.25" customHeight="1">
      <c r="F139" s="472"/>
      <c r="K139" s="484"/>
      <c r="L139" s="484"/>
      <c r="O139" s="484"/>
    </row>
    <row r="140" ht="26.25" customHeight="1">
      <c r="F140" s="472"/>
      <c r="K140" s="484"/>
      <c r="L140" s="484"/>
      <c r="O140" s="484"/>
    </row>
    <row r="141" ht="26.25" customHeight="1">
      <c r="F141" s="472"/>
      <c r="K141" s="484"/>
      <c r="L141" s="484"/>
      <c r="O141" s="484"/>
    </row>
    <row r="142" ht="26.25" customHeight="1">
      <c r="F142" s="472"/>
      <c r="K142" s="484"/>
      <c r="L142" s="484"/>
      <c r="O142" s="484"/>
    </row>
    <row r="143" ht="26.25" customHeight="1">
      <c r="F143" s="472"/>
      <c r="K143" s="484"/>
      <c r="L143" s="484"/>
      <c r="O143" s="484"/>
    </row>
    <row r="144" ht="26.25" customHeight="1">
      <c r="F144" s="472"/>
      <c r="K144" s="484"/>
      <c r="L144" s="484"/>
      <c r="O144" s="484"/>
    </row>
    <row r="145" ht="26.25" customHeight="1">
      <c r="F145" s="472"/>
      <c r="K145" s="484"/>
      <c r="L145" s="484"/>
      <c r="O145" s="484"/>
    </row>
    <row r="146" ht="26.25" customHeight="1">
      <c r="F146" s="472"/>
      <c r="K146" s="484"/>
      <c r="L146" s="484"/>
      <c r="O146" s="484"/>
    </row>
    <row r="147" ht="26.25" customHeight="1">
      <c r="F147" s="472"/>
      <c r="K147" s="484"/>
      <c r="L147" s="484"/>
      <c r="O147" s="484"/>
    </row>
    <row r="148" ht="26.25" customHeight="1">
      <c r="F148" s="472"/>
      <c r="K148" s="484"/>
      <c r="L148" s="484"/>
      <c r="O148" s="484"/>
    </row>
    <row r="149" ht="26.25" customHeight="1">
      <c r="F149" s="472"/>
      <c r="K149" s="484"/>
      <c r="L149" s="484"/>
      <c r="O149" s="484"/>
    </row>
    <row r="150" ht="26.25" customHeight="1">
      <c r="F150" s="472"/>
      <c r="K150" s="484"/>
      <c r="L150" s="484"/>
      <c r="O150" s="484"/>
    </row>
    <row r="151" ht="26.25" customHeight="1">
      <c r="F151" s="472"/>
      <c r="K151" s="484"/>
      <c r="L151" s="484"/>
      <c r="O151" s="484"/>
    </row>
    <row r="152" ht="26.25" customHeight="1">
      <c r="F152" s="472"/>
      <c r="K152" s="484"/>
      <c r="L152" s="484"/>
      <c r="O152" s="484"/>
    </row>
    <row r="153" ht="26.25" customHeight="1">
      <c r="F153" s="472"/>
      <c r="K153" s="484"/>
      <c r="L153" s="484"/>
      <c r="O153" s="484"/>
    </row>
    <row r="154" ht="26.25" customHeight="1">
      <c r="F154" s="472"/>
      <c r="K154" s="484"/>
      <c r="L154" s="484"/>
      <c r="O154" s="484"/>
    </row>
    <row r="155" ht="26.25" customHeight="1">
      <c r="F155" s="472"/>
      <c r="K155" s="484"/>
      <c r="L155" s="484"/>
      <c r="O155" s="484"/>
    </row>
    <row r="156" ht="26.25" customHeight="1">
      <c r="F156" s="472"/>
      <c r="K156" s="484"/>
      <c r="L156" s="484"/>
      <c r="O156" s="484"/>
    </row>
    <row r="157" ht="26.25" customHeight="1">
      <c r="F157" s="472"/>
      <c r="K157" s="484"/>
      <c r="L157" s="484"/>
      <c r="O157" s="484"/>
    </row>
    <row r="158" ht="26.25" customHeight="1">
      <c r="F158" s="472"/>
      <c r="K158" s="484"/>
      <c r="L158" s="484"/>
      <c r="O158" s="484"/>
    </row>
    <row r="159" ht="26.25" customHeight="1">
      <c r="F159" s="472"/>
      <c r="K159" s="484"/>
      <c r="L159" s="484"/>
      <c r="O159" s="484"/>
    </row>
    <row r="160" ht="26.25" customHeight="1">
      <c r="F160" s="472"/>
      <c r="K160" s="484"/>
      <c r="L160" s="484"/>
      <c r="O160" s="484"/>
    </row>
    <row r="161" ht="26.25" customHeight="1">
      <c r="F161" s="472"/>
      <c r="K161" s="484"/>
      <c r="L161" s="484"/>
      <c r="O161" s="484"/>
    </row>
    <row r="162" ht="26.25" customHeight="1">
      <c r="F162" s="472"/>
      <c r="K162" s="484"/>
      <c r="L162" s="484"/>
      <c r="O162" s="484"/>
    </row>
    <row r="163" ht="26.25" customHeight="1">
      <c r="F163" s="472"/>
      <c r="K163" s="484"/>
      <c r="L163" s="484"/>
      <c r="O163" s="484"/>
    </row>
    <row r="164" ht="26.25" customHeight="1">
      <c r="F164" s="472"/>
      <c r="K164" s="484"/>
      <c r="L164" s="484"/>
      <c r="O164" s="484"/>
    </row>
    <row r="165" ht="26.25" customHeight="1">
      <c r="F165" s="472"/>
      <c r="K165" s="484"/>
      <c r="L165" s="484"/>
      <c r="O165" s="484"/>
    </row>
    <row r="166" ht="26.25" customHeight="1">
      <c r="F166" s="472"/>
      <c r="K166" s="484"/>
      <c r="L166" s="484"/>
      <c r="O166" s="484"/>
    </row>
    <row r="167" ht="26.25" customHeight="1">
      <c r="F167" s="472"/>
      <c r="K167" s="484"/>
      <c r="L167" s="484"/>
      <c r="O167" s="484"/>
    </row>
    <row r="168" ht="26.25" customHeight="1">
      <c r="F168" s="472"/>
      <c r="K168" s="484"/>
      <c r="L168" s="484"/>
      <c r="O168" s="484"/>
    </row>
    <row r="169" ht="26.25" customHeight="1">
      <c r="F169" s="472"/>
      <c r="K169" s="484"/>
      <c r="L169" s="484"/>
      <c r="O169" s="484"/>
    </row>
    <row r="170" ht="26.25" customHeight="1">
      <c r="F170" s="472"/>
      <c r="K170" s="484"/>
      <c r="L170" s="484"/>
      <c r="O170" s="484"/>
    </row>
    <row r="171" ht="26.25" customHeight="1">
      <c r="F171" s="472"/>
      <c r="K171" s="484"/>
      <c r="L171" s="484"/>
      <c r="O171" s="484"/>
    </row>
    <row r="172" ht="26.25" customHeight="1">
      <c r="F172" s="472"/>
      <c r="K172" s="484"/>
      <c r="L172" s="484"/>
      <c r="O172" s="484"/>
    </row>
    <row r="173" ht="26.25" customHeight="1">
      <c r="F173" s="472"/>
      <c r="K173" s="484"/>
      <c r="L173" s="484"/>
      <c r="O173" s="484"/>
    </row>
    <row r="174" ht="26.25" customHeight="1">
      <c r="F174" s="472"/>
      <c r="K174" s="484"/>
      <c r="L174" s="484"/>
      <c r="O174" s="484"/>
    </row>
    <row r="175" ht="26.25" customHeight="1">
      <c r="F175" s="472"/>
      <c r="K175" s="484"/>
      <c r="L175" s="484"/>
      <c r="O175" s="484"/>
    </row>
    <row r="176" ht="26.25" customHeight="1">
      <c r="F176" s="472"/>
      <c r="K176" s="484"/>
      <c r="L176" s="484"/>
      <c r="O176" s="484"/>
    </row>
    <row r="177" ht="26.25" customHeight="1">
      <c r="F177" s="472"/>
      <c r="K177" s="484"/>
      <c r="L177" s="484"/>
      <c r="O177" s="484"/>
    </row>
    <row r="178" ht="26.25" customHeight="1">
      <c r="F178" s="472"/>
      <c r="K178" s="484"/>
      <c r="L178" s="484"/>
      <c r="O178" s="484"/>
    </row>
    <row r="179" ht="26.25" customHeight="1">
      <c r="F179" s="472"/>
      <c r="K179" s="484"/>
      <c r="L179" s="484"/>
      <c r="O179" s="484"/>
    </row>
    <row r="180" ht="26.25" customHeight="1">
      <c r="F180" s="472"/>
      <c r="K180" s="484"/>
      <c r="L180" s="484"/>
      <c r="O180" s="484"/>
    </row>
    <row r="181" ht="26.25" customHeight="1">
      <c r="F181" s="472"/>
      <c r="K181" s="484"/>
      <c r="L181" s="484"/>
      <c r="O181" s="484"/>
    </row>
    <row r="182" ht="26.25" customHeight="1">
      <c r="F182" s="472"/>
      <c r="K182" s="484"/>
      <c r="L182" s="484"/>
      <c r="O182" s="484"/>
    </row>
    <row r="183" ht="26.25" customHeight="1">
      <c r="F183" s="472"/>
      <c r="K183" s="484"/>
      <c r="L183" s="484"/>
      <c r="O183" s="484"/>
    </row>
    <row r="184" ht="26.25" customHeight="1">
      <c r="F184" s="472"/>
      <c r="K184" s="484"/>
      <c r="L184" s="484"/>
      <c r="O184" s="484"/>
    </row>
    <row r="185" ht="26.25" customHeight="1">
      <c r="F185" s="472"/>
      <c r="K185" s="484"/>
      <c r="L185" s="484"/>
      <c r="O185" s="484"/>
    </row>
    <row r="186" ht="26.25" customHeight="1">
      <c r="F186" s="472"/>
      <c r="K186" s="484"/>
      <c r="L186" s="484"/>
      <c r="O186" s="484"/>
    </row>
    <row r="187" ht="26.25" customHeight="1">
      <c r="F187" s="472"/>
      <c r="K187" s="484"/>
      <c r="L187" s="484"/>
      <c r="O187" s="484"/>
    </row>
    <row r="188" ht="26.25" customHeight="1">
      <c r="F188" s="472"/>
      <c r="K188" s="484"/>
      <c r="L188" s="484"/>
      <c r="O188" s="484"/>
    </row>
    <row r="189" ht="26.25" customHeight="1">
      <c r="F189" s="472"/>
      <c r="K189" s="484"/>
      <c r="L189" s="484"/>
      <c r="O189" s="484"/>
    </row>
    <row r="190" ht="26.25" customHeight="1">
      <c r="F190" s="472"/>
      <c r="K190" s="484"/>
      <c r="L190" s="484"/>
      <c r="O190" s="484"/>
    </row>
    <row r="191" ht="26.25" customHeight="1">
      <c r="F191" s="472"/>
      <c r="K191" s="484"/>
      <c r="L191" s="484"/>
      <c r="O191" s="484"/>
    </row>
    <row r="192" ht="26.25" customHeight="1">
      <c r="F192" s="472"/>
      <c r="K192" s="484"/>
      <c r="L192" s="484"/>
      <c r="O192" s="484"/>
    </row>
  </sheetData>
  <autoFilter ref="A2:XFD1048576"/>
  <mergeCells count="4">
    <mergeCell ref="A1:J1"/>
    <mergeCell ref="K1:O1"/>
    <mergeCell ref="P1:S1"/>
    <mergeCell ref="T1:Y1"/>
  </mergeCells>
  <phoneticPr fontId="1" type="noConversion"/>
  <conditionalFormatting sqref="AA1:AA2 AA80:AA192 F1:F2 F80:F192">
    <cfRule priority="30"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68"/>
    <col min="13" max="13" width="29.4990234375" customWidth="1"/>
    <col min="14" max="14" width="12.9990234375" customWidth="1"/>
    <col min="20" max="21" width="10" style="168"/>
    <col min="22" max="23" width="11.25" customWidth="1" style="168"/>
    <col min="24" max="25" width="10" style="168"/>
  </cols>
  <sheetData>
    <row r="1" ht="26.25" customHeight="1">
      <c r="A1" s="477" t="s">
        <v>2588</v>
      </c>
      <c r="B1" s="478"/>
      <c r="C1" s="478"/>
      <c r="D1" s="478"/>
      <c r="E1" s="478"/>
      <c r="F1" s="478"/>
      <c r="G1" s="478"/>
      <c r="H1" s="478"/>
      <c r="I1" s="478"/>
      <c r="J1" s="479"/>
      <c r="K1" s="480" t="s">
        <v>2351</v>
      </c>
      <c r="L1" s="478"/>
      <c r="M1" s="478"/>
      <c r="N1" s="478"/>
      <c r="O1" s="478"/>
      <c r="P1" s="481" t="s">
        <v>2352</v>
      </c>
      <c r="Q1" s="478"/>
      <c r="R1" s="478"/>
      <c r="S1" s="478"/>
      <c r="T1" s="482" t="s">
        <v>2353</v>
      </c>
      <c r="U1" s="479"/>
      <c r="V1" s="479"/>
      <c r="W1" s="479"/>
      <c r="X1" s="479"/>
      <c r="Y1" s="479"/>
    </row>
    <row r="2" s="375" customFormat="1" ht="26.25" customHeight="1">
      <c r="A2" s="380" t="s">
        <v>71</v>
      </c>
      <c r="B2" s="380" t="s">
        <v>174</v>
      </c>
      <c r="C2" s="380" t="s">
        <v>2354</v>
      </c>
      <c r="D2" s="380" t="s">
        <v>2355</v>
      </c>
      <c r="E2" s="380" t="s">
        <v>94</v>
      </c>
      <c r="F2" s="380" t="s">
        <v>148</v>
      </c>
      <c r="G2" s="380" t="s">
        <v>172</v>
      </c>
      <c r="H2" s="380" t="s">
        <v>3004</v>
      </c>
      <c r="I2" s="380" t="s">
        <v>2357</v>
      </c>
      <c r="J2" s="380" t="s">
        <v>2358</v>
      </c>
      <c r="K2" s="380" t="s">
        <v>2359</v>
      </c>
      <c r="L2" s="380" t="s">
        <v>2360</v>
      </c>
      <c r="M2" s="999" t="s">
        <v>2361</v>
      </c>
      <c r="N2" s="380" t="s">
        <v>2362</v>
      </c>
      <c r="O2" s="380" t="s">
        <v>2363</v>
      </c>
      <c r="P2" s="380" t="s">
        <v>126</v>
      </c>
      <c r="Q2" s="380" t="s">
        <v>125</v>
      </c>
      <c r="R2" s="380" t="s">
        <v>2364</v>
      </c>
      <c r="S2" s="380" t="s">
        <v>2365</v>
      </c>
      <c r="T2" s="380" t="s">
        <v>2366</v>
      </c>
      <c r="U2" s="380" t="s">
        <v>2367</v>
      </c>
      <c r="V2" s="380" t="s">
        <v>176</v>
      </c>
      <c r="W2" s="380" t="s">
        <v>2368</v>
      </c>
      <c r="X2" s="380" t="s">
        <v>2369</v>
      </c>
      <c r="Y2" s="380" t="s">
        <v>2370</v>
      </c>
    </row>
    <row r="3" s="313" customFormat="1" ht="26.25" customHeight="1">
      <c r="A3" s="313" t="s">
        <v>54</v>
      </c>
      <c r="B3" s="313" t="s">
        <v>88</v>
      </c>
      <c r="C3" s="313" t="n">
        <v>3132859</v>
      </c>
      <c r="D3" s="313" t="s">
        <v>215</v>
      </c>
      <c r="E3" s="313" t="s">
        <v>283</v>
      </c>
      <c r="F3" s="313" t="s">
        <v>1282</v>
      </c>
      <c r="G3" s="313" t="s">
        <v>43</v>
      </c>
      <c r="H3" s="313" t="s">
        <v>31</v>
      </c>
      <c r="I3" s="313" t="s">
        <v>56</v>
      </c>
      <c r="J3" s="313" t="s">
        <v>57</v>
      </c>
      <c r="K3" s="313" t="s">
        <v>3391</v>
      </c>
      <c r="L3" s="313" t="s">
        <v>1544</v>
      </c>
      <c r="M3" s="313" t="s">
        <v>3392</v>
      </c>
      <c r="N3" s="1000" t="s">
        <v>2373</v>
      </c>
      <c r="O3" s="313" t="s">
        <v>3393</v>
      </c>
      <c r="P3" s="313" t="s">
        <v>27</v>
      </c>
      <c r="T3" s="313" t="s">
        <v>217</v>
      </c>
      <c r="U3" s="313" t="s">
        <v>217</v>
      </c>
      <c r="V3" s="313" t="s">
        <v>217</v>
      </c>
      <c r="W3" s="313" t="s">
        <v>217</v>
      </c>
    </row>
    <row r="4" s="313" customFormat="1" ht="26.25" customHeight="1">
      <c r="A4" s="313" t="s">
        <v>54</v>
      </c>
      <c r="B4" s="313" t="s">
        <v>100</v>
      </c>
      <c r="C4" s="313" t="n">
        <v>3132846</v>
      </c>
      <c r="D4" s="313" t="s">
        <v>216</v>
      </c>
      <c r="E4" s="313" t="s">
        <v>283</v>
      </c>
      <c r="F4" s="313" t="s">
        <v>847</v>
      </c>
      <c r="G4" s="313" t="s">
        <v>43</v>
      </c>
      <c r="H4" s="313" t="s">
        <v>31</v>
      </c>
      <c r="I4" s="313" t="s">
        <v>56</v>
      </c>
      <c r="J4" s="313" t="s">
        <v>57</v>
      </c>
      <c r="K4" s="313" t="s">
        <v>3394</v>
      </c>
      <c r="L4" s="313" t="s">
        <v>3395</v>
      </c>
      <c r="M4" s="313" t="s">
        <v>3396</v>
      </c>
      <c r="N4" s="313" t="s">
        <v>3397</v>
      </c>
      <c r="O4" s="313" t="s">
        <v>1319</v>
      </c>
      <c r="P4" s="313" t="s">
        <v>3025</v>
      </c>
      <c r="T4" s="313" t="s">
        <v>217</v>
      </c>
      <c r="U4" s="313" t="s">
        <v>217</v>
      </c>
      <c r="V4" s="313" t="s">
        <v>217</v>
      </c>
      <c r="W4" s="313" t="s">
        <v>217</v>
      </c>
      <c r="Z4" s="313" t="s">
        <v>3398</v>
      </c>
    </row>
    <row r="5" s="313" customFormat="1" ht="26.25" customHeight="1">
      <c r="A5" s="313" t="s">
        <v>54</v>
      </c>
      <c r="B5" s="313" t="s">
        <v>88</v>
      </c>
      <c r="C5" s="313" t="n">
        <v>3132859</v>
      </c>
      <c r="D5" s="313" t="s">
        <v>215</v>
      </c>
      <c r="E5" s="313" t="s">
        <v>283</v>
      </c>
      <c r="F5" s="313" t="s">
        <v>1037</v>
      </c>
      <c r="G5" s="313" t="s">
        <v>43</v>
      </c>
      <c r="H5" s="313" t="s">
        <v>31</v>
      </c>
      <c r="I5" s="313" t="s">
        <v>56</v>
      </c>
      <c r="J5" s="313" t="s">
        <v>57</v>
      </c>
      <c r="K5" s="313" t="s">
        <v>3399</v>
      </c>
      <c r="L5" s="313" t="s">
        <v>267</v>
      </c>
      <c r="M5" s="313" t="s">
        <v>3400</v>
      </c>
      <c r="N5" s="313" t="s">
        <v>3401</v>
      </c>
      <c r="O5" s="313" t="s">
        <v>3402</v>
      </c>
      <c r="P5" s="313" t="s">
        <v>2453</v>
      </c>
      <c r="T5" s="313" t="s">
        <v>217</v>
      </c>
      <c r="U5" s="313" t="s">
        <v>217</v>
      </c>
      <c r="V5" s="313" t="s">
        <v>217</v>
      </c>
      <c r="W5" s="313" t="s">
        <v>217</v>
      </c>
    </row>
    <row r="6" s="313" customFormat="1" ht="26.25" customHeight="1">
      <c r="A6" s="313" t="s">
        <v>54</v>
      </c>
      <c r="B6" s="313" t="s">
        <v>88</v>
      </c>
      <c r="C6" s="313" t="n">
        <v>3132859</v>
      </c>
      <c r="D6" s="313" t="s">
        <v>215</v>
      </c>
      <c r="E6" s="313" t="s">
        <v>283</v>
      </c>
      <c r="F6" s="313" t="s">
        <v>1271</v>
      </c>
      <c r="G6" s="313" t="s">
        <v>43</v>
      </c>
      <c r="H6" s="313" t="s">
        <v>31</v>
      </c>
      <c r="I6" s="313" t="s">
        <v>56</v>
      </c>
      <c r="J6" s="313" t="s">
        <v>57</v>
      </c>
      <c r="K6" s="313" t="s">
        <v>3403</v>
      </c>
      <c r="L6" s="313" t="s">
        <v>3404</v>
      </c>
      <c r="M6" s="313" t="s">
        <v>3405</v>
      </c>
      <c r="N6" s="313" t="s">
        <v>3406</v>
      </c>
      <c r="O6" s="313" t="s">
        <v>1420</v>
      </c>
      <c r="P6" s="313" t="s">
        <v>2453</v>
      </c>
      <c r="T6" s="313" t="s">
        <v>217</v>
      </c>
      <c r="U6" s="313" t="s">
        <v>217</v>
      </c>
      <c r="V6" s="313" t="s">
        <v>217</v>
      </c>
      <c r="W6" s="313" t="s">
        <v>217</v>
      </c>
      <c r="Y6" s="313" t="s">
        <v>217</v>
      </c>
    </row>
    <row r="7" s="313" customFormat="1" ht="26.25" customHeight="1">
      <c r="A7" s="313" t="s">
        <v>54</v>
      </c>
      <c r="B7" s="313" t="s">
        <v>88</v>
      </c>
      <c r="C7" s="313" t="n">
        <v>3132859</v>
      </c>
      <c r="D7" s="313" t="s">
        <v>215</v>
      </c>
      <c r="E7" s="313" t="s">
        <v>283</v>
      </c>
      <c r="F7" s="313" t="s">
        <v>1243</v>
      </c>
      <c r="G7" s="313" t="s">
        <v>43</v>
      </c>
      <c r="H7" s="313" t="s">
        <v>31</v>
      </c>
      <c r="I7" s="313" t="s">
        <v>56</v>
      </c>
      <c r="J7" s="313" t="s">
        <v>57</v>
      </c>
      <c r="K7" s="313" t="s">
        <v>2386</v>
      </c>
      <c r="L7" s="313" t="s">
        <v>2387</v>
      </c>
      <c r="M7" s="313" t="s">
        <v>3407</v>
      </c>
      <c r="N7" s="313" t="s">
        <v>3406</v>
      </c>
      <c r="O7" s="313" t="s">
        <v>3408</v>
      </c>
      <c r="P7" s="313" t="s">
        <v>2415</v>
      </c>
      <c r="Q7" s="313" t="n">
        <v>36</v>
      </c>
      <c r="T7" s="313" t="s">
        <v>217</v>
      </c>
      <c r="U7" s="313" t="s">
        <v>217</v>
      </c>
      <c r="V7" s="313" t="s">
        <v>217</v>
      </c>
      <c r="W7" s="313" t="s">
        <v>217</v>
      </c>
    </row>
    <row r="8" s="313" customFormat="1" ht="26.25" customHeight="1">
      <c r="A8" s="313" t="s">
        <v>54</v>
      </c>
      <c r="B8" s="313" t="s">
        <v>88</v>
      </c>
      <c r="C8" s="313" t="n">
        <v>3132859</v>
      </c>
      <c r="D8" s="313" t="s">
        <v>215</v>
      </c>
      <c r="E8" s="313" t="s">
        <v>283</v>
      </c>
      <c r="F8" s="313" t="s">
        <v>1150</v>
      </c>
      <c r="G8" s="313" t="s">
        <v>43</v>
      </c>
      <c r="H8" s="313" t="s">
        <v>31</v>
      </c>
      <c r="I8" s="313" t="s">
        <v>56</v>
      </c>
      <c r="J8" s="313" t="s">
        <v>59</v>
      </c>
      <c r="K8" s="313" t="s">
        <v>2389</v>
      </c>
      <c r="L8" s="313" t="s">
        <v>553</v>
      </c>
      <c r="M8" s="313" t="s">
        <v>3409</v>
      </c>
      <c r="N8" s="313" t="s">
        <v>3410</v>
      </c>
      <c r="O8" s="313" t="s">
        <v>2374</v>
      </c>
      <c r="P8" s="313" t="s">
        <v>3411</v>
      </c>
      <c r="Q8" s="313" t="n">
        <v>35</v>
      </c>
      <c r="T8" s="313" t="s">
        <v>217</v>
      </c>
      <c r="U8" s="313" t="s">
        <v>217</v>
      </c>
      <c r="V8" s="313" t="s">
        <v>217</v>
      </c>
      <c r="W8" s="313" t="s">
        <v>217</v>
      </c>
    </row>
    <row r="9" s="313" customFormat="1" ht="26.25" customHeight="1">
      <c r="A9" s="313" t="s">
        <v>54</v>
      </c>
      <c r="B9" s="313" t="s">
        <v>88</v>
      </c>
      <c r="C9" s="313" t="n">
        <v>3132859</v>
      </c>
      <c r="D9" s="313" t="s">
        <v>215</v>
      </c>
      <c r="E9" s="313" t="s">
        <v>283</v>
      </c>
      <c r="F9" s="313" t="s">
        <v>1087</v>
      </c>
      <c r="G9" s="313" t="s">
        <v>43</v>
      </c>
      <c r="H9" s="313" t="s">
        <v>31</v>
      </c>
      <c r="I9" s="313" t="s">
        <v>56</v>
      </c>
      <c r="J9" s="313" t="s">
        <v>55</v>
      </c>
      <c r="K9" s="313" t="s">
        <v>2437</v>
      </c>
      <c r="L9" s="313" t="s">
        <v>3412</v>
      </c>
      <c r="M9" s="313" t="s">
        <v>3413</v>
      </c>
      <c r="O9" s="313" t="s">
        <v>3414</v>
      </c>
      <c r="P9" s="313" t="s">
        <v>2813</v>
      </c>
      <c r="T9" s="313" t="s">
        <v>217</v>
      </c>
      <c r="U9" s="313" t="s">
        <v>217</v>
      </c>
      <c r="V9" s="313" t="s">
        <v>217</v>
      </c>
      <c r="W9" s="313" t="s">
        <v>217</v>
      </c>
    </row>
    <row r="10" s="313" customFormat="1" ht="26.25" customHeight="1">
      <c r="A10" s="313" t="s">
        <v>54</v>
      </c>
      <c r="B10" s="313" t="s">
        <v>88</v>
      </c>
      <c r="C10" s="313" t="n">
        <v>3132859</v>
      </c>
      <c r="D10" s="313" t="s">
        <v>215</v>
      </c>
      <c r="E10" s="313" t="s">
        <v>283</v>
      </c>
      <c r="F10" s="313" t="s">
        <v>1088</v>
      </c>
      <c r="G10" s="313" t="s">
        <v>43</v>
      </c>
      <c r="I10" s="313" t="s">
        <v>58</v>
      </c>
      <c r="J10" s="313" t="s">
        <v>57</v>
      </c>
      <c r="L10" s="313" t="s">
        <v>475</v>
      </c>
      <c r="M10" s="313" t="s">
        <v>3415</v>
      </c>
      <c r="N10" s="313" t="s">
        <v>3416</v>
      </c>
      <c r="O10" s="313" t="s">
        <v>2374</v>
      </c>
      <c r="P10" s="313" t="n">
        <v>95</v>
      </c>
      <c r="T10" s="313" t="s">
        <v>217</v>
      </c>
      <c r="U10" s="313" t="s">
        <v>217</v>
      </c>
      <c r="V10" s="313" t="s">
        <v>217</v>
      </c>
      <c r="W10" s="313" t="s">
        <v>217</v>
      </c>
    </row>
    <row r="11" s="313" customFormat="1" ht="26.25" customHeight="1">
      <c r="A11" s="313" t="s">
        <v>54</v>
      </c>
      <c r="B11" s="313" t="s">
        <v>88</v>
      </c>
      <c r="C11" s="313" t="n">
        <v>3132859</v>
      </c>
      <c r="D11" s="313" t="s">
        <v>215</v>
      </c>
      <c r="E11" s="313" t="s">
        <v>283</v>
      </c>
      <c r="F11" s="313" t="s">
        <v>1220</v>
      </c>
      <c r="G11" s="313" t="s">
        <v>43</v>
      </c>
      <c r="J11" s="313" t="s">
        <v>349</v>
      </c>
      <c r="K11" s="313" t="s">
        <v>3417</v>
      </c>
      <c r="L11" s="313" t="s">
        <v>1584</v>
      </c>
      <c r="M11" s="313" t="s">
        <v>3418</v>
      </c>
      <c r="N11" s="313" t="s">
        <v>3419</v>
      </c>
      <c r="O11" s="313" t="s">
        <v>3420</v>
      </c>
      <c r="P11" s="313" t="s">
        <v>28</v>
      </c>
      <c r="T11" s="313" t="s">
        <v>217</v>
      </c>
      <c r="U11" s="313" t="s">
        <v>217</v>
      </c>
      <c r="V11" s="313" t="s">
        <v>217</v>
      </c>
      <c r="W11" s="313" t="s">
        <v>217</v>
      </c>
      <c r="X11" s="313" t="s">
        <v>217</v>
      </c>
      <c r="Y11" s="313" t="s">
        <v>217</v>
      </c>
    </row>
    <row r="12" s="313" customFormat="1" ht="26.25" customHeight="1">
      <c r="A12" s="313" t="s">
        <v>54</v>
      </c>
      <c r="B12" s="313" t="s">
        <v>88</v>
      </c>
      <c r="C12" s="313" t="n">
        <v>3132859</v>
      </c>
      <c r="D12" s="313" t="s">
        <v>215</v>
      </c>
      <c r="E12" s="313" t="s">
        <v>283</v>
      </c>
      <c r="F12" s="313" t="s">
        <v>1048</v>
      </c>
      <c r="G12" s="313" t="s">
        <v>43</v>
      </c>
      <c r="H12" s="313" t="s">
        <v>37</v>
      </c>
      <c r="I12" s="313" t="s">
        <v>56</v>
      </c>
      <c r="J12" s="313" t="s">
        <v>48</v>
      </c>
      <c r="K12" s="313" t="s">
        <v>3421</v>
      </c>
      <c r="L12" s="313" t="s">
        <v>475</v>
      </c>
      <c r="M12" s="313" t="s">
        <v>3422</v>
      </c>
      <c r="N12" s="313" t="s">
        <v>3423</v>
      </c>
      <c r="O12" s="313" t="s">
        <v>3424</v>
      </c>
      <c r="P12" s="313" t="s">
        <v>2453</v>
      </c>
      <c r="T12" s="313" t="s">
        <v>217</v>
      </c>
      <c r="U12" s="313" t="s">
        <v>217</v>
      </c>
      <c r="V12" s="313" t="s">
        <v>217</v>
      </c>
      <c r="W12" s="313" t="s">
        <v>217</v>
      </c>
    </row>
    <row r="13" s="313" customFormat="1" ht="26.25" customHeight="1">
      <c r="A13" s="313" t="s">
        <v>54</v>
      </c>
      <c r="B13" s="313" t="s">
        <v>88</v>
      </c>
      <c r="C13" s="313" t="n">
        <v>3132859</v>
      </c>
      <c r="D13" s="313" t="s">
        <v>215</v>
      </c>
      <c r="E13" s="313" t="s">
        <v>283</v>
      </c>
      <c r="F13" s="313" t="s">
        <v>1009</v>
      </c>
      <c r="G13" s="313" t="s">
        <v>43</v>
      </c>
      <c r="I13" s="313" t="s">
        <v>56</v>
      </c>
      <c r="J13" s="313" t="s">
        <v>57</v>
      </c>
      <c r="L13" s="313" t="s">
        <v>1719</v>
      </c>
      <c r="M13" s="313" t="s">
        <v>3425</v>
      </c>
      <c r="N13" s="313" t="s">
        <v>3416</v>
      </c>
      <c r="O13" s="313" t="s">
        <v>3426</v>
      </c>
      <c r="P13" s="313" t="s">
        <v>3216</v>
      </c>
      <c r="T13" s="313" t="s">
        <v>217</v>
      </c>
      <c r="U13" s="313" t="s">
        <v>217</v>
      </c>
      <c r="V13" s="313" t="s">
        <v>217</v>
      </c>
      <c r="W13" s="313" t="s">
        <v>217</v>
      </c>
    </row>
    <row r="14" s="313" customFormat="1" ht="26.25" customHeight="1">
      <c r="A14" s="313" t="s">
        <v>54</v>
      </c>
      <c r="B14" s="313" t="s">
        <v>88</v>
      </c>
      <c r="C14" s="313" t="n">
        <v>3132859</v>
      </c>
      <c r="D14" s="313" t="s">
        <v>215</v>
      </c>
      <c r="E14" s="313" t="s">
        <v>283</v>
      </c>
      <c r="F14" s="313" t="s">
        <v>1227</v>
      </c>
      <c r="G14" s="313" t="s">
        <v>43</v>
      </c>
      <c r="J14" s="313" t="s">
        <v>1228</v>
      </c>
      <c r="K14" s="313" t="s">
        <v>2434</v>
      </c>
      <c r="L14" s="313" t="s">
        <v>2384</v>
      </c>
      <c r="M14" s="313" t="s">
        <v>3427</v>
      </c>
      <c r="N14" s="313" t="s">
        <v>3428</v>
      </c>
      <c r="O14" s="313" t="s">
        <v>3393</v>
      </c>
      <c r="P14" s="313" t="s">
        <v>3429</v>
      </c>
      <c r="T14" s="313" t="s">
        <v>217</v>
      </c>
      <c r="U14" s="313" t="s">
        <v>217</v>
      </c>
      <c r="V14" s="313" t="s">
        <v>217</v>
      </c>
      <c r="W14" s="313" t="s">
        <v>217</v>
      </c>
    </row>
    <row r="15" s="313" customFormat="1" ht="26.25" customHeight="1">
      <c r="A15" s="313" t="s">
        <v>54</v>
      </c>
      <c r="B15" s="313" t="s">
        <v>88</v>
      </c>
      <c r="C15" s="313" t="n">
        <v>3132859</v>
      </c>
      <c r="D15" s="313" t="s">
        <v>215</v>
      </c>
      <c r="E15" s="313" t="s">
        <v>283</v>
      </c>
      <c r="F15" s="313" t="s">
        <v>1118</v>
      </c>
      <c r="G15" s="313" t="s">
        <v>43</v>
      </c>
      <c r="H15" s="313" t="s">
        <v>37</v>
      </c>
      <c r="I15" s="313" t="s">
        <v>58</v>
      </c>
      <c r="J15" s="313" t="s">
        <v>57</v>
      </c>
      <c r="K15" s="313" t="s">
        <v>3430</v>
      </c>
      <c r="L15" s="313" t="s">
        <v>1584</v>
      </c>
      <c r="M15" s="313" t="s">
        <v>3431</v>
      </c>
      <c r="N15" s="313" t="s">
        <v>3432</v>
      </c>
      <c r="O15" s="313" t="s">
        <v>3433</v>
      </c>
      <c r="P15" s="1001" t="s">
        <v>3434</v>
      </c>
      <c r="T15" s="313" t="s">
        <v>217</v>
      </c>
      <c r="U15" s="313" t="s">
        <v>217</v>
      </c>
      <c r="V15" s="313" t="s">
        <v>217</v>
      </c>
      <c r="W15" s="313" t="s">
        <v>217</v>
      </c>
    </row>
    <row r="16" s="313" customFormat="1" ht="26.25" customHeight="1">
      <c r="A16" s="313" t="s">
        <v>54</v>
      </c>
      <c r="B16" s="313" t="s">
        <v>88</v>
      </c>
      <c r="C16" s="313" t="n">
        <v>3132859</v>
      </c>
      <c r="D16" s="313" t="s">
        <v>215</v>
      </c>
      <c r="E16" s="313" t="s">
        <v>283</v>
      </c>
      <c r="F16" s="313" t="s">
        <v>1308</v>
      </c>
      <c r="G16" s="313" t="s">
        <v>43</v>
      </c>
      <c r="H16" s="313" t="s">
        <v>31</v>
      </c>
      <c r="I16" s="313" t="s">
        <v>56</v>
      </c>
      <c r="J16" s="313" t="s">
        <v>57</v>
      </c>
      <c r="K16" s="313" t="s">
        <v>2408</v>
      </c>
      <c r="L16" s="313" t="s">
        <v>2409</v>
      </c>
      <c r="M16" s="313" t="s">
        <v>3435</v>
      </c>
      <c r="N16" s="313" t="s">
        <v>3436</v>
      </c>
      <c r="O16" s="313" t="s">
        <v>2374</v>
      </c>
      <c r="P16" s="313" t="s">
        <v>3437</v>
      </c>
      <c r="Q16" s="313" t="n">
        <v>41</v>
      </c>
      <c r="T16" s="313" t="s">
        <v>217</v>
      </c>
      <c r="U16" s="313" t="s">
        <v>218</v>
      </c>
      <c r="V16" s="313" t="s">
        <v>217</v>
      </c>
      <c r="W16" s="313" t="s">
        <v>217</v>
      </c>
    </row>
    <row r="17" s="313" customFormat="1" ht="26.25" customHeight="1">
      <c r="A17" s="313" t="s">
        <v>54</v>
      </c>
      <c r="B17" s="313" t="s">
        <v>100</v>
      </c>
      <c r="C17" s="313" t="n">
        <v>3132859</v>
      </c>
      <c r="D17" s="313" t="s">
        <v>215</v>
      </c>
      <c r="E17" s="313" t="s">
        <v>283</v>
      </c>
      <c r="F17" s="313" t="s">
        <v>1279</v>
      </c>
      <c r="G17" s="313" t="s">
        <v>43</v>
      </c>
      <c r="H17" s="313" t="s">
        <v>37</v>
      </c>
      <c r="I17" s="313" t="s">
        <v>58</v>
      </c>
      <c r="J17" s="313" t="s">
        <v>57</v>
      </c>
      <c r="K17" s="313" t="s">
        <v>2394</v>
      </c>
      <c r="L17" s="313" t="s">
        <v>1652</v>
      </c>
      <c r="M17" s="313" t="s">
        <v>3438</v>
      </c>
      <c r="N17" s="313" t="s">
        <v>3439</v>
      </c>
      <c r="O17" s="313" t="s">
        <v>3393</v>
      </c>
      <c r="P17" s="313" t="s">
        <v>27</v>
      </c>
      <c r="Q17" s="313" t="n">
        <v>28</v>
      </c>
      <c r="T17" s="313" t="s">
        <v>217</v>
      </c>
      <c r="U17" s="313" t="s">
        <v>217</v>
      </c>
      <c r="V17" s="313" t="s">
        <v>217</v>
      </c>
      <c r="W17" s="313" t="s">
        <v>217</v>
      </c>
      <c r="Y17" s="313" t="s">
        <v>217</v>
      </c>
    </row>
    <row r="18" s="313" customFormat="1" ht="26.25" customHeight="1">
      <c r="A18" s="313" t="s">
        <v>54</v>
      </c>
      <c r="B18" s="313" t="s">
        <v>88</v>
      </c>
      <c r="C18" s="313" t="n">
        <v>3132859</v>
      </c>
      <c r="D18" s="313" t="s">
        <v>215</v>
      </c>
      <c r="E18" s="313" t="s">
        <v>283</v>
      </c>
      <c r="F18" s="313" t="s">
        <v>1089</v>
      </c>
      <c r="G18" s="313" t="s">
        <v>43</v>
      </c>
      <c r="H18" s="313" t="s">
        <v>31</v>
      </c>
      <c r="I18" s="313" t="s">
        <v>56</v>
      </c>
      <c r="J18" s="313" t="s">
        <v>55</v>
      </c>
      <c r="K18" s="313" t="s">
        <v>2416</v>
      </c>
      <c r="L18" s="313" t="s">
        <v>267</v>
      </c>
      <c r="M18" s="313" t="s">
        <v>3440</v>
      </c>
      <c r="N18" s="313" t="s">
        <v>3441</v>
      </c>
      <c r="O18" s="313" t="s">
        <v>3442</v>
      </c>
      <c r="P18" s="313" t="s">
        <v>2457</v>
      </c>
      <c r="Q18" s="313" t="n">
        <v>38</v>
      </c>
      <c r="T18" s="313" t="s">
        <v>217</v>
      </c>
      <c r="U18" s="313" t="s">
        <v>217</v>
      </c>
      <c r="V18" s="313" t="s">
        <v>217</v>
      </c>
      <c r="W18" s="313" t="s">
        <v>217</v>
      </c>
      <c r="Y18" s="313" t="s">
        <v>217</v>
      </c>
    </row>
    <row r="19" s="313" customFormat="1" ht="26.25" customHeight="1">
      <c r="A19" s="313" t="s">
        <v>54</v>
      </c>
      <c r="B19" s="313" t="s">
        <v>88</v>
      </c>
      <c r="C19" s="313" t="n">
        <v>3132859</v>
      </c>
      <c r="D19" s="313" t="s">
        <v>215</v>
      </c>
      <c r="E19" s="313" t="s">
        <v>283</v>
      </c>
      <c r="F19" s="313" t="s">
        <v>1177</v>
      </c>
      <c r="G19" s="313" t="s">
        <v>43</v>
      </c>
      <c r="H19" s="313" t="s">
        <v>31</v>
      </c>
      <c r="I19" s="313" t="s">
        <v>56</v>
      </c>
      <c r="J19" s="313" t="s">
        <v>55</v>
      </c>
      <c r="L19" s="1002" t="s">
        <v>2423</v>
      </c>
      <c r="M19" s="313" t="s">
        <v>3443</v>
      </c>
      <c r="N19" s="313" t="s">
        <v>3444</v>
      </c>
      <c r="O19" s="313" t="s">
        <v>2374</v>
      </c>
      <c r="P19" s="313" t="n">
        <v>87</v>
      </c>
      <c r="T19" s="313" t="s">
        <v>217</v>
      </c>
      <c r="U19" s="313" t="s">
        <v>218</v>
      </c>
      <c r="V19" s="313" t="s">
        <v>217</v>
      </c>
      <c r="W19" s="313" t="s">
        <v>217</v>
      </c>
    </row>
    <row r="20" s="313" customFormat="1" ht="26.25" customHeight="1">
      <c r="A20" s="313" t="s">
        <v>54</v>
      </c>
      <c r="B20" s="313" t="s">
        <v>88</v>
      </c>
      <c r="C20" s="313" t="n">
        <v>3132859</v>
      </c>
      <c r="D20" s="313" t="s">
        <v>215</v>
      </c>
      <c r="E20" s="313" t="s">
        <v>283</v>
      </c>
      <c r="F20" s="313" t="s">
        <v>1320</v>
      </c>
      <c r="G20" s="313" t="s">
        <v>43</v>
      </c>
      <c r="H20" s="313" t="s">
        <v>31</v>
      </c>
      <c r="I20" s="313" t="s">
        <v>56</v>
      </c>
      <c r="J20" s="313" t="s">
        <v>57</v>
      </c>
      <c r="L20" s="313" t="s">
        <v>267</v>
      </c>
      <c r="M20" s="313" t="s">
        <v>3445</v>
      </c>
      <c r="N20" s="313" t="s">
        <v>3446</v>
      </c>
      <c r="O20" s="313" t="s">
        <v>3447</v>
      </c>
      <c r="P20" s="313" t="s">
        <v>2415</v>
      </c>
      <c r="Q20" s="313" t="n">
        <v>41</v>
      </c>
      <c r="T20" s="313" t="s">
        <v>217</v>
      </c>
      <c r="U20" s="313" t="s">
        <v>217</v>
      </c>
      <c r="V20" s="313" t="s">
        <v>217</v>
      </c>
      <c r="W20" s="313" t="s">
        <v>217</v>
      </c>
    </row>
    <row r="21" s="313" customFormat="1" ht="26.25" customHeight="1">
      <c r="A21" s="313" t="s">
        <v>54</v>
      </c>
      <c r="B21" s="313" t="s">
        <v>88</v>
      </c>
      <c r="C21" s="313" t="n">
        <v>3132859</v>
      </c>
      <c r="D21" s="313" t="s">
        <v>215</v>
      </c>
      <c r="E21" s="313" t="s">
        <v>283</v>
      </c>
      <c r="F21" s="313" t="s">
        <v>785</v>
      </c>
      <c r="G21" s="313" t="s">
        <v>43</v>
      </c>
      <c r="H21" s="313" t="s">
        <v>35</v>
      </c>
      <c r="I21" s="313" t="s">
        <v>56</v>
      </c>
      <c r="J21" s="313" t="s">
        <v>36</v>
      </c>
      <c r="K21" s="313" t="s">
        <v>3448</v>
      </c>
      <c r="L21" s="313" t="s">
        <v>281</v>
      </c>
      <c r="M21" s="313" t="s">
        <v>3449</v>
      </c>
      <c r="N21" s="313" t="s">
        <v>3450</v>
      </c>
      <c r="O21" s="313" t="s">
        <v>3451</v>
      </c>
      <c r="P21" s="313" t="s">
        <v>2415</v>
      </c>
      <c r="Q21" s="313" t="n">
        <v>25</v>
      </c>
      <c r="T21" s="313" t="s">
        <v>217</v>
      </c>
      <c r="U21" s="313" t="s">
        <v>217</v>
      </c>
      <c r="V21" s="313" t="s">
        <v>217</v>
      </c>
      <c r="W21" s="313" t="s">
        <v>217</v>
      </c>
    </row>
    <row r="22" s="313" customFormat="1" ht="26.25" customHeight="1">
      <c r="A22" s="313" t="s">
        <v>54</v>
      </c>
      <c r="B22" s="313" t="s">
        <v>88</v>
      </c>
      <c r="C22" s="313" t="n">
        <v>3132859</v>
      </c>
      <c r="D22" s="313" t="s">
        <v>215</v>
      </c>
      <c r="E22" s="313" t="s">
        <v>283</v>
      </c>
      <c r="F22" s="313" t="s">
        <v>1238</v>
      </c>
      <c r="G22" s="313" t="s">
        <v>43</v>
      </c>
      <c r="J22" s="313" t="s">
        <v>50</v>
      </c>
      <c r="L22" s="313" t="s">
        <v>2543</v>
      </c>
      <c r="M22" s="313" t="s">
        <v>3452</v>
      </c>
      <c r="N22" s="313" t="s">
        <v>3416</v>
      </c>
      <c r="O22" s="313" t="s">
        <v>2374</v>
      </c>
      <c r="P22" s="313" t="s">
        <v>2453</v>
      </c>
      <c r="T22" s="313" t="s">
        <v>217</v>
      </c>
      <c r="U22" s="313" t="s">
        <v>217</v>
      </c>
      <c r="V22" s="313" t="s">
        <v>217</v>
      </c>
      <c r="W22" s="313" t="s">
        <v>217</v>
      </c>
    </row>
    <row r="23" s="313" customFormat="1" ht="26.25" customHeight="1">
      <c r="A23" s="313" t="s">
        <v>54</v>
      </c>
      <c r="B23" s="313" t="s">
        <v>88</v>
      </c>
      <c r="C23" s="313" t="n">
        <v>3132859</v>
      </c>
      <c r="D23" s="313" t="s">
        <v>215</v>
      </c>
      <c r="E23" s="313" t="s">
        <v>283</v>
      </c>
      <c r="F23" s="313" t="s">
        <v>1085</v>
      </c>
      <c r="G23" s="313" t="s">
        <v>43</v>
      </c>
      <c r="H23" s="313" t="s">
        <v>31</v>
      </c>
      <c r="I23" s="313" t="s">
        <v>56</v>
      </c>
      <c r="J23" s="313" t="s">
        <v>36</v>
      </c>
      <c r="K23" s="313" t="s">
        <v>2437</v>
      </c>
      <c r="L23" s="313" t="s">
        <v>2438</v>
      </c>
      <c r="M23" s="313" t="s">
        <v>3453</v>
      </c>
      <c r="N23" s="313" t="s">
        <v>3423</v>
      </c>
      <c r="O23" s="313" t="s">
        <v>3454</v>
      </c>
      <c r="P23" s="313" t="s">
        <v>2612</v>
      </c>
      <c r="Q23" s="313" t="n">
        <v>32</v>
      </c>
      <c r="T23" s="313" t="s">
        <v>217</v>
      </c>
      <c r="U23" s="313" t="s">
        <v>217</v>
      </c>
      <c r="V23" s="313" t="s">
        <v>217</v>
      </c>
      <c r="W23" s="313" t="s">
        <v>217</v>
      </c>
    </row>
    <row r="24" s="313" customFormat="1" ht="26.25" customHeight="1">
      <c r="A24" s="313" t="s">
        <v>54</v>
      </c>
      <c r="B24" s="313" t="s">
        <v>88</v>
      </c>
      <c r="C24" s="313" t="n">
        <v>3132859</v>
      </c>
      <c r="D24" s="313" t="s">
        <v>215</v>
      </c>
      <c r="E24" s="313" t="s">
        <v>283</v>
      </c>
      <c r="F24" s="313" t="s">
        <v>1038</v>
      </c>
      <c r="G24" s="313" t="s">
        <v>43</v>
      </c>
      <c r="H24" s="313" t="s">
        <v>37</v>
      </c>
      <c r="I24" s="313" t="s">
        <v>56</v>
      </c>
      <c r="J24" s="313" t="s">
        <v>38</v>
      </c>
      <c r="M24" s="313" t="s">
        <v>3455</v>
      </c>
      <c r="N24" s="313" t="s">
        <v>3456</v>
      </c>
      <c r="O24" s="313" t="s">
        <v>2374</v>
      </c>
      <c r="P24" s="313" t="s">
        <v>2638</v>
      </c>
      <c r="T24" s="313" t="s">
        <v>217</v>
      </c>
      <c r="U24" s="313" t="s">
        <v>217</v>
      </c>
      <c r="V24" s="313" t="s">
        <v>217</v>
      </c>
      <c r="W24" s="313" t="s">
        <v>217</v>
      </c>
    </row>
    <row r="25" s="313" customFormat="1" ht="26.25" customHeight="1">
      <c r="A25" s="313" t="s">
        <v>45</v>
      </c>
      <c r="B25" s="313" t="s">
        <v>88</v>
      </c>
      <c r="C25" s="313" t="n">
        <v>3132905</v>
      </c>
      <c r="D25" s="313" t="s">
        <v>216</v>
      </c>
      <c r="E25" s="313" t="s">
        <v>283</v>
      </c>
      <c r="F25" s="313" t="s">
        <v>1306</v>
      </c>
      <c r="G25" s="313" t="s">
        <v>43</v>
      </c>
      <c r="H25" s="313" t="s">
        <v>31</v>
      </c>
      <c r="I25" s="313" t="s">
        <v>52</v>
      </c>
      <c r="J25" s="313" t="s">
        <v>48</v>
      </c>
      <c r="L25" s="313" t="s">
        <v>2445</v>
      </c>
      <c r="M25" s="313" t="s">
        <v>3457</v>
      </c>
      <c r="N25" s="313" t="s">
        <v>2410</v>
      </c>
      <c r="O25" s="313" t="s">
        <v>3393</v>
      </c>
      <c r="P25" s="313" t="s">
        <v>2901</v>
      </c>
      <c r="T25" s="313" t="s">
        <v>217</v>
      </c>
      <c r="U25" s="313" t="s">
        <v>217</v>
      </c>
      <c r="V25" s="313" t="s">
        <v>217</v>
      </c>
      <c r="W25" s="313" t="s">
        <v>217</v>
      </c>
      <c r="Y25" s="313" t="s">
        <v>217</v>
      </c>
    </row>
    <row r="26" s="313" customFormat="1" ht="26.25" customHeight="1">
      <c r="A26" s="313" t="s">
        <v>45</v>
      </c>
      <c r="B26" s="313" t="s">
        <v>88</v>
      </c>
      <c r="C26" s="313" t="n">
        <v>3132905</v>
      </c>
      <c r="D26" s="313" t="s">
        <v>216</v>
      </c>
      <c r="E26" s="313" t="s">
        <v>283</v>
      </c>
      <c r="F26" s="313" t="s">
        <v>1171</v>
      </c>
      <c r="G26" s="313" t="s">
        <v>43</v>
      </c>
      <c r="H26" s="313" t="s">
        <v>31</v>
      </c>
      <c r="I26" s="313" t="s">
        <v>52</v>
      </c>
      <c r="J26" s="313" t="s">
        <v>38</v>
      </c>
      <c r="K26" s="313" t="s">
        <v>2508</v>
      </c>
      <c r="L26" s="313" t="s">
        <v>2509</v>
      </c>
      <c r="M26" s="1003" t="s">
        <v>3458</v>
      </c>
      <c r="N26" s="313" t="s">
        <v>3459</v>
      </c>
      <c r="O26" s="313" t="s">
        <v>3460</v>
      </c>
      <c r="Q26" s="313" t="n">
        <v>40</v>
      </c>
      <c r="T26" s="313" t="s">
        <v>217</v>
      </c>
      <c r="U26" s="313" t="s">
        <v>217</v>
      </c>
      <c r="V26" s="313" t="s">
        <v>217</v>
      </c>
      <c r="W26" s="313" t="s">
        <v>217</v>
      </c>
      <c r="Y26" s="313" t="s">
        <v>217</v>
      </c>
    </row>
    <row r="27" s="313" customFormat="1" ht="26.25" customHeight="1">
      <c r="A27" s="313" t="s">
        <v>45</v>
      </c>
      <c r="B27" s="313" t="s">
        <v>88</v>
      </c>
      <c r="C27" s="313" t="n">
        <v>3132905</v>
      </c>
      <c r="D27" s="313" t="s">
        <v>216</v>
      </c>
      <c r="E27" s="313" t="s">
        <v>283</v>
      </c>
      <c r="F27" s="313" t="s">
        <v>1321</v>
      </c>
      <c r="G27" s="313" t="s">
        <v>43</v>
      </c>
      <c r="H27" s="313" t="s">
        <v>35</v>
      </c>
      <c r="I27" s="313" t="s">
        <v>52</v>
      </c>
      <c r="J27" s="313" t="s">
        <v>46</v>
      </c>
      <c r="K27" s="313" t="s">
        <v>621</v>
      </c>
      <c r="L27" s="313" t="s">
        <v>483</v>
      </c>
      <c r="M27" s="313" t="s">
        <v>3461</v>
      </c>
      <c r="N27" s="313" t="s">
        <v>3462</v>
      </c>
      <c r="O27" s="313" t="s">
        <v>3463</v>
      </c>
      <c r="P27" s="313" t="s">
        <v>2638</v>
      </c>
      <c r="T27" s="313" t="s">
        <v>217</v>
      </c>
      <c r="U27" s="313" t="s">
        <v>217</v>
      </c>
      <c r="V27" s="313" t="s">
        <v>217</v>
      </c>
      <c r="W27" s="313" t="s">
        <v>217</v>
      </c>
    </row>
    <row r="28" s="313" customFormat="1" ht="26.25" customHeight="1">
      <c r="A28" s="313" t="s">
        <v>45</v>
      </c>
      <c r="B28" s="313" t="s">
        <v>88</v>
      </c>
      <c r="C28" s="313" t="n">
        <v>3132905</v>
      </c>
      <c r="D28" s="313" t="s">
        <v>216</v>
      </c>
      <c r="E28" s="313" t="s">
        <v>283</v>
      </c>
      <c r="F28" s="313" t="s">
        <v>1313</v>
      </c>
      <c r="G28" s="313" t="s">
        <v>43</v>
      </c>
      <c r="H28" s="313" t="s">
        <v>31</v>
      </c>
      <c r="I28" s="313" t="s">
        <v>52</v>
      </c>
      <c r="J28" s="313" t="s">
        <v>48</v>
      </c>
      <c r="K28" s="313" t="s">
        <v>2468</v>
      </c>
      <c r="L28" s="313" t="s">
        <v>464</v>
      </c>
      <c r="M28" s="1004" t="s">
        <v>3464</v>
      </c>
      <c r="O28" s="313" t="s">
        <v>2374</v>
      </c>
      <c r="T28" s="313" t="s">
        <v>217</v>
      </c>
      <c r="U28" s="313" t="s">
        <v>218</v>
      </c>
      <c r="V28" s="313" t="s">
        <v>217</v>
      </c>
      <c r="W28" s="313" t="s">
        <v>217</v>
      </c>
    </row>
    <row r="29" s="313" customFormat="1" ht="26.25" customHeight="1">
      <c r="A29" s="313" t="s">
        <v>45</v>
      </c>
      <c r="B29" s="313" t="s">
        <v>88</v>
      </c>
      <c r="C29" s="313" t="n">
        <v>3132905</v>
      </c>
      <c r="D29" s="313" t="s">
        <v>216</v>
      </c>
      <c r="E29" s="313" t="s">
        <v>283</v>
      </c>
      <c r="F29" s="313" t="s">
        <v>1225</v>
      </c>
      <c r="G29" s="313" t="s">
        <v>43</v>
      </c>
      <c r="H29" s="313" t="s">
        <v>31</v>
      </c>
      <c r="I29" s="313" t="s">
        <v>52</v>
      </c>
      <c r="J29" s="313" t="s">
        <v>38</v>
      </c>
      <c r="K29" s="313" t="s">
        <v>2432</v>
      </c>
      <c r="L29" s="313" t="s">
        <v>2518</v>
      </c>
      <c r="M29" s="1005" t="s">
        <v>3465</v>
      </c>
      <c r="N29" s="313" t="s">
        <v>3466</v>
      </c>
      <c r="O29" s="313" t="s">
        <v>3467</v>
      </c>
      <c r="P29" s="313" t="s">
        <v>2813</v>
      </c>
      <c r="T29" s="313" t="s">
        <v>217</v>
      </c>
      <c r="U29" s="313" t="s">
        <v>217</v>
      </c>
      <c r="V29" s="313" t="s">
        <v>217</v>
      </c>
      <c r="W29" s="313" t="s">
        <v>217</v>
      </c>
      <c r="Y29" s="313" t="s">
        <v>217</v>
      </c>
    </row>
    <row r="30" s="313" customFormat="1" ht="26.25" customHeight="1">
      <c r="A30" s="313" t="s">
        <v>45</v>
      </c>
      <c r="B30" s="313" t="s">
        <v>88</v>
      </c>
      <c r="C30" s="313" t="n">
        <v>3132905</v>
      </c>
      <c r="D30" s="313" t="s">
        <v>216</v>
      </c>
      <c r="E30" s="313" t="s">
        <v>283</v>
      </c>
      <c r="F30" s="313" t="s">
        <v>1014</v>
      </c>
      <c r="G30" s="313" t="s">
        <v>43</v>
      </c>
      <c r="H30" s="313" t="s">
        <v>31</v>
      </c>
      <c r="I30" s="313" t="s">
        <v>52</v>
      </c>
      <c r="J30" s="313" t="s">
        <v>46</v>
      </c>
      <c r="K30" s="313" t="s">
        <v>2468</v>
      </c>
      <c r="L30" s="313" t="s">
        <v>849</v>
      </c>
      <c r="M30" s="313" t="s">
        <v>3468</v>
      </c>
      <c r="N30" s="313" t="s">
        <v>2523</v>
      </c>
      <c r="O30" s="313" t="s">
        <v>2374</v>
      </c>
      <c r="T30" s="313" t="s">
        <v>217</v>
      </c>
      <c r="U30" s="313" t="s">
        <v>217</v>
      </c>
      <c r="V30" s="313" t="s">
        <v>217</v>
      </c>
      <c r="W30" s="313" t="s">
        <v>217</v>
      </c>
      <c r="Y30" s="313" t="s">
        <v>217</v>
      </c>
    </row>
    <row r="31" s="313" customFormat="1" ht="26.25" customHeight="1">
      <c r="A31" s="313" t="s">
        <v>45</v>
      </c>
      <c r="B31" s="313" t="s">
        <v>88</v>
      </c>
      <c r="C31" s="313" t="n">
        <v>3132905</v>
      </c>
      <c r="D31" s="313" t="s">
        <v>216</v>
      </c>
      <c r="E31" s="313" t="s">
        <v>283</v>
      </c>
      <c r="F31" s="313" t="s">
        <v>1260</v>
      </c>
      <c r="G31" s="313" t="s">
        <v>43</v>
      </c>
      <c r="H31" s="313" t="s">
        <v>31</v>
      </c>
      <c r="I31" s="313" t="s">
        <v>52</v>
      </c>
      <c r="J31" s="313" t="s">
        <v>46</v>
      </c>
      <c r="K31" s="313" t="s">
        <v>2444</v>
      </c>
      <c r="L31" s="313" t="s">
        <v>2525</v>
      </c>
      <c r="M31" s="313" t="s">
        <v>3469</v>
      </c>
      <c r="N31" s="313" t="s">
        <v>3428</v>
      </c>
      <c r="O31" s="313" t="s">
        <v>3470</v>
      </c>
      <c r="P31" s="313" t="s">
        <v>2453</v>
      </c>
      <c r="T31" s="313" t="s">
        <v>217</v>
      </c>
      <c r="U31" s="313" t="s">
        <v>217</v>
      </c>
      <c r="V31" s="313" t="s">
        <v>217</v>
      </c>
      <c r="W31" s="313" t="s">
        <v>217</v>
      </c>
      <c r="Y31" s="313" t="s">
        <v>217</v>
      </c>
    </row>
    <row r="32" s="313" customFormat="1" ht="26.25" customHeight="1">
      <c r="A32" s="313" t="s">
        <v>45</v>
      </c>
      <c r="B32" s="313" t="s">
        <v>88</v>
      </c>
      <c r="C32" s="313" t="n">
        <v>3132905</v>
      </c>
      <c r="D32" s="313" t="s">
        <v>216</v>
      </c>
      <c r="E32" s="313" t="s">
        <v>283</v>
      </c>
      <c r="F32" s="313" t="s">
        <v>1292</v>
      </c>
      <c r="G32" s="313" t="s">
        <v>43</v>
      </c>
      <c r="H32" s="313" t="s">
        <v>31</v>
      </c>
      <c r="I32" s="313" t="s">
        <v>52</v>
      </c>
      <c r="J32" s="313" t="s">
        <v>48</v>
      </c>
      <c r="K32" s="313" t="s">
        <v>2528</v>
      </c>
      <c r="L32" s="1006" t="s">
        <v>2529</v>
      </c>
      <c r="M32" s="1007" t="s">
        <v>3471</v>
      </c>
      <c r="N32" s="313" t="s">
        <v>2523</v>
      </c>
      <c r="Q32" s="313" t="n">
        <v>22</v>
      </c>
      <c r="T32" s="313" t="s">
        <v>217</v>
      </c>
      <c r="U32" s="313" t="s">
        <v>217</v>
      </c>
      <c r="V32" s="313" t="s">
        <v>217</v>
      </c>
      <c r="W32" s="313" t="s">
        <v>217</v>
      </c>
    </row>
    <row r="33" s="313" customFormat="1" ht="26.25" customHeight="1">
      <c r="A33" s="313" t="s">
        <v>45</v>
      </c>
      <c r="B33" s="313" t="s">
        <v>88</v>
      </c>
      <c r="C33" s="313" t="n">
        <v>3132905</v>
      </c>
      <c r="D33" s="313" t="s">
        <v>216</v>
      </c>
      <c r="E33" s="313" t="s">
        <v>283</v>
      </c>
      <c r="F33" s="313" t="s">
        <v>1303</v>
      </c>
      <c r="G33" s="313" t="s">
        <v>43</v>
      </c>
      <c r="H33" s="313" t="s">
        <v>31</v>
      </c>
      <c r="I33" s="313" t="s">
        <v>52</v>
      </c>
      <c r="J33" s="313" t="s">
        <v>46</v>
      </c>
      <c r="K33" s="313" t="s">
        <v>2468</v>
      </c>
      <c r="L33" s="313" t="s">
        <v>2532</v>
      </c>
      <c r="M33" s="1008" t="s">
        <v>3472</v>
      </c>
      <c r="N33" s="313" t="s">
        <v>3423</v>
      </c>
      <c r="O33" s="313" t="s">
        <v>3473</v>
      </c>
      <c r="P33" s="313" t="s">
        <v>2612</v>
      </c>
      <c r="T33" s="313" t="s">
        <v>217</v>
      </c>
      <c r="U33" s="313" t="s">
        <v>217</v>
      </c>
      <c r="V33" s="313" t="s">
        <v>217</v>
      </c>
      <c r="W33" s="313" t="s">
        <v>217</v>
      </c>
    </row>
    <row r="34" s="313" customFormat="1" ht="26.25" customHeight="1">
      <c r="A34" s="313" t="s">
        <v>45</v>
      </c>
      <c r="B34" s="313" t="s">
        <v>88</v>
      </c>
      <c r="C34" s="313" t="n">
        <v>3132905</v>
      </c>
      <c r="D34" s="313" t="s">
        <v>216</v>
      </c>
      <c r="E34" s="313" t="s">
        <v>283</v>
      </c>
      <c r="F34" s="313" t="s">
        <v>1204</v>
      </c>
      <c r="G34" s="313" t="s">
        <v>43</v>
      </c>
      <c r="H34" s="313" t="s">
        <v>31</v>
      </c>
      <c r="J34" s="313" t="s">
        <v>48</v>
      </c>
      <c r="K34" s="313" t="s">
        <v>2536</v>
      </c>
      <c r="L34" s="313" t="s">
        <v>2384</v>
      </c>
      <c r="M34" s="313" t="s">
        <v>3474</v>
      </c>
      <c r="N34" s="313" t="s">
        <v>3475</v>
      </c>
      <c r="O34" s="1009" t="s">
        <v>3476</v>
      </c>
      <c r="P34" s="313" t="s">
        <v>2901</v>
      </c>
      <c r="T34" s="313" t="s">
        <v>217</v>
      </c>
      <c r="U34" s="313" t="s">
        <v>217</v>
      </c>
      <c r="V34" s="313" t="s">
        <v>217</v>
      </c>
      <c r="W34" s="313" t="s">
        <v>217</v>
      </c>
      <c r="Y34" s="313" t="s">
        <v>217</v>
      </c>
    </row>
    <row r="35" s="313" customFormat="1" ht="26.25" customHeight="1">
      <c r="A35" s="313" t="s">
        <v>45</v>
      </c>
      <c r="B35" s="313" t="s">
        <v>88</v>
      </c>
      <c r="C35" s="313" t="n">
        <v>3132905</v>
      </c>
      <c r="D35" s="313" t="s">
        <v>216</v>
      </c>
      <c r="E35" s="313" t="s">
        <v>283</v>
      </c>
      <c r="F35" s="313" t="s">
        <v>1159</v>
      </c>
      <c r="G35" s="313" t="s">
        <v>43</v>
      </c>
      <c r="H35" s="313" t="s">
        <v>31</v>
      </c>
      <c r="I35" s="313" t="s">
        <v>52</v>
      </c>
      <c r="J35" s="313" t="s">
        <v>50</v>
      </c>
      <c r="K35" s="313" t="s">
        <v>407</v>
      </c>
      <c r="L35" s="313" t="s">
        <v>2384</v>
      </c>
      <c r="M35" s="313" t="s">
        <v>3477</v>
      </c>
      <c r="N35" s="313" t="s">
        <v>2523</v>
      </c>
      <c r="O35" s="313" t="s">
        <v>3478</v>
      </c>
      <c r="P35" s="313" t="s">
        <v>2901</v>
      </c>
      <c r="T35" s="313" t="s">
        <v>217</v>
      </c>
      <c r="U35" s="313" t="s">
        <v>217</v>
      </c>
      <c r="V35" s="313" t="s">
        <v>217</v>
      </c>
      <c r="W35" s="313" t="s">
        <v>217</v>
      </c>
      <c r="Y35" s="313" t="s">
        <v>217</v>
      </c>
    </row>
    <row r="36" s="313" customFormat="1" ht="26.25" customHeight="1">
      <c r="A36" s="313" t="s">
        <v>45</v>
      </c>
      <c r="B36" s="313" t="s">
        <v>88</v>
      </c>
      <c r="C36" s="313" t="n">
        <v>3132905</v>
      </c>
      <c r="D36" s="313" t="s">
        <v>216</v>
      </c>
      <c r="E36" s="313" t="s">
        <v>283</v>
      </c>
      <c r="F36" s="313" t="s">
        <v>1327</v>
      </c>
      <c r="G36" s="313" t="s">
        <v>43</v>
      </c>
      <c r="H36" s="313" t="s">
        <v>31</v>
      </c>
      <c r="I36" s="313" t="s">
        <v>52</v>
      </c>
      <c r="J36" s="313" t="s">
        <v>46</v>
      </c>
      <c r="K36" s="313" t="s">
        <v>2542</v>
      </c>
      <c r="L36" s="313" t="s">
        <v>2543</v>
      </c>
      <c r="M36" s="313" t="s">
        <v>3479</v>
      </c>
      <c r="N36" s="313" t="s">
        <v>3480</v>
      </c>
      <c r="O36" s="313" t="s">
        <v>3481</v>
      </c>
      <c r="P36" s="313" t="s">
        <v>3151</v>
      </c>
      <c r="T36" s="313" t="s">
        <v>217</v>
      </c>
      <c r="U36" s="313" t="s">
        <v>217</v>
      </c>
      <c r="V36" s="313" t="s">
        <v>217</v>
      </c>
      <c r="W36" s="313" t="s">
        <v>217</v>
      </c>
    </row>
    <row r="37" s="313" customFormat="1" ht="26.25" customHeight="1">
      <c r="A37" s="313" t="s">
        <v>45</v>
      </c>
      <c r="B37" s="313" t="s">
        <v>88</v>
      </c>
      <c r="C37" s="313" t="n">
        <v>3132905</v>
      </c>
      <c r="D37" s="313" t="s">
        <v>216</v>
      </c>
      <c r="E37" s="313" t="s">
        <v>283</v>
      </c>
      <c r="F37" s="313" t="s">
        <v>1309</v>
      </c>
      <c r="G37" s="313" t="s">
        <v>43</v>
      </c>
      <c r="H37" s="313" t="s">
        <v>31</v>
      </c>
      <c r="I37" s="313" t="s">
        <v>52</v>
      </c>
      <c r="J37" s="313" t="s">
        <v>48</v>
      </c>
      <c r="K37" s="313" t="s">
        <v>2545</v>
      </c>
      <c r="L37" s="313" t="s">
        <v>2384</v>
      </c>
      <c r="M37" s="313" t="s">
        <v>3482</v>
      </c>
      <c r="O37" s="313" t="s">
        <v>3483</v>
      </c>
      <c r="P37" s="313" t="s">
        <v>27</v>
      </c>
      <c r="Q37" s="313" t="n">
        <v>43</v>
      </c>
      <c r="T37" s="313" t="s">
        <v>217</v>
      </c>
      <c r="U37" s="313" t="s">
        <v>217</v>
      </c>
      <c r="V37" s="313" t="s">
        <v>217</v>
      </c>
      <c r="W37" s="313" t="s">
        <v>217</v>
      </c>
    </row>
    <row r="38" s="313" customFormat="1" ht="26.25" customHeight="1">
      <c r="A38" s="313" t="s">
        <v>45</v>
      </c>
      <c r="B38" s="313" t="s">
        <v>88</v>
      </c>
      <c r="C38" s="313" t="n">
        <v>3132905</v>
      </c>
      <c r="D38" s="313" t="s">
        <v>216</v>
      </c>
      <c r="E38" s="313" t="s">
        <v>283</v>
      </c>
      <c r="F38" s="313" t="s">
        <v>1221</v>
      </c>
      <c r="G38" s="313" t="s">
        <v>43</v>
      </c>
      <c r="H38" s="313" t="s">
        <v>37</v>
      </c>
      <c r="I38" s="313" t="s">
        <v>52</v>
      </c>
      <c r="J38" s="313" t="s">
        <v>50</v>
      </c>
      <c r="K38" s="313" t="s">
        <v>3484</v>
      </c>
      <c r="L38" s="313" t="s">
        <v>2384</v>
      </c>
      <c r="M38" s="313" t="s">
        <v>3485</v>
      </c>
      <c r="N38" s="313" t="s">
        <v>3486</v>
      </c>
      <c r="O38" s="313" t="s">
        <v>1420</v>
      </c>
      <c r="P38" s="313" t="s">
        <v>27</v>
      </c>
      <c r="T38" s="313" t="s">
        <v>217</v>
      </c>
      <c r="U38" s="313" t="s">
        <v>217</v>
      </c>
      <c r="V38" s="313" t="s">
        <v>217</v>
      </c>
      <c r="W38" s="313" t="s">
        <v>217</v>
      </c>
    </row>
    <row r="39" s="313" customFormat="1" ht="26.25" customHeight="1">
      <c r="A39" s="313" t="s">
        <v>45</v>
      </c>
      <c r="B39" s="313" t="s">
        <v>88</v>
      </c>
      <c r="C39" s="313" t="n">
        <v>3132905</v>
      </c>
      <c r="D39" s="313" t="s">
        <v>216</v>
      </c>
      <c r="E39" s="313" t="s">
        <v>283</v>
      </c>
      <c r="F39" s="313" t="s">
        <v>810</v>
      </c>
      <c r="G39" s="313" t="s">
        <v>43</v>
      </c>
      <c r="H39" s="313" t="s">
        <v>37</v>
      </c>
      <c r="I39" s="313" t="s">
        <v>52</v>
      </c>
      <c r="J39" s="313" t="s">
        <v>48</v>
      </c>
      <c r="K39" s="313" t="s">
        <v>2542</v>
      </c>
      <c r="L39" s="313" t="s">
        <v>2543</v>
      </c>
      <c r="M39" s="313" t="s">
        <v>3487</v>
      </c>
      <c r="N39" s="313" t="s">
        <v>2523</v>
      </c>
      <c r="O39" s="313" t="s">
        <v>1420</v>
      </c>
      <c r="P39" s="313" t="s">
        <v>2901</v>
      </c>
      <c r="T39" s="313" t="s">
        <v>217</v>
      </c>
      <c r="U39" s="313" t="s">
        <v>217</v>
      </c>
      <c r="V39" s="313" t="s">
        <v>217</v>
      </c>
      <c r="W39" s="313" t="s">
        <v>217</v>
      </c>
      <c r="Y39" s="313" t="s">
        <v>217</v>
      </c>
    </row>
    <row r="40" s="313" customFormat="1" ht="26.25" customHeight="1">
      <c r="A40" s="313" t="s">
        <v>45</v>
      </c>
      <c r="B40" s="313" t="s">
        <v>88</v>
      </c>
      <c r="C40" s="313" t="n">
        <v>3132905</v>
      </c>
      <c r="D40" s="313" t="s">
        <v>216</v>
      </c>
      <c r="E40" s="313" t="s">
        <v>283</v>
      </c>
      <c r="F40" s="313" t="s">
        <v>1253</v>
      </c>
      <c r="G40" s="313" t="s">
        <v>43</v>
      </c>
      <c r="H40" s="313" t="s">
        <v>31</v>
      </c>
      <c r="J40" s="313" t="s">
        <v>48</v>
      </c>
      <c r="K40" s="313" t="s">
        <v>407</v>
      </c>
      <c r="L40" s="313" t="s">
        <v>2384</v>
      </c>
      <c r="M40" s="1010" t="s">
        <v>3488</v>
      </c>
      <c r="N40" s="1011" t="s">
        <v>2373</v>
      </c>
      <c r="O40" s="313" t="s">
        <v>2552</v>
      </c>
      <c r="P40" s="313" t="n">
        <v>85</v>
      </c>
      <c r="Q40" s="313" t="n">
        <v>30</v>
      </c>
      <c r="T40" s="313" t="s">
        <v>217</v>
      </c>
      <c r="U40" s="313" t="s">
        <v>217</v>
      </c>
      <c r="V40" s="313" t="s">
        <v>217</v>
      </c>
      <c r="W40" s="313" t="s">
        <v>217</v>
      </c>
    </row>
    <row r="41" s="313" customFormat="1" ht="26.25" customHeight="1">
      <c r="A41" s="313" t="s">
        <v>45</v>
      </c>
      <c r="B41" s="313" t="s">
        <v>88</v>
      </c>
      <c r="C41" s="313" t="n">
        <v>3132905</v>
      </c>
      <c r="D41" s="313" t="s">
        <v>216</v>
      </c>
      <c r="E41" s="313" t="s">
        <v>283</v>
      </c>
      <c r="F41" s="313" t="s">
        <v>657</v>
      </c>
      <c r="G41" s="313" t="s">
        <v>43</v>
      </c>
      <c r="H41" s="313" t="s">
        <v>31</v>
      </c>
      <c r="I41" s="313" t="s">
        <v>52</v>
      </c>
      <c r="J41" s="313" t="s">
        <v>38</v>
      </c>
      <c r="K41" s="313" t="s">
        <v>2481</v>
      </c>
      <c r="L41" s="313" t="s">
        <v>2482</v>
      </c>
      <c r="M41" s="1012" t="s">
        <v>2483</v>
      </c>
      <c r="N41" s="313" t="s">
        <v>2410</v>
      </c>
      <c r="O41" s="313" t="s">
        <v>2484</v>
      </c>
      <c r="P41" s="313" t="n">
        <v>80</v>
      </c>
      <c r="Q41" s="313" t="n">
        <v>87</v>
      </c>
      <c r="T41" s="313" t="s">
        <v>217</v>
      </c>
      <c r="U41" s="313" t="s">
        <v>217</v>
      </c>
      <c r="V41" s="313" t="s">
        <v>217</v>
      </c>
      <c r="W41" s="313" t="s">
        <v>217</v>
      </c>
    </row>
    <row r="42" s="313" customFormat="1" ht="26.25" customHeight="1">
      <c r="A42" s="313" t="s">
        <v>45</v>
      </c>
      <c r="B42" s="313" t="s">
        <v>88</v>
      </c>
      <c r="C42" s="313" t="n">
        <v>3132905</v>
      </c>
      <c r="D42" s="313" t="s">
        <v>216</v>
      </c>
      <c r="E42" s="313" t="s">
        <v>283</v>
      </c>
      <c r="F42" s="313" t="s">
        <v>1244</v>
      </c>
      <c r="G42" s="313" t="s">
        <v>43</v>
      </c>
      <c r="H42" s="313" t="s">
        <v>31</v>
      </c>
      <c r="I42" s="313" t="s">
        <v>52</v>
      </c>
      <c r="J42" s="313" t="s">
        <v>46</v>
      </c>
      <c r="L42" s="313" t="s">
        <v>2438</v>
      </c>
      <c r="M42" s="313" t="s">
        <v>3489</v>
      </c>
      <c r="N42" s="313" t="s">
        <v>3490</v>
      </c>
      <c r="O42" s="313" t="s">
        <v>2554</v>
      </c>
      <c r="P42" s="313" t="s">
        <v>2375</v>
      </c>
      <c r="Q42" s="313" t="n">
        <v>37</v>
      </c>
      <c r="T42" s="313" t="s">
        <v>217</v>
      </c>
      <c r="U42" s="313" t="s">
        <v>217</v>
      </c>
      <c r="V42" s="313" t="s">
        <v>217</v>
      </c>
      <c r="W42" s="313" t="s">
        <v>217</v>
      </c>
    </row>
    <row r="43" s="313" customFormat="1" ht="26.25" customHeight="1">
      <c r="A43" s="313" t="s">
        <v>45</v>
      </c>
      <c r="B43" s="313" t="s">
        <v>88</v>
      </c>
      <c r="C43" s="313" t="n">
        <v>3132905</v>
      </c>
      <c r="D43" s="313" t="s">
        <v>216</v>
      </c>
      <c r="E43" s="313" t="s">
        <v>283</v>
      </c>
      <c r="F43" s="313" t="s">
        <v>1302</v>
      </c>
      <c r="G43" s="313" t="s">
        <v>43</v>
      </c>
      <c r="H43" s="313" t="s">
        <v>31</v>
      </c>
      <c r="I43" s="313" t="s">
        <v>52</v>
      </c>
      <c r="J43" s="313" t="s">
        <v>48</v>
      </c>
      <c r="K43" s="313" t="s">
        <v>407</v>
      </c>
      <c r="L43" s="313" t="s">
        <v>1774</v>
      </c>
      <c r="M43" s="1013" t="s">
        <v>3491</v>
      </c>
      <c r="N43" s="313" t="s">
        <v>3492</v>
      </c>
      <c r="O43" s="313" t="s">
        <v>2374</v>
      </c>
      <c r="P43" s="313" t="n">
        <v>90</v>
      </c>
      <c r="T43" s="313" t="s">
        <v>217</v>
      </c>
      <c r="U43" s="313" t="s">
        <v>217</v>
      </c>
      <c r="V43" s="313" t="s">
        <v>217</v>
      </c>
      <c r="W43" s="313" t="s">
        <v>217</v>
      </c>
    </row>
    <row r="44" s="313" customFormat="1" ht="26.25" customHeight="1" hidden="1">
      <c r="A44" s="313" t="s">
        <v>45</v>
      </c>
      <c r="B44" s="313" t="s">
        <v>65</v>
      </c>
      <c r="C44" s="313" t="n">
        <v>5230828</v>
      </c>
      <c r="D44" s="313" t="s">
        <v>215</v>
      </c>
      <c r="E44" s="313" t="s">
        <v>283</v>
      </c>
      <c r="F44" s="313" t="s">
        <v>868</v>
      </c>
      <c r="G44" s="313" t="s">
        <v>43</v>
      </c>
      <c r="O44" s="313" t="s">
        <v>1420</v>
      </c>
      <c r="T44" s="313" t="s">
        <v>217</v>
      </c>
      <c r="U44" s="313" t="s">
        <v>217</v>
      </c>
      <c r="V44" s="313" t="s">
        <v>217</v>
      </c>
    </row>
    <row r="45" s="313" customFormat="1" ht="26.25" customHeight="1" hidden="1">
      <c r="A45" s="313" t="s">
        <v>45</v>
      </c>
      <c r="B45" s="313" t="s">
        <v>65</v>
      </c>
      <c r="C45" s="313" t="n">
        <v>5230828</v>
      </c>
      <c r="D45" s="313" t="s">
        <v>215</v>
      </c>
      <c r="E45" s="313" t="s">
        <v>283</v>
      </c>
      <c r="F45" s="313" t="s">
        <v>361</v>
      </c>
      <c r="G45" s="313" t="s">
        <v>43</v>
      </c>
      <c r="H45" s="313" t="s">
        <v>31</v>
      </c>
      <c r="I45" s="313" t="s">
        <v>58</v>
      </c>
      <c r="J45" s="313" t="s">
        <v>46</v>
      </c>
      <c r="T45" s="313" t="s">
        <v>217</v>
      </c>
      <c r="V45" s="313" t="s">
        <v>217</v>
      </c>
    </row>
    <row r="46" s="313" customFormat="1" ht="26.25" customHeight="1" hidden="1">
      <c r="A46" s="313" t="s">
        <v>45</v>
      </c>
      <c r="B46" s="313" t="s">
        <v>65</v>
      </c>
      <c r="C46" s="313" t="n">
        <v>5230828</v>
      </c>
      <c r="D46" s="313" t="s">
        <v>215</v>
      </c>
      <c r="E46" s="313" t="s">
        <v>283</v>
      </c>
      <c r="F46" s="313" t="s">
        <v>1278</v>
      </c>
      <c r="G46" s="313" t="s">
        <v>43</v>
      </c>
      <c r="H46" s="313" t="s">
        <v>31</v>
      </c>
      <c r="I46" s="313" t="s">
        <v>58</v>
      </c>
      <c r="J46" s="313" t="s">
        <v>46</v>
      </c>
      <c r="K46" s="313" t="s">
        <v>2416</v>
      </c>
      <c r="L46" s="1014" t="s">
        <v>2529</v>
      </c>
      <c r="M46" s="313" t="s">
        <v>1123</v>
      </c>
      <c r="N46" s="313" t="s">
        <v>3493</v>
      </c>
      <c r="Q46" s="313" t="n">
        <v>26</v>
      </c>
      <c r="T46" s="313" t="s">
        <v>217</v>
      </c>
      <c r="V46" s="313" t="s">
        <v>218</v>
      </c>
    </row>
    <row r="47" s="313" customFormat="1" ht="26.25" customHeight="1" hidden="1">
      <c r="A47" s="313" t="s">
        <v>45</v>
      </c>
      <c r="B47" s="313" t="s">
        <v>65</v>
      </c>
      <c r="C47" s="313" t="n">
        <v>5230828</v>
      </c>
      <c r="D47" s="313" t="s">
        <v>215</v>
      </c>
      <c r="E47" s="313" t="s">
        <v>283</v>
      </c>
      <c r="F47" s="313" t="s">
        <v>348</v>
      </c>
      <c r="G47" s="313" t="s">
        <v>43</v>
      </c>
      <c r="H47" s="313" t="s">
        <v>31</v>
      </c>
      <c r="I47" s="313" t="s">
        <v>58</v>
      </c>
      <c r="J47" s="313" t="s">
        <v>349</v>
      </c>
      <c r="O47" s="313" t="s">
        <v>3494</v>
      </c>
      <c r="T47" s="313" t="s">
        <v>217</v>
      </c>
      <c r="U47" s="313" t="s">
        <v>217</v>
      </c>
      <c r="V47" s="313" t="s">
        <v>217</v>
      </c>
    </row>
    <row r="48" s="313" customFormat="1" ht="26.25" customHeight="1" hidden="1">
      <c r="A48" s="313" t="s">
        <v>45</v>
      </c>
      <c r="B48" s="313" t="s">
        <v>65</v>
      </c>
      <c r="C48" s="313" t="n">
        <v>5230828</v>
      </c>
      <c r="D48" s="313" t="s">
        <v>215</v>
      </c>
      <c r="E48" s="313" t="s">
        <v>283</v>
      </c>
      <c r="F48" s="313" t="s">
        <v>900</v>
      </c>
      <c r="G48" s="313" t="s">
        <v>43</v>
      </c>
      <c r="H48" s="313" t="s">
        <v>31</v>
      </c>
      <c r="I48" s="313" t="s">
        <v>58</v>
      </c>
      <c r="J48" s="313" t="s">
        <v>46</v>
      </c>
      <c r="O48" s="313" t="s">
        <v>1420</v>
      </c>
      <c r="T48" s="313" t="s">
        <v>217</v>
      </c>
      <c r="U48" s="313" t="s">
        <v>217</v>
      </c>
      <c r="V48" s="313" t="s">
        <v>217</v>
      </c>
    </row>
    <row r="49" s="313" customFormat="1" ht="26.25" customHeight="1" hidden="1">
      <c r="A49" s="313" t="s">
        <v>45</v>
      </c>
      <c r="B49" s="313" t="s">
        <v>65</v>
      </c>
      <c r="C49" s="313" t="n">
        <v>5230828</v>
      </c>
      <c r="D49" s="313" t="s">
        <v>215</v>
      </c>
      <c r="E49" s="313" t="s">
        <v>283</v>
      </c>
      <c r="F49" s="313" t="s">
        <v>875</v>
      </c>
      <c r="G49" s="313" t="s">
        <v>43</v>
      </c>
      <c r="H49" s="313" t="s">
        <v>31</v>
      </c>
      <c r="I49" s="313" t="s">
        <v>52</v>
      </c>
      <c r="J49" s="313" t="s">
        <v>50</v>
      </c>
      <c r="K49" s="313" t="s">
        <v>2488</v>
      </c>
      <c r="L49" s="313" t="s">
        <v>2384</v>
      </c>
      <c r="Q49" s="313" t="n">
        <v>28</v>
      </c>
      <c r="T49" s="313" t="s">
        <v>217</v>
      </c>
      <c r="V49" s="313" t="s">
        <v>217</v>
      </c>
      <c r="W49" s="313" t="s">
        <v>217</v>
      </c>
    </row>
    <row r="50" s="313" customFormat="1" ht="26.25" customHeight="1" hidden="1">
      <c r="A50" s="313" t="s">
        <v>45</v>
      </c>
      <c r="B50" s="313" t="s">
        <v>65</v>
      </c>
      <c r="C50" s="313" t="n">
        <v>5230828</v>
      </c>
      <c r="D50" s="313" t="s">
        <v>215</v>
      </c>
      <c r="E50" s="313" t="s">
        <v>283</v>
      </c>
      <c r="F50" s="313" t="s">
        <v>663</v>
      </c>
      <c r="G50" s="313" t="s">
        <v>43</v>
      </c>
      <c r="H50" s="313" t="s">
        <v>31</v>
      </c>
      <c r="I50" s="313" t="s">
        <v>58</v>
      </c>
      <c r="J50" s="313" t="s">
        <v>48</v>
      </c>
      <c r="T50" s="313" t="s">
        <v>217</v>
      </c>
      <c r="V50" s="313" t="s">
        <v>217</v>
      </c>
    </row>
    <row r="51" s="313" customFormat="1" ht="26.25" customHeight="1" hidden="1">
      <c r="A51" s="313" t="s">
        <v>45</v>
      </c>
      <c r="B51" s="313" t="s">
        <v>65</v>
      </c>
      <c r="C51" s="313" t="n">
        <v>5230828</v>
      </c>
      <c r="D51" s="313" t="s">
        <v>215</v>
      </c>
      <c r="E51" s="313" t="s">
        <v>283</v>
      </c>
      <c r="F51" s="313" t="s">
        <v>1213</v>
      </c>
      <c r="G51" s="313" t="s">
        <v>43</v>
      </c>
      <c r="H51" s="313" t="s">
        <v>31</v>
      </c>
      <c r="I51" s="313" t="s">
        <v>58</v>
      </c>
      <c r="J51" s="313" t="s">
        <v>48</v>
      </c>
      <c r="K51" s="313" t="s">
        <v>3495</v>
      </c>
      <c r="M51" s="313" t="s">
        <v>1123</v>
      </c>
      <c r="O51" s="313" t="s">
        <v>1214</v>
      </c>
      <c r="Q51" s="313" t="n">
        <v>40</v>
      </c>
      <c r="T51" s="313" t="s">
        <v>217</v>
      </c>
      <c r="V51" s="313" t="s">
        <v>218</v>
      </c>
    </row>
    <row r="52" s="313" customFormat="1" ht="26.25" customHeight="1" hidden="1">
      <c r="A52" s="313" t="s">
        <v>45</v>
      </c>
      <c r="B52" s="313" t="s">
        <v>65</v>
      </c>
      <c r="C52" s="313" t="n">
        <v>5230828</v>
      </c>
      <c r="D52" s="313" t="s">
        <v>215</v>
      </c>
      <c r="E52" s="313" t="s">
        <v>283</v>
      </c>
      <c r="F52" s="313" t="s">
        <v>674</v>
      </c>
      <c r="G52" s="313" t="s">
        <v>43</v>
      </c>
      <c r="H52" s="313" t="s">
        <v>31</v>
      </c>
      <c r="I52" s="313" t="s">
        <v>58</v>
      </c>
      <c r="J52" s="313" t="s">
        <v>46</v>
      </c>
      <c r="O52" s="313" t="s">
        <v>1219</v>
      </c>
      <c r="T52" s="313" t="s">
        <v>217</v>
      </c>
      <c r="V52" s="313" t="s">
        <v>217</v>
      </c>
    </row>
    <row r="53" s="313" customFormat="1" ht="26.25" customHeight="1" hidden="1">
      <c r="A53" s="313" t="s">
        <v>45</v>
      </c>
      <c r="B53" s="313" t="s">
        <v>65</v>
      </c>
      <c r="C53" s="313" t="n">
        <v>5230828</v>
      </c>
      <c r="D53" s="313" t="s">
        <v>215</v>
      </c>
      <c r="E53" s="313" t="s">
        <v>283</v>
      </c>
      <c r="F53" s="313" t="s">
        <v>591</v>
      </c>
      <c r="G53" s="313" t="s">
        <v>43</v>
      </c>
      <c r="H53" s="313" t="s">
        <v>31</v>
      </c>
      <c r="I53" s="313" t="s">
        <v>58</v>
      </c>
      <c r="J53" s="313" t="s">
        <v>46</v>
      </c>
      <c r="T53" s="313" t="s">
        <v>217</v>
      </c>
      <c r="V53" s="313" t="s">
        <v>217</v>
      </c>
    </row>
    <row r="54" s="313" customFormat="1" ht="26.25" customHeight="1" hidden="1">
      <c r="A54" s="313" t="s">
        <v>45</v>
      </c>
      <c r="B54" s="313" t="s">
        <v>65</v>
      </c>
      <c r="C54" s="313" t="n">
        <v>5230828</v>
      </c>
      <c r="D54" s="313" t="s">
        <v>215</v>
      </c>
      <c r="E54" s="313" t="s">
        <v>283</v>
      </c>
      <c r="F54" s="313" t="s">
        <v>354</v>
      </c>
      <c r="G54" s="313" t="s">
        <v>43</v>
      </c>
      <c r="H54" s="313" t="s">
        <v>31</v>
      </c>
      <c r="I54" s="313" t="s">
        <v>58</v>
      </c>
      <c r="J54" s="313" t="s">
        <v>46</v>
      </c>
      <c r="T54" s="313" t="s">
        <v>218</v>
      </c>
      <c r="V54" s="313" t="s">
        <v>217</v>
      </c>
    </row>
    <row r="55" s="313" customFormat="1" ht="26.25" customHeight="1" hidden="1">
      <c r="A55" s="313" t="s">
        <v>45</v>
      </c>
      <c r="B55" s="313" t="s">
        <v>65</v>
      </c>
      <c r="C55" s="313" t="n">
        <v>5230828</v>
      </c>
      <c r="D55" s="313" t="s">
        <v>215</v>
      </c>
      <c r="E55" s="313" t="s">
        <v>283</v>
      </c>
      <c r="F55" s="313" t="s">
        <v>862</v>
      </c>
      <c r="G55" s="313" t="s">
        <v>43</v>
      </c>
      <c r="H55" s="313" t="s">
        <v>31</v>
      </c>
      <c r="I55" s="313" t="s">
        <v>52</v>
      </c>
      <c r="J55" s="313" t="s">
        <v>48</v>
      </c>
      <c r="O55" s="313" t="s">
        <v>1420</v>
      </c>
      <c r="T55" s="313" t="s">
        <v>217</v>
      </c>
      <c r="U55" s="313" t="s">
        <v>217</v>
      </c>
      <c r="V55" s="313" t="s">
        <v>217</v>
      </c>
    </row>
    <row r="56" s="313" customFormat="1" ht="26.25" customHeight="1" hidden="1">
      <c r="A56" s="313" t="s">
        <v>45</v>
      </c>
      <c r="B56" s="313" t="s">
        <v>65</v>
      </c>
      <c r="C56" s="313" t="n">
        <v>5230828</v>
      </c>
      <c r="D56" s="313" t="s">
        <v>215</v>
      </c>
      <c r="E56" s="313" t="s">
        <v>283</v>
      </c>
      <c r="F56" s="313" t="s">
        <v>719</v>
      </c>
      <c r="G56" s="313" t="s">
        <v>43</v>
      </c>
      <c r="H56" s="313" t="s">
        <v>31</v>
      </c>
      <c r="I56" s="313" t="s">
        <v>58</v>
      </c>
      <c r="J56" s="313" t="s">
        <v>46</v>
      </c>
      <c r="O56" s="313" t="s">
        <v>3496</v>
      </c>
      <c r="T56" s="313" t="s">
        <v>217</v>
      </c>
      <c r="U56" s="313" t="s">
        <v>217</v>
      </c>
      <c r="V56" s="313" t="s">
        <v>217</v>
      </c>
    </row>
    <row r="57" s="313" customFormat="1" ht="26.25" customHeight="1" hidden="1">
      <c r="A57" s="313" t="s">
        <v>45</v>
      </c>
      <c r="B57" s="313" t="s">
        <v>65</v>
      </c>
      <c r="C57" s="313" t="n">
        <v>5230828</v>
      </c>
      <c r="D57" s="313" t="s">
        <v>215</v>
      </c>
      <c r="E57" s="313" t="s">
        <v>283</v>
      </c>
      <c r="F57" s="313" t="s">
        <v>494</v>
      </c>
      <c r="G57" s="313" t="s">
        <v>43</v>
      </c>
      <c r="I57" s="313" t="s">
        <v>58</v>
      </c>
      <c r="J57" s="313" t="s">
        <v>46</v>
      </c>
      <c r="T57" s="313" t="s">
        <v>217</v>
      </c>
      <c r="V57" s="313" t="s">
        <v>217</v>
      </c>
    </row>
    <row r="58" s="313" customFormat="1" ht="26.25" customHeight="1">
      <c r="A58" s="313" t="s">
        <v>45</v>
      </c>
      <c r="B58" s="313" t="s">
        <v>65</v>
      </c>
      <c r="C58" s="313" t="n">
        <v>5230828</v>
      </c>
      <c r="D58" s="313" t="s">
        <v>215</v>
      </c>
      <c r="E58" s="313" t="s">
        <v>283</v>
      </c>
      <c r="F58" s="313" t="s">
        <v>363</v>
      </c>
      <c r="G58" s="313" t="s">
        <v>43</v>
      </c>
      <c r="H58" s="313" t="s">
        <v>31</v>
      </c>
      <c r="I58" s="313" t="s">
        <v>58</v>
      </c>
      <c r="J58" s="313" t="s">
        <v>349</v>
      </c>
      <c r="M58" s="313" t="s">
        <v>3497</v>
      </c>
      <c r="T58" s="313" t="s">
        <v>218</v>
      </c>
      <c r="V58" s="313" t="s">
        <v>218</v>
      </c>
    </row>
    <row r="59" s="313" customFormat="1" ht="26.25" customHeight="1">
      <c r="A59" s="313" t="s">
        <v>45</v>
      </c>
      <c r="B59" s="313" t="s">
        <v>65</v>
      </c>
      <c r="C59" s="313" t="n">
        <v>5230828</v>
      </c>
      <c r="D59" s="313" t="s">
        <v>215</v>
      </c>
      <c r="E59" s="313" t="s">
        <v>283</v>
      </c>
      <c r="F59" s="313" t="s">
        <v>741</v>
      </c>
      <c r="G59" s="313" t="s">
        <v>43</v>
      </c>
      <c r="H59" s="313" t="s">
        <v>31</v>
      </c>
      <c r="I59" s="313" t="s">
        <v>58</v>
      </c>
      <c r="J59" s="313" t="s">
        <v>48</v>
      </c>
      <c r="Q59" s="313" t="n">
        <v>31</v>
      </c>
      <c r="T59" s="313" t="s">
        <v>217</v>
      </c>
      <c r="V59" s="313" t="s">
        <v>217</v>
      </c>
    </row>
    <row r="60" s="313" customFormat="1" ht="26.25" customHeight="1" hidden="1">
      <c r="A60" s="313" t="s">
        <v>45</v>
      </c>
      <c r="B60" s="313" t="s">
        <v>65</v>
      </c>
      <c r="C60" s="313" t="n">
        <v>5230828</v>
      </c>
      <c r="D60" s="313" t="s">
        <v>215</v>
      </c>
      <c r="E60" s="313" t="s">
        <v>283</v>
      </c>
      <c r="F60" s="313" t="s">
        <v>914</v>
      </c>
      <c r="G60" s="313" t="s">
        <v>43</v>
      </c>
      <c r="I60" s="313" t="s">
        <v>52</v>
      </c>
      <c r="J60" s="313" t="s">
        <v>46</v>
      </c>
      <c r="O60" s="313" t="s">
        <v>1420</v>
      </c>
      <c r="P60" s="313" t="n">
        <v>95</v>
      </c>
      <c r="T60" s="313" t="s">
        <v>217</v>
      </c>
      <c r="U60" s="313" t="s">
        <v>217</v>
      </c>
      <c r="V60" s="313" t="s">
        <v>217</v>
      </c>
    </row>
    <row r="61" s="313" customFormat="1" ht="26.25" customHeight="1">
      <c r="A61" s="313" t="s">
        <v>45</v>
      </c>
      <c r="B61" s="313" t="s">
        <v>65</v>
      </c>
      <c r="C61" s="313" t="n">
        <v>5230828</v>
      </c>
      <c r="D61" s="313" t="s">
        <v>215</v>
      </c>
      <c r="E61" s="313" t="s">
        <v>283</v>
      </c>
      <c r="F61" s="313" t="s">
        <v>848</v>
      </c>
      <c r="G61" s="313" t="s">
        <v>43</v>
      </c>
      <c r="H61" s="313" t="s">
        <v>31</v>
      </c>
      <c r="I61" s="313" t="s">
        <v>58</v>
      </c>
      <c r="J61" s="313" t="s">
        <v>46</v>
      </c>
      <c r="Q61" s="313" t="n">
        <v>30</v>
      </c>
      <c r="T61" s="313" t="s">
        <v>217</v>
      </c>
      <c r="V61" s="313" t="s">
        <v>217</v>
      </c>
    </row>
    <row r="62" s="313" customFormat="1" ht="26.25" customHeight="1" hidden="1">
      <c r="A62" s="313" t="s">
        <v>45</v>
      </c>
      <c r="B62" s="313" t="s">
        <v>65</v>
      </c>
      <c r="C62" s="313" t="n">
        <v>5230828</v>
      </c>
      <c r="D62" s="313" t="s">
        <v>215</v>
      </c>
      <c r="E62" s="313" t="s">
        <v>283</v>
      </c>
      <c r="F62" s="313" t="s">
        <v>854</v>
      </c>
      <c r="G62" s="313" t="s">
        <v>43</v>
      </c>
      <c r="H62" s="313" t="s">
        <v>31</v>
      </c>
      <c r="I62" s="313" t="s">
        <v>58</v>
      </c>
      <c r="J62" s="313" t="s">
        <v>46</v>
      </c>
      <c r="Q62" s="313" t="n">
        <v>31</v>
      </c>
      <c r="T62" s="313" t="s">
        <v>217</v>
      </c>
      <c r="V62" s="313" t="s">
        <v>217</v>
      </c>
    </row>
    <row r="63" s="313" customFormat="1" ht="26.25" customHeight="1" hidden="1">
      <c r="A63" s="313" t="s">
        <v>54</v>
      </c>
      <c r="B63" s="313" t="s">
        <v>100</v>
      </c>
      <c r="C63" s="313" t="n">
        <v>3132846</v>
      </c>
      <c r="D63" s="313" t="s">
        <v>216</v>
      </c>
      <c r="E63" s="313" t="s">
        <v>283</v>
      </c>
      <c r="F63" s="313" t="s">
        <v>1332</v>
      </c>
      <c r="G63" s="313" t="s">
        <v>43</v>
      </c>
      <c r="H63" s="313" t="s">
        <v>31</v>
      </c>
      <c r="I63" s="313" t="s">
        <v>58</v>
      </c>
      <c r="J63" s="313" t="s">
        <v>59</v>
      </c>
      <c r="K63" s="313" t="s">
        <v>2434</v>
      </c>
      <c r="L63" s="1015" t="s">
        <v>2494</v>
      </c>
      <c r="N63" s="313" t="s">
        <v>2495</v>
      </c>
      <c r="O63" s="313" t="s">
        <v>1269</v>
      </c>
    </row>
    <row r="64" s="313" customFormat="1" ht="26.25" customHeight="1" hidden="1">
      <c r="A64" s="313" t="s">
        <v>54</v>
      </c>
      <c r="B64" s="313" t="s">
        <v>100</v>
      </c>
      <c r="C64" s="313" t="n">
        <v>3132846</v>
      </c>
      <c r="D64" s="313" t="s">
        <v>216</v>
      </c>
      <c r="E64" s="313" t="s">
        <v>283</v>
      </c>
      <c r="F64" s="313" t="s">
        <v>958</v>
      </c>
      <c r="G64" s="313" t="s">
        <v>43</v>
      </c>
      <c r="H64" s="313" t="s">
        <v>31</v>
      </c>
      <c r="I64" s="313" t="s">
        <v>58</v>
      </c>
      <c r="J64" s="313" t="s">
        <v>59</v>
      </c>
      <c r="Q64" s="313" t="n">
        <v>32</v>
      </c>
    </row>
    <row r="65" s="313" customFormat="1" ht="26.25" customHeight="1" hidden="1">
      <c r="A65" s="313" t="s">
        <v>54</v>
      </c>
      <c r="B65" s="313" t="s">
        <v>100</v>
      </c>
      <c r="C65" s="313" t="n">
        <v>3132846</v>
      </c>
      <c r="D65" s="313" t="s">
        <v>216</v>
      </c>
      <c r="E65" s="313" t="s">
        <v>283</v>
      </c>
      <c r="F65" s="313" t="s">
        <v>1254</v>
      </c>
      <c r="G65" s="313" t="s">
        <v>43</v>
      </c>
      <c r="H65" s="313" t="s">
        <v>31</v>
      </c>
      <c r="I65" s="313" t="s">
        <v>58</v>
      </c>
      <c r="J65" s="313" t="s">
        <v>59</v>
      </c>
      <c r="Q65" s="313" t="n">
        <v>30</v>
      </c>
    </row>
    <row r="66" s="313" customFormat="1" ht="26.25" customHeight="1" hidden="1">
      <c r="A66" s="313" t="s">
        <v>54</v>
      </c>
      <c r="B66" s="313" t="s">
        <v>100</v>
      </c>
      <c r="C66" s="313" t="n">
        <v>3132846</v>
      </c>
      <c r="D66" s="313" t="s">
        <v>216</v>
      </c>
      <c r="E66" s="313" t="s">
        <v>283</v>
      </c>
      <c r="F66" s="313" t="s">
        <v>1222</v>
      </c>
      <c r="G66" s="313" t="s">
        <v>43</v>
      </c>
      <c r="H66" s="313" t="s">
        <v>31</v>
      </c>
      <c r="I66" s="313" t="s">
        <v>58</v>
      </c>
      <c r="J66" s="313" t="s">
        <v>59</v>
      </c>
      <c r="Q66" s="313" t="n">
        <v>38</v>
      </c>
    </row>
    <row r="67" s="313" customFormat="1" ht="26.25" customHeight="1" hidden="1">
      <c r="A67" s="313" t="s">
        <v>54</v>
      </c>
      <c r="B67" s="313" t="s">
        <v>100</v>
      </c>
      <c r="C67" s="313" t="n">
        <v>3132846</v>
      </c>
      <c r="D67" s="313" t="s">
        <v>216</v>
      </c>
      <c r="E67" s="313" t="s">
        <v>283</v>
      </c>
      <c r="F67" s="313" t="s">
        <v>1216</v>
      </c>
      <c r="G67" s="313" t="s">
        <v>43</v>
      </c>
      <c r="H67" s="313" t="s">
        <v>31</v>
      </c>
      <c r="I67" s="313" t="s">
        <v>58</v>
      </c>
      <c r="J67" s="313" t="s">
        <v>1217</v>
      </c>
      <c r="K67" s="313" t="s">
        <v>3498</v>
      </c>
      <c r="L67" s="313" t="s">
        <v>1584</v>
      </c>
      <c r="O67" s="313" t="s">
        <v>1420</v>
      </c>
      <c r="T67" s="313" t="s">
        <v>217</v>
      </c>
      <c r="U67" s="313" t="s">
        <v>217</v>
      </c>
    </row>
    <row r="68" s="313" customFormat="1" ht="26.25" customHeight="1" hidden="1">
      <c r="A68" s="313" t="s">
        <v>54</v>
      </c>
      <c r="B68" s="313" t="s">
        <v>100</v>
      </c>
      <c r="C68" s="313" t="n">
        <v>3132846</v>
      </c>
      <c r="D68" s="313" t="s">
        <v>216</v>
      </c>
      <c r="E68" s="313" t="s">
        <v>283</v>
      </c>
      <c r="F68" s="313" t="s">
        <v>1201</v>
      </c>
      <c r="G68" s="313" t="s">
        <v>43</v>
      </c>
      <c r="H68" s="313" t="s">
        <v>31</v>
      </c>
      <c r="I68" s="313" t="s">
        <v>58</v>
      </c>
      <c r="J68" s="313" t="s">
        <v>59</v>
      </c>
    </row>
    <row r="69" s="313" customFormat="1" ht="26.25" customHeight="1" hidden="1">
      <c r="A69" s="313" t="s">
        <v>54</v>
      </c>
      <c r="B69" s="313" t="s">
        <v>100</v>
      </c>
      <c r="C69" s="313" t="n">
        <v>3132846</v>
      </c>
      <c r="D69" s="313" t="s">
        <v>216</v>
      </c>
      <c r="E69" s="313" t="s">
        <v>283</v>
      </c>
      <c r="F69" s="313" t="s">
        <v>1174</v>
      </c>
      <c r="G69" s="313" t="s">
        <v>43</v>
      </c>
      <c r="H69" s="313" t="s">
        <v>31</v>
      </c>
      <c r="I69" s="313" t="s">
        <v>58</v>
      </c>
      <c r="J69" s="313" t="s">
        <v>50</v>
      </c>
    </row>
    <row r="70" s="313" customFormat="1" ht="26.25" customHeight="1">
      <c r="A70" s="313" t="s">
        <v>54</v>
      </c>
      <c r="B70" s="313" t="s">
        <v>100</v>
      </c>
      <c r="C70" s="313" t="n">
        <v>3132846</v>
      </c>
      <c r="D70" s="313" t="s">
        <v>216</v>
      </c>
      <c r="E70" s="313" t="s">
        <v>283</v>
      </c>
      <c r="F70" s="313" t="s">
        <v>1255</v>
      </c>
      <c r="G70" s="313" t="s">
        <v>43</v>
      </c>
      <c r="H70" s="313" t="s">
        <v>31</v>
      </c>
      <c r="I70" s="313" t="s">
        <v>58</v>
      </c>
      <c r="J70" s="313" t="s">
        <v>38</v>
      </c>
      <c r="Q70" s="313" t="n">
        <v>30</v>
      </c>
    </row>
    <row r="71" s="313" customFormat="1" ht="26.25" customHeight="1" hidden="1">
      <c r="A71" s="313" t="s">
        <v>54</v>
      </c>
      <c r="B71" s="313" t="s">
        <v>100</v>
      </c>
      <c r="C71" s="313" t="n">
        <v>3132846</v>
      </c>
      <c r="D71" s="313" t="s">
        <v>216</v>
      </c>
      <c r="E71" s="313" t="s">
        <v>283</v>
      </c>
      <c r="F71" s="313" t="s">
        <v>1208</v>
      </c>
      <c r="G71" s="313" t="s">
        <v>43</v>
      </c>
      <c r="H71" s="313" t="s">
        <v>31</v>
      </c>
      <c r="I71" s="313" t="s">
        <v>58</v>
      </c>
      <c r="J71" s="313" t="s">
        <v>59</v>
      </c>
      <c r="Q71" s="313" t="n">
        <v>45</v>
      </c>
    </row>
    <row r="72" s="313" customFormat="1" ht="26.25" customHeight="1" hidden="1">
      <c r="A72" s="313" t="s">
        <v>54</v>
      </c>
      <c r="B72" s="313" t="s">
        <v>100</v>
      </c>
      <c r="C72" s="313" t="n">
        <v>3132846</v>
      </c>
      <c r="D72" s="313" t="s">
        <v>216</v>
      </c>
      <c r="E72" s="313" t="s">
        <v>283</v>
      </c>
      <c r="F72" s="313" t="s">
        <v>1304</v>
      </c>
      <c r="G72" s="313" t="s">
        <v>43</v>
      </c>
      <c r="H72" s="313" t="s">
        <v>31</v>
      </c>
      <c r="I72" s="313" t="s">
        <v>58</v>
      </c>
      <c r="J72" s="313" t="s">
        <v>59</v>
      </c>
      <c r="O72" s="313" t="s">
        <v>2492</v>
      </c>
      <c r="Q72" s="313" t="n">
        <v>51</v>
      </c>
    </row>
    <row r="73" s="313" customFormat="1" ht="26.25" customHeight="1" hidden="1">
      <c r="A73" s="313" t="s">
        <v>54</v>
      </c>
      <c r="B73" s="313" t="s">
        <v>100</v>
      </c>
      <c r="C73" s="313" t="n">
        <v>3132846</v>
      </c>
      <c r="D73" s="313" t="s">
        <v>216</v>
      </c>
      <c r="E73" s="313" t="s">
        <v>283</v>
      </c>
      <c r="F73" s="313" t="s">
        <v>1295</v>
      </c>
      <c r="G73" s="313" t="s">
        <v>43</v>
      </c>
      <c r="H73" s="313" t="s">
        <v>31</v>
      </c>
      <c r="I73" s="313" t="s">
        <v>58</v>
      </c>
      <c r="J73" s="313" t="s">
        <v>59</v>
      </c>
    </row>
    <row r="74" s="313" customFormat="1" ht="26.25" customHeight="1" hidden="1">
      <c r="A74" s="313" t="s">
        <v>54</v>
      </c>
      <c r="B74" s="313" t="s">
        <v>100</v>
      </c>
      <c r="C74" s="313" t="n">
        <v>3132846</v>
      </c>
      <c r="D74" s="313" t="s">
        <v>216</v>
      </c>
      <c r="E74" s="313" t="s">
        <v>283</v>
      </c>
      <c r="F74" s="313" t="s">
        <v>2497</v>
      </c>
      <c r="G74" s="313" t="s">
        <v>43</v>
      </c>
      <c r="H74" s="313" t="s">
        <v>31</v>
      </c>
      <c r="I74" s="313" t="s">
        <v>58</v>
      </c>
      <c r="J74" s="313" t="s">
        <v>55</v>
      </c>
    </row>
    <row r="75" s="313" customFormat="1" ht="26.25" customHeight="1" hidden="1">
      <c r="A75" s="313" t="s">
        <v>54</v>
      </c>
      <c r="B75" s="313" t="s">
        <v>100</v>
      </c>
      <c r="C75" s="313" t="n">
        <v>3132846</v>
      </c>
      <c r="D75" s="313" t="s">
        <v>216</v>
      </c>
      <c r="E75" s="313" t="s">
        <v>283</v>
      </c>
      <c r="F75" s="313" t="s">
        <v>1258</v>
      </c>
      <c r="G75" s="313" t="s">
        <v>43</v>
      </c>
      <c r="H75" s="313" t="s">
        <v>31</v>
      </c>
      <c r="I75" s="313" t="s">
        <v>58</v>
      </c>
      <c r="J75" s="313" t="s">
        <v>57</v>
      </c>
      <c r="O75" s="313" t="s">
        <v>2498</v>
      </c>
      <c r="Q75" s="313" t="n">
        <v>40</v>
      </c>
    </row>
    <row r="76" s="313" customFormat="1" ht="26.25" customHeight="1" hidden="1">
      <c r="A76" s="313" t="s">
        <v>54</v>
      </c>
      <c r="B76" s="313" t="s">
        <v>100</v>
      </c>
      <c r="C76" s="313" t="n">
        <v>3132846</v>
      </c>
      <c r="D76" s="313" t="s">
        <v>216</v>
      </c>
      <c r="E76" s="313" t="s">
        <v>283</v>
      </c>
      <c r="F76" s="313" t="s">
        <v>1045</v>
      </c>
      <c r="G76" s="313" t="s">
        <v>43</v>
      </c>
      <c r="H76" s="313" t="s">
        <v>31</v>
      </c>
      <c r="I76" s="313" t="s">
        <v>56</v>
      </c>
      <c r="J76" s="313" t="s">
        <v>57</v>
      </c>
      <c r="P76" s="313" t="n">
        <v>95</v>
      </c>
      <c r="T76" s="313" t="s">
        <v>217</v>
      </c>
      <c r="V76" s="313" t="s">
        <v>217</v>
      </c>
      <c r="W76" s="313" t="s">
        <v>217</v>
      </c>
    </row>
    <row r="77" s="313" customFormat="1" ht="26.25" customHeight="1" hidden="1">
      <c r="A77" s="313" t="s">
        <v>54</v>
      </c>
      <c r="B77" s="313" t="s">
        <v>100</v>
      </c>
      <c r="C77" s="313" t="n">
        <v>3132846</v>
      </c>
      <c r="D77" s="313" t="s">
        <v>216</v>
      </c>
      <c r="E77" s="313" t="s">
        <v>283</v>
      </c>
      <c r="F77" s="313" t="s">
        <v>1043</v>
      </c>
      <c r="G77" s="313" t="s">
        <v>43</v>
      </c>
      <c r="H77" s="313" t="s">
        <v>31</v>
      </c>
      <c r="I77" s="313" t="s">
        <v>58</v>
      </c>
      <c r="J77" s="313" t="s">
        <v>59</v>
      </c>
    </row>
    <row r="78" s="313" customFormat="1" ht="26.25" customHeight="1" hidden="1">
      <c r="A78" s="313" t="s">
        <v>54</v>
      </c>
      <c r="B78" s="313" t="s">
        <v>100</v>
      </c>
      <c r="C78" s="313" t="n">
        <v>3132846</v>
      </c>
      <c r="D78" s="313" t="s">
        <v>216</v>
      </c>
      <c r="E78" s="313" t="s">
        <v>283</v>
      </c>
      <c r="F78" s="313" t="s">
        <v>1265</v>
      </c>
      <c r="G78" s="313" t="s">
        <v>43</v>
      </c>
      <c r="J78" s="313" t="s">
        <v>1266</v>
      </c>
      <c r="O78" s="313" t="s">
        <v>1420</v>
      </c>
      <c r="T78" s="313" t="s">
        <v>217</v>
      </c>
      <c r="U78" s="313" t="s">
        <v>217</v>
      </c>
    </row>
    <row r="79" s="313" customFormat="1" ht="26.25" customHeight="1" hidden="1">
      <c r="A79" s="313" t="s">
        <v>54</v>
      </c>
      <c r="B79" s="313" t="s">
        <v>100</v>
      </c>
      <c r="C79" s="313" t="n">
        <v>3132846</v>
      </c>
      <c r="D79" s="313" t="s">
        <v>216</v>
      </c>
      <c r="E79" s="313" t="s">
        <v>283</v>
      </c>
      <c r="F79" s="313" t="s">
        <v>1099</v>
      </c>
      <c r="G79" s="313" t="s">
        <v>43</v>
      </c>
      <c r="I79" s="313" t="s">
        <v>58</v>
      </c>
      <c r="J79" s="313" t="s">
        <v>55</v>
      </c>
    </row>
    <row r="80" s="313" customFormat="1" ht="26.25" customHeight="1" hidden="1">
      <c r="A80" s="313" t="s">
        <v>54</v>
      </c>
      <c r="B80" s="313" t="s">
        <v>100</v>
      </c>
      <c r="C80" s="313" t="n">
        <v>3132846</v>
      </c>
      <c r="D80" s="313" t="s">
        <v>216</v>
      </c>
      <c r="E80" s="313" t="s">
        <v>283</v>
      </c>
      <c r="F80" s="313" t="s">
        <v>1283</v>
      </c>
      <c r="G80" s="313" t="s">
        <v>43</v>
      </c>
      <c r="O80" s="313" t="s">
        <v>1420</v>
      </c>
      <c r="T80" s="313" t="s">
        <v>217</v>
      </c>
      <c r="U80" s="313" t="s">
        <v>217</v>
      </c>
    </row>
    <row r="81" s="313" customFormat="1" ht="26.25" customHeight="1" hidden="1">
      <c r="A81" s="313" t="s">
        <v>54</v>
      </c>
      <c r="B81" s="313" t="s">
        <v>100</v>
      </c>
      <c r="C81" s="313" t="n">
        <v>3132846</v>
      </c>
      <c r="D81" s="313" t="s">
        <v>216</v>
      </c>
      <c r="E81" s="313" t="s">
        <v>283</v>
      </c>
      <c r="F81" s="313" t="s">
        <v>1195</v>
      </c>
      <c r="G81" s="313" t="s">
        <v>43</v>
      </c>
      <c r="H81" s="313" t="s">
        <v>31</v>
      </c>
      <c r="I81" s="313" t="s">
        <v>58</v>
      </c>
      <c r="J81" s="313" t="s">
        <v>38</v>
      </c>
      <c r="O81" s="313" t="s">
        <v>1420</v>
      </c>
      <c r="Q81" s="313" t="n">
        <v>27</v>
      </c>
      <c r="T81" s="313" t="s">
        <v>217</v>
      </c>
      <c r="U81" s="313" t="s">
        <v>217</v>
      </c>
    </row>
    <row r="82" s="313" customFormat="1" ht="26.25" customHeight="1" hidden="1">
      <c r="A82" s="313" t="s">
        <v>54</v>
      </c>
      <c r="B82" s="313" t="s">
        <v>100</v>
      </c>
      <c r="C82" s="313" t="n">
        <v>3132846</v>
      </c>
      <c r="D82" s="313" t="s">
        <v>216</v>
      </c>
      <c r="E82" s="313" t="s">
        <v>283</v>
      </c>
      <c r="F82" s="313" t="s">
        <v>1230</v>
      </c>
      <c r="G82" s="313" t="s">
        <v>43</v>
      </c>
      <c r="I82" s="313" t="s">
        <v>58</v>
      </c>
      <c r="J82" s="313" t="s">
        <v>55</v>
      </c>
    </row>
    <row r="83" s="313" customFormat="1" ht="26.25" customHeight="1" hidden="1">
      <c r="A83" s="313" t="s">
        <v>54</v>
      </c>
      <c r="B83" s="313" t="s">
        <v>100</v>
      </c>
      <c r="C83" s="313" t="n">
        <v>3132846</v>
      </c>
      <c r="D83" s="313" t="s">
        <v>216</v>
      </c>
      <c r="E83" s="313" t="s">
        <v>283</v>
      </c>
      <c r="F83" s="313" t="s">
        <v>1113</v>
      </c>
      <c r="G83" s="313" t="s">
        <v>43</v>
      </c>
      <c r="H83" s="313" t="s">
        <v>31</v>
      </c>
      <c r="I83" s="313" t="s">
        <v>58</v>
      </c>
      <c r="J83" s="313" t="s">
        <v>59</v>
      </c>
    </row>
    <row r="84" s="313" customFormat="1" ht="26.25" customHeight="1">
      <c r="A84" s="313" t="s">
        <v>54</v>
      </c>
      <c r="B84" s="313" t="s">
        <v>100</v>
      </c>
      <c r="C84" s="313" t="n">
        <v>3132846</v>
      </c>
      <c r="D84" s="313" t="s">
        <v>216</v>
      </c>
      <c r="E84" s="313" t="s">
        <v>283</v>
      </c>
      <c r="F84" s="313" t="s">
        <v>1334</v>
      </c>
      <c r="G84" s="313" t="s">
        <v>43</v>
      </c>
      <c r="H84" s="313" t="s">
        <v>31</v>
      </c>
      <c r="I84" s="313" t="s">
        <v>58</v>
      </c>
      <c r="J84" s="313" t="s">
        <v>57</v>
      </c>
      <c r="M84" s="313" t="s">
        <v>3499</v>
      </c>
      <c r="N84" s="313" t="s">
        <v>3500</v>
      </c>
      <c r="O84" s="313" t="s">
        <v>3501</v>
      </c>
      <c r="P84" s="313" t="s">
        <v>2813</v>
      </c>
      <c r="Q84" s="313" t="n">
        <v>20</v>
      </c>
    </row>
    <row r="85" s="313" customFormat="1" ht="26.25" customHeight="1">
      <c r="A85" s="313" t="s">
        <v>54</v>
      </c>
      <c r="B85" s="313" t="s">
        <v>100</v>
      </c>
      <c r="C85" s="313" t="n">
        <v>3132846</v>
      </c>
      <c r="D85" s="313" t="s">
        <v>216</v>
      </c>
      <c r="E85" s="313" t="s">
        <v>283</v>
      </c>
      <c r="F85" s="313" t="s">
        <v>837</v>
      </c>
      <c r="G85" s="313" t="s">
        <v>43</v>
      </c>
      <c r="H85" s="313" t="s">
        <v>35</v>
      </c>
      <c r="I85" s="313" t="s">
        <v>56</v>
      </c>
      <c r="J85" s="313" t="s">
        <v>55</v>
      </c>
      <c r="O85" s="313" t="s">
        <v>1269</v>
      </c>
      <c r="Q85" s="313" t="n">
        <v>22</v>
      </c>
    </row>
    <row r="86" s="313" customFormat="1" ht="26.25" customHeight="1" hidden="1">
      <c r="A86" s="313" t="s">
        <v>54</v>
      </c>
      <c r="B86" s="313" t="s">
        <v>100</v>
      </c>
      <c r="C86" s="313" t="n">
        <v>4513342</v>
      </c>
      <c r="D86" s="313" t="s">
        <v>215</v>
      </c>
      <c r="E86" s="313" t="s">
        <v>283</v>
      </c>
      <c r="F86" s="313" t="s">
        <v>967</v>
      </c>
      <c r="G86" s="313" t="s">
        <v>43</v>
      </c>
      <c r="H86" s="313" t="s">
        <v>37</v>
      </c>
      <c r="I86" s="313" t="s">
        <v>58</v>
      </c>
      <c r="J86" s="313" t="s">
        <v>59</v>
      </c>
    </row>
    <row r="87" s="313" customFormat="1" ht="26.25" customHeight="1" hidden="1">
      <c r="A87" s="313" t="s">
        <v>54</v>
      </c>
      <c r="B87" s="313" t="s">
        <v>100</v>
      </c>
      <c r="C87" s="313" t="n">
        <v>4513342</v>
      </c>
      <c r="D87" s="313" t="s">
        <v>215</v>
      </c>
      <c r="E87" s="313" t="s">
        <v>283</v>
      </c>
      <c r="F87" s="313" t="s">
        <v>1095</v>
      </c>
      <c r="G87" s="313" t="s">
        <v>43</v>
      </c>
      <c r="H87" s="313" t="s">
        <v>37</v>
      </c>
      <c r="I87" s="313" t="s">
        <v>58</v>
      </c>
      <c r="J87" s="313" t="s">
        <v>59</v>
      </c>
    </row>
    <row r="88" s="313" customFormat="1" ht="26.25" customHeight="1" hidden="1">
      <c r="A88" s="313" t="s">
        <v>54</v>
      </c>
      <c r="B88" s="313" t="s">
        <v>100</v>
      </c>
      <c r="C88" s="313" t="n">
        <v>4513342</v>
      </c>
      <c r="D88" s="313" t="s">
        <v>215</v>
      </c>
      <c r="E88" s="313" t="s">
        <v>283</v>
      </c>
      <c r="F88" s="313" t="s">
        <v>1066</v>
      </c>
      <c r="G88" s="313" t="s">
        <v>43</v>
      </c>
      <c r="H88" s="313" t="s">
        <v>37</v>
      </c>
      <c r="I88" s="313" t="s">
        <v>58</v>
      </c>
      <c r="J88" s="313" t="s">
        <v>59</v>
      </c>
      <c r="T88" s="313" t="s">
        <v>217</v>
      </c>
    </row>
    <row r="89" s="313" customFormat="1" ht="26.25" customHeight="1" hidden="1">
      <c r="A89" s="313" t="s">
        <v>54</v>
      </c>
      <c r="B89" s="313" t="s">
        <v>100</v>
      </c>
      <c r="C89" s="313" t="n">
        <v>4513342</v>
      </c>
      <c r="D89" s="313" t="s">
        <v>215</v>
      </c>
      <c r="E89" s="313" t="s">
        <v>283</v>
      </c>
      <c r="F89" s="313" t="s">
        <v>1288</v>
      </c>
      <c r="G89" s="313" t="s">
        <v>43</v>
      </c>
      <c r="H89" s="313" t="s">
        <v>37</v>
      </c>
      <c r="I89" s="313" t="s">
        <v>58</v>
      </c>
      <c r="J89" s="313" t="s">
        <v>55</v>
      </c>
      <c r="Q89" s="313" t="n">
        <v>32</v>
      </c>
      <c r="T89" s="313" t="s">
        <v>217</v>
      </c>
    </row>
    <row r="90" s="313" customFormat="1" ht="26.25" customHeight="1" hidden="1">
      <c r="A90" s="313" t="s">
        <v>54</v>
      </c>
      <c r="B90" s="313" t="s">
        <v>100</v>
      </c>
      <c r="C90" s="313" t="n">
        <v>4513342</v>
      </c>
      <c r="D90" s="313" t="s">
        <v>215</v>
      </c>
      <c r="E90" s="313" t="s">
        <v>283</v>
      </c>
      <c r="F90" s="313" t="s">
        <v>1184</v>
      </c>
      <c r="G90" s="313" t="s">
        <v>43</v>
      </c>
      <c r="H90" s="313" t="s">
        <v>37</v>
      </c>
      <c r="I90" s="313" t="s">
        <v>58</v>
      </c>
      <c r="J90" s="313" t="s">
        <v>38</v>
      </c>
      <c r="T90" s="313" t="s">
        <v>217</v>
      </c>
    </row>
    <row r="91" s="313" customFormat="1" ht="26.25" customHeight="1" hidden="1">
      <c r="A91" s="313" t="s">
        <v>54</v>
      </c>
      <c r="B91" s="313" t="s">
        <v>100</v>
      </c>
      <c r="C91" s="313" t="n">
        <v>4513342</v>
      </c>
      <c r="D91" s="313" t="s">
        <v>215</v>
      </c>
      <c r="E91" s="313" t="s">
        <v>283</v>
      </c>
      <c r="F91" s="313" t="s">
        <v>1287</v>
      </c>
      <c r="G91" s="313" t="s">
        <v>43</v>
      </c>
      <c r="O91" s="313" t="s">
        <v>1420</v>
      </c>
      <c r="T91" s="313" t="s">
        <v>217</v>
      </c>
      <c r="U91" s="313" t="s">
        <v>217</v>
      </c>
    </row>
    <row r="92" s="313" customFormat="1" ht="26.25" customHeight="1" hidden="1">
      <c r="A92" s="313" t="s">
        <v>54</v>
      </c>
      <c r="B92" s="313" t="s">
        <v>100</v>
      </c>
      <c r="C92" s="313" t="n">
        <v>4513342</v>
      </c>
      <c r="D92" s="313" t="s">
        <v>215</v>
      </c>
      <c r="E92" s="313" t="s">
        <v>283</v>
      </c>
      <c r="F92" s="313" t="s">
        <v>1249</v>
      </c>
      <c r="G92" s="313" t="s">
        <v>43</v>
      </c>
      <c r="H92" s="313" t="s">
        <v>37</v>
      </c>
      <c r="J92" s="313" t="s">
        <v>57</v>
      </c>
    </row>
    <row r="93" s="313" customFormat="1" ht="26.25" customHeight="1" hidden="1">
      <c r="A93" s="313" t="s">
        <v>54</v>
      </c>
      <c r="B93" s="313" t="s">
        <v>100</v>
      </c>
      <c r="C93" s="313" t="n">
        <v>4513342</v>
      </c>
      <c r="D93" s="313" t="s">
        <v>215</v>
      </c>
      <c r="E93" s="313" t="s">
        <v>283</v>
      </c>
      <c r="F93" s="313" t="s">
        <v>1017</v>
      </c>
      <c r="G93" s="313" t="s">
        <v>43</v>
      </c>
      <c r="H93" s="313" t="s">
        <v>37</v>
      </c>
      <c r="I93" s="313" t="s">
        <v>58</v>
      </c>
      <c r="J93" s="313" t="s">
        <v>38</v>
      </c>
    </row>
    <row r="94" s="313" customFormat="1" ht="26.25" customHeight="1" hidden="1">
      <c r="A94" s="313" t="s">
        <v>54</v>
      </c>
      <c r="B94" s="313" t="s">
        <v>100</v>
      </c>
      <c r="C94" s="313" t="n">
        <v>4513342</v>
      </c>
      <c r="D94" s="313" t="s">
        <v>215</v>
      </c>
      <c r="E94" s="313" t="s">
        <v>283</v>
      </c>
      <c r="F94" s="313" t="s">
        <v>1064</v>
      </c>
      <c r="G94" s="313" t="s">
        <v>43</v>
      </c>
      <c r="H94" s="313" t="s">
        <v>37</v>
      </c>
      <c r="I94" s="313" t="s">
        <v>58</v>
      </c>
      <c r="J94" s="313" t="s">
        <v>57</v>
      </c>
    </row>
    <row r="95" s="313" customFormat="1" ht="26.25" customHeight="1" hidden="1">
      <c r="A95" s="313" t="s">
        <v>54</v>
      </c>
      <c r="B95" s="313" t="s">
        <v>100</v>
      </c>
      <c r="C95" s="313" t="n">
        <v>4513342</v>
      </c>
      <c r="D95" s="313" t="s">
        <v>215</v>
      </c>
      <c r="E95" s="313" t="s">
        <v>283</v>
      </c>
      <c r="F95" s="313" t="s">
        <v>1065</v>
      </c>
      <c r="G95" s="313" t="s">
        <v>43</v>
      </c>
      <c r="H95" s="313" t="s">
        <v>37</v>
      </c>
      <c r="I95" s="313" t="s">
        <v>58</v>
      </c>
      <c r="J95" s="313" t="s">
        <v>50</v>
      </c>
    </row>
    <row r="96" s="313" customFormat="1" ht="26.25" customHeight="1" hidden="1">
      <c r="A96" s="313" t="s">
        <v>54</v>
      </c>
      <c r="B96" s="313" t="s">
        <v>100</v>
      </c>
      <c r="C96" s="313" t="n">
        <v>4513342</v>
      </c>
      <c r="D96" s="313" t="s">
        <v>215</v>
      </c>
      <c r="E96" s="313" t="s">
        <v>283</v>
      </c>
      <c r="F96" s="313" t="s">
        <v>1109</v>
      </c>
      <c r="G96" s="313" t="s">
        <v>43</v>
      </c>
      <c r="H96" s="313" t="s">
        <v>37</v>
      </c>
      <c r="I96" s="313" t="s">
        <v>58</v>
      </c>
      <c r="J96" s="313" t="s">
        <v>57</v>
      </c>
      <c r="Q96" s="313" t="n">
        <v>32</v>
      </c>
    </row>
    <row r="97" s="313" customFormat="1" ht="26.25" customHeight="1" hidden="1">
      <c r="A97" s="313" t="s">
        <v>54</v>
      </c>
      <c r="B97" s="313" t="s">
        <v>100</v>
      </c>
      <c r="C97" s="313" t="n">
        <v>4513342</v>
      </c>
      <c r="D97" s="313" t="s">
        <v>215</v>
      </c>
      <c r="E97" s="313" t="s">
        <v>283</v>
      </c>
      <c r="F97" s="313" t="s">
        <v>1223</v>
      </c>
      <c r="G97" s="313" t="s">
        <v>43</v>
      </c>
      <c r="H97" s="313" t="s">
        <v>37</v>
      </c>
      <c r="I97" s="313" t="s">
        <v>58</v>
      </c>
      <c r="J97" s="313" t="s">
        <v>55</v>
      </c>
    </row>
    <row r="98" s="313" customFormat="1" ht="26.25" customHeight="1" hidden="1">
      <c r="A98" s="313" t="s">
        <v>54</v>
      </c>
      <c r="B98" s="313" t="s">
        <v>100</v>
      </c>
      <c r="C98" s="313" t="n">
        <v>4513342</v>
      </c>
      <c r="D98" s="313" t="s">
        <v>215</v>
      </c>
      <c r="E98" s="313" t="s">
        <v>283</v>
      </c>
      <c r="F98" s="313" t="s">
        <v>1077</v>
      </c>
      <c r="G98" s="313" t="s">
        <v>43</v>
      </c>
      <c r="H98" s="313" t="s">
        <v>37</v>
      </c>
      <c r="I98" s="313" t="s">
        <v>58</v>
      </c>
      <c r="J98" s="313" t="s">
        <v>36</v>
      </c>
    </row>
    <row r="99" s="313" customFormat="1" ht="26.25" customHeight="1" hidden="1">
      <c r="A99" s="313" t="s">
        <v>54</v>
      </c>
      <c r="B99" s="313" t="s">
        <v>100</v>
      </c>
      <c r="C99" s="313" t="n">
        <v>4513342</v>
      </c>
      <c r="D99" s="313" t="s">
        <v>215</v>
      </c>
      <c r="E99" s="313" t="s">
        <v>283</v>
      </c>
      <c r="F99" s="313" t="s">
        <v>1096</v>
      </c>
      <c r="G99" s="313" t="s">
        <v>43</v>
      </c>
      <c r="H99" s="313" t="s">
        <v>37</v>
      </c>
      <c r="I99" s="313" t="s">
        <v>58</v>
      </c>
      <c r="J99" s="313" t="s">
        <v>57</v>
      </c>
    </row>
    <row r="100" s="313" customFormat="1" ht="26.25" customHeight="1" hidden="1">
      <c r="A100" s="313" t="s">
        <v>54</v>
      </c>
      <c r="B100" s="313" t="s">
        <v>100</v>
      </c>
      <c r="C100" s="313" t="n">
        <v>4513342</v>
      </c>
      <c r="D100" s="313" t="s">
        <v>215</v>
      </c>
      <c r="E100" s="313" t="s">
        <v>283</v>
      </c>
      <c r="F100" s="313" t="s">
        <v>1067</v>
      </c>
      <c r="G100" s="313" t="s">
        <v>43</v>
      </c>
      <c r="H100" s="313" t="s">
        <v>37</v>
      </c>
      <c r="I100" s="313" t="s">
        <v>58</v>
      </c>
      <c r="J100" s="313" t="s">
        <v>59</v>
      </c>
    </row>
    <row r="101" s="313" customFormat="1" ht="26.25" customHeight="1" hidden="1">
      <c r="A101" s="313" t="s">
        <v>54</v>
      </c>
      <c r="B101" s="313" t="s">
        <v>100</v>
      </c>
      <c r="C101" s="313" t="n">
        <v>4513342</v>
      </c>
      <c r="D101" s="313" t="s">
        <v>215</v>
      </c>
      <c r="E101" s="313" t="s">
        <v>283</v>
      </c>
      <c r="F101" s="313" t="s">
        <v>1073</v>
      </c>
      <c r="G101" s="313" t="s">
        <v>43</v>
      </c>
      <c r="H101" s="313" t="s">
        <v>37</v>
      </c>
      <c r="I101" s="313" t="s">
        <v>56</v>
      </c>
      <c r="J101" s="313" t="s">
        <v>59</v>
      </c>
      <c r="Q101" s="313" t="n">
        <v>21</v>
      </c>
    </row>
    <row r="102" s="313" customFormat="1" ht="26.25" customHeight="1" hidden="1">
      <c r="A102" s="313" t="s">
        <v>54</v>
      </c>
      <c r="B102" s="313" t="s">
        <v>100</v>
      </c>
      <c r="C102" s="313" t="n">
        <v>4513342</v>
      </c>
      <c r="D102" s="313" t="s">
        <v>215</v>
      </c>
      <c r="E102" s="313" t="s">
        <v>283</v>
      </c>
      <c r="F102" s="313" t="s">
        <v>1259</v>
      </c>
      <c r="G102" s="313" t="s">
        <v>43</v>
      </c>
      <c r="O102" s="313" t="s">
        <v>1420</v>
      </c>
      <c r="T102" s="313" t="s">
        <v>217</v>
      </c>
      <c r="U102" s="313" t="s">
        <v>217</v>
      </c>
    </row>
    <row r="103" s="313" customFormat="1" ht="26.25" customHeight="1" hidden="1">
      <c r="A103" s="313" t="s">
        <v>54</v>
      </c>
      <c r="B103" s="313" t="s">
        <v>100</v>
      </c>
      <c r="C103" s="313" t="n">
        <v>4513342</v>
      </c>
      <c r="D103" s="313" t="s">
        <v>215</v>
      </c>
      <c r="E103" s="313" t="s">
        <v>283</v>
      </c>
      <c r="F103" s="313" t="s">
        <v>1108</v>
      </c>
      <c r="G103" s="313" t="s">
        <v>43</v>
      </c>
      <c r="J103" s="313" t="s">
        <v>59</v>
      </c>
    </row>
    <row r="104" s="313" customFormat="1" ht="26.25" customHeight="1" hidden="1">
      <c r="A104" s="313" t="s">
        <v>54</v>
      </c>
      <c r="B104" s="313" t="s">
        <v>100</v>
      </c>
      <c r="C104" s="313" t="n">
        <v>4513342</v>
      </c>
      <c r="D104" s="313" t="s">
        <v>215</v>
      </c>
      <c r="E104" s="313" t="s">
        <v>283</v>
      </c>
      <c r="F104" s="313" t="s">
        <v>1068</v>
      </c>
      <c r="G104" s="313" t="s">
        <v>43</v>
      </c>
      <c r="H104" s="313" t="s">
        <v>37</v>
      </c>
      <c r="I104" s="313" t="s">
        <v>58</v>
      </c>
      <c r="J104" s="313" t="s">
        <v>55</v>
      </c>
    </row>
    <row r="105" s="313" customFormat="1" ht="26.25" customHeight="1">
      <c r="A105" s="313" t="s">
        <v>54</v>
      </c>
      <c r="B105" s="313" t="s">
        <v>100</v>
      </c>
      <c r="C105" s="313" t="n">
        <v>4513342</v>
      </c>
      <c r="D105" s="313" t="s">
        <v>215</v>
      </c>
      <c r="E105" s="313" t="s">
        <v>283</v>
      </c>
      <c r="F105" s="313" t="s">
        <v>1102</v>
      </c>
      <c r="G105" s="313" t="s">
        <v>43</v>
      </c>
      <c r="H105" s="313" t="s">
        <v>37</v>
      </c>
      <c r="I105" s="313" t="s">
        <v>58</v>
      </c>
      <c r="J105" s="313" t="s">
        <v>48</v>
      </c>
    </row>
    <row r="106" s="313" customFormat="1" ht="26.25" customHeight="1">
      <c r="A106" s="313" t="s">
        <v>54</v>
      </c>
      <c r="B106" s="313" t="s">
        <v>100</v>
      </c>
      <c r="C106" s="313" t="n">
        <v>4513342</v>
      </c>
      <c r="D106" s="313" t="s">
        <v>215</v>
      </c>
      <c r="E106" s="313" t="s">
        <v>283</v>
      </c>
      <c r="F106" s="313" t="s">
        <v>1121</v>
      </c>
      <c r="G106" s="313" t="s">
        <v>43</v>
      </c>
      <c r="H106" s="313" t="s">
        <v>37</v>
      </c>
      <c r="J106" s="313" t="s">
        <v>55</v>
      </c>
    </row>
    <row r="107" s="313" customFormat="1" ht="26.25" customHeight="1" hidden="1">
      <c r="A107" s="313" t="s">
        <v>54</v>
      </c>
      <c r="B107" s="313" t="s">
        <v>100</v>
      </c>
      <c r="C107" s="313" t="n">
        <v>4513342</v>
      </c>
      <c r="D107" s="313" t="s">
        <v>215</v>
      </c>
      <c r="E107" s="313" t="s">
        <v>283</v>
      </c>
      <c r="F107" s="313" t="s">
        <v>1264</v>
      </c>
      <c r="G107" s="313" t="s">
        <v>43</v>
      </c>
      <c r="H107" s="313" t="s">
        <v>37</v>
      </c>
      <c r="I107" s="313" t="s">
        <v>58</v>
      </c>
      <c r="J107" s="313" t="s">
        <v>48</v>
      </c>
    </row>
    <row r="108" s="313" customFormat="1" ht="26.25" customHeight="1" hidden="1">
      <c r="A108" s="313" t="s">
        <v>54</v>
      </c>
      <c r="B108" s="313" t="s">
        <v>100</v>
      </c>
      <c r="C108" s="313" t="n">
        <v>4513342</v>
      </c>
      <c r="D108" s="313" t="s">
        <v>215</v>
      </c>
      <c r="E108" s="313" t="s">
        <v>283</v>
      </c>
      <c r="F108" s="313" t="s">
        <v>1323</v>
      </c>
      <c r="G108" s="313" t="s">
        <v>43</v>
      </c>
      <c r="H108" s="313" t="s">
        <v>37</v>
      </c>
      <c r="I108" s="313" t="s">
        <v>58</v>
      </c>
      <c r="J108" s="313" t="s">
        <v>59</v>
      </c>
      <c r="Q108" s="313" t="n">
        <v>30</v>
      </c>
    </row>
    <row r="109" s="313" customFormat="1" ht="26.25" customHeight="1" hidden="1">
      <c r="A109" s="313" t="s">
        <v>54</v>
      </c>
      <c r="B109" s="313" t="s">
        <v>100</v>
      </c>
      <c r="C109" s="313" t="n">
        <v>4513342</v>
      </c>
      <c r="D109" s="313" t="s">
        <v>215</v>
      </c>
      <c r="E109" s="313" t="s">
        <v>283</v>
      </c>
      <c r="F109" s="313" t="s">
        <v>1050</v>
      </c>
      <c r="G109" s="313" t="s">
        <v>43</v>
      </c>
      <c r="H109" s="313" t="s">
        <v>37</v>
      </c>
      <c r="I109" s="313" t="s">
        <v>58</v>
      </c>
      <c r="J109" s="313" t="s">
        <v>55</v>
      </c>
    </row>
    <row r="110" s="313" customFormat="1" ht="26.25" customHeight="1" hidden="1">
      <c r="A110" s="313" t="s">
        <v>45</v>
      </c>
      <c r="B110" s="313" t="s">
        <v>65</v>
      </c>
      <c r="C110" s="313" t="s">
        <v>3502</v>
      </c>
      <c r="D110" s="313" t="s">
        <v>215</v>
      </c>
      <c r="E110" s="313" t="s">
        <v>283</v>
      </c>
      <c r="F110" s="313" t="s">
        <v>724</v>
      </c>
      <c r="G110" s="313" t="s">
        <v>43</v>
      </c>
      <c r="H110" s="313" t="s">
        <v>31</v>
      </c>
      <c r="I110" s="313" t="s">
        <v>58</v>
      </c>
      <c r="J110" s="313" t="s">
        <v>46</v>
      </c>
      <c r="Q110" s="313" t="s">
        <v>87</v>
      </c>
      <c r="T110" s="313" t="s">
        <v>217</v>
      </c>
      <c r="V110" s="313" t="s">
        <v>217</v>
      </c>
    </row>
    <row r="111" s="313" customFormat="1" ht="26.25" customHeight="1" hidden="1"/>
    <row r="112" s="313" customFormat="1" ht="26.25" customHeight="1" hidden="1"/>
    <row r="113" s="313" customFormat="1" ht="26.25" customHeight="1" hidden="1"/>
    <row r="114" s="313" customFormat="1" ht="26.25" customHeight="1" hidden="1"/>
    <row r="115" s="313" customFormat="1" ht="26.25" customHeight="1" hidden="1"/>
    <row r="116" s="313" customFormat="1" ht="26.25" customHeight="1" hidden="1"/>
    <row r="117" s="313" customFormat="1" ht="26.25" customHeight="1" hidden="1"/>
    <row r="118" s="313" customFormat="1" ht="26.25" customHeight="1" hidden="1"/>
    <row r="119" s="313" customFormat="1" ht="26.25" customHeight="1" hidden="1"/>
    <row r="120" s="313" customFormat="1" ht="26.25" customHeight="1" hidden="1"/>
    <row r="121" s="313" customFormat="1" ht="26.25" customHeight="1" hidden="1"/>
    <row r="122" s="313" customFormat="1" ht="26.25" customHeight="1" hidden="1"/>
    <row r="123" s="313" customFormat="1" ht="26.25" customHeight="1" hidden="1"/>
    <row r="124" s="313" customFormat="1" ht="26.25" customHeight="1" hidden="1"/>
    <row r="125" s="313" customFormat="1" ht="26.25" customHeight="1" hidden="1"/>
    <row r="126" s="313" customFormat="1" ht="26.25" customHeight="1" hidden="1"/>
    <row r="127" s="313" customFormat="1" ht="26.25" customHeight="1" hidden="1"/>
    <row r="128" s="313" customFormat="1" ht="26.25" customHeight="1" hidden="1"/>
    <row r="129" s="313" customFormat="1" ht="26.25" customHeight="1" hidden="1"/>
    <row r="130" s="313" customFormat="1" ht="26.25" customHeight="1" hidden="1"/>
    <row r="131" s="313" customFormat="1" ht="26.25" customHeight="1" hidden="1"/>
    <row r="132" s="313" customFormat="1" ht="26.25" customHeight="1" hidden="1"/>
    <row r="133" s="313" customFormat="1" ht="26.25" customHeight="1" hidden="1"/>
    <row r="134" s="381" customFormat="1" ht="26.25" customHeight="1" hidden="1">
      <c r="T134" s="383"/>
      <c r="U134" s="383"/>
      <c r="V134" s="383"/>
      <c r="W134" s="383"/>
      <c r="X134" s="383"/>
      <c r="Y134" s="383"/>
    </row>
    <row r="135" ht="26.25" customHeight="1" hidden="1">
      <c r="J135" s="131"/>
    </row>
    <row r="136" ht="26.25" customHeight="1" hidden="1">
      <c r="J136" s="131"/>
    </row>
    <row r="137" ht="26.25" customHeight="1" hidden="1">
      <c r="J137" s="131"/>
    </row>
    <row r="138" ht="26.25" customHeight="1" hidden="1">
      <c r="J138" s="131"/>
    </row>
    <row r="139" ht="26.25" customHeight="1" hidden="1">
      <c r="J139" s="131"/>
    </row>
    <row r="140" ht="26.25" customHeight="1" hidden="1">
      <c r="J140" s="131"/>
    </row>
    <row r="141" ht="26.25" customHeight="1" hidden="1">
      <c r="J141" s="131"/>
    </row>
    <row r="142" ht="26.25" customHeight="1" hidden="1">
      <c r="J142" s="131"/>
    </row>
    <row r="143" ht="26.25" customHeight="1" hidden="1">
      <c r="J143" s="131"/>
    </row>
    <row r="144" ht="26.25" customHeight="1" hidden="1">
      <c r="J144" s="131"/>
    </row>
    <row r="145" ht="26.25" customHeight="1" hidden="1">
      <c r="J145" s="131"/>
    </row>
    <row r="146" ht="26.25" customHeight="1">
      <c r="J146" s="131"/>
    </row>
    <row r="147" ht="26.25" customHeight="1" hidden="1">
      <c r="J147" s="131"/>
    </row>
    <row r="148" ht="26.25" customHeight="1" hidden="1">
      <c r="J148" s="131"/>
    </row>
    <row r="149" ht="26.25" customHeight="1" hidden="1">
      <c r="J149" s="131"/>
    </row>
    <row r="150" ht="26.25" customHeight="1" hidden="1">
      <c r="J150" s="131"/>
    </row>
    <row r="151" ht="26.25" customHeight="1" hidden="1">
      <c r="J151" s="131"/>
    </row>
    <row r="152" ht="26.25" customHeight="1" hidden="1">
      <c r="J152" s="131"/>
    </row>
    <row r="153" ht="26.25" customHeight="1" hidden="1">
      <c r="J153" s="131"/>
    </row>
    <row r="154" ht="26.25" customHeight="1" hidden="1">
      <c r="J154" s="131"/>
    </row>
    <row r="155" ht="26.25" customHeight="1" hidden="1">
      <c r="J155" s="131"/>
    </row>
    <row r="156" ht="26.25" customHeight="1" hidden="1">
      <c r="J156" s="131"/>
    </row>
    <row r="157" ht="26.25" customHeight="1" hidden="1">
      <c r="J157" s="131"/>
    </row>
    <row r="158" ht="26.25" customHeight="1" hidden="1">
      <c r="J158" s="131"/>
    </row>
    <row r="159" ht="26.25" customHeight="1" hidden="1">
      <c r="J159" s="131"/>
    </row>
    <row r="160" ht="26.25" customHeight="1" hidden="1">
      <c r="J160" s="131"/>
    </row>
    <row r="161" ht="26.25" customHeight="1" hidden="1">
      <c r="J161" s="131"/>
    </row>
    <row r="162" ht="26.25" customHeight="1" hidden="1">
      <c r="J162" s="131"/>
    </row>
    <row r="163" ht="26.25" customHeight="1" hidden="1">
      <c r="J163" s="131"/>
    </row>
    <row r="164" ht="26.25" customHeight="1" hidden="1">
      <c r="J164" s="131"/>
    </row>
    <row r="165" ht="26.25" customHeight="1" hidden="1">
      <c r="J165" s="131"/>
    </row>
    <row r="166" ht="26.25" customHeight="1" hidden="1">
      <c r="J166" s="131"/>
    </row>
    <row r="167" ht="26.25" customHeight="1" hidden="1">
      <c r="J167" s="131"/>
    </row>
    <row r="168" ht="26.25" customHeight="1" hidden="1">
      <c r="J168" s="131"/>
    </row>
    <row r="169" ht="26.25" customHeight="1" hidden="1">
      <c r="J169" s="131"/>
    </row>
    <row r="170" ht="26.25" customHeight="1" hidden="1">
      <c r="J170" s="131"/>
    </row>
    <row r="171" ht="26.25" customHeight="1" hidden="1">
      <c r="J171" s="131"/>
    </row>
    <row r="172" ht="26.25" customHeight="1" hidden="1">
      <c r="J172" s="131"/>
    </row>
    <row r="173" ht="26.25" customHeight="1" hidden="1">
      <c r="J173" s="131"/>
    </row>
    <row r="174" ht="26.25" customHeight="1" hidden="1">
      <c r="J174" s="131"/>
    </row>
    <row r="175" ht="26.25" customHeight="1" hidden="1">
      <c r="J175" s="131"/>
    </row>
    <row r="176" ht="26.25" customHeight="1" hidden="1">
      <c r="J176" s="131"/>
    </row>
    <row r="177" ht="26.25" customHeight="1" hidden="1">
      <c r="J177" s="131"/>
    </row>
    <row r="178" ht="26.25" customHeight="1" hidden="1">
      <c r="J178" s="131"/>
    </row>
    <row r="179" ht="26.25" customHeight="1" hidden="1">
      <c r="J179" s="131"/>
    </row>
    <row r="180" ht="26.25" customHeight="1" hidden="1">
      <c r="J180" s="131"/>
    </row>
    <row r="181" ht="26.25" customHeight="1" hidden="1">
      <c r="J181" s="131"/>
    </row>
    <row r="182" ht="26.25" customHeight="1" hidden="1">
      <c r="J182" s="131"/>
    </row>
    <row r="183" ht="26.25" customHeight="1" hidden="1">
      <c r="J183" s="131"/>
    </row>
    <row r="184" ht="26.25" customHeight="1" hidden="1">
      <c r="J184" s="131"/>
    </row>
    <row r="185" ht="26.25" customHeight="1" hidden="1">
      <c r="J185" s="131"/>
    </row>
    <row r="186" ht="26.25" customHeight="1" hidden="1">
      <c r="J186" s="131"/>
    </row>
    <row r="187" ht="26.25" customHeight="1" hidden="1">
      <c r="J187" s="131"/>
    </row>
    <row r="188" ht="26.25" customHeight="1" hidden="1">
      <c r="J188" s="131"/>
    </row>
    <row r="189" ht="26.25" customHeight="1" hidden="1">
      <c r="J189" s="131"/>
    </row>
    <row r="190" ht="26.25" customHeight="1" hidden="1">
      <c r="J190" s="131"/>
    </row>
    <row r="191" ht="26.25" customHeight="1" hidden="1">
      <c r="J191" s="131"/>
    </row>
    <row r="192" ht="26.25" customHeight="1" hidden="1">
      <c r="J192" s="131"/>
    </row>
    <row r="193" ht="26.25" customHeight="1" hidden="1">
      <c r="J193" s="131"/>
    </row>
    <row r="194" ht="26.25" customHeight="1" hidden="1">
      <c r="J194" s="131"/>
    </row>
    <row r="195" ht="26.25" customHeight="1" hidden="1">
      <c r="J195" s="131"/>
    </row>
    <row r="196" ht="26.25" customHeight="1" hidden="1">
      <c r="J196" s="131"/>
    </row>
    <row r="197" ht="26.25" customHeight="1" hidden="1">
      <c r="J197" s="131"/>
    </row>
    <row r="198" ht="26.25" customHeight="1" hidden="1">
      <c r="J198" s="131"/>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52"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s="131" customFormat="1" ht="26.25" customHeight="1">
      <c r="A1" s="477" t="s">
        <v>2588</v>
      </c>
      <c r="B1" s="478"/>
      <c r="C1" s="478"/>
      <c r="D1" s="478"/>
      <c r="E1" s="478"/>
      <c r="F1" s="478"/>
      <c r="G1" s="478"/>
      <c r="H1" s="478"/>
      <c r="I1" s="478"/>
      <c r="J1" s="479"/>
      <c r="K1" s="480" t="s">
        <v>2351</v>
      </c>
      <c r="L1" s="478"/>
      <c r="M1" s="478"/>
      <c r="N1" s="478"/>
      <c r="O1" s="478"/>
      <c r="P1" s="481" t="s">
        <v>2352</v>
      </c>
      <c r="Q1" s="478"/>
      <c r="R1" s="478"/>
      <c r="S1" s="478"/>
      <c r="T1" s="482" t="s">
        <v>2353</v>
      </c>
      <c r="U1" s="479"/>
      <c r="V1" s="479"/>
      <c r="W1" s="479"/>
      <c r="X1" s="479"/>
      <c r="Y1" s="479"/>
    </row>
    <row r="2" s="375" customFormat="1" ht="26.25" customHeight="1">
      <c r="A2" s="380" t="s">
        <v>71</v>
      </c>
      <c r="B2" s="380" t="s">
        <v>174</v>
      </c>
      <c r="C2" s="380" t="s">
        <v>2354</v>
      </c>
      <c r="D2" s="380" t="s">
        <v>2355</v>
      </c>
      <c r="E2" s="380" t="s">
        <v>94</v>
      </c>
      <c r="F2" s="380" t="s">
        <v>148</v>
      </c>
      <c r="G2" s="380" t="s">
        <v>172</v>
      </c>
      <c r="H2" s="380" t="s">
        <v>3004</v>
      </c>
      <c r="I2" s="380" t="s">
        <v>2357</v>
      </c>
      <c r="J2" s="380" t="s">
        <v>2358</v>
      </c>
      <c r="K2" s="380" t="s">
        <v>2359</v>
      </c>
      <c r="L2" s="380" t="s">
        <v>2360</v>
      </c>
      <c r="M2" s="1016" t="s">
        <v>2361</v>
      </c>
      <c r="N2" s="380" t="s">
        <v>2362</v>
      </c>
      <c r="O2" s="380" t="s">
        <v>2363</v>
      </c>
      <c r="P2" s="380" t="s">
        <v>126</v>
      </c>
      <c r="Q2" s="380" t="s">
        <v>125</v>
      </c>
      <c r="R2" s="380" t="s">
        <v>2364</v>
      </c>
      <c r="S2" s="380" t="s">
        <v>2365</v>
      </c>
      <c r="T2" s="380" t="s">
        <v>2366</v>
      </c>
      <c r="U2" s="380" t="s">
        <v>2367</v>
      </c>
      <c r="V2" s="380" t="s">
        <v>176</v>
      </c>
      <c r="W2" s="380" t="s">
        <v>2368</v>
      </c>
      <c r="X2" s="380" t="s">
        <v>2369</v>
      </c>
      <c r="Y2" s="380" t="s">
        <v>2370</v>
      </c>
    </row>
    <row r="3" s="313" customFormat="1" ht="26.25" customHeight="1">
      <c r="A3" s="313" t="s">
        <v>45</v>
      </c>
      <c r="B3" s="313" t="s">
        <v>65</v>
      </c>
      <c r="C3" s="313" t="n">
        <v>5230828</v>
      </c>
      <c r="D3" s="313" t="s">
        <v>215</v>
      </c>
      <c r="E3" s="313" t="s">
        <v>283</v>
      </c>
      <c r="F3" s="313" t="s">
        <v>348</v>
      </c>
      <c r="G3" s="313" t="s">
        <v>3503</v>
      </c>
      <c r="H3" s="313" t="s">
        <v>31</v>
      </c>
      <c r="I3" s="313" t="s">
        <v>58</v>
      </c>
      <c r="J3" s="313" t="s">
        <v>349</v>
      </c>
      <c r="O3" s="313" t="s">
        <v>3494</v>
      </c>
      <c r="T3" s="313" t="s">
        <v>217</v>
      </c>
      <c r="U3" s="313" t="s">
        <v>217</v>
      </c>
      <c r="V3" s="313" t="s">
        <v>217</v>
      </c>
    </row>
    <row r="4" s="313" customFormat="1" ht="26.25" customHeight="1">
      <c r="A4" s="313" t="s">
        <v>45</v>
      </c>
      <c r="B4" s="313" t="s">
        <v>65</v>
      </c>
      <c r="C4" s="313" t="n">
        <v>5230828</v>
      </c>
      <c r="D4" s="313" t="s">
        <v>215</v>
      </c>
      <c r="E4" s="313" t="s">
        <v>283</v>
      </c>
      <c r="F4" s="313" t="s">
        <v>363</v>
      </c>
      <c r="G4" s="313" t="s">
        <v>3503</v>
      </c>
      <c r="H4" s="313" t="s">
        <v>31</v>
      </c>
      <c r="I4" s="313" t="s">
        <v>58</v>
      </c>
      <c r="J4" s="313" t="s">
        <v>349</v>
      </c>
      <c r="M4" s="313" t="s">
        <v>3497</v>
      </c>
      <c r="T4" s="313" t="s">
        <v>218</v>
      </c>
      <c r="V4" s="313" t="s">
        <v>218</v>
      </c>
    </row>
    <row r="5" s="313" customFormat="1" ht="26.25" customHeight="1">
      <c r="A5" s="313" t="s">
        <v>45</v>
      </c>
      <c r="B5" s="313" t="s">
        <v>65</v>
      </c>
      <c r="C5" s="313" t="n">
        <v>5230828</v>
      </c>
      <c r="D5" s="313" t="s">
        <v>215</v>
      </c>
      <c r="E5" s="313" t="s">
        <v>283</v>
      </c>
      <c r="F5" s="313" t="s">
        <v>494</v>
      </c>
      <c r="G5" s="313" t="s">
        <v>3503</v>
      </c>
      <c r="I5" s="313" t="s">
        <v>58</v>
      </c>
      <c r="J5" s="313" t="s">
        <v>46</v>
      </c>
      <c r="T5" s="313" t="s">
        <v>217</v>
      </c>
      <c r="V5" s="313" t="s">
        <v>217</v>
      </c>
    </row>
    <row r="6" s="313" customFormat="1" ht="26.25" customHeight="1">
      <c r="A6" s="313" t="s">
        <v>45</v>
      </c>
      <c r="B6" s="313" t="s">
        <v>65</v>
      </c>
      <c r="C6" s="313" t="n">
        <v>4632448</v>
      </c>
      <c r="D6" s="313" t="s">
        <v>215</v>
      </c>
      <c r="E6" s="313" t="s">
        <v>283</v>
      </c>
      <c r="F6" s="313" t="s">
        <v>406</v>
      </c>
      <c r="G6" s="313" t="s">
        <v>3503</v>
      </c>
      <c r="H6" s="313" t="s">
        <v>37</v>
      </c>
      <c r="I6" s="313" t="s">
        <v>58</v>
      </c>
      <c r="J6" s="313" t="s">
        <v>48</v>
      </c>
      <c r="O6" s="184" t="s">
        <v>3317</v>
      </c>
      <c r="T6" s="313" t="s">
        <v>217</v>
      </c>
    </row>
    <row r="7" s="313" customFormat="1" ht="26.25" customHeight="1">
      <c r="A7" s="313" t="s">
        <v>45</v>
      </c>
      <c r="B7" s="313" t="s">
        <v>65</v>
      </c>
      <c r="C7" s="313" t="s">
        <v>3378</v>
      </c>
      <c r="D7" s="313" t="s">
        <v>215</v>
      </c>
      <c r="E7" s="313" t="s">
        <v>283</v>
      </c>
      <c r="F7" s="313" t="s">
        <v>299</v>
      </c>
      <c r="G7" s="313" t="s">
        <v>3503</v>
      </c>
      <c r="H7" s="313" t="s">
        <v>37</v>
      </c>
      <c r="I7" s="313" t="s">
        <v>58</v>
      </c>
      <c r="J7" s="313" t="s">
        <v>46</v>
      </c>
      <c r="O7" s="184"/>
      <c r="T7" s="313" t="s">
        <v>217</v>
      </c>
    </row>
    <row r="8" s="313" customFormat="1" ht="26.25" customHeight="1">
      <c r="A8" s="313" t="s">
        <v>45</v>
      </c>
      <c r="B8" s="313" t="s">
        <v>65</v>
      </c>
      <c r="C8" s="313" t="n">
        <v>4632448</v>
      </c>
      <c r="D8" s="313" t="s">
        <v>215</v>
      </c>
      <c r="E8" s="313" t="s">
        <v>283</v>
      </c>
      <c r="F8" s="313" t="s">
        <v>919</v>
      </c>
      <c r="G8" s="313" t="s">
        <v>3503</v>
      </c>
      <c r="H8" s="313" t="s">
        <v>37</v>
      </c>
      <c r="I8" s="313" t="s">
        <v>58</v>
      </c>
      <c r="J8" s="313" t="s">
        <v>38</v>
      </c>
      <c r="O8" s="184" t="s">
        <v>3316</v>
      </c>
      <c r="Q8" s="313" t="n">
        <v>34</v>
      </c>
      <c r="T8" s="313" t="s">
        <v>217</v>
      </c>
    </row>
    <row r="9" s="313" customFormat="1" ht="16.5" customHeight="1">
      <c r="A9" s="313" t="s">
        <v>54</v>
      </c>
      <c r="B9" s="313" t="s">
        <v>65</v>
      </c>
      <c r="C9" s="313" t="n">
        <v>5170873</v>
      </c>
      <c r="D9" s="313" t="s">
        <v>216</v>
      </c>
      <c r="E9" s="313" t="s">
        <v>283</v>
      </c>
      <c r="F9" s="313" t="s">
        <v>984</v>
      </c>
      <c r="G9" s="313" t="s">
        <v>3503</v>
      </c>
      <c r="H9" s="313" t="s">
        <v>37</v>
      </c>
      <c r="I9" s="313" t="s">
        <v>56</v>
      </c>
      <c r="J9" s="313" t="s">
        <v>50</v>
      </c>
      <c r="O9" s="184"/>
    </row>
  </sheetData>
  <mergeCells count="4">
    <mergeCell ref="A1:J1"/>
    <mergeCell ref="K1:O1"/>
    <mergeCell ref="P1:S1"/>
    <mergeCell ref="T1:Y1"/>
  </mergeCells>
  <phoneticPr fontId="1" type="noConversion"/>
  <conditionalFormatting sqref="F1:F2 AA1:AA2">
    <cfRule priority="52" type="duplicateValues" dxfId="0"/>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1" width="10" hidden="1"/>
    <col min="2" max="2" width="10"/>
    <col min="3" max="3" width="10" hidden="1"/>
    <col min="4" max="4" width="10"/>
    <col min="5" max="5" width="10" hidden="1"/>
    <col min="7" max="9" width="10" hidden="1"/>
    <col min="10" max="10" width="10"/>
    <col min="11" max="12" width="10" hidden="1"/>
    <col min="13" max="13" width="26.373046875" hidden="1" customWidth="1"/>
    <col min="14" max="14" width="18.75" hidden="1" customWidth="1"/>
    <col min="15" max="15" width="82.3681640625" customWidth="1" style="317"/>
    <col min="16" max="19" width="10" hidden="1"/>
    <col min="20" max="20" width="10" hidden="1" style="292"/>
    <col min="21" max="21" width="15.2490234375" hidden="1" customWidth="1"/>
    <col min="22" max="22" width="10" hidden="1" style="292"/>
    <col min="23" max="25" width="10" hidden="1"/>
  </cols>
  <sheetData>
    <row r="1" ht="26.25" customHeight="1">
      <c r="A1" s="485" t="s">
        <v>2588</v>
      </c>
      <c r="B1" s="472"/>
      <c r="C1" s="472"/>
      <c r="D1" s="472"/>
      <c r="E1" s="472"/>
      <c r="F1" s="472"/>
      <c r="G1" s="472"/>
      <c r="H1" s="472"/>
      <c r="I1" s="472"/>
      <c r="J1" s="472"/>
      <c r="K1" s="486" t="s">
        <v>2351</v>
      </c>
      <c r="L1" s="472"/>
      <c r="M1" s="472"/>
      <c r="N1" s="472"/>
      <c r="O1" s="291"/>
      <c r="P1" s="487" t="s">
        <v>2352</v>
      </c>
      <c r="Q1" s="472"/>
      <c r="R1" s="472"/>
      <c r="S1" s="472"/>
      <c r="T1" s="488" t="s">
        <v>2353</v>
      </c>
      <c r="U1" s="472"/>
      <c r="V1" s="290"/>
      <c r="W1" s="472"/>
      <c r="X1" s="472"/>
      <c r="Y1" s="472"/>
      <c r="Z1" s="155" t="s">
        <v>3504</v>
      </c>
      <c r="AA1" s="162" t="s">
        <v>3505</v>
      </c>
      <c r="AB1" s="5"/>
    </row>
    <row r="2" ht="26.25" customHeight="1">
      <c r="A2" s="211" t="s">
        <v>71</v>
      </c>
      <c r="B2" s="211" t="s">
        <v>174</v>
      </c>
      <c r="C2" s="211" t="s">
        <v>2354</v>
      </c>
      <c r="D2" s="211" t="s">
        <v>2355</v>
      </c>
      <c r="E2" s="211" t="s">
        <v>94</v>
      </c>
      <c r="F2" s="211" t="s">
        <v>148</v>
      </c>
      <c r="G2" s="211" t="s">
        <v>172</v>
      </c>
      <c r="H2" s="211" t="s">
        <v>2356</v>
      </c>
      <c r="I2" s="211" t="s">
        <v>3004</v>
      </c>
      <c r="J2" s="211" t="s">
        <v>2358</v>
      </c>
      <c r="K2" s="211" t="s">
        <v>2359</v>
      </c>
      <c r="L2" s="211" t="s">
        <v>2360</v>
      </c>
      <c r="M2" s="211" t="s">
        <v>3506</v>
      </c>
      <c r="N2" s="211" t="s">
        <v>3507</v>
      </c>
      <c r="O2" s="211" t="s">
        <v>2363</v>
      </c>
      <c r="P2" s="211" t="s">
        <v>126</v>
      </c>
      <c r="Q2" s="211" t="s">
        <v>125</v>
      </c>
      <c r="R2" s="211" t="s">
        <v>2364</v>
      </c>
      <c r="S2" s="211" t="s">
        <v>2365</v>
      </c>
      <c r="T2" s="211" t="s">
        <v>2366</v>
      </c>
      <c r="U2" s="211" t="s">
        <v>2367</v>
      </c>
      <c r="V2" s="211" t="s">
        <v>176</v>
      </c>
      <c r="W2" s="211" t="s">
        <v>2368</v>
      </c>
      <c r="X2" s="211" t="s">
        <v>2369</v>
      </c>
      <c r="Y2" s="211" t="s">
        <v>2370</v>
      </c>
      <c r="Z2" s="37"/>
      <c r="AA2" s="162" t="s">
        <v>3508</v>
      </c>
      <c r="AB2" s="162" t="s">
        <v>3509</v>
      </c>
    </row>
    <row r="3" s="313" customFormat="1" ht="26.25" customHeight="1">
      <c r="A3" s="313" t="s">
        <v>54</v>
      </c>
      <c r="B3" s="313" t="s">
        <v>101</v>
      </c>
      <c r="C3" s="313" t="n">
        <v>4513388</v>
      </c>
      <c r="D3" s="313" t="s">
        <v>216</v>
      </c>
      <c r="E3" s="313" t="s">
        <v>283</v>
      </c>
      <c r="F3" s="313" t="s">
        <v>1039</v>
      </c>
      <c r="G3" s="313" t="s">
        <v>56</v>
      </c>
      <c r="H3" s="313" t="s">
        <v>49</v>
      </c>
      <c r="I3" s="313" t="s">
        <v>35</v>
      </c>
      <c r="J3" s="313" t="s">
        <v>57</v>
      </c>
      <c r="K3" s="313" t="s">
        <v>2437</v>
      </c>
      <c r="L3" s="313" t="s">
        <v>2500</v>
      </c>
      <c r="M3" s="313" t="s">
        <v>3510</v>
      </c>
      <c r="N3" s="313" t="s">
        <v>3040</v>
      </c>
      <c r="O3" s="313" t="s">
        <v>3511</v>
      </c>
      <c r="P3" s="313" t="s">
        <v>3512</v>
      </c>
      <c r="Q3" s="313" t="s">
        <v>3513</v>
      </c>
    </row>
    <row r="4" s="313" customFormat="1" ht="26.25" customHeight="1">
      <c r="A4" s="313" t="s">
        <v>54</v>
      </c>
      <c r="B4" s="313" t="s">
        <v>101</v>
      </c>
      <c r="C4" s="313" t="n">
        <v>5230821</v>
      </c>
      <c r="D4" s="313" t="s">
        <v>233</v>
      </c>
      <c r="E4" s="313" t="s">
        <v>283</v>
      </c>
      <c r="F4" s="313" t="s">
        <v>1164</v>
      </c>
      <c r="G4" s="313" t="s">
        <v>56</v>
      </c>
      <c r="H4" s="313" t="s">
        <v>49</v>
      </c>
      <c r="I4" s="313" t="s">
        <v>31</v>
      </c>
      <c r="J4" s="313" t="s">
        <v>59</v>
      </c>
      <c r="K4" s="313" t="s">
        <v>2556</v>
      </c>
      <c r="L4" s="313" t="s">
        <v>3514</v>
      </c>
      <c r="M4" s="313" t="s">
        <v>3515</v>
      </c>
      <c r="N4" s="313" t="s">
        <v>3516</v>
      </c>
      <c r="O4" s="1017" t="s">
        <v>3517</v>
      </c>
      <c r="P4" s="313" t="s">
        <v>3518</v>
      </c>
    </row>
    <row r="5" s="313" customFormat="1" ht="26.25" customHeight="1">
      <c r="A5" s="313" t="s">
        <v>54</v>
      </c>
      <c r="B5" s="313" t="s">
        <v>88</v>
      </c>
      <c r="C5" s="313" t="n">
        <v>5230727</v>
      </c>
      <c r="D5" s="313" t="s">
        <v>216</v>
      </c>
      <c r="E5" s="313" t="s">
        <v>283</v>
      </c>
      <c r="F5" s="313" t="s">
        <v>1308</v>
      </c>
      <c r="G5" s="313" t="s">
        <v>56</v>
      </c>
      <c r="H5" s="313" t="s">
        <v>43</v>
      </c>
      <c r="I5" s="313" t="s">
        <v>31</v>
      </c>
      <c r="J5" s="313" t="s">
        <v>57</v>
      </c>
      <c r="M5" s="313" t="s">
        <v>3519</v>
      </c>
      <c r="N5" s="313" t="s">
        <v>3520</v>
      </c>
      <c r="O5" s="313" t="s">
        <v>2003</v>
      </c>
      <c r="P5" s="313" t="s">
        <v>28</v>
      </c>
      <c r="Q5" s="313" t="s">
        <v>2125</v>
      </c>
      <c r="T5" s="313" t="s">
        <v>217</v>
      </c>
      <c r="U5" s="313" t="s">
        <v>218</v>
      </c>
      <c r="V5" s="313" t="s">
        <v>217</v>
      </c>
      <c r="W5" s="313" t="s">
        <v>217</v>
      </c>
    </row>
    <row r="6" s="313" customFormat="1" ht="26.25" customHeight="1">
      <c r="A6" s="313" t="s">
        <v>54</v>
      </c>
      <c r="B6" s="313" t="s">
        <v>65</v>
      </c>
      <c r="C6" s="313" t="n">
        <v>3132888</v>
      </c>
      <c r="D6" s="313" t="s">
        <v>215</v>
      </c>
      <c r="E6" s="313" t="s">
        <v>283</v>
      </c>
      <c r="F6" s="23" t="s">
        <v>797</v>
      </c>
      <c r="G6" s="313" t="s">
        <v>56</v>
      </c>
      <c r="H6" s="313" t="s">
        <v>49</v>
      </c>
      <c r="I6" s="313" t="s">
        <v>35</v>
      </c>
      <c r="J6" s="313" t="s">
        <v>34</v>
      </c>
      <c r="K6" s="313" t="s">
        <v>2711</v>
      </c>
      <c r="L6" s="1018" t="s">
        <v>3521</v>
      </c>
      <c r="M6" s="313" t="s">
        <v>3522</v>
      </c>
      <c r="N6" s="313" t="s">
        <v>3523</v>
      </c>
      <c r="O6" s="1019" t="s">
        <v>3524</v>
      </c>
      <c r="P6" s="313" t="s">
        <v>3525</v>
      </c>
      <c r="Q6" s="313" t="s">
        <v>3526</v>
      </c>
      <c r="T6" s="313" t="s">
        <v>217</v>
      </c>
      <c r="AA6" s="313" t="n">
        <v>1</v>
      </c>
      <c r="AB6" s="313" t="n">
        <v>1</v>
      </c>
    </row>
    <row r="7" s="313" customFormat="1" ht="26.25" customHeight="1">
      <c r="A7" s="313" t="s">
        <v>54</v>
      </c>
      <c r="B7" s="313" t="s">
        <v>65</v>
      </c>
      <c r="C7" s="313" t="n">
        <v>5230727</v>
      </c>
      <c r="D7" s="313" t="s">
        <v>215</v>
      </c>
      <c r="E7" s="313" t="s">
        <v>283</v>
      </c>
      <c r="F7" s="217" t="s">
        <v>962</v>
      </c>
      <c r="G7" s="313" t="s">
        <v>56</v>
      </c>
      <c r="J7" s="313" t="s">
        <v>57</v>
      </c>
      <c r="L7" s="313" t="s">
        <v>267</v>
      </c>
      <c r="M7" s="313" t="s">
        <v>3527</v>
      </c>
      <c r="N7" s="313" t="s">
        <v>3528</v>
      </c>
      <c r="O7" s="313" t="s">
        <v>3529</v>
      </c>
      <c r="P7" s="313" t="s">
        <v>505</v>
      </c>
      <c r="Q7" s="313" t="s">
        <v>2125</v>
      </c>
      <c r="T7" s="313" t="s">
        <v>217</v>
      </c>
      <c r="U7" s="313" t="s">
        <v>217</v>
      </c>
      <c r="V7" s="313" t="s">
        <v>217</v>
      </c>
      <c r="W7" s="313" t="s">
        <v>217</v>
      </c>
      <c r="Z7" s="313" t="s">
        <v>27</v>
      </c>
      <c r="AA7" s="313" t="n">
        <v>0</v>
      </c>
      <c r="AB7" s="313" t="n">
        <v>0</v>
      </c>
    </row>
    <row r="8" s="313" customFormat="1" ht="26.25" customHeight="1">
      <c r="A8" s="313" t="s">
        <v>54</v>
      </c>
      <c r="B8" s="313" t="s">
        <v>88</v>
      </c>
      <c r="C8" s="313" t="n">
        <v>5230723</v>
      </c>
      <c r="D8" s="313" t="s">
        <v>233</v>
      </c>
      <c r="E8" s="313" t="s">
        <v>283</v>
      </c>
      <c r="F8" s="313" t="s">
        <v>1165</v>
      </c>
      <c r="G8" s="313" t="s">
        <v>56</v>
      </c>
      <c r="H8" s="313" t="s">
        <v>47</v>
      </c>
      <c r="I8" s="313" t="s">
        <v>37</v>
      </c>
      <c r="J8" s="313" t="s">
        <v>57</v>
      </c>
      <c r="M8" s="313" t="s">
        <v>3530</v>
      </c>
      <c r="N8" s="313" t="s">
        <v>3531</v>
      </c>
      <c r="O8" s="313" t="s">
        <v>3532</v>
      </c>
      <c r="P8" s="313" t="n">
        <v>98</v>
      </c>
      <c r="Q8" s="313" t="s">
        <v>2125</v>
      </c>
      <c r="T8" s="313" t="s">
        <v>217</v>
      </c>
      <c r="U8" s="313" t="s">
        <v>217</v>
      </c>
      <c r="V8" s="313" t="s">
        <v>217</v>
      </c>
      <c r="W8" s="313" t="s">
        <v>217</v>
      </c>
    </row>
    <row r="9" s="313" customFormat="1" ht="26.25" customHeight="1">
      <c r="A9" s="313" t="s">
        <v>54</v>
      </c>
      <c r="B9" s="313" t="s">
        <v>88</v>
      </c>
      <c r="C9" s="313" t="n">
        <v>5230727</v>
      </c>
      <c r="D9" s="313" t="s">
        <v>216</v>
      </c>
      <c r="E9" s="313" t="s">
        <v>283</v>
      </c>
      <c r="F9" s="313" t="s">
        <v>1320</v>
      </c>
      <c r="G9" s="313" t="s">
        <v>56</v>
      </c>
      <c r="H9" s="313" t="s">
        <v>43</v>
      </c>
      <c r="I9" s="313" t="s">
        <v>31</v>
      </c>
      <c r="J9" s="313" t="s">
        <v>57</v>
      </c>
      <c r="L9" s="313" t="s">
        <v>267</v>
      </c>
      <c r="M9" s="313" t="s">
        <v>3533</v>
      </c>
      <c r="N9" s="313" t="s">
        <v>3534</v>
      </c>
      <c r="O9" s="313" t="s">
        <v>3535</v>
      </c>
      <c r="P9" s="313" t="s">
        <v>749</v>
      </c>
      <c r="Q9" s="313" t="n">
        <v>40</v>
      </c>
      <c r="T9" s="313" t="s">
        <v>217</v>
      </c>
      <c r="U9" s="313" t="s">
        <v>217</v>
      </c>
      <c r="V9" s="313" t="s">
        <v>217</v>
      </c>
      <c r="W9" s="313" t="s">
        <v>217</v>
      </c>
    </row>
    <row r="10" s="313" customFormat="1" ht="26.25" customHeight="1">
      <c r="A10" s="313" t="s">
        <v>54</v>
      </c>
      <c r="B10" s="313" t="s">
        <v>65</v>
      </c>
      <c r="C10" s="313" t="n">
        <v>3132899</v>
      </c>
      <c r="D10" s="313" t="s">
        <v>246</v>
      </c>
      <c r="E10" s="313" t="s">
        <v>283</v>
      </c>
      <c r="F10" s="23" t="s">
        <v>576</v>
      </c>
      <c r="G10" s="313" t="s">
        <v>56</v>
      </c>
      <c r="H10" s="313" t="s">
        <v>47</v>
      </c>
      <c r="I10" s="313" t="s">
        <v>35</v>
      </c>
      <c r="J10" s="313" t="s">
        <v>59</v>
      </c>
      <c r="M10" s="313" t="s">
        <v>2377</v>
      </c>
      <c r="N10" s="313" t="s">
        <v>3536</v>
      </c>
      <c r="O10" s="313" t="s">
        <v>3537</v>
      </c>
      <c r="P10" s="313" t="n">
        <v>90</v>
      </c>
      <c r="Q10" s="313" t="n">
        <v>29</v>
      </c>
      <c r="T10" s="313" t="s">
        <v>217</v>
      </c>
      <c r="Z10" s="313" t="s">
        <v>28</v>
      </c>
      <c r="AA10" s="313" t="n">
        <v>1</v>
      </c>
      <c r="AB10" s="313" t="n">
        <v>1</v>
      </c>
    </row>
    <row r="11" s="313" customFormat="1" ht="26.25" customHeight="1">
      <c r="A11" s="313" t="s">
        <v>54</v>
      </c>
      <c r="B11" s="313" t="s">
        <v>65</v>
      </c>
      <c r="C11" s="313" t="n">
        <v>5230727</v>
      </c>
      <c r="D11" s="313" t="s">
        <v>246</v>
      </c>
      <c r="E11" s="313" t="s">
        <v>283</v>
      </c>
      <c r="F11" s="182" t="s">
        <v>533</v>
      </c>
      <c r="G11" s="313" t="s">
        <v>56</v>
      </c>
      <c r="H11" s="313" t="s">
        <v>47</v>
      </c>
      <c r="I11" s="313" t="s">
        <v>35</v>
      </c>
      <c r="J11" s="313" t="s">
        <v>59</v>
      </c>
      <c r="K11" s="313" t="s">
        <v>2432</v>
      </c>
      <c r="M11" s="313" t="s">
        <v>3538</v>
      </c>
      <c r="O11" s="313" t="s">
        <v>3539</v>
      </c>
      <c r="P11" s="313" t="n">
        <v>94</v>
      </c>
      <c r="Q11" s="313" t="n">
        <v>46</v>
      </c>
      <c r="T11" s="313" t="s">
        <v>217</v>
      </c>
      <c r="U11" s="313" t="s">
        <v>217</v>
      </c>
      <c r="V11" s="313" t="s">
        <v>217</v>
      </c>
      <c r="W11" s="313" t="s">
        <v>217</v>
      </c>
      <c r="Z11" s="313" t="s">
        <v>27</v>
      </c>
      <c r="AA11" s="313" t="n">
        <v>0</v>
      </c>
      <c r="AB11" s="313" t="n">
        <v>1</v>
      </c>
    </row>
    <row r="12" s="313" customFormat="1" ht="26.25" customHeight="1">
      <c r="A12" s="313" t="s">
        <v>54</v>
      </c>
      <c r="B12" s="313" t="s">
        <v>88</v>
      </c>
      <c r="C12" s="313" t="n">
        <v>5230727</v>
      </c>
      <c r="D12" s="313" t="s">
        <v>216</v>
      </c>
      <c r="E12" s="313" t="s">
        <v>283</v>
      </c>
      <c r="F12" s="217" t="s">
        <v>785</v>
      </c>
      <c r="G12" s="313" t="s">
        <v>56</v>
      </c>
      <c r="H12" s="313" t="s">
        <v>43</v>
      </c>
      <c r="I12" s="313" t="s">
        <v>35</v>
      </c>
      <c r="J12" s="313" t="s">
        <v>36</v>
      </c>
      <c r="K12" s="313" t="s">
        <v>786</v>
      </c>
      <c r="L12" s="313" t="s">
        <v>611</v>
      </c>
      <c r="M12" s="313" t="s">
        <v>3540</v>
      </c>
      <c r="N12" s="313" t="s">
        <v>3541</v>
      </c>
      <c r="P12" s="313" t="s">
        <v>749</v>
      </c>
      <c r="Q12" s="313" t="n">
        <v>34</v>
      </c>
      <c r="T12" s="313" t="s">
        <v>217</v>
      </c>
      <c r="U12" s="313" t="s">
        <v>217</v>
      </c>
      <c r="V12" s="313" t="s">
        <v>217</v>
      </c>
      <c r="W12" s="313" t="s">
        <v>217</v>
      </c>
    </row>
    <row r="13" s="313" customFormat="1" ht="26.25" customHeight="1">
      <c r="A13" s="313" t="s">
        <v>54</v>
      </c>
      <c r="B13" s="313" t="s">
        <v>101</v>
      </c>
      <c r="C13" s="313" t="n">
        <v>4513388</v>
      </c>
      <c r="D13" s="313" t="s">
        <v>216</v>
      </c>
      <c r="E13" s="313" t="s">
        <v>283</v>
      </c>
      <c r="F13" s="313" t="s">
        <v>1059</v>
      </c>
      <c r="G13" s="313" t="s">
        <v>56</v>
      </c>
      <c r="H13" s="313" t="s">
        <v>47</v>
      </c>
      <c r="I13" s="313" t="s">
        <v>37</v>
      </c>
      <c r="J13" s="313" t="s">
        <v>48</v>
      </c>
    </row>
    <row r="14" s="313" customFormat="1" ht="26.25" customHeight="1">
      <c r="A14" s="313" t="s">
        <v>54</v>
      </c>
      <c r="B14" s="313" t="s">
        <v>88</v>
      </c>
      <c r="C14" s="313" t="n">
        <v>5230723</v>
      </c>
      <c r="D14" s="313" t="s">
        <v>233</v>
      </c>
      <c r="E14" s="313" t="s">
        <v>283</v>
      </c>
      <c r="F14" s="313" t="s">
        <v>298</v>
      </c>
      <c r="G14" s="313" t="s">
        <v>56</v>
      </c>
      <c r="H14" s="313" t="s">
        <v>47</v>
      </c>
      <c r="I14" s="313" t="s">
        <v>37</v>
      </c>
      <c r="J14" s="313" t="s">
        <v>59</v>
      </c>
      <c r="M14" s="313" t="s">
        <v>3542</v>
      </c>
      <c r="N14" s="313" t="s">
        <v>3543</v>
      </c>
      <c r="O14" s="313" t="s">
        <v>3544</v>
      </c>
      <c r="Q14" s="313" t="s">
        <v>2125</v>
      </c>
      <c r="T14" s="313" t="s">
        <v>217</v>
      </c>
      <c r="U14" s="313" t="s">
        <v>217</v>
      </c>
      <c r="V14" s="313" t="s">
        <v>217</v>
      </c>
      <c r="W14" s="313" t="s">
        <v>217</v>
      </c>
    </row>
    <row r="15" s="313" customFormat="1" ht="26.25" customHeight="1">
      <c r="A15" s="313" t="s">
        <v>54</v>
      </c>
      <c r="B15" s="313" t="s">
        <v>101</v>
      </c>
      <c r="C15" s="313" t="n">
        <v>5170871</v>
      </c>
      <c r="D15" s="313" t="s">
        <v>215</v>
      </c>
      <c r="E15" s="313" t="s">
        <v>283</v>
      </c>
      <c r="F15" s="313" t="s">
        <v>1179</v>
      </c>
      <c r="G15" s="313" t="s">
        <v>56</v>
      </c>
      <c r="H15" s="313" t="s">
        <v>47</v>
      </c>
      <c r="I15" s="313" t="s">
        <v>35</v>
      </c>
      <c r="J15" s="313" t="s">
        <v>55</v>
      </c>
      <c r="O15" s="313" t="s">
        <v>3545</v>
      </c>
      <c r="P15" s="313" t="n">
        <v>94</v>
      </c>
      <c r="Q15" s="313" t="s">
        <v>2125</v>
      </c>
    </row>
    <row r="16" s="313" customFormat="1" ht="26.25" customHeight="1">
      <c r="A16" s="313" t="s">
        <v>54</v>
      </c>
      <c r="B16" s="313" t="s">
        <v>101</v>
      </c>
      <c r="C16" s="313" t="n">
        <v>5230821</v>
      </c>
      <c r="D16" s="313" t="s">
        <v>233</v>
      </c>
      <c r="E16" s="313" t="s">
        <v>283</v>
      </c>
      <c r="F16" s="313" t="s">
        <v>1106</v>
      </c>
      <c r="G16" s="313" t="s">
        <v>56</v>
      </c>
      <c r="H16" s="313" t="s">
        <v>49</v>
      </c>
      <c r="I16" s="313" t="s">
        <v>31</v>
      </c>
      <c r="J16" s="313" t="s">
        <v>59</v>
      </c>
      <c r="P16" s="313" t="s">
        <v>3546</v>
      </c>
    </row>
    <row r="17" s="313" customFormat="1" ht="26.25" customHeight="1">
      <c r="A17" s="313" t="s">
        <v>54</v>
      </c>
      <c r="B17" s="313" t="s">
        <v>101</v>
      </c>
      <c r="C17" s="313" t="n">
        <v>5230821</v>
      </c>
      <c r="D17" s="313" t="s">
        <v>233</v>
      </c>
      <c r="E17" s="313" t="s">
        <v>283</v>
      </c>
      <c r="F17" s="313" t="s">
        <v>1281</v>
      </c>
      <c r="G17" s="313" t="s">
        <v>56</v>
      </c>
      <c r="H17" s="313" t="s">
        <v>49</v>
      </c>
      <c r="I17" s="313" t="s">
        <v>31</v>
      </c>
      <c r="J17" s="313" t="s">
        <v>34</v>
      </c>
      <c r="K17" s="313" t="s">
        <v>3547</v>
      </c>
      <c r="L17" s="1020" t="s">
        <v>3548</v>
      </c>
      <c r="M17" s="1021" t="s">
        <v>3549</v>
      </c>
      <c r="N17" s="313" t="s">
        <v>3550</v>
      </c>
      <c r="O17" s="1022" t="s">
        <v>3551</v>
      </c>
      <c r="P17" s="313" t="s">
        <v>3552</v>
      </c>
      <c r="Q17" s="313" t="n">
        <v>29</v>
      </c>
    </row>
    <row r="18" s="313" customFormat="1" ht="26.25" customHeight="1">
      <c r="A18" s="313" t="s">
        <v>54</v>
      </c>
      <c r="B18" s="313" t="s">
        <v>88</v>
      </c>
      <c r="C18" s="313" t="n">
        <v>5230723</v>
      </c>
      <c r="D18" s="313" t="s">
        <v>233</v>
      </c>
      <c r="E18" s="313" t="s">
        <v>283</v>
      </c>
      <c r="F18" s="313" t="s">
        <v>1029</v>
      </c>
      <c r="G18" s="313" t="s">
        <v>56</v>
      </c>
      <c r="H18" s="313" t="s">
        <v>47</v>
      </c>
      <c r="I18" s="313" t="s">
        <v>37</v>
      </c>
      <c r="J18" s="313" t="s">
        <v>55</v>
      </c>
      <c r="K18" s="313" t="s">
        <v>3553</v>
      </c>
      <c r="M18" s="313" t="s">
        <v>3554</v>
      </c>
      <c r="N18" s="313" t="s">
        <v>3555</v>
      </c>
      <c r="P18" s="313" t="n">
        <v>95</v>
      </c>
      <c r="Q18" s="313" t="n">
        <v>31</v>
      </c>
      <c r="T18" s="313" t="s">
        <v>217</v>
      </c>
      <c r="U18" s="313" t="s">
        <v>217</v>
      </c>
      <c r="V18" s="313" t="s">
        <v>217</v>
      </c>
      <c r="W18" s="313" t="s">
        <v>217</v>
      </c>
    </row>
    <row r="19" s="313" customFormat="1" ht="26.25" customHeight="1">
      <c r="A19" s="313" t="s">
        <v>54</v>
      </c>
      <c r="B19" s="313" t="s">
        <v>88</v>
      </c>
      <c r="C19" s="313" t="n">
        <v>5230727</v>
      </c>
      <c r="D19" s="313" t="s">
        <v>216</v>
      </c>
      <c r="E19" s="313" t="s">
        <v>283</v>
      </c>
      <c r="F19" s="313" t="s">
        <v>1138</v>
      </c>
      <c r="G19" s="313" t="s">
        <v>56</v>
      </c>
      <c r="H19" s="313" t="s">
        <v>47</v>
      </c>
      <c r="I19" s="313" t="s">
        <v>31</v>
      </c>
      <c r="J19" s="313" t="s">
        <v>57</v>
      </c>
      <c r="K19" s="313" t="s">
        <v>2403</v>
      </c>
      <c r="M19" s="313" t="s">
        <v>3556</v>
      </c>
      <c r="N19" s="313" t="s">
        <v>3557</v>
      </c>
      <c r="O19" s="313" t="s">
        <v>3558</v>
      </c>
      <c r="P19" s="313" t="s">
        <v>3559</v>
      </c>
      <c r="Q19" s="313" t="n">
        <v>34</v>
      </c>
      <c r="T19" s="313" t="s">
        <v>217</v>
      </c>
      <c r="U19" s="313" t="s">
        <v>217</v>
      </c>
      <c r="V19" s="313" t="s">
        <v>217</v>
      </c>
      <c r="W19" s="313" t="s">
        <v>217</v>
      </c>
    </row>
    <row r="20" s="313" customFormat="1" ht="26.25" customHeight="1">
      <c r="A20" s="313" t="s">
        <v>54</v>
      </c>
      <c r="B20" s="313" t="s">
        <v>88</v>
      </c>
      <c r="C20" s="313" t="n">
        <v>5230723</v>
      </c>
      <c r="D20" s="313" t="s">
        <v>233</v>
      </c>
      <c r="E20" s="313" t="s">
        <v>283</v>
      </c>
      <c r="F20" s="313" t="s">
        <v>1052</v>
      </c>
      <c r="G20" s="313" t="s">
        <v>56</v>
      </c>
      <c r="H20" s="313" t="s">
        <v>47</v>
      </c>
      <c r="I20" s="313" t="s">
        <v>37</v>
      </c>
      <c r="J20" s="313" t="s">
        <v>55</v>
      </c>
      <c r="M20" s="313" t="s">
        <v>3560</v>
      </c>
      <c r="N20" s="313" t="s">
        <v>3561</v>
      </c>
      <c r="P20" s="313" t="s">
        <v>3562</v>
      </c>
      <c r="T20" s="313" t="s">
        <v>217</v>
      </c>
      <c r="U20" s="313" t="s">
        <v>217</v>
      </c>
      <c r="V20" s="313" t="s">
        <v>217</v>
      </c>
      <c r="W20" s="313" t="s">
        <v>217</v>
      </c>
    </row>
    <row r="21" s="313" customFormat="1" ht="26.25" customHeight="1">
      <c r="A21" s="313" t="s">
        <v>54</v>
      </c>
      <c r="B21" s="313" t="s">
        <v>101</v>
      </c>
      <c r="C21" s="313" t="n">
        <v>5230821</v>
      </c>
      <c r="D21" s="313" t="s">
        <v>233</v>
      </c>
      <c r="E21" s="313" t="s">
        <v>283</v>
      </c>
      <c r="F21" s="313" t="s">
        <v>1284</v>
      </c>
      <c r="G21" s="313" t="s">
        <v>56</v>
      </c>
      <c r="H21" s="313" t="s">
        <v>49</v>
      </c>
      <c r="I21" s="313" t="s">
        <v>31</v>
      </c>
      <c r="J21" s="313" t="s">
        <v>59</v>
      </c>
      <c r="K21" s="313" t="s">
        <v>2556</v>
      </c>
      <c r="L21" s="313" t="s">
        <v>2745</v>
      </c>
      <c r="M21" s="313" t="s">
        <v>3353</v>
      </c>
      <c r="O21" s="1023" t="s">
        <v>3563</v>
      </c>
      <c r="P21" s="313" t="s">
        <v>2474</v>
      </c>
      <c r="Q21" s="313" t="n">
        <v>30</v>
      </c>
    </row>
    <row r="22" s="313" customFormat="1" ht="26.25" customHeight="1">
      <c r="A22" s="313" t="s">
        <v>54</v>
      </c>
      <c r="B22" s="313" t="s">
        <v>65</v>
      </c>
      <c r="C22" s="313" t="s">
        <v>3564</v>
      </c>
      <c r="D22" s="313" t="s">
        <v>246</v>
      </c>
      <c r="E22" s="313" t="s">
        <v>283</v>
      </c>
      <c r="F22" s="182" t="s">
        <v>257</v>
      </c>
      <c r="G22" s="313" t="s">
        <v>56</v>
      </c>
      <c r="H22" s="313" t="s">
        <v>49</v>
      </c>
      <c r="I22" s="313" t="s">
        <v>35</v>
      </c>
      <c r="J22" s="313" t="s">
        <v>55</v>
      </c>
      <c r="O22" s="313" t="s">
        <v>3565</v>
      </c>
      <c r="T22" s="313" t="s">
        <v>217</v>
      </c>
      <c r="Z22" s="313" t="s">
        <v>27</v>
      </c>
      <c r="AA22" s="313" t="n">
        <v>1</v>
      </c>
      <c r="AB22" s="313" t="n">
        <v>1</v>
      </c>
    </row>
    <row r="23" s="313" customFormat="1" ht="26.25" customHeight="1">
      <c r="A23" s="313" t="s">
        <v>54</v>
      </c>
      <c r="B23" s="313" t="s">
        <v>101</v>
      </c>
      <c r="C23" s="313" t="n">
        <v>5170871</v>
      </c>
      <c r="D23" s="313" t="s">
        <v>215</v>
      </c>
      <c r="E23" s="313" t="s">
        <v>283</v>
      </c>
      <c r="F23" s="313" t="s">
        <v>1098</v>
      </c>
      <c r="G23" s="313" t="s">
        <v>56</v>
      </c>
      <c r="H23" s="313" t="s">
        <v>47</v>
      </c>
      <c r="I23" s="313" t="s">
        <v>35</v>
      </c>
      <c r="J23" s="313" t="s">
        <v>59</v>
      </c>
      <c r="K23" s="313" t="s">
        <v>3566</v>
      </c>
      <c r="M23" s="313" t="s">
        <v>3567</v>
      </c>
      <c r="N23" s="313" t="s">
        <v>3568</v>
      </c>
      <c r="O23" s="313" t="s">
        <v>3569</v>
      </c>
      <c r="P23" s="313" t="n">
        <v>95</v>
      </c>
      <c r="Q23" s="313" t="s">
        <v>2125</v>
      </c>
    </row>
    <row r="24" s="313" customFormat="1" ht="26.25" customHeight="1">
      <c r="A24" s="313" t="s">
        <v>54</v>
      </c>
      <c r="B24" s="313" t="s">
        <v>101</v>
      </c>
      <c r="C24" s="313" t="n">
        <v>5230821</v>
      </c>
      <c r="D24" s="313" t="s">
        <v>233</v>
      </c>
      <c r="E24" s="313" t="s">
        <v>283</v>
      </c>
      <c r="F24" s="313" t="s">
        <v>1212</v>
      </c>
      <c r="G24" s="313" t="s">
        <v>56</v>
      </c>
      <c r="H24" s="313" t="s">
        <v>49</v>
      </c>
      <c r="I24" s="313" t="s">
        <v>31</v>
      </c>
      <c r="J24" s="313" t="s">
        <v>55</v>
      </c>
      <c r="K24" s="313" t="s">
        <v>3570</v>
      </c>
      <c r="L24" s="313" t="s">
        <v>3571</v>
      </c>
      <c r="M24" s="1024" t="s">
        <v>3572</v>
      </c>
      <c r="N24" s="313" t="s">
        <v>3573</v>
      </c>
      <c r="O24" s="313" t="s">
        <v>3574</v>
      </c>
      <c r="P24" s="313" t="n">
        <v>96</v>
      </c>
      <c r="Q24" s="313" t="n">
        <v>31.5</v>
      </c>
    </row>
    <row r="25" s="313" customFormat="1" ht="26.25" customHeight="1">
      <c r="A25" s="313" t="s">
        <v>54</v>
      </c>
      <c r="B25" s="313" t="s">
        <v>88</v>
      </c>
      <c r="C25" s="313" t="n">
        <v>5230727</v>
      </c>
      <c r="D25" s="313" t="s">
        <v>216</v>
      </c>
      <c r="E25" s="313" t="s">
        <v>283</v>
      </c>
      <c r="F25" s="217" t="s">
        <v>1282</v>
      </c>
      <c r="G25" s="313" t="s">
        <v>56</v>
      </c>
      <c r="H25" s="313" t="s">
        <v>43</v>
      </c>
      <c r="I25" s="313" t="s">
        <v>31</v>
      </c>
      <c r="J25" s="313" t="s">
        <v>57</v>
      </c>
      <c r="K25" s="313" t="s">
        <v>2371</v>
      </c>
      <c r="M25" s="313" t="s">
        <v>3575</v>
      </c>
      <c r="N25" s="313" t="s">
        <v>3576</v>
      </c>
      <c r="O25" s="313" t="s">
        <v>3577</v>
      </c>
      <c r="Q25" s="313" t="n">
        <v>28</v>
      </c>
      <c r="T25" s="313" t="s">
        <v>217</v>
      </c>
      <c r="U25" s="313" t="s">
        <v>217</v>
      </c>
      <c r="V25" s="313" t="s">
        <v>217</v>
      </c>
      <c r="W25" s="313" t="s">
        <v>217</v>
      </c>
    </row>
    <row r="26" s="313" customFormat="1" ht="26.25" customHeight="1">
      <c r="A26" s="313" t="s">
        <v>54</v>
      </c>
      <c r="B26" s="313" t="s">
        <v>88</v>
      </c>
      <c r="C26" s="313" t="n">
        <v>5230723</v>
      </c>
      <c r="D26" s="313" t="s">
        <v>233</v>
      </c>
      <c r="E26" s="313" t="s">
        <v>283</v>
      </c>
      <c r="F26" s="313" t="s">
        <v>1294</v>
      </c>
      <c r="G26" s="313" t="s">
        <v>56</v>
      </c>
      <c r="H26" s="313" t="s">
        <v>47</v>
      </c>
      <c r="I26" s="313" t="s">
        <v>37</v>
      </c>
      <c r="J26" s="313" t="s">
        <v>48</v>
      </c>
      <c r="L26" s="313" t="s">
        <v>1398</v>
      </c>
      <c r="M26" s="313" t="s">
        <v>3578</v>
      </c>
      <c r="N26" s="313" t="s">
        <v>3579</v>
      </c>
      <c r="Q26" s="313" t="s">
        <v>2125</v>
      </c>
      <c r="T26" s="313" t="s">
        <v>217</v>
      </c>
      <c r="U26" s="313" t="s">
        <v>217</v>
      </c>
      <c r="V26" s="313" t="s">
        <v>217</v>
      </c>
      <c r="W26" s="313" t="s">
        <v>217</v>
      </c>
    </row>
    <row r="27" s="313" customFormat="1" ht="26.25" customHeight="1">
      <c r="A27" s="313" t="s">
        <v>54</v>
      </c>
      <c r="B27" s="313" t="s">
        <v>101</v>
      </c>
      <c r="C27" s="313" t="n">
        <v>5170871</v>
      </c>
      <c r="D27" s="313" t="s">
        <v>215</v>
      </c>
      <c r="E27" s="313" t="s">
        <v>283</v>
      </c>
      <c r="F27" s="313" t="s">
        <v>1003</v>
      </c>
      <c r="G27" s="313" t="s">
        <v>56</v>
      </c>
      <c r="H27" s="313" t="s">
        <v>47</v>
      </c>
      <c r="I27" s="313" t="s">
        <v>35</v>
      </c>
      <c r="J27" s="313" t="s">
        <v>59</v>
      </c>
      <c r="K27" s="313" t="s">
        <v>2437</v>
      </c>
      <c r="L27" s="1025" t="s">
        <v>2494</v>
      </c>
      <c r="M27" s="313" t="s">
        <v>2390</v>
      </c>
      <c r="N27" s="313" t="s">
        <v>3580</v>
      </c>
      <c r="O27" s="313" t="s">
        <v>3581</v>
      </c>
      <c r="P27" s="313" t="n">
        <v>98</v>
      </c>
      <c r="Q27" s="313" t="n">
        <v>42</v>
      </c>
    </row>
    <row r="28" s="313" customFormat="1" ht="26.25" customHeight="1">
      <c r="A28" s="313" t="s">
        <v>54</v>
      </c>
      <c r="B28" s="313" t="s">
        <v>88</v>
      </c>
      <c r="C28" s="313" t="n">
        <v>5230727</v>
      </c>
      <c r="D28" s="313" t="s">
        <v>216</v>
      </c>
      <c r="E28" s="313" t="s">
        <v>283</v>
      </c>
      <c r="F28" s="217" t="s">
        <v>847</v>
      </c>
      <c r="G28" s="313" t="s">
        <v>56</v>
      </c>
      <c r="H28" s="313" t="s">
        <v>43</v>
      </c>
      <c r="I28" s="313" t="s">
        <v>31</v>
      </c>
      <c r="J28" s="313" t="s">
        <v>57</v>
      </c>
      <c r="M28" s="313" t="s">
        <v>3582</v>
      </c>
      <c r="O28" s="313" t="s">
        <v>3583</v>
      </c>
      <c r="Q28" s="313" t="s">
        <v>2125</v>
      </c>
      <c r="T28" s="313" t="s">
        <v>217</v>
      </c>
      <c r="U28" s="313" t="s">
        <v>217</v>
      </c>
      <c r="V28" s="313" t="s">
        <v>217</v>
      </c>
      <c r="W28" s="313" t="s">
        <v>217</v>
      </c>
    </row>
    <row r="29" s="313" customFormat="1" ht="26.25" customHeight="1">
      <c r="A29" s="313" t="s">
        <v>54</v>
      </c>
      <c r="B29" s="313" t="s">
        <v>65</v>
      </c>
      <c r="C29" s="313" t="n">
        <v>3132899</v>
      </c>
      <c r="D29" s="313" t="s">
        <v>215</v>
      </c>
      <c r="E29" s="313" t="s">
        <v>283</v>
      </c>
      <c r="F29" s="23" t="s">
        <v>598</v>
      </c>
      <c r="G29" s="313" t="s">
        <v>56</v>
      </c>
      <c r="H29" s="313" t="s">
        <v>47</v>
      </c>
      <c r="I29" s="313" t="s">
        <v>35</v>
      </c>
      <c r="J29" s="313" t="s">
        <v>57</v>
      </c>
      <c r="M29" s="313" t="s">
        <v>3049</v>
      </c>
      <c r="N29" s="313" t="s">
        <v>3584</v>
      </c>
      <c r="O29" s="1026" t="s">
        <v>3585</v>
      </c>
      <c r="P29" s="313" t="n">
        <v>95</v>
      </c>
      <c r="Q29" s="313" t="n">
        <v>22</v>
      </c>
      <c r="T29" s="313" t="s">
        <v>217</v>
      </c>
      <c r="Z29" s="313" t="s">
        <v>28</v>
      </c>
      <c r="AA29" s="313" t="n">
        <v>1</v>
      </c>
      <c r="AB29" s="313" t="n">
        <v>1</v>
      </c>
    </row>
    <row r="30" s="313" customFormat="1" ht="26.25" customHeight="1">
      <c r="A30" s="313" t="s">
        <v>54</v>
      </c>
      <c r="B30" s="313" t="s">
        <v>88</v>
      </c>
      <c r="C30" s="313" t="n">
        <v>5230727</v>
      </c>
      <c r="D30" s="313" t="s">
        <v>216</v>
      </c>
      <c r="E30" s="313" t="s">
        <v>283</v>
      </c>
      <c r="F30" s="313" t="s">
        <v>1177</v>
      </c>
      <c r="G30" s="313" t="s">
        <v>56</v>
      </c>
      <c r="H30" s="313" t="s">
        <v>43</v>
      </c>
      <c r="I30" s="313" t="s">
        <v>31</v>
      </c>
      <c r="J30" s="313" t="s">
        <v>55</v>
      </c>
      <c r="K30" s="313" t="s">
        <v>3586</v>
      </c>
      <c r="M30" s="313" t="s">
        <v>3587</v>
      </c>
      <c r="N30" s="313" t="s">
        <v>3588</v>
      </c>
      <c r="Q30" s="313" t="s">
        <v>2125</v>
      </c>
      <c r="T30" s="313" t="s">
        <v>217</v>
      </c>
      <c r="U30" s="313" t="s">
        <v>217</v>
      </c>
      <c r="V30" s="313" t="s">
        <v>217</v>
      </c>
      <c r="W30" s="313" t="s">
        <v>217</v>
      </c>
    </row>
    <row r="31" s="313" customFormat="1" ht="26.25" customHeight="1">
      <c r="A31" s="313" t="s">
        <v>54</v>
      </c>
      <c r="B31" s="313" t="s">
        <v>65</v>
      </c>
      <c r="C31" s="313" t="n">
        <v>3132899</v>
      </c>
      <c r="D31" s="313" t="s">
        <v>246</v>
      </c>
      <c r="E31" s="313" t="s">
        <v>283</v>
      </c>
      <c r="F31" s="182" t="s">
        <v>649</v>
      </c>
      <c r="G31" s="313" t="s">
        <v>56</v>
      </c>
      <c r="H31" s="313" t="s">
        <v>47</v>
      </c>
      <c r="I31" s="313" t="s">
        <v>35</v>
      </c>
      <c r="J31" s="313" t="s">
        <v>59</v>
      </c>
      <c r="K31" s="313" t="s">
        <v>3589</v>
      </c>
      <c r="M31" s="313" t="s">
        <v>3590</v>
      </c>
      <c r="N31" s="313" t="s">
        <v>3591</v>
      </c>
      <c r="O31" s="1027" t="s">
        <v>3592</v>
      </c>
      <c r="P31" s="313" t="n">
        <v>95</v>
      </c>
      <c r="Q31" s="313" t="n">
        <v>46</v>
      </c>
      <c r="T31" s="313" t="s">
        <v>217</v>
      </c>
      <c r="Z31" s="313" t="s">
        <v>27</v>
      </c>
      <c r="AA31" s="313" t="n">
        <v>1</v>
      </c>
      <c r="AB31" s="313" t="n">
        <v>1</v>
      </c>
    </row>
    <row r="32" s="313" customFormat="1" ht="26.25" customHeight="1">
      <c r="B32" s="313" t="s">
        <v>65</v>
      </c>
      <c r="C32" s="313" t="n">
        <v>3132888</v>
      </c>
      <c r="D32" s="313" t="s">
        <v>215</v>
      </c>
      <c r="F32" s="177" t="s">
        <v>967</v>
      </c>
      <c r="O32" s="1028" t="s">
        <v>3593</v>
      </c>
      <c r="AA32" s="313" t="n">
        <v>1</v>
      </c>
      <c r="AB32" s="313" t="n">
        <v>1</v>
      </c>
    </row>
    <row r="33" s="313" customFormat="1" ht="26.25" customHeight="1">
      <c r="A33" s="313" t="s">
        <v>54</v>
      </c>
      <c r="B33" s="313" t="s">
        <v>101</v>
      </c>
      <c r="C33" s="313" t="n">
        <v>5170871</v>
      </c>
      <c r="D33" s="313" t="s">
        <v>215</v>
      </c>
      <c r="E33" s="313" t="s">
        <v>283</v>
      </c>
      <c r="F33" s="313" t="s">
        <v>1298</v>
      </c>
      <c r="G33" s="313" t="s">
        <v>56</v>
      </c>
      <c r="H33" s="313" t="s">
        <v>47</v>
      </c>
      <c r="I33" s="313" t="s">
        <v>35</v>
      </c>
      <c r="J33" s="313" t="s">
        <v>57</v>
      </c>
      <c r="M33" s="313" t="s">
        <v>2501</v>
      </c>
      <c r="N33" s="313" t="s">
        <v>3594</v>
      </c>
      <c r="O33" s="313" t="s">
        <v>2491</v>
      </c>
      <c r="P33" s="313" t="n">
        <v>90</v>
      </c>
      <c r="Q33" s="313" t="s">
        <v>2125</v>
      </c>
      <c r="V33" s="313" t="s">
        <v>218</v>
      </c>
    </row>
    <row r="34" s="313" customFormat="1" ht="26.25" customHeight="1">
      <c r="A34" s="313" t="s">
        <v>54</v>
      </c>
      <c r="B34" s="313" t="s">
        <v>101</v>
      </c>
      <c r="C34" s="313" t="n">
        <v>5230821</v>
      </c>
      <c r="D34" s="313" t="s">
        <v>233</v>
      </c>
      <c r="E34" s="313" t="s">
        <v>283</v>
      </c>
      <c r="F34" s="313" t="s">
        <v>1105</v>
      </c>
      <c r="G34" s="313" t="s">
        <v>56</v>
      </c>
      <c r="H34" s="313" t="s">
        <v>49</v>
      </c>
      <c r="I34" s="313" t="s">
        <v>31</v>
      </c>
      <c r="J34" s="313" t="s">
        <v>59</v>
      </c>
      <c r="K34" s="313" t="s">
        <v>2371</v>
      </c>
      <c r="L34" s="313" t="s">
        <v>3595</v>
      </c>
      <c r="M34" s="313" t="s">
        <v>3596</v>
      </c>
      <c r="N34" s="313" t="s">
        <v>3597</v>
      </c>
      <c r="O34" s="313" t="s">
        <v>3598</v>
      </c>
      <c r="P34" s="313" t="n">
        <v>90</v>
      </c>
    </row>
    <row r="35" s="313" customFormat="1" ht="26.25" customHeight="1">
      <c r="A35" s="313" t="s">
        <v>54</v>
      </c>
      <c r="B35" s="313" t="s">
        <v>101</v>
      </c>
      <c r="C35" s="313" t="n">
        <v>5230821</v>
      </c>
      <c r="D35" s="313" t="s">
        <v>233</v>
      </c>
      <c r="E35" s="313" t="s">
        <v>283</v>
      </c>
      <c r="F35" s="313" t="s">
        <v>1128</v>
      </c>
      <c r="G35" s="313" t="s">
        <v>56</v>
      </c>
      <c r="H35" s="313" t="s">
        <v>49</v>
      </c>
      <c r="I35" s="313" t="s">
        <v>31</v>
      </c>
      <c r="J35" s="313" t="s">
        <v>55</v>
      </c>
      <c r="P35" s="313" t="s">
        <v>2901</v>
      </c>
    </row>
    <row r="36" s="313" customFormat="1" ht="26.25" customHeight="1">
      <c r="A36" s="313" t="s">
        <v>54</v>
      </c>
      <c r="B36" s="313" t="s">
        <v>101</v>
      </c>
      <c r="C36" s="313" t="n">
        <v>5170871</v>
      </c>
      <c r="D36" s="313" t="s">
        <v>215</v>
      </c>
      <c r="E36" s="313" t="s">
        <v>283</v>
      </c>
      <c r="F36" s="313" t="s">
        <v>1160</v>
      </c>
      <c r="G36" s="313" t="s">
        <v>56</v>
      </c>
      <c r="H36" s="313" t="s">
        <v>47</v>
      </c>
      <c r="I36" s="313" t="s">
        <v>35</v>
      </c>
      <c r="J36" s="313" t="s">
        <v>59</v>
      </c>
      <c r="K36" s="313" t="s">
        <v>2437</v>
      </c>
      <c r="L36" s="313" t="s">
        <v>2384</v>
      </c>
      <c r="M36" s="313" t="s">
        <v>3599</v>
      </c>
      <c r="N36" s="313" t="s">
        <v>3600</v>
      </c>
      <c r="O36" s="313" t="s">
        <v>3601</v>
      </c>
      <c r="P36" s="313" t="n">
        <v>97</v>
      </c>
      <c r="Q36" s="313" t="n">
        <v>39</v>
      </c>
    </row>
    <row r="37" s="313" customFormat="1" ht="26.25" customHeight="1">
      <c r="A37" s="313" t="s">
        <v>54</v>
      </c>
      <c r="B37" s="313" t="s">
        <v>101</v>
      </c>
      <c r="C37" s="313" t="n">
        <v>3132888</v>
      </c>
      <c r="D37" s="313" t="s">
        <v>215</v>
      </c>
      <c r="E37" s="313" t="s">
        <v>283</v>
      </c>
      <c r="F37" s="313" t="s">
        <v>502</v>
      </c>
      <c r="H37" s="313" t="s">
        <v>49</v>
      </c>
      <c r="I37" s="313" t="s">
        <v>35</v>
      </c>
      <c r="J37" s="313" t="s">
        <v>55</v>
      </c>
      <c r="K37" s="313" t="s">
        <v>2757</v>
      </c>
      <c r="L37" s="313" t="s">
        <v>2500</v>
      </c>
      <c r="M37" s="313" t="s">
        <v>3602</v>
      </c>
      <c r="N37" s="1029" t="s">
        <v>3603</v>
      </c>
      <c r="O37" s="313" t="s">
        <v>3604</v>
      </c>
      <c r="P37" s="313" t="s">
        <v>3605</v>
      </c>
      <c r="T37" s="313" t="s">
        <v>217</v>
      </c>
      <c r="Z37" s="313" t="s">
        <v>27</v>
      </c>
      <c r="AA37" s="313" t="n">
        <v>0</v>
      </c>
    </row>
    <row r="38" s="313" customFormat="1" ht="26.25" customHeight="1">
      <c r="A38" s="313" t="s">
        <v>54</v>
      </c>
      <c r="B38" s="313" t="s">
        <v>65</v>
      </c>
      <c r="C38" s="313" t="n">
        <v>3132888</v>
      </c>
      <c r="D38" s="313" t="s">
        <v>215</v>
      </c>
      <c r="E38" s="313" t="s">
        <v>283</v>
      </c>
      <c r="F38" s="23" t="s">
        <v>377</v>
      </c>
      <c r="G38" s="313" t="s">
        <v>56</v>
      </c>
      <c r="H38" s="313" t="s">
        <v>49</v>
      </c>
      <c r="I38" s="313" t="s">
        <v>35</v>
      </c>
      <c r="J38" s="313" t="s">
        <v>57</v>
      </c>
      <c r="O38" s="313" t="s">
        <v>3606</v>
      </c>
      <c r="T38" s="313" t="s">
        <v>217</v>
      </c>
      <c r="Z38" s="313" t="s">
        <v>27</v>
      </c>
      <c r="AA38" s="313" t="n">
        <v>1</v>
      </c>
      <c r="AB38" s="313" t="n">
        <v>1</v>
      </c>
    </row>
    <row r="39" s="313" customFormat="1" ht="26.25" customHeight="1">
      <c r="A39" s="313" t="s">
        <v>54</v>
      </c>
      <c r="B39" s="313" t="s">
        <v>101</v>
      </c>
      <c r="C39" s="313" t="n">
        <v>5170871</v>
      </c>
      <c r="D39" s="313" t="s">
        <v>215</v>
      </c>
      <c r="E39" s="313" t="s">
        <v>283</v>
      </c>
      <c r="F39" s="313" t="s">
        <v>1127</v>
      </c>
      <c r="G39" s="313" t="s">
        <v>56</v>
      </c>
      <c r="H39" s="313" t="s">
        <v>47</v>
      </c>
      <c r="I39" s="313" t="s">
        <v>35</v>
      </c>
      <c r="J39" s="313" t="s">
        <v>59</v>
      </c>
      <c r="O39" s="313" t="s">
        <v>3607</v>
      </c>
      <c r="P39" s="313" t="n">
        <v>80</v>
      </c>
      <c r="Q39" s="313" t="s">
        <v>2125</v>
      </c>
    </row>
    <row r="40" s="313" customFormat="1" ht="26.25" customHeight="1">
      <c r="A40" s="313" t="s">
        <v>54</v>
      </c>
      <c r="B40" s="313" t="s">
        <v>88</v>
      </c>
      <c r="C40" s="313" t="n">
        <v>5230723</v>
      </c>
      <c r="D40" s="313" t="s">
        <v>233</v>
      </c>
      <c r="E40" s="313" t="s">
        <v>283</v>
      </c>
      <c r="F40" s="313" t="s">
        <v>1236</v>
      </c>
      <c r="G40" s="313" t="s">
        <v>56</v>
      </c>
      <c r="H40" s="313" t="s">
        <v>47</v>
      </c>
      <c r="I40" s="313" t="s">
        <v>37</v>
      </c>
      <c r="J40" s="313" t="s">
        <v>55</v>
      </c>
      <c r="M40" s="313" t="s">
        <v>3608</v>
      </c>
      <c r="N40" s="313" t="s">
        <v>3609</v>
      </c>
      <c r="P40" s="313" t="s">
        <v>27</v>
      </c>
      <c r="Q40" s="313" t="n">
        <v>38</v>
      </c>
      <c r="T40" s="313" t="s">
        <v>217</v>
      </c>
      <c r="U40" s="313" t="s">
        <v>217</v>
      </c>
      <c r="V40" s="313" t="s">
        <v>217</v>
      </c>
      <c r="W40" s="313" t="s">
        <v>217</v>
      </c>
    </row>
    <row r="41" s="313" customFormat="1" ht="26.25" customHeight="1">
      <c r="A41" s="313" t="s">
        <v>54</v>
      </c>
      <c r="B41" s="313" t="s">
        <v>101</v>
      </c>
      <c r="C41" s="313" t="n">
        <v>5170871</v>
      </c>
      <c r="D41" s="313" t="s">
        <v>215</v>
      </c>
      <c r="E41" s="313" t="s">
        <v>283</v>
      </c>
      <c r="F41" s="313" t="s">
        <v>1100</v>
      </c>
      <c r="G41" s="313" t="s">
        <v>56</v>
      </c>
      <c r="H41" s="313" t="s">
        <v>47</v>
      </c>
      <c r="I41" s="313" t="s">
        <v>35</v>
      </c>
      <c r="J41" s="313" t="s">
        <v>59</v>
      </c>
      <c r="M41" s="313" t="s">
        <v>3252</v>
      </c>
      <c r="O41" s="313" t="s">
        <v>3610</v>
      </c>
      <c r="P41" s="313" t="n">
        <v>92</v>
      </c>
      <c r="Q41" s="313" t="s">
        <v>2125</v>
      </c>
    </row>
    <row r="42" s="313" customFormat="1" ht="26.25" customHeight="1">
      <c r="A42" s="313" t="s">
        <v>54</v>
      </c>
      <c r="B42" s="313" t="s">
        <v>65</v>
      </c>
      <c r="C42" s="313" t="s">
        <v>3564</v>
      </c>
      <c r="D42" s="313" t="s">
        <v>246</v>
      </c>
      <c r="E42" s="313" t="s">
        <v>283</v>
      </c>
      <c r="F42" s="23" t="s">
        <v>232</v>
      </c>
      <c r="G42" s="313" t="s">
        <v>56</v>
      </c>
      <c r="H42" s="313" t="s">
        <v>49</v>
      </c>
      <c r="I42" s="313" t="s">
        <v>35</v>
      </c>
      <c r="J42" s="313" t="s">
        <v>57</v>
      </c>
      <c r="O42" s="313" t="s">
        <v>3611</v>
      </c>
      <c r="T42" s="313" t="s">
        <v>217</v>
      </c>
      <c r="AA42" s="313" t="n">
        <v>1</v>
      </c>
      <c r="AB42" s="313" t="n">
        <v>1</v>
      </c>
    </row>
    <row r="43" s="313" customFormat="1" ht="26.25" customHeight="1">
      <c r="A43" s="313" t="s">
        <v>54</v>
      </c>
      <c r="B43" s="313" t="s">
        <v>101</v>
      </c>
      <c r="C43" s="313" t="n">
        <v>5170871</v>
      </c>
      <c r="D43" s="313" t="s">
        <v>215</v>
      </c>
      <c r="E43" s="313" t="s">
        <v>283</v>
      </c>
      <c r="F43" s="313" t="s">
        <v>1094</v>
      </c>
      <c r="G43" s="313" t="s">
        <v>56</v>
      </c>
      <c r="H43" s="313" t="s">
        <v>47</v>
      </c>
      <c r="I43" s="313" t="s">
        <v>35</v>
      </c>
      <c r="J43" s="313" t="s">
        <v>59</v>
      </c>
      <c r="K43" s="313" t="s">
        <v>2389</v>
      </c>
      <c r="M43" s="313" t="s">
        <v>2501</v>
      </c>
      <c r="N43" s="313" t="s">
        <v>2440</v>
      </c>
      <c r="O43" s="313" t="s">
        <v>3612</v>
      </c>
      <c r="P43" s="313" t="n">
        <v>98</v>
      </c>
      <c r="Q43" s="313" t="s">
        <v>2125</v>
      </c>
    </row>
    <row r="44" s="313" customFormat="1" ht="26.25" customHeight="1">
      <c r="A44" s="313" t="s">
        <v>54</v>
      </c>
      <c r="B44" s="313" t="s">
        <v>65</v>
      </c>
      <c r="C44" s="313" t="n">
        <v>3132888</v>
      </c>
      <c r="D44" s="313" t="s">
        <v>215</v>
      </c>
      <c r="E44" s="313" t="s">
        <v>283</v>
      </c>
      <c r="F44" s="217" t="s">
        <v>628</v>
      </c>
      <c r="G44" s="313" t="s">
        <v>56</v>
      </c>
      <c r="H44" s="313" t="s">
        <v>47</v>
      </c>
      <c r="I44" s="313" t="s">
        <v>31</v>
      </c>
      <c r="J44" s="313" t="s">
        <v>57</v>
      </c>
      <c r="K44" s="313" t="s">
        <v>3613</v>
      </c>
      <c r="L44" s="313" t="s">
        <v>3614</v>
      </c>
      <c r="M44" s="313" t="s">
        <v>3615</v>
      </c>
      <c r="N44" s="313" t="s">
        <v>3584</v>
      </c>
      <c r="O44" s="1030" t="s">
        <v>3616</v>
      </c>
      <c r="P44" s="313" t="s">
        <v>3617</v>
      </c>
      <c r="T44" s="313" t="s">
        <v>217</v>
      </c>
      <c r="AA44" s="313" t="n">
        <v>0</v>
      </c>
      <c r="AB44" s="313" t="n">
        <v>0</v>
      </c>
    </row>
    <row r="45" s="313" customFormat="1" ht="26.25" customHeight="1">
      <c r="A45" s="313" t="s">
        <v>54</v>
      </c>
      <c r="B45" s="313" t="s">
        <v>65</v>
      </c>
      <c r="C45" s="313" t="n">
        <v>3132888</v>
      </c>
      <c r="D45" s="313" t="s">
        <v>215</v>
      </c>
      <c r="E45" s="313" t="s">
        <v>283</v>
      </c>
      <c r="F45" s="182" t="s">
        <v>387</v>
      </c>
      <c r="G45" s="313" t="s">
        <v>56</v>
      </c>
      <c r="H45" s="313" t="s">
        <v>49</v>
      </c>
      <c r="I45" s="313" t="s">
        <v>35</v>
      </c>
      <c r="J45" s="313" t="s">
        <v>57</v>
      </c>
      <c r="O45" s="313" t="s">
        <v>3618</v>
      </c>
      <c r="T45" s="313" t="s">
        <v>217</v>
      </c>
      <c r="AA45" s="313" t="n">
        <v>1</v>
      </c>
      <c r="AB45" s="313" t="n">
        <v>1</v>
      </c>
    </row>
    <row r="46" s="313" customFormat="1" ht="26.25" customHeight="1">
      <c r="A46" s="313" t="s">
        <v>54</v>
      </c>
      <c r="B46" s="313" t="s">
        <v>101</v>
      </c>
      <c r="C46" s="313" t="n">
        <v>5170871</v>
      </c>
      <c r="D46" s="313" t="s">
        <v>215</v>
      </c>
      <c r="E46" s="313" t="s">
        <v>283</v>
      </c>
      <c r="F46" s="313" t="s">
        <v>1044</v>
      </c>
      <c r="G46" s="313" t="s">
        <v>56</v>
      </c>
      <c r="H46" s="313" t="s">
        <v>47</v>
      </c>
      <c r="I46" s="313" t="s">
        <v>35</v>
      </c>
      <c r="J46" s="313" t="s">
        <v>59</v>
      </c>
      <c r="K46" s="313" t="s">
        <v>2389</v>
      </c>
      <c r="M46" s="313" t="s">
        <v>2501</v>
      </c>
      <c r="N46" s="313" t="s">
        <v>3619</v>
      </c>
      <c r="O46" s="313" t="s">
        <v>3612</v>
      </c>
      <c r="P46" s="313" t="n">
        <v>90</v>
      </c>
      <c r="Q46" s="313" t="s">
        <v>2125</v>
      </c>
    </row>
    <row r="47" s="313" customFormat="1" ht="26.25" customHeight="1">
      <c r="A47" s="313" t="s">
        <v>54</v>
      </c>
      <c r="B47" s="313" t="s">
        <v>88</v>
      </c>
      <c r="C47" s="313" t="n">
        <v>5230727</v>
      </c>
      <c r="D47" s="313" t="s">
        <v>216</v>
      </c>
      <c r="E47" s="313" t="s">
        <v>283</v>
      </c>
      <c r="F47" s="313" t="s">
        <v>2392</v>
      </c>
      <c r="G47" s="313" t="s">
        <v>56</v>
      </c>
      <c r="H47" s="313" t="s">
        <v>47</v>
      </c>
      <c r="I47" s="313" t="s">
        <v>31</v>
      </c>
      <c r="J47" s="313" t="s">
        <v>57</v>
      </c>
      <c r="M47" s="313" t="s">
        <v>3620</v>
      </c>
      <c r="N47" s="313" t="s">
        <v>3621</v>
      </c>
      <c r="T47" s="313" t="s">
        <v>217</v>
      </c>
      <c r="U47" s="313" t="s">
        <v>217</v>
      </c>
      <c r="V47" s="313" t="s">
        <v>217</v>
      </c>
      <c r="W47" s="313" t="s">
        <v>217</v>
      </c>
    </row>
    <row r="48" s="313" customFormat="1" ht="26.25" customHeight="1">
      <c r="A48" s="313" t="s">
        <v>54</v>
      </c>
      <c r="B48" s="313" t="s">
        <v>65</v>
      </c>
      <c r="C48" s="313" t="n">
        <v>3132888</v>
      </c>
      <c r="D48" s="313" t="s">
        <v>215</v>
      </c>
      <c r="E48" s="313" t="s">
        <v>283</v>
      </c>
      <c r="F48" s="182" t="s">
        <v>770</v>
      </c>
      <c r="G48" s="313" t="s">
        <v>56</v>
      </c>
      <c r="H48" s="313" t="s">
        <v>49</v>
      </c>
      <c r="I48" s="313" t="s">
        <v>35</v>
      </c>
      <c r="J48" s="313" t="s">
        <v>55</v>
      </c>
      <c r="K48" s="313" t="s">
        <v>2822</v>
      </c>
      <c r="L48" s="1031" t="s">
        <v>3622</v>
      </c>
      <c r="M48" s="313" t="s">
        <v>3623</v>
      </c>
      <c r="N48" s="313" t="s">
        <v>3624</v>
      </c>
      <c r="O48" s="313" t="s">
        <v>3625</v>
      </c>
      <c r="P48" s="313" t="s">
        <v>3626</v>
      </c>
      <c r="Q48" s="313" t="n">
        <v>35</v>
      </c>
      <c r="T48" s="313" t="s">
        <v>217</v>
      </c>
      <c r="AA48" s="313" t="n">
        <v>1</v>
      </c>
      <c r="AB48" s="313" t="n">
        <v>1</v>
      </c>
    </row>
    <row r="49" s="313" customFormat="1" ht="26.25" customHeight="1">
      <c r="A49" s="313" t="s">
        <v>54</v>
      </c>
      <c r="B49" s="313" t="s">
        <v>88</v>
      </c>
      <c r="C49" s="313" t="n">
        <v>5230723</v>
      </c>
      <c r="D49" s="313" t="s">
        <v>233</v>
      </c>
      <c r="E49" s="313" t="s">
        <v>283</v>
      </c>
      <c r="F49" s="313" t="s">
        <v>1250</v>
      </c>
      <c r="G49" s="313" t="s">
        <v>56</v>
      </c>
      <c r="I49" s="313" t="s">
        <v>37</v>
      </c>
      <c r="J49" s="313" t="s">
        <v>57</v>
      </c>
      <c r="M49" s="313" t="s">
        <v>3627</v>
      </c>
      <c r="N49" s="313" t="s">
        <v>3628</v>
      </c>
      <c r="P49" s="313" t="s">
        <v>3166</v>
      </c>
      <c r="Q49" s="313" t="n">
        <v>40</v>
      </c>
      <c r="T49" s="313" t="s">
        <v>217</v>
      </c>
      <c r="U49" s="313" t="s">
        <v>217</v>
      </c>
      <c r="V49" s="313" t="s">
        <v>217</v>
      </c>
      <c r="W49" s="313" t="s">
        <v>217</v>
      </c>
    </row>
    <row r="50" s="313" customFormat="1" ht="26.25" customHeight="1">
      <c r="A50" s="313" t="s">
        <v>54</v>
      </c>
      <c r="B50" s="313" t="s">
        <v>88</v>
      </c>
      <c r="C50" s="313" t="n">
        <v>5230723</v>
      </c>
      <c r="D50" s="313" t="s">
        <v>233</v>
      </c>
      <c r="E50" s="313" t="s">
        <v>283</v>
      </c>
      <c r="F50" s="313" t="s">
        <v>1147</v>
      </c>
      <c r="G50" s="313" t="s">
        <v>56</v>
      </c>
      <c r="H50" s="313" t="s">
        <v>47</v>
      </c>
      <c r="I50" s="313" t="s">
        <v>37</v>
      </c>
      <c r="J50" s="313" t="s">
        <v>34</v>
      </c>
      <c r="K50" s="313" t="s">
        <v>3629</v>
      </c>
      <c r="M50" s="313" t="s">
        <v>3630</v>
      </c>
      <c r="N50" s="313" t="s">
        <v>3631</v>
      </c>
      <c r="P50" s="313" t="s">
        <v>749</v>
      </c>
      <c r="Q50" s="313" t="s">
        <v>2125</v>
      </c>
      <c r="T50" s="313" t="s">
        <v>217</v>
      </c>
      <c r="U50" s="313" t="s">
        <v>217</v>
      </c>
      <c r="V50" s="313" t="s">
        <v>217</v>
      </c>
      <c r="W50" s="313" t="s">
        <v>217</v>
      </c>
    </row>
    <row r="51" s="313" customFormat="1" ht="26.25" customHeight="1">
      <c r="A51" s="313" t="s">
        <v>54</v>
      </c>
      <c r="B51" s="313" t="s">
        <v>101</v>
      </c>
      <c r="C51" s="313" t="n">
        <v>5230821</v>
      </c>
      <c r="D51" s="313" t="s">
        <v>233</v>
      </c>
      <c r="E51" s="313" t="s">
        <v>283</v>
      </c>
      <c r="F51" s="313" t="s">
        <v>1248</v>
      </c>
      <c r="G51" s="313" t="s">
        <v>56</v>
      </c>
      <c r="H51" s="313" t="s">
        <v>49</v>
      </c>
      <c r="I51" s="313" t="s">
        <v>31</v>
      </c>
      <c r="J51" s="313" t="s">
        <v>34</v>
      </c>
      <c r="K51" s="313" t="s">
        <v>3171</v>
      </c>
      <c r="L51" s="313" t="s">
        <v>2500</v>
      </c>
      <c r="M51" s="313" t="s">
        <v>3632</v>
      </c>
      <c r="N51" s="313" t="s">
        <v>3040</v>
      </c>
      <c r="O51" s="1032" t="s">
        <v>3633</v>
      </c>
      <c r="P51" s="313" t="s">
        <v>3634</v>
      </c>
      <c r="Q51" s="313" t="n">
        <v>100</v>
      </c>
    </row>
    <row r="52" s="313" customFormat="1" ht="26.25" customHeight="1">
      <c r="A52" s="313" t="s">
        <v>54</v>
      </c>
      <c r="B52" s="313" t="s">
        <v>65</v>
      </c>
      <c r="C52" s="313" t="n">
        <v>3132888</v>
      </c>
      <c r="D52" s="313" t="s">
        <v>215</v>
      </c>
      <c r="E52" s="313" t="s">
        <v>283</v>
      </c>
      <c r="F52" s="182" t="s">
        <v>882</v>
      </c>
      <c r="G52" s="313" t="s">
        <v>56</v>
      </c>
      <c r="H52" s="313" t="s">
        <v>49</v>
      </c>
      <c r="I52" s="313" t="s">
        <v>35</v>
      </c>
      <c r="J52" s="313" t="s">
        <v>55</v>
      </c>
      <c r="K52" s="313" t="s">
        <v>2770</v>
      </c>
      <c r="L52" s="313" t="s">
        <v>2500</v>
      </c>
      <c r="M52" s="313" t="s">
        <v>3635</v>
      </c>
      <c r="N52" s="313" t="s">
        <v>3636</v>
      </c>
      <c r="O52" s="1033" t="s">
        <v>3637</v>
      </c>
      <c r="P52" s="313" t="s">
        <v>3638</v>
      </c>
      <c r="Q52" s="313" t="n">
        <v>35</v>
      </c>
      <c r="T52" s="313" t="s">
        <v>217</v>
      </c>
      <c r="AA52" s="313" t="n">
        <v>1</v>
      </c>
      <c r="AB52" s="313" t="n">
        <v>1</v>
      </c>
    </row>
    <row r="53" s="313" customFormat="1" ht="26.25" customHeight="1">
      <c r="A53" s="313" t="s">
        <v>54</v>
      </c>
      <c r="B53" s="313" t="s">
        <v>101</v>
      </c>
      <c r="C53" s="313" t="n">
        <v>5170871</v>
      </c>
      <c r="D53" s="313" t="s">
        <v>215</v>
      </c>
      <c r="E53" s="313" t="s">
        <v>283</v>
      </c>
      <c r="F53" s="313" t="s">
        <v>1117</v>
      </c>
      <c r="G53" s="313" t="s">
        <v>56</v>
      </c>
      <c r="H53" s="313" t="s">
        <v>47</v>
      </c>
      <c r="I53" s="313" t="s">
        <v>35</v>
      </c>
      <c r="J53" s="313" t="s">
        <v>59</v>
      </c>
      <c r="M53" s="313" t="s">
        <v>2501</v>
      </c>
      <c r="N53" s="313" t="s">
        <v>3639</v>
      </c>
      <c r="O53" s="313" t="s">
        <v>3612</v>
      </c>
      <c r="P53" s="313" t="n">
        <v>90</v>
      </c>
      <c r="Q53" s="313" t="s">
        <v>2125</v>
      </c>
    </row>
    <row r="54" s="313" customFormat="1" ht="26.25" customHeight="1">
      <c r="A54" s="313" t="s">
        <v>54</v>
      </c>
      <c r="B54" s="313" t="s">
        <v>65</v>
      </c>
      <c r="C54" s="313" t="n">
        <v>3132888</v>
      </c>
      <c r="D54" s="313" t="s">
        <v>215</v>
      </c>
      <c r="E54" s="313" t="s">
        <v>283</v>
      </c>
      <c r="F54" s="23" t="s">
        <v>887</v>
      </c>
      <c r="G54" s="313" t="s">
        <v>56</v>
      </c>
      <c r="I54" s="313" t="s">
        <v>35</v>
      </c>
      <c r="J54" s="313" t="s">
        <v>36</v>
      </c>
      <c r="L54" s="313" t="s">
        <v>2745</v>
      </c>
      <c r="O54" s="313" t="s">
        <v>3640</v>
      </c>
      <c r="P54" s="313" t="s">
        <v>2608</v>
      </c>
      <c r="Q54" s="313" t="n">
        <v>27</v>
      </c>
      <c r="T54" s="313" t="s">
        <v>217</v>
      </c>
      <c r="AA54" s="313" t="n">
        <v>1</v>
      </c>
      <c r="AB54" s="313" t="n">
        <v>1</v>
      </c>
    </row>
    <row r="55" s="313" customFormat="1" ht="26.25" customHeight="1">
      <c r="A55" s="313" t="s">
        <v>54</v>
      </c>
      <c r="B55" s="313" t="s">
        <v>101</v>
      </c>
      <c r="C55" s="313" t="n">
        <v>3132888</v>
      </c>
      <c r="D55" s="313" t="s">
        <v>215</v>
      </c>
      <c r="E55" s="313" t="s">
        <v>283</v>
      </c>
      <c r="F55" s="217" t="s">
        <v>692</v>
      </c>
      <c r="G55" s="313" t="s">
        <v>56</v>
      </c>
      <c r="H55" s="313" t="s">
        <v>49</v>
      </c>
      <c r="I55" s="313" t="s">
        <v>35</v>
      </c>
      <c r="J55" s="313" t="s">
        <v>38</v>
      </c>
      <c r="K55" s="1034" t="s">
        <v>3641</v>
      </c>
      <c r="L55" s="313" t="s">
        <v>3642</v>
      </c>
      <c r="M55" s="313" t="s">
        <v>3643</v>
      </c>
      <c r="N55" s="313" t="s">
        <v>3644</v>
      </c>
      <c r="O55" s="1035" t="s">
        <v>3645</v>
      </c>
      <c r="P55" s="313" t="s">
        <v>3646</v>
      </c>
      <c r="T55" s="313" t="s">
        <v>217</v>
      </c>
      <c r="Z55" s="313" t="s">
        <v>29</v>
      </c>
      <c r="AA55" s="313" t="n">
        <v>0</v>
      </c>
    </row>
    <row r="56" s="313" customFormat="1" ht="26.25" customHeight="1">
      <c r="A56" s="313" t="s">
        <v>54</v>
      </c>
      <c r="B56" s="313" t="s">
        <v>101</v>
      </c>
      <c r="C56" s="313" t="n">
        <v>5170871</v>
      </c>
      <c r="D56" s="313" t="s">
        <v>215</v>
      </c>
      <c r="E56" s="313" t="s">
        <v>283</v>
      </c>
      <c r="F56" s="313" t="s">
        <v>1176</v>
      </c>
      <c r="G56" s="313" t="s">
        <v>56</v>
      </c>
      <c r="H56" s="313" t="s">
        <v>47</v>
      </c>
      <c r="I56" s="313" t="s">
        <v>35</v>
      </c>
      <c r="J56" s="313" t="s">
        <v>55</v>
      </c>
      <c r="M56" s="313" t="s">
        <v>3049</v>
      </c>
      <c r="N56" s="313" t="s">
        <v>3647</v>
      </c>
      <c r="O56" s="313" t="s">
        <v>3648</v>
      </c>
      <c r="P56" s="313" t="n">
        <v>86</v>
      </c>
      <c r="Q56" s="313" t="s">
        <v>2125</v>
      </c>
    </row>
    <row r="57" s="313" customFormat="1" ht="26.25" customHeight="1">
      <c r="A57" s="313" t="s">
        <v>54</v>
      </c>
      <c r="B57" s="313" t="s">
        <v>88</v>
      </c>
      <c r="C57" s="313" t="n">
        <v>5230723</v>
      </c>
      <c r="D57" s="313" t="s">
        <v>233</v>
      </c>
      <c r="E57" s="313" t="s">
        <v>283</v>
      </c>
      <c r="F57" s="313" t="s">
        <v>1048</v>
      </c>
      <c r="G57" s="313" t="s">
        <v>56</v>
      </c>
      <c r="H57" s="313" t="s">
        <v>43</v>
      </c>
      <c r="I57" s="313" t="s">
        <v>37</v>
      </c>
      <c r="J57" s="313" t="s">
        <v>48</v>
      </c>
      <c r="M57" s="313" t="s">
        <v>3649</v>
      </c>
      <c r="N57" s="313" t="s">
        <v>3650</v>
      </c>
      <c r="T57" s="313" t="s">
        <v>217</v>
      </c>
      <c r="U57" s="313" t="s">
        <v>217</v>
      </c>
      <c r="V57" s="313" t="s">
        <v>217</v>
      </c>
      <c r="W57" s="313" t="s">
        <v>217</v>
      </c>
    </row>
    <row r="58" s="313" customFormat="1" ht="26.25" customHeight="1">
      <c r="A58" s="313" t="s">
        <v>54</v>
      </c>
      <c r="B58" s="313" t="s">
        <v>88</v>
      </c>
      <c r="C58" s="313" t="n">
        <v>5230727</v>
      </c>
      <c r="D58" s="313" t="s">
        <v>216</v>
      </c>
      <c r="E58" s="313" t="s">
        <v>283</v>
      </c>
      <c r="F58" s="313" t="s">
        <v>1242</v>
      </c>
      <c r="G58" s="313" t="s">
        <v>56</v>
      </c>
      <c r="H58" s="313" t="s">
        <v>47</v>
      </c>
      <c r="I58" s="313" t="s">
        <v>31</v>
      </c>
      <c r="J58" s="313" t="s">
        <v>57</v>
      </c>
      <c r="M58" s="313" t="s">
        <v>3651</v>
      </c>
      <c r="N58" s="313" t="s">
        <v>3621</v>
      </c>
      <c r="Q58" s="313" t="s">
        <v>2125</v>
      </c>
      <c r="T58" s="313" t="s">
        <v>217</v>
      </c>
      <c r="U58" s="313" t="s">
        <v>217</v>
      </c>
      <c r="V58" s="313" t="s">
        <v>217</v>
      </c>
      <c r="W58" s="313" t="s">
        <v>217</v>
      </c>
    </row>
    <row r="59" s="313" customFormat="1" ht="26.25" customHeight="1">
      <c r="A59" s="313" t="s">
        <v>54</v>
      </c>
      <c r="B59" s="313" t="s">
        <v>101</v>
      </c>
      <c r="C59" s="313" t="n">
        <v>5170871</v>
      </c>
      <c r="D59" s="313" t="s">
        <v>215</v>
      </c>
      <c r="E59" s="313" t="s">
        <v>283</v>
      </c>
      <c r="F59" s="313" t="s">
        <v>1193</v>
      </c>
      <c r="G59" s="313" t="s">
        <v>56</v>
      </c>
      <c r="H59" s="313" t="s">
        <v>47</v>
      </c>
      <c r="I59" s="313" t="s">
        <v>35</v>
      </c>
      <c r="J59" s="313" t="s">
        <v>55</v>
      </c>
      <c r="L59" s="1036" t="s">
        <v>2648</v>
      </c>
      <c r="M59" s="313" t="s">
        <v>3652</v>
      </c>
      <c r="N59" s="313" t="s">
        <v>3653</v>
      </c>
      <c r="O59" s="313" t="s">
        <v>3654</v>
      </c>
      <c r="P59" s="313" t="n">
        <v>95</v>
      </c>
      <c r="Q59" s="313" t="s">
        <v>2125</v>
      </c>
    </row>
    <row r="60" s="313" customFormat="1" ht="26.25" customHeight="1">
      <c r="A60" s="313" t="s">
        <v>54</v>
      </c>
      <c r="B60" s="313" t="s">
        <v>88</v>
      </c>
      <c r="C60" s="313" t="n">
        <v>5230727</v>
      </c>
      <c r="D60" s="313" t="s">
        <v>216</v>
      </c>
      <c r="E60" s="313" t="s">
        <v>283</v>
      </c>
      <c r="F60" s="313" t="s">
        <v>1009</v>
      </c>
      <c r="G60" s="313" t="s">
        <v>56</v>
      </c>
      <c r="J60" s="313" t="s">
        <v>57</v>
      </c>
      <c r="M60" s="313" t="s">
        <v>3655</v>
      </c>
      <c r="N60" s="313" t="s">
        <v>3656</v>
      </c>
      <c r="P60" s="313" t="s">
        <v>27</v>
      </c>
      <c r="T60" s="313" t="s">
        <v>217</v>
      </c>
      <c r="U60" s="313" t="s">
        <v>217</v>
      </c>
      <c r="V60" s="313" t="s">
        <v>217</v>
      </c>
      <c r="W60" s="313" t="s">
        <v>217</v>
      </c>
    </row>
    <row r="61" s="313" customFormat="1" ht="26.25" customHeight="1">
      <c r="A61" s="313" t="s">
        <v>54</v>
      </c>
      <c r="B61" s="313" t="s">
        <v>101</v>
      </c>
      <c r="C61" s="313" t="n">
        <v>5170871</v>
      </c>
      <c r="D61" s="313" t="s">
        <v>215</v>
      </c>
      <c r="E61" s="313" t="s">
        <v>283</v>
      </c>
      <c r="F61" s="313" t="s">
        <v>1131</v>
      </c>
      <c r="G61" s="313" t="s">
        <v>56</v>
      </c>
      <c r="H61" s="313" t="s">
        <v>47</v>
      </c>
      <c r="I61" s="313" t="s">
        <v>31</v>
      </c>
      <c r="J61" s="313" t="s">
        <v>55</v>
      </c>
      <c r="M61" s="313" t="s">
        <v>3657</v>
      </c>
      <c r="N61" s="313" t="s">
        <v>3619</v>
      </c>
      <c r="O61" s="313" t="s">
        <v>3658</v>
      </c>
      <c r="P61" s="313" t="n">
        <v>90</v>
      </c>
      <c r="Q61" s="313" t="n">
        <v>36</v>
      </c>
    </row>
    <row r="62" s="313" customFormat="1" ht="26.25" customHeight="1">
      <c r="A62" s="313" t="s">
        <v>54</v>
      </c>
      <c r="B62" s="313" t="s">
        <v>65</v>
      </c>
      <c r="C62" s="313" t="n">
        <v>3132899</v>
      </c>
      <c r="D62" s="313" t="s">
        <v>246</v>
      </c>
      <c r="E62" s="313" t="s">
        <v>283</v>
      </c>
      <c r="F62" s="182" t="s">
        <v>792</v>
      </c>
      <c r="G62" s="313" t="s">
        <v>56</v>
      </c>
      <c r="H62" s="313" t="s">
        <v>47</v>
      </c>
      <c r="I62" s="313" t="s">
        <v>35</v>
      </c>
      <c r="J62" s="313" t="s">
        <v>38</v>
      </c>
      <c r="M62" s="313" t="s">
        <v>3010</v>
      </c>
      <c r="N62" s="313" t="s">
        <v>3659</v>
      </c>
      <c r="O62" s="1037" t="s">
        <v>3660</v>
      </c>
      <c r="P62" s="313" t="n">
        <v>85</v>
      </c>
      <c r="Q62" s="313" t="n">
        <v>32</v>
      </c>
      <c r="T62" s="313" t="s">
        <v>217</v>
      </c>
      <c r="Z62" s="313" t="s">
        <v>29</v>
      </c>
      <c r="AA62" s="313" t="n">
        <v>1</v>
      </c>
      <c r="AB62" s="313" t="n">
        <v>1</v>
      </c>
    </row>
    <row r="63" s="313" customFormat="1" ht="26.25" customHeight="1">
      <c r="A63" s="313" t="s">
        <v>54</v>
      </c>
      <c r="B63" s="313" t="s">
        <v>88</v>
      </c>
      <c r="C63" s="313" t="n">
        <v>5230723</v>
      </c>
      <c r="D63" s="313" t="s">
        <v>233</v>
      </c>
      <c r="E63" s="313" t="s">
        <v>283</v>
      </c>
      <c r="F63" s="313" t="s">
        <v>1162</v>
      </c>
      <c r="G63" s="313" t="s">
        <v>56</v>
      </c>
      <c r="H63" s="313" t="s">
        <v>47</v>
      </c>
      <c r="I63" s="313" t="s">
        <v>37</v>
      </c>
      <c r="J63" s="313" t="s">
        <v>57</v>
      </c>
      <c r="M63" s="313" t="s">
        <v>3661</v>
      </c>
      <c r="N63" s="313" t="s">
        <v>3662</v>
      </c>
      <c r="Q63" s="313" t="n">
        <v>34</v>
      </c>
      <c r="T63" s="313" t="s">
        <v>217</v>
      </c>
      <c r="U63" s="313" t="s">
        <v>217</v>
      </c>
      <c r="V63" s="313" t="s">
        <v>217</v>
      </c>
      <c r="W63" s="313" t="s">
        <v>217</v>
      </c>
    </row>
    <row r="64" s="313" customFormat="1" ht="26.25" customHeight="1">
      <c r="A64" s="313" t="s">
        <v>54</v>
      </c>
      <c r="B64" s="313" t="s">
        <v>88</v>
      </c>
      <c r="C64" s="313" t="n">
        <v>5230727</v>
      </c>
      <c r="D64" s="313" t="s">
        <v>216</v>
      </c>
      <c r="E64" s="313" t="s">
        <v>283</v>
      </c>
      <c r="F64" s="313" t="s">
        <v>1289</v>
      </c>
      <c r="G64" s="313" t="s">
        <v>56</v>
      </c>
      <c r="J64" s="313" t="s">
        <v>59</v>
      </c>
      <c r="K64" s="313" t="s">
        <v>2766</v>
      </c>
      <c r="M64" s="313" t="s">
        <v>3663</v>
      </c>
      <c r="N64" s="313" t="s">
        <v>3664</v>
      </c>
      <c r="Q64" s="313" t="n">
        <v>31</v>
      </c>
      <c r="T64" s="313" t="s">
        <v>217</v>
      </c>
      <c r="U64" s="313" t="s">
        <v>217</v>
      </c>
      <c r="V64" s="313" t="s">
        <v>217</v>
      </c>
      <c r="W64" s="313" t="s">
        <v>217</v>
      </c>
    </row>
    <row r="65" s="313" customFormat="1" ht="26.25" customHeight="1">
      <c r="A65" s="313" t="s">
        <v>54</v>
      </c>
      <c r="B65" s="313" t="s">
        <v>101</v>
      </c>
      <c r="C65" s="313" t="n">
        <v>5230821</v>
      </c>
      <c r="D65" s="313" t="s">
        <v>233</v>
      </c>
      <c r="E65" s="313" t="s">
        <v>283</v>
      </c>
      <c r="F65" s="313" t="s">
        <v>1135</v>
      </c>
      <c r="G65" s="313" t="s">
        <v>56</v>
      </c>
      <c r="H65" s="313" t="s">
        <v>49</v>
      </c>
      <c r="I65" s="313" t="s">
        <v>31</v>
      </c>
      <c r="J65" s="313" t="s">
        <v>55</v>
      </c>
      <c r="P65" s="313" t="s">
        <v>859</v>
      </c>
    </row>
    <row r="66" s="313" customFormat="1" ht="26.25" customHeight="1">
      <c r="A66" s="313" t="s">
        <v>54</v>
      </c>
      <c r="B66" s="313" t="s">
        <v>101</v>
      </c>
      <c r="C66" s="313" t="n">
        <v>5170871</v>
      </c>
      <c r="D66" s="313" t="s">
        <v>215</v>
      </c>
      <c r="E66" s="313" t="s">
        <v>283</v>
      </c>
      <c r="F66" s="313" t="s">
        <v>1120</v>
      </c>
      <c r="G66" s="313" t="s">
        <v>56</v>
      </c>
      <c r="H66" s="313" t="s">
        <v>47</v>
      </c>
      <c r="I66" s="313" t="s">
        <v>31</v>
      </c>
      <c r="J66" s="313" t="s">
        <v>57</v>
      </c>
      <c r="K66" s="313" t="s">
        <v>2432</v>
      </c>
      <c r="M66" s="313" t="s">
        <v>2377</v>
      </c>
      <c r="N66" s="313" t="s">
        <v>3665</v>
      </c>
      <c r="O66" s="313" t="s">
        <v>3666</v>
      </c>
      <c r="P66" s="313" t="n">
        <v>70</v>
      </c>
      <c r="Q66" s="313" t="n">
        <v>30</v>
      </c>
    </row>
    <row r="67" s="313" customFormat="1" ht="26.25" customHeight="1">
      <c r="A67" s="313" t="s">
        <v>54</v>
      </c>
      <c r="B67" s="313" t="s">
        <v>65</v>
      </c>
      <c r="C67" s="313" t="n">
        <v>3132888</v>
      </c>
      <c r="D67" s="313" t="s">
        <v>215</v>
      </c>
      <c r="E67" s="313" t="s">
        <v>283</v>
      </c>
      <c r="F67" s="182" t="s">
        <v>541</v>
      </c>
      <c r="G67" s="313" t="s">
        <v>56</v>
      </c>
      <c r="H67" s="313" t="s">
        <v>49</v>
      </c>
      <c r="I67" s="313" t="s">
        <v>35</v>
      </c>
      <c r="J67" s="313" t="s">
        <v>55</v>
      </c>
      <c r="K67" s="1038" t="s">
        <v>3667</v>
      </c>
      <c r="L67" s="313" t="s">
        <v>2500</v>
      </c>
      <c r="M67" s="313" t="s">
        <v>3668</v>
      </c>
      <c r="N67" s="313" t="s">
        <v>3669</v>
      </c>
      <c r="O67" s="313" t="s">
        <v>3670</v>
      </c>
      <c r="P67" s="313" t="s">
        <v>3671</v>
      </c>
      <c r="Q67" s="313" t="s">
        <v>3672</v>
      </c>
      <c r="T67" s="313" t="s">
        <v>217</v>
      </c>
      <c r="AA67" s="313" t="n">
        <v>1</v>
      </c>
      <c r="AB67" s="313" t="n">
        <v>1</v>
      </c>
    </row>
    <row r="68" s="313" customFormat="1" ht="26.25" customHeight="1">
      <c r="A68" s="313" t="s">
        <v>54</v>
      </c>
      <c r="B68" s="313" t="s">
        <v>65</v>
      </c>
      <c r="C68" s="313" t="n">
        <v>3132899</v>
      </c>
      <c r="D68" s="313" t="s">
        <v>246</v>
      </c>
      <c r="E68" s="313" t="s">
        <v>283</v>
      </c>
      <c r="F68" s="23" t="s">
        <v>837</v>
      </c>
      <c r="G68" s="313" t="s">
        <v>56</v>
      </c>
      <c r="H68" s="313" t="s">
        <v>43</v>
      </c>
      <c r="I68" s="313" t="s">
        <v>35</v>
      </c>
      <c r="J68" s="313" t="s">
        <v>55</v>
      </c>
      <c r="M68" s="313" t="s">
        <v>3673</v>
      </c>
      <c r="N68" s="313" t="s">
        <v>3674</v>
      </c>
      <c r="O68" s="313" t="s">
        <v>3675</v>
      </c>
      <c r="P68" s="313" t="n">
        <v>85</v>
      </c>
      <c r="Q68" s="313" t="n">
        <v>30.5</v>
      </c>
      <c r="T68" s="313" t="s">
        <v>217</v>
      </c>
      <c r="Z68" s="313" t="s">
        <v>29</v>
      </c>
      <c r="AA68" s="313" t="n">
        <v>1</v>
      </c>
      <c r="AB68" s="313" t="n">
        <v>1</v>
      </c>
    </row>
    <row r="69" s="313" customFormat="1" ht="26.25" customHeight="1">
      <c r="A69" s="313" t="s">
        <v>54</v>
      </c>
      <c r="B69" s="313" t="s">
        <v>101</v>
      </c>
      <c r="C69" s="313" t="n">
        <v>5230821</v>
      </c>
      <c r="D69" s="313" t="s">
        <v>233</v>
      </c>
      <c r="E69" s="313" t="s">
        <v>283</v>
      </c>
      <c r="F69" s="313" t="s">
        <v>1157</v>
      </c>
      <c r="G69" s="313" t="s">
        <v>56</v>
      </c>
      <c r="H69" s="313" t="s">
        <v>49</v>
      </c>
      <c r="I69" s="313" t="s">
        <v>31</v>
      </c>
      <c r="J69" s="313" t="s">
        <v>57</v>
      </c>
      <c r="M69" s="313" t="s">
        <v>3676</v>
      </c>
      <c r="N69" s="313" t="s">
        <v>3677</v>
      </c>
      <c r="O69" s="1039" t="s">
        <v>3678</v>
      </c>
      <c r="P69" s="313" t="s">
        <v>3679</v>
      </c>
    </row>
    <row r="70" s="313" customFormat="1" ht="26.25" customHeight="1">
      <c r="A70" s="313" t="s">
        <v>54</v>
      </c>
      <c r="B70" s="313" t="s">
        <v>101</v>
      </c>
      <c r="C70" s="313" t="n">
        <v>5230821</v>
      </c>
      <c r="D70" s="313" t="s">
        <v>233</v>
      </c>
      <c r="E70" s="313" t="s">
        <v>283</v>
      </c>
      <c r="F70" s="313" t="s">
        <v>1149</v>
      </c>
      <c r="G70" s="313" t="s">
        <v>56</v>
      </c>
      <c r="H70" s="313" t="s">
        <v>49</v>
      </c>
      <c r="I70" s="313" t="s">
        <v>31</v>
      </c>
      <c r="J70" s="313" t="s">
        <v>57</v>
      </c>
      <c r="K70" s="313" t="s">
        <v>3680</v>
      </c>
      <c r="L70" s="313" t="s">
        <v>3681</v>
      </c>
      <c r="M70" s="313" t="s">
        <v>3682</v>
      </c>
      <c r="N70" s="313" t="s">
        <v>2479</v>
      </c>
      <c r="O70" s="313" t="s">
        <v>3683</v>
      </c>
      <c r="P70" s="1040" t="s">
        <v>3684</v>
      </c>
      <c r="Q70" s="313" t="n">
        <v>24</v>
      </c>
    </row>
    <row r="71" s="313" customFormat="1" ht="26.25" customHeight="1">
      <c r="A71" s="313" t="s">
        <v>54</v>
      </c>
      <c r="B71" s="313" t="s">
        <v>65</v>
      </c>
      <c r="C71" s="313" t="n">
        <v>3132899</v>
      </c>
      <c r="D71" s="313" t="s">
        <v>246</v>
      </c>
      <c r="E71" s="313" t="s">
        <v>283</v>
      </c>
      <c r="F71" s="23" t="s">
        <v>727</v>
      </c>
      <c r="G71" s="313" t="s">
        <v>56</v>
      </c>
      <c r="H71" s="313" t="s">
        <v>47</v>
      </c>
      <c r="I71" s="313" t="s">
        <v>35</v>
      </c>
      <c r="J71" s="313" t="s">
        <v>59</v>
      </c>
      <c r="K71" s="313" t="s">
        <v>2707</v>
      </c>
      <c r="M71" s="313" t="s">
        <v>3685</v>
      </c>
      <c r="N71" s="313" t="s">
        <v>3686</v>
      </c>
      <c r="O71" s="313" t="s">
        <v>3687</v>
      </c>
      <c r="P71" s="313" t="n">
        <v>93</v>
      </c>
      <c r="Q71" s="313" t="n">
        <v>38</v>
      </c>
      <c r="T71" s="313" t="s">
        <v>217</v>
      </c>
      <c r="Z71" s="313" t="s">
        <v>29</v>
      </c>
      <c r="AA71" s="313" t="n">
        <v>1</v>
      </c>
      <c r="AB71" s="313" t="n">
        <v>1</v>
      </c>
    </row>
    <row r="72" s="313" customFormat="1" ht="26.25" customHeight="1">
      <c r="A72" s="313" t="s">
        <v>54</v>
      </c>
      <c r="B72" s="313" t="s">
        <v>101</v>
      </c>
      <c r="C72" s="313" t="n">
        <v>4513388</v>
      </c>
      <c r="D72" s="313" t="s">
        <v>216</v>
      </c>
      <c r="E72" s="313" t="s">
        <v>283</v>
      </c>
      <c r="F72" s="313" t="s">
        <v>1026</v>
      </c>
      <c r="G72" s="313" t="s">
        <v>56</v>
      </c>
      <c r="H72" s="313" t="s">
        <v>47</v>
      </c>
      <c r="I72" s="313" t="s">
        <v>37</v>
      </c>
      <c r="J72" s="313" t="s">
        <v>55</v>
      </c>
    </row>
    <row r="73" s="313" customFormat="1" ht="26.25" customHeight="1">
      <c r="A73" s="313" t="s">
        <v>54</v>
      </c>
      <c r="B73" s="313" t="s">
        <v>65</v>
      </c>
      <c r="C73" s="313" t="n">
        <v>3132888</v>
      </c>
      <c r="D73" s="313" t="s">
        <v>215</v>
      </c>
      <c r="E73" s="313" t="s">
        <v>283</v>
      </c>
      <c r="F73" s="23" t="s">
        <v>465</v>
      </c>
      <c r="G73" s="313" t="s">
        <v>56</v>
      </c>
      <c r="H73" s="313" t="s">
        <v>49</v>
      </c>
      <c r="I73" s="313" t="s">
        <v>35</v>
      </c>
      <c r="J73" s="313" t="s">
        <v>59</v>
      </c>
      <c r="K73" s="313" t="s">
        <v>2668</v>
      </c>
      <c r="L73" s="313" t="s">
        <v>2500</v>
      </c>
      <c r="M73" s="313" t="s">
        <v>3688</v>
      </c>
      <c r="N73" s="1041" t="s">
        <v>3689</v>
      </c>
      <c r="O73" s="1042" t="s">
        <v>3690</v>
      </c>
      <c r="P73" s="313" t="s">
        <v>3691</v>
      </c>
      <c r="T73" s="313" t="s">
        <v>217</v>
      </c>
      <c r="AA73" s="313" t="n">
        <v>1</v>
      </c>
      <c r="AB73" s="313" t="n">
        <v>1</v>
      </c>
    </row>
    <row r="74" s="313" customFormat="1" ht="26.25" customHeight="1">
      <c r="A74" s="313" t="s">
        <v>54</v>
      </c>
      <c r="B74" s="313" t="s">
        <v>101</v>
      </c>
      <c r="C74" s="313" t="n">
        <v>5230821</v>
      </c>
      <c r="D74" s="313" t="s">
        <v>233</v>
      </c>
      <c r="E74" s="313" t="s">
        <v>283</v>
      </c>
      <c r="F74" s="313" t="s">
        <v>1207</v>
      </c>
      <c r="G74" s="313" t="s">
        <v>56</v>
      </c>
      <c r="H74" s="313" t="s">
        <v>49</v>
      </c>
      <c r="I74" s="313" t="s">
        <v>31</v>
      </c>
      <c r="J74" s="313" t="s">
        <v>59</v>
      </c>
      <c r="L74" s="313" t="s">
        <v>2745</v>
      </c>
      <c r="N74" s="313" t="s">
        <v>3692</v>
      </c>
      <c r="O74" s="313" t="s">
        <v>3693</v>
      </c>
      <c r="P74" s="313" t="n">
        <v>90</v>
      </c>
      <c r="Q74" s="313" t="n">
        <v>35</v>
      </c>
    </row>
    <row r="75" s="313" customFormat="1" ht="26.25" customHeight="1">
      <c r="A75" s="313" t="s">
        <v>54</v>
      </c>
      <c r="B75" s="313" t="s">
        <v>101</v>
      </c>
      <c r="C75" s="313" t="n">
        <v>4513388</v>
      </c>
      <c r="D75" s="313" t="s">
        <v>216</v>
      </c>
      <c r="E75" s="313" t="s">
        <v>283</v>
      </c>
      <c r="F75" s="313" t="s">
        <v>1058</v>
      </c>
      <c r="G75" s="313" t="s">
        <v>56</v>
      </c>
      <c r="H75" s="313" t="s">
        <v>47</v>
      </c>
      <c r="I75" s="313" t="s">
        <v>37</v>
      </c>
      <c r="J75" s="313" t="s">
        <v>55</v>
      </c>
    </row>
    <row r="76" s="313" customFormat="1" ht="26.25" customHeight="1">
      <c r="A76" s="313" t="s">
        <v>54</v>
      </c>
      <c r="B76" s="313" t="s">
        <v>101</v>
      </c>
      <c r="C76" s="313" t="n">
        <v>4513388</v>
      </c>
      <c r="D76" s="313" t="s">
        <v>216</v>
      </c>
      <c r="E76" s="313" t="s">
        <v>283</v>
      </c>
      <c r="F76" s="313" t="s">
        <v>1070</v>
      </c>
      <c r="G76" s="313" t="s">
        <v>56</v>
      </c>
      <c r="H76" s="313" t="s">
        <v>47</v>
      </c>
      <c r="I76" s="313" t="s">
        <v>37</v>
      </c>
      <c r="J76" s="313" t="s">
        <v>38</v>
      </c>
    </row>
    <row r="77" s="313" customFormat="1" ht="26.25" customHeight="1">
      <c r="A77" s="313" t="s">
        <v>54</v>
      </c>
      <c r="B77" s="313" t="s">
        <v>88</v>
      </c>
      <c r="C77" s="313" t="n">
        <v>5230723</v>
      </c>
      <c r="D77" s="313" t="s">
        <v>233</v>
      </c>
      <c r="E77" s="313" t="s">
        <v>283</v>
      </c>
      <c r="F77" s="313" t="s">
        <v>1224</v>
      </c>
      <c r="G77" s="313" t="s">
        <v>56</v>
      </c>
      <c r="H77" s="313" t="s">
        <v>47</v>
      </c>
      <c r="I77" s="313" t="s">
        <v>37</v>
      </c>
      <c r="J77" s="313" t="s">
        <v>38</v>
      </c>
      <c r="K77" s="313" t="s">
        <v>2432</v>
      </c>
      <c r="M77" s="313" t="s">
        <v>3694</v>
      </c>
      <c r="N77" s="313" t="s">
        <v>3695</v>
      </c>
      <c r="P77" s="313" t="s">
        <v>3696</v>
      </c>
      <c r="Q77" s="313" t="n">
        <v>43</v>
      </c>
      <c r="T77" s="313" t="s">
        <v>217</v>
      </c>
      <c r="U77" s="313" t="s">
        <v>217</v>
      </c>
      <c r="V77" s="313" t="s">
        <v>217</v>
      </c>
      <c r="W77" s="313" t="s">
        <v>217</v>
      </c>
    </row>
    <row r="78" s="313" customFormat="1" ht="26.25" customHeight="1">
      <c r="A78" s="313" t="s">
        <v>54</v>
      </c>
      <c r="B78" s="313" t="s">
        <v>101</v>
      </c>
      <c r="C78" s="313" t="n">
        <v>5170871</v>
      </c>
      <c r="D78" s="313" t="s">
        <v>215</v>
      </c>
      <c r="E78" s="313" t="s">
        <v>283</v>
      </c>
      <c r="F78" s="313" t="s">
        <v>1146</v>
      </c>
      <c r="G78" s="313" t="s">
        <v>56</v>
      </c>
      <c r="H78" s="313" t="s">
        <v>47</v>
      </c>
      <c r="I78" s="313" t="s">
        <v>35</v>
      </c>
      <c r="J78" s="313" t="s">
        <v>55</v>
      </c>
      <c r="M78" s="313" t="s">
        <v>3697</v>
      </c>
      <c r="N78" s="313" t="s">
        <v>3557</v>
      </c>
      <c r="O78" s="313" t="s">
        <v>3698</v>
      </c>
      <c r="P78" s="313" t="n">
        <v>96</v>
      </c>
      <c r="Q78" s="313" t="s">
        <v>2125</v>
      </c>
    </row>
    <row r="79" s="313" customFormat="1" ht="26.25" customHeight="1">
      <c r="A79" s="313" t="s">
        <v>54</v>
      </c>
      <c r="B79" s="313" t="s">
        <v>88</v>
      </c>
      <c r="C79" s="313" t="n">
        <v>5230727</v>
      </c>
      <c r="D79" s="313" t="s">
        <v>216</v>
      </c>
      <c r="E79" s="313" t="s">
        <v>283</v>
      </c>
      <c r="F79" s="313" t="s">
        <v>1037</v>
      </c>
      <c r="G79" s="313" t="s">
        <v>56</v>
      </c>
      <c r="H79" s="313" t="s">
        <v>43</v>
      </c>
      <c r="I79" s="313" t="s">
        <v>31</v>
      </c>
      <c r="J79" s="313" t="s">
        <v>57</v>
      </c>
      <c r="M79" s="313" t="s">
        <v>3699</v>
      </c>
      <c r="N79" s="313" t="s">
        <v>3700</v>
      </c>
      <c r="O79" s="313" t="s">
        <v>3701</v>
      </c>
      <c r="P79" s="313" t="s">
        <v>749</v>
      </c>
      <c r="Q79" s="313" t="s">
        <v>2125</v>
      </c>
      <c r="T79" s="313" t="s">
        <v>217</v>
      </c>
      <c r="U79" s="313" t="s">
        <v>218</v>
      </c>
      <c r="V79" s="313" t="s">
        <v>217</v>
      </c>
      <c r="W79" s="313" t="s">
        <v>217</v>
      </c>
    </row>
    <row r="80" s="313" customFormat="1" ht="26.25" customHeight="1">
      <c r="A80" s="313" t="s">
        <v>54</v>
      </c>
      <c r="B80" s="313" t="s">
        <v>101</v>
      </c>
      <c r="C80" s="313" t="n">
        <v>5170871</v>
      </c>
      <c r="D80" s="313" t="s">
        <v>215</v>
      </c>
      <c r="E80" s="313" t="s">
        <v>283</v>
      </c>
      <c r="F80" s="313" t="s">
        <v>1185</v>
      </c>
      <c r="G80" s="313" t="s">
        <v>56</v>
      </c>
      <c r="H80" s="313" t="s">
        <v>47</v>
      </c>
      <c r="I80" s="313" t="s">
        <v>35</v>
      </c>
      <c r="J80" s="313" t="s">
        <v>59</v>
      </c>
      <c r="L80" s="313" t="s">
        <v>2629</v>
      </c>
      <c r="M80" s="313" t="s">
        <v>3673</v>
      </c>
      <c r="N80" s="313" t="s">
        <v>3584</v>
      </c>
      <c r="O80" s="313" t="s">
        <v>3702</v>
      </c>
      <c r="P80" s="313" t="n">
        <v>94</v>
      </c>
      <c r="Q80" s="313" t="n">
        <v>44</v>
      </c>
    </row>
    <row r="81" s="313" customFormat="1" ht="26.25" customHeight="1">
      <c r="A81" s="313" t="s">
        <v>54</v>
      </c>
      <c r="B81" s="313" t="s">
        <v>101</v>
      </c>
      <c r="C81" s="313" t="n">
        <v>5170871</v>
      </c>
      <c r="D81" s="313" t="s">
        <v>215</v>
      </c>
      <c r="E81" s="313" t="s">
        <v>283</v>
      </c>
      <c r="F81" s="313" t="s">
        <v>1155</v>
      </c>
      <c r="G81" s="313" t="s">
        <v>56</v>
      </c>
      <c r="H81" s="313" t="s">
        <v>47</v>
      </c>
      <c r="I81" s="313" t="s">
        <v>35</v>
      </c>
      <c r="J81" s="313" t="s">
        <v>57</v>
      </c>
      <c r="K81" s="313" t="s">
        <v>2437</v>
      </c>
      <c r="L81" s="313" t="s">
        <v>2384</v>
      </c>
      <c r="M81" s="313" t="s">
        <v>2390</v>
      </c>
      <c r="N81" s="313" t="s">
        <v>3557</v>
      </c>
      <c r="O81" s="313" t="s">
        <v>3703</v>
      </c>
      <c r="P81" s="313" t="n">
        <v>90</v>
      </c>
      <c r="Q81" s="313" t="s">
        <v>2125</v>
      </c>
    </row>
    <row r="82" s="313" customFormat="1" ht="26.25" customHeight="1">
      <c r="A82" s="313" t="s">
        <v>54</v>
      </c>
      <c r="B82" s="313" t="s">
        <v>65</v>
      </c>
      <c r="C82" s="313" t="n">
        <v>3132888</v>
      </c>
      <c r="D82" s="313" t="s">
        <v>215</v>
      </c>
      <c r="E82" s="313" t="s">
        <v>283</v>
      </c>
      <c r="F82" s="23" t="s">
        <v>842</v>
      </c>
      <c r="G82" s="313" t="s">
        <v>56</v>
      </c>
      <c r="H82" s="313" t="s">
        <v>49</v>
      </c>
      <c r="I82" s="313" t="s">
        <v>35</v>
      </c>
      <c r="J82" s="313" t="s">
        <v>57</v>
      </c>
      <c r="K82" s="313" t="s">
        <v>2711</v>
      </c>
      <c r="L82" s="313" t="s">
        <v>2500</v>
      </c>
      <c r="M82" s="1043" t="s">
        <v>3704</v>
      </c>
      <c r="N82" s="313" t="s">
        <v>3705</v>
      </c>
      <c r="O82" s="313" t="s">
        <v>3706</v>
      </c>
      <c r="P82" s="313" t="s">
        <v>3707</v>
      </c>
      <c r="Q82" s="313" t="n">
        <v>27.5</v>
      </c>
      <c r="T82" s="313" t="s">
        <v>217</v>
      </c>
      <c r="AA82" s="313" t="n">
        <v>1</v>
      </c>
      <c r="AB82" s="313" t="n">
        <v>1</v>
      </c>
    </row>
    <row r="83" s="313" customFormat="1" ht="26.25" customHeight="1">
      <c r="A83" s="313" t="s">
        <v>54</v>
      </c>
      <c r="B83" s="313" t="s">
        <v>65</v>
      </c>
      <c r="C83" s="313" t="n">
        <v>3132888</v>
      </c>
      <c r="D83" s="313" t="s">
        <v>246</v>
      </c>
      <c r="E83" s="313" t="s">
        <v>283</v>
      </c>
      <c r="F83" s="23" t="s">
        <v>642</v>
      </c>
      <c r="G83" s="313" t="s">
        <v>56</v>
      </c>
      <c r="H83" s="313" t="s">
        <v>49</v>
      </c>
      <c r="I83" s="313" t="s">
        <v>35</v>
      </c>
      <c r="J83" s="313" t="s">
        <v>59</v>
      </c>
      <c r="K83" s="313" t="s">
        <v>3171</v>
      </c>
      <c r="L83" s="313" t="s">
        <v>3708</v>
      </c>
      <c r="M83" s="313" t="s">
        <v>3709</v>
      </c>
      <c r="N83" s="313" t="s">
        <v>3710</v>
      </c>
      <c r="O83" s="1044" t="s">
        <v>3711</v>
      </c>
      <c r="P83" s="313" t="s">
        <v>3712</v>
      </c>
      <c r="Q83" s="313" t="n">
        <v>41</v>
      </c>
      <c r="T83" s="313" t="s">
        <v>217</v>
      </c>
      <c r="AA83" s="313" t="n">
        <v>1</v>
      </c>
      <c r="AB83" s="313" t="n">
        <v>1</v>
      </c>
    </row>
    <row r="84" s="313" customFormat="1" ht="26.25" customHeight="1">
      <c r="A84" s="313" t="s">
        <v>54</v>
      </c>
      <c r="B84" s="313" t="s">
        <v>65</v>
      </c>
      <c r="C84" s="313" t="n">
        <v>3132899</v>
      </c>
      <c r="D84" s="313" t="s">
        <v>246</v>
      </c>
      <c r="E84" s="313" t="s">
        <v>283</v>
      </c>
      <c r="F84" s="23" t="s">
        <v>552</v>
      </c>
      <c r="G84" s="313" t="s">
        <v>56</v>
      </c>
      <c r="H84" s="313" t="s">
        <v>47</v>
      </c>
      <c r="I84" s="313" t="s">
        <v>35</v>
      </c>
      <c r="J84" s="313" t="s">
        <v>55</v>
      </c>
      <c r="K84" s="313" t="s">
        <v>2416</v>
      </c>
      <c r="N84" s="313" t="s">
        <v>3713</v>
      </c>
      <c r="O84" s="313" t="s">
        <v>3714</v>
      </c>
      <c r="P84" s="313" t="n">
        <v>95</v>
      </c>
      <c r="Q84" s="313" t="s">
        <v>2125</v>
      </c>
      <c r="T84" s="313" t="s">
        <v>217</v>
      </c>
      <c r="Z84" s="313" t="s">
        <v>28</v>
      </c>
      <c r="AA84" s="313" t="n">
        <v>1</v>
      </c>
      <c r="AB84" s="313" t="n">
        <v>1</v>
      </c>
    </row>
    <row r="85" s="313" customFormat="1" ht="26.25" customHeight="1">
      <c r="A85" s="313" t="s">
        <v>54</v>
      </c>
      <c r="B85" s="313" t="s">
        <v>88</v>
      </c>
      <c r="C85" s="313" t="n">
        <v>5230723</v>
      </c>
      <c r="D85" s="313" t="s">
        <v>233</v>
      </c>
      <c r="E85" s="313" t="s">
        <v>283</v>
      </c>
      <c r="F85" s="313" t="s">
        <v>1038</v>
      </c>
      <c r="G85" s="313" t="s">
        <v>56</v>
      </c>
      <c r="J85" s="313" t="s">
        <v>38</v>
      </c>
      <c r="M85" s="313" t="s">
        <v>3715</v>
      </c>
      <c r="N85" s="313" t="s">
        <v>3716</v>
      </c>
      <c r="O85" s="313" t="s">
        <v>3717</v>
      </c>
      <c r="P85" s="313" t="n">
        <v>90</v>
      </c>
      <c r="T85" s="313" t="s">
        <v>217</v>
      </c>
      <c r="U85" s="313" t="s">
        <v>217</v>
      </c>
      <c r="V85" s="313" t="s">
        <v>217</v>
      </c>
      <c r="W85" s="313" t="s">
        <v>217</v>
      </c>
    </row>
    <row r="86" s="313" customFormat="1" ht="26.25" customHeight="1">
      <c r="A86" s="313" t="s">
        <v>54</v>
      </c>
      <c r="B86" s="313" t="s">
        <v>88</v>
      </c>
      <c r="C86" s="313" t="n">
        <v>5230727</v>
      </c>
      <c r="D86" s="313" t="s">
        <v>216</v>
      </c>
      <c r="E86" s="313" t="s">
        <v>283</v>
      </c>
      <c r="F86" s="313" t="s">
        <v>1085</v>
      </c>
      <c r="G86" s="313" t="s">
        <v>56</v>
      </c>
      <c r="H86" s="313" t="s">
        <v>43</v>
      </c>
      <c r="I86" s="313" t="s">
        <v>31</v>
      </c>
      <c r="J86" s="313" t="s">
        <v>36</v>
      </c>
      <c r="K86" s="313" t="s">
        <v>2437</v>
      </c>
      <c r="M86" s="313" t="s">
        <v>3718</v>
      </c>
      <c r="N86" s="313" t="s">
        <v>3719</v>
      </c>
      <c r="P86" s="313" t="n">
        <v>97.5</v>
      </c>
      <c r="Q86" s="313" t="n">
        <v>40</v>
      </c>
      <c r="T86" s="313" t="s">
        <v>217</v>
      </c>
      <c r="U86" s="313" t="s">
        <v>217</v>
      </c>
      <c r="V86" s="313" t="s">
        <v>217</v>
      </c>
      <c r="W86" s="313" t="s">
        <v>217</v>
      </c>
    </row>
    <row r="87" s="313" customFormat="1" ht="26.25" customHeight="1">
      <c r="A87" s="313" t="s">
        <v>54</v>
      </c>
      <c r="B87" s="313" t="s">
        <v>101</v>
      </c>
      <c r="C87" s="313" t="n">
        <v>4513388</v>
      </c>
      <c r="D87" s="313" t="s">
        <v>216</v>
      </c>
      <c r="E87" s="313" t="s">
        <v>283</v>
      </c>
      <c r="F87" s="313" t="s">
        <v>1084</v>
      </c>
      <c r="G87" s="313" t="s">
        <v>56</v>
      </c>
      <c r="H87" s="313" t="s">
        <v>47</v>
      </c>
      <c r="I87" s="313" t="s">
        <v>37</v>
      </c>
      <c r="J87" s="313" t="s">
        <v>36</v>
      </c>
    </row>
    <row r="88" s="313" customFormat="1" ht="26.25" customHeight="1">
      <c r="A88" s="313" t="s">
        <v>54</v>
      </c>
      <c r="B88" s="313" t="s">
        <v>88</v>
      </c>
      <c r="C88" s="313" t="n">
        <v>5230723</v>
      </c>
      <c r="D88" s="313" t="s">
        <v>233</v>
      </c>
      <c r="E88" s="313" t="s">
        <v>283</v>
      </c>
      <c r="F88" s="313" t="s">
        <v>1181</v>
      </c>
      <c r="G88" s="313" t="s">
        <v>56</v>
      </c>
      <c r="H88" s="313" t="s">
        <v>47</v>
      </c>
      <c r="I88" s="313" t="s">
        <v>37</v>
      </c>
      <c r="J88" s="313" t="s">
        <v>59</v>
      </c>
      <c r="M88" s="313" t="s">
        <v>3720</v>
      </c>
      <c r="N88" s="313" t="s">
        <v>3721</v>
      </c>
      <c r="P88" s="313" t="s">
        <v>3722</v>
      </c>
      <c r="Q88" s="313" t="n">
        <v>32</v>
      </c>
      <c r="T88" s="313" t="s">
        <v>217</v>
      </c>
      <c r="U88" s="313" t="s">
        <v>217</v>
      </c>
      <c r="V88" s="313" t="s">
        <v>217</v>
      </c>
      <c r="W88" s="313" t="s">
        <v>217</v>
      </c>
    </row>
    <row r="89" s="313" customFormat="1" ht="26.25" customHeight="1">
      <c r="A89" s="313" t="s">
        <v>54</v>
      </c>
      <c r="B89" s="313" t="s">
        <v>101</v>
      </c>
      <c r="C89" s="313" t="n">
        <v>5230821</v>
      </c>
      <c r="D89" s="313" t="s">
        <v>233</v>
      </c>
      <c r="E89" s="313" t="s">
        <v>283</v>
      </c>
      <c r="F89" s="313" t="s">
        <v>1107</v>
      </c>
      <c r="G89" s="313" t="s">
        <v>56</v>
      </c>
      <c r="H89" s="313" t="s">
        <v>47</v>
      </c>
      <c r="I89" s="313" t="s">
        <v>37</v>
      </c>
      <c r="J89" s="313" t="s">
        <v>36</v>
      </c>
    </row>
    <row r="90" s="313" customFormat="1" ht="26.25" customHeight="1">
      <c r="A90" s="313" t="s">
        <v>54</v>
      </c>
      <c r="B90" s="313" t="s">
        <v>101</v>
      </c>
      <c r="C90" s="313" t="n">
        <v>5170871</v>
      </c>
      <c r="D90" s="313" t="s">
        <v>215</v>
      </c>
      <c r="E90" s="313" t="s">
        <v>283</v>
      </c>
      <c r="F90" s="313" t="s">
        <v>1274</v>
      </c>
      <c r="G90" s="313" t="s">
        <v>56</v>
      </c>
      <c r="H90" s="313" t="s">
        <v>47</v>
      </c>
      <c r="I90" s="313" t="s">
        <v>35</v>
      </c>
      <c r="J90" s="313" t="s">
        <v>55</v>
      </c>
      <c r="K90" s="313" t="s">
        <v>318</v>
      </c>
      <c r="M90" s="313" t="s">
        <v>3723</v>
      </c>
      <c r="O90" s="313" t="s">
        <v>3724</v>
      </c>
      <c r="P90" s="313" t="n">
        <v>93</v>
      </c>
      <c r="Q90" s="313" t="n">
        <v>43</v>
      </c>
    </row>
    <row r="91" s="313" customFormat="1" ht="26.25" customHeight="1">
      <c r="A91" s="313" t="s">
        <v>54</v>
      </c>
      <c r="B91" s="313" t="s">
        <v>101</v>
      </c>
      <c r="C91" s="313" t="n">
        <v>5170871</v>
      </c>
      <c r="D91" s="313" t="s">
        <v>215</v>
      </c>
      <c r="E91" s="313" t="s">
        <v>283</v>
      </c>
      <c r="F91" s="313" t="s">
        <v>1116</v>
      </c>
      <c r="G91" s="313" t="s">
        <v>56</v>
      </c>
      <c r="H91" s="313" t="s">
        <v>47</v>
      </c>
      <c r="I91" s="313" t="s">
        <v>35</v>
      </c>
      <c r="J91" s="313" t="s">
        <v>59</v>
      </c>
      <c r="K91" s="313" t="s">
        <v>2389</v>
      </c>
      <c r="M91" s="313" t="s">
        <v>2501</v>
      </c>
      <c r="N91" s="313" t="s">
        <v>2440</v>
      </c>
      <c r="O91" s="313" t="s">
        <v>3612</v>
      </c>
      <c r="P91" s="313" t="n">
        <v>95</v>
      </c>
      <c r="Q91" s="313" t="s">
        <v>2125</v>
      </c>
    </row>
    <row r="92" s="313" customFormat="1" ht="26.25" customHeight="1">
      <c r="A92" s="313" t="s">
        <v>54</v>
      </c>
      <c r="B92" s="313" t="s">
        <v>101</v>
      </c>
      <c r="C92" s="313" t="n">
        <v>5230821</v>
      </c>
      <c r="D92" s="313" t="s">
        <v>233</v>
      </c>
      <c r="E92" s="313" t="s">
        <v>283</v>
      </c>
      <c r="F92" s="313" t="s">
        <v>1275</v>
      </c>
      <c r="G92" s="313" t="s">
        <v>56</v>
      </c>
      <c r="H92" s="313" t="s">
        <v>49</v>
      </c>
      <c r="I92" s="313" t="s">
        <v>31</v>
      </c>
      <c r="J92" s="313" t="s">
        <v>55</v>
      </c>
      <c r="K92" s="313" t="s">
        <v>318</v>
      </c>
      <c r="L92" s="1045" t="s">
        <v>3725</v>
      </c>
      <c r="M92" s="313" t="s">
        <v>3726</v>
      </c>
      <c r="N92" s="313" t="s">
        <v>3727</v>
      </c>
      <c r="O92" s="313" t="s">
        <v>3728</v>
      </c>
      <c r="P92" s="313" t="s">
        <v>3729</v>
      </c>
      <c r="Q92" s="313" t="n">
        <v>41</v>
      </c>
    </row>
    <row r="93" s="313" customFormat="1" ht="26.25" customHeight="1">
      <c r="A93" s="313" t="s">
        <v>54</v>
      </c>
      <c r="B93" s="313" t="s">
        <v>88</v>
      </c>
      <c r="C93" s="313" t="n">
        <v>5230723</v>
      </c>
      <c r="D93" s="313" t="s">
        <v>233</v>
      </c>
      <c r="E93" s="313" t="s">
        <v>283</v>
      </c>
      <c r="F93" s="313" t="s">
        <v>1015</v>
      </c>
      <c r="G93" s="313" t="s">
        <v>56</v>
      </c>
      <c r="H93" s="313" t="s">
        <v>47</v>
      </c>
      <c r="I93" s="313" t="s">
        <v>37</v>
      </c>
      <c r="J93" s="313" t="s">
        <v>59</v>
      </c>
      <c r="M93" s="313" t="s">
        <v>3730</v>
      </c>
      <c r="N93" s="313" t="s">
        <v>3731</v>
      </c>
      <c r="P93" s="313" t="n">
        <v>90</v>
      </c>
      <c r="Q93" s="313" t="n">
        <v>38</v>
      </c>
      <c r="T93" s="313" t="s">
        <v>217</v>
      </c>
      <c r="U93" s="313" t="s">
        <v>217</v>
      </c>
      <c r="V93" s="313" t="s">
        <v>217</v>
      </c>
      <c r="W93" s="313" t="s">
        <v>217</v>
      </c>
    </row>
    <row r="94" s="313" customFormat="1" ht="26.25" customHeight="1">
      <c r="A94" s="313" t="s">
        <v>54</v>
      </c>
      <c r="B94" s="313" t="s">
        <v>101</v>
      </c>
      <c r="C94" s="313" t="n">
        <v>5230821</v>
      </c>
      <c r="D94" s="313" t="s">
        <v>233</v>
      </c>
      <c r="E94" s="313" t="s">
        <v>283</v>
      </c>
      <c r="F94" s="313" t="s">
        <v>1132</v>
      </c>
      <c r="G94" s="313" t="s">
        <v>56</v>
      </c>
      <c r="H94" s="313" t="s">
        <v>49</v>
      </c>
      <c r="I94" s="313" t="s">
        <v>31</v>
      </c>
      <c r="J94" s="313" t="s">
        <v>48</v>
      </c>
      <c r="K94" s="313" t="s">
        <v>3732</v>
      </c>
      <c r="L94" s="313" t="s">
        <v>2500</v>
      </c>
      <c r="M94" s="313" t="s">
        <v>3733</v>
      </c>
      <c r="N94" s="1046" t="s">
        <v>3734</v>
      </c>
      <c r="O94" s="313" t="s">
        <v>3735</v>
      </c>
      <c r="P94" s="313" t="s">
        <v>3736</v>
      </c>
    </row>
    <row r="95" s="313" customFormat="1" ht="26.25" customHeight="1">
      <c r="A95" s="313" t="s">
        <v>54</v>
      </c>
      <c r="B95" s="313" t="s">
        <v>65</v>
      </c>
      <c r="C95" s="313" t="n">
        <v>3132888</v>
      </c>
      <c r="D95" s="313" t="s">
        <v>215</v>
      </c>
      <c r="E95" s="313" t="s">
        <v>283</v>
      </c>
      <c r="F95" s="182" t="s">
        <v>698</v>
      </c>
      <c r="G95" s="313" t="s">
        <v>56</v>
      </c>
      <c r="H95" s="313" t="s">
        <v>47</v>
      </c>
      <c r="I95" s="313" t="s">
        <v>37</v>
      </c>
      <c r="J95" s="313" t="s">
        <v>34</v>
      </c>
      <c r="K95" s="313" t="s">
        <v>2434</v>
      </c>
      <c r="M95" s="313" t="s">
        <v>3737</v>
      </c>
      <c r="N95" s="313" t="s">
        <v>3738</v>
      </c>
      <c r="O95" s="470" t="s">
        <v>3723</v>
      </c>
      <c r="P95" s="313" t="n">
        <v>90</v>
      </c>
      <c r="Q95" s="313" t="n">
        <v>31</v>
      </c>
      <c r="T95" s="313" t="s">
        <v>217</v>
      </c>
      <c r="V95" s="313" t="s">
        <v>218</v>
      </c>
      <c r="AA95" s="313" t="n">
        <v>1</v>
      </c>
      <c r="AB95" s="313" t="n">
        <v>1</v>
      </c>
    </row>
    <row r="96" s="313" customFormat="1" ht="26.25" customHeight="1">
      <c r="A96" s="313" t="s">
        <v>54</v>
      </c>
      <c r="B96" s="313" t="s">
        <v>101</v>
      </c>
      <c r="C96" s="313" t="n">
        <v>5170871</v>
      </c>
      <c r="D96" s="313" t="s">
        <v>215</v>
      </c>
      <c r="E96" s="313" t="s">
        <v>283</v>
      </c>
      <c r="F96" s="313" t="s">
        <v>1183</v>
      </c>
      <c r="G96" s="313" t="s">
        <v>56</v>
      </c>
      <c r="H96" s="313" t="s">
        <v>47</v>
      </c>
      <c r="I96" s="313" t="s">
        <v>35</v>
      </c>
      <c r="J96" s="313" t="s">
        <v>36</v>
      </c>
      <c r="M96" s="313" t="s">
        <v>2501</v>
      </c>
      <c r="N96" s="313" t="s">
        <v>3557</v>
      </c>
      <c r="O96" s="313" t="s">
        <v>3739</v>
      </c>
      <c r="P96" s="313" t="n">
        <v>90</v>
      </c>
      <c r="Q96" s="313" t="n">
        <v>35</v>
      </c>
    </row>
    <row r="97" s="313" customFormat="1" ht="26.25" customHeight="1">
      <c r="A97" s="313" t="s">
        <v>54</v>
      </c>
      <c r="B97" s="313" t="s">
        <v>101</v>
      </c>
      <c r="C97" s="313" t="n">
        <v>5230821</v>
      </c>
      <c r="D97" s="313" t="s">
        <v>233</v>
      </c>
      <c r="E97" s="313" t="s">
        <v>283</v>
      </c>
      <c r="F97" s="313" t="s">
        <v>1291</v>
      </c>
      <c r="G97" s="313" t="s">
        <v>56</v>
      </c>
      <c r="H97" s="313" t="s">
        <v>49</v>
      </c>
      <c r="I97" s="313" t="s">
        <v>31</v>
      </c>
      <c r="J97" s="313" t="s">
        <v>55</v>
      </c>
      <c r="P97" s="313" t="s">
        <v>3740</v>
      </c>
    </row>
    <row r="98" s="313" customFormat="1" ht="26.25" customHeight="1">
      <c r="A98" s="313" t="s">
        <v>54</v>
      </c>
      <c r="B98" s="313" t="s">
        <v>101</v>
      </c>
      <c r="C98" s="313" t="n">
        <v>5230821</v>
      </c>
      <c r="D98" s="313" t="s">
        <v>233</v>
      </c>
      <c r="E98" s="313" t="s">
        <v>283</v>
      </c>
      <c r="F98" s="313" t="s">
        <v>524</v>
      </c>
      <c r="G98" s="313" t="s">
        <v>56</v>
      </c>
      <c r="H98" s="313" t="s">
        <v>49</v>
      </c>
      <c r="I98" s="313" t="s">
        <v>31</v>
      </c>
      <c r="J98" s="313" t="s">
        <v>59</v>
      </c>
      <c r="P98" s="313" t="n">
        <v>90</v>
      </c>
      <c r="Q98" s="313" t="n">
        <v>43</v>
      </c>
    </row>
    <row r="99" s="313" customFormat="1" ht="26.25" customHeight="1">
      <c r="A99" s="313" t="s">
        <v>54</v>
      </c>
      <c r="B99" s="313" t="s">
        <v>101</v>
      </c>
      <c r="C99" s="313" t="n">
        <v>5170871</v>
      </c>
      <c r="D99" s="313" t="s">
        <v>215</v>
      </c>
      <c r="E99" s="313" t="s">
        <v>283</v>
      </c>
      <c r="F99" s="313" t="s">
        <v>1114</v>
      </c>
      <c r="G99" s="313" t="s">
        <v>56</v>
      </c>
      <c r="H99" s="313" t="s">
        <v>47</v>
      </c>
      <c r="I99" s="313" t="s">
        <v>35</v>
      </c>
      <c r="J99" s="313" t="s">
        <v>59</v>
      </c>
      <c r="K99" s="313" t="s">
        <v>2389</v>
      </c>
      <c r="M99" s="313" t="s">
        <v>3741</v>
      </c>
      <c r="N99" s="313" t="s">
        <v>3742</v>
      </c>
      <c r="O99" s="313" t="s">
        <v>3743</v>
      </c>
      <c r="P99" s="313" t="n">
        <v>90</v>
      </c>
      <c r="Q99" s="313" t="s">
        <v>2125</v>
      </c>
    </row>
    <row r="100" s="313" customFormat="1" ht="26.25" customHeight="1">
      <c r="A100" s="313" t="s">
        <v>54</v>
      </c>
      <c r="B100" s="313" t="s">
        <v>88</v>
      </c>
      <c r="C100" s="313" t="n">
        <v>5230727</v>
      </c>
      <c r="D100" s="313" t="s">
        <v>216</v>
      </c>
      <c r="E100" s="313" t="s">
        <v>283</v>
      </c>
      <c r="F100" s="217" t="s">
        <v>1271</v>
      </c>
      <c r="G100" s="313" t="s">
        <v>56</v>
      </c>
      <c r="H100" s="313" t="s">
        <v>43</v>
      </c>
      <c r="I100" s="313" t="s">
        <v>31</v>
      </c>
      <c r="J100" s="313" t="s">
        <v>57</v>
      </c>
      <c r="K100" s="313" t="s">
        <v>3744</v>
      </c>
      <c r="M100" s="313" t="s">
        <v>3745</v>
      </c>
      <c r="N100" s="313" t="s">
        <v>3746</v>
      </c>
      <c r="O100" s="313" t="s">
        <v>3747</v>
      </c>
      <c r="P100" s="313" t="s">
        <v>3748</v>
      </c>
      <c r="Q100" s="313" t="s">
        <v>2125</v>
      </c>
      <c r="T100" s="313" t="s">
        <v>217</v>
      </c>
      <c r="U100" s="313" t="s">
        <v>217</v>
      </c>
      <c r="V100" s="313" t="s">
        <v>217</v>
      </c>
      <c r="W100" s="313" t="s">
        <v>217</v>
      </c>
    </row>
    <row r="101" s="313" customFormat="1" ht="26.25" customHeight="1">
      <c r="A101" s="313" t="s">
        <v>54</v>
      </c>
      <c r="B101" s="313" t="s">
        <v>101</v>
      </c>
      <c r="C101" s="313" t="n">
        <v>5230821</v>
      </c>
      <c r="D101" s="313" t="s">
        <v>233</v>
      </c>
      <c r="E101" s="313" t="s">
        <v>283</v>
      </c>
      <c r="F101" s="313" t="s">
        <v>1182</v>
      </c>
      <c r="G101" s="313" t="s">
        <v>56</v>
      </c>
      <c r="H101" s="313" t="s">
        <v>49</v>
      </c>
      <c r="I101" s="313" t="s">
        <v>31</v>
      </c>
      <c r="J101" s="313" t="s">
        <v>59</v>
      </c>
      <c r="K101" s="313" t="s">
        <v>3749</v>
      </c>
      <c r="L101" s="313" t="s">
        <v>2500</v>
      </c>
      <c r="M101" s="313" t="s">
        <v>3750</v>
      </c>
      <c r="N101" s="313" t="s">
        <v>3751</v>
      </c>
      <c r="O101" s="313" t="s">
        <v>3752</v>
      </c>
      <c r="P101" s="313" t="s">
        <v>3753</v>
      </c>
      <c r="Q101" s="313" t="n">
        <v>25.5</v>
      </c>
    </row>
    <row r="102" s="313" customFormat="1" ht="26.25" customHeight="1">
      <c r="A102" s="313" t="s">
        <v>54</v>
      </c>
      <c r="B102" s="313" t="s">
        <v>101</v>
      </c>
      <c r="C102" s="313" t="n">
        <v>4513388</v>
      </c>
      <c r="D102" s="313" t="s">
        <v>216</v>
      </c>
      <c r="E102" s="313" t="s">
        <v>283</v>
      </c>
      <c r="F102" s="313" t="s">
        <v>1075</v>
      </c>
      <c r="G102" s="313" t="s">
        <v>56</v>
      </c>
      <c r="H102" s="313" t="s">
        <v>47</v>
      </c>
      <c r="I102" s="313" t="s">
        <v>37</v>
      </c>
      <c r="J102" s="313" t="s">
        <v>55</v>
      </c>
    </row>
    <row r="103" s="313" customFormat="1" ht="26.25" customHeight="1">
      <c r="A103" s="313" t="s">
        <v>54</v>
      </c>
      <c r="B103" s="313" t="s">
        <v>88</v>
      </c>
      <c r="C103" s="313" t="n">
        <v>5230727</v>
      </c>
      <c r="D103" s="313" t="s">
        <v>216</v>
      </c>
      <c r="E103" s="313" t="s">
        <v>283</v>
      </c>
      <c r="F103" s="217" t="s">
        <v>1141</v>
      </c>
      <c r="G103" s="313" t="s">
        <v>56</v>
      </c>
      <c r="H103" s="313" t="s">
        <v>47</v>
      </c>
      <c r="I103" s="313" t="s">
        <v>31</v>
      </c>
      <c r="J103" s="313" t="s">
        <v>36</v>
      </c>
      <c r="K103" s="313" t="s">
        <v>3754</v>
      </c>
      <c r="M103" s="313" t="s">
        <v>2390</v>
      </c>
      <c r="N103" s="313" t="s">
        <v>3557</v>
      </c>
      <c r="O103" s="313" t="s">
        <v>3755</v>
      </c>
      <c r="P103" s="313" t="n">
        <v>90</v>
      </c>
      <c r="Q103" s="313" t="s">
        <v>2125</v>
      </c>
      <c r="T103" s="313" t="s">
        <v>217</v>
      </c>
      <c r="U103" s="313" t="s">
        <v>217</v>
      </c>
      <c r="V103" s="313" t="s">
        <v>217</v>
      </c>
      <c r="W103" s="313" t="s">
        <v>217</v>
      </c>
    </row>
    <row r="104" s="313" customFormat="1" ht="26.25" customHeight="1">
      <c r="A104" s="313" t="s">
        <v>54</v>
      </c>
      <c r="B104" s="313" t="s">
        <v>101</v>
      </c>
      <c r="C104" s="313" t="n">
        <v>5230821</v>
      </c>
      <c r="D104" s="313" t="s">
        <v>233</v>
      </c>
      <c r="E104" s="313" t="s">
        <v>283</v>
      </c>
      <c r="F104" s="313" t="s">
        <v>1186</v>
      </c>
      <c r="G104" s="313" t="s">
        <v>56</v>
      </c>
      <c r="H104" s="313" t="s">
        <v>49</v>
      </c>
      <c r="I104" s="313" t="s">
        <v>31</v>
      </c>
      <c r="J104" s="313" t="s">
        <v>57</v>
      </c>
    </row>
    <row r="105" s="313" customFormat="1" ht="26.25" customHeight="1">
      <c r="A105" s="313" t="s">
        <v>54</v>
      </c>
      <c r="B105" s="313" t="s">
        <v>88</v>
      </c>
      <c r="C105" s="313" t="n">
        <v>5230727</v>
      </c>
      <c r="D105" s="313" t="s">
        <v>216</v>
      </c>
      <c r="E105" s="313" t="s">
        <v>283</v>
      </c>
      <c r="F105" s="313" t="s">
        <v>1087</v>
      </c>
      <c r="G105" s="313" t="s">
        <v>56</v>
      </c>
      <c r="H105" s="313" t="s">
        <v>43</v>
      </c>
      <c r="I105" s="313" t="s">
        <v>31</v>
      </c>
      <c r="J105" s="313" t="s">
        <v>55</v>
      </c>
      <c r="M105" s="313" t="s">
        <v>3756</v>
      </c>
      <c r="O105" s="313" t="s">
        <v>3757</v>
      </c>
      <c r="Q105" s="313" t="s">
        <v>2125</v>
      </c>
      <c r="T105" s="313" t="s">
        <v>217</v>
      </c>
      <c r="U105" s="313" t="s">
        <v>218</v>
      </c>
      <c r="V105" s="313" t="s">
        <v>217</v>
      </c>
      <c r="W105" s="313" t="s">
        <v>217</v>
      </c>
    </row>
    <row r="106" s="313" customFormat="1" ht="26.25" customHeight="1">
      <c r="A106" s="313" t="s">
        <v>54</v>
      </c>
      <c r="B106" s="313" t="s">
        <v>88</v>
      </c>
      <c r="C106" s="313" t="n">
        <v>5230723</v>
      </c>
      <c r="D106" s="313" t="s">
        <v>233</v>
      </c>
      <c r="E106" s="313" t="s">
        <v>283</v>
      </c>
      <c r="F106" s="217" t="s">
        <v>2877</v>
      </c>
      <c r="G106" s="313" t="s">
        <v>56</v>
      </c>
      <c r="H106" s="313" t="s">
        <v>47</v>
      </c>
      <c r="I106" s="313" t="s">
        <v>37</v>
      </c>
      <c r="J106" s="313" t="s">
        <v>36</v>
      </c>
      <c r="M106" s="313" t="s">
        <v>3758</v>
      </c>
      <c r="N106" s="313" t="s">
        <v>3759</v>
      </c>
      <c r="O106" s="313" t="s">
        <v>3760</v>
      </c>
      <c r="P106" s="313" t="n">
        <v>90</v>
      </c>
      <c r="T106" s="313" t="s">
        <v>217</v>
      </c>
      <c r="U106" s="313" t="s">
        <v>217</v>
      </c>
      <c r="V106" s="313" t="s">
        <v>217</v>
      </c>
      <c r="W106" s="313" t="s">
        <v>217</v>
      </c>
    </row>
    <row r="107" s="313" customFormat="1" ht="26.25" customHeight="1">
      <c r="A107" s="313" t="s">
        <v>54</v>
      </c>
      <c r="B107" s="313" t="s">
        <v>101</v>
      </c>
      <c r="C107" s="313" t="n">
        <v>4513388</v>
      </c>
      <c r="D107" s="313" t="s">
        <v>216</v>
      </c>
      <c r="E107" s="313" t="s">
        <v>283</v>
      </c>
      <c r="F107" s="313" t="s">
        <v>1060</v>
      </c>
      <c r="G107" s="313" t="s">
        <v>56</v>
      </c>
      <c r="H107" s="313" t="s">
        <v>47</v>
      </c>
      <c r="I107" s="313" t="s">
        <v>37</v>
      </c>
      <c r="J107" s="313" t="s">
        <v>48</v>
      </c>
    </row>
    <row r="108" s="313" customFormat="1" ht="26.25" customHeight="1">
      <c r="A108" s="313" t="s">
        <v>54</v>
      </c>
      <c r="B108" s="313" t="s">
        <v>88</v>
      </c>
      <c r="C108" s="313" t="n">
        <v>5230723</v>
      </c>
      <c r="D108" s="313" t="s">
        <v>233</v>
      </c>
      <c r="E108" s="313" t="s">
        <v>283</v>
      </c>
      <c r="F108" s="217" t="s">
        <v>1036</v>
      </c>
      <c r="G108" s="313" t="s">
        <v>56</v>
      </c>
      <c r="J108" s="313" t="s">
        <v>57</v>
      </c>
      <c r="M108" s="313" t="s">
        <v>3761</v>
      </c>
      <c r="N108" s="313" t="s">
        <v>3762</v>
      </c>
      <c r="P108" s="313" t="s">
        <v>3763</v>
      </c>
      <c r="T108" s="313" t="s">
        <v>217</v>
      </c>
      <c r="U108" s="313" t="s">
        <v>217</v>
      </c>
      <c r="V108" s="313" t="s">
        <v>217</v>
      </c>
      <c r="W108" s="313" t="s">
        <v>217</v>
      </c>
    </row>
    <row r="109" s="313" customFormat="1" ht="26.25" customHeight="1">
      <c r="A109" s="313" t="s">
        <v>54</v>
      </c>
      <c r="B109" s="313" t="s">
        <v>65</v>
      </c>
      <c r="C109" s="313" t="n">
        <v>3132899</v>
      </c>
      <c r="D109" s="313" t="s">
        <v>246</v>
      </c>
      <c r="E109" s="313" t="s">
        <v>283</v>
      </c>
      <c r="F109" s="23" t="s">
        <v>733</v>
      </c>
      <c r="G109" s="313" t="s">
        <v>56</v>
      </c>
      <c r="H109" s="313" t="s">
        <v>47</v>
      </c>
      <c r="I109" s="313" t="s">
        <v>35</v>
      </c>
      <c r="J109" s="313" t="s">
        <v>48</v>
      </c>
      <c r="M109" s="313" t="s">
        <v>3764</v>
      </c>
      <c r="N109" s="313" t="s">
        <v>3765</v>
      </c>
      <c r="O109" s="313" t="s">
        <v>3766</v>
      </c>
      <c r="P109" s="313" t="n">
        <v>85</v>
      </c>
      <c r="Q109" s="313" t="n">
        <v>22</v>
      </c>
      <c r="T109" s="313" t="s">
        <v>217</v>
      </c>
      <c r="Z109" s="313" t="s">
        <v>28</v>
      </c>
      <c r="AA109" s="313" t="n">
        <v>1</v>
      </c>
      <c r="AB109" s="313" t="n">
        <v>1</v>
      </c>
    </row>
    <row r="110" s="313" customFormat="1" ht="26.25" customHeight="1">
      <c r="A110" s="313" t="s">
        <v>54</v>
      </c>
      <c r="B110" s="313" t="s">
        <v>65</v>
      </c>
      <c r="C110" s="313" t="n">
        <v>3132899</v>
      </c>
      <c r="D110" s="313" t="s">
        <v>246</v>
      </c>
      <c r="E110" s="313" t="s">
        <v>283</v>
      </c>
      <c r="F110" s="23" t="s">
        <v>482</v>
      </c>
      <c r="G110" s="313" t="s">
        <v>56</v>
      </c>
      <c r="H110" s="313" t="s">
        <v>47</v>
      </c>
      <c r="I110" s="313" t="s">
        <v>35</v>
      </c>
      <c r="J110" s="313" t="s">
        <v>48</v>
      </c>
      <c r="M110" s="313" t="s">
        <v>2501</v>
      </c>
      <c r="N110" s="313" t="s">
        <v>3584</v>
      </c>
      <c r="O110" s="1047" t="s">
        <v>3767</v>
      </c>
      <c r="P110" s="313" t="n">
        <v>90</v>
      </c>
      <c r="Q110" s="313" t="s">
        <v>2125</v>
      </c>
      <c r="T110" s="313" t="s">
        <v>217</v>
      </c>
      <c r="Z110" s="313" t="s">
        <v>28</v>
      </c>
      <c r="AA110" s="313" t="n">
        <v>1</v>
      </c>
      <c r="AB110" s="313" t="n">
        <v>1</v>
      </c>
    </row>
    <row r="111" s="313" customFormat="1" ht="26.25" customHeight="1">
      <c r="A111" s="313" t="s">
        <v>54</v>
      </c>
      <c r="B111" s="313" t="s">
        <v>101</v>
      </c>
      <c r="C111" s="313" t="n">
        <v>5170871</v>
      </c>
      <c r="D111" s="313" t="s">
        <v>215</v>
      </c>
      <c r="E111" s="313" t="s">
        <v>283</v>
      </c>
      <c r="F111" s="313" t="s">
        <v>1125</v>
      </c>
      <c r="G111" s="313" t="s">
        <v>56</v>
      </c>
      <c r="H111" s="313" t="s">
        <v>47</v>
      </c>
      <c r="I111" s="313" t="s">
        <v>35</v>
      </c>
      <c r="J111" s="313" t="s">
        <v>55</v>
      </c>
      <c r="K111" s="313" t="s">
        <v>3553</v>
      </c>
      <c r="M111" s="313" t="s">
        <v>3657</v>
      </c>
      <c r="N111" s="313" t="s">
        <v>3768</v>
      </c>
      <c r="O111" s="313" t="s">
        <v>3769</v>
      </c>
      <c r="P111" s="313" t="n">
        <v>85</v>
      </c>
      <c r="Q111" s="313" t="s">
        <v>2125</v>
      </c>
    </row>
    <row r="112" s="313" customFormat="1" ht="26.25" customHeight="1">
      <c r="A112" s="313" t="s">
        <v>54</v>
      </c>
      <c r="B112" s="313" t="s">
        <v>65</v>
      </c>
      <c r="C112" s="313" t="n">
        <v>3132888</v>
      </c>
      <c r="D112" s="313" t="s">
        <v>215</v>
      </c>
      <c r="E112" s="313" t="s">
        <v>283</v>
      </c>
      <c r="F112" s="182" t="s">
        <v>516</v>
      </c>
      <c r="G112" s="313" t="s">
        <v>56</v>
      </c>
      <c r="H112" s="313" t="s">
        <v>49</v>
      </c>
      <c r="I112" s="313" t="s">
        <v>35</v>
      </c>
      <c r="J112" s="313" t="s">
        <v>59</v>
      </c>
      <c r="K112" s="313" t="s">
        <v>2437</v>
      </c>
      <c r="L112" s="313" t="s">
        <v>2500</v>
      </c>
      <c r="M112" s="313" t="s">
        <v>3770</v>
      </c>
      <c r="O112" s="313" t="s">
        <v>3771</v>
      </c>
      <c r="P112" s="313" t="s">
        <v>3772</v>
      </c>
      <c r="Q112" s="313" t="n">
        <v>25.5</v>
      </c>
      <c r="T112" s="313" t="s">
        <v>217</v>
      </c>
      <c r="AA112" s="313" t="n">
        <v>1</v>
      </c>
      <c r="AB112" s="313" t="n">
        <v>1</v>
      </c>
    </row>
    <row r="113" s="313" customFormat="1" ht="26.25" customHeight="1">
      <c r="A113" s="313" t="s">
        <v>54</v>
      </c>
      <c r="B113" s="313" t="s">
        <v>65</v>
      </c>
      <c r="C113" s="313" t="s">
        <v>3564</v>
      </c>
      <c r="D113" s="313" t="s">
        <v>246</v>
      </c>
      <c r="E113" s="313" t="s">
        <v>283</v>
      </c>
      <c r="F113" s="23" t="s">
        <v>951</v>
      </c>
      <c r="G113" s="313" t="s">
        <v>56</v>
      </c>
      <c r="H113" s="313" t="s">
        <v>43</v>
      </c>
      <c r="I113" s="313" t="s">
        <v>35</v>
      </c>
      <c r="J113" s="313" t="s">
        <v>59</v>
      </c>
      <c r="O113" s="313" t="s">
        <v>3773</v>
      </c>
      <c r="T113" s="313" t="s">
        <v>217</v>
      </c>
      <c r="Z113" s="313" t="s">
        <v>27</v>
      </c>
      <c r="AA113" s="313" t="n">
        <v>1</v>
      </c>
      <c r="AB113" s="313" t="n">
        <v>1</v>
      </c>
    </row>
    <row r="114" s="313" customFormat="1" ht="26.25" customHeight="1">
      <c r="A114" s="313" t="s">
        <v>54</v>
      </c>
      <c r="B114" s="313" t="s">
        <v>88</v>
      </c>
      <c r="C114" s="313" t="n">
        <v>5230723</v>
      </c>
      <c r="D114" s="313" t="s">
        <v>233</v>
      </c>
      <c r="E114" s="313" t="s">
        <v>283</v>
      </c>
      <c r="F114" s="313" t="s">
        <v>1318</v>
      </c>
      <c r="G114" s="313" t="s">
        <v>56</v>
      </c>
      <c r="I114" s="313" t="s">
        <v>37</v>
      </c>
      <c r="J114" s="313" t="s">
        <v>57</v>
      </c>
      <c r="L114" s="313" t="s">
        <v>2543</v>
      </c>
      <c r="M114" s="313" t="s">
        <v>3774</v>
      </c>
      <c r="N114" s="313" t="s">
        <v>3775</v>
      </c>
      <c r="O114" s="313" t="s">
        <v>3776</v>
      </c>
      <c r="P114" s="313" t="n">
        <v>85</v>
      </c>
      <c r="Q114" s="313" t="n">
        <v>34</v>
      </c>
      <c r="T114" s="313" t="s">
        <v>217</v>
      </c>
      <c r="U114" s="313" t="s">
        <v>217</v>
      </c>
      <c r="V114" s="313" t="s">
        <v>217</v>
      </c>
      <c r="W114" s="313" t="s">
        <v>217</v>
      </c>
    </row>
    <row r="115" s="313" customFormat="1" ht="26.25" customHeight="1">
      <c r="A115" s="313" t="s">
        <v>54</v>
      </c>
      <c r="B115" s="313" t="s">
        <v>88</v>
      </c>
      <c r="C115" s="313" t="n">
        <v>5230727</v>
      </c>
      <c r="D115" s="313" t="s">
        <v>216</v>
      </c>
      <c r="E115" s="313" t="s">
        <v>283</v>
      </c>
      <c r="F115" s="313" t="s">
        <v>1089</v>
      </c>
      <c r="G115" s="313" t="s">
        <v>56</v>
      </c>
      <c r="H115" s="313" t="s">
        <v>43</v>
      </c>
      <c r="I115" s="313" t="s">
        <v>31</v>
      </c>
      <c r="J115" s="313" t="s">
        <v>55</v>
      </c>
      <c r="K115" s="313" t="s">
        <v>2416</v>
      </c>
      <c r="M115" s="313" t="s">
        <v>3777</v>
      </c>
      <c r="N115" s="313" t="s">
        <v>3778</v>
      </c>
      <c r="P115" s="313" t="s">
        <v>2817</v>
      </c>
      <c r="Q115" s="313" t="n">
        <v>38</v>
      </c>
      <c r="T115" s="313" t="s">
        <v>217</v>
      </c>
      <c r="U115" s="313" t="s">
        <v>217</v>
      </c>
      <c r="V115" s="313" t="s">
        <v>217</v>
      </c>
      <c r="W115" s="313" t="s">
        <v>217</v>
      </c>
    </row>
    <row r="116" s="313" customFormat="1" ht="26.25" customHeight="1">
      <c r="A116" s="313" t="s">
        <v>54</v>
      </c>
      <c r="B116" s="313" t="s">
        <v>65</v>
      </c>
      <c r="C116" s="313" t="n">
        <v>5230727</v>
      </c>
      <c r="D116" s="313" t="s">
        <v>246</v>
      </c>
      <c r="E116" s="313" t="s">
        <v>283</v>
      </c>
      <c r="F116" s="23" t="s">
        <v>827</v>
      </c>
      <c r="G116" s="313" t="s">
        <v>56</v>
      </c>
      <c r="H116" s="313" t="s">
        <v>47</v>
      </c>
      <c r="I116" s="313" t="s">
        <v>35</v>
      </c>
      <c r="J116" s="313" t="s">
        <v>59</v>
      </c>
      <c r="K116" s="313" t="s">
        <v>2434</v>
      </c>
      <c r="M116" s="313" t="s">
        <v>3779</v>
      </c>
      <c r="N116" s="313" t="s">
        <v>3780</v>
      </c>
      <c r="O116" s="313" t="s">
        <v>3781</v>
      </c>
      <c r="Q116" s="313" t="n">
        <v>30</v>
      </c>
      <c r="T116" s="313" t="s">
        <v>217</v>
      </c>
      <c r="U116" s="313" t="s">
        <v>217</v>
      </c>
      <c r="V116" s="313" t="s">
        <v>217</v>
      </c>
      <c r="W116" s="313" t="s">
        <v>217</v>
      </c>
      <c r="Z116" s="313" t="s">
        <v>29</v>
      </c>
      <c r="AA116" s="313" t="n">
        <v>0</v>
      </c>
      <c r="AB116" s="313" t="n">
        <v>0</v>
      </c>
    </row>
    <row r="117" s="313" customFormat="1" ht="26.25" customHeight="1">
      <c r="A117" s="313" t="s">
        <v>54</v>
      </c>
      <c r="B117" s="313" t="s">
        <v>101</v>
      </c>
      <c r="C117" s="313" t="n">
        <v>5230821</v>
      </c>
      <c r="D117" s="313" t="s">
        <v>233</v>
      </c>
      <c r="E117" s="313" t="s">
        <v>283</v>
      </c>
      <c r="F117" s="313" t="s">
        <v>1156</v>
      </c>
      <c r="G117" s="313" t="s">
        <v>56</v>
      </c>
      <c r="H117" s="313" t="s">
        <v>49</v>
      </c>
      <c r="I117" s="313" t="s">
        <v>31</v>
      </c>
      <c r="J117" s="313" t="s">
        <v>57</v>
      </c>
      <c r="K117" s="313" t="s">
        <v>2389</v>
      </c>
      <c r="L117" s="313" t="s">
        <v>2682</v>
      </c>
      <c r="M117" s="1048" t="s">
        <v>3782</v>
      </c>
      <c r="N117" s="313" t="s">
        <v>2479</v>
      </c>
      <c r="O117" s="1049" t="s">
        <v>3783</v>
      </c>
      <c r="P117" s="313" t="s">
        <v>3784</v>
      </c>
      <c r="Q117" s="313" t="s">
        <v>3785</v>
      </c>
    </row>
    <row r="118" s="313" customFormat="1" ht="26.25" customHeight="1">
      <c r="A118" s="313" t="s">
        <v>54</v>
      </c>
      <c r="B118" s="313" t="s">
        <v>101</v>
      </c>
      <c r="C118" s="313" t="n">
        <v>4513388</v>
      </c>
      <c r="D118" s="313" t="s">
        <v>216</v>
      </c>
      <c r="E118" s="313" t="s">
        <v>283</v>
      </c>
      <c r="F118" s="313" t="s">
        <v>1061</v>
      </c>
      <c r="G118" s="313" t="s">
        <v>56</v>
      </c>
      <c r="H118" s="313" t="s">
        <v>47</v>
      </c>
      <c r="I118" s="313" t="s">
        <v>37</v>
      </c>
      <c r="J118" s="313" t="s">
        <v>48</v>
      </c>
    </row>
    <row r="119" s="313" customFormat="1" ht="26.25" customHeight="1">
      <c r="A119" s="313" t="s">
        <v>54</v>
      </c>
      <c r="B119" s="313" t="s">
        <v>88</v>
      </c>
      <c r="C119" s="313" t="n">
        <v>5230723</v>
      </c>
      <c r="D119" s="313" t="s">
        <v>233</v>
      </c>
      <c r="E119" s="313" t="s">
        <v>283</v>
      </c>
      <c r="F119" s="313" t="s">
        <v>1300</v>
      </c>
      <c r="G119" s="313" t="s">
        <v>56</v>
      </c>
      <c r="H119" s="313" t="s">
        <v>47</v>
      </c>
      <c r="I119" s="313" t="s">
        <v>37</v>
      </c>
      <c r="J119" s="313" t="s">
        <v>48</v>
      </c>
      <c r="M119" s="313" t="s">
        <v>3786</v>
      </c>
      <c r="Q119" s="313" t="n">
        <v>29</v>
      </c>
      <c r="T119" s="313" t="s">
        <v>217</v>
      </c>
      <c r="U119" s="313" t="s">
        <v>217</v>
      </c>
      <c r="V119" s="313" t="s">
        <v>217</v>
      </c>
      <c r="W119" s="313" t="s">
        <v>217</v>
      </c>
    </row>
    <row r="120" s="313" customFormat="1" ht="26.25" customHeight="1">
      <c r="A120" s="313" t="s">
        <v>54</v>
      </c>
      <c r="B120" s="313" t="s">
        <v>88</v>
      </c>
      <c r="C120" s="313" t="n">
        <v>5230727</v>
      </c>
      <c r="D120" s="313" t="s">
        <v>216</v>
      </c>
      <c r="E120" s="313" t="s">
        <v>283</v>
      </c>
      <c r="F120" s="217" t="s">
        <v>1150</v>
      </c>
      <c r="G120" s="313" t="s">
        <v>56</v>
      </c>
      <c r="H120" s="313" t="s">
        <v>43</v>
      </c>
      <c r="I120" s="313" t="s">
        <v>31</v>
      </c>
      <c r="J120" s="313" t="s">
        <v>59</v>
      </c>
      <c r="K120" s="313" t="s">
        <v>2389</v>
      </c>
      <c r="M120" s="313" t="s">
        <v>3787</v>
      </c>
      <c r="N120" s="313" t="s">
        <v>3788</v>
      </c>
      <c r="O120" s="313" t="s">
        <v>3789</v>
      </c>
      <c r="P120" s="313" t="s">
        <v>2765</v>
      </c>
      <c r="Q120" s="313" t="n">
        <v>30</v>
      </c>
      <c r="T120" s="313" t="s">
        <v>217</v>
      </c>
      <c r="U120" s="313" t="s">
        <v>217</v>
      </c>
      <c r="V120" s="313" t="s">
        <v>217</v>
      </c>
      <c r="W120" s="313" t="s">
        <v>217</v>
      </c>
    </row>
    <row r="121" s="313" customFormat="1" ht="26.25" customHeight="1">
      <c r="A121" s="313" t="s">
        <v>54</v>
      </c>
      <c r="B121" s="313" t="s">
        <v>101</v>
      </c>
      <c r="C121" s="313" t="n">
        <v>5230821</v>
      </c>
      <c r="D121" s="313" t="s">
        <v>233</v>
      </c>
      <c r="E121" s="313" t="s">
        <v>283</v>
      </c>
      <c r="F121" s="313" t="s">
        <v>1256</v>
      </c>
      <c r="G121" s="313" t="s">
        <v>56</v>
      </c>
      <c r="H121" s="313" t="s">
        <v>49</v>
      </c>
      <c r="I121" s="313" t="s">
        <v>31</v>
      </c>
      <c r="J121" s="313" t="s">
        <v>55</v>
      </c>
      <c r="O121" s="1050" t="s">
        <v>3790</v>
      </c>
      <c r="P121" s="313" t="s">
        <v>27</v>
      </c>
    </row>
    <row r="122" s="313" customFormat="1" ht="26.25" customHeight="1">
      <c r="A122" s="313" t="s">
        <v>54</v>
      </c>
      <c r="B122" s="313" t="s">
        <v>88</v>
      </c>
      <c r="C122" s="313" t="n">
        <v>5230727</v>
      </c>
      <c r="D122" s="313" t="s">
        <v>216</v>
      </c>
      <c r="E122" s="313" t="s">
        <v>283</v>
      </c>
      <c r="F122" s="313" t="s">
        <v>1243</v>
      </c>
      <c r="G122" s="313" t="s">
        <v>56</v>
      </c>
      <c r="H122" s="313" t="s">
        <v>43</v>
      </c>
      <c r="I122" s="313" t="s">
        <v>31</v>
      </c>
      <c r="J122" s="313" t="s">
        <v>57</v>
      </c>
      <c r="M122" s="313" t="s">
        <v>3791</v>
      </c>
      <c r="N122" s="313" t="s">
        <v>3792</v>
      </c>
      <c r="O122" s="313" t="s">
        <v>3793</v>
      </c>
      <c r="P122" s="313" t="n">
        <v>90</v>
      </c>
      <c r="Q122" s="313" t="n">
        <v>34</v>
      </c>
      <c r="T122" s="313" t="s">
        <v>217</v>
      </c>
      <c r="U122" s="313" t="s">
        <v>217</v>
      </c>
      <c r="V122" s="313" t="s">
        <v>217</v>
      </c>
      <c r="W122" s="313" t="s">
        <v>217</v>
      </c>
    </row>
    <row r="123" s="313" customFormat="1" ht="26.25" customHeight="1">
      <c r="A123" s="313" t="s">
        <v>54</v>
      </c>
      <c r="B123" s="313" t="s">
        <v>101</v>
      </c>
      <c r="C123" s="313" t="n">
        <v>4513388</v>
      </c>
      <c r="D123" s="313" t="s">
        <v>216</v>
      </c>
      <c r="E123" s="313" t="s">
        <v>283</v>
      </c>
      <c r="F123" s="313" t="s">
        <v>1074</v>
      </c>
      <c r="G123" s="313" t="s">
        <v>56</v>
      </c>
      <c r="H123" s="313" t="s">
        <v>47</v>
      </c>
      <c r="I123" s="313" t="s">
        <v>37</v>
      </c>
      <c r="J123" s="313" t="s">
        <v>55</v>
      </c>
    </row>
    <row r="124" s="313" customFormat="1" ht="26.25" customHeight="1">
      <c r="A124" s="313" t="s">
        <v>54</v>
      </c>
      <c r="B124" s="313" t="s">
        <v>88</v>
      </c>
      <c r="C124" s="313" t="n">
        <v>5230723</v>
      </c>
      <c r="D124" s="313" t="s">
        <v>233</v>
      </c>
      <c r="E124" s="313" t="s">
        <v>283</v>
      </c>
      <c r="F124" s="313" t="s">
        <v>1166</v>
      </c>
      <c r="G124" s="313" t="s">
        <v>56</v>
      </c>
      <c r="H124" s="313" t="s">
        <v>47</v>
      </c>
      <c r="I124" s="313" t="s">
        <v>37</v>
      </c>
      <c r="J124" s="313" t="s">
        <v>55</v>
      </c>
      <c r="K124" s="313" t="s">
        <v>3794</v>
      </c>
      <c r="M124" s="313" t="s">
        <v>3795</v>
      </c>
      <c r="N124" s="313" t="s">
        <v>3796</v>
      </c>
      <c r="P124" s="313" t="s">
        <v>749</v>
      </c>
      <c r="Q124" s="313" t="n">
        <v>33</v>
      </c>
      <c r="T124" s="313" t="s">
        <v>217</v>
      </c>
      <c r="U124" s="313" t="s">
        <v>217</v>
      </c>
      <c r="V124" s="313" t="s">
        <v>217</v>
      </c>
      <c r="W124" s="313" t="s">
        <v>217</v>
      </c>
    </row>
    <row r="125" s="313" customFormat="1" ht="26.25" customHeight="1">
      <c r="A125" s="313" t="s">
        <v>54</v>
      </c>
      <c r="B125" s="313" t="s">
        <v>88</v>
      </c>
      <c r="C125" s="313" t="n">
        <v>5230723</v>
      </c>
      <c r="D125" s="313" t="s">
        <v>233</v>
      </c>
      <c r="E125" s="313" t="s">
        <v>283</v>
      </c>
      <c r="F125" s="313" t="s">
        <v>1158</v>
      </c>
      <c r="G125" s="313" t="s">
        <v>56</v>
      </c>
      <c r="H125" s="313" t="s">
        <v>47</v>
      </c>
      <c r="I125" s="313" t="s">
        <v>37</v>
      </c>
      <c r="J125" s="313" t="s">
        <v>57</v>
      </c>
      <c r="K125" s="313" t="s">
        <v>2757</v>
      </c>
      <c r="O125" s="313" t="s">
        <v>3797</v>
      </c>
      <c r="Q125" s="313" t="n">
        <v>40</v>
      </c>
      <c r="T125" s="313" t="s">
        <v>217</v>
      </c>
      <c r="U125" s="313" t="s">
        <v>218</v>
      </c>
      <c r="V125" s="313" t="s">
        <v>217</v>
      </c>
      <c r="W125" s="313" t="s">
        <v>217</v>
      </c>
    </row>
    <row r="126" s="313" customFormat="1" ht="26.25" customHeight="1">
      <c r="A126" s="313" t="s">
        <v>54</v>
      </c>
      <c r="B126" s="313" t="s">
        <v>101</v>
      </c>
      <c r="C126" s="313" t="n">
        <v>4513388</v>
      </c>
      <c r="D126" s="313" t="s">
        <v>216</v>
      </c>
      <c r="E126" s="313" t="s">
        <v>283</v>
      </c>
      <c r="F126" s="313" t="s">
        <v>1040</v>
      </c>
      <c r="G126" s="313" t="s">
        <v>56</v>
      </c>
      <c r="J126" s="313" t="s">
        <v>57</v>
      </c>
    </row>
    <row r="127" s="313" customFormat="1" ht="26.25" customHeight="1">
      <c r="A127" s="313" t="s">
        <v>54</v>
      </c>
      <c r="B127" s="313" t="s">
        <v>101</v>
      </c>
      <c r="C127" s="313" t="n">
        <v>5170871</v>
      </c>
      <c r="D127" s="313" t="s">
        <v>215</v>
      </c>
      <c r="E127" s="313" t="s">
        <v>283</v>
      </c>
      <c r="F127" s="313" t="s">
        <v>1097</v>
      </c>
      <c r="G127" s="313" t="s">
        <v>56</v>
      </c>
      <c r="H127" s="313" t="s">
        <v>47</v>
      </c>
      <c r="I127" s="313" t="s">
        <v>35</v>
      </c>
      <c r="J127" s="313" t="s">
        <v>59</v>
      </c>
      <c r="K127" s="313" t="s">
        <v>3566</v>
      </c>
      <c r="M127" s="313" t="s">
        <v>3798</v>
      </c>
      <c r="N127" s="313" t="s">
        <v>3799</v>
      </c>
      <c r="O127" s="313" t="s">
        <v>3800</v>
      </c>
      <c r="P127" s="313" t="n">
        <v>90</v>
      </c>
      <c r="Q127" s="313" t="s">
        <v>2125</v>
      </c>
    </row>
    <row r="128" s="313" customFormat="1" ht="26.25" customHeight="1">
      <c r="A128" s="313" t="s">
        <v>54</v>
      </c>
      <c r="B128" s="313" t="s">
        <v>101</v>
      </c>
      <c r="C128" s="313" t="n">
        <v>5230821</v>
      </c>
      <c r="D128" s="313" t="s">
        <v>233</v>
      </c>
      <c r="E128" s="313" t="s">
        <v>283</v>
      </c>
      <c r="F128" s="313" t="s">
        <v>1235</v>
      </c>
      <c r="G128" s="313" t="s">
        <v>56</v>
      </c>
      <c r="H128" s="313" t="s">
        <v>49</v>
      </c>
      <c r="I128" s="313" t="s">
        <v>31</v>
      </c>
      <c r="J128" s="313" t="s">
        <v>36</v>
      </c>
      <c r="K128" s="313" t="s">
        <v>318</v>
      </c>
      <c r="L128" s="313" t="s">
        <v>318</v>
      </c>
      <c r="M128" s="313" t="s">
        <v>3801</v>
      </c>
      <c r="N128" s="313" t="s">
        <v>3802</v>
      </c>
      <c r="O128" s="1051" t="s">
        <v>3803</v>
      </c>
      <c r="P128" s="313" t="s">
        <v>3804</v>
      </c>
      <c r="Q128" s="313" t="s">
        <v>3672</v>
      </c>
    </row>
    <row r="129" s="313" customFormat="1" ht="26.25" customHeight="1">
      <c r="A129" s="313" t="s">
        <v>54</v>
      </c>
      <c r="B129" s="313" t="s">
        <v>88</v>
      </c>
      <c r="C129" s="313" t="n">
        <v>5230723</v>
      </c>
      <c r="D129" s="313" t="s">
        <v>233</v>
      </c>
      <c r="E129" s="313" t="s">
        <v>283</v>
      </c>
      <c r="F129" s="217" t="s">
        <v>1333</v>
      </c>
      <c r="G129" s="313" t="s">
        <v>56</v>
      </c>
      <c r="H129" s="313" t="s">
        <v>47</v>
      </c>
      <c r="I129" s="313" t="s">
        <v>37</v>
      </c>
      <c r="J129" s="313" t="s">
        <v>57</v>
      </c>
      <c r="K129" s="313" t="s">
        <v>3805</v>
      </c>
      <c r="M129" s="313" t="s">
        <v>3806</v>
      </c>
      <c r="N129" s="313" t="s">
        <v>3807</v>
      </c>
      <c r="O129" s="313" t="s">
        <v>3808</v>
      </c>
      <c r="P129" s="313" t="n">
        <v>90</v>
      </c>
      <c r="Q129" s="313" t="n">
        <v>33</v>
      </c>
      <c r="T129" s="313" t="s">
        <v>217</v>
      </c>
      <c r="U129" s="313" t="s">
        <v>217</v>
      </c>
      <c r="V129" s="313" t="s">
        <v>217</v>
      </c>
      <c r="W129" s="313" t="s">
        <v>217</v>
      </c>
    </row>
    <row r="130" s="313" customFormat="1" ht="26.25" customHeight="1">
      <c r="A130" s="313" t="s">
        <v>54</v>
      </c>
      <c r="B130" s="313" t="s">
        <v>101</v>
      </c>
      <c r="C130" s="313" t="n">
        <v>4513388</v>
      </c>
      <c r="D130" s="313" t="s">
        <v>216</v>
      </c>
      <c r="E130" s="313" t="s">
        <v>283</v>
      </c>
      <c r="F130" s="313" t="s">
        <v>1192</v>
      </c>
      <c r="G130" s="313" t="s">
        <v>56</v>
      </c>
      <c r="H130" s="313" t="s">
        <v>47</v>
      </c>
      <c r="I130" s="313" t="s">
        <v>37</v>
      </c>
      <c r="J130" s="313" t="s">
        <v>36</v>
      </c>
    </row>
    <row r="131" s="313" customFormat="1" ht="26.25" customHeight="1">
      <c r="A131" s="313" t="s">
        <v>54</v>
      </c>
      <c r="B131" s="313" t="s">
        <v>65</v>
      </c>
      <c r="C131" s="313" t="n">
        <v>3132899</v>
      </c>
      <c r="D131" s="313" t="s">
        <v>246</v>
      </c>
      <c r="E131" s="313" t="s">
        <v>283</v>
      </c>
      <c r="F131" s="182" t="s">
        <v>525</v>
      </c>
      <c r="G131" s="313" t="s">
        <v>56</v>
      </c>
      <c r="H131" s="313" t="s">
        <v>47</v>
      </c>
      <c r="I131" s="313" t="s">
        <v>35</v>
      </c>
      <c r="J131" s="313" t="s">
        <v>55</v>
      </c>
      <c r="K131" s="313" t="s">
        <v>2718</v>
      </c>
      <c r="L131" s="1052" t="s">
        <v>2719</v>
      </c>
      <c r="M131" s="313" t="s">
        <v>3809</v>
      </c>
      <c r="N131" s="313" t="s">
        <v>3810</v>
      </c>
      <c r="O131" s="313" t="s">
        <v>3811</v>
      </c>
      <c r="P131" s="313" t="n">
        <v>90</v>
      </c>
      <c r="Q131" s="313" t="s">
        <v>2125</v>
      </c>
      <c r="T131" s="313" t="s">
        <v>217</v>
      </c>
      <c r="Z131" s="313" t="s">
        <v>27</v>
      </c>
      <c r="AA131" s="313" t="n">
        <v>1</v>
      </c>
      <c r="AB131" s="313" t="n">
        <v>1</v>
      </c>
    </row>
    <row r="132" s="313" customFormat="1" ht="26.25" customHeight="1">
      <c r="A132" s="313" t="s">
        <v>54</v>
      </c>
      <c r="B132" s="313" t="s">
        <v>65</v>
      </c>
      <c r="C132" s="313" t="s">
        <v>3812</v>
      </c>
      <c r="D132" s="313" t="s">
        <v>215</v>
      </c>
      <c r="E132" s="313" t="s">
        <v>283</v>
      </c>
      <c r="F132" s="182" t="s">
        <v>308</v>
      </c>
      <c r="G132" s="313" t="s">
        <v>56</v>
      </c>
      <c r="H132" s="313" t="s">
        <v>49</v>
      </c>
      <c r="I132" s="313" t="s">
        <v>35</v>
      </c>
      <c r="J132" s="313" t="s">
        <v>34</v>
      </c>
      <c r="O132" s="1053" t="s">
        <v>3813</v>
      </c>
      <c r="T132" s="313" t="s">
        <v>217</v>
      </c>
      <c r="AA132" s="313" t="n">
        <v>1</v>
      </c>
      <c r="AB132" s="313" t="n">
        <v>1</v>
      </c>
    </row>
    <row r="133" s="313" customFormat="1" ht="26.25" customHeight="1">
      <c r="A133" s="313" t="s">
        <v>54</v>
      </c>
      <c r="B133" s="313" t="s">
        <v>101</v>
      </c>
      <c r="C133" s="313" t="n">
        <v>5170871</v>
      </c>
      <c r="D133" s="313" t="s">
        <v>215</v>
      </c>
      <c r="E133" s="313" t="s">
        <v>283</v>
      </c>
      <c r="F133" s="313" t="s">
        <v>1057</v>
      </c>
      <c r="G133" s="313" t="s">
        <v>56</v>
      </c>
      <c r="H133" s="313" t="s">
        <v>47</v>
      </c>
      <c r="I133" s="313" t="s">
        <v>35</v>
      </c>
      <c r="J133" s="313" t="s">
        <v>40</v>
      </c>
      <c r="M133" s="313" t="s">
        <v>3049</v>
      </c>
      <c r="N133" s="313" t="s">
        <v>3814</v>
      </c>
      <c r="P133" s="313" t="n">
        <v>98</v>
      </c>
      <c r="Q133" s="313" t="s">
        <v>2125</v>
      </c>
    </row>
    <row r="134" s="313" customFormat="1" ht="26.25" customHeight="1">
      <c r="A134" s="313" t="s">
        <v>54</v>
      </c>
      <c r="B134" s="313" t="s">
        <v>88</v>
      </c>
      <c r="C134" s="313" t="n">
        <v>5230727</v>
      </c>
      <c r="D134" s="313" t="s">
        <v>216</v>
      </c>
      <c r="E134" s="313" t="s">
        <v>283</v>
      </c>
      <c r="F134" s="217" t="s">
        <v>317</v>
      </c>
      <c r="G134" s="313" t="s">
        <v>56</v>
      </c>
      <c r="H134" s="313" t="s">
        <v>47</v>
      </c>
      <c r="I134" s="313" t="s">
        <v>37</v>
      </c>
      <c r="J134" s="313" t="s">
        <v>34</v>
      </c>
      <c r="K134" s="313" t="s">
        <v>2437</v>
      </c>
      <c r="M134" s="313" t="s">
        <v>3815</v>
      </c>
      <c r="O134" s="313" t="s">
        <v>3816</v>
      </c>
      <c r="P134" s="313" t="s">
        <v>3817</v>
      </c>
      <c r="Q134" s="313" t="n">
        <v>42</v>
      </c>
      <c r="T134" s="313" t="s">
        <v>217</v>
      </c>
      <c r="U134" s="313" t="s">
        <v>218</v>
      </c>
      <c r="V134" s="313" t="s">
        <v>217</v>
      </c>
      <c r="W134" s="313" t="s">
        <v>217</v>
      </c>
    </row>
    <row r="135" s="313" customFormat="1" ht="26.25" customHeight="1">
      <c r="A135" s="313" t="s">
        <v>54</v>
      </c>
      <c r="B135" s="313" t="s">
        <v>101</v>
      </c>
      <c r="C135" s="313" t="n">
        <v>5230821</v>
      </c>
      <c r="D135" s="313" t="s">
        <v>233</v>
      </c>
      <c r="E135" s="313" t="s">
        <v>283</v>
      </c>
      <c r="F135" s="313" t="s">
        <v>1267</v>
      </c>
      <c r="G135" s="313" t="s">
        <v>56</v>
      </c>
      <c r="H135" s="313" t="s">
        <v>49</v>
      </c>
      <c r="I135" s="313" t="s">
        <v>31</v>
      </c>
      <c r="J135" s="313" t="s">
        <v>57</v>
      </c>
    </row>
    <row r="136" s="313" customFormat="1" ht="26.25" customHeight="1">
      <c r="A136" s="313" t="s">
        <v>54</v>
      </c>
      <c r="B136" s="313" t="s">
        <v>65</v>
      </c>
      <c r="C136" s="313" t="n">
        <v>3132899</v>
      </c>
      <c r="D136" s="313" t="s">
        <v>246</v>
      </c>
      <c r="E136" s="313" t="s">
        <v>283</v>
      </c>
      <c r="F136" s="182" t="s">
        <v>612</v>
      </c>
      <c r="G136" s="313" t="s">
        <v>56</v>
      </c>
      <c r="H136" s="313" t="s">
        <v>47</v>
      </c>
      <c r="I136" s="313" t="s">
        <v>35</v>
      </c>
      <c r="J136" s="313" t="s">
        <v>36</v>
      </c>
      <c r="K136" s="313" t="s">
        <v>2434</v>
      </c>
      <c r="M136" s="313" t="s">
        <v>3798</v>
      </c>
      <c r="O136" s="313" t="s">
        <v>3818</v>
      </c>
      <c r="P136" s="313" t="n">
        <v>90</v>
      </c>
      <c r="Q136" s="313" t="s">
        <v>2125</v>
      </c>
      <c r="T136" s="313" t="s">
        <v>217</v>
      </c>
      <c r="Z136" s="313" t="s">
        <v>27</v>
      </c>
      <c r="AA136" s="313" t="n">
        <v>1</v>
      </c>
      <c r="AB136" s="313" t="n">
        <v>1</v>
      </c>
    </row>
    <row r="137" s="313" customFormat="1" ht="26.25" customHeight="1">
      <c r="A137" s="313" t="s">
        <v>54</v>
      </c>
      <c r="B137" s="313" t="s">
        <v>88</v>
      </c>
      <c r="C137" s="313" t="n">
        <v>5230727</v>
      </c>
      <c r="D137" s="313" t="s">
        <v>216</v>
      </c>
      <c r="E137" s="313" t="s">
        <v>283</v>
      </c>
      <c r="F137" s="313" t="s">
        <v>605</v>
      </c>
      <c r="G137" s="313" t="s">
        <v>56</v>
      </c>
      <c r="H137" s="313" t="s">
        <v>47</v>
      </c>
      <c r="I137" s="313" t="s">
        <v>35</v>
      </c>
      <c r="J137" s="313" t="s">
        <v>34</v>
      </c>
      <c r="M137" s="313" t="s">
        <v>3819</v>
      </c>
      <c r="N137" s="313" t="s">
        <v>3820</v>
      </c>
      <c r="P137" s="313" t="s">
        <v>3821</v>
      </c>
      <c r="Q137" s="313" t="n">
        <v>36</v>
      </c>
      <c r="T137" s="313" t="s">
        <v>217</v>
      </c>
      <c r="U137" s="313" t="s">
        <v>217</v>
      </c>
      <c r="V137" s="313" t="s">
        <v>217</v>
      </c>
      <c r="W137" s="313" t="s">
        <v>217</v>
      </c>
    </row>
    <row r="138" s="313" customFormat="1" ht="26.25" customHeight="1">
      <c r="A138" s="313" t="s">
        <v>54</v>
      </c>
      <c r="B138" s="313" t="s">
        <v>101</v>
      </c>
      <c r="C138" s="313" t="n">
        <v>5170871</v>
      </c>
      <c r="D138" s="313" t="s">
        <v>215</v>
      </c>
      <c r="E138" s="313" t="s">
        <v>283</v>
      </c>
      <c r="F138" s="313" t="s">
        <v>1211</v>
      </c>
      <c r="G138" s="313" t="s">
        <v>56</v>
      </c>
      <c r="H138" s="313" t="s">
        <v>47</v>
      </c>
      <c r="I138" s="313" t="s">
        <v>35</v>
      </c>
      <c r="J138" s="313" t="s">
        <v>55</v>
      </c>
      <c r="K138" s="313" t="s">
        <v>2735</v>
      </c>
      <c r="M138" s="313" t="s">
        <v>3822</v>
      </c>
      <c r="N138" s="313" t="s">
        <v>3823</v>
      </c>
      <c r="O138" s="313" t="s">
        <v>3824</v>
      </c>
      <c r="P138" s="313" t="n">
        <v>98</v>
      </c>
      <c r="Q138" s="313" t="n">
        <v>0</v>
      </c>
    </row>
    <row r="139" s="313" customFormat="1" ht="26.25" customHeight="1">
      <c r="A139" s="313" t="s">
        <v>54</v>
      </c>
      <c r="B139" s="313" t="s">
        <v>101</v>
      </c>
      <c r="C139" s="313" t="n">
        <v>5170871</v>
      </c>
      <c r="D139" s="313" t="s">
        <v>215</v>
      </c>
      <c r="E139" s="313" t="s">
        <v>283</v>
      </c>
      <c r="F139" s="313" t="s">
        <v>1115</v>
      </c>
      <c r="G139" s="313" t="s">
        <v>56</v>
      </c>
      <c r="H139" s="313" t="s">
        <v>47</v>
      </c>
      <c r="I139" s="313" t="s">
        <v>35</v>
      </c>
      <c r="J139" s="313" t="s">
        <v>59</v>
      </c>
      <c r="K139" s="313" t="s">
        <v>2389</v>
      </c>
      <c r="M139" s="313" t="s">
        <v>2501</v>
      </c>
      <c r="N139" s="313" t="s">
        <v>3639</v>
      </c>
      <c r="O139" s="313" t="s">
        <v>3612</v>
      </c>
      <c r="P139" s="313" t="n">
        <v>90</v>
      </c>
      <c r="Q139" s="313" t="s">
        <v>2125</v>
      </c>
    </row>
    <row r="140" s="313" customFormat="1" ht="26.25" customHeight="1">
      <c r="A140" s="313" t="s">
        <v>54</v>
      </c>
      <c r="B140" s="313" t="s">
        <v>65</v>
      </c>
      <c r="C140" s="313" t="n">
        <v>3132899</v>
      </c>
      <c r="D140" s="313" t="s">
        <v>246</v>
      </c>
      <c r="E140" s="313" t="s">
        <v>283</v>
      </c>
      <c r="F140" s="182" t="s">
        <v>569</v>
      </c>
      <c r="G140" s="313" t="s">
        <v>56</v>
      </c>
      <c r="H140" s="313" t="s">
        <v>47</v>
      </c>
      <c r="I140" s="313" t="s">
        <v>35</v>
      </c>
      <c r="J140" s="313" t="s">
        <v>59</v>
      </c>
      <c r="K140" s="313" t="s">
        <v>2766</v>
      </c>
      <c r="M140" s="313" t="s">
        <v>2377</v>
      </c>
      <c r="N140" s="313" t="s">
        <v>3536</v>
      </c>
      <c r="O140" s="313" t="s">
        <v>3825</v>
      </c>
      <c r="P140" s="313" t="n">
        <v>92</v>
      </c>
      <c r="Q140" s="313" t="n">
        <v>38</v>
      </c>
      <c r="T140" s="313" t="s">
        <v>217</v>
      </c>
      <c r="AA140" s="313" t="n">
        <v>1</v>
      </c>
      <c r="AB140" s="313" t="n">
        <v>1</v>
      </c>
    </row>
    <row r="141" s="313" customFormat="1" ht="26.25" customHeight="1">
      <c r="A141" s="313" t="s">
        <v>54</v>
      </c>
      <c r="B141" s="313" t="s">
        <v>101</v>
      </c>
      <c r="C141" s="313" t="n">
        <v>4513388</v>
      </c>
      <c r="D141" s="313" t="s">
        <v>216</v>
      </c>
      <c r="E141" s="313" t="s">
        <v>283</v>
      </c>
      <c r="F141" s="313" t="s">
        <v>1093</v>
      </c>
      <c r="G141" s="313" t="s">
        <v>56</v>
      </c>
      <c r="H141" s="313" t="s">
        <v>47</v>
      </c>
      <c r="I141" s="313" t="s">
        <v>37</v>
      </c>
      <c r="J141" s="313" t="s">
        <v>59</v>
      </c>
    </row>
    <row r="142" s="313" customFormat="1" ht="26.25" customHeight="1">
      <c r="A142" s="313" t="s">
        <v>54</v>
      </c>
      <c r="B142" s="313" t="s">
        <v>88</v>
      </c>
      <c r="C142" s="313" t="n">
        <v>5230723</v>
      </c>
      <c r="D142" s="313" t="s">
        <v>233</v>
      </c>
      <c r="E142" s="313" t="s">
        <v>283</v>
      </c>
      <c r="F142" s="217" t="s">
        <v>1168</v>
      </c>
      <c r="G142" s="313" t="s">
        <v>56</v>
      </c>
      <c r="H142" s="313" t="s">
        <v>47</v>
      </c>
      <c r="I142" s="313" t="s">
        <v>37</v>
      </c>
      <c r="J142" s="313" t="s">
        <v>36</v>
      </c>
      <c r="K142" s="313" t="s">
        <v>786</v>
      </c>
      <c r="L142" s="313" t="s">
        <v>2736</v>
      </c>
      <c r="M142" s="313" t="s">
        <v>3826</v>
      </c>
      <c r="N142" s="313" t="s">
        <v>3827</v>
      </c>
      <c r="P142" s="313" t="s">
        <v>3828</v>
      </c>
      <c r="Q142" s="313" t="n">
        <v>27</v>
      </c>
      <c r="T142" s="313" t="s">
        <v>217</v>
      </c>
      <c r="U142" s="313" t="s">
        <v>217</v>
      </c>
      <c r="V142" s="313" t="s">
        <v>217</v>
      </c>
      <c r="W142" s="313" t="s">
        <v>217</v>
      </c>
    </row>
    <row r="143" s="313" customFormat="1" ht="26.25" customHeight="1">
      <c r="A143" s="313" t="s">
        <v>54</v>
      </c>
      <c r="B143" s="313" t="s">
        <v>88</v>
      </c>
      <c r="C143" s="313" t="n">
        <v>5230727</v>
      </c>
      <c r="D143" s="313" t="s">
        <v>216</v>
      </c>
      <c r="E143" s="313" t="s">
        <v>283</v>
      </c>
      <c r="F143" s="313" t="s">
        <v>1225</v>
      </c>
      <c r="G143" s="313" t="s">
        <v>56</v>
      </c>
      <c r="H143" s="313" t="s">
        <v>43</v>
      </c>
      <c r="I143" s="313" t="s">
        <v>31</v>
      </c>
      <c r="J143" s="313" t="s">
        <v>38</v>
      </c>
      <c r="K143" s="313" t="s">
        <v>2770</v>
      </c>
      <c r="L143" s="313" t="s">
        <v>3829</v>
      </c>
      <c r="M143" s="1054" t="s">
        <v>3830</v>
      </c>
      <c r="N143" s="1055" t="s">
        <v>3831</v>
      </c>
      <c r="O143" s="1056" t="s">
        <v>3832</v>
      </c>
      <c r="P143" s="313" t="s">
        <v>2375</v>
      </c>
    </row>
    <row r="144" s="313" customFormat="1" ht="26.25" customHeight="1">
      <c r="A144" s="313" t="s">
        <v>54</v>
      </c>
      <c r="B144" s="313" t="s">
        <v>101</v>
      </c>
      <c r="C144" s="313" t="n">
        <v>4513388</v>
      </c>
      <c r="D144" s="313" t="s">
        <v>216</v>
      </c>
      <c r="E144" s="313" t="s">
        <v>283</v>
      </c>
      <c r="F144" s="313" t="s">
        <v>1090</v>
      </c>
      <c r="G144" s="313" t="s">
        <v>56</v>
      </c>
      <c r="H144" s="313" t="s">
        <v>47</v>
      </c>
      <c r="I144" s="313" t="s">
        <v>37</v>
      </c>
      <c r="J144" s="313" t="s">
        <v>57</v>
      </c>
    </row>
    <row r="145" s="313" customFormat="1" ht="26.25" customHeight="1">
      <c r="A145" s="313" t="s">
        <v>54</v>
      </c>
      <c r="B145" s="313" t="s">
        <v>65</v>
      </c>
      <c r="C145" s="313" t="s">
        <v>3564</v>
      </c>
      <c r="D145" s="313" t="s">
        <v>246</v>
      </c>
      <c r="E145" s="313" t="s">
        <v>283</v>
      </c>
      <c r="F145" s="182" t="s">
        <v>244</v>
      </c>
      <c r="G145" s="313" t="s">
        <v>56</v>
      </c>
      <c r="H145" s="313" t="s">
        <v>49</v>
      </c>
      <c r="I145" s="313" t="s">
        <v>35</v>
      </c>
      <c r="J145" s="313" t="s">
        <v>57</v>
      </c>
      <c r="O145" s="313" t="s">
        <v>3833</v>
      </c>
      <c r="T145" s="313" t="s">
        <v>217</v>
      </c>
      <c r="Z145" s="313" t="s">
        <v>27</v>
      </c>
      <c r="AA145" s="313" t="n">
        <v>1</v>
      </c>
      <c r="AB145" s="313" t="n">
        <v>1</v>
      </c>
    </row>
    <row r="146" s="313" customFormat="1" ht="26.25" customHeight="1">
      <c r="A146" s="313" t="s">
        <v>54</v>
      </c>
      <c r="B146" s="313" t="s">
        <v>65</v>
      </c>
      <c r="C146" s="313" t="n">
        <v>3132888</v>
      </c>
      <c r="D146" s="313" t="s">
        <v>215</v>
      </c>
      <c r="E146" s="313" t="s">
        <v>283</v>
      </c>
      <c r="F146" s="182" t="s">
        <v>704</v>
      </c>
      <c r="G146" s="313" t="s">
        <v>56</v>
      </c>
      <c r="H146" s="313" t="s">
        <v>49</v>
      </c>
      <c r="I146" s="313" t="s">
        <v>35</v>
      </c>
      <c r="J146" s="313" t="s">
        <v>36</v>
      </c>
      <c r="O146" s="313" t="s">
        <v>3834</v>
      </c>
      <c r="T146" s="313" t="s">
        <v>217</v>
      </c>
      <c r="AA146" s="313" t="n">
        <v>1</v>
      </c>
      <c r="AB146" s="313" t="n">
        <v>1</v>
      </c>
    </row>
    <row r="147" s="313" customFormat="1" ht="26.25" customHeight="1">
      <c r="A147" s="313" t="s">
        <v>54</v>
      </c>
      <c r="B147" s="313" t="s">
        <v>65</v>
      </c>
      <c r="C147" s="313" t="s">
        <v>3812</v>
      </c>
      <c r="D147" s="313" t="s">
        <v>215</v>
      </c>
      <c r="E147" s="313" t="s">
        <v>283</v>
      </c>
      <c r="F147" s="23" t="s">
        <v>214</v>
      </c>
      <c r="G147" s="313" t="s">
        <v>56</v>
      </c>
      <c r="H147" s="313" t="s">
        <v>49</v>
      </c>
      <c r="J147" s="313" t="s">
        <v>55</v>
      </c>
      <c r="O147" s="313" t="s">
        <v>3835</v>
      </c>
      <c r="T147" s="313" t="s">
        <v>217</v>
      </c>
      <c r="AA147" s="313" t="n">
        <v>1</v>
      </c>
      <c r="AB147" s="313" t="n">
        <v>1</v>
      </c>
    </row>
    <row r="148" s="313" customFormat="1" ht="26.25" customHeight="1">
      <c r="A148" s="313" t="s">
        <v>54</v>
      </c>
      <c r="B148" s="313" t="s">
        <v>65</v>
      </c>
      <c r="C148" s="313" t="n">
        <v>3132888</v>
      </c>
      <c r="D148" s="313" t="s">
        <v>215</v>
      </c>
      <c r="E148" s="313" t="s">
        <v>283</v>
      </c>
      <c r="F148" s="23" t="s">
        <v>803</v>
      </c>
      <c r="G148" s="313" t="s">
        <v>56</v>
      </c>
      <c r="H148" s="313" t="s">
        <v>47</v>
      </c>
      <c r="J148" s="313" t="s">
        <v>36</v>
      </c>
      <c r="K148" s="313" t="s">
        <v>3836</v>
      </c>
      <c r="L148" s="1057" t="s">
        <v>3837</v>
      </c>
      <c r="M148" s="1058" t="s">
        <v>3838</v>
      </c>
      <c r="N148" s="313" t="s">
        <v>3839</v>
      </c>
      <c r="O148" s="313" t="s">
        <v>3840</v>
      </c>
      <c r="P148" s="1059" t="s">
        <v>3841</v>
      </c>
      <c r="Q148" s="313" t="s">
        <v>3842</v>
      </c>
      <c r="T148" s="313" t="s">
        <v>218</v>
      </c>
      <c r="AA148" s="313" t="n">
        <v>1</v>
      </c>
      <c r="AB148" s="313" t="n">
        <v>1</v>
      </c>
    </row>
    <row r="149" s="313" customFormat="1" ht="26.25" customHeight="1">
      <c r="A149" s="313" t="s">
        <v>54</v>
      </c>
      <c r="B149" s="313" t="s">
        <v>65</v>
      </c>
      <c r="C149" s="313" t="n">
        <v>5230727</v>
      </c>
      <c r="D149" s="313" t="s">
        <v>246</v>
      </c>
      <c r="E149" s="313" t="s">
        <v>283</v>
      </c>
      <c r="F149" s="23" t="s">
        <v>959</v>
      </c>
      <c r="G149" s="313" t="s">
        <v>56</v>
      </c>
      <c r="H149" s="313" t="s">
        <v>47</v>
      </c>
      <c r="I149" s="313" t="s">
        <v>35</v>
      </c>
      <c r="J149" s="313" t="s">
        <v>55</v>
      </c>
      <c r="M149" s="313" t="s">
        <v>3843</v>
      </c>
      <c r="O149" s="313" t="s">
        <v>1473</v>
      </c>
      <c r="Q149" s="313" t="n">
        <v>39</v>
      </c>
      <c r="T149" s="313" t="s">
        <v>217</v>
      </c>
      <c r="U149" s="313" t="s">
        <v>217</v>
      </c>
      <c r="V149" s="313" t="s">
        <v>217</v>
      </c>
      <c r="W149" s="313" t="s">
        <v>217</v>
      </c>
      <c r="AA149" s="313" t="n">
        <v>0</v>
      </c>
      <c r="AB149" s="313" t="n">
        <v>0</v>
      </c>
    </row>
    <row r="150" s="313" customFormat="1" ht="26.25" customHeight="1">
      <c r="A150" s="313" t="s">
        <v>54</v>
      </c>
      <c r="B150" s="313" t="s">
        <v>65</v>
      </c>
      <c r="C150" s="313" t="n">
        <v>3132888</v>
      </c>
      <c r="D150" s="313" t="s">
        <v>215</v>
      </c>
      <c r="E150" s="313" t="s">
        <v>283</v>
      </c>
      <c r="F150" s="23" t="s">
        <v>369</v>
      </c>
      <c r="G150" s="313" t="s">
        <v>56</v>
      </c>
      <c r="H150" s="313" t="s">
        <v>49</v>
      </c>
      <c r="I150" s="313" t="s">
        <v>35</v>
      </c>
      <c r="J150" s="313" t="s">
        <v>57</v>
      </c>
      <c r="O150" s="313" t="s">
        <v>3844</v>
      </c>
      <c r="T150" s="313" t="s">
        <v>217</v>
      </c>
      <c r="AA150" s="313" t="n">
        <v>1</v>
      </c>
      <c r="AB150" s="313" t="n">
        <v>1</v>
      </c>
    </row>
    <row r="151" s="313" customFormat="1" ht="26.25" customHeight="1">
      <c r="A151" s="313" t="s">
        <v>54</v>
      </c>
      <c r="B151" s="313" t="s">
        <v>65</v>
      </c>
      <c r="C151" s="313" t="n">
        <v>3132888</v>
      </c>
      <c r="D151" s="313" t="s">
        <v>215</v>
      </c>
      <c r="E151" s="313" t="s">
        <v>283</v>
      </c>
      <c r="F151" s="182" t="s">
        <v>340</v>
      </c>
      <c r="G151" s="313" t="s">
        <v>56</v>
      </c>
      <c r="H151" s="313" t="s">
        <v>49</v>
      </c>
      <c r="I151" s="313" t="s">
        <v>35</v>
      </c>
      <c r="J151" s="313" t="s">
        <v>57</v>
      </c>
      <c r="O151" s="470" t="s">
        <v>3845</v>
      </c>
      <c r="T151" s="313" t="s">
        <v>217</v>
      </c>
      <c r="V151" s="313" t="s">
        <v>217</v>
      </c>
      <c r="AA151" s="313" t="n">
        <v>1</v>
      </c>
      <c r="AB151" s="313" t="n">
        <v>1</v>
      </c>
    </row>
    <row r="152" ht="26.25" customHeight="1">
      <c r="O152" s="197"/>
      <c r="T152" s="197"/>
      <c r="V152" s="197"/>
    </row>
    <row r="153" ht="26.25" customHeight="1">
      <c r="O153" s="197"/>
      <c r="T153" s="197"/>
      <c r="V153" s="197"/>
    </row>
    <row r="154" ht="26.25" customHeight="1">
      <c r="O154" s="197"/>
      <c r="T154" s="197"/>
      <c r="V154" s="197"/>
    </row>
    <row r="155" ht="26.25" customHeight="1">
      <c r="O155" s="197"/>
      <c r="T155" s="197"/>
      <c r="V155" s="197"/>
    </row>
    <row r="156" ht="26.25" customHeight="1">
      <c r="O156" s="197"/>
      <c r="T156" s="197"/>
      <c r="V156" s="197"/>
    </row>
    <row r="157" ht="26.25" customHeight="1">
      <c r="O157" s="197"/>
      <c r="T157" s="197"/>
      <c r="V157" s="197"/>
    </row>
    <row r="158" ht="26.25" customHeight="1">
      <c r="O158" s="197"/>
      <c r="T158" s="197"/>
      <c r="V158" s="197"/>
    </row>
    <row r="159" ht="26.25" customHeight="1">
      <c r="O159" s="197"/>
      <c r="T159" s="197"/>
      <c r="V159" s="197"/>
    </row>
    <row r="160" ht="26.25" customHeight="1">
      <c r="O160" s="197"/>
      <c r="T160" s="197"/>
      <c r="V160" s="197"/>
    </row>
    <row r="161" ht="26.25" customHeight="1">
      <c r="O161" s="197"/>
      <c r="T161" s="197"/>
      <c r="V161" s="197"/>
    </row>
    <row r="162" ht="26.25" customHeight="1">
      <c r="O162" s="197"/>
      <c r="T162" s="197"/>
      <c r="V162" s="197"/>
    </row>
    <row r="163" ht="26.25" customHeight="1">
      <c r="O163" s="197"/>
      <c r="T163" s="197"/>
      <c r="V163" s="197"/>
    </row>
    <row r="164" ht="26.25" customHeight="1">
      <c r="O164" s="197"/>
      <c r="T164" s="197"/>
      <c r="V164" s="197"/>
    </row>
    <row r="165" ht="26.25" customHeight="1">
      <c r="O165" s="197"/>
      <c r="T165" s="197"/>
      <c r="V165" s="197"/>
    </row>
    <row r="166" ht="26.25" customHeight="1">
      <c r="O166" s="197"/>
      <c r="T166" s="197"/>
      <c r="V166" s="197"/>
    </row>
    <row r="167" ht="26.25" customHeight="1">
      <c r="O167" s="197"/>
      <c r="T167" s="197"/>
      <c r="V167" s="197"/>
    </row>
    <row r="168" ht="26.25" customHeight="1">
      <c r="O168" s="197"/>
      <c r="T168" s="197"/>
      <c r="V168" s="197"/>
    </row>
    <row r="169" ht="26.25" customHeight="1">
      <c r="O169" s="197"/>
      <c r="T169" s="197"/>
      <c r="V169" s="197"/>
    </row>
    <row r="170" ht="26.25" customHeight="1">
      <c r="O170" s="197"/>
      <c r="T170" s="197"/>
      <c r="V170" s="197"/>
    </row>
    <row r="171" ht="26.25" customHeight="1">
      <c r="O171" s="197"/>
      <c r="T171" s="197"/>
      <c r="V171" s="197"/>
    </row>
    <row r="172" ht="26.25" customHeight="1">
      <c r="O172" s="197"/>
      <c r="T172" s="197"/>
      <c r="V172" s="197"/>
    </row>
    <row r="173" ht="26.25" customHeight="1">
      <c r="O173" s="197"/>
      <c r="T173" s="197"/>
      <c r="V173" s="197"/>
    </row>
    <row r="174" ht="26.25" customHeight="1">
      <c r="O174" s="197"/>
      <c r="T174" s="197"/>
      <c r="V174" s="197"/>
    </row>
    <row r="175" ht="26.25" customHeight="1">
      <c r="O175" s="197"/>
      <c r="T175" s="197"/>
      <c r="V175" s="197"/>
    </row>
    <row r="176" ht="26.25" customHeight="1">
      <c r="O176" s="197"/>
      <c r="T176" s="197"/>
      <c r="V176" s="197"/>
    </row>
    <row r="177" ht="26.25" customHeight="1">
      <c r="O177" s="197"/>
      <c r="T177" s="197"/>
      <c r="V177" s="197"/>
    </row>
    <row r="178" ht="26.25" customHeight="1">
      <c r="O178" s="197"/>
      <c r="T178" s="197"/>
      <c r="V178" s="197"/>
    </row>
    <row r="179" ht="26.25" customHeight="1">
      <c r="O179" s="197"/>
      <c r="T179" s="197"/>
      <c r="V179" s="197"/>
    </row>
    <row r="180" ht="26.25" customHeight="1">
      <c r="O180" s="197"/>
      <c r="T180" s="197"/>
      <c r="V180" s="197"/>
    </row>
    <row r="181" ht="26.25" customHeight="1">
      <c r="O181" s="197"/>
      <c r="T181" s="197"/>
      <c r="V181" s="197"/>
    </row>
    <row r="182" ht="26.25" customHeight="1">
      <c r="O182" s="197"/>
      <c r="T182" s="197"/>
      <c r="V182" s="197"/>
    </row>
    <row r="183" ht="26.25" customHeight="1">
      <c r="O183" s="197"/>
      <c r="T183" s="197"/>
      <c r="V183" s="197"/>
    </row>
    <row r="184" ht="26.25" customHeight="1">
      <c r="O184" s="197"/>
      <c r="T184" s="197"/>
      <c r="V184" s="197"/>
    </row>
    <row r="185" ht="26.25" customHeight="1">
      <c r="O185" s="197"/>
      <c r="T185" s="197"/>
      <c r="V185" s="197"/>
    </row>
    <row r="186" ht="26.25" customHeight="1">
      <c r="O186" s="197"/>
      <c r="T186" s="197"/>
      <c r="V186" s="197"/>
    </row>
    <row r="187" ht="26.25" customHeight="1">
      <c r="O187" s="197"/>
      <c r="T187" s="197"/>
      <c r="V187" s="197"/>
    </row>
    <row r="188" ht="26.25" customHeight="1">
      <c r="O188" s="197"/>
      <c r="T188" s="197"/>
      <c r="V188" s="197"/>
    </row>
    <row r="189" ht="26.25" customHeight="1">
      <c r="O189" s="197"/>
      <c r="T189" s="197"/>
      <c r="V189" s="197"/>
    </row>
    <row r="190" ht="26.25" customHeight="1">
      <c r="O190" s="197"/>
      <c r="T190" s="197"/>
      <c r="V190" s="197"/>
    </row>
    <row r="191" ht="26.25" customHeight="1">
      <c r="O191" s="197"/>
      <c r="T191" s="197"/>
      <c r="V191" s="197"/>
    </row>
    <row r="192" ht="26.25" customHeight="1">
      <c r="O192" s="197"/>
      <c r="T192" s="197"/>
      <c r="V192" s="197"/>
    </row>
    <row r="193" ht="26.25" customHeight="1">
      <c r="O193" s="197"/>
      <c r="T193" s="197"/>
      <c r="V193" s="197"/>
    </row>
    <row r="194" ht="26.25" customHeight="1">
      <c r="O194" s="197"/>
      <c r="T194" s="197"/>
      <c r="V194" s="197"/>
    </row>
    <row r="195" ht="26.25" customHeight="1">
      <c r="O195" s="197"/>
      <c r="T195" s="197"/>
      <c r="V195" s="197"/>
    </row>
    <row r="196" ht="26.25" customHeight="1">
      <c r="O196" s="197"/>
      <c r="T196" s="197"/>
      <c r="V196" s="197"/>
    </row>
    <row r="197" ht="26.25" customHeight="1">
      <c r="O197" s="197"/>
      <c r="T197" s="197"/>
      <c r="V197" s="197"/>
    </row>
    <row r="198" ht="26.25" customHeight="1">
      <c r="O198" s="197"/>
      <c r="T198" s="197"/>
      <c r="V198" s="197"/>
    </row>
    <row r="199" ht="26.25" customHeight="1">
      <c r="O199" s="197"/>
      <c r="T199" s="197"/>
      <c r="V199" s="197"/>
    </row>
    <row r="200" ht="26.25" customHeight="1">
      <c r="O200" s="197"/>
      <c r="T200" s="197"/>
      <c r="V200" s="197"/>
    </row>
    <row r="201" ht="26.25" customHeight="1">
      <c r="O201" s="197"/>
      <c r="T201" s="197"/>
      <c r="V201" s="197"/>
    </row>
    <row r="202" ht="26.25" customHeight="1">
      <c r="O202" s="197"/>
      <c r="T202" s="197"/>
      <c r="V202" s="197"/>
    </row>
    <row r="203" ht="26.25" customHeight="1">
      <c r="O203" s="197"/>
      <c r="T203" s="197"/>
      <c r="V203" s="197"/>
    </row>
    <row r="204" ht="26.25" customHeight="1">
      <c r="O204" s="197"/>
      <c r="T204" s="197"/>
      <c r="V204" s="197"/>
    </row>
  </sheetData>
  <autoFilter ref="A2:XFD1048576"/>
  <mergeCells count="6">
    <mergeCell ref="A1:J1"/>
    <mergeCell ref="K1:O1"/>
    <mergeCell ref="P1:S1"/>
    <mergeCell ref="T1:Y1"/>
    <mergeCell ref="Z1:Z2"/>
    <mergeCell ref="AA1:AB1"/>
  </mergeCells>
  <phoneticPr fontId="1" type="noConversion"/>
  <conditionalFormatting sqref="F1:F2 F152:F204">
    <cfRule priority="34" type="duplicateValues" dxfId="0"/>
  </conditionalFormatting>
  <conditionalFormatting sqref="F146">
    <cfRule priority="28" type="duplicateValues" dxfId="0"/>
  </conditionalFormatting>
  <dataValidations count="2">
    <dataValidation type="list" allowBlank="1" sqref="V3:V1048576">
      <formula1>"是,否"</formula1>
    </dataValidation>
    <dataValidation type="list" allowBlank="1" sqref="T3:T204">
      <formula1>"是,否"</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507"/>
    <col min="7" max="10" width="10"/>
    <col min="11" max="11" width="11.625"/>
    <col min="12" max="12" width="14.748046875" customWidth="1" style="496"/>
    <col min="13" max="13" width="12.873046875" customWidth="1" style="496"/>
    <col min="14" max="14" width="19.125" customWidth="1" style="496"/>
    <col min="15" max="15" width="28.248046875" customWidth="1" style="496"/>
    <col min="16" max="16" width="10" style="496"/>
    <col min="17" max="25" width="10"/>
  </cols>
  <sheetData>
    <row r="1" ht="26.25" customHeight="1">
      <c r="A1" s="485" t="s">
        <v>2588</v>
      </c>
      <c r="B1" s="472"/>
      <c r="C1" s="472"/>
      <c r="D1" s="472"/>
      <c r="E1" s="472"/>
      <c r="F1" s="472"/>
      <c r="G1" s="472"/>
      <c r="H1" s="472"/>
      <c r="I1" s="472"/>
      <c r="J1" s="472"/>
      <c r="K1" s="490" t="s">
        <v>2351</v>
      </c>
      <c r="L1" s="494"/>
      <c r="M1" s="494"/>
      <c r="N1" s="494"/>
      <c r="O1" s="494"/>
      <c r="P1" s="487" t="s">
        <v>2352</v>
      </c>
      <c r="Q1" s="492"/>
      <c r="R1" s="492"/>
      <c r="S1" s="492"/>
      <c r="T1" s="491" t="s">
        <v>2353</v>
      </c>
      <c r="U1" s="492"/>
      <c r="V1" s="492"/>
      <c r="W1" s="492"/>
      <c r="X1" s="492"/>
      <c r="Y1" s="492"/>
      <c r="Z1" s="492"/>
      <c r="AA1" s="492"/>
      <c r="AB1" s="492"/>
      <c r="AC1" s="492"/>
    </row>
    <row r="2" ht="26.25" customHeight="1">
      <c r="A2" s="211" t="s">
        <v>71</v>
      </c>
      <c r="B2" s="211" t="s">
        <v>174</v>
      </c>
      <c r="C2" s="211" t="s">
        <v>2354</v>
      </c>
      <c r="D2" s="211" t="s">
        <v>2355</v>
      </c>
      <c r="E2" s="211" t="s">
        <v>94</v>
      </c>
      <c r="F2" s="211" t="s">
        <v>148</v>
      </c>
      <c r="G2" s="211" t="s">
        <v>172</v>
      </c>
      <c r="H2" s="211" t="s">
        <v>2356</v>
      </c>
      <c r="I2" s="211" t="s">
        <v>3004</v>
      </c>
      <c r="J2" s="211" t="s">
        <v>2358</v>
      </c>
      <c r="K2" s="218" t="s">
        <v>2359</v>
      </c>
      <c r="L2" s="211" t="s">
        <v>2360</v>
      </c>
      <c r="M2" s="1060" t="s">
        <v>2361</v>
      </c>
      <c r="N2" s="211" t="s">
        <v>2362</v>
      </c>
      <c r="O2" s="211" t="s">
        <v>2363</v>
      </c>
      <c r="P2" s="211" t="s">
        <v>126</v>
      </c>
      <c r="Q2" s="218" t="s">
        <v>125</v>
      </c>
      <c r="R2" s="218" t="s">
        <v>2364</v>
      </c>
      <c r="S2" s="218" t="s">
        <v>2365</v>
      </c>
      <c r="T2" s="218" t="s">
        <v>2366</v>
      </c>
      <c r="U2" s="218" t="s">
        <v>2367</v>
      </c>
      <c r="V2" s="218" t="s">
        <v>176</v>
      </c>
      <c r="W2" s="218" t="s">
        <v>2368</v>
      </c>
      <c r="X2" s="218" t="s">
        <v>2369</v>
      </c>
      <c r="Y2" s="218" t="s">
        <v>2370</v>
      </c>
      <c r="Z2" s="492"/>
      <c r="AA2" s="492"/>
      <c r="AB2" s="492"/>
      <c r="AC2" s="492"/>
    </row>
    <row r="3" s="313" customFormat="1" ht="26.25" customHeight="1">
      <c r="A3" s="313" t="s">
        <v>45</v>
      </c>
      <c r="B3" s="313" t="s">
        <v>88</v>
      </c>
      <c r="C3" s="313" t="n">
        <v>5230737</v>
      </c>
      <c r="D3" s="313" t="s">
        <v>216</v>
      </c>
      <c r="E3" s="313" t="s">
        <v>283</v>
      </c>
      <c r="F3" s="313" t="s">
        <v>1339</v>
      </c>
      <c r="G3" s="313" t="s">
        <v>58</v>
      </c>
      <c r="H3" s="313" t="s">
        <v>47</v>
      </c>
      <c r="I3" s="313" t="s">
        <v>31</v>
      </c>
      <c r="J3" s="313" t="s">
        <v>46</v>
      </c>
      <c r="M3" s="313" t="s">
        <v>3846</v>
      </c>
      <c r="N3" s="313" t="s">
        <v>3847</v>
      </c>
      <c r="O3" s="313" t="s">
        <v>3848</v>
      </c>
      <c r="Q3" s="313" t="n">
        <v>41.5</v>
      </c>
      <c r="T3" s="313" t="s">
        <v>217</v>
      </c>
      <c r="U3" s="313" t="s">
        <v>217</v>
      </c>
      <c r="V3" s="313" t="s">
        <v>217</v>
      </c>
      <c r="W3" s="313" t="s">
        <v>217</v>
      </c>
    </row>
    <row r="4" s="313" customFormat="1" ht="26.25" customHeight="1">
      <c r="A4" s="313" t="s">
        <v>45</v>
      </c>
      <c r="B4" s="313" t="s">
        <v>88</v>
      </c>
      <c r="C4" s="313" t="n">
        <v>5230737</v>
      </c>
      <c r="D4" s="313" t="s">
        <v>216</v>
      </c>
      <c r="E4" s="313" t="s">
        <v>283</v>
      </c>
      <c r="F4" s="313" t="s">
        <v>1007</v>
      </c>
      <c r="G4" s="313" t="s">
        <v>58</v>
      </c>
      <c r="H4" s="313" t="s">
        <v>47</v>
      </c>
      <c r="I4" s="313" t="s">
        <v>31</v>
      </c>
      <c r="J4" s="313" t="s">
        <v>36</v>
      </c>
      <c r="L4" s="313" t="s">
        <v>3849</v>
      </c>
      <c r="M4" s="313" t="s">
        <v>3850</v>
      </c>
      <c r="N4" s="313" t="s">
        <v>3851</v>
      </c>
      <c r="O4" s="313" t="s">
        <v>3852</v>
      </c>
      <c r="T4" s="313" t="s">
        <v>217</v>
      </c>
      <c r="U4" s="313" t="s">
        <v>217</v>
      </c>
      <c r="V4" s="313" t="s">
        <v>217</v>
      </c>
      <c r="W4" s="313" t="s">
        <v>217</v>
      </c>
    </row>
    <row r="5" s="313" customFormat="1" ht="26.25" customHeight="1">
      <c r="A5" s="313" t="s">
        <v>45</v>
      </c>
      <c r="B5" s="313" t="s">
        <v>88</v>
      </c>
      <c r="C5" s="313" t="n">
        <v>5230737</v>
      </c>
      <c r="D5" s="313" t="s">
        <v>216</v>
      </c>
      <c r="E5" s="313" t="s">
        <v>283</v>
      </c>
      <c r="F5" s="313" t="s">
        <v>1062</v>
      </c>
      <c r="G5" s="313" t="s">
        <v>58</v>
      </c>
      <c r="H5" s="313" t="s">
        <v>47</v>
      </c>
      <c r="I5" s="313" t="s">
        <v>37</v>
      </c>
      <c r="J5" s="313" t="s">
        <v>50</v>
      </c>
      <c r="L5" s="313" t="s">
        <v>597</v>
      </c>
      <c r="M5" s="313" t="s">
        <v>2501</v>
      </c>
      <c r="N5" s="313" t="s">
        <v>3853</v>
      </c>
      <c r="O5" s="313" t="s">
        <v>3854</v>
      </c>
      <c r="T5" s="313" t="s">
        <v>217</v>
      </c>
      <c r="U5" s="313" t="s">
        <v>217</v>
      </c>
      <c r="V5" s="313" t="s">
        <v>217</v>
      </c>
      <c r="W5" s="313" t="s">
        <v>217</v>
      </c>
    </row>
    <row r="6" s="313" customFormat="1" ht="26.25" customHeight="1">
      <c r="A6" s="313" t="s">
        <v>45</v>
      </c>
      <c r="B6" s="313" t="s">
        <v>88</v>
      </c>
      <c r="C6" s="313" t="n">
        <v>5230737</v>
      </c>
      <c r="D6" s="313" t="s">
        <v>216</v>
      </c>
      <c r="E6" s="313" t="s">
        <v>283</v>
      </c>
      <c r="F6" s="313" t="s">
        <v>1053</v>
      </c>
      <c r="G6" s="313" t="s">
        <v>58</v>
      </c>
      <c r="H6" s="313" t="s">
        <v>47</v>
      </c>
      <c r="I6" s="313" t="s">
        <v>31</v>
      </c>
      <c r="J6" s="313" t="s">
        <v>57</v>
      </c>
      <c r="L6" s="313" t="s">
        <v>3855</v>
      </c>
      <c r="M6" s="313" t="s">
        <v>3856</v>
      </c>
      <c r="N6" s="313" t="s">
        <v>3857</v>
      </c>
      <c r="O6" s="313" t="s">
        <v>3858</v>
      </c>
      <c r="T6" s="313" t="s">
        <v>217</v>
      </c>
      <c r="U6" s="313" t="s">
        <v>217</v>
      </c>
      <c r="V6" s="313" t="s">
        <v>217</v>
      </c>
      <c r="W6" s="313" t="s">
        <v>217</v>
      </c>
    </row>
    <row r="7" s="313" customFormat="1" ht="26.25" customHeight="1">
      <c r="A7" s="313" t="s">
        <v>45</v>
      </c>
      <c r="B7" s="313" t="s">
        <v>88</v>
      </c>
      <c r="C7" s="313" t="n">
        <v>5230737</v>
      </c>
      <c r="D7" s="313" t="s">
        <v>216</v>
      </c>
      <c r="E7" s="313" t="s">
        <v>283</v>
      </c>
      <c r="F7" s="313" t="s">
        <v>895</v>
      </c>
      <c r="G7" s="313" t="s">
        <v>58</v>
      </c>
      <c r="H7" s="313" t="s">
        <v>47</v>
      </c>
      <c r="I7" s="313" t="s">
        <v>31</v>
      </c>
      <c r="J7" s="313" t="s">
        <v>48</v>
      </c>
      <c r="K7" s="313" t="s">
        <v>3859</v>
      </c>
      <c r="L7" s="1061" t="s">
        <v>3860</v>
      </c>
      <c r="M7" s="1062" t="s">
        <v>3861</v>
      </c>
      <c r="N7" s="313" t="s">
        <v>3862</v>
      </c>
      <c r="O7" s="1063" t="s">
        <v>3863</v>
      </c>
      <c r="P7" s="313" t="s">
        <v>3864</v>
      </c>
      <c r="T7" s="313" t="s">
        <v>217</v>
      </c>
      <c r="U7" s="313" t="s">
        <v>217</v>
      </c>
      <c r="V7" s="313" t="s">
        <v>217</v>
      </c>
      <c r="W7" s="313" t="s">
        <v>217</v>
      </c>
    </row>
    <row r="8" s="313" customFormat="1" ht="26.25" customHeight="1">
      <c r="A8" s="313" t="s">
        <v>45</v>
      </c>
      <c r="B8" s="313" t="s">
        <v>88</v>
      </c>
      <c r="C8" s="313" t="n">
        <v>5230737</v>
      </c>
      <c r="D8" s="313" t="s">
        <v>216</v>
      </c>
      <c r="E8" s="313" t="s">
        <v>283</v>
      </c>
      <c r="F8" s="313" t="s">
        <v>1042</v>
      </c>
      <c r="G8" s="313" t="s">
        <v>58</v>
      </c>
      <c r="H8" s="313" t="s">
        <v>47</v>
      </c>
      <c r="I8" s="313" t="s">
        <v>31</v>
      </c>
      <c r="J8" s="313" t="s">
        <v>40</v>
      </c>
      <c r="L8" s="313" t="s">
        <v>1774</v>
      </c>
      <c r="M8" s="313" t="s">
        <v>3865</v>
      </c>
      <c r="N8" s="313" t="s">
        <v>3866</v>
      </c>
      <c r="O8" s="313" t="s">
        <v>3867</v>
      </c>
      <c r="P8" s="313" t="n">
        <v>95</v>
      </c>
      <c r="T8" s="313" t="s">
        <v>217</v>
      </c>
      <c r="U8" s="313" t="s">
        <v>217</v>
      </c>
      <c r="V8" s="313" t="s">
        <v>217</v>
      </c>
      <c r="W8" s="313" t="s">
        <v>217</v>
      </c>
    </row>
    <row r="9" s="313" customFormat="1" ht="26.25" customHeight="1">
      <c r="A9" s="313" t="s">
        <v>45</v>
      </c>
      <c r="B9" s="313" t="s">
        <v>88</v>
      </c>
      <c r="C9" s="313" t="n">
        <v>5230737</v>
      </c>
      <c r="D9" s="313" t="s">
        <v>216</v>
      </c>
      <c r="E9" s="313" t="s">
        <v>283</v>
      </c>
      <c r="F9" s="313" t="s">
        <v>1086</v>
      </c>
      <c r="G9" s="313" t="s">
        <v>58</v>
      </c>
      <c r="H9" s="313" t="s">
        <v>47</v>
      </c>
      <c r="I9" s="313" t="s">
        <v>31</v>
      </c>
      <c r="J9" s="313" t="s">
        <v>48</v>
      </c>
      <c r="N9" s="313" t="s">
        <v>3868</v>
      </c>
      <c r="O9" s="1064" t="s">
        <v>3869</v>
      </c>
      <c r="P9" s="313" t="s">
        <v>3870</v>
      </c>
      <c r="T9" s="313" t="s">
        <v>217</v>
      </c>
      <c r="U9" s="313" t="s">
        <v>217</v>
      </c>
      <c r="V9" s="313" t="s">
        <v>217</v>
      </c>
      <c r="W9" s="313" t="s">
        <v>217</v>
      </c>
    </row>
    <row r="10" s="313" customFormat="1" ht="26.25" customHeight="1">
      <c r="A10" s="313" t="s">
        <v>45</v>
      </c>
      <c r="B10" s="313" t="s">
        <v>88</v>
      </c>
      <c r="C10" s="313" t="n">
        <v>5230737</v>
      </c>
      <c r="D10" s="313" t="s">
        <v>216</v>
      </c>
      <c r="E10" s="313" t="s">
        <v>283</v>
      </c>
      <c r="F10" s="313" t="s">
        <v>641</v>
      </c>
      <c r="G10" s="313" t="s">
        <v>58</v>
      </c>
      <c r="I10" s="313" t="s">
        <v>31</v>
      </c>
      <c r="J10" s="313" t="s">
        <v>48</v>
      </c>
      <c r="M10" s="313" t="s">
        <v>3871</v>
      </c>
      <c r="N10" s="313" t="s">
        <v>3872</v>
      </c>
      <c r="O10" s="313" t="s">
        <v>3873</v>
      </c>
      <c r="T10" s="313" t="s">
        <v>217</v>
      </c>
      <c r="U10" s="313" t="s">
        <v>217</v>
      </c>
      <c r="V10" s="313" t="s">
        <v>217</v>
      </c>
      <c r="W10" s="313" t="s">
        <v>217</v>
      </c>
    </row>
    <row r="11" s="313" customFormat="1" ht="26.25" customHeight="1">
      <c r="A11" s="313" t="s">
        <v>45</v>
      </c>
      <c r="B11" s="313" t="s">
        <v>88</v>
      </c>
      <c r="C11" s="313" t="n">
        <v>5230737</v>
      </c>
      <c r="D11" s="313" t="s">
        <v>216</v>
      </c>
      <c r="E11" s="313" t="s">
        <v>283</v>
      </c>
      <c r="F11" s="313" t="s">
        <v>1307</v>
      </c>
      <c r="G11" s="313" t="s">
        <v>58</v>
      </c>
      <c r="H11" s="313" t="s">
        <v>47</v>
      </c>
      <c r="I11" s="313" t="s">
        <v>31</v>
      </c>
      <c r="J11" s="313" t="s">
        <v>50</v>
      </c>
      <c r="L11" s="313" t="s">
        <v>2745</v>
      </c>
      <c r="M11" s="313" t="s">
        <v>2501</v>
      </c>
      <c r="N11" s="313" t="s">
        <v>839</v>
      </c>
      <c r="O11" s="1065" t="s">
        <v>3874</v>
      </c>
      <c r="P11" s="313" t="s">
        <v>3875</v>
      </c>
      <c r="Q11" s="313" t="n">
        <v>40.5</v>
      </c>
      <c r="T11" s="313" t="s">
        <v>217</v>
      </c>
      <c r="U11" s="313" t="s">
        <v>217</v>
      </c>
      <c r="V11" s="313" t="s">
        <v>217</v>
      </c>
      <c r="W11" s="313" t="s">
        <v>217</v>
      </c>
    </row>
    <row r="12" s="313" customFormat="1" ht="26.25" customHeight="1">
      <c r="A12" s="313" t="s">
        <v>45</v>
      </c>
      <c r="B12" s="313" t="s">
        <v>88</v>
      </c>
      <c r="C12" s="313" t="n">
        <v>5230737</v>
      </c>
      <c r="D12" s="313" t="s">
        <v>216</v>
      </c>
      <c r="E12" s="313" t="s">
        <v>283</v>
      </c>
      <c r="F12" s="313" t="s">
        <v>1322</v>
      </c>
      <c r="G12" s="313" t="s">
        <v>58</v>
      </c>
      <c r="H12" s="313" t="s">
        <v>47</v>
      </c>
      <c r="I12" s="313" t="s">
        <v>31</v>
      </c>
      <c r="J12" s="313" t="s">
        <v>50</v>
      </c>
      <c r="K12" s="313" t="s">
        <v>362</v>
      </c>
      <c r="L12" s="313" t="s">
        <v>2682</v>
      </c>
      <c r="M12" s="313" t="s">
        <v>3876</v>
      </c>
      <c r="N12" s="313" t="s">
        <v>3877</v>
      </c>
      <c r="O12" s="313" t="s">
        <v>3878</v>
      </c>
      <c r="P12" s="313" t="n">
        <v>97</v>
      </c>
      <c r="T12" s="313" t="s">
        <v>217</v>
      </c>
      <c r="U12" s="313" t="s">
        <v>217</v>
      </c>
      <c r="V12" s="313" t="s">
        <v>217</v>
      </c>
      <c r="W12" s="313" t="s">
        <v>217</v>
      </c>
    </row>
    <row r="13" s="313" customFormat="1" ht="26.25" customHeight="1">
      <c r="A13" s="313" t="s">
        <v>45</v>
      </c>
      <c r="B13" s="313" t="s">
        <v>88</v>
      </c>
      <c r="C13" s="313" t="n">
        <v>5230737</v>
      </c>
      <c r="D13" s="313" t="s">
        <v>216</v>
      </c>
      <c r="E13" s="313" t="s">
        <v>283</v>
      </c>
      <c r="F13" s="313" t="s">
        <v>1314</v>
      </c>
      <c r="G13" s="313" t="s">
        <v>58</v>
      </c>
      <c r="H13" s="313" t="s">
        <v>47</v>
      </c>
      <c r="I13" s="313" t="s">
        <v>31</v>
      </c>
      <c r="J13" s="313" t="s">
        <v>48</v>
      </c>
      <c r="K13" s="313" t="s">
        <v>3879</v>
      </c>
      <c r="L13" s="1066" t="s">
        <v>3880</v>
      </c>
      <c r="M13" s="313" t="s">
        <v>3881</v>
      </c>
      <c r="N13" s="313" t="s">
        <v>3882</v>
      </c>
      <c r="O13" s="1067" t="s">
        <v>3883</v>
      </c>
      <c r="P13" s="313" t="s">
        <v>3884</v>
      </c>
      <c r="Q13" s="313" t="s">
        <v>3842</v>
      </c>
      <c r="T13" s="313" t="s">
        <v>217</v>
      </c>
      <c r="U13" s="313" t="s">
        <v>217</v>
      </c>
      <c r="V13" s="313" t="s">
        <v>217</v>
      </c>
      <c r="W13" s="313" t="s">
        <v>217</v>
      </c>
    </row>
    <row r="14" s="313" customFormat="1" ht="26.25" customHeight="1">
      <c r="A14" s="313" t="s">
        <v>45</v>
      </c>
      <c r="B14" s="313" t="s">
        <v>88</v>
      </c>
      <c r="C14" s="313" t="n">
        <v>5230737</v>
      </c>
      <c r="D14" s="313" t="s">
        <v>216</v>
      </c>
      <c r="E14" s="313" t="s">
        <v>283</v>
      </c>
      <c r="F14" s="313" t="s">
        <v>1297</v>
      </c>
      <c r="G14" s="313" t="s">
        <v>58</v>
      </c>
      <c r="H14" s="313" t="s">
        <v>47</v>
      </c>
      <c r="I14" s="313" t="s">
        <v>31</v>
      </c>
      <c r="J14" s="313" t="s">
        <v>46</v>
      </c>
      <c r="L14" s="313" t="s">
        <v>2500</v>
      </c>
      <c r="N14" s="313" t="s">
        <v>3885</v>
      </c>
      <c r="O14" s="313" t="s">
        <v>3886</v>
      </c>
      <c r="P14" s="313" t="n">
        <v>85</v>
      </c>
      <c r="Q14" s="313" t="n">
        <v>23</v>
      </c>
      <c r="T14" s="313" t="s">
        <v>217</v>
      </c>
      <c r="U14" s="313" t="s">
        <v>217</v>
      </c>
      <c r="V14" s="313" t="s">
        <v>217</v>
      </c>
      <c r="W14" s="313" t="s">
        <v>217</v>
      </c>
    </row>
    <row r="15" s="313" customFormat="1" ht="26.25" customHeight="1">
      <c r="A15" s="313" t="s">
        <v>45</v>
      </c>
      <c r="B15" s="313" t="s">
        <v>88</v>
      </c>
      <c r="C15" s="313" t="n">
        <v>5230737</v>
      </c>
      <c r="D15" s="313" t="s">
        <v>216</v>
      </c>
      <c r="E15" s="313" t="s">
        <v>283</v>
      </c>
      <c r="F15" s="313" t="s">
        <v>1338</v>
      </c>
      <c r="G15" s="313" t="s">
        <v>58</v>
      </c>
      <c r="H15" s="313" t="s">
        <v>47</v>
      </c>
      <c r="I15" s="313" t="s">
        <v>31</v>
      </c>
      <c r="J15" s="313" t="s">
        <v>57</v>
      </c>
      <c r="K15" s="313" t="s">
        <v>3744</v>
      </c>
      <c r="L15" s="313" t="s">
        <v>3887</v>
      </c>
      <c r="M15" s="313" t="s">
        <v>3888</v>
      </c>
      <c r="N15" s="313" t="s">
        <v>3889</v>
      </c>
      <c r="O15" s="1068" t="s">
        <v>3890</v>
      </c>
      <c r="P15" s="313" t="s">
        <v>3891</v>
      </c>
      <c r="T15" s="313" t="s">
        <v>217</v>
      </c>
      <c r="U15" s="313" t="s">
        <v>217</v>
      </c>
      <c r="V15" s="313" t="s">
        <v>217</v>
      </c>
      <c r="W15" s="313" t="s">
        <v>217</v>
      </c>
    </row>
    <row r="16" s="313" customFormat="1" ht="26.25" customHeight="1">
      <c r="A16" s="313" t="s">
        <v>45</v>
      </c>
      <c r="B16" s="313" t="s">
        <v>88</v>
      </c>
      <c r="C16" s="313" t="n">
        <v>5230737</v>
      </c>
      <c r="D16" s="313" t="s">
        <v>216</v>
      </c>
      <c r="E16" s="313" t="s">
        <v>283</v>
      </c>
      <c r="F16" s="313" t="s">
        <v>1280</v>
      </c>
      <c r="G16" s="313" t="s">
        <v>58</v>
      </c>
      <c r="H16" s="313" t="s">
        <v>47</v>
      </c>
      <c r="I16" s="313" t="s">
        <v>31</v>
      </c>
      <c r="J16" s="313" t="s">
        <v>1266</v>
      </c>
      <c r="K16" s="313" t="s">
        <v>3892</v>
      </c>
      <c r="L16" s="313" t="s">
        <v>2745</v>
      </c>
      <c r="M16" s="313" t="s">
        <v>3893</v>
      </c>
      <c r="N16" s="313" t="s">
        <v>3894</v>
      </c>
      <c r="O16" s="313" t="s">
        <v>3895</v>
      </c>
      <c r="P16" s="313" t="s">
        <v>3896</v>
      </c>
      <c r="T16" s="313" t="s">
        <v>217</v>
      </c>
      <c r="U16" s="313" t="s">
        <v>217</v>
      </c>
      <c r="V16" s="313" t="s">
        <v>217</v>
      </c>
      <c r="W16" s="313" t="s">
        <v>217</v>
      </c>
    </row>
    <row r="17" s="313" customFormat="1" ht="26.25" customHeight="1">
      <c r="A17" s="313" t="s">
        <v>45</v>
      </c>
      <c r="B17" s="313" t="s">
        <v>65</v>
      </c>
      <c r="C17" s="313" t="n">
        <v>5230737</v>
      </c>
      <c r="D17" s="313" t="s">
        <v>216</v>
      </c>
      <c r="E17" s="313" t="s">
        <v>283</v>
      </c>
      <c r="F17" s="313" t="s">
        <v>869</v>
      </c>
      <c r="G17" s="313" t="s">
        <v>58</v>
      </c>
      <c r="H17" s="313" t="s">
        <v>47</v>
      </c>
      <c r="I17" s="313" t="s">
        <v>31</v>
      </c>
      <c r="J17" s="313" t="s">
        <v>46</v>
      </c>
      <c r="O17" s="313" t="s">
        <v>3897</v>
      </c>
      <c r="P17" s="313" t="n">
        <v>87</v>
      </c>
      <c r="Q17" s="313" t="n">
        <v>36</v>
      </c>
      <c r="T17" s="313" t="s">
        <v>217</v>
      </c>
      <c r="U17" s="313" t="s">
        <v>218</v>
      </c>
      <c r="V17" s="313" t="s">
        <v>217</v>
      </c>
      <c r="W17" s="313" t="s">
        <v>217</v>
      </c>
    </row>
    <row r="18" s="313" customFormat="1" ht="26.25" customHeight="1">
      <c r="A18" s="313" t="s">
        <v>45</v>
      </c>
      <c r="B18" s="313" t="s">
        <v>88</v>
      </c>
      <c r="C18" s="313" t="n">
        <v>5230737</v>
      </c>
      <c r="D18" s="313" t="s">
        <v>216</v>
      </c>
      <c r="E18" s="313" t="s">
        <v>283</v>
      </c>
      <c r="F18" s="313" t="s">
        <v>1152</v>
      </c>
      <c r="G18" s="313" t="s">
        <v>58</v>
      </c>
      <c r="H18" s="313" t="s">
        <v>47</v>
      </c>
      <c r="I18" s="313" t="s">
        <v>31</v>
      </c>
      <c r="J18" s="313" t="s">
        <v>48</v>
      </c>
      <c r="K18" s="313" t="s">
        <v>3859</v>
      </c>
      <c r="L18" s="1069" t="s">
        <v>3898</v>
      </c>
      <c r="M18" s="313" t="s">
        <v>3899</v>
      </c>
      <c r="N18" s="313" t="s">
        <v>3040</v>
      </c>
      <c r="O18" s="1070" t="s">
        <v>3900</v>
      </c>
      <c r="P18" s="313" t="s">
        <v>3901</v>
      </c>
      <c r="T18" s="313" t="s">
        <v>217</v>
      </c>
      <c r="U18" s="313" t="s">
        <v>217</v>
      </c>
      <c r="V18" s="313" t="s">
        <v>217</v>
      </c>
      <c r="W18" s="313" t="s">
        <v>217</v>
      </c>
    </row>
    <row r="19" s="313" customFormat="1" ht="26.25" customHeight="1">
      <c r="A19" s="313" t="s">
        <v>45</v>
      </c>
      <c r="B19" s="313" t="s">
        <v>88</v>
      </c>
      <c r="C19" s="313" t="n">
        <v>5230737</v>
      </c>
      <c r="D19" s="313" t="s">
        <v>216</v>
      </c>
      <c r="E19" s="313" t="s">
        <v>283</v>
      </c>
      <c r="F19" s="313" t="s">
        <v>1270</v>
      </c>
      <c r="G19" s="313" t="s">
        <v>58</v>
      </c>
      <c r="I19" s="313" t="s">
        <v>37</v>
      </c>
      <c r="J19" s="313" t="s">
        <v>48</v>
      </c>
      <c r="K19" s="313" t="s">
        <v>362</v>
      </c>
      <c r="L19" s="313" t="s">
        <v>2600</v>
      </c>
      <c r="M19" s="313" t="s">
        <v>3902</v>
      </c>
      <c r="N19" s="313" t="s">
        <v>3903</v>
      </c>
      <c r="O19" s="1071" t="s">
        <v>3904</v>
      </c>
      <c r="P19" s="313" t="s">
        <v>2608</v>
      </c>
      <c r="Q19" s="313" t="n">
        <v>26.5</v>
      </c>
      <c r="T19" s="313" t="s">
        <v>217</v>
      </c>
      <c r="U19" s="313" t="s">
        <v>217</v>
      </c>
      <c r="V19" s="313" t="s">
        <v>217</v>
      </c>
      <c r="W19" s="313" t="s">
        <v>217</v>
      </c>
    </row>
    <row r="20" s="313" customFormat="1" ht="26.25" customHeight="1">
      <c r="A20" s="313" t="s">
        <v>45</v>
      </c>
      <c r="B20" s="313" t="s">
        <v>88</v>
      </c>
      <c r="C20" s="313" t="n">
        <v>5230737</v>
      </c>
      <c r="D20" s="313" t="s">
        <v>216</v>
      </c>
      <c r="E20" s="313" t="s">
        <v>283</v>
      </c>
      <c r="F20" s="313" t="s">
        <v>1326</v>
      </c>
      <c r="G20" s="313" t="s">
        <v>58</v>
      </c>
      <c r="H20" s="313" t="s">
        <v>47</v>
      </c>
      <c r="I20" s="313" t="s">
        <v>31</v>
      </c>
      <c r="J20" s="313" t="s">
        <v>50</v>
      </c>
      <c r="L20" s="313" t="s">
        <v>2500</v>
      </c>
      <c r="M20" s="313" t="s">
        <v>3905</v>
      </c>
      <c r="N20" s="313" t="s">
        <v>3906</v>
      </c>
      <c r="O20" s="313" t="s">
        <v>3907</v>
      </c>
      <c r="Q20" s="313" t="n">
        <v>38</v>
      </c>
      <c r="T20" s="313" t="s">
        <v>217</v>
      </c>
      <c r="U20" s="313" t="s">
        <v>217</v>
      </c>
      <c r="V20" s="313" t="s">
        <v>217</v>
      </c>
      <c r="W20" s="313" t="s">
        <v>217</v>
      </c>
    </row>
    <row r="21" s="313" customFormat="1" ht="26.25" customHeight="1">
      <c r="A21" s="313" t="s">
        <v>45</v>
      </c>
      <c r="B21" s="313" t="s">
        <v>65</v>
      </c>
      <c r="C21" s="313" t="n">
        <v>5230737</v>
      </c>
      <c r="D21" s="313" t="s">
        <v>216</v>
      </c>
      <c r="E21" s="313" t="s">
        <v>283</v>
      </c>
      <c r="F21" s="313" t="s">
        <v>902</v>
      </c>
      <c r="G21" s="313" t="s">
        <v>58</v>
      </c>
      <c r="H21" s="313" t="s">
        <v>47</v>
      </c>
      <c r="I21" s="313" t="s">
        <v>31</v>
      </c>
      <c r="J21" s="313" t="s">
        <v>48</v>
      </c>
      <c r="K21" s="313" t="s">
        <v>903</v>
      </c>
      <c r="L21" s="313" t="s">
        <v>2500</v>
      </c>
      <c r="M21" s="313" t="s">
        <v>3908</v>
      </c>
      <c r="N21" s="313" t="s">
        <v>3909</v>
      </c>
      <c r="O21" s="1072" t="s">
        <v>3910</v>
      </c>
      <c r="P21" s="313" t="s">
        <v>2415</v>
      </c>
      <c r="Q21" s="313" t="n">
        <v>32.5</v>
      </c>
      <c r="T21" s="313" t="s">
        <v>217</v>
      </c>
      <c r="V21" s="313" t="s">
        <v>217</v>
      </c>
    </row>
    <row r="22" s="313" customFormat="1" ht="26.25" customHeight="1">
      <c r="A22" s="313" t="s">
        <v>45</v>
      </c>
      <c r="B22" s="313" t="s">
        <v>88</v>
      </c>
      <c r="C22" s="313" t="n">
        <v>5230737</v>
      </c>
      <c r="D22" s="313" t="s">
        <v>216</v>
      </c>
      <c r="E22" s="313" t="s">
        <v>283</v>
      </c>
      <c r="F22" s="313" t="s">
        <v>1240</v>
      </c>
      <c r="G22" s="313" t="s">
        <v>58</v>
      </c>
      <c r="I22" s="313" t="s">
        <v>31</v>
      </c>
      <c r="J22" s="313" t="s">
        <v>46</v>
      </c>
      <c r="K22" s="313" t="s">
        <v>3911</v>
      </c>
      <c r="L22" s="313" t="s">
        <v>3912</v>
      </c>
      <c r="M22" s="1073" t="s">
        <v>3913</v>
      </c>
      <c r="N22" s="313" t="s">
        <v>3914</v>
      </c>
      <c r="O22" s="1074" t="s">
        <v>3915</v>
      </c>
      <c r="P22" s="313" t="n">
        <v>88</v>
      </c>
      <c r="Q22" s="313" t="n">
        <v>33.5</v>
      </c>
      <c r="T22" s="313" t="s">
        <v>217</v>
      </c>
      <c r="U22" s="313" t="s">
        <v>217</v>
      </c>
      <c r="V22" s="313" t="s">
        <v>217</v>
      </c>
      <c r="W22" s="313" t="s">
        <v>217</v>
      </c>
    </row>
    <row r="23" s="313" customFormat="1" ht="26.25" customHeight="1">
      <c r="A23" s="313" t="s">
        <v>45</v>
      </c>
      <c r="B23" s="313" t="s">
        <v>88</v>
      </c>
      <c r="C23" s="313" t="n">
        <v>5230737</v>
      </c>
      <c r="D23" s="313" t="s">
        <v>216</v>
      </c>
      <c r="E23" s="313" t="s">
        <v>283</v>
      </c>
      <c r="F23" s="313" t="s">
        <v>1169</v>
      </c>
      <c r="G23" s="313" t="s">
        <v>58</v>
      </c>
      <c r="H23" s="313" t="s">
        <v>47</v>
      </c>
      <c r="I23" s="313" t="s">
        <v>31</v>
      </c>
      <c r="J23" s="313" t="s">
        <v>48</v>
      </c>
      <c r="K23" s="313" t="s">
        <v>362</v>
      </c>
      <c r="L23" s="313" t="s">
        <v>2500</v>
      </c>
      <c r="M23" s="313" t="s">
        <v>3916</v>
      </c>
      <c r="N23" s="313" t="s">
        <v>3917</v>
      </c>
      <c r="O23" s="1075" t="s">
        <v>3918</v>
      </c>
      <c r="P23" s="313" t="s">
        <v>2901</v>
      </c>
      <c r="T23" s="313" t="s">
        <v>217</v>
      </c>
      <c r="U23" s="313" t="s">
        <v>217</v>
      </c>
      <c r="V23" s="313" t="s">
        <v>217</v>
      </c>
      <c r="W23" s="313" t="s">
        <v>217</v>
      </c>
    </row>
    <row r="24" s="313" customFormat="1" ht="26.25" customHeight="1">
      <c r="A24" s="313" t="s">
        <v>45</v>
      </c>
      <c r="B24" s="313" t="s">
        <v>65</v>
      </c>
      <c r="C24" s="313" t="n">
        <v>3132837</v>
      </c>
      <c r="D24" s="313" t="s">
        <v>216</v>
      </c>
      <c r="E24" s="313" t="s">
        <v>283</v>
      </c>
      <c r="F24" s="313" t="s">
        <v>364</v>
      </c>
      <c r="G24" s="313" t="s">
        <v>58</v>
      </c>
      <c r="H24" s="313" t="s">
        <v>47</v>
      </c>
      <c r="I24" s="313" t="s">
        <v>37</v>
      </c>
      <c r="J24" s="313" t="s">
        <v>48</v>
      </c>
      <c r="T24" s="313" t="s">
        <v>217</v>
      </c>
      <c r="V24" s="313" t="s">
        <v>217</v>
      </c>
    </row>
    <row r="25" s="313" customFormat="1" ht="26.25" customHeight="1">
      <c r="A25" s="313" t="s">
        <v>45</v>
      </c>
      <c r="B25" s="313" t="s">
        <v>65</v>
      </c>
      <c r="C25" s="313" t="n">
        <v>3132837</v>
      </c>
      <c r="D25" s="313" t="s">
        <v>216</v>
      </c>
      <c r="E25" s="313" t="s">
        <v>283</v>
      </c>
      <c r="F25" s="313" t="s">
        <v>378</v>
      </c>
      <c r="G25" s="313" t="s">
        <v>58</v>
      </c>
      <c r="H25" s="313" t="s">
        <v>49</v>
      </c>
      <c r="I25" s="313" t="s">
        <v>37</v>
      </c>
      <c r="J25" s="313" t="s">
        <v>46</v>
      </c>
      <c r="T25" s="313" t="s">
        <v>217</v>
      </c>
      <c r="V25" s="313" t="s">
        <v>217</v>
      </c>
    </row>
    <row r="26" s="313" customFormat="1" ht="26.25" customHeight="1">
      <c r="A26" s="313" t="s">
        <v>45</v>
      </c>
      <c r="B26" s="313" t="s">
        <v>65</v>
      </c>
      <c r="C26" s="313" t="n">
        <v>3132837</v>
      </c>
      <c r="D26" s="313" t="s">
        <v>216</v>
      </c>
      <c r="E26" s="313" t="s">
        <v>283</v>
      </c>
      <c r="F26" s="313" t="s">
        <v>919</v>
      </c>
      <c r="G26" s="313" t="s">
        <v>58</v>
      </c>
      <c r="H26" s="313" t="s">
        <v>49</v>
      </c>
      <c r="I26" s="313" t="s">
        <v>37</v>
      </c>
      <c r="J26" s="313" t="s">
        <v>38</v>
      </c>
      <c r="T26" s="313" t="s">
        <v>217</v>
      </c>
      <c r="V26" s="313" t="s">
        <v>217</v>
      </c>
    </row>
    <row r="27" s="313" customFormat="1" ht="26.25" customHeight="1">
      <c r="A27" s="313" t="s">
        <v>45</v>
      </c>
      <c r="B27" s="313" t="s">
        <v>65</v>
      </c>
      <c r="C27" s="313" t="n">
        <v>3132837</v>
      </c>
      <c r="D27" s="313" t="s">
        <v>216</v>
      </c>
      <c r="E27" s="313" t="s">
        <v>283</v>
      </c>
      <c r="F27" s="313" t="s">
        <v>406</v>
      </c>
      <c r="G27" s="313" t="s">
        <v>58</v>
      </c>
      <c r="H27" s="313" t="s">
        <v>49</v>
      </c>
      <c r="I27" s="313" t="s">
        <v>37</v>
      </c>
      <c r="J27" s="313" t="s">
        <v>48</v>
      </c>
      <c r="V27" s="313" t="s">
        <v>217</v>
      </c>
    </row>
    <row r="28" s="313" customFormat="1" ht="26.25" customHeight="1">
      <c r="A28" s="313" t="s">
        <v>45</v>
      </c>
      <c r="B28" s="313" t="s">
        <v>65</v>
      </c>
      <c r="C28" s="313" t="n">
        <v>3132837</v>
      </c>
      <c r="D28" s="313" t="s">
        <v>216</v>
      </c>
      <c r="E28" s="313" t="s">
        <v>283</v>
      </c>
      <c r="F28" s="313" t="s">
        <v>332</v>
      </c>
      <c r="G28" s="313" t="s">
        <v>58</v>
      </c>
      <c r="J28" s="313" t="s">
        <v>50</v>
      </c>
      <c r="T28" s="313" t="s">
        <v>217</v>
      </c>
      <c r="U28" s="313" t="s">
        <v>217</v>
      </c>
      <c r="V28" s="313" t="s">
        <v>217</v>
      </c>
    </row>
    <row r="29" s="313" customFormat="1" ht="26.25" customHeight="1">
      <c r="A29" s="313" t="s">
        <v>45</v>
      </c>
      <c r="B29" s="313" t="s">
        <v>65</v>
      </c>
      <c r="C29" s="313" t="n">
        <v>3132837</v>
      </c>
      <c r="D29" s="313" t="s">
        <v>216</v>
      </c>
      <c r="E29" s="313" t="s">
        <v>283</v>
      </c>
      <c r="F29" s="313" t="s">
        <v>458</v>
      </c>
      <c r="G29" s="313" t="s">
        <v>58</v>
      </c>
      <c r="H29" s="313" t="s">
        <v>49</v>
      </c>
      <c r="J29" s="313" t="s">
        <v>46</v>
      </c>
      <c r="M29" s="313" t="s">
        <v>3919</v>
      </c>
      <c r="N29" s="313" t="s">
        <v>3920</v>
      </c>
      <c r="O29" s="1076" t="s">
        <v>3921</v>
      </c>
      <c r="P29" s="313" t="n">
        <v>90</v>
      </c>
      <c r="T29" s="313" t="s">
        <v>217</v>
      </c>
      <c r="U29" s="313" t="s">
        <v>217</v>
      </c>
      <c r="V29" s="313" t="s">
        <v>217</v>
      </c>
    </row>
    <row r="30" s="313" customFormat="1" ht="26.25" customHeight="1">
      <c r="A30" s="313" t="s">
        <v>45</v>
      </c>
      <c r="B30" s="313" t="s">
        <v>65</v>
      </c>
      <c r="C30" s="313" t="n">
        <v>3132869</v>
      </c>
      <c r="D30" s="313" t="s">
        <v>233</v>
      </c>
      <c r="E30" s="313" t="s">
        <v>283</v>
      </c>
      <c r="F30" s="313" t="s">
        <v>361</v>
      </c>
      <c r="G30" s="313" t="s">
        <v>58</v>
      </c>
      <c r="H30" s="313" t="s">
        <v>43</v>
      </c>
      <c r="I30" s="313" t="s">
        <v>31</v>
      </c>
      <c r="J30" s="313" t="s">
        <v>46</v>
      </c>
      <c r="K30" s="313" t="s">
        <v>483</v>
      </c>
      <c r="L30" s="313" t="s">
        <v>2745</v>
      </c>
      <c r="M30" s="313" t="s">
        <v>3922</v>
      </c>
      <c r="N30" s="313" t="s">
        <v>3923</v>
      </c>
      <c r="O30" s="313" t="s">
        <v>3924</v>
      </c>
      <c r="P30" s="313" t="s">
        <v>3925</v>
      </c>
      <c r="T30" s="313" t="s">
        <v>217</v>
      </c>
      <c r="V30" s="313" t="s">
        <v>217</v>
      </c>
    </row>
    <row r="31" s="461" customFormat="1" ht="26.25" customHeight="1">
      <c r="A31" s="461" t="s">
        <v>45</v>
      </c>
      <c r="B31" s="461" t="s">
        <v>65</v>
      </c>
      <c r="C31" s="461" t="n">
        <v>3132869</v>
      </c>
      <c r="D31" s="461" t="s">
        <v>233</v>
      </c>
      <c r="E31" s="461" t="s">
        <v>283</v>
      </c>
      <c r="F31" s="461" t="s">
        <v>1278</v>
      </c>
      <c r="G31" s="461" t="s">
        <v>58</v>
      </c>
      <c r="H31" s="461" t="s">
        <v>43</v>
      </c>
      <c r="I31" s="461" t="s">
        <v>31</v>
      </c>
      <c r="J31" s="461" t="s">
        <v>46</v>
      </c>
      <c r="K31" s="461" t="s">
        <v>3570</v>
      </c>
      <c r="M31" s="461" t="s">
        <v>3926</v>
      </c>
      <c r="N31" s="1077" t="s">
        <v>3927</v>
      </c>
      <c r="O31" s="461" t="s">
        <v>3928</v>
      </c>
      <c r="P31" s="461" t="s">
        <v>749</v>
      </c>
      <c r="Q31" s="461" t="s">
        <v>3929</v>
      </c>
    </row>
    <row r="32" s="313" customFormat="1" ht="26.25" customHeight="1">
      <c r="A32" s="313" t="s">
        <v>45</v>
      </c>
      <c r="B32" s="313" t="s">
        <v>65</v>
      </c>
      <c r="C32" s="313" t="n">
        <v>3132869</v>
      </c>
      <c r="D32" s="313" t="s">
        <v>233</v>
      </c>
      <c r="E32" s="313" t="s">
        <v>283</v>
      </c>
      <c r="F32" s="313" t="s">
        <v>348</v>
      </c>
      <c r="G32" s="313" t="s">
        <v>58</v>
      </c>
      <c r="H32" s="313" t="s">
        <v>43</v>
      </c>
      <c r="I32" s="313" t="s">
        <v>31</v>
      </c>
      <c r="J32" s="313" t="s">
        <v>349</v>
      </c>
      <c r="T32" s="313" t="s">
        <v>217</v>
      </c>
      <c r="V32" s="313" t="s">
        <v>217</v>
      </c>
    </row>
    <row r="33" s="313" customFormat="1" ht="26.25" customHeight="1">
      <c r="A33" s="313" t="s">
        <v>45</v>
      </c>
      <c r="B33" s="313" t="s">
        <v>65</v>
      </c>
      <c r="C33" s="313" t="n">
        <v>3132869</v>
      </c>
      <c r="D33" s="313" t="s">
        <v>233</v>
      </c>
      <c r="E33" s="313" t="s">
        <v>283</v>
      </c>
      <c r="F33" s="313" t="s">
        <v>900</v>
      </c>
      <c r="G33" s="313" t="s">
        <v>58</v>
      </c>
      <c r="H33" s="313" t="s">
        <v>43</v>
      </c>
      <c r="I33" s="313" t="s">
        <v>31</v>
      </c>
      <c r="J33" s="313" t="s">
        <v>46</v>
      </c>
      <c r="K33" s="313" t="s">
        <v>483</v>
      </c>
      <c r="L33" s="313" t="s">
        <v>3930</v>
      </c>
      <c r="M33" s="313" t="s">
        <v>3931</v>
      </c>
      <c r="N33" s="313" t="s">
        <v>3932</v>
      </c>
      <c r="O33" s="1078" t="s">
        <v>3933</v>
      </c>
      <c r="P33" s="313" t="s">
        <v>3696</v>
      </c>
      <c r="T33" s="313" t="s">
        <v>217</v>
      </c>
      <c r="U33" s="313" t="s">
        <v>217</v>
      </c>
      <c r="V33" s="313" t="s">
        <v>217</v>
      </c>
    </row>
    <row r="34" s="313" customFormat="1" ht="26.25" customHeight="1">
      <c r="A34" s="313" t="s">
        <v>45</v>
      </c>
      <c r="B34" s="313" t="s">
        <v>65</v>
      </c>
      <c r="C34" s="313" t="n">
        <v>3132869</v>
      </c>
      <c r="D34" s="313" t="s">
        <v>233</v>
      </c>
      <c r="E34" s="313" t="s">
        <v>283</v>
      </c>
      <c r="F34" s="313" t="s">
        <v>875</v>
      </c>
      <c r="G34" s="313" t="s">
        <v>58</v>
      </c>
      <c r="J34" s="313" t="s">
        <v>50</v>
      </c>
      <c r="T34" s="313" t="s">
        <v>217</v>
      </c>
      <c r="U34" s="313" t="s">
        <v>217</v>
      </c>
      <c r="V34" s="313" t="s">
        <v>217</v>
      </c>
    </row>
    <row r="35" s="313" customFormat="1" ht="26.25" customHeight="1">
      <c r="A35" s="313" t="s">
        <v>45</v>
      </c>
      <c r="B35" s="313" t="s">
        <v>65</v>
      </c>
      <c r="C35" s="313" t="n">
        <v>3132869</v>
      </c>
      <c r="D35" s="313" t="s">
        <v>233</v>
      </c>
      <c r="E35" s="313" t="s">
        <v>283</v>
      </c>
      <c r="F35" s="313" t="s">
        <v>663</v>
      </c>
      <c r="G35" s="313" t="s">
        <v>58</v>
      </c>
      <c r="H35" s="313" t="s">
        <v>43</v>
      </c>
      <c r="I35" s="313" t="s">
        <v>31</v>
      </c>
      <c r="J35" s="313" t="s">
        <v>48</v>
      </c>
      <c r="K35" s="313" t="s">
        <v>3934</v>
      </c>
      <c r="L35" s="313" t="s">
        <v>3935</v>
      </c>
      <c r="M35" s="313" t="s">
        <v>3936</v>
      </c>
      <c r="N35" s="313" t="s">
        <v>3937</v>
      </c>
      <c r="O35" s="313" t="s">
        <v>3938</v>
      </c>
      <c r="P35" s="313" t="s">
        <v>3939</v>
      </c>
      <c r="T35" s="313" t="s">
        <v>217</v>
      </c>
      <c r="U35" s="313" t="s">
        <v>217</v>
      </c>
      <c r="V35" s="313" t="s">
        <v>217</v>
      </c>
    </row>
    <row r="36" s="313" customFormat="1" ht="26.25" customHeight="1">
      <c r="A36" s="313" t="s">
        <v>45</v>
      </c>
      <c r="B36" s="313" t="s">
        <v>65</v>
      </c>
      <c r="C36" s="313" t="n">
        <v>3132869</v>
      </c>
      <c r="D36" s="313" t="s">
        <v>233</v>
      </c>
      <c r="E36" s="313" t="s">
        <v>283</v>
      </c>
      <c r="F36" s="313" t="s">
        <v>620</v>
      </c>
      <c r="G36" s="313" t="s">
        <v>58</v>
      </c>
      <c r="H36" s="313" t="s">
        <v>47</v>
      </c>
      <c r="I36" s="313" t="s">
        <v>31</v>
      </c>
      <c r="J36" s="313" t="s">
        <v>46</v>
      </c>
      <c r="K36" s="313" t="s">
        <v>621</v>
      </c>
      <c r="L36" s="313" t="s">
        <v>2745</v>
      </c>
      <c r="M36" s="313" t="s">
        <v>3940</v>
      </c>
      <c r="N36" s="313" t="s">
        <v>2479</v>
      </c>
      <c r="O36" s="1079" t="s">
        <v>3941</v>
      </c>
      <c r="P36" s="313" t="n">
        <v>90</v>
      </c>
      <c r="Q36" s="313" t="n">
        <v>33</v>
      </c>
      <c r="T36" s="313" t="s">
        <v>217</v>
      </c>
      <c r="V36" s="313" t="s">
        <v>217</v>
      </c>
    </row>
    <row r="37" s="461" customFormat="1" ht="26.25" customHeight="1">
      <c r="A37" s="461" t="s">
        <v>45</v>
      </c>
      <c r="B37" s="461" t="s">
        <v>65</v>
      </c>
      <c r="C37" s="461" t="n">
        <v>3132869</v>
      </c>
      <c r="D37" s="461" t="s">
        <v>233</v>
      </c>
      <c r="E37" s="461" t="s">
        <v>283</v>
      </c>
      <c r="F37" s="461" t="s">
        <v>1213</v>
      </c>
      <c r="G37" s="461" t="s">
        <v>58</v>
      </c>
      <c r="H37" s="461" t="s">
        <v>43</v>
      </c>
      <c r="I37" s="461" t="s">
        <v>31</v>
      </c>
      <c r="J37" s="461" t="s">
        <v>48</v>
      </c>
      <c r="P37" s="461" t="n">
        <v>90</v>
      </c>
      <c r="Q37" s="461" t="n">
        <v>41</v>
      </c>
    </row>
    <row r="38" s="313" customFormat="1" ht="26.25" customHeight="1">
      <c r="A38" s="313" t="s">
        <v>45</v>
      </c>
      <c r="B38" s="313" t="s">
        <v>65</v>
      </c>
      <c r="C38" s="313" t="n">
        <v>3132869</v>
      </c>
      <c r="D38" s="313" t="s">
        <v>233</v>
      </c>
      <c r="E38" s="313" t="s">
        <v>283</v>
      </c>
      <c r="F38" s="313" t="s">
        <v>674</v>
      </c>
      <c r="G38" s="313" t="s">
        <v>58</v>
      </c>
      <c r="H38" s="313" t="s">
        <v>43</v>
      </c>
      <c r="I38" s="313" t="s">
        <v>31</v>
      </c>
      <c r="J38" s="313" t="s">
        <v>46</v>
      </c>
      <c r="P38" s="313" t="s">
        <v>2901</v>
      </c>
      <c r="T38" s="313" t="s">
        <v>217</v>
      </c>
      <c r="U38" s="313" t="s">
        <v>217</v>
      </c>
      <c r="V38" s="313" t="s">
        <v>217</v>
      </c>
    </row>
    <row r="39" s="313" customFormat="1" ht="26.25" customHeight="1">
      <c r="A39" s="313" t="s">
        <v>45</v>
      </c>
      <c r="B39" s="313" t="s">
        <v>65</v>
      </c>
      <c r="C39" s="313" t="n">
        <v>3132869</v>
      </c>
      <c r="D39" s="313" t="s">
        <v>233</v>
      </c>
      <c r="E39" s="313" t="s">
        <v>283</v>
      </c>
      <c r="F39" s="313" t="s">
        <v>591</v>
      </c>
      <c r="G39" s="313" t="s">
        <v>58</v>
      </c>
      <c r="H39" s="313" t="s">
        <v>43</v>
      </c>
      <c r="I39" s="313" t="s">
        <v>31</v>
      </c>
      <c r="J39" s="313" t="s">
        <v>46</v>
      </c>
      <c r="K39" s="313" t="s">
        <v>2613</v>
      </c>
      <c r="L39" s="1080" t="s">
        <v>3942</v>
      </c>
      <c r="M39" s="1081" t="s">
        <v>3943</v>
      </c>
      <c r="N39" s="313" t="s">
        <v>3944</v>
      </c>
      <c r="O39" s="1082" t="s">
        <v>3945</v>
      </c>
      <c r="P39" s="313" t="s">
        <v>3058</v>
      </c>
      <c r="T39" s="313" t="s">
        <v>217</v>
      </c>
      <c r="U39" s="313" t="s">
        <v>217</v>
      </c>
      <c r="V39" s="313" t="s">
        <v>217</v>
      </c>
    </row>
    <row r="40" s="313" customFormat="1" ht="26.25" customHeight="1">
      <c r="A40" s="313" t="s">
        <v>45</v>
      </c>
      <c r="B40" s="313" t="s">
        <v>65</v>
      </c>
      <c r="C40" s="313" t="n">
        <v>3132869</v>
      </c>
      <c r="D40" s="313" t="s">
        <v>233</v>
      </c>
      <c r="E40" s="313" t="s">
        <v>283</v>
      </c>
      <c r="F40" s="313" t="s">
        <v>354</v>
      </c>
      <c r="G40" s="313" t="s">
        <v>58</v>
      </c>
      <c r="H40" s="313" t="s">
        <v>43</v>
      </c>
      <c r="I40" s="313" t="s">
        <v>31</v>
      </c>
      <c r="J40" s="313" t="s">
        <v>46</v>
      </c>
      <c r="V40" s="313" t="s">
        <v>217</v>
      </c>
    </row>
    <row r="41" s="313" customFormat="1" ht="26.25" customHeight="1">
      <c r="A41" s="313" t="s">
        <v>45</v>
      </c>
      <c r="B41" s="313" t="s">
        <v>65</v>
      </c>
      <c r="C41" s="313" t="n">
        <v>3132869</v>
      </c>
      <c r="D41" s="313" t="s">
        <v>233</v>
      </c>
      <c r="E41" s="313" t="s">
        <v>283</v>
      </c>
      <c r="F41" s="313" t="s">
        <v>719</v>
      </c>
      <c r="G41" s="313" t="s">
        <v>58</v>
      </c>
      <c r="H41" s="313" t="s">
        <v>43</v>
      </c>
      <c r="I41" s="313" t="s">
        <v>31</v>
      </c>
      <c r="J41" s="313" t="s">
        <v>46</v>
      </c>
      <c r="M41" s="1083" t="s">
        <v>3946</v>
      </c>
      <c r="N41" s="1084" t="s">
        <v>3947</v>
      </c>
      <c r="O41" s="313" t="s">
        <v>3948</v>
      </c>
      <c r="P41" s="313" t="s">
        <v>3884</v>
      </c>
      <c r="T41" s="313" t="s">
        <v>217</v>
      </c>
      <c r="U41" s="313" t="s">
        <v>217</v>
      </c>
      <c r="V41" s="313" t="s">
        <v>217</v>
      </c>
    </row>
    <row r="42" s="313" customFormat="1" ht="26.25" customHeight="1">
      <c r="A42" s="313" t="s">
        <v>45</v>
      </c>
      <c r="B42" s="313" t="s">
        <v>65</v>
      </c>
      <c r="C42" s="313" t="n">
        <v>3132869</v>
      </c>
      <c r="D42" s="313" t="s">
        <v>233</v>
      </c>
      <c r="E42" s="313" t="s">
        <v>283</v>
      </c>
      <c r="F42" s="313" t="s">
        <v>363</v>
      </c>
      <c r="G42" s="313" t="s">
        <v>58</v>
      </c>
      <c r="H42" s="313" t="s">
        <v>43</v>
      </c>
      <c r="I42" s="313" t="s">
        <v>31</v>
      </c>
      <c r="J42" s="313" t="s">
        <v>349</v>
      </c>
      <c r="T42" s="313" t="s">
        <v>217</v>
      </c>
    </row>
    <row r="43" s="313" customFormat="1" ht="26.25" customHeight="1">
      <c r="A43" s="313" t="s">
        <v>45</v>
      </c>
      <c r="B43" s="313" t="s">
        <v>65</v>
      </c>
      <c r="C43" s="313" t="n">
        <v>3132869</v>
      </c>
      <c r="D43" s="313" t="s">
        <v>233</v>
      </c>
      <c r="E43" s="313" t="s">
        <v>283</v>
      </c>
      <c r="F43" s="313" t="s">
        <v>741</v>
      </c>
      <c r="G43" s="313" t="s">
        <v>58</v>
      </c>
      <c r="H43" s="313" t="s">
        <v>43</v>
      </c>
      <c r="I43" s="313" t="s">
        <v>31</v>
      </c>
      <c r="J43" s="313" t="s">
        <v>48</v>
      </c>
      <c r="K43" s="313" t="s">
        <v>483</v>
      </c>
      <c r="L43" s="313" t="s">
        <v>3949</v>
      </c>
      <c r="M43" s="313" t="s">
        <v>3052</v>
      </c>
      <c r="N43" s="313" t="s">
        <v>2479</v>
      </c>
      <c r="O43" s="1085" t="s">
        <v>3950</v>
      </c>
      <c r="P43" s="313" t="s">
        <v>749</v>
      </c>
      <c r="Q43" s="313" t="n">
        <v>43</v>
      </c>
      <c r="T43" s="313" t="s">
        <v>217</v>
      </c>
      <c r="V43" s="313" t="s">
        <v>217</v>
      </c>
    </row>
    <row r="44" s="313" customFormat="1" ht="26.25" customHeight="1">
      <c r="A44" s="313" t="s">
        <v>45</v>
      </c>
      <c r="B44" s="313" t="s">
        <v>65</v>
      </c>
      <c r="C44" s="313" t="n">
        <v>3132869</v>
      </c>
      <c r="D44" s="313" t="s">
        <v>233</v>
      </c>
      <c r="E44" s="313" t="s">
        <v>283</v>
      </c>
      <c r="F44" s="313" t="s">
        <v>848</v>
      </c>
      <c r="G44" s="313" t="s">
        <v>58</v>
      </c>
      <c r="H44" s="313" t="s">
        <v>43</v>
      </c>
      <c r="I44" s="313" t="s">
        <v>31</v>
      </c>
      <c r="J44" s="313" t="s">
        <v>46</v>
      </c>
      <c r="K44" s="313" t="s">
        <v>3859</v>
      </c>
      <c r="L44" s="313" t="s">
        <v>2500</v>
      </c>
      <c r="M44" s="313" t="s">
        <v>3951</v>
      </c>
      <c r="N44" s="313" t="s">
        <v>3952</v>
      </c>
      <c r="O44" s="1086" t="s">
        <v>3953</v>
      </c>
      <c r="P44" s="313" t="s">
        <v>2474</v>
      </c>
      <c r="Q44" s="313" t="s">
        <v>3954</v>
      </c>
      <c r="T44" s="313" t="s">
        <v>217</v>
      </c>
      <c r="V44" s="313" t="s">
        <v>217</v>
      </c>
    </row>
    <row r="45" s="313" customFormat="1" ht="26.25" customHeight="1">
      <c r="A45" s="313" t="s">
        <v>45</v>
      </c>
      <c r="B45" s="313" t="s">
        <v>65</v>
      </c>
      <c r="C45" s="313" t="n">
        <v>3132869</v>
      </c>
      <c r="D45" s="313" t="s">
        <v>233</v>
      </c>
      <c r="E45" s="313" t="s">
        <v>283</v>
      </c>
      <c r="F45" s="313" t="s">
        <v>821</v>
      </c>
      <c r="G45" s="313" t="s">
        <v>58</v>
      </c>
      <c r="H45" s="313" t="s">
        <v>49</v>
      </c>
      <c r="I45" s="313" t="s">
        <v>31</v>
      </c>
      <c r="J45" s="313" t="s">
        <v>50</v>
      </c>
      <c r="K45" s="313" t="s">
        <v>362</v>
      </c>
      <c r="L45" s="313" t="s">
        <v>2500</v>
      </c>
      <c r="M45" s="313" t="s">
        <v>2501</v>
      </c>
      <c r="N45" s="313" t="s">
        <v>3955</v>
      </c>
      <c r="O45" s="313" t="s">
        <v>3956</v>
      </c>
      <c r="P45" s="313" t="s">
        <v>749</v>
      </c>
      <c r="Q45" s="313" t="n">
        <v>37.5</v>
      </c>
      <c r="T45" s="313" t="s">
        <v>217</v>
      </c>
      <c r="U45" s="313" t="s">
        <v>217</v>
      </c>
      <c r="V45" s="313" t="s">
        <v>217</v>
      </c>
    </row>
    <row r="46" s="313" customFormat="1" ht="26.25" customHeight="1">
      <c r="A46" s="313" t="s">
        <v>45</v>
      </c>
      <c r="B46" s="313" t="s">
        <v>65</v>
      </c>
      <c r="C46" s="313" t="n">
        <v>3132869</v>
      </c>
      <c r="D46" s="313" t="s">
        <v>233</v>
      </c>
      <c r="E46" s="313" t="s">
        <v>283</v>
      </c>
      <c r="F46" s="313" t="s">
        <v>854</v>
      </c>
      <c r="G46" s="313" t="s">
        <v>58</v>
      </c>
      <c r="H46" s="313" t="s">
        <v>43</v>
      </c>
      <c r="I46" s="313" t="s">
        <v>31</v>
      </c>
      <c r="J46" s="313" t="s">
        <v>46</v>
      </c>
      <c r="K46" s="313" t="s">
        <v>2613</v>
      </c>
      <c r="L46" s="313" t="s">
        <v>3957</v>
      </c>
      <c r="M46" s="313" t="s">
        <v>3958</v>
      </c>
      <c r="N46" s="313" t="s">
        <v>3959</v>
      </c>
      <c r="O46" s="313" t="s">
        <v>3960</v>
      </c>
      <c r="P46" s="313" t="s">
        <v>3961</v>
      </c>
      <c r="Q46" s="313" t="n">
        <v>34.5</v>
      </c>
      <c r="T46" s="313" t="s">
        <v>217</v>
      </c>
      <c r="V46" s="313" t="s">
        <v>217</v>
      </c>
    </row>
    <row r="47" s="313" customFormat="1" ht="26.25" customHeight="1">
      <c r="A47" s="313" t="s">
        <v>45</v>
      </c>
      <c r="B47" s="313" t="s">
        <v>65</v>
      </c>
      <c r="C47" s="313" t="n">
        <v>3132869</v>
      </c>
      <c r="D47" s="313" t="s">
        <v>233</v>
      </c>
      <c r="E47" s="313" t="s">
        <v>283</v>
      </c>
      <c r="F47" s="313" t="s">
        <v>411</v>
      </c>
      <c r="G47" s="313" t="s">
        <v>58</v>
      </c>
      <c r="H47" s="313" t="s">
        <v>47</v>
      </c>
      <c r="I47" s="313" t="s">
        <v>31</v>
      </c>
      <c r="J47" s="313" t="s">
        <v>50</v>
      </c>
      <c r="K47" s="313" t="s">
        <v>2770</v>
      </c>
      <c r="L47" s="313" t="s">
        <v>2500</v>
      </c>
      <c r="M47" s="1087" t="s">
        <v>3962</v>
      </c>
      <c r="O47" s="313" t="s">
        <v>3963</v>
      </c>
      <c r="P47" s="313" t="n">
        <v>85</v>
      </c>
      <c r="T47" s="313" t="s">
        <v>217</v>
      </c>
      <c r="U47" s="313" t="s">
        <v>217</v>
      </c>
      <c r="V47" s="313" t="s">
        <v>217</v>
      </c>
    </row>
    <row r="48" s="313" customFormat="1" ht="26.25" customHeight="1">
      <c r="A48" s="313" t="s">
        <v>54</v>
      </c>
      <c r="B48" s="313" t="s">
        <v>100</v>
      </c>
      <c r="C48" s="313" t="n">
        <v>4513340</v>
      </c>
      <c r="D48" s="313" t="s">
        <v>233</v>
      </c>
      <c r="E48" s="313" t="s">
        <v>283</v>
      </c>
      <c r="F48" s="313" t="s">
        <v>967</v>
      </c>
      <c r="G48" s="313" t="s">
        <v>58</v>
      </c>
      <c r="J48" s="313" t="s">
        <v>59</v>
      </c>
    </row>
    <row r="49" s="313" customFormat="1" ht="26.25" customHeight="1">
      <c r="A49" s="313" t="s">
        <v>54</v>
      </c>
      <c r="B49" s="313" t="s">
        <v>100</v>
      </c>
      <c r="C49" s="313" t="n">
        <v>4513340</v>
      </c>
      <c r="D49" s="313" t="s">
        <v>233</v>
      </c>
      <c r="E49" s="313" t="s">
        <v>283</v>
      </c>
      <c r="F49" s="313" t="s">
        <v>1095</v>
      </c>
      <c r="G49" s="313" t="s">
        <v>58</v>
      </c>
      <c r="H49" s="313" t="s">
        <v>43</v>
      </c>
      <c r="I49" s="313" t="s">
        <v>37</v>
      </c>
      <c r="J49" s="313" t="s">
        <v>59</v>
      </c>
      <c r="M49" s="313" t="s">
        <v>2501</v>
      </c>
      <c r="N49" s="313" t="s">
        <v>3964</v>
      </c>
      <c r="O49" s="313" t="s">
        <v>3965</v>
      </c>
      <c r="P49" s="313" t="n">
        <v>98</v>
      </c>
      <c r="Q49" s="313" t="s">
        <v>2125</v>
      </c>
    </row>
    <row r="50" s="313" customFormat="1" ht="26.25" customHeight="1">
      <c r="A50" s="313" t="s">
        <v>54</v>
      </c>
      <c r="B50" s="313" t="s">
        <v>100</v>
      </c>
      <c r="C50" s="313" t="n">
        <v>4513340</v>
      </c>
      <c r="D50" s="313" t="s">
        <v>233</v>
      </c>
      <c r="E50" s="313" t="s">
        <v>283</v>
      </c>
      <c r="F50" s="313" t="s">
        <v>1066</v>
      </c>
      <c r="G50" s="313" t="s">
        <v>58</v>
      </c>
      <c r="H50" s="313" t="s">
        <v>43</v>
      </c>
      <c r="I50" s="313" t="s">
        <v>37</v>
      </c>
      <c r="J50" s="313" t="s">
        <v>59</v>
      </c>
      <c r="M50" s="313" t="s">
        <v>3049</v>
      </c>
      <c r="N50" s="313" t="s">
        <v>3966</v>
      </c>
      <c r="O50" s="313" t="s">
        <v>3967</v>
      </c>
      <c r="P50" s="313" t="n">
        <v>85</v>
      </c>
      <c r="Q50" s="313" t="s">
        <v>2125</v>
      </c>
    </row>
    <row r="51" s="313" customFormat="1" ht="26.25" customHeight="1">
      <c r="A51" s="313" t="s">
        <v>54</v>
      </c>
      <c r="B51" s="313" t="s">
        <v>100</v>
      </c>
      <c r="C51" s="313" t="n">
        <v>4513340</v>
      </c>
      <c r="D51" s="313" t="s">
        <v>233</v>
      </c>
      <c r="E51" s="313" t="s">
        <v>283</v>
      </c>
      <c r="F51" s="313" t="s">
        <v>1288</v>
      </c>
      <c r="G51" s="313" t="s">
        <v>58</v>
      </c>
      <c r="H51" s="313" t="s">
        <v>43</v>
      </c>
      <c r="I51" s="313" t="s">
        <v>37</v>
      </c>
      <c r="J51" s="313" t="s">
        <v>55</v>
      </c>
      <c r="M51" s="313" t="s">
        <v>3657</v>
      </c>
      <c r="N51" s="313" t="s">
        <v>3968</v>
      </c>
      <c r="O51" s="313" t="s">
        <v>3969</v>
      </c>
      <c r="P51" s="313" t="n">
        <v>85</v>
      </c>
      <c r="Q51" s="313" t="n">
        <v>35</v>
      </c>
    </row>
    <row r="52" s="313" customFormat="1" ht="26.25" customHeight="1">
      <c r="A52" s="313" t="s">
        <v>54</v>
      </c>
      <c r="B52" s="313" t="s">
        <v>100</v>
      </c>
      <c r="C52" s="313" t="n">
        <v>4513340</v>
      </c>
      <c r="D52" s="313" t="s">
        <v>233</v>
      </c>
      <c r="E52" s="313" t="s">
        <v>283</v>
      </c>
      <c r="F52" s="313" t="s">
        <v>1184</v>
      </c>
      <c r="G52" s="313" t="s">
        <v>58</v>
      </c>
      <c r="H52" s="313" t="s">
        <v>43</v>
      </c>
      <c r="I52" s="313" t="s">
        <v>37</v>
      </c>
      <c r="J52" s="313" t="s">
        <v>38</v>
      </c>
      <c r="K52" s="313" t="s">
        <v>2434</v>
      </c>
      <c r="M52" s="313" t="s">
        <v>3970</v>
      </c>
      <c r="N52" s="313" t="s">
        <v>3971</v>
      </c>
      <c r="O52" s="313" t="s">
        <v>3972</v>
      </c>
      <c r="P52" s="313" t="n">
        <v>85</v>
      </c>
      <c r="Q52" s="313" t="s">
        <v>2125</v>
      </c>
    </row>
    <row r="53" s="313" customFormat="1" ht="26.25" customHeight="1">
      <c r="A53" s="313" t="s">
        <v>54</v>
      </c>
      <c r="B53" s="313" t="s">
        <v>100</v>
      </c>
      <c r="C53" s="313" t="n">
        <v>4513340</v>
      </c>
      <c r="D53" s="313" t="s">
        <v>233</v>
      </c>
      <c r="E53" s="313" t="s">
        <v>283</v>
      </c>
      <c r="F53" s="313" t="s">
        <v>1118</v>
      </c>
      <c r="G53" s="313" t="s">
        <v>58</v>
      </c>
      <c r="H53" s="313" t="s">
        <v>43</v>
      </c>
      <c r="I53" s="313" t="s">
        <v>37</v>
      </c>
      <c r="J53" s="313" t="s">
        <v>57</v>
      </c>
      <c r="K53" s="313" t="s">
        <v>3430</v>
      </c>
      <c r="M53" s="313" t="s">
        <v>2377</v>
      </c>
      <c r="N53" s="313" t="s">
        <v>3973</v>
      </c>
      <c r="O53" s="313" t="s">
        <v>2758</v>
      </c>
      <c r="P53" s="313" t="n">
        <v>88</v>
      </c>
      <c r="Q53" s="313" t="s">
        <v>2125</v>
      </c>
      <c r="T53" s="313" t="s">
        <v>3974</v>
      </c>
      <c r="V53" s="313" t="s">
        <v>217</v>
      </c>
    </row>
    <row r="54" s="313" customFormat="1" ht="26.25" customHeight="1">
      <c r="A54" s="313" t="s">
        <v>54</v>
      </c>
      <c r="B54" s="313" t="s">
        <v>100</v>
      </c>
      <c r="C54" s="313" t="n">
        <v>4513340</v>
      </c>
      <c r="D54" s="313" t="s">
        <v>233</v>
      </c>
      <c r="E54" s="313" t="s">
        <v>283</v>
      </c>
      <c r="F54" s="313" t="s">
        <v>417</v>
      </c>
      <c r="G54" s="313" t="s">
        <v>58</v>
      </c>
      <c r="H54" s="313" t="s">
        <v>47</v>
      </c>
      <c r="I54" s="313" t="s">
        <v>35</v>
      </c>
      <c r="J54" s="313" t="s">
        <v>38</v>
      </c>
      <c r="M54" s="313" t="s">
        <v>3975</v>
      </c>
      <c r="N54" s="313" t="s">
        <v>3976</v>
      </c>
      <c r="O54" s="313" t="s">
        <v>3977</v>
      </c>
      <c r="P54" s="313" t="n">
        <v>95</v>
      </c>
      <c r="Q54" s="313" t="n">
        <v>27.5</v>
      </c>
    </row>
    <row r="55" s="313" customFormat="1" ht="26.25" customHeight="1">
      <c r="A55" s="313" t="s">
        <v>54</v>
      </c>
      <c r="B55" s="313" t="s">
        <v>100</v>
      </c>
      <c r="C55" s="313" t="n">
        <v>4513340</v>
      </c>
      <c r="D55" s="313" t="s">
        <v>233</v>
      </c>
      <c r="E55" s="313" t="s">
        <v>283</v>
      </c>
      <c r="F55" s="313" t="s">
        <v>1017</v>
      </c>
      <c r="G55" s="313" t="s">
        <v>58</v>
      </c>
      <c r="H55" s="313" t="s">
        <v>43</v>
      </c>
      <c r="I55" s="313" t="s">
        <v>37</v>
      </c>
      <c r="J55" s="313" t="s">
        <v>38</v>
      </c>
      <c r="M55" s="313" t="s">
        <v>2501</v>
      </c>
      <c r="N55" s="313" t="s">
        <v>3978</v>
      </c>
      <c r="O55" s="313" t="s">
        <v>3979</v>
      </c>
      <c r="P55" s="313" t="n">
        <v>90</v>
      </c>
      <c r="Q55" s="313" t="s">
        <v>2125</v>
      </c>
    </row>
    <row r="56" s="313" customFormat="1" ht="26.25" customHeight="1">
      <c r="A56" s="313" t="s">
        <v>54</v>
      </c>
      <c r="B56" s="313" t="s">
        <v>100</v>
      </c>
      <c r="C56" s="313" t="n">
        <v>4513340</v>
      </c>
      <c r="D56" s="313" t="s">
        <v>233</v>
      </c>
      <c r="E56" s="313" t="s">
        <v>283</v>
      </c>
      <c r="F56" s="313" t="s">
        <v>1064</v>
      </c>
      <c r="G56" s="313" t="s">
        <v>58</v>
      </c>
      <c r="H56" s="313" t="s">
        <v>43</v>
      </c>
      <c r="I56" s="313" t="s">
        <v>37</v>
      </c>
      <c r="J56" s="313" t="s">
        <v>57</v>
      </c>
      <c r="Q56" s="313" t="s">
        <v>2125</v>
      </c>
    </row>
    <row r="57" s="313" customFormat="1" ht="26.25" customHeight="1">
      <c r="A57" s="313" t="s">
        <v>54</v>
      </c>
      <c r="B57" s="313" t="s">
        <v>100</v>
      </c>
      <c r="C57" s="313" t="n">
        <v>4513340</v>
      </c>
      <c r="D57" s="313" t="s">
        <v>233</v>
      </c>
      <c r="E57" s="313" t="s">
        <v>283</v>
      </c>
      <c r="F57" s="313" t="s">
        <v>1065</v>
      </c>
      <c r="G57" s="313" t="s">
        <v>58</v>
      </c>
      <c r="H57" s="313" t="s">
        <v>43</v>
      </c>
      <c r="I57" s="313" t="s">
        <v>37</v>
      </c>
      <c r="J57" s="313" t="s">
        <v>50</v>
      </c>
      <c r="Q57" s="313" t="s">
        <v>2125</v>
      </c>
    </row>
    <row r="58" s="313" customFormat="1" ht="26.25" customHeight="1">
      <c r="A58" s="313" t="s">
        <v>54</v>
      </c>
      <c r="B58" s="313" t="s">
        <v>100</v>
      </c>
      <c r="C58" s="313" t="n">
        <v>4513340</v>
      </c>
      <c r="D58" s="313" t="s">
        <v>233</v>
      </c>
      <c r="E58" s="313" t="s">
        <v>283</v>
      </c>
      <c r="F58" s="313" t="s">
        <v>1109</v>
      </c>
      <c r="G58" s="313" t="s">
        <v>58</v>
      </c>
      <c r="H58" s="313" t="s">
        <v>43</v>
      </c>
      <c r="I58" s="313" t="s">
        <v>37</v>
      </c>
      <c r="J58" s="313" t="s">
        <v>57</v>
      </c>
      <c r="K58" s="313" t="s">
        <v>3980</v>
      </c>
      <c r="M58" s="313" t="s">
        <v>2501</v>
      </c>
      <c r="N58" s="313" t="s">
        <v>3981</v>
      </c>
      <c r="O58" s="313" t="s">
        <v>3982</v>
      </c>
      <c r="P58" s="313" t="n">
        <v>95</v>
      </c>
      <c r="Q58" s="313" t="n">
        <v>36</v>
      </c>
    </row>
    <row r="59" s="313" customFormat="1" ht="26.25" customHeight="1">
      <c r="A59" s="313" t="s">
        <v>54</v>
      </c>
      <c r="B59" s="313" t="s">
        <v>100</v>
      </c>
      <c r="C59" s="313" t="n">
        <v>4513340</v>
      </c>
      <c r="D59" s="313" t="s">
        <v>233</v>
      </c>
      <c r="E59" s="313" t="s">
        <v>283</v>
      </c>
      <c r="F59" s="313" t="s">
        <v>1088</v>
      </c>
      <c r="G59" s="313" t="s">
        <v>58</v>
      </c>
      <c r="H59" s="313" t="s">
        <v>43</v>
      </c>
      <c r="J59" s="313" t="s">
        <v>57</v>
      </c>
      <c r="M59" s="313" t="s">
        <v>2501</v>
      </c>
      <c r="N59" s="313" t="s">
        <v>2440</v>
      </c>
      <c r="O59" s="313" t="s">
        <v>3983</v>
      </c>
      <c r="P59" s="313" t="n">
        <v>100</v>
      </c>
      <c r="Q59" s="313" t="n">
        <v>38</v>
      </c>
      <c r="T59" s="313" t="s">
        <v>3974</v>
      </c>
      <c r="V59" s="313" t="s">
        <v>217</v>
      </c>
    </row>
    <row r="60" s="313" customFormat="1" ht="26.25" customHeight="1">
      <c r="A60" s="313" t="s">
        <v>54</v>
      </c>
      <c r="B60" s="313" t="s">
        <v>100</v>
      </c>
      <c r="C60" s="313" t="n">
        <v>4513340</v>
      </c>
      <c r="D60" s="313" t="s">
        <v>233</v>
      </c>
      <c r="E60" s="313" t="s">
        <v>283</v>
      </c>
      <c r="F60" s="313" t="s">
        <v>1223</v>
      </c>
      <c r="G60" s="313" t="s">
        <v>58</v>
      </c>
      <c r="H60" s="313" t="s">
        <v>43</v>
      </c>
      <c r="I60" s="313" t="s">
        <v>37</v>
      </c>
      <c r="J60" s="313" t="s">
        <v>55</v>
      </c>
      <c r="M60" s="313" t="s">
        <v>2377</v>
      </c>
      <c r="N60" s="313" t="s">
        <v>3984</v>
      </c>
      <c r="O60" s="313" t="s">
        <v>3985</v>
      </c>
      <c r="P60" s="313" t="n">
        <v>70</v>
      </c>
      <c r="Q60" s="313" t="n">
        <v>33</v>
      </c>
    </row>
    <row r="61" s="313" customFormat="1" ht="26.25" customHeight="1">
      <c r="A61" s="313" t="s">
        <v>54</v>
      </c>
      <c r="B61" s="313" t="s">
        <v>100</v>
      </c>
      <c r="C61" s="313" t="n">
        <v>4513340</v>
      </c>
      <c r="D61" s="313" t="s">
        <v>233</v>
      </c>
      <c r="E61" s="313" t="s">
        <v>283</v>
      </c>
      <c r="F61" s="313" t="s">
        <v>1077</v>
      </c>
      <c r="G61" s="313" t="s">
        <v>58</v>
      </c>
      <c r="H61" s="313" t="s">
        <v>43</v>
      </c>
      <c r="I61" s="313" t="s">
        <v>37</v>
      </c>
      <c r="J61" s="313" t="s">
        <v>36</v>
      </c>
      <c r="K61" s="313" t="s">
        <v>786</v>
      </c>
      <c r="M61" s="313" t="s">
        <v>3986</v>
      </c>
      <c r="N61" s="313" t="s">
        <v>3536</v>
      </c>
      <c r="O61" s="313" t="s">
        <v>3987</v>
      </c>
      <c r="P61" s="313" t="n">
        <v>90</v>
      </c>
      <c r="Q61" s="313" t="n">
        <v>30</v>
      </c>
    </row>
    <row r="62" s="313" customFormat="1" ht="26.25" customHeight="1">
      <c r="A62" s="313" t="s">
        <v>54</v>
      </c>
      <c r="B62" s="313" t="s">
        <v>100</v>
      </c>
      <c r="C62" s="313" t="n">
        <v>4513340</v>
      </c>
      <c r="D62" s="313" t="s">
        <v>233</v>
      </c>
      <c r="E62" s="313" t="s">
        <v>283</v>
      </c>
      <c r="F62" s="313" t="s">
        <v>1096</v>
      </c>
      <c r="G62" s="313" t="s">
        <v>58</v>
      </c>
      <c r="H62" s="313" t="s">
        <v>43</v>
      </c>
      <c r="I62" s="313" t="s">
        <v>37</v>
      </c>
      <c r="J62" s="313" t="s">
        <v>57</v>
      </c>
      <c r="K62" s="313" t="s">
        <v>3988</v>
      </c>
      <c r="M62" s="313" t="s">
        <v>3673</v>
      </c>
      <c r="N62" s="313" t="s">
        <v>3989</v>
      </c>
      <c r="O62" s="313" t="s">
        <v>3990</v>
      </c>
      <c r="P62" s="313" t="n">
        <v>85</v>
      </c>
      <c r="Q62" s="313" t="s">
        <v>2125</v>
      </c>
    </row>
    <row r="63" s="313" customFormat="1" ht="26.25" customHeight="1">
      <c r="A63" s="313" t="s">
        <v>54</v>
      </c>
      <c r="B63" s="313" t="s">
        <v>100</v>
      </c>
      <c r="C63" s="313" t="n">
        <v>4513340</v>
      </c>
      <c r="D63" s="313" t="s">
        <v>233</v>
      </c>
      <c r="E63" s="313" t="s">
        <v>283</v>
      </c>
      <c r="F63" s="313" t="s">
        <v>1067</v>
      </c>
      <c r="G63" s="313" t="s">
        <v>58</v>
      </c>
      <c r="H63" s="313" t="s">
        <v>43</v>
      </c>
      <c r="I63" s="313" t="s">
        <v>37</v>
      </c>
      <c r="J63" s="313" t="s">
        <v>59</v>
      </c>
      <c r="M63" s="313" t="s">
        <v>3991</v>
      </c>
      <c r="N63" s="313" t="s">
        <v>3992</v>
      </c>
      <c r="O63" s="313" t="s">
        <v>3993</v>
      </c>
      <c r="P63" s="313" t="n">
        <v>90</v>
      </c>
      <c r="Q63" s="313" t="s">
        <v>2125</v>
      </c>
    </row>
    <row r="64" s="313" customFormat="1" ht="26.25" customHeight="1">
      <c r="A64" s="313" t="s">
        <v>54</v>
      </c>
      <c r="B64" s="313" t="s">
        <v>100</v>
      </c>
      <c r="C64" s="313" t="n">
        <v>4513340</v>
      </c>
      <c r="D64" s="313" t="s">
        <v>233</v>
      </c>
      <c r="E64" s="313" t="s">
        <v>283</v>
      </c>
      <c r="F64" s="313" t="s">
        <v>1068</v>
      </c>
      <c r="G64" s="313" t="s">
        <v>58</v>
      </c>
      <c r="H64" s="313" t="s">
        <v>43</v>
      </c>
      <c r="I64" s="313" t="s">
        <v>37</v>
      </c>
      <c r="J64" s="313" t="s">
        <v>55</v>
      </c>
      <c r="O64" s="313" t="s">
        <v>3994</v>
      </c>
      <c r="Q64" s="313" t="s">
        <v>2125</v>
      </c>
    </row>
    <row r="65" s="313" customFormat="1" ht="26.25" customHeight="1">
      <c r="A65" s="313" t="s">
        <v>54</v>
      </c>
      <c r="B65" s="313" t="s">
        <v>100</v>
      </c>
      <c r="C65" s="313" t="n">
        <v>4513340</v>
      </c>
      <c r="D65" s="313" t="s">
        <v>233</v>
      </c>
      <c r="E65" s="313" t="s">
        <v>283</v>
      </c>
      <c r="F65" s="313" t="s">
        <v>1102</v>
      </c>
      <c r="G65" s="313" t="s">
        <v>58</v>
      </c>
      <c r="H65" s="313" t="s">
        <v>43</v>
      </c>
      <c r="I65" s="313" t="s">
        <v>37</v>
      </c>
      <c r="J65" s="313" t="s">
        <v>48</v>
      </c>
      <c r="M65" s="313" t="s">
        <v>3049</v>
      </c>
      <c r="N65" s="313" t="s">
        <v>3995</v>
      </c>
      <c r="O65" s="313" t="s">
        <v>3996</v>
      </c>
      <c r="P65" s="313" t="n">
        <v>75</v>
      </c>
      <c r="Q65" s="313" t="s">
        <v>2125</v>
      </c>
    </row>
    <row r="66" s="313" customFormat="1" ht="26.25" customHeight="1">
      <c r="A66" s="313" t="s">
        <v>54</v>
      </c>
      <c r="B66" s="313" t="s">
        <v>100</v>
      </c>
      <c r="C66" s="313" t="n">
        <v>4513340</v>
      </c>
      <c r="D66" s="313" t="s">
        <v>233</v>
      </c>
      <c r="E66" s="313" t="s">
        <v>283</v>
      </c>
      <c r="F66" s="313" t="s">
        <v>1264</v>
      </c>
      <c r="G66" s="313" t="s">
        <v>58</v>
      </c>
      <c r="H66" s="313" t="s">
        <v>43</v>
      </c>
      <c r="I66" s="313" t="s">
        <v>37</v>
      </c>
      <c r="J66" s="313" t="s">
        <v>48</v>
      </c>
      <c r="M66" s="313" t="s">
        <v>3997</v>
      </c>
      <c r="N66" s="313" t="s">
        <v>3998</v>
      </c>
      <c r="O66" s="313" t="s">
        <v>3999</v>
      </c>
      <c r="P66" s="313" t="n">
        <v>70</v>
      </c>
      <c r="Q66" s="313" t="s">
        <v>2125</v>
      </c>
    </row>
    <row r="67" s="313" customFormat="1" ht="26.25" customHeight="1">
      <c r="A67" s="313" t="s">
        <v>54</v>
      </c>
      <c r="B67" s="313" t="s">
        <v>100</v>
      </c>
      <c r="C67" s="313" t="n">
        <v>4513340</v>
      </c>
      <c r="D67" s="313" t="s">
        <v>233</v>
      </c>
      <c r="E67" s="313" t="s">
        <v>283</v>
      </c>
      <c r="F67" s="313" t="s">
        <v>1323</v>
      </c>
      <c r="G67" s="313" t="s">
        <v>58</v>
      </c>
      <c r="H67" s="313" t="s">
        <v>43</v>
      </c>
      <c r="I67" s="313" t="s">
        <v>37</v>
      </c>
      <c r="J67" s="313" t="s">
        <v>59</v>
      </c>
      <c r="M67" s="313" t="s">
        <v>2501</v>
      </c>
      <c r="N67" s="313" t="s">
        <v>3665</v>
      </c>
      <c r="O67" s="313" t="s">
        <v>4000</v>
      </c>
      <c r="P67" s="313" t="n">
        <v>85</v>
      </c>
      <c r="Q67" s="313" t="n">
        <v>21</v>
      </c>
    </row>
    <row r="68" s="313" customFormat="1" ht="26.25" customHeight="1">
      <c r="A68" s="313" t="s">
        <v>54</v>
      </c>
      <c r="B68" s="313" t="s">
        <v>100</v>
      </c>
      <c r="C68" s="313" t="n">
        <v>4513340</v>
      </c>
      <c r="D68" s="313" t="s">
        <v>233</v>
      </c>
      <c r="E68" s="313" t="s">
        <v>283</v>
      </c>
      <c r="F68" s="313" t="s">
        <v>1050</v>
      </c>
      <c r="G68" s="313" t="s">
        <v>58</v>
      </c>
      <c r="H68" s="313" t="s">
        <v>43</v>
      </c>
      <c r="I68" s="313" t="s">
        <v>37</v>
      </c>
      <c r="J68" s="313" t="s">
        <v>55</v>
      </c>
    </row>
    <row r="69" s="313" customFormat="1" ht="26.25" customHeight="1">
      <c r="A69" s="313" t="s">
        <v>54</v>
      </c>
      <c r="B69" s="313" t="s">
        <v>100</v>
      </c>
      <c r="C69" s="313" t="n">
        <v>5230738</v>
      </c>
      <c r="D69" s="313" t="s">
        <v>215</v>
      </c>
      <c r="E69" s="313" t="s">
        <v>283</v>
      </c>
      <c r="F69" s="313" t="s">
        <v>1332</v>
      </c>
      <c r="G69" s="313" t="s">
        <v>58</v>
      </c>
      <c r="H69" s="313" t="s">
        <v>43</v>
      </c>
      <c r="I69" s="313" t="s">
        <v>31</v>
      </c>
      <c r="J69" s="313" t="s">
        <v>59</v>
      </c>
      <c r="K69" s="313" t="s">
        <v>4001</v>
      </c>
      <c r="L69" s="1088" t="s">
        <v>4002</v>
      </c>
      <c r="M69" s="313" t="s">
        <v>2501</v>
      </c>
      <c r="N69" s="313" t="s">
        <v>4003</v>
      </c>
      <c r="O69" s="1089" t="s">
        <v>4004</v>
      </c>
      <c r="P69" s="313" t="s">
        <v>4005</v>
      </c>
      <c r="Q69" s="313" t="n">
        <v>30</v>
      </c>
    </row>
    <row r="70" s="313" customFormat="1" ht="26.25" customHeight="1">
      <c r="A70" s="313" t="s">
        <v>54</v>
      </c>
      <c r="B70" s="313" t="s">
        <v>100</v>
      </c>
      <c r="C70" s="313" t="n">
        <v>5230738</v>
      </c>
      <c r="D70" s="313" t="s">
        <v>215</v>
      </c>
      <c r="E70" s="313" t="s">
        <v>283</v>
      </c>
      <c r="F70" s="313" t="s">
        <v>755</v>
      </c>
      <c r="G70" s="313" t="s">
        <v>58</v>
      </c>
      <c r="H70" s="313" t="s">
        <v>49</v>
      </c>
      <c r="I70" s="313" t="s">
        <v>35</v>
      </c>
      <c r="J70" s="313" t="s">
        <v>59</v>
      </c>
      <c r="K70" s="313" t="s">
        <v>2770</v>
      </c>
      <c r="M70" s="313" t="s">
        <v>4006</v>
      </c>
      <c r="N70" s="313" t="s">
        <v>3650</v>
      </c>
      <c r="O70" s="1090" t="s">
        <v>4007</v>
      </c>
      <c r="P70" s="313" t="n">
        <v>87</v>
      </c>
      <c r="Q70" s="313" t="n">
        <v>25</v>
      </c>
    </row>
    <row r="71" s="313" customFormat="1" ht="26.25" customHeight="1">
      <c r="A71" s="313" t="s">
        <v>54</v>
      </c>
      <c r="B71" s="313" t="s">
        <v>100</v>
      </c>
      <c r="C71" s="313" t="n">
        <v>5230738</v>
      </c>
      <c r="D71" s="313" t="s">
        <v>215</v>
      </c>
      <c r="E71" s="313" t="s">
        <v>283</v>
      </c>
      <c r="F71" s="313" t="s">
        <v>958</v>
      </c>
      <c r="G71" s="313" t="s">
        <v>58</v>
      </c>
      <c r="H71" s="313" t="s">
        <v>43</v>
      </c>
      <c r="I71" s="313" t="s">
        <v>31</v>
      </c>
      <c r="J71" s="313" t="s">
        <v>59</v>
      </c>
      <c r="L71" s="1091" t="s">
        <v>4008</v>
      </c>
      <c r="M71" s="313" t="s">
        <v>4009</v>
      </c>
      <c r="N71" s="313" t="s">
        <v>2479</v>
      </c>
      <c r="O71" s="1092" t="s">
        <v>4010</v>
      </c>
      <c r="P71" s="313" t="n">
        <v>74.5</v>
      </c>
      <c r="Q71" s="313" t="n">
        <v>24.5</v>
      </c>
    </row>
    <row r="72" s="313" customFormat="1" ht="26.25" customHeight="1">
      <c r="A72" s="313" t="s">
        <v>54</v>
      </c>
      <c r="B72" s="313" t="s">
        <v>100</v>
      </c>
      <c r="C72" s="313" t="n">
        <v>5230738</v>
      </c>
      <c r="D72" s="313" t="s">
        <v>215</v>
      </c>
      <c r="E72" s="313" t="s">
        <v>283</v>
      </c>
      <c r="F72" s="313" t="s">
        <v>1254</v>
      </c>
      <c r="G72" s="313" t="s">
        <v>58</v>
      </c>
      <c r="H72" s="313" t="s">
        <v>43</v>
      </c>
      <c r="I72" s="313" t="s">
        <v>31</v>
      </c>
      <c r="J72" s="313" t="s">
        <v>59</v>
      </c>
    </row>
    <row r="73" s="313" customFormat="1" ht="26.25" customHeight="1">
      <c r="A73" s="313" t="s">
        <v>54</v>
      </c>
      <c r="B73" s="313" t="s">
        <v>100</v>
      </c>
      <c r="C73" s="313" t="n">
        <v>5230738</v>
      </c>
      <c r="D73" s="313" t="s">
        <v>215</v>
      </c>
      <c r="E73" s="313" t="s">
        <v>283</v>
      </c>
      <c r="F73" s="313" t="s">
        <v>1234</v>
      </c>
      <c r="G73" s="313" t="s">
        <v>58</v>
      </c>
      <c r="I73" s="313" t="s">
        <v>31</v>
      </c>
      <c r="J73" s="313" t="s">
        <v>55</v>
      </c>
      <c r="K73" s="313" t="s">
        <v>4011</v>
      </c>
      <c r="L73" s="313" t="s">
        <v>3642</v>
      </c>
      <c r="M73" s="1093" t="s">
        <v>4012</v>
      </c>
      <c r="N73" s="313" t="s">
        <v>4013</v>
      </c>
      <c r="O73" s="1094" t="s">
        <v>4014</v>
      </c>
      <c r="P73" s="313" t="s">
        <v>4015</v>
      </c>
      <c r="Q73" s="313" t="n">
        <v>26</v>
      </c>
    </row>
    <row r="74" s="313" customFormat="1" ht="26.25" customHeight="1">
      <c r="A74" s="313" t="s">
        <v>54</v>
      </c>
      <c r="B74" s="313" t="s">
        <v>100</v>
      </c>
      <c r="C74" s="313" t="n">
        <v>5230738</v>
      </c>
      <c r="D74" s="313" t="s">
        <v>215</v>
      </c>
      <c r="E74" s="313" t="s">
        <v>283</v>
      </c>
      <c r="F74" s="313" t="s">
        <v>1222</v>
      </c>
      <c r="G74" s="313" t="s">
        <v>58</v>
      </c>
      <c r="H74" s="313" t="s">
        <v>43</v>
      </c>
      <c r="I74" s="313" t="s">
        <v>31</v>
      </c>
      <c r="J74" s="313" t="s">
        <v>59</v>
      </c>
      <c r="P74" s="313" t="n">
        <v>98</v>
      </c>
      <c r="Q74" s="313" t="n">
        <v>41</v>
      </c>
    </row>
    <row r="75" s="313" customFormat="1" ht="26.25" customHeight="1">
      <c r="A75" s="313" t="s">
        <v>54</v>
      </c>
      <c r="B75" s="313" t="s">
        <v>100</v>
      </c>
      <c r="C75" s="313" t="n">
        <v>5230738</v>
      </c>
      <c r="D75" s="313" t="s">
        <v>215</v>
      </c>
      <c r="E75" s="313" t="s">
        <v>283</v>
      </c>
      <c r="F75" s="313" t="s">
        <v>1216</v>
      </c>
      <c r="G75" s="313" t="s">
        <v>58</v>
      </c>
      <c r="H75" s="313" t="s">
        <v>43</v>
      </c>
      <c r="I75" s="313" t="s">
        <v>31</v>
      </c>
      <c r="J75" s="313" t="s">
        <v>1217</v>
      </c>
      <c r="K75" s="313" t="s">
        <v>4016</v>
      </c>
      <c r="L75" s="313" t="s">
        <v>4017</v>
      </c>
      <c r="M75" s="1095" t="s">
        <v>4018</v>
      </c>
      <c r="N75" s="1096" t="s">
        <v>4019</v>
      </c>
      <c r="O75" s="1097" t="s">
        <v>4020</v>
      </c>
      <c r="P75" s="313" t="n">
        <v>99</v>
      </c>
    </row>
    <row r="76" s="313" customFormat="1" ht="26.25" customHeight="1">
      <c r="A76" s="313" t="s">
        <v>54</v>
      </c>
      <c r="B76" s="313" t="s">
        <v>100</v>
      </c>
      <c r="C76" s="313" t="n">
        <v>5230738</v>
      </c>
      <c r="D76" s="313" t="s">
        <v>215</v>
      </c>
      <c r="E76" s="313" t="s">
        <v>283</v>
      </c>
      <c r="F76" s="313" t="s">
        <v>1201</v>
      </c>
      <c r="G76" s="313" t="s">
        <v>58</v>
      </c>
      <c r="H76" s="313" t="s">
        <v>43</v>
      </c>
      <c r="I76" s="313" t="s">
        <v>31</v>
      </c>
      <c r="J76" s="313" t="s">
        <v>59</v>
      </c>
      <c r="O76" s="313" t="s">
        <v>4021</v>
      </c>
      <c r="P76" s="313" t="s">
        <v>27</v>
      </c>
    </row>
    <row r="77" s="313" customFormat="1" ht="26.25" customHeight="1">
      <c r="A77" s="313" t="s">
        <v>54</v>
      </c>
      <c r="B77" s="313" t="s">
        <v>100</v>
      </c>
      <c r="C77" s="313" t="n">
        <v>5230738</v>
      </c>
      <c r="D77" s="313" t="s">
        <v>215</v>
      </c>
      <c r="E77" s="313" t="s">
        <v>283</v>
      </c>
      <c r="F77" s="313" t="s">
        <v>1174</v>
      </c>
      <c r="G77" s="313" t="s">
        <v>58</v>
      </c>
      <c r="H77" s="313" t="s">
        <v>43</v>
      </c>
      <c r="I77" s="313" t="s">
        <v>31</v>
      </c>
      <c r="J77" s="313" t="s">
        <v>50</v>
      </c>
      <c r="L77" s="313" t="s">
        <v>2500</v>
      </c>
      <c r="M77" s="313" t="s">
        <v>4022</v>
      </c>
      <c r="N77" s="313" t="s">
        <v>4023</v>
      </c>
      <c r="O77" s="1098" t="s">
        <v>4024</v>
      </c>
      <c r="P77" s="313" t="n">
        <v>92</v>
      </c>
    </row>
    <row r="78" s="313" customFormat="1" ht="26.25" customHeight="1">
      <c r="A78" s="313" t="s">
        <v>54</v>
      </c>
      <c r="B78" s="313" t="s">
        <v>100</v>
      </c>
      <c r="C78" s="313" t="n">
        <v>5230738</v>
      </c>
      <c r="D78" s="313" t="s">
        <v>215</v>
      </c>
      <c r="E78" s="313" t="s">
        <v>283</v>
      </c>
      <c r="F78" s="313" t="s">
        <v>1255</v>
      </c>
      <c r="G78" s="313" t="s">
        <v>58</v>
      </c>
      <c r="H78" s="313" t="s">
        <v>43</v>
      </c>
      <c r="I78" s="313" t="s">
        <v>31</v>
      </c>
      <c r="J78" s="313" t="s">
        <v>38</v>
      </c>
      <c r="K78" s="313" t="s">
        <v>4025</v>
      </c>
      <c r="L78" s="313" t="s">
        <v>4026</v>
      </c>
      <c r="M78" s="313" t="s">
        <v>3801</v>
      </c>
      <c r="N78" s="313" t="s">
        <v>3802</v>
      </c>
      <c r="O78" s="313" t="s">
        <v>4027</v>
      </c>
      <c r="P78" s="313" t="s">
        <v>4028</v>
      </c>
      <c r="Q78" s="313" t="n">
        <v>26.5</v>
      </c>
    </row>
    <row r="79" s="313" customFormat="1" ht="26.25" customHeight="1">
      <c r="A79" s="313" t="s">
        <v>54</v>
      </c>
      <c r="B79" s="313" t="s">
        <v>100</v>
      </c>
      <c r="C79" s="313" t="n">
        <v>5230738</v>
      </c>
      <c r="D79" s="313" t="s">
        <v>215</v>
      </c>
      <c r="E79" s="313" t="s">
        <v>283</v>
      </c>
      <c r="F79" s="313" t="s">
        <v>1208</v>
      </c>
      <c r="G79" s="313" t="s">
        <v>58</v>
      </c>
      <c r="H79" s="313" t="s">
        <v>43</v>
      </c>
      <c r="I79" s="313" t="s">
        <v>31</v>
      </c>
      <c r="J79" s="313" t="s">
        <v>59</v>
      </c>
      <c r="K79" s="313" t="s">
        <v>2668</v>
      </c>
      <c r="L79" s="313" t="s">
        <v>2500</v>
      </c>
      <c r="M79" s="313" t="s">
        <v>3801</v>
      </c>
      <c r="N79" s="313" t="s">
        <v>4029</v>
      </c>
      <c r="O79" s="1099" t="s">
        <v>4030</v>
      </c>
      <c r="P79" s="313" t="s">
        <v>4031</v>
      </c>
      <c r="Q79" s="313" t="n">
        <v>32</v>
      </c>
    </row>
    <row r="80" s="313" customFormat="1" ht="26.25" customHeight="1">
      <c r="A80" s="313" t="s">
        <v>54</v>
      </c>
      <c r="B80" s="313" t="s">
        <v>100</v>
      </c>
      <c r="C80" s="313" t="n">
        <v>5230738</v>
      </c>
      <c r="D80" s="313" t="s">
        <v>215</v>
      </c>
      <c r="E80" s="313" t="s">
        <v>283</v>
      </c>
      <c r="F80" s="313" t="s">
        <v>1304</v>
      </c>
      <c r="G80" s="313" t="s">
        <v>58</v>
      </c>
      <c r="H80" s="313" t="s">
        <v>43</v>
      </c>
      <c r="I80" s="313" t="s">
        <v>31</v>
      </c>
      <c r="J80" s="313" t="s">
        <v>59</v>
      </c>
      <c r="K80" s="313" t="s">
        <v>2766</v>
      </c>
      <c r="L80" s="313" t="s">
        <v>2500</v>
      </c>
      <c r="M80" s="313" t="s">
        <v>4032</v>
      </c>
      <c r="N80" s="313" t="s">
        <v>4033</v>
      </c>
      <c r="O80" s="1100" t="s">
        <v>4034</v>
      </c>
      <c r="P80" s="313" t="s">
        <v>2608</v>
      </c>
      <c r="Q80" s="313" t="n">
        <v>32.5</v>
      </c>
    </row>
    <row r="81" s="313" customFormat="1" ht="26.25" customHeight="1">
      <c r="A81" s="313" t="s">
        <v>54</v>
      </c>
      <c r="B81" s="313" t="s">
        <v>100</v>
      </c>
      <c r="C81" s="313" t="n">
        <v>5230738</v>
      </c>
      <c r="D81" s="313" t="s">
        <v>215</v>
      </c>
      <c r="E81" s="313" t="s">
        <v>283</v>
      </c>
      <c r="F81" s="313" t="s">
        <v>1295</v>
      </c>
      <c r="G81" s="313" t="s">
        <v>58</v>
      </c>
      <c r="H81" s="313" t="s">
        <v>43</v>
      </c>
      <c r="I81" s="313" t="s">
        <v>31</v>
      </c>
      <c r="J81" s="313" t="s">
        <v>59</v>
      </c>
      <c r="K81" s="313" t="s">
        <v>4035</v>
      </c>
      <c r="L81" s="313" t="s">
        <v>2500</v>
      </c>
      <c r="M81" s="313" t="s">
        <v>4036</v>
      </c>
      <c r="N81" s="313" t="s">
        <v>4037</v>
      </c>
      <c r="O81" s="1101" t="s">
        <v>4038</v>
      </c>
      <c r="P81" s="313" t="n">
        <v>97</v>
      </c>
      <c r="Q81" s="313" t="n">
        <v>41</v>
      </c>
    </row>
    <row r="82" s="313" customFormat="1" ht="26.25" customHeight="1">
      <c r="A82" s="313" t="s">
        <v>54</v>
      </c>
      <c r="B82" s="313" t="s">
        <v>100</v>
      </c>
      <c r="C82" s="313" t="n">
        <v>5230738</v>
      </c>
      <c r="D82" s="313" t="s">
        <v>215</v>
      </c>
      <c r="E82" s="313" t="s">
        <v>283</v>
      </c>
      <c r="F82" s="313" t="s">
        <v>2497</v>
      </c>
      <c r="G82" s="313" t="s">
        <v>58</v>
      </c>
      <c r="H82" s="313" t="s">
        <v>43</v>
      </c>
      <c r="I82" s="313" t="s">
        <v>31</v>
      </c>
      <c r="J82" s="313" t="s">
        <v>55</v>
      </c>
      <c r="K82" s="313" t="s">
        <v>4039</v>
      </c>
      <c r="M82" s="313" t="s">
        <v>4040</v>
      </c>
      <c r="N82" s="313" t="s">
        <v>3802</v>
      </c>
      <c r="O82" s="313" t="s">
        <v>4041</v>
      </c>
      <c r="P82" s="313" t="s">
        <v>4042</v>
      </c>
      <c r="Q82" s="313" t="n">
        <v>33</v>
      </c>
    </row>
    <row r="83" s="313" customFormat="1" ht="26.25" customHeight="1">
      <c r="A83" s="313" t="s">
        <v>54</v>
      </c>
      <c r="B83" s="313" t="s">
        <v>100</v>
      </c>
      <c r="C83" s="313" t="n">
        <v>5230738</v>
      </c>
      <c r="D83" s="313" t="s">
        <v>215</v>
      </c>
      <c r="E83" s="313" t="s">
        <v>283</v>
      </c>
      <c r="F83" s="313" t="s">
        <v>1258</v>
      </c>
      <c r="G83" s="313" t="s">
        <v>58</v>
      </c>
      <c r="H83" s="313" t="s">
        <v>43</v>
      </c>
      <c r="I83" s="313" t="s">
        <v>31</v>
      </c>
      <c r="J83" s="313" t="s">
        <v>57</v>
      </c>
      <c r="L83" s="313" t="s">
        <v>3553</v>
      </c>
      <c r="N83" s="313" t="n">
        <v>95</v>
      </c>
      <c r="O83" s="313" t="s">
        <v>3986</v>
      </c>
      <c r="P83" s="313" t="n">
        <v>34</v>
      </c>
      <c r="Q83" s="313" t="n">
        <v>44</v>
      </c>
    </row>
    <row r="84" s="313" customFormat="1" ht="26.25" customHeight="1">
      <c r="A84" s="313" t="s">
        <v>54</v>
      </c>
      <c r="B84" s="313" t="s">
        <v>100</v>
      </c>
      <c r="C84" s="313" t="n">
        <v>5230738</v>
      </c>
      <c r="D84" s="313" t="s">
        <v>215</v>
      </c>
      <c r="E84" s="313" t="s">
        <v>283</v>
      </c>
      <c r="F84" s="313" t="s">
        <v>1045</v>
      </c>
      <c r="G84" s="313" t="s">
        <v>58</v>
      </c>
      <c r="J84" s="313" t="s">
        <v>57</v>
      </c>
    </row>
    <row r="85" s="313" customFormat="1" ht="26.25" customHeight="1">
      <c r="A85" s="313" t="s">
        <v>54</v>
      </c>
      <c r="B85" s="313" t="s">
        <v>100</v>
      </c>
      <c r="C85" s="313" t="n">
        <v>5230738</v>
      </c>
      <c r="D85" s="313" t="s">
        <v>215</v>
      </c>
      <c r="E85" s="313" t="s">
        <v>283</v>
      </c>
      <c r="F85" s="313" t="s">
        <v>1043</v>
      </c>
      <c r="G85" s="313" t="s">
        <v>58</v>
      </c>
      <c r="J85" s="313" t="s">
        <v>59</v>
      </c>
    </row>
    <row r="86" s="313" customFormat="1" ht="26.25" customHeight="1">
      <c r="A86" s="313" t="s">
        <v>54</v>
      </c>
      <c r="B86" s="313" t="s">
        <v>100</v>
      </c>
      <c r="C86" s="313" t="n">
        <v>5230738</v>
      </c>
      <c r="D86" s="313" t="s">
        <v>215</v>
      </c>
      <c r="E86" s="313" t="s">
        <v>283</v>
      </c>
      <c r="F86" s="313" t="s">
        <v>1099</v>
      </c>
      <c r="G86" s="313" t="s">
        <v>58</v>
      </c>
      <c r="H86" s="313" t="s">
        <v>43</v>
      </c>
      <c r="J86" s="313" t="s">
        <v>55</v>
      </c>
      <c r="K86" s="313" t="s">
        <v>3570</v>
      </c>
      <c r="L86" s="313" t="s">
        <v>2500</v>
      </c>
      <c r="M86" s="313" t="s">
        <v>2501</v>
      </c>
      <c r="O86" s="1102" t="s">
        <v>4043</v>
      </c>
      <c r="P86" s="313" t="n">
        <v>97</v>
      </c>
    </row>
    <row r="87" s="313" customFormat="1" ht="26.25" customHeight="1">
      <c r="A87" s="313" t="s">
        <v>54</v>
      </c>
      <c r="B87" s="313" t="s">
        <v>100</v>
      </c>
      <c r="C87" s="313" t="n">
        <v>5230738</v>
      </c>
      <c r="D87" s="313" t="s">
        <v>215</v>
      </c>
      <c r="E87" s="313" t="s">
        <v>283</v>
      </c>
      <c r="F87" s="313" t="s">
        <v>474</v>
      </c>
      <c r="G87" s="313" t="s">
        <v>58</v>
      </c>
      <c r="H87" s="313" t="s">
        <v>47</v>
      </c>
      <c r="I87" s="313" t="s">
        <v>31</v>
      </c>
      <c r="J87" s="313" t="s">
        <v>38</v>
      </c>
      <c r="K87" s="313" t="s">
        <v>3171</v>
      </c>
      <c r="L87" s="313" t="s">
        <v>4044</v>
      </c>
      <c r="M87" s="313" t="s">
        <v>4045</v>
      </c>
      <c r="N87" s="313" t="s">
        <v>4046</v>
      </c>
      <c r="O87" s="1103" t="s">
        <v>4047</v>
      </c>
      <c r="P87" s="313" t="s">
        <v>4048</v>
      </c>
    </row>
    <row r="88" s="313" customFormat="1" ht="26.25" customHeight="1">
      <c r="A88" s="313" t="s">
        <v>54</v>
      </c>
      <c r="B88" s="313" t="s">
        <v>100</v>
      </c>
      <c r="C88" s="313" t="n">
        <v>5230738</v>
      </c>
      <c r="D88" s="313" t="s">
        <v>215</v>
      </c>
      <c r="E88" s="313" t="s">
        <v>283</v>
      </c>
      <c r="F88" s="313" t="s">
        <v>1195</v>
      </c>
      <c r="G88" s="313" t="s">
        <v>58</v>
      </c>
      <c r="H88" s="313" t="s">
        <v>43</v>
      </c>
      <c r="I88" s="313" t="s">
        <v>31</v>
      </c>
      <c r="J88" s="313" t="s">
        <v>38</v>
      </c>
      <c r="K88" s="313" t="s">
        <v>4001</v>
      </c>
      <c r="L88" s="313" t="s">
        <v>4049</v>
      </c>
      <c r="M88" s="1104" t="s">
        <v>4050</v>
      </c>
      <c r="N88" s="313" t="s">
        <v>4051</v>
      </c>
      <c r="O88" s="313" t="s">
        <v>4052</v>
      </c>
      <c r="P88" s="313" t="s">
        <v>4053</v>
      </c>
      <c r="Q88" s="313" t="n">
        <v>27</v>
      </c>
    </row>
    <row r="89" s="313" customFormat="1" ht="26.25" customHeight="1">
      <c r="A89" s="313" t="s">
        <v>54</v>
      </c>
      <c r="B89" s="313" t="s">
        <v>100</v>
      </c>
      <c r="C89" s="313" t="n">
        <v>5230738</v>
      </c>
      <c r="D89" s="313" t="s">
        <v>215</v>
      </c>
      <c r="E89" s="313" t="s">
        <v>283</v>
      </c>
      <c r="F89" s="313" t="s">
        <v>1230</v>
      </c>
      <c r="G89" s="313" t="s">
        <v>58</v>
      </c>
      <c r="J89" s="313" t="s">
        <v>55</v>
      </c>
    </row>
    <row r="90" s="313" customFormat="1" ht="26.25" customHeight="1">
      <c r="A90" s="313" t="s">
        <v>54</v>
      </c>
      <c r="B90" s="313" t="s">
        <v>100</v>
      </c>
      <c r="C90" s="313" t="n">
        <v>5230738</v>
      </c>
      <c r="D90" s="313" t="s">
        <v>215</v>
      </c>
      <c r="E90" s="313" t="s">
        <v>283</v>
      </c>
      <c r="F90" s="313" t="s">
        <v>684</v>
      </c>
      <c r="G90" s="313" t="s">
        <v>58</v>
      </c>
      <c r="I90" s="313" t="s">
        <v>35</v>
      </c>
      <c r="J90" s="313" t="s">
        <v>59</v>
      </c>
    </row>
    <row r="91" s="313" customFormat="1" ht="26.25" customHeight="1">
      <c r="A91" s="313" t="s">
        <v>54</v>
      </c>
      <c r="B91" s="313" t="s">
        <v>100</v>
      </c>
      <c r="C91" s="313" t="n">
        <v>5230738</v>
      </c>
      <c r="D91" s="313" t="s">
        <v>215</v>
      </c>
      <c r="E91" s="313" t="s">
        <v>283</v>
      </c>
      <c r="F91" s="313" t="s">
        <v>1113</v>
      </c>
      <c r="G91" s="313" t="s">
        <v>58</v>
      </c>
      <c r="H91" s="313" t="s">
        <v>43</v>
      </c>
      <c r="I91" s="313" t="s">
        <v>31</v>
      </c>
      <c r="J91" s="313" t="s">
        <v>59</v>
      </c>
      <c r="P91" s="313" t="n">
        <v>88</v>
      </c>
    </row>
    <row r="92" s="313" customFormat="1" ht="26.25" customHeight="1">
      <c r="A92" s="313" t="s">
        <v>54</v>
      </c>
      <c r="B92" s="313" t="s">
        <v>100</v>
      </c>
      <c r="C92" s="313" t="n">
        <v>5230738</v>
      </c>
      <c r="D92" s="313" t="s">
        <v>215</v>
      </c>
      <c r="E92" s="313" t="s">
        <v>283</v>
      </c>
      <c r="F92" s="313" t="s">
        <v>563</v>
      </c>
      <c r="G92" s="313" t="s">
        <v>58</v>
      </c>
      <c r="H92" s="313" t="s">
        <v>47</v>
      </c>
      <c r="I92" s="313" t="s">
        <v>31</v>
      </c>
      <c r="J92" s="313" t="s">
        <v>38</v>
      </c>
      <c r="K92" s="313" t="s">
        <v>3171</v>
      </c>
      <c r="L92" s="313" t="s">
        <v>4054</v>
      </c>
      <c r="M92" s="1105" t="s">
        <v>4055</v>
      </c>
      <c r="N92" s="1106" t="s">
        <v>4056</v>
      </c>
      <c r="O92" s="1107" t="s">
        <v>4057</v>
      </c>
      <c r="P92" s="313" t="n">
        <v>94</v>
      </c>
    </row>
    <row r="93" s="313" customFormat="1" ht="26.25" customHeight="1">
      <c r="A93" s="313" t="s">
        <v>54</v>
      </c>
      <c r="B93" s="313" t="s">
        <v>100</v>
      </c>
      <c r="C93" s="313" t="n">
        <v>5230738</v>
      </c>
      <c r="D93" s="313" t="s">
        <v>215</v>
      </c>
      <c r="E93" s="313" t="s">
        <v>283</v>
      </c>
      <c r="F93" s="313" t="s">
        <v>1334</v>
      </c>
      <c r="G93" s="313" t="s">
        <v>58</v>
      </c>
      <c r="H93" s="313" t="s">
        <v>43</v>
      </c>
      <c r="I93" s="313" t="s">
        <v>31</v>
      </c>
      <c r="J93" s="313" t="s">
        <v>57</v>
      </c>
      <c r="K93" s="313" t="s">
        <v>4058</v>
      </c>
      <c r="M93" s="313" t="s">
        <v>2501</v>
      </c>
      <c r="N93" s="313" t="s">
        <v>3799</v>
      </c>
      <c r="O93" s="313" t="s">
        <v>4059</v>
      </c>
      <c r="P93" s="313" t="n">
        <v>90</v>
      </c>
      <c r="Q93" s="313" t="n">
        <v>35</v>
      </c>
      <c r="T93" s="313" t="s">
        <v>3974</v>
      </c>
      <c r="V93" s="313" t="s">
        <v>217</v>
      </c>
    </row>
    <row r="94" s="313" customFormat="1" ht="26.25" customHeight="1">
      <c r="A94" s="313" t="s">
        <v>54</v>
      </c>
      <c r="B94" s="313" t="s">
        <v>100</v>
      </c>
      <c r="C94" s="313" t="n">
        <v>4513340</v>
      </c>
      <c r="D94" s="313" t="s">
        <v>233</v>
      </c>
      <c r="E94" s="313" t="s">
        <v>283</v>
      </c>
      <c r="F94" s="313" t="s">
        <v>1279</v>
      </c>
      <c r="G94" s="313" t="s">
        <v>58</v>
      </c>
      <c r="H94" s="313" t="s">
        <v>43</v>
      </c>
      <c r="I94" s="313" t="s">
        <v>37</v>
      </c>
    </row>
    <row r="95" s="313" customFormat="1" ht="26.25" customHeight="1">
      <c r="A95" s="313" t="s">
        <v>45</v>
      </c>
      <c r="B95" s="313" t="s">
        <v>88</v>
      </c>
      <c r="C95" s="313" t="n">
        <v>5230737</v>
      </c>
      <c r="D95" s="313" t="s">
        <v>216</v>
      </c>
      <c r="E95" s="313" t="s">
        <v>283</v>
      </c>
      <c r="F95" s="313" t="s">
        <v>1013</v>
      </c>
      <c r="G95" s="313" t="s">
        <v>58</v>
      </c>
      <c r="H95" s="313" t="s">
        <v>47</v>
      </c>
      <c r="I95" s="313" t="s">
        <v>31</v>
      </c>
      <c r="J95" s="313" t="s">
        <v>46</v>
      </c>
      <c r="T95" s="313" t="s">
        <v>217</v>
      </c>
      <c r="U95" s="313" t="s">
        <v>218</v>
      </c>
      <c r="V95" s="313" t="s">
        <v>217</v>
      </c>
      <c r="W95" s="313" t="s">
        <v>217</v>
      </c>
    </row>
    <row r="96" s="313" customFormat="1" ht="26.25" customHeight="1">
      <c r="A96" s="313" t="s">
        <v>45</v>
      </c>
      <c r="B96" s="313" t="s">
        <v>65</v>
      </c>
      <c r="C96" s="313" t="s">
        <v>4060</v>
      </c>
      <c r="D96" s="313" t="s">
        <v>216</v>
      </c>
      <c r="E96" s="313" t="s">
        <v>283</v>
      </c>
      <c r="F96" s="313" t="s">
        <v>929</v>
      </c>
      <c r="G96" s="313" t="s">
        <v>58</v>
      </c>
      <c r="H96" s="313" t="s">
        <v>49</v>
      </c>
      <c r="I96" s="313" t="s">
        <v>37</v>
      </c>
      <c r="J96" s="313" t="s">
        <v>48</v>
      </c>
      <c r="V96" s="313" t="s">
        <v>217</v>
      </c>
    </row>
    <row r="97" s="313" customFormat="1" ht="26.25" customHeight="1">
      <c r="A97" s="313" t="s">
        <v>45</v>
      </c>
      <c r="B97" s="313" t="s">
        <v>65</v>
      </c>
      <c r="C97" s="313" t="s">
        <v>4061</v>
      </c>
      <c r="D97" s="313" t="s">
        <v>233</v>
      </c>
      <c r="E97" s="313" t="s">
        <v>283</v>
      </c>
      <c r="F97" s="313" t="s">
        <v>724</v>
      </c>
      <c r="G97" s="313" t="s">
        <v>58</v>
      </c>
      <c r="H97" s="313" t="s">
        <v>43</v>
      </c>
      <c r="I97" s="313" t="s">
        <v>31</v>
      </c>
      <c r="J97" s="313" t="s">
        <v>46</v>
      </c>
      <c r="Q97" s="313" t="s">
        <v>87</v>
      </c>
      <c r="T97" s="313" t="s">
        <v>217</v>
      </c>
      <c r="V97" s="313" t="s">
        <v>217</v>
      </c>
    </row>
    <row r="98" s="313" customFormat="1" ht="26.25" customHeight="1">
      <c r="A98" s="313" t="s">
        <v>45</v>
      </c>
      <c r="B98" s="313" t="s">
        <v>65</v>
      </c>
      <c r="C98" s="313" t="s">
        <v>4060</v>
      </c>
      <c r="D98" s="313" t="s">
        <v>216</v>
      </c>
      <c r="E98" s="313" t="s">
        <v>283</v>
      </c>
      <c r="F98" s="313" t="s">
        <v>941</v>
      </c>
      <c r="G98" s="313" t="s">
        <v>58</v>
      </c>
      <c r="H98" s="313" t="s">
        <v>49</v>
      </c>
      <c r="I98" s="313" t="s">
        <v>37</v>
      </c>
      <c r="J98" s="313" t="s">
        <v>46</v>
      </c>
      <c r="T98" s="313" t="s">
        <v>217</v>
      </c>
      <c r="V98" s="313" t="s">
        <v>217</v>
      </c>
    </row>
    <row r="99" s="313" customFormat="1" ht="26.25" customHeight="1">
      <c r="A99" s="313" t="s">
        <v>45</v>
      </c>
      <c r="B99" s="313" t="s">
        <v>65</v>
      </c>
      <c r="C99" s="313" t="s">
        <v>4060</v>
      </c>
      <c r="D99" s="313" t="s">
        <v>216</v>
      </c>
      <c r="E99" s="313" t="s">
        <v>283</v>
      </c>
      <c r="F99" s="313" t="s">
        <v>276</v>
      </c>
      <c r="G99" s="313" t="s">
        <v>58</v>
      </c>
      <c r="H99" s="313" t="s">
        <v>49</v>
      </c>
      <c r="J99" s="313" t="s">
        <v>48</v>
      </c>
      <c r="T99" s="313" t="s">
        <v>217</v>
      </c>
      <c r="V99" s="313" t="s">
        <v>217</v>
      </c>
    </row>
    <row r="100" s="313" customFormat="1" ht="26.25" customHeight="1">
      <c r="A100" s="313" t="s">
        <v>45</v>
      </c>
      <c r="B100" s="313" t="s">
        <v>65</v>
      </c>
      <c r="C100" s="313" t="s">
        <v>4060</v>
      </c>
      <c r="D100" s="313" t="s">
        <v>216</v>
      </c>
      <c r="E100" s="313" t="s">
        <v>283</v>
      </c>
      <c r="F100" s="313" t="s">
        <v>324</v>
      </c>
      <c r="G100" s="313" t="s">
        <v>58</v>
      </c>
      <c r="H100" s="313" t="s">
        <v>49</v>
      </c>
      <c r="I100" s="313" t="s">
        <v>37</v>
      </c>
      <c r="J100" s="313" t="s">
        <v>50</v>
      </c>
      <c r="T100" s="313" t="s">
        <v>217</v>
      </c>
      <c r="V100" s="313" t="s">
        <v>217</v>
      </c>
    </row>
    <row r="101" s="313" customFormat="1" ht="26.25" customHeight="1">
      <c r="A101" s="313" t="s">
        <v>45</v>
      </c>
      <c r="B101" s="313" t="s">
        <v>65</v>
      </c>
      <c r="C101" s="313" t="s">
        <v>4060</v>
      </c>
      <c r="D101" s="313" t="s">
        <v>216</v>
      </c>
      <c r="E101" s="313" t="s">
        <v>283</v>
      </c>
      <c r="F101" s="313" t="s">
        <v>299</v>
      </c>
      <c r="G101" s="313" t="s">
        <v>58</v>
      </c>
      <c r="H101" s="313" t="s">
        <v>49</v>
      </c>
      <c r="I101" s="313" t="s">
        <v>37</v>
      </c>
      <c r="J101" s="313" t="s">
        <v>46</v>
      </c>
      <c r="T101" s="313" t="s">
        <v>217</v>
      </c>
      <c r="V101" s="313" t="s">
        <v>217</v>
      </c>
    </row>
    <row r="102" s="313" customFormat="1" ht="26.25" customHeight="1">
      <c r="A102" s="313" t="s">
        <v>45</v>
      </c>
      <c r="B102" s="313" t="s">
        <v>65</v>
      </c>
      <c r="C102" s="313" t="s">
        <v>4060</v>
      </c>
      <c r="D102" s="313" t="s">
        <v>216</v>
      </c>
      <c r="E102" s="313" t="s">
        <v>283</v>
      </c>
      <c r="F102" s="313" t="s">
        <v>935</v>
      </c>
      <c r="G102" s="313" t="s">
        <v>58</v>
      </c>
      <c r="H102" s="313" t="s">
        <v>49</v>
      </c>
      <c r="I102" s="313" t="s">
        <v>37</v>
      </c>
      <c r="J102" s="313" t="s">
        <v>46</v>
      </c>
      <c r="T102" s="313" t="s">
        <v>217</v>
      </c>
      <c r="V102" s="313" t="s">
        <v>217</v>
      </c>
    </row>
    <row r="103" s="313" customFormat="1" ht="26.25" customHeight="1">
      <c r="A103" s="313" t="s">
        <v>45</v>
      </c>
      <c r="B103" s="313" t="s">
        <v>65</v>
      </c>
      <c r="C103" s="313" t="s">
        <v>4060</v>
      </c>
      <c r="D103" s="313" t="s">
        <v>216</v>
      </c>
      <c r="E103" s="313" t="s">
        <v>283</v>
      </c>
      <c r="F103" s="313" t="s">
        <v>946</v>
      </c>
      <c r="G103" s="313" t="s">
        <v>58</v>
      </c>
      <c r="H103" s="313" t="s">
        <v>49</v>
      </c>
      <c r="I103" s="313" t="s">
        <v>37</v>
      </c>
      <c r="J103" s="313" t="s">
        <v>46</v>
      </c>
      <c r="T103" s="313" t="s">
        <v>217</v>
      </c>
      <c r="V103" s="313" t="s">
        <v>217</v>
      </c>
    </row>
    <row r="104" s="313" customFormat="1" ht="26.25" customHeight="1">
      <c r="A104" s="313" t="s">
        <v>45</v>
      </c>
      <c r="B104" s="313" t="s">
        <v>65</v>
      </c>
      <c r="C104" s="313" t="s">
        <v>4061</v>
      </c>
      <c r="D104" s="313" t="s">
        <v>233</v>
      </c>
      <c r="E104" s="313" t="s">
        <v>283</v>
      </c>
      <c r="F104" s="313" t="s">
        <v>810</v>
      </c>
      <c r="G104" s="313" t="s">
        <v>58</v>
      </c>
      <c r="H104" s="313" t="s">
        <v>43</v>
      </c>
      <c r="I104" s="313" t="s">
        <v>37</v>
      </c>
      <c r="J104" s="313" t="s">
        <v>48</v>
      </c>
      <c r="Q104" s="313" t="s">
        <v>87</v>
      </c>
      <c r="T104" s="313" t="s">
        <v>217</v>
      </c>
      <c r="V104" s="313" t="s">
        <v>217</v>
      </c>
    </row>
    <row r="105" s="313" customFormat="1" ht="26.25" customHeight="1">
      <c r="A105" s="313" t="s">
        <v>45</v>
      </c>
      <c r="B105" s="313" t="s">
        <v>65</v>
      </c>
      <c r="C105" s="313" t="s">
        <v>4060</v>
      </c>
      <c r="D105" s="313" t="s">
        <v>216</v>
      </c>
      <c r="E105" s="313" t="s">
        <v>283</v>
      </c>
      <c r="F105" s="313" t="s">
        <v>282</v>
      </c>
      <c r="G105" s="313" t="s">
        <v>58</v>
      </c>
      <c r="H105" s="313" t="s">
        <v>49</v>
      </c>
      <c r="I105" s="313" t="s">
        <v>37</v>
      </c>
      <c r="J105" s="313" t="s">
        <v>50</v>
      </c>
      <c r="T105" s="313" t="s">
        <v>217</v>
      </c>
      <c r="U105" s="313" t="s">
        <v>217</v>
      </c>
      <c r="V105" s="313" t="s">
        <v>217</v>
      </c>
    </row>
    <row r="106" s="313" customFormat="1" ht="26.25" customHeight="1">
      <c r="A106" s="313" t="s">
        <v>45</v>
      </c>
      <c r="B106" s="313" t="s">
        <v>65</v>
      </c>
      <c r="C106" s="313" t="s">
        <v>4060</v>
      </c>
      <c r="D106" s="313" t="s">
        <v>216</v>
      </c>
      <c r="E106" s="313" t="s">
        <v>283</v>
      </c>
      <c r="F106" s="313" t="s">
        <v>292</v>
      </c>
      <c r="G106" s="313" t="s">
        <v>58</v>
      </c>
      <c r="H106" s="313" t="s">
        <v>49</v>
      </c>
      <c r="I106" s="313" t="s">
        <v>37</v>
      </c>
      <c r="J106" s="313" t="s">
        <v>59</v>
      </c>
      <c r="T106" s="313" t="s">
        <v>217</v>
      </c>
      <c r="V106" s="313" t="s">
        <v>217</v>
      </c>
    </row>
    <row r="107" s="313" customFormat="1" ht="26.25" customHeight="1">
      <c r="A107" s="313" t="s">
        <v>45</v>
      </c>
      <c r="B107" s="313" t="s">
        <v>65</v>
      </c>
      <c r="C107" s="313" t="s">
        <v>4060</v>
      </c>
      <c r="D107" s="313" t="s">
        <v>216</v>
      </c>
      <c r="E107" s="313" t="s">
        <v>283</v>
      </c>
      <c r="F107" s="313" t="s">
        <v>319</v>
      </c>
      <c r="G107" s="313" t="s">
        <v>58</v>
      </c>
      <c r="H107" s="313" t="s">
        <v>49</v>
      </c>
      <c r="I107" s="313" t="s">
        <v>37</v>
      </c>
      <c r="J107" s="313" t="s">
        <v>46</v>
      </c>
      <c r="T107" s="313" t="s">
        <v>217</v>
      </c>
      <c r="V107" s="313" t="s">
        <v>217</v>
      </c>
    </row>
  </sheetData>
  <autoFilter ref="A2:XFD1048576"/>
  <mergeCells count="4">
    <mergeCell ref="K1:O1"/>
    <mergeCell ref="P1:S1"/>
    <mergeCell ref="T1:Y1"/>
    <mergeCell ref="A1:J1"/>
  </mergeCells>
  <phoneticPr fontId="1" type="noConversion"/>
  <conditionalFormatting sqref="AA1:AA2 F1:F2">
    <cfRule priority="37" type="duplicateValues" dxfId="0"/>
  </conditionalFormatting>
  <conditionalFormatting sqref="Z1:Z2">
    <cfRule priority="47"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508"/>
    <col min="14" max="14" width="19.875" customWidth="1" style="508"/>
    <col min="15" max="15" width="20.25" customWidth="1" style="508"/>
    <col min="16" max="16" width="13.5" customWidth="1"/>
  </cols>
  <sheetData>
    <row r="1" ht="26.25" customHeight="1">
      <c r="A1" s="509" t="s">
        <v>2588</v>
      </c>
      <c r="K1" s="510" t="s">
        <v>2351</v>
      </c>
      <c r="P1" s="511" t="s">
        <v>2352</v>
      </c>
      <c r="T1" s="512" t="s">
        <v>2353</v>
      </c>
    </row>
    <row r="2" ht="26.25" customHeight="1">
      <c r="A2" s="513" t="s">
        <v>71</v>
      </c>
      <c r="B2" s="513" t="s">
        <v>174</v>
      </c>
      <c r="C2" s="513" t="s">
        <v>2354</v>
      </c>
      <c r="D2" s="513" t="s">
        <v>2355</v>
      </c>
      <c r="E2" s="513" t="s">
        <v>94</v>
      </c>
      <c r="F2" s="513" t="s">
        <v>148</v>
      </c>
      <c r="G2" s="513" t="s">
        <v>172</v>
      </c>
      <c r="H2" s="513" t="s">
        <v>3004</v>
      </c>
      <c r="I2" s="513" t="s">
        <v>2356</v>
      </c>
      <c r="J2" s="513" t="s">
        <v>2358</v>
      </c>
      <c r="K2" s="513" t="s">
        <v>2359</v>
      </c>
      <c r="L2" s="513" t="s">
        <v>2360</v>
      </c>
      <c r="M2" s="1108" t="s">
        <v>2361</v>
      </c>
      <c r="N2" s="465" t="s">
        <v>2362</v>
      </c>
      <c r="O2" s="465" t="s">
        <v>2363</v>
      </c>
      <c r="P2" s="513" t="s">
        <v>126</v>
      </c>
      <c r="Q2" s="513" t="s">
        <v>125</v>
      </c>
      <c r="R2" s="513" t="s">
        <v>2364</v>
      </c>
      <c r="S2" s="513" t="s">
        <v>2365</v>
      </c>
      <c r="T2" s="513" t="s">
        <v>2366</v>
      </c>
      <c r="U2" s="513" t="s">
        <v>2367</v>
      </c>
      <c r="V2" s="513" t="s">
        <v>176</v>
      </c>
      <c r="W2" s="513" t="s">
        <v>2368</v>
      </c>
      <c r="X2" s="513" t="s">
        <v>2369</v>
      </c>
      <c r="Y2" s="513" t="s">
        <v>2370</v>
      </c>
    </row>
    <row r="3" s="313" customFormat="1" ht="26.25" customHeight="1">
      <c r="A3" s="313" t="s">
        <v>45</v>
      </c>
      <c r="B3" s="313" t="s">
        <v>100</v>
      </c>
      <c r="C3" s="313" t="n">
        <v>3132893</v>
      </c>
      <c r="D3" s="313" t="s">
        <v>233</v>
      </c>
      <c r="E3" s="313" t="s">
        <v>283</v>
      </c>
      <c r="F3" s="313" t="s">
        <v>1285</v>
      </c>
      <c r="G3" s="313" t="s">
        <v>52</v>
      </c>
      <c r="J3" s="313" t="s">
        <v>48</v>
      </c>
    </row>
    <row r="4" s="313" customFormat="1" ht="26.25" customHeight="1">
      <c r="A4" s="313" t="s">
        <v>45</v>
      </c>
      <c r="B4" s="313" t="s">
        <v>88</v>
      </c>
      <c r="C4" s="313" t="n">
        <v>3132865</v>
      </c>
      <c r="D4" s="313" t="s">
        <v>233</v>
      </c>
      <c r="E4" s="313" t="s">
        <v>283</v>
      </c>
      <c r="F4" s="313" t="s">
        <v>1054</v>
      </c>
      <c r="G4" s="313" t="s">
        <v>52</v>
      </c>
      <c r="H4" s="313" t="s">
        <v>49</v>
      </c>
      <c r="I4" s="313" t="s">
        <v>37</v>
      </c>
      <c r="J4" s="313" t="s">
        <v>48</v>
      </c>
      <c r="L4" s="313" t="s">
        <v>483</v>
      </c>
      <c r="M4" s="1109" t="s">
        <v>4062</v>
      </c>
      <c r="N4" s="1110" t="s">
        <v>4063</v>
      </c>
      <c r="O4" s="313" t="s">
        <v>4064</v>
      </c>
      <c r="P4" s="313" t="s">
        <v>28</v>
      </c>
      <c r="T4" s="313" t="s">
        <v>217</v>
      </c>
      <c r="U4" s="313" t="s">
        <v>217</v>
      </c>
      <c r="V4" s="313" t="s">
        <v>217</v>
      </c>
    </row>
    <row r="5" s="313" customFormat="1" ht="26.25" customHeight="1">
      <c r="A5" s="313" t="s">
        <v>85</v>
      </c>
      <c r="B5" s="313" t="s">
        <v>101</v>
      </c>
      <c r="C5" s="313" t="n">
        <v>5230788</v>
      </c>
      <c r="D5" s="313" t="s">
        <v>233</v>
      </c>
      <c r="E5" s="313" t="s">
        <v>283</v>
      </c>
      <c r="F5" s="313" t="s">
        <v>1137</v>
      </c>
      <c r="G5" s="313" t="s">
        <v>52</v>
      </c>
      <c r="H5" s="313" t="s">
        <v>47</v>
      </c>
      <c r="I5" s="313" t="s">
        <v>39</v>
      </c>
      <c r="J5" s="313" t="s">
        <v>38</v>
      </c>
      <c r="K5" s="313" t="s">
        <v>2481</v>
      </c>
      <c r="M5" s="313" t="s">
        <v>3986</v>
      </c>
      <c r="N5" s="313" t="s">
        <v>4065</v>
      </c>
      <c r="O5" s="313" t="s">
        <v>4066</v>
      </c>
      <c r="P5" s="313" t="n">
        <v>90</v>
      </c>
      <c r="Q5" s="313" t="n">
        <v>35</v>
      </c>
    </row>
    <row r="6" s="313" customFormat="1" ht="26.25" customHeight="1">
      <c r="A6" s="313" t="s">
        <v>45</v>
      </c>
      <c r="B6" s="313" t="s">
        <v>88</v>
      </c>
      <c r="C6" s="313" t="n">
        <v>5230765</v>
      </c>
      <c r="D6" s="313" t="s">
        <v>215</v>
      </c>
      <c r="E6" s="313" t="s">
        <v>283</v>
      </c>
      <c r="F6" s="313" t="s">
        <v>1244</v>
      </c>
      <c r="G6" s="313" t="s">
        <v>52</v>
      </c>
      <c r="H6" s="313" t="s">
        <v>43</v>
      </c>
      <c r="I6" s="313" t="s">
        <v>31</v>
      </c>
      <c r="J6" s="313" t="s">
        <v>46</v>
      </c>
      <c r="L6" s="313" t="s">
        <v>2438</v>
      </c>
      <c r="M6" s="1111" t="s">
        <v>4067</v>
      </c>
      <c r="N6" s="1112" t="s">
        <v>4068</v>
      </c>
      <c r="O6" s="1113" t="s">
        <v>4069</v>
      </c>
      <c r="P6" s="313" t="n">
        <v>95</v>
      </c>
      <c r="Q6" s="313" t="n">
        <v>38.5</v>
      </c>
      <c r="T6" s="313" t="s">
        <v>217</v>
      </c>
      <c r="U6" s="313" t="s">
        <v>217</v>
      </c>
      <c r="V6" s="313" t="s">
        <v>217</v>
      </c>
    </row>
    <row r="7" s="313" customFormat="1" ht="26.25" customHeight="1">
      <c r="A7" s="313" t="s">
        <v>85</v>
      </c>
      <c r="B7" s="313" t="s">
        <v>101</v>
      </c>
      <c r="C7" s="313" t="n">
        <v>5230788</v>
      </c>
      <c r="D7" s="313" t="s">
        <v>233</v>
      </c>
      <c r="E7" s="313" t="s">
        <v>283</v>
      </c>
      <c r="F7" s="313" t="s">
        <v>1290</v>
      </c>
      <c r="G7" s="313" t="s">
        <v>52</v>
      </c>
      <c r="J7" s="313" t="s">
        <v>36</v>
      </c>
      <c r="M7" s="313" t="s">
        <v>2501</v>
      </c>
      <c r="N7" s="313" t="s">
        <v>3665</v>
      </c>
      <c r="O7" s="313" t="s">
        <v>4070</v>
      </c>
      <c r="P7" s="313" t="n">
        <v>80</v>
      </c>
      <c r="Q7" s="313" t="n">
        <v>0</v>
      </c>
    </row>
    <row r="8" s="313" customFormat="1" ht="26.25" customHeight="1">
      <c r="A8" s="313" t="s">
        <v>45</v>
      </c>
      <c r="B8" s="313" t="s">
        <v>88</v>
      </c>
      <c r="C8" s="313" t="n">
        <v>3132865</v>
      </c>
      <c r="D8" s="313" t="s">
        <v>233</v>
      </c>
      <c r="E8" s="313" t="s">
        <v>283</v>
      </c>
      <c r="F8" s="313" t="s">
        <v>1063</v>
      </c>
      <c r="G8" s="313" t="s">
        <v>52</v>
      </c>
      <c r="H8" s="313" t="s">
        <v>49</v>
      </c>
      <c r="I8" s="313" t="s">
        <v>37</v>
      </c>
      <c r="J8" s="313" t="s">
        <v>50</v>
      </c>
      <c r="L8" s="313" t="s">
        <v>1729</v>
      </c>
      <c r="M8" s="1114" t="s">
        <v>4071</v>
      </c>
      <c r="N8" s="313" t="s">
        <v>4072</v>
      </c>
      <c r="O8" s="313" t="s">
        <v>4073</v>
      </c>
      <c r="P8" s="313" t="s">
        <v>2901</v>
      </c>
      <c r="T8" s="313" t="s">
        <v>217</v>
      </c>
      <c r="U8" s="313" t="s">
        <v>217</v>
      </c>
      <c r="V8" s="313" t="s">
        <v>217</v>
      </c>
    </row>
    <row r="9" s="468" customFormat="1" ht="26.25" customHeight="1">
      <c r="A9" s="468" t="s">
        <v>85</v>
      </c>
      <c r="B9" s="468" t="s">
        <v>65</v>
      </c>
      <c r="C9" s="468" t="n">
        <v>5230783</v>
      </c>
      <c r="D9" s="468" t="s">
        <v>216</v>
      </c>
      <c r="E9" s="468" t="s">
        <v>283</v>
      </c>
      <c r="F9" s="468" t="s">
        <v>1196</v>
      </c>
      <c r="G9" s="468" t="s">
        <v>52</v>
      </c>
      <c r="H9" s="468" t="s">
        <v>47</v>
      </c>
      <c r="I9" s="468" t="s">
        <v>31</v>
      </c>
      <c r="J9" s="468" t="s">
        <v>38</v>
      </c>
      <c r="M9" s="468" t="s">
        <v>2439</v>
      </c>
      <c r="N9" s="468" t="s">
        <v>4074</v>
      </c>
      <c r="O9" s="468" t="s">
        <v>4075</v>
      </c>
      <c r="P9" s="468" t="n">
        <v>98</v>
      </c>
      <c r="Q9" s="468" t="n">
        <v>46.5</v>
      </c>
      <c r="T9" s="468" t="s">
        <v>218</v>
      </c>
      <c r="V9" s="468" t="s">
        <v>218</v>
      </c>
    </row>
    <row r="10" s="468" customFormat="1" ht="26.25" customHeight="1">
      <c r="A10" s="468" t="s">
        <v>85</v>
      </c>
      <c r="B10" s="468" t="s">
        <v>65</v>
      </c>
      <c r="C10" s="468" t="n">
        <v>5230783</v>
      </c>
      <c r="D10" s="468" t="s">
        <v>216</v>
      </c>
      <c r="E10" s="468" t="s">
        <v>283</v>
      </c>
      <c r="F10" s="468" t="s">
        <v>1198</v>
      </c>
      <c r="G10" s="468" t="s">
        <v>52</v>
      </c>
      <c r="H10" s="468" t="s">
        <v>47</v>
      </c>
      <c r="I10" s="468" t="s">
        <v>31</v>
      </c>
      <c r="J10" s="468" t="s">
        <v>38</v>
      </c>
      <c r="M10" s="468" t="s">
        <v>2439</v>
      </c>
      <c r="N10" s="468" t="s">
        <v>2440</v>
      </c>
      <c r="O10" s="468" t="s">
        <v>4076</v>
      </c>
      <c r="P10" s="468" t="n">
        <v>100</v>
      </c>
      <c r="Q10" s="468" t="n">
        <v>48</v>
      </c>
      <c r="T10" s="468" t="s">
        <v>218</v>
      </c>
      <c r="V10" s="468" t="s">
        <v>218</v>
      </c>
    </row>
    <row r="11" s="313" customFormat="1" ht="26.25" customHeight="1">
      <c r="A11" s="313" t="s">
        <v>85</v>
      </c>
      <c r="B11" s="313" t="s">
        <v>65</v>
      </c>
      <c r="C11" s="313" t="n">
        <v>5230783</v>
      </c>
      <c r="D11" s="313" t="s">
        <v>216</v>
      </c>
      <c r="E11" s="313" t="s">
        <v>283</v>
      </c>
      <c r="F11" s="313" t="s">
        <v>657</v>
      </c>
      <c r="G11" s="313" t="s">
        <v>52</v>
      </c>
      <c r="H11" s="313" t="s">
        <v>43</v>
      </c>
      <c r="I11" s="313" t="s">
        <v>31</v>
      </c>
      <c r="J11" s="313" t="s">
        <v>38</v>
      </c>
      <c r="K11" s="313" t="s">
        <v>2481</v>
      </c>
      <c r="M11" s="313" t="s">
        <v>4077</v>
      </c>
      <c r="N11" s="313" t="s">
        <v>4078</v>
      </c>
      <c r="O11" s="313" t="s">
        <v>4079</v>
      </c>
      <c r="P11" s="313" t="n">
        <v>70</v>
      </c>
      <c r="Q11" s="313" t="n">
        <v>31</v>
      </c>
      <c r="T11" s="313" t="s">
        <v>217</v>
      </c>
      <c r="V11" s="313" t="s">
        <v>217</v>
      </c>
    </row>
    <row r="12" s="313" customFormat="1" ht="26.25" customHeight="1">
      <c r="A12" s="313" t="s">
        <v>45</v>
      </c>
      <c r="B12" s="313" t="s">
        <v>88</v>
      </c>
      <c r="C12" s="313" t="n">
        <v>5230765</v>
      </c>
      <c r="D12" s="313" t="s">
        <v>215</v>
      </c>
      <c r="E12" s="313" t="s">
        <v>283</v>
      </c>
      <c r="F12" s="313" t="s">
        <v>1327</v>
      </c>
      <c r="G12" s="313" t="s">
        <v>52</v>
      </c>
      <c r="H12" s="313" t="s">
        <v>43</v>
      </c>
      <c r="I12" s="313" t="s">
        <v>31</v>
      </c>
      <c r="J12" s="313" t="s">
        <v>46</v>
      </c>
      <c r="L12" s="313" t="s">
        <v>597</v>
      </c>
      <c r="M12" s="1115" t="s">
        <v>4080</v>
      </c>
      <c r="N12" s="1116" t="s">
        <v>4081</v>
      </c>
      <c r="O12" s="313" t="s">
        <v>4082</v>
      </c>
      <c r="P12" s="1117" t="s">
        <v>4083</v>
      </c>
      <c r="Q12" s="313" t="n">
        <v>41.5</v>
      </c>
      <c r="T12" s="313" t="s">
        <v>217</v>
      </c>
      <c r="U12" s="313" t="s">
        <v>217</v>
      </c>
      <c r="V12" s="313" t="s">
        <v>217</v>
      </c>
    </row>
    <row r="13" s="313" customFormat="1" ht="26.25" customHeight="1">
      <c r="A13" s="313" t="s">
        <v>85</v>
      </c>
      <c r="B13" s="313" t="s">
        <v>100</v>
      </c>
      <c r="C13" s="313" t="n">
        <v>3132858</v>
      </c>
      <c r="D13" s="313" t="s">
        <v>215</v>
      </c>
      <c r="E13" s="313" t="s">
        <v>283</v>
      </c>
      <c r="F13" s="313" t="s">
        <v>1134</v>
      </c>
      <c r="G13" s="313" t="s">
        <v>52</v>
      </c>
      <c r="H13" s="313" t="s">
        <v>47</v>
      </c>
      <c r="I13" s="313" t="s">
        <v>39</v>
      </c>
      <c r="J13" s="313" t="s">
        <v>38</v>
      </c>
      <c r="M13" s="313" t="s">
        <v>2390</v>
      </c>
      <c r="N13" s="313" t="s">
        <v>4084</v>
      </c>
      <c r="O13" s="313" t="s">
        <v>4085</v>
      </c>
      <c r="P13" s="313" t="n">
        <v>98</v>
      </c>
      <c r="Q13" s="313" t="s">
        <v>2125</v>
      </c>
    </row>
    <row r="14" s="313" customFormat="1" ht="26.25" customHeight="1">
      <c r="A14" s="313" t="s">
        <v>45</v>
      </c>
      <c r="B14" s="313" t="s">
        <v>88</v>
      </c>
      <c r="C14" s="313" t="n">
        <v>5230765</v>
      </c>
      <c r="D14" s="313" t="s">
        <v>215</v>
      </c>
      <c r="E14" s="313" t="s">
        <v>283</v>
      </c>
      <c r="F14" s="313" t="s">
        <v>1302</v>
      </c>
      <c r="G14" s="313" t="s">
        <v>52</v>
      </c>
      <c r="H14" s="313" t="s">
        <v>43</v>
      </c>
      <c r="I14" s="313" t="s">
        <v>31</v>
      </c>
      <c r="J14" s="313" t="s">
        <v>48</v>
      </c>
      <c r="L14" s="313" t="s">
        <v>2797</v>
      </c>
      <c r="M14" s="1118" t="s">
        <v>4086</v>
      </c>
      <c r="N14" s="1119" t="s">
        <v>4087</v>
      </c>
      <c r="O14" s="1120" t="s">
        <v>4088</v>
      </c>
      <c r="P14" s="313" t="s">
        <v>4089</v>
      </c>
      <c r="T14" s="313" t="s">
        <v>217</v>
      </c>
      <c r="U14" s="313" t="s">
        <v>217</v>
      </c>
      <c r="V14" s="313" t="s">
        <v>217</v>
      </c>
    </row>
    <row r="15" s="313" customFormat="1" ht="26.25" customHeight="1">
      <c r="A15" s="313" t="s">
        <v>45</v>
      </c>
      <c r="B15" s="313" t="s">
        <v>88</v>
      </c>
      <c r="C15" s="313" t="n">
        <v>5230765</v>
      </c>
      <c r="D15" s="313" t="s">
        <v>215</v>
      </c>
      <c r="E15" s="313" t="s">
        <v>283</v>
      </c>
      <c r="F15" s="313" t="s">
        <v>1239</v>
      </c>
      <c r="G15" s="313" t="s">
        <v>52</v>
      </c>
      <c r="H15" s="313" t="s">
        <v>49</v>
      </c>
      <c r="J15" s="313" t="s">
        <v>46</v>
      </c>
      <c r="K15" s="313" t="s">
        <v>3859</v>
      </c>
      <c r="L15" s="313" t="s">
        <v>1383</v>
      </c>
      <c r="M15" s="1121" t="s">
        <v>4090</v>
      </c>
      <c r="N15" s="1122" t="s">
        <v>4091</v>
      </c>
      <c r="O15" s="1123" t="s">
        <v>4092</v>
      </c>
      <c r="P15" s="313" t="s">
        <v>3884</v>
      </c>
      <c r="Q15" s="313" t="n">
        <v>31</v>
      </c>
      <c r="T15" s="313" t="s">
        <v>217</v>
      </c>
      <c r="U15" s="313" t="s">
        <v>217</v>
      </c>
      <c r="V15" s="313" t="s">
        <v>217</v>
      </c>
    </row>
    <row r="16" s="313" customFormat="1" ht="26.25" customHeight="1">
      <c r="A16" s="313" t="s">
        <v>85</v>
      </c>
      <c r="B16" s="313" t="s">
        <v>100</v>
      </c>
      <c r="C16" s="313" t="n">
        <v>3132858</v>
      </c>
      <c r="D16" s="313" t="s">
        <v>215</v>
      </c>
      <c r="E16" s="313" t="s">
        <v>283</v>
      </c>
      <c r="F16" s="313" t="s">
        <v>1301</v>
      </c>
      <c r="G16" s="313" t="s">
        <v>52</v>
      </c>
      <c r="H16" s="313" t="s">
        <v>47</v>
      </c>
      <c r="I16" s="313" t="s">
        <v>39</v>
      </c>
      <c r="J16" s="313" t="s">
        <v>38</v>
      </c>
      <c r="K16" s="313" t="s">
        <v>2481</v>
      </c>
      <c r="M16" s="313" t="s">
        <v>4093</v>
      </c>
      <c r="N16" s="313" t="s">
        <v>4094</v>
      </c>
      <c r="O16" s="313" t="s">
        <v>4095</v>
      </c>
      <c r="P16" s="313" t="n">
        <v>60</v>
      </c>
      <c r="Q16" s="313" t="n">
        <v>70</v>
      </c>
    </row>
    <row r="17" s="313" customFormat="1" ht="26.25" customHeight="1">
      <c r="A17" s="313" t="s">
        <v>45</v>
      </c>
      <c r="B17" s="313" t="s">
        <v>88</v>
      </c>
      <c r="C17" s="313" t="n">
        <v>5230765</v>
      </c>
      <c r="D17" s="313" t="s">
        <v>215</v>
      </c>
      <c r="E17" s="313" t="s">
        <v>283</v>
      </c>
      <c r="F17" s="313" t="s">
        <v>1051</v>
      </c>
      <c r="G17" s="313" t="s">
        <v>52</v>
      </c>
      <c r="H17" s="313" t="s">
        <v>47</v>
      </c>
      <c r="I17" s="313" t="s">
        <v>31</v>
      </c>
      <c r="J17" s="313" t="s">
        <v>40</v>
      </c>
      <c r="L17" s="313" t="s">
        <v>4096</v>
      </c>
      <c r="M17" s="313" t="s">
        <v>4097</v>
      </c>
      <c r="N17" s="1124" t="s">
        <v>4098</v>
      </c>
      <c r="O17" s="1125" t="s">
        <v>4099</v>
      </c>
      <c r="P17" s="313" t="s">
        <v>2415</v>
      </c>
      <c r="Q17" s="313" t="n">
        <v>45.5</v>
      </c>
      <c r="T17" s="313" t="s">
        <v>217</v>
      </c>
      <c r="U17" s="313" t="s">
        <v>217</v>
      </c>
      <c r="V17" s="313" t="s">
        <v>217</v>
      </c>
    </row>
    <row r="18" s="313" customFormat="1" ht="26.25" customHeight="1">
      <c r="A18" s="313" t="s">
        <v>45</v>
      </c>
      <c r="B18" s="313" t="s">
        <v>88</v>
      </c>
      <c r="C18" s="313" t="n">
        <v>3132865</v>
      </c>
      <c r="D18" s="313" t="s">
        <v>233</v>
      </c>
      <c r="E18" s="313" t="s">
        <v>283</v>
      </c>
      <c r="F18" s="313" t="s">
        <v>1112</v>
      </c>
      <c r="G18" s="313" t="s">
        <v>52</v>
      </c>
      <c r="H18" s="313" t="s">
        <v>49</v>
      </c>
      <c r="I18" s="313" t="s">
        <v>37</v>
      </c>
      <c r="J18" s="313" t="s">
        <v>48</v>
      </c>
      <c r="K18" s="313" t="s">
        <v>4100</v>
      </c>
      <c r="L18" s="313" t="s">
        <v>4101</v>
      </c>
      <c r="M18" s="1126" t="s">
        <v>4102</v>
      </c>
      <c r="N18" s="1127" t="s">
        <v>4103</v>
      </c>
      <c r="O18" s="1128" t="s">
        <v>4104</v>
      </c>
      <c r="P18" s="313" t="s">
        <v>4105</v>
      </c>
      <c r="Q18" s="313" t="n">
        <v>80</v>
      </c>
      <c r="T18" s="313" t="s">
        <v>217</v>
      </c>
      <c r="U18" s="313" t="s">
        <v>217</v>
      </c>
      <c r="V18" s="313" t="s">
        <v>217</v>
      </c>
    </row>
    <row r="19" s="313" customFormat="1" ht="26.25" customHeight="1">
      <c r="A19" s="313" t="s">
        <v>45</v>
      </c>
      <c r="B19" s="313" t="s">
        <v>88</v>
      </c>
      <c r="C19" s="313" t="n">
        <v>3132865</v>
      </c>
      <c r="D19" s="313" t="s">
        <v>233</v>
      </c>
      <c r="E19" s="313" t="s">
        <v>283</v>
      </c>
      <c r="F19" s="313" t="s">
        <v>1033</v>
      </c>
      <c r="G19" s="313" t="s">
        <v>52</v>
      </c>
      <c r="H19" s="313" t="s">
        <v>4106</v>
      </c>
      <c r="I19" s="313" t="s">
        <v>4107</v>
      </c>
      <c r="L19" s="313" t="s">
        <v>267</v>
      </c>
      <c r="M19" s="1129" t="s">
        <v>4108</v>
      </c>
      <c r="N19" s="1130" t="s">
        <v>4109</v>
      </c>
      <c r="O19" s="313" t="s">
        <v>4110</v>
      </c>
      <c r="P19" s="313" t="s">
        <v>859</v>
      </c>
      <c r="T19" s="313" t="s">
        <v>217</v>
      </c>
      <c r="U19" s="313" t="s">
        <v>217</v>
      </c>
      <c r="V19" s="313" t="s">
        <v>217</v>
      </c>
    </row>
    <row r="20" s="313" customFormat="1" ht="26.25" customHeight="1">
      <c r="A20" s="313" t="s">
        <v>45</v>
      </c>
      <c r="B20" s="313" t="s">
        <v>88</v>
      </c>
      <c r="C20" s="313" t="n">
        <v>3132865</v>
      </c>
      <c r="D20" s="313" t="s">
        <v>233</v>
      </c>
      <c r="E20" s="313" t="s">
        <v>283</v>
      </c>
      <c r="F20" s="313" t="s">
        <v>1335</v>
      </c>
      <c r="G20" s="313" t="s">
        <v>52</v>
      </c>
      <c r="H20" s="313" t="s">
        <v>49</v>
      </c>
      <c r="I20" s="313" t="s">
        <v>37</v>
      </c>
      <c r="J20" s="313" t="s">
        <v>48</v>
      </c>
      <c r="K20" s="313" t="s">
        <v>2985</v>
      </c>
      <c r="L20" s="313" t="s">
        <v>325</v>
      </c>
      <c r="M20" s="1131" t="s">
        <v>4111</v>
      </c>
      <c r="N20" s="1132" t="s">
        <v>4112</v>
      </c>
      <c r="O20" s="1133" t="s">
        <v>4113</v>
      </c>
      <c r="P20" s="313" t="s">
        <v>2415</v>
      </c>
      <c r="Q20" s="313" t="n">
        <v>31.5</v>
      </c>
      <c r="T20" s="313" t="s">
        <v>217</v>
      </c>
      <c r="U20" s="313" t="s">
        <v>217</v>
      </c>
      <c r="V20" s="313" t="s">
        <v>217</v>
      </c>
    </row>
    <row r="21" s="313" customFormat="1" ht="26.25" customHeight="1">
      <c r="A21" s="313" t="s">
        <v>45</v>
      </c>
      <c r="B21" s="313" t="s">
        <v>88</v>
      </c>
      <c r="C21" s="313" t="n">
        <v>3132865</v>
      </c>
      <c r="D21" s="313" t="s">
        <v>233</v>
      </c>
      <c r="E21" s="313" t="s">
        <v>283</v>
      </c>
      <c r="F21" s="313" t="s">
        <v>1337</v>
      </c>
      <c r="G21" s="313" t="s">
        <v>52</v>
      </c>
      <c r="H21" s="313" t="s">
        <v>49</v>
      </c>
      <c r="I21" s="313" t="s">
        <v>37</v>
      </c>
      <c r="J21" s="313" t="s">
        <v>48</v>
      </c>
      <c r="K21" s="313" t="s">
        <v>2985</v>
      </c>
      <c r="L21" s="313" t="s">
        <v>325</v>
      </c>
      <c r="M21" s="1134" t="s">
        <v>4111</v>
      </c>
      <c r="N21" s="313" t="s">
        <v>4114</v>
      </c>
      <c r="O21" s="1135" t="s">
        <v>4115</v>
      </c>
      <c r="P21" s="313" t="s">
        <v>2415</v>
      </c>
      <c r="Q21" s="313" t="n">
        <v>40</v>
      </c>
      <c r="T21" s="313" t="s">
        <v>217</v>
      </c>
      <c r="U21" s="313" t="s">
        <v>217</v>
      </c>
      <c r="V21" s="313" t="s">
        <v>217</v>
      </c>
    </row>
    <row r="22" s="313" customFormat="1" ht="26.25" customHeight="1">
      <c r="A22" s="313" t="s">
        <v>45</v>
      </c>
      <c r="B22" s="313" t="s">
        <v>88</v>
      </c>
      <c r="C22" s="313" t="n">
        <v>5230765</v>
      </c>
      <c r="D22" s="313" t="s">
        <v>215</v>
      </c>
      <c r="E22" s="313" t="s">
        <v>283</v>
      </c>
      <c r="F22" s="313" t="s">
        <v>1292</v>
      </c>
      <c r="G22" s="313" t="s">
        <v>52</v>
      </c>
      <c r="H22" s="313" t="s">
        <v>43</v>
      </c>
      <c r="I22" s="313" t="s">
        <v>31</v>
      </c>
      <c r="J22" s="313" t="s">
        <v>48</v>
      </c>
      <c r="K22" s="313" t="s">
        <v>4116</v>
      </c>
      <c r="L22" s="313" t="s">
        <v>2438</v>
      </c>
      <c r="M22" s="313" t="s">
        <v>4117</v>
      </c>
      <c r="N22" s="1136" t="s">
        <v>4118</v>
      </c>
      <c r="O22" s="1137" t="s">
        <v>4119</v>
      </c>
      <c r="P22" s="313" t="n">
        <v>90</v>
      </c>
      <c r="Q22" s="313" t="n">
        <v>22</v>
      </c>
      <c r="T22" s="313" t="s">
        <v>217</v>
      </c>
      <c r="U22" s="313" t="s">
        <v>217</v>
      </c>
      <c r="V22" s="313" t="s">
        <v>217</v>
      </c>
    </row>
    <row r="23" s="313" customFormat="1" ht="26.25" customHeight="1">
      <c r="A23" s="313" t="s">
        <v>45</v>
      </c>
      <c r="B23" s="313" t="s">
        <v>88</v>
      </c>
      <c r="C23" s="313" t="n">
        <v>5230765</v>
      </c>
      <c r="D23" s="313" t="s">
        <v>215</v>
      </c>
      <c r="E23" s="313" t="s">
        <v>283</v>
      </c>
      <c r="F23" s="313" t="s">
        <v>1303</v>
      </c>
      <c r="G23" s="313" t="s">
        <v>52</v>
      </c>
      <c r="H23" s="313" t="s">
        <v>43</v>
      </c>
      <c r="I23" s="313" t="s">
        <v>31</v>
      </c>
      <c r="J23" s="313" t="s">
        <v>46</v>
      </c>
      <c r="K23" s="313" t="s">
        <v>483</v>
      </c>
      <c r="L23" s="313" t="s">
        <v>4120</v>
      </c>
      <c r="M23" s="1138" t="s">
        <v>4121</v>
      </c>
      <c r="N23" s="1139" t="s">
        <v>4122</v>
      </c>
      <c r="O23" s="1140" t="s">
        <v>4123</v>
      </c>
      <c r="P23" s="313" t="s">
        <v>2453</v>
      </c>
      <c r="Q23" s="313" t="n">
        <v>29</v>
      </c>
      <c r="T23" s="313" t="s">
        <v>217</v>
      </c>
      <c r="U23" s="313" t="s">
        <v>217</v>
      </c>
      <c r="V23" s="313" t="s">
        <v>217</v>
      </c>
    </row>
    <row r="24" s="313" customFormat="1" ht="26.25" customHeight="1">
      <c r="A24" s="313" t="s">
        <v>85</v>
      </c>
      <c r="B24" s="313" t="s">
        <v>65</v>
      </c>
      <c r="C24" s="313" t="n">
        <v>5230783</v>
      </c>
      <c r="D24" s="313" t="s">
        <v>216</v>
      </c>
      <c r="E24" s="313" t="s">
        <v>283</v>
      </c>
      <c r="F24" s="313" t="s">
        <v>451</v>
      </c>
      <c r="G24" s="313" t="s">
        <v>52</v>
      </c>
      <c r="H24" s="313" t="s">
        <v>47</v>
      </c>
      <c r="I24" s="313" t="s">
        <v>31</v>
      </c>
      <c r="J24" s="313" t="s">
        <v>34</v>
      </c>
      <c r="M24" s="313" t="s">
        <v>2501</v>
      </c>
      <c r="N24" s="313" t="s">
        <v>4124</v>
      </c>
      <c r="O24" s="313" t="s">
        <v>3307</v>
      </c>
      <c r="P24" s="313" t="n">
        <v>94</v>
      </c>
      <c r="Q24" s="313" t="s">
        <v>2125</v>
      </c>
      <c r="T24" s="313" t="s">
        <v>218</v>
      </c>
      <c r="V24" s="313" t="s">
        <v>217</v>
      </c>
    </row>
    <row r="25" s="313" customFormat="1" ht="26.25" customHeight="1">
      <c r="A25" s="313" t="s">
        <v>45</v>
      </c>
      <c r="B25" s="313" t="s">
        <v>100</v>
      </c>
      <c r="C25" s="313" t="n">
        <v>3132893</v>
      </c>
      <c r="D25" s="313" t="s">
        <v>233</v>
      </c>
      <c r="E25" s="313" t="s">
        <v>283</v>
      </c>
      <c r="F25" s="313" t="s">
        <v>1161</v>
      </c>
      <c r="G25" s="313" t="s">
        <v>52</v>
      </c>
      <c r="H25" s="313" t="s">
        <v>47</v>
      </c>
      <c r="I25" s="313" t="s">
        <v>35</v>
      </c>
      <c r="J25" s="313" t="s">
        <v>46</v>
      </c>
      <c r="K25" s="313" t="s">
        <v>2613</v>
      </c>
      <c r="L25" s="313" t="s">
        <v>464</v>
      </c>
      <c r="M25" s="313" t="s">
        <v>4125</v>
      </c>
      <c r="N25" s="1141" t="s">
        <v>4126</v>
      </c>
      <c r="O25" s="313" t="s">
        <v>4127</v>
      </c>
      <c r="P25" s="313" t="n">
        <v>98</v>
      </c>
      <c r="Q25" s="313" t="s">
        <v>3929</v>
      </c>
    </row>
    <row r="26" s="313" customFormat="1" ht="26.25" customHeight="1">
      <c r="A26" s="313" t="s">
        <v>85</v>
      </c>
      <c r="B26" s="313" t="s">
        <v>100</v>
      </c>
      <c r="C26" s="313" t="n">
        <v>3132858</v>
      </c>
      <c r="D26" s="313" t="s">
        <v>215</v>
      </c>
      <c r="E26" s="313" t="s">
        <v>283</v>
      </c>
      <c r="F26" s="313" t="s">
        <v>1129</v>
      </c>
      <c r="G26" s="313" t="s">
        <v>52</v>
      </c>
      <c r="H26" s="313" t="s">
        <v>47</v>
      </c>
      <c r="I26" s="313" t="s">
        <v>39</v>
      </c>
      <c r="J26" s="313" t="s">
        <v>34</v>
      </c>
      <c r="M26" s="313" t="s">
        <v>2390</v>
      </c>
      <c r="N26" s="313" t="s">
        <v>3557</v>
      </c>
      <c r="O26" s="313" t="s">
        <v>4128</v>
      </c>
      <c r="P26" s="313" t="n">
        <v>82</v>
      </c>
      <c r="Q26" s="313" t="s">
        <v>2125</v>
      </c>
    </row>
    <row r="27" s="313" customFormat="1" ht="26.25" customHeight="1">
      <c r="A27" s="313" t="s">
        <v>85</v>
      </c>
      <c r="B27" s="313" t="s">
        <v>100</v>
      </c>
      <c r="C27" s="313" t="n">
        <v>3132858</v>
      </c>
      <c r="D27" s="313" t="s">
        <v>215</v>
      </c>
      <c r="E27" s="313" t="s">
        <v>283</v>
      </c>
      <c r="F27" s="313" t="s">
        <v>1080</v>
      </c>
      <c r="G27" s="313" t="s">
        <v>52</v>
      </c>
      <c r="H27" s="313" t="s">
        <v>47</v>
      </c>
      <c r="I27" s="313" t="s">
        <v>39</v>
      </c>
      <c r="J27" s="313" t="s">
        <v>38</v>
      </c>
      <c r="M27" s="313" t="s">
        <v>4129</v>
      </c>
      <c r="N27" s="313" t="s">
        <v>4130</v>
      </c>
      <c r="O27" s="313" t="s">
        <v>4131</v>
      </c>
      <c r="P27" s="313" t="n">
        <v>85</v>
      </c>
      <c r="Q27" s="313" t="s">
        <v>2125</v>
      </c>
    </row>
    <row r="28" s="313" customFormat="1" ht="26.25" customHeight="1">
      <c r="A28" s="313" t="s">
        <v>45</v>
      </c>
      <c r="B28" s="313" t="s">
        <v>100</v>
      </c>
      <c r="C28" s="313" t="n">
        <v>3132893</v>
      </c>
      <c r="D28" s="313" t="s">
        <v>233</v>
      </c>
      <c r="E28" s="313" t="s">
        <v>283</v>
      </c>
      <c r="F28" s="313" t="s">
        <v>1101</v>
      </c>
      <c r="G28" s="313" t="s">
        <v>52</v>
      </c>
      <c r="H28" s="313" t="s">
        <v>47</v>
      </c>
      <c r="I28" s="313" t="s">
        <v>35</v>
      </c>
      <c r="J28" s="313" t="s">
        <v>46</v>
      </c>
      <c r="K28" s="313" t="s">
        <v>2609</v>
      </c>
      <c r="L28" s="313" t="s">
        <v>4132</v>
      </c>
      <c r="M28" s="1142" t="s">
        <v>4133</v>
      </c>
      <c r="N28" s="313" t="s">
        <v>4134</v>
      </c>
      <c r="O28" s="1143" t="s">
        <v>4135</v>
      </c>
      <c r="P28" s="313" t="s">
        <v>4136</v>
      </c>
    </row>
    <row r="29" s="313" customFormat="1" ht="26.25" customHeight="1">
      <c r="A29" s="313" t="s">
        <v>85</v>
      </c>
      <c r="B29" s="313" t="s">
        <v>100</v>
      </c>
      <c r="C29" s="313" t="n">
        <v>3132858</v>
      </c>
      <c r="D29" s="313" t="s">
        <v>215</v>
      </c>
      <c r="E29" s="313" t="s">
        <v>283</v>
      </c>
      <c r="F29" s="313" t="s">
        <v>1082</v>
      </c>
      <c r="G29" s="313" t="s">
        <v>52</v>
      </c>
      <c r="H29" s="313" t="s">
        <v>47</v>
      </c>
      <c r="I29" s="313" t="s">
        <v>39</v>
      </c>
      <c r="J29" s="313" t="s">
        <v>38</v>
      </c>
      <c r="M29" s="313" t="s">
        <v>3657</v>
      </c>
      <c r="N29" s="313" t="s">
        <v>3992</v>
      </c>
      <c r="O29" s="313" t="s">
        <v>4137</v>
      </c>
      <c r="P29" s="313" t="n">
        <v>90</v>
      </c>
      <c r="Q29" s="313" t="s">
        <v>2125</v>
      </c>
    </row>
    <row r="30" s="313" customFormat="1" ht="26.25" customHeight="1">
      <c r="A30" s="313" t="s">
        <v>45</v>
      </c>
      <c r="B30" s="313" t="s">
        <v>88</v>
      </c>
      <c r="C30" s="313" t="n">
        <v>5230765</v>
      </c>
      <c r="D30" s="313" t="s">
        <v>215</v>
      </c>
      <c r="E30" s="313" t="s">
        <v>283</v>
      </c>
      <c r="F30" s="313" t="s">
        <v>1231</v>
      </c>
      <c r="G30" s="313" t="s">
        <v>52</v>
      </c>
      <c r="I30" s="313" t="s">
        <v>31</v>
      </c>
      <c r="J30" s="313" t="s">
        <v>46</v>
      </c>
      <c r="K30" s="313" t="s">
        <v>2770</v>
      </c>
      <c r="L30" s="313" t="s">
        <v>2736</v>
      </c>
      <c r="M30" s="1144" t="s">
        <v>4138</v>
      </c>
      <c r="N30" s="313" t="s">
        <v>4139</v>
      </c>
      <c r="O30" s="1145" t="s">
        <v>4140</v>
      </c>
      <c r="P30" s="313" t="s">
        <v>2612</v>
      </c>
      <c r="T30" s="313" t="s">
        <v>217</v>
      </c>
      <c r="U30" s="313" t="s">
        <v>217</v>
      </c>
      <c r="V30" s="313" t="s">
        <v>217</v>
      </c>
    </row>
    <row r="31" s="313" customFormat="1" ht="26.25" customHeight="1">
      <c r="A31" s="313" t="s">
        <v>85</v>
      </c>
      <c r="B31" s="313" t="s">
        <v>65</v>
      </c>
      <c r="C31" s="313" t="n">
        <v>5230783</v>
      </c>
      <c r="D31" s="313" t="s">
        <v>216</v>
      </c>
      <c r="E31" s="313" t="s">
        <v>283</v>
      </c>
      <c r="F31" s="313" t="s">
        <v>557</v>
      </c>
      <c r="G31" s="313" t="s">
        <v>52</v>
      </c>
      <c r="H31" s="313" t="s">
        <v>47</v>
      </c>
      <c r="I31" s="313" t="s">
        <v>31</v>
      </c>
      <c r="J31" s="313" t="s">
        <v>34</v>
      </c>
      <c r="M31" s="313" t="s">
        <v>3919</v>
      </c>
      <c r="N31" s="313" t="s">
        <v>4141</v>
      </c>
      <c r="O31" s="313" t="s">
        <v>4142</v>
      </c>
      <c r="P31" s="313" t="n">
        <v>97</v>
      </c>
      <c r="Q31" s="313" t="n">
        <v>39</v>
      </c>
      <c r="T31" s="313" t="s">
        <v>218</v>
      </c>
      <c r="V31" s="313" t="s">
        <v>217</v>
      </c>
    </row>
    <row r="32" s="313" customFormat="1" ht="26.25" customHeight="1">
      <c r="A32" s="313" t="s">
        <v>85</v>
      </c>
      <c r="B32" s="313" t="s">
        <v>65</v>
      </c>
      <c r="C32" s="313" t="n">
        <v>5230783</v>
      </c>
      <c r="D32" s="313" t="s">
        <v>216</v>
      </c>
      <c r="E32" s="313" t="s">
        <v>283</v>
      </c>
      <c r="F32" s="313" t="s">
        <v>774</v>
      </c>
      <c r="G32" s="313" t="s">
        <v>52</v>
      </c>
      <c r="H32" s="313" t="s">
        <v>47</v>
      </c>
      <c r="J32" s="313" t="s">
        <v>1217</v>
      </c>
      <c r="K32" s="313" t="s">
        <v>2481</v>
      </c>
      <c r="M32" s="313" t="s">
        <v>4143</v>
      </c>
      <c r="N32" s="313" t="s">
        <v>4144</v>
      </c>
      <c r="O32" s="313" t="s">
        <v>4145</v>
      </c>
      <c r="P32" s="313" t="n">
        <v>85</v>
      </c>
      <c r="Q32" s="313" t="n">
        <v>20</v>
      </c>
      <c r="T32" s="313" t="s">
        <v>217</v>
      </c>
      <c r="V32" s="313" t="s">
        <v>217</v>
      </c>
    </row>
    <row r="33" s="313" customFormat="1" ht="26.25" customHeight="1">
      <c r="A33" s="313" t="s">
        <v>45</v>
      </c>
      <c r="B33" s="313" t="s">
        <v>88</v>
      </c>
      <c r="C33" s="313" t="n">
        <v>3132865</v>
      </c>
      <c r="D33" s="313" t="s">
        <v>233</v>
      </c>
      <c r="E33" s="313" t="s">
        <v>283</v>
      </c>
      <c r="F33" s="313" t="s">
        <v>1056</v>
      </c>
      <c r="G33" s="313" t="s">
        <v>52</v>
      </c>
      <c r="H33" s="313" t="s">
        <v>49</v>
      </c>
      <c r="I33" s="313" t="s">
        <v>37</v>
      </c>
      <c r="J33" s="313" t="s">
        <v>48</v>
      </c>
      <c r="L33" s="313" t="s">
        <v>1729</v>
      </c>
      <c r="M33" s="313" t="s">
        <v>4146</v>
      </c>
      <c r="N33" s="1146" t="s">
        <v>4147</v>
      </c>
      <c r="O33" s="1147" t="s">
        <v>4148</v>
      </c>
      <c r="P33" s="313" t="s">
        <v>4149</v>
      </c>
      <c r="T33" s="313" t="s">
        <v>217</v>
      </c>
      <c r="U33" s="313" t="s">
        <v>217</v>
      </c>
      <c r="V33" s="313" t="s">
        <v>217</v>
      </c>
    </row>
    <row r="34" s="313" customFormat="1" ht="26.25" customHeight="1">
      <c r="A34" s="313" t="s">
        <v>85</v>
      </c>
      <c r="B34" s="313" t="s">
        <v>100</v>
      </c>
      <c r="C34" s="313" t="n">
        <v>3132858</v>
      </c>
      <c r="D34" s="313" t="s">
        <v>215</v>
      </c>
      <c r="E34" s="313" t="s">
        <v>283</v>
      </c>
      <c r="F34" s="313" t="s">
        <v>1081</v>
      </c>
      <c r="G34" s="313" t="s">
        <v>52</v>
      </c>
      <c r="H34" s="313" t="s">
        <v>47</v>
      </c>
      <c r="I34" s="313" t="s">
        <v>39</v>
      </c>
      <c r="J34" s="313" t="s">
        <v>38</v>
      </c>
      <c r="K34" s="313" t="s">
        <v>4150</v>
      </c>
      <c r="M34" s="313" t="s">
        <v>4077</v>
      </c>
      <c r="N34" s="313" t="s">
        <v>4151</v>
      </c>
      <c r="O34" s="313" t="s">
        <v>4152</v>
      </c>
      <c r="P34" s="313" t="n">
        <v>95</v>
      </c>
      <c r="Q34" s="313" t="s">
        <v>2125</v>
      </c>
    </row>
    <row r="35" s="313" customFormat="1" ht="26.25" customHeight="1">
      <c r="A35" s="313" t="s">
        <v>45</v>
      </c>
      <c r="B35" s="313" t="s">
        <v>88</v>
      </c>
      <c r="C35" s="313" t="n">
        <v>5230765</v>
      </c>
      <c r="D35" s="313" t="s">
        <v>215</v>
      </c>
      <c r="E35" s="313" t="s">
        <v>283</v>
      </c>
      <c r="F35" s="313" t="s">
        <v>1171</v>
      </c>
      <c r="G35" s="313" t="s">
        <v>52</v>
      </c>
      <c r="H35" s="313" t="s">
        <v>43</v>
      </c>
      <c r="I35" s="313" t="s">
        <v>31</v>
      </c>
      <c r="J35" s="313" t="s">
        <v>38</v>
      </c>
      <c r="K35" s="313" t="s">
        <v>4153</v>
      </c>
      <c r="L35" s="313" t="s">
        <v>1402</v>
      </c>
      <c r="M35" s="1148" t="s">
        <v>4154</v>
      </c>
      <c r="N35" s="313" t="s">
        <v>4155</v>
      </c>
      <c r="O35" s="1149" t="s">
        <v>4156</v>
      </c>
      <c r="P35" s="1150" t="s">
        <v>4157</v>
      </c>
      <c r="Q35" s="313" t="n">
        <v>30</v>
      </c>
      <c r="T35" s="313" t="s">
        <v>217</v>
      </c>
      <c r="U35" s="313" t="s">
        <v>217</v>
      </c>
      <c r="V35" s="313" t="s">
        <v>217</v>
      </c>
    </row>
    <row r="36" s="313" customFormat="1" ht="26.25" customHeight="1">
      <c r="A36" s="313" t="s">
        <v>45</v>
      </c>
      <c r="B36" s="313" t="s">
        <v>88</v>
      </c>
      <c r="C36" s="313" t="n">
        <v>5230765</v>
      </c>
      <c r="D36" s="313" t="s">
        <v>215</v>
      </c>
      <c r="E36" s="313" t="s">
        <v>283</v>
      </c>
      <c r="F36" s="313" t="s">
        <v>914</v>
      </c>
      <c r="G36" s="313" t="s">
        <v>52</v>
      </c>
      <c r="H36" s="313" t="s">
        <v>43</v>
      </c>
      <c r="J36" s="313" t="s">
        <v>46</v>
      </c>
      <c r="L36" s="313" t="s">
        <v>483</v>
      </c>
      <c r="M36" s="1151" t="s">
        <v>4158</v>
      </c>
      <c r="N36" s="1152" t="s">
        <v>4159</v>
      </c>
      <c r="O36" s="313" t="s">
        <v>4160</v>
      </c>
      <c r="P36" s="313" t="s">
        <v>4161</v>
      </c>
      <c r="T36" s="313" t="s">
        <v>217</v>
      </c>
      <c r="U36" s="313" t="s">
        <v>217</v>
      </c>
      <c r="V36" s="313" t="s">
        <v>217</v>
      </c>
    </row>
    <row r="37" s="313" customFormat="1" ht="26.25" customHeight="1">
      <c r="A37" s="313" t="s">
        <v>45</v>
      </c>
      <c r="B37" s="313" t="s">
        <v>88</v>
      </c>
      <c r="C37" s="313" t="n">
        <v>5230765</v>
      </c>
      <c r="D37" s="313" t="s">
        <v>215</v>
      </c>
      <c r="E37" s="313" t="s">
        <v>283</v>
      </c>
      <c r="F37" s="313" t="s">
        <v>1175</v>
      </c>
      <c r="G37" s="313" t="s">
        <v>52</v>
      </c>
      <c r="H37" s="313" t="s">
        <v>47</v>
      </c>
      <c r="I37" s="313" t="s">
        <v>31</v>
      </c>
      <c r="J37" s="313" t="s">
        <v>48</v>
      </c>
      <c r="L37" s="313" t="s">
        <v>1729</v>
      </c>
      <c r="M37" s="1153" t="s">
        <v>4162</v>
      </c>
      <c r="N37" s="1154" t="s">
        <v>4163</v>
      </c>
      <c r="O37" s="1155" t="s">
        <v>4164</v>
      </c>
      <c r="P37" s="313" t="s">
        <v>4165</v>
      </c>
      <c r="T37" s="313" t="s">
        <v>217</v>
      </c>
      <c r="U37" s="313" t="s">
        <v>217</v>
      </c>
      <c r="V37" s="313" t="s">
        <v>217</v>
      </c>
    </row>
    <row r="38" s="313" customFormat="1" ht="26.25" customHeight="1">
      <c r="A38" s="313" t="s">
        <v>45</v>
      </c>
      <c r="B38" s="313" t="s">
        <v>88</v>
      </c>
      <c r="C38" s="313" t="n">
        <v>3132865</v>
      </c>
      <c r="D38" s="313" t="s">
        <v>233</v>
      </c>
      <c r="E38" s="313" t="s">
        <v>283</v>
      </c>
      <c r="F38" s="313" t="s">
        <v>636</v>
      </c>
      <c r="G38" s="313" t="s">
        <v>52</v>
      </c>
      <c r="H38" s="313" t="s">
        <v>49</v>
      </c>
      <c r="I38" s="313" t="s">
        <v>37</v>
      </c>
      <c r="J38" s="313" t="s">
        <v>48</v>
      </c>
      <c r="K38" s="313" t="s">
        <v>3859</v>
      </c>
      <c r="L38" s="313" t="s">
        <v>4166</v>
      </c>
      <c r="M38" s="1156" t="s">
        <v>4167</v>
      </c>
      <c r="N38" s="1157" t="s">
        <v>4168</v>
      </c>
      <c r="O38" s="1158" t="s">
        <v>4169</v>
      </c>
      <c r="P38" s="313" t="s">
        <v>4170</v>
      </c>
      <c r="Q38" s="313" t="s">
        <v>4171</v>
      </c>
      <c r="T38" s="313" t="s">
        <v>217</v>
      </c>
      <c r="U38" s="313" t="s">
        <v>217</v>
      </c>
      <c r="V38" s="313" t="s">
        <v>217</v>
      </c>
    </row>
    <row r="39" s="313" customFormat="1" ht="26.25" customHeight="1">
      <c r="A39" s="313" t="s">
        <v>45</v>
      </c>
      <c r="B39" s="313" t="s">
        <v>100</v>
      </c>
      <c r="C39" s="313" t="n">
        <v>3132893</v>
      </c>
      <c r="D39" s="313" t="s">
        <v>233</v>
      </c>
      <c r="E39" s="313" t="s">
        <v>283</v>
      </c>
      <c r="F39" s="313" t="s">
        <v>1092</v>
      </c>
      <c r="G39" s="313" t="s">
        <v>52</v>
      </c>
      <c r="H39" s="313" t="s">
        <v>47</v>
      </c>
      <c r="I39" s="313" t="s">
        <v>35</v>
      </c>
      <c r="J39" s="313" t="s">
        <v>50</v>
      </c>
      <c r="N39" s="313" t="s">
        <v>2479</v>
      </c>
      <c r="O39" s="1159" t="s">
        <v>4172</v>
      </c>
      <c r="P39" s="313" t="s">
        <v>4173</v>
      </c>
    </row>
    <row r="40" s="313" customFormat="1" ht="26.25" customHeight="1">
      <c r="A40" s="313" t="s">
        <v>85</v>
      </c>
      <c r="B40" s="313" t="s">
        <v>65</v>
      </c>
      <c r="C40" s="313" t="n">
        <v>5230783</v>
      </c>
      <c r="D40" s="313" t="s">
        <v>216</v>
      </c>
      <c r="E40" s="313" t="s">
        <v>283</v>
      </c>
      <c r="F40" s="313" t="s">
        <v>650</v>
      </c>
      <c r="G40" s="313" t="s">
        <v>52</v>
      </c>
      <c r="H40" s="313" t="s">
        <v>47</v>
      </c>
      <c r="I40" s="313" t="s">
        <v>31</v>
      </c>
      <c r="J40" s="313" t="s">
        <v>38</v>
      </c>
      <c r="K40" s="313" t="s">
        <v>2481</v>
      </c>
      <c r="M40" s="313" t="s">
        <v>4174</v>
      </c>
      <c r="N40" s="313" t="s">
        <v>4175</v>
      </c>
      <c r="O40" s="313" t="s">
        <v>4176</v>
      </c>
      <c r="P40" s="313" t="n">
        <v>80</v>
      </c>
      <c r="Q40" s="313" t="n">
        <v>27</v>
      </c>
      <c r="T40" s="313" t="s">
        <v>217</v>
      </c>
      <c r="V40" s="313" t="s">
        <v>217</v>
      </c>
    </row>
    <row r="41" s="313" customFormat="1" ht="26.25" customHeight="1">
      <c r="A41" s="313" t="s">
        <v>45</v>
      </c>
      <c r="B41" s="313" t="s">
        <v>88</v>
      </c>
      <c r="C41" s="313" t="n">
        <v>5230765</v>
      </c>
      <c r="D41" s="313" t="s">
        <v>215</v>
      </c>
      <c r="E41" s="313" t="s">
        <v>283</v>
      </c>
      <c r="F41" s="313" t="s">
        <v>1143</v>
      </c>
      <c r="G41" s="313" t="s">
        <v>52</v>
      </c>
      <c r="H41" s="313" t="s">
        <v>49</v>
      </c>
      <c r="I41" s="313" t="s">
        <v>31</v>
      </c>
      <c r="J41" s="313" t="s">
        <v>48</v>
      </c>
      <c r="K41" s="313" t="s">
        <v>4177</v>
      </c>
      <c r="L41" s="313" t="s">
        <v>2503</v>
      </c>
      <c r="M41" s="313" t="s">
        <v>4178</v>
      </c>
      <c r="N41" s="313" t="s">
        <v>4179</v>
      </c>
      <c r="O41" s="1160" t="s">
        <v>4180</v>
      </c>
      <c r="P41" s="313" t="n">
        <v>98</v>
      </c>
      <c r="T41" s="313" t="s">
        <v>217</v>
      </c>
      <c r="U41" s="313" t="s">
        <v>217</v>
      </c>
      <c r="V41" s="313" t="s">
        <v>217</v>
      </c>
    </row>
    <row r="42" s="313" customFormat="1" ht="26.25" customHeight="1">
      <c r="A42" s="313" t="s">
        <v>45</v>
      </c>
      <c r="B42" s="313" t="s">
        <v>88</v>
      </c>
      <c r="C42" s="313" t="n">
        <v>3132865</v>
      </c>
      <c r="D42" s="313" t="s">
        <v>233</v>
      </c>
      <c r="E42" s="313" t="s">
        <v>283</v>
      </c>
      <c r="F42" s="313" t="s">
        <v>810</v>
      </c>
      <c r="G42" s="313" t="s">
        <v>52</v>
      </c>
      <c r="H42" s="313" t="s">
        <v>43</v>
      </c>
      <c r="I42" s="313" t="s">
        <v>37</v>
      </c>
      <c r="J42" s="313" t="s">
        <v>48</v>
      </c>
      <c r="L42" s="313" t="s">
        <v>597</v>
      </c>
      <c r="M42" s="1161" t="s">
        <v>4181</v>
      </c>
      <c r="N42" s="1162" t="s">
        <v>4182</v>
      </c>
      <c r="O42" s="1163" t="s">
        <v>4183</v>
      </c>
      <c r="P42" s="313" t="n">
        <v>96</v>
      </c>
      <c r="T42" s="313" t="s">
        <v>217</v>
      </c>
      <c r="U42" s="313" t="s">
        <v>217</v>
      </c>
      <c r="V42" s="313" t="s">
        <v>217</v>
      </c>
    </row>
    <row r="43" s="313" customFormat="1" ht="26.25" customHeight="1">
      <c r="A43" s="313" t="s">
        <v>45</v>
      </c>
      <c r="B43" s="313" t="s">
        <v>100</v>
      </c>
      <c r="C43" s="313" t="n">
        <v>3132893</v>
      </c>
      <c r="D43" s="313" t="s">
        <v>233</v>
      </c>
      <c r="E43" s="313" t="s">
        <v>283</v>
      </c>
      <c r="F43" s="313" t="s">
        <v>1180</v>
      </c>
      <c r="G43" s="313" t="s">
        <v>52</v>
      </c>
      <c r="H43" s="313" t="s">
        <v>47</v>
      </c>
      <c r="I43" s="313" t="s">
        <v>35</v>
      </c>
      <c r="J43" s="313" t="s">
        <v>48</v>
      </c>
      <c r="P43" s="313" t="s">
        <v>3740</v>
      </c>
    </row>
    <row r="44" s="313" customFormat="1" ht="26.25" customHeight="1">
      <c r="A44" s="313" t="s">
        <v>85</v>
      </c>
      <c r="B44" s="313" t="s">
        <v>100</v>
      </c>
      <c r="C44" s="313" t="n">
        <v>3132858</v>
      </c>
      <c r="D44" s="313" t="s">
        <v>215</v>
      </c>
      <c r="E44" s="313" t="s">
        <v>283</v>
      </c>
      <c r="F44" s="313" t="s">
        <v>1178</v>
      </c>
      <c r="G44" s="313" t="s">
        <v>52</v>
      </c>
      <c r="H44" s="313" t="s">
        <v>47</v>
      </c>
      <c r="I44" s="313" t="s">
        <v>39</v>
      </c>
      <c r="J44" s="313" t="s">
        <v>36</v>
      </c>
      <c r="K44" s="313" t="s">
        <v>2481</v>
      </c>
      <c r="M44" s="313" t="s">
        <v>4184</v>
      </c>
      <c r="N44" s="313" t="s">
        <v>4185</v>
      </c>
      <c r="O44" s="313" t="s">
        <v>4186</v>
      </c>
      <c r="P44" s="313" t="n">
        <v>90</v>
      </c>
      <c r="Q44" s="313" t="n">
        <v>47</v>
      </c>
    </row>
    <row r="45" s="313" customFormat="1" ht="26.25" customHeight="1">
      <c r="A45" s="313" t="s">
        <v>85</v>
      </c>
      <c r="B45" s="313" t="s">
        <v>65</v>
      </c>
      <c r="C45" s="313" t="n">
        <v>5230783</v>
      </c>
      <c r="D45" s="313" t="s">
        <v>216</v>
      </c>
      <c r="E45" s="313" t="s">
        <v>283</v>
      </c>
      <c r="F45" s="313" t="s">
        <v>909</v>
      </c>
      <c r="G45" s="313" t="s">
        <v>52</v>
      </c>
      <c r="H45" s="313" t="s">
        <v>47</v>
      </c>
      <c r="I45" s="313" t="s">
        <v>31</v>
      </c>
      <c r="J45" s="313" t="s">
        <v>38</v>
      </c>
      <c r="T45" s="313" t="s">
        <v>217</v>
      </c>
      <c r="V45" s="313" t="s">
        <v>217</v>
      </c>
    </row>
    <row r="46" s="313" customFormat="1" ht="26.25" customHeight="1">
      <c r="A46" s="313" t="s">
        <v>45</v>
      </c>
      <c r="B46" s="313" t="s">
        <v>88</v>
      </c>
      <c r="C46" s="313" t="n">
        <v>3132865</v>
      </c>
      <c r="D46" s="313" t="s">
        <v>233</v>
      </c>
      <c r="E46" s="313" t="s">
        <v>283</v>
      </c>
      <c r="F46" s="313" t="s">
        <v>1049</v>
      </c>
      <c r="G46" s="313" t="s">
        <v>52</v>
      </c>
      <c r="H46" s="313" t="s">
        <v>49</v>
      </c>
      <c r="I46" s="313" t="s">
        <v>37</v>
      </c>
      <c r="J46" s="313" t="s">
        <v>48</v>
      </c>
      <c r="L46" s="313" t="s">
        <v>1383</v>
      </c>
      <c r="M46" s="1164" t="s">
        <v>4187</v>
      </c>
      <c r="N46" s="1165" t="s">
        <v>4188</v>
      </c>
      <c r="O46" s="1166" t="s">
        <v>4189</v>
      </c>
      <c r="P46" s="313" t="s">
        <v>2415</v>
      </c>
      <c r="T46" s="313" t="s">
        <v>217</v>
      </c>
      <c r="U46" s="313" t="s">
        <v>217</v>
      </c>
      <c r="V46" s="313" t="s">
        <v>217</v>
      </c>
    </row>
    <row r="47" s="313" customFormat="1" ht="26.25" customHeight="1">
      <c r="A47" s="313" t="s">
        <v>85</v>
      </c>
      <c r="B47" s="313" t="s">
        <v>100</v>
      </c>
      <c r="C47" s="313" t="n">
        <v>3132858</v>
      </c>
      <c r="D47" s="313" t="s">
        <v>215</v>
      </c>
      <c r="E47" s="313" t="s">
        <v>283</v>
      </c>
      <c r="F47" s="313" t="s">
        <v>1142</v>
      </c>
      <c r="G47" s="313" t="s">
        <v>52</v>
      </c>
      <c r="H47" s="313" t="s">
        <v>47</v>
      </c>
      <c r="I47" s="313" t="s">
        <v>39</v>
      </c>
      <c r="J47" s="313" t="s">
        <v>38</v>
      </c>
      <c r="K47" s="313" t="s">
        <v>4150</v>
      </c>
      <c r="M47" s="313" t="s">
        <v>3919</v>
      </c>
      <c r="N47" s="313" t="s">
        <v>3557</v>
      </c>
      <c r="O47" s="313" t="s">
        <v>4152</v>
      </c>
      <c r="P47" s="313" t="n">
        <v>90</v>
      </c>
      <c r="Q47" s="313" t="s">
        <v>2125</v>
      </c>
    </row>
    <row r="48" s="313" customFormat="1" ht="26.25" customHeight="1">
      <c r="A48" s="313" t="s">
        <v>85</v>
      </c>
      <c r="B48" s="313" t="s">
        <v>101</v>
      </c>
      <c r="C48" s="313" t="n">
        <v>5230788</v>
      </c>
      <c r="D48" s="313" t="s">
        <v>233</v>
      </c>
      <c r="E48" s="313" t="s">
        <v>283</v>
      </c>
      <c r="F48" s="313" t="s">
        <v>1167</v>
      </c>
      <c r="G48" s="313" t="s">
        <v>52</v>
      </c>
      <c r="H48" s="313" t="s">
        <v>47</v>
      </c>
      <c r="I48" s="313" t="s">
        <v>39</v>
      </c>
      <c r="J48" s="313" t="s">
        <v>38</v>
      </c>
      <c r="K48" s="313" t="s">
        <v>2481</v>
      </c>
      <c r="M48" s="313" t="s">
        <v>4077</v>
      </c>
      <c r="N48" s="313" t="s">
        <v>4190</v>
      </c>
      <c r="O48" s="313" t="s">
        <v>4191</v>
      </c>
      <c r="P48" s="313" t="n">
        <v>97.5</v>
      </c>
    </row>
    <row r="49" s="313" customFormat="1" ht="26.25" customHeight="1">
      <c r="A49" s="313" t="s">
        <v>45</v>
      </c>
      <c r="B49" s="313" t="s">
        <v>100</v>
      </c>
      <c r="C49" s="313" t="n">
        <v>3132893</v>
      </c>
      <c r="D49" s="313" t="s">
        <v>233</v>
      </c>
      <c r="E49" s="313" t="s">
        <v>283</v>
      </c>
      <c r="F49" s="313" t="s">
        <v>1140</v>
      </c>
      <c r="G49" s="313" t="s">
        <v>52</v>
      </c>
      <c r="H49" s="313" t="s">
        <v>47</v>
      </c>
      <c r="I49" s="313" t="s">
        <v>35</v>
      </c>
      <c r="J49" s="313" t="s">
        <v>40</v>
      </c>
      <c r="L49" s="313" t="s">
        <v>2619</v>
      </c>
      <c r="M49" s="313" t="s">
        <v>4192</v>
      </c>
      <c r="N49" s="313" t="s">
        <v>4193</v>
      </c>
      <c r="P49" s="313" t="s">
        <v>3058</v>
      </c>
      <c r="Q49" s="313" t="s">
        <v>4194</v>
      </c>
    </row>
    <row r="50" s="313" customFormat="1" ht="26.25" customHeight="1">
      <c r="A50" s="313" t="s">
        <v>45</v>
      </c>
      <c r="B50" s="313" t="s">
        <v>88</v>
      </c>
      <c r="C50" s="313" t="n">
        <v>5230765</v>
      </c>
      <c r="D50" s="313" t="s">
        <v>215</v>
      </c>
      <c r="E50" s="313" t="s">
        <v>283</v>
      </c>
      <c r="F50" s="313" t="s">
        <v>862</v>
      </c>
      <c r="G50" s="313" t="s">
        <v>52</v>
      </c>
      <c r="H50" s="313" t="s">
        <v>43</v>
      </c>
      <c r="I50" s="313" t="s">
        <v>31</v>
      </c>
      <c r="J50" s="313" t="s">
        <v>48</v>
      </c>
      <c r="L50" s="313" t="s">
        <v>4195</v>
      </c>
      <c r="M50" s="1167" t="s">
        <v>4196</v>
      </c>
      <c r="N50" s="1168" t="s">
        <v>4197</v>
      </c>
      <c r="O50" s="313" t="s">
        <v>4198</v>
      </c>
      <c r="P50" s="313" t="n">
        <v>90</v>
      </c>
      <c r="T50" s="313" t="s">
        <v>217</v>
      </c>
      <c r="U50" s="313" t="s">
        <v>217</v>
      </c>
      <c r="V50" s="313" t="s">
        <v>217</v>
      </c>
    </row>
    <row r="51" s="313" customFormat="1" ht="26.25" customHeight="1">
      <c r="A51" s="313" t="s">
        <v>45</v>
      </c>
      <c r="B51" s="313" t="s">
        <v>88</v>
      </c>
      <c r="C51" s="313" t="n">
        <v>3132865</v>
      </c>
      <c r="D51" s="313" t="s">
        <v>233</v>
      </c>
      <c r="E51" s="313" t="s">
        <v>283</v>
      </c>
      <c r="F51" s="313" t="s">
        <v>1226</v>
      </c>
      <c r="G51" s="313" t="s">
        <v>52</v>
      </c>
      <c r="H51" s="313" t="s">
        <v>49</v>
      </c>
      <c r="I51" s="313" t="s">
        <v>37</v>
      </c>
      <c r="J51" s="313" t="s">
        <v>46</v>
      </c>
      <c r="L51" s="313" t="s">
        <v>597</v>
      </c>
      <c r="M51" s="1169" t="s">
        <v>4199</v>
      </c>
      <c r="N51" s="313" t="s">
        <v>4200</v>
      </c>
      <c r="O51" s="313" t="s">
        <v>4201</v>
      </c>
      <c r="P51" s="313" t="s">
        <v>27</v>
      </c>
      <c r="T51" s="313" t="s">
        <v>217</v>
      </c>
      <c r="U51" s="313" t="s">
        <v>217</v>
      </c>
      <c r="V51" s="313" t="s">
        <v>217</v>
      </c>
    </row>
    <row r="52" s="313" customFormat="1" ht="26.25" customHeight="1">
      <c r="A52" s="313" t="s">
        <v>85</v>
      </c>
      <c r="B52" s="313" t="s">
        <v>65</v>
      </c>
      <c r="C52" s="313" t="n">
        <v>5230783</v>
      </c>
      <c r="D52" s="313" t="s">
        <v>216</v>
      </c>
      <c r="E52" s="313" t="s">
        <v>283</v>
      </c>
      <c r="F52" s="313" t="s">
        <v>814</v>
      </c>
      <c r="G52" s="313" t="s">
        <v>52</v>
      </c>
      <c r="I52" s="313" t="s">
        <v>31</v>
      </c>
      <c r="J52" s="313" t="s">
        <v>34</v>
      </c>
      <c r="K52" s="313" t="s">
        <v>2481</v>
      </c>
      <c r="L52" s="313" t="s">
        <v>2745</v>
      </c>
      <c r="M52" s="313" t="s">
        <v>3986</v>
      </c>
      <c r="N52" s="313" t="s">
        <v>4202</v>
      </c>
      <c r="O52" s="313" t="s">
        <v>4203</v>
      </c>
      <c r="P52" s="313" t="n">
        <v>80</v>
      </c>
      <c r="Q52" s="313" t="s">
        <v>2125</v>
      </c>
      <c r="T52" s="313" t="s">
        <v>217</v>
      </c>
      <c r="V52" s="313" t="s">
        <v>217</v>
      </c>
    </row>
    <row r="53" s="313" customFormat="1" ht="26.25" customHeight="1">
      <c r="A53" s="313" t="s">
        <v>45</v>
      </c>
      <c r="B53" s="313" t="s">
        <v>88</v>
      </c>
      <c r="C53" s="313" t="n">
        <v>3132865</v>
      </c>
      <c r="D53" s="313" t="s">
        <v>233</v>
      </c>
      <c r="E53" s="313" t="s">
        <v>283</v>
      </c>
      <c r="F53" s="313" t="s">
        <v>1055</v>
      </c>
      <c r="G53" s="313" t="s">
        <v>52</v>
      </c>
      <c r="H53" s="313" t="s">
        <v>49</v>
      </c>
      <c r="I53" s="313" t="s">
        <v>37</v>
      </c>
      <c r="J53" s="313" t="s">
        <v>46</v>
      </c>
      <c r="L53" s="313" t="s">
        <v>4204</v>
      </c>
      <c r="M53" s="1170" t="s">
        <v>4205</v>
      </c>
      <c r="N53" s="1171" t="s">
        <v>4206</v>
      </c>
      <c r="O53" s="1172" t="s">
        <v>4207</v>
      </c>
      <c r="P53" s="313" t="s">
        <v>3058</v>
      </c>
      <c r="T53" s="313" t="s">
        <v>217</v>
      </c>
      <c r="U53" s="313" t="s">
        <v>217</v>
      </c>
      <c r="V53" s="313" t="s">
        <v>217</v>
      </c>
    </row>
    <row r="54" s="313" customFormat="1" ht="26.25" customHeight="1">
      <c r="A54" s="313" t="s">
        <v>85</v>
      </c>
      <c r="B54" s="313" t="s">
        <v>100</v>
      </c>
      <c r="C54" s="313" t="n">
        <v>3132858</v>
      </c>
      <c r="D54" s="313" t="s">
        <v>215</v>
      </c>
      <c r="E54" s="313" t="s">
        <v>283</v>
      </c>
      <c r="F54" s="313" t="s">
        <v>496</v>
      </c>
      <c r="G54" s="313" t="s">
        <v>52</v>
      </c>
      <c r="H54" s="313" t="s">
        <v>47</v>
      </c>
      <c r="I54" s="313" t="s">
        <v>39</v>
      </c>
      <c r="J54" s="313" t="s">
        <v>34</v>
      </c>
      <c r="M54" s="313" t="s">
        <v>2390</v>
      </c>
      <c r="N54" s="313" t="s">
        <v>3557</v>
      </c>
      <c r="O54" s="313" t="s">
        <v>4208</v>
      </c>
      <c r="P54" s="313" t="n">
        <v>95</v>
      </c>
      <c r="Q54" s="313" t="n">
        <v>39.5</v>
      </c>
    </row>
    <row r="55" s="313" customFormat="1" ht="26.25" customHeight="1">
      <c r="A55" s="313" t="s">
        <v>45</v>
      </c>
      <c r="B55" s="313" t="s">
        <v>88</v>
      </c>
      <c r="C55" s="313" t="n">
        <v>5230765</v>
      </c>
      <c r="D55" s="313" t="s">
        <v>215</v>
      </c>
      <c r="E55" s="313" t="s">
        <v>283</v>
      </c>
      <c r="F55" s="313" t="s">
        <v>1309</v>
      </c>
      <c r="G55" s="313" t="s">
        <v>52</v>
      </c>
      <c r="H55" s="313" t="s">
        <v>43</v>
      </c>
      <c r="I55" s="313" t="s">
        <v>31</v>
      </c>
      <c r="J55" s="313" t="s">
        <v>48</v>
      </c>
      <c r="L55" s="313" t="s">
        <v>4209</v>
      </c>
      <c r="M55" s="313" t="s">
        <v>4210</v>
      </c>
      <c r="N55" s="1173" t="s">
        <v>4211</v>
      </c>
      <c r="O55" s="1174" t="s">
        <v>4212</v>
      </c>
      <c r="P55" s="313" t="s">
        <v>4213</v>
      </c>
      <c r="Q55" s="313" t="n">
        <v>32</v>
      </c>
      <c r="T55" s="313" t="s">
        <v>217</v>
      </c>
      <c r="U55" s="313" t="s">
        <v>217</v>
      </c>
      <c r="V55" s="313" t="s">
        <v>217</v>
      </c>
    </row>
    <row r="56" s="313" customFormat="1" ht="26.25" customHeight="1">
      <c r="A56" s="313" t="s">
        <v>85</v>
      </c>
      <c r="B56" s="313" t="s">
        <v>101</v>
      </c>
      <c r="C56" s="313" t="n">
        <v>5230788</v>
      </c>
      <c r="D56" s="313" t="s">
        <v>233</v>
      </c>
      <c r="E56" s="313" t="s">
        <v>283</v>
      </c>
      <c r="F56" s="313" t="s">
        <v>1078</v>
      </c>
      <c r="G56" s="313" t="s">
        <v>52</v>
      </c>
      <c r="H56" s="313" t="s">
        <v>47</v>
      </c>
      <c r="I56" s="313" t="s">
        <v>39</v>
      </c>
      <c r="J56" s="313" t="s">
        <v>34</v>
      </c>
      <c r="M56" s="313" t="s">
        <v>3737</v>
      </c>
      <c r="N56" s="313" t="s">
        <v>4214</v>
      </c>
      <c r="O56" s="313" t="s">
        <v>4215</v>
      </c>
      <c r="P56" s="313" t="n">
        <v>70</v>
      </c>
      <c r="Q56" s="313" t="s">
        <v>2125</v>
      </c>
    </row>
    <row r="57" s="313" customFormat="1" ht="26.25" customHeight="1">
      <c r="A57" s="313" t="s">
        <v>45</v>
      </c>
      <c r="B57" s="313" t="s">
        <v>88</v>
      </c>
      <c r="C57" s="313" t="n">
        <v>3132865</v>
      </c>
      <c r="D57" s="313" t="s">
        <v>233</v>
      </c>
      <c r="E57" s="313" t="s">
        <v>283</v>
      </c>
      <c r="F57" s="313" t="s">
        <v>1221</v>
      </c>
      <c r="G57" s="313" t="s">
        <v>52</v>
      </c>
      <c r="H57" s="313" t="s">
        <v>43</v>
      </c>
      <c r="I57" s="313" t="s">
        <v>37</v>
      </c>
      <c r="J57" s="313" t="s">
        <v>50</v>
      </c>
      <c r="L57" s="313" t="s">
        <v>740</v>
      </c>
      <c r="M57" s="1175" t="s">
        <v>4216</v>
      </c>
      <c r="N57" s="313" t="s">
        <v>4217</v>
      </c>
      <c r="O57" s="1176" t="s">
        <v>4218</v>
      </c>
      <c r="P57" s="313" t="s">
        <v>28</v>
      </c>
      <c r="T57" s="313" t="s">
        <v>217</v>
      </c>
      <c r="U57" s="313" t="s">
        <v>217</v>
      </c>
      <c r="V57" s="313" t="s">
        <v>217</v>
      </c>
    </row>
    <row r="58" s="313" customFormat="1" ht="26.25" customHeight="1">
      <c r="A58" s="313" t="s">
        <v>85</v>
      </c>
      <c r="B58" s="313" t="s">
        <v>101</v>
      </c>
      <c r="C58" s="313" t="n">
        <v>5230788</v>
      </c>
      <c r="D58" s="313" t="s">
        <v>233</v>
      </c>
      <c r="E58" s="313" t="s">
        <v>283</v>
      </c>
      <c r="F58" s="313" t="s">
        <v>1041</v>
      </c>
      <c r="G58" s="313" t="s">
        <v>52</v>
      </c>
      <c r="H58" s="313" t="s">
        <v>47</v>
      </c>
      <c r="I58" s="313" t="s">
        <v>39</v>
      </c>
      <c r="J58" s="313" t="s">
        <v>38</v>
      </c>
    </row>
    <row r="59" s="313" customFormat="1" ht="26.25" customHeight="1">
      <c r="A59" s="313" t="s">
        <v>45</v>
      </c>
      <c r="B59" s="313" t="s">
        <v>100</v>
      </c>
      <c r="C59" s="313" t="n">
        <v>3132893</v>
      </c>
      <c r="D59" s="313" t="s">
        <v>233</v>
      </c>
      <c r="E59" s="313" t="s">
        <v>283</v>
      </c>
      <c r="F59" s="313" t="s">
        <v>1139</v>
      </c>
      <c r="G59" s="313" t="s">
        <v>52</v>
      </c>
      <c r="H59" s="313" t="s">
        <v>47</v>
      </c>
      <c r="I59" s="313" t="s">
        <v>35</v>
      </c>
      <c r="J59" s="313" t="s">
        <v>48</v>
      </c>
      <c r="O59" s="313" t="s">
        <v>4219</v>
      </c>
      <c r="P59" s="313" t="n">
        <v>90</v>
      </c>
    </row>
    <row r="60" s="313" customFormat="1" ht="26.25" customHeight="1">
      <c r="A60" s="313" t="s">
        <v>45</v>
      </c>
      <c r="B60" s="313" t="s">
        <v>88</v>
      </c>
      <c r="C60" s="313" t="n">
        <v>5230765</v>
      </c>
      <c r="D60" s="313" t="s">
        <v>215</v>
      </c>
      <c r="E60" s="313" t="s">
        <v>283</v>
      </c>
      <c r="F60" s="313" t="s">
        <v>1159</v>
      </c>
      <c r="G60" s="313" t="s">
        <v>52</v>
      </c>
      <c r="H60" s="313" t="s">
        <v>43</v>
      </c>
      <c r="I60" s="313" t="s">
        <v>31</v>
      </c>
      <c r="J60" s="313" t="s">
        <v>50</v>
      </c>
      <c r="K60" s="313" t="s">
        <v>4220</v>
      </c>
      <c r="L60" s="313" t="s">
        <v>2745</v>
      </c>
      <c r="M60" s="1177" t="s">
        <v>4221</v>
      </c>
      <c r="N60" s="313" t="s">
        <v>3523</v>
      </c>
      <c r="O60" s="1178" t="s">
        <v>4222</v>
      </c>
      <c r="P60" s="313" t="s">
        <v>4223</v>
      </c>
      <c r="T60" s="313" t="s">
        <v>217</v>
      </c>
      <c r="U60" s="313" t="s">
        <v>217</v>
      </c>
      <c r="V60" s="313" t="s">
        <v>217</v>
      </c>
    </row>
    <row r="61" s="313" customFormat="1" ht="26.25" customHeight="1">
      <c r="A61" s="313" t="s">
        <v>45</v>
      </c>
      <c r="B61" s="313" t="s">
        <v>88</v>
      </c>
      <c r="C61" s="313" t="n">
        <v>3132865</v>
      </c>
      <c r="D61" s="313" t="s">
        <v>233</v>
      </c>
      <c r="E61" s="313" t="s">
        <v>283</v>
      </c>
      <c r="F61" s="313" t="s">
        <v>1104</v>
      </c>
      <c r="G61" s="313" t="s">
        <v>52</v>
      </c>
      <c r="H61" s="313" t="s">
        <v>49</v>
      </c>
      <c r="I61" s="313" t="s">
        <v>31</v>
      </c>
      <c r="J61" s="313" t="s">
        <v>50</v>
      </c>
      <c r="K61" s="313" t="s">
        <v>4224</v>
      </c>
      <c r="L61" s="1179" t="s">
        <v>4225</v>
      </c>
      <c r="M61" s="1180" t="s">
        <v>4226</v>
      </c>
      <c r="N61" s="1181" t="s">
        <v>4227</v>
      </c>
      <c r="O61" s="1182" t="s">
        <v>4228</v>
      </c>
      <c r="P61" s="313" t="n">
        <v>90</v>
      </c>
      <c r="T61" s="313" t="s">
        <v>217</v>
      </c>
      <c r="U61" s="313" t="s">
        <v>217</v>
      </c>
      <c r="V61" s="313" t="s">
        <v>217</v>
      </c>
    </row>
    <row r="62" s="313" customFormat="1" ht="26.25" customHeight="1">
      <c r="A62" s="313" t="s">
        <v>45</v>
      </c>
      <c r="B62" s="313" t="s">
        <v>100</v>
      </c>
      <c r="C62" s="313" t="n">
        <v>3132893</v>
      </c>
      <c r="D62" s="313" t="s">
        <v>233</v>
      </c>
      <c r="E62" s="313" t="s">
        <v>283</v>
      </c>
      <c r="F62" s="313" t="s">
        <v>1136</v>
      </c>
      <c r="G62" s="313" t="s">
        <v>52</v>
      </c>
      <c r="H62" s="313" t="s">
        <v>47</v>
      </c>
      <c r="I62" s="313" t="s">
        <v>35</v>
      </c>
      <c r="J62" s="313" t="s">
        <v>48</v>
      </c>
      <c r="K62" s="313" t="s">
        <v>2589</v>
      </c>
      <c r="L62" s="313" t="s">
        <v>2500</v>
      </c>
      <c r="M62" s="313" t="s">
        <v>2590</v>
      </c>
      <c r="N62" s="313" t="s">
        <v>4229</v>
      </c>
      <c r="P62" s="313" t="s">
        <v>4230</v>
      </c>
    </row>
    <row r="63" s="313" customFormat="1" ht="26.25" customHeight="1">
      <c r="A63" s="313" t="s">
        <v>45</v>
      </c>
      <c r="B63" s="313" t="s">
        <v>88</v>
      </c>
      <c r="C63" s="313" t="n">
        <v>5230765</v>
      </c>
      <c r="D63" s="313" t="s">
        <v>215</v>
      </c>
      <c r="E63" s="313" t="s">
        <v>283</v>
      </c>
      <c r="F63" s="313" t="s">
        <v>1306</v>
      </c>
      <c r="G63" s="313" t="s">
        <v>52</v>
      </c>
      <c r="H63" s="313" t="s">
        <v>43</v>
      </c>
      <c r="I63" s="313" t="s">
        <v>31</v>
      </c>
      <c r="J63" s="313" t="s">
        <v>48</v>
      </c>
      <c r="K63" s="313" t="s">
        <v>2943</v>
      </c>
      <c r="L63" s="313" t="s">
        <v>362</v>
      </c>
      <c r="M63" s="1183" t="s">
        <v>4231</v>
      </c>
      <c r="N63" s="1184" t="s">
        <v>4232</v>
      </c>
      <c r="O63" s="1185" t="s">
        <v>4233</v>
      </c>
      <c r="P63" s="313" t="s">
        <v>4234</v>
      </c>
      <c r="T63" s="313" t="s">
        <v>217</v>
      </c>
      <c r="U63" s="313" t="s">
        <v>217</v>
      </c>
      <c r="V63" s="313" t="s">
        <v>217</v>
      </c>
    </row>
    <row r="64" s="313" customFormat="1" ht="26.25" customHeight="1">
      <c r="A64" s="313" t="s">
        <v>45</v>
      </c>
      <c r="B64" s="313" t="s">
        <v>88</v>
      </c>
      <c r="C64" s="313" t="n">
        <v>3132865</v>
      </c>
      <c r="D64" s="313" t="s">
        <v>233</v>
      </c>
      <c r="E64" s="313" t="s">
        <v>283</v>
      </c>
      <c r="F64" s="313" t="s">
        <v>1103</v>
      </c>
      <c r="G64" s="313" t="s">
        <v>52</v>
      </c>
      <c r="H64" s="313" t="s">
        <v>49</v>
      </c>
      <c r="I64" s="313" t="s">
        <v>37</v>
      </c>
      <c r="J64" s="313" t="s">
        <v>46</v>
      </c>
      <c r="K64" s="313" t="s">
        <v>2459</v>
      </c>
      <c r="L64" s="313" t="s">
        <v>4235</v>
      </c>
      <c r="M64" s="1186" t="s">
        <v>4236</v>
      </c>
      <c r="N64" s="1187" t="s">
        <v>4237</v>
      </c>
      <c r="O64" s="1188" t="s">
        <v>4238</v>
      </c>
      <c r="P64" s="313" t="s">
        <v>4239</v>
      </c>
      <c r="T64" s="313" t="s">
        <v>217</v>
      </c>
      <c r="U64" s="313" t="s">
        <v>217</v>
      </c>
      <c r="V64" s="313" t="s">
        <v>217</v>
      </c>
    </row>
    <row r="65" s="313" customFormat="1" ht="26.25" customHeight="1">
      <c r="A65" s="313" t="s">
        <v>85</v>
      </c>
      <c r="B65" s="313" t="s">
        <v>101</v>
      </c>
      <c r="C65" s="313" t="n">
        <v>5230788</v>
      </c>
      <c r="D65" s="313" t="s">
        <v>233</v>
      </c>
      <c r="E65" s="313" t="s">
        <v>283</v>
      </c>
      <c r="F65" s="313" t="s">
        <v>1252</v>
      </c>
      <c r="G65" s="313" t="s">
        <v>52</v>
      </c>
      <c r="H65" s="313" t="s">
        <v>47</v>
      </c>
      <c r="I65" s="313" t="s">
        <v>39</v>
      </c>
      <c r="J65" s="313" t="s">
        <v>38</v>
      </c>
    </row>
    <row r="66" s="313" customFormat="1" ht="26.25" customHeight="1">
      <c r="A66" s="313" t="s">
        <v>45</v>
      </c>
      <c r="B66" s="313" t="s">
        <v>88</v>
      </c>
      <c r="C66" s="313" t="n">
        <v>5230765</v>
      </c>
      <c r="D66" s="313" t="s">
        <v>215</v>
      </c>
      <c r="E66" s="313" t="s">
        <v>283</v>
      </c>
      <c r="F66" s="313" t="s">
        <v>1225</v>
      </c>
      <c r="G66" s="313" t="s">
        <v>52</v>
      </c>
      <c r="H66" s="313" t="s">
        <v>43</v>
      </c>
      <c r="I66" s="313" t="s">
        <v>31</v>
      </c>
      <c r="J66" s="313" t="s">
        <v>38</v>
      </c>
      <c r="K66" s="313" t="s">
        <v>2770</v>
      </c>
      <c r="L66" s="313" t="s">
        <v>3829</v>
      </c>
      <c r="M66" s="1189" t="s">
        <v>3830</v>
      </c>
      <c r="N66" s="1190" t="s">
        <v>3831</v>
      </c>
      <c r="O66" s="1191" t="s">
        <v>3832</v>
      </c>
      <c r="P66" s="313" t="s">
        <v>2375</v>
      </c>
      <c r="Q66" s="313" t="n">
        <v>40</v>
      </c>
      <c r="T66" s="313" t="s">
        <v>217</v>
      </c>
      <c r="U66" s="313" t="s">
        <v>217</v>
      </c>
      <c r="V66" s="313" t="s">
        <v>217</v>
      </c>
    </row>
    <row r="67" s="313" customFormat="1" ht="26.25" customHeight="1">
      <c r="A67" s="313" t="s">
        <v>45</v>
      </c>
      <c r="B67" s="313" t="s">
        <v>88</v>
      </c>
      <c r="C67" s="313" t="n">
        <v>5230765</v>
      </c>
      <c r="D67" s="313" t="s">
        <v>215</v>
      </c>
      <c r="E67" s="313" t="s">
        <v>283</v>
      </c>
      <c r="F67" s="313" t="s">
        <v>1260</v>
      </c>
      <c r="G67" s="313" t="s">
        <v>52</v>
      </c>
      <c r="H67" s="313" t="s">
        <v>43</v>
      </c>
      <c r="I67" s="313" t="s">
        <v>31</v>
      </c>
      <c r="J67" s="313" t="s">
        <v>46</v>
      </c>
      <c r="K67" s="313" t="s">
        <v>3448</v>
      </c>
      <c r="L67" s="313" t="s">
        <v>3448</v>
      </c>
      <c r="M67" s="1192" t="s">
        <v>4240</v>
      </c>
      <c r="N67" s="1193" t="s">
        <v>4241</v>
      </c>
      <c r="O67" s="1194" t="s">
        <v>4242</v>
      </c>
      <c r="P67" s="313" t="s">
        <v>2453</v>
      </c>
      <c r="T67" s="313" t="s">
        <v>217</v>
      </c>
      <c r="U67" s="313" t="s">
        <v>217</v>
      </c>
      <c r="V67" s="313" t="s">
        <v>217</v>
      </c>
    </row>
    <row r="68" s="313" customFormat="1" ht="26.25" customHeight="1">
      <c r="A68" s="313" t="s">
        <v>45</v>
      </c>
      <c r="B68" s="313" t="s">
        <v>88</v>
      </c>
      <c r="C68" s="313" t="n">
        <v>5230765</v>
      </c>
      <c r="D68" s="313" t="s">
        <v>215</v>
      </c>
      <c r="E68" s="313" t="s">
        <v>283</v>
      </c>
      <c r="F68" s="313" t="s">
        <v>1014</v>
      </c>
      <c r="G68" s="313" t="s">
        <v>52</v>
      </c>
      <c r="H68" s="313" t="s">
        <v>43</v>
      </c>
      <c r="I68" s="313" t="s">
        <v>31</v>
      </c>
      <c r="J68" s="313" t="s">
        <v>46</v>
      </c>
      <c r="K68" s="313" t="s">
        <v>483</v>
      </c>
      <c r="L68" s="313" t="s">
        <v>483</v>
      </c>
      <c r="M68" s="1195" t="s">
        <v>4243</v>
      </c>
      <c r="N68" s="1196" t="s">
        <v>4244</v>
      </c>
      <c r="O68" s="313" t="s">
        <v>4245</v>
      </c>
      <c r="P68" s="313" t="s">
        <v>4246</v>
      </c>
      <c r="Q68" s="313" t="n">
        <v>44</v>
      </c>
      <c r="T68" s="313" t="s">
        <v>217</v>
      </c>
      <c r="U68" s="313" t="s">
        <v>217</v>
      </c>
      <c r="V68" s="313" t="s">
        <v>217</v>
      </c>
    </row>
    <row r="69" s="313" customFormat="1" ht="26.25" customHeight="1">
      <c r="A69" s="313" t="s">
        <v>85</v>
      </c>
      <c r="B69" s="313" t="s">
        <v>65</v>
      </c>
      <c r="C69" s="313" t="n">
        <v>5230783</v>
      </c>
      <c r="D69" s="313" t="s">
        <v>216</v>
      </c>
      <c r="E69" s="313" t="s">
        <v>283</v>
      </c>
      <c r="F69" s="313" t="s">
        <v>833</v>
      </c>
      <c r="G69" s="313" t="s">
        <v>52</v>
      </c>
      <c r="I69" s="313" t="s">
        <v>31</v>
      </c>
      <c r="J69" s="313" t="s">
        <v>36</v>
      </c>
      <c r="K69" s="313" t="s">
        <v>2481</v>
      </c>
      <c r="M69" s="313" t="s">
        <v>3986</v>
      </c>
      <c r="N69" s="313" t="s">
        <v>4247</v>
      </c>
      <c r="O69" s="313" t="s">
        <v>4248</v>
      </c>
      <c r="P69" s="313" t="n">
        <v>85</v>
      </c>
      <c r="Q69" s="313" t="n">
        <v>33</v>
      </c>
      <c r="T69" s="313" t="s">
        <v>217</v>
      </c>
      <c r="V69" s="313" t="s">
        <v>217</v>
      </c>
    </row>
    <row r="70" s="313" customFormat="1" ht="26.25" customHeight="1">
      <c r="A70" s="313" t="s">
        <v>85</v>
      </c>
      <c r="B70" s="313" t="s">
        <v>101</v>
      </c>
      <c r="C70" s="313" t="n">
        <v>5230788</v>
      </c>
      <c r="D70" s="313" t="s">
        <v>233</v>
      </c>
      <c r="E70" s="313" t="s">
        <v>283</v>
      </c>
      <c r="F70" s="313" t="s">
        <v>1083</v>
      </c>
      <c r="G70" s="313" t="s">
        <v>52</v>
      </c>
      <c r="H70" s="313" t="s">
        <v>47</v>
      </c>
      <c r="I70" s="313" t="s">
        <v>39</v>
      </c>
      <c r="J70" s="313" t="s">
        <v>34</v>
      </c>
      <c r="Q70" s="313" t="s">
        <v>2125</v>
      </c>
    </row>
    <row r="71" s="313" customFormat="1" ht="26.25" customHeight="1">
      <c r="A71" s="313" t="s">
        <v>45</v>
      </c>
      <c r="B71" s="313" t="s">
        <v>88</v>
      </c>
      <c r="C71" s="313" t="n">
        <v>5230765</v>
      </c>
      <c r="D71" s="313" t="s">
        <v>215</v>
      </c>
      <c r="E71" s="313" t="s">
        <v>283</v>
      </c>
      <c r="F71" s="313" t="s">
        <v>1321</v>
      </c>
      <c r="G71" s="313" t="s">
        <v>52</v>
      </c>
      <c r="H71" s="313" t="s">
        <v>43</v>
      </c>
      <c r="I71" s="313" t="s">
        <v>35</v>
      </c>
      <c r="J71" s="313" t="s">
        <v>46</v>
      </c>
      <c r="K71" s="313" t="s">
        <v>621</v>
      </c>
      <c r="L71" s="313" t="s">
        <v>483</v>
      </c>
      <c r="M71" s="1197" t="s">
        <v>4249</v>
      </c>
      <c r="N71" s="1198" t="s">
        <v>4250</v>
      </c>
      <c r="O71" s="313" t="s">
        <v>4251</v>
      </c>
      <c r="P71" s="313" t="s">
        <v>2638</v>
      </c>
      <c r="Q71" s="313" t="s">
        <v>4252</v>
      </c>
      <c r="T71" s="313" t="s">
        <v>217</v>
      </c>
      <c r="U71" s="313" t="s">
        <v>217</v>
      </c>
      <c r="V71" s="313" t="s">
        <v>217</v>
      </c>
    </row>
    <row r="72" s="313" customFormat="1" ht="26.25" customHeight="1">
      <c r="A72" s="313" t="s">
        <v>45</v>
      </c>
      <c r="B72" s="313" t="s">
        <v>88</v>
      </c>
      <c r="C72" s="313" t="n">
        <v>5230765</v>
      </c>
      <c r="D72" s="313" t="s">
        <v>215</v>
      </c>
      <c r="E72" s="313" t="s">
        <v>283</v>
      </c>
      <c r="F72" s="313" t="s">
        <v>1313</v>
      </c>
      <c r="G72" s="313" t="s">
        <v>52</v>
      </c>
      <c r="H72" s="313" t="s">
        <v>43</v>
      </c>
      <c r="I72" s="313" t="s">
        <v>31</v>
      </c>
      <c r="J72" s="313" t="s">
        <v>48</v>
      </c>
      <c r="K72" s="313" t="s">
        <v>483</v>
      </c>
      <c r="L72" s="313" t="s">
        <v>4253</v>
      </c>
      <c r="M72" s="313" t="s">
        <v>4254</v>
      </c>
      <c r="N72" s="1199" t="s">
        <v>4255</v>
      </c>
      <c r="O72" s="1200" t="s">
        <v>4256</v>
      </c>
      <c r="P72" s="313" t="n">
        <v>290</v>
      </c>
      <c r="Q72" s="313" t="n">
        <v>42.5</v>
      </c>
      <c r="T72" s="313" t="s">
        <v>217</v>
      </c>
      <c r="U72" s="313" t="s">
        <v>217</v>
      </c>
      <c r="V72" s="313" t="s">
        <v>217</v>
      </c>
    </row>
    <row r="73" s="313" customFormat="1" ht="26.25" customHeight="1">
      <c r="A73" s="313" t="s">
        <v>45</v>
      </c>
      <c r="B73" s="313" t="s">
        <v>88</v>
      </c>
      <c r="C73" s="313" t="n">
        <v>5230765</v>
      </c>
      <c r="D73" s="313" t="s">
        <v>215</v>
      </c>
      <c r="E73" s="313" t="s">
        <v>283</v>
      </c>
      <c r="F73" s="313" t="s">
        <v>494</v>
      </c>
      <c r="G73" s="313" t="s">
        <v>52</v>
      </c>
      <c r="L73" s="313" t="s">
        <v>483</v>
      </c>
      <c r="M73" s="313" t="s">
        <v>4257</v>
      </c>
      <c r="N73" s="1201" t="s">
        <v>4258</v>
      </c>
      <c r="O73" s="313" t="s">
        <v>4259</v>
      </c>
      <c r="P73" s="1202" t="s">
        <v>4260</v>
      </c>
      <c r="T73" s="313" t="s">
        <v>217</v>
      </c>
      <c r="U73" s="313" t="s">
        <v>217</v>
      </c>
      <c r="V73" s="313" t="s">
        <v>217</v>
      </c>
    </row>
    <row r="74" s="313" customFormat="1" ht="26.25" customHeight="1">
      <c r="A74" s="313" t="s">
        <v>45</v>
      </c>
      <c r="B74" s="313" t="s">
        <v>88</v>
      </c>
      <c r="C74" s="313" t="n">
        <v>3132865</v>
      </c>
      <c r="D74" s="313" t="s">
        <v>233</v>
      </c>
      <c r="E74" s="313" t="s">
        <v>283</v>
      </c>
      <c r="F74" s="313" t="s">
        <v>1111</v>
      </c>
      <c r="G74" s="313" t="s">
        <v>52</v>
      </c>
      <c r="H74" s="313" t="s">
        <v>49</v>
      </c>
      <c r="I74" s="313" t="s">
        <v>37</v>
      </c>
      <c r="J74" s="313" t="s">
        <v>46</v>
      </c>
      <c r="L74" s="313" t="s">
        <v>2518</v>
      </c>
      <c r="M74" s="313" t="s">
        <v>4261</v>
      </c>
      <c r="N74" s="313" t="s">
        <v>4262</v>
      </c>
      <c r="P74" s="313" t="n">
        <v>95</v>
      </c>
      <c r="T74" s="313" t="s">
        <v>217</v>
      </c>
      <c r="U74" s="313" t="s">
        <v>217</v>
      </c>
      <c r="V74" s="313" t="s">
        <v>217</v>
      </c>
    </row>
    <row r="75" s="313" customFormat="1" ht="26.25" customHeight="1">
      <c r="A75" s="313" t="s">
        <v>45</v>
      </c>
      <c r="B75" s="313" t="s">
        <v>88</v>
      </c>
      <c r="C75" s="313" t="n">
        <v>3132865</v>
      </c>
      <c r="D75" s="313" t="s">
        <v>233</v>
      </c>
      <c r="E75" s="313" t="s">
        <v>283</v>
      </c>
      <c r="F75" s="313" t="s">
        <v>1110</v>
      </c>
      <c r="G75" s="313" t="s">
        <v>52</v>
      </c>
      <c r="H75" s="313" t="s">
        <v>49</v>
      </c>
      <c r="I75" s="313" t="s">
        <v>37</v>
      </c>
      <c r="J75" s="313" t="s">
        <v>46</v>
      </c>
      <c r="L75" s="313" t="s">
        <v>2518</v>
      </c>
      <c r="M75" s="313" t="s">
        <v>4261</v>
      </c>
      <c r="N75" s="313" t="s">
        <v>4262</v>
      </c>
      <c r="P75" s="313" t="n">
        <v>95</v>
      </c>
      <c r="T75" s="313" t="s">
        <v>217</v>
      </c>
      <c r="U75" s="313" t="s">
        <v>217</v>
      </c>
      <c r="V75" s="313" t="s">
        <v>217</v>
      </c>
    </row>
    <row r="76" s="313" customFormat="1" ht="26.25" customHeight="1">
      <c r="A76" s="313" t="s">
        <v>85</v>
      </c>
      <c r="B76" s="313" t="s">
        <v>100</v>
      </c>
      <c r="C76" s="313" t="n">
        <v>3132858</v>
      </c>
      <c r="D76" s="313" t="s">
        <v>215</v>
      </c>
      <c r="E76" s="313" t="s">
        <v>283</v>
      </c>
      <c r="F76" s="313" t="s">
        <v>1209</v>
      </c>
      <c r="G76" s="313" t="s">
        <v>52</v>
      </c>
      <c r="H76" s="313" t="s">
        <v>47</v>
      </c>
      <c r="I76" s="313" t="s">
        <v>39</v>
      </c>
      <c r="J76" s="313" t="s">
        <v>38</v>
      </c>
      <c r="Q76" s="313" t="n">
        <v>0</v>
      </c>
    </row>
    <row r="77" s="313" customFormat="1" ht="26.25" customHeight="1">
      <c r="A77" s="313" t="s">
        <v>85</v>
      </c>
      <c r="B77" s="313" t="s">
        <v>65</v>
      </c>
      <c r="C77" s="313" t="s">
        <v>4263</v>
      </c>
      <c r="D77" s="313" t="s">
        <v>216</v>
      </c>
      <c r="E77" s="313" t="s">
        <v>283</v>
      </c>
      <c r="F77" s="313" t="s">
        <v>496</v>
      </c>
      <c r="G77" s="313" t="s">
        <v>52</v>
      </c>
      <c r="H77" s="313" t="s">
        <v>47</v>
      </c>
      <c r="I77" s="313" t="s">
        <v>39</v>
      </c>
      <c r="J77" s="313" t="s">
        <v>34</v>
      </c>
      <c r="Q77" s="313" t="s">
        <v>4264</v>
      </c>
      <c r="T77" s="313" t="s">
        <v>217</v>
      </c>
      <c r="V77" s="313" t="s">
        <v>217</v>
      </c>
    </row>
    <row r="78" s="313" customFormat="1" ht="26.25" customHeight="1">
      <c r="A78" s="313" t="s">
        <v>85</v>
      </c>
      <c r="B78" s="313" t="s">
        <v>65</v>
      </c>
      <c r="C78" s="313" t="s">
        <v>4263</v>
      </c>
      <c r="D78" s="313" t="s">
        <v>216</v>
      </c>
      <c r="E78" s="313" t="s">
        <v>283</v>
      </c>
      <c r="F78" s="313" t="s">
        <v>762</v>
      </c>
      <c r="G78" s="313" t="s">
        <v>52</v>
      </c>
      <c r="H78" s="313" t="s">
        <v>47</v>
      </c>
      <c r="I78" s="313" t="s">
        <v>31</v>
      </c>
      <c r="J78" s="313" t="s">
        <v>36</v>
      </c>
      <c r="T78" s="313" t="s">
        <v>217</v>
      </c>
      <c r="V78" s="313" t="s">
        <v>217</v>
      </c>
    </row>
    <row r="79" s="313" customFormat="1" ht="26.25" customHeight="1">
      <c r="A79" s="313" t="s">
        <v>85</v>
      </c>
      <c r="B79" s="313" t="s">
        <v>65</v>
      </c>
      <c r="C79" s="313" t="s">
        <v>4263</v>
      </c>
      <c r="D79" s="313" t="s">
        <v>216</v>
      </c>
      <c r="E79" s="313" t="s">
        <v>283</v>
      </c>
      <c r="F79" s="313" t="s">
        <v>781</v>
      </c>
      <c r="G79" s="313" t="s">
        <v>52</v>
      </c>
      <c r="H79" s="313" t="s">
        <v>47</v>
      </c>
      <c r="I79" s="313" t="s">
        <v>31</v>
      </c>
      <c r="J79" s="313" t="s">
        <v>36</v>
      </c>
      <c r="Q79" s="313" t="s">
        <v>2206</v>
      </c>
      <c r="T79" s="313" t="s">
        <v>217</v>
      </c>
      <c r="V79" s="313" t="s">
        <v>217</v>
      </c>
    </row>
    <row r="80" s="492" customFormat="1" ht="26.25" customHeight="1"/>
    <row r="81" s="492" customFormat="1" ht="26.25" customHeight="1">
      <c r="M81" s="492"/>
      <c r="N81" s="492"/>
      <c r="O81" s="492"/>
    </row>
    <row r="82" s="492" customFormat="1" ht="26.25" customHeight="1">
      <c r="M82" s="492"/>
      <c r="N82" s="492"/>
      <c r="O82" s="492"/>
    </row>
    <row r="83" s="492" customFormat="1" ht="26.25" customHeight="1">
      <c r="M83" s="492"/>
      <c r="N83" s="492"/>
      <c r="O83" s="492"/>
    </row>
    <row r="84" s="492" customFormat="1" ht="26.25" customHeight="1">
      <c r="M84" s="492"/>
      <c r="N84" s="492"/>
      <c r="O84" s="492"/>
    </row>
    <row r="85" s="492" customFormat="1" ht="26.25" customHeight="1">
      <c r="M85" s="492"/>
      <c r="N85" s="492"/>
      <c r="O85" s="492"/>
    </row>
    <row r="86" s="492" customFormat="1" ht="26.25" customHeight="1">
      <c r="M86" s="492"/>
      <c r="N86" s="492"/>
      <c r="O86" s="492"/>
    </row>
    <row r="87" s="492" customFormat="1" ht="26.25" customHeight="1">
      <c r="M87" s="492"/>
      <c r="N87" s="492"/>
      <c r="O87" s="492"/>
    </row>
    <row r="88" s="492" customFormat="1" ht="26.25" customHeight="1">
      <c r="M88" s="492"/>
      <c r="N88" s="492"/>
      <c r="O88" s="492"/>
    </row>
    <row r="89" s="492" customFormat="1" ht="26.25" customHeight="1">
      <c r="M89" s="492"/>
      <c r="N89" s="492"/>
      <c r="O89" s="492"/>
    </row>
    <row r="90" s="492" customFormat="1" ht="26.25" customHeight="1">
      <c r="M90" s="492"/>
      <c r="N90" s="492"/>
      <c r="O90" s="492"/>
    </row>
    <row r="91" s="492" customFormat="1" ht="26.25" customHeight="1">
      <c r="M91" s="492"/>
      <c r="N91" s="492"/>
      <c r="O91" s="492"/>
    </row>
    <row r="92" s="492" customFormat="1" ht="26.25" customHeight="1">
      <c r="M92" s="492"/>
      <c r="N92" s="492"/>
      <c r="O92" s="492"/>
    </row>
    <row r="93" s="492" customFormat="1" ht="26.25" customHeight="1">
      <c r="M93" s="492"/>
      <c r="N93" s="492"/>
      <c r="O93" s="492"/>
    </row>
    <row r="94" s="492" customFormat="1" ht="26.25" customHeight="1">
      <c r="M94" s="492"/>
      <c r="N94" s="492"/>
      <c r="O94" s="492"/>
    </row>
    <row r="95" s="492" customFormat="1" ht="26.25" customHeight="1">
      <c r="M95" s="492"/>
      <c r="N95" s="492"/>
      <c r="O95" s="492"/>
    </row>
    <row r="96" s="492" customFormat="1" ht="26.25" customHeight="1">
      <c r="M96" s="492"/>
      <c r="N96" s="492"/>
      <c r="O96" s="492"/>
    </row>
    <row r="97" s="492" customFormat="1" ht="26.25" customHeight="1">
      <c r="M97" s="492"/>
      <c r="N97" s="492"/>
      <c r="O97" s="492"/>
    </row>
    <row r="98" s="492" customFormat="1" ht="26.25" customHeight="1">
      <c r="M98" s="492"/>
      <c r="N98" s="492"/>
      <c r="O98" s="492"/>
    </row>
    <row r="99" s="492" customFormat="1" ht="26.25" customHeight="1">
      <c r="M99" s="492"/>
      <c r="N99" s="492"/>
      <c r="O99" s="492"/>
    </row>
    <row r="100" s="492" customFormat="1" ht="26.25" customHeight="1">
      <c r="M100" s="492"/>
      <c r="N100" s="492"/>
      <c r="O100" s="492"/>
    </row>
    <row r="101" s="492" customFormat="1" ht="26.25" customHeight="1">
      <c r="M101" s="492"/>
      <c r="N101" s="492"/>
      <c r="O101" s="492"/>
    </row>
    <row r="102" s="492" customFormat="1" ht="26.25" customHeight="1">
      <c r="M102" s="492"/>
      <c r="N102" s="492"/>
      <c r="O102" s="492"/>
    </row>
    <row r="103" s="492" customFormat="1" ht="26.25" customHeight="1">
      <c r="M103" s="492"/>
      <c r="N103" s="492"/>
      <c r="O103" s="492"/>
    </row>
    <row r="104" s="492" customFormat="1" ht="26.25" customHeight="1">
      <c r="M104" s="492"/>
      <c r="N104" s="492"/>
      <c r="O104" s="492"/>
    </row>
    <row r="105" s="492" customFormat="1" ht="26.25" customHeight="1">
      <c r="M105" s="492"/>
      <c r="N105" s="492"/>
      <c r="O105" s="492"/>
    </row>
    <row r="106" s="492" customFormat="1" ht="26.25" customHeight="1">
      <c r="M106" s="492"/>
      <c r="N106" s="492"/>
      <c r="O106" s="492"/>
    </row>
    <row r="107" s="492" customFormat="1" ht="26.25" customHeight="1">
      <c r="M107" s="492"/>
      <c r="N107" s="492"/>
      <c r="O107" s="492"/>
    </row>
    <row r="108" s="492" customFormat="1" ht="26.25" customHeight="1">
      <c r="M108" s="492"/>
      <c r="N108" s="492"/>
      <c r="O108" s="492"/>
    </row>
    <row r="109" s="492" customFormat="1" ht="26.25" customHeight="1">
      <c r="M109" s="492"/>
      <c r="N109" s="492"/>
      <c r="O109" s="492"/>
    </row>
    <row r="110" s="492" customFormat="1" ht="26.25" customHeight="1">
      <c r="M110" s="492"/>
      <c r="N110" s="492"/>
      <c r="O110" s="492"/>
    </row>
    <row r="111" s="492" customFormat="1" ht="26.25" customHeight="1">
      <c r="M111" s="492"/>
      <c r="N111" s="492"/>
      <c r="O111" s="492"/>
    </row>
    <row r="112" s="492" customFormat="1" ht="26.25" customHeight="1">
      <c r="M112" s="492"/>
      <c r="N112" s="492"/>
      <c r="O112" s="492"/>
    </row>
    <row r="113" s="492" customFormat="1" ht="26.25" customHeight="1">
      <c r="M113" s="492"/>
      <c r="N113" s="492"/>
      <c r="O113" s="492"/>
    </row>
    <row r="114" s="492" customFormat="1" ht="26.25" customHeight="1">
      <c r="M114" s="492"/>
      <c r="N114" s="492"/>
      <c r="O114" s="492"/>
    </row>
    <row r="115" s="492" customFormat="1" ht="26.25" customHeight="1">
      <c r="M115" s="492"/>
      <c r="N115" s="492"/>
      <c r="O115" s="492"/>
    </row>
    <row r="116" s="492" customFormat="1" ht="26.25" customHeight="1">
      <c r="M116" s="492"/>
      <c r="N116" s="492"/>
      <c r="O116" s="492"/>
    </row>
    <row r="117" s="492" customFormat="1" ht="26.25" customHeight="1">
      <c r="M117" s="492"/>
      <c r="N117" s="492"/>
      <c r="O117" s="492"/>
    </row>
    <row r="118" s="492" customFormat="1" ht="26.25" customHeight="1">
      <c r="M118" s="492"/>
      <c r="N118" s="492"/>
      <c r="O118" s="492"/>
    </row>
    <row r="119" s="492" customFormat="1" ht="26.25" customHeight="1">
      <c r="M119" s="492"/>
      <c r="N119" s="492"/>
      <c r="O119" s="492"/>
    </row>
    <row r="120" s="492" customFormat="1" ht="26.25" customHeight="1">
      <c r="M120" s="492"/>
      <c r="N120" s="492"/>
      <c r="O120" s="492"/>
    </row>
    <row r="121" s="492" customFormat="1" ht="26.25" customHeight="1">
      <c r="M121" s="492"/>
      <c r="N121" s="492"/>
      <c r="O121" s="492"/>
    </row>
    <row r="122" s="492" customFormat="1" ht="26.25" customHeight="1">
      <c r="M122" s="492"/>
      <c r="N122" s="492"/>
      <c r="O122" s="492"/>
    </row>
    <row r="123" s="492" customFormat="1" ht="26.25" customHeight="1">
      <c r="M123" s="492"/>
      <c r="N123" s="492"/>
      <c r="O123" s="492"/>
    </row>
    <row r="124" s="492" customFormat="1" ht="26.25" customHeight="1">
      <c r="M124" s="492"/>
      <c r="N124" s="492"/>
      <c r="O124" s="492"/>
    </row>
    <row r="125" s="492" customFormat="1" ht="26.25" customHeight="1">
      <c r="M125" s="492"/>
      <c r="N125" s="492"/>
      <c r="O125" s="492"/>
    </row>
    <row r="126" s="492" customFormat="1" ht="26.25" customHeight="1">
      <c r="M126" s="492"/>
      <c r="N126" s="492"/>
      <c r="O126" s="492"/>
    </row>
    <row r="127" s="492" customFormat="1" ht="26.25" customHeight="1">
      <c r="M127" s="492"/>
      <c r="N127" s="492"/>
      <c r="O127" s="492"/>
    </row>
    <row r="128" s="492" customFormat="1" ht="26.25" customHeight="1">
      <c r="M128" s="492"/>
      <c r="N128" s="492"/>
      <c r="O128" s="492"/>
    </row>
    <row r="129" s="492" customFormat="1" ht="26.25" customHeight="1">
      <c r="M129" s="492"/>
      <c r="N129" s="492"/>
      <c r="O129" s="492"/>
    </row>
    <row r="130" s="492" customFormat="1" ht="26.25" customHeight="1">
      <c r="M130" s="492"/>
      <c r="N130" s="492"/>
      <c r="O130" s="492"/>
    </row>
    <row r="131" s="492" customFormat="1" ht="26.25" customHeight="1">
      <c r="M131" s="492"/>
      <c r="N131" s="492"/>
      <c r="O131" s="492"/>
    </row>
    <row r="132" s="492" customFormat="1" ht="26.25" customHeight="1">
      <c r="M132" s="492"/>
      <c r="N132" s="492"/>
      <c r="O132" s="492"/>
    </row>
    <row r="133" s="492" customFormat="1" ht="26.25" customHeight="1">
      <c r="M133" s="492"/>
      <c r="N133" s="492"/>
      <c r="O133" s="492"/>
    </row>
    <row r="134" s="492" customFormat="1" ht="26.25" customHeight="1">
      <c r="M134" s="492"/>
      <c r="N134" s="492"/>
      <c r="O134" s="492"/>
    </row>
    <row r="135" s="492" customFormat="1" ht="26.25" customHeight="1">
      <c r="M135" s="492"/>
      <c r="N135" s="492"/>
      <c r="O135" s="492"/>
    </row>
    <row r="136" s="492" customFormat="1" ht="26.25" customHeight="1">
      <c r="M136" s="492"/>
      <c r="N136" s="492"/>
      <c r="O136" s="492"/>
    </row>
    <row r="137" s="492" customFormat="1" ht="26.25" customHeight="1">
      <c r="M137" s="492"/>
      <c r="N137" s="492"/>
      <c r="O137" s="492"/>
    </row>
    <row r="138" s="492" customFormat="1" ht="26.25" customHeight="1">
      <c r="M138" s="492"/>
      <c r="N138" s="492"/>
      <c r="O138" s="492"/>
    </row>
    <row r="139" s="492" customFormat="1" ht="26.25" customHeight="1">
      <c r="M139" s="492"/>
      <c r="N139" s="492"/>
      <c r="O139" s="492"/>
    </row>
    <row r="140" s="492" customFormat="1" ht="26.25" customHeight="1">
      <c r="M140" s="492"/>
      <c r="N140" s="492"/>
      <c r="O140" s="492"/>
    </row>
    <row r="141" s="492" customFormat="1" ht="26.25" customHeight="1">
      <c r="M141" s="492"/>
      <c r="N141" s="492"/>
      <c r="O141" s="492"/>
    </row>
    <row r="142" s="492" customFormat="1" ht="26.25" customHeight="1">
      <c r="M142" s="492"/>
      <c r="N142" s="492"/>
      <c r="O142" s="492"/>
    </row>
    <row r="143" s="492" customFormat="1" ht="26.25" customHeight="1">
      <c r="M143" s="492"/>
      <c r="N143" s="492"/>
      <c r="O143" s="492"/>
    </row>
    <row r="144" s="492" customFormat="1" ht="26.25" customHeight="1">
      <c r="M144" s="492"/>
      <c r="N144" s="492"/>
      <c r="O144" s="492"/>
    </row>
    <row r="145" s="492" customFormat="1" ht="26.25" customHeight="1">
      <c r="M145" s="492"/>
      <c r="N145" s="492"/>
      <c r="O145" s="492"/>
    </row>
    <row r="146" s="492" customFormat="1" ht="26.25" customHeight="1">
      <c r="M146" s="492"/>
      <c r="N146" s="492"/>
      <c r="O146" s="492"/>
    </row>
    <row r="147" s="492" customFormat="1" ht="26.25" customHeight="1">
      <c r="M147" s="492"/>
      <c r="N147" s="492"/>
      <c r="O147" s="492"/>
    </row>
    <row r="148" s="492" customFormat="1" ht="26.25" customHeight="1">
      <c r="M148" s="492"/>
      <c r="N148" s="492"/>
      <c r="O148" s="492"/>
    </row>
    <row r="149" s="492" customFormat="1" ht="26.25" customHeight="1">
      <c r="M149" s="492"/>
      <c r="N149" s="492"/>
      <c r="O149" s="492"/>
    </row>
    <row r="150" s="492" customFormat="1" ht="26.25" customHeight="1">
      <c r="M150" s="492"/>
      <c r="N150" s="492"/>
      <c r="O150" s="492"/>
    </row>
    <row r="151" s="492" customFormat="1" ht="26.25" customHeight="1">
      <c r="M151" s="492"/>
      <c r="N151" s="492"/>
      <c r="O151" s="492"/>
    </row>
    <row r="152" s="492" customFormat="1" ht="26.25" customHeight="1">
      <c r="M152" s="492"/>
      <c r="N152" s="492"/>
      <c r="O152" s="492"/>
    </row>
    <row r="153" s="492" customFormat="1" ht="26.25" customHeight="1">
      <c r="M153" s="492"/>
      <c r="N153" s="492"/>
      <c r="O153" s="492"/>
    </row>
    <row r="154" s="492" customFormat="1" ht="26.25" customHeight="1">
      <c r="M154" s="492"/>
      <c r="N154" s="492"/>
      <c r="O154" s="492"/>
    </row>
    <row r="155" s="492" customFormat="1" ht="26.25" customHeight="1">
      <c r="M155" s="492"/>
      <c r="N155" s="492"/>
      <c r="O155" s="492"/>
    </row>
    <row r="156" s="492" customFormat="1" ht="26.25" customHeight="1">
      <c r="M156" s="492"/>
      <c r="N156" s="492"/>
      <c r="O156" s="492"/>
    </row>
    <row r="157" s="492" customFormat="1" ht="26.25" customHeight="1">
      <c r="M157" s="492"/>
      <c r="N157" s="492"/>
      <c r="O157" s="492"/>
    </row>
    <row r="158" s="492" customFormat="1" ht="26.25" customHeight="1">
      <c r="M158" s="492"/>
      <c r="N158" s="492"/>
      <c r="O158" s="492"/>
    </row>
    <row r="159" s="492" customFormat="1" ht="26.25" customHeight="1">
      <c r="M159" s="492"/>
      <c r="N159" s="492"/>
      <c r="O159" s="492"/>
    </row>
    <row r="160" s="492" customFormat="1" ht="26.25" customHeight="1">
      <c r="M160" s="492"/>
      <c r="N160" s="492"/>
      <c r="O160" s="492"/>
    </row>
    <row r="161" s="492" customFormat="1" ht="26.25" customHeight="1">
      <c r="M161" s="492"/>
      <c r="N161" s="492"/>
      <c r="O161" s="492"/>
    </row>
    <row r="162" s="492" customFormat="1" ht="26.25" customHeight="1">
      <c r="M162" s="492"/>
      <c r="N162" s="492"/>
      <c r="O162" s="492"/>
    </row>
    <row r="163" s="492" customFormat="1" ht="26.25" customHeight="1">
      <c r="M163" s="492"/>
      <c r="N163" s="492"/>
      <c r="O163" s="492"/>
    </row>
    <row r="164" s="492" customFormat="1" ht="26.25" customHeight="1">
      <c r="M164" s="492"/>
      <c r="N164" s="492"/>
      <c r="O164" s="492"/>
    </row>
    <row r="165" s="492" customFormat="1" ht="26.25" customHeight="1">
      <c r="M165" s="492"/>
      <c r="N165" s="492"/>
      <c r="O165" s="492"/>
    </row>
    <row r="166" s="492" customFormat="1" ht="26.25" customHeight="1">
      <c r="M166" s="492"/>
      <c r="N166" s="492"/>
      <c r="O166" s="492"/>
    </row>
    <row r="167" s="492" customFormat="1" ht="26.25" customHeight="1">
      <c r="M167" s="492"/>
      <c r="N167" s="492"/>
      <c r="O167" s="492"/>
    </row>
    <row r="168" s="492" customFormat="1" ht="26.25" customHeight="1">
      <c r="M168" s="492"/>
      <c r="N168" s="492"/>
      <c r="O168" s="492"/>
    </row>
    <row r="169" s="492" customFormat="1" ht="26.25" customHeight="1">
      <c r="M169" s="492"/>
      <c r="N169" s="492"/>
      <c r="O169" s="492"/>
    </row>
    <row r="170" s="492" customFormat="1" ht="26.25" customHeight="1">
      <c r="M170" s="492"/>
      <c r="N170" s="492"/>
      <c r="O170" s="492"/>
    </row>
    <row r="171" s="492" customFormat="1" ht="26.25" customHeight="1">
      <c r="M171" s="492"/>
      <c r="N171" s="492"/>
      <c r="O171" s="492"/>
    </row>
    <row r="172" s="492" customFormat="1" ht="26.25" customHeight="1">
      <c r="M172" s="492"/>
      <c r="N172" s="492"/>
      <c r="O172" s="492"/>
    </row>
    <row r="173" s="492" customFormat="1" ht="26.25" customHeight="1">
      <c r="M173" s="492"/>
      <c r="N173" s="492"/>
      <c r="O173" s="492"/>
    </row>
    <row r="174" s="492" customFormat="1" ht="26.25" customHeight="1">
      <c r="M174" s="492"/>
      <c r="N174" s="492"/>
      <c r="O174" s="492"/>
    </row>
    <row r="175" s="492" customFormat="1" ht="26.25" customHeight="1">
      <c r="M175" s="492"/>
      <c r="N175" s="492"/>
      <c r="O175" s="492"/>
    </row>
    <row r="176" s="492" customFormat="1" ht="26.25" customHeight="1">
      <c r="M176" s="492"/>
      <c r="N176" s="492"/>
      <c r="O176" s="492"/>
    </row>
    <row r="177" s="492" customFormat="1" ht="26.25" customHeight="1">
      <c r="M177" s="492"/>
      <c r="N177" s="492"/>
      <c r="O177" s="492"/>
    </row>
    <row r="178" s="492" customFormat="1" ht="26.25" customHeight="1">
      <c r="M178" s="492"/>
      <c r="N178" s="492"/>
      <c r="O178" s="492"/>
    </row>
    <row r="179" s="492" customFormat="1" ht="26.25" customHeight="1">
      <c r="M179" s="492"/>
      <c r="N179" s="492"/>
      <c r="O179" s="492"/>
    </row>
    <row r="180" s="492" customFormat="1" ht="26.25" customHeight="1">
      <c r="M180" s="492"/>
      <c r="N180" s="492"/>
      <c r="O180" s="492"/>
    </row>
    <row r="181" s="492" customFormat="1" ht="26.25" customHeight="1">
      <c r="M181" s="492"/>
      <c r="N181" s="492"/>
      <c r="O181" s="492"/>
    </row>
    <row r="182" s="492" customFormat="1" ht="26.25" customHeight="1">
      <c r="M182" s="492"/>
      <c r="N182" s="492"/>
      <c r="O182" s="492"/>
    </row>
    <row r="183" s="492" customFormat="1" ht="26.25" customHeight="1">
      <c r="M183" s="492"/>
      <c r="N183" s="492"/>
      <c r="O183" s="492"/>
    </row>
    <row r="184" s="492" customFormat="1" ht="26.25" customHeight="1">
      <c r="M184" s="492"/>
      <c r="N184" s="492"/>
      <c r="O184" s="492"/>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35"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1">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2026-07-15T20:54:21Z</dcterms:modified>
</cp:coreProperties>
</file>
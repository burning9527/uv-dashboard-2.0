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F5CEEF"/>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18" fillId="29" borderId="0" applyAlignment="1" pivotButton="0" quotePrefix="0" xfId="0">
      <alignment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22" fillId="29" borderId="0" applyAlignment="1" pivotButton="0" quotePrefix="0" xfId="0">
      <alignment horizontal="center" vertical="center" wrapText="1"/>
    </xf>
    <xf numFmtId="0" fontId="18" fillId="29" borderId="0" applyAlignment="1" pivotButton="0" quotePrefix="0" xfId="0">
      <alignment horizontal="center" vertical="center"/>
    </xf>
    <xf numFmtId="0" fontId="22" fillId="29"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4" borderId="0" applyAlignment="1" pivotButton="0" quotePrefix="0" xfId="0">
      <alignment horizontal="center" vertical="center" wrapText="1"/>
    </xf>
    <xf numFmtId="0" fontId="35" fillId="35"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36" fillId="31" borderId="1" applyAlignment="1" pivotButton="0" quotePrefix="0" xfId="0">
      <alignment horizontal="center" vertical="center" wrapText="1"/>
    </xf>
    <xf numFmtId="0" fontId="8" fillId="0" borderId="0" applyAlignment="1" pivotButton="0" quotePrefix="0" xfId="0">
      <alignment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33"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4" borderId="0" applyAlignment="1" pivotButton="0" quotePrefix="0" xfId="0">
      <alignment horizontal="center" vertical="center" wrapText="1"/>
    </xf>
    <xf numFmtId="0" fontId="8" fillId="0" borderId="0" applyAlignment="1" pivotButton="0" quotePrefix="0" xfId="0">
      <alignment vertical="center"/>
    </xf>
    <xf numFmtId="0" fontId="36" fillId="32" borderId="0" applyAlignment="1" pivotButton="0" quotePrefix="0" xfId="0">
      <alignment horizontal="center" vertical="center"/>
    </xf>
    <xf numFmtId="0" fontId="36" fillId="20" borderId="0" applyAlignment="1" pivotButton="0" quotePrefix="0" xfId="0">
      <alignment horizontal="center" vertical="center"/>
    </xf>
    <xf numFmtId="0" fontId="36" fillId="34" borderId="0" applyAlignment="1" pivotButton="0" quotePrefix="0" xfId="0">
      <alignment horizontal="center" vertical="center"/>
    </xf>
    <xf numFmtId="0" fontId="36"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xf>
    <xf numFmtId="0" fontId="38" fillId="32"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3"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35"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33" borderId="0" applyAlignment="1" pivotButton="0" quotePrefix="0" xfId="0">
      <alignment horizontal="center" vertical="center"/>
    </xf>
    <xf numFmtId="0" fontId="35" fillId="20" borderId="0" applyAlignment="1" pivotButton="0" quotePrefix="0" xfId="0">
      <alignment horizontal="center" vertical="center"/>
    </xf>
    <xf numFmtId="0" fontId="35" fillId="34" borderId="0" applyAlignment="1" pivotButton="0" quotePrefix="0" xfId="0">
      <alignment horizontal="center" vertical="center"/>
    </xf>
    <xf numFmtId="0" fontId="35" fillId="35"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1"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3" min="9" max="9"/>
    <col width="11.0068359375" customWidth="1" style="1053" min="10" max="10"/>
    <col hidden="1" width="10" customWidth="1" style="1053" min="11" max="15"/>
    <col width="9.2490234375" customWidth="1" style="1053" min="16" max="16"/>
    <col width="10" customWidth="1" style="1053" min="17" max="18"/>
  </cols>
  <sheetData>
    <row r="1" ht="24" customHeight="1" s="1053"/>
    <row r="2" ht="24" customHeight="1" s="1053">
      <c r="B2" s="60" t="inlineStr">
        <is>
          <t>校区看板</t>
        </is>
      </c>
      <c r="C2" s="60" t="inlineStr">
        <is>
          <t>在读UV</t>
        </is>
      </c>
      <c r="D2" s="60" t="inlineStr">
        <is>
          <t>在读PV</t>
        </is>
      </c>
      <c r="E2" s="1054" t="n"/>
      <c r="F2" s="1054" t="n"/>
      <c r="G2" s="1054" t="n"/>
      <c r="H2" s="1054" t="n"/>
      <c r="I2" s="1054" t="n"/>
      <c r="J2" s="1054" t="n"/>
      <c r="K2" s="1054" t="n"/>
      <c r="L2" s="1054" t="n"/>
      <c r="M2" s="1054" t="n"/>
      <c r="N2" s="1054" t="n"/>
      <c r="O2" s="1055" t="n"/>
    </row>
    <row r="3" ht="24" customHeight="1" s="1053">
      <c r="B3" s="1056" t="n"/>
      <c r="C3" s="1056"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3">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3">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3">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3">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3"/>
    <row r="9" ht="24" customHeight="1" s="1053">
      <c r="B9" s="104" t="inlineStr">
        <is>
          <t>班型</t>
        </is>
      </c>
      <c r="C9" s="13" t="inlineStr">
        <is>
          <t>分数段</t>
        </is>
      </c>
      <c r="D9" s="60" t="inlineStr">
        <is>
          <t>数学分层</t>
        </is>
      </c>
      <c r="E9" s="1054" t="n"/>
      <c r="F9" s="1054" t="n"/>
      <c r="G9" s="1054" t="n"/>
      <c r="H9" s="1054" t="n"/>
      <c r="I9" s="1054" t="n"/>
      <c r="J9" s="1054" t="n"/>
      <c r="K9" s="1054" t="n"/>
      <c r="L9" s="1054" t="n"/>
      <c r="M9" s="1054" t="n"/>
      <c r="N9" s="1054" t="n"/>
      <c r="O9" s="1054" t="n"/>
      <c r="P9" s="1054" t="n"/>
      <c r="Q9" s="1054" t="n"/>
      <c r="R9" s="1054" t="n"/>
      <c r="S9" s="1055" t="n"/>
      <c r="U9" s="60" t="inlineStr">
        <is>
          <t>生源质量</t>
        </is>
      </c>
      <c r="V9" s="60" t="inlineStr">
        <is>
          <t>整体</t>
        </is>
      </c>
      <c r="W9" s="1055" t="n"/>
      <c r="X9" s="11" t="inlineStr">
        <is>
          <t>新宝利</t>
        </is>
      </c>
      <c r="Y9" s="1055" t="n"/>
      <c r="Z9" s="69" t="inlineStr">
        <is>
          <t>同创汇</t>
        </is>
      </c>
      <c r="AA9" s="1055" t="n"/>
      <c r="AB9" s="30" t="inlineStr">
        <is>
          <t>天成大厦</t>
        </is>
      </c>
      <c r="AC9" s="1055" t="n"/>
    </row>
    <row r="10" ht="24" customHeight="1" s="1053">
      <c r="B10" s="1057" t="n"/>
      <c r="C10" s="1058"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6"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3">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3">
      <c r="B12" s="1057"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3">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3">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3">
      <c r="B15" s="1057"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3">
      <c r="B16" s="13" t="inlineStr">
        <is>
          <t>合计</t>
        </is>
      </c>
      <c r="C16" s="1055"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3">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3"/>
    <row r="19" ht="24" customHeight="1" s="1053"/>
    <row r="20" ht="24" customHeight="1" s="1053"/>
    <row r="21" ht="24" customHeight="1" s="1053">
      <c r="B21" s="60" t="inlineStr">
        <is>
          <t>暑假整体汇总</t>
        </is>
      </c>
      <c r="C21" s="1055"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3">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3">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3">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3">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3">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3">
      <c r="B27" s="58" t="inlineStr">
        <is>
          <t>数学合计</t>
        </is>
      </c>
      <c r="C27" s="1055"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3">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3">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6" t="inlineStr">
        <is>
          <t>零期</t>
        </is>
      </c>
      <c r="V29" s="497" t="inlineStr">
        <is>
          <t>学员数</t>
        </is>
      </c>
      <c r="W29" s="1059" t="n"/>
      <c r="X29" s="498" t="inlineStr">
        <is>
          <t>vip入群率</t>
        </is>
      </c>
      <c r="Y29" s="498" t="inlineStr">
        <is>
          <t>课前家长会（UV）</t>
        </is>
      </c>
      <c r="Z29" s="1059" t="n"/>
      <c r="AA29" s="499" t="inlineStr">
        <is>
          <t>课中家长会（UV）</t>
        </is>
      </c>
      <c r="AB29" s="1059" t="n"/>
      <c r="AC29" s="534" t="inlineStr">
        <is>
          <t>转化率
（PV）</t>
        </is>
      </c>
      <c r="AD29" s="1060" t="inlineStr">
        <is>
          <t>学员意向分层(PV)</t>
        </is>
      </c>
      <c r="AE29" s="1061" t="n"/>
      <c r="AF29" s="1061" t="n"/>
      <c r="AG29" s="1061" t="n"/>
      <c r="AH29" s="1061" t="n"/>
      <c r="AI29" s="1061" t="n"/>
      <c r="AJ29" s="1061" t="n"/>
      <c r="AK29" s="1059" t="n"/>
    </row>
    <row r="30" ht="24" customHeight="1" s="1053">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7" t="inlineStr">
        <is>
          <t>校区</t>
        </is>
      </c>
      <c r="V30" s="497" t="inlineStr">
        <is>
          <t>PV</t>
        </is>
      </c>
      <c r="W30" s="497" t="inlineStr">
        <is>
          <t>UV</t>
        </is>
      </c>
      <c r="X30" s="1062" t="n"/>
      <c r="Y30" s="498" t="inlineStr">
        <is>
          <t>课前诺访</t>
        </is>
      </c>
      <c r="Z30" s="498" t="inlineStr">
        <is>
          <t>课前确访</t>
        </is>
      </c>
      <c r="AA30" s="499" t="inlineStr">
        <is>
          <t>课中诺访</t>
        </is>
      </c>
      <c r="AB30" s="499" t="inlineStr">
        <is>
          <t>课中确访</t>
        </is>
      </c>
      <c r="AC30" s="1063" t="n"/>
      <c r="AD30" s="517" t="inlineStr">
        <is>
          <t>S</t>
        </is>
      </c>
      <c r="AE30" s="502" t="inlineStr">
        <is>
          <t>占比</t>
        </is>
      </c>
      <c r="AF30" s="520" t="inlineStr">
        <is>
          <t>A</t>
        </is>
      </c>
      <c r="AG30" s="421" t="inlineStr">
        <is>
          <t>占比</t>
        </is>
      </c>
      <c r="AH30" s="511" t="inlineStr">
        <is>
          <t>B</t>
        </is>
      </c>
      <c r="AI30" s="421" t="inlineStr">
        <is>
          <t>占比</t>
        </is>
      </c>
      <c r="AJ30" s="512" t="inlineStr">
        <is>
          <t>C</t>
        </is>
      </c>
      <c r="AK30" s="421" t="inlineStr">
        <is>
          <t>占比</t>
        </is>
      </c>
    </row>
    <row r="31" ht="24" customHeight="1" s="1053">
      <c r="B31" s="74" t="inlineStr">
        <is>
          <t>语文合计</t>
        </is>
      </c>
      <c r="C31" s="1055"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501">
        <f>IFERROR(COUNTIFS('零期·UV电访分配'!A:A,U31,'零期·UV电访分配'!AH:AH,"是")/W31,0)</f>
        <v/>
      </c>
      <c r="Y31" s="501">
        <f>IFERROR(COUNTIFS('零期·UV电访分配'!A:A,U31,'零期·UV电访分配'!S:S,"是")/W31,0)</f>
        <v/>
      </c>
      <c r="Z31" s="501">
        <f>IFERROR(COUNTIFS('零期·UV电访分配'!A:A,U31,'零期·UV电访分配'!T:T,"是")/W31,0)</f>
        <v/>
      </c>
      <c r="AA31" s="501">
        <f>IFERROR(COUNTIFS('零期·UV电访分配'!A:A,U31,'零期·UV电访分配'!AB:AB,"是")/W31,0)</f>
        <v/>
      </c>
      <c r="AB31" s="15">
        <f>IFERROR(COUNTIFS('零期·UV电访分配'!A:A,U31,'零期·UV电访分配'!AD:AD,"是")/W31,0)</f>
        <v/>
      </c>
      <c r="AC31" s="509">
        <f>IFERROR(SUMIF('零期·UV电访分配'!A:A,U31,'零期·UV电访分配'!AX:AX)/V31,0)</f>
        <v/>
      </c>
      <c r="AD31" s="518">
        <f>COUNTIFS('零期·UV电访分配'!A:A,U31,'零期·UV电访分配'!AM:AM,"S")+COUNTIFS('零期·UV电访分配'!A:A,U31,'零期·UV电访分配'!AN:AN,"S")+COUNTIFS('零期·UV电访分配'!A:A,U31,'零期·UV电访分配'!AO:AO,"S")</f>
        <v/>
      </c>
      <c r="AE31" s="523">
        <f>IFERROR(AD31/V31,0)</f>
        <v/>
      </c>
      <c r="AF31" s="521">
        <f>COUNTIFS('零期·UV电访分配'!A:A,U31,'零期·UV电访分配'!AM:AM,"A")+COUNTIFS('零期·UV电访分配'!A:A,U31,'零期·UV电访分配'!AN:AN,"A")+COUNTIFS('零期·UV电访分配'!A:A,U31,'零期·UV电访分配'!AO:AO,"A")</f>
        <v/>
      </c>
      <c r="AG31" s="530">
        <f>IFERROR(AF31/V31,0)</f>
        <v/>
      </c>
      <c r="AH31" s="513">
        <f>COUNTIFS('零期·UV电访分配'!A:A,U31,'零期·UV电访分配'!AM:AM,"B")+COUNTIFS('零期·UV电访分配'!A:A,U31,'零期·UV电访分配'!AN:AN,"B")+COUNTIFS('零期·UV电访分配'!A:A,U31,'零期·UV电访分配'!AO:AO,"B")</f>
        <v/>
      </c>
      <c r="AI31" s="473">
        <f>IFERROR(AH31/V31,0)</f>
        <v/>
      </c>
      <c r="AJ31" s="514">
        <f>COUNTIFS('零期·UV电访分配'!A:A,U31,'零期·UV电访分配'!AM:AM,"C")+COUNTIFS('零期·UV电访分配'!A:A,U31,'零期·UV电访分配'!AN:AN,"C")+COUNTIFS('零期·UV电访分配'!A:A,U31,'零期·UV电访分配'!AO:AO,"C")</f>
        <v/>
      </c>
      <c r="AK31" s="473">
        <f>IFERROR(AJ31/V31,0)</f>
        <v/>
      </c>
    </row>
    <row r="32" ht="24" customHeight="1" s="1053">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501">
        <f>COUNTIFS('零期·UV电访分配'!A:A,U32,'零期·UV电访分配'!AH:AH,"是")/W32</f>
        <v/>
      </c>
      <c r="Y32" s="501">
        <f>COUNTIFS('零期·UV电访分配'!A:A,U32,'零期·UV电访分配'!S:S,"是")/W32</f>
        <v/>
      </c>
      <c r="Z32" s="501">
        <f>COUNTIFS('零期·UV电访分配'!A:A,U32,'零期·UV电访分配'!T:T,"是")/W32</f>
        <v/>
      </c>
      <c r="AA32" s="501">
        <f>COUNTIFS('零期·UV电访分配'!A:A,U32,'零期·UV电访分配'!AB:AB,"是")/W32</f>
        <v/>
      </c>
      <c r="AB32" s="15">
        <f>COUNTIFS('零期·UV电访分配'!A:A,U32,'零期·UV电访分配'!AD:AD,"是")/W32</f>
        <v/>
      </c>
      <c r="AC32" s="509">
        <f>SUMIF('零期·UV电访分配'!A:A,U32,'零期·UV电访分配'!AX:AX)/V32</f>
        <v/>
      </c>
      <c r="AD32" s="518">
        <f>COUNTIFS('零期·UV电访分配'!A:A,U32,'零期·UV电访分配'!AM:AM,"S")+COUNTIFS('零期·UV电访分配'!A:A,U32,'零期·UV电访分配'!AN:AN,"S")+COUNTIFS('零期·UV电访分配'!A:A,U32,'零期·UV电访分配'!AO:AO,"S")</f>
        <v/>
      </c>
      <c r="AE32" s="523">
        <f>AD32/V32</f>
        <v/>
      </c>
      <c r="AF32" s="521">
        <f>COUNTIFS('零期·UV电访分配'!A:A,U32,'零期·UV电访分配'!AM:AM,"A")+COUNTIFS('零期·UV电访分配'!A:A,U32,'零期·UV电访分配'!AN:AN,"A")+COUNTIFS('零期·UV电访分配'!A:A,U32,'零期·UV电访分配'!AO:AO,"A")</f>
        <v/>
      </c>
      <c r="AG32" s="530">
        <f>AF32/V32</f>
        <v/>
      </c>
      <c r="AH32" s="513">
        <f>COUNTIFS('零期·UV电访分配'!A:A,U32,'零期·UV电访分配'!AM:AM,"B")+COUNTIFS('零期·UV电访分配'!A:A,U32,'零期·UV电访分配'!AN:AN,"B")+COUNTIFS('零期·UV电访分配'!A:A,U32,'零期·UV电访分配'!AO:AO,"B")</f>
        <v/>
      </c>
      <c r="AI32" s="473">
        <f>AH32/V32</f>
        <v/>
      </c>
      <c r="AJ32" s="514">
        <f>COUNTIFS('零期·UV电访分配'!A:A,U32,'零期·UV电访分配'!AM:AM,"C")+COUNTIFS('零期·UV电访分配'!A:A,U32,'零期·UV电访分配'!AN:AN,"C")+COUNTIFS('零期·UV电访分配'!A:A,U32,'零期·UV电访分配'!AO:AO,"C")</f>
        <v/>
      </c>
      <c r="AK32" s="473">
        <f>AJ32/V32</f>
        <v/>
      </c>
    </row>
    <row r="33" ht="24" customHeight="1" s="1053">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501">
        <f>COUNTIFS('零期·UV电访分配'!A:A,U33,'零期·UV电访分配'!AH:AH,"是")/W33</f>
        <v/>
      </c>
      <c r="Y33" s="501">
        <f>COUNTIFS('零期·UV电访分配'!A:A,U33,'零期·UV电访分配'!S:S,"是")/W33</f>
        <v/>
      </c>
      <c r="Z33" s="501">
        <f>COUNTIFS('零期·UV电访分配'!A:A,U33,'零期·UV电访分配'!T:T,"是")/W33</f>
        <v/>
      </c>
      <c r="AA33" s="501">
        <f>COUNTIFS('零期·UV电访分配'!A:A,U33,'零期·UV电访分配'!AB:AB,"是")/W33</f>
        <v/>
      </c>
      <c r="AB33" s="15">
        <f>COUNTIFS('零期·UV电访分配'!A:A,U33,'零期·UV电访分配'!AD:AD,"是")/W33</f>
        <v/>
      </c>
      <c r="AC33" s="509">
        <f>SUMIF('零期·UV电访分配'!A:A,U33,'零期·UV电访分配'!AX:AX)/V33</f>
        <v/>
      </c>
      <c r="AD33" s="518">
        <f>COUNTIFS('零期·UV电访分配'!A:A,U33,'零期·UV电访分配'!AM:AM,"S")+COUNTIFS('零期·UV电访分配'!A:A,U33,'零期·UV电访分配'!AN:AN,"S")+COUNTIFS('零期·UV电访分配'!A:A,U33,'零期·UV电访分配'!AO:AO,"S")</f>
        <v/>
      </c>
      <c r="AE33" s="523">
        <f>AD33/V33</f>
        <v/>
      </c>
      <c r="AF33" s="521">
        <f>COUNTIFS('零期·UV电访分配'!A:A,U33,'零期·UV电访分配'!AM:AM,"A")+COUNTIFS('零期·UV电访分配'!A:A,U33,'零期·UV电访分配'!AN:AN,"A")+COUNTIFS('零期·UV电访分配'!A:A,U33,'零期·UV电访分配'!AO:AO,"A")</f>
        <v/>
      </c>
      <c r="AG33" s="530">
        <f>AF33/V33</f>
        <v/>
      </c>
      <c r="AH33" s="513">
        <f>COUNTIFS('零期·UV电访分配'!A:A,U33,'零期·UV电访分配'!AM:AM,"B")+COUNTIFS('零期·UV电访分配'!A:A,U33,'零期·UV电访分配'!AN:AN,"B")+COUNTIFS('零期·UV电访分配'!A:A,U33,'零期·UV电访分配'!AO:AO,"B")</f>
        <v/>
      </c>
      <c r="AI33" s="473">
        <f>AH33/V33</f>
        <v/>
      </c>
      <c r="AJ33" s="514">
        <f>COUNTIFS('零期·UV电访分配'!A:A,U33,'零期·UV电访分配'!AM:AM,"C")+COUNTIFS('零期·UV电访分配'!A:A,U33,'零期·UV电访分配'!AN:AN,"C")+COUNTIFS('零期·UV电访分配'!A:A,U33,'零期·UV电访分配'!AO:AO,"C")</f>
        <v/>
      </c>
      <c r="AK33" s="473">
        <f>AJ33/V33</f>
        <v/>
      </c>
    </row>
    <row r="34" ht="24" customHeight="1" s="1053">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3" t="inlineStr">
        <is>
          <t>分校合计</t>
        </is>
      </c>
      <c r="V34" s="503">
        <f>SUM(V31:V33)</f>
        <v/>
      </c>
      <c r="W34" s="503">
        <f>SUM(W31:W33)</f>
        <v/>
      </c>
      <c r="X34" s="504">
        <f>COUNTIF('零期·UV电访分配'!AH:AH,"是")/W34</f>
        <v/>
      </c>
      <c r="Y34" s="504">
        <f>COUNTIF('零期·UV电访分配'!S:S,"是")/W34</f>
        <v/>
      </c>
      <c r="Z34" s="504">
        <f>COUNTIF('零期·UV电访分配'!T:T,"是")/W34</f>
        <v/>
      </c>
      <c r="AA34" s="504">
        <f>COUNTIF('零期·UV电访分配'!AB:AB,"是")/W34</f>
        <v/>
      </c>
      <c r="AB34" s="17">
        <f>COUNTIF('零期·UV电访分配'!AD:AD,"是")/W34</f>
        <v/>
      </c>
      <c r="AC34" s="510">
        <f>'零期·UV电访分配'!AX2/V34</f>
        <v/>
      </c>
      <c r="AD34" s="519">
        <f>SUM(AD31:AD33)</f>
        <v/>
      </c>
      <c r="AE34" s="528">
        <f>AD34/V34</f>
        <v/>
      </c>
      <c r="AF34" s="522">
        <f>SUM(AF31:AF33)</f>
        <v/>
      </c>
      <c r="AG34" s="531">
        <f>AF34/V34</f>
        <v/>
      </c>
      <c r="AH34" s="515">
        <f>SUM(AH31:AH33)</f>
        <v/>
      </c>
      <c r="AI34" s="529">
        <f>AH34/V34</f>
        <v/>
      </c>
      <c r="AJ34" s="515">
        <f>SUM(AJ31:AJ33)</f>
        <v/>
      </c>
      <c r="AK34" s="529">
        <f>AJ34/V34</f>
        <v/>
      </c>
    </row>
    <row r="35" ht="24" customHeight="1" s="1053">
      <c r="B35" s="58" t="inlineStr">
        <is>
          <t>英语合计</t>
        </is>
      </c>
      <c r="C35" s="1055"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3"/>
    <row r="37" ht="24" customHeight="1" s="1053">
      <c r="B37" s="72" t="inlineStr">
        <is>
          <t>零期汇总</t>
        </is>
      </c>
      <c r="C37" s="1064" t="n"/>
      <c r="D37" s="60" t="inlineStr">
        <is>
          <t>基础信息</t>
        </is>
      </c>
      <c r="E37" s="1054" t="n"/>
      <c r="F37" s="1054" t="n"/>
      <c r="G37" s="1054" t="n"/>
      <c r="H37" s="1054" t="n"/>
      <c r="I37" s="1054" t="n"/>
      <c r="J37" s="1055" t="n"/>
      <c r="K37" s="238" t="inlineStr">
        <is>
          <t>课前服务</t>
        </is>
      </c>
      <c r="L37" s="1065" t="n"/>
      <c r="M37" s="1065" t="n"/>
      <c r="N37" s="1065" t="n"/>
      <c r="O37" s="1066" t="n"/>
      <c r="P37" s="56" t="inlineStr">
        <is>
          <t>首课电访</t>
        </is>
      </c>
      <c r="S37" s="193" t="inlineStr">
        <is>
          <t>课中家长会</t>
        </is>
      </c>
      <c r="T37" s="1065" t="n"/>
      <c r="U37" s="1065" t="n"/>
      <c r="V37" s="1065" t="n"/>
      <c r="W37" s="1065" t="n"/>
      <c r="X37" s="1065" t="n"/>
      <c r="Y37" s="1065" t="n"/>
      <c r="Z37" s="1065" t="n"/>
      <c r="AA37" s="1065" t="n"/>
      <c r="AB37" s="1065" t="n"/>
    </row>
    <row r="38" ht="24" customHeight="1" s="1053">
      <c r="B38" s="1067" t="n"/>
      <c r="C38" s="1058" t="n"/>
      <c r="D38" s="60">
        <f>SUM(D40:D52)/2</f>
        <v/>
      </c>
      <c r="E38" s="60">
        <f>E44+E48+E52</f>
        <v/>
      </c>
      <c r="F38" s="96">
        <f>E38/(25*D38)</f>
        <v/>
      </c>
      <c r="G38" s="60">
        <f>G44+G48+G52</f>
        <v/>
      </c>
      <c r="H38" s="96">
        <f>G38/E38</f>
        <v/>
      </c>
      <c r="I38" s="30">
        <f>SUM(I40:I52)/2</f>
        <v/>
      </c>
      <c r="J38" s="237">
        <f>I38/(E38+I38)</f>
        <v/>
      </c>
      <c r="K38" s="79">
        <f>(K44*$E$44+K48*$E$48+K52*$E$52)/$E$38</f>
        <v/>
      </c>
      <c r="L38" s="79">
        <f>(L44*$E$44+L48*$E$48+L52*$E$52)/$E$38</f>
        <v/>
      </c>
      <c r="M38" s="79">
        <f>(M44*$E$44+M48*$E$48+M52*$E$52)/$E$38</f>
        <v/>
      </c>
      <c r="N38" s="79">
        <f>(N44*$E$44+N48*$E$48+N52*$E$52)/$E$38</f>
        <v/>
      </c>
      <c r="O38" s="79">
        <f>(O44*$E$44+O48*$E$48+O52*$E$52)/$E$38</f>
        <v/>
      </c>
      <c r="P38" s="231">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3">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2"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3">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3">
        <f>COUNTIFS('陈中帅'!AI:AI,"是",'陈中帅'!B:B,"零期")/E40</f>
        <v/>
      </c>
      <c r="Q40" s="525">
        <f>COUNTIFS('陈中帅'!AI:AI,"是",'陈中帅'!B:B,"零期")</f>
        <v/>
      </c>
      <c r="R40" s="202">
        <f>Q40-E40</f>
        <v/>
      </c>
      <c r="S40" s="525">
        <f>COUNTIFS('零期·UV电访分配'!E:E,B40,'零期·UV电访分配'!AB:AB,"是")</f>
        <v/>
      </c>
      <c r="T40" s="151">
        <f>S40/E40</f>
        <v/>
      </c>
      <c r="U40" s="525">
        <f>COUNTIFS('零期·UV电访分配'!E:E,B40,'零期·UV电访分配'!I:I,"在读",'零期·UV电访分配'!H:H,"零期",'零期·UV电访分配'!A:A,"同创汇")</f>
        <v/>
      </c>
      <c r="V40" s="525">
        <f>COUNTIFS('零期·UV电访分配'!E:E,B40,'零期·UV电访分配'!I:I,"在读",'零期·UV电访分配'!H:H,"零期",'零期·UV电访分配'!A:A,"同创汇",'零期·UV电访分配'!AD:AD,"是")</f>
        <v/>
      </c>
      <c r="W40" s="160">
        <f>V40/U40</f>
        <v/>
      </c>
      <c r="X40" s="525">
        <f>COUNTIFS('零期·UV电访分配'!E:E,B40,'零期·UV电访分配'!I:I,"在读",'零期·UV电访分配'!H:H,"零期",'零期·UV电访分配'!A:A,"新宝利")</f>
        <v/>
      </c>
      <c r="Y40" s="525">
        <f>COUNTIFS('零期·UV电访分配'!E:E,B40,'零期·UV电访分配'!I:I,"在读",'零期·UV电访分配'!H:H,"零期",'零期·UV电访分配'!A:A,"新宝利",'零期·UV电访分配'!AD:AD,"是")</f>
        <v/>
      </c>
      <c r="Z40" s="160">
        <f>Y40/X40</f>
        <v/>
      </c>
      <c r="AA40" s="525">
        <f>Y40+V40</f>
        <v/>
      </c>
      <c r="AB40" s="160">
        <f>AA40/E40</f>
        <v/>
      </c>
    </row>
    <row r="41" hidden="1" ht="24" customHeight="1" s="1053">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3">
        <f>IFERROR(COUNTIFS('何咏04'!AB:AB,"是",'何咏04'!C:C,"零期")/F41,"0")</f>
        <v/>
      </c>
      <c r="Q41" s="525">
        <f>IFERROR(COUNTIFS('何咏04'!AC:AC,"是",'何咏04'!D:D,"零期")/G41,"0")</f>
        <v/>
      </c>
      <c r="R41" s="197">
        <f>Q41-E41</f>
        <v/>
      </c>
      <c r="S41" s="525">
        <f>COUNTIFS('零期·UV电访分配'!E:E,B41,'零期·UV电访分配'!AB:AB,"是")</f>
        <v/>
      </c>
      <c r="T41" s="151">
        <f>S41/E41</f>
        <v/>
      </c>
      <c r="U41" s="525">
        <f>COUNTIFS('零期·UV电访分配'!E:E,B41,'零期·UV电访分配'!I:I,"在读",'零期·UV电访分配'!H:H,"零期",'零期·UV电访分配'!A:A,"同创汇")</f>
        <v/>
      </c>
      <c r="V41" s="525">
        <f>COUNTIFS('零期·UV电访分配'!E:E,B41,'零期·UV电访分配'!I:I,"在读",'零期·UV电访分配'!H:H,"零期",'零期·UV电访分配'!A:A,"同创汇",'零期·UV电访分配'!AD:AD,"是")</f>
        <v/>
      </c>
      <c r="W41" s="160">
        <f>V41/U41</f>
        <v/>
      </c>
      <c r="X41" s="525" t="n"/>
      <c r="Y41" s="525" t="n">
        <v>0</v>
      </c>
      <c r="Z41" s="160">
        <f>Y41/X41</f>
        <v/>
      </c>
      <c r="AA41" s="525">
        <f>Y41+V41</f>
        <v/>
      </c>
      <c r="AB41" s="160">
        <f>AA41/E41</f>
        <v/>
      </c>
    </row>
    <row r="42" ht="24" customHeight="1" s="1053">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3">
        <f>COUNTIFS('田雨涵01'!AI:AI,"是",'田雨涵01'!B:B,"零期")/E42</f>
        <v/>
      </c>
      <c r="Q42" s="525">
        <f>COUNTIFS('田雨涵01'!AI:AI,"是",'田雨涵01'!B:B,"零期")</f>
        <v/>
      </c>
      <c r="R42" s="197">
        <f>Q42-E42</f>
        <v/>
      </c>
      <c r="S42" s="525">
        <f>COUNTIFS('零期·UV电访分配'!E:E,B42,'零期·UV电访分配'!AB:AB,"是")</f>
        <v/>
      </c>
      <c r="T42" s="151">
        <f>S42/E42</f>
        <v/>
      </c>
      <c r="U42" s="525">
        <f>COUNTIFS('零期·UV电访分配'!E:E,B42,'零期·UV电访分配'!I:I,"在读",'零期·UV电访分配'!H:H,"零期",'零期·UV电访分配'!A:A,"同创汇")</f>
        <v/>
      </c>
      <c r="V42" s="525">
        <f>COUNTIFS('零期·UV电访分配'!E:E,B42,'零期·UV电访分配'!I:I,"在读",'零期·UV电访分配'!H:H,"零期",'零期·UV电访分配'!A:A,"同创汇",'零期·UV电访分配'!AD:AD,"是")</f>
        <v/>
      </c>
      <c r="W42" s="160">
        <f>V42/U42</f>
        <v/>
      </c>
      <c r="X42" s="525">
        <f>COUNTIFS('零期·UV电访分配'!E:E,B42,'零期·UV电访分配'!I:I,"在读",'零期·UV电访分配'!H:H,"零期",'零期·UV电访分配'!A:A,"新宝利")</f>
        <v/>
      </c>
      <c r="Y42" s="525">
        <f>COUNTIFS('零期·UV电访分配'!E:E,B42,'零期·UV电访分配'!I:I,"在读",'零期·UV电访分配'!H:H,"零期",'零期·UV电访分配'!A:A,"新宝利",'零期·UV电访分配'!AD:AD,"是")</f>
        <v/>
      </c>
      <c r="Z42" s="160">
        <f>Y42/X42</f>
        <v/>
      </c>
      <c r="AA42" s="525">
        <f>Y42+V42</f>
        <v/>
      </c>
      <c r="AB42" s="160">
        <f>AA42/E42</f>
        <v/>
      </c>
    </row>
    <row r="43" hidden="1" ht="24" customHeight="1" s="1053">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3">
        <f>IFERROR(COUNTIFS('宗志鹏'!AB:AB,"是",'宗志鹏'!C:C,"零期")/F43,"0")</f>
        <v/>
      </c>
      <c r="Q43" s="525">
        <f>IFERROR(COUNTIFS('宗志鹏'!AC:AC,"是",'宗志鹏'!D:D,"零期")/G43,"0")</f>
        <v/>
      </c>
      <c r="R43" s="197">
        <f>Q43-E43</f>
        <v/>
      </c>
      <c r="S43" s="525">
        <f>COUNTIFS('零期·UV电访分配'!E:E,B43,'零期·UV电访分配'!AB:AB,"是")</f>
        <v/>
      </c>
      <c r="T43" s="151">
        <f>S43/E43</f>
        <v/>
      </c>
      <c r="U43" s="525">
        <f>COUNTIFS('零期·UV电访分配'!E:E,B43,'零期·UV电访分配'!I:I,"在读",'零期·UV电访分配'!H:H,"零期",'零期·UV电访分配'!A:A,"同创汇")</f>
        <v/>
      </c>
      <c r="V43" s="525" t="n">
        <v>0</v>
      </c>
      <c r="W43" s="160">
        <f>V43/U43</f>
        <v/>
      </c>
      <c r="X43" s="525" t="n"/>
      <c r="Y43" s="525" t="n">
        <v>0</v>
      </c>
      <c r="Z43" s="160">
        <f>Y43/X43</f>
        <v/>
      </c>
      <c r="AA43" s="525">
        <f>Y43+V43</f>
        <v/>
      </c>
      <c r="AB43" s="160">
        <f>AA43/E43</f>
        <v/>
      </c>
    </row>
    <row r="44" ht="24" customHeight="1" s="1053">
      <c r="B44" s="58" t="inlineStr">
        <is>
          <t>数学合计</t>
        </is>
      </c>
      <c r="C44" s="1055"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4">
        <f>(P40*$E$40+P41*$E$41+P42*$E$42+P43*$E$43)/$E$44</f>
        <v/>
      </c>
      <c r="Q44" s="526">
        <f>SUM(Q40:Q42)</f>
        <v/>
      </c>
      <c r="R44" s="199">
        <f>Q44-E44</f>
        <v/>
      </c>
      <c r="S44" s="526">
        <f>SUM(S40:S42)</f>
        <v/>
      </c>
      <c r="T44" s="155">
        <f>S44/E44</f>
        <v/>
      </c>
      <c r="U44" s="526">
        <f>SUM(U40:U42)</f>
        <v/>
      </c>
      <c r="V44" s="526">
        <f>SUM(V40:V42)</f>
        <v/>
      </c>
      <c r="W44" s="162">
        <f>V44/U44</f>
        <v/>
      </c>
      <c r="X44" s="526">
        <f>SUM(X40:X42)</f>
        <v/>
      </c>
      <c r="Y44" s="526">
        <f>SUM(Y40:Y42)</f>
        <v/>
      </c>
      <c r="Z44" s="162">
        <f>Y44/X44</f>
        <v/>
      </c>
      <c r="AA44" s="526">
        <f>Y44+V44</f>
        <v/>
      </c>
      <c r="AB44" s="162">
        <f>AA44/E44</f>
        <v/>
      </c>
    </row>
    <row r="45" ht="24" customHeight="1" s="1053">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3">
        <f>COUNTIFS('黄铭怡'!AI:AI,"是",'黄铭怡'!B:B,"零期")/E45</f>
        <v/>
      </c>
      <c r="Q45" s="525">
        <f>COUNTIFS('黄铭怡'!AI:AI,"是",'黄铭怡'!B:B,"零期")</f>
        <v/>
      </c>
      <c r="R45" s="197">
        <f>Q45-E45</f>
        <v/>
      </c>
      <c r="S45" s="525">
        <f>COUNTIFS('零期·UV电访分配'!J:J,B45,'零期·UV电访分配'!AB:AB,"是")</f>
        <v/>
      </c>
      <c r="T45" s="151">
        <f>S45/E45</f>
        <v/>
      </c>
      <c r="U45" s="525">
        <f>COUNTIFS('零期·UV电访分配'!J:J,B45,'零期·UV电访分配'!M:M,"在读",'零期·UV电访分配'!L:L,"零期",'零期·UV电访分配'!A:A,"同创汇")</f>
        <v/>
      </c>
      <c r="V45" s="525">
        <f>COUNTIFS('零期·UV电访分配'!J:J,B45,'零期·UV电访分配'!M:M,"在读",'零期·UV电访分配'!L:L,"零期",'零期·UV电访分配'!A:A,"同创汇",'零期·UV电访分配'!AD:AD,"是")</f>
        <v/>
      </c>
      <c r="W45" s="160">
        <f>V45/U45</f>
        <v/>
      </c>
      <c r="X45" s="525">
        <f>COUNTIFS('零期·UV电访分配'!J:J,B45,'零期·UV电访分配'!M:M,"在读",'零期·UV电访分配'!L:L,"零期",'零期·UV电访分配'!A:A,"新宝利")</f>
        <v/>
      </c>
      <c r="Y45" s="525">
        <f>COUNTIFS('零期·UV电访分配'!J:J,B45,'零期·UV电访分配'!M:M,"在读",'零期·UV电访分配'!L:L,"零期",'零期·UV电访分配'!A:A,"新宝利",'零期·UV电访分配'!AD:AD,"是")</f>
        <v/>
      </c>
      <c r="Z45" s="160">
        <f>Y45/X45</f>
        <v/>
      </c>
      <c r="AA45" s="525">
        <f>Y45+V45</f>
        <v/>
      </c>
      <c r="AB45" s="160">
        <f>AA45/E45</f>
        <v/>
      </c>
    </row>
    <row r="46" ht="24" customHeight="1" s="1053">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3">
        <f>COUNTIFS('李润'!AI:AI,"是",'李润'!B:B,"零期")/E46</f>
        <v/>
      </c>
      <c r="Q46" s="525">
        <f>COUNTIFS('李润'!AI:AI,"是",'李润'!B:B,"零期")</f>
        <v/>
      </c>
      <c r="R46" s="197">
        <f>Q46-E46</f>
        <v/>
      </c>
      <c r="S46" s="525">
        <f>COUNTIFS('零期·UV电访分配'!J:J,B46,'零期·UV电访分配'!AB:AB,"是")</f>
        <v/>
      </c>
      <c r="T46" s="151">
        <f>S46/E46</f>
        <v/>
      </c>
      <c r="U46" s="525">
        <f>COUNTIFS('零期·UV电访分配'!J:J,B46,'零期·UV电访分配'!M:M,"在读",'零期·UV电访分配'!L:L,"零期",'零期·UV电访分配'!A:A,"同创汇")</f>
        <v/>
      </c>
      <c r="V46" s="525">
        <f>COUNTIFS('零期·UV电访分配'!J:J,B46,'零期·UV电访分配'!M:M,"在读",'零期·UV电访分配'!L:L,"零期",'零期·UV电访分配'!A:A,"同创汇",'零期·UV电访分配'!AD:AD,"是")</f>
        <v/>
      </c>
      <c r="W46" s="160">
        <f>V46/U46</f>
        <v/>
      </c>
      <c r="X46" s="525">
        <f>COUNTIFS('零期·UV电访分配'!J:J,B46,'零期·UV电访分配'!M:M,"在读",'零期·UV电访分配'!L:L,"零期",'零期·UV电访分配'!A:A,"新宝利")</f>
        <v/>
      </c>
      <c r="Y46" s="525">
        <f>COUNTIFS('零期·UV电访分配'!J:J,B46,'零期·UV电访分配'!M:M,"在读",'零期·UV电访分配'!L:L,"零期",'零期·UV电访分配'!A:A,"新宝利",'零期·UV电访分配'!AD:AD,"是")</f>
        <v/>
      </c>
      <c r="Z46" s="160">
        <f>Y46/X46</f>
        <v/>
      </c>
      <c r="AA46" s="525">
        <f>Y46+V46</f>
        <v/>
      </c>
      <c r="AB46" s="160">
        <f>AA46/E46</f>
        <v/>
      </c>
    </row>
    <row r="47" ht="24" customHeight="1" s="1053">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3">
        <f>COUNTIFS('陈南05'!AI:AI,"是",'陈南05'!B:B,"零期")/E47</f>
        <v/>
      </c>
      <c r="Q47" s="525">
        <f>COUNTIFS('陈南05'!AI:AI,"是",'陈南05'!B:B,"零期")</f>
        <v/>
      </c>
      <c r="R47" s="197">
        <f>Q47-E47</f>
        <v/>
      </c>
      <c r="S47" s="525">
        <f>COUNTIFS('零期·UV电访分配'!J:J,B47,'零期·UV电访分配'!AB:AB,"是")</f>
        <v/>
      </c>
      <c r="T47" s="151">
        <f>S47/E47</f>
        <v/>
      </c>
      <c r="U47" s="525">
        <f>COUNTIFS('零期·UV电访分配'!J:J,B47,'零期·UV电访分配'!M:M,"在读",'零期·UV电访分配'!L:L,"零期",'零期·UV电访分配'!A:A,"同创汇")</f>
        <v/>
      </c>
      <c r="V47" s="525">
        <f>COUNTIFS('零期·UV电访分配'!J:J,B47,'零期·UV电访分配'!M:M,"在读",'零期·UV电访分配'!L:L,"零期",'零期·UV电访分配'!A:A,"同创汇",'零期·UV电访分配'!AD:AD,"是")</f>
        <v/>
      </c>
      <c r="W47" s="160">
        <f>V47/U47</f>
        <v/>
      </c>
      <c r="X47" s="525">
        <f>COUNTIFS('零期·UV电访分配'!J:J,B47,'零期·UV电访分配'!M:M,"在读",'零期·UV电访分配'!L:L,"零期",'零期·UV电访分配'!A:A,"新宝利")</f>
        <v/>
      </c>
      <c r="Y47" s="525">
        <f>COUNTIFS('零期·UV电访分配'!J:J,B47,'零期·UV电访分配'!M:M,"在读",'零期·UV电访分配'!L:L,"零期",'零期·UV电访分配'!A:A,"新宝利",'零期·UV电访分配'!AD:AD,"是")</f>
        <v/>
      </c>
      <c r="Z47" s="160">
        <f>IFERROR(Y47/X47,0)</f>
        <v/>
      </c>
      <c r="AA47" s="525">
        <f>Y47+V47</f>
        <v/>
      </c>
      <c r="AB47" s="160">
        <f>AA47/E47</f>
        <v/>
      </c>
    </row>
    <row r="48" ht="24" customHeight="1" s="1053">
      <c r="B48" s="74" t="inlineStr">
        <is>
          <t>语文合计</t>
        </is>
      </c>
      <c r="C48" s="1055"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5">
        <f>(P45*$E$45+P46*$E$46+P47*$E$47)/$E$48</f>
        <v/>
      </c>
      <c r="Q48" s="527">
        <f>SUM(Q45:Q47)</f>
        <v/>
      </c>
      <c r="R48" s="201">
        <f>Q48-E48</f>
        <v/>
      </c>
      <c r="S48" s="527">
        <f>SUM(S45:S47)</f>
        <v/>
      </c>
      <c r="T48" s="167">
        <f>S48/E48</f>
        <v/>
      </c>
      <c r="U48" s="527">
        <f>SUM(U45:U47)</f>
        <v/>
      </c>
      <c r="V48" s="527">
        <f>SUM(V45:V47)</f>
        <v/>
      </c>
      <c r="W48" s="163">
        <f>V48/U48</f>
        <v/>
      </c>
      <c r="X48" s="527">
        <f>SUM(X45:X47)</f>
        <v/>
      </c>
      <c r="Y48" s="527">
        <f>SUM(Y45:Y47)</f>
        <v/>
      </c>
      <c r="Z48" s="163">
        <f>Y48/X48</f>
        <v/>
      </c>
      <c r="AA48" s="527">
        <f>Y48+V48</f>
        <v/>
      </c>
      <c r="AB48" s="163">
        <f>AA48/E48</f>
        <v/>
      </c>
    </row>
    <row r="49" ht="24" customHeight="1" s="1053">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3">
        <f>COUNTIFS('刘希子'!AI:AI,"是",'刘希子'!B:B,"零期")/E49</f>
        <v/>
      </c>
      <c r="Q49" s="525">
        <f>COUNTIFS('刘希子'!AI:AI,"是",'刘希子'!B:B,"零期")</f>
        <v/>
      </c>
      <c r="R49" s="197">
        <f>Q49-E49</f>
        <v/>
      </c>
      <c r="S49" s="525">
        <f>COUNTIFS('零期·UV电访分配'!N:N,B49,'零期·UV电访分配'!AB:AB,"是")</f>
        <v/>
      </c>
      <c r="T49" s="151">
        <f>S49/E49</f>
        <v/>
      </c>
      <c r="U49" s="525">
        <f>COUNTIFS('零期·UV电访分配'!N:N,B49,'零期·UV电访分配'!Q:Q,"在读",'零期·UV电访分配'!P:P,"零期",'零期·UV电访分配'!A:A,"同创汇")</f>
        <v/>
      </c>
      <c r="V49" s="525">
        <f>COUNTIFS('零期·UV电访分配'!N:N,B49,'零期·UV电访分配'!Q:Q,"在读",'零期·UV电访分配'!P:P,"零期",'零期·UV电访分配'!A:A,"同创汇",'零期·UV电访分配'!AD:AD,"是")</f>
        <v/>
      </c>
      <c r="W49" s="160">
        <f>V49/U49</f>
        <v/>
      </c>
      <c r="X49" s="525">
        <f>COUNTIFS('零期·UV电访分配'!N:N,B49,'零期·UV电访分配'!Q:Q,"在读",'零期·UV电访分配'!P:P,"零期",'零期·UV电访分配'!A:A,"新宝利")</f>
        <v/>
      </c>
      <c r="Y49" s="525">
        <f>COUNTIFS('零期·UV电访分配'!N:N,B49,'零期·UV电访分配'!Q:Q,"在读",'零期·UV电访分配'!P:P,"零期",'零期·UV电访分配'!A:A,"新宝利",'零期·UV电访分配'!AD:AD,"是")</f>
        <v/>
      </c>
      <c r="Z49" s="160">
        <f>IFERROR(Y49/X49,0)</f>
        <v/>
      </c>
      <c r="AA49" s="525">
        <f>Y49+V49</f>
        <v/>
      </c>
      <c r="AB49" s="160">
        <f>AA49/E49</f>
        <v/>
      </c>
    </row>
    <row r="50" ht="24" customHeight="1" s="1053">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3">
        <f>COUNTIFS('肖锐03'!AI:AI,"是",'肖锐03'!B:B,"零期")/E50</f>
        <v/>
      </c>
      <c r="Q50" s="525">
        <f>COUNTIFS('肖锐03'!AI:AI,"是",'肖锐03'!B:B,"零期")</f>
        <v/>
      </c>
      <c r="R50" s="197">
        <f>Q50-E50</f>
        <v/>
      </c>
      <c r="S50" s="525">
        <f>COUNTIFS('零期·UV电访分配'!N:N,B50,'零期·UV电访分配'!AB:AB,"是")</f>
        <v/>
      </c>
      <c r="T50" s="151">
        <f>S50/E50</f>
        <v/>
      </c>
      <c r="U50" s="525">
        <f>COUNTIFS('零期·UV电访分配'!N:N,B50,'零期·UV电访分配'!Q:Q,"在读",'零期·UV电访分配'!P:P,"零期",'零期·UV电访分配'!A:A,"同创汇")</f>
        <v/>
      </c>
      <c r="V50" s="525">
        <f>COUNTIFS('零期·UV电访分配'!N:N,B50,'零期·UV电访分配'!Q:Q,"在读",'零期·UV电访分配'!P:P,"零期",'零期·UV电访分配'!A:A,"同创汇",'零期·UV电访分配'!AD:AD,"是")</f>
        <v/>
      </c>
      <c r="W50" s="160">
        <f>IFERROR(V50/U50,0)</f>
        <v/>
      </c>
      <c r="X50" s="525">
        <f>COUNTIFS('零期·UV电访分配'!N:N,B50,'零期·UV电访分配'!Q:Q,"在读",'零期·UV电访分配'!P:P,"零期",'零期·UV电访分配'!A:A,"新宝利")</f>
        <v/>
      </c>
      <c r="Y50" s="525">
        <f>COUNTIFS('零期·UV电访分配'!N:N,B50,'零期·UV电访分配'!Q:Q,"在读",'零期·UV电访分配'!P:P,"零期",'零期·UV电访分配'!A:A,"新宝利",'零期·UV电访分配'!AD:AD,"是")</f>
        <v/>
      </c>
      <c r="Z50" s="160">
        <f>Y50/X50</f>
        <v/>
      </c>
      <c r="AA50" s="525">
        <f>Y50+V50</f>
        <v/>
      </c>
      <c r="AB50" s="160">
        <f>AA50/E50</f>
        <v/>
      </c>
    </row>
    <row r="51" ht="24" customHeight="1" s="1053">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3">
        <f>COUNTIFS('高心怡04'!AI:AI,"是",'高心怡04'!B:B,"零期")/E51</f>
        <v/>
      </c>
      <c r="Q51" s="525">
        <f>COUNTIFS('高心怡04'!AI:AI,"是",'高心怡04'!B:B,"零期")</f>
        <v/>
      </c>
      <c r="R51" s="197">
        <f>Q51-E51</f>
        <v/>
      </c>
      <c r="S51" s="525">
        <f>COUNTIFS('零期·UV电访分配'!N:N,B51,'零期·UV电访分配'!AB:AB,"是")</f>
        <v/>
      </c>
      <c r="T51" s="151">
        <f>S51/E51</f>
        <v/>
      </c>
      <c r="U51" s="525">
        <f>COUNTIFS('零期·UV电访分配'!N:N,B51,'零期·UV电访分配'!Q:Q,"在读",'零期·UV电访分配'!P:P,"零期",'零期·UV电访分配'!A:A,"同创汇")</f>
        <v/>
      </c>
      <c r="V51" s="525">
        <f>COUNTIFS('零期·UV电访分配'!N:N,B51,'零期·UV电访分配'!Q:Q,"在读",'零期·UV电访分配'!P:P,"零期",'零期·UV电访分配'!A:A,"同创汇",'零期·UV电访分配'!AD:AD,"是")</f>
        <v/>
      </c>
      <c r="W51" s="160">
        <f>V51/U51</f>
        <v/>
      </c>
      <c r="X51" s="525">
        <f>COUNTIFS('零期·UV电访分配'!N:N,B51,'零期·UV电访分配'!Q:Q,"在读",'零期·UV电访分配'!P:P,"零期",'零期·UV电访分配'!A:A,"新宝利")</f>
        <v/>
      </c>
      <c r="Y51" s="525">
        <f>COUNTIFS('零期·UV电访分配'!N:N,B51,'零期·UV电访分配'!Q:Q,"在读",'零期·UV电访分配'!P:P,"零期",'零期·UV电访分配'!A:A,"新宝利",'零期·UV电访分配'!AD:AD,"是")</f>
        <v/>
      </c>
      <c r="Z51" s="160">
        <f>IFERROR(Y51/X51,0)</f>
        <v/>
      </c>
      <c r="AA51" s="525">
        <f>Y51+V51</f>
        <v/>
      </c>
      <c r="AB51" s="160">
        <f>AA51/E51</f>
        <v/>
      </c>
    </row>
    <row r="52" ht="24" customHeight="1" s="1053">
      <c r="B52" s="58" t="inlineStr">
        <is>
          <t>英语合计</t>
        </is>
      </c>
      <c r="C52" s="1055"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4">
        <f>(P49*$E$49+P50*$E$50+P51*$E$51)/$E$52</f>
        <v/>
      </c>
      <c r="Q52" s="526">
        <f>SUM(Q49:Q51)</f>
        <v/>
      </c>
      <c r="R52" s="199">
        <f>Q52-E52</f>
        <v/>
      </c>
      <c r="S52" s="526">
        <f>SUM(S49:S51)</f>
        <v/>
      </c>
      <c r="T52" s="155">
        <f>S52/E52</f>
        <v/>
      </c>
      <c r="U52" s="526">
        <f>SUM(U49:U51)</f>
        <v/>
      </c>
      <c r="V52" s="526">
        <f>SUM(V49:V51)</f>
        <v/>
      </c>
      <c r="W52" s="162">
        <f>V52/U52</f>
        <v/>
      </c>
      <c r="X52" s="526">
        <f>SUM(X49:X51)</f>
        <v/>
      </c>
      <c r="Y52" s="526">
        <f>SUM(Y49:Y51)</f>
        <v/>
      </c>
      <c r="Z52" s="162">
        <f>Y52/X52</f>
        <v/>
      </c>
      <c r="AA52" s="526">
        <f>Y52+V52</f>
        <v/>
      </c>
      <c r="AB52" s="162">
        <f>AA52/E52</f>
        <v/>
      </c>
    </row>
    <row r="53" ht="24" customHeight="1" s="1053"/>
    <row r="54" ht="24" customHeight="1" s="1053"/>
    <row r="55" ht="24" customHeight="1" s="1053"/>
    <row r="56" ht="24" customHeight="1" s="1053">
      <c r="B56" s="447" t="inlineStr">
        <is>
          <t>分校合计</t>
        </is>
      </c>
      <c r="C56" s="1068" t="n"/>
      <c r="D56" s="447">
        <f>D62+D66+D70</f>
        <v/>
      </c>
      <c r="E56" s="447">
        <f>SUM(E58:E70)/2</f>
        <v/>
      </c>
      <c r="F56" s="447">
        <f>D56-E56</f>
        <v/>
      </c>
      <c r="G56" s="449">
        <f>F56*55%</f>
        <v/>
      </c>
      <c r="H56" s="447">
        <f>SUM(H58:H70)/2</f>
        <v/>
      </c>
      <c r="I56" s="480">
        <f>H56/F56</f>
        <v/>
      </c>
      <c r="J56" s="480">
        <f>H56/G56</f>
        <v/>
      </c>
    </row>
    <row r="57" ht="24" customHeight="1" s="1053">
      <c r="B57" s="447" t="inlineStr">
        <is>
          <t>所属校区</t>
        </is>
      </c>
      <c r="C57" s="447" t="inlineStr">
        <is>
          <t>顾问</t>
        </is>
      </c>
      <c r="D57" s="447" t="inlineStr">
        <is>
          <t>零期总PV</t>
        </is>
      </c>
      <c r="E57" s="447" t="inlineStr">
        <is>
          <t>已转PV</t>
        </is>
      </c>
      <c r="F57" s="447" t="inlineStr">
        <is>
          <t>应转PV</t>
        </is>
      </c>
      <c r="G57" s="447" t="inlineStr">
        <is>
          <t>转化目标</t>
        </is>
      </c>
      <c r="H57" s="447" t="inlineStr">
        <is>
          <t>实际转化PV</t>
        </is>
      </c>
      <c r="I57" s="480" t="inlineStr">
        <is>
          <t>实际转化率</t>
        </is>
      </c>
      <c r="J57" s="480" t="inlineStr">
        <is>
          <t>达成率</t>
        </is>
      </c>
    </row>
    <row r="58" ht="24" customHeight="1" s="1053">
      <c r="B58" s="450" t="inlineStr">
        <is>
          <t>天成</t>
        </is>
      </c>
      <c r="C58" s="450" t="inlineStr">
        <is>
          <t>陈亮延</t>
        </is>
      </c>
      <c r="D58" s="450">
        <f>SUMIF('零期·UV电访分配'!AE:AE,C58,'零期·UV电访分配'!AS:AS)</f>
        <v/>
      </c>
      <c r="E58" s="450" t="n"/>
      <c r="F58" s="450">
        <f>D58-E58</f>
        <v/>
      </c>
      <c r="G58" s="451">
        <f>F58*55%</f>
        <v/>
      </c>
      <c r="H58" s="450">
        <f>SUMIF('零期·UV电访分配'!AE:AE,C58,'零期·UV电访分配'!AX:AX)-E58</f>
        <v/>
      </c>
      <c r="I58" s="484">
        <f>H58/F58</f>
        <v/>
      </c>
      <c r="J58" s="484">
        <f>H58/G58</f>
        <v/>
      </c>
    </row>
    <row r="59" ht="24" customHeight="1" s="1053">
      <c r="B59" s="1069" t="n"/>
      <c r="C59" s="450" t="inlineStr">
        <is>
          <t>王达04</t>
        </is>
      </c>
      <c r="D59" s="450">
        <f>SUMIF('零期·UV电访分配'!AE:AE,C59,'零期·UV电访分配'!AS:AS)</f>
        <v/>
      </c>
      <c r="E59" s="450" t="n"/>
      <c r="F59" s="450">
        <f>D59-E59</f>
        <v/>
      </c>
      <c r="G59" s="451">
        <f>F59*55%</f>
        <v/>
      </c>
      <c r="H59" s="450">
        <f>SUMIF('零期·UV电访分配'!AE:AE,C59,'零期·UV电访分配'!AX:AX)-E59</f>
        <v/>
      </c>
      <c r="I59" s="484">
        <f>H59/F59</f>
        <v/>
      </c>
      <c r="J59" s="484">
        <f>H59/G59</f>
        <v/>
      </c>
    </row>
    <row r="60" ht="24" customHeight="1" s="1053">
      <c r="B60" s="1069" t="n"/>
      <c r="C60" s="450" t="inlineStr">
        <is>
          <t>沈思浩</t>
        </is>
      </c>
      <c r="D60" s="450">
        <f>SUMIF('零期·UV电访分配'!AE:AE,C60,'零期·UV电访分配'!AS:AS)</f>
        <v/>
      </c>
      <c r="E60" s="450" t="n">
        <v>2</v>
      </c>
      <c r="F60" s="450">
        <f>D60-E60</f>
        <v/>
      </c>
      <c r="G60" s="451">
        <f>F60*55%</f>
        <v/>
      </c>
      <c r="H60" s="450">
        <f>SUMIF('零期·UV电访分配'!AE:AE,C60,'零期·UV电访分配'!AX:AX)-E60</f>
        <v/>
      </c>
      <c r="I60" s="484">
        <f>H60/F60</f>
        <v/>
      </c>
      <c r="J60" s="484">
        <f>H60/G60</f>
        <v/>
      </c>
    </row>
    <row r="61" ht="24" customHeight="1" s="1053">
      <c r="B61" s="1070" t="n"/>
      <c r="C61" s="450" t="inlineStr">
        <is>
          <t>龙倩敏</t>
        </is>
      </c>
      <c r="D61" s="450">
        <f>SUMIF('零期·UV电访分配'!AE:AE,C61,'零期·UV电访分配'!AS:AS)</f>
        <v/>
      </c>
      <c r="E61" s="450" t="n"/>
      <c r="F61" s="450">
        <f>D61-E61</f>
        <v/>
      </c>
      <c r="G61" s="451">
        <f>F61*55%</f>
        <v/>
      </c>
      <c r="H61" s="450">
        <f>SUMIF('零期·UV电访分配'!AE:AE,C61,'零期·UV电访分配'!AX:AX)-E61</f>
        <v/>
      </c>
      <c r="I61" s="484">
        <f>H61/F61</f>
        <v/>
      </c>
      <c r="J61" s="484">
        <f>H61/G61</f>
        <v/>
      </c>
    </row>
    <row r="62" ht="24" customHeight="1" s="1053">
      <c r="B62" s="453" t="inlineStr">
        <is>
          <t>合计</t>
        </is>
      </c>
      <c r="C62" s="1068" t="n"/>
      <c r="D62" s="453">
        <f>SUM(D58:D61)</f>
        <v/>
      </c>
      <c r="E62" s="453">
        <f>SUM(E58:E61)</f>
        <v/>
      </c>
      <c r="F62" s="453">
        <f>D62-E62</f>
        <v/>
      </c>
      <c r="G62" s="455">
        <f>F62*55%</f>
        <v/>
      </c>
      <c r="H62" s="453">
        <f>SUM(H58:H61)</f>
        <v/>
      </c>
      <c r="I62" s="481">
        <f>H62/F62</f>
        <v/>
      </c>
      <c r="J62" s="481">
        <f>H62/G62</f>
        <v/>
      </c>
    </row>
    <row r="63" ht="24" customHeight="1" s="1053">
      <c r="B63" s="456" t="inlineStr">
        <is>
          <t>同创汇</t>
        </is>
      </c>
      <c r="C63" s="456" t="inlineStr">
        <is>
          <t>戎凯01</t>
        </is>
      </c>
      <c r="D63" s="456">
        <f>SUMIF('零期·UV电访分配'!AE:AE,C63,'零期·UV电访分配'!AS:AS)</f>
        <v/>
      </c>
      <c r="E63" s="456" t="n">
        <v>7</v>
      </c>
      <c r="F63" s="456">
        <f>D63-E63</f>
        <v/>
      </c>
      <c r="G63" s="457">
        <f>F63*55%</f>
        <v/>
      </c>
      <c r="H63" s="456">
        <f>SUMIF('零期·UV电访分配'!AE:AE,C63,'零期·UV电访分配'!AX:AX)-E63</f>
        <v/>
      </c>
      <c r="I63" s="485">
        <f>H63/F63</f>
        <v/>
      </c>
      <c r="J63" s="485">
        <f>H63/G63</f>
        <v/>
      </c>
    </row>
    <row r="64" ht="24" customHeight="1" s="1053">
      <c r="B64" s="1069" t="n"/>
      <c r="C64" s="456" t="inlineStr">
        <is>
          <t>王丽</t>
        </is>
      </c>
      <c r="D64" s="456">
        <f>SUMIF('零期·UV电访分配'!AE:AE,C64,'零期·UV电访分配'!AS:AS)</f>
        <v/>
      </c>
      <c r="E64" s="456" t="n">
        <v>17</v>
      </c>
      <c r="F64" s="456">
        <f>D64-E64</f>
        <v/>
      </c>
      <c r="G64" s="457">
        <f>F64*55%</f>
        <v/>
      </c>
      <c r="H64" s="456">
        <f>SUMIF('零期·UV电访分配'!AE:AE,C64,'零期·UV电访分配'!AX:AX)-E64</f>
        <v/>
      </c>
      <c r="I64" s="485">
        <f>H64/F64</f>
        <v/>
      </c>
      <c r="J64" s="485">
        <f>H64/G64</f>
        <v/>
      </c>
    </row>
    <row r="65" ht="24" customHeight="1" s="1053">
      <c r="B65" s="1070" t="n"/>
      <c r="C65" s="456" t="inlineStr">
        <is>
          <t>苏丽婷</t>
        </is>
      </c>
      <c r="D65" s="456">
        <f>SUMIF('零期·UV电访分配'!AE:AE,C65,'零期·UV电访分配'!AS:AS)</f>
        <v/>
      </c>
      <c r="E65" s="456" t="n">
        <v>1</v>
      </c>
      <c r="F65" s="456">
        <f>D65-E65</f>
        <v/>
      </c>
      <c r="G65" s="457">
        <f>F65*55%</f>
        <v/>
      </c>
      <c r="H65" s="456">
        <f>SUMIF('零期·UV电访分配'!AE:AE,C65,'零期·UV电访分配'!AX:AX)-E65</f>
        <v/>
      </c>
      <c r="I65" s="485">
        <f>H65/F65</f>
        <v/>
      </c>
      <c r="J65" s="485">
        <f>H65/G65</f>
        <v/>
      </c>
    </row>
    <row r="66" ht="24" customHeight="1" s="1053">
      <c r="B66" s="459" t="inlineStr">
        <is>
          <t>合计</t>
        </is>
      </c>
      <c r="C66" s="1068" t="n"/>
      <c r="D66" s="459">
        <f>SUM(D63:D65)</f>
        <v/>
      </c>
      <c r="E66" s="459">
        <f>SUM(E63:E65)</f>
        <v/>
      </c>
      <c r="F66" s="459">
        <f>D66-E66</f>
        <v/>
      </c>
      <c r="G66" s="461">
        <f>F66*55%</f>
        <v/>
      </c>
      <c r="H66" s="459">
        <f>SUM(H63:H65)</f>
        <v/>
      </c>
      <c r="I66" s="482">
        <f>H66/F66</f>
        <v/>
      </c>
      <c r="J66" s="482">
        <f>H66/G66</f>
        <v/>
      </c>
    </row>
    <row r="67" ht="24" customHeight="1" s="1053">
      <c r="B67" s="462" t="inlineStr">
        <is>
          <t>新宝利</t>
        </is>
      </c>
      <c r="C67" s="462" t="inlineStr">
        <is>
          <t>杨林33</t>
        </is>
      </c>
      <c r="D67" s="462">
        <f>SUMIF('零期·UV电访分配'!AE:AE,C67,'零期·UV电访分配'!AS:AS)</f>
        <v/>
      </c>
      <c r="E67" s="462" t="n"/>
      <c r="F67" s="462">
        <f>D67-E67</f>
        <v/>
      </c>
      <c r="G67" s="463">
        <f>F67*55%</f>
        <v/>
      </c>
      <c r="H67" s="462">
        <f>SUMIF('零期·UV电访分配'!AE:AE,C67,'零期·UV电访分配'!AX:AX)-E67</f>
        <v/>
      </c>
      <c r="I67" s="486">
        <f>H67/F67</f>
        <v/>
      </c>
      <c r="J67" s="486">
        <f>H67/G67</f>
        <v/>
      </c>
    </row>
    <row r="68" ht="24" customHeight="1" s="1053">
      <c r="B68" s="1069" t="n"/>
      <c r="C68" s="462" t="inlineStr">
        <is>
          <t>林志豪01</t>
        </is>
      </c>
      <c r="D68" s="462">
        <f>SUMIF('零期·UV电访分配'!AE:AE,C68,'零期·UV电访分配'!AS:AS)</f>
        <v/>
      </c>
      <c r="E68" s="462" t="n">
        <v>12</v>
      </c>
      <c r="F68" s="462">
        <f>D68-E68</f>
        <v/>
      </c>
      <c r="G68" s="463">
        <f>F68*55%</f>
        <v/>
      </c>
      <c r="H68" s="462">
        <f>SUMIF('零期·UV电访分配'!AE:AE,C68,'零期·UV电访分配'!AX:AX)-E68</f>
        <v/>
      </c>
      <c r="I68" s="486">
        <f>H68/F68</f>
        <v/>
      </c>
      <c r="J68" s="486">
        <f>H68/G68</f>
        <v/>
      </c>
    </row>
    <row r="69" ht="24" customHeight="1" s="1053">
      <c r="B69" s="1070" t="n"/>
      <c r="C69" s="462" t="inlineStr">
        <is>
          <t>张敏烨</t>
        </is>
      </c>
      <c r="D69" s="462">
        <f>SUMIF('零期·UV电访分配'!AE:AE,C69,'零期·UV电访分配'!AS:AS)</f>
        <v/>
      </c>
      <c r="E69" s="462" t="n">
        <v>3</v>
      </c>
      <c r="F69" s="462">
        <f>D69-E69</f>
        <v/>
      </c>
      <c r="G69" s="463">
        <f>F69*55%</f>
        <v/>
      </c>
      <c r="H69" s="462">
        <f>SUMIF('零期·UV电访分配'!AE:AE,C69,'零期·UV电访分配'!AX:AX)-E69</f>
        <v/>
      </c>
      <c r="I69" s="486">
        <f>H69/F69</f>
        <v/>
      </c>
      <c r="J69" s="486">
        <f>H69/G69</f>
        <v/>
      </c>
    </row>
    <row r="70" ht="24" customHeight="1" s="1053">
      <c r="B70" s="465" t="inlineStr">
        <is>
          <t>合计</t>
        </is>
      </c>
      <c r="C70" s="1068" t="n"/>
      <c r="D70" s="465">
        <f>SUM(D67:D69)</f>
        <v/>
      </c>
      <c r="E70" s="465">
        <f>SUM(E67:E69)</f>
        <v/>
      </c>
      <c r="F70" s="465">
        <f>D70-E70</f>
        <v/>
      </c>
      <c r="G70" s="467">
        <f>F70*55%</f>
        <v/>
      </c>
      <c r="H70" s="465">
        <f>SUM(H67:H69)</f>
        <v/>
      </c>
      <c r="I70" s="483">
        <f>H70/F70</f>
        <v/>
      </c>
      <c r="J70" s="483">
        <f>H70/G70</f>
        <v/>
      </c>
    </row>
    <row r="71" ht="24" customHeight="1" s="1053"/>
    <row r="72" ht="24" customHeight="1" s="1053">
      <c r="B72" s="476" t="inlineStr">
        <is>
          <t>校区</t>
        </is>
      </c>
      <c r="C72" s="476" t="inlineStr">
        <is>
          <t>零期总PV</t>
        </is>
      </c>
      <c r="D72" s="476" t="inlineStr">
        <is>
          <t>已转PV</t>
        </is>
      </c>
      <c r="E72" s="476" t="inlineStr">
        <is>
          <t>应转PV</t>
        </is>
      </c>
      <c r="F72" s="476" t="inlineStr">
        <is>
          <t>转化目标</t>
        </is>
      </c>
      <c r="G72" s="476" t="inlineStr">
        <is>
          <t>实际转化PV</t>
        </is>
      </c>
      <c r="H72" s="476" t="inlineStr">
        <is>
          <t>实际转化率</t>
        </is>
      </c>
      <c r="I72" s="476" t="inlineStr">
        <is>
          <t>达成率</t>
        </is>
      </c>
    </row>
    <row r="73" ht="24" customHeight="1" s="1053">
      <c r="B73" s="468" t="inlineStr">
        <is>
          <t>天成大厦</t>
        </is>
      </c>
      <c r="C73" s="468">
        <f>SUMIF('零期·UV电访分配'!A:A,B73,'零期·UV电访分配'!AS:AS)</f>
        <v/>
      </c>
      <c r="D73" s="468" t="n">
        <v>2</v>
      </c>
      <c r="E73" s="468">
        <f>C73-D73</f>
        <v/>
      </c>
      <c r="F73" s="472">
        <f>E73*55%</f>
        <v/>
      </c>
      <c r="G73" s="468">
        <f>SUMIF('零期·UV电访分配'!A:A,B73,'零期·UV电访分配'!AX:AX)-D73</f>
        <v/>
      </c>
      <c r="H73" s="474">
        <f>G73/E73</f>
        <v/>
      </c>
      <c r="I73" s="474">
        <f>G73/F73</f>
        <v/>
      </c>
    </row>
    <row r="74" ht="24" customHeight="1" s="1053">
      <c r="B74" s="468" t="inlineStr">
        <is>
          <t>同创汇</t>
        </is>
      </c>
      <c r="C74" s="468">
        <f>SUMIF('零期·UV电访分配'!A:A,B74,'零期·UV电访分配'!AS:AS)</f>
        <v/>
      </c>
      <c r="D74" s="468" t="n">
        <v>28</v>
      </c>
      <c r="E74" s="468">
        <f>C74-D74</f>
        <v/>
      </c>
      <c r="F74" s="472">
        <f>E74*55%</f>
        <v/>
      </c>
      <c r="G74" s="468">
        <f>SUMIF('零期·UV电访分配'!A:A,B74,'零期·UV电访分配'!AX:AX)-D74</f>
        <v/>
      </c>
      <c r="H74" s="474">
        <f>G74/E74</f>
        <v/>
      </c>
      <c r="I74" s="474">
        <f>G74/F74</f>
        <v/>
      </c>
    </row>
    <row r="75" ht="24" customHeight="1" s="1053">
      <c r="B75" s="468" t="inlineStr">
        <is>
          <t>新宝利</t>
        </is>
      </c>
      <c r="C75" s="468">
        <f>SUMIF('零期·UV电访分配'!A:A,B75,'零期·UV电访分配'!AS:AS)</f>
        <v/>
      </c>
      <c r="D75" s="468" t="n">
        <v>14</v>
      </c>
      <c r="E75" s="468">
        <f>C75-D75</f>
        <v/>
      </c>
      <c r="F75" s="472">
        <f>E75*55%</f>
        <v/>
      </c>
      <c r="G75" s="468">
        <f>SUMIF('零期·UV电访分配'!A:A,B75,'零期·UV电访分配'!AX:AX)-D75</f>
        <v/>
      </c>
      <c r="H75" s="474">
        <f>G75/E75</f>
        <v/>
      </c>
      <c r="I75" s="474">
        <f>G75/F75</f>
        <v/>
      </c>
    </row>
    <row r="76" ht="24" customHeight="1" s="1053">
      <c r="B76" s="477" t="inlineStr">
        <is>
          <t>分校合计</t>
        </is>
      </c>
      <c r="C76" s="477">
        <f>SUM(C73:C75)</f>
        <v/>
      </c>
      <c r="D76" s="477">
        <f>SUM(D73:D75)</f>
        <v/>
      </c>
      <c r="E76" s="477">
        <f>C76-D76</f>
        <v/>
      </c>
      <c r="F76" s="478">
        <f>E76*55%</f>
        <v/>
      </c>
      <c r="G76" s="477">
        <f>SUM(G73:G75)</f>
        <v/>
      </c>
      <c r="H76" s="479">
        <f>G76/E76</f>
        <v/>
      </c>
      <c r="I76" s="479">
        <f>G76/F76</f>
        <v/>
      </c>
    </row>
    <row r="77" ht="24" customHeight="1" s="1053"/>
    <row r="78" ht="24" customHeight="1" s="1053"/>
    <row r="79" ht="24" customHeight="1" s="1053"/>
    <row r="80" ht="24" customHeight="1" s="1053"/>
    <row r="81" ht="24" customHeight="1" s="1053"/>
    <row r="82" ht="24" customHeight="1" s="1053"/>
    <row r="83" ht="24" customHeight="1" s="1053"/>
    <row r="84" ht="24" customHeight="1" s="1053"/>
    <row r="85" ht="24" customHeight="1" s="1053"/>
    <row r="86" ht="24" customHeight="1" s="1053"/>
    <row r="87" ht="24" customHeight="1" s="1053"/>
    <row r="88" ht="24" customHeight="1" s="1053"/>
    <row r="89" ht="24" customHeight="1" s="1053"/>
    <row r="90" ht="24" customHeight="1" s="1053"/>
    <row r="91" ht="24" customHeight="1" s="1053"/>
    <row r="92" ht="24" customHeight="1" s="1053"/>
    <row r="93" ht="24" customHeight="1" s="1053"/>
    <row r="94" ht="24" customHeight="1" s="1053"/>
    <row r="95" ht="24" customHeight="1" s="1053"/>
    <row r="96" ht="24" customHeight="1" s="1053"/>
    <row r="97" ht="24" customHeight="1" s="1053"/>
    <row r="98" ht="24" customHeight="1" s="1053"/>
    <row r="99" ht="24" customHeight="1" s="1053"/>
    <row r="100" ht="24" customHeight="1" s="1053"/>
    <row r="101" ht="24" customHeight="1" s="1053"/>
    <row r="102" ht="24" customHeight="1" s="1053"/>
    <row r="103" ht="24" customHeight="1" s="1053"/>
    <row r="104" ht="24" customHeight="1" s="1053"/>
    <row r="105" ht="24" customHeight="1" s="1053"/>
    <row r="106" ht="24" customHeight="1" s="1053"/>
    <row r="107" ht="24" customHeight="1" s="1053"/>
    <row r="108" ht="24" customHeight="1" s="1053"/>
    <row r="109" ht="24" customHeight="1" s="1053"/>
    <row r="110" ht="24" customHeight="1" s="1053"/>
    <row r="111" ht="24" customHeight="1" s="1053"/>
    <row r="112" ht="24" customHeight="1" s="1053"/>
    <row r="113" ht="24" customHeight="1" s="1053"/>
    <row r="114" ht="24" customHeight="1" s="1053"/>
    <row r="115" ht="24" customHeight="1" s="1053"/>
    <row r="116" ht="24" customHeight="1" s="1053"/>
    <row r="117" ht="24" customHeight="1" s="1053"/>
    <row r="118" ht="24" customHeight="1" s="1053"/>
    <row r="119" ht="24" customHeight="1" s="1053"/>
    <row r="120" ht="24" customHeight="1" s="1053"/>
    <row r="121" ht="24" customHeight="1" s="1053"/>
    <row r="122" ht="24" customHeight="1" s="1053"/>
    <row r="123" ht="24" customHeight="1" s="1053"/>
    <row r="124" ht="24" customHeight="1" s="1053"/>
    <row r="125" ht="24" customHeight="1" s="1053"/>
    <row r="126" ht="24" customHeight="1" s="1053"/>
    <row r="127" ht="24" customHeight="1" s="1053"/>
    <row r="128" ht="24" customHeight="1" s="1053"/>
    <row r="129" ht="24" customHeight="1" s="1053"/>
    <row r="130" ht="24" customHeight="1" s="1053"/>
    <row r="131" ht="24" customHeight="1" s="1053"/>
    <row r="132" ht="24" customHeight="1" s="1053"/>
    <row r="133" ht="24" customHeight="1" s="1053"/>
    <row r="134" ht="24" customHeight="1" s="1053"/>
    <row r="135" ht="24" customHeight="1" s="1053"/>
    <row r="136" ht="24" customHeight="1" s="1053"/>
    <row r="137" ht="24" customHeight="1" s="1053"/>
    <row r="138" ht="24" customHeight="1" s="1053"/>
    <row r="139" ht="24" customHeight="1" s="1053"/>
    <row r="140" ht="24" customHeight="1" s="1053"/>
    <row r="141" ht="24" customHeight="1" s="1053"/>
    <row r="142" ht="24" customHeight="1" s="1053"/>
    <row r="143" ht="24" customHeight="1" s="1053"/>
    <row r="144" ht="24" customHeight="1" s="1053"/>
    <row r="145" ht="24" customHeight="1" s="1053"/>
    <row r="146" ht="24" customHeight="1" s="1053"/>
    <row r="147" ht="24" customHeight="1" s="1053"/>
    <row r="148" ht="24" customHeight="1" s="1053"/>
    <row r="149" ht="24" customHeight="1" s="1053"/>
    <row r="150" ht="24" customHeight="1" s="1053"/>
    <row r="151" ht="24" customHeight="1" s="1053"/>
    <row r="152" ht="24" customHeight="1" s="1053"/>
    <row r="153" ht="24" customHeight="1" s="1053"/>
    <row r="154" ht="24" customHeight="1" s="1053"/>
    <row r="155" ht="24" customHeight="1" s="1053"/>
    <row r="156" ht="24" customHeight="1" s="1053"/>
    <row r="157" ht="24" customHeight="1" s="1053"/>
    <row r="158" ht="24" customHeight="1" s="1053"/>
    <row r="159" ht="24" customHeight="1" s="1053"/>
    <row r="160" ht="24" customHeight="1" s="1053"/>
    <row r="161" ht="24" customHeight="1" s="1053"/>
    <row r="162" ht="24" customHeight="1" s="1053"/>
    <row r="163" ht="24" customHeight="1" s="1053"/>
    <row r="164" ht="24" customHeight="1" s="1053"/>
    <row r="165" ht="24" customHeight="1" s="1053"/>
    <row r="166" ht="24" customHeight="1" s="1053"/>
    <row r="167" ht="24" customHeight="1" s="1053"/>
    <row r="168" ht="24" customHeight="1" s="1053"/>
    <row r="169" ht="24" customHeight="1" s="1053"/>
    <row r="170" ht="24" customHeight="1" s="1053"/>
    <row r="171" ht="24" customHeight="1" s="1053"/>
    <row r="172" ht="24" customHeight="1" s="1053"/>
    <row r="173" ht="24" customHeight="1" s="1053"/>
    <row r="174" ht="24" customHeight="1" s="1053"/>
    <row r="175" ht="24" customHeight="1" s="1053"/>
    <row r="176" ht="24" customHeight="1" s="1053"/>
    <row r="177" ht="24" customHeight="1" s="1053"/>
    <row r="178" ht="24" customHeight="1" s="1053"/>
    <row r="179" ht="24" customHeight="1" s="1053"/>
    <row r="180" ht="24" customHeight="1" s="1053"/>
    <row r="181" ht="24" customHeight="1" s="1053"/>
    <row r="182" ht="24" customHeight="1" s="1053"/>
    <row r="183" ht="24" customHeight="1" s="1053"/>
    <row r="184" ht="24" customHeight="1" s="1053"/>
    <row r="185" ht="24" customHeight="1" s="1053"/>
    <row r="186" ht="24" customHeight="1" s="1053"/>
    <row r="187" ht="24" customHeight="1" s="1053"/>
    <row r="188" ht="24" customHeight="1" s="1053"/>
    <row r="189" ht="24" customHeight="1" s="1053"/>
    <row r="190" ht="24" customHeight="1" s="1053"/>
    <row r="191" ht="24" customHeight="1" s="1053"/>
    <row r="192" ht="24" customHeight="1" s="1053"/>
    <row r="193" ht="24" customHeight="1" s="1053"/>
    <row r="194" ht="24" customHeight="1" s="1053"/>
    <row r="195" ht="24" customHeight="1" s="1053"/>
    <row r="196" ht="24" customHeight="1" s="1053"/>
    <row r="197" ht="24" customHeight="1" s="1053"/>
    <row r="198" ht="24" customHeight="1" s="1053"/>
    <row r="199" ht="24" customHeight="1" s="1053"/>
    <row r="200" ht="24" customHeight="1" s="1053"/>
    <row r="201" ht="24" customHeight="1" s="1053"/>
    <row r="202" ht="24" customHeight="1" s="1053"/>
    <row r="203" ht="24" customHeight="1" s="1053"/>
    <row r="204" ht="24" customHeight="1" s="1053"/>
    <row r="205" ht="24" customHeight="1" s="1053"/>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3" min="1" max="1"/>
    <col width="10.8720703125" customWidth="1" style="1053" min="2" max="2"/>
    <col width="10.5498046875" customWidth="1" style="1053" min="3" max="3"/>
    <col width="7.6259765625" customWidth="1" style="1053" min="4" max="4"/>
    <col width="10.875" customWidth="1" style="1053" min="5" max="5"/>
    <col width="9.873046875" customWidth="1" style="1053" min="6" max="6"/>
    <col width="13.4150390625" customWidth="1" style="1053" min="7" max="7"/>
    <col width="9.8876953125" customWidth="1" style="1053" min="8" max="8"/>
    <col width="14.6630859375" customWidth="1" style="1053" min="9" max="9"/>
    <col width="7.9482421875" customWidth="1" style="1053" min="10" max="10"/>
    <col width="9.181640625" customWidth="1" style="1053" min="11" max="11"/>
    <col width="11.0654296875" customWidth="1" style="1053" min="12" max="12"/>
    <col width="11.1796875" customWidth="1" style="1053" min="13" max="13"/>
    <col width="7.6259765625" customWidth="1" style="1053" min="14" max="14"/>
    <col width="7.9482421875" customWidth="1" style="1053" min="15" max="15"/>
    <col width="10.3564453125" customWidth="1" style="1053" min="16" max="16"/>
    <col width="6.33984375" customWidth="1" style="1053" min="17" max="18"/>
    <col width="9.4423828125" customWidth="1" style="1053" min="19" max="19"/>
    <col width="9.556640625" customWidth="1" style="1053" min="20" max="20"/>
    <col width="7.9482421875" customWidth="1" style="1053" min="21" max="21"/>
    <col width="11.0654296875" customWidth="1" style="1053" min="22" max="22"/>
    <col width="6.322265625" customWidth="1" style="1053" min="23" max="23"/>
    <col width="7.9482421875" customWidth="1" style="1053" min="24" max="24"/>
    <col width="10.3564453125" customWidth="1" style="1053" min="25" max="25"/>
    <col width="7.5908203125" customWidth="1" style="1053" min="26" max="26"/>
    <col width="7.0224609375" customWidth="1" style="1053" min="27" max="27"/>
    <col width="9.6357421875" customWidth="1" style="1053" min="28" max="28"/>
    <col width="9.861328125" customWidth="1" style="1053" min="29" max="29"/>
    <col width="7.86328125" customWidth="1" style="1053" min="30" max="30"/>
    <col width="11.2939453125" customWidth="1" style="1053" min="31" max="31"/>
    <col width="7.423828125" customWidth="1" style="1053" min="32" max="32"/>
    <col width="7.9482421875" customWidth="1" style="1053" min="33" max="33"/>
    <col width="10.3564453125" customWidth="1" style="1053" min="34" max="34"/>
    <col width="7.0224609375" customWidth="1" style="1053" min="35" max="36"/>
    <col width="9.896484375" customWidth="1" style="1053" min="37" max="37"/>
    <col width="9.7822265625" customWidth="1" style="1053" min="38" max="38"/>
    <col width="9.2548828125" customWidth="1" style="359" min="39" max="39"/>
    <col width="9.4423828125" customWidth="1" style="359" min="40" max="40"/>
    <col width="9.240234375" customWidth="1" style="359" min="41" max="41"/>
    <col width="9.4423828125" customWidth="1" style="359" min="42" max="42"/>
    <col width="9.328125" customWidth="1" style="359" min="43" max="43"/>
    <col width="9.6240234375" customWidth="1" style="366" min="44" max="44"/>
    <col width="17.5751953125" customWidth="1" style="359" min="45" max="45"/>
    <col width="7.623046875" customWidth="1" style="359" min="46" max="46"/>
  </cols>
  <sheetData>
    <row r="1" ht="26.25" customFormat="1" customHeight="1" s="298">
      <c r="A1" s="288" t="inlineStr">
        <is>
          <t>教学点</t>
        </is>
      </c>
      <c r="B1" s="289" t="inlineStr">
        <is>
          <t>学生uid</t>
        </is>
      </c>
      <c r="C1" s="289" t="inlineStr">
        <is>
          <t>学生姓名</t>
        </is>
      </c>
      <c r="D1" s="289" t="inlineStr">
        <is>
          <t>归属顾问</t>
        </is>
      </c>
      <c r="E1" s="289" t="inlineStr">
        <is>
          <t>渠道来源</t>
        </is>
      </c>
      <c r="F1" s="289" t="inlineStr">
        <is>
          <t>备注</t>
        </is>
      </c>
      <c r="G1" s="289" t="inlineStr">
        <is>
          <t>介绍人</t>
        </is>
      </c>
      <c r="H1" s="289" t="inlineStr">
        <is>
          <t>UV在读情况</t>
        </is>
      </c>
      <c r="I1" s="289" t="inlineStr">
        <is>
          <t>期次</t>
        </is>
      </c>
      <c r="J1" s="290" t="inlineStr">
        <is>
          <t>雪球思维</t>
        </is>
      </c>
      <c r="K1" s="1071" t="n"/>
      <c r="L1" s="1071" t="n"/>
      <c r="M1" s="1071" t="n"/>
      <c r="N1" s="1071" t="n"/>
      <c r="O1" s="1071" t="n"/>
      <c r="P1" s="1071" t="n"/>
      <c r="Q1" s="1071" t="n"/>
      <c r="R1" s="1071" t="n"/>
      <c r="S1" s="1071" t="n"/>
      <c r="T1" s="1072" t="n"/>
      <c r="U1" s="292" t="inlineStr">
        <is>
          <t>悦读创作</t>
        </is>
      </c>
      <c r="V1" s="1071" t="n"/>
      <c r="W1" s="1071" t="n"/>
      <c r="X1" s="1071" t="n"/>
      <c r="Y1" s="1071" t="n"/>
      <c r="Z1" s="1071" t="n"/>
      <c r="AA1" s="1071" t="n"/>
      <c r="AB1" s="1071" t="n"/>
      <c r="AC1" s="1072" t="n"/>
      <c r="AD1" s="294" t="inlineStr">
        <is>
          <t>双语素养</t>
        </is>
      </c>
      <c r="AE1" s="1071" t="n"/>
      <c r="AF1" s="1071" t="n"/>
      <c r="AG1" s="1071" t="n"/>
      <c r="AH1" s="1071" t="n"/>
      <c r="AI1" s="1071" t="n"/>
      <c r="AJ1" s="1071" t="n"/>
      <c r="AK1" s="1071" t="n"/>
      <c r="AL1" s="1072" t="n"/>
      <c r="AM1" s="296" t="inlineStr">
        <is>
          <t>是否加入VIP群</t>
        </is>
      </c>
      <c r="AN1" s="1073" t="inlineStr">
        <is>
          <t>家长会</t>
        </is>
      </c>
      <c r="AO1" s="1071" t="n"/>
      <c r="AP1" s="1071" t="n"/>
      <c r="AQ1" s="1072" t="n"/>
      <c r="AR1" s="309" t="inlineStr">
        <is>
          <t>顾问盘点</t>
        </is>
      </c>
      <c r="AS1" s="1072" t="n"/>
      <c r="AT1" s="298" t="n"/>
    </row>
    <row r="2" ht="26.25" customFormat="1" customHeight="1" s="300">
      <c r="A2" s="1057" t="n"/>
      <c r="B2" s="1057" t="n"/>
      <c r="C2" s="1057" t="n"/>
      <c r="D2" s="1057" t="n"/>
      <c r="E2" s="1057" t="n"/>
      <c r="F2" s="1057" t="n"/>
      <c r="G2" s="1057" t="n"/>
      <c r="H2" s="1057" t="n"/>
      <c r="I2" s="1057" t="n"/>
      <c r="J2" s="301" t="inlineStr">
        <is>
          <t>班级id</t>
        </is>
      </c>
      <c r="K2" s="301" t="inlineStr">
        <is>
          <t>成绩来源</t>
        </is>
      </c>
      <c r="L2" s="301" t="inlineStr">
        <is>
          <t>报前测成绩</t>
        </is>
      </c>
      <c r="M2" s="301" t="inlineStr">
        <is>
          <t>校内未加权</t>
        </is>
      </c>
      <c r="N2" s="301" t="inlineStr">
        <is>
          <t>主讲</t>
        </is>
      </c>
      <c r="O2" s="301" t="inlineStr">
        <is>
          <t>教室</t>
        </is>
      </c>
      <c r="P2" s="301" t="inlineStr">
        <is>
          <t>上课时段</t>
        </is>
      </c>
      <c r="Q2" s="301" t="inlineStr">
        <is>
          <t>班型</t>
        </is>
      </c>
      <c r="R2" s="301" t="inlineStr">
        <is>
          <t>期次</t>
        </is>
      </c>
      <c r="S2" s="301" t="inlineStr">
        <is>
          <t>是否在读</t>
        </is>
      </c>
      <c r="T2" s="301" t="inlineStr">
        <is>
          <t>是否续秋</t>
        </is>
      </c>
      <c r="U2" s="302" t="inlineStr">
        <is>
          <t>班级id</t>
        </is>
      </c>
      <c r="V2" s="302" t="inlineStr">
        <is>
          <t>报前测成绩</t>
        </is>
      </c>
      <c r="W2" s="302" t="inlineStr">
        <is>
          <t>主讲</t>
        </is>
      </c>
      <c r="X2" s="302" t="inlineStr">
        <is>
          <t>教室</t>
        </is>
      </c>
      <c r="Y2" s="302" t="inlineStr">
        <is>
          <t>上课时段</t>
        </is>
      </c>
      <c r="Z2" s="302" t="inlineStr">
        <is>
          <t>班型</t>
        </is>
      </c>
      <c r="AA2" s="302" t="inlineStr">
        <is>
          <t>期次</t>
        </is>
      </c>
      <c r="AB2" s="302" t="inlineStr">
        <is>
          <t>是否在读</t>
        </is>
      </c>
      <c r="AC2" s="302" t="inlineStr">
        <is>
          <t>是否续秋</t>
        </is>
      </c>
      <c r="AD2" s="303" t="inlineStr">
        <is>
          <t>班级id</t>
        </is>
      </c>
      <c r="AE2" s="303" t="inlineStr">
        <is>
          <t>报前测成绩</t>
        </is>
      </c>
      <c r="AF2" s="303" t="inlineStr">
        <is>
          <t>主讲</t>
        </is>
      </c>
      <c r="AG2" s="303" t="inlineStr">
        <is>
          <t>教室</t>
        </is>
      </c>
      <c r="AH2" s="303" t="inlineStr">
        <is>
          <t>上课时段</t>
        </is>
      </c>
      <c r="AI2" s="303" t="inlineStr">
        <is>
          <t>班型</t>
        </is>
      </c>
      <c r="AJ2" s="303" t="inlineStr">
        <is>
          <t>期次</t>
        </is>
      </c>
      <c r="AK2" s="303" t="inlineStr">
        <is>
          <t>是否在读</t>
        </is>
      </c>
      <c r="AL2" s="303" t="inlineStr">
        <is>
          <t>是否续秋</t>
        </is>
      </c>
      <c r="AM2" s="1057" t="n"/>
      <c r="AN2" s="305" t="inlineStr">
        <is>
          <t>课前诺访</t>
        </is>
      </c>
      <c r="AO2" s="305" t="inlineStr">
        <is>
          <t>课前确访</t>
        </is>
      </c>
      <c r="AP2" s="306" t="inlineStr">
        <is>
          <t>课中诺访</t>
        </is>
      </c>
      <c r="AQ2" s="306" t="inlineStr">
        <is>
          <t>课中确访</t>
        </is>
      </c>
      <c r="AR2" s="309" t="inlineStr">
        <is>
          <t>续费意愿</t>
        </is>
      </c>
      <c r="AS2" s="309" t="inlineStr">
        <is>
          <t>盘点依据</t>
        </is>
      </c>
      <c r="AT2" s="1057" t="n"/>
    </row>
    <row r="3" ht="26.25" customFormat="1" customHeight="1" s="366">
      <c r="A3" s="1074" t="inlineStr">
        <is>
          <t>新宝利</t>
        </is>
      </c>
      <c r="B3" s="1074" t="inlineStr">
        <is>
          <t>4859453289</t>
        </is>
      </c>
      <c r="C3" s="1074" t="inlineStr">
        <is>
          <t>辉辉</t>
        </is>
      </c>
      <c r="D3" s="1074" t="inlineStr">
        <is>
          <t>沈思浩</t>
        </is>
      </c>
      <c r="E3" s="1074" t="n"/>
      <c r="F3" s="1074" t="n"/>
      <c r="G3" s="1074" t="n"/>
      <c r="H3" s="1074" t="inlineStr">
        <is>
          <t>在读</t>
        </is>
      </c>
      <c r="I3" s="1074" t="inlineStr">
        <is>
          <t>三期</t>
        </is>
      </c>
      <c r="J3" s="1074" t="inlineStr">
        <is>
          <t>5111035</t>
        </is>
      </c>
      <c r="K3" s="1074" t="n"/>
      <c r="L3" s="1074" t="n"/>
      <c r="M3" s="1074" t="n"/>
      <c r="N3" s="1074" t="inlineStr">
        <is>
          <t>何咏04</t>
        </is>
      </c>
      <c r="O3" s="1074" t="inlineStr">
        <is>
          <t>教室2</t>
        </is>
      </c>
      <c r="P3" s="1074" t="inlineStr">
        <is>
          <t>15:50-18:00</t>
        </is>
      </c>
      <c r="Q3" s="1074" t="inlineStr">
        <is>
          <t>启能班</t>
        </is>
      </c>
      <c r="R3" s="1074" t="inlineStr">
        <is>
          <t>三期</t>
        </is>
      </c>
      <c r="S3" s="1074" t="inlineStr">
        <is>
          <t>在读</t>
        </is>
      </c>
      <c r="T3" s="1074" t="inlineStr">
        <is>
          <t>-</t>
        </is>
      </c>
      <c r="U3" s="1074" t="inlineStr">
        <is>
          <t>5170873</t>
        </is>
      </c>
      <c r="V3" s="1074" t="n"/>
      <c r="W3" s="1074" t="inlineStr">
        <is>
          <t>李润</t>
        </is>
      </c>
      <c r="X3" s="1074" t="inlineStr">
        <is>
          <t>教室2</t>
        </is>
      </c>
      <c r="Y3" s="1074" t="inlineStr">
        <is>
          <t>13:20-15:30</t>
        </is>
      </c>
      <c r="Z3" s="1074" t="inlineStr">
        <is>
          <t>潜能班</t>
        </is>
      </c>
      <c r="AA3" s="1074" t="inlineStr">
        <is>
          <t>三期</t>
        </is>
      </c>
      <c r="AB3" s="1074" t="inlineStr">
        <is>
          <t>在读</t>
        </is>
      </c>
      <c r="AC3" s="1074" t="inlineStr">
        <is>
          <t>-</t>
        </is>
      </c>
      <c r="AD3" s="1074" t="inlineStr">
        <is>
          <t>5170871</t>
        </is>
      </c>
      <c r="AE3" s="1074" t="n"/>
      <c r="AF3" s="1074" t="inlineStr">
        <is>
          <t>肖锐03</t>
        </is>
      </c>
      <c r="AG3" s="1074" t="inlineStr">
        <is>
          <t>教室2</t>
        </is>
      </c>
      <c r="AH3" s="1074" t="inlineStr">
        <is>
          <t>10:20-12:30</t>
        </is>
      </c>
      <c r="AI3" s="1074" t="inlineStr">
        <is>
          <t>潜能班</t>
        </is>
      </c>
      <c r="AJ3" s="1074" t="inlineStr">
        <is>
          <t>三期</t>
        </is>
      </c>
      <c r="AK3" s="1074" t="inlineStr">
        <is>
          <t>在读</t>
        </is>
      </c>
      <c r="AL3" s="1074" t="inlineStr">
        <is>
          <t>-</t>
        </is>
      </c>
      <c r="AM3" s="1074" t="n"/>
      <c r="AN3" s="1074" t="n"/>
      <c r="AO3" s="1074" t="n"/>
      <c r="AP3" s="1074" t="n"/>
      <c r="AQ3" s="1074" t="n"/>
      <c r="AR3" s="1074" t="n"/>
      <c r="AS3" s="1074" t="n"/>
      <c r="AT3" s="311" t="n"/>
    </row>
    <row r="4" ht="26.25" customFormat="1" customHeight="1" s="366">
      <c r="A4" s="1074" t="inlineStr">
        <is>
          <t>新宝利</t>
        </is>
      </c>
      <c r="B4" s="1074" t="inlineStr">
        <is>
          <t>2365706460</t>
        </is>
      </c>
      <c r="C4" s="1074" t="inlineStr">
        <is>
          <t>赵宏达</t>
        </is>
      </c>
      <c r="D4" s="1074" t="inlineStr">
        <is>
          <t>张敏烨</t>
        </is>
      </c>
      <c r="E4" s="1074" t="n"/>
      <c r="F4" s="1074" t="n"/>
      <c r="G4" s="1074" t="n"/>
      <c r="H4" s="1074" t="inlineStr">
        <is>
          <t>在读</t>
        </is>
      </c>
      <c r="I4" s="1074" t="inlineStr">
        <is>
          <t>三期</t>
        </is>
      </c>
      <c r="J4" s="1074" t="inlineStr">
        <is>
          <t>4632447</t>
        </is>
      </c>
      <c r="K4" s="1074" t="n"/>
      <c r="L4" s="1074" t="n"/>
      <c r="M4" s="1074" t="n"/>
      <c r="N4" s="1074" t="inlineStr">
        <is>
          <t>田雨涵01</t>
        </is>
      </c>
      <c r="O4" s="1074" t="inlineStr">
        <is>
          <t>教室5</t>
        </is>
      </c>
      <c r="P4" s="1074" t="inlineStr">
        <is>
          <t>10:20-12:30</t>
        </is>
      </c>
      <c r="Q4" s="1074" t="inlineStr">
        <is>
          <t>潜能班</t>
        </is>
      </c>
      <c r="R4" s="1074" t="inlineStr">
        <is>
          <t>三期</t>
        </is>
      </c>
      <c r="S4" s="1074" t="inlineStr">
        <is>
          <t>在读</t>
        </is>
      </c>
      <c r="T4" s="1074" t="inlineStr">
        <is>
          <t>-</t>
        </is>
      </c>
      <c r="U4" s="1074" t="inlineStr">
        <is>
          <t>5111226</t>
        </is>
      </c>
      <c r="V4" s="1074" t="n"/>
      <c r="W4" s="1074" t="inlineStr">
        <is>
          <t>李润</t>
        </is>
      </c>
      <c r="X4" s="1074" t="inlineStr">
        <is>
          <t>教室5</t>
        </is>
      </c>
      <c r="Y4" s="1074" t="inlineStr">
        <is>
          <t>15:50-18:00</t>
        </is>
      </c>
      <c r="Z4" s="1074" t="inlineStr">
        <is>
          <t>潜能班</t>
        </is>
      </c>
      <c r="AA4" s="1074" t="inlineStr">
        <is>
          <t>三期</t>
        </is>
      </c>
      <c r="AB4" s="1074" t="inlineStr">
        <is>
          <t>在读</t>
        </is>
      </c>
      <c r="AC4" s="1074" t="inlineStr">
        <is>
          <t>-</t>
        </is>
      </c>
      <c r="AD4" s="1074" t="inlineStr">
        <is>
          <t>4513388</t>
        </is>
      </c>
      <c r="AE4" s="1074" t="n"/>
      <c r="AF4" s="1074" t="inlineStr">
        <is>
          <t>肖锐03</t>
        </is>
      </c>
      <c r="AG4" s="1074" t="inlineStr">
        <is>
          <t>教室5</t>
        </is>
      </c>
      <c r="AH4" s="1074" t="inlineStr">
        <is>
          <t>13:20-15:30</t>
        </is>
      </c>
      <c r="AI4" s="1074" t="inlineStr">
        <is>
          <t>潜能班</t>
        </is>
      </c>
      <c r="AJ4" s="1074" t="inlineStr">
        <is>
          <t>三期</t>
        </is>
      </c>
      <c r="AK4" s="1074" t="inlineStr">
        <is>
          <t>在读</t>
        </is>
      </c>
      <c r="AL4" s="1074" t="inlineStr">
        <is>
          <t>-</t>
        </is>
      </c>
      <c r="AM4" s="1074" t="n"/>
      <c r="AN4" s="1074" t="n"/>
      <c r="AO4" s="1074" t="n"/>
      <c r="AP4" s="1074" t="n"/>
      <c r="AQ4" s="1074" t="n"/>
      <c r="AR4" s="1074" t="n"/>
      <c r="AS4" s="1074" t="n"/>
      <c r="AT4" s="311" t="n"/>
    </row>
    <row r="5" ht="26.25" customFormat="1" customHeight="1" s="366">
      <c r="A5" s="1074" t="inlineStr">
        <is>
          <t>新宝利</t>
        </is>
      </c>
      <c r="B5" s="1074" t="inlineStr">
        <is>
          <t>4739786737</t>
        </is>
      </c>
      <c r="C5" s="1074" t="inlineStr">
        <is>
          <t>吴宸宇</t>
        </is>
      </c>
      <c r="D5" s="1074" t="inlineStr">
        <is>
          <t>王丽</t>
        </is>
      </c>
      <c r="E5" s="1074" t="n"/>
      <c r="F5" s="1074" t="n"/>
      <c r="G5" s="1074" t="n"/>
      <c r="H5" s="1074" t="inlineStr">
        <is>
          <t>在读</t>
        </is>
      </c>
      <c r="I5" s="1074" t="inlineStr">
        <is>
          <t>二期</t>
        </is>
      </c>
      <c r="J5" s="1074" t="inlineStr">
        <is>
          <t>5111034</t>
        </is>
      </c>
      <c r="K5" s="1074" t="n"/>
      <c r="L5" s="1074" t="n"/>
      <c r="M5" s="1074" t="n"/>
      <c r="N5" s="1074" t="inlineStr">
        <is>
          <t>田雨涵01</t>
        </is>
      </c>
      <c r="O5" s="1074" t="inlineStr">
        <is>
          <t>教室4</t>
        </is>
      </c>
      <c r="P5" s="1074" t="inlineStr">
        <is>
          <t>13:20-15:30</t>
        </is>
      </c>
      <c r="Q5" s="1074" t="inlineStr">
        <is>
          <t>潜能班</t>
        </is>
      </c>
      <c r="R5" s="1074" t="inlineStr">
        <is>
          <t>二期</t>
        </is>
      </c>
      <c r="S5" s="1074" t="inlineStr">
        <is>
          <t>在读</t>
        </is>
      </c>
      <c r="T5" s="1074" t="inlineStr">
        <is>
          <t>-</t>
        </is>
      </c>
      <c r="U5" s="1074" t="inlineStr">
        <is>
          <t>-</t>
        </is>
      </c>
      <c r="V5" s="1074" t="inlineStr"/>
      <c r="W5" s="1074" t="inlineStr">
        <is>
          <t>-</t>
        </is>
      </c>
      <c r="X5" s="1074" t="inlineStr">
        <is>
          <t>-</t>
        </is>
      </c>
      <c r="Y5" s="1074" t="inlineStr">
        <is>
          <t>-</t>
        </is>
      </c>
      <c r="Z5" s="1074" t="inlineStr">
        <is>
          <t>-</t>
        </is>
      </c>
      <c r="AA5" s="1074" t="inlineStr">
        <is>
          <t>-</t>
        </is>
      </c>
      <c r="AB5" s="1074" t="inlineStr">
        <is>
          <t>-</t>
        </is>
      </c>
      <c r="AC5" s="1074" t="inlineStr">
        <is>
          <t>-</t>
        </is>
      </c>
      <c r="AD5" s="1074" t="inlineStr">
        <is>
          <t>-</t>
        </is>
      </c>
      <c r="AE5" s="1074" t="inlineStr"/>
      <c r="AF5" s="1074" t="inlineStr">
        <is>
          <t>-</t>
        </is>
      </c>
      <c r="AG5" s="1074" t="inlineStr">
        <is>
          <t>-</t>
        </is>
      </c>
      <c r="AH5" s="1074" t="inlineStr">
        <is>
          <t>-</t>
        </is>
      </c>
      <c r="AI5" s="1074" t="inlineStr">
        <is>
          <t>-</t>
        </is>
      </c>
      <c r="AJ5" s="1074" t="inlineStr">
        <is>
          <t>-</t>
        </is>
      </c>
      <c r="AK5" s="1074" t="inlineStr">
        <is>
          <t>-</t>
        </is>
      </c>
      <c r="AL5" s="1074" t="inlineStr">
        <is>
          <t>-</t>
        </is>
      </c>
      <c r="AM5" s="1074" t="n"/>
      <c r="AN5" s="1074" t="n"/>
      <c r="AO5" s="1074" t="n"/>
      <c r="AP5" s="1074" t="n"/>
      <c r="AQ5" s="1074" t="n"/>
      <c r="AR5" s="1074" t="n"/>
      <c r="AS5" s="1074" t="n"/>
      <c r="AT5" s="311" t="n"/>
    </row>
    <row r="6" ht="26.25" customFormat="1" customHeight="1" s="366">
      <c r="A6" s="1074" t="inlineStr">
        <is>
          <t>天成大厦</t>
        </is>
      </c>
      <c r="B6" s="1074" t="inlineStr">
        <is>
          <t>4857404593</t>
        </is>
      </c>
      <c r="C6" s="1074" t="inlineStr">
        <is>
          <t>许嘉言</t>
        </is>
      </c>
      <c r="D6" s="1074" t="inlineStr">
        <is>
          <t>龙倩敏</t>
        </is>
      </c>
      <c r="E6" s="1074" t="n"/>
      <c r="F6" s="1074" t="n"/>
      <c r="G6" s="1074" t="n"/>
      <c r="H6" s="1074" t="inlineStr">
        <is>
          <t>在读</t>
        </is>
      </c>
      <c r="I6" s="1074" t="inlineStr">
        <is>
          <t>三期</t>
        </is>
      </c>
      <c r="J6" s="1074" t="inlineStr">
        <is>
          <t>5230801</t>
        </is>
      </c>
      <c r="K6" s="1074" t="n"/>
      <c r="L6" s="1074" t="n"/>
      <c r="M6" s="1074" t="n"/>
      <c r="N6" s="1074" t="inlineStr">
        <is>
          <t>宗志鹏</t>
        </is>
      </c>
      <c r="O6" s="1074" t="inlineStr">
        <is>
          <t>03品尚</t>
        </is>
      </c>
      <c r="P6" s="1074" t="inlineStr">
        <is>
          <t>13:20-15:30</t>
        </is>
      </c>
      <c r="Q6" s="1074" t="inlineStr">
        <is>
          <t>潜能班</t>
        </is>
      </c>
      <c r="R6" s="1074" t="inlineStr">
        <is>
          <t>三期</t>
        </is>
      </c>
      <c r="S6" s="1074" t="inlineStr">
        <is>
          <t>在读</t>
        </is>
      </c>
      <c r="T6" s="1074" t="inlineStr">
        <is>
          <t>-</t>
        </is>
      </c>
      <c r="U6" s="1074" t="inlineStr">
        <is>
          <t>5230739</t>
        </is>
      </c>
      <c r="V6" s="1074" t="n"/>
      <c r="W6" s="1074" t="inlineStr">
        <is>
          <t>李润</t>
        </is>
      </c>
      <c r="X6" s="1074" t="inlineStr">
        <is>
          <t>03品尚</t>
        </is>
      </c>
      <c r="Y6" s="1074" t="inlineStr">
        <is>
          <t>10:20-12:30</t>
        </is>
      </c>
      <c r="Z6" s="1074" t="inlineStr">
        <is>
          <t>潜能班</t>
        </is>
      </c>
      <c r="AA6" s="1074" t="inlineStr">
        <is>
          <t>三期</t>
        </is>
      </c>
      <c r="AB6" s="1074" t="inlineStr">
        <is>
          <t>在读</t>
        </is>
      </c>
      <c r="AC6" s="1074" t="inlineStr">
        <is>
          <t>-</t>
        </is>
      </c>
      <c r="AD6" s="1074" t="inlineStr">
        <is>
          <t>5230788</t>
        </is>
      </c>
      <c r="AE6" s="1074" t="n"/>
      <c r="AF6" s="1074" t="inlineStr">
        <is>
          <t>刘希子</t>
        </is>
      </c>
      <c r="AG6" s="1074" t="inlineStr">
        <is>
          <t>03品尚</t>
        </is>
      </c>
      <c r="AH6" s="1074" t="inlineStr">
        <is>
          <t>15:50-18:00</t>
        </is>
      </c>
      <c r="AI6" s="1074" t="inlineStr">
        <is>
          <t>潜能班</t>
        </is>
      </c>
      <c r="AJ6" s="1074" t="inlineStr">
        <is>
          <t>三期</t>
        </is>
      </c>
      <c r="AK6" s="1074" t="inlineStr">
        <is>
          <t>在读</t>
        </is>
      </c>
      <c r="AL6" s="1074" t="inlineStr">
        <is>
          <t>-</t>
        </is>
      </c>
      <c r="AM6" s="1074" t="n"/>
      <c r="AN6" s="1074" t="n"/>
      <c r="AO6" s="1074" t="n"/>
      <c r="AP6" s="1074" t="n"/>
      <c r="AQ6" s="1074" t="n"/>
      <c r="AR6" s="1074" t="n"/>
      <c r="AS6" s="1074" t="n"/>
      <c r="AT6" s="311" t="n"/>
    </row>
    <row r="7" ht="26.25" customFormat="1" customHeight="1" s="366">
      <c r="A7" s="1074" t="inlineStr">
        <is>
          <t>同创汇</t>
        </is>
      </c>
      <c r="B7" s="1074" t="inlineStr">
        <is>
          <t>4238523947</t>
        </is>
      </c>
      <c r="C7" s="1074" t="inlineStr">
        <is>
          <t>丁俊熙</t>
        </is>
      </c>
      <c r="D7" s="1074" t="inlineStr">
        <is>
          <t>王丽</t>
        </is>
      </c>
      <c r="E7" s="1074" t="n"/>
      <c r="F7" s="1074" t="n"/>
      <c r="G7" s="1074" t="n"/>
      <c r="H7" s="1074" t="inlineStr">
        <is>
          <t>在读</t>
        </is>
      </c>
      <c r="I7" s="1074" t="inlineStr">
        <is>
          <t>一期</t>
        </is>
      </c>
      <c r="J7" s="1074" t="inlineStr">
        <is>
          <t>5230802</t>
        </is>
      </c>
      <c r="K7" s="1074" t="n"/>
      <c r="L7" s="1074" t="n"/>
      <c r="M7" s="1074" t="n"/>
      <c r="N7" s="1074" t="inlineStr">
        <is>
          <t>田雨涵01</t>
        </is>
      </c>
      <c r="O7" s="1074" t="inlineStr">
        <is>
          <t>02彩虹桥</t>
        </is>
      </c>
      <c r="P7" s="1074" t="inlineStr">
        <is>
          <t>15:50-18:00</t>
        </is>
      </c>
      <c r="Q7" s="1074" t="inlineStr">
        <is>
          <t>潜能班</t>
        </is>
      </c>
      <c r="R7" s="1074" t="inlineStr">
        <is>
          <t>一期</t>
        </is>
      </c>
      <c r="S7" s="1074" t="inlineStr">
        <is>
          <t>在读</t>
        </is>
      </c>
      <c r="T7" s="1074" t="inlineStr">
        <is>
          <t>-</t>
        </is>
      </c>
      <c r="U7" s="1074" t="inlineStr">
        <is>
          <t>4632448</t>
        </is>
      </c>
      <c r="V7" s="1074" t="n"/>
      <c r="W7" s="1074" t="inlineStr">
        <is>
          <t>陈南05</t>
        </is>
      </c>
      <c r="X7" s="1074" t="inlineStr">
        <is>
          <t>02彩虹桥</t>
        </is>
      </c>
      <c r="Y7" s="1074" t="inlineStr">
        <is>
          <t>10:20-12:30</t>
        </is>
      </c>
      <c r="Z7" s="1074" t="inlineStr">
        <is>
          <t>潜能班</t>
        </is>
      </c>
      <c r="AA7" s="1074" t="inlineStr">
        <is>
          <t>一期</t>
        </is>
      </c>
      <c r="AB7" s="1074" t="inlineStr">
        <is>
          <t>在读</t>
        </is>
      </c>
      <c r="AC7" s="1074" t="inlineStr">
        <is>
          <t>-</t>
        </is>
      </c>
      <c r="AD7" s="1074" t="inlineStr">
        <is>
          <t>3132837</t>
        </is>
      </c>
      <c r="AE7" s="1074" t="n"/>
      <c r="AF7" s="1074" t="inlineStr">
        <is>
          <t>高心怡04</t>
        </is>
      </c>
      <c r="AG7" s="1074" t="inlineStr">
        <is>
          <t>02彩虹桥</t>
        </is>
      </c>
      <c r="AH7" s="1074" t="inlineStr">
        <is>
          <t>13:20-15:30</t>
        </is>
      </c>
      <c r="AI7" s="1074" t="inlineStr">
        <is>
          <t>潜能班</t>
        </is>
      </c>
      <c r="AJ7" s="1074" t="inlineStr">
        <is>
          <t>一期</t>
        </is>
      </c>
      <c r="AK7" s="1074" t="inlineStr">
        <is>
          <t>在读</t>
        </is>
      </c>
      <c r="AL7" s="1074" t="inlineStr">
        <is>
          <t>-</t>
        </is>
      </c>
      <c r="AM7" s="1074" t="n"/>
      <c r="AN7" s="1074" t="n"/>
      <c r="AO7" s="1074" t="n"/>
      <c r="AP7" s="1074" t="n"/>
      <c r="AQ7" s="1074" t="n"/>
      <c r="AR7" s="1074" t="n"/>
      <c r="AS7" s="1074" t="n"/>
      <c r="AT7" s="311" t="n"/>
    </row>
    <row r="8" ht="26.25" customFormat="1" customHeight="1" s="366">
      <c r="A8" s="1074" t="inlineStr">
        <is>
          <t>同创汇</t>
        </is>
      </c>
      <c r="B8" s="1074" t="inlineStr">
        <is>
          <t>2510657138</t>
        </is>
      </c>
      <c r="C8" s="1074" t="inlineStr">
        <is>
          <t>梁赫</t>
        </is>
      </c>
      <c r="D8" s="1074" t="inlineStr">
        <is>
          <t>戎凯01</t>
        </is>
      </c>
      <c r="E8" s="1074" t="n"/>
      <c r="F8" s="1074" t="n"/>
      <c r="G8" s="1074" t="n"/>
      <c r="H8" s="1074" t="inlineStr">
        <is>
          <t>在读</t>
        </is>
      </c>
      <c r="I8" s="1074" t="inlineStr">
        <is>
          <t>一期</t>
        </is>
      </c>
      <c r="J8" s="1074" t="inlineStr">
        <is>
          <t>5230802</t>
        </is>
      </c>
      <c r="K8" s="1074" t="n"/>
      <c r="L8" s="1074" t="n"/>
      <c r="M8" s="1074" t="n"/>
      <c r="N8" s="1074" t="inlineStr">
        <is>
          <t>田雨涵01</t>
        </is>
      </c>
      <c r="O8" s="1074" t="inlineStr">
        <is>
          <t>02彩虹桥</t>
        </is>
      </c>
      <c r="P8" s="1074" t="inlineStr">
        <is>
          <t>15:50-18:00</t>
        </is>
      </c>
      <c r="Q8" s="1074" t="inlineStr">
        <is>
          <t>潜能班</t>
        </is>
      </c>
      <c r="R8" s="1074" t="inlineStr">
        <is>
          <t>一期</t>
        </is>
      </c>
      <c r="S8" s="1074" t="inlineStr">
        <is>
          <t>在读</t>
        </is>
      </c>
      <c r="T8" s="1074" t="inlineStr">
        <is>
          <t>-</t>
        </is>
      </c>
      <c r="U8" s="1074" t="inlineStr">
        <is>
          <t>4632448</t>
        </is>
      </c>
      <c r="V8" s="1074" t="n"/>
      <c r="W8" s="1074" t="inlineStr">
        <is>
          <t>陈南05</t>
        </is>
      </c>
      <c r="X8" s="1074" t="inlineStr">
        <is>
          <t>02彩虹桥</t>
        </is>
      </c>
      <c r="Y8" s="1074" t="inlineStr">
        <is>
          <t>10:20-12:30</t>
        </is>
      </c>
      <c r="Z8" s="1074" t="inlineStr">
        <is>
          <t>潜能班</t>
        </is>
      </c>
      <c r="AA8" s="1074" t="inlineStr">
        <is>
          <t>一期</t>
        </is>
      </c>
      <c r="AB8" s="1074" t="inlineStr">
        <is>
          <t>在读</t>
        </is>
      </c>
      <c r="AC8" s="1074" t="inlineStr">
        <is>
          <t>-</t>
        </is>
      </c>
      <c r="AD8" s="1074" t="inlineStr">
        <is>
          <t>3132837</t>
        </is>
      </c>
      <c r="AE8" s="1074" t="n"/>
      <c r="AF8" s="1074" t="inlineStr">
        <is>
          <t>高心怡04</t>
        </is>
      </c>
      <c r="AG8" s="1074" t="inlineStr">
        <is>
          <t>02彩虹桥</t>
        </is>
      </c>
      <c r="AH8" s="1074" t="inlineStr">
        <is>
          <t>13:20-15:30</t>
        </is>
      </c>
      <c r="AI8" s="1074" t="inlineStr">
        <is>
          <t>潜能班</t>
        </is>
      </c>
      <c r="AJ8" s="1074" t="inlineStr">
        <is>
          <t>一期</t>
        </is>
      </c>
      <c r="AK8" s="1074" t="inlineStr">
        <is>
          <t>在读</t>
        </is>
      </c>
      <c r="AL8" s="1074" t="inlineStr">
        <is>
          <t>-</t>
        </is>
      </c>
      <c r="AM8" s="1074" t="n"/>
      <c r="AN8" s="1074" t="n"/>
      <c r="AO8" s="1074" t="n"/>
      <c r="AP8" s="1074" t="n"/>
      <c r="AQ8" s="1074" t="n"/>
      <c r="AR8" s="1074" t="n"/>
      <c r="AS8" s="1074" t="n"/>
      <c r="AT8" s="311" t="n"/>
    </row>
    <row r="9" ht="26.25" customFormat="1" customHeight="1" s="366">
      <c r="A9" s="1074" t="inlineStr">
        <is>
          <t>同创汇</t>
        </is>
      </c>
      <c r="B9" s="1074" t="inlineStr">
        <is>
          <t>4858371265</t>
        </is>
      </c>
      <c r="C9" s="1074" t="inlineStr">
        <is>
          <t>方嘉怡</t>
        </is>
      </c>
      <c r="D9" s="1074" t="inlineStr">
        <is>
          <t>戎凯01</t>
        </is>
      </c>
      <c r="E9" s="1074" t="n"/>
      <c r="F9" s="1074" t="n"/>
      <c r="G9" s="1074" t="n"/>
      <c r="H9" s="1074" t="inlineStr">
        <is>
          <t>在读</t>
        </is>
      </c>
      <c r="I9" s="1074" t="inlineStr">
        <is>
          <t>二期</t>
        </is>
      </c>
      <c r="J9" s="1074" t="inlineStr">
        <is>
          <t>3132872</t>
        </is>
      </c>
      <c r="K9" s="1074" t="n"/>
      <c r="L9" s="1074" t="n"/>
      <c r="M9" s="1074" t="n"/>
      <c r="N9" s="1074" t="inlineStr">
        <is>
          <t>何咏04</t>
        </is>
      </c>
      <c r="O9" s="1074" t="inlineStr">
        <is>
          <t>01智慧林</t>
        </is>
      </c>
      <c r="P9" s="1074" t="inlineStr">
        <is>
          <t>13:20-15:30</t>
        </is>
      </c>
      <c r="Q9" s="1074" t="inlineStr">
        <is>
          <t>潜能班</t>
        </is>
      </c>
      <c r="R9" s="1074" t="inlineStr">
        <is>
          <t>二期</t>
        </is>
      </c>
      <c r="S9" s="1074" t="inlineStr">
        <is>
          <t>在读</t>
        </is>
      </c>
      <c r="T9" s="1074" t="inlineStr">
        <is>
          <t>-</t>
        </is>
      </c>
      <c r="U9" s="1074" t="inlineStr">
        <is>
          <t>5230809</t>
        </is>
      </c>
      <c r="V9" s="1074" t="n"/>
      <c r="W9" s="1074" t="inlineStr">
        <is>
          <t>李润</t>
        </is>
      </c>
      <c r="X9" s="1074" t="inlineStr">
        <is>
          <t>01智慧林</t>
        </is>
      </c>
      <c r="Y9" s="1074" t="inlineStr">
        <is>
          <t>10:20-12:30</t>
        </is>
      </c>
      <c r="Z9" s="1074" t="inlineStr">
        <is>
          <t>潜能班</t>
        </is>
      </c>
      <c r="AA9" s="1074" t="inlineStr">
        <is>
          <t>二期</t>
        </is>
      </c>
      <c r="AB9" s="1074" t="inlineStr">
        <is>
          <t>在读</t>
        </is>
      </c>
      <c r="AC9" s="1074" t="inlineStr">
        <is>
          <t>-</t>
        </is>
      </c>
      <c r="AD9" s="1074" t="inlineStr">
        <is>
          <t>3132893</t>
        </is>
      </c>
      <c r="AE9" s="1074" t="n"/>
      <c r="AF9" s="1074" t="inlineStr">
        <is>
          <t>刘希子</t>
        </is>
      </c>
      <c r="AG9" s="1074" t="inlineStr">
        <is>
          <t>01智慧林</t>
        </is>
      </c>
      <c r="AH9" s="1074" t="inlineStr">
        <is>
          <t>15:50-18:00</t>
        </is>
      </c>
      <c r="AI9" s="1074" t="inlineStr">
        <is>
          <t>潜能班</t>
        </is>
      </c>
      <c r="AJ9" s="1074" t="inlineStr">
        <is>
          <t>二期</t>
        </is>
      </c>
      <c r="AK9" s="1074" t="inlineStr">
        <is>
          <t>在读</t>
        </is>
      </c>
      <c r="AL9" s="1074" t="inlineStr">
        <is>
          <t>-</t>
        </is>
      </c>
      <c r="AM9" s="1074" t="n"/>
      <c r="AN9" s="1074" t="n"/>
      <c r="AO9" s="1074" t="n"/>
      <c r="AP9" s="1074" t="n"/>
      <c r="AQ9" s="1074" t="n"/>
      <c r="AR9" s="1074" t="n"/>
      <c r="AS9" s="1074" t="n"/>
      <c r="AT9" s="311" t="n"/>
    </row>
    <row r="10" ht="26.25" customFormat="1" customHeight="1" s="366">
      <c r="A10" s="1074" t="inlineStr">
        <is>
          <t>新宝利</t>
        </is>
      </c>
      <c r="B10" s="1074" t="inlineStr">
        <is>
          <t>2341143960</t>
        </is>
      </c>
      <c r="C10" s="1074" t="inlineStr">
        <is>
          <t>杨善曦</t>
        </is>
      </c>
      <c r="D10" s="1074" t="inlineStr">
        <is>
          <t>杨林33</t>
        </is>
      </c>
      <c r="E10" s="1074" t="n"/>
      <c r="F10" s="1074" t="n"/>
      <c r="G10" s="1074" t="n"/>
      <c r="H10" s="1074" t="inlineStr">
        <is>
          <t>在读</t>
        </is>
      </c>
      <c r="I10" s="1074" t="inlineStr">
        <is>
          <t>一期</t>
        </is>
      </c>
      <c r="J10" s="1074" t="inlineStr">
        <is>
          <t>-</t>
        </is>
      </c>
      <c r="K10" s="1074" t="inlineStr"/>
      <c r="L10" s="1074" t="inlineStr"/>
      <c r="M10" s="1074" t="inlineStr"/>
      <c r="N10" s="1074" t="inlineStr">
        <is>
          <t>-</t>
        </is>
      </c>
      <c r="O10" s="1074" t="inlineStr">
        <is>
          <t>-</t>
        </is>
      </c>
      <c r="P10" s="1074" t="inlineStr">
        <is>
          <t>-</t>
        </is>
      </c>
      <c r="Q10" s="1074" t="inlineStr">
        <is>
          <t>-</t>
        </is>
      </c>
      <c r="R10" s="1074" t="inlineStr">
        <is>
          <t>-</t>
        </is>
      </c>
      <c r="S10" s="1074" t="inlineStr">
        <is>
          <t>-</t>
        </is>
      </c>
      <c r="T10" s="1074" t="inlineStr">
        <is>
          <t>-</t>
        </is>
      </c>
      <c r="U10" s="1074" t="inlineStr">
        <is>
          <t>5230773</t>
        </is>
      </c>
      <c r="V10" s="1074" t="n"/>
      <c r="W10" s="1074" t="inlineStr">
        <is>
          <t>陈南05</t>
        </is>
      </c>
      <c r="X10" s="1074" t="inlineStr">
        <is>
          <t>教室2</t>
        </is>
      </c>
      <c r="Y10" s="1074" t="inlineStr">
        <is>
          <t>15:50-18:00</t>
        </is>
      </c>
      <c r="Z10" s="1074" t="inlineStr">
        <is>
          <t>潜能班</t>
        </is>
      </c>
      <c r="AA10" s="1074" t="inlineStr">
        <is>
          <t>一期</t>
        </is>
      </c>
      <c r="AB10" s="1074" t="inlineStr">
        <is>
          <t>在读</t>
        </is>
      </c>
      <c r="AC10" s="1074" t="inlineStr">
        <is>
          <t>-</t>
        </is>
      </c>
      <c r="AD10" s="1074" t="inlineStr">
        <is>
          <t>3132888</t>
        </is>
      </c>
      <c r="AE10" s="1074" t="n"/>
      <c r="AF10" s="1074" t="inlineStr">
        <is>
          <t>肖锐03</t>
        </is>
      </c>
      <c r="AG10" s="1074" t="inlineStr">
        <is>
          <t>教室2</t>
        </is>
      </c>
      <c r="AH10" s="1074" t="inlineStr">
        <is>
          <t>10:20-12:30</t>
        </is>
      </c>
      <c r="AI10" s="1074" t="inlineStr">
        <is>
          <t>潜能班</t>
        </is>
      </c>
      <c r="AJ10" s="1074" t="inlineStr">
        <is>
          <t>一期</t>
        </is>
      </c>
      <c r="AK10" s="1074" t="inlineStr">
        <is>
          <t>在读</t>
        </is>
      </c>
      <c r="AL10" s="1074" t="inlineStr">
        <is>
          <t>-</t>
        </is>
      </c>
      <c r="AM10" s="1074" t="n"/>
      <c r="AN10" s="1074" t="n"/>
      <c r="AO10" s="1074" t="n"/>
      <c r="AP10" s="1074" t="n"/>
      <c r="AQ10" s="1074" t="n"/>
      <c r="AR10" s="1074" t="n"/>
      <c r="AS10" s="1074" t="n"/>
      <c r="AT10" s="311" t="n"/>
    </row>
    <row r="11" ht="26.25" customFormat="1" customHeight="1" s="366">
      <c r="A11" s="1074" t="inlineStr">
        <is>
          <t>新宝利</t>
        </is>
      </c>
      <c r="B11" s="1074" t="inlineStr">
        <is>
          <t>2532873612</t>
        </is>
      </c>
      <c r="C11" s="1074" t="inlineStr">
        <is>
          <t>范昕</t>
        </is>
      </c>
      <c r="D11" s="1074" t="inlineStr">
        <is>
          <t>杨林33</t>
        </is>
      </c>
      <c r="E11" s="1074" t="n"/>
      <c r="F11" s="1074" t="n"/>
      <c r="G11" s="1074" t="n"/>
      <c r="H11" s="1074" t="inlineStr">
        <is>
          <t>在读</t>
        </is>
      </c>
      <c r="I11" s="1074" t="inlineStr">
        <is>
          <t>三期</t>
        </is>
      </c>
      <c r="J11" s="1074" t="inlineStr">
        <is>
          <t>4632447</t>
        </is>
      </c>
      <c r="K11" s="1074" t="n"/>
      <c r="L11" s="1074" t="n"/>
      <c r="M11" s="1074" t="n"/>
      <c r="N11" s="1074" t="inlineStr">
        <is>
          <t>田雨涵01</t>
        </is>
      </c>
      <c r="O11" s="1074" t="inlineStr">
        <is>
          <t>教室5</t>
        </is>
      </c>
      <c r="P11" s="1074" t="inlineStr">
        <is>
          <t>10:20-12:30</t>
        </is>
      </c>
      <c r="Q11" s="1074" t="inlineStr">
        <is>
          <t>潜能班</t>
        </is>
      </c>
      <c r="R11" s="1074" t="inlineStr">
        <is>
          <t>三期</t>
        </is>
      </c>
      <c r="S11" s="1074" t="inlineStr">
        <is>
          <t>在读</t>
        </is>
      </c>
      <c r="T11" s="1074" t="inlineStr">
        <is>
          <t>-</t>
        </is>
      </c>
      <c r="U11" s="1074" t="inlineStr">
        <is>
          <t>5111226</t>
        </is>
      </c>
      <c r="V11" s="1074" t="n"/>
      <c r="W11" s="1074" t="inlineStr">
        <is>
          <t>李润</t>
        </is>
      </c>
      <c r="X11" s="1074" t="inlineStr">
        <is>
          <t>教室5</t>
        </is>
      </c>
      <c r="Y11" s="1074" t="inlineStr">
        <is>
          <t>15:50-18:00</t>
        </is>
      </c>
      <c r="Z11" s="1074" t="inlineStr">
        <is>
          <t>潜能班</t>
        </is>
      </c>
      <c r="AA11" s="1074" t="inlineStr">
        <is>
          <t>三期</t>
        </is>
      </c>
      <c r="AB11" s="1074" t="inlineStr">
        <is>
          <t>在读</t>
        </is>
      </c>
      <c r="AC11" s="1074" t="inlineStr">
        <is>
          <t>-</t>
        </is>
      </c>
      <c r="AD11" s="1074" t="inlineStr">
        <is>
          <t>5170871</t>
        </is>
      </c>
      <c r="AE11" s="1074" t="n"/>
      <c r="AF11" s="1074" t="inlineStr">
        <is>
          <t>肖锐03</t>
        </is>
      </c>
      <c r="AG11" s="1074" t="inlineStr">
        <is>
          <t>教室2</t>
        </is>
      </c>
      <c r="AH11" s="1074" t="inlineStr">
        <is>
          <t>10:20-12:30</t>
        </is>
      </c>
      <c r="AI11" s="1074" t="inlineStr">
        <is>
          <t>潜能班</t>
        </is>
      </c>
      <c r="AJ11" s="1074" t="inlineStr">
        <is>
          <t>三期</t>
        </is>
      </c>
      <c r="AK11" s="1074" t="inlineStr">
        <is>
          <t>在读</t>
        </is>
      </c>
      <c r="AL11" s="1074" t="inlineStr">
        <is>
          <t>-</t>
        </is>
      </c>
      <c r="AM11" s="1074" t="n"/>
      <c r="AN11" s="1074" t="n"/>
      <c r="AO11" s="1074" t="n"/>
      <c r="AP11" s="1074" t="n"/>
      <c r="AQ11" s="1074" t="n"/>
      <c r="AR11" s="1074" t="n"/>
      <c r="AS11" s="1074" t="n"/>
      <c r="AT11" s="311" t="n"/>
    </row>
    <row r="12" ht="26.25" customFormat="1" customHeight="1" s="366">
      <c r="A12" s="1074" t="inlineStr">
        <is>
          <t>新宝利</t>
        </is>
      </c>
      <c r="B12" s="1074" t="inlineStr">
        <is>
          <t>2649629431</t>
        </is>
      </c>
      <c r="C12" s="1074" t="inlineStr">
        <is>
          <t>黄华辰</t>
        </is>
      </c>
      <c r="D12" s="1074" t="inlineStr">
        <is>
          <t>林志豪01</t>
        </is>
      </c>
      <c r="E12" s="1074" t="n"/>
      <c r="F12" s="1074" t="n"/>
      <c r="G12" s="1074" t="n"/>
      <c r="H12" s="1074" t="inlineStr">
        <is>
          <t>在读</t>
        </is>
      </c>
      <c r="I12" s="1074" t="inlineStr">
        <is>
          <t>一期</t>
        </is>
      </c>
      <c r="J12" s="1074" t="inlineStr">
        <is>
          <t>5230732</t>
        </is>
      </c>
      <c r="K12" s="1074" t="n"/>
      <c r="L12" s="1074" t="n"/>
      <c r="M12" s="1074" t="n"/>
      <c r="N12" s="1074" t="inlineStr">
        <is>
          <t>何咏04</t>
        </is>
      </c>
      <c r="O12" s="1074" t="inlineStr">
        <is>
          <t>教室3</t>
        </is>
      </c>
      <c r="P12" s="1074" t="inlineStr">
        <is>
          <t>10:30-12:40</t>
        </is>
      </c>
      <c r="Q12" s="1074" t="inlineStr">
        <is>
          <t>启能班</t>
        </is>
      </c>
      <c r="R12" s="1074" t="inlineStr">
        <is>
          <t>一期</t>
        </is>
      </c>
      <c r="S12" s="1074" t="inlineStr">
        <is>
          <t>在读</t>
        </is>
      </c>
      <c r="T12" s="1074" t="inlineStr">
        <is>
          <t>-</t>
        </is>
      </c>
      <c r="U12" s="1074" t="inlineStr">
        <is>
          <t>5230773</t>
        </is>
      </c>
      <c r="V12" s="1074" t="n"/>
      <c r="W12" s="1074" t="inlineStr">
        <is>
          <t>陈南05</t>
        </is>
      </c>
      <c r="X12" s="1074" t="inlineStr">
        <is>
          <t>教室2</t>
        </is>
      </c>
      <c r="Y12" s="1074" t="inlineStr">
        <is>
          <t>15:50-18:00</t>
        </is>
      </c>
      <c r="Z12" s="1074" t="inlineStr">
        <is>
          <t>潜能班</t>
        </is>
      </c>
      <c r="AA12" s="1074" t="inlineStr">
        <is>
          <t>一期</t>
        </is>
      </c>
      <c r="AB12" s="1074" t="inlineStr">
        <is>
          <t>在读</t>
        </is>
      </c>
      <c r="AC12" s="1074" t="inlineStr">
        <is>
          <t>-</t>
        </is>
      </c>
      <c r="AD12" s="1074" t="inlineStr">
        <is>
          <t>3132899</t>
        </is>
      </c>
      <c r="AE12" s="1074" t="n"/>
      <c r="AF12" s="1074" t="inlineStr">
        <is>
          <t>肖锐03</t>
        </is>
      </c>
      <c r="AG12" s="1074" t="inlineStr">
        <is>
          <t>教室3</t>
        </is>
      </c>
      <c r="AH12" s="1074" t="inlineStr">
        <is>
          <t>07:50-10:00</t>
        </is>
      </c>
      <c r="AI12" s="1074" t="inlineStr">
        <is>
          <t>潜能班</t>
        </is>
      </c>
      <c r="AJ12" s="1074" t="inlineStr">
        <is>
          <t>一期</t>
        </is>
      </c>
      <c r="AK12" s="1074" t="inlineStr">
        <is>
          <t>在读</t>
        </is>
      </c>
      <c r="AL12" s="1074" t="inlineStr">
        <is>
          <t>-</t>
        </is>
      </c>
      <c r="AM12" s="1074" t="n"/>
      <c r="AN12" s="1074" t="n"/>
      <c r="AO12" s="1074" t="n"/>
      <c r="AP12" s="1074" t="n"/>
      <c r="AQ12" s="1074" t="n"/>
      <c r="AR12" s="1074" t="n"/>
      <c r="AS12" s="1074" t="n"/>
      <c r="AT12" s="311" t="n"/>
    </row>
    <row r="13" ht="26.25" customFormat="1" customHeight="1" s="366">
      <c r="A13" s="1074" t="inlineStr">
        <is>
          <t>新宝利</t>
        </is>
      </c>
      <c r="B13" s="1074" t="inlineStr">
        <is>
          <t>2704638904</t>
        </is>
      </c>
      <c r="C13" s="1074" t="inlineStr">
        <is>
          <t>许文铠</t>
        </is>
      </c>
      <c r="D13" s="1074" t="inlineStr">
        <is>
          <t>林志豪01</t>
        </is>
      </c>
      <c r="E13" s="1074" t="n"/>
      <c r="F13" s="1074" t="n"/>
      <c r="G13" s="1074" t="n"/>
      <c r="H13" s="1074" t="inlineStr">
        <is>
          <t>在读</t>
        </is>
      </c>
      <c r="I13" s="1074" t="inlineStr">
        <is>
          <t>一期</t>
        </is>
      </c>
      <c r="J13" s="1074" t="inlineStr">
        <is>
          <t>5230742</t>
        </is>
      </c>
      <c r="K13" s="1074" t="n"/>
      <c r="L13" s="1074" t="n"/>
      <c r="M13" s="1074" t="n"/>
      <c r="N13" s="1074" t="inlineStr">
        <is>
          <t>何咏04</t>
        </is>
      </c>
      <c r="O13" s="1074" t="inlineStr">
        <is>
          <t>教室2</t>
        </is>
      </c>
      <c r="P13" s="1074" t="inlineStr">
        <is>
          <t>13:20-15:30</t>
        </is>
      </c>
      <c r="Q13" s="1074" t="inlineStr">
        <is>
          <t>潜能班</t>
        </is>
      </c>
      <c r="R13" s="1074" t="inlineStr">
        <is>
          <t>一期</t>
        </is>
      </c>
      <c r="S13" s="1074" t="inlineStr">
        <is>
          <t>在读</t>
        </is>
      </c>
      <c r="T13" s="1074" t="inlineStr">
        <is>
          <t>-</t>
        </is>
      </c>
      <c r="U13" s="1074" t="inlineStr">
        <is>
          <t>5230773</t>
        </is>
      </c>
      <c r="V13" s="1074" t="n"/>
      <c r="W13" s="1074" t="inlineStr">
        <is>
          <t>陈南05</t>
        </is>
      </c>
      <c r="X13" s="1074" t="inlineStr">
        <is>
          <t>教室2</t>
        </is>
      </c>
      <c r="Y13" s="1074" t="inlineStr">
        <is>
          <t>15:50-18:00</t>
        </is>
      </c>
      <c r="Z13" s="1074" t="inlineStr">
        <is>
          <t>潜能班</t>
        </is>
      </c>
      <c r="AA13" s="1074" t="inlineStr">
        <is>
          <t>一期</t>
        </is>
      </c>
      <c r="AB13" s="1074" t="inlineStr">
        <is>
          <t>在读</t>
        </is>
      </c>
      <c r="AC13" s="1074" t="inlineStr">
        <is>
          <t>-</t>
        </is>
      </c>
      <c r="AD13" s="1074" t="inlineStr">
        <is>
          <t>3132899</t>
        </is>
      </c>
      <c r="AE13" s="1074" t="n"/>
      <c r="AF13" s="1074" t="inlineStr">
        <is>
          <t>肖锐03</t>
        </is>
      </c>
      <c r="AG13" s="1074" t="inlineStr">
        <is>
          <t>教室3</t>
        </is>
      </c>
      <c r="AH13" s="1074" t="inlineStr">
        <is>
          <t>07:50-10:00</t>
        </is>
      </c>
      <c r="AI13" s="1074" t="inlineStr">
        <is>
          <t>潜能班</t>
        </is>
      </c>
      <c r="AJ13" s="1074" t="inlineStr">
        <is>
          <t>一期</t>
        </is>
      </c>
      <c r="AK13" s="1074" t="inlineStr">
        <is>
          <t>在读</t>
        </is>
      </c>
      <c r="AL13" s="1074" t="inlineStr">
        <is>
          <t>-</t>
        </is>
      </c>
      <c r="AM13" s="1074" t="n"/>
      <c r="AN13" s="1074" t="n"/>
      <c r="AO13" s="1074" t="n"/>
      <c r="AP13" s="1074" t="n"/>
      <c r="AQ13" s="1074" t="n"/>
      <c r="AR13" s="1074" t="n"/>
      <c r="AS13" s="1074" t="n"/>
      <c r="AT13" s="311" t="n"/>
    </row>
    <row r="14" ht="26.25" customFormat="1" customHeight="1" s="366">
      <c r="A14" s="1074" t="inlineStr">
        <is>
          <t>新宝利</t>
        </is>
      </c>
      <c r="B14" s="1074" t="inlineStr">
        <is>
          <t>2260449861</t>
        </is>
      </c>
      <c r="C14" s="1074" t="inlineStr">
        <is>
          <t>翟意恒</t>
        </is>
      </c>
      <c r="D14" s="1074" t="inlineStr">
        <is>
          <t>杨林33</t>
        </is>
      </c>
      <c r="E14" s="1074" t="n"/>
      <c r="F14" s="1074" t="n"/>
      <c r="G14" s="1074" t="n"/>
      <c r="H14" s="1074" t="inlineStr">
        <is>
          <t>在读</t>
        </is>
      </c>
      <c r="I14" s="1074" t="inlineStr">
        <is>
          <t>一期</t>
        </is>
      </c>
      <c r="J14" s="1074" t="inlineStr">
        <is>
          <t>5230732</t>
        </is>
      </c>
      <c r="K14" s="1074" t="n"/>
      <c r="L14" s="1074" t="n"/>
      <c r="M14" s="1074" t="n"/>
      <c r="N14" s="1074" t="inlineStr">
        <is>
          <t>何咏04</t>
        </is>
      </c>
      <c r="O14" s="1074" t="inlineStr">
        <is>
          <t>教室3</t>
        </is>
      </c>
      <c r="P14" s="1074" t="inlineStr">
        <is>
          <t>10:30-12:40</t>
        </is>
      </c>
      <c r="Q14" s="1074" t="inlineStr">
        <is>
          <t>启能班</t>
        </is>
      </c>
      <c r="R14" s="1074" t="inlineStr">
        <is>
          <t>一期</t>
        </is>
      </c>
      <c r="S14" s="1074" t="inlineStr">
        <is>
          <t>在读</t>
        </is>
      </c>
      <c r="T14" s="1074" t="inlineStr">
        <is>
          <t>-</t>
        </is>
      </c>
      <c r="U14" s="1074" t="inlineStr">
        <is>
          <t>5230773</t>
        </is>
      </c>
      <c r="V14" s="1074" t="n"/>
      <c r="W14" s="1074" t="inlineStr">
        <is>
          <t>陈南05</t>
        </is>
      </c>
      <c r="X14" s="1074" t="inlineStr">
        <is>
          <t>教室2</t>
        </is>
      </c>
      <c r="Y14" s="1074" t="inlineStr">
        <is>
          <t>15:50-18:00</t>
        </is>
      </c>
      <c r="Z14" s="1074" t="inlineStr">
        <is>
          <t>潜能班</t>
        </is>
      </c>
      <c r="AA14" s="1074" t="inlineStr">
        <is>
          <t>一期</t>
        </is>
      </c>
      <c r="AB14" s="1074" t="inlineStr">
        <is>
          <t>在读</t>
        </is>
      </c>
      <c r="AC14" s="1074" t="inlineStr">
        <is>
          <t>-</t>
        </is>
      </c>
      <c r="AD14" s="1074" t="inlineStr">
        <is>
          <t>3132899</t>
        </is>
      </c>
      <c r="AE14" s="1074" t="n"/>
      <c r="AF14" s="1074" t="inlineStr">
        <is>
          <t>肖锐03</t>
        </is>
      </c>
      <c r="AG14" s="1074" t="inlineStr">
        <is>
          <t>教室3</t>
        </is>
      </c>
      <c r="AH14" s="1074" t="inlineStr">
        <is>
          <t>07:50-10:00</t>
        </is>
      </c>
      <c r="AI14" s="1074" t="inlineStr">
        <is>
          <t>潜能班</t>
        </is>
      </c>
      <c r="AJ14" s="1074" t="inlineStr">
        <is>
          <t>一期</t>
        </is>
      </c>
      <c r="AK14" s="1074" t="inlineStr">
        <is>
          <t>在读</t>
        </is>
      </c>
      <c r="AL14" s="1074" t="inlineStr">
        <is>
          <t>-</t>
        </is>
      </c>
      <c r="AM14" s="1074" t="n"/>
      <c r="AN14" s="1074" t="n"/>
      <c r="AO14" s="1074" t="n"/>
      <c r="AP14" s="1074" t="n"/>
      <c r="AQ14" s="1074" t="n"/>
      <c r="AR14" s="1074" t="n"/>
      <c r="AS14" s="1074" t="n"/>
      <c r="AT14" s="311" t="n"/>
    </row>
    <row r="15" ht="26.25" customFormat="1" customHeight="1" s="366">
      <c r="A15" s="1074" t="inlineStr">
        <is>
          <t>天成大厦</t>
        </is>
      </c>
      <c r="B15" s="1074" t="inlineStr">
        <is>
          <t>4490857874</t>
        </is>
      </c>
      <c r="C15" s="1074" t="inlineStr">
        <is>
          <t>郑惠雅</t>
        </is>
      </c>
      <c r="D15" s="1074" t="inlineStr">
        <is>
          <t>沈思浩</t>
        </is>
      </c>
      <c r="E15" s="1074" t="inlineStr">
        <is>
          <t>新生转介绍</t>
        </is>
      </c>
      <c r="F15" s="1074" t="n"/>
      <c r="G15" s="1074" t="inlineStr">
        <is>
          <t>马诗涵</t>
        </is>
      </c>
      <c r="H15" s="1074" t="inlineStr">
        <is>
          <t>在读</t>
        </is>
      </c>
      <c r="I15" s="1074" t="inlineStr">
        <is>
          <t>一期/二期</t>
        </is>
      </c>
      <c r="J15" s="1074" t="inlineStr">
        <is>
          <t>3132864</t>
        </is>
      </c>
      <c r="K15" s="1074" t="inlineStr">
        <is>
          <t>校内成绩</t>
        </is>
      </c>
      <c r="L15" s="1074" t="n">
        <v>86</v>
      </c>
      <c r="M15" s="1074" t="n">
        <v>96</v>
      </c>
      <c r="N15" s="1074" t="inlineStr">
        <is>
          <t>宗志鹏</t>
        </is>
      </c>
      <c r="O15" s="1074" t="inlineStr">
        <is>
          <t>03品尚</t>
        </is>
      </c>
      <c r="P15" s="1074" t="inlineStr">
        <is>
          <t>13:20-15:30</t>
        </is>
      </c>
      <c r="Q15" s="1074" t="inlineStr">
        <is>
          <t>潜能班</t>
        </is>
      </c>
      <c r="R15" s="1074" t="inlineStr">
        <is>
          <t>二期</t>
        </is>
      </c>
      <c r="S15" s="1074" t="inlineStr">
        <is>
          <t>在读</t>
        </is>
      </c>
      <c r="T15" s="1074" t="inlineStr">
        <is>
          <t>-</t>
        </is>
      </c>
      <c r="U15" s="1074" t="inlineStr">
        <is>
          <t>3132834</t>
        </is>
      </c>
      <c r="V15" s="1074" t="n"/>
      <c r="W15" s="1074" t="inlineStr">
        <is>
          <t>李润</t>
        </is>
      </c>
      <c r="X15" s="1074" t="inlineStr">
        <is>
          <t>03品尚</t>
        </is>
      </c>
      <c r="Y15" s="1074" t="inlineStr">
        <is>
          <t>07:50-10:00</t>
        </is>
      </c>
      <c r="Z15" s="1074" t="inlineStr">
        <is>
          <t>潜能班</t>
        </is>
      </c>
      <c r="AA15" s="1074" t="inlineStr">
        <is>
          <t>一期</t>
        </is>
      </c>
      <c r="AB15" s="1074" t="inlineStr">
        <is>
          <t>在读</t>
        </is>
      </c>
      <c r="AC15" s="1074" t="inlineStr">
        <is>
          <t>-</t>
        </is>
      </c>
      <c r="AD15" s="1074" t="inlineStr">
        <is>
          <t>5230783</t>
        </is>
      </c>
      <c r="AE15" s="1074" t="n"/>
      <c r="AF15" s="1074" t="inlineStr">
        <is>
          <t>刘希子</t>
        </is>
      </c>
      <c r="AG15" s="1074" t="inlineStr">
        <is>
          <t>03品尚</t>
        </is>
      </c>
      <c r="AH15" s="1074" t="inlineStr">
        <is>
          <t>13:20-15:30</t>
        </is>
      </c>
      <c r="AI15" s="1074" t="inlineStr">
        <is>
          <t>潜能班</t>
        </is>
      </c>
      <c r="AJ15" s="1074" t="inlineStr">
        <is>
          <t>一期</t>
        </is>
      </c>
      <c r="AK15" s="1074" t="inlineStr">
        <is>
          <t>在读</t>
        </is>
      </c>
      <c r="AL15" s="1074" t="inlineStr">
        <is>
          <t>-</t>
        </is>
      </c>
      <c r="AM15" s="1074" t="n"/>
      <c r="AN15" s="1074" t="n"/>
      <c r="AO15" s="1074" t="n"/>
      <c r="AP15" s="1074" t="n"/>
      <c r="AQ15" s="1074" t="n"/>
      <c r="AR15" s="1074" t="n"/>
      <c r="AS15" s="1074" t="n"/>
      <c r="AT15" s="311" t="n"/>
    </row>
    <row r="16" ht="26.25" customFormat="1" customHeight="1" s="366">
      <c r="A16" s="1074" t="inlineStr">
        <is>
          <t>天成大厦</t>
        </is>
      </c>
      <c r="B16" s="1074" t="inlineStr">
        <is>
          <t>2568716390</t>
        </is>
      </c>
      <c r="C16" s="1074" t="inlineStr">
        <is>
          <t>马诗涵</t>
        </is>
      </c>
      <c r="D16" s="1074" t="inlineStr">
        <is>
          <t>沈思浩</t>
        </is>
      </c>
      <c r="E16" s="1074" t="inlineStr">
        <is>
          <t>老生转介绍</t>
        </is>
      </c>
      <c r="F16" s="1074" t="n"/>
      <c r="G16" s="1074" t="inlineStr">
        <is>
          <t>陈梓萱</t>
        </is>
      </c>
      <c r="H16" s="1074" t="inlineStr">
        <is>
          <t>在读</t>
        </is>
      </c>
      <c r="I16" s="1074" t="inlineStr">
        <is>
          <t>二期</t>
        </is>
      </c>
      <c r="J16" s="1074" t="inlineStr">
        <is>
          <t>3132864</t>
        </is>
      </c>
      <c r="K16" s="1074" t="inlineStr">
        <is>
          <t>校内成绩</t>
        </is>
      </c>
      <c r="L16" s="1074" t="n">
        <v>90</v>
      </c>
      <c r="M16" s="1074" t="n">
        <v>100</v>
      </c>
      <c r="N16" s="1074" t="inlineStr">
        <is>
          <t>宗志鹏</t>
        </is>
      </c>
      <c r="O16" s="1074" t="inlineStr">
        <is>
          <t>03品尚</t>
        </is>
      </c>
      <c r="P16" s="1074" t="inlineStr">
        <is>
          <t>13:20-15:30</t>
        </is>
      </c>
      <c r="Q16" s="1074" t="inlineStr">
        <is>
          <t>潜能班</t>
        </is>
      </c>
      <c r="R16" s="1074" t="inlineStr">
        <is>
          <t>二期</t>
        </is>
      </c>
      <c r="S16" s="1074" t="inlineStr">
        <is>
          <t>在读</t>
        </is>
      </c>
      <c r="T16" s="1074" t="inlineStr">
        <is>
          <t>-</t>
        </is>
      </c>
      <c r="U16" s="1074" t="inlineStr">
        <is>
          <t>3132810</t>
        </is>
      </c>
      <c r="V16" s="1074" t="n"/>
      <c r="W16" s="1074" t="inlineStr">
        <is>
          <t>李润</t>
        </is>
      </c>
      <c r="X16" s="1074" t="inlineStr">
        <is>
          <t>03品尚</t>
        </is>
      </c>
      <c r="Y16" s="1074" t="inlineStr">
        <is>
          <t>15:50-18:00</t>
        </is>
      </c>
      <c r="Z16" s="1074" t="inlineStr">
        <is>
          <t>潜能班</t>
        </is>
      </c>
      <c r="AA16" s="1074" t="inlineStr">
        <is>
          <t>二期</t>
        </is>
      </c>
      <c r="AB16" s="1074" t="inlineStr">
        <is>
          <t>在读</t>
        </is>
      </c>
      <c r="AC16" s="1074" t="inlineStr">
        <is>
          <t>-</t>
        </is>
      </c>
      <c r="AD16" s="1074" t="inlineStr">
        <is>
          <t>3132858</t>
        </is>
      </c>
      <c r="AE16" s="1074" t="n"/>
      <c r="AF16" s="1074" t="inlineStr">
        <is>
          <t>刘希子</t>
        </is>
      </c>
      <c r="AG16" s="1074" t="inlineStr">
        <is>
          <t>03品尚</t>
        </is>
      </c>
      <c r="AH16" s="1074" t="inlineStr">
        <is>
          <t>10:20-12:30</t>
        </is>
      </c>
      <c r="AI16" s="1074" t="inlineStr">
        <is>
          <t>潜能班</t>
        </is>
      </c>
      <c r="AJ16" s="1074" t="inlineStr">
        <is>
          <t>二期</t>
        </is>
      </c>
      <c r="AK16" s="1074" t="inlineStr">
        <is>
          <t>在读</t>
        </is>
      </c>
      <c r="AL16" s="1074" t="inlineStr">
        <is>
          <t>-</t>
        </is>
      </c>
      <c r="AM16" s="1074" t="n"/>
      <c r="AN16" s="1074" t="n"/>
      <c r="AO16" s="1074" t="n"/>
      <c r="AP16" s="1074" t="n"/>
      <c r="AQ16" s="1074" t="n"/>
      <c r="AR16" s="1074" t="n"/>
      <c r="AS16" s="1074" t="n"/>
      <c r="AT16" s="311" t="n"/>
    </row>
    <row r="17" ht="26.25" customFormat="1" customHeight="1" s="366">
      <c r="A17" s="1074" t="inlineStr">
        <is>
          <t>同创汇</t>
        </is>
      </c>
      <c r="B17" s="1074" t="inlineStr">
        <is>
          <t>2715584701</t>
        </is>
      </c>
      <c r="C17" s="1074" t="inlineStr">
        <is>
          <t>陈俊杰</t>
        </is>
      </c>
      <c r="D17" s="1074" t="inlineStr">
        <is>
          <t>林志豪01</t>
        </is>
      </c>
      <c r="E17" s="1074" t="inlineStr">
        <is>
          <t>纯拉新</t>
        </is>
      </c>
      <c r="F17" s="1074" t="n"/>
      <c r="G17" s="1074" t="n"/>
      <c r="H17" s="1074" t="inlineStr">
        <is>
          <t>在读</t>
        </is>
      </c>
      <c r="I17" s="1074" t="inlineStr">
        <is>
          <t>一期/二期</t>
        </is>
      </c>
      <c r="J17" s="1074" t="inlineStr">
        <is>
          <t>5230732</t>
        </is>
      </c>
      <c r="K17" s="1074" t="inlineStr">
        <is>
          <t>校内成绩</t>
        </is>
      </c>
      <c r="L17" s="1074" t="n">
        <v>86</v>
      </c>
      <c r="M17" s="1074" t="n">
        <v>95</v>
      </c>
      <c r="N17" s="1074" t="inlineStr">
        <is>
          <t>何咏04</t>
        </is>
      </c>
      <c r="O17" s="1074" t="inlineStr">
        <is>
          <t>教室3</t>
        </is>
      </c>
      <c r="P17" s="1074" t="inlineStr">
        <is>
          <t>10:30-12:40</t>
        </is>
      </c>
      <c r="Q17" s="1074" t="inlineStr">
        <is>
          <t>启能班</t>
        </is>
      </c>
      <c r="R17" s="1074" t="inlineStr">
        <is>
          <t>一期</t>
        </is>
      </c>
      <c r="S17" s="1074" t="inlineStr">
        <is>
          <t>在读</t>
        </is>
      </c>
      <c r="T17" s="1074" t="inlineStr">
        <is>
          <t>-</t>
        </is>
      </c>
      <c r="U17" s="1074" t="inlineStr">
        <is>
          <t>5230809</t>
        </is>
      </c>
      <c r="V17" s="1074" t="n"/>
      <c r="W17" s="1074" t="inlineStr">
        <is>
          <t>李润</t>
        </is>
      </c>
      <c r="X17" s="1074" t="inlineStr">
        <is>
          <t>01智慧林</t>
        </is>
      </c>
      <c r="Y17" s="1074" t="inlineStr">
        <is>
          <t>10:20-12:30</t>
        </is>
      </c>
      <c r="Z17" s="1074" t="inlineStr">
        <is>
          <t>潜能班</t>
        </is>
      </c>
      <c r="AA17" s="1074" t="inlineStr">
        <is>
          <t>二期</t>
        </is>
      </c>
      <c r="AB17" s="1074" t="inlineStr">
        <is>
          <t>在读</t>
        </is>
      </c>
      <c r="AC17" s="1074" t="inlineStr">
        <is>
          <t>-</t>
        </is>
      </c>
      <c r="AD17" s="1074" t="inlineStr">
        <is>
          <t>3132893</t>
        </is>
      </c>
      <c r="AE17" s="1074" t="n"/>
      <c r="AF17" s="1074" t="inlineStr">
        <is>
          <t>刘希子</t>
        </is>
      </c>
      <c r="AG17" s="1074" t="inlineStr">
        <is>
          <t>01智慧林</t>
        </is>
      </c>
      <c r="AH17" s="1074" t="inlineStr">
        <is>
          <t>15:50-18:00</t>
        </is>
      </c>
      <c r="AI17" s="1074" t="inlineStr">
        <is>
          <t>潜能班</t>
        </is>
      </c>
      <c r="AJ17" s="1074" t="inlineStr">
        <is>
          <t>二期</t>
        </is>
      </c>
      <c r="AK17" s="1074" t="inlineStr">
        <is>
          <t>在读</t>
        </is>
      </c>
      <c r="AL17" s="1074" t="inlineStr">
        <is>
          <t>-</t>
        </is>
      </c>
      <c r="AM17" s="1074" t="n"/>
      <c r="AN17" s="1074" t="n"/>
      <c r="AO17" s="1074" t="n"/>
      <c r="AP17" s="1074" t="n"/>
      <c r="AQ17" s="1074" t="n"/>
      <c r="AR17" s="1074" t="n"/>
      <c r="AS17" s="1074" t="n"/>
      <c r="AT17" s="311" t="n"/>
    </row>
    <row r="18" ht="26.25" customFormat="1" customHeight="1" s="366">
      <c r="A18" s="1074" t="inlineStr">
        <is>
          <t>同创汇</t>
        </is>
      </c>
      <c r="B18" s="1074" t="inlineStr">
        <is>
          <t>2743981182</t>
        </is>
      </c>
      <c r="C18" s="1074" t="inlineStr">
        <is>
          <t>杜宇图</t>
        </is>
      </c>
      <c r="D18" s="1074" t="inlineStr">
        <is>
          <t>王丽</t>
        </is>
      </c>
      <c r="E18" s="1074" t="inlineStr">
        <is>
          <t>纯拉新</t>
        </is>
      </c>
      <c r="F18" s="1074" t="n"/>
      <c r="G18" s="1074" t="n"/>
      <c r="H18" s="1074" t="inlineStr">
        <is>
          <t>在读</t>
        </is>
      </c>
      <c r="I18" s="1074" t="inlineStr">
        <is>
          <t>一期</t>
        </is>
      </c>
      <c r="J18" s="1074" t="inlineStr">
        <is>
          <t>-</t>
        </is>
      </c>
      <c r="K18" s="1074" t="inlineStr"/>
      <c r="L18" s="1074" t="inlineStr"/>
      <c r="M18" s="1074" t="inlineStr"/>
      <c r="N18" s="1074" t="inlineStr">
        <is>
          <t>-</t>
        </is>
      </c>
      <c r="O18" s="1074" t="inlineStr">
        <is>
          <t>-</t>
        </is>
      </c>
      <c r="P18" s="1074" t="inlineStr">
        <is>
          <t>-</t>
        </is>
      </c>
      <c r="Q18" s="1074" t="inlineStr">
        <is>
          <t>-</t>
        </is>
      </c>
      <c r="R18" s="1074" t="inlineStr">
        <is>
          <t>-</t>
        </is>
      </c>
      <c r="S18" s="1074" t="inlineStr">
        <is>
          <t>-</t>
        </is>
      </c>
      <c r="T18" s="1074" t="inlineStr">
        <is>
          <t>-</t>
        </is>
      </c>
      <c r="U18" s="1074" t="inlineStr">
        <is>
          <t>4632448</t>
        </is>
      </c>
      <c r="V18" s="1074" t="n"/>
      <c r="W18" s="1074" t="inlineStr">
        <is>
          <t>陈南05</t>
        </is>
      </c>
      <c r="X18" s="1074" t="inlineStr">
        <is>
          <t>02彩虹桥</t>
        </is>
      </c>
      <c r="Y18" s="1074" t="inlineStr">
        <is>
          <t>10:20-12:30</t>
        </is>
      </c>
      <c r="Z18" s="1074" t="inlineStr">
        <is>
          <t>潜能班</t>
        </is>
      </c>
      <c r="AA18" s="1074" t="inlineStr">
        <is>
          <t>一期</t>
        </is>
      </c>
      <c r="AB18" s="1074" t="inlineStr">
        <is>
          <t>在读</t>
        </is>
      </c>
      <c r="AC18" s="1074" t="inlineStr">
        <is>
          <t>-</t>
        </is>
      </c>
      <c r="AD18" s="1074" t="inlineStr">
        <is>
          <t>3132837</t>
        </is>
      </c>
      <c r="AE18" s="1074" t="n"/>
      <c r="AF18" s="1074" t="inlineStr">
        <is>
          <t>高心怡04</t>
        </is>
      </c>
      <c r="AG18" s="1074" t="inlineStr">
        <is>
          <t>02彩虹桥</t>
        </is>
      </c>
      <c r="AH18" s="1074" t="inlineStr">
        <is>
          <t>13:20-15:30</t>
        </is>
      </c>
      <c r="AI18" s="1074" t="inlineStr">
        <is>
          <t>潜能班</t>
        </is>
      </c>
      <c r="AJ18" s="1074" t="inlineStr">
        <is>
          <t>一期</t>
        </is>
      </c>
      <c r="AK18" s="1074" t="inlineStr">
        <is>
          <t>在读</t>
        </is>
      </c>
      <c r="AL18" s="1074" t="inlineStr">
        <is>
          <t>-</t>
        </is>
      </c>
      <c r="AM18" s="1074" t="n"/>
      <c r="AN18" s="1074" t="n"/>
      <c r="AO18" s="1074" t="n"/>
      <c r="AP18" s="1074" t="n"/>
      <c r="AQ18" s="1074" t="n"/>
      <c r="AR18" s="1074" t="n"/>
      <c r="AS18" s="1074" t="n"/>
      <c r="AT18" s="311" t="n"/>
    </row>
    <row r="19" ht="26.25" customFormat="1" customHeight="1" s="366">
      <c r="A19" s="1074" t="inlineStr">
        <is>
          <t>同创汇</t>
        </is>
      </c>
      <c r="B19" s="1074" t="inlineStr">
        <is>
          <t>4103453629</t>
        </is>
      </c>
      <c r="C19" s="1074" t="inlineStr">
        <is>
          <t>陈若涵</t>
        </is>
      </c>
      <c r="D19" s="1074" t="inlineStr">
        <is>
          <t>苏丽婷</t>
        </is>
      </c>
      <c r="E19" s="1074" t="inlineStr">
        <is>
          <t>纯拉新</t>
        </is>
      </c>
      <c r="F19" s="1074" t="n"/>
      <c r="G19" s="1074" t="n"/>
      <c r="H19" s="1074" t="inlineStr">
        <is>
          <t>在读</t>
        </is>
      </c>
      <c r="I19" s="1074" t="inlineStr">
        <is>
          <t>一期</t>
        </is>
      </c>
      <c r="J19" s="1074" t="inlineStr">
        <is>
          <t>5230802</t>
        </is>
      </c>
      <c r="K19" s="1074" t="inlineStr">
        <is>
          <t>校内成绩</t>
        </is>
      </c>
      <c r="L19" s="1074" t="n">
        <v>72</v>
      </c>
      <c r="M19" s="1074" t="n">
        <v>90</v>
      </c>
      <c r="N19" s="1074" t="inlineStr">
        <is>
          <t>田雨涵01</t>
        </is>
      </c>
      <c r="O19" s="1074" t="inlineStr">
        <is>
          <t>02彩虹桥</t>
        </is>
      </c>
      <c r="P19" s="1074" t="inlineStr">
        <is>
          <t>15:50-18:00</t>
        </is>
      </c>
      <c r="Q19" s="1074" t="inlineStr">
        <is>
          <t>潜能班</t>
        </is>
      </c>
      <c r="R19" s="1074" t="inlineStr">
        <is>
          <t>一期</t>
        </is>
      </c>
      <c r="S19" s="1074" t="inlineStr">
        <is>
          <t>在读</t>
        </is>
      </c>
      <c r="T19" s="1074" t="inlineStr">
        <is>
          <t>-</t>
        </is>
      </c>
      <c r="U19" s="1074" t="inlineStr">
        <is>
          <t>4632448</t>
        </is>
      </c>
      <c r="V19" s="1074" t="n"/>
      <c r="W19" s="1074" t="inlineStr">
        <is>
          <t>陈南05</t>
        </is>
      </c>
      <c r="X19" s="1074" t="inlineStr">
        <is>
          <t>02彩虹桥</t>
        </is>
      </c>
      <c r="Y19" s="1074" t="inlineStr">
        <is>
          <t>10:20-12:30</t>
        </is>
      </c>
      <c r="Z19" s="1074" t="inlineStr">
        <is>
          <t>潜能班</t>
        </is>
      </c>
      <c r="AA19" s="1074" t="inlineStr">
        <is>
          <t>一期</t>
        </is>
      </c>
      <c r="AB19" s="1074" t="inlineStr">
        <is>
          <t>在读</t>
        </is>
      </c>
      <c r="AC19" s="1074" t="inlineStr">
        <is>
          <t>-</t>
        </is>
      </c>
      <c r="AD19" s="1074" t="inlineStr">
        <is>
          <t>3132837</t>
        </is>
      </c>
      <c r="AE19" s="1074" t="n"/>
      <c r="AF19" s="1074" t="inlineStr">
        <is>
          <t>高心怡04</t>
        </is>
      </c>
      <c r="AG19" s="1074" t="inlineStr">
        <is>
          <t>02彩虹桥</t>
        </is>
      </c>
      <c r="AH19" s="1074" t="inlineStr">
        <is>
          <t>13:20-15:30</t>
        </is>
      </c>
      <c r="AI19" s="1074" t="inlineStr">
        <is>
          <t>潜能班</t>
        </is>
      </c>
      <c r="AJ19" s="1074" t="inlineStr">
        <is>
          <t>一期</t>
        </is>
      </c>
      <c r="AK19" s="1074" t="inlineStr">
        <is>
          <t>在读</t>
        </is>
      </c>
      <c r="AL19" s="1074" t="inlineStr">
        <is>
          <t>-</t>
        </is>
      </c>
      <c r="AM19" s="1074" t="n"/>
      <c r="AN19" s="1074" t="n"/>
      <c r="AO19" s="1074" t="n"/>
      <c r="AP19" s="1074" t="n"/>
      <c r="AQ19" s="1074" t="n"/>
      <c r="AR19" s="1074" t="n"/>
      <c r="AS19" s="1074" t="n"/>
      <c r="AT19" s="311" t="n"/>
    </row>
    <row r="20" ht="26.25" customFormat="1" customHeight="1" s="366">
      <c r="A20" s="1074" t="inlineStr">
        <is>
          <t>新宝利</t>
        </is>
      </c>
      <c r="B20" s="1074" t="inlineStr">
        <is>
          <t>2244875334</t>
        </is>
      </c>
      <c r="C20" s="1074" t="inlineStr">
        <is>
          <t>闫睿欣</t>
        </is>
      </c>
      <c r="D20" s="1074" t="inlineStr">
        <is>
          <t>张敏烨</t>
        </is>
      </c>
      <c r="E20" s="1074" t="inlineStr">
        <is>
          <t>新生转介绍</t>
        </is>
      </c>
      <c r="F20" s="1074" t="n"/>
      <c r="G20" s="1074" t="inlineStr">
        <is>
          <t>顾玉瑶</t>
        </is>
      </c>
      <c r="H20" s="1074" t="inlineStr">
        <is>
          <t>在读</t>
        </is>
      </c>
      <c r="I20" s="1074" t="inlineStr">
        <is>
          <t>三期</t>
        </is>
      </c>
      <c r="J20" s="1074" t="inlineStr">
        <is>
          <t>3132902</t>
        </is>
      </c>
      <c r="K20" s="1074" t="inlineStr">
        <is>
          <t>校内成绩</t>
        </is>
      </c>
      <c r="L20" s="1074" t="n">
        <v>72</v>
      </c>
      <c r="M20" s="1074" t="n">
        <v>90</v>
      </c>
      <c r="N20" s="1074" t="inlineStr">
        <is>
          <t>陈中帅</t>
        </is>
      </c>
      <c r="O20" s="1074" t="inlineStr">
        <is>
          <t>教室3</t>
        </is>
      </c>
      <c r="P20" s="1074" t="inlineStr">
        <is>
          <t>13:20-15:30</t>
        </is>
      </c>
      <c r="Q20" s="1074" t="inlineStr">
        <is>
          <t>潜能班</t>
        </is>
      </c>
      <c r="R20" s="1074" t="inlineStr">
        <is>
          <t>三期</t>
        </is>
      </c>
      <c r="S20" s="1074" t="inlineStr">
        <is>
          <t>在读</t>
        </is>
      </c>
      <c r="T20" s="1074" t="inlineStr">
        <is>
          <t>-</t>
        </is>
      </c>
      <c r="U20" s="1074" t="inlineStr">
        <is>
          <t>5111226</t>
        </is>
      </c>
      <c r="V20" s="1074" t="n"/>
      <c r="W20" s="1074" t="inlineStr">
        <is>
          <t>李润</t>
        </is>
      </c>
      <c r="X20" s="1074" t="inlineStr">
        <is>
          <t>教室5</t>
        </is>
      </c>
      <c r="Y20" s="1074" t="inlineStr">
        <is>
          <t>15:50-18:00</t>
        </is>
      </c>
      <c r="Z20" s="1074" t="inlineStr">
        <is>
          <t>潜能班</t>
        </is>
      </c>
      <c r="AA20" s="1074" t="inlineStr">
        <is>
          <t>三期</t>
        </is>
      </c>
      <c r="AB20" s="1074" t="inlineStr">
        <is>
          <t>在读</t>
        </is>
      </c>
      <c r="AC20" s="1074" t="inlineStr">
        <is>
          <t>-</t>
        </is>
      </c>
      <c r="AD20" s="1074" t="inlineStr">
        <is>
          <t>5170871</t>
        </is>
      </c>
      <c r="AE20" s="1074" t="n"/>
      <c r="AF20" s="1074" t="inlineStr">
        <is>
          <t>肖锐03</t>
        </is>
      </c>
      <c r="AG20" s="1074" t="inlineStr">
        <is>
          <t>教室2</t>
        </is>
      </c>
      <c r="AH20" s="1074" t="inlineStr">
        <is>
          <t>10:20-12:30</t>
        </is>
      </c>
      <c r="AI20" s="1074" t="inlineStr">
        <is>
          <t>潜能班</t>
        </is>
      </c>
      <c r="AJ20" s="1074" t="inlineStr">
        <is>
          <t>三期</t>
        </is>
      </c>
      <c r="AK20" s="1074" t="inlineStr">
        <is>
          <t>在读</t>
        </is>
      </c>
      <c r="AL20" s="1074" t="inlineStr">
        <is>
          <t>-</t>
        </is>
      </c>
      <c r="AM20" s="1074" t="n"/>
      <c r="AN20" s="1074" t="n"/>
      <c r="AO20" s="1074" t="n"/>
      <c r="AP20" s="1074" t="n"/>
      <c r="AQ20" s="1074" t="n"/>
      <c r="AR20" s="1074" t="n"/>
      <c r="AS20" s="1074" t="n"/>
      <c r="AT20" s="311" t="n"/>
    </row>
    <row r="21" ht="26.25" customFormat="1" customHeight="1" s="366">
      <c r="A21" s="1074" t="inlineStr">
        <is>
          <t>同创汇</t>
        </is>
      </c>
      <c r="B21" s="1074" t="inlineStr">
        <is>
          <t>2489383127</t>
        </is>
      </c>
      <c r="C21" s="1074" t="inlineStr">
        <is>
          <t>黄喆</t>
        </is>
      </c>
      <c r="D21" s="1074" t="inlineStr">
        <is>
          <t>张敏烨</t>
        </is>
      </c>
      <c r="E21" s="1074" t="inlineStr">
        <is>
          <t>新生转介绍</t>
        </is>
      </c>
      <c r="F21" s="1074" t="n"/>
      <c r="G21" s="1074" t="inlineStr">
        <is>
          <t>陈滢西</t>
        </is>
      </c>
      <c r="H21" s="1074" t="inlineStr">
        <is>
          <t>在读</t>
        </is>
      </c>
      <c r="I21" s="1074" t="inlineStr">
        <is>
          <t>一期</t>
        </is>
      </c>
      <c r="J21" s="1074" t="inlineStr">
        <is>
          <t>5230802</t>
        </is>
      </c>
      <c r="K21" s="1074" t="inlineStr">
        <is>
          <t>校内成绩</t>
        </is>
      </c>
      <c r="L21" s="1074" t="n">
        <v>72</v>
      </c>
      <c r="M21" s="1074" t="n">
        <v>90</v>
      </c>
      <c r="N21" s="1074" t="inlineStr">
        <is>
          <t>田雨涵01</t>
        </is>
      </c>
      <c r="O21" s="1074" t="inlineStr">
        <is>
          <t>02彩虹桥</t>
        </is>
      </c>
      <c r="P21" s="1074" t="inlineStr">
        <is>
          <t>15:50-18:00</t>
        </is>
      </c>
      <c r="Q21" s="1074" t="inlineStr">
        <is>
          <t>潜能班</t>
        </is>
      </c>
      <c r="R21" s="1074" t="inlineStr">
        <is>
          <t>一期</t>
        </is>
      </c>
      <c r="S21" s="1074" t="inlineStr">
        <is>
          <t>在读</t>
        </is>
      </c>
      <c r="T21" s="1074" t="inlineStr">
        <is>
          <t>-</t>
        </is>
      </c>
      <c r="U21" s="1074" t="inlineStr">
        <is>
          <t>4632448</t>
        </is>
      </c>
      <c r="V21" s="1074" t="n"/>
      <c r="W21" s="1074" t="inlineStr">
        <is>
          <t>陈南05</t>
        </is>
      </c>
      <c r="X21" s="1074" t="inlineStr">
        <is>
          <t>02彩虹桥</t>
        </is>
      </c>
      <c r="Y21" s="1074" t="inlineStr">
        <is>
          <t>10:20-12:30</t>
        </is>
      </c>
      <c r="Z21" s="1074" t="inlineStr">
        <is>
          <t>潜能班</t>
        </is>
      </c>
      <c r="AA21" s="1074" t="inlineStr">
        <is>
          <t>一期</t>
        </is>
      </c>
      <c r="AB21" s="1074" t="inlineStr">
        <is>
          <t>在读</t>
        </is>
      </c>
      <c r="AC21" s="1074" t="inlineStr">
        <is>
          <t>-</t>
        </is>
      </c>
      <c r="AD21" s="1074" t="inlineStr">
        <is>
          <t>3132837</t>
        </is>
      </c>
      <c r="AE21" s="1074" t="n"/>
      <c r="AF21" s="1074" t="inlineStr">
        <is>
          <t>高心怡04</t>
        </is>
      </c>
      <c r="AG21" s="1074" t="inlineStr">
        <is>
          <t>02彩虹桥</t>
        </is>
      </c>
      <c r="AH21" s="1074" t="inlineStr">
        <is>
          <t>13:20-15:30</t>
        </is>
      </c>
      <c r="AI21" s="1074" t="inlineStr">
        <is>
          <t>潜能班</t>
        </is>
      </c>
      <c r="AJ21" s="1074" t="inlineStr">
        <is>
          <t>一期</t>
        </is>
      </c>
      <c r="AK21" s="1074" t="inlineStr">
        <is>
          <t>在读</t>
        </is>
      </c>
      <c r="AL21" s="1074" t="inlineStr">
        <is>
          <t>-</t>
        </is>
      </c>
      <c r="AM21" s="1074" t="n"/>
      <c r="AN21" s="1074" t="n"/>
      <c r="AO21" s="1074" t="n"/>
      <c r="AP21" s="1074" t="n"/>
      <c r="AQ21" s="1074" t="n"/>
      <c r="AR21" s="1074" t="n"/>
      <c r="AS21" s="1074" t="n"/>
      <c r="AT21" s="311" t="n"/>
    </row>
    <row r="22" ht="26.25" customFormat="1" customHeight="1" s="366">
      <c r="A22" s="1074" t="inlineStr">
        <is>
          <t>同创汇</t>
        </is>
      </c>
      <c r="B22" s="1074" t="inlineStr">
        <is>
          <t>2304918401</t>
        </is>
      </c>
      <c r="C22" s="1074" t="inlineStr">
        <is>
          <t>高凯文</t>
        </is>
      </c>
      <c r="D22" s="1074" t="inlineStr">
        <is>
          <t>王丽</t>
        </is>
      </c>
      <c r="E22" s="1074" t="inlineStr">
        <is>
          <t>老生转介绍</t>
        </is>
      </c>
      <c r="F22" s="1074" t="n"/>
      <c r="G22" s="1074" t="inlineStr">
        <is>
          <t>李倬承</t>
        </is>
      </c>
      <c r="H22" s="1074" t="inlineStr">
        <is>
          <t>在读</t>
        </is>
      </c>
      <c r="I22" s="1074" t="inlineStr">
        <is>
          <t>二期</t>
        </is>
      </c>
      <c r="J22" s="1074" t="inlineStr">
        <is>
          <t>3132872</t>
        </is>
      </c>
      <c r="K22" s="1074" t="inlineStr">
        <is>
          <t>校内成绩</t>
        </is>
      </c>
      <c r="L22" s="1074" t="n">
        <v>72</v>
      </c>
      <c r="M22" s="1074" t="n">
        <v>90</v>
      </c>
      <c r="N22" s="1074" t="inlineStr">
        <is>
          <t>何咏04</t>
        </is>
      </c>
      <c r="O22" s="1074" t="inlineStr">
        <is>
          <t>01智慧林</t>
        </is>
      </c>
      <c r="P22" s="1074" t="inlineStr">
        <is>
          <t>13:20-15:30</t>
        </is>
      </c>
      <c r="Q22" s="1074" t="inlineStr">
        <is>
          <t>潜能班</t>
        </is>
      </c>
      <c r="R22" s="1074" t="inlineStr">
        <is>
          <t>二期</t>
        </is>
      </c>
      <c r="S22" s="1074" t="inlineStr">
        <is>
          <t>在读</t>
        </is>
      </c>
      <c r="T22" s="1074" t="inlineStr">
        <is>
          <t>-</t>
        </is>
      </c>
      <c r="U22" s="1074" t="inlineStr">
        <is>
          <t>5230809</t>
        </is>
      </c>
      <c r="V22" s="1074" t="n"/>
      <c r="W22" s="1074" t="inlineStr">
        <is>
          <t>李润</t>
        </is>
      </c>
      <c r="X22" s="1074" t="inlineStr">
        <is>
          <t>01智慧林</t>
        </is>
      </c>
      <c r="Y22" s="1074" t="inlineStr">
        <is>
          <t>10:20-12:30</t>
        </is>
      </c>
      <c r="Z22" s="1074" t="inlineStr">
        <is>
          <t>潜能班</t>
        </is>
      </c>
      <c r="AA22" s="1074" t="inlineStr">
        <is>
          <t>二期</t>
        </is>
      </c>
      <c r="AB22" s="1074" t="inlineStr">
        <is>
          <t>在读</t>
        </is>
      </c>
      <c r="AC22" s="1074" t="inlineStr">
        <is>
          <t>-</t>
        </is>
      </c>
      <c r="AD22" s="1074" t="inlineStr">
        <is>
          <t>-</t>
        </is>
      </c>
      <c r="AE22" s="1074" t="inlineStr"/>
      <c r="AF22" s="1074" t="inlineStr">
        <is>
          <t>-</t>
        </is>
      </c>
      <c r="AG22" s="1074" t="inlineStr">
        <is>
          <t>-</t>
        </is>
      </c>
      <c r="AH22" s="1074" t="inlineStr">
        <is>
          <t>-</t>
        </is>
      </c>
      <c r="AI22" s="1074" t="inlineStr">
        <is>
          <t>-</t>
        </is>
      </c>
      <c r="AJ22" s="1074" t="inlineStr">
        <is>
          <t>-</t>
        </is>
      </c>
      <c r="AK22" s="1074" t="inlineStr">
        <is>
          <t>-</t>
        </is>
      </c>
      <c r="AL22" s="1074" t="inlineStr">
        <is>
          <t>-</t>
        </is>
      </c>
      <c r="AM22" s="1074" t="n"/>
      <c r="AN22" s="1074" t="n"/>
      <c r="AO22" s="1074" t="n"/>
      <c r="AP22" s="1074" t="n"/>
      <c r="AQ22" s="1074" t="n"/>
      <c r="AR22" s="1074" t="n"/>
      <c r="AS22" s="1074" t="n"/>
      <c r="AT22" s="311" t="n"/>
    </row>
    <row r="23" ht="26.25" customFormat="1" customHeight="1" s="366">
      <c r="A23" s="1074" t="inlineStr">
        <is>
          <t>同创汇</t>
        </is>
      </c>
      <c r="B23" s="1074" t="inlineStr">
        <is>
          <t>2414638176</t>
        </is>
      </c>
      <c r="C23" s="1074" t="inlineStr">
        <is>
          <t>彦华</t>
        </is>
      </c>
      <c r="D23" s="1074" t="inlineStr">
        <is>
          <t>林志豪01</t>
        </is>
      </c>
      <c r="E23" s="1074" t="inlineStr">
        <is>
          <t>纯拉新</t>
        </is>
      </c>
      <c r="F23" s="1074" t="n"/>
      <c r="G23" s="1074" t="n"/>
      <c r="H23" s="1074" t="inlineStr">
        <is>
          <t>在读</t>
        </is>
      </c>
      <c r="I23" s="1074" t="inlineStr">
        <is>
          <t>二期</t>
        </is>
      </c>
      <c r="J23" s="1074" t="inlineStr">
        <is>
          <t>3132872</t>
        </is>
      </c>
      <c r="K23" s="1074" t="inlineStr">
        <is>
          <t>校内成绩</t>
        </is>
      </c>
      <c r="L23" s="1074" t="n">
        <v>64</v>
      </c>
      <c r="M23" s="1074" t="n">
        <v>85</v>
      </c>
      <c r="N23" s="1074" t="inlineStr">
        <is>
          <t>何咏04</t>
        </is>
      </c>
      <c r="O23" s="1074" t="inlineStr">
        <is>
          <t>01智慧林</t>
        </is>
      </c>
      <c r="P23" s="1074" t="inlineStr">
        <is>
          <t>13:20-15:30</t>
        </is>
      </c>
      <c r="Q23" s="1074" t="inlineStr">
        <is>
          <t>潜能班</t>
        </is>
      </c>
      <c r="R23" s="1074" t="inlineStr">
        <is>
          <t>二期</t>
        </is>
      </c>
      <c r="S23" s="1074" t="inlineStr">
        <is>
          <t>在读</t>
        </is>
      </c>
      <c r="T23" s="1074" t="inlineStr">
        <is>
          <t>-</t>
        </is>
      </c>
      <c r="U23" s="1074" t="inlineStr">
        <is>
          <t>-</t>
        </is>
      </c>
      <c r="V23" s="1074" t="inlineStr"/>
      <c r="W23" s="1074" t="inlineStr">
        <is>
          <t>-</t>
        </is>
      </c>
      <c r="X23" s="1074" t="inlineStr">
        <is>
          <t>-</t>
        </is>
      </c>
      <c r="Y23" s="1074" t="inlineStr">
        <is>
          <t>-</t>
        </is>
      </c>
      <c r="Z23" s="1074" t="inlineStr">
        <is>
          <t>-</t>
        </is>
      </c>
      <c r="AA23" s="1074" t="inlineStr">
        <is>
          <t>-</t>
        </is>
      </c>
      <c r="AB23" s="1074" t="inlineStr">
        <is>
          <t>-</t>
        </is>
      </c>
      <c r="AC23" s="1074" t="inlineStr">
        <is>
          <t>-</t>
        </is>
      </c>
      <c r="AD23" s="1074" t="inlineStr">
        <is>
          <t>-</t>
        </is>
      </c>
      <c r="AE23" s="1074" t="inlineStr"/>
      <c r="AF23" s="1074" t="inlineStr">
        <is>
          <t>-</t>
        </is>
      </c>
      <c r="AG23" s="1074" t="inlineStr">
        <is>
          <t>-</t>
        </is>
      </c>
      <c r="AH23" s="1074" t="inlineStr">
        <is>
          <t>-</t>
        </is>
      </c>
      <c r="AI23" s="1074" t="inlineStr">
        <is>
          <t>-</t>
        </is>
      </c>
      <c r="AJ23" s="1074" t="inlineStr">
        <is>
          <t>-</t>
        </is>
      </c>
      <c r="AK23" s="1074" t="inlineStr">
        <is>
          <t>-</t>
        </is>
      </c>
      <c r="AL23" s="1074" t="inlineStr">
        <is>
          <t>-</t>
        </is>
      </c>
      <c r="AM23" s="1074" t="n"/>
      <c r="AN23" s="1074" t="n"/>
      <c r="AO23" s="1074" t="n"/>
      <c r="AP23" s="1074" t="n"/>
      <c r="AQ23" s="1074" t="n"/>
      <c r="AR23" s="1074" t="n"/>
      <c r="AS23" s="1074" t="n"/>
      <c r="AT23" s="311" t="n"/>
    </row>
    <row r="24" ht="26.25" customFormat="1" customHeight="1" s="366">
      <c r="A24" s="1074" t="inlineStr">
        <is>
          <t>同创汇</t>
        </is>
      </c>
      <c r="B24" s="1074" t="inlineStr">
        <is>
          <t>4462940335</t>
        </is>
      </c>
      <c r="C24" s="1074" t="inlineStr">
        <is>
          <t>龙柳橙</t>
        </is>
      </c>
      <c r="D24" s="1074" t="inlineStr">
        <is>
          <t>龙倩敏</t>
        </is>
      </c>
      <c r="E24" s="1074" t="inlineStr">
        <is>
          <t>新生转介绍</t>
        </is>
      </c>
      <c r="F24" s="1074" t="n"/>
      <c r="G24" s="1074" t="inlineStr">
        <is>
          <t>叶晓静</t>
        </is>
      </c>
      <c r="H24" s="1074" t="inlineStr">
        <is>
          <t>在读</t>
        </is>
      </c>
      <c r="I24" s="1074" t="inlineStr">
        <is>
          <t>二期</t>
        </is>
      </c>
      <c r="J24" s="1074" t="inlineStr">
        <is>
          <t>3132872</t>
        </is>
      </c>
      <c r="K24" s="1074" t="inlineStr">
        <is>
          <t>报前测成绩</t>
        </is>
      </c>
      <c r="L24" s="1074" t="n">
        <v>75</v>
      </c>
      <c r="M24" s="1074" t="inlineStr">
        <is>
          <t>-</t>
        </is>
      </c>
      <c r="N24" s="1074" t="inlineStr">
        <is>
          <t>何咏04</t>
        </is>
      </c>
      <c r="O24" s="1074" t="inlineStr">
        <is>
          <t>01智慧林</t>
        </is>
      </c>
      <c r="P24" s="1074" t="inlineStr">
        <is>
          <t>13:20-15:30</t>
        </is>
      </c>
      <c r="Q24" s="1074" t="inlineStr">
        <is>
          <t>潜能班</t>
        </is>
      </c>
      <c r="R24" s="1074" t="inlineStr">
        <is>
          <t>二期</t>
        </is>
      </c>
      <c r="S24" s="1074" t="inlineStr">
        <is>
          <t>在读</t>
        </is>
      </c>
      <c r="T24" s="1074" t="inlineStr">
        <is>
          <t>-</t>
        </is>
      </c>
      <c r="U24" s="1074" t="inlineStr">
        <is>
          <t>5230809</t>
        </is>
      </c>
      <c r="V24" s="1074" t="n"/>
      <c r="W24" s="1074" t="inlineStr">
        <is>
          <t>李润</t>
        </is>
      </c>
      <c r="X24" s="1074" t="inlineStr">
        <is>
          <t>01智慧林</t>
        </is>
      </c>
      <c r="Y24" s="1074" t="inlineStr">
        <is>
          <t>10:20-12:30</t>
        </is>
      </c>
      <c r="Z24" s="1074" t="inlineStr">
        <is>
          <t>潜能班</t>
        </is>
      </c>
      <c r="AA24" s="1074" t="inlineStr">
        <is>
          <t>二期</t>
        </is>
      </c>
      <c r="AB24" s="1074" t="inlineStr">
        <is>
          <t>在读</t>
        </is>
      </c>
      <c r="AC24" s="1074" t="inlineStr">
        <is>
          <t>-</t>
        </is>
      </c>
      <c r="AD24" s="1074" t="inlineStr">
        <is>
          <t>3132893</t>
        </is>
      </c>
      <c r="AE24" s="1074" t="n"/>
      <c r="AF24" s="1074" t="inlineStr">
        <is>
          <t>刘希子</t>
        </is>
      </c>
      <c r="AG24" s="1074" t="inlineStr">
        <is>
          <t>01智慧林</t>
        </is>
      </c>
      <c r="AH24" s="1074" t="inlineStr">
        <is>
          <t>15:50-18:00</t>
        </is>
      </c>
      <c r="AI24" s="1074" t="inlineStr">
        <is>
          <t>潜能班</t>
        </is>
      </c>
      <c r="AJ24" s="1074" t="inlineStr">
        <is>
          <t>二期</t>
        </is>
      </c>
      <c r="AK24" s="1074" t="inlineStr">
        <is>
          <t>在读</t>
        </is>
      </c>
      <c r="AL24" s="1074" t="inlineStr">
        <is>
          <t>-</t>
        </is>
      </c>
      <c r="AM24" s="1074" t="n"/>
      <c r="AN24" s="1074" t="n"/>
      <c r="AO24" s="1074" t="n"/>
      <c r="AP24" s="1074" t="n"/>
      <c r="AQ24" s="1074" t="n"/>
      <c r="AR24" s="1074" t="n"/>
      <c r="AS24" s="1074" t="n"/>
      <c r="AT24" s="311" t="n"/>
    </row>
    <row r="25" ht="26.25" customFormat="1" customHeight="1" s="366">
      <c r="A25" s="1074" t="inlineStr">
        <is>
          <t>同创汇</t>
        </is>
      </c>
      <c r="B25" s="1074" t="inlineStr">
        <is>
          <t>2413160133</t>
        </is>
      </c>
      <c r="C25" s="1074" t="inlineStr">
        <is>
          <t>朵朵</t>
        </is>
      </c>
      <c r="D25" s="1074" t="inlineStr">
        <is>
          <t>戎凯01</t>
        </is>
      </c>
      <c r="E25" s="1074" t="inlineStr">
        <is>
          <t>新生转介绍</t>
        </is>
      </c>
      <c r="F25" s="1074" t="n"/>
      <c r="G25" s="1074" t="inlineStr">
        <is>
          <t>涂馨允</t>
        </is>
      </c>
      <c r="H25" s="1074" t="inlineStr">
        <is>
          <t>在读</t>
        </is>
      </c>
      <c r="I25" s="1074" t="inlineStr">
        <is>
          <t>一期</t>
        </is>
      </c>
      <c r="J25" s="1074" t="inlineStr">
        <is>
          <t>5230802</t>
        </is>
      </c>
      <c r="K25" s="1074" t="inlineStr">
        <is>
          <t>校内成绩</t>
        </is>
      </c>
      <c r="L25" s="1074" t="n">
        <v>72</v>
      </c>
      <c r="M25" s="1074" t="n">
        <v>90</v>
      </c>
      <c r="N25" s="1074" t="inlineStr">
        <is>
          <t>田雨涵01</t>
        </is>
      </c>
      <c r="O25" s="1074" t="inlineStr">
        <is>
          <t>02彩虹桥</t>
        </is>
      </c>
      <c r="P25" s="1074" t="inlineStr">
        <is>
          <t>15:50-18:00</t>
        </is>
      </c>
      <c r="Q25" s="1074" t="inlineStr">
        <is>
          <t>潜能班</t>
        </is>
      </c>
      <c r="R25" s="1074" t="inlineStr">
        <is>
          <t>一期</t>
        </is>
      </c>
      <c r="S25" s="1074" t="inlineStr">
        <is>
          <t>在读</t>
        </is>
      </c>
      <c r="T25" s="1074" t="inlineStr">
        <is>
          <t>-</t>
        </is>
      </c>
      <c r="U25" s="1074" t="inlineStr">
        <is>
          <t>4632448</t>
        </is>
      </c>
      <c r="V25" s="1074" t="n"/>
      <c r="W25" s="1074" t="inlineStr">
        <is>
          <t>陈南05</t>
        </is>
      </c>
      <c r="X25" s="1074" t="inlineStr">
        <is>
          <t>02彩虹桥</t>
        </is>
      </c>
      <c r="Y25" s="1074" t="inlineStr">
        <is>
          <t>10:20-12:30</t>
        </is>
      </c>
      <c r="Z25" s="1074" t="inlineStr">
        <is>
          <t>潜能班</t>
        </is>
      </c>
      <c r="AA25" s="1074" t="inlineStr">
        <is>
          <t>一期</t>
        </is>
      </c>
      <c r="AB25" s="1074" t="inlineStr">
        <is>
          <t>在读</t>
        </is>
      </c>
      <c r="AC25" s="1074" t="inlineStr">
        <is>
          <t>-</t>
        </is>
      </c>
      <c r="AD25" s="1074" t="inlineStr">
        <is>
          <t>3132837</t>
        </is>
      </c>
      <c r="AE25" s="1074" t="n"/>
      <c r="AF25" s="1074" t="inlineStr">
        <is>
          <t>高心怡04</t>
        </is>
      </c>
      <c r="AG25" s="1074" t="inlineStr">
        <is>
          <t>02彩虹桥</t>
        </is>
      </c>
      <c r="AH25" s="1074" t="inlineStr">
        <is>
          <t>13:20-15:30</t>
        </is>
      </c>
      <c r="AI25" s="1074" t="inlineStr">
        <is>
          <t>潜能班</t>
        </is>
      </c>
      <c r="AJ25" s="1074" t="inlineStr">
        <is>
          <t>一期</t>
        </is>
      </c>
      <c r="AK25" s="1074" t="inlineStr">
        <is>
          <t>在读</t>
        </is>
      </c>
      <c r="AL25" s="1074" t="inlineStr">
        <is>
          <t>-</t>
        </is>
      </c>
      <c r="AM25" s="1074" t="n"/>
      <c r="AN25" s="1074" t="n"/>
      <c r="AO25" s="1074" t="n"/>
      <c r="AP25" s="1074" t="n"/>
      <c r="AQ25" s="1074" t="n"/>
      <c r="AR25" s="1074" t="n"/>
      <c r="AS25" s="1074" t="n"/>
      <c r="AT25" s="311" t="n"/>
    </row>
    <row r="26" ht="26.25" customFormat="1" customHeight="1" s="366">
      <c r="A26" s="1074" t="inlineStr">
        <is>
          <t>同创汇</t>
        </is>
      </c>
      <c r="B26" s="1074" t="inlineStr">
        <is>
          <t>2701666734</t>
        </is>
      </c>
      <c r="C26" s="1074" t="inlineStr">
        <is>
          <t>涂馨允</t>
        </is>
      </c>
      <c r="D26" s="1074" t="inlineStr">
        <is>
          <t>戎凯01</t>
        </is>
      </c>
      <c r="E26" s="1074" t="inlineStr">
        <is>
          <t>新生转介绍</t>
        </is>
      </c>
      <c r="F26" s="1074" t="n"/>
      <c r="G26" s="1074" t="inlineStr">
        <is>
          <t>陈秉谦</t>
        </is>
      </c>
      <c r="H26" s="1074" t="inlineStr">
        <is>
          <t>在读</t>
        </is>
      </c>
      <c r="I26" s="1074" t="inlineStr">
        <is>
          <t>一期</t>
        </is>
      </c>
      <c r="J26" s="1074" t="inlineStr">
        <is>
          <t>5230802</t>
        </is>
      </c>
      <c r="K26" s="1074" t="inlineStr">
        <is>
          <t>校内成绩</t>
        </is>
      </c>
      <c r="L26" s="1074" t="n">
        <v>86</v>
      </c>
      <c r="M26" s="1074" t="n">
        <v>96</v>
      </c>
      <c r="N26" s="1074" t="inlineStr">
        <is>
          <t>田雨涵01</t>
        </is>
      </c>
      <c r="O26" s="1074" t="inlineStr">
        <is>
          <t>02彩虹桥</t>
        </is>
      </c>
      <c r="P26" s="1074" t="inlineStr">
        <is>
          <t>15:50-18:00</t>
        </is>
      </c>
      <c r="Q26" s="1074" t="inlineStr">
        <is>
          <t>潜能班</t>
        </is>
      </c>
      <c r="R26" s="1074" t="inlineStr">
        <is>
          <t>一期</t>
        </is>
      </c>
      <c r="S26" s="1074" t="inlineStr">
        <is>
          <t>在读</t>
        </is>
      </c>
      <c r="T26" s="1074" t="inlineStr">
        <is>
          <t>-</t>
        </is>
      </c>
      <c r="U26" s="1074" t="inlineStr">
        <is>
          <t>4632448</t>
        </is>
      </c>
      <c r="V26" s="1074" t="n"/>
      <c r="W26" s="1074" t="inlineStr">
        <is>
          <t>陈南05</t>
        </is>
      </c>
      <c r="X26" s="1074" t="inlineStr">
        <is>
          <t>02彩虹桥</t>
        </is>
      </c>
      <c r="Y26" s="1074" t="inlineStr">
        <is>
          <t>10:20-12:30</t>
        </is>
      </c>
      <c r="Z26" s="1074" t="inlineStr">
        <is>
          <t>潜能班</t>
        </is>
      </c>
      <c r="AA26" s="1074" t="inlineStr">
        <is>
          <t>一期</t>
        </is>
      </c>
      <c r="AB26" s="1074" t="inlineStr">
        <is>
          <t>在读</t>
        </is>
      </c>
      <c r="AC26" s="1074" t="inlineStr">
        <is>
          <t>-</t>
        </is>
      </c>
      <c r="AD26" s="1074" t="inlineStr">
        <is>
          <t>3132837</t>
        </is>
      </c>
      <c r="AE26" s="1074" t="n"/>
      <c r="AF26" s="1074" t="inlineStr">
        <is>
          <t>高心怡04</t>
        </is>
      </c>
      <c r="AG26" s="1074" t="inlineStr">
        <is>
          <t>02彩虹桥</t>
        </is>
      </c>
      <c r="AH26" s="1074" t="inlineStr">
        <is>
          <t>13:20-15:30</t>
        </is>
      </c>
      <c r="AI26" s="1074" t="inlineStr">
        <is>
          <t>潜能班</t>
        </is>
      </c>
      <c r="AJ26" s="1074" t="inlineStr">
        <is>
          <t>一期</t>
        </is>
      </c>
      <c r="AK26" s="1074" t="inlineStr">
        <is>
          <t>在读</t>
        </is>
      </c>
      <c r="AL26" s="1074" t="inlineStr">
        <is>
          <t>-</t>
        </is>
      </c>
      <c r="AM26" s="1074" t="n"/>
      <c r="AN26" s="1074" t="n"/>
      <c r="AO26" s="1074" t="n"/>
      <c r="AP26" s="1074" t="n"/>
      <c r="AQ26" s="1074" t="n"/>
      <c r="AR26" s="1074" t="n"/>
      <c r="AS26" s="1074" t="n"/>
      <c r="AT26" s="311" t="n"/>
    </row>
    <row r="27" ht="26.25" customFormat="1" customHeight="1" s="366">
      <c r="A27" s="1074" t="inlineStr">
        <is>
          <t>同创汇</t>
        </is>
      </c>
      <c r="B27" s="1074" t="inlineStr">
        <is>
          <t>4198557381</t>
        </is>
      </c>
      <c r="C27" s="1074" t="inlineStr">
        <is>
          <t>张俊健</t>
        </is>
      </c>
      <c r="D27" s="1074" t="inlineStr">
        <is>
          <t>林志豪01</t>
        </is>
      </c>
      <c r="E27" s="1074" t="inlineStr">
        <is>
          <t>新生转介绍</t>
        </is>
      </c>
      <c r="F27" s="1074" t="n"/>
      <c r="G27" s="1074" t="inlineStr">
        <is>
          <t>李浩林</t>
        </is>
      </c>
      <c r="H27" s="1074" t="inlineStr">
        <is>
          <t>在读</t>
        </is>
      </c>
      <c r="I27" s="1074" t="inlineStr">
        <is>
          <t>二期</t>
        </is>
      </c>
      <c r="J27" s="1074" t="inlineStr">
        <is>
          <t>3132872</t>
        </is>
      </c>
      <c r="K27" s="1074" t="inlineStr">
        <is>
          <t>校内成绩</t>
        </is>
      </c>
      <c r="L27" s="1074" t="n">
        <v>72</v>
      </c>
      <c r="M27" s="1074" t="n">
        <v>90</v>
      </c>
      <c r="N27" s="1074" t="inlineStr">
        <is>
          <t>何咏04</t>
        </is>
      </c>
      <c r="O27" s="1074" t="inlineStr">
        <is>
          <t>01智慧林</t>
        </is>
      </c>
      <c r="P27" s="1074" t="inlineStr">
        <is>
          <t>13:20-15:30</t>
        </is>
      </c>
      <c r="Q27" s="1074" t="inlineStr">
        <is>
          <t>潜能班</t>
        </is>
      </c>
      <c r="R27" s="1074" t="inlineStr">
        <is>
          <t>二期</t>
        </is>
      </c>
      <c r="S27" s="1074" t="inlineStr">
        <is>
          <t>在读</t>
        </is>
      </c>
      <c r="T27" s="1074" t="inlineStr">
        <is>
          <t>-</t>
        </is>
      </c>
      <c r="U27" s="1074" t="inlineStr">
        <is>
          <t>5230809</t>
        </is>
      </c>
      <c r="V27" s="1074" t="n"/>
      <c r="W27" s="1074" t="inlineStr">
        <is>
          <t>李润</t>
        </is>
      </c>
      <c r="X27" s="1074" t="inlineStr">
        <is>
          <t>01智慧林</t>
        </is>
      </c>
      <c r="Y27" s="1074" t="inlineStr">
        <is>
          <t>10:20-12:30</t>
        </is>
      </c>
      <c r="Z27" s="1074" t="inlineStr">
        <is>
          <t>潜能班</t>
        </is>
      </c>
      <c r="AA27" s="1074" t="inlineStr">
        <is>
          <t>二期</t>
        </is>
      </c>
      <c r="AB27" s="1074" t="inlineStr">
        <is>
          <t>在读</t>
        </is>
      </c>
      <c r="AC27" s="1074" t="inlineStr">
        <is>
          <t>-</t>
        </is>
      </c>
      <c r="AD27" s="1074" t="inlineStr">
        <is>
          <t>3132893</t>
        </is>
      </c>
      <c r="AE27" s="1074" t="n"/>
      <c r="AF27" s="1074" t="inlineStr">
        <is>
          <t>刘希子</t>
        </is>
      </c>
      <c r="AG27" s="1074" t="inlineStr">
        <is>
          <t>01智慧林</t>
        </is>
      </c>
      <c r="AH27" s="1074" t="inlineStr">
        <is>
          <t>15:50-18:00</t>
        </is>
      </c>
      <c r="AI27" s="1074" t="inlineStr">
        <is>
          <t>潜能班</t>
        </is>
      </c>
      <c r="AJ27" s="1074" t="inlineStr">
        <is>
          <t>二期</t>
        </is>
      </c>
      <c r="AK27" s="1074" t="inlineStr">
        <is>
          <t>在读</t>
        </is>
      </c>
      <c r="AL27" s="1074" t="inlineStr">
        <is>
          <t>-</t>
        </is>
      </c>
      <c r="AM27" s="1074" t="n"/>
      <c r="AN27" s="1074" t="n"/>
      <c r="AO27" s="1074" t="n"/>
      <c r="AP27" s="1074" t="n"/>
      <c r="AQ27" s="1074" t="n"/>
      <c r="AR27" s="1074" t="n"/>
      <c r="AS27" s="1074" t="n"/>
      <c r="AT27" s="311" t="n"/>
    </row>
    <row r="28" ht="26.25" customFormat="1" customHeight="1" s="366">
      <c r="A28" s="1074" t="inlineStr">
        <is>
          <t>同创汇</t>
        </is>
      </c>
      <c r="B28" s="1074" t="inlineStr">
        <is>
          <t>2554261157</t>
        </is>
      </c>
      <c r="C28" s="1074" t="inlineStr">
        <is>
          <t>杨沛梵</t>
        </is>
      </c>
      <c r="D28" s="1074" t="inlineStr">
        <is>
          <t>戎凯01</t>
        </is>
      </c>
      <c r="E28" s="1074" t="inlineStr">
        <is>
          <t>纯拉新</t>
        </is>
      </c>
      <c r="F28" s="1074" t="n"/>
      <c r="G28" s="1074" t="n"/>
      <c r="H28" s="1074" t="inlineStr">
        <is>
          <t>在读</t>
        </is>
      </c>
      <c r="I28" s="1074" t="inlineStr">
        <is>
          <t>一期</t>
        </is>
      </c>
      <c r="J28" s="1074" t="inlineStr">
        <is>
          <t>5230802</t>
        </is>
      </c>
      <c r="K28" s="1074" t="inlineStr">
        <is>
          <t>校内成绩</t>
        </is>
      </c>
      <c r="L28" s="1074" t="n">
        <v>72</v>
      </c>
      <c r="M28" s="1074" t="n">
        <v>90</v>
      </c>
      <c r="N28" s="1074" t="inlineStr">
        <is>
          <t>田雨涵01</t>
        </is>
      </c>
      <c r="O28" s="1074" t="inlineStr">
        <is>
          <t>02彩虹桥</t>
        </is>
      </c>
      <c r="P28" s="1074" t="inlineStr">
        <is>
          <t>15:50-18:00</t>
        </is>
      </c>
      <c r="Q28" s="1074" t="inlineStr">
        <is>
          <t>潜能班</t>
        </is>
      </c>
      <c r="R28" s="1074" t="inlineStr">
        <is>
          <t>一期</t>
        </is>
      </c>
      <c r="S28" s="1074" t="inlineStr">
        <is>
          <t>在读</t>
        </is>
      </c>
      <c r="T28" s="1074" t="inlineStr">
        <is>
          <t>-</t>
        </is>
      </c>
      <c r="U28" s="1074" t="inlineStr">
        <is>
          <t>4632448</t>
        </is>
      </c>
      <c r="V28" s="1074" t="n"/>
      <c r="W28" s="1074" t="inlineStr">
        <is>
          <t>陈南05</t>
        </is>
      </c>
      <c r="X28" s="1074" t="inlineStr">
        <is>
          <t>02彩虹桥</t>
        </is>
      </c>
      <c r="Y28" s="1074" t="inlineStr">
        <is>
          <t>10:20-12:30</t>
        </is>
      </c>
      <c r="Z28" s="1074" t="inlineStr">
        <is>
          <t>潜能班</t>
        </is>
      </c>
      <c r="AA28" s="1074" t="inlineStr">
        <is>
          <t>一期</t>
        </is>
      </c>
      <c r="AB28" s="1074" t="inlineStr">
        <is>
          <t>在读</t>
        </is>
      </c>
      <c r="AC28" s="1074" t="inlineStr">
        <is>
          <t>-</t>
        </is>
      </c>
      <c r="AD28" s="1074" t="inlineStr">
        <is>
          <t>3132837</t>
        </is>
      </c>
      <c r="AE28" s="1074" t="n"/>
      <c r="AF28" s="1074" t="inlineStr">
        <is>
          <t>高心怡04</t>
        </is>
      </c>
      <c r="AG28" s="1074" t="inlineStr">
        <is>
          <t>02彩虹桥</t>
        </is>
      </c>
      <c r="AH28" s="1074" t="inlineStr">
        <is>
          <t>13:20-15:30</t>
        </is>
      </c>
      <c r="AI28" s="1074" t="inlineStr">
        <is>
          <t>潜能班</t>
        </is>
      </c>
      <c r="AJ28" s="1074" t="inlineStr">
        <is>
          <t>一期</t>
        </is>
      </c>
      <c r="AK28" s="1074" t="inlineStr">
        <is>
          <t>在读</t>
        </is>
      </c>
      <c r="AL28" s="1074" t="inlineStr">
        <is>
          <t>-</t>
        </is>
      </c>
      <c r="AM28" s="1074" t="n"/>
      <c r="AN28" s="1074" t="n"/>
      <c r="AO28" s="1074" t="n"/>
      <c r="AP28" s="1074" t="n"/>
      <c r="AQ28" s="1074" t="n"/>
      <c r="AR28" s="1074" t="n"/>
      <c r="AS28" s="1074" t="n"/>
      <c r="AT28" s="311" t="n"/>
    </row>
    <row r="29" ht="26.25" customFormat="1" customHeight="1" s="366">
      <c r="A29" s="1074" t="inlineStr">
        <is>
          <t>新宝利</t>
        </is>
      </c>
      <c r="B29" s="1074" t="inlineStr">
        <is>
          <t>4860505150</t>
        </is>
      </c>
      <c r="C29" s="1074" t="inlineStr">
        <is>
          <t>王梓赫</t>
        </is>
      </c>
      <c r="D29" s="1074" t="inlineStr">
        <is>
          <t>陈亮延</t>
        </is>
      </c>
      <c r="E29" s="1074" t="inlineStr">
        <is>
          <t>新生转介绍</t>
        </is>
      </c>
      <c r="F29" s="1074" t="n"/>
      <c r="G29" s="1074" t="inlineStr">
        <is>
          <t>钟博睿</t>
        </is>
      </c>
      <c r="H29" s="1074" t="inlineStr">
        <is>
          <t>在读</t>
        </is>
      </c>
      <c r="I29" s="1074" t="inlineStr">
        <is>
          <t>一期</t>
        </is>
      </c>
      <c r="J29" s="1074" t="inlineStr">
        <is>
          <t>5230742</t>
        </is>
      </c>
      <c r="K29" s="1074" t="inlineStr">
        <is>
          <t>校内成绩</t>
        </is>
      </c>
      <c r="L29" s="1074" t="n">
        <v>72</v>
      </c>
      <c r="M29" s="1074" t="n">
        <v>90</v>
      </c>
      <c r="N29" s="1074" t="inlineStr">
        <is>
          <t>何咏04</t>
        </is>
      </c>
      <c r="O29" s="1074" t="inlineStr">
        <is>
          <t>教室2</t>
        </is>
      </c>
      <c r="P29" s="1074" t="inlineStr">
        <is>
          <t>13:20-15:30</t>
        </is>
      </c>
      <c r="Q29" s="1074" t="inlineStr">
        <is>
          <t>潜能班</t>
        </is>
      </c>
      <c r="R29" s="1074" t="inlineStr">
        <is>
          <t>一期</t>
        </is>
      </c>
      <c r="S29" s="1074" t="inlineStr">
        <is>
          <t>在读</t>
        </is>
      </c>
      <c r="T29" s="1074" t="inlineStr">
        <is>
          <t>-</t>
        </is>
      </c>
      <c r="U29" s="1074" t="inlineStr">
        <is>
          <t>5230773</t>
        </is>
      </c>
      <c r="V29" s="1074" t="n"/>
      <c r="W29" s="1074" t="inlineStr">
        <is>
          <t>陈南05</t>
        </is>
      </c>
      <c r="X29" s="1074" t="inlineStr">
        <is>
          <t>教室2</t>
        </is>
      </c>
      <c r="Y29" s="1074" t="inlineStr">
        <is>
          <t>15:50-18:00</t>
        </is>
      </c>
      <c r="Z29" s="1074" t="inlineStr">
        <is>
          <t>潜能班</t>
        </is>
      </c>
      <c r="AA29" s="1074" t="inlineStr">
        <is>
          <t>一期</t>
        </is>
      </c>
      <c r="AB29" s="1074" t="inlineStr">
        <is>
          <t>在读</t>
        </is>
      </c>
      <c r="AC29" s="1074" t="inlineStr">
        <is>
          <t>-</t>
        </is>
      </c>
      <c r="AD29" s="1074" t="inlineStr">
        <is>
          <t>3132888</t>
        </is>
      </c>
      <c r="AE29" s="1074" t="n"/>
      <c r="AF29" s="1074" t="inlineStr">
        <is>
          <t>肖锐03</t>
        </is>
      </c>
      <c r="AG29" s="1074" t="inlineStr">
        <is>
          <t>教室2</t>
        </is>
      </c>
      <c r="AH29" s="1074" t="inlineStr">
        <is>
          <t>10:20-12:30</t>
        </is>
      </c>
      <c r="AI29" s="1074" t="inlineStr">
        <is>
          <t>潜能班</t>
        </is>
      </c>
      <c r="AJ29" s="1074" t="inlineStr">
        <is>
          <t>一期</t>
        </is>
      </c>
      <c r="AK29" s="1074" t="inlineStr">
        <is>
          <t>在读</t>
        </is>
      </c>
      <c r="AL29" s="1074" t="inlineStr">
        <is>
          <t>-</t>
        </is>
      </c>
      <c r="AM29" s="1074" t="n"/>
      <c r="AN29" s="1074" t="n"/>
      <c r="AO29" s="1074" t="n"/>
      <c r="AP29" s="1074" t="n"/>
      <c r="AQ29" s="1074" t="n"/>
      <c r="AR29" s="1074" t="n"/>
      <c r="AS29" s="1074" t="n"/>
      <c r="AT29" s="311" t="n"/>
    </row>
    <row r="30" ht="26.25" customFormat="1" customHeight="1" s="366">
      <c r="A30" s="1074" t="inlineStr">
        <is>
          <t>新宝利</t>
        </is>
      </c>
      <c r="B30" s="1074" t="inlineStr">
        <is>
          <t>2406026641</t>
        </is>
      </c>
      <c r="C30" s="1074" t="inlineStr">
        <is>
          <t>郭梓爱</t>
        </is>
      </c>
      <c r="D30" s="1074" t="inlineStr">
        <is>
          <t>张敏烨</t>
        </is>
      </c>
      <c r="E30" s="1074" t="inlineStr">
        <is>
          <t>新生转介绍</t>
        </is>
      </c>
      <c r="F30" s="1074" t="n"/>
      <c r="G30" s="1074" t="inlineStr">
        <is>
          <t>千惠</t>
        </is>
      </c>
      <c r="H30" s="1074" t="inlineStr">
        <is>
          <t>在读</t>
        </is>
      </c>
      <c r="I30" s="1074" t="inlineStr">
        <is>
          <t>一期</t>
        </is>
      </c>
      <c r="J30" s="1074" t="inlineStr">
        <is>
          <t>5230732</t>
        </is>
      </c>
      <c r="K30" s="1074" t="inlineStr">
        <is>
          <t>校内成绩</t>
        </is>
      </c>
      <c r="L30" s="1074" t="n">
        <v>86</v>
      </c>
      <c r="M30" s="1074" t="n">
        <v>96</v>
      </c>
      <c r="N30" s="1074" t="inlineStr">
        <is>
          <t>何咏04</t>
        </is>
      </c>
      <c r="O30" s="1074" t="inlineStr">
        <is>
          <t>教室3</t>
        </is>
      </c>
      <c r="P30" s="1074" t="inlineStr">
        <is>
          <t>10:30-12:40</t>
        </is>
      </c>
      <c r="Q30" s="1074" t="inlineStr">
        <is>
          <t>启能班</t>
        </is>
      </c>
      <c r="R30" s="1074" t="inlineStr">
        <is>
          <t>一期</t>
        </is>
      </c>
      <c r="S30" s="1074" t="inlineStr">
        <is>
          <t>在读</t>
        </is>
      </c>
      <c r="T30" s="1074" t="inlineStr">
        <is>
          <t>-</t>
        </is>
      </c>
      <c r="U30" s="1074" t="inlineStr">
        <is>
          <t>5230773</t>
        </is>
      </c>
      <c r="V30" s="1074" t="n"/>
      <c r="W30" s="1074" t="inlineStr">
        <is>
          <t>陈南05</t>
        </is>
      </c>
      <c r="X30" s="1074" t="inlineStr">
        <is>
          <t>教室2</t>
        </is>
      </c>
      <c r="Y30" s="1074" t="inlineStr">
        <is>
          <t>15:50-18:00</t>
        </is>
      </c>
      <c r="Z30" s="1074" t="inlineStr">
        <is>
          <t>潜能班</t>
        </is>
      </c>
      <c r="AA30" s="1074" t="inlineStr">
        <is>
          <t>一期</t>
        </is>
      </c>
      <c r="AB30" s="1074" t="inlineStr">
        <is>
          <t>在读</t>
        </is>
      </c>
      <c r="AC30" s="1074" t="inlineStr">
        <is>
          <t>-</t>
        </is>
      </c>
      <c r="AD30" s="1074" t="inlineStr">
        <is>
          <t>3132899</t>
        </is>
      </c>
      <c r="AE30" s="1074" t="n"/>
      <c r="AF30" s="1074" t="inlineStr">
        <is>
          <t>肖锐03</t>
        </is>
      </c>
      <c r="AG30" s="1074" t="inlineStr">
        <is>
          <t>教室3</t>
        </is>
      </c>
      <c r="AH30" s="1074" t="inlineStr">
        <is>
          <t>07:50-10:00</t>
        </is>
      </c>
      <c r="AI30" s="1074" t="inlineStr">
        <is>
          <t>潜能班</t>
        </is>
      </c>
      <c r="AJ30" s="1074" t="inlineStr">
        <is>
          <t>一期</t>
        </is>
      </c>
      <c r="AK30" s="1074" t="inlineStr">
        <is>
          <t>在读</t>
        </is>
      </c>
      <c r="AL30" s="1074" t="inlineStr">
        <is>
          <t>-</t>
        </is>
      </c>
      <c r="AM30" s="1074" t="n"/>
      <c r="AN30" s="1074" t="n"/>
      <c r="AO30" s="1074" t="n"/>
      <c r="AP30" s="1074" t="n"/>
      <c r="AQ30" s="1074" t="n"/>
      <c r="AR30" s="1074" t="n"/>
      <c r="AS30" s="1074" t="n"/>
      <c r="AT30" s="311" t="n"/>
    </row>
    <row r="31" ht="26.25" customFormat="1" customHeight="1" s="366">
      <c r="A31" s="1074" t="inlineStr">
        <is>
          <t>同创汇</t>
        </is>
      </c>
      <c r="B31" s="1074" t="inlineStr">
        <is>
          <t>2579947640</t>
        </is>
      </c>
      <c r="C31" s="1074" t="inlineStr">
        <is>
          <t>梁静彤</t>
        </is>
      </c>
      <c r="D31" s="1074" t="inlineStr">
        <is>
          <t>张敏烨</t>
        </is>
      </c>
      <c r="E31" s="1074" t="inlineStr">
        <is>
          <t>新生转介绍</t>
        </is>
      </c>
      <c r="F31" s="1074" t="n"/>
      <c r="G31" s="1074" t="inlineStr">
        <is>
          <t>林梓博</t>
        </is>
      </c>
      <c r="H31" s="1074" t="inlineStr">
        <is>
          <t>在读</t>
        </is>
      </c>
      <c r="I31" s="1074" t="inlineStr">
        <is>
          <t>一期/二期</t>
        </is>
      </c>
      <c r="J31" s="1074" t="inlineStr">
        <is>
          <t>3132872</t>
        </is>
      </c>
      <c r="K31" s="1074" t="inlineStr">
        <is>
          <t>校内成绩</t>
        </is>
      </c>
      <c r="L31" s="1074" t="n">
        <v>60</v>
      </c>
      <c r="M31" s="1074" t="n">
        <v>80</v>
      </c>
      <c r="N31" s="1074" t="inlineStr">
        <is>
          <t>何咏04</t>
        </is>
      </c>
      <c r="O31" s="1074" t="inlineStr">
        <is>
          <t>01智慧林</t>
        </is>
      </c>
      <c r="P31" s="1074" t="inlineStr">
        <is>
          <t>13:20-15:30</t>
        </is>
      </c>
      <c r="Q31" s="1074" t="inlineStr">
        <is>
          <t>潜能班</t>
        </is>
      </c>
      <c r="R31" s="1074" t="inlineStr">
        <is>
          <t>二期</t>
        </is>
      </c>
      <c r="S31" s="1074" t="inlineStr">
        <is>
          <t>在读</t>
        </is>
      </c>
      <c r="T31" s="1074" t="inlineStr">
        <is>
          <t>-</t>
        </is>
      </c>
      <c r="U31" s="1074" t="inlineStr">
        <is>
          <t>4632448</t>
        </is>
      </c>
      <c r="V31" s="1074" t="n"/>
      <c r="W31" s="1074" t="inlineStr">
        <is>
          <t>陈南05</t>
        </is>
      </c>
      <c r="X31" s="1074" t="inlineStr">
        <is>
          <t>02彩虹桥</t>
        </is>
      </c>
      <c r="Y31" s="1074" t="inlineStr">
        <is>
          <t>10:20-12:30</t>
        </is>
      </c>
      <c r="Z31" s="1074" t="inlineStr">
        <is>
          <t>潜能班</t>
        </is>
      </c>
      <c r="AA31" s="1074" t="inlineStr">
        <is>
          <t>一期</t>
        </is>
      </c>
      <c r="AB31" s="1074" t="inlineStr">
        <is>
          <t>在读</t>
        </is>
      </c>
      <c r="AC31" s="1074" t="inlineStr">
        <is>
          <t>-</t>
        </is>
      </c>
      <c r="AD31" s="1074" t="inlineStr">
        <is>
          <t>3132893</t>
        </is>
      </c>
      <c r="AE31" s="1074" t="n"/>
      <c r="AF31" s="1074" t="inlineStr">
        <is>
          <t>刘希子</t>
        </is>
      </c>
      <c r="AG31" s="1074" t="inlineStr">
        <is>
          <t>01智慧林</t>
        </is>
      </c>
      <c r="AH31" s="1074" t="inlineStr">
        <is>
          <t>15:50-18:00</t>
        </is>
      </c>
      <c r="AI31" s="1074" t="inlineStr">
        <is>
          <t>潜能班</t>
        </is>
      </c>
      <c r="AJ31" s="1074" t="inlineStr">
        <is>
          <t>二期</t>
        </is>
      </c>
      <c r="AK31" s="1074" t="inlineStr">
        <is>
          <t>在读</t>
        </is>
      </c>
      <c r="AL31" s="1074" t="inlineStr">
        <is>
          <t>-</t>
        </is>
      </c>
      <c r="AM31" s="1074" t="n"/>
      <c r="AN31" s="1074" t="n"/>
      <c r="AO31" s="1074" t="n"/>
      <c r="AP31" s="1074" t="n"/>
      <c r="AQ31" s="1074" t="n"/>
      <c r="AR31" s="1074" t="n"/>
      <c r="AS31" s="1074" t="n"/>
      <c r="AT31" s="311" t="n"/>
    </row>
    <row r="32" ht="26.25" customFormat="1" customHeight="1" s="366">
      <c r="A32" s="1074" t="inlineStr">
        <is>
          <t>同创汇</t>
        </is>
      </c>
      <c r="B32" s="1074" t="inlineStr">
        <is>
          <t>4067487942</t>
        </is>
      </c>
      <c r="C32" s="1074" t="inlineStr">
        <is>
          <t>廖宇轩</t>
        </is>
      </c>
      <c r="D32" s="1074" t="inlineStr">
        <is>
          <t>戎凯01</t>
        </is>
      </c>
      <c r="E32" s="1074" t="inlineStr">
        <is>
          <t>老生转介绍</t>
        </is>
      </c>
      <c r="F32" s="1074" t="n"/>
      <c r="G32" s="1074" t="inlineStr">
        <is>
          <t>张权</t>
        </is>
      </c>
      <c r="H32" s="1074" t="inlineStr">
        <is>
          <t>在读</t>
        </is>
      </c>
      <c r="I32" s="1074" t="inlineStr">
        <is>
          <t>零期</t>
        </is>
      </c>
      <c r="J32" s="1074" t="inlineStr">
        <is>
          <t>3132897</t>
        </is>
      </c>
      <c r="K32" s="1074" t="inlineStr">
        <is>
          <t>校内成绩</t>
        </is>
      </c>
      <c r="L32" s="1074" t="n">
        <v>85</v>
      </c>
      <c r="M32" s="1074" t="n">
        <v>95</v>
      </c>
      <c r="N32" s="1074" t="inlineStr">
        <is>
          <t>陈中帅</t>
        </is>
      </c>
      <c r="O32" s="1074" t="inlineStr">
        <is>
          <t>01智慧林</t>
        </is>
      </c>
      <c r="P32" s="1074" t="inlineStr">
        <is>
          <t>10:20-12:30</t>
        </is>
      </c>
      <c r="Q32" s="1074" t="inlineStr">
        <is>
          <t>潜能班</t>
        </is>
      </c>
      <c r="R32" s="1074" t="inlineStr">
        <is>
          <t>零期</t>
        </is>
      </c>
      <c r="S32" s="1074" t="inlineStr">
        <is>
          <t>在读</t>
        </is>
      </c>
      <c r="T32" s="1074" t="inlineStr">
        <is>
          <t>-</t>
        </is>
      </c>
      <c r="U32" s="1074" t="inlineStr">
        <is>
          <t>5230722</t>
        </is>
      </c>
      <c r="V32" s="1074" t="n"/>
      <c r="W32" s="1074" t="inlineStr">
        <is>
          <t>李润</t>
        </is>
      </c>
      <c r="X32" s="1074" t="inlineStr">
        <is>
          <t>01智慧林</t>
        </is>
      </c>
      <c r="Y32" s="1074" t="inlineStr">
        <is>
          <t>15:50-18:00</t>
        </is>
      </c>
      <c r="Z32" s="1074" t="inlineStr">
        <is>
          <t>潜能班</t>
        </is>
      </c>
      <c r="AA32" s="1074" t="inlineStr">
        <is>
          <t>零期</t>
        </is>
      </c>
      <c r="AB32" s="1074" t="inlineStr">
        <is>
          <t>在读</t>
        </is>
      </c>
      <c r="AC32" s="1074" t="inlineStr">
        <is>
          <t>-</t>
        </is>
      </c>
      <c r="AD32" s="1074" t="inlineStr">
        <is>
          <t>5230737</t>
        </is>
      </c>
      <c r="AE32" s="1074" t="n"/>
      <c r="AF32" s="1074" t="inlineStr">
        <is>
          <t>高心怡04</t>
        </is>
      </c>
      <c r="AG32" s="1074" t="inlineStr">
        <is>
          <t>01智慧林</t>
        </is>
      </c>
      <c r="AH32" s="1074" t="inlineStr">
        <is>
          <t>13:20-15:30</t>
        </is>
      </c>
      <c r="AI32" s="1074" t="inlineStr">
        <is>
          <t>潜能班</t>
        </is>
      </c>
      <c r="AJ32" s="1074" t="inlineStr">
        <is>
          <t>零期</t>
        </is>
      </c>
      <c r="AK32" s="1074" t="inlineStr">
        <is>
          <t>在读</t>
        </is>
      </c>
      <c r="AL32" s="1074" t="inlineStr">
        <is>
          <t>-</t>
        </is>
      </c>
      <c r="AM32" s="1074" t="inlineStr">
        <is>
          <t>是</t>
        </is>
      </c>
      <c r="AN32" s="1074" t="inlineStr">
        <is>
          <t>否</t>
        </is>
      </c>
      <c r="AO32" s="1074" t="inlineStr">
        <is>
          <t>否</t>
        </is>
      </c>
      <c r="AP32" s="1074" t="n"/>
      <c r="AQ32" s="1074" t="n"/>
      <c r="AR32" s="1074" t="n"/>
      <c r="AS32" s="1074" t="n"/>
      <c r="AT32" s="311" t="n"/>
    </row>
    <row r="33" ht="26.25" customFormat="1" customHeight="1" s="366">
      <c r="A33" s="1074" t="inlineStr">
        <is>
          <t>新宝利</t>
        </is>
      </c>
      <c r="B33" s="1074" t="inlineStr">
        <is>
          <t>2321411555</t>
        </is>
      </c>
      <c r="C33" s="1074" t="inlineStr">
        <is>
          <t>林梓博</t>
        </is>
      </c>
      <c r="D33" s="1074" t="inlineStr">
        <is>
          <t>张敏烨</t>
        </is>
      </c>
      <c r="E33" s="1074" t="inlineStr">
        <is>
          <t>新生转介绍</t>
        </is>
      </c>
      <c r="F33" s="1074" t="n"/>
      <c r="G33" s="1074" t="inlineStr">
        <is>
          <t>穆邵瀚</t>
        </is>
      </c>
      <c r="H33" s="1074" t="inlineStr">
        <is>
          <t>在读</t>
        </is>
      </c>
      <c r="I33" s="1074" t="inlineStr">
        <is>
          <t>三期</t>
        </is>
      </c>
      <c r="J33" s="1074" t="inlineStr">
        <is>
          <t>4632447</t>
        </is>
      </c>
      <c r="K33" s="1074" t="inlineStr">
        <is>
          <t>校内成绩</t>
        </is>
      </c>
      <c r="L33" s="1074" t="n">
        <v>60</v>
      </c>
      <c r="M33" s="1074" t="n">
        <v>80</v>
      </c>
      <c r="N33" s="1074" t="inlineStr">
        <is>
          <t>田雨涵01</t>
        </is>
      </c>
      <c r="O33" s="1074" t="inlineStr">
        <is>
          <t>教室5</t>
        </is>
      </c>
      <c r="P33" s="1074" t="inlineStr">
        <is>
          <t>10:20-12:30</t>
        </is>
      </c>
      <c r="Q33" s="1074" t="inlineStr">
        <is>
          <t>潜能班</t>
        </is>
      </c>
      <c r="R33" s="1074" t="inlineStr">
        <is>
          <t>三期</t>
        </is>
      </c>
      <c r="S33" s="1074" t="inlineStr">
        <is>
          <t>在读</t>
        </is>
      </c>
      <c r="T33" s="1074" t="inlineStr">
        <is>
          <t>-</t>
        </is>
      </c>
      <c r="U33" s="1074" t="inlineStr">
        <is>
          <t>5111226</t>
        </is>
      </c>
      <c r="V33" s="1074" t="n"/>
      <c r="W33" s="1074" t="inlineStr">
        <is>
          <t>李润</t>
        </is>
      </c>
      <c r="X33" s="1074" t="inlineStr">
        <is>
          <t>教室5</t>
        </is>
      </c>
      <c r="Y33" s="1074" t="inlineStr">
        <is>
          <t>15:50-18:00</t>
        </is>
      </c>
      <c r="Z33" s="1074" t="inlineStr">
        <is>
          <t>潜能班</t>
        </is>
      </c>
      <c r="AA33" s="1074" t="inlineStr">
        <is>
          <t>三期</t>
        </is>
      </c>
      <c r="AB33" s="1074" t="inlineStr">
        <is>
          <t>在读</t>
        </is>
      </c>
      <c r="AC33" s="1074" t="inlineStr">
        <is>
          <t>-</t>
        </is>
      </c>
      <c r="AD33" s="1074" t="inlineStr">
        <is>
          <t>4513388</t>
        </is>
      </c>
      <c r="AE33" s="1074" t="n"/>
      <c r="AF33" s="1074" t="inlineStr">
        <is>
          <t>肖锐03</t>
        </is>
      </c>
      <c r="AG33" s="1074" t="inlineStr">
        <is>
          <t>教室5</t>
        </is>
      </c>
      <c r="AH33" s="1074" t="inlineStr">
        <is>
          <t>13:20-15:30</t>
        </is>
      </c>
      <c r="AI33" s="1074" t="inlineStr">
        <is>
          <t>潜能班</t>
        </is>
      </c>
      <c r="AJ33" s="1074" t="inlineStr">
        <is>
          <t>三期</t>
        </is>
      </c>
      <c r="AK33" s="1074" t="inlineStr">
        <is>
          <t>在读</t>
        </is>
      </c>
      <c r="AL33" s="1074" t="inlineStr">
        <is>
          <t>-</t>
        </is>
      </c>
      <c r="AM33" s="1074" t="n"/>
      <c r="AN33" s="1074" t="n"/>
      <c r="AO33" s="1074" t="n"/>
      <c r="AP33" s="1074" t="n"/>
      <c r="AQ33" s="1074" t="n"/>
      <c r="AR33" s="1074" t="n"/>
      <c r="AS33" s="1074" t="n"/>
      <c r="AT33" s="311" t="n"/>
    </row>
    <row r="34" ht="26.25" customFormat="1" customHeight="1" s="366">
      <c r="A34" s="1074" t="inlineStr">
        <is>
          <t>天成大厦</t>
        </is>
      </c>
      <c r="B34" s="1074" t="inlineStr">
        <is>
          <t>4858579623</t>
        </is>
      </c>
      <c r="C34" s="1074" t="inlineStr">
        <is>
          <t>善美</t>
        </is>
      </c>
      <c r="D34" s="1074" t="inlineStr">
        <is>
          <t>陈亮延</t>
        </is>
      </c>
      <c r="E34" s="1074" t="inlineStr">
        <is>
          <t>新生转介绍</t>
        </is>
      </c>
      <c r="F34" s="1074" t="n"/>
      <c r="G34" s="1074" t="inlineStr">
        <is>
          <t>梁诗晨</t>
        </is>
      </c>
      <c r="H34" s="1074" t="inlineStr">
        <is>
          <t>在读</t>
        </is>
      </c>
      <c r="I34" s="1074" t="inlineStr">
        <is>
          <t>三期</t>
        </is>
      </c>
      <c r="J34" s="1074" t="inlineStr">
        <is>
          <t>5230801</t>
        </is>
      </c>
      <c r="K34" s="1074" t="inlineStr">
        <is>
          <t>校内成绩</t>
        </is>
      </c>
      <c r="L34" s="1074" t="n">
        <v>60</v>
      </c>
      <c r="M34" s="1074" t="n">
        <v>80</v>
      </c>
      <c r="N34" s="1074" t="inlineStr">
        <is>
          <t>宗志鹏</t>
        </is>
      </c>
      <c r="O34" s="1074" t="inlineStr">
        <is>
          <t>03品尚</t>
        </is>
      </c>
      <c r="P34" s="1074" t="inlineStr">
        <is>
          <t>13:20-15:30</t>
        </is>
      </c>
      <c r="Q34" s="1074" t="inlineStr">
        <is>
          <t>潜能班</t>
        </is>
      </c>
      <c r="R34" s="1074" t="inlineStr">
        <is>
          <t>三期</t>
        </is>
      </c>
      <c r="S34" s="1074" t="inlineStr">
        <is>
          <t>在读</t>
        </is>
      </c>
      <c r="T34" s="1074" t="inlineStr">
        <is>
          <t>-</t>
        </is>
      </c>
      <c r="U34" s="1074" t="inlineStr">
        <is>
          <t>5230739</t>
        </is>
      </c>
      <c r="V34" s="1074" t="n"/>
      <c r="W34" s="1074" t="inlineStr">
        <is>
          <t>李润</t>
        </is>
      </c>
      <c r="X34" s="1074" t="inlineStr">
        <is>
          <t>03品尚</t>
        </is>
      </c>
      <c r="Y34" s="1074" t="inlineStr">
        <is>
          <t>10:20-12:30</t>
        </is>
      </c>
      <c r="Z34" s="1074" t="inlineStr">
        <is>
          <t>潜能班</t>
        </is>
      </c>
      <c r="AA34" s="1074" t="inlineStr">
        <is>
          <t>三期</t>
        </is>
      </c>
      <c r="AB34" s="1074" t="inlineStr">
        <is>
          <t>在读</t>
        </is>
      </c>
      <c r="AC34" s="1074" t="inlineStr">
        <is>
          <t>-</t>
        </is>
      </c>
      <c r="AD34" s="1074" t="inlineStr">
        <is>
          <t>5230788</t>
        </is>
      </c>
      <c r="AE34" s="1074" t="n"/>
      <c r="AF34" s="1074" t="inlineStr">
        <is>
          <t>刘希子</t>
        </is>
      </c>
      <c r="AG34" s="1074" t="inlineStr">
        <is>
          <t>03品尚</t>
        </is>
      </c>
      <c r="AH34" s="1074" t="inlineStr">
        <is>
          <t>15:50-18:00</t>
        </is>
      </c>
      <c r="AI34" s="1074" t="inlineStr">
        <is>
          <t>潜能班</t>
        </is>
      </c>
      <c r="AJ34" s="1074" t="inlineStr">
        <is>
          <t>三期</t>
        </is>
      </c>
      <c r="AK34" s="1074" t="inlineStr">
        <is>
          <t>在读</t>
        </is>
      </c>
      <c r="AL34" s="1074" t="inlineStr">
        <is>
          <t>-</t>
        </is>
      </c>
      <c r="AM34" s="1074" t="n"/>
      <c r="AN34" s="1074" t="n"/>
      <c r="AO34" s="1074" t="n"/>
      <c r="AP34" s="1074" t="n"/>
      <c r="AQ34" s="1074" t="n"/>
      <c r="AR34" s="1074" t="n"/>
      <c r="AS34" s="1074" t="n"/>
      <c r="AT34" s="311" t="n"/>
    </row>
    <row r="35" ht="26.25" customFormat="1" customHeight="1" s="366">
      <c r="A35" s="1074" t="inlineStr">
        <is>
          <t>新宝利</t>
        </is>
      </c>
      <c r="B35" s="1074" t="inlineStr">
        <is>
          <t>2520505537</t>
        </is>
      </c>
      <c r="C35" s="1074" t="inlineStr">
        <is>
          <t>严佩瑶</t>
        </is>
      </c>
      <c r="D35" s="1074" t="inlineStr">
        <is>
          <t>王丽</t>
        </is>
      </c>
      <c r="E35" s="1074" t="inlineStr">
        <is>
          <t>新生转介绍</t>
        </is>
      </c>
      <c r="F35" s="1074" t="n"/>
      <c r="G35" s="1074" t="inlineStr">
        <is>
          <t>郑熙芸</t>
        </is>
      </c>
      <c r="H35" s="1074" t="inlineStr">
        <is>
          <t>在读</t>
        </is>
      </c>
      <c r="I35" s="1074" t="inlineStr">
        <is>
          <t>三期</t>
        </is>
      </c>
      <c r="J35" s="1074" t="inlineStr">
        <is>
          <t>4632447</t>
        </is>
      </c>
      <c r="K35" s="1074" t="inlineStr">
        <is>
          <t>校内成绩</t>
        </is>
      </c>
      <c r="L35" s="1074" t="n">
        <v>62</v>
      </c>
      <c r="M35" s="1074" t="n">
        <v>83</v>
      </c>
      <c r="N35" s="1074" t="inlineStr">
        <is>
          <t>田雨涵01</t>
        </is>
      </c>
      <c r="O35" s="1074" t="inlineStr">
        <is>
          <t>教室5</t>
        </is>
      </c>
      <c r="P35" s="1074" t="inlineStr">
        <is>
          <t>10:20-12:30</t>
        </is>
      </c>
      <c r="Q35" s="1074" t="inlineStr">
        <is>
          <t>潜能班</t>
        </is>
      </c>
      <c r="R35" s="1074" t="inlineStr">
        <is>
          <t>三期</t>
        </is>
      </c>
      <c r="S35" s="1074" t="inlineStr">
        <is>
          <t>在读</t>
        </is>
      </c>
      <c r="T35" s="1074" t="inlineStr">
        <is>
          <t>-</t>
        </is>
      </c>
      <c r="U35" s="1074" t="inlineStr">
        <is>
          <t>5111226</t>
        </is>
      </c>
      <c r="V35" s="1074" t="n"/>
      <c r="W35" s="1074" t="inlineStr">
        <is>
          <t>李润</t>
        </is>
      </c>
      <c r="X35" s="1074" t="inlineStr">
        <is>
          <t>教室5</t>
        </is>
      </c>
      <c r="Y35" s="1074" t="inlineStr">
        <is>
          <t>15:50-18:00</t>
        </is>
      </c>
      <c r="Z35" s="1074" t="inlineStr">
        <is>
          <t>潜能班</t>
        </is>
      </c>
      <c r="AA35" s="1074" t="inlineStr">
        <is>
          <t>三期</t>
        </is>
      </c>
      <c r="AB35" s="1074" t="inlineStr">
        <is>
          <t>在读</t>
        </is>
      </c>
      <c r="AC35" s="1074" t="inlineStr">
        <is>
          <t>-</t>
        </is>
      </c>
      <c r="AD35" s="1074" t="inlineStr">
        <is>
          <t>4513388</t>
        </is>
      </c>
      <c r="AE35" s="1074" t="n"/>
      <c r="AF35" s="1074" t="inlineStr">
        <is>
          <t>肖锐03</t>
        </is>
      </c>
      <c r="AG35" s="1074" t="inlineStr">
        <is>
          <t>教室5</t>
        </is>
      </c>
      <c r="AH35" s="1074" t="inlineStr">
        <is>
          <t>13:20-15:30</t>
        </is>
      </c>
      <c r="AI35" s="1074" t="inlineStr">
        <is>
          <t>潜能班</t>
        </is>
      </c>
      <c r="AJ35" s="1074" t="inlineStr">
        <is>
          <t>三期</t>
        </is>
      </c>
      <c r="AK35" s="1074" t="inlineStr">
        <is>
          <t>在读</t>
        </is>
      </c>
      <c r="AL35" s="1074" t="inlineStr">
        <is>
          <t>-</t>
        </is>
      </c>
      <c r="AM35" s="1074" t="n"/>
      <c r="AN35" s="1074" t="n"/>
      <c r="AO35" s="1074" t="n"/>
      <c r="AP35" s="1074" t="n"/>
      <c r="AQ35" s="1074" t="n"/>
      <c r="AR35" s="1074" t="n"/>
      <c r="AS35" s="1074" t="n"/>
      <c r="AT35" s="311" t="n"/>
    </row>
    <row r="36" ht="26.25" customFormat="1" customHeight="1" s="366">
      <c r="A36" s="1074" t="inlineStr">
        <is>
          <t>同创汇</t>
        </is>
      </c>
      <c r="B36" s="1074" t="inlineStr">
        <is>
          <t>2446527834</t>
        </is>
      </c>
      <c r="C36" s="1074" t="inlineStr">
        <is>
          <t>黄蔚羚</t>
        </is>
      </c>
      <c r="D36" s="1074" t="inlineStr">
        <is>
          <t>戎凯01</t>
        </is>
      </c>
      <c r="E36" s="1074" t="inlineStr">
        <is>
          <t>纯拉新</t>
        </is>
      </c>
      <c r="F36" s="1074" t="n"/>
      <c r="G36" s="1074" t="n"/>
      <c r="H36" s="1074" t="inlineStr">
        <is>
          <t>在读</t>
        </is>
      </c>
      <c r="I36" s="1074" t="inlineStr">
        <is>
          <t>一期</t>
        </is>
      </c>
      <c r="J36" s="1074" t="inlineStr">
        <is>
          <t>5230802</t>
        </is>
      </c>
      <c r="K36" s="1074" t="inlineStr">
        <is>
          <t>校内成绩</t>
        </is>
      </c>
      <c r="L36" s="1074" t="n">
        <v>85</v>
      </c>
      <c r="M36" s="1074" t="n">
        <v>95</v>
      </c>
      <c r="N36" s="1074" t="inlineStr">
        <is>
          <t>田雨涵01</t>
        </is>
      </c>
      <c r="O36" s="1074" t="inlineStr">
        <is>
          <t>02彩虹桥</t>
        </is>
      </c>
      <c r="P36" s="1074" t="inlineStr">
        <is>
          <t>15:50-18:00</t>
        </is>
      </c>
      <c r="Q36" s="1074" t="inlineStr">
        <is>
          <t>潜能班</t>
        </is>
      </c>
      <c r="R36" s="1074" t="inlineStr">
        <is>
          <t>一期</t>
        </is>
      </c>
      <c r="S36" s="1074" t="inlineStr">
        <is>
          <t>在读</t>
        </is>
      </c>
      <c r="T36" s="1074" t="inlineStr">
        <is>
          <t>-</t>
        </is>
      </c>
      <c r="U36" s="1074" t="inlineStr">
        <is>
          <t>4632448</t>
        </is>
      </c>
      <c r="V36" s="1074" t="n"/>
      <c r="W36" s="1074" t="inlineStr">
        <is>
          <t>陈南05</t>
        </is>
      </c>
      <c r="X36" s="1074" t="inlineStr">
        <is>
          <t>02彩虹桥</t>
        </is>
      </c>
      <c r="Y36" s="1074" t="inlineStr">
        <is>
          <t>10:20-12:30</t>
        </is>
      </c>
      <c r="Z36" s="1074" t="inlineStr">
        <is>
          <t>潜能班</t>
        </is>
      </c>
      <c r="AA36" s="1074" t="inlineStr">
        <is>
          <t>一期</t>
        </is>
      </c>
      <c r="AB36" s="1074" t="inlineStr">
        <is>
          <t>在读</t>
        </is>
      </c>
      <c r="AC36" s="1074" t="inlineStr">
        <is>
          <t>-</t>
        </is>
      </c>
      <c r="AD36" s="1074" t="inlineStr">
        <is>
          <t>3132837</t>
        </is>
      </c>
      <c r="AE36" s="1074" t="n"/>
      <c r="AF36" s="1074" t="inlineStr">
        <is>
          <t>高心怡04</t>
        </is>
      </c>
      <c r="AG36" s="1074" t="inlineStr">
        <is>
          <t>02彩虹桥</t>
        </is>
      </c>
      <c r="AH36" s="1074" t="inlineStr">
        <is>
          <t>13:20-15:30</t>
        </is>
      </c>
      <c r="AI36" s="1074" t="inlineStr">
        <is>
          <t>潜能班</t>
        </is>
      </c>
      <c r="AJ36" s="1074" t="inlineStr">
        <is>
          <t>一期</t>
        </is>
      </c>
      <c r="AK36" s="1074" t="inlineStr">
        <is>
          <t>在读</t>
        </is>
      </c>
      <c r="AL36" s="1074" t="inlineStr">
        <is>
          <t>-</t>
        </is>
      </c>
      <c r="AM36" s="1074" t="n"/>
      <c r="AN36" s="1074" t="n"/>
      <c r="AO36" s="1074" t="n"/>
      <c r="AP36" s="1074" t="n"/>
      <c r="AQ36" s="1074" t="n"/>
      <c r="AR36" s="1074" t="n"/>
      <c r="AS36" s="1074" t="n"/>
      <c r="AT36" s="311" t="n"/>
    </row>
    <row r="37" ht="26.25" customFormat="1" customHeight="1" s="366">
      <c r="A37" s="1074" t="inlineStr">
        <is>
          <t>同创汇</t>
        </is>
      </c>
      <c r="B37" s="1074" t="inlineStr">
        <is>
          <t>4834944316</t>
        </is>
      </c>
      <c r="C37" s="1074" t="inlineStr">
        <is>
          <t>杨晨谦</t>
        </is>
      </c>
      <c r="D37" s="1074" t="inlineStr">
        <is>
          <t>苏丽婷</t>
        </is>
      </c>
      <c r="E37" s="1074" t="inlineStr">
        <is>
          <t>纯拉新</t>
        </is>
      </c>
      <c r="F37" s="1074" t="n"/>
      <c r="G37" s="1074" t="n"/>
      <c r="H37" s="1074" t="inlineStr">
        <is>
          <t>在读</t>
        </is>
      </c>
      <c r="I37" s="1074" t="inlineStr">
        <is>
          <t>一期</t>
        </is>
      </c>
      <c r="J37" s="1074" t="inlineStr">
        <is>
          <t>5230802</t>
        </is>
      </c>
      <c r="K37" s="1074" t="inlineStr">
        <is>
          <t>校内成绩</t>
        </is>
      </c>
      <c r="L37" s="1074" t="n">
        <v>72</v>
      </c>
      <c r="M37" s="1074" t="n">
        <v>90</v>
      </c>
      <c r="N37" s="1074" t="inlineStr">
        <is>
          <t>田雨涵01</t>
        </is>
      </c>
      <c r="O37" s="1074" t="inlineStr">
        <is>
          <t>02彩虹桥</t>
        </is>
      </c>
      <c r="P37" s="1074" t="inlineStr">
        <is>
          <t>15:50-18:00</t>
        </is>
      </c>
      <c r="Q37" s="1074" t="inlineStr">
        <is>
          <t>潜能班</t>
        </is>
      </c>
      <c r="R37" s="1074" t="inlineStr">
        <is>
          <t>一期</t>
        </is>
      </c>
      <c r="S37" s="1074" t="inlineStr">
        <is>
          <t>在读</t>
        </is>
      </c>
      <c r="T37" s="1074" t="inlineStr">
        <is>
          <t>-</t>
        </is>
      </c>
      <c r="U37" s="1074" t="inlineStr">
        <is>
          <t>4632448</t>
        </is>
      </c>
      <c r="V37" s="1074" t="n"/>
      <c r="W37" s="1074" t="inlineStr">
        <is>
          <t>陈南05</t>
        </is>
      </c>
      <c r="X37" s="1074" t="inlineStr">
        <is>
          <t>02彩虹桥</t>
        </is>
      </c>
      <c r="Y37" s="1074" t="inlineStr">
        <is>
          <t>10:20-12:30</t>
        </is>
      </c>
      <c r="Z37" s="1074" t="inlineStr">
        <is>
          <t>潜能班</t>
        </is>
      </c>
      <c r="AA37" s="1074" t="inlineStr">
        <is>
          <t>一期</t>
        </is>
      </c>
      <c r="AB37" s="1074" t="inlineStr">
        <is>
          <t>在读</t>
        </is>
      </c>
      <c r="AC37" s="1074" t="inlineStr">
        <is>
          <t>-</t>
        </is>
      </c>
      <c r="AD37" s="1074" t="inlineStr">
        <is>
          <t>3132837</t>
        </is>
      </c>
      <c r="AE37" s="1074" t="n"/>
      <c r="AF37" s="1074" t="inlineStr">
        <is>
          <t>高心怡04</t>
        </is>
      </c>
      <c r="AG37" s="1074" t="inlineStr">
        <is>
          <t>02彩虹桥</t>
        </is>
      </c>
      <c r="AH37" s="1074" t="inlineStr">
        <is>
          <t>13:20-15:30</t>
        </is>
      </c>
      <c r="AI37" s="1074" t="inlineStr">
        <is>
          <t>潜能班</t>
        </is>
      </c>
      <c r="AJ37" s="1074" t="inlineStr">
        <is>
          <t>一期</t>
        </is>
      </c>
      <c r="AK37" s="1074" t="inlineStr">
        <is>
          <t>在读</t>
        </is>
      </c>
      <c r="AL37" s="1074" t="inlineStr">
        <is>
          <t>-</t>
        </is>
      </c>
      <c r="AM37" s="1074" t="n"/>
      <c r="AN37" s="1074" t="n"/>
      <c r="AO37" s="1074" t="n"/>
      <c r="AP37" s="1074" t="n"/>
      <c r="AQ37" s="1074" t="n"/>
      <c r="AR37" s="1074" t="n"/>
      <c r="AS37" s="1074" t="n"/>
      <c r="AT37" s="311" t="n"/>
    </row>
    <row r="38" ht="26.25" customFormat="1" customHeight="1" s="366">
      <c r="A38" s="1074" t="inlineStr">
        <is>
          <t>新宝利</t>
        </is>
      </c>
      <c r="B38" s="1074" t="inlineStr">
        <is>
          <t>4857845454</t>
        </is>
      </c>
      <c r="C38" s="1074" t="inlineStr">
        <is>
          <t>李梓滔</t>
        </is>
      </c>
      <c r="D38" s="1074" t="inlineStr">
        <is>
          <t>林志豪01</t>
        </is>
      </c>
      <c r="E38" s="1074" t="inlineStr">
        <is>
          <t>纯拉新</t>
        </is>
      </c>
      <c r="F38" s="1074" t="n"/>
      <c r="G38" s="1074" t="n"/>
      <c r="H38" s="1074" t="inlineStr">
        <is>
          <t>在读</t>
        </is>
      </c>
      <c r="I38" s="1074" t="inlineStr">
        <is>
          <t>三期</t>
        </is>
      </c>
      <c r="J38" s="1074" t="inlineStr">
        <is>
          <t>5111035</t>
        </is>
      </c>
      <c r="K38" s="1074" t="inlineStr">
        <is>
          <t>报前测成绩</t>
        </is>
      </c>
      <c r="L38" s="1074" t="n">
        <v>95</v>
      </c>
      <c r="M38" s="1074" t="inlineStr">
        <is>
          <t>-</t>
        </is>
      </c>
      <c r="N38" s="1074" t="inlineStr">
        <is>
          <t>何咏04</t>
        </is>
      </c>
      <c r="O38" s="1074" t="inlineStr">
        <is>
          <t>教室2</t>
        </is>
      </c>
      <c r="P38" s="1074" t="inlineStr">
        <is>
          <t>15:50-18:00</t>
        </is>
      </c>
      <c r="Q38" s="1074" t="inlineStr">
        <is>
          <t>启能班</t>
        </is>
      </c>
      <c r="R38" s="1074" t="inlineStr">
        <is>
          <t>三期</t>
        </is>
      </c>
      <c r="S38" s="1074" t="inlineStr">
        <is>
          <t>在读</t>
        </is>
      </c>
      <c r="T38" s="1074" t="inlineStr">
        <is>
          <t>-</t>
        </is>
      </c>
      <c r="U38" s="1074" t="inlineStr">
        <is>
          <t>5230747</t>
        </is>
      </c>
      <c r="V38" s="1074" t="n"/>
      <c r="W38" s="1074" t="inlineStr">
        <is>
          <t>陈南05</t>
        </is>
      </c>
      <c r="X38" s="1074" t="inlineStr">
        <is>
          <t>教室3</t>
        </is>
      </c>
      <c r="Y38" s="1074" t="inlineStr">
        <is>
          <t>10:20-12:30</t>
        </is>
      </c>
      <c r="Z38" s="1074" t="inlineStr">
        <is>
          <t>潜能班</t>
        </is>
      </c>
      <c r="AA38" s="1074" t="inlineStr">
        <is>
          <t>三期</t>
        </is>
      </c>
      <c r="AB38" s="1074" t="inlineStr">
        <is>
          <t>在读</t>
        </is>
      </c>
      <c r="AC38" s="1074" t="inlineStr">
        <is>
          <t>-</t>
        </is>
      </c>
      <c r="AD38" s="1074" t="inlineStr">
        <is>
          <t>4513388</t>
        </is>
      </c>
      <c r="AE38" s="1074" t="n"/>
      <c r="AF38" s="1074" t="inlineStr">
        <is>
          <t>肖锐03</t>
        </is>
      </c>
      <c r="AG38" s="1074" t="inlineStr">
        <is>
          <t>教室5</t>
        </is>
      </c>
      <c r="AH38" s="1074" t="inlineStr">
        <is>
          <t>13:20-15:30</t>
        </is>
      </c>
      <c r="AI38" s="1074" t="inlineStr">
        <is>
          <t>潜能班</t>
        </is>
      </c>
      <c r="AJ38" s="1074" t="inlineStr">
        <is>
          <t>三期</t>
        </is>
      </c>
      <c r="AK38" s="1074" t="inlineStr">
        <is>
          <t>在读</t>
        </is>
      </c>
      <c r="AL38" s="1074" t="inlineStr">
        <is>
          <t>-</t>
        </is>
      </c>
      <c r="AM38" s="1074" t="n"/>
      <c r="AN38" s="1074" t="n"/>
      <c r="AO38" s="1074" t="n"/>
      <c r="AP38" s="1074" t="n"/>
      <c r="AQ38" s="1074" t="n"/>
      <c r="AR38" s="1074" t="n"/>
      <c r="AS38" s="1074" t="n"/>
      <c r="AT38" s="311" t="n"/>
    </row>
    <row r="39" ht="26.25" customFormat="1" customHeight="1" s="366">
      <c r="A39" s="1074" t="inlineStr">
        <is>
          <t>新宝利</t>
        </is>
      </c>
      <c r="B39" s="1074" t="inlineStr">
        <is>
          <t>4834953191</t>
        </is>
      </c>
      <c r="C39" s="1074" t="inlineStr">
        <is>
          <t>陈昊璟</t>
        </is>
      </c>
      <c r="D39" s="1074" t="inlineStr">
        <is>
          <t>张敏烨</t>
        </is>
      </c>
      <c r="E39" s="1074" t="inlineStr">
        <is>
          <t>新生转介绍</t>
        </is>
      </c>
      <c r="F39" s="1074" t="n"/>
      <c r="G39" s="1074" t="inlineStr">
        <is>
          <t>崔梓莹</t>
        </is>
      </c>
      <c r="H39" s="1074" t="inlineStr">
        <is>
          <t>在读</t>
        </is>
      </c>
      <c r="I39" s="1074" t="inlineStr">
        <is>
          <t>三期</t>
        </is>
      </c>
      <c r="J39" s="1074" t="inlineStr">
        <is>
          <t>4632447</t>
        </is>
      </c>
      <c r="K39" s="1074" t="inlineStr">
        <is>
          <t>校内成绩</t>
        </is>
      </c>
      <c r="L39" s="1074" t="n">
        <v>64</v>
      </c>
      <c r="M39" s="1074" t="n">
        <v>85</v>
      </c>
      <c r="N39" s="1074" t="inlineStr">
        <is>
          <t>田雨涵01</t>
        </is>
      </c>
      <c r="O39" s="1074" t="inlineStr">
        <is>
          <t>教室5</t>
        </is>
      </c>
      <c r="P39" s="1074" t="inlineStr">
        <is>
          <t>10:20-12:30</t>
        </is>
      </c>
      <c r="Q39" s="1074" t="inlineStr">
        <is>
          <t>潜能班</t>
        </is>
      </c>
      <c r="R39" s="1074" t="inlineStr">
        <is>
          <t>三期</t>
        </is>
      </c>
      <c r="S39" s="1074" t="inlineStr">
        <is>
          <t>在读</t>
        </is>
      </c>
      <c r="T39" s="1074" t="inlineStr">
        <is>
          <t>-</t>
        </is>
      </c>
      <c r="U39" s="1074" t="inlineStr">
        <is>
          <t>5111226</t>
        </is>
      </c>
      <c r="V39" s="1074" t="n"/>
      <c r="W39" s="1074" t="inlineStr">
        <is>
          <t>李润</t>
        </is>
      </c>
      <c r="X39" s="1074" t="inlineStr">
        <is>
          <t>教室5</t>
        </is>
      </c>
      <c r="Y39" s="1074" t="inlineStr">
        <is>
          <t>15:50-18:00</t>
        </is>
      </c>
      <c r="Z39" s="1074" t="inlineStr">
        <is>
          <t>潜能班</t>
        </is>
      </c>
      <c r="AA39" s="1074" t="inlineStr">
        <is>
          <t>三期</t>
        </is>
      </c>
      <c r="AB39" s="1074" t="inlineStr">
        <is>
          <t>在读</t>
        </is>
      </c>
      <c r="AC39" s="1074" t="inlineStr">
        <is>
          <t>-</t>
        </is>
      </c>
      <c r="AD39" s="1074" t="inlineStr">
        <is>
          <t>4513388</t>
        </is>
      </c>
      <c r="AE39" s="1074" t="n"/>
      <c r="AF39" s="1074" t="inlineStr">
        <is>
          <t>肖锐03</t>
        </is>
      </c>
      <c r="AG39" s="1074" t="inlineStr">
        <is>
          <t>教室5</t>
        </is>
      </c>
      <c r="AH39" s="1074" t="inlineStr">
        <is>
          <t>13:20-15:30</t>
        </is>
      </c>
      <c r="AI39" s="1074" t="inlineStr">
        <is>
          <t>潜能班</t>
        </is>
      </c>
      <c r="AJ39" s="1074" t="inlineStr">
        <is>
          <t>三期</t>
        </is>
      </c>
      <c r="AK39" s="1074" t="inlineStr">
        <is>
          <t>在读</t>
        </is>
      </c>
      <c r="AL39" s="1074" t="inlineStr">
        <is>
          <t>-</t>
        </is>
      </c>
      <c r="AM39" s="1074" t="n"/>
      <c r="AN39" s="1074" t="n"/>
      <c r="AO39" s="1074" t="n"/>
      <c r="AP39" s="1074" t="n"/>
      <c r="AQ39" s="1074" t="n"/>
      <c r="AR39" s="1074" t="n"/>
      <c r="AS39" s="1074" t="n"/>
      <c r="AT39" s="311" t="n"/>
    </row>
    <row r="40" ht="26.25" customFormat="1" customHeight="1" s="366">
      <c r="A40" s="1074" t="inlineStr">
        <is>
          <t>同创汇</t>
        </is>
      </c>
      <c r="B40" s="1074" t="inlineStr">
        <is>
          <t>2170843710</t>
        </is>
      </c>
      <c r="C40" s="1074" t="inlineStr">
        <is>
          <t>黄乐怡</t>
        </is>
      </c>
      <c r="D40" s="1074" t="inlineStr">
        <is>
          <t>王丽</t>
        </is>
      </c>
      <c r="E40" s="1074" t="inlineStr">
        <is>
          <t>纯拉新</t>
        </is>
      </c>
      <c r="F40" s="1074" t="n"/>
      <c r="G40" s="1074" t="n"/>
      <c r="H40" s="1074" t="inlineStr">
        <is>
          <t>在读</t>
        </is>
      </c>
      <c r="I40" s="1074" t="inlineStr">
        <is>
          <t>二期</t>
        </is>
      </c>
      <c r="J40" s="1074" t="inlineStr">
        <is>
          <t>3132872</t>
        </is>
      </c>
      <c r="K40" s="1074" t="inlineStr">
        <is>
          <t>校内成绩</t>
        </is>
      </c>
      <c r="L40" s="1074" t="n">
        <v>74</v>
      </c>
      <c r="M40" s="1074" t="n">
        <v>92</v>
      </c>
      <c r="N40" s="1074" t="inlineStr">
        <is>
          <t>何咏04</t>
        </is>
      </c>
      <c r="O40" s="1074" t="inlineStr">
        <is>
          <t>01智慧林</t>
        </is>
      </c>
      <c r="P40" s="1074" t="inlineStr">
        <is>
          <t>13:20-15:30</t>
        </is>
      </c>
      <c r="Q40" s="1074" t="inlineStr">
        <is>
          <t>潜能班</t>
        </is>
      </c>
      <c r="R40" s="1074" t="inlineStr">
        <is>
          <t>二期</t>
        </is>
      </c>
      <c r="S40" s="1074" t="inlineStr">
        <is>
          <t>在读</t>
        </is>
      </c>
      <c r="T40" s="1074" t="inlineStr">
        <is>
          <t>-</t>
        </is>
      </c>
      <c r="U40" s="1074" t="inlineStr">
        <is>
          <t>5230809</t>
        </is>
      </c>
      <c r="V40" s="1074" t="n"/>
      <c r="W40" s="1074" t="inlineStr">
        <is>
          <t>李润</t>
        </is>
      </c>
      <c r="X40" s="1074" t="inlineStr">
        <is>
          <t>01智慧林</t>
        </is>
      </c>
      <c r="Y40" s="1074" t="inlineStr">
        <is>
          <t>10:20-12:30</t>
        </is>
      </c>
      <c r="Z40" s="1074" t="inlineStr">
        <is>
          <t>潜能班</t>
        </is>
      </c>
      <c r="AA40" s="1074" t="inlineStr">
        <is>
          <t>二期</t>
        </is>
      </c>
      <c r="AB40" s="1074" t="inlineStr">
        <is>
          <t>在读</t>
        </is>
      </c>
      <c r="AC40" s="1074" t="inlineStr">
        <is>
          <t>-</t>
        </is>
      </c>
      <c r="AD40" s="1074" t="inlineStr">
        <is>
          <t>3132893</t>
        </is>
      </c>
      <c r="AE40" s="1074" t="n"/>
      <c r="AF40" s="1074" t="inlineStr">
        <is>
          <t>刘希子</t>
        </is>
      </c>
      <c r="AG40" s="1074" t="inlineStr">
        <is>
          <t>01智慧林</t>
        </is>
      </c>
      <c r="AH40" s="1074" t="inlineStr">
        <is>
          <t>15:50-18:00</t>
        </is>
      </c>
      <c r="AI40" s="1074" t="inlineStr">
        <is>
          <t>潜能班</t>
        </is>
      </c>
      <c r="AJ40" s="1074" t="inlineStr">
        <is>
          <t>二期</t>
        </is>
      </c>
      <c r="AK40" s="1074" t="inlineStr">
        <is>
          <t>在读</t>
        </is>
      </c>
      <c r="AL40" s="1074" t="inlineStr">
        <is>
          <t>-</t>
        </is>
      </c>
      <c r="AM40" s="1074" t="n"/>
      <c r="AN40" s="1074" t="n"/>
      <c r="AO40" s="1074" t="n"/>
      <c r="AP40" s="1074" t="n"/>
      <c r="AQ40" s="1074" t="n"/>
      <c r="AR40" s="1074" t="n"/>
      <c r="AS40" s="1074" t="n"/>
      <c r="AT40" s="311" t="n"/>
    </row>
    <row r="41" ht="26.25" customFormat="1" customHeight="1" s="366">
      <c r="A41" s="1074" t="inlineStr">
        <is>
          <t>新宝利</t>
        </is>
      </c>
      <c r="B41" s="1074" t="inlineStr">
        <is>
          <t>4354560071</t>
        </is>
      </c>
      <c r="C41" s="1074" t="inlineStr">
        <is>
          <t>郭一言</t>
        </is>
      </c>
      <c r="D41" s="1074" t="inlineStr">
        <is>
          <t>林志豪01</t>
        </is>
      </c>
      <c r="E41" s="1074" t="inlineStr">
        <is>
          <t>纯拉新</t>
        </is>
      </c>
      <c r="F41" s="1074" t="n"/>
      <c r="G41" s="1074" t="n"/>
      <c r="H41" s="1074" t="inlineStr">
        <is>
          <t>在读</t>
        </is>
      </c>
      <c r="I41" s="1074" t="inlineStr">
        <is>
          <t>三期</t>
        </is>
      </c>
      <c r="J41" s="1074" t="inlineStr">
        <is>
          <t>4632447</t>
        </is>
      </c>
      <c r="K41" s="1074" t="inlineStr">
        <is>
          <t>报前测成绩</t>
        </is>
      </c>
      <c r="L41" s="1074" t="n">
        <v>80</v>
      </c>
      <c r="M41" s="1074" t="inlineStr">
        <is>
          <t>-</t>
        </is>
      </c>
      <c r="N41" s="1074" t="inlineStr">
        <is>
          <t>田雨涵01</t>
        </is>
      </c>
      <c r="O41" s="1074" t="inlineStr">
        <is>
          <t>教室5</t>
        </is>
      </c>
      <c r="P41" s="1074" t="inlineStr">
        <is>
          <t>10:20-12:30</t>
        </is>
      </c>
      <c r="Q41" s="1074" t="inlineStr">
        <is>
          <t>潜能班</t>
        </is>
      </c>
      <c r="R41" s="1074" t="inlineStr">
        <is>
          <t>三期</t>
        </is>
      </c>
      <c r="S41" s="1074" t="inlineStr">
        <is>
          <t>在读</t>
        </is>
      </c>
      <c r="T41" s="1074" t="inlineStr">
        <is>
          <t>-</t>
        </is>
      </c>
      <c r="U41" s="1074" t="inlineStr">
        <is>
          <t>5111226</t>
        </is>
      </c>
      <c r="V41" s="1074" t="n"/>
      <c r="W41" s="1074" t="inlineStr">
        <is>
          <t>李润</t>
        </is>
      </c>
      <c r="X41" s="1074" t="inlineStr">
        <is>
          <t>教室5</t>
        </is>
      </c>
      <c r="Y41" s="1074" t="inlineStr">
        <is>
          <t>15:50-18:00</t>
        </is>
      </c>
      <c r="Z41" s="1074" t="inlineStr">
        <is>
          <t>潜能班</t>
        </is>
      </c>
      <c r="AA41" s="1074" t="inlineStr">
        <is>
          <t>三期</t>
        </is>
      </c>
      <c r="AB41" s="1074" t="inlineStr">
        <is>
          <t>在读</t>
        </is>
      </c>
      <c r="AC41" s="1074" t="inlineStr">
        <is>
          <t>-</t>
        </is>
      </c>
      <c r="AD41" s="1074" t="inlineStr">
        <is>
          <t>4513388</t>
        </is>
      </c>
      <c r="AE41" s="1074" t="n"/>
      <c r="AF41" s="1074" t="inlineStr">
        <is>
          <t>肖锐03</t>
        </is>
      </c>
      <c r="AG41" s="1074" t="inlineStr">
        <is>
          <t>教室5</t>
        </is>
      </c>
      <c r="AH41" s="1074" t="inlineStr">
        <is>
          <t>13:20-15:30</t>
        </is>
      </c>
      <c r="AI41" s="1074" t="inlineStr">
        <is>
          <t>潜能班</t>
        </is>
      </c>
      <c r="AJ41" s="1074" t="inlineStr">
        <is>
          <t>三期</t>
        </is>
      </c>
      <c r="AK41" s="1074" t="inlineStr">
        <is>
          <t>在读</t>
        </is>
      </c>
      <c r="AL41" s="1074" t="inlineStr">
        <is>
          <t>-</t>
        </is>
      </c>
      <c r="AM41" s="1074" t="n"/>
      <c r="AN41" s="1074" t="n"/>
      <c r="AO41" s="1074" t="n"/>
      <c r="AP41" s="1074" t="n"/>
      <c r="AQ41" s="1074" t="n"/>
      <c r="AR41" s="1074" t="n"/>
      <c r="AS41" s="1074" t="n"/>
      <c r="AT41" s="311" t="n"/>
    </row>
    <row r="42" ht="26.25" customFormat="1" customHeight="1" s="366">
      <c r="A42" s="1074" t="inlineStr">
        <is>
          <t>新宝利</t>
        </is>
      </c>
      <c r="B42" s="1074" t="inlineStr">
        <is>
          <t>4844345754</t>
        </is>
      </c>
      <c r="C42" s="1074" t="inlineStr">
        <is>
          <t>潘俊羽</t>
        </is>
      </c>
      <c r="D42" s="1074" t="inlineStr">
        <is>
          <t>林志豪01</t>
        </is>
      </c>
      <c r="E42" s="1074" t="inlineStr">
        <is>
          <t>纯拉新</t>
        </is>
      </c>
      <c r="F42" s="1074" t="n"/>
      <c r="G42" s="1074" t="n"/>
      <c r="H42" s="1074" t="inlineStr">
        <is>
          <t>在读</t>
        </is>
      </c>
      <c r="I42" s="1074" t="inlineStr">
        <is>
          <t>三期</t>
        </is>
      </c>
      <c r="J42" s="1074" t="inlineStr">
        <is>
          <t>4632447</t>
        </is>
      </c>
      <c r="K42" s="1074" t="inlineStr">
        <is>
          <t>报前测成绩</t>
        </is>
      </c>
      <c r="L42" s="1074" t="n">
        <v>80</v>
      </c>
      <c r="M42" s="1074" t="inlineStr">
        <is>
          <t>-</t>
        </is>
      </c>
      <c r="N42" s="1074" t="inlineStr">
        <is>
          <t>田雨涵01</t>
        </is>
      </c>
      <c r="O42" s="1074" t="inlineStr">
        <is>
          <t>教室5</t>
        </is>
      </c>
      <c r="P42" s="1074" t="inlineStr">
        <is>
          <t>10:20-12:30</t>
        </is>
      </c>
      <c r="Q42" s="1074" t="inlineStr">
        <is>
          <t>潜能班</t>
        </is>
      </c>
      <c r="R42" s="1074" t="inlineStr">
        <is>
          <t>三期</t>
        </is>
      </c>
      <c r="S42" s="1074" t="inlineStr">
        <is>
          <t>在读</t>
        </is>
      </c>
      <c r="T42" s="1074" t="inlineStr">
        <is>
          <t>-</t>
        </is>
      </c>
      <c r="U42" s="1074" t="inlineStr">
        <is>
          <t>5111226</t>
        </is>
      </c>
      <c r="V42" s="1074" t="n"/>
      <c r="W42" s="1074" t="inlineStr">
        <is>
          <t>李润</t>
        </is>
      </c>
      <c r="X42" s="1074" t="inlineStr">
        <is>
          <t>教室5</t>
        </is>
      </c>
      <c r="Y42" s="1074" t="inlineStr">
        <is>
          <t>15:50-18:00</t>
        </is>
      </c>
      <c r="Z42" s="1074" t="inlineStr">
        <is>
          <t>潜能班</t>
        </is>
      </c>
      <c r="AA42" s="1074" t="inlineStr">
        <is>
          <t>三期</t>
        </is>
      </c>
      <c r="AB42" s="1074" t="inlineStr">
        <is>
          <t>在读</t>
        </is>
      </c>
      <c r="AC42" s="1074" t="inlineStr">
        <is>
          <t>-</t>
        </is>
      </c>
      <c r="AD42" s="1074" t="inlineStr">
        <is>
          <t>4513388</t>
        </is>
      </c>
      <c r="AE42" s="1074" t="n"/>
      <c r="AF42" s="1074" t="inlineStr">
        <is>
          <t>肖锐03</t>
        </is>
      </c>
      <c r="AG42" s="1074" t="inlineStr">
        <is>
          <t>教室5</t>
        </is>
      </c>
      <c r="AH42" s="1074" t="inlineStr">
        <is>
          <t>13:20-15:30</t>
        </is>
      </c>
      <c r="AI42" s="1074" t="inlineStr">
        <is>
          <t>潜能班</t>
        </is>
      </c>
      <c r="AJ42" s="1074" t="inlineStr">
        <is>
          <t>三期</t>
        </is>
      </c>
      <c r="AK42" s="1074" t="inlineStr">
        <is>
          <t>在读</t>
        </is>
      </c>
      <c r="AL42" s="1074" t="inlineStr">
        <is>
          <t>-</t>
        </is>
      </c>
      <c r="AM42" s="1074" t="n"/>
      <c r="AN42" s="1074" t="n"/>
      <c r="AO42" s="1074" t="n"/>
      <c r="AP42" s="1074" t="n"/>
      <c r="AQ42" s="1074" t="n"/>
      <c r="AR42" s="1074" t="n"/>
      <c r="AS42" s="1074" t="n"/>
      <c r="AT42" s="311" t="n"/>
    </row>
    <row r="43" ht="26.25" customFormat="1" customHeight="1" s="366">
      <c r="A43" s="1074" t="inlineStr">
        <is>
          <t>新宝利</t>
        </is>
      </c>
      <c r="B43" s="1074" t="inlineStr">
        <is>
          <t>2528283945</t>
        </is>
      </c>
      <c r="C43" s="1074" t="inlineStr">
        <is>
          <t>薛家茹</t>
        </is>
      </c>
      <c r="D43" s="1074" t="inlineStr">
        <is>
          <t>杨林33</t>
        </is>
      </c>
      <c r="E43" s="1074" t="inlineStr">
        <is>
          <t>新生转介绍</t>
        </is>
      </c>
      <c r="F43" s="1074" t="n"/>
      <c r="G43" s="1074" t="inlineStr">
        <is>
          <t>林紫琪</t>
        </is>
      </c>
      <c r="H43" s="1074" t="inlineStr">
        <is>
          <t>在读</t>
        </is>
      </c>
      <c r="I43" s="1074" t="inlineStr">
        <is>
          <t>三期</t>
        </is>
      </c>
      <c r="J43" s="1074" t="inlineStr">
        <is>
          <t>4632447</t>
        </is>
      </c>
      <c r="K43" s="1074" t="inlineStr">
        <is>
          <t>报前测成绩</t>
        </is>
      </c>
      <c r="L43" s="1074" t="n">
        <v>70</v>
      </c>
      <c r="M43" s="1074" t="inlineStr">
        <is>
          <t>-</t>
        </is>
      </c>
      <c r="N43" s="1074" t="inlineStr">
        <is>
          <t>田雨涵01</t>
        </is>
      </c>
      <c r="O43" s="1074" t="inlineStr">
        <is>
          <t>教室5</t>
        </is>
      </c>
      <c r="P43" s="1074" t="inlineStr">
        <is>
          <t>10:20-12:30</t>
        </is>
      </c>
      <c r="Q43" s="1074" t="inlineStr">
        <is>
          <t>潜能班</t>
        </is>
      </c>
      <c r="R43" s="1074" t="inlineStr">
        <is>
          <t>三期</t>
        </is>
      </c>
      <c r="S43" s="1074" t="inlineStr">
        <is>
          <t>在读</t>
        </is>
      </c>
      <c r="T43" s="1074" t="inlineStr">
        <is>
          <t>-</t>
        </is>
      </c>
      <c r="U43" s="1074" t="inlineStr">
        <is>
          <t>5111226</t>
        </is>
      </c>
      <c r="V43" s="1074" t="n"/>
      <c r="W43" s="1074" t="inlineStr">
        <is>
          <t>李润</t>
        </is>
      </c>
      <c r="X43" s="1074" t="inlineStr">
        <is>
          <t>教室5</t>
        </is>
      </c>
      <c r="Y43" s="1074" t="inlineStr">
        <is>
          <t>15:50-18:00</t>
        </is>
      </c>
      <c r="Z43" s="1074" t="inlineStr">
        <is>
          <t>潜能班</t>
        </is>
      </c>
      <c r="AA43" s="1074" t="inlineStr">
        <is>
          <t>三期</t>
        </is>
      </c>
      <c r="AB43" s="1074" t="inlineStr">
        <is>
          <t>在读</t>
        </is>
      </c>
      <c r="AC43" s="1074" t="inlineStr">
        <is>
          <t>-</t>
        </is>
      </c>
      <c r="AD43" s="1074" t="inlineStr">
        <is>
          <t>4513388</t>
        </is>
      </c>
      <c r="AE43" s="1074" t="n"/>
      <c r="AF43" s="1074" t="inlineStr">
        <is>
          <t>肖锐03</t>
        </is>
      </c>
      <c r="AG43" s="1074" t="inlineStr">
        <is>
          <t>教室5</t>
        </is>
      </c>
      <c r="AH43" s="1074" t="inlineStr">
        <is>
          <t>13:20-15:30</t>
        </is>
      </c>
      <c r="AI43" s="1074" t="inlineStr">
        <is>
          <t>潜能班</t>
        </is>
      </c>
      <c r="AJ43" s="1074" t="inlineStr">
        <is>
          <t>三期</t>
        </is>
      </c>
      <c r="AK43" s="1074" t="inlineStr">
        <is>
          <t>在读</t>
        </is>
      </c>
      <c r="AL43" s="1074" t="inlineStr">
        <is>
          <t>-</t>
        </is>
      </c>
      <c r="AM43" s="1074" t="n"/>
      <c r="AN43" s="1074" t="n"/>
      <c r="AO43" s="1074" t="n"/>
      <c r="AP43" s="1074" t="n"/>
      <c r="AQ43" s="1074" t="n"/>
      <c r="AR43" s="1074" t="n"/>
      <c r="AS43" s="1074" t="n"/>
      <c r="AT43" s="311" t="n"/>
    </row>
    <row r="44" ht="26.25" customFormat="1" customHeight="1" s="366">
      <c r="A44" s="1074" t="inlineStr">
        <is>
          <t>新宝利</t>
        </is>
      </c>
      <c r="B44" s="1074" t="inlineStr">
        <is>
          <t>2570858260</t>
        </is>
      </c>
      <c r="C44" s="1074" t="inlineStr">
        <is>
          <t>黄思源</t>
        </is>
      </c>
      <c r="D44" s="1074" t="inlineStr">
        <is>
          <t>杨林33</t>
        </is>
      </c>
      <c r="E44" s="1074" t="inlineStr">
        <is>
          <t>纯拉新</t>
        </is>
      </c>
      <c r="F44" s="1074" t="n"/>
      <c r="G44" s="1074" t="n"/>
      <c r="H44" s="1074" t="inlineStr">
        <is>
          <t>在读</t>
        </is>
      </c>
      <c r="I44" s="1074" t="inlineStr">
        <is>
          <t>三期</t>
        </is>
      </c>
      <c r="J44" s="1074" t="inlineStr">
        <is>
          <t>4632447</t>
        </is>
      </c>
      <c r="K44" s="1074" t="inlineStr">
        <is>
          <t>校内成绩</t>
        </is>
      </c>
      <c r="L44" s="1074" t="n">
        <v>60</v>
      </c>
      <c r="M44" s="1074" t="n">
        <v>80</v>
      </c>
      <c r="N44" s="1074" t="inlineStr">
        <is>
          <t>田雨涵01</t>
        </is>
      </c>
      <c r="O44" s="1074" t="inlineStr">
        <is>
          <t>教室5</t>
        </is>
      </c>
      <c r="P44" s="1074" t="inlineStr">
        <is>
          <t>10:20-12:30</t>
        </is>
      </c>
      <c r="Q44" s="1074" t="inlineStr">
        <is>
          <t>潜能班</t>
        </is>
      </c>
      <c r="R44" s="1074" t="inlineStr">
        <is>
          <t>三期</t>
        </is>
      </c>
      <c r="S44" s="1074" t="inlineStr">
        <is>
          <t>在读</t>
        </is>
      </c>
      <c r="T44" s="1074" t="inlineStr">
        <is>
          <t>-</t>
        </is>
      </c>
      <c r="U44" s="1074" t="inlineStr">
        <is>
          <t>5111226</t>
        </is>
      </c>
      <c r="V44" s="1074" t="n"/>
      <c r="W44" s="1074" t="inlineStr">
        <is>
          <t>李润</t>
        </is>
      </c>
      <c r="X44" s="1074" t="inlineStr">
        <is>
          <t>教室5</t>
        </is>
      </c>
      <c r="Y44" s="1074" t="inlineStr">
        <is>
          <t>15:50-18:00</t>
        </is>
      </c>
      <c r="Z44" s="1074" t="inlineStr">
        <is>
          <t>潜能班</t>
        </is>
      </c>
      <c r="AA44" s="1074" t="inlineStr">
        <is>
          <t>三期</t>
        </is>
      </c>
      <c r="AB44" s="1074" t="inlineStr">
        <is>
          <t>在读</t>
        </is>
      </c>
      <c r="AC44" s="1074" t="inlineStr">
        <is>
          <t>-</t>
        </is>
      </c>
      <c r="AD44" s="1074" t="inlineStr">
        <is>
          <t>4513388</t>
        </is>
      </c>
      <c r="AE44" s="1074" t="n"/>
      <c r="AF44" s="1074" t="inlineStr">
        <is>
          <t>肖锐03</t>
        </is>
      </c>
      <c r="AG44" s="1074" t="inlineStr">
        <is>
          <t>教室5</t>
        </is>
      </c>
      <c r="AH44" s="1074" t="inlineStr">
        <is>
          <t>13:20-15:30</t>
        </is>
      </c>
      <c r="AI44" s="1074" t="inlineStr">
        <is>
          <t>潜能班</t>
        </is>
      </c>
      <c r="AJ44" s="1074" t="inlineStr">
        <is>
          <t>三期</t>
        </is>
      </c>
      <c r="AK44" s="1074" t="inlineStr">
        <is>
          <t>在读</t>
        </is>
      </c>
      <c r="AL44" s="1074" t="inlineStr">
        <is>
          <t>-</t>
        </is>
      </c>
      <c r="AM44" s="1074" t="n"/>
      <c r="AN44" s="1074" t="n"/>
      <c r="AO44" s="1074" t="n"/>
      <c r="AP44" s="1074" t="n"/>
      <c r="AQ44" s="1074" t="n"/>
      <c r="AR44" s="1074" t="n"/>
      <c r="AS44" s="1074" t="n"/>
      <c r="AT44" s="311" t="n"/>
    </row>
    <row r="45" ht="26.25" customFormat="1" customHeight="1" s="366">
      <c r="A45" s="1074" t="inlineStr">
        <is>
          <t>新宝利</t>
        </is>
      </c>
      <c r="B45" s="1074" t="inlineStr">
        <is>
          <t>4067417745</t>
        </is>
      </c>
      <c r="C45" s="1074" t="inlineStr">
        <is>
          <t>洋洋</t>
        </is>
      </c>
      <c r="D45" s="1074" t="inlineStr">
        <is>
          <t>杨林33</t>
        </is>
      </c>
      <c r="E45" s="1074" t="inlineStr">
        <is>
          <t>新生转介绍</t>
        </is>
      </c>
      <c r="F45" s="1074" t="n"/>
      <c r="G45" s="1074" t="inlineStr">
        <is>
          <t>戴圆圆</t>
        </is>
      </c>
      <c r="H45" s="1074" t="inlineStr">
        <is>
          <t>在读</t>
        </is>
      </c>
      <c r="I45" s="1074" t="inlineStr">
        <is>
          <t>二期</t>
        </is>
      </c>
      <c r="J45" s="1074" t="inlineStr">
        <is>
          <t>5111034</t>
        </is>
      </c>
      <c r="K45" s="1074" t="inlineStr">
        <is>
          <t>校内成绩</t>
        </is>
      </c>
      <c r="L45" s="1074" t="n">
        <v>60</v>
      </c>
      <c r="M45" s="1074" t="n">
        <v>80</v>
      </c>
      <c r="N45" s="1074" t="inlineStr">
        <is>
          <t>田雨涵01</t>
        </is>
      </c>
      <c r="O45" s="1074" t="inlineStr">
        <is>
          <t>教室4</t>
        </is>
      </c>
      <c r="P45" s="1074" t="inlineStr">
        <is>
          <t>13:20-15:30</t>
        </is>
      </c>
      <c r="Q45" s="1074" t="inlineStr">
        <is>
          <t>潜能班</t>
        </is>
      </c>
      <c r="R45" s="1074" t="inlineStr">
        <is>
          <t>二期</t>
        </is>
      </c>
      <c r="S45" s="1074" t="inlineStr">
        <is>
          <t>在读</t>
        </is>
      </c>
      <c r="T45" s="1074" t="inlineStr">
        <is>
          <t>-</t>
        </is>
      </c>
      <c r="U45" s="1074" t="inlineStr">
        <is>
          <t>4513342</t>
        </is>
      </c>
      <c r="V45" s="1074" t="n"/>
      <c r="W45" s="1074" t="inlineStr">
        <is>
          <t>黄铭怡</t>
        </is>
      </c>
      <c r="X45" s="1074" t="inlineStr">
        <is>
          <t>教室4</t>
        </is>
      </c>
      <c r="Y45" s="1074" t="inlineStr">
        <is>
          <t>10:20-12:30</t>
        </is>
      </c>
      <c r="Z45" s="1074" t="inlineStr">
        <is>
          <t>潜能班</t>
        </is>
      </c>
      <c r="AA45" s="1074" t="inlineStr">
        <is>
          <t>二期</t>
        </is>
      </c>
      <c r="AB45" s="1074" t="inlineStr">
        <is>
          <t>在读</t>
        </is>
      </c>
      <c r="AC45" s="1074" t="inlineStr">
        <is>
          <t>-</t>
        </is>
      </c>
      <c r="AD45" s="1074" t="inlineStr">
        <is>
          <t>4513340</t>
        </is>
      </c>
      <c r="AE45" s="1074" t="n"/>
      <c r="AF45" s="1074" t="inlineStr">
        <is>
          <t>高心怡04</t>
        </is>
      </c>
      <c r="AG45" s="1074" t="inlineStr">
        <is>
          <t>教室4</t>
        </is>
      </c>
      <c r="AH45" s="1074" t="inlineStr">
        <is>
          <t>15:50-18:00</t>
        </is>
      </c>
      <c r="AI45" s="1074" t="inlineStr">
        <is>
          <t>潜能班</t>
        </is>
      </c>
      <c r="AJ45" s="1074" t="inlineStr">
        <is>
          <t>二期</t>
        </is>
      </c>
      <c r="AK45" s="1074" t="inlineStr">
        <is>
          <t>在读</t>
        </is>
      </c>
      <c r="AL45" s="1074" t="inlineStr">
        <is>
          <t>-</t>
        </is>
      </c>
      <c r="AM45" s="1074" t="n"/>
      <c r="AN45" s="1074" t="n"/>
      <c r="AO45" s="1074" t="n"/>
      <c r="AP45" s="1074" t="n"/>
      <c r="AQ45" s="1074" t="n"/>
      <c r="AR45" s="1074" t="n"/>
      <c r="AS45" s="1074" t="n"/>
      <c r="AT45" s="311" t="n"/>
    </row>
    <row r="46" ht="26.25" customFormat="1" customHeight="1" s="366">
      <c r="A46" s="1074" t="inlineStr">
        <is>
          <t>新宝利</t>
        </is>
      </c>
      <c r="B46" s="1074" t="inlineStr">
        <is>
          <t>4380980083</t>
        </is>
      </c>
      <c r="C46" s="1074" t="inlineStr">
        <is>
          <t>彭心仪</t>
        </is>
      </c>
      <c r="D46" s="1074" t="inlineStr">
        <is>
          <t>张敏烨</t>
        </is>
      </c>
      <c r="E46" s="1074" t="inlineStr">
        <is>
          <t>新生转介绍</t>
        </is>
      </c>
      <c r="F46" s="1074" t="n"/>
      <c r="G46" s="1074" t="inlineStr">
        <is>
          <t>关雅致</t>
        </is>
      </c>
      <c r="H46" s="1074" t="inlineStr">
        <is>
          <t>在读</t>
        </is>
      </c>
      <c r="I46" s="1074" t="inlineStr">
        <is>
          <t>一期/二期</t>
        </is>
      </c>
      <c r="J46" s="1074" t="inlineStr">
        <is>
          <t>5230732</t>
        </is>
      </c>
      <c r="K46" s="1074" t="inlineStr">
        <is>
          <t>校内成绩</t>
        </is>
      </c>
      <c r="L46" s="1074" t="n">
        <v>88</v>
      </c>
      <c r="M46" s="1074" t="n">
        <v>98</v>
      </c>
      <c r="N46" s="1074" t="inlineStr">
        <is>
          <t>何咏04</t>
        </is>
      </c>
      <c r="O46" s="1074" t="inlineStr">
        <is>
          <t>教室3</t>
        </is>
      </c>
      <c r="P46" s="1074" t="inlineStr">
        <is>
          <t>10:30-12:40</t>
        </is>
      </c>
      <c r="Q46" s="1074" t="inlineStr">
        <is>
          <t>启能班</t>
        </is>
      </c>
      <c r="R46" s="1074" t="inlineStr">
        <is>
          <t>一期</t>
        </is>
      </c>
      <c r="S46" s="1074" t="inlineStr">
        <is>
          <t>在读</t>
        </is>
      </c>
      <c r="T46" s="1074" t="inlineStr">
        <is>
          <t>-</t>
        </is>
      </c>
      <c r="U46" s="1074" t="inlineStr">
        <is>
          <t>3132846</t>
        </is>
      </c>
      <c r="V46" s="1074" t="n"/>
      <c r="W46" s="1074" t="inlineStr">
        <is>
          <t>黄铭怡</t>
        </is>
      </c>
      <c r="X46" s="1074" t="inlineStr">
        <is>
          <t>教室3</t>
        </is>
      </c>
      <c r="Y46" s="1074" t="inlineStr">
        <is>
          <t>13:20-15:30</t>
        </is>
      </c>
      <c r="Z46" s="1074" t="inlineStr">
        <is>
          <t>潜能班</t>
        </is>
      </c>
      <c r="AA46" s="1074" t="inlineStr">
        <is>
          <t>二期</t>
        </is>
      </c>
      <c r="AB46" s="1074" t="inlineStr">
        <is>
          <t>在读</t>
        </is>
      </c>
      <c r="AC46" s="1074" t="inlineStr">
        <is>
          <t>-</t>
        </is>
      </c>
      <c r="AD46" s="1074" t="inlineStr">
        <is>
          <t>3132899</t>
        </is>
      </c>
      <c r="AE46" s="1074" t="n"/>
      <c r="AF46" s="1074" t="inlineStr">
        <is>
          <t>肖锐03</t>
        </is>
      </c>
      <c r="AG46" s="1074" t="inlineStr">
        <is>
          <t>教室3</t>
        </is>
      </c>
      <c r="AH46" s="1074" t="inlineStr">
        <is>
          <t>07:50-10:00</t>
        </is>
      </c>
      <c r="AI46" s="1074" t="inlineStr">
        <is>
          <t>潜能班</t>
        </is>
      </c>
      <c r="AJ46" s="1074" t="inlineStr">
        <is>
          <t>一期</t>
        </is>
      </c>
      <c r="AK46" s="1074" t="inlineStr">
        <is>
          <t>在读</t>
        </is>
      </c>
      <c r="AL46" s="1074" t="inlineStr">
        <is>
          <t>-</t>
        </is>
      </c>
      <c r="AM46" s="1074" t="n"/>
      <c r="AN46" s="1074" t="n"/>
      <c r="AO46" s="1074" t="n"/>
      <c r="AP46" s="1074" t="n"/>
      <c r="AQ46" s="1074" t="n"/>
      <c r="AR46" s="1074" t="n"/>
      <c r="AS46" s="1074" t="n"/>
      <c r="AT46" s="311" t="n"/>
    </row>
    <row r="47" ht="26.25" customFormat="1" customHeight="1" s="366">
      <c r="A47" s="1074" t="inlineStr">
        <is>
          <t>新宝利</t>
        </is>
      </c>
      <c r="B47" s="1074" t="inlineStr">
        <is>
          <t>2106962231</t>
        </is>
      </c>
      <c r="C47" s="1074" t="inlineStr">
        <is>
          <t>郑熙芸</t>
        </is>
      </c>
      <c r="D47" s="1074" t="inlineStr">
        <is>
          <t>王丽</t>
        </is>
      </c>
      <c r="E47" s="1074" t="inlineStr">
        <is>
          <t>纯拉新</t>
        </is>
      </c>
      <c r="F47" s="1074" t="n"/>
      <c r="G47" s="1074" t="n"/>
      <c r="H47" s="1074" t="inlineStr">
        <is>
          <t>在读</t>
        </is>
      </c>
      <c r="I47" s="1074" t="inlineStr">
        <is>
          <t>三期</t>
        </is>
      </c>
      <c r="J47" s="1074" t="inlineStr">
        <is>
          <t>4632447</t>
        </is>
      </c>
      <c r="K47" s="1074" t="inlineStr">
        <is>
          <t>报前测成绩</t>
        </is>
      </c>
      <c r="L47" s="1074" t="n">
        <v>95</v>
      </c>
      <c r="M47" s="1074" t="inlineStr">
        <is>
          <t>-</t>
        </is>
      </c>
      <c r="N47" s="1074" t="inlineStr">
        <is>
          <t>田雨涵01</t>
        </is>
      </c>
      <c r="O47" s="1074" t="inlineStr">
        <is>
          <t>教室5</t>
        </is>
      </c>
      <c r="P47" s="1074" t="inlineStr">
        <is>
          <t>10:20-12:30</t>
        </is>
      </c>
      <c r="Q47" s="1074" t="inlineStr">
        <is>
          <t>潜能班</t>
        </is>
      </c>
      <c r="R47" s="1074" t="inlineStr">
        <is>
          <t>三期</t>
        </is>
      </c>
      <c r="S47" s="1074" t="inlineStr">
        <is>
          <t>在读</t>
        </is>
      </c>
      <c r="T47" s="1074" t="inlineStr">
        <is>
          <t>-</t>
        </is>
      </c>
      <c r="U47" s="1074" t="inlineStr">
        <is>
          <t>5111226</t>
        </is>
      </c>
      <c r="V47" s="1074" t="n"/>
      <c r="W47" s="1074" t="inlineStr">
        <is>
          <t>李润</t>
        </is>
      </c>
      <c r="X47" s="1074" t="inlineStr">
        <is>
          <t>教室5</t>
        </is>
      </c>
      <c r="Y47" s="1074" t="inlineStr">
        <is>
          <t>15:50-18:00</t>
        </is>
      </c>
      <c r="Z47" s="1074" t="inlineStr">
        <is>
          <t>潜能班</t>
        </is>
      </c>
      <c r="AA47" s="1074" t="inlineStr">
        <is>
          <t>三期</t>
        </is>
      </c>
      <c r="AB47" s="1074" t="inlineStr">
        <is>
          <t>在读</t>
        </is>
      </c>
      <c r="AC47" s="1074" t="inlineStr">
        <is>
          <t>-</t>
        </is>
      </c>
      <c r="AD47" s="1074" t="inlineStr">
        <is>
          <t>4513388</t>
        </is>
      </c>
      <c r="AE47" s="1074" t="n"/>
      <c r="AF47" s="1074" t="inlineStr">
        <is>
          <t>肖锐03</t>
        </is>
      </c>
      <c r="AG47" s="1074" t="inlineStr">
        <is>
          <t>教室5</t>
        </is>
      </c>
      <c r="AH47" s="1074" t="inlineStr">
        <is>
          <t>13:20-15:30</t>
        </is>
      </c>
      <c r="AI47" s="1074" t="inlineStr">
        <is>
          <t>潜能班</t>
        </is>
      </c>
      <c r="AJ47" s="1074" t="inlineStr">
        <is>
          <t>三期</t>
        </is>
      </c>
      <c r="AK47" s="1074" t="inlineStr">
        <is>
          <t>在读</t>
        </is>
      </c>
      <c r="AL47" s="1074" t="inlineStr">
        <is>
          <t>-</t>
        </is>
      </c>
      <c r="AM47" s="1074" t="n"/>
      <c r="AN47" s="1074" t="n"/>
      <c r="AO47" s="1074" t="n"/>
      <c r="AP47" s="1074" t="n"/>
      <c r="AQ47" s="1074" t="n"/>
      <c r="AR47" s="1074" t="n"/>
      <c r="AS47" s="1074" t="n"/>
      <c r="AT47" s="311" t="n"/>
    </row>
    <row r="48" ht="26.25" customFormat="1" customHeight="1" s="366">
      <c r="A48" s="1074" t="inlineStr">
        <is>
          <t>新宝利</t>
        </is>
      </c>
      <c r="B48" s="1074" t="inlineStr">
        <is>
          <t>2608985563</t>
        </is>
      </c>
      <c r="C48" s="1074" t="inlineStr">
        <is>
          <t>朱美如</t>
        </is>
      </c>
      <c r="D48" s="1074" t="inlineStr">
        <is>
          <t>林志豪01</t>
        </is>
      </c>
      <c r="E48" s="1074" t="inlineStr">
        <is>
          <t>纯拉新</t>
        </is>
      </c>
      <c r="F48" s="1074" t="n"/>
      <c r="G48" s="1074" t="n"/>
      <c r="H48" s="1074" t="inlineStr">
        <is>
          <t>在读</t>
        </is>
      </c>
      <c r="I48" s="1074" t="inlineStr">
        <is>
          <t>二期</t>
        </is>
      </c>
      <c r="J48" s="1074" t="inlineStr">
        <is>
          <t>5111034</t>
        </is>
      </c>
      <c r="K48" s="1074" t="inlineStr">
        <is>
          <t>校内成绩</t>
        </is>
      </c>
      <c r="L48" s="1074" t="n">
        <v>72</v>
      </c>
      <c r="M48" s="1074" t="n">
        <v>90</v>
      </c>
      <c r="N48" s="1074" t="inlineStr">
        <is>
          <t>田雨涵01</t>
        </is>
      </c>
      <c r="O48" s="1074" t="inlineStr">
        <is>
          <t>教室4</t>
        </is>
      </c>
      <c r="P48" s="1074" t="inlineStr">
        <is>
          <t>13:20-15:30</t>
        </is>
      </c>
      <c r="Q48" s="1074" t="inlineStr">
        <is>
          <t>潜能班</t>
        </is>
      </c>
      <c r="R48" s="1074" t="inlineStr">
        <is>
          <t>二期</t>
        </is>
      </c>
      <c r="S48" s="1074" t="inlineStr">
        <is>
          <t>在读</t>
        </is>
      </c>
      <c r="T48" s="1074" t="inlineStr">
        <is>
          <t>-</t>
        </is>
      </c>
      <c r="U48" s="1074" t="inlineStr">
        <is>
          <t>-</t>
        </is>
      </c>
      <c r="V48" s="1074" t="inlineStr"/>
      <c r="W48" s="1074" t="inlineStr">
        <is>
          <t>-</t>
        </is>
      </c>
      <c r="X48" s="1074" t="inlineStr">
        <is>
          <t>-</t>
        </is>
      </c>
      <c r="Y48" s="1074" t="inlineStr">
        <is>
          <t>-</t>
        </is>
      </c>
      <c r="Z48" s="1074" t="inlineStr">
        <is>
          <t>-</t>
        </is>
      </c>
      <c r="AA48" s="1074" t="inlineStr">
        <is>
          <t>-</t>
        </is>
      </c>
      <c r="AB48" s="1074" t="inlineStr">
        <is>
          <t>-</t>
        </is>
      </c>
      <c r="AC48" s="1074" t="inlineStr">
        <is>
          <t>-</t>
        </is>
      </c>
      <c r="AD48" s="1074" t="inlineStr">
        <is>
          <t>4513340</t>
        </is>
      </c>
      <c r="AE48" s="1074" t="n"/>
      <c r="AF48" s="1074" t="inlineStr">
        <is>
          <t>高心怡04</t>
        </is>
      </c>
      <c r="AG48" s="1074" t="inlineStr">
        <is>
          <t>教室4</t>
        </is>
      </c>
      <c r="AH48" s="1074" t="inlineStr">
        <is>
          <t>15:50-18:00</t>
        </is>
      </c>
      <c r="AI48" s="1074" t="inlineStr">
        <is>
          <t>潜能班</t>
        </is>
      </c>
      <c r="AJ48" s="1074" t="inlineStr">
        <is>
          <t>二期</t>
        </is>
      </c>
      <c r="AK48" s="1074" t="inlineStr">
        <is>
          <t>在读</t>
        </is>
      </c>
      <c r="AL48" s="1074" t="inlineStr">
        <is>
          <t>-</t>
        </is>
      </c>
      <c r="AM48" s="1074" t="n"/>
      <c r="AN48" s="1074" t="n"/>
      <c r="AO48" s="1074" t="n"/>
      <c r="AP48" s="1074" t="n"/>
      <c r="AQ48" s="1074" t="n"/>
      <c r="AR48" s="1074" t="n"/>
      <c r="AS48" s="1074" t="n"/>
      <c r="AT48" s="311" t="n"/>
    </row>
    <row r="49" ht="26.25" customFormat="1" customHeight="1" s="366">
      <c r="A49" s="1074" t="inlineStr">
        <is>
          <t>新宝利</t>
        </is>
      </c>
      <c r="B49" s="1074" t="inlineStr">
        <is>
          <t>4055863669</t>
        </is>
      </c>
      <c r="C49" s="1074" t="inlineStr">
        <is>
          <t>聂志浩</t>
        </is>
      </c>
      <c r="D49" s="1074" t="inlineStr">
        <is>
          <t>张敏烨</t>
        </is>
      </c>
      <c r="E49" s="1074" t="inlineStr">
        <is>
          <t>纯拉新</t>
        </is>
      </c>
      <c r="F49" s="1074" t="n"/>
      <c r="G49" s="1074" t="n"/>
      <c r="H49" s="1074" t="inlineStr">
        <is>
          <t>在读</t>
        </is>
      </c>
      <c r="I49" s="1074" t="inlineStr">
        <is>
          <t>三期</t>
        </is>
      </c>
      <c r="J49" s="1074" t="inlineStr">
        <is>
          <t>4632447</t>
        </is>
      </c>
      <c r="K49" s="1074" t="inlineStr">
        <is>
          <t>校内成绩</t>
        </is>
      </c>
      <c r="L49" s="1074" t="n">
        <v>64</v>
      </c>
      <c r="M49" s="1074" t="n">
        <v>85</v>
      </c>
      <c r="N49" s="1074" t="inlineStr">
        <is>
          <t>田雨涵01</t>
        </is>
      </c>
      <c r="O49" s="1074" t="inlineStr">
        <is>
          <t>教室5</t>
        </is>
      </c>
      <c r="P49" s="1074" t="inlineStr">
        <is>
          <t>10:20-12:30</t>
        </is>
      </c>
      <c r="Q49" s="1074" t="inlineStr">
        <is>
          <t>潜能班</t>
        </is>
      </c>
      <c r="R49" s="1074" t="inlineStr">
        <is>
          <t>三期</t>
        </is>
      </c>
      <c r="S49" s="1074" t="inlineStr">
        <is>
          <t>在读</t>
        </is>
      </c>
      <c r="T49" s="1074" t="inlineStr">
        <is>
          <t>-</t>
        </is>
      </c>
      <c r="U49" s="1074" t="inlineStr">
        <is>
          <t>5111226</t>
        </is>
      </c>
      <c r="V49" s="1074" t="n"/>
      <c r="W49" s="1074" t="inlineStr">
        <is>
          <t>李润</t>
        </is>
      </c>
      <c r="X49" s="1074" t="inlineStr">
        <is>
          <t>教室5</t>
        </is>
      </c>
      <c r="Y49" s="1074" t="inlineStr">
        <is>
          <t>15:50-18:00</t>
        </is>
      </c>
      <c r="Z49" s="1074" t="inlineStr">
        <is>
          <t>潜能班</t>
        </is>
      </c>
      <c r="AA49" s="1074" t="inlineStr">
        <is>
          <t>三期</t>
        </is>
      </c>
      <c r="AB49" s="1074" t="inlineStr">
        <is>
          <t>在读</t>
        </is>
      </c>
      <c r="AC49" s="1074" t="inlineStr">
        <is>
          <t>-</t>
        </is>
      </c>
      <c r="AD49" s="1074" t="inlineStr">
        <is>
          <t>4513388</t>
        </is>
      </c>
      <c r="AE49" s="1074" t="n"/>
      <c r="AF49" s="1074" t="inlineStr">
        <is>
          <t>肖锐03</t>
        </is>
      </c>
      <c r="AG49" s="1074" t="inlineStr">
        <is>
          <t>教室5</t>
        </is>
      </c>
      <c r="AH49" s="1074" t="inlineStr">
        <is>
          <t>13:20-15:30</t>
        </is>
      </c>
      <c r="AI49" s="1074" t="inlineStr">
        <is>
          <t>潜能班</t>
        </is>
      </c>
      <c r="AJ49" s="1074" t="inlineStr">
        <is>
          <t>三期</t>
        </is>
      </c>
      <c r="AK49" s="1074" t="inlineStr">
        <is>
          <t>在读</t>
        </is>
      </c>
      <c r="AL49" s="1074" t="inlineStr">
        <is>
          <t>-</t>
        </is>
      </c>
      <c r="AM49" s="1074" t="n"/>
      <c r="AN49" s="1074" t="n"/>
      <c r="AO49" s="1074" t="n"/>
      <c r="AP49" s="1074" t="n"/>
      <c r="AQ49" s="1074" t="n"/>
      <c r="AR49" s="1074" t="n"/>
      <c r="AS49" s="1074" t="n"/>
      <c r="AT49" s="311" t="n"/>
    </row>
    <row r="50" ht="26.25" customFormat="1" customHeight="1" s="366">
      <c r="A50" s="1074" t="inlineStr">
        <is>
          <t>同创汇</t>
        </is>
      </c>
      <c r="B50" s="1074" t="inlineStr">
        <is>
          <t>2566532002</t>
        </is>
      </c>
      <c r="C50" s="1074" t="inlineStr">
        <is>
          <t>兰美熙</t>
        </is>
      </c>
      <c r="D50" s="1074" t="inlineStr">
        <is>
          <t>张敏烨</t>
        </is>
      </c>
      <c r="E50" s="1074" t="inlineStr">
        <is>
          <t>新生转介绍</t>
        </is>
      </c>
      <c r="F50" s="1074" t="n"/>
      <c r="G50" s="1074" t="inlineStr">
        <is>
          <t>顾玉瑶</t>
        </is>
      </c>
      <c r="H50" s="1074" t="inlineStr">
        <is>
          <t>在读</t>
        </is>
      </c>
      <c r="I50" s="1074" t="inlineStr">
        <is>
          <t>零期</t>
        </is>
      </c>
      <c r="J50" s="1074" t="inlineStr">
        <is>
          <t>5230806</t>
        </is>
      </c>
      <c r="K50" s="1074" t="inlineStr">
        <is>
          <t>校内成绩</t>
        </is>
      </c>
      <c r="L50" s="1074" t="n">
        <v>64</v>
      </c>
      <c r="M50" s="1074" t="n">
        <v>85</v>
      </c>
      <c r="N50" s="1074" t="inlineStr">
        <is>
          <t>田雨涵01</t>
        </is>
      </c>
      <c r="O50" s="1074" t="inlineStr">
        <is>
          <t>03识海阁</t>
        </is>
      </c>
      <c r="P50" s="1074" t="inlineStr">
        <is>
          <t>10:20-12:30</t>
        </is>
      </c>
      <c r="Q50" s="1074" t="inlineStr">
        <is>
          <t>潜能班</t>
        </is>
      </c>
      <c r="R50" s="1074" t="inlineStr">
        <is>
          <t>零期</t>
        </is>
      </c>
      <c r="S50" s="1074" t="inlineStr">
        <is>
          <t>在读</t>
        </is>
      </c>
      <c r="T50" s="1074" t="inlineStr">
        <is>
          <t>-</t>
        </is>
      </c>
      <c r="U50" s="1074" t="inlineStr">
        <is>
          <t>5170872</t>
        </is>
      </c>
      <c r="V50" s="1074" t="n"/>
      <c r="W50" s="1074" t="inlineStr">
        <is>
          <t>陈南05</t>
        </is>
      </c>
      <c r="X50" s="1074" t="inlineStr">
        <is>
          <t>03识海阁</t>
        </is>
      </c>
      <c r="Y50" s="1074" t="inlineStr">
        <is>
          <t>13:20-15:30</t>
        </is>
      </c>
      <c r="Z50" s="1074" t="inlineStr">
        <is>
          <t>潜能班</t>
        </is>
      </c>
      <c r="AA50" s="1074" t="inlineStr">
        <is>
          <t>零期</t>
        </is>
      </c>
      <c r="AB50" s="1074" t="inlineStr">
        <is>
          <t>在读</t>
        </is>
      </c>
      <c r="AC50" s="1074" t="inlineStr">
        <is>
          <t>-</t>
        </is>
      </c>
      <c r="AD50" s="1074" t="inlineStr">
        <is>
          <t>3132865</t>
        </is>
      </c>
      <c r="AE50" s="1074" t="n"/>
      <c r="AF50" s="1074" t="inlineStr">
        <is>
          <t>刘希子</t>
        </is>
      </c>
      <c r="AG50" s="1074" t="inlineStr">
        <is>
          <t>03识海阁</t>
        </is>
      </c>
      <c r="AH50" s="1074" t="inlineStr">
        <is>
          <t>15:50-18:00</t>
        </is>
      </c>
      <c r="AI50" s="1074" t="inlineStr">
        <is>
          <t>潜能班</t>
        </is>
      </c>
      <c r="AJ50" s="1074" t="inlineStr">
        <is>
          <t>零期</t>
        </is>
      </c>
      <c r="AK50" s="1074" t="inlineStr">
        <is>
          <t>在读</t>
        </is>
      </c>
      <c r="AL50" s="1074" t="inlineStr">
        <is>
          <t>-</t>
        </is>
      </c>
      <c r="AM50" s="1074" t="inlineStr">
        <is>
          <t>是</t>
        </is>
      </c>
      <c r="AN50" s="1074" t="inlineStr">
        <is>
          <t>否</t>
        </is>
      </c>
      <c r="AO50" s="1074" t="inlineStr">
        <is>
          <t>否</t>
        </is>
      </c>
      <c r="AP50" s="1074" t="n"/>
      <c r="AQ50" s="1074" t="n"/>
      <c r="AR50" s="1074" t="n"/>
      <c r="AS50" s="1074" t="n"/>
      <c r="AT50" s="311" t="n"/>
    </row>
    <row r="51" ht="26.25" customFormat="1" customHeight="1" s="366">
      <c r="A51" s="1074" t="inlineStr">
        <is>
          <t>新宝利</t>
        </is>
      </c>
      <c r="B51" s="1074" t="inlineStr">
        <is>
          <t>4856085159</t>
        </is>
      </c>
      <c r="C51" s="1074" t="inlineStr">
        <is>
          <t>林正越</t>
        </is>
      </c>
      <c r="D51" s="1074" t="inlineStr">
        <is>
          <t>张敏烨</t>
        </is>
      </c>
      <c r="E51" s="1074" t="inlineStr">
        <is>
          <t>新生转介绍</t>
        </is>
      </c>
      <c r="F51" s="1074" t="n"/>
      <c r="G51" s="1074" t="inlineStr">
        <is>
          <t>谢皓霖</t>
        </is>
      </c>
      <c r="H51" s="1074" t="inlineStr">
        <is>
          <t>在读</t>
        </is>
      </c>
      <c r="I51" s="1074" t="inlineStr">
        <is>
          <t>三期</t>
        </is>
      </c>
      <c r="J51" s="1074" t="inlineStr">
        <is>
          <t>4632447</t>
        </is>
      </c>
      <c r="K51" s="1074" t="inlineStr">
        <is>
          <t>校内成绩</t>
        </is>
      </c>
      <c r="L51" s="1074" t="n">
        <v>60</v>
      </c>
      <c r="M51" s="1074" t="n">
        <v>80</v>
      </c>
      <c r="N51" s="1074" t="inlineStr">
        <is>
          <t>田雨涵01</t>
        </is>
      </c>
      <c r="O51" s="1074" t="inlineStr">
        <is>
          <t>教室5</t>
        </is>
      </c>
      <c r="P51" s="1074" t="inlineStr">
        <is>
          <t>10:20-12:30</t>
        </is>
      </c>
      <c r="Q51" s="1074" t="inlineStr">
        <is>
          <t>潜能班</t>
        </is>
      </c>
      <c r="R51" s="1074" t="inlineStr">
        <is>
          <t>三期</t>
        </is>
      </c>
      <c r="S51" s="1074" t="inlineStr">
        <is>
          <t>在读</t>
        </is>
      </c>
      <c r="T51" s="1074" t="inlineStr">
        <is>
          <t>-</t>
        </is>
      </c>
      <c r="U51" s="1074" t="inlineStr">
        <is>
          <t>5111226</t>
        </is>
      </c>
      <c r="V51" s="1074" t="n"/>
      <c r="W51" s="1074" t="inlineStr">
        <is>
          <t>李润</t>
        </is>
      </c>
      <c r="X51" s="1074" t="inlineStr">
        <is>
          <t>教室5</t>
        </is>
      </c>
      <c r="Y51" s="1074" t="inlineStr">
        <is>
          <t>15:50-18:00</t>
        </is>
      </c>
      <c r="Z51" s="1074" t="inlineStr">
        <is>
          <t>潜能班</t>
        </is>
      </c>
      <c r="AA51" s="1074" t="inlineStr">
        <is>
          <t>三期</t>
        </is>
      </c>
      <c r="AB51" s="1074" t="inlineStr">
        <is>
          <t>在读</t>
        </is>
      </c>
      <c r="AC51" s="1074" t="inlineStr">
        <is>
          <t>-</t>
        </is>
      </c>
      <c r="AD51" s="1074" t="inlineStr">
        <is>
          <t>4513388</t>
        </is>
      </c>
      <c r="AE51" s="1074" t="n"/>
      <c r="AF51" s="1074" t="inlineStr">
        <is>
          <t>肖锐03</t>
        </is>
      </c>
      <c r="AG51" s="1074" t="inlineStr">
        <is>
          <t>教室5</t>
        </is>
      </c>
      <c r="AH51" s="1074" t="inlineStr">
        <is>
          <t>13:20-15:30</t>
        </is>
      </c>
      <c r="AI51" s="1074" t="inlineStr">
        <is>
          <t>潜能班</t>
        </is>
      </c>
      <c r="AJ51" s="1074" t="inlineStr">
        <is>
          <t>三期</t>
        </is>
      </c>
      <c r="AK51" s="1074" t="inlineStr">
        <is>
          <t>在读</t>
        </is>
      </c>
      <c r="AL51" s="1074" t="inlineStr">
        <is>
          <t>-</t>
        </is>
      </c>
      <c r="AM51" s="1074" t="n"/>
      <c r="AN51" s="1074" t="n"/>
      <c r="AO51" s="1074" t="n"/>
      <c r="AP51" s="1074" t="n"/>
      <c r="AQ51" s="1074" t="n"/>
      <c r="AR51" s="1074" t="n"/>
      <c r="AS51" s="1074" t="n"/>
      <c r="AT51" s="311" t="n"/>
    </row>
    <row r="52" ht="26.25" customFormat="1" customHeight="1" s="366">
      <c r="A52" s="1074" t="inlineStr">
        <is>
          <t>新宝利</t>
        </is>
      </c>
      <c r="B52" s="1074" t="inlineStr">
        <is>
          <t>2716091722</t>
        </is>
      </c>
      <c r="C52" s="1074" t="inlineStr">
        <is>
          <t>唐羽芯</t>
        </is>
      </c>
      <c r="D52" s="1074" t="inlineStr">
        <is>
          <t>林志豪01</t>
        </is>
      </c>
      <c r="E52" s="1074" t="inlineStr">
        <is>
          <t>新生转介绍</t>
        </is>
      </c>
      <c r="F52" s="1074" t="n"/>
      <c r="G52" s="1074" t="inlineStr">
        <is>
          <t>刘子填</t>
        </is>
      </c>
      <c r="H52" s="1074" t="inlineStr">
        <is>
          <t>在读</t>
        </is>
      </c>
      <c r="I52" s="1074" t="inlineStr">
        <is>
          <t>零期</t>
        </is>
      </c>
      <c r="J52" s="1074" t="inlineStr">
        <is>
          <t>3132884</t>
        </is>
      </c>
      <c r="K52" s="1074" t="inlineStr">
        <is>
          <t>校内成绩</t>
        </is>
      </c>
      <c r="L52" s="1074" t="n">
        <v>60</v>
      </c>
      <c r="M52" s="1074" t="n">
        <v>80</v>
      </c>
      <c r="N52" s="1074" t="inlineStr">
        <is>
          <t>田雨涵01</t>
        </is>
      </c>
      <c r="O52" s="1074" t="inlineStr">
        <is>
          <t>教室3</t>
        </is>
      </c>
      <c r="P52" s="1074" t="inlineStr">
        <is>
          <t>13:20-15:30</t>
        </is>
      </c>
      <c r="Q52" s="1074" t="inlineStr">
        <is>
          <t>潜能班</t>
        </is>
      </c>
      <c r="R52" s="1074" t="inlineStr">
        <is>
          <t>零期</t>
        </is>
      </c>
      <c r="S52" s="1074" t="inlineStr">
        <is>
          <t>在读</t>
        </is>
      </c>
      <c r="T52" s="1074" t="inlineStr">
        <is>
          <t>-</t>
        </is>
      </c>
      <c r="U52" s="1074" t="inlineStr">
        <is>
          <t>4513265</t>
        </is>
      </c>
      <c r="V52" s="1074" t="n"/>
      <c r="W52" s="1074" t="inlineStr">
        <is>
          <t>李润</t>
        </is>
      </c>
      <c r="X52" s="1074" t="inlineStr">
        <is>
          <t>教室3</t>
        </is>
      </c>
      <c r="Y52" s="1074" t="inlineStr">
        <is>
          <t>10:20-12:30</t>
        </is>
      </c>
      <c r="Z52" s="1074" t="inlineStr">
        <is>
          <t>潜能班</t>
        </is>
      </c>
      <c r="AA52" s="1074" t="inlineStr">
        <is>
          <t>零期</t>
        </is>
      </c>
      <c r="AB52" s="1074" t="inlineStr">
        <is>
          <t>在读</t>
        </is>
      </c>
      <c r="AC52" s="1074" t="inlineStr">
        <is>
          <t>-</t>
        </is>
      </c>
      <c r="AD52" s="1074" t="inlineStr">
        <is>
          <t>5230723</t>
        </is>
      </c>
      <c r="AE52" s="1074" t="n"/>
      <c r="AF52" s="1074" t="inlineStr">
        <is>
          <t>肖锐03</t>
        </is>
      </c>
      <c r="AG52" s="1074" t="inlineStr">
        <is>
          <t>教室3</t>
        </is>
      </c>
      <c r="AH52" s="1074" t="inlineStr">
        <is>
          <t>15:50-18:00</t>
        </is>
      </c>
      <c r="AI52" s="1074" t="inlineStr">
        <is>
          <t>潜能班</t>
        </is>
      </c>
      <c r="AJ52" s="1074" t="inlineStr">
        <is>
          <t>零期</t>
        </is>
      </c>
      <c r="AK52" s="1074" t="inlineStr">
        <is>
          <t>在读</t>
        </is>
      </c>
      <c r="AL52" s="1074" t="inlineStr">
        <is>
          <t>是</t>
        </is>
      </c>
      <c r="AM52" s="1074" t="inlineStr">
        <is>
          <t>是</t>
        </is>
      </c>
      <c r="AN52" s="1074" t="inlineStr">
        <is>
          <t>是</t>
        </is>
      </c>
      <c r="AO52" s="1074" t="inlineStr">
        <is>
          <t>否</t>
        </is>
      </c>
      <c r="AP52" s="1074" t="n"/>
      <c r="AQ52" s="1074" t="n"/>
      <c r="AR52" s="1074" t="n"/>
      <c r="AS52" s="1074" t="n"/>
      <c r="AT52" s="311" t="n"/>
    </row>
    <row r="53" ht="26.25" customFormat="1" customHeight="1" s="366">
      <c r="A53" s="1074" t="inlineStr">
        <is>
          <t>新宝利</t>
        </is>
      </c>
      <c r="B53" s="1074" t="inlineStr">
        <is>
          <t>4638864572</t>
        </is>
      </c>
      <c r="C53" s="1074" t="inlineStr">
        <is>
          <t>马邦耀</t>
        </is>
      </c>
      <c r="D53" s="1074" t="inlineStr">
        <is>
          <t>沈思浩</t>
        </is>
      </c>
      <c r="E53" s="1074" t="inlineStr">
        <is>
          <t>新生转介绍</t>
        </is>
      </c>
      <c r="F53" s="1074" t="n"/>
      <c r="G53" s="1074" t="inlineStr">
        <is>
          <t>巴子轩</t>
        </is>
      </c>
      <c r="H53" s="1074" t="inlineStr">
        <is>
          <t>在读</t>
        </is>
      </c>
      <c r="I53" s="1074" t="inlineStr">
        <is>
          <t>零期</t>
        </is>
      </c>
      <c r="J53" s="1074" t="inlineStr">
        <is>
          <t>3132884</t>
        </is>
      </c>
      <c r="K53" s="1074" t="inlineStr">
        <is>
          <t>校内成绩</t>
        </is>
      </c>
      <c r="L53" s="1074" t="n">
        <v>72</v>
      </c>
      <c r="M53" s="1074" t="n">
        <v>90</v>
      </c>
      <c r="N53" s="1074" t="inlineStr">
        <is>
          <t>田雨涵01</t>
        </is>
      </c>
      <c r="O53" s="1074" t="inlineStr">
        <is>
          <t>教室3</t>
        </is>
      </c>
      <c r="P53" s="1074" t="inlineStr">
        <is>
          <t>13:20-15:30</t>
        </is>
      </c>
      <c r="Q53" s="1074" t="inlineStr">
        <is>
          <t>潜能班</t>
        </is>
      </c>
      <c r="R53" s="1074" t="inlineStr">
        <is>
          <t>零期</t>
        </is>
      </c>
      <c r="S53" s="1074" t="inlineStr">
        <is>
          <t>在读</t>
        </is>
      </c>
      <c r="T53" s="1074" t="inlineStr">
        <is>
          <t>-</t>
        </is>
      </c>
      <c r="U53" s="1074" t="inlineStr">
        <is>
          <t>3132859</t>
        </is>
      </c>
      <c r="V53" s="1074" t="n"/>
      <c r="W53" s="1074" t="inlineStr">
        <is>
          <t>黄铭怡</t>
        </is>
      </c>
      <c r="X53" s="1074" t="inlineStr">
        <is>
          <t>教室2</t>
        </is>
      </c>
      <c r="Y53" s="1074" t="inlineStr">
        <is>
          <t>10:20-12:30</t>
        </is>
      </c>
      <c r="Z53" s="1074" t="inlineStr">
        <is>
          <t>潜能班</t>
        </is>
      </c>
      <c r="AA53" s="1074" t="inlineStr">
        <is>
          <t>零期</t>
        </is>
      </c>
      <c r="AB53" s="1074" t="inlineStr">
        <is>
          <t>在读</t>
        </is>
      </c>
      <c r="AC53" s="1074" t="inlineStr">
        <is>
          <t>-</t>
        </is>
      </c>
      <c r="AD53" s="1074" t="inlineStr">
        <is>
          <t>5230723</t>
        </is>
      </c>
      <c r="AE53" s="1074" t="n"/>
      <c r="AF53" s="1074" t="inlineStr">
        <is>
          <t>肖锐03</t>
        </is>
      </c>
      <c r="AG53" s="1074" t="inlineStr">
        <is>
          <t>教室3</t>
        </is>
      </c>
      <c r="AH53" s="1074" t="inlineStr">
        <is>
          <t>15:50-18:00</t>
        </is>
      </c>
      <c r="AI53" s="1074" t="inlineStr">
        <is>
          <t>潜能班</t>
        </is>
      </c>
      <c r="AJ53" s="1074" t="inlineStr">
        <is>
          <t>零期</t>
        </is>
      </c>
      <c r="AK53" s="1074" t="inlineStr">
        <is>
          <t>在读</t>
        </is>
      </c>
      <c r="AL53" s="1074" t="inlineStr">
        <is>
          <t>-</t>
        </is>
      </c>
      <c r="AM53" s="1074" t="inlineStr">
        <is>
          <t>是</t>
        </is>
      </c>
      <c r="AN53" s="1074" t="inlineStr">
        <is>
          <t>是</t>
        </is>
      </c>
      <c r="AO53" s="1074" t="inlineStr">
        <is>
          <t>是</t>
        </is>
      </c>
      <c r="AP53" s="1074" t="inlineStr">
        <is>
          <t>否</t>
        </is>
      </c>
      <c r="AQ53" s="1074" t="n"/>
      <c r="AR53" s="1074" t="inlineStr">
        <is>
          <t>B</t>
        </is>
      </c>
      <c r="AS53" s="1074" t="inlineStr">
        <is>
          <t>家长在群里很活跃，但是私聊的时候微信不回复电话不接</t>
        </is>
      </c>
      <c r="AT53" s="311" t="n"/>
    </row>
    <row r="54" ht="26.25" customFormat="1" customHeight="1" s="366">
      <c r="A54" s="1074" t="inlineStr">
        <is>
          <t>新宝利</t>
        </is>
      </c>
      <c r="B54" s="1074" t="inlineStr">
        <is>
          <t>4854640403</t>
        </is>
      </c>
      <c r="C54" s="1074" t="inlineStr">
        <is>
          <t>李浩林</t>
        </is>
      </c>
      <c r="D54" s="1074" t="inlineStr">
        <is>
          <t>林志豪01</t>
        </is>
      </c>
      <c r="E54" s="1074" t="inlineStr">
        <is>
          <t>纯拉新</t>
        </is>
      </c>
      <c r="F54" s="1074" t="n"/>
      <c r="G54" s="1074" t="n"/>
      <c r="H54" s="1074" t="inlineStr">
        <is>
          <t>在读</t>
        </is>
      </c>
      <c r="I54" s="1074" t="inlineStr">
        <is>
          <t>零期</t>
        </is>
      </c>
      <c r="J54" s="1074" t="inlineStr">
        <is>
          <t>-</t>
        </is>
      </c>
      <c r="K54" s="1074" t="inlineStr"/>
      <c r="L54" s="1074" t="inlineStr"/>
      <c r="M54" s="1074" t="inlineStr"/>
      <c r="N54" s="1074" t="inlineStr">
        <is>
          <t>-</t>
        </is>
      </c>
      <c r="O54" s="1074" t="inlineStr">
        <is>
          <t>-</t>
        </is>
      </c>
      <c r="P54" s="1074" t="inlineStr">
        <is>
          <t>-</t>
        </is>
      </c>
      <c r="Q54" s="1074" t="inlineStr">
        <is>
          <t>-</t>
        </is>
      </c>
      <c r="R54" s="1074" t="inlineStr">
        <is>
          <t>-</t>
        </is>
      </c>
      <c r="S54" s="1074" t="inlineStr">
        <is>
          <t>-</t>
        </is>
      </c>
      <c r="T54" s="1074" t="inlineStr">
        <is>
          <t>-</t>
        </is>
      </c>
      <c r="U54" s="1074" t="inlineStr">
        <is>
          <t>3132859</t>
        </is>
      </c>
      <c r="V54" s="1074" t="n"/>
      <c r="W54" s="1074" t="inlineStr">
        <is>
          <t>黄铭怡</t>
        </is>
      </c>
      <c r="X54" s="1074" t="inlineStr">
        <is>
          <t>教室2</t>
        </is>
      </c>
      <c r="Y54" s="1074" t="inlineStr">
        <is>
          <t>10:20-12:30</t>
        </is>
      </c>
      <c r="Z54" s="1074" t="inlineStr">
        <is>
          <t>潜能班</t>
        </is>
      </c>
      <c r="AA54" s="1074" t="inlineStr">
        <is>
          <t>零期</t>
        </is>
      </c>
      <c r="AB54" s="1074" t="inlineStr">
        <is>
          <t>在读</t>
        </is>
      </c>
      <c r="AC54" s="1074" t="inlineStr">
        <is>
          <t>-</t>
        </is>
      </c>
      <c r="AD54" s="1074" t="inlineStr">
        <is>
          <t>5230727</t>
        </is>
      </c>
      <c r="AE54" s="1074" t="n"/>
      <c r="AF54" s="1074" t="inlineStr">
        <is>
          <t>肖锐03</t>
        </is>
      </c>
      <c r="AG54" s="1074" t="inlineStr">
        <is>
          <t>教室2</t>
        </is>
      </c>
      <c r="AH54" s="1074" t="inlineStr">
        <is>
          <t>13:20-15:30</t>
        </is>
      </c>
      <c r="AI54" s="1074" t="inlineStr">
        <is>
          <t>潜能班</t>
        </is>
      </c>
      <c r="AJ54" s="1074" t="inlineStr">
        <is>
          <t>零期</t>
        </is>
      </c>
      <c r="AK54" s="1074" t="inlineStr">
        <is>
          <t>在读</t>
        </is>
      </c>
      <c r="AL54" s="1074" t="inlineStr">
        <is>
          <t>-</t>
        </is>
      </c>
      <c r="AM54" s="1074" t="inlineStr">
        <is>
          <t>是</t>
        </is>
      </c>
      <c r="AN54" s="1074" t="inlineStr">
        <is>
          <t>是</t>
        </is>
      </c>
      <c r="AO54" s="1074" t="inlineStr">
        <is>
          <t>是</t>
        </is>
      </c>
      <c r="AP54" s="1074" t="n"/>
      <c r="AQ54" s="1074" t="n"/>
      <c r="AR54" s="1074" t="n"/>
      <c r="AS54" s="1074" t="n"/>
      <c r="AT54" s="311" t="n"/>
    </row>
    <row r="55" ht="26.25" customFormat="1" customHeight="1" s="366">
      <c r="A55" s="1074" t="inlineStr">
        <is>
          <t>新宝利</t>
        </is>
      </c>
      <c r="B55" s="1074" t="inlineStr">
        <is>
          <t>4226652053</t>
        </is>
      </c>
      <c r="C55" s="1074" t="inlineStr">
        <is>
          <t>张皓铭</t>
        </is>
      </c>
      <c r="D55" s="1074" t="inlineStr">
        <is>
          <t>林志豪01</t>
        </is>
      </c>
      <c r="E55" s="1074" t="inlineStr">
        <is>
          <t>新生转介绍</t>
        </is>
      </c>
      <c r="F55" s="1074" t="n"/>
      <c r="G55" s="1074" t="inlineStr">
        <is>
          <t>李浩林</t>
        </is>
      </c>
      <c r="H55" s="1074" t="inlineStr">
        <is>
          <t>在读</t>
        </is>
      </c>
      <c r="I55" s="1074" t="inlineStr">
        <is>
          <t>三期</t>
        </is>
      </c>
      <c r="J55" s="1074" t="inlineStr">
        <is>
          <t>4632447</t>
        </is>
      </c>
      <c r="K55" s="1074" t="inlineStr">
        <is>
          <t>报前测成绩</t>
        </is>
      </c>
      <c r="L55" s="1074" t="n">
        <v>71</v>
      </c>
      <c r="M55" s="1074" t="inlineStr">
        <is>
          <t>-</t>
        </is>
      </c>
      <c r="N55" s="1074" t="inlineStr">
        <is>
          <t>田雨涵01</t>
        </is>
      </c>
      <c r="O55" s="1074" t="inlineStr">
        <is>
          <t>教室5</t>
        </is>
      </c>
      <c r="P55" s="1074" t="inlineStr">
        <is>
          <t>10:20-12:30</t>
        </is>
      </c>
      <c r="Q55" s="1074" t="inlineStr">
        <is>
          <t>潜能班</t>
        </is>
      </c>
      <c r="R55" s="1074" t="inlineStr">
        <is>
          <t>三期</t>
        </is>
      </c>
      <c r="S55" s="1074" t="inlineStr">
        <is>
          <t>在读</t>
        </is>
      </c>
      <c r="T55" s="1074" t="inlineStr">
        <is>
          <t>-</t>
        </is>
      </c>
      <c r="U55" s="1074" t="inlineStr">
        <is>
          <t>5111226</t>
        </is>
      </c>
      <c r="V55" s="1074" t="n"/>
      <c r="W55" s="1074" t="inlineStr">
        <is>
          <t>李润</t>
        </is>
      </c>
      <c r="X55" s="1074" t="inlineStr">
        <is>
          <t>教室5</t>
        </is>
      </c>
      <c r="Y55" s="1074" t="inlineStr">
        <is>
          <t>15:50-18:00</t>
        </is>
      </c>
      <c r="Z55" s="1074" t="inlineStr">
        <is>
          <t>潜能班</t>
        </is>
      </c>
      <c r="AA55" s="1074" t="inlineStr">
        <is>
          <t>三期</t>
        </is>
      </c>
      <c r="AB55" s="1074" t="inlineStr">
        <is>
          <t>在读</t>
        </is>
      </c>
      <c r="AC55" s="1074" t="inlineStr">
        <is>
          <t>-</t>
        </is>
      </c>
      <c r="AD55" s="1074" t="inlineStr">
        <is>
          <t>4513388</t>
        </is>
      </c>
      <c r="AE55" s="1074" t="n"/>
      <c r="AF55" s="1074" t="inlineStr">
        <is>
          <t>肖锐03</t>
        </is>
      </c>
      <c r="AG55" s="1074" t="inlineStr">
        <is>
          <t>教室5</t>
        </is>
      </c>
      <c r="AH55" s="1074" t="inlineStr">
        <is>
          <t>13:20-15:30</t>
        </is>
      </c>
      <c r="AI55" s="1074" t="inlineStr">
        <is>
          <t>潜能班</t>
        </is>
      </c>
      <c r="AJ55" s="1074" t="inlineStr">
        <is>
          <t>三期</t>
        </is>
      </c>
      <c r="AK55" s="1074" t="inlineStr">
        <is>
          <t>在读</t>
        </is>
      </c>
      <c r="AL55" s="1074" t="inlineStr">
        <is>
          <t>-</t>
        </is>
      </c>
      <c r="AM55" s="1074" t="n"/>
      <c r="AN55" s="1074" t="n"/>
      <c r="AO55" s="1074" t="n"/>
      <c r="AP55" s="1074" t="n"/>
      <c r="AQ55" s="1074" t="n"/>
      <c r="AR55" s="1074" t="n"/>
      <c r="AS55" s="1074" t="n"/>
      <c r="AT55" s="311" t="n"/>
    </row>
    <row r="56" ht="26.25" customFormat="1" customHeight="1" s="366">
      <c r="A56" s="1074" t="inlineStr">
        <is>
          <t>同创汇</t>
        </is>
      </c>
      <c r="B56" s="1074" t="inlineStr">
        <is>
          <t>2519148407</t>
        </is>
      </c>
      <c r="C56" s="1074" t="inlineStr">
        <is>
          <t>董婧萱</t>
        </is>
      </c>
      <c r="D56" s="1074" t="inlineStr">
        <is>
          <t>苏丽婷</t>
        </is>
      </c>
      <c r="E56" s="1074" t="inlineStr">
        <is>
          <t>纯拉新</t>
        </is>
      </c>
      <c r="F56" s="1074" t="n"/>
      <c r="G56" s="1074" t="n"/>
      <c r="H56" s="1074" t="inlineStr">
        <is>
          <t>在读</t>
        </is>
      </c>
      <c r="I56" s="1074" t="inlineStr">
        <is>
          <t>一期</t>
        </is>
      </c>
      <c r="J56" s="1074" t="inlineStr">
        <is>
          <t>5230802</t>
        </is>
      </c>
      <c r="K56" s="1074" t="inlineStr">
        <is>
          <t>校内成绩</t>
        </is>
      </c>
      <c r="L56" s="1074" t="n">
        <v>72</v>
      </c>
      <c r="M56" s="1074" t="n">
        <v>90</v>
      </c>
      <c r="N56" s="1074" t="inlineStr">
        <is>
          <t>田雨涵01</t>
        </is>
      </c>
      <c r="O56" s="1074" t="inlineStr">
        <is>
          <t>02彩虹桥</t>
        </is>
      </c>
      <c r="P56" s="1074" t="inlineStr">
        <is>
          <t>15:50-18:00</t>
        </is>
      </c>
      <c r="Q56" s="1074" t="inlineStr">
        <is>
          <t>潜能班</t>
        </is>
      </c>
      <c r="R56" s="1074" t="inlineStr">
        <is>
          <t>一期</t>
        </is>
      </c>
      <c r="S56" s="1074" t="inlineStr">
        <is>
          <t>在读</t>
        </is>
      </c>
      <c r="T56" s="1074" t="inlineStr">
        <is>
          <t>-</t>
        </is>
      </c>
      <c r="U56" s="1074" t="inlineStr">
        <is>
          <t>4632448</t>
        </is>
      </c>
      <c r="V56" s="1074" t="n"/>
      <c r="W56" s="1074" t="inlineStr">
        <is>
          <t>陈南05</t>
        </is>
      </c>
      <c r="X56" s="1074" t="inlineStr">
        <is>
          <t>02彩虹桥</t>
        </is>
      </c>
      <c r="Y56" s="1074" t="inlineStr">
        <is>
          <t>10:20-12:30</t>
        </is>
      </c>
      <c r="Z56" s="1074" t="inlineStr">
        <is>
          <t>潜能班</t>
        </is>
      </c>
      <c r="AA56" s="1074" t="inlineStr">
        <is>
          <t>一期</t>
        </is>
      </c>
      <c r="AB56" s="1074" t="inlineStr">
        <is>
          <t>在读</t>
        </is>
      </c>
      <c r="AC56" s="1074" t="inlineStr">
        <is>
          <t>-</t>
        </is>
      </c>
      <c r="AD56" s="1074" t="inlineStr">
        <is>
          <t>3132837</t>
        </is>
      </c>
      <c r="AE56" s="1074" t="n"/>
      <c r="AF56" s="1074" t="inlineStr">
        <is>
          <t>高心怡04</t>
        </is>
      </c>
      <c r="AG56" s="1074" t="inlineStr">
        <is>
          <t>02彩虹桥</t>
        </is>
      </c>
      <c r="AH56" s="1074" t="inlineStr">
        <is>
          <t>13:20-15:30</t>
        </is>
      </c>
      <c r="AI56" s="1074" t="inlineStr">
        <is>
          <t>潜能班</t>
        </is>
      </c>
      <c r="AJ56" s="1074" t="inlineStr">
        <is>
          <t>一期</t>
        </is>
      </c>
      <c r="AK56" s="1074" t="inlineStr">
        <is>
          <t>在读</t>
        </is>
      </c>
      <c r="AL56" s="1074" t="inlineStr">
        <is>
          <t>-</t>
        </is>
      </c>
      <c r="AM56" s="1074" t="n"/>
      <c r="AN56" s="1074" t="n"/>
      <c r="AO56" s="1074" t="n"/>
      <c r="AP56" s="1074" t="n"/>
      <c r="AQ56" s="1074" t="n"/>
      <c r="AR56" s="1074" t="n"/>
      <c r="AS56" s="1074" t="n"/>
      <c r="AT56" s="311" t="n"/>
    </row>
    <row r="57" ht="26.25" customFormat="1" customHeight="1" s="366">
      <c r="A57" s="1074" t="inlineStr">
        <is>
          <t>天成大厦</t>
        </is>
      </c>
      <c r="B57" s="1074" t="inlineStr">
        <is>
          <t>4859583036</t>
        </is>
      </c>
      <c r="C57" s="1074" t="inlineStr">
        <is>
          <t>严健天</t>
        </is>
      </c>
      <c r="D57" s="1074" t="inlineStr">
        <is>
          <t>沈思浩</t>
        </is>
      </c>
      <c r="E57" s="1074" t="inlineStr">
        <is>
          <t>纯拉新</t>
        </is>
      </c>
      <c r="F57" s="1074" t="n"/>
      <c r="G57" s="1074" t="n"/>
      <c r="H57" s="1074" t="inlineStr">
        <is>
          <t>在读</t>
        </is>
      </c>
      <c r="I57" s="1074" t="inlineStr">
        <is>
          <t>一期</t>
        </is>
      </c>
      <c r="J57" s="1074" t="inlineStr">
        <is>
          <t>5230775</t>
        </is>
      </c>
      <c r="K57" s="1074" t="inlineStr">
        <is>
          <t>校内成绩</t>
        </is>
      </c>
      <c r="L57" s="1074" t="n">
        <v>72</v>
      </c>
      <c r="M57" s="1074" t="n">
        <v>90</v>
      </c>
      <c r="N57" s="1074" t="inlineStr">
        <is>
          <t>陈中帅</t>
        </is>
      </c>
      <c r="O57" s="1074" t="inlineStr">
        <is>
          <t>03品尚</t>
        </is>
      </c>
      <c r="P57" s="1074" t="inlineStr">
        <is>
          <t>10:20-12:30</t>
        </is>
      </c>
      <c r="Q57" s="1074" t="inlineStr">
        <is>
          <t>潜能班</t>
        </is>
      </c>
      <c r="R57" s="1074" t="inlineStr">
        <is>
          <t>一期</t>
        </is>
      </c>
      <c r="S57" s="1074" t="inlineStr">
        <is>
          <t>在读</t>
        </is>
      </c>
      <c r="T57" s="1074" t="inlineStr">
        <is>
          <t>-</t>
        </is>
      </c>
      <c r="U57" s="1074" t="inlineStr">
        <is>
          <t>3132834</t>
        </is>
      </c>
      <c r="V57" s="1074" t="n"/>
      <c r="W57" s="1074" t="inlineStr">
        <is>
          <t>李润</t>
        </is>
      </c>
      <c r="X57" s="1074" t="inlineStr">
        <is>
          <t>03品尚</t>
        </is>
      </c>
      <c r="Y57" s="1074" t="inlineStr">
        <is>
          <t>07:50-10:00</t>
        </is>
      </c>
      <c r="Z57" s="1074" t="inlineStr">
        <is>
          <t>潜能班</t>
        </is>
      </c>
      <c r="AA57" s="1074" t="inlineStr">
        <is>
          <t>一期</t>
        </is>
      </c>
      <c r="AB57" s="1074" t="inlineStr">
        <is>
          <t>在读</t>
        </is>
      </c>
      <c r="AC57" s="1074" t="inlineStr">
        <is>
          <t>-</t>
        </is>
      </c>
      <c r="AD57" s="1074" t="inlineStr">
        <is>
          <t>5230783</t>
        </is>
      </c>
      <c r="AE57" s="1074" t="n"/>
      <c r="AF57" s="1074" t="inlineStr">
        <is>
          <t>刘希子</t>
        </is>
      </c>
      <c r="AG57" s="1074" t="inlineStr">
        <is>
          <t>03品尚</t>
        </is>
      </c>
      <c r="AH57" s="1074" t="inlineStr">
        <is>
          <t>13:20-15:30</t>
        </is>
      </c>
      <c r="AI57" s="1074" t="inlineStr">
        <is>
          <t>潜能班</t>
        </is>
      </c>
      <c r="AJ57" s="1074" t="inlineStr">
        <is>
          <t>一期</t>
        </is>
      </c>
      <c r="AK57" s="1074" t="inlineStr">
        <is>
          <t>在读</t>
        </is>
      </c>
      <c r="AL57" s="1074" t="inlineStr">
        <is>
          <t>-</t>
        </is>
      </c>
      <c r="AM57" s="1074" t="n"/>
      <c r="AN57" s="1074" t="n"/>
      <c r="AO57" s="1074" t="n"/>
      <c r="AP57" s="1074" t="n"/>
      <c r="AQ57" s="1074" t="n"/>
      <c r="AR57" s="1074" t="n"/>
      <c r="AS57" s="1074" t="n"/>
      <c r="AT57" s="311" t="n"/>
    </row>
    <row r="58" ht="26.25" customFormat="1" customHeight="1" s="366">
      <c r="A58" s="1074" t="inlineStr">
        <is>
          <t>同创汇</t>
        </is>
      </c>
      <c r="B58" s="1074" t="inlineStr">
        <is>
          <t>4848923450</t>
        </is>
      </c>
      <c r="C58" s="1074" t="inlineStr">
        <is>
          <t>徐安琪</t>
        </is>
      </c>
      <c r="D58" s="1074" t="inlineStr">
        <is>
          <t>龙倩敏</t>
        </is>
      </c>
      <c r="E58" s="1074" t="inlineStr">
        <is>
          <t>新生转介绍</t>
        </is>
      </c>
      <c r="F58" s="1074" t="n"/>
      <c r="G58" s="1074" t="inlineStr">
        <is>
          <t>叶晓静</t>
        </is>
      </c>
      <c r="H58" s="1074" t="inlineStr">
        <is>
          <t>在读</t>
        </is>
      </c>
      <c r="I58" s="1074" t="inlineStr">
        <is>
          <t>零期</t>
        </is>
      </c>
      <c r="J58" s="1074" t="inlineStr">
        <is>
          <t>3132897</t>
        </is>
      </c>
      <c r="K58" s="1074" t="inlineStr">
        <is>
          <t>报前测成绩</t>
        </is>
      </c>
      <c r="L58" s="1074" t="n">
        <v>75</v>
      </c>
      <c r="M58" s="1074" t="inlineStr">
        <is>
          <t>-</t>
        </is>
      </c>
      <c r="N58" s="1074" t="inlineStr">
        <is>
          <t>陈中帅</t>
        </is>
      </c>
      <c r="O58" s="1074" t="inlineStr">
        <is>
          <t>01智慧林</t>
        </is>
      </c>
      <c r="P58" s="1074" t="inlineStr">
        <is>
          <t>10:20-12:30</t>
        </is>
      </c>
      <c r="Q58" s="1074" t="inlineStr">
        <is>
          <t>潜能班</t>
        </is>
      </c>
      <c r="R58" s="1074" t="inlineStr">
        <is>
          <t>零期</t>
        </is>
      </c>
      <c r="S58" s="1074" t="inlineStr">
        <is>
          <t>在读</t>
        </is>
      </c>
      <c r="T58" s="1074" t="inlineStr">
        <is>
          <t>-</t>
        </is>
      </c>
      <c r="U58" s="1074" t="inlineStr">
        <is>
          <t>5230722</t>
        </is>
      </c>
      <c r="V58" s="1074" t="n"/>
      <c r="W58" s="1074" t="inlineStr">
        <is>
          <t>李润</t>
        </is>
      </c>
      <c r="X58" s="1074" t="inlineStr">
        <is>
          <t>01智慧林</t>
        </is>
      </c>
      <c r="Y58" s="1074" t="inlineStr">
        <is>
          <t>15:50-18:00</t>
        </is>
      </c>
      <c r="Z58" s="1074" t="inlineStr">
        <is>
          <t>潜能班</t>
        </is>
      </c>
      <c r="AA58" s="1074" t="inlineStr">
        <is>
          <t>零期</t>
        </is>
      </c>
      <c r="AB58" s="1074" t="inlineStr">
        <is>
          <t>在读</t>
        </is>
      </c>
      <c r="AC58" s="1074" t="inlineStr">
        <is>
          <t>-</t>
        </is>
      </c>
      <c r="AD58" s="1074" t="inlineStr">
        <is>
          <t>5230737</t>
        </is>
      </c>
      <c r="AE58" s="1074" t="n"/>
      <c r="AF58" s="1074" t="inlineStr">
        <is>
          <t>高心怡04</t>
        </is>
      </c>
      <c r="AG58" s="1074" t="inlineStr">
        <is>
          <t>01智慧林</t>
        </is>
      </c>
      <c r="AH58" s="1074" t="inlineStr">
        <is>
          <t>13:20-15:30</t>
        </is>
      </c>
      <c r="AI58" s="1074" t="inlineStr">
        <is>
          <t>潜能班</t>
        </is>
      </c>
      <c r="AJ58" s="1074" t="inlineStr">
        <is>
          <t>零期</t>
        </is>
      </c>
      <c r="AK58" s="1074" t="inlineStr">
        <is>
          <t>在读</t>
        </is>
      </c>
      <c r="AL58" s="1074" t="inlineStr">
        <is>
          <t>-</t>
        </is>
      </c>
      <c r="AM58" s="1074" t="inlineStr">
        <is>
          <t>是</t>
        </is>
      </c>
      <c r="AN58" s="1074" t="inlineStr">
        <is>
          <t>是</t>
        </is>
      </c>
      <c r="AO58" s="1074" t="inlineStr">
        <is>
          <t>是</t>
        </is>
      </c>
      <c r="AP58" s="1074" t="n"/>
      <c r="AQ58" s="1074" t="n"/>
      <c r="AR58" s="1074" t="n"/>
      <c r="AS58" s="1074" t="n"/>
      <c r="AT58" s="311" t="n"/>
    </row>
    <row r="59" ht="26.25" customFormat="1" customHeight="1" s="366">
      <c r="A59" s="1074" t="inlineStr">
        <is>
          <t>新宝利</t>
        </is>
      </c>
      <c r="B59" s="1074" t="inlineStr">
        <is>
          <t>4606760815</t>
        </is>
      </c>
      <c r="C59" s="1074" t="inlineStr">
        <is>
          <t>温培烨</t>
        </is>
      </c>
      <c r="D59" s="1074" t="inlineStr">
        <is>
          <t>张敏烨</t>
        </is>
      </c>
      <c r="E59" s="1074" t="inlineStr">
        <is>
          <t>新生转介绍</t>
        </is>
      </c>
      <c r="F59" s="1074" t="n"/>
      <c r="G59" s="1074" t="inlineStr">
        <is>
          <t>家谊</t>
        </is>
      </c>
      <c r="H59" s="1074" t="inlineStr">
        <is>
          <t>在读</t>
        </is>
      </c>
      <c r="I59" s="1074" t="inlineStr">
        <is>
          <t>二期</t>
        </is>
      </c>
      <c r="J59" s="1074" t="inlineStr">
        <is>
          <t>4513341</t>
        </is>
      </c>
      <c r="K59" s="1074" t="inlineStr">
        <is>
          <t>校内成绩</t>
        </is>
      </c>
      <c r="L59" s="1074" t="n">
        <v>86</v>
      </c>
      <c r="M59" s="1074" t="n">
        <v>95</v>
      </c>
      <c r="N59" s="1074" t="inlineStr">
        <is>
          <t>陈中帅</t>
        </is>
      </c>
      <c r="O59" s="1074" t="inlineStr">
        <is>
          <t>教室3</t>
        </is>
      </c>
      <c r="P59" s="1074" t="inlineStr">
        <is>
          <t>15:50-18:00</t>
        </is>
      </c>
      <c r="Q59" s="1074" t="inlineStr">
        <is>
          <t>启能班</t>
        </is>
      </c>
      <c r="R59" s="1074" t="inlineStr">
        <is>
          <t>二期</t>
        </is>
      </c>
      <c r="S59" s="1074" t="inlineStr">
        <is>
          <t>在读</t>
        </is>
      </c>
      <c r="T59" s="1074" t="inlineStr">
        <is>
          <t>-</t>
        </is>
      </c>
      <c r="U59" s="1074" t="inlineStr">
        <is>
          <t>3132846</t>
        </is>
      </c>
      <c r="V59" s="1074" t="n"/>
      <c r="W59" s="1074" t="inlineStr">
        <is>
          <t>黄铭怡</t>
        </is>
      </c>
      <c r="X59" s="1074" t="inlineStr">
        <is>
          <t>教室3</t>
        </is>
      </c>
      <c r="Y59" s="1074" t="inlineStr">
        <is>
          <t>13:20-15:30</t>
        </is>
      </c>
      <c r="Z59" s="1074" t="inlineStr">
        <is>
          <t>潜能班</t>
        </is>
      </c>
      <c r="AA59" s="1074" t="inlineStr">
        <is>
          <t>二期</t>
        </is>
      </c>
      <c r="AB59" s="1074" t="inlineStr">
        <is>
          <t>在读</t>
        </is>
      </c>
      <c r="AC59" s="1074" t="inlineStr">
        <is>
          <t>-</t>
        </is>
      </c>
      <c r="AD59" s="1074" t="inlineStr">
        <is>
          <t>5230738</t>
        </is>
      </c>
      <c r="AE59" s="1074" t="n"/>
      <c r="AF59" s="1074" t="inlineStr">
        <is>
          <t>高心怡04</t>
        </is>
      </c>
      <c r="AG59" s="1074" t="inlineStr">
        <is>
          <t>教室3</t>
        </is>
      </c>
      <c r="AH59" s="1074" t="inlineStr">
        <is>
          <t>10:20-12:30</t>
        </is>
      </c>
      <c r="AI59" s="1074" t="inlineStr">
        <is>
          <t>潜能班</t>
        </is>
      </c>
      <c r="AJ59" s="1074" t="inlineStr">
        <is>
          <t>二期</t>
        </is>
      </c>
      <c r="AK59" s="1074" t="inlineStr">
        <is>
          <t>在读</t>
        </is>
      </c>
      <c r="AL59" s="1074" t="inlineStr">
        <is>
          <t>-</t>
        </is>
      </c>
      <c r="AM59" s="1074" t="n"/>
      <c r="AN59" s="1074" t="n"/>
      <c r="AO59" s="1074" t="n"/>
      <c r="AP59" s="1074" t="n"/>
      <c r="AQ59" s="1074" t="n"/>
      <c r="AR59" s="1074" t="n"/>
      <c r="AS59" s="1074" t="n"/>
      <c r="AT59" s="311" t="n"/>
    </row>
    <row r="60" ht="26.25" customFormat="1" customHeight="1" s="366">
      <c r="A60" s="1074" t="inlineStr">
        <is>
          <t>新宝利</t>
        </is>
      </c>
      <c r="B60" s="1074" t="inlineStr">
        <is>
          <t>2748036591</t>
        </is>
      </c>
      <c r="C60" s="1074" t="inlineStr">
        <is>
          <t>梁雅茹</t>
        </is>
      </c>
      <c r="D60" s="1074" t="inlineStr">
        <is>
          <t>林志豪01</t>
        </is>
      </c>
      <c r="E60" s="1074" t="inlineStr">
        <is>
          <t>纯拉新</t>
        </is>
      </c>
      <c r="F60" s="1074" t="n"/>
      <c r="G60" s="1074" t="n"/>
      <c r="H60" s="1074" t="inlineStr">
        <is>
          <t>在读</t>
        </is>
      </c>
      <c r="I60" s="1074" t="inlineStr">
        <is>
          <t>二期</t>
        </is>
      </c>
      <c r="J60" s="1074" t="inlineStr">
        <is>
          <t>4513341</t>
        </is>
      </c>
      <c r="K60" s="1074" t="inlineStr">
        <is>
          <t>校内成绩</t>
        </is>
      </c>
      <c r="L60" s="1074" t="n">
        <v>90</v>
      </c>
      <c r="M60" s="1074" t="n">
        <v>100</v>
      </c>
      <c r="N60" s="1074" t="inlineStr">
        <is>
          <t>陈中帅</t>
        </is>
      </c>
      <c r="O60" s="1074" t="inlineStr">
        <is>
          <t>教室3</t>
        </is>
      </c>
      <c r="P60" s="1074" t="inlineStr">
        <is>
          <t>15:50-18:00</t>
        </is>
      </c>
      <c r="Q60" s="1074" t="inlineStr">
        <is>
          <t>启能班</t>
        </is>
      </c>
      <c r="R60" s="1074" t="inlineStr">
        <is>
          <t>二期</t>
        </is>
      </c>
      <c r="S60" s="1074" t="inlineStr">
        <is>
          <t>在读</t>
        </is>
      </c>
      <c r="T60" s="1074" t="inlineStr">
        <is>
          <t>-</t>
        </is>
      </c>
      <c r="U60" s="1074" t="inlineStr">
        <is>
          <t>3132846</t>
        </is>
      </c>
      <c r="V60" s="1074" t="n"/>
      <c r="W60" s="1074" t="inlineStr">
        <is>
          <t>黄铭怡</t>
        </is>
      </c>
      <c r="X60" s="1074" t="inlineStr">
        <is>
          <t>教室3</t>
        </is>
      </c>
      <c r="Y60" s="1074" t="inlineStr">
        <is>
          <t>13:20-15:30</t>
        </is>
      </c>
      <c r="Z60" s="1074" t="inlineStr">
        <is>
          <t>潜能班</t>
        </is>
      </c>
      <c r="AA60" s="1074" t="inlineStr">
        <is>
          <t>二期</t>
        </is>
      </c>
      <c r="AB60" s="1074" t="inlineStr">
        <is>
          <t>在读</t>
        </is>
      </c>
      <c r="AC60" s="1074" t="inlineStr">
        <is>
          <t>-</t>
        </is>
      </c>
      <c r="AD60" s="1074" t="inlineStr">
        <is>
          <t>5230738</t>
        </is>
      </c>
      <c r="AE60" s="1074" t="n"/>
      <c r="AF60" s="1074" t="inlineStr">
        <is>
          <t>高心怡04</t>
        </is>
      </c>
      <c r="AG60" s="1074" t="inlineStr">
        <is>
          <t>教室3</t>
        </is>
      </c>
      <c r="AH60" s="1074" t="inlineStr">
        <is>
          <t>10:20-12:30</t>
        </is>
      </c>
      <c r="AI60" s="1074" t="inlineStr">
        <is>
          <t>潜能班</t>
        </is>
      </c>
      <c r="AJ60" s="1074" t="inlineStr">
        <is>
          <t>二期</t>
        </is>
      </c>
      <c r="AK60" s="1074" t="inlineStr">
        <is>
          <t>在读</t>
        </is>
      </c>
      <c r="AL60" s="1074" t="inlineStr">
        <is>
          <t>-</t>
        </is>
      </c>
      <c r="AM60" s="1074" t="n"/>
      <c r="AN60" s="1074" t="n"/>
      <c r="AO60" s="1074" t="n"/>
      <c r="AP60" s="1074" t="n"/>
      <c r="AQ60" s="1074" t="n"/>
      <c r="AR60" s="1074" t="n"/>
      <c r="AS60" s="1074" t="n"/>
      <c r="AT60" s="311" t="n"/>
    </row>
    <row r="61" ht="26.25" customFormat="1" customHeight="1" s="366">
      <c r="A61" s="1074" t="inlineStr">
        <is>
          <t>新宝利</t>
        </is>
      </c>
      <c r="B61" s="1074" t="inlineStr">
        <is>
          <t>4836060237</t>
        </is>
      </c>
      <c r="C61" s="1074" t="inlineStr">
        <is>
          <t>何雨羲</t>
        </is>
      </c>
      <c r="D61" s="1074" t="inlineStr">
        <is>
          <t>张敏烨</t>
        </is>
      </c>
      <c r="E61" s="1074" t="inlineStr">
        <is>
          <t>纯拉新</t>
        </is>
      </c>
      <c r="F61" s="1074" t="n"/>
      <c r="G61" s="1074" t="n"/>
      <c r="H61" s="1074" t="inlineStr">
        <is>
          <t>在读</t>
        </is>
      </c>
      <c r="I61" s="1074" t="inlineStr">
        <is>
          <t>二期</t>
        </is>
      </c>
      <c r="J61" s="1074" t="inlineStr">
        <is>
          <t>5111034</t>
        </is>
      </c>
      <c r="K61" s="1074" t="inlineStr">
        <is>
          <t>校内成绩</t>
        </is>
      </c>
      <c r="L61" s="1074" t="n">
        <v>72</v>
      </c>
      <c r="M61" s="1074" t="n">
        <v>90</v>
      </c>
      <c r="N61" s="1074" t="inlineStr">
        <is>
          <t>田雨涵01</t>
        </is>
      </c>
      <c r="O61" s="1074" t="inlineStr">
        <is>
          <t>教室4</t>
        </is>
      </c>
      <c r="P61" s="1074" t="inlineStr">
        <is>
          <t>13:20-15:30</t>
        </is>
      </c>
      <c r="Q61" s="1074" t="inlineStr">
        <is>
          <t>潜能班</t>
        </is>
      </c>
      <c r="R61" s="1074" t="inlineStr">
        <is>
          <t>二期</t>
        </is>
      </c>
      <c r="S61" s="1074" t="inlineStr">
        <is>
          <t>在读</t>
        </is>
      </c>
      <c r="T61" s="1074" t="inlineStr">
        <is>
          <t>-</t>
        </is>
      </c>
      <c r="U61" s="1074" t="inlineStr">
        <is>
          <t>4513342</t>
        </is>
      </c>
      <c r="V61" s="1074" t="n"/>
      <c r="W61" s="1074" t="inlineStr">
        <is>
          <t>黄铭怡</t>
        </is>
      </c>
      <c r="X61" s="1074" t="inlineStr">
        <is>
          <t>教室4</t>
        </is>
      </c>
      <c r="Y61" s="1074" t="inlineStr">
        <is>
          <t>10:20-12:30</t>
        </is>
      </c>
      <c r="Z61" s="1074" t="inlineStr">
        <is>
          <t>潜能班</t>
        </is>
      </c>
      <c r="AA61" s="1074" t="inlineStr">
        <is>
          <t>二期</t>
        </is>
      </c>
      <c r="AB61" s="1074" t="inlineStr">
        <is>
          <t>在读</t>
        </is>
      </c>
      <c r="AC61" s="1074" t="inlineStr">
        <is>
          <t>-</t>
        </is>
      </c>
      <c r="AD61" s="1074" t="inlineStr">
        <is>
          <t>4513340</t>
        </is>
      </c>
      <c r="AE61" s="1074" t="n"/>
      <c r="AF61" s="1074" t="inlineStr">
        <is>
          <t>高心怡04</t>
        </is>
      </c>
      <c r="AG61" s="1074" t="inlineStr">
        <is>
          <t>教室4</t>
        </is>
      </c>
      <c r="AH61" s="1074" t="inlineStr">
        <is>
          <t>15:50-18:00</t>
        </is>
      </c>
      <c r="AI61" s="1074" t="inlineStr">
        <is>
          <t>潜能班</t>
        </is>
      </c>
      <c r="AJ61" s="1074" t="inlineStr">
        <is>
          <t>二期</t>
        </is>
      </c>
      <c r="AK61" s="1074" t="inlineStr">
        <is>
          <t>在读</t>
        </is>
      </c>
      <c r="AL61" s="1074" t="inlineStr">
        <is>
          <t>-</t>
        </is>
      </c>
      <c r="AM61" s="1074" t="n"/>
      <c r="AN61" s="1074" t="n"/>
      <c r="AO61" s="1074" t="n"/>
      <c r="AP61" s="1074" t="n"/>
      <c r="AQ61" s="1074" t="n"/>
      <c r="AR61" s="1074" t="n"/>
      <c r="AS61" s="1074" t="n"/>
      <c r="AT61" s="311" t="n"/>
    </row>
    <row r="62" ht="26.25" customFormat="1" customHeight="1" s="366">
      <c r="A62" s="1074" t="inlineStr">
        <is>
          <t>新宝利</t>
        </is>
      </c>
      <c r="B62" s="1074" t="inlineStr">
        <is>
          <t>4849738179</t>
        </is>
      </c>
      <c r="C62" s="1074" t="inlineStr">
        <is>
          <t>肖尧</t>
        </is>
      </c>
      <c r="D62" s="1074" t="inlineStr">
        <is>
          <t>张敏烨</t>
        </is>
      </c>
      <c r="E62" s="1074" t="inlineStr">
        <is>
          <t>新生转介绍</t>
        </is>
      </c>
      <c r="F62" s="1074" t="n"/>
      <c r="G62" s="1074" t="inlineStr">
        <is>
          <t>文犀</t>
        </is>
      </c>
      <c r="H62" s="1074" t="inlineStr">
        <is>
          <t>在读</t>
        </is>
      </c>
      <c r="I62" s="1074" t="inlineStr">
        <is>
          <t>二期</t>
        </is>
      </c>
      <c r="J62" s="1074" t="inlineStr">
        <is>
          <t>4513341</t>
        </is>
      </c>
      <c r="K62" s="1074" t="inlineStr">
        <is>
          <t>报前测成绩</t>
        </is>
      </c>
      <c r="L62" s="1074" t="n">
        <v>95</v>
      </c>
      <c r="M62" s="1074" t="inlineStr">
        <is>
          <t>-</t>
        </is>
      </c>
      <c r="N62" s="1074" t="inlineStr">
        <is>
          <t>陈中帅</t>
        </is>
      </c>
      <c r="O62" s="1074" t="inlineStr">
        <is>
          <t>教室3</t>
        </is>
      </c>
      <c r="P62" s="1074" t="inlineStr">
        <is>
          <t>15:50-18:00</t>
        </is>
      </c>
      <c r="Q62" s="1074" t="inlineStr">
        <is>
          <t>启能班</t>
        </is>
      </c>
      <c r="R62" s="1074" t="inlineStr">
        <is>
          <t>二期</t>
        </is>
      </c>
      <c r="S62" s="1074" t="inlineStr">
        <is>
          <t>在读</t>
        </is>
      </c>
      <c r="T62" s="1074" t="inlineStr">
        <is>
          <t>-</t>
        </is>
      </c>
      <c r="U62" s="1074" t="inlineStr">
        <is>
          <t>-</t>
        </is>
      </c>
      <c r="V62" s="1074" t="inlineStr"/>
      <c r="W62" s="1074" t="inlineStr">
        <is>
          <t>-</t>
        </is>
      </c>
      <c r="X62" s="1074" t="inlineStr">
        <is>
          <t>-</t>
        </is>
      </c>
      <c r="Y62" s="1074" t="inlineStr">
        <is>
          <t>-</t>
        </is>
      </c>
      <c r="Z62" s="1074" t="inlineStr">
        <is>
          <t>-</t>
        </is>
      </c>
      <c r="AA62" s="1074" t="inlineStr">
        <is>
          <t>-</t>
        </is>
      </c>
      <c r="AB62" s="1074" t="inlineStr">
        <is>
          <t>-</t>
        </is>
      </c>
      <c r="AC62" s="1074" t="inlineStr">
        <is>
          <t>-</t>
        </is>
      </c>
      <c r="AD62" s="1074" t="inlineStr">
        <is>
          <t>-</t>
        </is>
      </c>
      <c r="AE62" s="1074" t="inlineStr"/>
      <c r="AF62" s="1074" t="inlineStr">
        <is>
          <t>-</t>
        </is>
      </c>
      <c r="AG62" s="1074" t="inlineStr">
        <is>
          <t>-</t>
        </is>
      </c>
      <c r="AH62" s="1074" t="inlineStr">
        <is>
          <t>-</t>
        </is>
      </c>
      <c r="AI62" s="1074" t="inlineStr">
        <is>
          <t>-</t>
        </is>
      </c>
      <c r="AJ62" s="1074" t="inlineStr">
        <is>
          <t>-</t>
        </is>
      </c>
      <c r="AK62" s="1074" t="inlineStr">
        <is>
          <t>-</t>
        </is>
      </c>
      <c r="AL62" s="1074" t="inlineStr">
        <is>
          <t>-</t>
        </is>
      </c>
      <c r="AM62" s="1074" t="n"/>
      <c r="AN62" s="1074" t="n"/>
      <c r="AO62" s="1074" t="n"/>
      <c r="AP62" s="1074" t="n"/>
      <c r="AQ62" s="1074" t="n"/>
      <c r="AR62" s="1074" t="n"/>
      <c r="AS62" s="1074" t="n"/>
      <c r="AT62" s="311" t="n"/>
    </row>
    <row r="63" ht="26.25" customFormat="1" customHeight="1" s="366">
      <c r="A63" s="1074" t="inlineStr">
        <is>
          <t>新宝利</t>
        </is>
      </c>
      <c r="B63" s="1074" t="inlineStr">
        <is>
          <t>4156594850</t>
        </is>
      </c>
      <c r="C63" s="1074" t="inlineStr">
        <is>
          <t>朱晋熙</t>
        </is>
      </c>
      <c r="D63" s="1074" t="inlineStr">
        <is>
          <t>林志豪01</t>
        </is>
      </c>
      <c r="E63" s="1074" t="inlineStr">
        <is>
          <t>纯拉新</t>
        </is>
      </c>
      <c r="F63" s="1074" t="n"/>
      <c r="G63" s="1074" t="n"/>
      <c r="H63" s="1074" t="inlineStr">
        <is>
          <t>在读</t>
        </is>
      </c>
      <c r="I63" s="1074" t="inlineStr">
        <is>
          <t>一期</t>
        </is>
      </c>
      <c r="J63" s="1074" t="inlineStr">
        <is>
          <t>5230742</t>
        </is>
      </c>
      <c r="K63" s="1074" t="inlineStr">
        <is>
          <t>校内成绩</t>
        </is>
      </c>
      <c r="L63" s="1074" t="n">
        <v>60</v>
      </c>
      <c r="M63" s="1074" t="n">
        <v>80</v>
      </c>
      <c r="N63" s="1074" t="inlineStr">
        <is>
          <t>何咏04</t>
        </is>
      </c>
      <c r="O63" s="1074" t="inlineStr">
        <is>
          <t>教室2</t>
        </is>
      </c>
      <c r="P63" s="1074" t="inlineStr">
        <is>
          <t>13:20-15:30</t>
        </is>
      </c>
      <c r="Q63" s="1074" t="inlineStr">
        <is>
          <t>潜能班</t>
        </is>
      </c>
      <c r="R63" s="1074" t="inlineStr">
        <is>
          <t>一期</t>
        </is>
      </c>
      <c r="S63" s="1074" t="inlineStr">
        <is>
          <t>在读</t>
        </is>
      </c>
      <c r="T63" s="1074" t="inlineStr">
        <is>
          <t>-</t>
        </is>
      </c>
      <c r="U63" s="1074" t="inlineStr">
        <is>
          <t>5230773</t>
        </is>
      </c>
      <c r="V63" s="1074" t="n"/>
      <c r="W63" s="1074" t="inlineStr">
        <is>
          <t>陈南05</t>
        </is>
      </c>
      <c r="X63" s="1074" t="inlineStr">
        <is>
          <t>教室2</t>
        </is>
      </c>
      <c r="Y63" s="1074" t="inlineStr">
        <is>
          <t>15:50-18:00</t>
        </is>
      </c>
      <c r="Z63" s="1074" t="inlineStr">
        <is>
          <t>潜能班</t>
        </is>
      </c>
      <c r="AA63" s="1074" t="inlineStr">
        <is>
          <t>一期</t>
        </is>
      </c>
      <c r="AB63" s="1074" t="inlineStr">
        <is>
          <t>在读</t>
        </is>
      </c>
      <c r="AC63" s="1074" t="inlineStr">
        <is>
          <t>-</t>
        </is>
      </c>
      <c r="AD63" s="1074" t="inlineStr">
        <is>
          <t>3132888</t>
        </is>
      </c>
      <c r="AE63" s="1074" t="n"/>
      <c r="AF63" s="1074" t="inlineStr">
        <is>
          <t>肖锐03</t>
        </is>
      </c>
      <c r="AG63" s="1074" t="inlineStr">
        <is>
          <t>教室2</t>
        </is>
      </c>
      <c r="AH63" s="1074" t="inlineStr">
        <is>
          <t>10:20-12:30</t>
        </is>
      </c>
      <c r="AI63" s="1074" t="inlineStr">
        <is>
          <t>潜能班</t>
        </is>
      </c>
      <c r="AJ63" s="1074" t="inlineStr">
        <is>
          <t>一期</t>
        </is>
      </c>
      <c r="AK63" s="1074" t="inlineStr">
        <is>
          <t>在读</t>
        </is>
      </c>
      <c r="AL63" s="1074" t="inlineStr">
        <is>
          <t>-</t>
        </is>
      </c>
      <c r="AM63" s="1074" t="n"/>
      <c r="AN63" s="1074" t="n"/>
      <c r="AO63" s="1074" t="n"/>
      <c r="AP63" s="1074" t="n"/>
      <c r="AQ63" s="1074" t="n"/>
      <c r="AR63" s="1074" t="n"/>
      <c r="AS63" s="1074" t="n"/>
      <c r="AT63" s="311" t="n"/>
    </row>
    <row r="64" ht="26.25" customFormat="1" customHeight="1" s="366">
      <c r="A64" s="1074" t="inlineStr">
        <is>
          <t>新宝利</t>
        </is>
      </c>
      <c r="B64" s="1074" t="inlineStr">
        <is>
          <t>4459633645</t>
        </is>
      </c>
      <c r="C64" s="1074" t="inlineStr">
        <is>
          <t>李宸熙</t>
        </is>
      </c>
      <c r="D64" s="1074" t="inlineStr">
        <is>
          <t>王丽</t>
        </is>
      </c>
      <c r="E64" s="1074" t="inlineStr">
        <is>
          <t>新生转介绍</t>
        </is>
      </c>
      <c r="F64" s="1074" t="n"/>
      <c r="G64" s="1074" t="inlineStr">
        <is>
          <t>汪泽烨</t>
        </is>
      </c>
      <c r="H64" s="1074" t="inlineStr">
        <is>
          <t>在读</t>
        </is>
      </c>
      <c r="I64" s="1074" t="inlineStr">
        <is>
          <t>零期</t>
        </is>
      </c>
      <c r="J64" s="1074" t="inlineStr">
        <is>
          <t>3132884</t>
        </is>
      </c>
      <c r="K64" s="1074" t="inlineStr">
        <is>
          <t>校内成绩</t>
        </is>
      </c>
      <c r="L64" s="1074" t="n">
        <v>72</v>
      </c>
      <c r="M64" s="1074" t="n">
        <v>90</v>
      </c>
      <c r="N64" s="1074" t="inlineStr">
        <is>
          <t>田雨涵01</t>
        </is>
      </c>
      <c r="O64" s="1074" t="inlineStr">
        <is>
          <t>教室3</t>
        </is>
      </c>
      <c r="P64" s="1074" t="inlineStr">
        <is>
          <t>13:20-15:30</t>
        </is>
      </c>
      <c r="Q64" s="1074" t="inlineStr">
        <is>
          <t>潜能班</t>
        </is>
      </c>
      <c r="R64" s="1074" t="inlineStr">
        <is>
          <t>零期</t>
        </is>
      </c>
      <c r="S64" s="1074" t="inlineStr">
        <is>
          <t>在读</t>
        </is>
      </c>
      <c r="T64" s="1074" t="inlineStr">
        <is>
          <t>-</t>
        </is>
      </c>
      <c r="U64" s="1074" t="inlineStr">
        <is>
          <t>3132859</t>
        </is>
      </c>
      <c r="V64" s="1074" t="n"/>
      <c r="W64" s="1074" t="inlineStr">
        <is>
          <t>黄铭怡</t>
        </is>
      </c>
      <c r="X64" s="1074" t="inlineStr">
        <is>
          <t>教室2</t>
        </is>
      </c>
      <c r="Y64" s="1074" t="inlineStr">
        <is>
          <t>10:20-12:30</t>
        </is>
      </c>
      <c r="Z64" s="1074" t="inlineStr">
        <is>
          <t>潜能班</t>
        </is>
      </c>
      <c r="AA64" s="1074" t="inlineStr">
        <is>
          <t>零期</t>
        </is>
      </c>
      <c r="AB64" s="1074" t="inlineStr">
        <is>
          <t>在读</t>
        </is>
      </c>
      <c r="AC64" s="1074" t="inlineStr">
        <is>
          <t>-</t>
        </is>
      </c>
      <c r="AD64" s="1074" t="inlineStr">
        <is>
          <t>5230723</t>
        </is>
      </c>
      <c r="AE64" s="1074" t="n"/>
      <c r="AF64" s="1074" t="inlineStr">
        <is>
          <t>肖锐03</t>
        </is>
      </c>
      <c r="AG64" s="1074" t="inlineStr">
        <is>
          <t>教室3</t>
        </is>
      </c>
      <c r="AH64" s="1074" t="inlineStr">
        <is>
          <t>15:50-18:00</t>
        </is>
      </c>
      <c r="AI64" s="1074" t="inlineStr">
        <is>
          <t>潜能班</t>
        </is>
      </c>
      <c r="AJ64" s="1074" t="inlineStr">
        <is>
          <t>零期</t>
        </is>
      </c>
      <c r="AK64" s="1074" t="inlineStr">
        <is>
          <t>在读</t>
        </is>
      </c>
      <c r="AL64" s="1074" t="inlineStr">
        <is>
          <t>-</t>
        </is>
      </c>
      <c r="AM64" s="1074" t="inlineStr">
        <is>
          <t>是</t>
        </is>
      </c>
      <c r="AN64" s="1074" t="inlineStr">
        <is>
          <t>是</t>
        </is>
      </c>
      <c r="AO64" s="1074" t="inlineStr">
        <is>
          <t>是</t>
        </is>
      </c>
      <c r="AP64" s="1074" t="n"/>
      <c r="AQ64" s="1074" t="n"/>
      <c r="AR64" s="1074" t="n"/>
      <c r="AS64" s="1074" t="n"/>
      <c r="AT64" s="311" t="n"/>
    </row>
    <row r="65" ht="26.25" customFormat="1" customHeight="1" s="366">
      <c r="A65" s="1074" t="inlineStr">
        <is>
          <t>新宝利</t>
        </is>
      </c>
      <c r="B65" s="1074" t="inlineStr">
        <is>
          <t>2558522118</t>
        </is>
      </c>
      <c r="C65" s="1074" t="inlineStr">
        <is>
          <t>黄春瀚</t>
        </is>
      </c>
      <c r="D65" s="1074" t="inlineStr">
        <is>
          <t>杨林33</t>
        </is>
      </c>
      <c r="E65" s="1074" t="inlineStr">
        <is>
          <t>纯拉新</t>
        </is>
      </c>
      <c r="F65" s="1074" t="n"/>
      <c r="G65" s="1074" t="n"/>
      <c r="H65" s="1074" t="inlineStr">
        <is>
          <t>在读</t>
        </is>
      </c>
      <c r="I65" s="1074" t="inlineStr">
        <is>
          <t>二期</t>
        </is>
      </c>
      <c r="J65" s="1074" t="inlineStr">
        <is>
          <t>5111034</t>
        </is>
      </c>
      <c r="K65" s="1074" t="inlineStr">
        <is>
          <t>校内成绩</t>
        </is>
      </c>
      <c r="L65" s="1074" t="n">
        <v>60</v>
      </c>
      <c r="M65" s="1074" t="n">
        <v>80</v>
      </c>
      <c r="N65" s="1074" t="inlineStr">
        <is>
          <t>田雨涵01</t>
        </is>
      </c>
      <c r="O65" s="1074" t="inlineStr">
        <is>
          <t>教室4</t>
        </is>
      </c>
      <c r="P65" s="1074" t="inlineStr">
        <is>
          <t>13:20-15:30</t>
        </is>
      </c>
      <c r="Q65" s="1074" t="inlineStr">
        <is>
          <t>潜能班</t>
        </is>
      </c>
      <c r="R65" s="1074" t="inlineStr">
        <is>
          <t>二期</t>
        </is>
      </c>
      <c r="S65" s="1074" t="inlineStr">
        <is>
          <t>在读</t>
        </is>
      </c>
      <c r="T65" s="1074" t="inlineStr">
        <is>
          <t>-</t>
        </is>
      </c>
      <c r="U65" s="1074" t="inlineStr">
        <is>
          <t>4513342</t>
        </is>
      </c>
      <c r="V65" s="1074" t="n"/>
      <c r="W65" s="1074" t="inlineStr">
        <is>
          <t>黄铭怡</t>
        </is>
      </c>
      <c r="X65" s="1074" t="inlineStr">
        <is>
          <t>教室4</t>
        </is>
      </c>
      <c r="Y65" s="1074" t="inlineStr">
        <is>
          <t>10:20-12:30</t>
        </is>
      </c>
      <c r="Z65" s="1074" t="inlineStr">
        <is>
          <t>潜能班</t>
        </is>
      </c>
      <c r="AA65" s="1074" t="inlineStr">
        <is>
          <t>二期</t>
        </is>
      </c>
      <c r="AB65" s="1074" t="inlineStr">
        <is>
          <t>在读</t>
        </is>
      </c>
      <c r="AC65" s="1074" t="inlineStr">
        <is>
          <t>-</t>
        </is>
      </c>
      <c r="AD65" s="1074" t="inlineStr">
        <is>
          <t>4513340</t>
        </is>
      </c>
      <c r="AE65" s="1074" t="n"/>
      <c r="AF65" s="1074" t="inlineStr">
        <is>
          <t>高心怡04</t>
        </is>
      </c>
      <c r="AG65" s="1074" t="inlineStr">
        <is>
          <t>教室4</t>
        </is>
      </c>
      <c r="AH65" s="1074" t="inlineStr">
        <is>
          <t>15:50-18:00</t>
        </is>
      </c>
      <c r="AI65" s="1074" t="inlineStr">
        <is>
          <t>潜能班</t>
        </is>
      </c>
      <c r="AJ65" s="1074" t="inlineStr">
        <is>
          <t>二期</t>
        </is>
      </c>
      <c r="AK65" s="1074" t="inlineStr">
        <is>
          <t>在读</t>
        </is>
      </c>
      <c r="AL65" s="1074" t="inlineStr">
        <is>
          <t>-</t>
        </is>
      </c>
      <c r="AM65" s="1074" t="n"/>
      <c r="AN65" s="1074" t="n"/>
      <c r="AO65" s="1074" t="n"/>
      <c r="AP65" s="1074" t="n"/>
      <c r="AQ65" s="1074" t="n"/>
      <c r="AR65" s="1074" t="n"/>
      <c r="AS65" s="1074" t="n"/>
      <c r="AT65" s="311" t="n"/>
    </row>
    <row r="66" ht="26.25" customFormat="1" customHeight="1" s="366">
      <c r="A66" s="1074" t="inlineStr">
        <is>
          <t>同创汇</t>
        </is>
      </c>
      <c r="B66" s="1074" t="inlineStr">
        <is>
          <t>2524361673</t>
        </is>
      </c>
      <c r="C66" s="1074" t="inlineStr">
        <is>
          <t>刘玺君</t>
        </is>
      </c>
      <c r="D66" s="1074" t="inlineStr">
        <is>
          <t>熊天宝01</t>
        </is>
      </c>
      <c r="E66" s="1074" t="inlineStr">
        <is>
          <t>纯拉新</t>
        </is>
      </c>
      <c r="F66" s="1074" t="n"/>
      <c r="G66" s="1074" t="n"/>
      <c r="H66" s="1074" t="inlineStr">
        <is>
          <t>在读</t>
        </is>
      </c>
      <c r="I66" s="1074" t="inlineStr">
        <is>
          <t>一期</t>
        </is>
      </c>
      <c r="J66" s="1074" t="inlineStr">
        <is>
          <t>5230719</t>
        </is>
      </c>
      <c r="K66" s="1074" t="inlineStr">
        <is>
          <t>校内成绩</t>
        </is>
      </c>
      <c r="L66" s="1074" t="n">
        <v>89</v>
      </c>
      <c r="M66" s="1074" t="n">
        <v>99</v>
      </c>
      <c r="N66" s="1074" t="inlineStr">
        <is>
          <t>陈中帅</t>
        </is>
      </c>
      <c r="O66" s="1074" t="inlineStr">
        <is>
          <t>01智慧林</t>
        </is>
      </c>
      <c r="P66" s="1074" t="inlineStr">
        <is>
          <t>13:20-15:30</t>
        </is>
      </c>
      <c r="Q66" s="1074" t="inlineStr">
        <is>
          <t>启能班</t>
        </is>
      </c>
      <c r="R66" s="1074" t="inlineStr">
        <is>
          <t>一期</t>
        </is>
      </c>
      <c r="S66" s="1074" t="inlineStr">
        <is>
          <t>在读</t>
        </is>
      </c>
      <c r="T66" s="1074" t="inlineStr">
        <is>
          <t>-</t>
        </is>
      </c>
      <c r="U66" s="1074" t="inlineStr">
        <is>
          <t>5230828</t>
        </is>
      </c>
      <c r="V66" s="1074" t="n"/>
      <c r="W66" s="1074" t="inlineStr">
        <is>
          <t>黄铭怡</t>
        </is>
      </c>
      <c r="X66" s="1074" t="inlineStr">
        <is>
          <t>01智慧林</t>
        </is>
      </c>
      <c r="Y66" s="1074" t="inlineStr">
        <is>
          <t>10:20-12:30</t>
        </is>
      </c>
      <c r="Z66" s="1074" t="inlineStr">
        <is>
          <t>潜能班</t>
        </is>
      </c>
      <c r="AA66" s="1074" t="inlineStr">
        <is>
          <t>一期</t>
        </is>
      </c>
      <c r="AB66" s="1074" t="inlineStr">
        <is>
          <t>在读</t>
        </is>
      </c>
      <c r="AC66" s="1074" t="inlineStr">
        <is>
          <t>-</t>
        </is>
      </c>
      <c r="AD66" s="1074" t="inlineStr">
        <is>
          <t>3132869</t>
        </is>
      </c>
      <c r="AE66" s="1074" t="n"/>
      <c r="AF66" s="1074" t="inlineStr">
        <is>
          <t>高心怡04</t>
        </is>
      </c>
      <c r="AG66" s="1074" t="inlineStr">
        <is>
          <t>01智慧林</t>
        </is>
      </c>
      <c r="AH66" s="1074" t="inlineStr">
        <is>
          <t>15:50-18:00</t>
        </is>
      </c>
      <c r="AI66" s="1074" t="inlineStr">
        <is>
          <t>潜能班</t>
        </is>
      </c>
      <c r="AJ66" s="1074" t="inlineStr">
        <is>
          <t>一期</t>
        </is>
      </c>
      <c r="AK66" s="1074" t="inlineStr">
        <is>
          <t>在读</t>
        </is>
      </c>
      <c r="AL66" s="1074" t="inlineStr">
        <is>
          <t>-</t>
        </is>
      </c>
      <c r="AM66" s="1074" t="n"/>
      <c r="AN66" s="1074" t="n"/>
      <c r="AO66" s="1074" t="n"/>
      <c r="AP66" s="1074" t="n"/>
      <c r="AQ66" s="1074" t="n"/>
      <c r="AR66" s="1074" t="n"/>
      <c r="AS66" s="1074" t="n"/>
      <c r="AT66" s="311" t="n"/>
    </row>
    <row r="67" ht="26.25" customFormat="1" customHeight="1" s="366">
      <c r="A67" s="1074" t="inlineStr">
        <is>
          <t>同创汇</t>
        </is>
      </c>
      <c r="B67" s="1074" t="inlineStr">
        <is>
          <t>2578457931</t>
        </is>
      </c>
      <c r="C67" s="1074" t="inlineStr">
        <is>
          <t>海洋</t>
        </is>
      </c>
      <c r="D67" s="1074" t="inlineStr">
        <is>
          <t>戎凯01</t>
        </is>
      </c>
      <c r="E67" s="1074" t="inlineStr">
        <is>
          <t>新生转介绍</t>
        </is>
      </c>
      <c r="F67" s="1074" t="n"/>
      <c r="G67" s="1074" t="inlineStr">
        <is>
          <t>刘亦馨</t>
        </is>
      </c>
      <c r="H67" s="1074" t="inlineStr">
        <is>
          <t>在读</t>
        </is>
      </c>
      <c r="I67" s="1074" t="inlineStr">
        <is>
          <t>一期</t>
        </is>
      </c>
      <c r="J67" s="1074" t="inlineStr">
        <is>
          <t>5230719</t>
        </is>
      </c>
      <c r="K67" s="1074" t="inlineStr">
        <is>
          <t>校内成绩</t>
        </is>
      </c>
      <c r="L67" s="1074" t="n">
        <v>72</v>
      </c>
      <c r="M67" s="1074" t="n">
        <v>90</v>
      </c>
      <c r="N67" s="1074" t="inlineStr">
        <is>
          <t>陈中帅</t>
        </is>
      </c>
      <c r="O67" s="1074" t="inlineStr">
        <is>
          <t>01智慧林</t>
        </is>
      </c>
      <c r="P67" s="1074" t="inlineStr">
        <is>
          <t>13:20-15:30</t>
        </is>
      </c>
      <c r="Q67" s="1074" t="inlineStr">
        <is>
          <t>启能班</t>
        </is>
      </c>
      <c r="R67" s="1074" t="inlineStr">
        <is>
          <t>一期</t>
        </is>
      </c>
      <c r="S67" s="1074" t="inlineStr">
        <is>
          <t>在读</t>
        </is>
      </c>
      <c r="T67" s="1074" t="inlineStr">
        <is>
          <t>-</t>
        </is>
      </c>
      <c r="U67" s="1074" t="inlineStr">
        <is>
          <t>5230828</t>
        </is>
      </c>
      <c r="V67" s="1074" t="n"/>
      <c r="W67" s="1074" t="inlineStr">
        <is>
          <t>黄铭怡</t>
        </is>
      </c>
      <c r="X67" s="1074" t="inlineStr">
        <is>
          <t>01智慧林</t>
        </is>
      </c>
      <c r="Y67" s="1074" t="inlineStr">
        <is>
          <t>10:20-12:30</t>
        </is>
      </c>
      <c r="Z67" s="1074" t="inlineStr">
        <is>
          <t>潜能班</t>
        </is>
      </c>
      <c r="AA67" s="1074" t="inlineStr">
        <is>
          <t>一期</t>
        </is>
      </c>
      <c r="AB67" s="1074" t="inlineStr">
        <is>
          <t>在读</t>
        </is>
      </c>
      <c r="AC67" s="1074" t="inlineStr">
        <is>
          <t>-</t>
        </is>
      </c>
      <c r="AD67" s="1074" t="inlineStr">
        <is>
          <t>3132869</t>
        </is>
      </c>
      <c r="AE67" s="1074" t="n"/>
      <c r="AF67" s="1074" t="inlineStr">
        <is>
          <t>高心怡04</t>
        </is>
      </c>
      <c r="AG67" s="1074" t="inlineStr">
        <is>
          <t>01智慧林</t>
        </is>
      </c>
      <c r="AH67" s="1074" t="inlineStr">
        <is>
          <t>15:50-18:00</t>
        </is>
      </c>
      <c r="AI67" s="1074" t="inlineStr">
        <is>
          <t>潜能班</t>
        </is>
      </c>
      <c r="AJ67" s="1074" t="inlineStr">
        <is>
          <t>一期</t>
        </is>
      </c>
      <c r="AK67" s="1074" t="inlineStr">
        <is>
          <t>在读</t>
        </is>
      </c>
      <c r="AL67" s="1074" t="inlineStr">
        <is>
          <t>-</t>
        </is>
      </c>
      <c r="AM67" s="1074" t="n"/>
      <c r="AN67" s="1074" t="n"/>
      <c r="AO67" s="1074" t="n"/>
      <c r="AP67" s="1074" t="n"/>
      <c r="AQ67" s="1074" t="n"/>
      <c r="AR67" s="1074" t="n"/>
      <c r="AS67" s="1074" t="n"/>
      <c r="AT67" s="311" t="n"/>
    </row>
    <row r="68" ht="26.25" customFormat="1" customHeight="1" s="366">
      <c r="A68" s="1074" t="inlineStr">
        <is>
          <t>同创汇</t>
        </is>
      </c>
      <c r="B68" s="1074" t="inlineStr">
        <is>
          <t>2937587526</t>
        </is>
      </c>
      <c r="C68" s="1074" t="inlineStr">
        <is>
          <t>陈骏骁</t>
        </is>
      </c>
      <c r="D68" s="1074" t="inlineStr">
        <is>
          <t>熊天宝01</t>
        </is>
      </c>
      <c r="E68" s="1074" t="inlineStr">
        <is>
          <t>纯拉新</t>
        </is>
      </c>
      <c r="F68" s="1074" t="n"/>
      <c r="G68" s="1074" t="n"/>
      <c r="H68" s="1074" t="inlineStr">
        <is>
          <t>在读</t>
        </is>
      </c>
      <c r="I68" s="1074" t="inlineStr">
        <is>
          <t>一期</t>
        </is>
      </c>
      <c r="J68" s="1074" t="inlineStr">
        <is>
          <t>5230719</t>
        </is>
      </c>
      <c r="K68" s="1074" t="inlineStr">
        <is>
          <t>校内成绩</t>
        </is>
      </c>
      <c r="L68" s="1074" t="n">
        <v>72</v>
      </c>
      <c r="M68" s="1074" t="n">
        <v>90</v>
      </c>
      <c r="N68" s="1074" t="inlineStr">
        <is>
          <t>陈中帅</t>
        </is>
      </c>
      <c r="O68" s="1074" t="inlineStr">
        <is>
          <t>01智慧林</t>
        </is>
      </c>
      <c r="P68" s="1074" t="inlineStr">
        <is>
          <t>13:20-15:30</t>
        </is>
      </c>
      <c r="Q68" s="1074" t="inlineStr">
        <is>
          <t>启能班</t>
        </is>
      </c>
      <c r="R68" s="1074" t="inlineStr">
        <is>
          <t>一期</t>
        </is>
      </c>
      <c r="S68" s="1074" t="inlineStr">
        <is>
          <t>在读</t>
        </is>
      </c>
      <c r="T68" s="1074" t="inlineStr">
        <is>
          <t>-</t>
        </is>
      </c>
      <c r="U68" s="1074" t="inlineStr">
        <is>
          <t>5230828</t>
        </is>
      </c>
      <c r="V68" s="1074" t="n"/>
      <c r="W68" s="1074" t="inlineStr">
        <is>
          <t>黄铭怡</t>
        </is>
      </c>
      <c r="X68" s="1074" t="inlineStr">
        <is>
          <t>01智慧林</t>
        </is>
      </c>
      <c r="Y68" s="1074" t="inlineStr">
        <is>
          <t>10:20-12:30</t>
        </is>
      </c>
      <c r="Z68" s="1074" t="inlineStr">
        <is>
          <t>潜能班</t>
        </is>
      </c>
      <c r="AA68" s="1074" t="inlineStr">
        <is>
          <t>一期</t>
        </is>
      </c>
      <c r="AB68" s="1074" t="inlineStr">
        <is>
          <t>在读</t>
        </is>
      </c>
      <c r="AC68" s="1074" t="inlineStr">
        <is>
          <t>-</t>
        </is>
      </c>
      <c r="AD68" s="1074" t="inlineStr">
        <is>
          <t>3132869</t>
        </is>
      </c>
      <c r="AE68" s="1074" t="n"/>
      <c r="AF68" s="1074" t="inlineStr">
        <is>
          <t>高心怡04</t>
        </is>
      </c>
      <c r="AG68" s="1074" t="inlineStr">
        <is>
          <t>01智慧林</t>
        </is>
      </c>
      <c r="AH68" s="1074" t="inlineStr">
        <is>
          <t>15:50-18:00</t>
        </is>
      </c>
      <c r="AI68" s="1074" t="inlineStr">
        <is>
          <t>潜能班</t>
        </is>
      </c>
      <c r="AJ68" s="1074" t="inlineStr">
        <is>
          <t>一期</t>
        </is>
      </c>
      <c r="AK68" s="1074" t="inlineStr">
        <is>
          <t>在读</t>
        </is>
      </c>
      <c r="AL68" s="1074" t="inlineStr">
        <is>
          <t>-</t>
        </is>
      </c>
      <c r="AM68" s="1074" t="n"/>
      <c r="AN68" s="1074" t="n"/>
      <c r="AO68" s="1074" t="n"/>
      <c r="AP68" s="1074" t="n"/>
      <c r="AQ68" s="1074" t="n"/>
      <c r="AR68" s="1074" t="n"/>
      <c r="AS68" s="1074" t="n"/>
      <c r="AT68" s="311" t="n"/>
    </row>
    <row r="69" ht="26.25" customFormat="1" customHeight="1" s="366">
      <c r="A69" s="1074" t="inlineStr">
        <is>
          <t>同创汇</t>
        </is>
      </c>
      <c r="B69" s="1074" t="inlineStr">
        <is>
          <t>4111183270</t>
        </is>
      </c>
      <c r="C69" s="1074" t="inlineStr">
        <is>
          <t>蒋沁原</t>
        </is>
      </c>
      <c r="D69" s="1074" t="inlineStr">
        <is>
          <t>龙倩敏</t>
        </is>
      </c>
      <c r="E69" s="1074" t="inlineStr">
        <is>
          <t>纯拉新</t>
        </is>
      </c>
      <c r="F69" s="1074" t="n"/>
      <c r="G69" s="1074" t="n"/>
      <c r="H69" s="1074" t="inlineStr">
        <is>
          <t>在读</t>
        </is>
      </c>
      <c r="I69" s="1074" t="inlineStr">
        <is>
          <t>零期</t>
        </is>
      </c>
      <c r="J69" s="1074" t="inlineStr">
        <is>
          <t>5230814</t>
        </is>
      </c>
      <c r="K69" s="1074" t="inlineStr">
        <is>
          <t>校内成绩</t>
        </is>
      </c>
      <c r="L69" s="1074" t="n">
        <v>74</v>
      </c>
      <c r="M69" s="1074" t="n">
        <v>92</v>
      </c>
      <c r="N69" s="1074" t="inlineStr">
        <is>
          <t>陈中帅</t>
        </is>
      </c>
      <c r="O69" s="1074" t="inlineStr">
        <is>
          <t>02彩虹桥</t>
        </is>
      </c>
      <c r="P69" s="1074" t="inlineStr">
        <is>
          <t>07:50-10:00</t>
        </is>
      </c>
      <c r="Q69" s="1074" t="inlineStr">
        <is>
          <t>启能班</t>
        </is>
      </c>
      <c r="R69" s="1074" t="inlineStr">
        <is>
          <t>零期</t>
        </is>
      </c>
      <c r="S69" s="1074" t="inlineStr">
        <is>
          <t>在读</t>
        </is>
      </c>
      <c r="T69" s="1074" t="inlineStr">
        <is>
          <t>-</t>
        </is>
      </c>
      <c r="U69" s="1074" t="inlineStr">
        <is>
          <t>5230722</t>
        </is>
      </c>
      <c r="V69" s="1074" t="n"/>
      <c r="W69" s="1074" t="inlineStr">
        <is>
          <t>李润</t>
        </is>
      </c>
      <c r="X69" s="1074" t="inlineStr">
        <is>
          <t>01智慧林</t>
        </is>
      </c>
      <c r="Y69" s="1074" t="inlineStr">
        <is>
          <t>15:50-18:00</t>
        </is>
      </c>
      <c r="Z69" s="1074" t="inlineStr">
        <is>
          <t>潜能班</t>
        </is>
      </c>
      <c r="AA69" s="1074" t="inlineStr">
        <is>
          <t>零期</t>
        </is>
      </c>
      <c r="AB69" s="1074" t="inlineStr">
        <is>
          <t>在读</t>
        </is>
      </c>
      <c r="AC69" s="1074" t="inlineStr">
        <is>
          <t>-</t>
        </is>
      </c>
      <c r="AD69" s="1074" t="inlineStr">
        <is>
          <t>5230765</t>
        </is>
      </c>
      <c r="AE69" s="1074" t="n"/>
      <c r="AF69" s="1074" t="inlineStr">
        <is>
          <t>刘希子</t>
        </is>
      </c>
      <c r="AG69" s="1074" t="inlineStr">
        <is>
          <t>02彩虹桥</t>
        </is>
      </c>
      <c r="AH69" s="1074" t="inlineStr">
        <is>
          <t>10:20-12:30</t>
        </is>
      </c>
      <c r="AI69" s="1074" t="inlineStr">
        <is>
          <t>潜能班</t>
        </is>
      </c>
      <c r="AJ69" s="1074" t="inlineStr">
        <is>
          <t>零期</t>
        </is>
      </c>
      <c r="AK69" s="1074" t="inlineStr">
        <is>
          <t>在读</t>
        </is>
      </c>
      <c r="AL69" s="1074" t="inlineStr">
        <is>
          <t>-</t>
        </is>
      </c>
      <c r="AM69" s="1074" t="inlineStr">
        <is>
          <t>是</t>
        </is>
      </c>
      <c r="AN69" s="1074" t="inlineStr">
        <is>
          <t>是</t>
        </is>
      </c>
      <c r="AO69" s="1074" t="inlineStr">
        <is>
          <t>是</t>
        </is>
      </c>
      <c r="AP69" s="1074" t="n"/>
      <c r="AQ69" s="1074" t="n"/>
      <c r="AR69" s="1074" t="inlineStr">
        <is>
          <t>B</t>
        </is>
      </c>
      <c r="AS69" s="1074" t="n"/>
      <c r="AT69" s="311" t="n"/>
    </row>
    <row r="70" ht="26.25" customFormat="1" customHeight="1" s="366">
      <c r="A70" s="1074" t="inlineStr">
        <is>
          <t>新宝利</t>
        </is>
      </c>
      <c r="B70" s="1074" t="inlineStr">
        <is>
          <t>4840889658</t>
        </is>
      </c>
      <c r="C70" s="1074" t="inlineStr">
        <is>
          <t>范熙宗</t>
        </is>
      </c>
      <c r="D70" s="1074" t="inlineStr">
        <is>
          <t>杨林33</t>
        </is>
      </c>
      <c r="E70" s="1074" t="inlineStr">
        <is>
          <t>纯拉新</t>
        </is>
      </c>
      <c r="F70" s="1074" t="n"/>
      <c r="G70" s="1074" t="n"/>
      <c r="H70" s="1074" t="inlineStr">
        <is>
          <t>在读</t>
        </is>
      </c>
      <c r="I70" s="1074" t="inlineStr">
        <is>
          <t>零期</t>
        </is>
      </c>
      <c r="J70" s="1074" t="inlineStr">
        <is>
          <t>3132884</t>
        </is>
      </c>
      <c r="K70" s="1074" t="inlineStr">
        <is>
          <t>校内成绩</t>
        </is>
      </c>
      <c r="L70" s="1074" t="n">
        <v>64</v>
      </c>
      <c r="M70" s="1074" t="n">
        <v>85</v>
      </c>
      <c r="N70" s="1074" t="inlineStr">
        <is>
          <t>田雨涵01</t>
        </is>
      </c>
      <c r="O70" s="1074" t="inlineStr">
        <is>
          <t>教室3</t>
        </is>
      </c>
      <c r="P70" s="1074" t="inlineStr">
        <is>
          <t>13:20-15:30</t>
        </is>
      </c>
      <c r="Q70" s="1074" t="inlineStr">
        <is>
          <t>潜能班</t>
        </is>
      </c>
      <c r="R70" s="1074" t="inlineStr">
        <is>
          <t>零期</t>
        </is>
      </c>
      <c r="S70" s="1074" t="inlineStr">
        <is>
          <t>在读</t>
        </is>
      </c>
      <c r="T70" s="1074" t="inlineStr">
        <is>
          <t>-</t>
        </is>
      </c>
      <c r="U70" s="1074" t="inlineStr">
        <is>
          <t>4513265</t>
        </is>
      </c>
      <c r="V70" s="1074" t="n"/>
      <c r="W70" s="1074" t="inlineStr">
        <is>
          <t>李润</t>
        </is>
      </c>
      <c r="X70" s="1074" t="inlineStr">
        <is>
          <t>教室3</t>
        </is>
      </c>
      <c r="Y70" s="1074" t="inlineStr">
        <is>
          <t>10:20-12:30</t>
        </is>
      </c>
      <c r="Z70" s="1074" t="inlineStr">
        <is>
          <t>潜能班</t>
        </is>
      </c>
      <c r="AA70" s="1074" t="inlineStr">
        <is>
          <t>零期</t>
        </is>
      </c>
      <c r="AB70" s="1074" t="inlineStr">
        <is>
          <t>在读</t>
        </is>
      </c>
      <c r="AC70" s="1074" t="inlineStr">
        <is>
          <t>-</t>
        </is>
      </c>
      <c r="AD70" s="1074" t="inlineStr">
        <is>
          <t>5230723</t>
        </is>
      </c>
      <c r="AE70" s="1074" t="n"/>
      <c r="AF70" s="1074" t="inlineStr">
        <is>
          <t>肖锐03</t>
        </is>
      </c>
      <c r="AG70" s="1074" t="inlineStr">
        <is>
          <t>教室3</t>
        </is>
      </c>
      <c r="AH70" s="1074" t="inlineStr">
        <is>
          <t>15:50-18:00</t>
        </is>
      </c>
      <c r="AI70" s="1074" t="inlineStr">
        <is>
          <t>潜能班</t>
        </is>
      </c>
      <c r="AJ70" s="1074" t="inlineStr">
        <is>
          <t>零期</t>
        </is>
      </c>
      <c r="AK70" s="1074" t="inlineStr">
        <is>
          <t>在读</t>
        </is>
      </c>
      <c r="AL70" s="1074" t="inlineStr">
        <is>
          <t>-</t>
        </is>
      </c>
      <c r="AM70" s="1074" t="inlineStr">
        <is>
          <t>是</t>
        </is>
      </c>
      <c r="AN70" s="1074" t="inlineStr">
        <is>
          <t>是</t>
        </is>
      </c>
      <c r="AO70" s="1074" t="inlineStr">
        <is>
          <t>是</t>
        </is>
      </c>
      <c r="AP70" s="1074" t="n"/>
      <c r="AQ70" s="1074" t="n"/>
      <c r="AR70" s="1074" t="n"/>
      <c r="AS70" s="1074" t="n"/>
      <c r="AT70" s="311" t="n"/>
    </row>
    <row r="71" ht="26.25" customFormat="1" customHeight="1" s="366">
      <c r="A71" s="1074" t="inlineStr">
        <is>
          <t>同创汇</t>
        </is>
      </c>
      <c r="B71" s="1074" t="inlineStr">
        <is>
          <t>4399390086</t>
        </is>
      </c>
      <c r="C71" s="1074" t="inlineStr">
        <is>
          <t>丘平川</t>
        </is>
      </c>
      <c r="D71" s="1074" t="inlineStr">
        <is>
          <t>王丽</t>
        </is>
      </c>
      <c r="E71" s="1074" t="inlineStr">
        <is>
          <t>纯拉新</t>
        </is>
      </c>
      <c r="F71" s="1074" t="n"/>
      <c r="G71" s="1074" t="n"/>
      <c r="H71" s="1074" t="inlineStr">
        <is>
          <t>在读</t>
        </is>
      </c>
      <c r="I71" s="1074" t="inlineStr">
        <is>
          <t>一期/二期</t>
        </is>
      </c>
      <c r="J71" s="1074" t="inlineStr">
        <is>
          <t>5230802</t>
        </is>
      </c>
      <c r="K71" s="1074" t="inlineStr">
        <is>
          <t>校内成绩</t>
        </is>
      </c>
      <c r="L71" s="1074" t="n">
        <v>72</v>
      </c>
      <c r="M71" s="1074" t="n">
        <v>90</v>
      </c>
      <c r="N71" s="1074" t="inlineStr">
        <is>
          <t>田雨涵01</t>
        </is>
      </c>
      <c r="O71" s="1074" t="inlineStr">
        <is>
          <t>02彩虹桥</t>
        </is>
      </c>
      <c r="P71" s="1074" t="inlineStr">
        <is>
          <t>15:50-18:00</t>
        </is>
      </c>
      <c r="Q71" s="1074" t="inlineStr">
        <is>
          <t>潜能班</t>
        </is>
      </c>
      <c r="R71" s="1074" t="inlineStr">
        <is>
          <t>一期</t>
        </is>
      </c>
      <c r="S71" s="1074" t="inlineStr">
        <is>
          <t>在读</t>
        </is>
      </c>
      <c r="T71" s="1074" t="inlineStr">
        <is>
          <t>-</t>
        </is>
      </c>
      <c r="U71" s="1074" t="inlineStr">
        <is>
          <t>5230809</t>
        </is>
      </c>
      <c r="V71" s="1074" t="n"/>
      <c r="W71" s="1074" t="inlineStr">
        <is>
          <t>李润</t>
        </is>
      </c>
      <c r="X71" s="1074" t="inlineStr">
        <is>
          <t>01智慧林</t>
        </is>
      </c>
      <c r="Y71" s="1074" t="inlineStr">
        <is>
          <t>10:20-12:30</t>
        </is>
      </c>
      <c r="Z71" s="1074" t="inlineStr">
        <is>
          <t>潜能班</t>
        </is>
      </c>
      <c r="AA71" s="1074" t="inlineStr">
        <is>
          <t>二期</t>
        </is>
      </c>
      <c r="AB71" s="1074" t="inlineStr">
        <is>
          <t>在读</t>
        </is>
      </c>
      <c r="AC71" s="1074" t="inlineStr">
        <is>
          <t>-</t>
        </is>
      </c>
      <c r="AD71" s="1074" t="inlineStr">
        <is>
          <t>3132837</t>
        </is>
      </c>
      <c r="AE71" s="1074" t="n"/>
      <c r="AF71" s="1074" t="inlineStr">
        <is>
          <t>高心怡04</t>
        </is>
      </c>
      <c r="AG71" s="1074" t="inlineStr">
        <is>
          <t>02彩虹桥</t>
        </is>
      </c>
      <c r="AH71" s="1074" t="inlineStr">
        <is>
          <t>13:20-15:30</t>
        </is>
      </c>
      <c r="AI71" s="1074" t="inlineStr">
        <is>
          <t>潜能班</t>
        </is>
      </c>
      <c r="AJ71" s="1074" t="inlineStr">
        <is>
          <t>一期</t>
        </is>
      </c>
      <c r="AK71" s="1074" t="inlineStr">
        <is>
          <t>在读</t>
        </is>
      </c>
      <c r="AL71" s="1074" t="inlineStr">
        <is>
          <t>-</t>
        </is>
      </c>
      <c r="AM71" s="1074" t="n"/>
      <c r="AN71" s="1074" t="n"/>
      <c r="AO71" s="1074" t="n"/>
      <c r="AP71" s="1074" t="n"/>
      <c r="AQ71" s="1074" t="n"/>
      <c r="AR71" s="1074" t="n"/>
      <c r="AS71" s="1074" t="n"/>
      <c r="AT71" s="311" t="n"/>
    </row>
    <row r="72" ht="26.25" customFormat="1" customHeight="1" s="366">
      <c r="A72" s="1074" t="inlineStr">
        <is>
          <t>同创汇</t>
        </is>
      </c>
      <c r="B72" s="1074" t="inlineStr">
        <is>
          <t>2577448328</t>
        </is>
      </c>
      <c r="C72" s="1074" t="inlineStr">
        <is>
          <t>尹思韬</t>
        </is>
      </c>
      <c r="D72" s="1074" t="inlineStr">
        <is>
          <t>林志豪01</t>
        </is>
      </c>
      <c r="E72" s="1074" t="inlineStr">
        <is>
          <t>纯拉新</t>
        </is>
      </c>
      <c r="F72" s="1074" t="n"/>
      <c r="G72" s="1074" t="n"/>
      <c r="H72" s="1074" t="inlineStr">
        <is>
          <t>在读</t>
        </is>
      </c>
      <c r="I72" s="1074" t="inlineStr">
        <is>
          <t>零期</t>
        </is>
      </c>
      <c r="J72" s="1074" t="inlineStr">
        <is>
          <t>3132897</t>
        </is>
      </c>
      <c r="K72" s="1074" t="inlineStr">
        <is>
          <t>校内成绩</t>
        </is>
      </c>
      <c r="L72" s="1074" t="n">
        <v>88</v>
      </c>
      <c r="M72" s="1074" t="n">
        <v>98</v>
      </c>
      <c r="N72" s="1074" t="inlineStr">
        <is>
          <t>陈中帅</t>
        </is>
      </c>
      <c r="O72" s="1074" t="inlineStr">
        <is>
          <t>01智慧林</t>
        </is>
      </c>
      <c r="P72" s="1074" t="inlineStr">
        <is>
          <t>10:20-12:30</t>
        </is>
      </c>
      <c r="Q72" s="1074" t="inlineStr">
        <is>
          <t>潜能班</t>
        </is>
      </c>
      <c r="R72" s="1074" t="inlineStr">
        <is>
          <t>零期</t>
        </is>
      </c>
      <c r="S72" s="1074" t="inlineStr">
        <is>
          <t>在读</t>
        </is>
      </c>
      <c r="T72" s="1074" t="inlineStr">
        <is>
          <t>-</t>
        </is>
      </c>
      <c r="U72" s="1074" t="inlineStr">
        <is>
          <t>5230722</t>
        </is>
      </c>
      <c r="V72" s="1074" t="n"/>
      <c r="W72" s="1074" t="inlineStr">
        <is>
          <t>李润</t>
        </is>
      </c>
      <c r="X72" s="1074" t="inlineStr">
        <is>
          <t>01智慧林</t>
        </is>
      </c>
      <c r="Y72" s="1074" t="inlineStr">
        <is>
          <t>15:50-18:00</t>
        </is>
      </c>
      <c r="Z72" s="1074" t="inlineStr">
        <is>
          <t>潜能班</t>
        </is>
      </c>
      <c r="AA72" s="1074" t="inlineStr">
        <is>
          <t>零期</t>
        </is>
      </c>
      <c r="AB72" s="1074" t="inlineStr">
        <is>
          <t>在读</t>
        </is>
      </c>
      <c r="AC72" s="1074" t="inlineStr">
        <is>
          <t>-</t>
        </is>
      </c>
      <c r="AD72" s="1074" t="inlineStr">
        <is>
          <t>5230737</t>
        </is>
      </c>
      <c r="AE72" s="1074" t="n"/>
      <c r="AF72" s="1074" t="inlineStr">
        <is>
          <t>高心怡04</t>
        </is>
      </c>
      <c r="AG72" s="1074" t="inlineStr">
        <is>
          <t>01智慧林</t>
        </is>
      </c>
      <c r="AH72" s="1074" t="inlineStr">
        <is>
          <t>13:20-15:30</t>
        </is>
      </c>
      <c r="AI72" s="1074" t="inlineStr">
        <is>
          <t>潜能班</t>
        </is>
      </c>
      <c r="AJ72" s="1074" t="inlineStr">
        <is>
          <t>零期</t>
        </is>
      </c>
      <c r="AK72" s="1074" t="inlineStr">
        <is>
          <t>在读</t>
        </is>
      </c>
      <c r="AL72" s="1074" t="inlineStr">
        <is>
          <t>-</t>
        </is>
      </c>
      <c r="AM72" s="1074" t="inlineStr">
        <is>
          <t>是</t>
        </is>
      </c>
      <c r="AN72" s="1074" t="inlineStr">
        <is>
          <t>是</t>
        </is>
      </c>
      <c r="AO72" s="1074" t="inlineStr">
        <is>
          <t>是</t>
        </is>
      </c>
      <c r="AP72" s="1074" t="n"/>
      <c r="AQ72" s="1074" t="n"/>
      <c r="AR72" s="1074" t="n"/>
      <c r="AS72" s="1074" t="n"/>
      <c r="AT72" s="311" t="n"/>
    </row>
    <row r="73" ht="26.25" customFormat="1" customHeight="1" s="366">
      <c r="A73" s="1074" t="inlineStr">
        <is>
          <t>同创汇</t>
        </is>
      </c>
      <c r="B73" s="1074" t="inlineStr">
        <is>
          <t>4521435533</t>
        </is>
      </c>
      <c r="C73" s="1074" t="inlineStr">
        <is>
          <t>曾泓皓</t>
        </is>
      </c>
      <c r="D73" s="1074" t="inlineStr">
        <is>
          <t>王丽</t>
        </is>
      </c>
      <c r="E73" s="1074" t="inlineStr">
        <is>
          <t>纯拉新</t>
        </is>
      </c>
      <c r="F73" s="1074" t="n"/>
      <c r="G73" s="1074" t="n"/>
      <c r="H73" s="1074" t="inlineStr">
        <is>
          <t>在读</t>
        </is>
      </c>
      <c r="I73" s="1074" t="inlineStr">
        <is>
          <t>零期</t>
        </is>
      </c>
      <c r="J73" s="1074" t="inlineStr">
        <is>
          <t>5230806</t>
        </is>
      </c>
      <c r="K73" s="1074" t="inlineStr">
        <is>
          <t>校内成绩</t>
        </is>
      </c>
      <c r="L73" s="1074" t="n">
        <v>53</v>
      </c>
      <c r="M73" s="1074" t="n">
        <v>70</v>
      </c>
      <c r="N73" s="1074" t="inlineStr">
        <is>
          <t>田雨涵01</t>
        </is>
      </c>
      <c r="O73" s="1074" t="inlineStr">
        <is>
          <t>03识海阁</t>
        </is>
      </c>
      <c r="P73" s="1074" t="inlineStr">
        <is>
          <t>10:20-12:30</t>
        </is>
      </c>
      <c r="Q73" s="1074" t="inlineStr">
        <is>
          <t>潜能班</t>
        </is>
      </c>
      <c r="R73" s="1074" t="inlineStr">
        <is>
          <t>零期</t>
        </is>
      </c>
      <c r="S73" s="1074" t="inlineStr">
        <is>
          <t>在读</t>
        </is>
      </c>
      <c r="T73" s="1074" t="inlineStr">
        <is>
          <t>是</t>
        </is>
      </c>
      <c r="U73" s="1074" t="inlineStr">
        <is>
          <t>5170872</t>
        </is>
      </c>
      <c r="V73" s="1074" t="n"/>
      <c r="W73" s="1074" t="inlineStr">
        <is>
          <t>陈南05</t>
        </is>
      </c>
      <c r="X73" s="1074" t="inlineStr">
        <is>
          <t>03识海阁</t>
        </is>
      </c>
      <c r="Y73" s="1074" t="inlineStr">
        <is>
          <t>13:20-15:30</t>
        </is>
      </c>
      <c r="Z73" s="1074" t="inlineStr">
        <is>
          <t>潜能班</t>
        </is>
      </c>
      <c r="AA73" s="1074" t="inlineStr">
        <is>
          <t>零期</t>
        </is>
      </c>
      <c r="AB73" s="1074" t="inlineStr">
        <is>
          <t>在读</t>
        </is>
      </c>
      <c r="AC73" s="1074" t="inlineStr">
        <is>
          <t>是</t>
        </is>
      </c>
      <c r="AD73" s="1074" t="inlineStr">
        <is>
          <t>3132865</t>
        </is>
      </c>
      <c r="AE73" s="1074" t="n"/>
      <c r="AF73" s="1074" t="inlineStr">
        <is>
          <t>刘希子</t>
        </is>
      </c>
      <c r="AG73" s="1074" t="inlineStr">
        <is>
          <t>03识海阁</t>
        </is>
      </c>
      <c r="AH73" s="1074" t="inlineStr">
        <is>
          <t>15:50-18:00</t>
        </is>
      </c>
      <c r="AI73" s="1074" t="inlineStr">
        <is>
          <t>潜能班</t>
        </is>
      </c>
      <c r="AJ73" s="1074" t="inlineStr">
        <is>
          <t>零期</t>
        </is>
      </c>
      <c r="AK73" s="1074" t="inlineStr">
        <is>
          <t>在读</t>
        </is>
      </c>
      <c r="AL73" s="1074" t="inlineStr">
        <is>
          <t>-</t>
        </is>
      </c>
      <c r="AM73" s="1074" t="inlineStr">
        <is>
          <t>是</t>
        </is>
      </c>
      <c r="AN73" s="1074" t="inlineStr">
        <is>
          <t>否</t>
        </is>
      </c>
      <c r="AO73" s="1074" t="inlineStr">
        <is>
          <t>否</t>
        </is>
      </c>
      <c r="AP73" s="1074" t="n"/>
      <c r="AQ73" s="1074" t="n"/>
      <c r="AR73" s="1074" t="n"/>
      <c r="AS73" s="1074" t="n"/>
      <c r="AT73" s="311" t="n"/>
    </row>
    <row r="74" ht="26.25" customFormat="1" customHeight="1" s="366">
      <c r="A74" s="1074" t="inlineStr">
        <is>
          <t>同创汇</t>
        </is>
      </c>
      <c r="B74" s="1074" t="inlineStr">
        <is>
          <t>4042838194</t>
        </is>
      </c>
      <c r="C74" s="1074" t="inlineStr">
        <is>
          <t>吴俊康</t>
        </is>
      </c>
      <c r="D74" s="1074" t="inlineStr">
        <is>
          <t>戎凯01</t>
        </is>
      </c>
      <c r="E74" s="1074" t="inlineStr">
        <is>
          <t>纯拉新</t>
        </is>
      </c>
      <c r="F74" s="1074" t="n"/>
      <c r="G74" s="1074" t="n"/>
      <c r="H74" s="1074" t="inlineStr">
        <is>
          <t>在读</t>
        </is>
      </c>
      <c r="I74" s="1074" t="inlineStr">
        <is>
          <t>零期</t>
        </is>
      </c>
      <c r="J74" s="1074" t="inlineStr">
        <is>
          <t>5230806</t>
        </is>
      </c>
      <c r="K74" s="1074" t="inlineStr">
        <is>
          <t>校内成绩</t>
        </is>
      </c>
      <c r="L74" s="1074" t="n">
        <v>74</v>
      </c>
      <c r="M74" s="1074" t="n">
        <v>92</v>
      </c>
      <c r="N74" s="1074" t="inlineStr">
        <is>
          <t>田雨涵01</t>
        </is>
      </c>
      <c r="O74" s="1074" t="inlineStr">
        <is>
          <t>03识海阁</t>
        </is>
      </c>
      <c r="P74" s="1074" t="inlineStr">
        <is>
          <t>10:20-12:30</t>
        </is>
      </c>
      <c r="Q74" s="1074" t="inlineStr">
        <is>
          <t>潜能班</t>
        </is>
      </c>
      <c r="R74" s="1074" t="inlineStr">
        <is>
          <t>零期</t>
        </is>
      </c>
      <c r="S74" s="1074" t="inlineStr">
        <is>
          <t>在读</t>
        </is>
      </c>
      <c r="T74" s="1074" t="inlineStr">
        <is>
          <t>是</t>
        </is>
      </c>
      <c r="U74" s="1074" t="inlineStr">
        <is>
          <t>5170872</t>
        </is>
      </c>
      <c r="V74" s="1074" t="n"/>
      <c r="W74" s="1074" t="inlineStr">
        <is>
          <t>陈南05</t>
        </is>
      </c>
      <c r="X74" s="1074" t="inlineStr">
        <is>
          <t>03识海阁</t>
        </is>
      </c>
      <c r="Y74" s="1074" t="inlineStr">
        <is>
          <t>13:20-15:30</t>
        </is>
      </c>
      <c r="Z74" s="1074" t="inlineStr">
        <is>
          <t>潜能班</t>
        </is>
      </c>
      <c r="AA74" s="1074" t="inlineStr">
        <is>
          <t>零期</t>
        </is>
      </c>
      <c r="AB74" s="1074" t="inlineStr">
        <is>
          <t>在读</t>
        </is>
      </c>
      <c r="AC74" s="1074" t="inlineStr">
        <is>
          <t>是</t>
        </is>
      </c>
      <c r="AD74" s="1074" t="inlineStr">
        <is>
          <t>3132865</t>
        </is>
      </c>
      <c r="AE74" s="1074" t="n"/>
      <c r="AF74" s="1074" t="inlineStr">
        <is>
          <t>刘希子</t>
        </is>
      </c>
      <c r="AG74" s="1074" t="inlineStr">
        <is>
          <t>03识海阁</t>
        </is>
      </c>
      <c r="AH74" s="1074" t="inlineStr">
        <is>
          <t>15:50-18:00</t>
        </is>
      </c>
      <c r="AI74" s="1074" t="inlineStr">
        <is>
          <t>潜能班</t>
        </is>
      </c>
      <c r="AJ74" s="1074" t="inlineStr">
        <is>
          <t>零期</t>
        </is>
      </c>
      <c r="AK74" s="1074" t="inlineStr">
        <is>
          <t>在读</t>
        </is>
      </c>
      <c r="AL74" s="1074" t="inlineStr">
        <is>
          <t>是</t>
        </is>
      </c>
      <c r="AM74" s="1074" t="inlineStr">
        <is>
          <t>是</t>
        </is>
      </c>
      <c r="AN74" s="1074" t="inlineStr">
        <is>
          <t>是</t>
        </is>
      </c>
      <c r="AO74" s="1074" t="inlineStr">
        <is>
          <t>是</t>
        </is>
      </c>
      <c r="AP74" s="1074" t="n"/>
      <c r="AQ74" s="1074" t="n"/>
      <c r="AR74" s="1074" t="n"/>
      <c r="AS74" s="1074" t="n"/>
      <c r="AT74" s="311" t="n"/>
    </row>
    <row r="75" ht="26.25" customFormat="1" customHeight="1" s="366">
      <c r="A75" s="1074" t="inlineStr">
        <is>
          <t>同创汇</t>
        </is>
      </c>
      <c r="B75" s="1074" t="inlineStr">
        <is>
          <t>4841600400</t>
        </is>
      </c>
      <c r="C75" s="1074" t="inlineStr">
        <is>
          <t>刘映彤</t>
        </is>
      </c>
      <c r="D75" s="1074" t="inlineStr">
        <is>
          <t>王丽</t>
        </is>
      </c>
      <c r="E75" s="1074" t="inlineStr">
        <is>
          <t>新生转介绍</t>
        </is>
      </c>
      <c r="F75" s="1074" t="n"/>
      <c r="G75" s="1074" t="inlineStr">
        <is>
          <t>汪泽烨</t>
        </is>
      </c>
      <c r="H75" s="1074" t="inlineStr">
        <is>
          <t>在读</t>
        </is>
      </c>
      <c r="I75" s="1074" t="inlineStr">
        <is>
          <t>零期</t>
        </is>
      </c>
      <c r="J75" s="1074" t="inlineStr">
        <is>
          <t>5230806</t>
        </is>
      </c>
      <c r="K75" s="1074" t="inlineStr">
        <is>
          <t>校内成绩</t>
        </is>
      </c>
      <c r="L75" s="1074" t="n">
        <v>72</v>
      </c>
      <c r="M75" s="1074" t="n">
        <v>90</v>
      </c>
      <c r="N75" s="1074" t="inlineStr">
        <is>
          <t>田雨涵01</t>
        </is>
      </c>
      <c r="O75" s="1074" t="inlineStr">
        <is>
          <t>03识海阁</t>
        </is>
      </c>
      <c r="P75" s="1074" t="inlineStr">
        <is>
          <t>10:20-12:30</t>
        </is>
      </c>
      <c r="Q75" s="1074" t="inlineStr">
        <is>
          <t>潜能班</t>
        </is>
      </c>
      <c r="R75" s="1074" t="inlineStr">
        <is>
          <t>零期</t>
        </is>
      </c>
      <c r="S75" s="1074" t="inlineStr">
        <is>
          <t>在读</t>
        </is>
      </c>
      <c r="T75" s="1074" t="inlineStr">
        <is>
          <t>-</t>
        </is>
      </c>
      <c r="U75" s="1074" t="inlineStr">
        <is>
          <t>5170872</t>
        </is>
      </c>
      <c r="V75" s="1074" t="n"/>
      <c r="W75" s="1074" t="inlineStr">
        <is>
          <t>陈南05</t>
        </is>
      </c>
      <c r="X75" s="1074" t="inlineStr">
        <is>
          <t>03识海阁</t>
        </is>
      </c>
      <c r="Y75" s="1074" t="inlineStr">
        <is>
          <t>13:20-15:30</t>
        </is>
      </c>
      <c r="Z75" s="1074" t="inlineStr">
        <is>
          <t>潜能班</t>
        </is>
      </c>
      <c r="AA75" s="1074" t="inlineStr">
        <is>
          <t>零期</t>
        </is>
      </c>
      <c r="AB75" s="1074" t="inlineStr">
        <is>
          <t>在读</t>
        </is>
      </c>
      <c r="AC75" s="1074" t="inlineStr">
        <is>
          <t>-</t>
        </is>
      </c>
      <c r="AD75" s="1074" t="inlineStr">
        <is>
          <t>3132865</t>
        </is>
      </c>
      <c r="AE75" s="1074" t="n"/>
      <c r="AF75" s="1074" t="inlineStr">
        <is>
          <t>刘希子</t>
        </is>
      </c>
      <c r="AG75" s="1074" t="inlineStr">
        <is>
          <t>03识海阁</t>
        </is>
      </c>
      <c r="AH75" s="1074" t="inlineStr">
        <is>
          <t>15:50-18:00</t>
        </is>
      </c>
      <c r="AI75" s="1074" t="inlineStr">
        <is>
          <t>潜能班</t>
        </is>
      </c>
      <c r="AJ75" s="1074" t="inlineStr">
        <is>
          <t>零期</t>
        </is>
      </c>
      <c r="AK75" s="1074" t="inlineStr">
        <is>
          <t>在读</t>
        </is>
      </c>
      <c r="AL75" s="1074" t="inlineStr">
        <is>
          <t>-</t>
        </is>
      </c>
      <c r="AM75" s="1074" t="inlineStr">
        <is>
          <t>是</t>
        </is>
      </c>
      <c r="AN75" s="1074" t="inlineStr">
        <is>
          <t>否</t>
        </is>
      </c>
      <c r="AO75" s="1074" t="inlineStr">
        <is>
          <t>否</t>
        </is>
      </c>
      <c r="AP75" s="1074" t="n"/>
      <c r="AQ75" s="1074" t="n"/>
      <c r="AR75" s="1074" t="n"/>
      <c r="AS75" s="1074" t="n"/>
      <c r="AT75" s="311" t="n"/>
    </row>
    <row r="76" ht="26.25" customFormat="1" customHeight="1" s="366">
      <c r="A76" s="1074" t="inlineStr">
        <is>
          <t>同创汇</t>
        </is>
      </c>
      <c r="B76" s="1074" t="inlineStr">
        <is>
          <t>4827599311</t>
        </is>
      </c>
      <c r="C76" s="1074" t="inlineStr">
        <is>
          <t>汪泽烨</t>
        </is>
      </c>
      <c r="D76" s="1074" t="inlineStr">
        <is>
          <t>王丽</t>
        </is>
      </c>
      <c r="E76" s="1074" t="inlineStr">
        <is>
          <t>纯拉新</t>
        </is>
      </c>
      <c r="F76" s="1074" t="n"/>
      <c r="G76" s="1074" t="n"/>
      <c r="H76" s="1074" t="inlineStr">
        <is>
          <t>在读</t>
        </is>
      </c>
      <c r="I76" s="1074" t="inlineStr">
        <is>
          <t>零期</t>
        </is>
      </c>
      <c r="J76" s="1074" t="inlineStr">
        <is>
          <t>5230806</t>
        </is>
      </c>
      <c r="K76" s="1074" t="inlineStr">
        <is>
          <t>报前测成绩</t>
        </is>
      </c>
      <c r="L76" s="1074" t="n">
        <v>62</v>
      </c>
      <c r="M76" s="1074" t="inlineStr">
        <is>
          <t>-</t>
        </is>
      </c>
      <c r="N76" s="1074" t="inlineStr">
        <is>
          <t>田雨涵01</t>
        </is>
      </c>
      <c r="O76" s="1074" t="inlineStr">
        <is>
          <t>03识海阁</t>
        </is>
      </c>
      <c r="P76" s="1074" t="inlineStr">
        <is>
          <t>10:20-12:30</t>
        </is>
      </c>
      <c r="Q76" s="1074" t="inlineStr">
        <is>
          <t>潜能班</t>
        </is>
      </c>
      <c r="R76" s="1074" t="inlineStr">
        <is>
          <t>零期</t>
        </is>
      </c>
      <c r="S76" s="1074" t="inlineStr">
        <is>
          <t>在读</t>
        </is>
      </c>
      <c r="T76" s="1074" t="inlineStr">
        <is>
          <t>-</t>
        </is>
      </c>
      <c r="U76" s="1074" t="inlineStr">
        <is>
          <t>5170872</t>
        </is>
      </c>
      <c r="V76" s="1074" t="n"/>
      <c r="W76" s="1074" t="inlineStr">
        <is>
          <t>陈南05</t>
        </is>
      </c>
      <c r="X76" s="1074" t="inlineStr">
        <is>
          <t>03识海阁</t>
        </is>
      </c>
      <c r="Y76" s="1074" t="inlineStr">
        <is>
          <t>13:20-15:30</t>
        </is>
      </c>
      <c r="Z76" s="1074" t="inlineStr">
        <is>
          <t>潜能班</t>
        </is>
      </c>
      <c r="AA76" s="1074" t="inlineStr">
        <is>
          <t>零期</t>
        </is>
      </c>
      <c r="AB76" s="1074" t="inlineStr">
        <is>
          <t>在读</t>
        </is>
      </c>
      <c r="AC76" s="1074" t="inlineStr">
        <is>
          <t>-</t>
        </is>
      </c>
      <c r="AD76" s="1074" t="inlineStr">
        <is>
          <t>3132865</t>
        </is>
      </c>
      <c r="AE76" s="1074" t="n"/>
      <c r="AF76" s="1074" t="inlineStr">
        <is>
          <t>刘希子</t>
        </is>
      </c>
      <c r="AG76" s="1074" t="inlineStr">
        <is>
          <t>03识海阁</t>
        </is>
      </c>
      <c r="AH76" s="1074" t="inlineStr">
        <is>
          <t>15:50-18:00</t>
        </is>
      </c>
      <c r="AI76" s="1074" t="inlineStr">
        <is>
          <t>潜能班</t>
        </is>
      </c>
      <c r="AJ76" s="1074" t="inlineStr">
        <is>
          <t>零期</t>
        </is>
      </c>
      <c r="AK76" s="1074" t="inlineStr">
        <is>
          <t>在读</t>
        </is>
      </c>
      <c r="AL76" s="1074" t="inlineStr">
        <is>
          <t>-</t>
        </is>
      </c>
      <c r="AM76" s="1074" t="inlineStr">
        <is>
          <t>是</t>
        </is>
      </c>
      <c r="AN76" s="1074" t="inlineStr">
        <is>
          <t>是</t>
        </is>
      </c>
      <c r="AO76" s="1074" t="inlineStr">
        <is>
          <t>是</t>
        </is>
      </c>
      <c r="AP76" s="1074" t="n"/>
      <c r="AQ76" s="1074" t="n"/>
      <c r="AR76" s="1074" t="n"/>
      <c r="AS76" s="1074" t="n"/>
      <c r="AT76" s="311" t="n"/>
    </row>
    <row r="77" ht="26.25" customFormat="1" customHeight="1" s="366">
      <c r="A77" s="1074" t="inlineStr">
        <is>
          <t>新宝利</t>
        </is>
      </c>
      <c r="B77" s="1074" t="inlineStr">
        <is>
          <t>4840966099</t>
        </is>
      </c>
      <c r="C77" s="1074" t="inlineStr">
        <is>
          <t>郑睿雯</t>
        </is>
      </c>
      <c r="D77" s="1074" t="inlineStr">
        <is>
          <t>龙倩敏</t>
        </is>
      </c>
      <c r="E77" s="1074" t="inlineStr">
        <is>
          <t>纯拉新</t>
        </is>
      </c>
      <c r="F77" s="1074" t="n"/>
      <c r="G77" s="1074" t="n"/>
      <c r="H77" s="1074" t="inlineStr">
        <is>
          <t>在读</t>
        </is>
      </c>
      <c r="I77" s="1074" t="inlineStr">
        <is>
          <t>三期</t>
        </is>
      </c>
      <c r="J77" s="1074" t="inlineStr">
        <is>
          <t>5111035</t>
        </is>
      </c>
      <c r="K77" s="1074" t="inlineStr">
        <is>
          <t>报前测成绩</t>
        </is>
      </c>
      <c r="L77" s="1074" t="n">
        <v>85</v>
      </c>
      <c r="M77" s="1074" t="inlineStr">
        <is>
          <t>-</t>
        </is>
      </c>
      <c r="N77" s="1074" t="inlineStr">
        <is>
          <t>何咏04</t>
        </is>
      </c>
      <c r="O77" s="1074" t="inlineStr">
        <is>
          <t>教室2</t>
        </is>
      </c>
      <c r="P77" s="1074" t="inlineStr">
        <is>
          <t>15:50-18:00</t>
        </is>
      </c>
      <c r="Q77" s="1074" t="inlineStr">
        <is>
          <t>启能班</t>
        </is>
      </c>
      <c r="R77" s="1074" t="inlineStr">
        <is>
          <t>三期</t>
        </is>
      </c>
      <c r="S77" s="1074" t="inlineStr">
        <is>
          <t>在读</t>
        </is>
      </c>
      <c r="T77" s="1074" t="inlineStr">
        <is>
          <t>-</t>
        </is>
      </c>
      <c r="U77" s="1074" t="inlineStr">
        <is>
          <t>5170873</t>
        </is>
      </c>
      <c r="V77" s="1074" t="n"/>
      <c r="W77" s="1074" t="inlineStr">
        <is>
          <t>李润</t>
        </is>
      </c>
      <c r="X77" s="1074" t="inlineStr">
        <is>
          <t>教室2</t>
        </is>
      </c>
      <c r="Y77" s="1074" t="inlineStr">
        <is>
          <t>13:20-15:30</t>
        </is>
      </c>
      <c r="Z77" s="1074" t="inlineStr">
        <is>
          <t>潜能班</t>
        </is>
      </c>
      <c r="AA77" s="1074" t="inlineStr">
        <is>
          <t>三期</t>
        </is>
      </c>
      <c r="AB77" s="1074" t="inlineStr">
        <is>
          <t>在读</t>
        </is>
      </c>
      <c r="AC77" s="1074" t="inlineStr">
        <is>
          <t>-</t>
        </is>
      </c>
      <c r="AD77" s="1074" t="inlineStr">
        <is>
          <t>5170871</t>
        </is>
      </c>
      <c r="AE77" s="1074" t="n"/>
      <c r="AF77" s="1074" t="inlineStr">
        <is>
          <t>肖锐03</t>
        </is>
      </c>
      <c r="AG77" s="1074" t="inlineStr">
        <is>
          <t>教室2</t>
        </is>
      </c>
      <c r="AH77" s="1074" t="inlineStr">
        <is>
          <t>10:20-12:30</t>
        </is>
      </c>
      <c r="AI77" s="1074" t="inlineStr">
        <is>
          <t>潜能班</t>
        </is>
      </c>
      <c r="AJ77" s="1074" t="inlineStr">
        <is>
          <t>三期</t>
        </is>
      </c>
      <c r="AK77" s="1074" t="inlineStr">
        <is>
          <t>在读</t>
        </is>
      </c>
      <c r="AL77" s="1074" t="inlineStr">
        <is>
          <t>-</t>
        </is>
      </c>
      <c r="AM77" s="1074" t="n"/>
      <c r="AN77" s="1074" t="n"/>
      <c r="AO77" s="1074" t="n"/>
      <c r="AP77" s="1074" t="n"/>
      <c r="AQ77" s="1074" t="n"/>
      <c r="AR77" s="1074" t="n"/>
      <c r="AS77" s="1074" t="n"/>
      <c r="AT77" s="311" t="n"/>
    </row>
    <row r="78" ht="26.25" customFormat="1" customHeight="1" s="366">
      <c r="A78" s="1074" t="inlineStr">
        <is>
          <t>新宝利</t>
        </is>
      </c>
      <c r="B78" s="1074" t="inlineStr">
        <is>
          <t>4851294501</t>
        </is>
      </c>
      <c r="C78" s="1074" t="inlineStr">
        <is>
          <t>刘诗语</t>
        </is>
      </c>
      <c r="D78" s="1074" t="inlineStr">
        <is>
          <t>杨林33</t>
        </is>
      </c>
      <c r="E78" s="1074" t="inlineStr">
        <is>
          <t>新生转介绍</t>
        </is>
      </c>
      <c r="F78" s="1074" t="n"/>
      <c r="G78" s="1074" t="inlineStr">
        <is>
          <t>戴圆圆</t>
        </is>
      </c>
      <c r="H78" s="1074" t="inlineStr">
        <is>
          <t>在读</t>
        </is>
      </c>
      <c r="I78" s="1074" t="inlineStr">
        <is>
          <t>三期</t>
        </is>
      </c>
      <c r="J78" s="1074" t="inlineStr">
        <is>
          <t>3132902</t>
        </is>
      </c>
      <c r="K78" s="1074" t="inlineStr">
        <is>
          <t>校内成绩</t>
        </is>
      </c>
      <c r="L78" s="1074" t="n">
        <v>60</v>
      </c>
      <c r="M78" s="1074" t="n">
        <v>80</v>
      </c>
      <c r="N78" s="1074" t="inlineStr">
        <is>
          <t>陈中帅</t>
        </is>
      </c>
      <c r="O78" s="1074" t="inlineStr">
        <is>
          <t>教室3</t>
        </is>
      </c>
      <c r="P78" s="1074" t="inlineStr">
        <is>
          <t>13:20-15:30</t>
        </is>
      </c>
      <c r="Q78" s="1074" t="inlineStr">
        <is>
          <t>潜能班</t>
        </is>
      </c>
      <c r="R78" s="1074" t="inlineStr">
        <is>
          <t>三期</t>
        </is>
      </c>
      <c r="S78" s="1074" t="inlineStr">
        <is>
          <t>在读</t>
        </is>
      </c>
      <c r="T78" s="1074" t="inlineStr">
        <is>
          <t>-</t>
        </is>
      </c>
      <c r="U78" s="1074" t="inlineStr">
        <is>
          <t>5230747</t>
        </is>
      </c>
      <c r="V78" s="1074" t="n"/>
      <c r="W78" s="1074" t="inlineStr">
        <is>
          <t>陈南05</t>
        </is>
      </c>
      <c r="X78" s="1074" t="inlineStr">
        <is>
          <t>教室3</t>
        </is>
      </c>
      <c r="Y78" s="1074" t="inlineStr">
        <is>
          <t>10:20-12:30</t>
        </is>
      </c>
      <c r="Z78" s="1074" t="inlineStr">
        <is>
          <t>潜能班</t>
        </is>
      </c>
      <c r="AA78" s="1074" t="inlineStr">
        <is>
          <t>三期</t>
        </is>
      </c>
      <c r="AB78" s="1074" t="inlineStr">
        <is>
          <t>在读</t>
        </is>
      </c>
      <c r="AC78" s="1074" t="inlineStr">
        <is>
          <t>-</t>
        </is>
      </c>
      <c r="AD78" s="1074" t="inlineStr">
        <is>
          <t>5230821</t>
        </is>
      </c>
      <c r="AE78" s="1074" t="n"/>
      <c r="AF78" s="1074" t="inlineStr">
        <is>
          <t>肖锐03</t>
        </is>
      </c>
      <c r="AG78" s="1074" t="inlineStr">
        <is>
          <t>教室3</t>
        </is>
      </c>
      <c r="AH78" s="1074" t="inlineStr">
        <is>
          <t>15:50-18:00</t>
        </is>
      </c>
      <c r="AI78" s="1074" t="inlineStr">
        <is>
          <t>潜能班</t>
        </is>
      </c>
      <c r="AJ78" s="1074" t="inlineStr">
        <is>
          <t>三期</t>
        </is>
      </c>
      <c r="AK78" s="1074" t="inlineStr">
        <is>
          <t>在读</t>
        </is>
      </c>
      <c r="AL78" s="1074" t="inlineStr">
        <is>
          <t>-</t>
        </is>
      </c>
      <c r="AM78" s="1074" t="n"/>
      <c r="AN78" s="1074" t="n"/>
      <c r="AO78" s="1074" t="n"/>
      <c r="AP78" s="1074" t="n"/>
      <c r="AQ78" s="1074" t="n"/>
      <c r="AR78" s="1074" t="n"/>
      <c r="AS78" s="1074" t="n"/>
      <c r="AT78" s="311" t="n"/>
    </row>
    <row r="79" ht="26.25" customFormat="1" customHeight="1" s="366">
      <c r="A79" s="1074" t="inlineStr">
        <is>
          <t>新宝利</t>
        </is>
      </c>
      <c r="B79" s="1074" t="inlineStr">
        <is>
          <t>2529017869</t>
        </is>
      </c>
      <c r="C79" s="1074" t="inlineStr">
        <is>
          <t>陈铱帆</t>
        </is>
      </c>
      <c r="D79" s="1074" t="inlineStr">
        <is>
          <t>王丽</t>
        </is>
      </c>
      <c r="E79" s="1074" t="inlineStr">
        <is>
          <t>新生转介绍</t>
        </is>
      </c>
      <c r="F79" s="1074" t="n"/>
      <c r="G79" s="1074" t="inlineStr">
        <is>
          <t>苏紫盈</t>
        </is>
      </c>
      <c r="H79" s="1074" t="inlineStr">
        <is>
          <t>在读</t>
        </is>
      </c>
      <c r="I79" s="1074" t="inlineStr">
        <is>
          <t>三期</t>
        </is>
      </c>
      <c r="J79" s="1074" t="inlineStr">
        <is>
          <t>4632447</t>
        </is>
      </c>
      <c r="K79" s="1074" t="inlineStr">
        <is>
          <t>校内成绩</t>
        </is>
      </c>
      <c r="L79" s="1074" t="n">
        <v>60</v>
      </c>
      <c r="M79" s="1074" t="n">
        <v>80</v>
      </c>
      <c r="N79" s="1074" t="inlineStr">
        <is>
          <t>田雨涵01</t>
        </is>
      </c>
      <c r="O79" s="1074" t="inlineStr">
        <is>
          <t>教室5</t>
        </is>
      </c>
      <c r="P79" s="1074" t="inlineStr">
        <is>
          <t>10:20-12:30</t>
        </is>
      </c>
      <c r="Q79" s="1074" t="inlineStr">
        <is>
          <t>潜能班</t>
        </is>
      </c>
      <c r="R79" s="1074" t="inlineStr">
        <is>
          <t>三期</t>
        </is>
      </c>
      <c r="S79" s="1074" t="inlineStr">
        <is>
          <t>在读</t>
        </is>
      </c>
      <c r="T79" s="1074" t="inlineStr">
        <is>
          <t>-</t>
        </is>
      </c>
      <c r="U79" s="1074" t="inlineStr">
        <is>
          <t>5111226</t>
        </is>
      </c>
      <c r="V79" s="1074" t="n"/>
      <c r="W79" s="1074" t="inlineStr">
        <is>
          <t>李润</t>
        </is>
      </c>
      <c r="X79" s="1074" t="inlineStr">
        <is>
          <t>教室5</t>
        </is>
      </c>
      <c r="Y79" s="1074" t="inlineStr">
        <is>
          <t>15:50-18:00</t>
        </is>
      </c>
      <c r="Z79" s="1074" t="inlineStr">
        <is>
          <t>潜能班</t>
        </is>
      </c>
      <c r="AA79" s="1074" t="inlineStr">
        <is>
          <t>三期</t>
        </is>
      </c>
      <c r="AB79" s="1074" t="inlineStr">
        <is>
          <t>在读</t>
        </is>
      </c>
      <c r="AC79" s="1074" t="inlineStr">
        <is>
          <t>-</t>
        </is>
      </c>
      <c r="AD79" s="1074" t="inlineStr">
        <is>
          <t>4513388</t>
        </is>
      </c>
      <c r="AE79" s="1074" t="n"/>
      <c r="AF79" s="1074" t="inlineStr">
        <is>
          <t>肖锐03</t>
        </is>
      </c>
      <c r="AG79" s="1074" t="inlineStr">
        <is>
          <t>教室5</t>
        </is>
      </c>
      <c r="AH79" s="1074" t="inlineStr">
        <is>
          <t>13:20-15:30</t>
        </is>
      </c>
      <c r="AI79" s="1074" t="inlineStr">
        <is>
          <t>潜能班</t>
        </is>
      </c>
      <c r="AJ79" s="1074" t="inlineStr">
        <is>
          <t>三期</t>
        </is>
      </c>
      <c r="AK79" s="1074" t="inlineStr">
        <is>
          <t>在读</t>
        </is>
      </c>
      <c r="AL79" s="1074" t="inlineStr">
        <is>
          <t>-</t>
        </is>
      </c>
      <c r="AM79" s="1074" t="n"/>
      <c r="AN79" s="1074" t="n"/>
      <c r="AO79" s="1074" t="n"/>
      <c r="AP79" s="1074" t="n"/>
      <c r="AQ79" s="1074" t="n"/>
      <c r="AR79" s="1074" t="n"/>
      <c r="AS79" s="1074" t="n"/>
      <c r="AT79" s="311" t="n"/>
    </row>
    <row r="80" ht="26.25" customFormat="1" customHeight="1" s="366">
      <c r="A80" s="1074" t="inlineStr">
        <is>
          <t>新宝利</t>
        </is>
      </c>
      <c r="B80" s="1074" t="inlineStr">
        <is>
          <t>4850421381</t>
        </is>
      </c>
      <c r="C80" s="1074" t="inlineStr">
        <is>
          <t>杨舒窈</t>
        </is>
      </c>
      <c r="D80" s="1074" t="inlineStr">
        <is>
          <t>王丽</t>
        </is>
      </c>
      <c r="E80" s="1074" t="inlineStr">
        <is>
          <t>新生转介绍</t>
        </is>
      </c>
      <c r="F80" s="1074" t="n"/>
      <c r="G80" s="1074" t="inlineStr">
        <is>
          <t>苏紫盈</t>
        </is>
      </c>
      <c r="H80" s="1074" t="inlineStr">
        <is>
          <t>在读</t>
        </is>
      </c>
      <c r="I80" s="1074" t="inlineStr">
        <is>
          <t>三期</t>
        </is>
      </c>
      <c r="J80" s="1074" t="inlineStr">
        <is>
          <t>4632447</t>
        </is>
      </c>
      <c r="K80" s="1074" t="inlineStr">
        <is>
          <t>校内成绩</t>
        </is>
      </c>
      <c r="L80" s="1074" t="n">
        <v>85</v>
      </c>
      <c r="M80" s="1074" t="n">
        <v>95</v>
      </c>
      <c r="N80" s="1074" t="inlineStr">
        <is>
          <t>田雨涵01</t>
        </is>
      </c>
      <c r="O80" s="1074" t="inlineStr">
        <is>
          <t>教室5</t>
        </is>
      </c>
      <c r="P80" s="1074" t="inlineStr">
        <is>
          <t>10:20-12:30</t>
        </is>
      </c>
      <c r="Q80" s="1074" t="inlineStr">
        <is>
          <t>潜能班</t>
        </is>
      </c>
      <c r="R80" s="1074" t="inlineStr">
        <is>
          <t>三期</t>
        </is>
      </c>
      <c r="S80" s="1074" t="inlineStr">
        <is>
          <t>在读</t>
        </is>
      </c>
      <c r="T80" s="1074" t="inlineStr">
        <is>
          <t>-</t>
        </is>
      </c>
      <c r="U80" s="1074" t="inlineStr">
        <is>
          <t>5111226</t>
        </is>
      </c>
      <c r="V80" s="1074" t="n"/>
      <c r="W80" s="1074" t="inlineStr">
        <is>
          <t>李润</t>
        </is>
      </c>
      <c r="X80" s="1074" t="inlineStr">
        <is>
          <t>教室5</t>
        </is>
      </c>
      <c r="Y80" s="1074" t="inlineStr">
        <is>
          <t>15:50-18:00</t>
        </is>
      </c>
      <c r="Z80" s="1074" t="inlineStr">
        <is>
          <t>潜能班</t>
        </is>
      </c>
      <c r="AA80" s="1074" t="inlineStr">
        <is>
          <t>三期</t>
        </is>
      </c>
      <c r="AB80" s="1074" t="inlineStr">
        <is>
          <t>在读</t>
        </is>
      </c>
      <c r="AC80" s="1074" t="inlineStr">
        <is>
          <t>-</t>
        </is>
      </c>
      <c r="AD80" s="1074" t="inlineStr">
        <is>
          <t>4513388</t>
        </is>
      </c>
      <c r="AE80" s="1074" t="n"/>
      <c r="AF80" s="1074" t="inlineStr">
        <is>
          <t>肖锐03</t>
        </is>
      </c>
      <c r="AG80" s="1074" t="inlineStr">
        <is>
          <t>教室5</t>
        </is>
      </c>
      <c r="AH80" s="1074" t="inlineStr">
        <is>
          <t>13:20-15:30</t>
        </is>
      </c>
      <c r="AI80" s="1074" t="inlineStr">
        <is>
          <t>潜能班</t>
        </is>
      </c>
      <c r="AJ80" s="1074" t="inlineStr">
        <is>
          <t>三期</t>
        </is>
      </c>
      <c r="AK80" s="1074" t="inlineStr">
        <is>
          <t>在读</t>
        </is>
      </c>
      <c r="AL80" s="1074" t="inlineStr">
        <is>
          <t>-</t>
        </is>
      </c>
      <c r="AM80" s="1074" t="n"/>
      <c r="AN80" s="1074" t="n"/>
      <c r="AO80" s="1074" t="n"/>
      <c r="AP80" s="1074" t="n"/>
      <c r="AQ80" s="1074" t="n"/>
      <c r="AR80" s="1074" t="n"/>
      <c r="AS80" s="1074" t="n"/>
      <c r="AT80" s="311" t="n"/>
    </row>
    <row r="81" ht="26.25" customFormat="1" customHeight="1" s="366">
      <c r="A81" s="1074" t="inlineStr">
        <is>
          <t>新宝利</t>
        </is>
      </c>
      <c r="B81" s="1074" t="inlineStr">
        <is>
          <t>4702343288</t>
        </is>
      </c>
      <c r="C81" s="1074" t="inlineStr">
        <is>
          <t>苏紫盈</t>
        </is>
      </c>
      <c r="D81" s="1074" t="inlineStr">
        <is>
          <t>王丽</t>
        </is>
      </c>
      <c r="E81" s="1074" t="inlineStr">
        <is>
          <t>新生转介绍</t>
        </is>
      </c>
      <c r="F81" s="1074" t="n"/>
      <c r="G81" s="1074" t="n"/>
      <c r="H81" s="1074" t="inlineStr">
        <is>
          <t>在读</t>
        </is>
      </c>
      <c r="I81" s="1074" t="inlineStr">
        <is>
          <t>三期</t>
        </is>
      </c>
      <c r="J81" s="1074" t="inlineStr">
        <is>
          <t>4632447</t>
        </is>
      </c>
      <c r="K81" s="1074" t="inlineStr">
        <is>
          <t>校内成绩</t>
        </is>
      </c>
      <c r="L81" s="1074" t="n">
        <v>72</v>
      </c>
      <c r="M81" s="1074" t="n">
        <v>90</v>
      </c>
      <c r="N81" s="1074" t="inlineStr">
        <is>
          <t>田雨涵01</t>
        </is>
      </c>
      <c r="O81" s="1074" t="inlineStr">
        <is>
          <t>教室5</t>
        </is>
      </c>
      <c r="P81" s="1074" t="inlineStr">
        <is>
          <t>10:20-12:30</t>
        </is>
      </c>
      <c r="Q81" s="1074" t="inlineStr">
        <is>
          <t>潜能班</t>
        </is>
      </c>
      <c r="R81" s="1074" t="inlineStr">
        <is>
          <t>三期</t>
        </is>
      </c>
      <c r="S81" s="1074" t="inlineStr">
        <is>
          <t>在读</t>
        </is>
      </c>
      <c r="T81" s="1074" t="inlineStr">
        <is>
          <t>-</t>
        </is>
      </c>
      <c r="U81" s="1074" t="inlineStr">
        <is>
          <t>5111226</t>
        </is>
      </c>
      <c r="V81" s="1074" t="n"/>
      <c r="W81" s="1074" t="inlineStr">
        <is>
          <t>李润</t>
        </is>
      </c>
      <c r="X81" s="1074" t="inlineStr">
        <is>
          <t>教室5</t>
        </is>
      </c>
      <c r="Y81" s="1074" t="inlineStr">
        <is>
          <t>15:50-18:00</t>
        </is>
      </c>
      <c r="Z81" s="1074" t="inlineStr">
        <is>
          <t>潜能班</t>
        </is>
      </c>
      <c r="AA81" s="1074" t="inlineStr">
        <is>
          <t>三期</t>
        </is>
      </c>
      <c r="AB81" s="1074" t="inlineStr">
        <is>
          <t>在读</t>
        </is>
      </c>
      <c r="AC81" s="1074" t="inlineStr">
        <is>
          <t>-</t>
        </is>
      </c>
      <c r="AD81" s="1074" t="inlineStr">
        <is>
          <t>4513388</t>
        </is>
      </c>
      <c r="AE81" s="1074" t="n"/>
      <c r="AF81" s="1074" t="inlineStr">
        <is>
          <t>肖锐03</t>
        </is>
      </c>
      <c r="AG81" s="1074" t="inlineStr">
        <is>
          <t>教室5</t>
        </is>
      </c>
      <c r="AH81" s="1074" t="inlineStr">
        <is>
          <t>13:20-15:30</t>
        </is>
      </c>
      <c r="AI81" s="1074" t="inlineStr">
        <is>
          <t>潜能班</t>
        </is>
      </c>
      <c r="AJ81" s="1074" t="inlineStr">
        <is>
          <t>三期</t>
        </is>
      </c>
      <c r="AK81" s="1074" t="inlineStr">
        <is>
          <t>在读</t>
        </is>
      </c>
      <c r="AL81" s="1074" t="inlineStr">
        <is>
          <t>-</t>
        </is>
      </c>
      <c r="AM81" s="1074" t="n"/>
      <c r="AN81" s="1074" t="n"/>
      <c r="AO81" s="1074" t="n"/>
      <c r="AP81" s="1074" t="n"/>
      <c r="AQ81" s="1074" t="n"/>
      <c r="AR81" s="1074" t="n"/>
      <c r="AS81" s="1074" t="n"/>
      <c r="AT81" s="311" t="n"/>
    </row>
    <row r="82" ht="26.25" customFormat="1" customHeight="1" s="366">
      <c r="A82" s="1074" t="inlineStr">
        <is>
          <t>同创汇</t>
        </is>
      </c>
      <c r="B82" s="1074" t="inlineStr">
        <is>
          <t>2496864413</t>
        </is>
      </c>
      <c r="C82" s="1074" t="inlineStr">
        <is>
          <t>吴丹妮</t>
        </is>
      </c>
      <c r="D82" s="1074" t="inlineStr">
        <is>
          <t>苏丽婷</t>
        </is>
      </c>
      <c r="E82" s="1074" t="inlineStr">
        <is>
          <t>新生转介绍</t>
        </is>
      </c>
      <c r="F82" s="1074" t="n"/>
      <c r="G82" s="1074" t="inlineStr">
        <is>
          <t>戴鸿杰</t>
        </is>
      </c>
      <c r="H82" s="1074" t="inlineStr">
        <is>
          <t>在读</t>
        </is>
      </c>
      <c r="I82" s="1074" t="inlineStr">
        <is>
          <t>零期</t>
        </is>
      </c>
      <c r="J82" s="1074" t="inlineStr">
        <is>
          <t>5230806</t>
        </is>
      </c>
      <c r="K82" s="1074" t="inlineStr">
        <is>
          <t>校内成绩</t>
        </is>
      </c>
      <c r="L82" s="1074" t="n">
        <v>72</v>
      </c>
      <c r="M82" s="1074" t="n">
        <v>90</v>
      </c>
      <c r="N82" s="1074" t="inlineStr">
        <is>
          <t>田雨涵01</t>
        </is>
      </c>
      <c r="O82" s="1074" t="inlineStr">
        <is>
          <t>03识海阁</t>
        </is>
      </c>
      <c r="P82" s="1074" t="inlineStr">
        <is>
          <t>10:20-12:30</t>
        </is>
      </c>
      <c r="Q82" s="1074" t="inlineStr">
        <is>
          <t>潜能班</t>
        </is>
      </c>
      <c r="R82" s="1074" t="inlineStr">
        <is>
          <t>零期</t>
        </is>
      </c>
      <c r="S82" s="1074" t="inlineStr">
        <is>
          <t>在读</t>
        </is>
      </c>
      <c r="T82" s="1074" t="inlineStr">
        <is>
          <t>-</t>
        </is>
      </c>
      <c r="U82" s="1074" t="inlineStr">
        <is>
          <t>5230722</t>
        </is>
      </c>
      <c r="V82" s="1074" t="n"/>
      <c r="W82" s="1074" t="inlineStr">
        <is>
          <t>李润</t>
        </is>
      </c>
      <c r="X82" s="1074" t="inlineStr">
        <is>
          <t>01智慧林</t>
        </is>
      </c>
      <c r="Y82" s="1074" t="inlineStr">
        <is>
          <t>15:50-18:00</t>
        </is>
      </c>
      <c r="Z82" s="1074" t="inlineStr">
        <is>
          <t>潜能班</t>
        </is>
      </c>
      <c r="AA82" s="1074" t="inlineStr">
        <is>
          <t>零期</t>
        </is>
      </c>
      <c r="AB82" s="1074" t="inlineStr">
        <is>
          <t>在读</t>
        </is>
      </c>
      <c r="AC82" s="1074" t="inlineStr">
        <is>
          <t>-</t>
        </is>
      </c>
      <c r="AD82" s="1074" t="inlineStr">
        <is>
          <t>5230737</t>
        </is>
      </c>
      <c r="AE82" s="1074" t="n"/>
      <c r="AF82" s="1074" t="inlineStr">
        <is>
          <t>高心怡04</t>
        </is>
      </c>
      <c r="AG82" s="1074" t="inlineStr">
        <is>
          <t>01智慧林</t>
        </is>
      </c>
      <c r="AH82" s="1074" t="inlineStr">
        <is>
          <t>13:20-15:30</t>
        </is>
      </c>
      <c r="AI82" s="1074" t="inlineStr">
        <is>
          <t>潜能班</t>
        </is>
      </c>
      <c r="AJ82" s="1074" t="inlineStr">
        <is>
          <t>零期</t>
        </is>
      </c>
      <c r="AK82" s="1074" t="inlineStr">
        <is>
          <t>在读</t>
        </is>
      </c>
      <c r="AL82" s="1074" t="inlineStr">
        <is>
          <t>-</t>
        </is>
      </c>
      <c r="AM82" s="1074" t="inlineStr">
        <is>
          <t>是</t>
        </is>
      </c>
      <c r="AN82" s="1074" t="inlineStr">
        <is>
          <t>是</t>
        </is>
      </c>
      <c r="AO82" s="1074" t="inlineStr">
        <is>
          <t>否</t>
        </is>
      </c>
      <c r="AP82" s="1074" t="n"/>
      <c r="AQ82" s="1074" t="n"/>
      <c r="AR82" s="1074" t="n"/>
      <c r="AS82" s="1074" t="n"/>
      <c r="AT82" s="311" t="n"/>
    </row>
    <row r="83" ht="26.25" customFormat="1" customHeight="1" s="366">
      <c r="A83" s="1074" t="inlineStr">
        <is>
          <t>新宝利</t>
        </is>
      </c>
      <c r="B83" s="1074" t="inlineStr">
        <is>
          <t>2640270268</t>
        </is>
      </c>
      <c r="C83" s="1074" t="inlineStr">
        <is>
          <t>梁诺桓</t>
        </is>
      </c>
      <c r="D83" s="1074" t="inlineStr">
        <is>
          <t>林志豪01</t>
        </is>
      </c>
      <c r="E83" s="1074" t="inlineStr">
        <is>
          <t>纯拉新</t>
        </is>
      </c>
      <c r="F83" s="1074" t="n"/>
      <c r="G83" s="1074" t="n"/>
      <c r="H83" s="1074" t="inlineStr">
        <is>
          <t>在读</t>
        </is>
      </c>
      <c r="I83" s="1074" t="inlineStr">
        <is>
          <t>三期</t>
        </is>
      </c>
      <c r="J83" s="1074" t="inlineStr">
        <is>
          <t>4632447</t>
        </is>
      </c>
      <c r="K83" s="1074" t="inlineStr">
        <is>
          <t>校内成绩</t>
        </is>
      </c>
      <c r="L83" s="1074" t="n">
        <v>72</v>
      </c>
      <c r="M83" s="1074" t="n">
        <v>90</v>
      </c>
      <c r="N83" s="1074" t="inlineStr">
        <is>
          <t>田雨涵01</t>
        </is>
      </c>
      <c r="O83" s="1074" t="inlineStr">
        <is>
          <t>教室5</t>
        </is>
      </c>
      <c r="P83" s="1074" t="inlineStr">
        <is>
          <t>10:20-12:30</t>
        </is>
      </c>
      <c r="Q83" s="1074" t="inlineStr">
        <is>
          <t>潜能班</t>
        </is>
      </c>
      <c r="R83" s="1074" t="inlineStr">
        <is>
          <t>三期</t>
        </is>
      </c>
      <c r="S83" s="1074" t="inlineStr">
        <is>
          <t>在读</t>
        </is>
      </c>
      <c r="T83" s="1074" t="inlineStr">
        <is>
          <t>-</t>
        </is>
      </c>
      <c r="U83" s="1074" t="inlineStr">
        <is>
          <t>5111226</t>
        </is>
      </c>
      <c r="V83" s="1074" t="n"/>
      <c r="W83" s="1074" t="inlineStr">
        <is>
          <t>李润</t>
        </is>
      </c>
      <c r="X83" s="1074" t="inlineStr">
        <is>
          <t>教室5</t>
        </is>
      </c>
      <c r="Y83" s="1074" t="inlineStr">
        <is>
          <t>15:50-18:00</t>
        </is>
      </c>
      <c r="Z83" s="1074" t="inlineStr">
        <is>
          <t>潜能班</t>
        </is>
      </c>
      <c r="AA83" s="1074" t="inlineStr">
        <is>
          <t>三期</t>
        </is>
      </c>
      <c r="AB83" s="1074" t="inlineStr">
        <is>
          <t>在读</t>
        </is>
      </c>
      <c r="AC83" s="1074" t="inlineStr">
        <is>
          <t>-</t>
        </is>
      </c>
      <c r="AD83" s="1074" t="inlineStr">
        <is>
          <t>4513388</t>
        </is>
      </c>
      <c r="AE83" s="1074" t="n"/>
      <c r="AF83" s="1074" t="inlineStr">
        <is>
          <t>肖锐03</t>
        </is>
      </c>
      <c r="AG83" s="1074" t="inlineStr">
        <is>
          <t>教室5</t>
        </is>
      </c>
      <c r="AH83" s="1074" t="inlineStr">
        <is>
          <t>13:20-15:30</t>
        </is>
      </c>
      <c r="AI83" s="1074" t="inlineStr">
        <is>
          <t>潜能班</t>
        </is>
      </c>
      <c r="AJ83" s="1074" t="inlineStr">
        <is>
          <t>三期</t>
        </is>
      </c>
      <c r="AK83" s="1074" t="inlineStr">
        <is>
          <t>在读</t>
        </is>
      </c>
      <c r="AL83" s="1074" t="inlineStr">
        <is>
          <t>-</t>
        </is>
      </c>
      <c r="AM83" s="1074" t="n"/>
      <c r="AN83" s="1074" t="n"/>
      <c r="AO83" s="1074" t="n"/>
      <c r="AP83" s="1074" t="n"/>
      <c r="AQ83" s="1074" t="n"/>
      <c r="AR83" s="1074" t="n"/>
      <c r="AS83" s="1074" t="n"/>
      <c r="AT83" s="311" t="n"/>
    </row>
    <row r="84" ht="26.25" customFormat="1" customHeight="1" s="366">
      <c r="A84" s="1074" t="inlineStr">
        <is>
          <t>新宝利</t>
        </is>
      </c>
      <c r="B84" s="1074" t="inlineStr">
        <is>
          <t>2137353430</t>
        </is>
      </c>
      <c r="C84" s="1074" t="inlineStr">
        <is>
          <t>梁锐洲</t>
        </is>
      </c>
      <c r="D84" s="1074" t="inlineStr">
        <is>
          <t>苏丽婷</t>
        </is>
      </c>
      <c r="E84" s="1074" t="inlineStr">
        <is>
          <t>纯拉新</t>
        </is>
      </c>
      <c r="F84" s="1074" t="n"/>
      <c r="G84" s="1074" t="n"/>
      <c r="H84" s="1074" t="inlineStr">
        <is>
          <t>在读</t>
        </is>
      </c>
      <c r="I84" s="1074" t="inlineStr">
        <is>
          <t>二期</t>
        </is>
      </c>
      <c r="J84" s="1074" t="inlineStr">
        <is>
          <t>5111034</t>
        </is>
      </c>
      <c r="K84" s="1074" t="inlineStr">
        <is>
          <t>校内成绩</t>
        </is>
      </c>
      <c r="L84" s="1074" t="n">
        <v>72</v>
      </c>
      <c r="M84" s="1074" t="n">
        <v>90</v>
      </c>
      <c r="N84" s="1074" t="inlineStr">
        <is>
          <t>田雨涵01</t>
        </is>
      </c>
      <c r="O84" s="1074" t="inlineStr">
        <is>
          <t>教室4</t>
        </is>
      </c>
      <c r="P84" s="1074" t="inlineStr">
        <is>
          <t>13:20-15:30</t>
        </is>
      </c>
      <c r="Q84" s="1074" t="inlineStr">
        <is>
          <t>潜能班</t>
        </is>
      </c>
      <c r="R84" s="1074" t="inlineStr">
        <is>
          <t>二期</t>
        </is>
      </c>
      <c r="S84" s="1074" t="inlineStr">
        <is>
          <t>在读</t>
        </is>
      </c>
      <c r="T84" s="1074" t="inlineStr">
        <is>
          <t>-</t>
        </is>
      </c>
      <c r="U84" s="1074" t="inlineStr">
        <is>
          <t>4513342</t>
        </is>
      </c>
      <c r="V84" s="1074" t="n"/>
      <c r="W84" s="1074" t="inlineStr">
        <is>
          <t>黄铭怡</t>
        </is>
      </c>
      <c r="X84" s="1074" t="inlineStr">
        <is>
          <t>教室4</t>
        </is>
      </c>
      <c r="Y84" s="1074" t="inlineStr">
        <is>
          <t>10:20-12:30</t>
        </is>
      </c>
      <c r="Z84" s="1074" t="inlineStr">
        <is>
          <t>潜能班</t>
        </is>
      </c>
      <c r="AA84" s="1074" t="inlineStr">
        <is>
          <t>二期</t>
        </is>
      </c>
      <c r="AB84" s="1074" t="inlineStr">
        <is>
          <t>在读</t>
        </is>
      </c>
      <c r="AC84" s="1074" t="inlineStr">
        <is>
          <t>-</t>
        </is>
      </c>
      <c r="AD84" s="1074" t="inlineStr">
        <is>
          <t>4513340</t>
        </is>
      </c>
      <c r="AE84" s="1074" t="n"/>
      <c r="AF84" s="1074" t="inlineStr">
        <is>
          <t>高心怡04</t>
        </is>
      </c>
      <c r="AG84" s="1074" t="inlineStr">
        <is>
          <t>教室4</t>
        </is>
      </c>
      <c r="AH84" s="1074" t="inlineStr">
        <is>
          <t>15:50-18:00</t>
        </is>
      </c>
      <c r="AI84" s="1074" t="inlineStr">
        <is>
          <t>潜能班</t>
        </is>
      </c>
      <c r="AJ84" s="1074" t="inlineStr">
        <is>
          <t>二期</t>
        </is>
      </c>
      <c r="AK84" s="1074" t="inlineStr">
        <is>
          <t>在读</t>
        </is>
      </c>
      <c r="AL84" s="1074" t="inlineStr">
        <is>
          <t>-</t>
        </is>
      </c>
      <c r="AM84" s="1074" t="n"/>
      <c r="AN84" s="1074" t="n"/>
      <c r="AO84" s="1074" t="n"/>
      <c r="AP84" s="1074" t="n"/>
      <c r="AQ84" s="1074" t="n"/>
      <c r="AR84" s="1074" t="n"/>
      <c r="AS84" s="1074" t="n"/>
      <c r="AT84" s="311" t="n"/>
    </row>
    <row r="85" ht="26.25" customFormat="1" customHeight="1" s="366">
      <c r="A85" s="1074" t="inlineStr">
        <is>
          <t>新宝利</t>
        </is>
      </c>
      <c r="B85" s="1074" t="inlineStr">
        <is>
          <t>4852867146</t>
        </is>
      </c>
      <c r="C85" s="1074" t="inlineStr">
        <is>
          <t>叶梦扶</t>
        </is>
      </c>
      <c r="D85" s="1074" t="inlineStr">
        <is>
          <t>张敏烨</t>
        </is>
      </c>
      <c r="E85" s="1074" t="inlineStr">
        <is>
          <t>新生转介绍</t>
        </is>
      </c>
      <c r="F85" s="1074" t="n"/>
      <c r="G85" s="1074" t="inlineStr">
        <is>
          <t>陈滢西</t>
        </is>
      </c>
      <c r="H85" s="1074" t="inlineStr">
        <is>
          <t>在读</t>
        </is>
      </c>
      <c r="I85" s="1074" t="inlineStr">
        <is>
          <t>二期</t>
        </is>
      </c>
      <c r="J85" s="1074" t="inlineStr">
        <is>
          <t>5111034</t>
        </is>
      </c>
      <c r="K85" s="1074" t="inlineStr">
        <is>
          <t>校内成绩</t>
        </is>
      </c>
      <c r="L85" s="1074" t="n">
        <v>75</v>
      </c>
      <c r="M85" s="1074" t="n">
        <v>94</v>
      </c>
      <c r="N85" s="1074" t="inlineStr">
        <is>
          <t>田雨涵01</t>
        </is>
      </c>
      <c r="O85" s="1074" t="inlineStr">
        <is>
          <t>教室4</t>
        </is>
      </c>
      <c r="P85" s="1074" t="inlineStr">
        <is>
          <t>13:20-15:30</t>
        </is>
      </c>
      <c r="Q85" s="1074" t="inlineStr">
        <is>
          <t>潜能班</t>
        </is>
      </c>
      <c r="R85" s="1074" t="inlineStr">
        <is>
          <t>二期</t>
        </is>
      </c>
      <c r="S85" s="1074" t="inlineStr">
        <is>
          <t>在读</t>
        </is>
      </c>
      <c r="T85" s="1074" t="inlineStr">
        <is>
          <t>-</t>
        </is>
      </c>
      <c r="U85" s="1074" t="inlineStr">
        <is>
          <t>4513342</t>
        </is>
      </c>
      <c r="V85" s="1074" t="n"/>
      <c r="W85" s="1074" t="inlineStr">
        <is>
          <t>黄铭怡</t>
        </is>
      </c>
      <c r="X85" s="1074" t="inlineStr">
        <is>
          <t>教室4</t>
        </is>
      </c>
      <c r="Y85" s="1074" t="inlineStr">
        <is>
          <t>10:20-12:30</t>
        </is>
      </c>
      <c r="Z85" s="1074" t="inlineStr">
        <is>
          <t>潜能班</t>
        </is>
      </c>
      <c r="AA85" s="1074" t="inlineStr">
        <is>
          <t>二期</t>
        </is>
      </c>
      <c r="AB85" s="1074" t="inlineStr">
        <is>
          <t>在读</t>
        </is>
      </c>
      <c r="AC85" s="1074" t="inlineStr">
        <is>
          <t>-</t>
        </is>
      </c>
      <c r="AD85" s="1074" t="inlineStr">
        <is>
          <t>4513340</t>
        </is>
      </c>
      <c r="AE85" s="1074" t="n"/>
      <c r="AF85" s="1074" t="inlineStr">
        <is>
          <t>高心怡04</t>
        </is>
      </c>
      <c r="AG85" s="1074" t="inlineStr">
        <is>
          <t>教室4</t>
        </is>
      </c>
      <c r="AH85" s="1074" t="inlineStr">
        <is>
          <t>15:50-18:00</t>
        </is>
      </c>
      <c r="AI85" s="1074" t="inlineStr">
        <is>
          <t>潜能班</t>
        </is>
      </c>
      <c r="AJ85" s="1074" t="inlineStr">
        <is>
          <t>二期</t>
        </is>
      </c>
      <c r="AK85" s="1074" t="inlineStr">
        <is>
          <t>在读</t>
        </is>
      </c>
      <c r="AL85" s="1074" t="inlineStr">
        <is>
          <t>-</t>
        </is>
      </c>
      <c r="AM85" s="1074" t="n"/>
      <c r="AN85" s="1074" t="n"/>
      <c r="AO85" s="1074" t="n"/>
      <c r="AP85" s="1074" t="n"/>
      <c r="AQ85" s="1074" t="n"/>
      <c r="AR85" s="1074" t="n"/>
      <c r="AS85" s="1074" t="n"/>
      <c r="AT85" s="311" t="n"/>
    </row>
    <row r="86" ht="26.25" customFormat="1" customHeight="1" s="366">
      <c r="A86" s="1074" t="inlineStr">
        <is>
          <t>新宝利</t>
        </is>
      </c>
      <c r="B86" s="1074" t="inlineStr">
        <is>
          <t>2326406204</t>
        </is>
      </c>
      <c r="C86" s="1074" t="inlineStr">
        <is>
          <t>赵子赫</t>
        </is>
      </c>
      <c r="D86" s="1074" t="inlineStr">
        <is>
          <t>张敏烨</t>
        </is>
      </c>
      <c r="E86" s="1074" t="inlineStr">
        <is>
          <t>新生转介绍</t>
        </is>
      </c>
      <c r="F86" s="1074" t="n"/>
      <c r="G86" s="1074" t="inlineStr">
        <is>
          <t>陈滢西</t>
        </is>
      </c>
      <c r="H86" s="1074" t="inlineStr">
        <is>
          <t>在读</t>
        </is>
      </c>
      <c r="I86" s="1074" t="inlineStr">
        <is>
          <t>二期</t>
        </is>
      </c>
      <c r="J86" s="1074" t="inlineStr">
        <is>
          <t>5111034</t>
        </is>
      </c>
      <c r="K86" s="1074" t="inlineStr">
        <is>
          <t>校内成绩</t>
        </is>
      </c>
      <c r="L86" s="1074" t="n">
        <v>72</v>
      </c>
      <c r="M86" s="1074" t="n">
        <v>90</v>
      </c>
      <c r="N86" s="1074" t="inlineStr">
        <is>
          <t>田雨涵01</t>
        </is>
      </c>
      <c r="O86" s="1074" t="inlineStr">
        <is>
          <t>教室4</t>
        </is>
      </c>
      <c r="P86" s="1074" t="inlineStr">
        <is>
          <t>13:20-15:30</t>
        </is>
      </c>
      <c r="Q86" s="1074" t="inlineStr">
        <is>
          <t>潜能班</t>
        </is>
      </c>
      <c r="R86" s="1074" t="inlineStr">
        <is>
          <t>二期</t>
        </is>
      </c>
      <c r="S86" s="1074" t="inlineStr">
        <is>
          <t>在读</t>
        </is>
      </c>
      <c r="T86" s="1074" t="inlineStr">
        <is>
          <t>-</t>
        </is>
      </c>
      <c r="U86" s="1074" t="inlineStr">
        <is>
          <t>4513342</t>
        </is>
      </c>
      <c r="V86" s="1074" t="n"/>
      <c r="W86" s="1074" t="inlineStr">
        <is>
          <t>黄铭怡</t>
        </is>
      </c>
      <c r="X86" s="1074" t="inlineStr">
        <is>
          <t>教室4</t>
        </is>
      </c>
      <c r="Y86" s="1074" t="inlineStr">
        <is>
          <t>10:20-12:30</t>
        </is>
      </c>
      <c r="Z86" s="1074" t="inlineStr">
        <is>
          <t>潜能班</t>
        </is>
      </c>
      <c r="AA86" s="1074" t="inlineStr">
        <is>
          <t>二期</t>
        </is>
      </c>
      <c r="AB86" s="1074" t="inlineStr">
        <is>
          <t>在读</t>
        </is>
      </c>
      <c r="AC86" s="1074" t="inlineStr">
        <is>
          <t>-</t>
        </is>
      </c>
      <c r="AD86" s="1074" t="inlineStr">
        <is>
          <t>4513340</t>
        </is>
      </c>
      <c r="AE86" s="1074" t="n"/>
      <c r="AF86" s="1074" t="inlineStr">
        <is>
          <t>高心怡04</t>
        </is>
      </c>
      <c r="AG86" s="1074" t="inlineStr">
        <is>
          <t>教室4</t>
        </is>
      </c>
      <c r="AH86" s="1074" t="inlineStr">
        <is>
          <t>15:50-18:00</t>
        </is>
      </c>
      <c r="AI86" s="1074" t="inlineStr">
        <is>
          <t>潜能班</t>
        </is>
      </c>
      <c r="AJ86" s="1074" t="inlineStr">
        <is>
          <t>二期</t>
        </is>
      </c>
      <c r="AK86" s="1074" t="inlineStr">
        <is>
          <t>在读</t>
        </is>
      </c>
      <c r="AL86" s="1074" t="inlineStr">
        <is>
          <t>-</t>
        </is>
      </c>
      <c r="AM86" s="1074" t="n"/>
      <c r="AN86" s="1074" t="n"/>
      <c r="AO86" s="1074" t="n"/>
      <c r="AP86" s="1074" t="n"/>
      <c r="AQ86" s="1074" t="n"/>
      <c r="AR86" s="1074" t="n"/>
      <c r="AS86" s="1074" t="n"/>
      <c r="AT86" s="311" t="n"/>
    </row>
    <row r="87" ht="26.25" customFormat="1" customHeight="1" s="366">
      <c r="A87" s="1074" t="inlineStr">
        <is>
          <t>新宝利</t>
        </is>
      </c>
      <c r="B87" s="1074" t="inlineStr">
        <is>
          <t>4850707583</t>
        </is>
      </c>
      <c r="C87" s="1074" t="inlineStr">
        <is>
          <t>钟文可</t>
        </is>
      </c>
      <c r="D87" s="1074" t="inlineStr">
        <is>
          <t>林志豪01</t>
        </is>
      </c>
      <c r="E87" s="1074" t="inlineStr">
        <is>
          <t>新生转介绍</t>
        </is>
      </c>
      <c r="F87" s="1074" t="n"/>
      <c r="G87" s="1074" t="inlineStr">
        <is>
          <t>侯家聪</t>
        </is>
      </c>
      <c r="H87" s="1074" t="inlineStr">
        <is>
          <t>在读</t>
        </is>
      </c>
      <c r="I87" s="1074" t="inlineStr">
        <is>
          <t>一期</t>
        </is>
      </c>
      <c r="J87" s="1074" t="inlineStr">
        <is>
          <t>5230742</t>
        </is>
      </c>
      <c r="K87" s="1074" t="inlineStr">
        <is>
          <t>校内成绩</t>
        </is>
      </c>
      <c r="L87" s="1074" t="n">
        <v>60</v>
      </c>
      <c r="M87" s="1074" t="n">
        <v>80</v>
      </c>
      <c r="N87" s="1074" t="inlineStr">
        <is>
          <t>何咏04</t>
        </is>
      </c>
      <c r="O87" s="1074" t="inlineStr">
        <is>
          <t>教室2</t>
        </is>
      </c>
      <c r="P87" s="1074" t="inlineStr">
        <is>
          <t>13:20-15:30</t>
        </is>
      </c>
      <c r="Q87" s="1074" t="inlineStr">
        <is>
          <t>潜能班</t>
        </is>
      </c>
      <c r="R87" s="1074" t="inlineStr">
        <is>
          <t>一期</t>
        </is>
      </c>
      <c r="S87" s="1074" t="inlineStr">
        <is>
          <t>在读</t>
        </is>
      </c>
      <c r="T87" s="1074" t="inlineStr">
        <is>
          <t>-</t>
        </is>
      </c>
      <c r="U87" s="1074" t="inlineStr">
        <is>
          <t>5230773</t>
        </is>
      </c>
      <c r="V87" s="1074" t="n"/>
      <c r="W87" s="1074" t="inlineStr">
        <is>
          <t>陈南05</t>
        </is>
      </c>
      <c r="X87" s="1074" t="inlineStr">
        <is>
          <t>教室2</t>
        </is>
      </c>
      <c r="Y87" s="1074" t="inlineStr">
        <is>
          <t>15:50-18:00</t>
        </is>
      </c>
      <c r="Z87" s="1074" t="inlineStr">
        <is>
          <t>潜能班</t>
        </is>
      </c>
      <c r="AA87" s="1074" t="inlineStr">
        <is>
          <t>一期</t>
        </is>
      </c>
      <c r="AB87" s="1074" t="inlineStr">
        <is>
          <t>在读</t>
        </is>
      </c>
      <c r="AC87" s="1074" t="inlineStr">
        <is>
          <t>-</t>
        </is>
      </c>
      <c r="AD87" s="1074" t="inlineStr">
        <is>
          <t>3132888</t>
        </is>
      </c>
      <c r="AE87" s="1074" t="n"/>
      <c r="AF87" s="1074" t="inlineStr">
        <is>
          <t>肖锐03</t>
        </is>
      </c>
      <c r="AG87" s="1074" t="inlineStr">
        <is>
          <t>教室2</t>
        </is>
      </c>
      <c r="AH87" s="1074" t="inlineStr">
        <is>
          <t>10:20-12:30</t>
        </is>
      </c>
      <c r="AI87" s="1074" t="inlineStr">
        <is>
          <t>潜能班</t>
        </is>
      </c>
      <c r="AJ87" s="1074" t="inlineStr">
        <is>
          <t>一期</t>
        </is>
      </c>
      <c r="AK87" s="1074" t="inlineStr">
        <is>
          <t>在读</t>
        </is>
      </c>
      <c r="AL87" s="1074" t="inlineStr">
        <is>
          <t>-</t>
        </is>
      </c>
      <c r="AM87" s="1074" t="n"/>
      <c r="AN87" s="1074" t="n"/>
      <c r="AO87" s="1074" t="n"/>
      <c r="AP87" s="1074" t="n"/>
      <c r="AQ87" s="1074" t="n"/>
      <c r="AR87" s="1074" t="n"/>
      <c r="AS87" s="1074" t="n"/>
      <c r="AT87" s="311" t="n"/>
    </row>
    <row r="88" ht="26.25" customFormat="1" customHeight="1" s="366">
      <c r="A88" s="1074" t="inlineStr">
        <is>
          <t>新宝利</t>
        </is>
      </c>
      <c r="B88" s="1074" t="inlineStr">
        <is>
          <t>2408720156</t>
        </is>
      </c>
      <c r="C88" s="1074" t="inlineStr">
        <is>
          <t>陈加杰</t>
        </is>
      </c>
      <c r="D88" s="1074" t="inlineStr">
        <is>
          <t>杨林33</t>
        </is>
      </c>
      <c r="E88" s="1074" t="inlineStr">
        <is>
          <t>纯拉新</t>
        </is>
      </c>
      <c r="F88" s="1074" t="n"/>
      <c r="G88" s="1074" t="n"/>
      <c r="H88" s="1074" t="inlineStr">
        <is>
          <t>在读</t>
        </is>
      </c>
      <c r="I88" s="1074" t="inlineStr">
        <is>
          <t>二期</t>
        </is>
      </c>
      <c r="J88" s="1074" t="inlineStr">
        <is>
          <t>5111034</t>
        </is>
      </c>
      <c r="K88" s="1074" t="inlineStr">
        <is>
          <t>校内成绩</t>
        </is>
      </c>
      <c r="L88" s="1074" t="n">
        <v>72</v>
      </c>
      <c r="M88" s="1074" t="n">
        <v>90</v>
      </c>
      <c r="N88" s="1074" t="inlineStr">
        <is>
          <t>田雨涵01</t>
        </is>
      </c>
      <c r="O88" s="1074" t="inlineStr">
        <is>
          <t>教室4</t>
        </is>
      </c>
      <c r="P88" s="1074" t="inlineStr">
        <is>
          <t>13:20-15:30</t>
        </is>
      </c>
      <c r="Q88" s="1074" t="inlineStr">
        <is>
          <t>潜能班</t>
        </is>
      </c>
      <c r="R88" s="1074" t="inlineStr">
        <is>
          <t>二期</t>
        </is>
      </c>
      <c r="S88" s="1074" t="inlineStr">
        <is>
          <t>在读</t>
        </is>
      </c>
      <c r="T88" s="1074" t="inlineStr">
        <is>
          <t>-</t>
        </is>
      </c>
      <c r="U88" s="1074" t="inlineStr">
        <is>
          <t>4513342</t>
        </is>
      </c>
      <c r="V88" s="1074" t="n"/>
      <c r="W88" s="1074" t="inlineStr">
        <is>
          <t>黄铭怡</t>
        </is>
      </c>
      <c r="X88" s="1074" t="inlineStr">
        <is>
          <t>教室4</t>
        </is>
      </c>
      <c r="Y88" s="1074" t="inlineStr">
        <is>
          <t>10:20-12:30</t>
        </is>
      </c>
      <c r="Z88" s="1074" t="inlineStr">
        <is>
          <t>潜能班</t>
        </is>
      </c>
      <c r="AA88" s="1074" t="inlineStr">
        <is>
          <t>二期</t>
        </is>
      </c>
      <c r="AB88" s="1074" t="inlineStr">
        <is>
          <t>在读</t>
        </is>
      </c>
      <c r="AC88" s="1074" t="inlineStr">
        <is>
          <t>-</t>
        </is>
      </c>
      <c r="AD88" s="1074" t="inlineStr">
        <is>
          <t>4513340</t>
        </is>
      </c>
      <c r="AE88" s="1074" t="n"/>
      <c r="AF88" s="1074" t="inlineStr">
        <is>
          <t>高心怡04</t>
        </is>
      </c>
      <c r="AG88" s="1074" t="inlineStr">
        <is>
          <t>教室4</t>
        </is>
      </c>
      <c r="AH88" s="1074" t="inlineStr">
        <is>
          <t>15:50-18:00</t>
        </is>
      </c>
      <c r="AI88" s="1074" t="inlineStr">
        <is>
          <t>潜能班</t>
        </is>
      </c>
      <c r="AJ88" s="1074" t="inlineStr">
        <is>
          <t>二期</t>
        </is>
      </c>
      <c r="AK88" s="1074" t="inlineStr">
        <is>
          <t>在读</t>
        </is>
      </c>
      <c r="AL88" s="1074" t="inlineStr">
        <is>
          <t>-</t>
        </is>
      </c>
      <c r="AM88" s="1074" t="n"/>
      <c r="AN88" s="1074" t="n"/>
      <c r="AO88" s="1074" t="n"/>
      <c r="AP88" s="1074" t="n"/>
      <c r="AQ88" s="1074" t="n"/>
      <c r="AR88" s="1074" t="n"/>
      <c r="AS88" s="1074" t="n"/>
      <c r="AT88" s="311" t="n"/>
    </row>
    <row r="89" ht="26.25" customFormat="1" customHeight="1" s="366">
      <c r="A89" s="1074" t="inlineStr">
        <is>
          <t>新宝利</t>
        </is>
      </c>
      <c r="B89" s="1074" t="inlineStr">
        <is>
          <t>2572765383</t>
        </is>
      </c>
      <c r="C89" s="1074" t="inlineStr">
        <is>
          <t>曹梓耀</t>
        </is>
      </c>
      <c r="D89" s="1074" t="inlineStr">
        <is>
          <t>林志豪01</t>
        </is>
      </c>
      <c r="E89" s="1074" t="inlineStr">
        <is>
          <t>纯拉新</t>
        </is>
      </c>
      <c r="F89" s="1074" t="n"/>
      <c r="G89" s="1074" t="n"/>
      <c r="H89" s="1074" t="inlineStr">
        <is>
          <t>在读</t>
        </is>
      </c>
      <c r="I89" s="1074" t="inlineStr">
        <is>
          <t>零期</t>
        </is>
      </c>
      <c r="J89" s="1074" t="inlineStr">
        <is>
          <t>-</t>
        </is>
      </c>
      <c r="K89" s="1074" t="inlineStr"/>
      <c r="L89" s="1074" t="inlineStr"/>
      <c r="M89" s="1074" t="inlineStr"/>
      <c r="N89" s="1074" t="inlineStr">
        <is>
          <t>-</t>
        </is>
      </c>
      <c r="O89" s="1074" t="inlineStr">
        <is>
          <t>-</t>
        </is>
      </c>
      <c r="P89" s="1074" t="inlineStr">
        <is>
          <t>-</t>
        </is>
      </c>
      <c r="Q89" s="1074" t="inlineStr">
        <is>
          <t>-</t>
        </is>
      </c>
      <c r="R89" s="1074" t="inlineStr">
        <is>
          <t>-</t>
        </is>
      </c>
      <c r="S89" s="1074" t="inlineStr">
        <is>
          <t>-</t>
        </is>
      </c>
      <c r="T89" s="1074" t="inlineStr">
        <is>
          <t>-</t>
        </is>
      </c>
      <c r="U89" s="1074" t="inlineStr">
        <is>
          <t>-</t>
        </is>
      </c>
      <c r="V89" s="1074" t="inlineStr"/>
      <c r="W89" s="1074" t="inlineStr">
        <is>
          <t>-</t>
        </is>
      </c>
      <c r="X89" s="1074" t="inlineStr">
        <is>
          <t>-</t>
        </is>
      </c>
      <c r="Y89" s="1074" t="inlineStr">
        <is>
          <t>-</t>
        </is>
      </c>
      <c r="Z89" s="1074" t="inlineStr">
        <is>
          <t>-</t>
        </is>
      </c>
      <c r="AA89" s="1074" t="inlineStr">
        <is>
          <t>-</t>
        </is>
      </c>
      <c r="AB89" s="1074" t="inlineStr">
        <is>
          <t>-</t>
        </is>
      </c>
      <c r="AC89" s="1074" t="inlineStr">
        <is>
          <t>-</t>
        </is>
      </c>
      <c r="AD89" s="1074" t="inlineStr">
        <is>
          <t>5230727</t>
        </is>
      </c>
      <c r="AE89" s="1074" t="n"/>
      <c r="AF89" s="1074" t="inlineStr">
        <is>
          <t>肖锐03</t>
        </is>
      </c>
      <c r="AG89" s="1074" t="inlineStr">
        <is>
          <t>教室2</t>
        </is>
      </c>
      <c r="AH89" s="1074" t="inlineStr">
        <is>
          <t>13:20-15:30</t>
        </is>
      </c>
      <c r="AI89" s="1074" t="inlineStr">
        <is>
          <t>潜能班</t>
        </is>
      </c>
      <c r="AJ89" s="1074" t="inlineStr">
        <is>
          <t>零期</t>
        </is>
      </c>
      <c r="AK89" s="1074" t="inlineStr">
        <is>
          <t>在读</t>
        </is>
      </c>
      <c r="AL89" s="1074" t="inlineStr">
        <is>
          <t>-</t>
        </is>
      </c>
      <c r="AM89" s="1074" t="inlineStr">
        <is>
          <t>是</t>
        </is>
      </c>
      <c r="AN89" s="1074" t="inlineStr">
        <is>
          <t>是</t>
        </is>
      </c>
      <c r="AO89" s="1074" t="inlineStr">
        <is>
          <t>否</t>
        </is>
      </c>
      <c r="AP89" s="1074" t="n"/>
      <c r="AQ89" s="1074" t="n"/>
      <c r="AR89" s="1074" t="inlineStr">
        <is>
          <t>B</t>
        </is>
      </c>
      <c r="AS89" s="1074" t="inlineStr">
        <is>
          <t>只问了暑假的课程和教学内容，其他没过多沟通</t>
        </is>
      </c>
      <c r="AT89" s="311" t="n"/>
    </row>
    <row r="90" ht="26.25" customFormat="1" customHeight="1" s="366">
      <c r="A90" s="1074" t="inlineStr">
        <is>
          <t>同创汇</t>
        </is>
      </c>
      <c r="B90" s="1074" t="inlineStr">
        <is>
          <t>2581075620</t>
        </is>
      </c>
      <c r="C90" s="1074" t="inlineStr">
        <is>
          <t>王勃昊</t>
        </is>
      </c>
      <c r="D90" s="1074" t="inlineStr">
        <is>
          <t>王丽</t>
        </is>
      </c>
      <c r="E90" s="1074" t="inlineStr">
        <is>
          <t>纯拉新</t>
        </is>
      </c>
      <c r="F90" s="1074" t="n"/>
      <c r="G90" s="1074" t="n"/>
      <c r="H90" s="1074" t="inlineStr">
        <is>
          <t>在读</t>
        </is>
      </c>
      <c r="I90" s="1074" t="inlineStr">
        <is>
          <t>零期</t>
        </is>
      </c>
      <c r="J90" s="1074" t="inlineStr">
        <is>
          <t>5230806</t>
        </is>
      </c>
      <c r="K90" s="1074" t="inlineStr">
        <is>
          <t>校内成绩</t>
        </is>
      </c>
      <c r="L90" s="1074" t="n">
        <v>72</v>
      </c>
      <c r="M90" s="1074" t="n">
        <v>90</v>
      </c>
      <c r="N90" s="1074" t="inlineStr">
        <is>
          <t>田雨涵01</t>
        </is>
      </c>
      <c r="O90" s="1074" t="inlineStr">
        <is>
          <t>03识海阁</t>
        </is>
      </c>
      <c r="P90" s="1074" t="inlineStr">
        <is>
          <t>10:20-12:30</t>
        </is>
      </c>
      <c r="Q90" s="1074" t="inlineStr">
        <is>
          <t>潜能班</t>
        </is>
      </c>
      <c r="R90" s="1074" t="inlineStr">
        <is>
          <t>零期</t>
        </is>
      </c>
      <c r="S90" s="1074" t="inlineStr">
        <is>
          <t>在读</t>
        </is>
      </c>
      <c r="T90" s="1074" t="inlineStr">
        <is>
          <t>-</t>
        </is>
      </c>
      <c r="U90" s="1074" t="inlineStr">
        <is>
          <t>-</t>
        </is>
      </c>
      <c r="V90" s="1074" t="inlineStr"/>
      <c r="W90" s="1074" t="inlineStr">
        <is>
          <t>-</t>
        </is>
      </c>
      <c r="X90" s="1074" t="inlineStr">
        <is>
          <t>-</t>
        </is>
      </c>
      <c r="Y90" s="1074" t="inlineStr">
        <is>
          <t>-</t>
        </is>
      </c>
      <c r="Z90" s="1074" t="inlineStr">
        <is>
          <t>-</t>
        </is>
      </c>
      <c r="AA90" s="1074" t="inlineStr">
        <is>
          <t>-</t>
        </is>
      </c>
      <c r="AB90" s="1074" t="inlineStr">
        <is>
          <t>-</t>
        </is>
      </c>
      <c r="AC90" s="1074" t="inlineStr">
        <is>
          <t>-</t>
        </is>
      </c>
      <c r="AD90" s="1074" t="inlineStr">
        <is>
          <t>-</t>
        </is>
      </c>
      <c r="AE90" s="1074" t="inlineStr"/>
      <c r="AF90" s="1074" t="inlineStr">
        <is>
          <t>-</t>
        </is>
      </c>
      <c r="AG90" s="1074" t="inlineStr">
        <is>
          <t>-</t>
        </is>
      </c>
      <c r="AH90" s="1074" t="inlineStr">
        <is>
          <t>-</t>
        </is>
      </c>
      <c r="AI90" s="1074" t="inlineStr">
        <is>
          <t>-</t>
        </is>
      </c>
      <c r="AJ90" s="1074" t="inlineStr">
        <is>
          <t>-</t>
        </is>
      </c>
      <c r="AK90" s="1074" t="inlineStr">
        <is>
          <t>-</t>
        </is>
      </c>
      <c r="AL90" s="1074" t="inlineStr">
        <is>
          <t>-</t>
        </is>
      </c>
      <c r="AM90" s="1074" t="inlineStr">
        <is>
          <t>是</t>
        </is>
      </c>
      <c r="AN90" s="1074" t="inlineStr">
        <is>
          <t>否</t>
        </is>
      </c>
      <c r="AO90" s="1074" t="inlineStr">
        <is>
          <t>否</t>
        </is>
      </c>
      <c r="AP90" s="1074" t="n"/>
      <c r="AQ90" s="1074" t="n"/>
      <c r="AR90" s="1074" t="inlineStr">
        <is>
          <t>B</t>
        </is>
      </c>
      <c r="AS90" s="1074" t="inlineStr">
        <is>
          <t>先体验下暑假课，没聊秋季课的事情</t>
        </is>
      </c>
      <c r="AT90" s="311" t="n"/>
    </row>
    <row r="91" ht="26.25" customFormat="1" customHeight="1" s="366">
      <c r="A91" s="1074" t="inlineStr">
        <is>
          <t>新宝利</t>
        </is>
      </c>
      <c r="B91" s="1074" t="inlineStr">
        <is>
          <t>4065596636</t>
        </is>
      </c>
      <c r="C91" s="1074" t="inlineStr">
        <is>
          <t>刘雯涵</t>
        </is>
      </c>
      <c r="D91" s="1074" t="inlineStr">
        <is>
          <t>沈思浩</t>
        </is>
      </c>
      <c r="E91" s="1074" t="inlineStr">
        <is>
          <t>纯拉新</t>
        </is>
      </c>
      <c r="F91" s="1074" t="n"/>
      <c r="G91" s="1074" t="n"/>
      <c r="H91" s="1074" t="inlineStr">
        <is>
          <t>在读</t>
        </is>
      </c>
      <c r="I91" s="1074" t="inlineStr">
        <is>
          <t>三期</t>
        </is>
      </c>
      <c r="J91" s="1074" t="inlineStr">
        <is>
          <t>4632447</t>
        </is>
      </c>
      <c r="K91" s="1074" t="inlineStr">
        <is>
          <t>校内成绩</t>
        </is>
      </c>
      <c r="L91" s="1074" t="n">
        <v>72</v>
      </c>
      <c r="M91" s="1074" t="n">
        <v>90</v>
      </c>
      <c r="N91" s="1074" t="inlineStr">
        <is>
          <t>田雨涵01</t>
        </is>
      </c>
      <c r="O91" s="1074" t="inlineStr">
        <is>
          <t>教室5</t>
        </is>
      </c>
      <c r="P91" s="1074" t="inlineStr">
        <is>
          <t>10:20-12:30</t>
        </is>
      </c>
      <c r="Q91" s="1074" t="inlineStr">
        <is>
          <t>潜能班</t>
        </is>
      </c>
      <c r="R91" s="1074" t="inlineStr">
        <is>
          <t>三期</t>
        </is>
      </c>
      <c r="S91" s="1074" t="inlineStr">
        <is>
          <t>在读</t>
        </is>
      </c>
      <c r="T91" s="1074" t="inlineStr">
        <is>
          <t>-</t>
        </is>
      </c>
      <c r="U91" s="1074" t="inlineStr">
        <is>
          <t>5111226</t>
        </is>
      </c>
      <c r="V91" s="1074" t="n"/>
      <c r="W91" s="1074" t="inlineStr">
        <is>
          <t>李润</t>
        </is>
      </c>
      <c r="X91" s="1074" t="inlineStr">
        <is>
          <t>教室5</t>
        </is>
      </c>
      <c r="Y91" s="1074" t="inlineStr">
        <is>
          <t>15:50-18:00</t>
        </is>
      </c>
      <c r="Z91" s="1074" t="inlineStr">
        <is>
          <t>潜能班</t>
        </is>
      </c>
      <c r="AA91" s="1074" t="inlineStr">
        <is>
          <t>三期</t>
        </is>
      </c>
      <c r="AB91" s="1074" t="inlineStr">
        <is>
          <t>在读</t>
        </is>
      </c>
      <c r="AC91" s="1074" t="inlineStr">
        <is>
          <t>-</t>
        </is>
      </c>
      <c r="AD91" s="1074" t="inlineStr">
        <is>
          <t>4513388</t>
        </is>
      </c>
      <c r="AE91" s="1074" t="n"/>
      <c r="AF91" s="1074" t="inlineStr">
        <is>
          <t>肖锐03</t>
        </is>
      </c>
      <c r="AG91" s="1074" t="inlineStr">
        <is>
          <t>教室5</t>
        </is>
      </c>
      <c r="AH91" s="1074" t="inlineStr">
        <is>
          <t>13:20-15:30</t>
        </is>
      </c>
      <c r="AI91" s="1074" t="inlineStr">
        <is>
          <t>潜能班</t>
        </is>
      </c>
      <c r="AJ91" s="1074" t="inlineStr">
        <is>
          <t>三期</t>
        </is>
      </c>
      <c r="AK91" s="1074" t="inlineStr">
        <is>
          <t>在读</t>
        </is>
      </c>
      <c r="AL91" s="1074" t="inlineStr">
        <is>
          <t>-</t>
        </is>
      </c>
      <c r="AM91" s="1074" t="n"/>
      <c r="AN91" s="1074" t="n"/>
      <c r="AO91" s="1074" t="n"/>
      <c r="AP91" s="1074" t="n"/>
      <c r="AQ91" s="1074" t="n"/>
      <c r="AR91" s="1074" t="n"/>
      <c r="AS91" s="1074" t="n"/>
      <c r="AT91" s="311" t="n"/>
    </row>
    <row r="92" ht="26.25" customFormat="1" customHeight="1" s="366">
      <c r="A92" s="1074" t="inlineStr">
        <is>
          <t>同创汇</t>
        </is>
      </c>
      <c r="B92" s="1074" t="inlineStr">
        <is>
          <t>4018505986</t>
        </is>
      </c>
      <c r="C92" s="1074" t="inlineStr">
        <is>
          <t>戴鸿杰</t>
        </is>
      </c>
      <c r="D92" s="1074" t="inlineStr">
        <is>
          <t>苏丽婷</t>
        </is>
      </c>
      <c r="E92" s="1074" t="inlineStr">
        <is>
          <t>纯拉新</t>
        </is>
      </c>
      <c r="F92" s="1074" t="n"/>
      <c r="G92" s="1074" t="n"/>
      <c r="H92" s="1074" t="inlineStr">
        <is>
          <t>在读</t>
        </is>
      </c>
      <c r="I92" s="1074" t="inlineStr">
        <is>
          <t>零期</t>
        </is>
      </c>
      <c r="J92" s="1074" t="inlineStr">
        <is>
          <t>5230806</t>
        </is>
      </c>
      <c r="K92" s="1074" t="inlineStr">
        <is>
          <t>校内成绩</t>
        </is>
      </c>
      <c r="L92" s="1074" t="n">
        <v>72</v>
      </c>
      <c r="M92" s="1074" t="n">
        <v>90</v>
      </c>
      <c r="N92" s="1074" t="inlineStr">
        <is>
          <t>田雨涵01</t>
        </is>
      </c>
      <c r="O92" s="1074" t="inlineStr">
        <is>
          <t>03识海阁</t>
        </is>
      </c>
      <c r="P92" s="1074" t="inlineStr">
        <is>
          <t>10:20-12:30</t>
        </is>
      </c>
      <c r="Q92" s="1074" t="inlineStr">
        <is>
          <t>潜能班</t>
        </is>
      </c>
      <c r="R92" s="1074" t="inlineStr">
        <is>
          <t>零期</t>
        </is>
      </c>
      <c r="S92" s="1074" t="inlineStr">
        <is>
          <t>在读</t>
        </is>
      </c>
      <c r="T92" s="1074" t="inlineStr">
        <is>
          <t>-</t>
        </is>
      </c>
      <c r="U92" s="1074" t="inlineStr">
        <is>
          <t>5170872</t>
        </is>
      </c>
      <c r="V92" s="1074" t="n"/>
      <c r="W92" s="1074" t="inlineStr">
        <is>
          <t>陈南05</t>
        </is>
      </c>
      <c r="X92" s="1074" t="inlineStr">
        <is>
          <t>03识海阁</t>
        </is>
      </c>
      <c r="Y92" s="1074" t="inlineStr">
        <is>
          <t>13:20-15:30</t>
        </is>
      </c>
      <c r="Z92" s="1074" t="inlineStr">
        <is>
          <t>潜能班</t>
        </is>
      </c>
      <c r="AA92" s="1074" t="inlineStr">
        <is>
          <t>零期</t>
        </is>
      </c>
      <c r="AB92" s="1074" t="inlineStr">
        <is>
          <t>在读</t>
        </is>
      </c>
      <c r="AC92" s="1074" t="inlineStr">
        <is>
          <t>-</t>
        </is>
      </c>
      <c r="AD92" s="1074" t="inlineStr">
        <is>
          <t>3132865</t>
        </is>
      </c>
      <c r="AE92" s="1074" t="n"/>
      <c r="AF92" s="1074" t="inlineStr">
        <is>
          <t>刘希子</t>
        </is>
      </c>
      <c r="AG92" s="1074" t="inlineStr">
        <is>
          <t>03识海阁</t>
        </is>
      </c>
      <c r="AH92" s="1074" t="inlineStr">
        <is>
          <t>15:50-18:00</t>
        </is>
      </c>
      <c r="AI92" s="1074" t="inlineStr">
        <is>
          <t>潜能班</t>
        </is>
      </c>
      <c r="AJ92" s="1074" t="inlineStr">
        <is>
          <t>零期</t>
        </is>
      </c>
      <c r="AK92" s="1074" t="inlineStr">
        <is>
          <t>在读</t>
        </is>
      </c>
      <c r="AL92" s="1074" t="inlineStr">
        <is>
          <t>-</t>
        </is>
      </c>
      <c r="AM92" s="1074" t="inlineStr">
        <is>
          <t>是</t>
        </is>
      </c>
      <c r="AN92" s="1074" t="inlineStr">
        <is>
          <t>是</t>
        </is>
      </c>
      <c r="AO92" s="1074" t="inlineStr">
        <is>
          <t>否</t>
        </is>
      </c>
      <c r="AP92" s="1074" t="n"/>
      <c r="AQ92" s="1074" t="n"/>
      <c r="AR92" s="1074" t="inlineStr">
        <is>
          <t>S</t>
        </is>
      </c>
      <c r="AS92" s="1074" t="inlineStr">
        <is>
          <t>孩子爸爸有主动问秋季的课程费用，教学内容，重视师资，身边也推荐了其他家长了解课程</t>
        </is>
      </c>
      <c r="AT92" s="311" t="n"/>
    </row>
    <row r="93" ht="26.25" customFormat="1" customHeight="1" s="366">
      <c r="A93" s="1074" t="inlineStr">
        <is>
          <t>新宝利</t>
        </is>
      </c>
      <c r="B93" s="1074" t="inlineStr">
        <is>
          <t>2136468815</t>
        </is>
      </c>
      <c r="C93" s="1074" t="inlineStr">
        <is>
          <t>金思宇</t>
        </is>
      </c>
      <c r="D93" s="1074" t="inlineStr">
        <is>
          <t>王达04</t>
        </is>
      </c>
      <c r="E93" s="1074" t="inlineStr">
        <is>
          <t>新生转介绍</t>
        </is>
      </c>
      <c r="F93" s="1074" t="n"/>
      <c r="G93" s="1074" t="inlineStr">
        <is>
          <t>钟博睿</t>
        </is>
      </c>
      <c r="H93" s="1074" t="inlineStr">
        <is>
          <t>在读</t>
        </is>
      </c>
      <c r="I93" s="1074" t="inlineStr">
        <is>
          <t>零期/三期</t>
        </is>
      </c>
      <c r="J93" s="1074" t="inlineStr">
        <is>
          <t>4632447</t>
        </is>
      </c>
      <c r="K93" s="1074" t="inlineStr">
        <is>
          <t>报前测成绩</t>
        </is>
      </c>
      <c r="L93" s="1074" t="n">
        <v>77</v>
      </c>
      <c r="M93" s="1074" t="inlineStr">
        <is>
          <t>-</t>
        </is>
      </c>
      <c r="N93" s="1074" t="inlineStr">
        <is>
          <t>田雨涵01</t>
        </is>
      </c>
      <c r="O93" s="1074" t="inlineStr">
        <is>
          <t>教室5</t>
        </is>
      </c>
      <c r="P93" s="1074" t="inlineStr">
        <is>
          <t>10:20-12:30</t>
        </is>
      </c>
      <c r="Q93" s="1074" t="inlineStr">
        <is>
          <t>潜能班</t>
        </is>
      </c>
      <c r="R93" s="1074" t="inlineStr">
        <is>
          <t>三期</t>
        </is>
      </c>
      <c r="S93" s="1074" t="inlineStr">
        <is>
          <t>在读</t>
        </is>
      </c>
      <c r="T93" s="1074" t="inlineStr">
        <is>
          <t>-</t>
        </is>
      </c>
      <c r="U93" s="1074" t="inlineStr">
        <is>
          <t>5170873</t>
        </is>
      </c>
      <c r="V93" s="1074" t="n"/>
      <c r="W93" s="1074" t="inlineStr">
        <is>
          <t>李润</t>
        </is>
      </c>
      <c r="X93" s="1074" t="inlineStr">
        <is>
          <t>教室2</t>
        </is>
      </c>
      <c r="Y93" s="1074" t="inlineStr">
        <is>
          <t>13:20-15:30</t>
        </is>
      </c>
      <c r="Z93" s="1074" t="inlineStr">
        <is>
          <t>潜能班</t>
        </is>
      </c>
      <c r="AA93" s="1074" t="inlineStr">
        <is>
          <t>三期</t>
        </is>
      </c>
      <c r="AB93" s="1074" t="inlineStr">
        <is>
          <t>在读</t>
        </is>
      </c>
      <c r="AC93" s="1074" t="inlineStr">
        <is>
          <t>-</t>
        </is>
      </c>
      <c r="AD93" s="1074" t="inlineStr">
        <is>
          <t>5230723</t>
        </is>
      </c>
      <c r="AE93" s="1074" t="n"/>
      <c r="AF93" s="1074" t="inlineStr">
        <is>
          <t>肖锐03</t>
        </is>
      </c>
      <c r="AG93" s="1074" t="inlineStr">
        <is>
          <t>教室3</t>
        </is>
      </c>
      <c r="AH93" s="1074" t="inlineStr">
        <is>
          <t>15:50-18:00</t>
        </is>
      </c>
      <c r="AI93" s="1074" t="inlineStr">
        <is>
          <t>潜能班</t>
        </is>
      </c>
      <c r="AJ93" s="1074" t="inlineStr">
        <is>
          <t>零期</t>
        </is>
      </c>
      <c r="AK93" s="1074" t="inlineStr">
        <is>
          <t>在读</t>
        </is>
      </c>
      <c r="AL93" s="1074" t="inlineStr">
        <is>
          <t>-</t>
        </is>
      </c>
      <c r="AM93" s="1074" t="inlineStr">
        <is>
          <t>是</t>
        </is>
      </c>
      <c r="AN93" s="1074" t="inlineStr">
        <is>
          <t>是</t>
        </is>
      </c>
      <c r="AO93" s="1074" t="inlineStr">
        <is>
          <t>是</t>
        </is>
      </c>
      <c r="AP93" s="1074" t="n"/>
      <c r="AQ93" s="1074" t="n"/>
      <c r="AR93" s="1074" t="n"/>
      <c r="AS93" s="1074" t="n"/>
      <c r="AT93" s="311" t="n"/>
    </row>
    <row r="94" ht="26.25" customFormat="1" customHeight="1" s="366">
      <c r="A94" s="1074" t="inlineStr">
        <is>
          <t>同创汇</t>
        </is>
      </c>
      <c r="B94" s="1074" t="inlineStr">
        <is>
          <t>2558217051</t>
        </is>
      </c>
      <c r="C94" s="1074" t="inlineStr">
        <is>
          <t>梁一鸣</t>
        </is>
      </c>
      <c r="D94" s="1074" t="inlineStr">
        <is>
          <t>戎凯01</t>
        </is>
      </c>
      <c r="E94" s="1074" t="inlineStr">
        <is>
          <t>纯拉新</t>
        </is>
      </c>
      <c r="F94" s="1074" t="n"/>
      <c r="G94" s="1074" t="n"/>
      <c r="H94" s="1074" t="inlineStr">
        <is>
          <t>在读</t>
        </is>
      </c>
      <c r="I94" s="1074" t="inlineStr">
        <is>
          <t>一期</t>
        </is>
      </c>
      <c r="J94" s="1074" t="inlineStr">
        <is>
          <t>5230802</t>
        </is>
      </c>
      <c r="K94" s="1074" t="inlineStr">
        <is>
          <t>校内成绩</t>
        </is>
      </c>
      <c r="L94" s="1074" t="n">
        <v>72</v>
      </c>
      <c r="M94" s="1074" t="n">
        <v>90</v>
      </c>
      <c r="N94" s="1074" t="inlineStr">
        <is>
          <t>田雨涵01</t>
        </is>
      </c>
      <c r="O94" s="1074" t="inlineStr">
        <is>
          <t>02彩虹桥</t>
        </is>
      </c>
      <c r="P94" s="1074" t="inlineStr">
        <is>
          <t>15:50-18:00</t>
        </is>
      </c>
      <c r="Q94" s="1074" t="inlineStr">
        <is>
          <t>潜能班</t>
        </is>
      </c>
      <c r="R94" s="1074" t="inlineStr">
        <is>
          <t>一期</t>
        </is>
      </c>
      <c r="S94" s="1074" t="inlineStr">
        <is>
          <t>在读</t>
        </is>
      </c>
      <c r="T94" s="1074" t="inlineStr">
        <is>
          <t>-</t>
        </is>
      </c>
      <c r="U94" s="1074" t="inlineStr">
        <is>
          <t>4632448</t>
        </is>
      </c>
      <c r="V94" s="1074" t="n"/>
      <c r="W94" s="1074" t="inlineStr">
        <is>
          <t>陈南05</t>
        </is>
      </c>
      <c r="X94" s="1074" t="inlineStr">
        <is>
          <t>02彩虹桥</t>
        </is>
      </c>
      <c r="Y94" s="1074" t="inlineStr">
        <is>
          <t>10:20-12:30</t>
        </is>
      </c>
      <c r="Z94" s="1074" t="inlineStr">
        <is>
          <t>潜能班</t>
        </is>
      </c>
      <c r="AA94" s="1074" t="inlineStr">
        <is>
          <t>一期</t>
        </is>
      </c>
      <c r="AB94" s="1074" t="inlineStr">
        <is>
          <t>在读</t>
        </is>
      </c>
      <c r="AC94" s="1074" t="inlineStr">
        <is>
          <t>-</t>
        </is>
      </c>
      <c r="AD94" s="1074" t="inlineStr">
        <is>
          <t>3132837</t>
        </is>
      </c>
      <c r="AE94" s="1074" t="n"/>
      <c r="AF94" s="1074" t="inlineStr">
        <is>
          <t>高心怡04</t>
        </is>
      </c>
      <c r="AG94" s="1074" t="inlineStr">
        <is>
          <t>02彩虹桥</t>
        </is>
      </c>
      <c r="AH94" s="1074" t="inlineStr">
        <is>
          <t>13:20-15:30</t>
        </is>
      </c>
      <c r="AI94" s="1074" t="inlineStr">
        <is>
          <t>潜能班</t>
        </is>
      </c>
      <c r="AJ94" s="1074" t="inlineStr">
        <is>
          <t>一期</t>
        </is>
      </c>
      <c r="AK94" s="1074" t="inlineStr">
        <is>
          <t>在读</t>
        </is>
      </c>
      <c r="AL94" s="1074" t="inlineStr">
        <is>
          <t>-</t>
        </is>
      </c>
      <c r="AM94" s="1074" t="n"/>
      <c r="AN94" s="1074" t="n"/>
      <c r="AO94" s="1074" t="n"/>
      <c r="AP94" s="1074" t="n"/>
      <c r="AQ94" s="1074" t="n"/>
      <c r="AR94" s="1074" t="inlineStr">
        <is>
          <t>A</t>
        </is>
      </c>
      <c r="AS94" s="1074" t="inlineStr">
        <is>
          <t>孩子成绩中等，妈妈比较谨慎</t>
        </is>
      </c>
      <c r="AT94" s="311" t="n"/>
    </row>
    <row r="95" ht="26.25" customFormat="1" customHeight="1" s="366">
      <c r="A95" s="1074" t="inlineStr">
        <is>
          <t>新宝利</t>
        </is>
      </c>
      <c r="B95" s="1074" t="inlineStr">
        <is>
          <t>4199817048</t>
        </is>
      </c>
      <c r="C95" s="1074" t="inlineStr">
        <is>
          <t>邓翔升</t>
        </is>
      </c>
      <c r="D95" s="1074" t="inlineStr">
        <is>
          <t>张敏烨</t>
        </is>
      </c>
      <c r="E95" s="1074" t="inlineStr">
        <is>
          <t>新生转介绍</t>
        </is>
      </c>
      <c r="F95" s="1074" t="n"/>
      <c r="G95" s="1074" t="inlineStr">
        <is>
          <t>家谊</t>
        </is>
      </c>
      <c r="H95" s="1074" t="inlineStr">
        <is>
          <t>在读</t>
        </is>
      </c>
      <c r="I95" s="1074" t="inlineStr">
        <is>
          <t>二期</t>
        </is>
      </c>
      <c r="J95" s="1074" t="inlineStr">
        <is>
          <t>5111034</t>
        </is>
      </c>
      <c r="K95" s="1074" t="inlineStr">
        <is>
          <t>报前测成绩</t>
        </is>
      </c>
      <c r="L95" s="1074" t="n">
        <v>66</v>
      </c>
      <c r="M95" s="1074" t="inlineStr">
        <is>
          <t>-</t>
        </is>
      </c>
      <c r="N95" s="1074" t="inlineStr">
        <is>
          <t>田雨涵01</t>
        </is>
      </c>
      <c r="O95" s="1074" t="inlineStr">
        <is>
          <t>教室4</t>
        </is>
      </c>
      <c r="P95" s="1074" t="inlineStr">
        <is>
          <t>13:20-15:30</t>
        </is>
      </c>
      <c r="Q95" s="1074" t="inlineStr">
        <is>
          <t>潜能班</t>
        </is>
      </c>
      <c r="R95" s="1074" t="inlineStr">
        <is>
          <t>二期</t>
        </is>
      </c>
      <c r="S95" s="1074" t="inlineStr">
        <is>
          <t>在读</t>
        </is>
      </c>
      <c r="T95" s="1074" t="inlineStr">
        <is>
          <t>-</t>
        </is>
      </c>
      <c r="U95" s="1074" t="inlineStr">
        <is>
          <t>4513342</t>
        </is>
      </c>
      <c r="V95" s="1074" t="n">
        <v>21</v>
      </c>
      <c r="W95" s="1074" t="inlineStr">
        <is>
          <t>黄铭怡</t>
        </is>
      </c>
      <c r="X95" s="1074" t="inlineStr">
        <is>
          <t>教室4</t>
        </is>
      </c>
      <c r="Y95" s="1074" t="inlineStr">
        <is>
          <t>10:20-12:30</t>
        </is>
      </c>
      <c r="Z95" s="1074" t="inlineStr">
        <is>
          <t>潜能班</t>
        </is>
      </c>
      <c r="AA95" s="1074" t="inlineStr">
        <is>
          <t>二期</t>
        </is>
      </c>
      <c r="AB95" s="1074" t="inlineStr">
        <is>
          <t>在读</t>
        </is>
      </c>
      <c r="AC95" s="1074" t="inlineStr">
        <is>
          <t>-</t>
        </is>
      </c>
      <c r="AD95" s="1074" t="inlineStr">
        <is>
          <t>4513340</t>
        </is>
      </c>
      <c r="AE95" s="1074" t="inlineStr">
        <is>
          <t>-</t>
        </is>
      </c>
      <c r="AF95" s="1074" t="inlineStr">
        <is>
          <t>高心怡04</t>
        </is>
      </c>
      <c r="AG95" s="1074" t="inlineStr">
        <is>
          <t>教室4</t>
        </is>
      </c>
      <c r="AH95" s="1074" t="inlineStr">
        <is>
          <t>15:50-18:00</t>
        </is>
      </c>
      <c r="AI95" s="1074" t="inlineStr">
        <is>
          <t>潜能班</t>
        </is>
      </c>
      <c r="AJ95" s="1074" t="inlineStr">
        <is>
          <t>二期</t>
        </is>
      </c>
      <c r="AK95" s="1074" t="inlineStr">
        <is>
          <t>在读</t>
        </is>
      </c>
      <c r="AL95" s="1074" t="inlineStr">
        <is>
          <t>-</t>
        </is>
      </c>
      <c r="AM95" s="1074" t="n"/>
      <c r="AN95" s="1074" t="n"/>
      <c r="AO95" s="1074" t="n"/>
      <c r="AP95" s="1074" t="n"/>
      <c r="AQ95" s="1074" t="n"/>
      <c r="AR95" s="1074" t="inlineStr">
        <is>
          <t>A</t>
        </is>
      </c>
      <c r="AS95" s="1074" t="inlineStr">
        <is>
          <t>面聊沟通过秋季价格，暑假看看孩子喜不喜欢再决定是否续秋</t>
        </is>
      </c>
      <c r="AT95" s="311" t="n"/>
    </row>
    <row r="96" ht="26.25" customFormat="1" customHeight="1" s="366">
      <c r="A96" s="1074" t="inlineStr">
        <is>
          <t>新宝利</t>
        </is>
      </c>
      <c r="B96" s="1074" t="inlineStr">
        <is>
          <t>2563540579</t>
        </is>
      </c>
      <c r="C96" s="1074" t="inlineStr">
        <is>
          <t>黄诗榆</t>
        </is>
      </c>
      <c r="D96" s="1074" t="inlineStr">
        <is>
          <t>林志豪01</t>
        </is>
      </c>
      <c r="E96" s="1074" t="inlineStr">
        <is>
          <t>纯拉新</t>
        </is>
      </c>
      <c r="F96" s="1074" t="n"/>
      <c r="G96" s="1074" t="n"/>
      <c r="H96" s="1074" t="inlineStr">
        <is>
          <t>在读</t>
        </is>
      </c>
      <c r="I96" s="1074" t="inlineStr">
        <is>
          <t>一期</t>
        </is>
      </c>
      <c r="J96" s="1074" t="inlineStr">
        <is>
          <t>5230742</t>
        </is>
      </c>
      <c r="K96" s="1074" t="inlineStr">
        <is>
          <t>校内成绩</t>
        </is>
      </c>
      <c r="L96" s="1074" t="n">
        <v>63</v>
      </c>
      <c r="M96" s="1074" t="n">
        <v>83</v>
      </c>
      <c r="N96" s="1074" t="inlineStr">
        <is>
          <t>何咏04</t>
        </is>
      </c>
      <c r="O96" s="1074" t="inlineStr">
        <is>
          <t>教室2</t>
        </is>
      </c>
      <c r="P96" s="1074" t="inlineStr">
        <is>
          <t>13:20-15:30</t>
        </is>
      </c>
      <c r="Q96" s="1074" t="inlineStr">
        <is>
          <t>潜能班</t>
        </is>
      </c>
      <c r="R96" s="1074" t="inlineStr">
        <is>
          <t>一期</t>
        </is>
      </c>
      <c r="S96" s="1074" t="inlineStr">
        <is>
          <t>在读</t>
        </is>
      </c>
      <c r="T96" s="1074" t="inlineStr">
        <is>
          <t>-</t>
        </is>
      </c>
      <c r="U96" s="1074" t="inlineStr">
        <is>
          <t>5230773</t>
        </is>
      </c>
      <c r="V96" s="1074" t="n"/>
      <c r="W96" s="1074" t="inlineStr">
        <is>
          <t>陈南05</t>
        </is>
      </c>
      <c r="X96" s="1074" t="inlineStr">
        <is>
          <t>教室2</t>
        </is>
      </c>
      <c r="Y96" s="1074" t="inlineStr">
        <is>
          <t>15:50-18:00</t>
        </is>
      </c>
      <c r="Z96" s="1074" t="inlineStr">
        <is>
          <t>潜能班</t>
        </is>
      </c>
      <c r="AA96" s="1074" t="inlineStr">
        <is>
          <t>一期</t>
        </is>
      </c>
      <c r="AB96" s="1074" t="inlineStr">
        <is>
          <t>在读</t>
        </is>
      </c>
      <c r="AC96" s="1074" t="inlineStr">
        <is>
          <t>-</t>
        </is>
      </c>
      <c r="AD96" s="1074" t="inlineStr">
        <is>
          <t>3132888</t>
        </is>
      </c>
      <c r="AE96" s="1074" t="n"/>
      <c r="AF96" s="1074" t="inlineStr">
        <is>
          <t>肖锐03</t>
        </is>
      </c>
      <c r="AG96" s="1074" t="inlineStr">
        <is>
          <t>教室2</t>
        </is>
      </c>
      <c r="AH96" s="1074" t="inlineStr">
        <is>
          <t>10:20-12:30</t>
        </is>
      </c>
      <c r="AI96" s="1074" t="inlineStr">
        <is>
          <t>潜能班</t>
        </is>
      </c>
      <c r="AJ96" s="1074" t="inlineStr">
        <is>
          <t>一期</t>
        </is>
      </c>
      <c r="AK96" s="1074" t="inlineStr">
        <is>
          <t>在读</t>
        </is>
      </c>
      <c r="AL96" s="1074" t="inlineStr">
        <is>
          <t>-</t>
        </is>
      </c>
      <c r="AM96" s="1074" t="n"/>
      <c r="AN96" s="1074" t="n"/>
      <c r="AO96" s="1074" t="n"/>
      <c r="AP96" s="1074" t="n"/>
      <c r="AQ96" s="1074" t="n"/>
      <c r="AR96" s="1074" t="inlineStr">
        <is>
          <t>S</t>
        </is>
      </c>
      <c r="AS96" s="1074" t="inlineStr">
        <is>
          <t>孩子爸爸问了我们好多次正价课问题，但是爸爸很想一对一或者一对三补课，看沟通需要，妈咪和爸爸的教育意识不错</t>
        </is>
      </c>
      <c r="AT96" s="311" t="n"/>
    </row>
    <row r="97" ht="26.25" customFormat="1" customHeight="1" s="366">
      <c r="A97" s="1074" t="inlineStr">
        <is>
          <t>新宝利</t>
        </is>
      </c>
      <c r="B97" s="1074" t="inlineStr">
        <is>
          <t>4847554796</t>
        </is>
      </c>
      <c r="C97" s="1074" t="inlineStr">
        <is>
          <t>李珉锐</t>
        </is>
      </c>
      <c r="D97" s="1074" t="inlineStr">
        <is>
          <t>张敏烨</t>
        </is>
      </c>
      <c r="E97" s="1074" t="inlineStr">
        <is>
          <t>新生转介绍</t>
        </is>
      </c>
      <c r="F97" s="1074" t="n"/>
      <c r="G97" s="1074" t="inlineStr">
        <is>
          <t>陈建廷</t>
        </is>
      </c>
      <c r="H97" s="1074" t="inlineStr">
        <is>
          <t>在读</t>
        </is>
      </c>
      <c r="I97" s="1074" t="inlineStr">
        <is>
          <t>一期</t>
        </is>
      </c>
      <c r="J97" s="1074" t="inlineStr">
        <is>
          <t>-</t>
        </is>
      </c>
      <c r="K97" s="1074" t="inlineStr"/>
      <c r="L97" s="1074" t="inlineStr"/>
      <c r="M97" s="1074" t="inlineStr"/>
      <c r="N97" s="1074" t="inlineStr">
        <is>
          <t>-</t>
        </is>
      </c>
      <c r="O97" s="1074" t="inlineStr">
        <is>
          <t>-</t>
        </is>
      </c>
      <c r="P97" s="1074" t="inlineStr">
        <is>
          <t>-</t>
        </is>
      </c>
      <c r="Q97" s="1074" t="inlineStr">
        <is>
          <t>-</t>
        </is>
      </c>
      <c r="R97" s="1074" t="inlineStr">
        <is>
          <t>-</t>
        </is>
      </c>
      <c r="S97" s="1074" t="inlineStr">
        <is>
          <t>-</t>
        </is>
      </c>
      <c r="T97" s="1074" t="inlineStr">
        <is>
          <t>-</t>
        </is>
      </c>
      <c r="U97" s="1074" t="inlineStr">
        <is>
          <t>5170706</t>
        </is>
      </c>
      <c r="V97" s="1074" t="n"/>
      <c r="W97" s="1074" t="inlineStr">
        <is>
          <t>李润</t>
        </is>
      </c>
      <c r="X97" s="1074" t="inlineStr">
        <is>
          <t>教室3</t>
        </is>
      </c>
      <c r="Y97" s="1074" t="inlineStr">
        <is>
          <t>13:20-15:30</t>
        </is>
      </c>
      <c r="Z97" s="1074" t="inlineStr">
        <is>
          <t>潜能班</t>
        </is>
      </c>
      <c r="AA97" s="1074" t="inlineStr">
        <is>
          <t>一期</t>
        </is>
      </c>
      <c r="AB97" s="1074" t="inlineStr">
        <is>
          <t>在读</t>
        </is>
      </c>
      <c r="AC97" s="1074" t="inlineStr">
        <is>
          <t>-</t>
        </is>
      </c>
      <c r="AD97" s="1074" t="inlineStr">
        <is>
          <t>-</t>
        </is>
      </c>
      <c r="AE97" s="1074" t="inlineStr"/>
      <c r="AF97" s="1074" t="inlineStr">
        <is>
          <t>-</t>
        </is>
      </c>
      <c r="AG97" s="1074" t="inlineStr">
        <is>
          <t>-</t>
        </is>
      </c>
      <c r="AH97" s="1074" t="inlineStr">
        <is>
          <t>-</t>
        </is>
      </c>
      <c r="AI97" s="1074" t="inlineStr">
        <is>
          <t>-</t>
        </is>
      </c>
      <c r="AJ97" s="1074" t="inlineStr">
        <is>
          <t>-</t>
        </is>
      </c>
      <c r="AK97" s="1074" t="inlineStr">
        <is>
          <t>-</t>
        </is>
      </c>
      <c r="AL97" s="1074" t="inlineStr">
        <is>
          <t>-</t>
        </is>
      </c>
      <c r="AM97" s="1074" t="n"/>
      <c r="AN97" s="1074" t="n"/>
      <c r="AO97" s="1074" t="n"/>
      <c r="AP97" s="1074" t="n"/>
      <c r="AQ97" s="1074" t="n"/>
      <c r="AR97" s="1074" t="n"/>
      <c r="AS97" s="1074" t="n"/>
      <c r="AT97" s="311" t="n"/>
    </row>
    <row r="98" ht="26.25" customFormat="1" customHeight="1" s="366">
      <c r="A98" s="1074" t="inlineStr">
        <is>
          <t>新宝利</t>
        </is>
      </c>
      <c r="B98" s="1074" t="inlineStr">
        <is>
          <t>4850880382</t>
        </is>
      </c>
      <c r="C98" s="1074" t="inlineStr">
        <is>
          <t>逸贤</t>
        </is>
      </c>
      <c r="D98" s="1074" t="inlineStr">
        <is>
          <t>杨林33</t>
        </is>
      </c>
      <c r="E98" s="1074" t="inlineStr">
        <is>
          <t>新生转介绍</t>
        </is>
      </c>
      <c r="F98" s="1074" t="n"/>
      <c r="G98" s="1074" t="inlineStr">
        <is>
          <t>润轩</t>
        </is>
      </c>
      <c r="H98" s="1074" t="inlineStr">
        <is>
          <t>在读</t>
        </is>
      </c>
      <c r="I98" s="1074" t="inlineStr">
        <is>
          <t>三期</t>
        </is>
      </c>
      <c r="J98" s="1074" t="inlineStr">
        <is>
          <t>4632447</t>
        </is>
      </c>
      <c r="K98" s="1074" t="inlineStr">
        <is>
          <t>校内成绩</t>
        </is>
      </c>
      <c r="L98" s="1074" t="n">
        <v>64</v>
      </c>
      <c r="M98" s="1074" t="n">
        <v>85</v>
      </c>
      <c r="N98" s="1074" t="inlineStr">
        <is>
          <t>田雨涵01</t>
        </is>
      </c>
      <c r="O98" s="1074" t="inlineStr">
        <is>
          <t>教室5</t>
        </is>
      </c>
      <c r="P98" s="1074" t="inlineStr">
        <is>
          <t>10:20-12:30</t>
        </is>
      </c>
      <c r="Q98" s="1074" t="inlineStr">
        <is>
          <t>潜能班</t>
        </is>
      </c>
      <c r="R98" s="1074" t="inlineStr">
        <is>
          <t>三期</t>
        </is>
      </c>
      <c r="S98" s="1074" t="inlineStr">
        <is>
          <t>在读</t>
        </is>
      </c>
      <c r="T98" s="1074" t="inlineStr">
        <is>
          <t>-</t>
        </is>
      </c>
      <c r="U98" s="1074" t="inlineStr">
        <is>
          <t>5111226</t>
        </is>
      </c>
      <c r="V98" s="1074" t="n"/>
      <c r="W98" s="1074" t="inlineStr">
        <is>
          <t>李润</t>
        </is>
      </c>
      <c r="X98" s="1074" t="inlineStr">
        <is>
          <t>教室5</t>
        </is>
      </c>
      <c r="Y98" s="1074" t="inlineStr">
        <is>
          <t>15:50-18:00</t>
        </is>
      </c>
      <c r="Z98" s="1074" t="inlineStr">
        <is>
          <t>潜能班</t>
        </is>
      </c>
      <c r="AA98" s="1074" t="inlineStr">
        <is>
          <t>三期</t>
        </is>
      </c>
      <c r="AB98" s="1074" t="inlineStr">
        <is>
          <t>在读</t>
        </is>
      </c>
      <c r="AC98" s="1074" t="inlineStr">
        <is>
          <t>-</t>
        </is>
      </c>
      <c r="AD98" s="1074" t="inlineStr">
        <is>
          <t>4513388</t>
        </is>
      </c>
      <c r="AE98" s="1074" t="n"/>
      <c r="AF98" s="1074" t="inlineStr">
        <is>
          <t>肖锐03</t>
        </is>
      </c>
      <c r="AG98" s="1074" t="inlineStr">
        <is>
          <t>教室5</t>
        </is>
      </c>
      <c r="AH98" s="1074" t="inlineStr">
        <is>
          <t>13:20-15:30</t>
        </is>
      </c>
      <c r="AI98" s="1074" t="inlineStr">
        <is>
          <t>潜能班</t>
        </is>
      </c>
      <c r="AJ98" s="1074" t="inlineStr">
        <is>
          <t>三期</t>
        </is>
      </c>
      <c r="AK98" s="1074" t="inlineStr">
        <is>
          <t>在读</t>
        </is>
      </c>
      <c r="AL98" s="1074" t="inlineStr">
        <is>
          <t>-</t>
        </is>
      </c>
      <c r="AM98" s="1074" t="n"/>
      <c r="AN98" s="1074" t="n"/>
      <c r="AO98" s="1074" t="n"/>
      <c r="AP98" s="1074" t="n"/>
      <c r="AQ98" s="1074" t="n"/>
      <c r="AR98" s="1074" t="n"/>
      <c r="AS98" s="1074" t="n"/>
      <c r="AT98" s="311" t="n"/>
    </row>
    <row r="99" ht="26.25" customFormat="1" customHeight="1" s="366">
      <c r="A99" s="1074" t="inlineStr">
        <is>
          <t>同创汇</t>
        </is>
      </c>
      <c r="B99" s="1074" t="inlineStr">
        <is>
          <t>4315733010</t>
        </is>
      </c>
      <c r="C99" s="1074" t="inlineStr">
        <is>
          <t>胡玲瑜</t>
        </is>
      </c>
      <c r="D99" s="1074" t="inlineStr">
        <is>
          <t>王丽</t>
        </is>
      </c>
      <c r="E99" s="1074" t="inlineStr">
        <is>
          <t>纯拉新</t>
        </is>
      </c>
      <c r="F99" s="1074" t="n"/>
      <c r="G99" s="1074" t="n"/>
      <c r="H99" s="1074" t="inlineStr">
        <is>
          <t>在读</t>
        </is>
      </c>
      <c r="I99" s="1074" t="inlineStr">
        <is>
          <t>一期</t>
        </is>
      </c>
      <c r="J99" s="1074" t="inlineStr">
        <is>
          <t>5230802</t>
        </is>
      </c>
      <c r="K99" s="1074" t="inlineStr">
        <is>
          <t>报前测成绩</t>
        </is>
      </c>
      <c r="L99" s="1074" t="n">
        <v>70</v>
      </c>
      <c r="M99" s="1074" t="inlineStr">
        <is>
          <t>-</t>
        </is>
      </c>
      <c r="N99" s="1074" t="inlineStr">
        <is>
          <t>田雨涵01</t>
        </is>
      </c>
      <c r="O99" s="1074" t="inlineStr">
        <is>
          <t>02彩虹桥</t>
        </is>
      </c>
      <c r="P99" s="1074" t="inlineStr">
        <is>
          <t>15:50-18:00</t>
        </is>
      </c>
      <c r="Q99" s="1074" t="inlineStr">
        <is>
          <t>潜能班</t>
        </is>
      </c>
      <c r="R99" s="1074" t="inlineStr">
        <is>
          <t>一期</t>
        </is>
      </c>
      <c r="S99" s="1074" t="inlineStr">
        <is>
          <t>在读</t>
        </is>
      </c>
      <c r="T99" s="1074" t="inlineStr">
        <is>
          <t>-</t>
        </is>
      </c>
      <c r="U99" s="1074" t="inlineStr">
        <is>
          <t>4632448</t>
        </is>
      </c>
      <c r="V99" s="1074" t="n"/>
      <c r="W99" s="1074" t="inlineStr">
        <is>
          <t>陈南05</t>
        </is>
      </c>
      <c r="X99" s="1074" t="inlineStr">
        <is>
          <t>02彩虹桥</t>
        </is>
      </c>
      <c r="Y99" s="1074" t="inlineStr">
        <is>
          <t>10:20-12:30</t>
        </is>
      </c>
      <c r="Z99" s="1074" t="inlineStr">
        <is>
          <t>潜能班</t>
        </is>
      </c>
      <c r="AA99" s="1074" t="inlineStr">
        <is>
          <t>一期</t>
        </is>
      </c>
      <c r="AB99" s="1074" t="inlineStr">
        <is>
          <t>在读</t>
        </is>
      </c>
      <c r="AC99" s="1074" t="inlineStr">
        <is>
          <t>-</t>
        </is>
      </c>
      <c r="AD99" s="1074" t="inlineStr">
        <is>
          <t>3132837</t>
        </is>
      </c>
      <c r="AE99" s="1074" t="n"/>
      <c r="AF99" s="1074" t="inlineStr">
        <is>
          <t>高心怡04</t>
        </is>
      </c>
      <c r="AG99" s="1074" t="inlineStr">
        <is>
          <t>02彩虹桥</t>
        </is>
      </c>
      <c r="AH99" s="1074" t="inlineStr">
        <is>
          <t>13:20-15:30</t>
        </is>
      </c>
      <c r="AI99" s="1074" t="inlineStr">
        <is>
          <t>潜能班</t>
        </is>
      </c>
      <c r="AJ99" s="1074" t="inlineStr">
        <is>
          <t>一期</t>
        </is>
      </c>
      <c r="AK99" s="1074" t="inlineStr">
        <is>
          <t>在读</t>
        </is>
      </c>
      <c r="AL99" s="1074" t="inlineStr">
        <is>
          <t>-</t>
        </is>
      </c>
      <c r="AM99" s="1074" t="n"/>
      <c r="AN99" s="1074" t="n"/>
      <c r="AO99" s="1074" t="n"/>
      <c r="AP99" s="1074" t="n"/>
      <c r="AQ99" s="1074" t="n"/>
      <c r="AR99" s="1074" t="inlineStr">
        <is>
          <t>B</t>
        </is>
      </c>
      <c r="AS99" s="1074" t="inlineStr">
        <is>
          <t>先体验下暑假课，没聊秋季课的事情</t>
        </is>
      </c>
      <c r="AT99" s="311" t="n"/>
    </row>
    <row r="100" ht="26.25" customFormat="1" customHeight="1" s="366">
      <c r="A100" s="1074" t="inlineStr">
        <is>
          <t>天成大厦</t>
        </is>
      </c>
      <c r="B100" s="1074" t="inlineStr">
        <is>
          <t>2745227044</t>
        </is>
      </c>
      <c r="C100" s="1074" t="inlineStr">
        <is>
          <t>吴承谦</t>
        </is>
      </c>
      <c r="D100" s="1074" t="inlineStr">
        <is>
          <t>沈思浩</t>
        </is>
      </c>
      <c r="E100" s="1074" t="inlineStr">
        <is>
          <t>纯拉新</t>
        </is>
      </c>
      <c r="F100" s="1074" t="n"/>
      <c r="G100" s="1074" t="n"/>
      <c r="H100" s="1074" t="inlineStr">
        <is>
          <t>在读</t>
        </is>
      </c>
      <c r="I100" s="1074" t="inlineStr">
        <is>
          <t>二期</t>
        </is>
      </c>
      <c r="J100" s="1074" t="inlineStr">
        <is>
          <t>3132864</t>
        </is>
      </c>
      <c r="K100" s="1074" t="inlineStr">
        <is>
          <t>校内成绩</t>
        </is>
      </c>
      <c r="L100" s="1074" t="n">
        <v>72</v>
      </c>
      <c r="M100" s="1074" t="n">
        <v>90</v>
      </c>
      <c r="N100" s="1074" t="inlineStr">
        <is>
          <t>宗志鹏</t>
        </is>
      </c>
      <c r="O100" s="1074" t="inlineStr">
        <is>
          <t>03品尚</t>
        </is>
      </c>
      <c r="P100" s="1074" t="inlineStr">
        <is>
          <t>13:20-15:30</t>
        </is>
      </c>
      <c r="Q100" s="1074" t="inlineStr">
        <is>
          <t>潜能班</t>
        </is>
      </c>
      <c r="R100" s="1074" t="inlineStr">
        <is>
          <t>二期</t>
        </is>
      </c>
      <c r="S100" s="1074" t="inlineStr">
        <is>
          <t>在读</t>
        </is>
      </c>
      <c r="T100" s="1074" t="inlineStr">
        <is>
          <t>-</t>
        </is>
      </c>
      <c r="U100" s="1074" t="inlineStr">
        <is>
          <t>3132810</t>
        </is>
      </c>
      <c r="V100" s="1074" t="n"/>
      <c r="W100" s="1074" t="inlineStr">
        <is>
          <t>李润</t>
        </is>
      </c>
      <c r="X100" s="1074" t="inlineStr">
        <is>
          <t>03品尚</t>
        </is>
      </c>
      <c r="Y100" s="1074" t="inlineStr">
        <is>
          <t>15:50-18:00</t>
        </is>
      </c>
      <c r="Z100" s="1074" t="inlineStr">
        <is>
          <t>潜能班</t>
        </is>
      </c>
      <c r="AA100" s="1074" t="inlineStr">
        <is>
          <t>二期</t>
        </is>
      </c>
      <c r="AB100" s="1074" t="inlineStr">
        <is>
          <t>在读</t>
        </is>
      </c>
      <c r="AC100" s="1074" t="inlineStr">
        <is>
          <t>-</t>
        </is>
      </c>
      <c r="AD100" s="1074" t="inlineStr">
        <is>
          <t>-</t>
        </is>
      </c>
      <c r="AE100" s="1074" t="inlineStr"/>
      <c r="AF100" s="1074" t="inlineStr">
        <is>
          <t>-</t>
        </is>
      </c>
      <c r="AG100" s="1074" t="inlineStr">
        <is>
          <t>-</t>
        </is>
      </c>
      <c r="AH100" s="1074" t="inlineStr">
        <is>
          <t>-</t>
        </is>
      </c>
      <c r="AI100" s="1074" t="inlineStr">
        <is>
          <t>-</t>
        </is>
      </c>
      <c r="AJ100" s="1074" t="inlineStr">
        <is>
          <t>-</t>
        </is>
      </c>
      <c r="AK100" s="1074" t="inlineStr">
        <is>
          <t>-</t>
        </is>
      </c>
      <c r="AL100" s="1074" t="inlineStr">
        <is>
          <t>-</t>
        </is>
      </c>
      <c r="AM100" s="1074" t="n"/>
      <c r="AN100" s="1074" t="n"/>
      <c r="AO100" s="1074" t="n"/>
      <c r="AP100" s="1074" t="n"/>
      <c r="AQ100" s="1074" t="n"/>
      <c r="AR100" s="1074" t="n"/>
      <c r="AS100" s="1074" t="n"/>
      <c r="AT100" s="311" t="n"/>
    </row>
    <row r="101" ht="26.25" customFormat="1" customHeight="1" s="366">
      <c r="A101" s="1074" t="inlineStr">
        <is>
          <t>新宝利</t>
        </is>
      </c>
      <c r="B101" s="1074" t="inlineStr">
        <is>
          <t>2297429474</t>
        </is>
      </c>
      <c r="C101" s="1074" t="inlineStr">
        <is>
          <t>谢希羲</t>
        </is>
      </c>
      <c r="D101" s="1074" t="inlineStr">
        <is>
          <t>王达04</t>
        </is>
      </c>
      <c r="E101" s="1074" t="inlineStr">
        <is>
          <t>纯拉新</t>
        </is>
      </c>
      <c r="F101" s="1074" t="n"/>
      <c r="G101" s="1074" t="n"/>
      <c r="H101" s="1074" t="inlineStr">
        <is>
          <t>在读</t>
        </is>
      </c>
      <c r="I101" s="1074" t="inlineStr">
        <is>
          <t>二期</t>
        </is>
      </c>
      <c r="J101" s="1074" t="inlineStr">
        <is>
          <t>5111034</t>
        </is>
      </c>
      <c r="K101" s="1074" t="inlineStr">
        <is>
          <t>校内成绩</t>
        </is>
      </c>
      <c r="L101" s="1074" t="n">
        <v>73</v>
      </c>
      <c r="M101" s="1074" t="n">
        <v>91</v>
      </c>
      <c r="N101" s="1074" t="inlineStr">
        <is>
          <t>田雨涵01</t>
        </is>
      </c>
      <c r="O101" s="1074" t="inlineStr">
        <is>
          <t>教室4</t>
        </is>
      </c>
      <c r="P101" s="1074" t="inlineStr">
        <is>
          <t>13:20-15:30</t>
        </is>
      </c>
      <c r="Q101" s="1074" t="inlineStr">
        <is>
          <t>潜能班</t>
        </is>
      </c>
      <c r="R101" s="1074" t="inlineStr">
        <is>
          <t>二期</t>
        </is>
      </c>
      <c r="S101" s="1074" t="inlineStr">
        <is>
          <t>在读</t>
        </is>
      </c>
      <c r="T101" s="1074" t="inlineStr">
        <is>
          <t>-</t>
        </is>
      </c>
      <c r="U101" s="1074" t="inlineStr">
        <is>
          <t>4513342</t>
        </is>
      </c>
      <c r="V101" s="1074" t="inlineStr">
        <is>
          <t>-</t>
        </is>
      </c>
      <c r="W101" s="1074" t="inlineStr">
        <is>
          <t>黄铭怡</t>
        </is>
      </c>
      <c r="X101" s="1074" t="inlineStr">
        <is>
          <t>教室4</t>
        </is>
      </c>
      <c r="Y101" s="1074" t="inlineStr">
        <is>
          <t>10:20-12:30</t>
        </is>
      </c>
      <c r="Z101" s="1074" t="inlineStr">
        <is>
          <t>潜能班</t>
        </is>
      </c>
      <c r="AA101" s="1074" t="inlineStr">
        <is>
          <t>二期</t>
        </is>
      </c>
      <c r="AB101" s="1074" t="inlineStr">
        <is>
          <t>在读</t>
        </is>
      </c>
      <c r="AC101" s="1074" t="inlineStr">
        <is>
          <t>-</t>
        </is>
      </c>
      <c r="AD101" s="1074" t="inlineStr">
        <is>
          <t>4513340</t>
        </is>
      </c>
      <c r="AE101" s="1074" t="inlineStr">
        <is>
          <t>-</t>
        </is>
      </c>
      <c r="AF101" s="1074" t="inlineStr">
        <is>
          <t>高心怡04</t>
        </is>
      </c>
      <c r="AG101" s="1074" t="inlineStr">
        <is>
          <t>教室4</t>
        </is>
      </c>
      <c r="AH101" s="1074" t="inlineStr">
        <is>
          <t>15:50-18:00</t>
        </is>
      </c>
      <c r="AI101" s="1074" t="inlineStr">
        <is>
          <t>潜能班</t>
        </is>
      </c>
      <c r="AJ101" s="1074" t="inlineStr">
        <is>
          <t>二期</t>
        </is>
      </c>
      <c r="AK101" s="1074" t="inlineStr">
        <is>
          <t>在读</t>
        </is>
      </c>
      <c r="AL101" s="1074" t="inlineStr">
        <is>
          <t>-</t>
        </is>
      </c>
      <c r="AM101" s="1074" t="n"/>
      <c r="AN101" s="1074" t="n"/>
      <c r="AO101" s="1074" t="n"/>
      <c r="AP101" s="1074" t="n"/>
      <c r="AQ101" s="1074" t="n"/>
      <c r="AR101" s="1074" t="inlineStr">
        <is>
          <t>B</t>
        </is>
      </c>
      <c r="AS101" s="1074" t="inlineStr">
        <is>
          <t>家长有初步规划，但还是想看看孩子学习情况</t>
        </is>
      </c>
      <c r="AT101" s="311" t="n"/>
    </row>
    <row r="102" ht="26.25" customFormat="1" customHeight="1" s="366">
      <c r="A102" s="1074" t="inlineStr">
        <is>
          <t>天成大厦</t>
        </is>
      </c>
      <c r="B102" s="1074" t="inlineStr">
        <is>
          <t>2961875242</t>
        </is>
      </c>
      <c r="C102" s="1074" t="inlineStr">
        <is>
          <t>谢明真</t>
        </is>
      </c>
      <c r="D102" s="1074" t="inlineStr">
        <is>
          <t>陈亮延</t>
        </is>
      </c>
      <c r="E102" s="1074" t="inlineStr">
        <is>
          <t>纯拉新</t>
        </is>
      </c>
      <c r="F102" s="1074" t="n"/>
      <c r="G102" s="1074" t="n"/>
      <c r="H102" s="1074" t="inlineStr">
        <is>
          <t>在读</t>
        </is>
      </c>
      <c r="I102" s="1074" t="inlineStr">
        <is>
          <t>三期</t>
        </is>
      </c>
      <c r="J102" s="1074" t="inlineStr">
        <is>
          <t>5230801</t>
        </is>
      </c>
      <c r="K102" s="1074" t="inlineStr">
        <is>
          <t>校内成绩</t>
        </is>
      </c>
      <c r="L102" s="1074" t="n">
        <v>53</v>
      </c>
      <c r="M102" s="1074" t="n">
        <v>70</v>
      </c>
      <c r="N102" s="1074" t="inlineStr">
        <is>
          <t>宗志鹏</t>
        </is>
      </c>
      <c r="O102" s="1074" t="inlineStr">
        <is>
          <t>03品尚</t>
        </is>
      </c>
      <c r="P102" s="1074" t="inlineStr">
        <is>
          <t>13:20-15:30</t>
        </is>
      </c>
      <c r="Q102" s="1074" t="inlineStr">
        <is>
          <t>潜能班</t>
        </is>
      </c>
      <c r="R102" s="1074" t="inlineStr">
        <is>
          <t>三期</t>
        </is>
      </c>
      <c r="S102" s="1074" t="inlineStr">
        <is>
          <t>在读</t>
        </is>
      </c>
      <c r="T102" s="1074" t="inlineStr">
        <is>
          <t>-</t>
        </is>
      </c>
      <c r="U102" s="1074" t="inlineStr">
        <is>
          <t>5230739</t>
        </is>
      </c>
      <c r="V102" s="1074" t="n"/>
      <c r="W102" s="1074" t="inlineStr">
        <is>
          <t>李润</t>
        </is>
      </c>
      <c r="X102" s="1074" t="inlineStr">
        <is>
          <t>03品尚</t>
        </is>
      </c>
      <c r="Y102" s="1074" t="inlineStr">
        <is>
          <t>10:20-12:30</t>
        </is>
      </c>
      <c r="Z102" s="1074" t="inlineStr">
        <is>
          <t>潜能班</t>
        </is>
      </c>
      <c r="AA102" s="1074" t="inlineStr">
        <is>
          <t>三期</t>
        </is>
      </c>
      <c r="AB102" s="1074" t="inlineStr">
        <is>
          <t>在读</t>
        </is>
      </c>
      <c r="AC102" s="1074" t="inlineStr">
        <is>
          <t>-</t>
        </is>
      </c>
      <c r="AD102" s="1074" t="inlineStr">
        <is>
          <t>5230788</t>
        </is>
      </c>
      <c r="AE102" s="1074" t="n"/>
      <c r="AF102" s="1074" t="inlineStr">
        <is>
          <t>刘希子</t>
        </is>
      </c>
      <c r="AG102" s="1074" t="inlineStr">
        <is>
          <t>03品尚</t>
        </is>
      </c>
      <c r="AH102" s="1074" t="inlineStr">
        <is>
          <t>15:50-18:00</t>
        </is>
      </c>
      <c r="AI102" s="1074" t="inlineStr">
        <is>
          <t>潜能班</t>
        </is>
      </c>
      <c r="AJ102" s="1074" t="inlineStr">
        <is>
          <t>三期</t>
        </is>
      </c>
      <c r="AK102" s="1074" t="inlineStr">
        <is>
          <t>在读</t>
        </is>
      </c>
      <c r="AL102" s="1074" t="inlineStr">
        <is>
          <t>-</t>
        </is>
      </c>
      <c r="AM102" s="1074" t="n"/>
      <c r="AN102" s="1074" t="n"/>
      <c r="AO102" s="1074" t="n"/>
      <c r="AP102" s="1074" t="n"/>
      <c r="AQ102" s="1074" t="n"/>
      <c r="AR102" s="1074" t="n"/>
      <c r="AS102" s="1074" t="n"/>
      <c r="AT102" s="311" t="n"/>
    </row>
    <row r="103" ht="26.25" customFormat="1" customHeight="1" s="366">
      <c r="A103" s="1074" t="inlineStr">
        <is>
          <t>同创汇</t>
        </is>
      </c>
      <c r="B103" s="1074" t="inlineStr">
        <is>
          <t>4522580433</t>
        </is>
      </c>
      <c r="C103" s="1074" t="inlineStr">
        <is>
          <t>黎迅宁</t>
        </is>
      </c>
      <c r="D103" s="1074" t="inlineStr">
        <is>
          <t>苏丽婷</t>
        </is>
      </c>
      <c r="E103" s="1074" t="inlineStr">
        <is>
          <t>纯拉新</t>
        </is>
      </c>
      <c r="F103" s="1074" t="n"/>
      <c r="G103" s="1074" t="n"/>
      <c r="H103" s="1074" t="inlineStr">
        <is>
          <t>在读</t>
        </is>
      </c>
      <c r="I103" s="1074" t="inlineStr">
        <is>
          <t>一期/二期</t>
        </is>
      </c>
      <c r="J103" s="1074" t="inlineStr">
        <is>
          <t>5230719</t>
        </is>
      </c>
      <c r="K103" s="1074" t="inlineStr">
        <is>
          <t>报前测成绩</t>
        </is>
      </c>
      <c r="L103" s="1074" t="n">
        <v>85</v>
      </c>
      <c r="M103" s="1074" t="inlineStr">
        <is>
          <t>-</t>
        </is>
      </c>
      <c r="N103" s="1074" t="inlineStr">
        <is>
          <t>陈中帅</t>
        </is>
      </c>
      <c r="O103" s="1074" t="inlineStr">
        <is>
          <t>01智慧林</t>
        </is>
      </c>
      <c r="P103" s="1074" t="inlineStr">
        <is>
          <t>13:20-15:30</t>
        </is>
      </c>
      <c r="Q103" s="1074" t="inlineStr">
        <is>
          <t>启能班</t>
        </is>
      </c>
      <c r="R103" s="1074" t="inlineStr">
        <is>
          <t>一期</t>
        </is>
      </c>
      <c r="S103" s="1074" t="inlineStr">
        <is>
          <t>在读</t>
        </is>
      </c>
      <c r="T103" s="1074" t="inlineStr">
        <is>
          <t>-</t>
        </is>
      </c>
      <c r="U103" s="1074" t="inlineStr">
        <is>
          <t>5230809</t>
        </is>
      </c>
      <c r="V103" s="1074" t="n"/>
      <c r="W103" s="1074" t="inlineStr">
        <is>
          <t>李润</t>
        </is>
      </c>
      <c r="X103" s="1074" t="inlineStr">
        <is>
          <t>01智慧林</t>
        </is>
      </c>
      <c r="Y103" s="1074" t="inlineStr">
        <is>
          <t>10:20-12:30</t>
        </is>
      </c>
      <c r="Z103" s="1074" t="inlineStr">
        <is>
          <t>潜能班</t>
        </is>
      </c>
      <c r="AA103" s="1074" t="inlineStr">
        <is>
          <t>二期</t>
        </is>
      </c>
      <c r="AB103" s="1074" t="inlineStr">
        <is>
          <t>在读</t>
        </is>
      </c>
      <c r="AC103" s="1074" t="inlineStr">
        <is>
          <t>-</t>
        </is>
      </c>
      <c r="AD103" s="1074" t="inlineStr">
        <is>
          <t>3132869</t>
        </is>
      </c>
      <c r="AE103" s="1074" t="n"/>
      <c r="AF103" s="1074" t="inlineStr">
        <is>
          <t>高心怡04</t>
        </is>
      </c>
      <c r="AG103" s="1074" t="inlineStr">
        <is>
          <t>01智慧林</t>
        </is>
      </c>
      <c r="AH103" s="1074" t="inlineStr">
        <is>
          <t>15:50-18:00</t>
        </is>
      </c>
      <c r="AI103" s="1074" t="inlineStr">
        <is>
          <t>潜能班</t>
        </is>
      </c>
      <c r="AJ103" s="1074" t="inlineStr">
        <is>
          <t>一期</t>
        </is>
      </c>
      <c r="AK103" s="1074" t="inlineStr">
        <is>
          <t>在读</t>
        </is>
      </c>
      <c r="AL103" s="1074" t="inlineStr">
        <is>
          <t>-</t>
        </is>
      </c>
      <c r="AM103" s="1074" t="n"/>
      <c r="AN103" s="1074" t="n"/>
      <c r="AO103" s="1074" t="n"/>
      <c r="AP103" s="1074" t="n"/>
      <c r="AQ103" s="1074" t="n"/>
      <c r="AR103" s="1074" t="inlineStr">
        <is>
          <t>A</t>
        </is>
      </c>
      <c r="AS103" s="1074" t="inlineStr">
        <is>
          <t>住小北，重视孩子的学习兴趣，要体验完才肯报名，铺垫了一下后续秋季的续班费用</t>
        </is>
      </c>
      <c r="AT103" s="311" t="n"/>
    </row>
    <row r="104" ht="26.25" customFormat="1" customHeight="1" s="366">
      <c r="A104" s="1074" t="inlineStr">
        <is>
          <t>新宝利</t>
        </is>
      </c>
      <c r="B104" s="1074" t="inlineStr">
        <is>
          <t>4016827369</t>
        </is>
      </c>
      <c r="C104" s="1074" t="inlineStr">
        <is>
          <t>杨雅涵</t>
        </is>
      </c>
      <c r="D104" s="1074" t="inlineStr">
        <is>
          <t>沈思浩</t>
        </is>
      </c>
      <c r="E104" s="1074" t="inlineStr">
        <is>
          <t>纯拉新</t>
        </is>
      </c>
      <c r="F104" s="1074" t="n"/>
      <c r="G104" s="1074" t="n"/>
      <c r="H104" s="1074" t="inlineStr">
        <is>
          <t>在读</t>
        </is>
      </c>
      <c r="I104" s="1074" t="inlineStr">
        <is>
          <t>一期/二期</t>
        </is>
      </c>
      <c r="J104" s="1074" t="inlineStr">
        <is>
          <t>5230732</t>
        </is>
      </c>
      <c r="K104" s="1074" t="inlineStr">
        <is>
          <t>校内成绩</t>
        </is>
      </c>
      <c r="L104" s="1074" t="n">
        <v>72</v>
      </c>
      <c r="M104" s="1074" t="n">
        <v>90</v>
      </c>
      <c r="N104" s="1074" t="inlineStr">
        <is>
          <t>何咏04</t>
        </is>
      </c>
      <c r="O104" s="1074" t="inlineStr">
        <is>
          <t>教室3</t>
        </is>
      </c>
      <c r="P104" s="1074" t="inlineStr">
        <is>
          <t>10:30-12:40</t>
        </is>
      </c>
      <c r="Q104" s="1074" t="inlineStr">
        <is>
          <t>启能班</t>
        </is>
      </c>
      <c r="R104" s="1074" t="inlineStr">
        <is>
          <t>一期</t>
        </is>
      </c>
      <c r="S104" s="1074" t="inlineStr">
        <is>
          <t>在读</t>
        </is>
      </c>
      <c r="T104" s="1074" t="inlineStr">
        <is>
          <t>-</t>
        </is>
      </c>
      <c r="U104" s="1074" t="inlineStr">
        <is>
          <t>5170706</t>
        </is>
      </c>
      <c r="V104" s="1074" t="n"/>
      <c r="W104" s="1074" t="inlineStr">
        <is>
          <t>李润</t>
        </is>
      </c>
      <c r="X104" s="1074" t="inlineStr">
        <is>
          <t>教室3</t>
        </is>
      </c>
      <c r="Y104" s="1074" t="inlineStr">
        <is>
          <t>13:20-15:30</t>
        </is>
      </c>
      <c r="Z104" s="1074" t="inlineStr">
        <is>
          <t>潜能班</t>
        </is>
      </c>
      <c r="AA104" s="1074" t="inlineStr">
        <is>
          <t>一期</t>
        </is>
      </c>
      <c r="AB104" s="1074" t="inlineStr">
        <is>
          <t>在读</t>
        </is>
      </c>
      <c r="AC104" s="1074" t="inlineStr">
        <is>
          <t>-</t>
        </is>
      </c>
      <c r="AD104" s="1074" t="inlineStr">
        <is>
          <t>4513340</t>
        </is>
      </c>
      <c r="AE104" s="1074" t="n"/>
      <c r="AF104" s="1074" t="inlineStr">
        <is>
          <t>高心怡04</t>
        </is>
      </c>
      <c r="AG104" s="1074" t="inlineStr">
        <is>
          <t>教室4</t>
        </is>
      </c>
      <c r="AH104" s="1074" t="inlineStr">
        <is>
          <t>15:50-18:00</t>
        </is>
      </c>
      <c r="AI104" s="1074" t="inlineStr">
        <is>
          <t>潜能班</t>
        </is>
      </c>
      <c r="AJ104" s="1074" t="inlineStr">
        <is>
          <t>二期</t>
        </is>
      </c>
      <c r="AK104" s="1074" t="inlineStr">
        <is>
          <t>在读</t>
        </is>
      </c>
      <c r="AL104" s="1074" t="inlineStr">
        <is>
          <t>-</t>
        </is>
      </c>
      <c r="AM104" s="1074" t="n"/>
      <c r="AN104" s="1074" t="n"/>
      <c r="AO104" s="1074" t="n"/>
      <c r="AP104" s="1074" t="n"/>
      <c r="AQ104" s="1074" t="n"/>
      <c r="AR104" s="1074" t="inlineStr">
        <is>
          <t>A</t>
        </is>
      </c>
      <c r="AS104" s="1074" t="inlineStr">
        <is>
          <t>邹子慧妈妈的转介绍，先看看学习效果</t>
        </is>
      </c>
      <c r="AT104" s="311" t="n"/>
    </row>
    <row r="105" ht="26.25" customFormat="1" customHeight="1" s="366">
      <c r="A105" s="1074" t="inlineStr">
        <is>
          <t>天成大厦</t>
        </is>
      </c>
      <c r="B105" s="1074" t="inlineStr">
        <is>
          <t>4525413855</t>
        </is>
      </c>
      <c r="C105" s="1074" t="inlineStr">
        <is>
          <t>梁晨曦</t>
        </is>
      </c>
      <c r="D105" s="1074" t="inlineStr">
        <is>
          <t>沈思浩</t>
        </is>
      </c>
      <c r="E105" s="1074" t="inlineStr">
        <is>
          <t>新生转介绍</t>
        </is>
      </c>
      <c r="F105" s="1074" t="n"/>
      <c r="G105" s="1074" t="inlineStr">
        <is>
          <t>刘芷霖</t>
        </is>
      </c>
      <c r="H105" s="1074" t="inlineStr">
        <is>
          <t>在读</t>
        </is>
      </c>
      <c r="I105" s="1074" t="inlineStr">
        <is>
          <t>二期</t>
        </is>
      </c>
      <c r="J105" s="1074" t="inlineStr">
        <is>
          <t>3132864</t>
        </is>
      </c>
      <c r="K105" s="1074" t="inlineStr">
        <is>
          <t>校内成绩</t>
        </is>
      </c>
      <c r="L105" s="1074" t="n">
        <v>73</v>
      </c>
      <c r="M105" s="1074" t="n">
        <v>91</v>
      </c>
      <c r="N105" s="1074" t="inlineStr">
        <is>
          <t>宗志鹏</t>
        </is>
      </c>
      <c r="O105" s="1074" t="inlineStr">
        <is>
          <t>03品尚</t>
        </is>
      </c>
      <c r="P105" s="1074" t="inlineStr">
        <is>
          <t>13:20-15:30</t>
        </is>
      </c>
      <c r="Q105" s="1074" t="inlineStr">
        <is>
          <t>潜能班</t>
        </is>
      </c>
      <c r="R105" s="1074" t="inlineStr">
        <is>
          <t>二期</t>
        </is>
      </c>
      <c r="S105" s="1074" t="inlineStr">
        <is>
          <t>在读</t>
        </is>
      </c>
      <c r="T105" s="1074" t="inlineStr">
        <is>
          <t>-</t>
        </is>
      </c>
      <c r="U105" s="1074" t="inlineStr">
        <is>
          <t>3132810</t>
        </is>
      </c>
      <c r="V105" s="1074" t="n"/>
      <c r="W105" s="1074" t="inlineStr">
        <is>
          <t>李润</t>
        </is>
      </c>
      <c r="X105" s="1074" t="inlineStr">
        <is>
          <t>03品尚</t>
        </is>
      </c>
      <c r="Y105" s="1074" t="inlineStr">
        <is>
          <t>15:50-18:00</t>
        </is>
      </c>
      <c r="Z105" s="1074" t="inlineStr">
        <is>
          <t>潜能班</t>
        </is>
      </c>
      <c r="AA105" s="1074" t="inlineStr">
        <is>
          <t>二期</t>
        </is>
      </c>
      <c r="AB105" s="1074" t="inlineStr">
        <is>
          <t>在读</t>
        </is>
      </c>
      <c r="AC105" s="1074" t="inlineStr">
        <is>
          <t>-</t>
        </is>
      </c>
      <c r="AD105" s="1074" t="inlineStr">
        <is>
          <t>3132858</t>
        </is>
      </c>
      <c r="AE105" s="1074" t="n"/>
      <c r="AF105" s="1074" t="inlineStr">
        <is>
          <t>刘希子</t>
        </is>
      </c>
      <c r="AG105" s="1074" t="inlineStr">
        <is>
          <t>03品尚</t>
        </is>
      </c>
      <c r="AH105" s="1074" t="inlineStr">
        <is>
          <t>10:20-12:30</t>
        </is>
      </c>
      <c r="AI105" s="1074" t="inlineStr">
        <is>
          <t>潜能班</t>
        </is>
      </c>
      <c r="AJ105" s="1074" t="inlineStr">
        <is>
          <t>二期</t>
        </is>
      </c>
      <c r="AK105" s="1074" t="inlineStr">
        <is>
          <t>在读</t>
        </is>
      </c>
      <c r="AL105" s="1074" t="inlineStr">
        <is>
          <t>-</t>
        </is>
      </c>
      <c r="AM105" s="1074" t="n"/>
      <c r="AN105" s="1074" t="n"/>
      <c r="AO105" s="1074" t="n"/>
      <c r="AP105" s="1074" t="n"/>
      <c r="AQ105" s="1074" t="n"/>
      <c r="AR105" s="1074" t="inlineStr">
        <is>
          <t>A</t>
        </is>
      </c>
      <c r="AS105" s="1074" t="inlineStr">
        <is>
          <t>家长好沟通，孩子校内不错也去参加过mk，咨询过秋季</t>
        </is>
      </c>
      <c r="AT105" s="311" t="n"/>
    </row>
    <row r="106" ht="26.25" customFormat="1" customHeight="1" s="366">
      <c r="A106" s="1074" t="inlineStr">
        <is>
          <t>天成大厦</t>
        </is>
      </c>
      <c r="B106" s="1074" t="inlineStr">
        <is>
          <t>4846908327</t>
        </is>
      </c>
      <c r="C106" s="1074" t="inlineStr">
        <is>
          <t>林芊悦1</t>
        </is>
      </c>
      <c r="D106" s="1074" t="inlineStr">
        <is>
          <t>沈思浩</t>
        </is>
      </c>
      <c r="E106" s="1074" t="inlineStr">
        <is>
          <t>新生转介绍</t>
        </is>
      </c>
      <c r="F106" s="1074" t="n"/>
      <c r="G106" s="1074" t="inlineStr">
        <is>
          <t>刘芷霖</t>
        </is>
      </c>
      <c r="H106" s="1074" t="inlineStr">
        <is>
          <t>在读</t>
        </is>
      </c>
      <c r="I106" s="1074" t="inlineStr">
        <is>
          <t>二期</t>
        </is>
      </c>
      <c r="J106" s="1074" t="inlineStr">
        <is>
          <t>3132864</t>
        </is>
      </c>
      <c r="K106" s="1074" t="inlineStr">
        <is>
          <t>校内成绩</t>
        </is>
      </c>
      <c r="L106" s="1074" t="n">
        <v>72</v>
      </c>
      <c r="M106" s="1074" t="n">
        <v>90</v>
      </c>
      <c r="N106" s="1074" t="inlineStr">
        <is>
          <t>宗志鹏</t>
        </is>
      </c>
      <c r="O106" s="1074" t="inlineStr">
        <is>
          <t>03品尚</t>
        </is>
      </c>
      <c r="P106" s="1074" t="inlineStr">
        <is>
          <t>13:20-15:30</t>
        </is>
      </c>
      <c r="Q106" s="1074" t="inlineStr">
        <is>
          <t>潜能班</t>
        </is>
      </c>
      <c r="R106" s="1074" t="inlineStr">
        <is>
          <t>二期</t>
        </is>
      </c>
      <c r="S106" s="1074" t="inlineStr">
        <is>
          <t>在读</t>
        </is>
      </c>
      <c r="T106" s="1074" t="inlineStr">
        <is>
          <t>-</t>
        </is>
      </c>
      <c r="U106" s="1074" t="inlineStr">
        <is>
          <t>3132810</t>
        </is>
      </c>
      <c r="V106" s="1074" t="n"/>
      <c r="W106" s="1074" t="inlineStr">
        <is>
          <t>李润</t>
        </is>
      </c>
      <c r="X106" s="1074" t="inlineStr">
        <is>
          <t>03品尚</t>
        </is>
      </c>
      <c r="Y106" s="1074" t="inlineStr">
        <is>
          <t>15:50-18:00</t>
        </is>
      </c>
      <c r="Z106" s="1074" t="inlineStr">
        <is>
          <t>潜能班</t>
        </is>
      </c>
      <c r="AA106" s="1074" t="inlineStr">
        <is>
          <t>二期</t>
        </is>
      </c>
      <c r="AB106" s="1074" t="inlineStr">
        <is>
          <t>在读</t>
        </is>
      </c>
      <c r="AC106" s="1074" t="inlineStr">
        <is>
          <t>-</t>
        </is>
      </c>
      <c r="AD106" s="1074" t="inlineStr">
        <is>
          <t>3132858</t>
        </is>
      </c>
      <c r="AE106" s="1074" t="n"/>
      <c r="AF106" s="1074" t="inlineStr">
        <is>
          <t>刘希子</t>
        </is>
      </c>
      <c r="AG106" s="1074" t="inlineStr">
        <is>
          <t>03品尚</t>
        </is>
      </c>
      <c r="AH106" s="1074" t="inlineStr">
        <is>
          <t>10:20-12:30</t>
        </is>
      </c>
      <c r="AI106" s="1074" t="inlineStr">
        <is>
          <t>潜能班</t>
        </is>
      </c>
      <c r="AJ106" s="1074" t="inlineStr">
        <is>
          <t>二期</t>
        </is>
      </c>
      <c r="AK106" s="1074" t="inlineStr">
        <is>
          <t>在读</t>
        </is>
      </c>
      <c r="AL106" s="1074" t="inlineStr">
        <is>
          <t>-</t>
        </is>
      </c>
      <c r="AM106" s="1074" t="n"/>
      <c r="AN106" s="1074" t="n"/>
      <c r="AO106" s="1074" t="n"/>
      <c r="AP106" s="1074" t="n"/>
      <c r="AQ106" s="1074" t="n"/>
      <c r="AR106" s="1074" t="inlineStr">
        <is>
          <t>A</t>
        </is>
      </c>
      <c r="AS106" s="1074" t="inlineStr">
        <is>
          <t>宣蕴妈妈转介绍，妈妈比较看孩子的意愿</t>
        </is>
      </c>
      <c r="AT106" s="311" t="n"/>
    </row>
    <row r="107" ht="26.25" customFormat="1" customHeight="1" s="366">
      <c r="A107" s="1074" t="inlineStr">
        <is>
          <t>天成大厦</t>
        </is>
      </c>
      <c r="B107" s="1074" t="inlineStr">
        <is>
          <t>2526528479</t>
        </is>
      </c>
      <c r="C107" s="1074" t="inlineStr">
        <is>
          <t>芷榕</t>
        </is>
      </c>
      <c r="D107" s="1074" t="inlineStr">
        <is>
          <t>陈亮延</t>
        </is>
      </c>
      <c r="E107" s="1074" t="inlineStr">
        <is>
          <t>纯拉新</t>
        </is>
      </c>
      <c r="F107" s="1074" t="n"/>
      <c r="G107" s="1074" t="n"/>
      <c r="H107" s="1074" t="inlineStr">
        <is>
          <t>在读</t>
        </is>
      </c>
      <c r="I107" s="1074" t="inlineStr">
        <is>
          <t>三期</t>
        </is>
      </c>
      <c r="J107" s="1074" t="inlineStr">
        <is>
          <t>5230801</t>
        </is>
      </c>
      <c r="K107" s="1074" t="inlineStr">
        <is>
          <t>报前测成绩</t>
        </is>
      </c>
      <c r="L107" s="1074" t="n">
        <v>63</v>
      </c>
      <c r="M107" s="1074" t="inlineStr">
        <is>
          <t>-</t>
        </is>
      </c>
      <c r="N107" s="1074" t="inlineStr">
        <is>
          <t>宗志鹏</t>
        </is>
      </c>
      <c r="O107" s="1074" t="inlineStr">
        <is>
          <t>03品尚</t>
        </is>
      </c>
      <c r="P107" s="1074" t="inlineStr">
        <is>
          <t>13:20-15:30</t>
        </is>
      </c>
      <c r="Q107" s="1074" t="inlineStr">
        <is>
          <t>潜能班</t>
        </is>
      </c>
      <c r="R107" s="1074" t="inlineStr">
        <is>
          <t>三期</t>
        </is>
      </c>
      <c r="S107" s="1074" t="inlineStr">
        <is>
          <t>在读</t>
        </is>
      </c>
      <c r="T107" s="1074" t="inlineStr">
        <is>
          <t>-</t>
        </is>
      </c>
      <c r="U107" s="1074" t="inlineStr">
        <is>
          <t>5230739</t>
        </is>
      </c>
      <c r="V107" s="1074" t="n"/>
      <c r="W107" s="1074" t="inlineStr">
        <is>
          <t>李润</t>
        </is>
      </c>
      <c r="X107" s="1074" t="inlineStr">
        <is>
          <t>03品尚</t>
        </is>
      </c>
      <c r="Y107" s="1074" t="inlineStr">
        <is>
          <t>10:20-12:30</t>
        </is>
      </c>
      <c r="Z107" s="1074" t="inlineStr">
        <is>
          <t>潜能班</t>
        </is>
      </c>
      <c r="AA107" s="1074" t="inlineStr">
        <is>
          <t>三期</t>
        </is>
      </c>
      <c r="AB107" s="1074" t="inlineStr">
        <is>
          <t>在读</t>
        </is>
      </c>
      <c r="AC107" s="1074" t="inlineStr">
        <is>
          <t>-</t>
        </is>
      </c>
      <c r="AD107" s="1074" t="inlineStr">
        <is>
          <t>5230788</t>
        </is>
      </c>
      <c r="AE107" s="1074" t="n"/>
      <c r="AF107" s="1074" t="inlineStr">
        <is>
          <t>刘希子</t>
        </is>
      </c>
      <c r="AG107" s="1074" t="inlineStr">
        <is>
          <t>03品尚</t>
        </is>
      </c>
      <c r="AH107" s="1074" t="inlineStr">
        <is>
          <t>15:50-18:00</t>
        </is>
      </c>
      <c r="AI107" s="1074" t="inlineStr">
        <is>
          <t>潜能班</t>
        </is>
      </c>
      <c r="AJ107" s="1074" t="inlineStr">
        <is>
          <t>三期</t>
        </is>
      </c>
      <c r="AK107" s="1074" t="inlineStr">
        <is>
          <t>在读</t>
        </is>
      </c>
      <c r="AL107" s="1074" t="inlineStr">
        <is>
          <t>-</t>
        </is>
      </c>
      <c r="AM107" s="1074" t="n"/>
      <c r="AN107" s="1074" t="n"/>
      <c r="AO107" s="1074" t="n"/>
      <c r="AP107" s="1074" t="n"/>
      <c r="AQ107" s="1074" t="n"/>
      <c r="AR107" s="1074" t="n"/>
      <c r="AS107" s="1074" t="n"/>
      <c r="AT107" s="311" t="n"/>
    </row>
    <row r="108" ht="26.25" customFormat="1" customHeight="1" s="366">
      <c r="A108" s="1074" t="inlineStr">
        <is>
          <t>新宝利</t>
        </is>
      </c>
      <c r="B108" s="1074" t="inlineStr">
        <is>
          <t>4841864480</t>
        </is>
      </c>
      <c r="C108" s="1074" t="inlineStr">
        <is>
          <t>马雅辛</t>
        </is>
      </c>
      <c r="D108" s="1074" t="inlineStr">
        <is>
          <t>王达04</t>
        </is>
      </c>
      <c r="E108" s="1074" t="inlineStr">
        <is>
          <t>新生转介绍</t>
        </is>
      </c>
      <c r="F108" s="1074" t="n"/>
      <c r="G108" s="1074" t="inlineStr">
        <is>
          <t>马佳音</t>
        </is>
      </c>
      <c r="H108" s="1074" t="inlineStr">
        <is>
          <t>在读</t>
        </is>
      </c>
      <c r="I108" s="1074" t="inlineStr">
        <is>
          <t>三期</t>
        </is>
      </c>
      <c r="J108" s="1074" t="inlineStr">
        <is>
          <t>4632447</t>
        </is>
      </c>
      <c r="K108" s="1074" t="inlineStr">
        <is>
          <t>报前测成绩</t>
        </is>
      </c>
      <c r="L108" s="1074" t="n">
        <v>83</v>
      </c>
      <c r="M108" s="1074" t="inlineStr">
        <is>
          <t>-</t>
        </is>
      </c>
      <c r="N108" s="1074" t="inlineStr">
        <is>
          <t>田雨涵01</t>
        </is>
      </c>
      <c r="O108" s="1074" t="inlineStr">
        <is>
          <t>教室5</t>
        </is>
      </c>
      <c r="P108" s="1074" t="inlineStr">
        <is>
          <t>10:20-12:30</t>
        </is>
      </c>
      <c r="Q108" s="1074" t="inlineStr">
        <is>
          <t>潜能班</t>
        </is>
      </c>
      <c r="R108" s="1074" t="inlineStr">
        <is>
          <t>三期</t>
        </is>
      </c>
      <c r="S108" s="1074" t="inlineStr">
        <is>
          <t>在读</t>
        </is>
      </c>
      <c r="T108" s="1074" t="inlineStr">
        <is>
          <t>-</t>
        </is>
      </c>
      <c r="U108" s="1074" t="inlineStr">
        <is>
          <t>5111226</t>
        </is>
      </c>
      <c r="V108" s="1074" t="n"/>
      <c r="W108" s="1074" t="inlineStr">
        <is>
          <t>李润</t>
        </is>
      </c>
      <c r="X108" s="1074" t="inlineStr">
        <is>
          <t>教室5</t>
        </is>
      </c>
      <c r="Y108" s="1074" t="inlineStr">
        <is>
          <t>15:50-18:00</t>
        </is>
      </c>
      <c r="Z108" s="1074" t="inlineStr">
        <is>
          <t>潜能班</t>
        </is>
      </c>
      <c r="AA108" s="1074" t="inlineStr">
        <is>
          <t>三期</t>
        </is>
      </c>
      <c r="AB108" s="1074" t="inlineStr">
        <is>
          <t>在读</t>
        </is>
      </c>
      <c r="AC108" s="1074" t="inlineStr">
        <is>
          <t>-</t>
        </is>
      </c>
      <c r="AD108" s="1074" t="inlineStr">
        <is>
          <t>4513388</t>
        </is>
      </c>
      <c r="AE108" s="1074" t="n"/>
      <c r="AF108" s="1074" t="inlineStr">
        <is>
          <t>肖锐03</t>
        </is>
      </c>
      <c r="AG108" s="1074" t="inlineStr">
        <is>
          <t>教室5</t>
        </is>
      </c>
      <c r="AH108" s="1074" t="inlineStr">
        <is>
          <t>13:20-15:30</t>
        </is>
      </c>
      <c r="AI108" s="1074" t="inlineStr">
        <is>
          <t>潜能班</t>
        </is>
      </c>
      <c r="AJ108" s="1074" t="inlineStr">
        <is>
          <t>三期</t>
        </is>
      </c>
      <c r="AK108" s="1074" t="inlineStr">
        <is>
          <t>在读</t>
        </is>
      </c>
      <c r="AL108" s="1074" t="inlineStr">
        <is>
          <t>-</t>
        </is>
      </c>
      <c r="AM108" s="1074" t="n"/>
      <c r="AN108" s="1074" t="n"/>
      <c r="AO108" s="1074" t="n"/>
      <c r="AP108" s="1074" t="n"/>
      <c r="AQ108" s="1074" t="n"/>
      <c r="AR108" s="1074" t="n"/>
      <c r="AS108" s="1074" t="n"/>
      <c r="AT108" s="311" t="n"/>
    </row>
    <row r="109" ht="26.25" customFormat="1" customHeight="1" s="366">
      <c r="A109" s="1074" t="inlineStr">
        <is>
          <t>同创汇</t>
        </is>
      </c>
      <c r="B109" s="1074" t="inlineStr">
        <is>
          <t>2596648105</t>
        </is>
      </c>
      <c r="C109" s="1074" t="inlineStr">
        <is>
          <t>朱凯纶</t>
        </is>
      </c>
      <c r="D109" s="1074" t="inlineStr">
        <is>
          <t>王丽</t>
        </is>
      </c>
      <c r="E109" s="1074" t="inlineStr">
        <is>
          <t>纯拉新</t>
        </is>
      </c>
      <c r="F109" s="1074" t="n"/>
      <c r="G109" s="1074" t="n"/>
      <c r="H109" s="1074" t="inlineStr">
        <is>
          <t>在读</t>
        </is>
      </c>
      <c r="I109" s="1074" t="inlineStr">
        <is>
          <t>零期</t>
        </is>
      </c>
      <c r="J109" s="1074" t="inlineStr">
        <is>
          <t>3132897</t>
        </is>
      </c>
      <c r="K109" s="1074" t="inlineStr">
        <is>
          <t>-</t>
        </is>
      </c>
      <c r="L109" s="1074" t="inlineStr">
        <is>
          <t>-</t>
        </is>
      </c>
      <c r="M109" s="1074" t="inlineStr">
        <is>
          <t>-</t>
        </is>
      </c>
      <c r="N109" s="1074" t="inlineStr">
        <is>
          <t>陈中帅</t>
        </is>
      </c>
      <c r="O109" s="1074" t="inlineStr">
        <is>
          <t>01智慧林</t>
        </is>
      </c>
      <c r="P109" s="1074" t="inlineStr">
        <is>
          <t>10:20-12:30</t>
        </is>
      </c>
      <c r="Q109" s="1074" t="inlineStr">
        <is>
          <t>潜能班</t>
        </is>
      </c>
      <c r="R109" s="1074" t="inlineStr">
        <is>
          <t>零期</t>
        </is>
      </c>
      <c r="S109" s="1074" t="inlineStr">
        <is>
          <t>在读</t>
        </is>
      </c>
      <c r="T109" s="1074" t="inlineStr">
        <is>
          <t>是</t>
        </is>
      </c>
      <c r="U109" s="1074" t="inlineStr">
        <is>
          <t>5230722</t>
        </is>
      </c>
      <c r="V109" s="1074" t="inlineStr">
        <is>
          <t>-</t>
        </is>
      </c>
      <c r="W109" s="1074" t="inlineStr">
        <is>
          <t>李润</t>
        </is>
      </c>
      <c r="X109" s="1074" t="inlineStr">
        <is>
          <t>01智慧林</t>
        </is>
      </c>
      <c r="Y109" s="1074" t="inlineStr">
        <is>
          <t>15:50-18:00</t>
        </is>
      </c>
      <c r="Z109" s="1074" t="inlineStr">
        <is>
          <t>潜能班</t>
        </is>
      </c>
      <c r="AA109" s="1074" t="inlineStr">
        <is>
          <t>零期</t>
        </is>
      </c>
      <c r="AB109" s="1074" t="inlineStr">
        <is>
          <t>在读</t>
        </is>
      </c>
      <c r="AC109" s="1074" t="inlineStr">
        <is>
          <t>-</t>
        </is>
      </c>
      <c r="AD109" s="1074" t="inlineStr">
        <is>
          <t>5230737</t>
        </is>
      </c>
      <c r="AE109" s="1074" t="n"/>
      <c r="AF109" s="1074" t="inlineStr">
        <is>
          <t>高心怡04</t>
        </is>
      </c>
      <c r="AG109" s="1074" t="inlineStr">
        <is>
          <t>01智慧林</t>
        </is>
      </c>
      <c r="AH109" s="1074" t="inlineStr">
        <is>
          <t>13:20-15:30</t>
        </is>
      </c>
      <c r="AI109" s="1074" t="inlineStr">
        <is>
          <t>潜能班</t>
        </is>
      </c>
      <c r="AJ109" s="1074" t="inlineStr">
        <is>
          <t>零期</t>
        </is>
      </c>
      <c r="AK109" s="1074" t="inlineStr">
        <is>
          <t>在读</t>
        </is>
      </c>
      <c r="AL109" s="1074" t="inlineStr">
        <is>
          <t>是</t>
        </is>
      </c>
      <c r="AM109" s="1074" t="inlineStr">
        <is>
          <t>是</t>
        </is>
      </c>
      <c r="AN109" s="1074" t="inlineStr">
        <is>
          <t>是</t>
        </is>
      </c>
      <c r="AO109" s="1074" t="inlineStr">
        <is>
          <t>是</t>
        </is>
      </c>
      <c r="AP109" s="1074" t="n"/>
      <c r="AQ109" s="1074" t="n"/>
      <c r="AR109" s="1074" t="inlineStr">
        <is>
          <t>S</t>
        </is>
      </c>
      <c r="AS109" s="1074" t="inlineStr">
        <is>
          <t>已经暑秋连报了</t>
        </is>
      </c>
      <c r="AT109" s="311" t="n"/>
    </row>
    <row r="110" ht="26.25" customFormat="1" customHeight="1" s="366">
      <c r="A110" s="1074" t="inlineStr">
        <is>
          <t>新宝利</t>
        </is>
      </c>
      <c r="B110" s="1074" t="inlineStr">
        <is>
          <t>4151361146</t>
        </is>
      </c>
      <c r="C110" s="1074" t="inlineStr">
        <is>
          <t>施钰平</t>
        </is>
      </c>
      <c r="D110" s="1074" t="inlineStr">
        <is>
          <t>杨林33</t>
        </is>
      </c>
      <c r="E110" s="1074" t="inlineStr">
        <is>
          <t>新生转介绍</t>
        </is>
      </c>
      <c r="F110" s="1074" t="n"/>
      <c r="G110" s="1074" t="inlineStr">
        <is>
          <t>程雅涵</t>
        </is>
      </c>
      <c r="H110" s="1074" t="inlineStr">
        <is>
          <t>在读</t>
        </is>
      </c>
      <c r="I110" s="1074" t="inlineStr">
        <is>
          <t>零期</t>
        </is>
      </c>
      <c r="J110" s="1074" t="inlineStr">
        <is>
          <t>3132880</t>
        </is>
      </c>
      <c r="K110" s="1074" t="inlineStr">
        <is>
          <t>校内成绩</t>
        </is>
      </c>
      <c r="L110" s="1074" t="n">
        <v>88</v>
      </c>
      <c r="M110" s="1074" t="n">
        <v>98</v>
      </c>
      <c r="N110" s="1074" t="inlineStr">
        <is>
          <t>陈中帅</t>
        </is>
      </c>
      <c r="O110" s="1074" t="inlineStr">
        <is>
          <t>教室2</t>
        </is>
      </c>
      <c r="P110" s="1074" t="inlineStr">
        <is>
          <t>15:50-18:00</t>
        </is>
      </c>
      <c r="Q110" s="1074" t="inlineStr">
        <is>
          <t>启能班</t>
        </is>
      </c>
      <c r="R110" s="1074" t="inlineStr">
        <is>
          <t>零期</t>
        </is>
      </c>
      <c r="S110" s="1074" t="inlineStr">
        <is>
          <t>在读</t>
        </is>
      </c>
      <c r="T110" s="1074" t="inlineStr">
        <is>
          <t>-</t>
        </is>
      </c>
      <c r="U110" s="1074" t="inlineStr">
        <is>
          <t>3132859</t>
        </is>
      </c>
      <c r="V110" s="1074" t="n"/>
      <c r="W110" s="1074" t="inlineStr">
        <is>
          <t>黄铭怡</t>
        </is>
      </c>
      <c r="X110" s="1074" t="inlineStr">
        <is>
          <t>教室2</t>
        </is>
      </c>
      <c r="Y110" s="1074" t="inlineStr">
        <is>
          <t>10:20-12:30</t>
        </is>
      </c>
      <c r="Z110" s="1074" t="inlineStr">
        <is>
          <t>潜能班</t>
        </is>
      </c>
      <c r="AA110" s="1074" t="inlineStr">
        <is>
          <t>零期</t>
        </is>
      </c>
      <c r="AB110" s="1074" t="inlineStr">
        <is>
          <t>在读</t>
        </is>
      </c>
      <c r="AC110" s="1074" t="inlineStr">
        <is>
          <t>-</t>
        </is>
      </c>
      <c r="AD110" s="1074" t="inlineStr">
        <is>
          <t>5230727</t>
        </is>
      </c>
      <c r="AE110" s="1074" t="n"/>
      <c r="AF110" s="1074" t="inlineStr">
        <is>
          <t>肖锐03</t>
        </is>
      </c>
      <c r="AG110" s="1074" t="inlineStr">
        <is>
          <t>教室2</t>
        </is>
      </c>
      <c r="AH110" s="1074" t="inlineStr">
        <is>
          <t>13:20-15:30</t>
        </is>
      </c>
      <c r="AI110" s="1074" t="inlineStr">
        <is>
          <t>潜能班</t>
        </is>
      </c>
      <c r="AJ110" s="1074" t="inlineStr">
        <is>
          <t>零期</t>
        </is>
      </c>
      <c r="AK110" s="1074" t="inlineStr">
        <is>
          <t>在读</t>
        </is>
      </c>
      <c r="AL110" s="1074" t="inlineStr">
        <is>
          <t>-</t>
        </is>
      </c>
      <c r="AM110" s="1074" t="inlineStr">
        <is>
          <t>是</t>
        </is>
      </c>
      <c r="AN110" s="1074" t="inlineStr">
        <is>
          <t>是</t>
        </is>
      </c>
      <c r="AO110" s="1074" t="inlineStr">
        <is>
          <t>否</t>
        </is>
      </c>
      <c r="AP110" s="1074" t="n"/>
      <c r="AQ110" s="1074" t="n"/>
      <c r="AR110" s="1074" t="inlineStr">
        <is>
          <t>A</t>
        </is>
      </c>
      <c r="AS110" s="1074" t="inlineStr">
        <is>
          <t>郭思瀚转介绍，意向度还可以，报名比较爽快，不像是价格敏感型的客户，家长教育理念不错。</t>
        </is>
      </c>
      <c r="AT110" s="311" t="n"/>
    </row>
    <row r="111" ht="26.25" customFormat="1" customHeight="1" s="366">
      <c r="A111" s="1074" t="inlineStr">
        <is>
          <t>新宝利</t>
        </is>
      </c>
      <c r="B111" s="1074" t="inlineStr">
        <is>
          <t>4849642529</t>
        </is>
      </c>
      <c r="C111" s="1074" t="inlineStr">
        <is>
          <t>润轩</t>
        </is>
      </c>
      <c r="D111" s="1074" t="inlineStr">
        <is>
          <t>杨林33</t>
        </is>
      </c>
      <c r="E111" s="1074" t="inlineStr">
        <is>
          <t>新生转介绍</t>
        </is>
      </c>
      <c r="F111" s="1074" t="n"/>
      <c r="G111" s="1074" t="inlineStr">
        <is>
          <t>许玮庭</t>
        </is>
      </c>
      <c r="H111" s="1074" t="inlineStr">
        <is>
          <t>在读</t>
        </is>
      </c>
      <c r="I111" s="1074" t="inlineStr">
        <is>
          <t>三期</t>
        </is>
      </c>
      <c r="J111" s="1074" t="inlineStr">
        <is>
          <t>4632447</t>
        </is>
      </c>
      <c r="K111" s="1074" t="inlineStr">
        <is>
          <t>校内成绩</t>
        </is>
      </c>
      <c r="L111" s="1074" t="n">
        <v>64</v>
      </c>
      <c r="M111" s="1074" t="n">
        <v>85</v>
      </c>
      <c r="N111" s="1074" t="inlineStr">
        <is>
          <t>田雨涵01</t>
        </is>
      </c>
      <c r="O111" s="1074" t="inlineStr">
        <is>
          <t>教室5</t>
        </is>
      </c>
      <c r="P111" s="1074" t="inlineStr">
        <is>
          <t>10:20-12:30</t>
        </is>
      </c>
      <c r="Q111" s="1074" t="inlineStr">
        <is>
          <t>潜能班</t>
        </is>
      </c>
      <c r="R111" s="1074" t="inlineStr">
        <is>
          <t>三期</t>
        </is>
      </c>
      <c r="S111" s="1074" t="inlineStr">
        <is>
          <t>在读</t>
        </is>
      </c>
      <c r="T111" s="1074" t="inlineStr">
        <is>
          <t>-</t>
        </is>
      </c>
      <c r="U111" s="1074" t="inlineStr">
        <is>
          <t>5111226</t>
        </is>
      </c>
      <c r="V111" s="1074" t="n"/>
      <c r="W111" s="1074" t="inlineStr">
        <is>
          <t>李润</t>
        </is>
      </c>
      <c r="X111" s="1074" t="inlineStr">
        <is>
          <t>教室5</t>
        </is>
      </c>
      <c r="Y111" s="1074" t="inlineStr">
        <is>
          <t>15:50-18:00</t>
        </is>
      </c>
      <c r="Z111" s="1074" t="inlineStr">
        <is>
          <t>潜能班</t>
        </is>
      </c>
      <c r="AA111" s="1074" t="inlineStr">
        <is>
          <t>三期</t>
        </is>
      </c>
      <c r="AB111" s="1074" t="inlineStr">
        <is>
          <t>在读</t>
        </is>
      </c>
      <c r="AC111" s="1074" t="inlineStr">
        <is>
          <t>-</t>
        </is>
      </c>
      <c r="AD111" s="1074" t="inlineStr">
        <is>
          <t>4513388</t>
        </is>
      </c>
      <c r="AE111" s="1074" t="n"/>
      <c r="AF111" s="1074" t="inlineStr">
        <is>
          <t>肖锐03</t>
        </is>
      </c>
      <c r="AG111" s="1074" t="inlineStr">
        <is>
          <t>教室5</t>
        </is>
      </c>
      <c r="AH111" s="1074" t="inlineStr">
        <is>
          <t>13:20-15:30</t>
        </is>
      </c>
      <c r="AI111" s="1074" t="inlineStr">
        <is>
          <t>潜能班</t>
        </is>
      </c>
      <c r="AJ111" s="1074" t="inlineStr">
        <is>
          <t>三期</t>
        </is>
      </c>
      <c r="AK111" s="1074" t="inlineStr">
        <is>
          <t>在读</t>
        </is>
      </c>
      <c r="AL111" s="1074" t="inlineStr">
        <is>
          <t>-</t>
        </is>
      </c>
      <c r="AM111" s="1074" t="n"/>
      <c r="AN111" s="1074" t="n"/>
      <c r="AO111" s="1074" t="n"/>
      <c r="AP111" s="1074" t="n"/>
      <c r="AQ111" s="1074" t="n"/>
      <c r="AR111" s="1074" t="n"/>
      <c r="AS111" s="1074" t="n"/>
      <c r="AT111" s="311" t="n"/>
    </row>
    <row r="112" ht="26.25" customFormat="1" customHeight="1" s="366">
      <c r="A112" s="1074" t="inlineStr">
        <is>
          <t>新宝利</t>
        </is>
      </c>
      <c r="B112" s="1074" t="inlineStr">
        <is>
          <t>2557124276</t>
        </is>
      </c>
      <c r="C112" s="1074" t="inlineStr">
        <is>
          <t>邹艾琳</t>
        </is>
      </c>
      <c r="D112" s="1074" t="inlineStr">
        <is>
          <t>林志豪01</t>
        </is>
      </c>
      <c r="E112" s="1074" t="inlineStr">
        <is>
          <t>纯拉新</t>
        </is>
      </c>
      <c r="F112" s="1074" t="n"/>
      <c r="G112" s="1074" t="n"/>
      <c r="H112" s="1074" t="inlineStr">
        <is>
          <t>在读</t>
        </is>
      </c>
      <c r="I112" s="1074" t="inlineStr">
        <is>
          <t>三期</t>
        </is>
      </c>
      <c r="J112" s="1074" t="inlineStr">
        <is>
          <t>4632447</t>
        </is>
      </c>
      <c r="K112" s="1074" t="inlineStr">
        <is>
          <t>校内成绩</t>
        </is>
      </c>
      <c r="L112" s="1074" t="n">
        <v>72</v>
      </c>
      <c r="M112" s="1074" t="n">
        <v>90</v>
      </c>
      <c r="N112" s="1074" t="inlineStr">
        <is>
          <t>田雨涵01</t>
        </is>
      </c>
      <c r="O112" s="1074" t="inlineStr">
        <is>
          <t>教室5</t>
        </is>
      </c>
      <c r="P112" s="1074" t="inlineStr">
        <is>
          <t>10:20-12:30</t>
        </is>
      </c>
      <c r="Q112" s="1074" t="inlineStr">
        <is>
          <t>潜能班</t>
        </is>
      </c>
      <c r="R112" s="1074" t="inlineStr">
        <is>
          <t>三期</t>
        </is>
      </c>
      <c r="S112" s="1074" t="inlineStr">
        <is>
          <t>在读</t>
        </is>
      </c>
      <c r="T112" s="1074" t="inlineStr">
        <is>
          <t>-</t>
        </is>
      </c>
      <c r="U112" s="1074" t="inlineStr">
        <is>
          <t>5111226</t>
        </is>
      </c>
      <c r="V112" s="1074" t="n"/>
      <c r="W112" s="1074" t="inlineStr">
        <is>
          <t>李润</t>
        </is>
      </c>
      <c r="X112" s="1074" t="inlineStr">
        <is>
          <t>教室5</t>
        </is>
      </c>
      <c r="Y112" s="1074" t="inlineStr">
        <is>
          <t>15:50-18:00</t>
        </is>
      </c>
      <c r="Z112" s="1074" t="inlineStr">
        <is>
          <t>潜能班</t>
        </is>
      </c>
      <c r="AA112" s="1074" t="inlineStr">
        <is>
          <t>三期</t>
        </is>
      </c>
      <c r="AB112" s="1074" t="inlineStr">
        <is>
          <t>在读</t>
        </is>
      </c>
      <c r="AC112" s="1074" t="inlineStr">
        <is>
          <t>-</t>
        </is>
      </c>
      <c r="AD112" s="1074" t="inlineStr">
        <is>
          <t>4513388</t>
        </is>
      </c>
      <c r="AE112" s="1074" t="n"/>
      <c r="AF112" s="1074" t="inlineStr">
        <is>
          <t>肖锐03</t>
        </is>
      </c>
      <c r="AG112" s="1074" t="inlineStr">
        <is>
          <t>教室5</t>
        </is>
      </c>
      <c r="AH112" s="1074" t="inlineStr">
        <is>
          <t>13:20-15:30</t>
        </is>
      </c>
      <c r="AI112" s="1074" t="inlineStr">
        <is>
          <t>潜能班</t>
        </is>
      </c>
      <c r="AJ112" s="1074" t="inlineStr">
        <is>
          <t>三期</t>
        </is>
      </c>
      <c r="AK112" s="1074" t="inlineStr">
        <is>
          <t>在读</t>
        </is>
      </c>
      <c r="AL112" s="1074" t="inlineStr">
        <is>
          <t>-</t>
        </is>
      </c>
      <c r="AM112" s="1074" t="n"/>
      <c r="AN112" s="1074" t="n"/>
      <c r="AO112" s="1074" t="n"/>
      <c r="AP112" s="1074" t="n"/>
      <c r="AQ112" s="1074" t="n"/>
      <c r="AR112" s="1074" t="n"/>
      <c r="AS112" s="1074" t="n"/>
      <c r="AT112" s="311" t="n"/>
    </row>
    <row r="113" ht="26.25" customFormat="1" customHeight="1" s="366">
      <c r="A113" s="1074" t="inlineStr">
        <is>
          <t>新宝利</t>
        </is>
      </c>
      <c r="B113" s="1074" t="inlineStr">
        <is>
          <t>4000464385</t>
        </is>
      </c>
      <c r="C113" s="1074" t="inlineStr">
        <is>
          <t>刘子填</t>
        </is>
      </c>
      <c r="D113" s="1074" t="inlineStr">
        <is>
          <t>林志豪01</t>
        </is>
      </c>
      <c r="E113" s="1074" t="inlineStr">
        <is>
          <t>纯拉新</t>
        </is>
      </c>
      <c r="F113" s="1074" t="n"/>
      <c r="G113" s="1074" t="n"/>
      <c r="H113" s="1074" t="inlineStr">
        <is>
          <t>在读</t>
        </is>
      </c>
      <c r="I113" s="1074" t="inlineStr">
        <is>
          <t>零期</t>
        </is>
      </c>
      <c r="J113" s="1074" t="inlineStr">
        <is>
          <t>3132880</t>
        </is>
      </c>
      <c r="K113" s="1074" t="inlineStr">
        <is>
          <t>校内成绩</t>
        </is>
      </c>
      <c r="L113" s="1074" t="n">
        <v>88</v>
      </c>
      <c r="M113" s="1074" t="n">
        <v>98</v>
      </c>
      <c r="N113" s="1074" t="inlineStr">
        <is>
          <t>陈中帅</t>
        </is>
      </c>
      <c r="O113" s="1074" t="inlineStr">
        <is>
          <t>教室2</t>
        </is>
      </c>
      <c r="P113" s="1074" t="inlineStr">
        <is>
          <t>15:50-18:00</t>
        </is>
      </c>
      <c r="Q113" s="1074" t="inlineStr">
        <is>
          <t>启能班</t>
        </is>
      </c>
      <c r="R113" s="1074" t="inlineStr">
        <is>
          <t>零期</t>
        </is>
      </c>
      <c r="S113" s="1074" t="inlineStr">
        <is>
          <t>在读</t>
        </is>
      </c>
      <c r="T113" s="1074" t="inlineStr">
        <is>
          <t>-</t>
        </is>
      </c>
      <c r="U113" s="1074" t="inlineStr">
        <is>
          <t>3132859</t>
        </is>
      </c>
      <c r="V113" s="1074" t="n"/>
      <c r="W113" s="1074" t="inlineStr">
        <is>
          <t>黄铭怡</t>
        </is>
      </c>
      <c r="X113" s="1074" t="inlineStr">
        <is>
          <t>教室2</t>
        </is>
      </c>
      <c r="Y113" s="1074" t="inlineStr">
        <is>
          <t>10:20-12:30</t>
        </is>
      </c>
      <c r="Z113" s="1074" t="inlineStr">
        <is>
          <t>潜能班</t>
        </is>
      </c>
      <c r="AA113" s="1074" t="inlineStr">
        <is>
          <t>零期</t>
        </is>
      </c>
      <c r="AB113" s="1074" t="inlineStr">
        <is>
          <t>在读</t>
        </is>
      </c>
      <c r="AC113" s="1074" t="inlineStr">
        <is>
          <t>-</t>
        </is>
      </c>
      <c r="AD113" s="1074" t="inlineStr">
        <is>
          <t>5230727</t>
        </is>
      </c>
      <c r="AE113" s="1074" t="n"/>
      <c r="AF113" s="1074" t="inlineStr">
        <is>
          <t>肖锐03</t>
        </is>
      </c>
      <c r="AG113" s="1074" t="inlineStr">
        <is>
          <t>教室2</t>
        </is>
      </c>
      <c r="AH113" s="1074" t="inlineStr">
        <is>
          <t>13:20-15:30</t>
        </is>
      </c>
      <c r="AI113" s="1074" t="inlineStr">
        <is>
          <t>潜能班</t>
        </is>
      </c>
      <c r="AJ113" s="1074" t="inlineStr">
        <is>
          <t>零期</t>
        </is>
      </c>
      <c r="AK113" s="1074" t="inlineStr">
        <is>
          <t>在读</t>
        </is>
      </c>
      <c r="AL113" s="1074" t="inlineStr">
        <is>
          <t>-</t>
        </is>
      </c>
      <c r="AM113" s="1074" t="inlineStr">
        <is>
          <t>是</t>
        </is>
      </c>
      <c r="AN113" s="1074" t="inlineStr">
        <is>
          <t>是</t>
        </is>
      </c>
      <c r="AO113" s="1074" t="inlineStr">
        <is>
          <t>是</t>
        </is>
      </c>
      <c r="AP113" s="1074" t="n"/>
      <c r="AQ113" s="1074" t="n"/>
      <c r="AR113" s="1074" t="inlineStr">
        <is>
          <t>A</t>
        </is>
      </c>
      <c r="AS113" s="1074" t="inlineStr">
        <is>
          <t>孩子成绩很不错，妈咪教育理念好，两个娃的成绩都不错，对教学有着严格要求，需要看暑假情况</t>
        </is>
      </c>
      <c r="AT113" s="311" t="n"/>
    </row>
    <row r="114" ht="26.25" customFormat="1" customHeight="1" s="366">
      <c r="A114" s="1074" t="inlineStr">
        <is>
          <t>新宝利</t>
        </is>
      </c>
      <c r="B114" s="1074" t="inlineStr">
        <is>
          <t>4155497428</t>
        </is>
      </c>
      <c r="C114" s="1074" t="inlineStr">
        <is>
          <t>陈力维</t>
        </is>
      </c>
      <c r="D114" s="1074" t="inlineStr">
        <is>
          <t>杨林33</t>
        </is>
      </c>
      <c r="E114" s="1074" t="inlineStr">
        <is>
          <t>纯拉新</t>
        </is>
      </c>
      <c r="F114" s="1074" t="n"/>
      <c r="G114" s="1074" t="n"/>
      <c r="H114" s="1074" t="inlineStr">
        <is>
          <t>在读</t>
        </is>
      </c>
      <c r="I114" s="1074" t="inlineStr">
        <is>
          <t>零期</t>
        </is>
      </c>
      <c r="J114" s="1074" t="inlineStr">
        <is>
          <t>3132880</t>
        </is>
      </c>
      <c r="K114" s="1074" t="inlineStr">
        <is>
          <t>校内成绩</t>
        </is>
      </c>
      <c r="L114" s="1074" t="n">
        <v>90</v>
      </c>
      <c r="M114" s="1074" t="n">
        <v>100</v>
      </c>
      <c r="N114" s="1074" t="inlineStr">
        <is>
          <t>陈中帅</t>
        </is>
      </c>
      <c r="O114" s="1074" t="inlineStr">
        <is>
          <t>教室2</t>
        </is>
      </c>
      <c r="P114" s="1074" t="inlineStr">
        <is>
          <t>15:50-18:00</t>
        </is>
      </c>
      <c r="Q114" s="1074" t="inlineStr">
        <is>
          <t>启能班</t>
        </is>
      </c>
      <c r="R114" s="1074" t="inlineStr">
        <is>
          <t>零期</t>
        </is>
      </c>
      <c r="S114" s="1074" t="inlineStr">
        <is>
          <t>在读</t>
        </is>
      </c>
      <c r="T114" s="1074" t="inlineStr">
        <is>
          <t>-</t>
        </is>
      </c>
      <c r="U114" s="1074" t="inlineStr">
        <is>
          <t>5111226</t>
        </is>
      </c>
      <c r="V114" s="1074" t="n"/>
      <c r="W114" s="1074" t="inlineStr">
        <is>
          <t>李润</t>
        </is>
      </c>
      <c r="X114" s="1074" t="inlineStr">
        <is>
          <t>教室5</t>
        </is>
      </c>
      <c r="Y114" s="1074" t="inlineStr">
        <is>
          <t>15:50-18:00</t>
        </is>
      </c>
      <c r="Z114" s="1074" t="inlineStr">
        <is>
          <t>潜能班</t>
        </is>
      </c>
      <c r="AA114" s="1074" t="inlineStr">
        <is>
          <t>三期</t>
        </is>
      </c>
      <c r="AB114" s="1074" t="inlineStr">
        <is>
          <t>课前退</t>
        </is>
      </c>
      <c r="AC114" s="1074" t="inlineStr">
        <is>
          <t>-</t>
        </is>
      </c>
      <c r="AD114" s="1074" t="inlineStr">
        <is>
          <t>4513340</t>
        </is>
      </c>
      <c r="AE114" s="1074" t="n"/>
      <c r="AF114" s="1074" t="inlineStr">
        <is>
          <t>高心怡04</t>
        </is>
      </c>
      <c r="AG114" s="1074" t="inlineStr">
        <is>
          <t>教室4</t>
        </is>
      </c>
      <c r="AH114" s="1074" t="inlineStr">
        <is>
          <t>15:50-18:00</t>
        </is>
      </c>
      <c r="AI114" s="1074" t="inlineStr">
        <is>
          <t>潜能班</t>
        </is>
      </c>
      <c r="AJ114" s="1074" t="inlineStr">
        <is>
          <t>二期</t>
        </is>
      </c>
      <c r="AK114" s="1074" t="inlineStr">
        <is>
          <t>课前退</t>
        </is>
      </c>
      <c r="AL114" s="1074" t="inlineStr">
        <is>
          <t>-</t>
        </is>
      </c>
      <c r="AM114" s="1074" t="inlineStr">
        <is>
          <t>是</t>
        </is>
      </c>
      <c r="AN114" s="1074" t="inlineStr">
        <is>
          <t>是</t>
        </is>
      </c>
      <c r="AO114" s="1074" t="inlineStr">
        <is>
          <t>否</t>
        </is>
      </c>
      <c r="AP114" s="1074" t="n"/>
      <c r="AQ114" s="1074" t="n"/>
      <c r="AR114" s="1074" t="inlineStr">
        <is>
          <t>A</t>
        </is>
      </c>
      <c r="AS114" s="1074" t="inlineStr">
        <is>
          <t>钧豪转介绍，意向度还可以，报名比较爽快，家长教育理念不错。</t>
        </is>
      </c>
      <c r="AT114" s="311" t="n"/>
    </row>
    <row r="115" ht="26.25" customFormat="1" customHeight="1" s="366">
      <c r="A115" s="1074" t="inlineStr">
        <is>
          <t>同创汇</t>
        </is>
      </c>
      <c r="B115" s="1074" t="inlineStr">
        <is>
          <t>2929186491</t>
        </is>
      </c>
      <c r="C115" s="1074" t="inlineStr">
        <is>
          <t>牛然希</t>
        </is>
      </c>
      <c r="D115" s="1074" t="inlineStr">
        <is>
          <t>苏丽婷</t>
        </is>
      </c>
      <c r="E115" s="1074" t="inlineStr">
        <is>
          <t>纯拉新</t>
        </is>
      </c>
      <c r="F115" s="1074" t="n"/>
      <c r="G115" s="1074" t="n"/>
      <c r="H115" s="1074" t="inlineStr">
        <is>
          <t>在读</t>
        </is>
      </c>
      <c r="I115" s="1074" t="inlineStr">
        <is>
          <t>二期</t>
        </is>
      </c>
      <c r="J115" s="1074" t="inlineStr">
        <is>
          <t>3132872</t>
        </is>
      </c>
      <c r="K115" s="1074" t="inlineStr">
        <is>
          <t>校内成绩</t>
        </is>
      </c>
      <c r="L115" s="1074" t="n">
        <v>64</v>
      </c>
      <c r="M115" s="1074" t="n">
        <v>85</v>
      </c>
      <c r="N115" s="1074" t="inlineStr">
        <is>
          <t>何咏04</t>
        </is>
      </c>
      <c r="O115" s="1074" t="inlineStr">
        <is>
          <t>01智慧林</t>
        </is>
      </c>
      <c r="P115" s="1074" t="inlineStr">
        <is>
          <t>13:20-15:30</t>
        </is>
      </c>
      <c r="Q115" s="1074" t="inlineStr">
        <is>
          <t>潜能班</t>
        </is>
      </c>
      <c r="R115" s="1074" t="inlineStr">
        <is>
          <t>二期</t>
        </is>
      </c>
      <c r="S115" s="1074" t="inlineStr">
        <is>
          <t>在读</t>
        </is>
      </c>
      <c r="T115" s="1074" t="inlineStr">
        <is>
          <t>-</t>
        </is>
      </c>
      <c r="U115" s="1074" t="inlineStr">
        <is>
          <t>5230809</t>
        </is>
      </c>
      <c r="V115" s="1074" t="n"/>
      <c r="W115" s="1074" t="inlineStr">
        <is>
          <t>李润</t>
        </is>
      </c>
      <c r="X115" s="1074" t="inlineStr">
        <is>
          <t>01智慧林</t>
        </is>
      </c>
      <c r="Y115" s="1074" t="inlineStr">
        <is>
          <t>10:20-12:30</t>
        </is>
      </c>
      <c r="Z115" s="1074" t="inlineStr">
        <is>
          <t>潜能班</t>
        </is>
      </c>
      <c r="AA115" s="1074" t="inlineStr">
        <is>
          <t>二期</t>
        </is>
      </c>
      <c r="AB115" s="1074" t="inlineStr">
        <is>
          <t>在读</t>
        </is>
      </c>
      <c r="AC115" s="1074" t="inlineStr">
        <is>
          <t>-</t>
        </is>
      </c>
      <c r="AD115" s="1074" t="inlineStr">
        <is>
          <t>3132893</t>
        </is>
      </c>
      <c r="AE115" s="1074" t="n"/>
      <c r="AF115" s="1074" t="inlineStr">
        <is>
          <t>刘希子</t>
        </is>
      </c>
      <c r="AG115" s="1074" t="inlineStr">
        <is>
          <t>01智慧林</t>
        </is>
      </c>
      <c r="AH115" s="1074" t="inlineStr">
        <is>
          <t>15:50-18:00</t>
        </is>
      </c>
      <c r="AI115" s="1074" t="inlineStr">
        <is>
          <t>潜能班</t>
        </is>
      </c>
      <c r="AJ115" s="1074" t="inlineStr">
        <is>
          <t>二期</t>
        </is>
      </c>
      <c r="AK115" s="1074" t="inlineStr">
        <is>
          <t>在读</t>
        </is>
      </c>
      <c r="AL115" s="1074" t="inlineStr">
        <is>
          <t>-</t>
        </is>
      </c>
      <c r="AM115" s="1074" t="n"/>
      <c r="AN115" s="1074" t="n"/>
      <c r="AO115" s="1074" t="n"/>
      <c r="AP115" s="1074" t="n"/>
      <c r="AQ115" s="1074" t="n"/>
      <c r="AR115" s="1074" t="inlineStr">
        <is>
          <t>S</t>
        </is>
      </c>
      <c r="AS115" s="1074" t="inlineStr">
        <is>
          <t>大沙头小学，过来上课有一定距离，孩子体验了英语和妈妈说可以，妈妈表示孩子喜欢学都会支持，有一定的支持经济</t>
        </is>
      </c>
      <c r="AT115" s="311" t="n"/>
    </row>
    <row r="116" ht="26.25" customFormat="1" customHeight="1" s="366">
      <c r="A116" s="1074" t="inlineStr">
        <is>
          <t>新宝利</t>
        </is>
      </c>
      <c r="B116" s="1074" t="inlineStr">
        <is>
          <t>2468146946</t>
        </is>
      </c>
      <c r="C116" s="1074" t="inlineStr">
        <is>
          <t>朱俊烨</t>
        </is>
      </c>
      <c r="D116" s="1074" t="inlineStr">
        <is>
          <t>张敏烨</t>
        </is>
      </c>
      <c r="E116" s="1074" t="inlineStr">
        <is>
          <t>新生转介绍</t>
        </is>
      </c>
      <c r="F116" s="1074" t="n"/>
      <c r="G116" s="1074" t="inlineStr">
        <is>
          <t>黄钰淇</t>
        </is>
      </c>
      <c r="H116" s="1074" t="inlineStr">
        <is>
          <t>在读</t>
        </is>
      </c>
      <c r="I116" s="1074" t="inlineStr">
        <is>
          <t>三期</t>
        </is>
      </c>
      <c r="J116" s="1074" t="inlineStr">
        <is>
          <t>4632447</t>
        </is>
      </c>
      <c r="K116" s="1074" t="inlineStr">
        <is>
          <t>校内成绩</t>
        </is>
      </c>
      <c r="L116" s="1074" t="n">
        <v>62</v>
      </c>
      <c r="M116" s="1074" t="n">
        <v>82.5</v>
      </c>
      <c r="N116" s="1074" t="inlineStr">
        <is>
          <t>田雨涵01</t>
        </is>
      </c>
      <c r="O116" s="1074" t="inlineStr">
        <is>
          <t>教室5</t>
        </is>
      </c>
      <c r="P116" s="1074" t="inlineStr">
        <is>
          <t>10:20-12:30</t>
        </is>
      </c>
      <c r="Q116" s="1074" t="inlineStr">
        <is>
          <t>潜能班</t>
        </is>
      </c>
      <c r="R116" s="1074" t="inlineStr">
        <is>
          <t>三期</t>
        </is>
      </c>
      <c r="S116" s="1074" t="inlineStr">
        <is>
          <t>在读</t>
        </is>
      </c>
      <c r="T116" s="1074" t="inlineStr">
        <is>
          <t>-</t>
        </is>
      </c>
      <c r="U116" s="1074" t="inlineStr">
        <is>
          <t>5111226</t>
        </is>
      </c>
      <c r="V116" s="1074" t="n"/>
      <c r="W116" s="1074" t="inlineStr">
        <is>
          <t>李润</t>
        </is>
      </c>
      <c r="X116" s="1074" t="inlineStr">
        <is>
          <t>教室5</t>
        </is>
      </c>
      <c r="Y116" s="1074" t="inlineStr">
        <is>
          <t>15:50-18:00</t>
        </is>
      </c>
      <c r="Z116" s="1074" t="inlineStr">
        <is>
          <t>潜能班</t>
        </is>
      </c>
      <c r="AA116" s="1074" t="inlineStr">
        <is>
          <t>三期</t>
        </is>
      </c>
      <c r="AB116" s="1074" t="inlineStr">
        <is>
          <t>在读</t>
        </is>
      </c>
      <c r="AC116" s="1074" t="inlineStr">
        <is>
          <t>-</t>
        </is>
      </c>
      <c r="AD116" s="1074" t="inlineStr">
        <is>
          <t>4513388</t>
        </is>
      </c>
      <c r="AE116" s="1074" t="n"/>
      <c r="AF116" s="1074" t="inlineStr">
        <is>
          <t>肖锐03</t>
        </is>
      </c>
      <c r="AG116" s="1074" t="inlineStr">
        <is>
          <t>教室5</t>
        </is>
      </c>
      <c r="AH116" s="1074" t="inlineStr">
        <is>
          <t>13:20-15:30</t>
        </is>
      </c>
      <c r="AI116" s="1074" t="inlineStr">
        <is>
          <t>潜能班</t>
        </is>
      </c>
      <c r="AJ116" s="1074" t="inlineStr">
        <is>
          <t>三期</t>
        </is>
      </c>
      <c r="AK116" s="1074" t="inlineStr">
        <is>
          <t>在读</t>
        </is>
      </c>
      <c r="AL116" s="1074" t="inlineStr">
        <is>
          <t>-</t>
        </is>
      </c>
      <c r="AM116" s="1074" t="n"/>
      <c r="AN116" s="1074" t="n"/>
      <c r="AO116" s="1074" t="n"/>
      <c r="AP116" s="1074" t="n"/>
      <c r="AQ116" s="1074" t="n"/>
      <c r="AR116" s="1074" t="n"/>
      <c r="AS116" s="1074" t="n"/>
      <c r="AT116" s="311" t="n"/>
    </row>
    <row r="117" ht="26.25" customFormat="1" customHeight="1" s="366">
      <c r="A117" s="1074" t="inlineStr">
        <is>
          <t>新宝利</t>
        </is>
      </c>
      <c r="B117" s="1074" t="inlineStr">
        <is>
          <t>2501010500</t>
        </is>
      </c>
      <c r="C117" s="1074" t="inlineStr">
        <is>
          <t>谢博霖</t>
        </is>
      </c>
      <c r="D117" s="1074" t="inlineStr">
        <is>
          <t>张敏烨</t>
        </is>
      </c>
      <c r="E117" s="1074" t="inlineStr">
        <is>
          <t>纯拉新</t>
        </is>
      </c>
      <c r="F117" s="1074" t="n"/>
      <c r="G117" s="1074" t="n"/>
      <c r="H117" s="1074" t="inlineStr">
        <is>
          <t>在读</t>
        </is>
      </c>
      <c r="I117" s="1074" t="inlineStr">
        <is>
          <t>一期</t>
        </is>
      </c>
      <c r="J117" s="1074" t="inlineStr">
        <is>
          <t>-</t>
        </is>
      </c>
      <c r="K117" s="1074" t="inlineStr"/>
      <c r="L117" s="1074" t="inlineStr"/>
      <c r="M117" s="1074" t="inlineStr"/>
      <c r="N117" s="1074" t="inlineStr">
        <is>
          <t>-</t>
        </is>
      </c>
      <c r="O117" s="1074" t="inlineStr">
        <is>
          <t>-</t>
        </is>
      </c>
      <c r="P117" s="1074" t="inlineStr">
        <is>
          <t>-</t>
        </is>
      </c>
      <c r="Q117" s="1074" t="inlineStr">
        <is>
          <t>-</t>
        </is>
      </c>
      <c r="R117" s="1074" t="inlineStr">
        <is>
          <t>-</t>
        </is>
      </c>
      <c r="S117" s="1074" t="inlineStr">
        <is>
          <t>-</t>
        </is>
      </c>
      <c r="T117" s="1074" t="inlineStr">
        <is>
          <t>-</t>
        </is>
      </c>
      <c r="U117" s="1074" t="inlineStr">
        <is>
          <t>5170706</t>
        </is>
      </c>
      <c r="V117" s="1074" t="n"/>
      <c r="W117" s="1074" t="inlineStr">
        <is>
          <t>李润</t>
        </is>
      </c>
      <c r="X117" s="1074" t="inlineStr">
        <is>
          <t>教室3</t>
        </is>
      </c>
      <c r="Y117" s="1074" t="inlineStr">
        <is>
          <t>13:20-15:30</t>
        </is>
      </c>
      <c r="Z117" s="1074" t="inlineStr">
        <is>
          <t>潜能班</t>
        </is>
      </c>
      <c r="AA117" s="1074" t="inlineStr">
        <is>
          <t>一期</t>
        </is>
      </c>
      <c r="AB117" s="1074" t="inlineStr">
        <is>
          <t>在读</t>
        </is>
      </c>
      <c r="AC117" s="1074" t="inlineStr">
        <is>
          <t>-</t>
        </is>
      </c>
      <c r="AD117" s="1074" t="inlineStr">
        <is>
          <t>-</t>
        </is>
      </c>
      <c r="AE117" s="1074" t="inlineStr"/>
      <c r="AF117" s="1074" t="inlineStr">
        <is>
          <t>-</t>
        </is>
      </c>
      <c r="AG117" s="1074" t="inlineStr">
        <is>
          <t>-</t>
        </is>
      </c>
      <c r="AH117" s="1074" t="inlineStr">
        <is>
          <t>-</t>
        </is>
      </c>
      <c r="AI117" s="1074" t="inlineStr">
        <is>
          <t>-</t>
        </is>
      </c>
      <c r="AJ117" s="1074" t="inlineStr">
        <is>
          <t>-</t>
        </is>
      </c>
      <c r="AK117" s="1074" t="inlineStr">
        <is>
          <t>-</t>
        </is>
      </c>
      <c r="AL117" s="1074" t="inlineStr">
        <is>
          <t>-</t>
        </is>
      </c>
      <c r="AM117" s="1074" t="n"/>
      <c r="AN117" s="1074" t="n"/>
      <c r="AO117" s="1074" t="n"/>
      <c r="AP117" s="1074" t="n"/>
      <c r="AQ117" s="1074" t="n"/>
      <c r="AR117" s="1074" t="n"/>
      <c r="AS117" s="1074" t="n"/>
      <c r="AT117" s="311" t="n"/>
    </row>
    <row r="118" ht="26.25" customFormat="1" customHeight="1" s="366">
      <c r="A118" s="1074" t="inlineStr">
        <is>
          <t>新宝利</t>
        </is>
      </c>
      <c r="B118" s="1074" t="inlineStr">
        <is>
          <t>4847695021</t>
        </is>
      </c>
      <c r="C118" s="1074" t="inlineStr">
        <is>
          <t>谢皓霖</t>
        </is>
      </c>
      <c r="D118" s="1074" t="inlineStr">
        <is>
          <t>张敏烨</t>
        </is>
      </c>
      <c r="E118" s="1074" t="inlineStr">
        <is>
          <t>纯拉新</t>
        </is>
      </c>
      <c r="F118" s="1074" t="n"/>
      <c r="G118" s="1074" t="n"/>
      <c r="H118" s="1074" t="inlineStr">
        <is>
          <t>在读</t>
        </is>
      </c>
      <c r="I118" s="1074" t="inlineStr">
        <is>
          <t>一期</t>
        </is>
      </c>
      <c r="J118" s="1074" t="inlineStr">
        <is>
          <t>-</t>
        </is>
      </c>
      <c r="K118" s="1074" t="inlineStr"/>
      <c r="L118" s="1074" t="inlineStr"/>
      <c r="M118" s="1074" t="inlineStr"/>
      <c r="N118" s="1074" t="inlineStr">
        <is>
          <t>-</t>
        </is>
      </c>
      <c r="O118" s="1074" t="inlineStr">
        <is>
          <t>-</t>
        </is>
      </c>
      <c r="P118" s="1074" t="inlineStr">
        <is>
          <t>-</t>
        </is>
      </c>
      <c r="Q118" s="1074" t="inlineStr">
        <is>
          <t>-</t>
        </is>
      </c>
      <c r="R118" s="1074" t="inlineStr">
        <is>
          <t>-</t>
        </is>
      </c>
      <c r="S118" s="1074" t="inlineStr">
        <is>
          <t>-</t>
        </is>
      </c>
      <c r="T118" s="1074" t="inlineStr">
        <is>
          <t>-</t>
        </is>
      </c>
      <c r="U118" s="1074" t="inlineStr">
        <is>
          <t>5170706</t>
        </is>
      </c>
      <c r="V118" s="1074" t="n"/>
      <c r="W118" s="1074" t="inlineStr">
        <is>
          <t>李润</t>
        </is>
      </c>
      <c r="X118" s="1074" t="inlineStr">
        <is>
          <t>教室3</t>
        </is>
      </c>
      <c r="Y118" s="1074" t="inlineStr">
        <is>
          <t>13:20-15:30</t>
        </is>
      </c>
      <c r="Z118" s="1074" t="inlineStr">
        <is>
          <t>潜能班</t>
        </is>
      </c>
      <c r="AA118" s="1074" t="inlineStr">
        <is>
          <t>一期</t>
        </is>
      </c>
      <c r="AB118" s="1074" t="inlineStr">
        <is>
          <t>在读</t>
        </is>
      </c>
      <c r="AC118" s="1074" t="inlineStr">
        <is>
          <t>-</t>
        </is>
      </c>
      <c r="AD118" s="1074" t="inlineStr">
        <is>
          <t>-</t>
        </is>
      </c>
      <c r="AE118" s="1074" t="inlineStr"/>
      <c r="AF118" s="1074" t="inlineStr">
        <is>
          <t>-</t>
        </is>
      </c>
      <c r="AG118" s="1074" t="inlineStr">
        <is>
          <t>-</t>
        </is>
      </c>
      <c r="AH118" s="1074" t="inlineStr">
        <is>
          <t>-</t>
        </is>
      </c>
      <c r="AI118" s="1074" t="inlineStr">
        <is>
          <t>-</t>
        </is>
      </c>
      <c r="AJ118" s="1074" t="inlineStr">
        <is>
          <t>-</t>
        </is>
      </c>
      <c r="AK118" s="1074" t="inlineStr">
        <is>
          <t>-</t>
        </is>
      </c>
      <c r="AL118" s="1074" t="inlineStr">
        <is>
          <t>-</t>
        </is>
      </c>
      <c r="AM118" s="1074" t="n"/>
      <c r="AN118" s="1074" t="n"/>
      <c r="AO118" s="1074" t="n"/>
      <c r="AP118" s="1074" t="n"/>
      <c r="AQ118" s="1074" t="n"/>
      <c r="AR118" s="1074" t="n"/>
      <c r="AS118" s="1074" t="n"/>
      <c r="AT118" s="311" t="n"/>
    </row>
    <row r="119" ht="26.25" customFormat="1" customHeight="1" s="366">
      <c r="A119" s="1074" t="inlineStr">
        <is>
          <t>新宝利</t>
        </is>
      </c>
      <c r="B119" s="1074" t="inlineStr">
        <is>
          <t>2401201374</t>
        </is>
      </c>
      <c r="C119" s="1074" t="inlineStr">
        <is>
          <t>陈建廷</t>
        </is>
      </c>
      <c r="D119" s="1074" t="inlineStr">
        <is>
          <t>张敏烨</t>
        </is>
      </c>
      <c r="E119" s="1074" t="inlineStr">
        <is>
          <t>纯拉新</t>
        </is>
      </c>
      <c r="F119" s="1074" t="n"/>
      <c r="G119" s="1074" t="n"/>
      <c r="H119" s="1074" t="inlineStr">
        <is>
          <t>在读</t>
        </is>
      </c>
      <c r="I119" s="1074" t="inlineStr">
        <is>
          <t>一期</t>
        </is>
      </c>
      <c r="J119" s="1074" t="inlineStr">
        <is>
          <t>-</t>
        </is>
      </c>
      <c r="K119" s="1074" t="inlineStr"/>
      <c r="L119" s="1074" t="inlineStr"/>
      <c r="M119" s="1074" t="inlineStr"/>
      <c r="N119" s="1074" t="inlineStr">
        <is>
          <t>-</t>
        </is>
      </c>
      <c r="O119" s="1074" t="inlineStr">
        <is>
          <t>-</t>
        </is>
      </c>
      <c r="P119" s="1074" t="inlineStr">
        <is>
          <t>-</t>
        </is>
      </c>
      <c r="Q119" s="1074" t="inlineStr">
        <is>
          <t>-</t>
        </is>
      </c>
      <c r="R119" s="1074" t="inlineStr">
        <is>
          <t>-</t>
        </is>
      </c>
      <c r="S119" s="1074" t="inlineStr">
        <is>
          <t>-</t>
        </is>
      </c>
      <c r="T119" s="1074" t="inlineStr">
        <is>
          <t>-</t>
        </is>
      </c>
      <c r="U119" s="1074" t="inlineStr">
        <is>
          <t>5170706</t>
        </is>
      </c>
      <c r="V119" s="1074" t="n"/>
      <c r="W119" s="1074" t="inlineStr">
        <is>
          <t>李润</t>
        </is>
      </c>
      <c r="X119" s="1074" t="inlineStr">
        <is>
          <t>教室3</t>
        </is>
      </c>
      <c r="Y119" s="1074" t="inlineStr">
        <is>
          <t>13:20-15:30</t>
        </is>
      </c>
      <c r="Z119" s="1074" t="inlineStr">
        <is>
          <t>潜能班</t>
        </is>
      </c>
      <c r="AA119" s="1074" t="inlineStr">
        <is>
          <t>一期</t>
        </is>
      </c>
      <c r="AB119" s="1074" t="inlineStr">
        <is>
          <t>在读</t>
        </is>
      </c>
      <c r="AC119" s="1074" t="inlineStr">
        <is>
          <t>-</t>
        </is>
      </c>
      <c r="AD119" s="1074" t="inlineStr">
        <is>
          <t>-</t>
        </is>
      </c>
      <c r="AE119" s="1074" t="inlineStr"/>
      <c r="AF119" s="1074" t="inlineStr">
        <is>
          <t>-</t>
        </is>
      </c>
      <c r="AG119" s="1074" t="inlineStr">
        <is>
          <t>-</t>
        </is>
      </c>
      <c r="AH119" s="1074" t="inlineStr">
        <is>
          <t>-</t>
        </is>
      </c>
      <c r="AI119" s="1074" t="inlineStr">
        <is>
          <t>-</t>
        </is>
      </c>
      <c r="AJ119" s="1074" t="inlineStr">
        <is>
          <t>-</t>
        </is>
      </c>
      <c r="AK119" s="1074" t="inlineStr">
        <is>
          <t>-</t>
        </is>
      </c>
      <c r="AL119" s="1074" t="inlineStr">
        <is>
          <t>-</t>
        </is>
      </c>
      <c r="AM119" s="1074" t="n"/>
      <c r="AN119" s="1074" t="n"/>
      <c r="AO119" s="1074" t="n"/>
      <c r="AP119" s="1074" t="n"/>
      <c r="AQ119" s="1074" t="n"/>
      <c r="AR119" s="1074" t="n"/>
      <c r="AS119" s="1074" t="n"/>
      <c r="AT119" s="311" t="n"/>
    </row>
    <row r="120" ht="26.25" customFormat="1" customHeight="1" s="366">
      <c r="A120" s="1074" t="inlineStr">
        <is>
          <t>新宝利</t>
        </is>
      </c>
      <c r="B120" s="1074" t="inlineStr">
        <is>
          <t>2530543525</t>
        </is>
      </c>
      <c r="C120" s="1074" t="inlineStr">
        <is>
          <t>周皓轩</t>
        </is>
      </c>
      <c r="D120" s="1074" t="inlineStr">
        <is>
          <t>林志豪01</t>
        </is>
      </c>
      <c r="E120" s="1074" t="inlineStr">
        <is>
          <t>纯拉新</t>
        </is>
      </c>
      <c r="F120" s="1074" t="n"/>
      <c r="G120" s="1074" t="n"/>
      <c r="H120" s="1074" t="inlineStr">
        <is>
          <t>在读</t>
        </is>
      </c>
      <c r="I120" s="1074" t="inlineStr">
        <is>
          <t>一期</t>
        </is>
      </c>
      <c r="J120" s="1074" t="inlineStr">
        <is>
          <t>-</t>
        </is>
      </c>
      <c r="K120" s="1074" t="inlineStr"/>
      <c r="L120" s="1074" t="inlineStr"/>
      <c r="M120" s="1074" t="inlineStr"/>
      <c r="N120" s="1074" t="inlineStr">
        <is>
          <t>-</t>
        </is>
      </c>
      <c r="O120" s="1074" t="inlineStr">
        <is>
          <t>-</t>
        </is>
      </c>
      <c r="P120" s="1074" t="inlineStr">
        <is>
          <t>-</t>
        </is>
      </c>
      <c r="Q120" s="1074" t="inlineStr">
        <is>
          <t>-</t>
        </is>
      </c>
      <c r="R120" s="1074" t="inlineStr">
        <is>
          <t>-</t>
        </is>
      </c>
      <c r="S120" s="1074" t="inlineStr">
        <is>
          <t>-</t>
        </is>
      </c>
      <c r="T120" s="1074" t="inlineStr">
        <is>
          <t>-</t>
        </is>
      </c>
      <c r="U120" s="1074" t="inlineStr">
        <is>
          <t>5170706</t>
        </is>
      </c>
      <c r="V120" s="1074" t="n"/>
      <c r="W120" s="1074" t="inlineStr">
        <is>
          <t>李润</t>
        </is>
      </c>
      <c r="X120" s="1074" t="inlineStr">
        <is>
          <t>教室3</t>
        </is>
      </c>
      <c r="Y120" s="1074" t="inlineStr">
        <is>
          <t>13:20-15:30</t>
        </is>
      </c>
      <c r="Z120" s="1074" t="inlineStr">
        <is>
          <t>潜能班</t>
        </is>
      </c>
      <c r="AA120" s="1074" t="inlineStr">
        <is>
          <t>一期</t>
        </is>
      </c>
      <c r="AB120" s="1074" t="inlineStr">
        <is>
          <t>在读</t>
        </is>
      </c>
      <c r="AC120" s="1074" t="inlineStr">
        <is>
          <t>-</t>
        </is>
      </c>
      <c r="AD120" s="1074" t="inlineStr">
        <is>
          <t>-</t>
        </is>
      </c>
      <c r="AE120" s="1074" t="inlineStr"/>
      <c r="AF120" s="1074" t="inlineStr">
        <is>
          <t>-</t>
        </is>
      </c>
      <c r="AG120" s="1074" t="inlineStr">
        <is>
          <t>-</t>
        </is>
      </c>
      <c r="AH120" s="1074" t="inlineStr">
        <is>
          <t>-</t>
        </is>
      </c>
      <c r="AI120" s="1074" t="inlineStr">
        <is>
          <t>-</t>
        </is>
      </c>
      <c r="AJ120" s="1074" t="inlineStr">
        <is>
          <t>-</t>
        </is>
      </c>
      <c r="AK120" s="1074" t="inlineStr">
        <is>
          <t>-</t>
        </is>
      </c>
      <c r="AL120" s="1074" t="inlineStr">
        <is>
          <t>-</t>
        </is>
      </c>
      <c r="AM120" s="1074" t="n"/>
      <c r="AN120" s="1074" t="n"/>
      <c r="AO120" s="1074" t="n"/>
      <c r="AP120" s="1074" t="n"/>
      <c r="AQ120" s="1074" t="n"/>
      <c r="AR120" s="1074" t="n"/>
      <c r="AS120" s="1074" t="n"/>
      <c r="AT120" s="311" t="n"/>
    </row>
    <row r="121" ht="26.25" customFormat="1" customHeight="1" s="366">
      <c r="A121" s="1074" t="inlineStr">
        <is>
          <t>新宝利</t>
        </is>
      </c>
      <c r="B121" s="1074" t="inlineStr">
        <is>
          <t>4422639616</t>
        </is>
      </c>
      <c r="C121" s="1074" t="inlineStr">
        <is>
          <t>刘智烜</t>
        </is>
      </c>
      <c r="D121" s="1074" t="inlineStr">
        <is>
          <t>张敏烨</t>
        </is>
      </c>
      <c r="E121" s="1074" t="inlineStr">
        <is>
          <t>新生转介绍</t>
        </is>
      </c>
      <c r="F121" s="1074" t="n"/>
      <c r="G121" s="1074" t="inlineStr">
        <is>
          <t>谢皓霖</t>
        </is>
      </c>
      <c r="H121" s="1074" t="inlineStr">
        <is>
          <t>在读</t>
        </is>
      </c>
      <c r="I121" s="1074" t="inlineStr">
        <is>
          <t>二期</t>
        </is>
      </c>
      <c r="J121" s="1074" t="inlineStr">
        <is>
          <t>5111034</t>
        </is>
      </c>
      <c r="K121" s="1074" t="inlineStr">
        <is>
          <t>校内成绩</t>
        </is>
      </c>
      <c r="L121" s="1074" t="n">
        <v>75</v>
      </c>
      <c r="M121" s="1074" t="n">
        <v>93</v>
      </c>
      <c r="N121" s="1074" t="inlineStr">
        <is>
          <t>田雨涵01</t>
        </is>
      </c>
      <c r="O121" s="1074" t="inlineStr">
        <is>
          <t>教室4</t>
        </is>
      </c>
      <c r="P121" s="1074" t="inlineStr">
        <is>
          <t>13:20-15:30</t>
        </is>
      </c>
      <c r="Q121" s="1074" t="inlineStr">
        <is>
          <t>潜能班</t>
        </is>
      </c>
      <c r="R121" s="1074" t="inlineStr">
        <is>
          <t>二期</t>
        </is>
      </c>
      <c r="S121" s="1074" t="inlineStr">
        <is>
          <t>在读</t>
        </is>
      </c>
      <c r="T121" s="1074" t="inlineStr">
        <is>
          <t>-</t>
        </is>
      </c>
      <c r="U121" s="1074" t="inlineStr">
        <is>
          <t>4513342</t>
        </is>
      </c>
      <c r="V121" s="1074" t="n"/>
      <c r="W121" s="1074" t="inlineStr">
        <is>
          <t>黄铭怡</t>
        </is>
      </c>
      <c r="X121" s="1074" t="inlineStr">
        <is>
          <t>教室4</t>
        </is>
      </c>
      <c r="Y121" s="1074" t="inlineStr">
        <is>
          <t>10:20-12:30</t>
        </is>
      </c>
      <c r="Z121" s="1074" t="inlineStr">
        <is>
          <t>潜能班</t>
        </is>
      </c>
      <c r="AA121" s="1074" t="inlineStr">
        <is>
          <t>二期</t>
        </is>
      </c>
      <c r="AB121" s="1074" t="inlineStr">
        <is>
          <t>在读</t>
        </is>
      </c>
      <c r="AC121" s="1074" t="inlineStr">
        <is>
          <t>-</t>
        </is>
      </c>
      <c r="AD121" s="1074" t="inlineStr">
        <is>
          <t>4513340</t>
        </is>
      </c>
      <c r="AE121" s="1074" t="n"/>
      <c r="AF121" s="1074" t="inlineStr">
        <is>
          <t>高心怡04</t>
        </is>
      </c>
      <c r="AG121" s="1074" t="inlineStr">
        <is>
          <t>教室4</t>
        </is>
      </c>
      <c r="AH121" s="1074" t="inlineStr">
        <is>
          <t>15:50-18:00</t>
        </is>
      </c>
      <c r="AI121" s="1074" t="inlineStr">
        <is>
          <t>潜能班</t>
        </is>
      </c>
      <c r="AJ121" s="1074" t="inlineStr">
        <is>
          <t>二期</t>
        </is>
      </c>
      <c r="AK121" s="1074" t="inlineStr">
        <is>
          <t>在读</t>
        </is>
      </c>
      <c r="AL121" s="1074" t="inlineStr">
        <is>
          <t>-</t>
        </is>
      </c>
      <c r="AM121" s="1074" t="n"/>
      <c r="AN121" s="1074" t="n"/>
      <c r="AO121" s="1074" t="n"/>
      <c r="AP121" s="1074" t="n"/>
      <c r="AQ121" s="1074" t="n"/>
      <c r="AR121" s="1074" t="inlineStr">
        <is>
          <t>B</t>
        </is>
      </c>
      <c r="AS121" s="1074" t="inlineStr">
        <is>
          <t>未咨询过秋季价格，暑假先体验下</t>
        </is>
      </c>
      <c r="AT121" s="311" t="n"/>
    </row>
    <row r="122" ht="26.25" customFormat="1" customHeight="1" s="366">
      <c r="A122" s="1074" t="inlineStr">
        <is>
          <t>新宝利</t>
        </is>
      </c>
      <c r="B122" s="1074" t="inlineStr">
        <is>
          <t>2579132025</t>
        </is>
      </c>
      <c r="C122" s="1074" t="inlineStr">
        <is>
          <t>谭皓轩</t>
        </is>
      </c>
      <c r="D122" s="1074" t="inlineStr">
        <is>
          <t>林志豪01</t>
        </is>
      </c>
      <c r="E122" s="1074" t="inlineStr">
        <is>
          <t>纯拉新</t>
        </is>
      </c>
      <c r="F122" s="1074" t="n"/>
      <c r="G122" s="1074" t="n"/>
      <c r="H122" s="1074" t="inlineStr">
        <is>
          <t>在读</t>
        </is>
      </c>
      <c r="I122" s="1074" t="inlineStr">
        <is>
          <t>二期</t>
        </is>
      </c>
      <c r="J122" s="1074" t="inlineStr">
        <is>
          <t>5111034</t>
        </is>
      </c>
      <c r="K122" s="1074" t="inlineStr">
        <is>
          <t>校内成绩</t>
        </is>
      </c>
      <c r="L122" s="1074" t="n">
        <v>64</v>
      </c>
      <c r="M122" s="1074" t="n">
        <v>85</v>
      </c>
      <c r="N122" s="1074" t="inlineStr">
        <is>
          <t>田雨涵01</t>
        </is>
      </c>
      <c r="O122" s="1074" t="inlineStr">
        <is>
          <t>教室4</t>
        </is>
      </c>
      <c r="P122" s="1074" t="inlineStr">
        <is>
          <t>13:20-15:30</t>
        </is>
      </c>
      <c r="Q122" s="1074" t="inlineStr">
        <is>
          <t>潜能班</t>
        </is>
      </c>
      <c r="R122" s="1074" t="inlineStr">
        <is>
          <t>二期</t>
        </is>
      </c>
      <c r="S122" s="1074" t="inlineStr">
        <is>
          <t>在读</t>
        </is>
      </c>
      <c r="T122" s="1074" t="inlineStr">
        <is>
          <t>-</t>
        </is>
      </c>
      <c r="U122" s="1074" t="inlineStr">
        <is>
          <t>4513342</t>
        </is>
      </c>
      <c r="V122" s="1074" t="n"/>
      <c r="W122" s="1074" t="inlineStr">
        <is>
          <t>黄铭怡</t>
        </is>
      </c>
      <c r="X122" s="1074" t="inlineStr">
        <is>
          <t>教室4</t>
        </is>
      </c>
      <c r="Y122" s="1074" t="inlineStr">
        <is>
          <t>10:20-12:30</t>
        </is>
      </c>
      <c r="Z122" s="1074" t="inlineStr">
        <is>
          <t>潜能班</t>
        </is>
      </c>
      <c r="AA122" s="1074" t="inlineStr">
        <is>
          <t>二期</t>
        </is>
      </c>
      <c r="AB122" s="1074" t="inlineStr">
        <is>
          <t>在读</t>
        </is>
      </c>
      <c r="AC122" s="1074" t="inlineStr">
        <is>
          <t>-</t>
        </is>
      </c>
      <c r="AD122" s="1074" t="inlineStr">
        <is>
          <t>4513340</t>
        </is>
      </c>
      <c r="AE122" s="1074" t="n"/>
      <c r="AF122" s="1074" t="inlineStr">
        <is>
          <t>高心怡04</t>
        </is>
      </c>
      <c r="AG122" s="1074" t="inlineStr">
        <is>
          <t>教室4</t>
        </is>
      </c>
      <c r="AH122" s="1074" t="inlineStr">
        <is>
          <t>15:50-18:00</t>
        </is>
      </c>
      <c r="AI122" s="1074" t="inlineStr">
        <is>
          <t>潜能班</t>
        </is>
      </c>
      <c r="AJ122" s="1074" t="inlineStr">
        <is>
          <t>二期</t>
        </is>
      </c>
      <c r="AK122" s="1074" t="inlineStr">
        <is>
          <t>在读</t>
        </is>
      </c>
      <c r="AL122" s="1074" t="inlineStr">
        <is>
          <t>-</t>
        </is>
      </c>
      <c r="AM122" s="1074" t="n"/>
      <c r="AN122" s="1074" t="n"/>
      <c r="AO122" s="1074" t="n"/>
      <c r="AP122" s="1074" t="n"/>
      <c r="AQ122" s="1074" t="n"/>
      <c r="AR122" s="1074" t="inlineStr">
        <is>
          <t>B</t>
        </is>
      </c>
      <c r="AS122" s="1074" t="inlineStr">
        <is>
          <t>只问了暑假的课程和教学内容，其他没过多沟通</t>
        </is>
      </c>
      <c r="AT122" s="311" t="n"/>
    </row>
    <row r="123" ht="26.25" customFormat="1" customHeight="1" s="366">
      <c r="A123" s="1074" t="inlineStr">
        <is>
          <t>新宝利</t>
        </is>
      </c>
      <c r="B123" s="1074" t="inlineStr">
        <is>
          <t>2533362129</t>
        </is>
      </c>
      <c r="C123" s="1074" t="inlineStr">
        <is>
          <t>张垲承</t>
        </is>
      </c>
      <c r="D123" s="1074" t="inlineStr">
        <is>
          <t>张敏烨</t>
        </is>
      </c>
      <c r="E123" s="1074" t="inlineStr">
        <is>
          <t>新生转介绍</t>
        </is>
      </c>
      <c r="F123" s="1074" t="n"/>
      <c r="G123" s="1074" t="inlineStr">
        <is>
          <t>冯晴昕</t>
        </is>
      </c>
      <c r="H123" s="1074" t="inlineStr">
        <is>
          <t>在读</t>
        </is>
      </c>
      <c r="I123" s="1074" t="inlineStr">
        <is>
          <t>三期</t>
        </is>
      </c>
      <c r="J123" s="1074" t="inlineStr">
        <is>
          <t>5111035</t>
        </is>
      </c>
      <c r="K123" s="1074" t="inlineStr">
        <is>
          <t>校内成绩</t>
        </is>
      </c>
      <c r="L123" s="1074" t="n">
        <v>86</v>
      </c>
      <c r="M123" s="1074" t="n">
        <v>95</v>
      </c>
      <c r="N123" s="1074" t="inlineStr">
        <is>
          <t>何咏04</t>
        </is>
      </c>
      <c r="O123" s="1074" t="inlineStr">
        <is>
          <t>教室2</t>
        </is>
      </c>
      <c r="P123" s="1074" t="inlineStr">
        <is>
          <t>15:50-18:00</t>
        </is>
      </c>
      <c r="Q123" s="1074" t="inlineStr">
        <is>
          <t>启能班</t>
        </is>
      </c>
      <c r="R123" s="1074" t="inlineStr">
        <is>
          <t>三期</t>
        </is>
      </c>
      <c r="S123" s="1074" t="inlineStr">
        <is>
          <t>在读</t>
        </is>
      </c>
      <c r="T123" s="1074" t="inlineStr">
        <is>
          <t>-</t>
        </is>
      </c>
      <c r="U123" s="1074" t="inlineStr">
        <is>
          <t>5170873</t>
        </is>
      </c>
      <c r="V123" s="1074" t="n"/>
      <c r="W123" s="1074" t="inlineStr">
        <is>
          <t>李润</t>
        </is>
      </c>
      <c r="X123" s="1074" t="inlineStr">
        <is>
          <t>教室2</t>
        </is>
      </c>
      <c r="Y123" s="1074" t="inlineStr">
        <is>
          <t>13:20-15:30</t>
        </is>
      </c>
      <c r="Z123" s="1074" t="inlineStr">
        <is>
          <t>潜能班</t>
        </is>
      </c>
      <c r="AA123" s="1074" t="inlineStr">
        <is>
          <t>三期</t>
        </is>
      </c>
      <c r="AB123" s="1074" t="inlineStr">
        <is>
          <t>在读</t>
        </is>
      </c>
      <c r="AC123" s="1074" t="inlineStr">
        <is>
          <t>-</t>
        </is>
      </c>
      <c r="AD123" s="1074" t="inlineStr">
        <is>
          <t>5170871</t>
        </is>
      </c>
      <c r="AE123" s="1074" t="n"/>
      <c r="AF123" s="1074" t="inlineStr">
        <is>
          <t>肖锐03</t>
        </is>
      </c>
      <c r="AG123" s="1074" t="inlineStr">
        <is>
          <t>教室2</t>
        </is>
      </c>
      <c r="AH123" s="1074" t="inlineStr">
        <is>
          <t>10:20-12:30</t>
        </is>
      </c>
      <c r="AI123" s="1074" t="inlineStr">
        <is>
          <t>潜能班</t>
        </is>
      </c>
      <c r="AJ123" s="1074" t="inlineStr">
        <is>
          <t>三期</t>
        </is>
      </c>
      <c r="AK123" s="1074" t="inlineStr">
        <is>
          <t>在读</t>
        </is>
      </c>
      <c r="AL123" s="1074" t="inlineStr">
        <is>
          <t>-</t>
        </is>
      </c>
      <c r="AM123" s="1074" t="n"/>
      <c r="AN123" s="1074" t="n"/>
      <c r="AO123" s="1074" t="n"/>
      <c r="AP123" s="1074" t="n"/>
      <c r="AQ123" s="1074" t="n"/>
      <c r="AR123" s="1074" t="inlineStr">
        <is>
          <t>B</t>
        </is>
      </c>
      <c r="AS123" s="1074" t="inlineStr">
        <is>
          <t>未咨询正课价格，和垲承，彦超是同学</t>
        </is>
      </c>
      <c r="AT123" s="311" t="n"/>
    </row>
    <row r="124" ht="26.25" customFormat="1" customHeight="1" s="366">
      <c r="A124" s="1074" t="inlineStr">
        <is>
          <t>新宝利</t>
        </is>
      </c>
      <c r="B124" s="1074" t="inlineStr">
        <is>
          <t>4842301330</t>
        </is>
      </c>
      <c r="C124" s="1074" t="inlineStr">
        <is>
          <t>罗悦庭</t>
        </is>
      </c>
      <c r="D124" s="1074" t="inlineStr">
        <is>
          <t>杨林33</t>
        </is>
      </c>
      <c r="E124" s="1074" t="inlineStr">
        <is>
          <t>纯拉新</t>
        </is>
      </c>
      <c r="F124" s="1074" t="n"/>
      <c r="G124" s="1074" t="n"/>
      <c r="H124" s="1074" t="inlineStr">
        <is>
          <t>在读</t>
        </is>
      </c>
      <c r="I124" s="1074" t="inlineStr">
        <is>
          <t>二期</t>
        </is>
      </c>
      <c r="J124" s="1074" t="inlineStr">
        <is>
          <t>-</t>
        </is>
      </c>
      <c r="K124" s="1074" t="inlineStr"/>
      <c r="L124" s="1074" t="inlineStr"/>
      <c r="M124" s="1074" t="inlineStr"/>
      <c r="N124" s="1074" t="inlineStr">
        <is>
          <t>-</t>
        </is>
      </c>
      <c r="O124" s="1074" t="inlineStr">
        <is>
          <t>-</t>
        </is>
      </c>
      <c r="P124" s="1074" t="inlineStr">
        <is>
          <t>-</t>
        </is>
      </c>
      <c r="Q124" s="1074" t="inlineStr">
        <is>
          <t>-</t>
        </is>
      </c>
      <c r="R124" s="1074" t="inlineStr">
        <is>
          <t>-</t>
        </is>
      </c>
      <c r="S124" s="1074" t="inlineStr">
        <is>
          <t>-</t>
        </is>
      </c>
      <c r="T124" s="1074" t="inlineStr">
        <is>
          <t>-</t>
        </is>
      </c>
      <c r="U124" s="1074" t="inlineStr">
        <is>
          <t>3132846</t>
        </is>
      </c>
      <c r="V124" s="1074" t="n"/>
      <c r="W124" s="1074" t="inlineStr">
        <is>
          <t>黄铭怡</t>
        </is>
      </c>
      <c r="X124" s="1074" t="inlineStr">
        <is>
          <t>教室3</t>
        </is>
      </c>
      <c r="Y124" s="1074" t="inlineStr">
        <is>
          <t>13:20-15:30</t>
        </is>
      </c>
      <c r="Z124" s="1074" t="inlineStr">
        <is>
          <t>潜能班</t>
        </is>
      </c>
      <c r="AA124" s="1074" t="inlineStr">
        <is>
          <t>二期</t>
        </is>
      </c>
      <c r="AB124" s="1074" t="inlineStr">
        <is>
          <t>在读</t>
        </is>
      </c>
      <c r="AC124" s="1074" t="inlineStr">
        <is>
          <t>-</t>
        </is>
      </c>
      <c r="AD124" s="1074" t="inlineStr">
        <is>
          <t>5230738</t>
        </is>
      </c>
      <c r="AE124" s="1074" t="n"/>
      <c r="AF124" s="1074" t="inlineStr">
        <is>
          <t>高心怡04</t>
        </is>
      </c>
      <c r="AG124" s="1074" t="inlineStr">
        <is>
          <t>教室3</t>
        </is>
      </c>
      <c r="AH124" s="1074" t="inlineStr">
        <is>
          <t>10:20-12:30</t>
        </is>
      </c>
      <c r="AI124" s="1074" t="inlineStr">
        <is>
          <t>潜能班</t>
        </is>
      </c>
      <c r="AJ124" s="1074" t="inlineStr">
        <is>
          <t>二期</t>
        </is>
      </c>
      <c r="AK124" s="1074" t="inlineStr">
        <is>
          <t>在读</t>
        </is>
      </c>
      <c r="AL124" s="1074" t="inlineStr">
        <is>
          <t>-</t>
        </is>
      </c>
      <c r="AM124" s="1074" t="n"/>
      <c r="AN124" s="1074" t="n"/>
      <c r="AO124" s="1074" t="n"/>
      <c r="AP124" s="1074" t="n"/>
      <c r="AQ124" s="1074" t="n"/>
      <c r="AR124" s="1074" t="inlineStr">
        <is>
          <t>S</t>
        </is>
      </c>
      <c r="AS124" s="1074" t="inlineStr">
        <is>
          <t>张晨睿介绍  问了秋季价格 能接受，学的好大概率能续,重点关注</t>
        </is>
      </c>
      <c r="AT124" s="311" t="n"/>
    </row>
    <row r="125" ht="26.25" customFormat="1" customHeight="1" s="366">
      <c r="A125" s="1074" t="inlineStr">
        <is>
          <t>新宝利</t>
        </is>
      </c>
      <c r="B125" s="1074" t="inlineStr">
        <is>
          <t>4584634596</t>
        </is>
      </c>
      <c r="C125" s="1074" t="inlineStr">
        <is>
          <t>黄彦超</t>
        </is>
      </c>
      <c r="D125" s="1074" t="inlineStr">
        <is>
          <t>张敏烨</t>
        </is>
      </c>
      <c r="E125" s="1074" t="inlineStr">
        <is>
          <t>新生转介绍</t>
        </is>
      </c>
      <c r="F125" s="1074" t="n"/>
      <c r="G125" s="1074" t="inlineStr">
        <is>
          <t>冯晴昕</t>
        </is>
      </c>
      <c r="H125" s="1074" t="inlineStr">
        <is>
          <t>在读</t>
        </is>
      </c>
      <c r="I125" s="1074" t="inlineStr">
        <is>
          <t>三期</t>
        </is>
      </c>
      <c r="J125" s="1074" t="inlineStr">
        <is>
          <t>5111035</t>
        </is>
      </c>
      <c r="K125" s="1074" t="inlineStr">
        <is>
          <t>校内成绩</t>
        </is>
      </c>
      <c r="L125" s="1074" t="n">
        <v>86</v>
      </c>
      <c r="M125" s="1074" t="n">
        <v>96</v>
      </c>
      <c r="N125" s="1074" t="inlineStr">
        <is>
          <t>何咏04</t>
        </is>
      </c>
      <c r="O125" s="1074" t="inlineStr">
        <is>
          <t>教室2</t>
        </is>
      </c>
      <c r="P125" s="1074" t="inlineStr">
        <is>
          <t>15:50-18:00</t>
        </is>
      </c>
      <c r="Q125" s="1074" t="inlineStr">
        <is>
          <t>启能班</t>
        </is>
      </c>
      <c r="R125" s="1074" t="inlineStr">
        <is>
          <t>三期</t>
        </is>
      </c>
      <c r="S125" s="1074" t="inlineStr">
        <is>
          <t>在读</t>
        </is>
      </c>
      <c r="T125" s="1074" t="inlineStr">
        <is>
          <t>-</t>
        </is>
      </c>
      <c r="U125" s="1074" t="inlineStr">
        <is>
          <t>5170873</t>
        </is>
      </c>
      <c r="V125" s="1074" t="n"/>
      <c r="W125" s="1074" t="inlineStr">
        <is>
          <t>李润</t>
        </is>
      </c>
      <c r="X125" s="1074" t="inlineStr">
        <is>
          <t>教室2</t>
        </is>
      </c>
      <c r="Y125" s="1074" t="inlineStr">
        <is>
          <t>13:20-15:30</t>
        </is>
      </c>
      <c r="Z125" s="1074" t="inlineStr">
        <is>
          <t>潜能班</t>
        </is>
      </c>
      <c r="AA125" s="1074" t="inlineStr">
        <is>
          <t>三期</t>
        </is>
      </c>
      <c r="AB125" s="1074" t="inlineStr">
        <is>
          <t>在读</t>
        </is>
      </c>
      <c r="AC125" s="1074" t="inlineStr">
        <is>
          <t>-</t>
        </is>
      </c>
      <c r="AD125" s="1074" t="inlineStr">
        <is>
          <t>5170871</t>
        </is>
      </c>
      <c r="AE125" s="1074" t="n"/>
      <c r="AF125" s="1074" t="inlineStr">
        <is>
          <t>肖锐03</t>
        </is>
      </c>
      <c r="AG125" s="1074" t="inlineStr">
        <is>
          <t>教室2</t>
        </is>
      </c>
      <c r="AH125" s="1074" t="inlineStr">
        <is>
          <t>10:20-12:30</t>
        </is>
      </c>
      <c r="AI125" s="1074" t="inlineStr">
        <is>
          <t>潜能班</t>
        </is>
      </c>
      <c r="AJ125" s="1074" t="inlineStr">
        <is>
          <t>三期</t>
        </is>
      </c>
      <c r="AK125" s="1074" t="inlineStr">
        <is>
          <t>在读</t>
        </is>
      </c>
      <c r="AL125" s="1074" t="inlineStr">
        <is>
          <t>-</t>
        </is>
      </c>
      <c r="AM125" s="1074" t="n"/>
      <c r="AN125" s="1074" t="n"/>
      <c r="AO125" s="1074" t="n"/>
      <c r="AP125" s="1074" t="n"/>
      <c r="AQ125" s="1074" t="n"/>
      <c r="AR125" s="1074" t="inlineStr">
        <is>
          <t>B</t>
        </is>
      </c>
      <c r="AS125" s="1074" t="inlineStr">
        <is>
          <t>未咨询正课价格，和垲承，彦超是同学</t>
        </is>
      </c>
      <c r="AT125" s="311" t="n"/>
    </row>
    <row r="126" ht="26.25" customFormat="1" customHeight="1" s="366">
      <c r="A126" s="1074" t="inlineStr">
        <is>
          <t>新宝利</t>
        </is>
      </c>
      <c r="B126" s="1074" t="inlineStr">
        <is>
          <t>2918346021</t>
        </is>
      </c>
      <c r="C126" s="1074" t="inlineStr">
        <is>
          <t>冯晴昕</t>
        </is>
      </c>
      <c r="D126" s="1074" t="inlineStr">
        <is>
          <t>张敏烨</t>
        </is>
      </c>
      <c r="E126" s="1074" t="inlineStr">
        <is>
          <t>新生转介绍</t>
        </is>
      </c>
      <c r="F126" s="1074" t="n"/>
      <c r="G126" s="1074" t="inlineStr">
        <is>
          <t>黄钰淇</t>
        </is>
      </c>
      <c r="H126" s="1074" t="inlineStr">
        <is>
          <t>在读</t>
        </is>
      </c>
      <c r="I126" s="1074" t="inlineStr">
        <is>
          <t>三期</t>
        </is>
      </c>
      <c r="J126" s="1074" t="inlineStr">
        <is>
          <t>5111035</t>
        </is>
      </c>
      <c r="K126" s="1074" t="inlineStr">
        <is>
          <t>校内成绩</t>
        </is>
      </c>
      <c r="L126" s="1074" t="n">
        <v>86</v>
      </c>
      <c r="M126" s="1074" t="n">
        <v>95</v>
      </c>
      <c r="N126" s="1074" t="inlineStr">
        <is>
          <t>何咏04</t>
        </is>
      </c>
      <c r="O126" s="1074" t="inlineStr">
        <is>
          <t>教室2</t>
        </is>
      </c>
      <c r="P126" s="1074" t="inlineStr">
        <is>
          <t>15:50-18:00</t>
        </is>
      </c>
      <c r="Q126" s="1074" t="inlineStr">
        <is>
          <t>启能班</t>
        </is>
      </c>
      <c r="R126" s="1074" t="inlineStr">
        <is>
          <t>三期</t>
        </is>
      </c>
      <c r="S126" s="1074" t="inlineStr">
        <is>
          <t>在读</t>
        </is>
      </c>
      <c r="T126" s="1074" t="inlineStr">
        <is>
          <t>-</t>
        </is>
      </c>
      <c r="U126" s="1074" t="inlineStr">
        <is>
          <t>5170873</t>
        </is>
      </c>
      <c r="V126" s="1074" t="n"/>
      <c r="W126" s="1074" t="inlineStr">
        <is>
          <t>李润</t>
        </is>
      </c>
      <c r="X126" s="1074" t="inlineStr">
        <is>
          <t>教室2</t>
        </is>
      </c>
      <c r="Y126" s="1074" t="inlineStr">
        <is>
          <t>13:20-15:30</t>
        </is>
      </c>
      <c r="Z126" s="1074" t="inlineStr">
        <is>
          <t>潜能班</t>
        </is>
      </c>
      <c r="AA126" s="1074" t="inlineStr">
        <is>
          <t>三期</t>
        </is>
      </c>
      <c r="AB126" s="1074" t="inlineStr">
        <is>
          <t>在读</t>
        </is>
      </c>
      <c r="AC126" s="1074" t="inlineStr">
        <is>
          <t>-</t>
        </is>
      </c>
      <c r="AD126" s="1074" t="inlineStr">
        <is>
          <t>5170871</t>
        </is>
      </c>
      <c r="AE126" s="1074" t="n"/>
      <c r="AF126" s="1074" t="inlineStr">
        <is>
          <t>肖锐03</t>
        </is>
      </c>
      <c r="AG126" s="1074" t="inlineStr">
        <is>
          <t>教室2</t>
        </is>
      </c>
      <c r="AH126" s="1074" t="inlineStr">
        <is>
          <t>10:20-12:30</t>
        </is>
      </c>
      <c r="AI126" s="1074" t="inlineStr">
        <is>
          <t>潜能班</t>
        </is>
      </c>
      <c r="AJ126" s="1074" t="inlineStr">
        <is>
          <t>三期</t>
        </is>
      </c>
      <c r="AK126" s="1074" t="inlineStr">
        <is>
          <t>在读</t>
        </is>
      </c>
      <c r="AL126" s="1074" t="inlineStr">
        <is>
          <t>-</t>
        </is>
      </c>
      <c r="AM126" s="1074" t="n"/>
      <c r="AN126" s="1074" t="n"/>
      <c r="AO126" s="1074" t="n"/>
      <c r="AP126" s="1074" t="n"/>
      <c r="AQ126" s="1074" t="n"/>
      <c r="AR126" s="1074" t="inlineStr">
        <is>
          <t>B</t>
        </is>
      </c>
      <c r="AS126" s="1074" t="inlineStr">
        <is>
          <t>未咨询正课和同学暑假体验</t>
        </is>
      </c>
      <c r="AT126" s="311" t="n"/>
    </row>
    <row r="127" ht="26.25" customFormat="1" customHeight="1" s="366">
      <c r="A127" s="1074" t="inlineStr">
        <is>
          <t>同创汇</t>
        </is>
      </c>
      <c r="B127" s="1074" t="inlineStr">
        <is>
          <t>4522642117</t>
        </is>
      </c>
      <c r="C127" s="1074" t="inlineStr">
        <is>
          <t>梁思雅</t>
        </is>
      </c>
      <c r="D127" s="1074" t="inlineStr">
        <is>
          <t>戎凯01</t>
        </is>
      </c>
      <c r="E127" s="1074" t="inlineStr">
        <is>
          <t>纯拉新</t>
        </is>
      </c>
      <c r="F127" s="1074" t="n"/>
      <c r="G127" s="1074" t="n"/>
      <c r="H127" s="1074" t="inlineStr">
        <is>
          <t>在读</t>
        </is>
      </c>
      <c r="I127" s="1074" t="inlineStr">
        <is>
          <t>二期</t>
        </is>
      </c>
      <c r="J127" s="1074" t="inlineStr">
        <is>
          <t>3132872</t>
        </is>
      </c>
      <c r="K127" s="1074" t="inlineStr">
        <is>
          <t>校内成绩</t>
        </is>
      </c>
      <c r="L127" s="1074" t="n">
        <v>75</v>
      </c>
      <c r="M127" s="1074" t="n">
        <v>94</v>
      </c>
      <c r="N127" s="1074" t="inlineStr">
        <is>
          <t>何咏04</t>
        </is>
      </c>
      <c r="O127" s="1074" t="inlineStr">
        <is>
          <t>01智慧林</t>
        </is>
      </c>
      <c r="P127" s="1074" t="inlineStr">
        <is>
          <t>13:20-15:30</t>
        </is>
      </c>
      <c r="Q127" s="1074" t="inlineStr">
        <is>
          <t>潜能班</t>
        </is>
      </c>
      <c r="R127" s="1074" t="inlineStr">
        <is>
          <t>二期</t>
        </is>
      </c>
      <c r="S127" s="1074" t="inlineStr">
        <is>
          <t>在读</t>
        </is>
      </c>
      <c r="T127" s="1074" t="inlineStr">
        <is>
          <t>-</t>
        </is>
      </c>
      <c r="U127" s="1074" t="inlineStr">
        <is>
          <t>5230809</t>
        </is>
      </c>
      <c r="V127" s="1074" t="n"/>
      <c r="W127" s="1074" t="inlineStr">
        <is>
          <t>李润</t>
        </is>
      </c>
      <c r="X127" s="1074" t="inlineStr">
        <is>
          <t>01智慧林</t>
        </is>
      </c>
      <c r="Y127" s="1074" t="inlineStr">
        <is>
          <t>10:20-12:30</t>
        </is>
      </c>
      <c r="Z127" s="1074" t="inlineStr">
        <is>
          <t>潜能班</t>
        </is>
      </c>
      <c r="AA127" s="1074" t="inlineStr">
        <is>
          <t>二期</t>
        </is>
      </c>
      <c r="AB127" s="1074" t="inlineStr">
        <is>
          <t>在读</t>
        </is>
      </c>
      <c r="AC127" s="1074" t="inlineStr">
        <is>
          <t>-</t>
        </is>
      </c>
      <c r="AD127" s="1074" t="inlineStr">
        <is>
          <t>3132893</t>
        </is>
      </c>
      <c r="AE127" s="1074" t="n"/>
      <c r="AF127" s="1074" t="inlineStr">
        <is>
          <t>刘希子</t>
        </is>
      </c>
      <c r="AG127" s="1074" t="inlineStr">
        <is>
          <t>01智慧林</t>
        </is>
      </c>
      <c r="AH127" s="1074" t="inlineStr">
        <is>
          <t>15:50-18:00</t>
        </is>
      </c>
      <c r="AI127" s="1074" t="inlineStr">
        <is>
          <t>潜能班</t>
        </is>
      </c>
      <c r="AJ127" s="1074" t="inlineStr">
        <is>
          <t>二期</t>
        </is>
      </c>
      <c r="AK127" s="1074" t="inlineStr">
        <is>
          <t>在读</t>
        </is>
      </c>
      <c r="AL127" s="1074" t="inlineStr">
        <is>
          <t>-</t>
        </is>
      </c>
      <c r="AM127" s="1074" t="n"/>
      <c r="AN127" s="1074" t="n"/>
      <c r="AO127" s="1074" t="n"/>
      <c r="AP127" s="1074" t="n"/>
      <c r="AQ127" s="1074" t="n"/>
      <c r="AR127" s="1074" t="inlineStr">
        <is>
          <t>A</t>
        </is>
      </c>
      <c r="AS127" s="1074" t="inlineStr">
        <is>
          <t>孩子有选择权，还要看效果</t>
        </is>
      </c>
      <c r="AT127" s="311" t="n"/>
    </row>
    <row r="128" ht="26.25" customFormat="1" customHeight="1" s="366">
      <c r="A128" s="1074" t="inlineStr">
        <is>
          <t>新宝利</t>
        </is>
      </c>
      <c r="B128" s="1074" t="inlineStr">
        <is>
          <t>2581737642</t>
        </is>
      </c>
      <c r="C128" s="1074" t="inlineStr">
        <is>
          <t>陈梓熙</t>
        </is>
      </c>
      <c r="D128" s="1074" t="inlineStr">
        <is>
          <t>王丽</t>
        </is>
      </c>
      <c r="E128" s="1074" t="inlineStr">
        <is>
          <t>纯拉新</t>
        </is>
      </c>
      <c r="F128" s="1074" t="n"/>
      <c r="G128" s="1074" t="n"/>
      <c r="H128" s="1074" t="inlineStr">
        <is>
          <t>在读</t>
        </is>
      </c>
      <c r="I128" s="1074" t="inlineStr">
        <is>
          <t>二期</t>
        </is>
      </c>
      <c r="J128" s="1074" t="inlineStr">
        <is>
          <t>5111034</t>
        </is>
      </c>
      <c r="K128" s="1074" t="inlineStr">
        <is>
          <t>校内成绩</t>
        </is>
      </c>
      <c r="L128" s="1074" t="n">
        <v>60</v>
      </c>
      <c r="M128" s="1074" t="n">
        <v>80</v>
      </c>
      <c r="N128" s="1074" t="inlineStr">
        <is>
          <t>田雨涵01</t>
        </is>
      </c>
      <c r="O128" s="1074" t="inlineStr">
        <is>
          <t>教室4</t>
        </is>
      </c>
      <c r="P128" s="1074" t="inlineStr">
        <is>
          <t>13:20-15:30</t>
        </is>
      </c>
      <c r="Q128" s="1074" t="inlineStr">
        <is>
          <t>潜能班</t>
        </is>
      </c>
      <c r="R128" s="1074" t="inlineStr">
        <is>
          <t>二期</t>
        </is>
      </c>
      <c r="S128" s="1074" t="inlineStr">
        <is>
          <t>在读</t>
        </is>
      </c>
      <c r="T128" s="1074" t="inlineStr">
        <is>
          <t>-</t>
        </is>
      </c>
      <c r="U128" s="1074" t="inlineStr">
        <is>
          <t>4513342</t>
        </is>
      </c>
      <c r="V128" s="1074" t="n"/>
      <c r="W128" s="1074" t="inlineStr">
        <is>
          <t>黄铭怡</t>
        </is>
      </c>
      <c r="X128" s="1074" t="inlineStr">
        <is>
          <t>教室4</t>
        </is>
      </c>
      <c r="Y128" s="1074" t="inlineStr">
        <is>
          <t>10:20-12:30</t>
        </is>
      </c>
      <c r="Z128" s="1074" t="inlineStr">
        <is>
          <t>潜能班</t>
        </is>
      </c>
      <c r="AA128" s="1074" t="inlineStr">
        <is>
          <t>二期</t>
        </is>
      </c>
      <c r="AB128" s="1074" t="inlineStr">
        <is>
          <t>在读</t>
        </is>
      </c>
      <c r="AC128" s="1074" t="inlineStr">
        <is>
          <t>-</t>
        </is>
      </c>
      <c r="AD128" s="1074" t="inlineStr">
        <is>
          <t>4513340</t>
        </is>
      </c>
      <c r="AE128" s="1074" t="n"/>
      <c r="AF128" s="1074" t="inlineStr">
        <is>
          <t>高心怡04</t>
        </is>
      </c>
      <c r="AG128" s="1074" t="inlineStr">
        <is>
          <t>教室4</t>
        </is>
      </c>
      <c r="AH128" s="1074" t="inlineStr">
        <is>
          <t>15:50-18:00</t>
        </is>
      </c>
      <c r="AI128" s="1074" t="inlineStr">
        <is>
          <t>潜能班</t>
        </is>
      </c>
      <c r="AJ128" s="1074" t="inlineStr">
        <is>
          <t>二期</t>
        </is>
      </c>
      <c r="AK128" s="1074" t="inlineStr">
        <is>
          <t>在读</t>
        </is>
      </c>
      <c r="AL128" s="1074" t="inlineStr">
        <is>
          <t>-</t>
        </is>
      </c>
      <c r="AM128" s="1074" t="n"/>
      <c r="AN128" s="1074" t="n"/>
      <c r="AO128" s="1074" t="n"/>
      <c r="AP128" s="1074" t="n"/>
      <c r="AQ128" s="1074" t="n"/>
      <c r="AR128" s="1074" t="inlineStr">
        <is>
          <t>B</t>
        </is>
      </c>
      <c r="AS128" s="1074" t="inlineStr">
        <is>
          <t>先体验下暑假课，没聊秋季课的事情</t>
        </is>
      </c>
      <c r="AT128" s="311" t="n"/>
    </row>
    <row r="129" ht="26.25" customFormat="1" customHeight="1" s="366">
      <c r="A129" s="1074" t="inlineStr">
        <is>
          <t>新宝利</t>
        </is>
      </c>
      <c r="B129" s="1074" t="inlineStr">
        <is>
          <t>4000435343</t>
        </is>
      </c>
      <c r="C129" s="1074" t="inlineStr">
        <is>
          <t>梁诗晨</t>
        </is>
      </c>
      <c r="D129" s="1074" t="inlineStr">
        <is>
          <t>沈思浩</t>
        </is>
      </c>
      <c r="E129" s="1074" t="inlineStr">
        <is>
          <t>纯拉新</t>
        </is>
      </c>
      <c r="F129" s="1074" t="n"/>
      <c r="G129" s="1074" t="n"/>
      <c r="H129" s="1074" t="inlineStr">
        <is>
          <t>在读</t>
        </is>
      </c>
      <c r="I129" s="1074" t="inlineStr">
        <is>
          <t>二期</t>
        </is>
      </c>
      <c r="J129" s="1074" t="inlineStr">
        <is>
          <t>5111034</t>
        </is>
      </c>
      <c r="K129" s="1074" t="inlineStr">
        <is>
          <t>校内成绩</t>
        </is>
      </c>
      <c r="L129" s="1074" t="n">
        <v>88</v>
      </c>
      <c r="M129" s="1074" t="n">
        <v>98</v>
      </c>
      <c r="N129" s="1074" t="inlineStr">
        <is>
          <t>田雨涵01</t>
        </is>
      </c>
      <c r="O129" s="1074" t="inlineStr">
        <is>
          <t>教室4</t>
        </is>
      </c>
      <c r="P129" s="1074" t="inlineStr">
        <is>
          <t>13:20-15:30</t>
        </is>
      </c>
      <c r="Q129" s="1074" t="inlineStr">
        <is>
          <t>潜能班</t>
        </is>
      </c>
      <c r="R129" s="1074" t="inlineStr">
        <is>
          <t>二期</t>
        </is>
      </c>
      <c r="S129" s="1074" t="inlineStr">
        <is>
          <t>在读</t>
        </is>
      </c>
      <c r="T129" s="1074" t="inlineStr">
        <is>
          <t>-</t>
        </is>
      </c>
      <c r="U129" s="1074" t="inlineStr">
        <is>
          <t>4513342</t>
        </is>
      </c>
      <c r="V129" s="1074" t="n"/>
      <c r="W129" s="1074" t="inlineStr">
        <is>
          <t>黄铭怡</t>
        </is>
      </c>
      <c r="X129" s="1074" t="inlineStr">
        <is>
          <t>教室4</t>
        </is>
      </c>
      <c r="Y129" s="1074" t="inlineStr">
        <is>
          <t>10:20-12:30</t>
        </is>
      </c>
      <c r="Z129" s="1074" t="inlineStr">
        <is>
          <t>潜能班</t>
        </is>
      </c>
      <c r="AA129" s="1074" t="inlineStr">
        <is>
          <t>二期</t>
        </is>
      </c>
      <c r="AB129" s="1074" t="inlineStr">
        <is>
          <t>在读</t>
        </is>
      </c>
      <c r="AC129" s="1074" t="inlineStr">
        <is>
          <t>-</t>
        </is>
      </c>
      <c r="AD129" s="1074" t="inlineStr">
        <is>
          <t>4513340</t>
        </is>
      </c>
      <c r="AE129" s="1074" t="n"/>
      <c r="AF129" s="1074" t="inlineStr">
        <is>
          <t>高心怡04</t>
        </is>
      </c>
      <c r="AG129" s="1074" t="inlineStr">
        <is>
          <t>教室4</t>
        </is>
      </c>
      <c r="AH129" s="1074" t="inlineStr">
        <is>
          <t>15:50-18:00</t>
        </is>
      </c>
      <c r="AI129" s="1074" t="inlineStr">
        <is>
          <t>潜能班</t>
        </is>
      </c>
      <c r="AJ129" s="1074" t="inlineStr">
        <is>
          <t>二期</t>
        </is>
      </c>
      <c r="AK129" s="1074" t="inlineStr">
        <is>
          <t>在读</t>
        </is>
      </c>
      <c r="AL129" s="1074" t="inlineStr">
        <is>
          <t>-</t>
        </is>
      </c>
      <c r="AM129" s="1074" t="n"/>
      <c r="AN129" s="1074" t="n"/>
      <c r="AO129" s="1074" t="n"/>
      <c r="AP129" s="1074" t="n"/>
      <c r="AQ129" s="1074" t="n"/>
      <c r="AR129" s="1074" t="inlineStr">
        <is>
          <t>A</t>
        </is>
      </c>
      <c r="AS129" s="1074" t="inlineStr">
        <is>
          <t>家长好沟通，孩子校内不错也去参加过mk，咨询过秋季</t>
        </is>
      </c>
      <c r="AT129" s="311" t="n"/>
    </row>
    <row r="130" ht="26.25" customFormat="1" customHeight="1" s="366">
      <c r="A130" s="1074" t="inlineStr">
        <is>
          <t>新宝利</t>
        </is>
      </c>
      <c r="B130" s="1074" t="inlineStr">
        <is>
          <t>4843523511</t>
        </is>
      </c>
      <c r="C130" s="1074" t="inlineStr">
        <is>
          <t>林紫琪</t>
        </is>
      </c>
      <c r="D130" s="1074" t="inlineStr">
        <is>
          <t>杨林33</t>
        </is>
      </c>
      <c r="E130" s="1074" t="inlineStr">
        <is>
          <t>纯拉新</t>
        </is>
      </c>
      <c r="F130" s="1074" t="n"/>
      <c r="G130" s="1074" t="n"/>
      <c r="H130" s="1074" t="inlineStr">
        <is>
          <t>在读</t>
        </is>
      </c>
      <c r="I130" s="1074" t="inlineStr">
        <is>
          <t>三期</t>
        </is>
      </c>
      <c r="J130" s="1074" t="inlineStr">
        <is>
          <t>4632447</t>
        </is>
      </c>
      <c r="K130" s="1074" t="inlineStr">
        <is>
          <t>校内成绩</t>
        </is>
      </c>
      <c r="L130" s="1074" t="n">
        <v>60</v>
      </c>
      <c r="M130" s="1074" t="n">
        <v>80</v>
      </c>
      <c r="N130" s="1074" t="inlineStr">
        <is>
          <t>田雨涵01</t>
        </is>
      </c>
      <c r="O130" s="1074" t="inlineStr">
        <is>
          <t>教室5</t>
        </is>
      </c>
      <c r="P130" s="1074" t="inlineStr">
        <is>
          <t>10:20-12:30</t>
        </is>
      </c>
      <c r="Q130" s="1074" t="inlineStr">
        <is>
          <t>潜能班</t>
        </is>
      </c>
      <c r="R130" s="1074" t="inlineStr">
        <is>
          <t>三期</t>
        </is>
      </c>
      <c r="S130" s="1074" t="inlineStr">
        <is>
          <t>在读</t>
        </is>
      </c>
      <c r="T130" s="1074" t="inlineStr">
        <is>
          <t>-</t>
        </is>
      </c>
      <c r="U130" s="1074" t="inlineStr">
        <is>
          <t>5111226</t>
        </is>
      </c>
      <c r="V130" s="1074" t="n"/>
      <c r="W130" s="1074" t="inlineStr">
        <is>
          <t>李润</t>
        </is>
      </c>
      <c r="X130" s="1074" t="inlineStr">
        <is>
          <t>教室5</t>
        </is>
      </c>
      <c r="Y130" s="1074" t="inlineStr">
        <is>
          <t>15:50-18:00</t>
        </is>
      </c>
      <c r="Z130" s="1074" t="inlineStr">
        <is>
          <t>潜能班</t>
        </is>
      </c>
      <c r="AA130" s="1074" t="inlineStr">
        <is>
          <t>三期</t>
        </is>
      </c>
      <c r="AB130" s="1074" t="inlineStr">
        <is>
          <t>在读</t>
        </is>
      </c>
      <c r="AC130" s="1074" t="inlineStr">
        <is>
          <t>-</t>
        </is>
      </c>
      <c r="AD130" s="1074" t="inlineStr">
        <is>
          <t>4513388</t>
        </is>
      </c>
      <c r="AE130" s="1074" t="n"/>
      <c r="AF130" s="1074" t="inlineStr">
        <is>
          <t>肖锐03</t>
        </is>
      </c>
      <c r="AG130" s="1074" t="inlineStr">
        <is>
          <t>教室5</t>
        </is>
      </c>
      <c r="AH130" s="1074" t="inlineStr">
        <is>
          <t>13:20-15:30</t>
        </is>
      </c>
      <c r="AI130" s="1074" t="inlineStr">
        <is>
          <t>潜能班</t>
        </is>
      </c>
      <c r="AJ130" s="1074" t="inlineStr">
        <is>
          <t>三期</t>
        </is>
      </c>
      <c r="AK130" s="1074" t="inlineStr">
        <is>
          <t>在读</t>
        </is>
      </c>
      <c r="AL130" s="1074" t="inlineStr">
        <is>
          <t>-</t>
        </is>
      </c>
      <c r="AM130" s="1074" t="n"/>
      <c r="AN130" s="1074" t="n"/>
      <c r="AO130" s="1074" t="n"/>
      <c r="AP130" s="1074" t="n"/>
      <c r="AQ130" s="1074" t="n"/>
      <c r="AR130" s="1074" t="inlineStr">
        <is>
          <t>A</t>
        </is>
      </c>
      <c r="AS130" s="1074" t="inlineStr">
        <is>
          <t>爸爸妈妈过来了解，支付能力看起来是OK的，也知道咱们是暑假引流，为的长期的学习，学的好有机会能续的</t>
        </is>
      </c>
      <c r="AT130" s="311" t="n"/>
    </row>
    <row r="131" ht="26.25" customFormat="1" customHeight="1" s="366">
      <c r="A131" s="1074" t="inlineStr">
        <is>
          <t>同创汇</t>
        </is>
      </c>
      <c r="B131" s="1074" t="inlineStr">
        <is>
          <t>2707561257</t>
        </is>
      </c>
      <c r="C131" s="1074" t="inlineStr">
        <is>
          <t>陈品希</t>
        </is>
      </c>
      <c r="D131" s="1074" t="inlineStr">
        <is>
          <t>苏丽婷</t>
        </is>
      </c>
      <c r="E131" s="1074" t="inlineStr">
        <is>
          <t>纯拉新</t>
        </is>
      </c>
      <c r="F131" s="1074" t="n"/>
      <c r="G131" s="1074" t="n"/>
      <c r="H131" s="1074" t="inlineStr">
        <is>
          <t>在读</t>
        </is>
      </c>
      <c r="I131" s="1074" t="inlineStr">
        <is>
          <t>一期</t>
        </is>
      </c>
      <c r="J131" s="1074" t="inlineStr">
        <is>
          <t>5230802</t>
        </is>
      </c>
      <c r="K131" s="1074" t="inlineStr">
        <is>
          <t>校内成绩</t>
        </is>
      </c>
      <c r="L131" s="1074" t="n">
        <v>90</v>
      </c>
      <c r="M131" s="1074" t="n">
        <v>100</v>
      </c>
      <c r="N131" s="1074" t="inlineStr">
        <is>
          <t>田雨涵01</t>
        </is>
      </c>
      <c r="O131" s="1074" t="inlineStr">
        <is>
          <t>02彩虹桥</t>
        </is>
      </c>
      <c r="P131" s="1074" t="inlineStr">
        <is>
          <t>15:50-18:00</t>
        </is>
      </c>
      <c r="Q131" s="1074" t="inlineStr">
        <is>
          <t>潜能班</t>
        </is>
      </c>
      <c r="R131" s="1074" t="inlineStr">
        <is>
          <t>一期</t>
        </is>
      </c>
      <c r="S131" s="1074" t="inlineStr">
        <is>
          <t>在读</t>
        </is>
      </c>
      <c r="T131" s="1074" t="inlineStr">
        <is>
          <t>-</t>
        </is>
      </c>
      <c r="U131" s="1074" t="inlineStr">
        <is>
          <t>4632448</t>
        </is>
      </c>
      <c r="V131" s="1074" t="n"/>
      <c r="W131" s="1074" t="inlineStr">
        <is>
          <t>陈南05</t>
        </is>
      </c>
      <c r="X131" s="1074" t="inlineStr">
        <is>
          <t>02彩虹桥</t>
        </is>
      </c>
      <c r="Y131" s="1074" t="inlineStr">
        <is>
          <t>10:20-12:30</t>
        </is>
      </c>
      <c r="Z131" s="1074" t="inlineStr">
        <is>
          <t>潜能班</t>
        </is>
      </c>
      <c r="AA131" s="1074" t="inlineStr">
        <is>
          <t>一期</t>
        </is>
      </c>
      <c r="AB131" s="1074" t="inlineStr">
        <is>
          <t>在读</t>
        </is>
      </c>
      <c r="AC131" s="1074" t="inlineStr">
        <is>
          <t>-</t>
        </is>
      </c>
      <c r="AD131" s="1074" t="inlineStr">
        <is>
          <t>3132893</t>
        </is>
      </c>
      <c r="AE131" s="1074" t="n">
        <v>0</v>
      </c>
      <c r="AF131" s="1074" t="inlineStr">
        <is>
          <t>刘希子</t>
        </is>
      </c>
      <c r="AG131" s="1074" t="inlineStr">
        <is>
          <t>01智慧林</t>
        </is>
      </c>
      <c r="AH131" s="1074" t="inlineStr">
        <is>
          <t>15:50-18:00</t>
        </is>
      </c>
      <c r="AI131" s="1074" t="inlineStr">
        <is>
          <t>潜能班</t>
        </is>
      </c>
      <c r="AJ131" s="1074" t="inlineStr">
        <is>
          <t>二期</t>
        </is>
      </c>
      <c r="AK131" s="1074" t="inlineStr">
        <is>
          <t>课前退</t>
        </is>
      </c>
      <c r="AL131" s="1074" t="inlineStr">
        <is>
          <t>-</t>
        </is>
      </c>
      <c r="AM131" s="1074" t="n"/>
      <c r="AN131" s="1074" t="n"/>
      <c r="AO131" s="1074" t="n"/>
      <c r="AP131" s="1074" t="n"/>
      <c r="AQ131" s="1074" t="n"/>
      <c r="AR131" s="1074" t="inlineStr">
        <is>
          <t>A</t>
        </is>
      </c>
      <c r="AS131" s="1074" t="inlineStr">
        <is>
          <t>家长重视教育，有补课习惯，有培优的考虑</t>
        </is>
      </c>
      <c r="AT131" s="311" t="n"/>
    </row>
    <row r="132" ht="26.25" customFormat="1" customHeight="1" s="366">
      <c r="A132" s="1074" t="inlineStr">
        <is>
          <t>同创汇</t>
        </is>
      </c>
      <c r="B132" s="1074" t="inlineStr">
        <is>
          <t>2234603980</t>
        </is>
      </c>
      <c r="C132" s="1074" t="inlineStr">
        <is>
          <t>于耀杰</t>
        </is>
      </c>
      <c r="D132" s="1074" t="inlineStr">
        <is>
          <t>戎凯01</t>
        </is>
      </c>
      <c r="E132" s="1074" t="inlineStr">
        <is>
          <t>纯拉新</t>
        </is>
      </c>
      <c r="F132" s="1074" t="n"/>
      <c r="G132" s="1074" t="n"/>
      <c r="H132" s="1074" t="inlineStr">
        <is>
          <t>在读</t>
        </is>
      </c>
      <c r="I132" s="1074" t="inlineStr">
        <is>
          <t>零期</t>
        </is>
      </c>
      <c r="J132" s="1074" t="inlineStr">
        <is>
          <t>5230806</t>
        </is>
      </c>
      <c r="K132" s="1074" t="inlineStr">
        <is>
          <t>校内成绩</t>
        </is>
      </c>
      <c r="L132" s="1074" t="n">
        <v>72</v>
      </c>
      <c r="M132" s="1074" t="n">
        <v>90</v>
      </c>
      <c r="N132" s="1074" t="inlineStr">
        <is>
          <t>田雨涵01</t>
        </is>
      </c>
      <c r="O132" s="1074" t="inlineStr">
        <is>
          <t>03识海阁</t>
        </is>
      </c>
      <c r="P132" s="1074" t="inlineStr">
        <is>
          <t>10:20-12:30</t>
        </is>
      </c>
      <c r="Q132" s="1074" t="inlineStr">
        <is>
          <t>潜能班</t>
        </is>
      </c>
      <c r="R132" s="1074" t="inlineStr">
        <is>
          <t>零期</t>
        </is>
      </c>
      <c r="S132" s="1074" t="inlineStr">
        <is>
          <t>在读</t>
        </is>
      </c>
      <c r="T132" s="1074" t="inlineStr">
        <is>
          <t>是</t>
        </is>
      </c>
      <c r="U132" s="1074" t="inlineStr">
        <is>
          <t>5170872</t>
        </is>
      </c>
      <c r="V132" s="1074" t="n"/>
      <c r="W132" s="1074" t="inlineStr">
        <is>
          <t>陈南05</t>
        </is>
      </c>
      <c r="X132" s="1074" t="inlineStr">
        <is>
          <t>03识海阁</t>
        </is>
      </c>
      <c r="Y132" s="1074" t="inlineStr">
        <is>
          <t>13:20-15:30</t>
        </is>
      </c>
      <c r="Z132" s="1074" t="inlineStr">
        <is>
          <t>潜能班</t>
        </is>
      </c>
      <c r="AA132" s="1074" t="inlineStr">
        <is>
          <t>零期</t>
        </is>
      </c>
      <c r="AB132" s="1074" t="inlineStr">
        <is>
          <t>在读</t>
        </is>
      </c>
      <c r="AC132" s="1074" t="inlineStr">
        <is>
          <t>是</t>
        </is>
      </c>
      <c r="AD132" s="1074" t="inlineStr">
        <is>
          <t>3132865</t>
        </is>
      </c>
      <c r="AE132" s="1074" t="n"/>
      <c r="AF132" s="1074" t="inlineStr">
        <is>
          <t>刘希子</t>
        </is>
      </c>
      <c r="AG132" s="1074" t="inlineStr">
        <is>
          <t>03识海阁</t>
        </is>
      </c>
      <c r="AH132" s="1074" t="inlineStr">
        <is>
          <t>15:50-18:00</t>
        </is>
      </c>
      <c r="AI132" s="1074" t="inlineStr">
        <is>
          <t>潜能班</t>
        </is>
      </c>
      <c r="AJ132" s="1074" t="inlineStr">
        <is>
          <t>零期</t>
        </is>
      </c>
      <c r="AK132" s="1074" t="inlineStr">
        <is>
          <t>在读</t>
        </is>
      </c>
      <c r="AL132" s="1074" t="inlineStr">
        <is>
          <t>-</t>
        </is>
      </c>
      <c r="AM132" s="1074" t="inlineStr">
        <is>
          <t>是</t>
        </is>
      </c>
      <c r="AN132" s="1074" t="inlineStr">
        <is>
          <t>是</t>
        </is>
      </c>
      <c r="AO132" s="1074" t="n"/>
      <c r="AP132" s="1074" t="n"/>
      <c r="AQ132" s="1074" t="n"/>
      <c r="AR132" s="1074" t="inlineStr">
        <is>
          <t>A</t>
        </is>
      </c>
      <c r="AS132" s="1074" t="inlineStr">
        <is>
          <t>成绩比较好，家长比较看重效果</t>
        </is>
      </c>
      <c r="AT132" s="311" t="n"/>
    </row>
    <row r="133" ht="26.25" customFormat="1" customHeight="1" s="366">
      <c r="A133" s="1074" t="inlineStr">
        <is>
          <t>天成大厦</t>
        </is>
      </c>
      <c r="B133" s="1074" t="inlineStr">
        <is>
          <t>2616423670</t>
        </is>
      </c>
      <c r="C133" s="1074" t="inlineStr">
        <is>
          <t>李施锐</t>
        </is>
      </c>
      <c r="D133" s="1074" t="inlineStr">
        <is>
          <t>陈亮延</t>
        </is>
      </c>
      <c r="E133" s="1074" t="inlineStr">
        <is>
          <t>纯拉新</t>
        </is>
      </c>
      <c r="F133" s="1074" t="n"/>
      <c r="G133" s="1074" t="n"/>
      <c r="H133" s="1074" t="inlineStr">
        <is>
          <t>在读</t>
        </is>
      </c>
      <c r="I133" s="1074" t="inlineStr">
        <is>
          <t>一期</t>
        </is>
      </c>
      <c r="J133" s="1074" t="inlineStr">
        <is>
          <t>5230775</t>
        </is>
      </c>
      <c r="K133" s="1074" t="inlineStr">
        <is>
          <t>校内成绩</t>
        </is>
      </c>
      <c r="L133" s="1074" t="n">
        <v>72</v>
      </c>
      <c r="M133" s="1074" t="n">
        <v>90</v>
      </c>
      <c r="N133" s="1074" t="inlineStr">
        <is>
          <t>陈中帅</t>
        </is>
      </c>
      <c r="O133" s="1074" t="inlineStr">
        <is>
          <t>03品尚</t>
        </is>
      </c>
      <c r="P133" s="1074" t="inlineStr">
        <is>
          <t>10:20-12:30</t>
        </is>
      </c>
      <c r="Q133" s="1074" t="inlineStr">
        <is>
          <t>潜能班</t>
        </is>
      </c>
      <c r="R133" s="1074" t="inlineStr">
        <is>
          <t>一期</t>
        </is>
      </c>
      <c r="S133" s="1074" t="inlineStr">
        <is>
          <t>在读</t>
        </is>
      </c>
      <c r="T133" s="1074" t="inlineStr">
        <is>
          <t>-</t>
        </is>
      </c>
      <c r="U133" s="1074" t="inlineStr">
        <is>
          <t>3132834</t>
        </is>
      </c>
      <c r="V133" s="1074" t="n"/>
      <c r="W133" s="1074" t="inlineStr">
        <is>
          <t>李润</t>
        </is>
      </c>
      <c r="X133" s="1074" t="inlineStr">
        <is>
          <t>03品尚</t>
        </is>
      </c>
      <c r="Y133" s="1074" t="inlineStr">
        <is>
          <t>07:50-10:00</t>
        </is>
      </c>
      <c r="Z133" s="1074" t="inlineStr">
        <is>
          <t>潜能班</t>
        </is>
      </c>
      <c r="AA133" s="1074" t="inlineStr">
        <is>
          <t>一期</t>
        </is>
      </c>
      <c r="AB133" s="1074" t="inlineStr">
        <is>
          <t>在读</t>
        </is>
      </c>
      <c r="AC133" s="1074" t="inlineStr">
        <is>
          <t>-</t>
        </is>
      </c>
      <c r="AD133" s="1074" t="inlineStr">
        <is>
          <t>5230783</t>
        </is>
      </c>
      <c r="AE133" s="1074" t="n"/>
      <c r="AF133" s="1074" t="inlineStr">
        <is>
          <t>刘希子</t>
        </is>
      </c>
      <c r="AG133" s="1074" t="inlineStr">
        <is>
          <t>03品尚</t>
        </is>
      </c>
      <c r="AH133" s="1074" t="inlineStr">
        <is>
          <t>13:20-15:30</t>
        </is>
      </c>
      <c r="AI133" s="1074" t="inlineStr">
        <is>
          <t>潜能班</t>
        </is>
      </c>
      <c r="AJ133" s="1074" t="inlineStr">
        <is>
          <t>一期</t>
        </is>
      </c>
      <c r="AK133" s="1074" t="inlineStr">
        <is>
          <t>在读</t>
        </is>
      </c>
      <c r="AL133" s="1074" t="inlineStr">
        <is>
          <t>-</t>
        </is>
      </c>
      <c r="AM133" s="1074" t="n"/>
      <c r="AN133" s="1074" t="n"/>
      <c r="AO133" s="1074" t="n"/>
      <c r="AP133" s="1074" t="n"/>
      <c r="AQ133" s="1074" t="n"/>
      <c r="AR133" s="1074" t="inlineStr">
        <is>
          <t>S</t>
        </is>
      </c>
      <c r="AS133" s="1074" t="inlineStr">
        <is>
          <t>系统课老学员回流</t>
        </is>
      </c>
      <c r="AT133" s="311" t="n"/>
    </row>
    <row r="134" ht="26.25" customFormat="1" customHeight="1" s="366">
      <c r="A134" s="1074" t="inlineStr">
        <is>
          <t>同创汇</t>
        </is>
      </c>
      <c r="B134" s="1074" t="inlineStr">
        <is>
          <t>4183729955</t>
        </is>
      </c>
      <c r="C134" s="1074" t="inlineStr">
        <is>
          <t>杨梓俊</t>
        </is>
      </c>
      <c r="D134" s="1074" t="inlineStr">
        <is>
          <t>苏丽婷</t>
        </is>
      </c>
      <c r="E134" s="1074" t="inlineStr">
        <is>
          <t>纯拉新</t>
        </is>
      </c>
      <c r="F134" s="1074" t="n"/>
      <c r="G134" s="1074" t="n"/>
      <c r="H134" s="1074" t="inlineStr">
        <is>
          <t>在读</t>
        </is>
      </c>
      <c r="I134" s="1074" t="inlineStr">
        <is>
          <t>零期</t>
        </is>
      </c>
      <c r="J134" s="1074" t="inlineStr">
        <is>
          <t>3132897</t>
        </is>
      </c>
      <c r="K134" s="1074" t="inlineStr">
        <is>
          <t>校内成绩</t>
        </is>
      </c>
      <c r="L134" s="1074" t="n">
        <v>72</v>
      </c>
      <c r="M134" s="1074" t="n">
        <v>90</v>
      </c>
      <c r="N134" s="1074" t="inlineStr">
        <is>
          <t>陈中帅</t>
        </is>
      </c>
      <c r="O134" s="1074" t="inlineStr">
        <is>
          <t>01智慧林</t>
        </is>
      </c>
      <c r="P134" s="1074" t="inlineStr">
        <is>
          <t>10:20-12:30</t>
        </is>
      </c>
      <c r="Q134" s="1074" t="inlineStr">
        <is>
          <t>潜能班</t>
        </is>
      </c>
      <c r="R134" s="1074" t="inlineStr">
        <is>
          <t>零期</t>
        </is>
      </c>
      <c r="S134" s="1074" t="inlineStr">
        <is>
          <t>在读</t>
        </is>
      </c>
      <c r="T134" s="1074" t="inlineStr">
        <is>
          <t>-</t>
        </is>
      </c>
      <c r="U134" s="1074" t="inlineStr">
        <is>
          <t>5170872</t>
        </is>
      </c>
      <c r="V134" s="1074" t="n"/>
      <c r="W134" s="1074" t="inlineStr">
        <is>
          <t>陈南05</t>
        </is>
      </c>
      <c r="X134" s="1074" t="inlineStr">
        <is>
          <t>03识海阁</t>
        </is>
      </c>
      <c r="Y134" s="1074" t="inlineStr">
        <is>
          <t>13:20-15:30</t>
        </is>
      </c>
      <c r="Z134" s="1074" t="inlineStr">
        <is>
          <t>潜能班</t>
        </is>
      </c>
      <c r="AA134" s="1074" t="inlineStr">
        <is>
          <t>零期</t>
        </is>
      </c>
      <c r="AB134" s="1074" t="inlineStr">
        <is>
          <t>在读</t>
        </is>
      </c>
      <c r="AC134" s="1074" t="inlineStr">
        <is>
          <t>-</t>
        </is>
      </c>
      <c r="AD134" s="1074" t="inlineStr">
        <is>
          <t>3132865</t>
        </is>
      </c>
      <c r="AE134" s="1074" t="n"/>
      <c r="AF134" s="1074" t="inlineStr">
        <is>
          <t>刘希子</t>
        </is>
      </c>
      <c r="AG134" s="1074" t="inlineStr">
        <is>
          <t>03识海阁</t>
        </is>
      </c>
      <c r="AH134" s="1074" t="inlineStr">
        <is>
          <t>15:50-18:00</t>
        </is>
      </c>
      <c r="AI134" s="1074" t="inlineStr">
        <is>
          <t>潜能班</t>
        </is>
      </c>
      <c r="AJ134" s="1074" t="inlineStr">
        <is>
          <t>零期</t>
        </is>
      </c>
      <c r="AK134" s="1074" t="inlineStr">
        <is>
          <t>在读</t>
        </is>
      </c>
      <c r="AL134" s="1074" t="inlineStr">
        <is>
          <t>-</t>
        </is>
      </c>
      <c r="AM134" s="1074" t="inlineStr">
        <is>
          <t>是</t>
        </is>
      </c>
      <c r="AN134" s="1074" t="inlineStr">
        <is>
          <t>否</t>
        </is>
      </c>
      <c r="AO134" s="1074" t="inlineStr">
        <is>
          <t>否</t>
        </is>
      </c>
      <c r="AP134" s="1074" t="n"/>
      <c r="AQ134" s="1074" t="n"/>
      <c r="AR134" s="1074" t="inlineStr">
        <is>
          <t>A</t>
        </is>
      </c>
      <c r="AS134" s="1074" t="inlineStr">
        <is>
          <t>前期报名铺垫了秋季价格和学习的连贯性，住白云嘉禾望岗附近，面谈家长在意课程的教学质量</t>
        </is>
      </c>
      <c r="AT134" s="311" t="n"/>
    </row>
    <row r="135" ht="26.25" customFormat="1" customHeight="1" s="366">
      <c r="A135" s="1074" t="inlineStr">
        <is>
          <t>新宝利</t>
        </is>
      </c>
      <c r="B135" s="1074" t="inlineStr">
        <is>
          <t>4843435285</t>
        </is>
      </c>
      <c r="C135" s="1074" t="inlineStr">
        <is>
          <t>黄嘉琳</t>
        </is>
      </c>
      <c r="D135" s="1074" t="inlineStr">
        <is>
          <t>张敏烨</t>
        </is>
      </c>
      <c r="E135" s="1074" t="inlineStr">
        <is>
          <t>新生转介绍</t>
        </is>
      </c>
      <c r="F135" s="1074" t="n"/>
      <c r="G135" s="1074" t="inlineStr">
        <is>
          <t>陈淽宜</t>
        </is>
      </c>
      <c r="H135" s="1074" t="inlineStr">
        <is>
          <t>在读</t>
        </is>
      </c>
      <c r="I135" s="1074" t="inlineStr">
        <is>
          <t>三期</t>
        </is>
      </c>
      <c r="J135" s="1074" t="inlineStr">
        <is>
          <t>3132902</t>
        </is>
      </c>
      <c r="K135" s="1074" t="inlineStr">
        <is>
          <t>校内成绩</t>
        </is>
      </c>
      <c r="L135" s="1074" t="n">
        <v>72</v>
      </c>
      <c r="M135" s="1074" t="n">
        <v>90</v>
      </c>
      <c r="N135" s="1074" t="inlineStr">
        <is>
          <t>陈中帅</t>
        </is>
      </c>
      <c r="O135" s="1074" t="inlineStr">
        <is>
          <t>教室3</t>
        </is>
      </c>
      <c r="P135" s="1074" t="inlineStr">
        <is>
          <t>13:20-15:30</t>
        </is>
      </c>
      <c r="Q135" s="1074" t="inlineStr">
        <is>
          <t>潜能班</t>
        </is>
      </c>
      <c r="R135" s="1074" t="inlineStr">
        <is>
          <t>三期</t>
        </is>
      </c>
      <c r="S135" s="1074" t="inlineStr">
        <is>
          <t>在读</t>
        </is>
      </c>
      <c r="T135" s="1074" t="inlineStr">
        <is>
          <t>-</t>
        </is>
      </c>
      <c r="U135" s="1074" t="inlineStr">
        <is>
          <t>5230747</t>
        </is>
      </c>
      <c r="V135" s="1074" t="n"/>
      <c r="W135" s="1074" t="inlineStr">
        <is>
          <t>陈南05</t>
        </is>
      </c>
      <c r="X135" s="1074" t="inlineStr">
        <is>
          <t>教室3</t>
        </is>
      </c>
      <c r="Y135" s="1074" t="inlineStr">
        <is>
          <t>10:20-12:30</t>
        </is>
      </c>
      <c r="Z135" s="1074" t="inlineStr">
        <is>
          <t>潜能班</t>
        </is>
      </c>
      <c r="AA135" s="1074" t="inlineStr">
        <is>
          <t>三期</t>
        </is>
      </c>
      <c r="AB135" s="1074" t="inlineStr">
        <is>
          <t>在读</t>
        </is>
      </c>
      <c r="AC135" s="1074" t="inlineStr">
        <is>
          <t>-</t>
        </is>
      </c>
      <c r="AD135" s="1074" t="inlineStr">
        <is>
          <t>5230821</t>
        </is>
      </c>
      <c r="AE135" s="1074" t="n"/>
      <c r="AF135" s="1074" t="inlineStr">
        <is>
          <t>肖锐03</t>
        </is>
      </c>
      <c r="AG135" s="1074" t="inlineStr">
        <is>
          <t>教室3</t>
        </is>
      </c>
      <c r="AH135" s="1074" t="inlineStr">
        <is>
          <t>15:50-18:00</t>
        </is>
      </c>
      <c r="AI135" s="1074" t="inlineStr">
        <is>
          <t>潜能班</t>
        </is>
      </c>
      <c r="AJ135" s="1074" t="inlineStr">
        <is>
          <t>三期</t>
        </is>
      </c>
      <c r="AK135" s="1074" t="inlineStr">
        <is>
          <t>在读</t>
        </is>
      </c>
      <c r="AL135" s="1074" t="inlineStr">
        <is>
          <t>-</t>
        </is>
      </c>
      <c r="AM135" s="1074" t="n"/>
      <c r="AN135" s="1074" t="n"/>
      <c r="AO135" s="1074" t="n"/>
      <c r="AP135" s="1074" t="n"/>
      <c r="AQ135" s="1074" t="n"/>
      <c r="AR135" s="1074" t="inlineStr">
        <is>
          <t>B</t>
        </is>
      </c>
      <c r="AS135" s="1074" t="inlineStr">
        <is>
          <t>未咨询正课价格</t>
        </is>
      </c>
      <c r="AT135" s="311" t="n"/>
    </row>
    <row r="136" ht="26.25" customFormat="1" customHeight="1" s="366">
      <c r="A136" s="1074" t="inlineStr">
        <is>
          <t>新宝利</t>
        </is>
      </c>
      <c r="B136" s="1074" t="inlineStr">
        <is>
          <t>2402376938</t>
        </is>
      </c>
      <c r="C136" s="1074" t="inlineStr">
        <is>
          <t>马伊露斯</t>
        </is>
      </c>
      <c r="D136" s="1074" t="inlineStr">
        <is>
          <t>王达04</t>
        </is>
      </c>
      <c r="E136" s="1074" t="inlineStr">
        <is>
          <t>新生转介绍</t>
        </is>
      </c>
      <c r="F136" s="1074" t="n"/>
      <c r="G136" s="1074" t="inlineStr">
        <is>
          <t>马佳音</t>
        </is>
      </c>
      <c r="H136" s="1074" t="inlineStr">
        <is>
          <t>在读</t>
        </is>
      </c>
      <c r="I136" s="1074" t="inlineStr">
        <is>
          <t>二期</t>
        </is>
      </c>
      <c r="J136" s="1074" t="inlineStr">
        <is>
          <t>5111034</t>
        </is>
      </c>
      <c r="K136" s="1074" t="inlineStr">
        <is>
          <t>校内成绩</t>
        </is>
      </c>
      <c r="L136" s="1074" t="n">
        <v>64</v>
      </c>
      <c r="M136" s="1074" t="n">
        <v>85</v>
      </c>
      <c r="N136" s="1074" t="inlineStr">
        <is>
          <t>田雨涵01</t>
        </is>
      </c>
      <c r="O136" s="1074" t="inlineStr">
        <is>
          <t>教室4</t>
        </is>
      </c>
      <c r="P136" s="1074" t="inlineStr">
        <is>
          <t>13:20-15:30</t>
        </is>
      </c>
      <c r="Q136" s="1074" t="inlineStr">
        <is>
          <t>潜能班</t>
        </is>
      </c>
      <c r="R136" s="1074" t="inlineStr">
        <is>
          <t>二期</t>
        </is>
      </c>
      <c r="S136" s="1074" t="inlineStr">
        <is>
          <t>在读</t>
        </is>
      </c>
      <c r="T136" s="1074" t="inlineStr">
        <is>
          <t>-</t>
        </is>
      </c>
      <c r="U136" s="1074" t="inlineStr">
        <is>
          <t>4513342</t>
        </is>
      </c>
      <c r="V136" s="1074" t="n"/>
      <c r="W136" s="1074" t="inlineStr">
        <is>
          <t>黄铭怡</t>
        </is>
      </c>
      <c r="X136" s="1074" t="inlineStr">
        <is>
          <t>教室4</t>
        </is>
      </c>
      <c r="Y136" s="1074" t="inlineStr">
        <is>
          <t>10:20-12:30</t>
        </is>
      </c>
      <c r="Z136" s="1074" t="inlineStr">
        <is>
          <t>潜能班</t>
        </is>
      </c>
      <c r="AA136" s="1074" t="inlineStr">
        <is>
          <t>二期</t>
        </is>
      </c>
      <c r="AB136" s="1074" t="inlineStr">
        <is>
          <t>在读</t>
        </is>
      </c>
      <c r="AC136" s="1074" t="inlineStr">
        <is>
          <t>-</t>
        </is>
      </c>
      <c r="AD136" s="1074" t="inlineStr">
        <is>
          <t>4513340</t>
        </is>
      </c>
      <c r="AE136" s="1074" t="n"/>
      <c r="AF136" s="1074" t="inlineStr">
        <is>
          <t>高心怡04</t>
        </is>
      </c>
      <c r="AG136" s="1074" t="inlineStr">
        <is>
          <t>教室4</t>
        </is>
      </c>
      <c r="AH136" s="1074" t="inlineStr">
        <is>
          <t>15:50-18:00</t>
        </is>
      </c>
      <c r="AI136" s="1074" t="inlineStr">
        <is>
          <t>潜能班</t>
        </is>
      </c>
      <c r="AJ136" s="1074" t="inlineStr">
        <is>
          <t>二期</t>
        </is>
      </c>
      <c r="AK136" s="1074" t="inlineStr">
        <is>
          <t>在读</t>
        </is>
      </c>
      <c r="AL136" s="1074" t="inlineStr">
        <is>
          <t>-</t>
        </is>
      </c>
      <c r="AM136" s="1074" t="n"/>
      <c r="AN136" s="1074" t="n"/>
      <c r="AO136" s="1074" t="n"/>
      <c r="AP136" s="1074" t="n"/>
      <c r="AQ136" s="1074" t="n"/>
      <c r="AR136" s="1074" t="n"/>
      <c r="AS136" s="1074" t="n"/>
      <c r="AT136" s="311" t="n"/>
    </row>
    <row r="137" ht="26.25" customFormat="1" customHeight="1" s="366">
      <c r="A137" s="1074" t="inlineStr">
        <is>
          <t>新宝利</t>
        </is>
      </c>
      <c r="B137" s="1074" t="inlineStr">
        <is>
          <t>4194493248</t>
        </is>
      </c>
      <c r="C137" s="1074" t="inlineStr">
        <is>
          <t>陈淽宜</t>
        </is>
      </c>
      <c r="D137" s="1074" t="inlineStr">
        <is>
          <t>张敏烨</t>
        </is>
      </c>
      <c r="E137" s="1074" t="inlineStr">
        <is>
          <t>新生转介绍</t>
        </is>
      </c>
      <c r="F137" s="1074" t="n"/>
      <c r="G137" s="1074" t="inlineStr">
        <is>
          <t>黄钰淇</t>
        </is>
      </c>
      <c r="H137" s="1074" t="inlineStr">
        <is>
          <t>在读</t>
        </is>
      </c>
      <c r="I137" s="1074" t="inlineStr">
        <is>
          <t>三期</t>
        </is>
      </c>
      <c r="J137" s="1074" t="inlineStr">
        <is>
          <t>3132902</t>
        </is>
      </c>
      <c r="K137" s="1074" t="inlineStr">
        <is>
          <t>校内成绩</t>
        </is>
      </c>
      <c r="L137" s="1074" t="n">
        <v>62</v>
      </c>
      <c r="M137" s="1074" t="n">
        <v>83</v>
      </c>
      <c r="N137" s="1074" t="inlineStr">
        <is>
          <t>陈中帅</t>
        </is>
      </c>
      <c r="O137" s="1074" t="inlineStr">
        <is>
          <t>教室3</t>
        </is>
      </c>
      <c r="P137" s="1074" t="inlineStr">
        <is>
          <t>13:20-15:30</t>
        </is>
      </c>
      <c r="Q137" s="1074" t="inlineStr">
        <is>
          <t>潜能班</t>
        </is>
      </c>
      <c r="R137" s="1074" t="inlineStr">
        <is>
          <t>三期</t>
        </is>
      </c>
      <c r="S137" s="1074" t="inlineStr">
        <is>
          <t>在读</t>
        </is>
      </c>
      <c r="T137" s="1074" t="inlineStr">
        <is>
          <t>-</t>
        </is>
      </c>
      <c r="U137" s="1074" t="inlineStr">
        <is>
          <t>5230747</t>
        </is>
      </c>
      <c r="V137" s="1074" t="n"/>
      <c r="W137" s="1074" t="inlineStr">
        <is>
          <t>陈南05</t>
        </is>
      </c>
      <c r="X137" s="1074" t="inlineStr">
        <is>
          <t>教室3</t>
        </is>
      </c>
      <c r="Y137" s="1074" t="inlineStr">
        <is>
          <t>10:20-12:30</t>
        </is>
      </c>
      <c r="Z137" s="1074" t="inlineStr">
        <is>
          <t>潜能班</t>
        </is>
      </c>
      <c r="AA137" s="1074" t="inlineStr">
        <is>
          <t>三期</t>
        </is>
      </c>
      <c r="AB137" s="1074" t="inlineStr">
        <is>
          <t>在读</t>
        </is>
      </c>
      <c r="AC137" s="1074" t="inlineStr">
        <is>
          <t>-</t>
        </is>
      </c>
      <c r="AD137" s="1074" t="inlineStr">
        <is>
          <t>5230821</t>
        </is>
      </c>
      <c r="AE137" s="1074" t="n"/>
      <c r="AF137" s="1074" t="inlineStr">
        <is>
          <t>肖锐03</t>
        </is>
      </c>
      <c r="AG137" s="1074" t="inlineStr">
        <is>
          <t>教室3</t>
        </is>
      </c>
      <c r="AH137" s="1074" t="inlineStr">
        <is>
          <t>15:50-18:00</t>
        </is>
      </c>
      <c r="AI137" s="1074" t="inlineStr">
        <is>
          <t>潜能班</t>
        </is>
      </c>
      <c r="AJ137" s="1074" t="inlineStr">
        <is>
          <t>三期</t>
        </is>
      </c>
      <c r="AK137" s="1074" t="inlineStr">
        <is>
          <t>在读</t>
        </is>
      </c>
      <c r="AL137" s="1074" t="inlineStr">
        <is>
          <t>-</t>
        </is>
      </c>
      <c r="AM137" s="1074" t="n"/>
      <c r="AN137" s="1074" t="n"/>
      <c r="AO137" s="1074" t="n"/>
      <c r="AP137" s="1074" t="n"/>
      <c r="AQ137" s="1074" t="n"/>
      <c r="AR137" s="1074" t="inlineStr">
        <is>
          <t>B</t>
        </is>
      </c>
      <c r="AS137" s="1074" t="inlineStr">
        <is>
          <t>暑假先体验</t>
        </is>
      </c>
      <c r="AT137" s="311" t="n"/>
    </row>
    <row r="138" ht="26.25" customFormat="1" customHeight="1" s="366">
      <c r="A138" s="1074" t="inlineStr">
        <is>
          <t>新宝利</t>
        </is>
      </c>
      <c r="B138" s="1074" t="inlineStr">
        <is>
          <t>2643437345</t>
        </is>
      </c>
      <c r="C138" s="1074" t="inlineStr">
        <is>
          <t>陆泳霖</t>
        </is>
      </c>
      <c r="D138" s="1074" t="inlineStr">
        <is>
          <t>张敏烨</t>
        </is>
      </c>
      <c r="E138" s="1074" t="inlineStr">
        <is>
          <t>新生转介绍</t>
        </is>
      </c>
      <c r="F138" s="1074" t="n"/>
      <c r="G138" s="1074" t="inlineStr">
        <is>
          <t>欧阳紫晴</t>
        </is>
      </c>
      <c r="H138" s="1074" t="inlineStr">
        <is>
          <t>在读</t>
        </is>
      </c>
      <c r="I138" s="1074" t="inlineStr">
        <is>
          <t>二期</t>
        </is>
      </c>
      <c r="J138" s="1074" t="inlineStr">
        <is>
          <t>-</t>
        </is>
      </c>
      <c r="K138" s="1074" t="inlineStr"/>
      <c r="L138" s="1074" t="inlineStr"/>
      <c r="M138" s="1074" t="inlineStr"/>
      <c r="N138" s="1074" t="inlineStr">
        <is>
          <t>-</t>
        </is>
      </c>
      <c r="O138" s="1074" t="inlineStr">
        <is>
          <t>-</t>
        </is>
      </c>
      <c r="P138" s="1074" t="inlineStr">
        <is>
          <t>-</t>
        </is>
      </c>
      <c r="Q138" s="1074" t="inlineStr">
        <is>
          <t>-</t>
        </is>
      </c>
      <c r="R138" s="1074" t="inlineStr">
        <is>
          <t>-</t>
        </is>
      </c>
      <c r="S138" s="1074" t="inlineStr">
        <is>
          <t>-</t>
        </is>
      </c>
      <c r="T138" s="1074" t="inlineStr">
        <is>
          <t>-</t>
        </is>
      </c>
      <c r="U138" s="1074" t="inlineStr">
        <is>
          <t>4513342</t>
        </is>
      </c>
      <c r="V138" s="1074" t="n"/>
      <c r="W138" s="1074" t="inlineStr">
        <is>
          <t>黄铭怡</t>
        </is>
      </c>
      <c r="X138" s="1074" t="inlineStr">
        <is>
          <t>教室4</t>
        </is>
      </c>
      <c r="Y138" s="1074" t="inlineStr">
        <is>
          <t>10:20-12:30</t>
        </is>
      </c>
      <c r="Z138" s="1074" t="inlineStr">
        <is>
          <t>潜能班</t>
        </is>
      </c>
      <c r="AA138" s="1074" t="inlineStr">
        <is>
          <t>二期</t>
        </is>
      </c>
      <c r="AB138" s="1074" t="inlineStr">
        <is>
          <t>在读</t>
        </is>
      </c>
      <c r="AC138" s="1074" t="inlineStr">
        <is>
          <t>-</t>
        </is>
      </c>
      <c r="AD138" s="1074" t="inlineStr">
        <is>
          <t>-</t>
        </is>
      </c>
      <c r="AE138" s="1074" t="inlineStr"/>
      <c r="AF138" s="1074" t="inlineStr">
        <is>
          <t>-</t>
        </is>
      </c>
      <c r="AG138" s="1074" t="inlineStr">
        <is>
          <t>-</t>
        </is>
      </c>
      <c r="AH138" s="1074" t="inlineStr">
        <is>
          <t>-</t>
        </is>
      </c>
      <c r="AI138" s="1074" t="inlineStr">
        <is>
          <t>-</t>
        </is>
      </c>
      <c r="AJ138" s="1074" t="inlineStr">
        <is>
          <t>-</t>
        </is>
      </c>
      <c r="AK138" s="1074" t="inlineStr">
        <is>
          <t>-</t>
        </is>
      </c>
      <c r="AL138" s="1074" t="inlineStr">
        <is>
          <t>-</t>
        </is>
      </c>
      <c r="AM138" s="1074" t="n"/>
      <c r="AN138" s="1074" t="n"/>
      <c r="AO138" s="1074" t="n"/>
      <c r="AP138" s="1074" t="n"/>
      <c r="AQ138" s="1074" t="n"/>
      <c r="AR138" s="1074" t="inlineStr">
        <is>
          <t>B</t>
        </is>
      </c>
      <c r="AS138" s="1074" t="inlineStr">
        <is>
          <t>暑假先试试</t>
        </is>
      </c>
      <c r="AT138" s="311" t="n"/>
    </row>
    <row r="139" ht="26.25" customFormat="1" customHeight="1" s="366">
      <c r="A139" s="1074" t="inlineStr">
        <is>
          <t>同创汇</t>
        </is>
      </c>
      <c r="B139" s="1074" t="inlineStr">
        <is>
          <t>4845922736</t>
        </is>
      </c>
      <c r="C139" s="1074" t="inlineStr">
        <is>
          <t>黄梓涵</t>
        </is>
      </c>
      <c r="D139" s="1074" t="inlineStr">
        <is>
          <t>戎凯01</t>
        </is>
      </c>
      <c r="E139" s="1074" t="inlineStr">
        <is>
          <t>纯拉新</t>
        </is>
      </c>
      <c r="F139" s="1074" t="n"/>
      <c r="G139" s="1074" t="n"/>
      <c r="H139" s="1074" t="inlineStr">
        <is>
          <t>在读</t>
        </is>
      </c>
      <c r="I139" s="1074" t="inlineStr">
        <is>
          <t>一期</t>
        </is>
      </c>
      <c r="J139" s="1074" t="inlineStr">
        <is>
          <t>-</t>
        </is>
      </c>
      <c r="K139" s="1074" t="inlineStr"/>
      <c r="L139" s="1074" t="inlineStr"/>
      <c r="M139" s="1074" t="inlineStr"/>
      <c r="N139" s="1074" t="inlineStr">
        <is>
          <t>-</t>
        </is>
      </c>
      <c r="O139" s="1074" t="inlineStr">
        <is>
          <t>-</t>
        </is>
      </c>
      <c r="P139" s="1074" t="inlineStr">
        <is>
          <t>-</t>
        </is>
      </c>
      <c r="Q139" s="1074" t="inlineStr">
        <is>
          <t>-</t>
        </is>
      </c>
      <c r="R139" s="1074" t="inlineStr">
        <is>
          <t>-</t>
        </is>
      </c>
      <c r="S139" s="1074" t="inlineStr">
        <is>
          <t>-</t>
        </is>
      </c>
      <c r="T139" s="1074" t="inlineStr">
        <is>
          <t>-</t>
        </is>
      </c>
      <c r="U139" s="1074" t="inlineStr">
        <is>
          <t>4632448</t>
        </is>
      </c>
      <c r="V139" s="1074" t="n"/>
      <c r="W139" s="1074" t="inlineStr">
        <is>
          <t>陈南05</t>
        </is>
      </c>
      <c r="X139" s="1074" t="inlineStr">
        <is>
          <t>02彩虹桥</t>
        </is>
      </c>
      <c r="Y139" s="1074" t="inlineStr">
        <is>
          <t>10:20-12:30</t>
        </is>
      </c>
      <c r="Z139" s="1074" t="inlineStr">
        <is>
          <t>潜能班</t>
        </is>
      </c>
      <c r="AA139" s="1074" t="inlineStr">
        <is>
          <t>一期</t>
        </is>
      </c>
      <c r="AB139" s="1074" t="inlineStr">
        <is>
          <t>在读</t>
        </is>
      </c>
      <c r="AC139" s="1074" t="inlineStr">
        <is>
          <t>-</t>
        </is>
      </c>
      <c r="AD139" s="1074" t="inlineStr">
        <is>
          <t>3132837</t>
        </is>
      </c>
      <c r="AE139" s="1074" t="n"/>
      <c r="AF139" s="1074" t="inlineStr">
        <is>
          <t>高心怡04</t>
        </is>
      </c>
      <c r="AG139" s="1074" t="inlineStr">
        <is>
          <t>02彩虹桥</t>
        </is>
      </c>
      <c r="AH139" s="1074" t="inlineStr">
        <is>
          <t>13:20-15:30</t>
        </is>
      </c>
      <c r="AI139" s="1074" t="inlineStr">
        <is>
          <t>潜能班</t>
        </is>
      </c>
      <c r="AJ139" s="1074" t="inlineStr">
        <is>
          <t>一期</t>
        </is>
      </c>
      <c r="AK139" s="1074" t="inlineStr">
        <is>
          <t>在读</t>
        </is>
      </c>
      <c r="AL139" s="1074" t="inlineStr">
        <is>
          <t>-</t>
        </is>
      </c>
      <c r="AM139" s="1074" t="n"/>
      <c r="AN139" s="1074" t="n"/>
      <c r="AO139" s="1074" t="n"/>
      <c r="AP139" s="1074" t="n"/>
      <c r="AQ139" s="1074" t="n"/>
      <c r="AR139" s="1074" t="inlineStr">
        <is>
          <t>S</t>
        </is>
      </c>
      <c r="AS139" s="1074" t="inlineStr">
        <is>
          <t>孩子喜欢就会报名</t>
        </is>
      </c>
      <c r="AT139" s="311" t="n"/>
    </row>
    <row r="140" ht="26.25" customFormat="1" customHeight="1" s="366">
      <c r="A140" s="1074" t="inlineStr">
        <is>
          <t>新宝利</t>
        </is>
      </c>
      <c r="B140" s="1074" t="inlineStr">
        <is>
          <t>2520558334</t>
        </is>
      </c>
      <c r="C140" s="1074" t="inlineStr">
        <is>
          <t>王诗瑜</t>
        </is>
      </c>
      <c r="D140" s="1074" t="inlineStr">
        <is>
          <t>林志豪01</t>
        </is>
      </c>
      <c r="E140" s="1074" t="inlineStr">
        <is>
          <t>纯拉新</t>
        </is>
      </c>
      <c r="F140" s="1074" t="n"/>
      <c r="G140" s="1074" t="n"/>
      <c r="H140" s="1074" t="inlineStr">
        <is>
          <t>在读</t>
        </is>
      </c>
      <c r="I140" s="1074" t="inlineStr">
        <is>
          <t>二期</t>
        </is>
      </c>
      <c r="J140" s="1074" t="inlineStr">
        <is>
          <t>5111034</t>
        </is>
      </c>
      <c r="K140" s="1074" t="inlineStr">
        <is>
          <t>报前测成绩</t>
        </is>
      </c>
      <c r="L140" s="1074" t="n">
        <v>50</v>
      </c>
      <c r="M140" s="1074" t="inlineStr">
        <is>
          <t>-</t>
        </is>
      </c>
      <c r="N140" s="1074" t="inlineStr">
        <is>
          <t>田雨涵01</t>
        </is>
      </c>
      <c r="O140" s="1074" t="inlineStr">
        <is>
          <t>教室4</t>
        </is>
      </c>
      <c r="P140" s="1074" t="inlineStr">
        <is>
          <t>13:20-15:30</t>
        </is>
      </c>
      <c r="Q140" s="1074" t="inlineStr">
        <is>
          <t>潜能班</t>
        </is>
      </c>
      <c r="R140" s="1074" t="inlineStr">
        <is>
          <t>二期</t>
        </is>
      </c>
      <c r="S140" s="1074" t="inlineStr">
        <is>
          <t>在读</t>
        </is>
      </c>
      <c r="T140" s="1074" t="inlineStr">
        <is>
          <t>-</t>
        </is>
      </c>
      <c r="U140" s="1074" t="inlineStr">
        <is>
          <t>4513342</t>
        </is>
      </c>
      <c r="V140" s="1074" t="n">
        <v>32</v>
      </c>
      <c r="W140" s="1074" t="inlineStr">
        <is>
          <t>黄铭怡</t>
        </is>
      </c>
      <c r="X140" s="1074" t="inlineStr">
        <is>
          <t>教室4</t>
        </is>
      </c>
      <c r="Y140" s="1074" t="inlineStr">
        <is>
          <t>10:20-12:30</t>
        </is>
      </c>
      <c r="Z140" s="1074" t="inlineStr">
        <is>
          <t>潜能班</t>
        </is>
      </c>
      <c r="AA140" s="1074" t="inlineStr">
        <is>
          <t>二期</t>
        </is>
      </c>
      <c r="AB140" s="1074" t="inlineStr">
        <is>
          <t>在读</t>
        </is>
      </c>
      <c r="AC140" s="1074" t="inlineStr">
        <is>
          <t>-</t>
        </is>
      </c>
      <c r="AD140" s="1074" t="inlineStr">
        <is>
          <t>4513340</t>
        </is>
      </c>
      <c r="AE140" s="1074" t="n">
        <v>36</v>
      </c>
      <c r="AF140" s="1074" t="inlineStr">
        <is>
          <t>高心怡04</t>
        </is>
      </c>
      <c r="AG140" s="1074" t="inlineStr">
        <is>
          <t>教室4</t>
        </is>
      </c>
      <c r="AH140" s="1074" t="inlineStr">
        <is>
          <t>15:50-18:00</t>
        </is>
      </c>
      <c r="AI140" s="1074" t="inlineStr">
        <is>
          <t>潜能班</t>
        </is>
      </c>
      <c r="AJ140" s="1074" t="inlineStr">
        <is>
          <t>二期</t>
        </is>
      </c>
      <c r="AK140" s="1074" t="inlineStr">
        <is>
          <t>在读</t>
        </is>
      </c>
      <c r="AL140" s="1074" t="inlineStr">
        <is>
          <t>-</t>
        </is>
      </c>
      <c r="AM140" s="1074" t="n"/>
      <c r="AN140" s="1074" t="n"/>
      <c r="AO140" s="1074" t="n"/>
      <c r="AP140" s="1074" t="n"/>
      <c r="AQ140" s="1074" t="n"/>
      <c r="AR140" s="1074" t="inlineStr">
        <is>
          <t>S</t>
        </is>
      </c>
      <c r="AS140" s="1074" t="inlineStr">
        <is>
          <t>问了正价课的情况价格都有，孩子程度不算好，有意向长期学</t>
        </is>
      </c>
      <c r="AT140" s="311" t="n"/>
    </row>
    <row r="141" ht="26.25" customFormat="1" customHeight="1" s="366">
      <c r="A141" s="1074" t="inlineStr">
        <is>
          <t>同创汇</t>
        </is>
      </c>
      <c r="B141" s="1074" t="inlineStr">
        <is>
          <t>4844205877</t>
        </is>
      </c>
      <c r="C141" s="1074" t="inlineStr">
        <is>
          <t>黄若桐</t>
        </is>
      </c>
      <c r="D141" s="1074" t="inlineStr">
        <is>
          <t>戎凯01</t>
        </is>
      </c>
      <c r="E141" s="1074" t="inlineStr">
        <is>
          <t>纯拉新</t>
        </is>
      </c>
      <c r="F141" s="1074" t="n"/>
      <c r="G141" s="1074" t="n"/>
      <c r="H141" s="1074" t="inlineStr">
        <is>
          <t>在读</t>
        </is>
      </c>
      <c r="I141" s="1074" t="inlineStr">
        <is>
          <t>零期</t>
        </is>
      </c>
      <c r="J141" s="1074" t="inlineStr">
        <is>
          <t>5230806</t>
        </is>
      </c>
      <c r="K141" s="1074" t="inlineStr">
        <is>
          <t>校内成绩</t>
        </is>
      </c>
      <c r="L141" s="1074" t="n">
        <v>72</v>
      </c>
      <c r="M141" s="1074" t="n">
        <v>90</v>
      </c>
      <c r="N141" s="1074" t="inlineStr">
        <is>
          <t>田雨涵01</t>
        </is>
      </c>
      <c r="O141" s="1074" t="inlineStr">
        <is>
          <t>03识海阁</t>
        </is>
      </c>
      <c r="P141" s="1074" t="inlineStr">
        <is>
          <t>10:20-12:30</t>
        </is>
      </c>
      <c r="Q141" s="1074" t="inlineStr">
        <is>
          <t>潜能班</t>
        </is>
      </c>
      <c r="R141" s="1074" t="inlineStr">
        <is>
          <t>零期</t>
        </is>
      </c>
      <c r="S141" s="1074" t="inlineStr">
        <is>
          <t>在读</t>
        </is>
      </c>
      <c r="T141" s="1074" t="inlineStr">
        <is>
          <t>-</t>
        </is>
      </c>
      <c r="U141" s="1074" t="inlineStr">
        <is>
          <t>5170872</t>
        </is>
      </c>
      <c r="V141" s="1074" t="n"/>
      <c r="W141" s="1074" t="inlineStr">
        <is>
          <t>陈南05</t>
        </is>
      </c>
      <c r="X141" s="1074" t="inlineStr">
        <is>
          <t>03识海阁</t>
        </is>
      </c>
      <c r="Y141" s="1074" t="inlineStr">
        <is>
          <t>13:20-15:30</t>
        </is>
      </c>
      <c r="Z141" s="1074" t="inlineStr">
        <is>
          <t>潜能班</t>
        </is>
      </c>
      <c r="AA141" s="1074" t="inlineStr">
        <is>
          <t>零期</t>
        </is>
      </c>
      <c r="AB141" s="1074" t="inlineStr">
        <is>
          <t>在读</t>
        </is>
      </c>
      <c r="AC141" s="1074" t="inlineStr">
        <is>
          <t>-</t>
        </is>
      </c>
      <c r="AD141" s="1074" t="inlineStr">
        <is>
          <t>3132865</t>
        </is>
      </c>
      <c r="AE141" s="1074" t="n"/>
      <c r="AF141" s="1074" t="inlineStr">
        <is>
          <t>刘希子</t>
        </is>
      </c>
      <c r="AG141" s="1074" t="inlineStr">
        <is>
          <t>03识海阁</t>
        </is>
      </c>
      <c r="AH141" s="1074" t="inlineStr">
        <is>
          <t>15:50-18:00</t>
        </is>
      </c>
      <c r="AI141" s="1074" t="inlineStr">
        <is>
          <t>潜能班</t>
        </is>
      </c>
      <c r="AJ141" s="1074" t="inlineStr">
        <is>
          <t>零期</t>
        </is>
      </c>
      <c r="AK141" s="1074" t="inlineStr">
        <is>
          <t>在读</t>
        </is>
      </c>
      <c r="AL141" s="1074" t="inlineStr">
        <is>
          <t>-</t>
        </is>
      </c>
      <c r="AM141" s="1074" t="n"/>
      <c r="AN141" s="1074" t="inlineStr">
        <is>
          <t>是</t>
        </is>
      </c>
      <c r="AO141" s="1074" t="inlineStr">
        <is>
          <t>是</t>
        </is>
      </c>
      <c r="AP141" s="1074" t="n"/>
      <c r="AQ141" s="1074" t="n"/>
      <c r="AR141" s="1074" t="inlineStr">
        <is>
          <t>A</t>
        </is>
      </c>
      <c r="AS141" s="1074" t="inlineStr">
        <is>
          <t>和亦君双胞胎，妈妈还是要看效果</t>
        </is>
      </c>
      <c r="AT141" s="311" t="n"/>
    </row>
    <row r="142" ht="26.25" customFormat="1" customHeight="1" s="366">
      <c r="A142" s="1074" t="inlineStr">
        <is>
          <t>同创汇</t>
        </is>
      </c>
      <c r="B142" s="1074" t="inlineStr">
        <is>
          <t>2567690678</t>
        </is>
      </c>
      <c r="C142" s="1074" t="inlineStr">
        <is>
          <t>黄亦君</t>
        </is>
      </c>
      <c r="D142" s="1074" t="inlineStr">
        <is>
          <t>戎凯01</t>
        </is>
      </c>
      <c r="E142" s="1074" t="inlineStr">
        <is>
          <t>纯拉新</t>
        </is>
      </c>
      <c r="F142" s="1074" t="n"/>
      <c r="G142" s="1074" t="n"/>
      <c r="H142" s="1074" t="inlineStr">
        <is>
          <t>在读</t>
        </is>
      </c>
      <c r="I142" s="1074" t="inlineStr">
        <is>
          <t>零期</t>
        </is>
      </c>
      <c r="J142" s="1074" t="inlineStr">
        <is>
          <t>5230806</t>
        </is>
      </c>
      <c r="K142" s="1074" t="inlineStr">
        <is>
          <t>校内成绩</t>
        </is>
      </c>
      <c r="L142" s="1074" t="n">
        <v>85</v>
      </c>
      <c r="M142" s="1074" t="n">
        <v>95</v>
      </c>
      <c r="N142" s="1074" t="inlineStr">
        <is>
          <t>田雨涵01</t>
        </is>
      </c>
      <c r="O142" s="1074" t="inlineStr">
        <is>
          <t>03识海阁</t>
        </is>
      </c>
      <c r="P142" s="1074" t="inlineStr">
        <is>
          <t>10:20-12:30</t>
        </is>
      </c>
      <c r="Q142" s="1074" t="inlineStr">
        <is>
          <t>潜能班</t>
        </is>
      </c>
      <c r="R142" s="1074" t="inlineStr">
        <is>
          <t>零期</t>
        </is>
      </c>
      <c r="S142" s="1074" t="inlineStr">
        <is>
          <t>在读</t>
        </is>
      </c>
      <c r="T142" s="1074" t="inlineStr">
        <is>
          <t>-</t>
        </is>
      </c>
      <c r="U142" s="1074" t="inlineStr">
        <is>
          <t>5170872</t>
        </is>
      </c>
      <c r="V142" s="1074" t="n"/>
      <c r="W142" s="1074" t="inlineStr">
        <is>
          <t>陈南05</t>
        </is>
      </c>
      <c r="X142" s="1074" t="inlineStr">
        <is>
          <t>03识海阁</t>
        </is>
      </c>
      <c r="Y142" s="1074" t="inlineStr">
        <is>
          <t>13:20-15:30</t>
        </is>
      </c>
      <c r="Z142" s="1074" t="inlineStr">
        <is>
          <t>潜能班</t>
        </is>
      </c>
      <c r="AA142" s="1074" t="inlineStr">
        <is>
          <t>零期</t>
        </is>
      </c>
      <c r="AB142" s="1074" t="inlineStr">
        <is>
          <t>在读</t>
        </is>
      </c>
      <c r="AC142" s="1074" t="inlineStr">
        <is>
          <t>-</t>
        </is>
      </c>
      <c r="AD142" s="1074" t="inlineStr">
        <is>
          <t>3132865</t>
        </is>
      </c>
      <c r="AE142" s="1074" t="n"/>
      <c r="AF142" s="1074" t="inlineStr">
        <is>
          <t>刘希子</t>
        </is>
      </c>
      <c r="AG142" s="1074" t="inlineStr">
        <is>
          <t>03识海阁</t>
        </is>
      </c>
      <c r="AH142" s="1074" t="inlineStr">
        <is>
          <t>15:50-18:00</t>
        </is>
      </c>
      <c r="AI142" s="1074" t="inlineStr">
        <is>
          <t>潜能班</t>
        </is>
      </c>
      <c r="AJ142" s="1074" t="inlineStr">
        <is>
          <t>零期</t>
        </is>
      </c>
      <c r="AK142" s="1074" t="inlineStr">
        <is>
          <t>在读</t>
        </is>
      </c>
      <c r="AL142" s="1074" t="inlineStr">
        <is>
          <t>-</t>
        </is>
      </c>
      <c r="AM142" s="1074" t="n"/>
      <c r="AN142" s="1074" t="inlineStr">
        <is>
          <t>是</t>
        </is>
      </c>
      <c r="AO142" s="1074" t="inlineStr">
        <is>
          <t>是</t>
        </is>
      </c>
      <c r="AP142" s="1074" t="n"/>
      <c r="AQ142" s="1074" t="n"/>
      <c r="AR142" s="1074" t="inlineStr">
        <is>
          <t>A</t>
        </is>
      </c>
      <c r="AS142" s="1074" t="inlineStr">
        <is>
          <t>和若桐双胞胎，妈妈还是要看效果</t>
        </is>
      </c>
      <c r="AT142" s="311" t="n"/>
    </row>
    <row r="143" ht="26.25" customFormat="1" customHeight="1" s="366">
      <c r="A143" s="1074" t="inlineStr">
        <is>
          <t>新宝利</t>
        </is>
      </c>
      <c r="B143" s="1074" t="inlineStr">
        <is>
          <t>4843140524</t>
        </is>
      </c>
      <c r="C143" s="1074" t="inlineStr">
        <is>
          <t>林靖桐</t>
        </is>
      </c>
      <c r="D143" s="1074" t="inlineStr">
        <is>
          <t>张敏烨</t>
        </is>
      </c>
      <c r="E143" s="1074" t="inlineStr">
        <is>
          <t>纯拉新</t>
        </is>
      </c>
      <c r="F143" s="1074" t="n"/>
      <c r="G143" s="1074" t="n"/>
      <c r="H143" s="1074" t="inlineStr">
        <is>
          <t>在读</t>
        </is>
      </c>
      <c r="I143" s="1074" t="inlineStr">
        <is>
          <t>一期</t>
        </is>
      </c>
      <c r="J143" s="1074" t="inlineStr">
        <is>
          <t>5230742</t>
        </is>
      </c>
      <c r="K143" s="1074" t="inlineStr">
        <is>
          <t>校内成绩</t>
        </is>
      </c>
      <c r="L143" s="1074" t="n">
        <v>64</v>
      </c>
      <c r="M143" s="1074" t="n">
        <v>85</v>
      </c>
      <c r="N143" s="1074" t="inlineStr">
        <is>
          <t>何咏04</t>
        </is>
      </c>
      <c r="O143" s="1074" t="inlineStr">
        <is>
          <t>教室2</t>
        </is>
      </c>
      <c r="P143" s="1074" t="inlineStr">
        <is>
          <t>13:20-15:30</t>
        </is>
      </c>
      <c r="Q143" s="1074" t="inlineStr">
        <is>
          <t>潜能班</t>
        </is>
      </c>
      <c r="R143" s="1074" t="inlineStr">
        <is>
          <t>一期</t>
        </is>
      </c>
      <c r="S143" s="1074" t="inlineStr">
        <is>
          <t>在读</t>
        </is>
      </c>
      <c r="T143" s="1074" t="inlineStr">
        <is>
          <t>-</t>
        </is>
      </c>
      <c r="U143" s="1074" t="inlineStr">
        <is>
          <t>5230773</t>
        </is>
      </c>
      <c r="V143" s="1074" t="n"/>
      <c r="W143" s="1074" t="inlineStr">
        <is>
          <t>陈南05</t>
        </is>
      </c>
      <c r="X143" s="1074" t="inlineStr">
        <is>
          <t>教室2</t>
        </is>
      </c>
      <c r="Y143" s="1074" t="inlineStr">
        <is>
          <t>15:50-18:00</t>
        </is>
      </c>
      <c r="Z143" s="1074" t="inlineStr">
        <is>
          <t>潜能班</t>
        </is>
      </c>
      <c r="AA143" s="1074" t="inlineStr">
        <is>
          <t>一期</t>
        </is>
      </c>
      <c r="AB143" s="1074" t="inlineStr">
        <is>
          <t>在读</t>
        </is>
      </c>
      <c r="AC143" s="1074" t="inlineStr">
        <is>
          <t>-</t>
        </is>
      </c>
      <c r="AD143" s="1074" t="inlineStr">
        <is>
          <t>3132888</t>
        </is>
      </c>
      <c r="AE143" s="1074" t="n"/>
      <c r="AF143" s="1074" t="inlineStr">
        <is>
          <t>肖锐03</t>
        </is>
      </c>
      <c r="AG143" s="1074" t="inlineStr">
        <is>
          <t>教室2</t>
        </is>
      </c>
      <c r="AH143" s="1074" t="inlineStr">
        <is>
          <t>10:20-12:30</t>
        </is>
      </c>
      <c r="AI143" s="1074" t="inlineStr">
        <is>
          <t>潜能班</t>
        </is>
      </c>
      <c r="AJ143" s="1074" t="inlineStr">
        <is>
          <t>一期</t>
        </is>
      </c>
      <c r="AK143" s="1074" t="inlineStr">
        <is>
          <t>在读</t>
        </is>
      </c>
      <c r="AL143" s="1074" t="inlineStr">
        <is>
          <t>-</t>
        </is>
      </c>
      <c r="AM143" s="1074" t="n"/>
      <c r="AN143" s="1074" t="n"/>
      <c r="AO143" s="1074" t="n"/>
      <c r="AP143" s="1074" t="n"/>
      <c r="AQ143" s="1074" t="n"/>
      <c r="AR143" s="1074" t="inlineStr">
        <is>
          <t>B</t>
        </is>
      </c>
      <c r="AS143" s="1074" t="inlineStr">
        <is>
          <t>未咨询过秋季课程，没有校外补习经历</t>
        </is>
      </c>
      <c r="AT143" s="311" t="n"/>
    </row>
    <row r="144" ht="26.25" customFormat="1" customHeight="1" s="366">
      <c r="A144" s="1074" t="inlineStr">
        <is>
          <t>同创汇</t>
        </is>
      </c>
      <c r="B144" s="1074" t="inlineStr">
        <is>
          <t>2225312488</t>
        </is>
      </c>
      <c r="C144" s="1074" t="inlineStr">
        <is>
          <t>赖展辉</t>
        </is>
      </c>
      <c r="D144" s="1074" t="inlineStr">
        <is>
          <t>王丽</t>
        </is>
      </c>
      <c r="E144" s="1074" t="inlineStr">
        <is>
          <t>纯拉新</t>
        </is>
      </c>
      <c r="F144" s="1074" t="n"/>
      <c r="G144" s="1074" t="n"/>
      <c r="H144" s="1074" t="inlineStr">
        <is>
          <t>在读</t>
        </is>
      </c>
      <c r="I144" s="1074" t="inlineStr">
        <is>
          <t>零期</t>
        </is>
      </c>
      <c r="J144" s="1074" t="inlineStr">
        <is>
          <t>5230806</t>
        </is>
      </c>
      <c r="K144" s="1074" t="inlineStr">
        <is>
          <t>校内成绩</t>
        </is>
      </c>
      <c r="L144" s="1074" t="n">
        <v>72</v>
      </c>
      <c r="M144" s="1074" t="n">
        <v>90</v>
      </c>
      <c r="N144" s="1074" t="inlineStr">
        <is>
          <t>田雨涵01</t>
        </is>
      </c>
      <c r="O144" s="1074" t="inlineStr">
        <is>
          <t>03识海阁</t>
        </is>
      </c>
      <c r="P144" s="1074" t="inlineStr">
        <is>
          <t>10:20-12:30</t>
        </is>
      </c>
      <c r="Q144" s="1074" t="inlineStr">
        <is>
          <t>潜能班</t>
        </is>
      </c>
      <c r="R144" s="1074" t="inlineStr">
        <is>
          <t>零期</t>
        </is>
      </c>
      <c r="S144" s="1074" t="inlineStr">
        <is>
          <t>在读</t>
        </is>
      </c>
      <c r="T144" s="1074" t="inlineStr">
        <is>
          <t>-</t>
        </is>
      </c>
      <c r="U144" s="1074" t="inlineStr">
        <is>
          <t>5170872</t>
        </is>
      </c>
      <c r="V144" s="1074" t="n"/>
      <c r="W144" s="1074" t="inlineStr">
        <is>
          <t>陈南05</t>
        </is>
      </c>
      <c r="X144" s="1074" t="inlineStr">
        <is>
          <t>03识海阁</t>
        </is>
      </c>
      <c r="Y144" s="1074" t="inlineStr">
        <is>
          <t>13:20-15:30</t>
        </is>
      </c>
      <c r="Z144" s="1074" t="inlineStr">
        <is>
          <t>潜能班</t>
        </is>
      </c>
      <c r="AA144" s="1074" t="inlineStr">
        <is>
          <t>零期</t>
        </is>
      </c>
      <c r="AB144" s="1074" t="inlineStr">
        <is>
          <t>在读</t>
        </is>
      </c>
      <c r="AC144" s="1074" t="inlineStr">
        <is>
          <t>-</t>
        </is>
      </c>
      <c r="AD144" s="1074" t="inlineStr">
        <is>
          <t>3132865</t>
        </is>
      </c>
      <c r="AE144" s="1074" t="n"/>
      <c r="AF144" s="1074" t="inlineStr">
        <is>
          <t>刘希子</t>
        </is>
      </c>
      <c r="AG144" s="1074" t="inlineStr">
        <is>
          <t>03识海阁</t>
        </is>
      </c>
      <c r="AH144" s="1074" t="inlineStr">
        <is>
          <t>15:50-18:00</t>
        </is>
      </c>
      <c r="AI144" s="1074" t="inlineStr">
        <is>
          <t>潜能班</t>
        </is>
      </c>
      <c r="AJ144" s="1074" t="inlineStr">
        <is>
          <t>零期</t>
        </is>
      </c>
      <c r="AK144" s="1074" t="inlineStr">
        <is>
          <t>在读</t>
        </is>
      </c>
      <c r="AL144" s="1074" t="inlineStr">
        <is>
          <t>-</t>
        </is>
      </c>
      <c r="AM144" s="1074" t="inlineStr">
        <is>
          <t>是</t>
        </is>
      </c>
      <c r="AN144" s="1074" t="inlineStr">
        <is>
          <t>是</t>
        </is>
      </c>
      <c r="AO144" s="1074" t="inlineStr">
        <is>
          <t>是</t>
        </is>
      </c>
      <c r="AP144" s="1074" t="n"/>
      <c r="AQ144" s="1074" t="n"/>
      <c r="AR144" s="1074" t="inlineStr">
        <is>
          <t>B</t>
        </is>
      </c>
      <c r="AS144" s="1074" t="inlineStr">
        <is>
          <t>先体验下暑假课，没聊秋季课的事情</t>
        </is>
      </c>
      <c r="AT144" s="311" t="n"/>
    </row>
    <row r="145" ht="26.25" customFormat="1" customHeight="1" s="366">
      <c r="A145" s="1074" t="inlineStr">
        <is>
          <t>同创汇</t>
        </is>
      </c>
      <c r="B145" s="1074" t="inlineStr">
        <is>
          <t>4267765050</t>
        </is>
      </c>
      <c r="C145" s="1074" t="inlineStr">
        <is>
          <t>叶晓静</t>
        </is>
      </c>
      <c r="D145" s="1074" t="inlineStr">
        <is>
          <t>王达04</t>
        </is>
      </c>
      <c r="E145" s="1074" t="inlineStr">
        <is>
          <t>纯拉新</t>
        </is>
      </c>
      <c r="F145" s="1074" t="n"/>
      <c r="G145" s="1074" t="n"/>
      <c r="H145" s="1074" t="inlineStr">
        <is>
          <t>在读</t>
        </is>
      </c>
      <c r="I145" s="1074" t="inlineStr">
        <is>
          <t>零期</t>
        </is>
      </c>
      <c r="J145" s="1074" t="inlineStr">
        <is>
          <t>3132897</t>
        </is>
      </c>
      <c r="K145" s="1074" t="inlineStr">
        <is>
          <t>报前测成绩</t>
        </is>
      </c>
      <c r="L145" s="1074" t="n">
        <v>95</v>
      </c>
      <c r="M145" s="1074" t="inlineStr">
        <is>
          <t>-</t>
        </is>
      </c>
      <c r="N145" s="1074" t="inlineStr">
        <is>
          <t>陈中帅</t>
        </is>
      </c>
      <c r="O145" s="1074" t="inlineStr">
        <is>
          <t>01智慧林</t>
        </is>
      </c>
      <c r="P145" s="1074" t="inlineStr">
        <is>
          <t>10:20-12:30</t>
        </is>
      </c>
      <c r="Q145" s="1074" t="inlineStr">
        <is>
          <t>潜能班</t>
        </is>
      </c>
      <c r="R145" s="1074" t="inlineStr">
        <is>
          <t>零期</t>
        </is>
      </c>
      <c r="S145" s="1074" t="inlineStr">
        <is>
          <t>在读</t>
        </is>
      </c>
      <c r="T145" s="1074" t="inlineStr">
        <is>
          <t>-</t>
        </is>
      </c>
      <c r="U145" s="1074" t="inlineStr">
        <is>
          <t>5230722</t>
        </is>
      </c>
      <c r="V145" s="1074" t="n"/>
      <c r="W145" s="1074" t="inlineStr">
        <is>
          <t>李润</t>
        </is>
      </c>
      <c r="X145" s="1074" t="inlineStr">
        <is>
          <t>01智慧林</t>
        </is>
      </c>
      <c r="Y145" s="1074" t="inlineStr">
        <is>
          <t>15:50-18:00</t>
        </is>
      </c>
      <c r="Z145" s="1074" t="inlineStr">
        <is>
          <t>潜能班</t>
        </is>
      </c>
      <c r="AA145" s="1074" t="inlineStr">
        <is>
          <t>零期</t>
        </is>
      </c>
      <c r="AB145" s="1074" t="inlineStr">
        <is>
          <t>在读</t>
        </is>
      </c>
      <c r="AC145" s="1074" t="inlineStr">
        <is>
          <t>-</t>
        </is>
      </c>
      <c r="AD145" s="1074" t="inlineStr">
        <is>
          <t>5230737</t>
        </is>
      </c>
      <c r="AE145" s="1074" t="n"/>
      <c r="AF145" s="1074" t="inlineStr">
        <is>
          <t>高心怡04</t>
        </is>
      </c>
      <c r="AG145" s="1074" t="inlineStr">
        <is>
          <t>01智慧林</t>
        </is>
      </c>
      <c r="AH145" s="1074" t="inlineStr">
        <is>
          <t>13:20-15:30</t>
        </is>
      </c>
      <c r="AI145" s="1074" t="inlineStr">
        <is>
          <t>潜能班</t>
        </is>
      </c>
      <c r="AJ145" s="1074" t="inlineStr">
        <is>
          <t>零期</t>
        </is>
      </c>
      <c r="AK145" s="1074" t="inlineStr">
        <is>
          <t>在读</t>
        </is>
      </c>
      <c r="AL145" s="1074" t="inlineStr">
        <is>
          <t>-</t>
        </is>
      </c>
      <c r="AM145" s="1074" t="inlineStr">
        <is>
          <t>是</t>
        </is>
      </c>
      <c r="AN145" s="1074" t="inlineStr">
        <is>
          <t>是</t>
        </is>
      </c>
      <c r="AO145" s="1074" t="inlineStr">
        <is>
          <t>是</t>
        </is>
      </c>
      <c r="AP145" s="1074" t="n"/>
      <c r="AQ145" s="1074" t="n"/>
      <c r="AR145" s="1074" t="inlineStr">
        <is>
          <t>S</t>
        </is>
      </c>
      <c r="AS145" s="1074" t="inlineStr">
        <is>
          <t>之前有问过正价课程  有想了解</t>
        </is>
      </c>
      <c r="AT145" s="311" t="n"/>
    </row>
    <row r="146" ht="26.25" customFormat="1" customHeight="1" s="366">
      <c r="A146" s="1074" t="inlineStr">
        <is>
          <t>新宝利</t>
        </is>
      </c>
      <c r="B146" s="1074" t="inlineStr">
        <is>
          <t>2290701807</t>
        </is>
      </c>
      <c r="C146" s="1074" t="inlineStr">
        <is>
          <t>麦紫蕊</t>
        </is>
      </c>
      <c r="D146" s="1074" t="inlineStr">
        <is>
          <t>张敏烨</t>
        </is>
      </c>
      <c r="E146" s="1074" t="inlineStr">
        <is>
          <t>新生转介绍</t>
        </is>
      </c>
      <c r="F146" s="1074" t="n"/>
      <c r="G146" s="1074" t="inlineStr">
        <is>
          <t>家谊</t>
        </is>
      </c>
      <c r="H146" s="1074" t="inlineStr">
        <is>
          <t>在读</t>
        </is>
      </c>
      <c r="I146" s="1074" t="inlineStr">
        <is>
          <t>二期</t>
        </is>
      </c>
      <c r="J146" s="1074" t="inlineStr">
        <is>
          <t>4513341</t>
        </is>
      </c>
      <c r="K146" s="1074" t="inlineStr">
        <is>
          <t>校内成绩</t>
        </is>
      </c>
      <c r="L146" s="1074" t="n">
        <v>89</v>
      </c>
      <c r="M146" s="1074" t="n">
        <v>99</v>
      </c>
      <c r="N146" s="1074" t="inlineStr">
        <is>
          <t>陈中帅</t>
        </is>
      </c>
      <c r="O146" s="1074" t="inlineStr">
        <is>
          <t>教室3</t>
        </is>
      </c>
      <c r="P146" s="1074" t="inlineStr">
        <is>
          <t>15:50-18:00</t>
        </is>
      </c>
      <c r="Q146" s="1074" t="inlineStr">
        <is>
          <t>启能班</t>
        </is>
      </c>
      <c r="R146" s="1074" t="inlineStr">
        <is>
          <t>二期</t>
        </is>
      </c>
      <c r="S146" s="1074" t="inlineStr">
        <is>
          <t>在读</t>
        </is>
      </c>
      <c r="T146" s="1074" t="inlineStr">
        <is>
          <t>-</t>
        </is>
      </c>
      <c r="U146" s="1074" t="inlineStr">
        <is>
          <t>3132846</t>
        </is>
      </c>
      <c r="V146" s="1074" t="n"/>
      <c r="W146" s="1074" t="inlineStr">
        <is>
          <t>黄铭怡</t>
        </is>
      </c>
      <c r="X146" s="1074" t="inlineStr">
        <is>
          <t>教室3</t>
        </is>
      </c>
      <c r="Y146" s="1074" t="inlineStr">
        <is>
          <t>13:20-15:30</t>
        </is>
      </c>
      <c r="Z146" s="1074" t="inlineStr">
        <is>
          <t>潜能班</t>
        </is>
      </c>
      <c r="AA146" s="1074" t="inlineStr">
        <is>
          <t>二期</t>
        </is>
      </c>
      <c r="AB146" s="1074" t="inlineStr">
        <is>
          <t>在读</t>
        </is>
      </c>
      <c r="AC146" s="1074" t="inlineStr">
        <is>
          <t>-</t>
        </is>
      </c>
      <c r="AD146" s="1074" t="inlineStr">
        <is>
          <t>5230738</t>
        </is>
      </c>
      <c r="AE146" s="1074" t="n"/>
      <c r="AF146" s="1074" t="inlineStr">
        <is>
          <t>高心怡04</t>
        </is>
      </c>
      <c r="AG146" s="1074" t="inlineStr">
        <is>
          <t>教室3</t>
        </is>
      </c>
      <c r="AH146" s="1074" t="inlineStr">
        <is>
          <t>10:20-12:30</t>
        </is>
      </c>
      <c r="AI146" s="1074" t="inlineStr">
        <is>
          <t>潜能班</t>
        </is>
      </c>
      <c r="AJ146" s="1074" t="inlineStr">
        <is>
          <t>二期</t>
        </is>
      </c>
      <c r="AK146" s="1074" t="inlineStr">
        <is>
          <t>在读</t>
        </is>
      </c>
      <c r="AL146" s="1074" t="inlineStr">
        <is>
          <t>-</t>
        </is>
      </c>
      <c r="AM146" s="1074" t="n"/>
      <c r="AN146" s="1074" t="n"/>
      <c r="AO146" s="1074" t="n"/>
      <c r="AP146" s="1074" t="n"/>
      <c r="AQ146" s="1074" t="n"/>
      <c r="AR146" s="1074" t="inlineStr">
        <is>
          <t>B</t>
        </is>
      </c>
      <c r="AS146" s="1074" t="inlineStr">
        <is>
          <t>暑假先体验，家谊转介绍</t>
        </is>
      </c>
      <c r="AT146" s="311" t="n"/>
    </row>
    <row r="147" ht="26.25" customFormat="1" customHeight="1" s="366">
      <c r="A147" s="1074" t="inlineStr">
        <is>
          <t>新宝利</t>
        </is>
      </c>
      <c r="B147" s="1074" t="inlineStr">
        <is>
          <t>4622238073</t>
        </is>
      </c>
      <c r="C147" s="1074" t="inlineStr">
        <is>
          <t>钱芮汐</t>
        </is>
      </c>
      <c r="D147" s="1074" t="inlineStr">
        <is>
          <t>张敏烨</t>
        </is>
      </c>
      <c r="E147" s="1074" t="inlineStr">
        <is>
          <t>新生转介绍</t>
        </is>
      </c>
      <c r="F147" s="1074" t="n"/>
      <c r="G147" s="1074" t="inlineStr">
        <is>
          <t>家谊</t>
        </is>
      </c>
      <c r="H147" s="1074" t="inlineStr">
        <is>
          <t>在读</t>
        </is>
      </c>
      <c r="I147" s="1074" t="inlineStr">
        <is>
          <t>三期</t>
        </is>
      </c>
      <c r="J147" s="1074" t="inlineStr">
        <is>
          <t>5111035</t>
        </is>
      </c>
      <c r="K147" s="1074" t="inlineStr">
        <is>
          <t>校内成绩</t>
        </is>
      </c>
      <c r="L147" s="1074" t="n">
        <v>85</v>
      </c>
      <c r="M147" s="1074" t="n">
        <v>95</v>
      </c>
      <c r="N147" s="1074" t="inlineStr">
        <is>
          <t>何咏04</t>
        </is>
      </c>
      <c r="O147" s="1074" t="inlineStr">
        <is>
          <t>教室2</t>
        </is>
      </c>
      <c r="P147" s="1074" t="inlineStr">
        <is>
          <t>15:50-18:00</t>
        </is>
      </c>
      <c r="Q147" s="1074" t="inlineStr">
        <is>
          <t>启能班</t>
        </is>
      </c>
      <c r="R147" s="1074" t="inlineStr">
        <is>
          <t>三期</t>
        </is>
      </c>
      <c r="S147" s="1074" t="inlineStr">
        <is>
          <t>在读</t>
        </is>
      </c>
      <c r="T147" s="1074" t="inlineStr">
        <is>
          <t>-</t>
        </is>
      </c>
      <c r="U147" s="1074" t="inlineStr">
        <is>
          <t>5170873</t>
        </is>
      </c>
      <c r="V147" s="1074" t="n"/>
      <c r="W147" s="1074" t="inlineStr">
        <is>
          <t>李润</t>
        </is>
      </c>
      <c r="X147" s="1074" t="inlineStr">
        <is>
          <t>教室2</t>
        </is>
      </c>
      <c r="Y147" s="1074" t="inlineStr">
        <is>
          <t>13:20-15:30</t>
        </is>
      </c>
      <c r="Z147" s="1074" t="inlineStr">
        <is>
          <t>潜能班</t>
        </is>
      </c>
      <c r="AA147" s="1074" t="inlineStr">
        <is>
          <t>三期</t>
        </is>
      </c>
      <c r="AB147" s="1074" t="inlineStr">
        <is>
          <t>在读</t>
        </is>
      </c>
      <c r="AC147" s="1074" t="inlineStr">
        <is>
          <t>-</t>
        </is>
      </c>
      <c r="AD147" s="1074" t="inlineStr">
        <is>
          <t>5170871</t>
        </is>
      </c>
      <c r="AE147" s="1074" t="n"/>
      <c r="AF147" s="1074" t="inlineStr">
        <is>
          <t>肖锐03</t>
        </is>
      </c>
      <c r="AG147" s="1074" t="inlineStr">
        <is>
          <t>教室2</t>
        </is>
      </c>
      <c r="AH147" s="1074" t="inlineStr">
        <is>
          <t>10:20-12:30</t>
        </is>
      </c>
      <c r="AI147" s="1074" t="inlineStr">
        <is>
          <t>潜能班</t>
        </is>
      </c>
      <c r="AJ147" s="1074" t="inlineStr">
        <is>
          <t>三期</t>
        </is>
      </c>
      <c r="AK147" s="1074" t="inlineStr">
        <is>
          <t>在读</t>
        </is>
      </c>
      <c r="AL147" s="1074" t="inlineStr">
        <is>
          <t>-</t>
        </is>
      </c>
      <c r="AM147" s="1074" t="n"/>
      <c r="AN147" s="1074" t="n"/>
      <c r="AO147" s="1074" t="n"/>
      <c r="AP147" s="1074" t="n"/>
      <c r="AQ147" s="1074" t="n"/>
      <c r="AR147" s="1074" t="inlineStr">
        <is>
          <t>B</t>
        </is>
      </c>
      <c r="AS147" s="1074" t="inlineStr">
        <is>
          <t>未咨询正课价格，七人一起的</t>
        </is>
      </c>
      <c r="AT147" s="311" t="n"/>
    </row>
    <row r="148" ht="26.25" customFormat="1" customHeight="1" s="366">
      <c r="A148" s="1074" t="inlineStr">
        <is>
          <t>新宝利</t>
        </is>
      </c>
      <c r="B148" s="1074" t="inlineStr">
        <is>
          <t>4183193133</t>
        </is>
      </c>
      <c r="C148" s="1074" t="inlineStr">
        <is>
          <t>黄钰淇</t>
        </is>
      </c>
      <c r="D148" s="1074" t="inlineStr">
        <is>
          <t>张敏烨</t>
        </is>
      </c>
      <c r="E148" s="1074" t="inlineStr">
        <is>
          <t>新生转介绍</t>
        </is>
      </c>
      <c r="F148" s="1074" t="n"/>
      <c r="G148" s="1074" t="inlineStr">
        <is>
          <t>家谊</t>
        </is>
      </c>
      <c r="H148" s="1074" t="inlineStr">
        <is>
          <t>在读</t>
        </is>
      </c>
      <c r="I148" s="1074" t="inlineStr">
        <is>
          <t>三期</t>
        </is>
      </c>
      <c r="J148" s="1074" t="inlineStr">
        <is>
          <t>5111035</t>
        </is>
      </c>
      <c r="K148" s="1074" t="inlineStr">
        <is>
          <t>校内成绩</t>
        </is>
      </c>
      <c r="L148" s="1074" t="n">
        <v>85</v>
      </c>
      <c r="M148" s="1074" t="n">
        <v>95</v>
      </c>
      <c r="N148" s="1074" t="inlineStr">
        <is>
          <t>何咏04</t>
        </is>
      </c>
      <c r="O148" s="1074" t="inlineStr">
        <is>
          <t>教室2</t>
        </is>
      </c>
      <c r="P148" s="1074" t="inlineStr">
        <is>
          <t>15:50-18:00</t>
        </is>
      </c>
      <c r="Q148" s="1074" t="inlineStr">
        <is>
          <t>启能班</t>
        </is>
      </c>
      <c r="R148" s="1074" t="inlineStr">
        <is>
          <t>三期</t>
        </is>
      </c>
      <c r="S148" s="1074" t="inlineStr">
        <is>
          <t>在读</t>
        </is>
      </c>
      <c r="T148" s="1074" t="inlineStr">
        <is>
          <t>-</t>
        </is>
      </c>
      <c r="U148" s="1074" t="inlineStr">
        <is>
          <t>5170873</t>
        </is>
      </c>
      <c r="V148" s="1074" t="n"/>
      <c r="W148" s="1074" t="inlineStr">
        <is>
          <t>李润</t>
        </is>
      </c>
      <c r="X148" s="1074" t="inlineStr">
        <is>
          <t>教室2</t>
        </is>
      </c>
      <c r="Y148" s="1074" t="inlineStr">
        <is>
          <t>13:20-15:30</t>
        </is>
      </c>
      <c r="Z148" s="1074" t="inlineStr">
        <is>
          <t>潜能班</t>
        </is>
      </c>
      <c r="AA148" s="1074" t="inlineStr">
        <is>
          <t>三期</t>
        </is>
      </c>
      <c r="AB148" s="1074" t="inlineStr">
        <is>
          <t>在读</t>
        </is>
      </c>
      <c r="AC148" s="1074" t="inlineStr">
        <is>
          <t>-</t>
        </is>
      </c>
      <c r="AD148" s="1074" t="inlineStr">
        <is>
          <t>5170871</t>
        </is>
      </c>
      <c r="AE148" s="1074" t="n"/>
      <c r="AF148" s="1074" t="inlineStr">
        <is>
          <t>肖锐03</t>
        </is>
      </c>
      <c r="AG148" s="1074" t="inlineStr">
        <is>
          <t>教室2</t>
        </is>
      </c>
      <c r="AH148" s="1074" t="inlineStr">
        <is>
          <t>10:20-12:30</t>
        </is>
      </c>
      <c r="AI148" s="1074" t="inlineStr">
        <is>
          <t>潜能班</t>
        </is>
      </c>
      <c r="AJ148" s="1074" t="inlineStr">
        <is>
          <t>三期</t>
        </is>
      </c>
      <c r="AK148" s="1074" t="inlineStr">
        <is>
          <t>在读</t>
        </is>
      </c>
      <c r="AL148" s="1074" t="inlineStr">
        <is>
          <t>-</t>
        </is>
      </c>
      <c r="AM148" s="1074" t="n"/>
      <c r="AN148" s="1074" t="n"/>
      <c r="AO148" s="1074" t="n"/>
      <c r="AP148" s="1074" t="n"/>
      <c r="AQ148" s="1074" t="n"/>
      <c r="AR148" s="1074" t="inlineStr">
        <is>
          <t>B</t>
        </is>
      </c>
      <c r="AS148" s="1074" t="inlineStr">
        <is>
          <t>未咨询正课价格，七人一起的</t>
        </is>
      </c>
      <c r="AT148" s="311" t="n"/>
    </row>
    <row r="149" ht="26.25" customFormat="1" customHeight="1" s="366">
      <c r="A149" s="1074" t="inlineStr">
        <is>
          <t>新宝利</t>
        </is>
      </c>
      <c r="B149" s="1074" t="inlineStr">
        <is>
          <t>4845969224</t>
        </is>
      </c>
      <c r="C149" s="1074" t="inlineStr">
        <is>
          <t>周梓琳</t>
        </is>
      </c>
      <c r="D149" s="1074" t="inlineStr">
        <is>
          <t>张敏烨</t>
        </is>
      </c>
      <c r="E149" s="1074" t="inlineStr">
        <is>
          <t>新生转介绍</t>
        </is>
      </c>
      <c r="F149" s="1074" t="n"/>
      <c r="G149" s="1074" t="inlineStr">
        <is>
          <t>家谊</t>
        </is>
      </c>
      <c r="H149" s="1074" t="inlineStr">
        <is>
          <t>在读</t>
        </is>
      </c>
      <c r="I149" s="1074" t="inlineStr">
        <is>
          <t>三期</t>
        </is>
      </c>
      <c r="J149" s="1074" t="inlineStr">
        <is>
          <t>5111035</t>
        </is>
      </c>
      <c r="K149" s="1074" t="inlineStr">
        <is>
          <t>校内成绩</t>
        </is>
      </c>
      <c r="L149" s="1074" t="n">
        <v>85</v>
      </c>
      <c r="M149" s="1074" t="n">
        <v>95</v>
      </c>
      <c r="N149" s="1074" t="inlineStr">
        <is>
          <t>何咏04</t>
        </is>
      </c>
      <c r="O149" s="1074" t="inlineStr">
        <is>
          <t>教室2</t>
        </is>
      </c>
      <c r="P149" s="1074" t="inlineStr">
        <is>
          <t>15:50-18:00</t>
        </is>
      </c>
      <c r="Q149" s="1074" t="inlineStr">
        <is>
          <t>启能班</t>
        </is>
      </c>
      <c r="R149" s="1074" t="inlineStr">
        <is>
          <t>三期</t>
        </is>
      </c>
      <c r="S149" s="1074" t="inlineStr">
        <is>
          <t>在读</t>
        </is>
      </c>
      <c r="T149" s="1074" t="inlineStr">
        <is>
          <t>-</t>
        </is>
      </c>
      <c r="U149" s="1074" t="inlineStr">
        <is>
          <t>5170873</t>
        </is>
      </c>
      <c r="V149" s="1074" t="n"/>
      <c r="W149" s="1074" t="inlineStr">
        <is>
          <t>李润</t>
        </is>
      </c>
      <c r="X149" s="1074" t="inlineStr">
        <is>
          <t>教室2</t>
        </is>
      </c>
      <c r="Y149" s="1074" t="inlineStr">
        <is>
          <t>13:20-15:30</t>
        </is>
      </c>
      <c r="Z149" s="1074" t="inlineStr">
        <is>
          <t>潜能班</t>
        </is>
      </c>
      <c r="AA149" s="1074" t="inlineStr">
        <is>
          <t>三期</t>
        </is>
      </c>
      <c r="AB149" s="1074" t="inlineStr">
        <is>
          <t>在读</t>
        </is>
      </c>
      <c r="AC149" s="1074" t="inlineStr">
        <is>
          <t>-</t>
        </is>
      </c>
      <c r="AD149" s="1074" t="inlineStr">
        <is>
          <t>5170871</t>
        </is>
      </c>
      <c r="AE149" s="1074" t="n"/>
      <c r="AF149" s="1074" t="inlineStr">
        <is>
          <t>肖锐03</t>
        </is>
      </c>
      <c r="AG149" s="1074" t="inlineStr">
        <is>
          <t>教室2</t>
        </is>
      </c>
      <c r="AH149" s="1074" t="inlineStr">
        <is>
          <t>10:20-12:30</t>
        </is>
      </c>
      <c r="AI149" s="1074" t="inlineStr">
        <is>
          <t>潜能班</t>
        </is>
      </c>
      <c r="AJ149" s="1074" t="inlineStr">
        <is>
          <t>三期</t>
        </is>
      </c>
      <c r="AK149" s="1074" t="inlineStr">
        <is>
          <t>在读</t>
        </is>
      </c>
      <c r="AL149" s="1074" t="inlineStr">
        <is>
          <t>-</t>
        </is>
      </c>
      <c r="AM149" s="1074" t="n"/>
      <c r="AN149" s="1074" t="n"/>
      <c r="AO149" s="1074" t="n"/>
      <c r="AP149" s="1074" t="n"/>
      <c r="AQ149" s="1074" t="n"/>
      <c r="AR149" s="1074" t="inlineStr">
        <is>
          <t>B</t>
        </is>
      </c>
      <c r="AS149" s="1074" t="inlineStr">
        <is>
          <t>V未咨询正课价格，七人一起的</t>
        </is>
      </c>
      <c r="AT149" s="311" t="n"/>
    </row>
    <row r="150" ht="26.25" customFormat="1" customHeight="1" s="366">
      <c r="A150" s="1074" t="inlineStr">
        <is>
          <t>新宝利</t>
        </is>
      </c>
      <c r="B150" s="1074" t="inlineStr">
        <is>
          <t>2572296041</t>
        </is>
      </c>
      <c r="C150" s="1074" t="inlineStr">
        <is>
          <t>马悦雯</t>
        </is>
      </c>
      <c r="D150" s="1074" t="inlineStr">
        <is>
          <t>张敏烨</t>
        </is>
      </c>
      <c r="E150" s="1074" t="inlineStr">
        <is>
          <t>新生转介绍</t>
        </is>
      </c>
      <c r="F150" s="1074" t="n"/>
      <c r="G150" s="1074" t="inlineStr">
        <is>
          <t>家谊</t>
        </is>
      </c>
      <c r="H150" s="1074" t="inlineStr">
        <is>
          <t>在读</t>
        </is>
      </c>
      <c r="I150" s="1074" t="inlineStr">
        <is>
          <t>三期</t>
        </is>
      </c>
      <c r="J150" s="1074" t="inlineStr">
        <is>
          <t>5111035</t>
        </is>
      </c>
      <c r="K150" s="1074" t="inlineStr">
        <is>
          <t>校内成绩</t>
        </is>
      </c>
      <c r="L150" s="1074" t="n">
        <v>72</v>
      </c>
      <c r="M150" s="1074" t="n">
        <v>90</v>
      </c>
      <c r="N150" s="1074" t="inlineStr">
        <is>
          <t>何咏04</t>
        </is>
      </c>
      <c r="O150" s="1074" t="inlineStr">
        <is>
          <t>教室2</t>
        </is>
      </c>
      <c r="P150" s="1074" t="inlineStr">
        <is>
          <t>15:50-18:00</t>
        </is>
      </c>
      <c r="Q150" s="1074" t="inlineStr">
        <is>
          <t>启能班</t>
        </is>
      </c>
      <c r="R150" s="1074" t="inlineStr">
        <is>
          <t>三期</t>
        </is>
      </c>
      <c r="S150" s="1074" t="inlineStr">
        <is>
          <t>在读</t>
        </is>
      </c>
      <c r="T150" s="1074" t="inlineStr">
        <is>
          <t>-</t>
        </is>
      </c>
      <c r="U150" s="1074" t="inlineStr">
        <is>
          <t>5170873</t>
        </is>
      </c>
      <c r="V150" s="1074" t="n"/>
      <c r="W150" s="1074" t="inlineStr">
        <is>
          <t>李润</t>
        </is>
      </c>
      <c r="X150" s="1074" t="inlineStr">
        <is>
          <t>教室2</t>
        </is>
      </c>
      <c r="Y150" s="1074" t="inlineStr">
        <is>
          <t>13:20-15:30</t>
        </is>
      </c>
      <c r="Z150" s="1074" t="inlineStr">
        <is>
          <t>潜能班</t>
        </is>
      </c>
      <c r="AA150" s="1074" t="inlineStr">
        <is>
          <t>三期</t>
        </is>
      </c>
      <c r="AB150" s="1074" t="inlineStr">
        <is>
          <t>在读</t>
        </is>
      </c>
      <c r="AC150" s="1074" t="inlineStr">
        <is>
          <t>-</t>
        </is>
      </c>
      <c r="AD150" s="1074" t="inlineStr">
        <is>
          <t>5170871</t>
        </is>
      </c>
      <c r="AE150" s="1074" t="n"/>
      <c r="AF150" s="1074" t="inlineStr">
        <is>
          <t>肖锐03</t>
        </is>
      </c>
      <c r="AG150" s="1074" t="inlineStr">
        <is>
          <t>教室2</t>
        </is>
      </c>
      <c r="AH150" s="1074" t="inlineStr">
        <is>
          <t>10:20-12:30</t>
        </is>
      </c>
      <c r="AI150" s="1074" t="inlineStr">
        <is>
          <t>潜能班</t>
        </is>
      </c>
      <c r="AJ150" s="1074" t="inlineStr">
        <is>
          <t>三期</t>
        </is>
      </c>
      <c r="AK150" s="1074" t="inlineStr">
        <is>
          <t>在读</t>
        </is>
      </c>
      <c r="AL150" s="1074" t="inlineStr">
        <is>
          <t>-</t>
        </is>
      </c>
      <c r="AM150" s="1074" t="n"/>
      <c r="AN150" s="1074" t="n"/>
      <c r="AO150" s="1074" t="n"/>
      <c r="AP150" s="1074" t="n"/>
      <c r="AQ150" s="1074" t="n"/>
      <c r="AR150" s="1074" t="inlineStr">
        <is>
          <t>B</t>
        </is>
      </c>
      <c r="AS150" s="1074" t="inlineStr">
        <is>
          <t>外婆微信，未咨询过正课价格</t>
        </is>
      </c>
      <c r="AT150" s="311" t="n"/>
    </row>
    <row r="151" ht="26.25" customFormat="1" customHeight="1" s="366">
      <c r="A151" s="1074" t="inlineStr">
        <is>
          <t>新宝利</t>
        </is>
      </c>
      <c r="B151" s="1074" t="inlineStr">
        <is>
          <t>4844908992</t>
        </is>
      </c>
      <c r="C151" s="1074" t="inlineStr">
        <is>
          <t>黎睿蓓</t>
        </is>
      </c>
      <c r="D151" s="1074" t="inlineStr">
        <is>
          <t>张敏烨</t>
        </is>
      </c>
      <c r="E151" s="1074" t="inlineStr">
        <is>
          <t>新生转介绍</t>
        </is>
      </c>
      <c r="F151" s="1074" t="n"/>
      <c r="G151" s="1074" t="inlineStr">
        <is>
          <t>家谊</t>
        </is>
      </c>
      <c r="H151" s="1074" t="inlineStr">
        <is>
          <t>在读</t>
        </is>
      </c>
      <c r="I151" s="1074" t="inlineStr">
        <is>
          <t>三期</t>
        </is>
      </c>
      <c r="J151" s="1074" t="inlineStr">
        <is>
          <t>5111035</t>
        </is>
      </c>
      <c r="K151" s="1074" t="inlineStr">
        <is>
          <t>校内成绩</t>
        </is>
      </c>
      <c r="L151" s="1074" t="n">
        <v>83</v>
      </c>
      <c r="M151" s="1074" t="n">
        <v>92</v>
      </c>
      <c r="N151" s="1074" t="inlineStr">
        <is>
          <t>何咏04</t>
        </is>
      </c>
      <c r="O151" s="1074" t="inlineStr">
        <is>
          <t>教室2</t>
        </is>
      </c>
      <c r="P151" s="1074" t="inlineStr">
        <is>
          <t>15:50-18:00</t>
        </is>
      </c>
      <c r="Q151" s="1074" t="inlineStr">
        <is>
          <t>启能班</t>
        </is>
      </c>
      <c r="R151" s="1074" t="inlineStr">
        <is>
          <t>三期</t>
        </is>
      </c>
      <c r="S151" s="1074" t="inlineStr">
        <is>
          <t>在读</t>
        </is>
      </c>
      <c r="T151" s="1074" t="inlineStr">
        <is>
          <t>-</t>
        </is>
      </c>
      <c r="U151" s="1074" t="inlineStr">
        <is>
          <t>5170873</t>
        </is>
      </c>
      <c r="V151" s="1074" t="n"/>
      <c r="W151" s="1074" t="inlineStr">
        <is>
          <t>李润</t>
        </is>
      </c>
      <c r="X151" s="1074" t="inlineStr">
        <is>
          <t>教室2</t>
        </is>
      </c>
      <c r="Y151" s="1074" t="inlineStr">
        <is>
          <t>13:20-15:30</t>
        </is>
      </c>
      <c r="Z151" s="1074" t="inlineStr">
        <is>
          <t>潜能班</t>
        </is>
      </c>
      <c r="AA151" s="1074" t="inlineStr">
        <is>
          <t>三期</t>
        </is>
      </c>
      <c r="AB151" s="1074" t="inlineStr">
        <is>
          <t>在读</t>
        </is>
      </c>
      <c r="AC151" s="1074" t="inlineStr">
        <is>
          <t>-</t>
        </is>
      </c>
      <c r="AD151" s="1074" t="inlineStr">
        <is>
          <t>5170871</t>
        </is>
      </c>
      <c r="AE151" s="1074" t="n"/>
      <c r="AF151" s="1074" t="inlineStr">
        <is>
          <t>肖锐03</t>
        </is>
      </c>
      <c r="AG151" s="1074" t="inlineStr">
        <is>
          <t>教室2</t>
        </is>
      </c>
      <c r="AH151" s="1074" t="inlineStr">
        <is>
          <t>10:20-12:30</t>
        </is>
      </c>
      <c r="AI151" s="1074" t="inlineStr">
        <is>
          <t>潜能班</t>
        </is>
      </c>
      <c r="AJ151" s="1074" t="inlineStr">
        <is>
          <t>三期</t>
        </is>
      </c>
      <c r="AK151" s="1074" t="inlineStr">
        <is>
          <t>在读</t>
        </is>
      </c>
      <c r="AL151" s="1074" t="inlineStr">
        <is>
          <t>-</t>
        </is>
      </c>
      <c r="AM151" s="1074" t="n"/>
      <c r="AN151" s="1074" t="n"/>
      <c r="AO151" s="1074" t="n"/>
      <c r="AP151" s="1074" t="n"/>
      <c r="AQ151" s="1074" t="n"/>
      <c r="AR151" s="1074" t="inlineStr">
        <is>
          <t>A</t>
        </is>
      </c>
      <c r="AS151" s="1074" t="inlineStr">
        <is>
          <t>有咨询过正课价格</t>
        </is>
      </c>
      <c r="AT151" s="311" t="n"/>
    </row>
    <row r="152" ht="26.25" customFormat="1" customHeight="1" s="366">
      <c r="A152" s="1074" t="inlineStr">
        <is>
          <t>新宝利</t>
        </is>
      </c>
      <c r="B152" s="1074" t="inlineStr">
        <is>
          <t>4087881429</t>
        </is>
      </c>
      <c r="C152" s="1074" t="inlineStr">
        <is>
          <t>杨梓恒</t>
        </is>
      </c>
      <c r="D152" s="1074" t="inlineStr">
        <is>
          <t>林志豪01</t>
        </is>
      </c>
      <c r="E152" s="1074" t="inlineStr">
        <is>
          <t>纯拉新</t>
        </is>
      </c>
      <c r="F152" s="1074" t="n"/>
      <c r="G152" s="1074" t="n"/>
      <c r="H152" s="1074" t="inlineStr">
        <is>
          <t>在读</t>
        </is>
      </c>
      <c r="I152" s="1074" t="inlineStr">
        <is>
          <t>零期/二期</t>
        </is>
      </c>
      <c r="J152" s="1074" t="inlineStr">
        <is>
          <t>5111034</t>
        </is>
      </c>
      <c r="K152" s="1074" t="inlineStr">
        <is>
          <t>校内成绩</t>
        </is>
      </c>
      <c r="L152" s="1074" t="n">
        <v>60</v>
      </c>
      <c r="M152" s="1074" t="n">
        <v>80</v>
      </c>
      <c r="N152" s="1074" t="inlineStr">
        <is>
          <t>田雨涵01</t>
        </is>
      </c>
      <c r="O152" s="1074" t="inlineStr">
        <is>
          <t>教室4</t>
        </is>
      </c>
      <c r="P152" s="1074" t="inlineStr">
        <is>
          <t>13:20-15:30</t>
        </is>
      </c>
      <c r="Q152" s="1074" t="inlineStr">
        <is>
          <t>潜能班</t>
        </is>
      </c>
      <c r="R152" s="1074" t="inlineStr">
        <is>
          <t>二期</t>
        </is>
      </c>
      <c r="S152" s="1074" t="inlineStr">
        <is>
          <t>在读</t>
        </is>
      </c>
      <c r="T152" s="1074" t="inlineStr">
        <is>
          <t>-</t>
        </is>
      </c>
      <c r="U152" s="1074" t="inlineStr">
        <is>
          <t>3132859</t>
        </is>
      </c>
      <c r="V152" s="1074" t="n"/>
      <c r="W152" s="1074" t="inlineStr">
        <is>
          <t>黄铭怡</t>
        </is>
      </c>
      <c r="X152" s="1074" t="inlineStr">
        <is>
          <t>教室2</t>
        </is>
      </c>
      <c r="Y152" s="1074" t="inlineStr">
        <is>
          <t>10:20-12:30</t>
        </is>
      </c>
      <c r="Z152" s="1074" t="inlineStr">
        <is>
          <t>潜能班</t>
        </is>
      </c>
      <c r="AA152" s="1074" t="inlineStr">
        <is>
          <t>零期</t>
        </is>
      </c>
      <c r="AB152" s="1074" t="inlineStr">
        <is>
          <t>在读</t>
        </is>
      </c>
      <c r="AC152" s="1074" t="inlineStr">
        <is>
          <t>-</t>
        </is>
      </c>
      <c r="AD152" s="1074" t="inlineStr">
        <is>
          <t>4513340</t>
        </is>
      </c>
      <c r="AE152" s="1074" t="n"/>
      <c r="AF152" s="1074" t="inlineStr">
        <is>
          <t>高心怡04</t>
        </is>
      </c>
      <c r="AG152" s="1074" t="inlineStr">
        <is>
          <t>教室4</t>
        </is>
      </c>
      <c r="AH152" s="1074" t="inlineStr">
        <is>
          <t>15:50-18:00</t>
        </is>
      </c>
      <c r="AI152" s="1074" t="inlineStr">
        <is>
          <t>潜能班</t>
        </is>
      </c>
      <c r="AJ152" s="1074" t="inlineStr">
        <is>
          <t>二期</t>
        </is>
      </c>
      <c r="AK152" s="1074" t="inlineStr">
        <is>
          <t>在读</t>
        </is>
      </c>
      <c r="AL152" s="1074" t="inlineStr">
        <is>
          <t>-</t>
        </is>
      </c>
      <c r="AM152" s="1074" t="inlineStr">
        <is>
          <t>是</t>
        </is>
      </c>
      <c r="AN152" s="1074" t="inlineStr">
        <is>
          <t>是</t>
        </is>
      </c>
      <c r="AO152" s="1074" t="inlineStr">
        <is>
          <t>否</t>
        </is>
      </c>
      <c r="AP152" s="1074" t="n"/>
      <c r="AQ152" s="1074" t="n"/>
      <c r="AR152" s="1074" t="inlineStr">
        <is>
          <t>B</t>
        </is>
      </c>
      <c r="AS152" s="1074" t="inlineStr">
        <is>
          <t>只问了暑假的课程和教学内容，其他没过多沟通</t>
        </is>
      </c>
      <c r="AT152" s="311" t="n"/>
    </row>
    <row r="153" ht="26.25" customFormat="1" customHeight="1" s="366">
      <c r="A153" s="1074" t="inlineStr">
        <is>
          <t>新宝利</t>
        </is>
      </c>
      <c r="B153" s="1074" t="inlineStr">
        <is>
          <t>2529273566</t>
        </is>
      </c>
      <c r="C153" s="1074" t="inlineStr">
        <is>
          <t>家谊</t>
        </is>
      </c>
      <c r="D153" s="1074" t="inlineStr">
        <is>
          <t>张敏烨</t>
        </is>
      </c>
      <c r="E153" s="1074" t="inlineStr">
        <is>
          <t>纯拉新</t>
        </is>
      </c>
      <c r="F153" s="1074" t="n"/>
      <c r="G153" s="1074" t="n"/>
      <c r="H153" s="1074" t="inlineStr">
        <is>
          <t>在读</t>
        </is>
      </c>
      <c r="I153" s="1074" t="inlineStr">
        <is>
          <t>三期</t>
        </is>
      </c>
      <c r="J153" s="1074" t="inlineStr">
        <is>
          <t>5111035</t>
        </is>
      </c>
      <c r="K153" s="1074" t="inlineStr">
        <is>
          <t>校内成绩</t>
        </is>
      </c>
      <c r="L153" s="1074" t="n">
        <v>85</v>
      </c>
      <c r="M153" s="1074" t="n">
        <v>95</v>
      </c>
      <c r="N153" s="1074" t="inlineStr">
        <is>
          <t>何咏04</t>
        </is>
      </c>
      <c r="O153" s="1074" t="inlineStr">
        <is>
          <t>教室2</t>
        </is>
      </c>
      <c r="P153" s="1074" t="inlineStr">
        <is>
          <t>15:50-18:00</t>
        </is>
      </c>
      <c r="Q153" s="1074" t="inlineStr">
        <is>
          <t>启能班</t>
        </is>
      </c>
      <c r="R153" s="1074" t="inlineStr">
        <is>
          <t>三期</t>
        </is>
      </c>
      <c r="S153" s="1074" t="inlineStr">
        <is>
          <t>在读</t>
        </is>
      </c>
      <c r="T153" s="1074" t="inlineStr">
        <is>
          <t>-</t>
        </is>
      </c>
      <c r="U153" s="1074" t="inlineStr">
        <is>
          <t>5170873</t>
        </is>
      </c>
      <c r="V153" s="1074" t="n"/>
      <c r="W153" s="1074" t="inlineStr">
        <is>
          <t>李润</t>
        </is>
      </c>
      <c r="X153" s="1074" t="inlineStr">
        <is>
          <t>教室2</t>
        </is>
      </c>
      <c r="Y153" s="1074" t="inlineStr">
        <is>
          <t>13:20-15:30</t>
        </is>
      </c>
      <c r="Z153" s="1074" t="inlineStr">
        <is>
          <t>潜能班</t>
        </is>
      </c>
      <c r="AA153" s="1074" t="inlineStr">
        <is>
          <t>三期</t>
        </is>
      </c>
      <c r="AB153" s="1074" t="inlineStr">
        <is>
          <t>在读</t>
        </is>
      </c>
      <c r="AC153" s="1074" t="inlineStr">
        <is>
          <t>-</t>
        </is>
      </c>
      <c r="AD153" s="1074" t="inlineStr">
        <is>
          <t>5170871</t>
        </is>
      </c>
      <c r="AE153" s="1074" t="n"/>
      <c r="AF153" s="1074" t="inlineStr">
        <is>
          <t>肖锐03</t>
        </is>
      </c>
      <c r="AG153" s="1074" t="inlineStr">
        <is>
          <t>教室2</t>
        </is>
      </c>
      <c r="AH153" s="1074" t="inlineStr">
        <is>
          <t>10:20-12:30</t>
        </is>
      </c>
      <c r="AI153" s="1074" t="inlineStr">
        <is>
          <t>潜能班</t>
        </is>
      </c>
      <c r="AJ153" s="1074" t="inlineStr">
        <is>
          <t>三期</t>
        </is>
      </c>
      <c r="AK153" s="1074" t="inlineStr">
        <is>
          <t>在读</t>
        </is>
      </c>
      <c r="AL153" s="1074" t="inlineStr">
        <is>
          <t>-</t>
        </is>
      </c>
      <c r="AM153" s="1074" t="n"/>
      <c r="AN153" s="1074" t="n"/>
      <c r="AO153" s="1074" t="n"/>
      <c r="AP153" s="1074" t="n"/>
      <c r="AQ153" s="1074" t="n"/>
      <c r="AR153" s="1074" t="inlineStr">
        <is>
          <t>A</t>
        </is>
      </c>
      <c r="AS153" s="1074" t="inlineStr">
        <is>
          <t>有咨询过正课价格，卓越在读已经退掉了</t>
        </is>
      </c>
      <c r="AT153" s="311" t="n"/>
    </row>
    <row r="154" ht="26.25" customFormat="1" customHeight="1" s="366">
      <c r="A154" s="1074" t="inlineStr">
        <is>
          <t>新宝利</t>
        </is>
      </c>
      <c r="B154" s="1074" t="inlineStr">
        <is>
          <t>4312380919</t>
        </is>
      </c>
      <c r="C154" s="1074" t="inlineStr">
        <is>
          <t>邹子慧</t>
        </is>
      </c>
      <c r="D154" s="1074" t="inlineStr">
        <is>
          <t>沈思浩</t>
        </is>
      </c>
      <c r="E154" s="1074" t="inlineStr">
        <is>
          <t>纯拉新</t>
        </is>
      </c>
      <c r="F154" s="1074" t="n"/>
      <c r="G154" s="1074" t="n"/>
      <c r="H154" s="1074" t="inlineStr">
        <is>
          <t>在读</t>
        </is>
      </c>
      <c r="I154" s="1074" t="inlineStr">
        <is>
          <t>一期/二期</t>
        </is>
      </c>
      <c r="J154" s="1074" t="inlineStr">
        <is>
          <t>4513341</t>
        </is>
      </c>
      <c r="K154" s="1074" t="inlineStr">
        <is>
          <t>校内成绩</t>
        </is>
      </c>
      <c r="L154" s="1074" t="n">
        <v>72</v>
      </c>
      <c r="M154" s="1074" t="n">
        <v>90</v>
      </c>
      <c r="N154" s="1074" t="inlineStr">
        <is>
          <t>陈中帅</t>
        </is>
      </c>
      <c r="O154" s="1074" t="inlineStr">
        <is>
          <t>教室3</t>
        </is>
      </c>
      <c r="P154" s="1074" t="inlineStr">
        <is>
          <t>15:50-18:00</t>
        </is>
      </c>
      <c r="Q154" s="1074" t="inlineStr">
        <is>
          <t>启能班</t>
        </is>
      </c>
      <c r="R154" s="1074" t="inlineStr">
        <is>
          <t>二期</t>
        </is>
      </c>
      <c r="S154" s="1074" t="inlineStr">
        <is>
          <t>在读</t>
        </is>
      </c>
      <c r="T154" s="1074" t="inlineStr">
        <is>
          <t>-</t>
        </is>
      </c>
      <c r="U154" s="1074" t="inlineStr">
        <is>
          <t>5170706</t>
        </is>
      </c>
      <c r="V154" s="1074" t="n"/>
      <c r="W154" s="1074" t="inlineStr">
        <is>
          <t>李润</t>
        </is>
      </c>
      <c r="X154" s="1074" t="inlineStr">
        <is>
          <t>教室3</t>
        </is>
      </c>
      <c r="Y154" s="1074" t="inlineStr">
        <is>
          <t>13:20-15:30</t>
        </is>
      </c>
      <c r="Z154" s="1074" t="inlineStr">
        <is>
          <t>潜能班</t>
        </is>
      </c>
      <c r="AA154" s="1074" t="inlineStr">
        <is>
          <t>一期</t>
        </is>
      </c>
      <c r="AB154" s="1074" t="inlineStr">
        <is>
          <t>在读</t>
        </is>
      </c>
      <c r="AC154" s="1074" t="inlineStr">
        <is>
          <t>-</t>
        </is>
      </c>
      <c r="AD154" s="1074" t="inlineStr">
        <is>
          <t>5230738</t>
        </is>
      </c>
      <c r="AE154" s="1074" t="n"/>
      <c r="AF154" s="1074" t="inlineStr">
        <is>
          <t>高心怡04</t>
        </is>
      </c>
      <c r="AG154" s="1074" t="inlineStr">
        <is>
          <t>教室3</t>
        </is>
      </c>
      <c r="AH154" s="1074" t="inlineStr">
        <is>
          <t>10:20-12:30</t>
        </is>
      </c>
      <c r="AI154" s="1074" t="inlineStr">
        <is>
          <t>潜能班</t>
        </is>
      </c>
      <c r="AJ154" s="1074" t="inlineStr">
        <is>
          <t>二期</t>
        </is>
      </c>
      <c r="AK154" s="1074" t="inlineStr">
        <is>
          <t>在读</t>
        </is>
      </c>
      <c r="AL154" s="1074" t="inlineStr">
        <is>
          <t>-</t>
        </is>
      </c>
      <c r="AM154" s="1074" t="n"/>
      <c r="AN154" s="1074" t="n"/>
      <c r="AO154" s="1074" t="n"/>
      <c r="AP154" s="1074" t="n"/>
      <c r="AQ154" s="1074" t="n"/>
      <c r="AR154" s="1074" t="n"/>
      <c r="AS154" s="1074" t="n"/>
      <c r="AT154" s="311" t="n"/>
    </row>
    <row r="155" ht="26.25" customFormat="1" customHeight="1" s="366">
      <c r="A155" s="1074" t="inlineStr">
        <is>
          <t>新宝利</t>
        </is>
      </c>
      <c r="B155" s="1074" t="inlineStr">
        <is>
          <t>2544969370</t>
        </is>
      </c>
      <c r="C155" s="1074" t="inlineStr">
        <is>
          <t>洛天</t>
        </is>
      </c>
      <c r="D155" s="1074" t="inlineStr">
        <is>
          <t>王丽</t>
        </is>
      </c>
      <c r="E155" s="1074" t="inlineStr">
        <is>
          <t>纯拉新</t>
        </is>
      </c>
      <c r="F155" s="1074" t="n"/>
      <c r="G155" s="1074" t="n"/>
      <c r="H155" s="1074" t="inlineStr">
        <is>
          <t>在读</t>
        </is>
      </c>
      <c r="I155" s="1074" t="inlineStr">
        <is>
          <t>一期</t>
        </is>
      </c>
      <c r="J155" s="1074" t="inlineStr">
        <is>
          <t>5230732</t>
        </is>
      </c>
      <c r="K155" s="1074" t="inlineStr">
        <is>
          <t>校内成绩</t>
        </is>
      </c>
      <c r="L155" s="1074" t="n">
        <v>74</v>
      </c>
      <c r="M155" s="1074" t="n">
        <v>93</v>
      </c>
      <c r="N155" s="1074" t="inlineStr">
        <is>
          <t>何咏04</t>
        </is>
      </c>
      <c r="O155" s="1074" t="inlineStr">
        <is>
          <t>教室3</t>
        </is>
      </c>
      <c r="P155" s="1074" t="inlineStr">
        <is>
          <t>10:30-12:40</t>
        </is>
      </c>
      <c r="Q155" s="1074" t="inlineStr">
        <is>
          <t>启能班</t>
        </is>
      </c>
      <c r="R155" s="1074" t="inlineStr">
        <is>
          <t>一期</t>
        </is>
      </c>
      <c r="S155" s="1074" t="inlineStr">
        <is>
          <t>在读</t>
        </is>
      </c>
      <c r="T155" s="1074" t="inlineStr">
        <is>
          <t>-</t>
        </is>
      </c>
      <c r="U155" s="1074" t="inlineStr">
        <is>
          <t>5170706</t>
        </is>
      </c>
      <c r="V155" s="1074" t="n"/>
      <c r="W155" s="1074" t="inlineStr">
        <is>
          <t>李润</t>
        </is>
      </c>
      <c r="X155" s="1074" t="inlineStr">
        <is>
          <t>教室3</t>
        </is>
      </c>
      <c r="Y155" s="1074" t="inlineStr">
        <is>
          <t>13:20-15:30</t>
        </is>
      </c>
      <c r="Z155" s="1074" t="inlineStr">
        <is>
          <t>潜能班</t>
        </is>
      </c>
      <c r="AA155" s="1074" t="inlineStr">
        <is>
          <t>一期</t>
        </is>
      </c>
      <c r="AB155" s="1074" t="inlineStr">
        <is>
          <t>在读</t>
        </is>
      </c>
      <c r="AC155" s="1074" t="inlineStr">
        <is>
          <t>-</t>
        </is>
      </c>
      <c r="AD155" s="1074" t="inlineStr">
        <is>
          <t>3132899</t>
        </is>
      </c>
      <c r="AE155" s="1074" t="n"/>
      <c r="AF155" s="1074" t="inlineStr">
        <is>
          <t>肖锐03</t>
        </is>
      </c>
      <c r="AG155" s="1074" t="inlineStr">
        <is>
          <t>教室3</t>
        </is>
      </c>
      <c r="AH155" s="1074" t="inlineStr">
        <is>
          <t>07:50-10:00</t>
        </is>
      </c>
      <c r="AI155" s="1074" t="inlineStr">
        <is>
          <t>潜能班</t>
        </is>
      </c>
      <c r="AJ155" s="1074" t="inlineStr">
        <is>
          <t>一期</t>
        </is>
      </c>
      <c r="AK155" s="1074" t="inlineStr">
        <is>
          <t>在读</t>
        </is>
      </c>
      <c r="AL155" s="1074" t="inlineStr">
        <is>
          <t>-</t>
        </is>
      </c>
      <c r="AM155" s="1074" t="n"/>
      <c r="AN155" s="1074" t="n"/>
      <c r="AO155" s="1074" t="n"/>
      <c r="AP155" s="1074" t="n"/>
      <c r="AQ155" s="1074" t="n"/>
      <c r="AR155" s="1074" t="inlineStr">
        <is>
          <t>B</t>
        </is>
      </c>
      <c r="AS155" s="1074" t="inlineStr">
        <is>
          <t>先体验下暑假课，没聊秋季课的事情</t>
        </is>
      </c>
      <c r="AT155" s="311" t="n"/>
    </row>
    <row r="156" ht="26.25" customFormat="1" customHeight="1" s="366">
      <c r="A156" s="1074" t="inlineStr">
        <is>
          <t>新宝利</t>
        </is>
      </c>
      <c r="B156" s="1074" t="inlineStr">
        <is>
          <t>4046417121</t>
        </is>
      </c>
      <c r="C156" s="1074" t="inlineStr">
        <is>
          <t>梁懿楠</t>
        </is>
      </c>
      <c r="D156" s="1074" t="inlineStr">
        <is>
          <t>林志豪01</t>
        </is>
      </c>
      <c r="E156" s="1074" t="inlineStr">
        <is>
          <t>纯拉新</t>
        </is>
      </c>
      <c r="F156" s="1074" t="n"/>
      <c r="G156" s="1074" t="n"/>
      <c r="H156" s="1074" t="inlineStr">
        <is>
          <t>在读</t>
        </is>
      </c>
      <c r="I156" s="1074" t="inlineStr">
        <is>
          <t>三期</t>
        </is>
      </c>
      <c r="J156" s="1074" t="inlineStr">
        <is>
          <t>4632447</t>
        </is>
      </c>
      <c r="K156" s="1074" t="inlineStr">
        <is>
          <t>校内成绩</t>
        </is>
      </c>
      <c r="L156" s="1074" t="n">
        <v>72</v>
      </c>
      <c r="M156" s="1074" t="n">
        <v>90</v>
      </c>
      <c r="N156" s="1074" t="inlineStr">
        <is>
          <t>田雨涵01</t>
        </is>
      </c>
      <c r="O156" s="1074" t="inlineStr">
        <is>
          <t>教室5</t>
        </is>
      </c>
      <c r="P156" s="1074" t="inlineStr">
        <is>
          <t>10:20-12:30</t>
        </is>
      </c>
      <c r="Q156" s="1074" t="inlineStr">
        <is>
          <t>潜能班</t>
        </is>
      </c>
      <c r="R156" s="1074" t="inlineStr">
        <is>
          <t>三期</t>
        </is>
      </c>
      <c r="S156" s="1074" t="inlineStr">
        <is>
          <t>在读</t>
        </is>
      </c>
      <c r="T156" s="1074" t="inlineStr">
        <is>
          <t>-</t>
        </is>
      </c>
      <c r="U156" s="1074" t="inlineStr">
        <is>
          <t>5170873</t>
        </is>
      </c>
      <c r="V156" s="1074" t="n"/>
      <c r="W156" s="1074" t="inlineStr">
        <is>
          <t>李润</t>
        </is>
      </c>
      <c r="X156" s="1074" t="inlineStr">
        <is>
          <t>教室2</t>
        </is>
      </c>
      <c r="Y156" s="1074" t="inlineStr">
        <is>
          <t>13:20-15:30</t>
        </is>
      </c>
      <c r="Z156" s="1074" t="inlineStr">
        <is>
          <t>潜能班</t>
        </is>
      </c>
      <c r="AA156" s="1074" t="inlineStr">
        <is>
          <t>三期</t>
        </is>
      </c>
      <c r="AB156" s="1074" t="inlineStr">
        <is>
          <t>在读</t>
        </is>
      </c>
      <c r="AC156" s="1074" t="inlineStr">
        <is>
          <t>-</t>
        </is>
      </c>
      <c r="AD156" s="1074" t="inlineStr">
        <is>
          <t>5230821</t>
        </is>
      </c>
      <c r="AE156" s="1074" t="n"/>
      <c r="AF156" s="1074" t="inlineStr">
        <is>
          <t>肖锐03</t>
        </is>
      </c>
      <c r="AG156" s="1074" t="inlineStr">
        <is>
          <t>教室3</t>
        </is>
      </c>
      <c r="AH156" s="1074" t="inlineStr">
        <is>
          <t>15:50-18:00</t>
        </is>
      </c>
      <c r="AI156" s="1074" t="inlineStr">
        <is>
          <t>潜能班</t>
        </is>
      </c>
      <c r="AJ156" s="1074" t="inlineStr">
        <is>
          <t>三期</t>
        </is>
      </c>
      <c r="AK156" s="1074" t="inlineStr">
        <is>
          <t>在读</t>
        </is>
      </c>
      <c r="AL156" s="1074" t="inlineStr">
        <is>
          <t>-</t>
        </is>
      </c>
      <c r="AM156" s="1074" t="n"/>
      <c r="AN156" s="1074" t="n"/>
      <c r="AO156" s="1074" t="n"/>
      <c r="AP156" s="1074" t="n"/>
      <c r="AQ156" s="1074" t="n"/>
      <c r="AR156" s="1074" t="inlineStr">
        <is>
          <t>A</t>
        </is>
      </c>
      <c r="AS156" s="1074" t="inlineStr">
        <is>
          <t>孩子成绩很不错，妈咪教育理念好，妈咪很严格辅导作业，两个娃，成绩都还行，要看暑假情况</t>
        </is>
      </c>
      <c r="AT156" s="311" t="n"/>
    </row>
    <row r="157" ht="26.25" customFormat="1" customHeight="1" s="366">
      <c r="A157" s="1074" t="inlineStr">
        <is>
          <t>同创汇</t>
        </is>
      </c>
      <c r="B157" s="1074" t="inlineStr">
        <is>
          <t>2714018258</t>
        </is>
      </c>
      <c r="C157" s="1074" t="inlineStr">
        <is>
          <t>刘亦馨</t>
        </is>
      </c>
      <c r="D157" s="1074" t="inlineStr">
        <is>
          <t>戎凯01</t>
        </is>
      </c>
      <c r="E157" s="1074" t="inlineStr">
        <is>
          <t>新生转介绍</t>
        </is>
      </c>
      <c r="F157" s="1074" t="n"/>
      <c r="G157" s="1074" t="inlineStr">
        <is>
          <t>陈秉谦</t>
        </is>
      </c>
      <c r="H157" s="1074" t="inlineStr">
        <is>
          <t>在读</t>
        </is>
      </c>
      <c r="I157" s="1074" t="inlineStr">
        <is>
          <t>一期</t>
        </is>
      </c>
      <c r="J157" s="1074" t="inlineStr">
        <is>
          <t>5230719</t>
        </is>
      </c>
      <c r="K157" s="1074" t="inlineStr">
        <is>
          <t>校内成绩</t>
        </is>
      </c>
      <c r="L157" s="1074" t="n">
        <v>88</v>
      </c>
      <c r="M157" s="1074" t="n">
        <v>98</v>
      </c>
      <c r="N157" s="1074" t="inlineStr">
        <is>
          <t>陈中帅</t>
        </is>
      </c>
      <c r="O157" s="1074" t="inlineStr">
        <is>
          <t>01智慧林</t>
        </is>
      </c>
      <c r="P157" s="1074" t="inlineStr">
        <is>
          <t>13:20-15:30</t>
        </is>
      </c>
      <c r="Q157" s="1074" t="inlineStr">
        <is>
          <t>启能班</t>
        </is>
      </c>
      <c r="R157" s="1074" t="inlineStr">
        <is>
          <t>一期</t>
        </is>
      </c>
      <c r="S157" s="1074" t="inlineStr">
        <is>
          <t>在读</t>
        </is>
      </c>
      <c r="T157" s="1074" t="inlineStr">
        <is>
          <t>-</t>
        </is>
      </c>
      <c r="U157" s="1074" t="inlineStr">
        <is>
          <t>5230828</t>
        </is>
      </c>
      <c r="V157" s="1074" t="n"/>
      <c r="W157" s="1074" t="inlineStr">
        <is>
          <t>黄铭怡</t>
        </is>
      </c>
      <c r="X157" s="1074" t="inlineStr">
        <is>
          <t>01智慧林</t>
        </is>
      </c>
      <c r="Y157" s="1074" t="inlineStr">
        <is>
          <t>10:20-12:30</t>
        </is>
      </c>
      <c r="Z157" s="1074" t="inlineStr">
        <is>
          <t>潜能班</t>
        </is>
      </c>
      <c r="AA157" s="1074" t="inlineStr">
        <is>
          <t>一期</t>
        </is>
      </c>
      <c r="AB157" s="1074" t="inlineStr">
        <is>
          <t>在读</t>
        </is>
      </c>
      <c r="AC157" s="1074" t="inlineStr">
        <is>
          <t>-</t>
        </is>
      </c>
      <c r="AD157" s="1074" t="inlineStr">
        <is>
          <t>3132869</t>
        </is>
      </c>
      <c r="AE157" s="1074" t="n"/>
      <c r="AF157" s="1074" t="inlineStr">
        <is>
          <t>高心怡04</t>
        </is>
      </c>
      <c r="AG157" s="1074" t="inlineStr">
        <is>
          <t>01智慧林</t>
        </is>
      </c>
      <c r="AH157" s="1074" t="inlineStr">
        <is>
          <t>15:50-18:00</t>
        </is>
      </c>
      <c r="AI157" s="1074" t="inlineStr">
        <is>
          <t>潜能班</t>
        </is>
      </c>
      <c r="AJ157" s="1074" t="inlineStr">
        <is>
          <t>一期</t>
        </is>
      </c>
      <c r="AK157" s="1074" t="inlineStr">
        <is>
          <t>在读</t>
        </is>
      </c>
      <c r="AL157" s="1074" t="inlineStr">
        <is>
          <t>-</t>
        </is>
      </c>
      <c r="AM157" s="1074" t="n"/>
      <c r="AN157" s="1074" t="n"/>
      <c r="AO157" s="1074" t="n"/>
      <c r="AP157" s="1074" t="n"/>
      <c r="AQ157" s="1074" t="n"/>
      <c r="AR157" s="1074" t="inlineStr">
        <is>
          <t>A</t>
        </is>
      </c>
      <c r="AS157" s="1074" t="inlineStr">
        <is>
          <t>陈秉谦妈妈推荐</t>
        </is>
      </c>
      <c r="AT157" s="311" t="n"/>
    </row>
    <row r="158" ht="26.25" customFormat="1" customHeight="1" s="366">
      <c r="A158" s="1074" t="inlineStr">
        <is>
          <t>新宝利</t>
        </is>
      </c>
      <c r="B158" s="1074" t="inlineStr">
        <is>
          <t>2445745721</t>
        </is>
      </c>
      <c r="C158" s="1074" t="inlineStr">
        <is>
          <t>陈祺</t>
        </is>
      </c>
      <c r="D158" s="1074" t="inlineStr">
        <is>
          <t>杨林33</t>
        </is>
      </c>
      <c r="E158" s="1074" t="inlineStr">
        <is>
          <t>纯拉新</t>
        </is>
      </c>
      <c r="F158" s="1074" t="n"/>
      <c r="G158" s="1074" t="n"/>
      <c r="H158" s="1074" t="inlineStr">
        <is>
          <t>在读</t>
        </is>
      </c>
      <c r="I158" s="1074" t="inlineStr">
        <is>
          <t>二期</t>
        </is>
      </c>
      <c r="J158" s="1074" t="inlineStr">
        <is>
          <t>5111034</t>
        </is>
      </c>
      <c r="K158" s="1074" t="inlineStr">
        <is>
          <t>校内成绩</t>
        </is>
      </c>
      <c r="L158" s="1074" t="n">
        <v>85</v>
      </c>
      <c r="M158" s="1074" t="n">
        <v>95</v>
      </c>
      <c r="N158" s="1074" t="inlineStr">
        <is>
          <t>田雨涵01</t>
        </is>
      </c>
      <c r="O158" s="1074" t="inlineStr">
        <is>
          <t>教室4</t>
        </is>
      </c>
      <c r="P158" s="1074" t="inlineStr">
        <is>
          <t>13:20-15:30</t>
        </is>
      </c>
      <c r="Q158" s="1074" t="inlineStr">
        <is>
          <t>潜能班</t>
        </is>
      </c>
      <c r="R158" s="1074" t="inlineStr">
        <is>
          <t>二期</t>
        </is>
      </c>
      <c r="S158" s="1074" t="inlineStr">
        <is>
          <t>在读</t>
        </is>
      </c>
      <c r="T158" s="1074" t="inlineStr">
        <is>
          <t>-</t>
        </is>
      </c>
      <c r="U158" s="1074" t="inlineStr">
        <is>
          <t>4513342</t>
        </is>
      </c>
      <c r="V158" s="1074" t="n"/>
      <c r="W158" s="1074" t="inlineStr">
        <is>
          <t>黄铭怡</t>
        </is>
      </c>
      <c r="X158" s="1074" t="inlineStr">
        <is>
          <t>教室4</t>
        </is>
      </c>
      <c r="Y158" s="1074" t="inlineStr">
        <is>
          <t>10:20-12:30</t>
        </is>
      </c>
      <c r="Z158" s="1074" t="inlineStr">
        <is>
          <t>潜能班</t>
        </is>
      </c>
      <c r="AA158" s="1074" t="inlineStr">
        <is>
          <t>二期</t>
        </is>
      </c>
      <c r="AB158" s="1074" t="inlineStr">
        <is>
          <t>在读</t>
        </is>
      </c>
      <c r="AC158" s="1074" t="inlineStr">
        <is>
          <t>-</t>
        </is>
      </c>
      <c r="AD158" s="1074" t="inlineStr">
        <is>
          <t>-</t>
        </is>
      </c>
      <c r="AE158" s="1074" t="inlineStr"/>
      <c r="AF158" s="1074" t="inlineStr">
        <is>
          <t>-</t>
        </is>
      </c>
      <c r="AG158" s="1074" t="inlineStr">
        <is>
          <t>-</t>
        </is>
      </c>
      <c r="AH158" s="1074" t="inlineStr">
        <is>
          <t>-</t>
        </is>
      </c>
      <c r="AI158" s="1074" t="inlineStr">
        <is>
          <t>-</t>
        </is>
      </c>
      <c r="AJ158" s="1074" t="inlineStr">
        <is>
          <t>-</t>
        </is>
      </c>
      <c r="AK158" s="1074" t="inlineStr">
        <is>
          <t>-</t>
        </is>
      </c>
      <c r="AL158" s="1074" t="inlineStr">
        <is>
          <t>-</t>
        </is>
      </c>
      <c r="AM158" s="1074" t="n"/>
      <c r="AN158" s="1074" t="n"/>
      <c r="AO158" s="1074" t="n"/>
      <c r="AP158" s="1074" t="n"/>
      <c r="AQ158" s="1074" t="n"/>
      <c r="AR158" s="1074" t="inlineStr">
        <is>
          <t>B</t>
        </is>
      </c>
      <c r="AS158" s="1074" t="inlineStr">
        <is>
          <t>之前沟通不多，只聊了暑假课程，秋季和长期学习并未做沟通，看暑假学习情况吧</t>
        </is>
      </c>
      <c r="AT158" s="311" t="n"/>
    </row>
    <row r="159" ht="26.25" customFormat="1" customHeight="1" s="366">
      <c r="A159" s="1074" t="inlineStr">
        <is>
          <t>同创汇</t>
        </is>
      </c>
      <c r="B159" s="1074" t="inlineStr">
        <is>
          <t>2568261216</t>
        </is>
      </c>
      <c r="C159" s="1074" t="inlineStr">
        <is>
          <t>侯奕如</t>
        </is>
      </c>
      <c r="D159" s="1074" t="inlineStr">
        <is>
          <t>林志豪01</t>
        </is>
      </c>
      <c r="E159" s="1074" t="inlineStr">
        <is>
          <t>纯拉新</t>
        </is>
      </c>
      <c r="F159" s="1074" t="n"/>
      <c r="G159" s="1074" t="n"/>
      <c r="H159" s="1074" t="inlineStr">
        <is>
          <t>退费</t>
        </is>
      </c>
      <c r="I159" s="1074" t="inlineStr">
        <is>
          <t>-</t>
        </is>
      </c>
      <c r="J159" s="1074" t="inlineStr">
        <is>
          <t>5230806</t>
        </is>
      </c>
      <c r="K159" s="1074" t="inlineStr">
        <is>
          <t>校内成绩</t>
        </is>
      </c>
      <c r="L159" s="1074" t="n">
        <v>89</v>
      </c>
      <c r="M159" s="1074" t="n">
        <v>99</v>
      </c>
      <c r="N159" s="1074" t="inlineStr">
        <is>
          <t>田雨涵01</t>
        </is>
      </c>
      <c r="O159" s="1074" t="inlineStr">
        <is>
          <t>03识海阁</t>
        </is>
      </c>
      <c r="P159" s="1074" t="inlineStr">
        <is>
          <t>10:20-12:30</t>
        </is>
      </c>
      <c r="Q159" s="1074" t="inlineStr">
        <is>
          <t>潜能班</t>
        </is>
      </c>
      <c r="R159" s="1074" t="inlineStr">
        <is>
          <t>零期</t>
        </is>
      </c>
      <c r="S159" s="1074" t="inlineStr">
        <is>
          <t>课前退</t>
        </is>
      </c>
      <c r="T159" s="1074" t="inlineStr">
        <is>
          <t>-</t>
        </is>
      </c>
      <c r="U159" s="1074" t="inlineStr">
        <is>
          <t>5170872</t>
        </is>
      </c>
      <c r="V159" s="1074" t="n"/>
      <c r="W159" s="1074" t="inlineStr">
        <is>
          <t>陈南05</t>
        </is>
      </c>
      <c r="X159" s="1074" t="inlineStr">
        <is>
          <t>03识海阁</t>
        </is>
      </c>
      <c r="Y159" s="1074" t="inlineStr">
        <is>
          <t>13:20-15:30</t>
        </is>
      </c>
      <c r="Z159" s="1074" t="inlineStr">
        <is>
          <t>潜能班</t>
        </is>
      </c>
      <c r="AA159" s="1074" t="inlineStr">
        <is>
          <t>零期</t>
        </is>
      </c>
      <c r="AB159" s="1074" t="inlineStr">
        <is>
          <t>课前退</t>
        </is>
      </c>
      <c r="AC159" s="1074" t="inlineStr">
        <is>
          <t>-</t>
        </is>
      </c>
      <c r="AD159" s="1074" t="inlineStr">
        <is>
          <t>3132865</t>
        </is>
      </c>
      <c r="AE159" s="1074" t="n"/>
      <c r="AF159" s="1074" t="inlineStr">
        <is>
          <t>刘希子</t>
        </is>
      </c>
      <c r="AG159" s="1074" t="inlineStr">
        <is>
          <t>03识海阁</t>
        </is>
      </c>
      <c r="AH159" s="1074" t="inlineStr">
        <is>
          <t>15:50-18:00</t>
        </is>
      </c>
      <c r="AI159" s="1074" t="inlineStr">
        <is>
          <t>潜能班</t>
        </is>
      </c>
      <c r="AJ159" s="1074" t="inlineStr">
        <is>
          <t>零期</t>
        </is>
      </c>
      <c r="AK159" s="1074" t="inlineStr">
        <is>
          <t>课前退</t>
        </is>
      </c>
      <c r="AL159" s="1074" t="inlineStr">
        <is>
          <t>-</t>
        </is>
      </c>
      <c r="AM159" s="1074" t="n"/>
      <c r="AN159" s="1074" t="n"/>
      <c r="AO159" s="1074" t="n"/>
      <c r="AP159" s="1074" t="n"/>
      <c r="AQ159" s="1074" t="n"/>
      <c r="AR159" s="1074" t="inlineStr">
        <is>
          <t>B</t>
        </is>
      </c>
      <c r="AS159" s="1074" t="inlineStr">
        <is>
          <t>牛蛙，成绩很优秀那种，需要看暑假情况</t>
        </is>
      </c>
      <c r="AT159" s="311" t="n"/>
    </row>
    <row r="160" ht="26.25" customFormat="1" customHeight="1" s="366">
      <c r="A160" s="1074" t="inlineStr">
        <is>
          <t>新宝利</t>
        </is>
      </c>
      <c r="B160" s="1074" t="inlineStr">
        <is>
          <t>2751323986</t>
        </is>
      </c>
      <c r="C160" s="1074" t="inlineStr">
        <is>
          <t>韦凯晴</t>
        </is>
      </c>
      <c r="D160" s="1074" t="inlineStr">
        <is>
          <t>杨林33</t>
        </is>
      </c>
      <c r="E160" s="1074" t="inlineStr">
        <is>
          <t>纯拉新</t>
        </is>
      </c>
      <c r="F160" s="1074" t="n"/>
      <c r="G160" s="1074" t="n"/>
      <c r="H160" s="1074" t="inlineStr">
        <is>
          <t>在读</t>
        </is>
      </c>
      <c r="I160" s="1074" t="inlineStr">
        <is>
          <t>三期</t>
        </is>
      </c>
      <c r="J160" s="1074" t="inlineStr">
        <is>
          <t>5111035</t>
        </is>
      </c>
      <c r="K160" s="1074" t="inlineStr">
        <is>
          <t>校内成绩</t>
        </is>
      </c>
      <c r="L160" s="1074" t="n">
        <v>72</v>
      </c>
      <c r="M160" s="1074" t="n">
        <v>90</v>
      </c>
      <c r="N160" s="1074" t="inlineStr">
        <is>
          <t>何咏04</t>
        </is>
      </c>
      <c r="O160" s="1074" t="inlineStr">
        <is>
          <t>教室2</t>
        </is>
      </c>
      <c r="P160" s="1074" t="inlineStr">
        <is>
          <t>15:50-18:00</t>
        </is>
      </c>
      <c r="Q160" s="1074" t="inlineStr">
        <is>
          <t>启能班</t>
        </is>
      </c>
      <c r="R160" s="1074" t="inlineStr">
        <is>
          <t>三期</t>
        </is>
      </c>
      <c r="S160" s="1074" t="inlineStr">
        <is>
          <t>在读</t>
        </is>
      </c>
      <c r="T160" s="1074" t="inlineStr">
        <is>
          <t>-</t>
        </is>
      </c>
      <c r="U160" s="1074" t="inlineStr">
        <is>
          <t>5170873</t>
        </is>
      </c>
      <c r="V160" s="1074" t="n"/>
      <c r="W160" s="1074" t="inlineStr">
        <is>
          <t>李润</t>
        </is>
      </c>
      <c r="X160" s="1074" t="inlineStr">
        <is>
          <t>教室2</t>
        </is>
      </c>
      <c r="Y160" s="1074" t="inlineStr">
        <is>
          <t>13:20-15:30</t>
        </is>
      </c>
      <c r="Z160" s="1074" t="inlineStr">
        <is>
          <t>潜能班</t>
        </is>
      </c>
      <c r="AA160" s="1074" t="inlineStr">
        <is>
          <t>三期</t>
        </is>
      </c>
      <c r="AB160" s="1074" t="inlineStr">
        <is>
          <t>在读</t>
        </is>
      </c>
      <c r="AC160" s="1074" t="inlineStr">
        <is>
          <t>-</t>
        </is>
      </c>
      <c r="AD160" s="1074" t="inlineStr">
        <is>
          <t>5170871</t>
        </is>
      </c>
      <c r="AE160" s="1074" t="n"/>
      <c r="AF160" s="1074" t="inlineStr">
        <is>
          <t>肖锐03</t>
        </is>
      </c>
      <c r="AG160" s="1074" t="inlineStr">
        <is>
          <t>教室2</t>
        </is>
      </c>
      <c r="AH160" s="1074" t="inlineStr">
        <is>
          <t>10:20-12:30</t>
        </is>
      </c>
      <c r="AI160" s="1074" t="inlineStr">
        <is>
          <t>潜能班</t>
        </is>
      </c>
      <c r="AJ160" s="1074" t="inlineStr">
        <is>
          <t>三期</t>
        </is>
      </c>
      <c r="AK160" s="1074" t="inlineStr">
        <is>
          <t>在读</t>
        </is>
      </c>
      <c r="AL160" s="1074" t="inlineStr">
        <is>
          <t>-</t>
        </is>
      </c>
      <c r="AM160" s="1074" t="n"/>
      <c r="AN160" s="1074" t="n"/>
      <c r="AO160" s="1074" t="n"/>
      <c r="AP160" s="1074" t="n"/>
      <c r="AQ160" s="1074" t="n"/>
      <c r="AR160" s="1074" t="inlineStr">
        <is>
          <t>S</t>
        </is>
      </c>
      <c r="AS160" s="1074" t="inlineStr">
        <is>
          <t>刘永承转介绍暑假学的好肯定会续的，家长原话，秋季课程也询问过</t>
        </is>
      </c>
      <c r="AT160" s="311" t="n"/>
    </row>
    <row r="161" ht="26.25" customFormat="1" customHeight="1" s="366">
      <c r="A161" s="1074" t="inlineStr">
        <is>
          <t>同创汇</t>
        </is>
      </c>
      <c r="B161" s="1074" t="inlineStr">
        <is>
          <t>4162522590</t>
        </is>
      </c>
      <c r="C161" s="1074" t="inlineStr">
        <is>
          <t>叶晟庭</t>
        </is>
      </c>
      <c r="D161" s="1074" t="inlineStr">
        <is>
          <t>戎凯01</t>
        </is>
      </c>
      <c r="E161" s="1074" t="inlineStr">
        <is>
          <t>纯拉新</t>
        </is>
      </c>
      <c r="F161" s="1074" t="n"/>
      <c r="G161" s="1074" t="n"/>
      <c r="H161" s="1074" t="inlineStr">
        <is>
          <t>退费</t>
        </is>
      </c>
      <c r="I161" s="1074" t="inlineStr">
        <is>
          <t>-</t>
        </is>
      </c>
      <c r="J161" s="1074" t="inlineStr">
        <is>
          <t>5230802</t>
        </is>
      </c>
      <c r="K161" s="1074" t="inlineStr">
        <is>
          <t>校内成绩</t>
        </is>
      </c>
      <c r="L161" s="1074" t="n">
        <v>85</v>
      </c>
      <c r="M161" s="1074" t="n">
        <v>95</v>
      </c>
      <c r="N161" s="1074" t="inlineStr">
        <is>
          <t>田雨涵01</t>
        </is>
      </c>
      <c r="O161" s="1074" t="inlineStr">
        <is>
          <t>02彩虹桥</t>
        </is>
      </c>
      <c r="P161" s="1074" t="inlineStr">
        <is>
          <t>15:50-18:00</t>
        </is>
      </c>
      <c r="Q161" s="1074" t="inlineStr">
        <is>
          <t>潜能班</t>
        </is>
      </c>
      <c r="R161" s="1074" t="inlineStr">
        <is>
          <t>一期</t>
        </is>
      </c>
      <c r="S161" s="1074" t="inlineStr">
        <is>
          <t>课前退</t>
        </is>
      </c>
      <c r="T161" s="1074" t="inlineStr">
        <is>
          <t>-</t>
        </is>
      </c>
      <c r="U161" s="1074" t="inlineStr">
        <is>
          <t>4632448</t>
        </is>
      </c>
      <c r="V161" s="1074" t="n"/>
      <c r="W161" s="1074" t="inlineStr">
        <is>
          <t>陈南05</t>
        </is>
      </c>
      <c r="X161" s="1074" t="inlineStr">
        <is>
          <t>02彩虹桥</t>
        </is>
      </c>
      <c r="Y161" s="1074" t="inlineStr">
        <is>
          <t>10:20-12:30</t>
        </is>
      </c>
      <c r="Z161" s="1074" t="inlineStr">
        <is>
          <t>潜能班</t>
        </is>
      </c>
      <c r="AA161" s="1074" t="inlineStr">
        <is>
          <t>一期</t>
        </is>
      </c>
      <c r="AB161" s="1074" t="inlineStr">
        <is>
          <t>课前退</t>
        </is>
      </c>
      <c r="AC161" s="1074" t="inlineStr">
        <is>
          <t>-</t>
        </is>
      </c>
      <c r="AD161" s="1074" t="inlineStr">
        <is>
          <t>3132837</t>
        </is>
      </c>
      <c r="AE161" s="1074" t="n"/>
      <c r="AF161" s="1074" t="inlineStr">
        <is>
          <t>高心怡04</t>
        </is>
      </c>
      <c r="AG161" s="1074" t="inlineStr">
        <is>
          <t>02彩虹桥</t>
        </is>
      </c>
      <c r="AH161" s="1074" t="inlineStr">
        <is>
          <t>13:20-15:30</t>
        </is>
      </c>
      <c r="AI161" s="1074" t="inlineStr">
        <is>
          <t>潜能班</t>
        </is>
      </c>
      <c r="AJ161" s="1074" t="inlineStr">
        <is>
          <t>一期</t>
        </is>
      </c>
      <c r="AK161" s="1074" t="inlineStr">
        <is>
          <t>课前退</t>
        </is>
      </c>
      <c r="AL161" s="1074" t="inlineStr">
        <is>
          <t>-</t>
        </is>
      </c>
      <c r="AM161" s="1074" t="n"/>
      <c r="AN161" s="1074" t="n"/>
      <c r="AO161" s="1074" t="n"/>
      <c r="AP161" s="1074" t="n"/>
      <c r="AQ161" s="1074" t="n"/>
      <c r="AR161" s="1074" t="inlineStr">
        <is>
          <t>C</t>
        </is>
      </c>
      <c r="AS161" s="1074" t="inlineStr">
        <is>
          <t>申请退费</t>
        </is>
      </c>
      <c r="AT161" s="311" t="n"/>
    </row>
    <row r="162" ht="26.25" customFormat="1" customHeight="1" s="366">
      <c r="A162" s="1074" t="inlineStr">
        <is>
          <t>新宝利</t>
        </is>
      </c>
      <c r="B162" s="1074" t="inlineStr">
        <is>
          <t>4833994919</t>
        </is>
      </c>
      <c r="C162" s="1074" t="inlineStr">
        <is>
          <t>黄天朗</t>
        </is>
      </c>
      <c r="D162" s="1074" t="inlineStr">
        <is>
          <t>张敏烨</t>
        </is>
      </c>
      <c r="E162" s="1074" t="inlineStr">
        <is>
          <t>纯拉新</t>
        </is>
      </c>
      <c r="F162" s="1074" t="n"/>
      <c r="G162" s="1074" t="n"/>
      <c r="H162" s="1074" t="inlineStr">
        <is>
          <t>在读</t>
        </is>
      </c>
      <c r="I162" s="1074" t="inlineStr">
        <is>
          <t>三期</t>
        </is>
      </c>
      <c r="J162" s="1074" t="inlineStr">
        <is>
          <t>5111035</t>
        </is>
      </c>
      <c r="K162" s="1074" t="inlineStr">
        <is>
          <t>校内成绩</t>
        </is>
      </c>
      <c r="L162" s="1074" t="n">
        <v>64</v>
      </c>
      <c r="M162" s="1074" t="n">
        <v>85</v>
      </c>
      <c r="N162" s="1074" t="inlineStr">
        <is>
          <t>何咏04</t>
        </is>
      </c>
      <c r="O162" s="1074" t="inlineStr">
        <is>
          <t>教室2</t>
        </is>
      </c>
      <c r="P162" s="1074" t="inlineStr">
        <is>
          <t>15:50-18:00</t>
        </is>
      </c>
      <c r="Q162" s="1074" t="inlineStr">
        <is>
          <t>启能班</t>
        </is>
      </c>
      <c r="R162" s="1074" t="inlineStr">
        <is>
          <t>三期</t>
        </is>
      </c>
      <c r="S162" s="1074" t="inlineStr">
        <is>
          <t>在读</t>
        </is>
      </c>
      <c r="T162" s="1074" t="inlineStr">
        <is>
          <t>-</t>
        </is>
      </c>
      <c r="U162" s="1074" t="inlineStr">
        <is>
          <t>5170873</t>
        </is>
      </c>
      <c r="V162" s="1074" t="n"/>
      <c r="W162" s="1074" t="inlineStr">
        <is>
          <t>李润</t>
        </is>
      </c>
      <c r="X162" s="1074" t="inlineStr">
        <is>
          <t>教室2</t>
        </is>
      </c>
      <c r="Y162" s="1074" t="inlineStr">
        <is>
          <t>13:20-15:30</t>
        </is>
      </c>
      <c r="Z162" s="1074" t="inlineStr">
        <is>
          <t>潜能班</t>
        </is>
      </c>
      <c r="AA162" s="1074" t="inlineStr">
        <is>
          <t>三期</t>
        </is>
      </c>
      <c r="AB162" s="1074" t="inlineStr">
        <is>
          <t>在读</t>
        </is>
      </c>
      <c r="AC162" s="1074" t="inlineStr">
        <is>
          <t>-</t>
        </is>
      </c>
      <c r="AD162" s="1074" t="inlineStr">
        <is>
          <t>5170871</t>
        </is>
      </c>
      <c r="AE162" s="1074" t="n"/>
      <c r="AF162" s="1074" t="inlineStr">
        <is>
          <t>肖锐03</t>
        </is>
      </c>
      <c r="AG162" s="1074" t="inlineStr">
        <is>
          <t>教室2</t>
        </is>
      </c>
      <c r="AH162" s="1074" t="inlineStr">
        <is>
          <t>10:20-12:30</t>
        </is>
      </c>
      <c r="AI162" s="1074" t="inlineStr">
        <is>
          <t>潜能班</t>
        </is>
      </c>
      <c r="AJ162" s="1074" t="inlineStr">
        <is>
          <t>三期</t>
        </is>
      </c>
      <c r="AK162" s="1074" t="inlineStr">
        <is>
          <t>在读</t>
        </is>
      </c>
      <c r="AL162" s="1074" t="inlineStr">
        <is>
          <t>-</t>
        </is>
      </c>
      <c r="AM162" s="1074" t="n"/>
      <c r="AN162" s="1074" t="n"/>
      <c r="AO162" s="1074" t="n"/>
      <c r="AP162" s="1074" t="n"/>
      <c r="AQ162" s="1074" t="n"/>
      <c r="AR162" s="1074" t="inlineStr">
        <is>
          <t>B</t>
        </is>
      </c>
      <c r="AS162" s="1074" t="inlineStr">
        <is>
          <t>未咨询过秋季价格</t>
        </is>
      </c>
      <c r="AT162" s="311" t="n"/>
    </row>
    <row r="163" ht="26.25" customFormat="1" customHeight="1" s="366">
      <c r="A163" s="1074" t="inlineStr">
        <is>
          <t>新宝利</t>
        </is>
      </c>
      <c r="B163" s="1074" t="inlineStr">
        <is>
          <t>4515679057</t>
        </is>
      </c>
      <c r="C163" s="1074" t="inlineStr">
        <is>
          <t>黄俊皓</t>
        </is>
      </c>
      <c r="D163" s="1074" t="inlineStr">
        <is>
          <t>杨林33</t>
        </is>
      </c>
      <c r="E163" s="1074" t="inlineStr">
        <is>
          <t>纯拉新</t>
        </is>
      </c>
      <c r="F163" s="1074" t="n"/>
      <c r="G163" s="1074" t="n"/>
      <c r="H163" s="1074" t="inlineStr">
        <is>
          <t>在读</t>
        </is>
      </c>
      <c r="I163" s="1074" t="inlineStr">
        <is>
          <t>三期</t>
        </is>
      </c>
      <c r="J163" s="1074" t="inlineStr">
        <is>
          <t>3132902</t>
        </is>
      </c>
      <c r="K163" s="1074" t="inlineStr">
        <is>
          <t>校内成绩</t>
        </is>
      </c>
      <c r="L163" s="1074" t="n">
        <v>72</v>
      </c>
      <c r="M163" s="1074" t="n">
        <v>90</v>
      </c>
      <c r="N163" s="1074" t="inlineStr">
        <is>
          <t>陈中帅</t>
        </is>
      </c>
      <c r="O163" s="1074" t="inlineStr">
        <is>
          <t>教室3</t>
        </is>
      </c>
      <c r="P163" s="1074" t="inlineStr">
        <is>
          <t>13:20-15:30</t>
        </is>
      </c>
      <c r="Q163" s="1074" t="inlineStr">
        <is>
          <t>潜能班</t>
        </is>
      </c>
      <c r="R163" s="1074" t="inlineStr">
        <is>
          <t>三期</t>
        </is>
      </c>
      <c r="S163" s="1074" t="inlineStr">
        <is>
          <t>在读</t>
        </is>
      </c>
      <c r="T163" s="1074" t="inlineStr">
        <is>
          <t>-</t>
        </is>
      </c>
      <c r="U163" s="1074" t="inlineStr">
        <is>
          <t>5230747</t>
        </is>
      </c>
      <c r="V163" s="1074" t="n"/>
      <c r="W163" s="1074" t="inlineStr">
        <is>
          <t>陈南05</t>
        </is>
      </c>
      <c r="X163" s="1074" t="inlineStr">
        <is>
          <t>教室3</t>
        </is>
      </c>
      <c r="Y163" s="1074" t="inlineStr">
        <is>
          <t>10:20-12:30</t>
        </is>
      </c>
      <c r="Z163" s="1074" t="inlineStr">
        <is>
          <t>潜能班</t>
        </is>
      </c>
      <c r="AA163" s="1074" t="inlineStr">
        <is>
          <t>三期</t>
        </is>
      </c>
      <c r="AB163" s="1074" t="inlineStr">
        <is>
          <t>在读</t>
        </is>
      </c>
      <c r="AC163" s="1074" t="inlineStr">
        <is>
          <t>-</t>
        </is>
      </c>
      <c r="AD163" s="1074" t="inlineStr">
        <is>
          <t>5230821</t>
        </is>
      </c>
      <c r="AE163" s="1074" t="n"/>
      <c r="AF163" s="1074" t="inlineStr">
        <is>
          <t>肖锐03</t>
        </is>
      </c>
      <c r="AG163" s="1074" t="inlineStr">
        <is>
          <t>教室3</t>
        </is>
      </c>
      <c r="AH163" s="1074" t="inlineStr">
        <is>
          <t>15:50-18:00</t>
        </is>
      </c>
      <c r="AI163" s="1074" t="inlineStr">
        <is>
          <t>潜能班</t>
        </is>
      </c>
      <c r="AJ163" s="1074" t="inlineStr">
        <is>
          <t>三期</t>
        </is>
      </c>
      <c r="AK163" s="1074" t="inlineStr">
        <is>
          <t>在读</t>
        </is>
      </c>
      <c r="AL163" s="1074" t="inlineStr">
        <is>
          <t>-</t>
        </is>
      </c>
      <c r="AM163" s="1074" t="n"/>
      <c r="AN163" s="1074" t="n"/>
      <c r="AO163" s="1074" t="n"/>
      <c r="AP163" s="1074" t="n"/>
      <c r="AQ163" s="1074" t="n"/>
      <c r="AR163" s="1074" t="inlineStr">
        <is>
          <t>A</t>
        </is>
      </c>
      <c r="AS163" s="1074" t="inlineStr">
        <is>
          <t>初中有长期学习规划及打算,主要看看暑假课程的学习情况来顶</t>
        </is>
      </c>
      <c r="AT163" s="311" t="n"/>
    </row>
    <row r="164" ht="26.25" customFormat="1" customHeight="1" s="366">
      <c r="A164" s="1074" t="inlineStr">
        <is>
          <t>天成大厦</t>
        </is>
      </c>
      <c r="B164" s="1074" t="inlineStr">
        <is>
          <t>2502916961</t>
        </is>
      </c>
      <c r="C164" s="1074" t="inlineStr">
        <is>
          <t>李梓熳</t>
        </is>
      </c>
      <c r="D164" s="1074" t="inlineStr">
        <is>
          <t>陈亮延</t>
        </is>
      </c>
      <c r="E164" s="1074" t="inlineStr">
        <is>
          <t>纯拉新</t>
        </is>
      </c>
      <c r="F164" s="1074" t="n"/>
      <c r="G164" s="1074" t="n"/>
      <c r="H164" s="1074" t="inlineStr">
        <is>
          <t>在读</t>
        </is>
      </c>
      <c r="I164" s="1074" t="inlineStr">
        <is>
          <t>二期</t>
        </is>
      </c>
      <c r="J164" s="1074" t="inlineStr">
        <is>
          <t>3132864</t>
        </is>
      </c>
      <c r="K164" s="1074" t="inlineStr">
        <is>
          <t>校内成绩</t>
        </is>
      </c>
      <c r="L164" s="1074" t="n">
        <v>72</v>
      </c>
      <c r="M164" s="1074" t="n">
        <v>90</v>
      </c>
      <c r="N164" s="1074" t="inlineStr">
        <is>
          <t>宗志鹏</t>
        </is>
      </c>
      <c r="O164" s="1074" t="inlineStr">
        <is>
          <t>03品尚</t>
        </is>
      </c>
      <c r="P164" s="1074" t="inlineStr">
        <is>
          <t>13:20-15:30</t>
        </is>
      </c>
      <c r="Q164" s="1074" t="inlineStr">
        <is>
          <t>潜能班</t>
        </is>
      </c>
      <c r="R164" s="1074" t="inlineStr">
        <is>
          <t>二期</t>
        </is>
      </c>
      <c r="S164" s="1074" t="inlineStr">
        <is>
          <t>在读</t>
        </is>
      </c>
      <c r="T164" s="1074" t="inlineStr">
        <is>
          <t>-</t>
        </is>
      </c>
      <c r="U164" s="1074" t="inlineStr">
        <is>
          <t>3132810</t>
        </is>
      </c>
      <c r="V164" s="1074" t="n"/>
      <c r="W164" s="1074" t="inlineStr">
        <is>
          <t>李润</t>
        </is>
      </c>
      <c r="X164" s="1074" t="inlineStr">
        <is>
          <t>03品尚</t>
        </is>
      </c>
      <c r="Y164" s="1074" t="inlineStr">
        <is>
          <t>15:50-18:00</t>
        </is>
      </c>
      <c r="Z164" s="1074" t="inlineStr">
        <is>
          <t>潜能班</t>
        </is>
      </c>
      <c r="AA164" s="1074" t="inlineStr">
        <is>
          <t>二期</t>
        </is>
      </c>
      <c r="AB164" s="1074" t="inlineStr">
        <is>
          <t>在读</t>
        </is>
      </c>
      <c r="AC164" s="1074" t="inlineStr">
        <is>
          <t>-</t>
        </is>
      </c>
      <c r="AD164" s="1074" t="inlineStr">
        <is>
          <t>3132858</t>
        </is>
      </c>
      <c r="AE164" s="1074" t="n"/>
      <c r="AF164" s="1074" t="inlineStr">
        <is>
          <t>刘希子</t>
        </is>
      </c>
      <c r="AG164" s="1074" t="inlineStr">
        <is>
          <t>03品尚</t>
        </is>
      </c>
      <c r="AH164" s="1074" t="inlineStr">
        <is>
          <t>10:20-12:30</t>
        </is>
      </c>
      <c r="AI164" s="1074" t="inlineStr">
        <is>
          <t>潜能班</t>
        </is>
      </c>
      <c r="AJ164" s="1074" t="inlineStr">
        <is>
          <t>二期</t>
        </is>
      </c>
      <c r="AK164" s="1074" t="inlineStr">
        <is>
          <t>在读</t>
        </is>
      </c>
      <c r="AL164" s="1074" t="inlineStr">
        <is>
          <t>-</t>
        </is>
      </c>
      <c r="AM164" s="1074" t="n"/>
      <c r="AN164" s="1074" t="n"/>
      <c r="AO164" s="1074" t="n"/>
      <c r="AP164" s="1074" t="n"/>
      <c r="AQ164" s="1074" t="n"/>
      <c r="AR164" s="1074" t="n"/>
      <c r="AS164" s="1074" t="n"/>
      <c r="AT164" s="311" t="n"/>
    </row>
    <row r="165" ht="26.25" customFormat="1" customHeight="1" s="366">
      <c r="A165" s="1074" t="inlineStr">
        <is>
          <t>同创汇</t>
        </is>
      </c>
      <c r="B165" s="1074" t="inlineStr">
        <is>
          <t>4286627349</t>
        </is>
      </c>
      <c r="C165" s="1074" t="inlineStr">
        <is>
          <t>唐琳</t>
        </is>
      </c>
      <c r="D165" s="1074" t="inlineStr">
        <is>
          <t>戎凯01</t>
        </is>
      </c>
      <c r="E165" s="1074" t="inlineStr">
        <is>
          <t>纯拉新</t>
        </is>
      </c>
      <c r="F165" s="1074" t="n"/>
      <c r="G165" s="1074" t="n"/>
      <c r="H165" s="1074" t="inlineStr">
        <is>
          <t>退费</t>
        </is>
      </c>
      <c r="I165" s="1074" t="inlineStr">
        <is>
          <t>-</t>
        </is>
      </c>
      <c r="J165" s="1074" t="inlineStr">
        <is>
          <t>3132897</t>
        </is>
      </c>
      <c r="K165" s="1074" t="inlineStr">
        <is>
          <t>校内成绩</t>
        </is>
      </c>
      <c r="L165" s="1074" t="n">
        <v>72</v>
      </c>
      <c r="M165" s="1074" t="n">
        <v>90</v>
      </c>
      <c r="N165" s="1074" t="inlineStr">
        <is>
          <t>陈中帅</t>
        </is>
      </c>
      <c r="O165" s="1074" t="inlineStr">
        <is>
          <t>01智慧林</t>
        </is>
      </c>
      <c r="P165" s="1074" t="inlineStr">
        <is>
          <t>10:20-12:30</t>
        </is>
      </c>
      <c r="Q165" s="1074" t="inlineStr">
        <is>
          <t>潜能班</t>
        </is>
      </c>
      <c r="R165" s="1074" t="inlineStr">
        <is>
          <t>零期</t>
        </is>
      </c>
      <c r="S165" s="1074" t="inlineStr">
        <is>
          <t>课前退</t>
        </is>
      </c>
      <c r="T165" s="1074" t="inlineStr">
        <is>
          <t>-</t>
        </is>
      </c>
      <c r="U165" s="1074" t="inlineStr">
        <is>
          <t>5230722</t>
        </is>
      </c>
      <c r="V165" s="1074" t="n"/>
      <c r="W165" s="1074" t="inlineStr">
        <is>
          <t>李润</t>
        </is>
      </c>
      <c r="X165" s="1074" t="inlineStr">
        <is>
          <t>01智慧林</t>
        </is>
      </c>
      <c r="Y165" s="1074" t="inlineStr">
        <is>
          <t>15:50-18:00</t>
        </is>
      </c>
      <c r="Z165" s="1074" t="inlineStr">
        <is>
          <t>潜能班</t>
        </is>
      </c>
      <c r="AA165" s="1074" t="inlineStr">
        <is>
          <t>零期</t>
        </is>
      </c>
      <c r="AB165" s="1074" t="inlineStr">
        <is>
          <t>课前退</t>
        </is>
      </c>
      <c r="AC165" s="1074" t="inlineStr">
        <is>
          <t>-</t>
        </is>
      </c>
      <c r="AD165" s="1074" t="inlineStr">
        <is>
          <t>5230737</t>
        </is>
      </c>
      <c r="AE165" s="1074" t="n"/>
      <c r="AF165" s="1074" t="inlineStr">
        <is>
          <t>高心怡04</t>
        </is>
      </c>
      <c r="AG165" s="1074" t="inlineStr">
        <is>
          <t>01智慧林</t>
        </is>
      </c>
      <c r="AH165" s="1074" t="inlineStr">
        <is>
          <t>13:20-15:30</t>
        </is>
      </c>
      <c r="AI165" s="1074" t="inlineStr">
        <is>
          <t>潜能班</t>
        </is>
      </c>
      <c r="AJ165" s="1074" t="inlineStr">
        <is>
          <t>零期</t>
        </is>
      </c>
      <c r="AK165" s="1074" t="inlineStr">
        <is>
          <t>课前退</t>
        </is>
      </c>
      <c r="AL165" s="1074" t="inlineStr">
        <is>
          <t>-</t>
        </is>
      </c>
      <c r="AM165" s="1074" t="n"/>
      <c r="AN165" s="1074" t="n"/>
      <c r="AO165" s="1074" t="n"/>
      <c r="AP165" s="1074" t="n"/>
      <c r="AQ165" s="1074" t="n"/>
      <c r="AR165" s="1074" t="inlineStr">
        <is>
          <t>B</t>
        </is>
      </c>
      <c r="AS165" s="1074" t="inlineStr">
        <is>
          <t>之前讲座转化的，孩子比较优秀</t>
        </is>
      </c>
      <c r="AT165" s="311" t="n"/>
    </row>
    <row r="166" ht="26.25" customFormat="1" customHeight="1" s="366">
      <c r="A166" s="1074" t="inlineStr">
        <is>
          <t>新宝利</t>
        </is>
      </c>
      <c r="B166" s="1074" t="inlineStr">
        <is>
          <t>2139918258</t>
        </is>
      </c>
      <c r="C166" s="1074" t="inlineStr">
        <is>
          <t>李佩颖</t>
        </is>
      </c>
      <c r="D166" s="1074" t="inlineStr">
        <is>
          <t>杨林33</t>
        </is>
      </c>
      <c r="E166" s="1074" t="inlineStr">
        <is>
          <t>纯拉新</t>
        </is>
      </c>
      <c r="F166" s="1074" t="n"/>
      <c r="G166" s="1074" t="n"/>
      <c r="H166" s="1074" t="inlineStr">
        <is>
          <t>在读</t>
        </is>
      </c>
      <c r="I166" s="1074" t="inlineStr">
        <is>
          <t>三期</t>
        </is>
      </c>
      <c r="J166" s="1074" t="inlineStr">
        <is>
          <t>3132902</t>
        </is>
      </c>
      <c r="K166" s="1074" t="inlineStr">
        <is>
          <t>报前测成绩</t>
        </is>
      </c>
      <c r="L166" s="1074" t="n">
        <v>45</v>
      </c>
      <c r="M166" s="1074" t="inlineStr">
        <is>
          <t>-</t>
        </is>
      </c>
      <c r="N166" s="1074" t="inlineStr">
        <is>
          <t>陈中帅</t>
        </is>
      </c>
      <c r="O166" s="1074" t="inlineStr">
        <is>
          <t>教室3</t>
        </is>
      </c>
      <c r="P166" s="1074" t="inlineStr">
        <is>
          <t>13:20-15:30</t>
        </is>
      </c>
      <c r="Q166" s="1074" t="inlineStr">
        <is>
          <t>潜能班</t>
        </is>
      </c>
      <c r="R166" s="1074" t="inlineStr">
        <is>
          <t>三期</t>
        </is>
      </c>
      <c r="S166" s="1074" t="inlineStr">
        <is>
          <t>在读</t>
        </is>
      </c>
      <c r="T166" s="1074" t="inlineStr">
        <is>
          <t>-</t>
        </is>
      </c>
      <c r="U166" s="1074" t="inlineStr">
        <is>
          <t>5170873</t>
        </is>
      </c>
      <c r="V166" s="1074" t="n">
        <v>28</v>
      </c>
      <c r="W166" s="1074" t="inlineStr">
        <is>
          <t>李润</t>
        </is>
      </c>
      <c r="X166" s="1074" t="inlineStr">
        <is>
          <t>教室2</t>
        </is>
      </c>
      <c r="Y166" s="1074" t="inlineStr">
        <is>
          <t>13:20-15:30</t>
        </is>
      </c>
      <c r="Z166" s="1074" t="inlineStr">
        <is>
          <t>潜能班</t>
        </is>
      </c>
      <c r="AA166" s="1074" t="inlineStr">
        <is>
          <t>三期</t>
        </is>
      </c>
      <c r="AB166" s="1074" t="inlineStr">
        <is>
          <t>在读</t>
        </is>
      </c>
      <c r="AC166" s="1074" t="inlineStr">
        <is>
          <t>-</t>
        </is>
      </c>
      <c r="AD166" s="1074" t="inlineStr">
        <is>
          <t>5170871</t>
        </is>
      </c>
      <c r="AE166" s="1074" t="n"/>
      <c r="AF166" s="1074" t="inlineStr">
        <is>
          <t>肖锐03</t>
        </is>
      </c>
      <c r="AG166" s="1074" t="inlineStr">
        <is>
          <t>教室2</t>
        </is>
      </c>
      <c r="AH166" s="1074" t="inlineStr">
        <is>
          <t>10:20-12:30</t>
        </is>
      </c>
      <c r="AI166" s="1074" t="inlineStr">
        <is>
          <t>潜能班</t>
        </is>
      </c>
      <c r="AJ166" s="1074" t="inlineStr">
        <is>
          <t>三期</t>
        </is>
      </c>
      <c r="AK166" s="1074" t="inlineStr">
        <is>
          <t>在读</t>
        </is>
      </c>
      <c r="AL166" s="1074" t="inlineStr">
        <is>
          <t>-</t>
        </is>
      </c>
      <c r="AM166" s="1074" t="n"/>
      <c r="AN166" s="1074" t="n"/>
      <c r="AO166" s="1074" t="n"/>
      <c r="AP166" s="1074" t="n"/>
      <c r="AQ166" s="1074" t="n"/>
      <c r="AR166" s="1074" t="inlineStr">
        <is>
          <t>S</t>
        </is>
      </c>
      <c r="AS166" s="1074" t="inlineStr">
        <is>
          <t>教育意识不错，支付能力OK，学的好会长期学，当时问过秋季班情况</t>
        </is>
      </c>
      <c r="AT166" s="311" t="n"/>
    </row>
    <row r="167" ht="26.25" customFormat="1" customHeight="1" s="366">
      <c r="A167" s="1074" t="inlineStr">
        <is>
          <t>新宝利</t>
        </is>
      </c>
      <c r="B167" s="1074" t="inlineStr">
        <is>
          <t>4019983317</t>
        </is>
      </c>
      <c r="C167" s="1074" t="inlineStr">
        <is>
          <t>倪嘉儿</t>
        </is>
      </c>
      <c r="D167" s="1074" t="inlineStr">
        <is>
          <t>王丽</t>
        </is>
      </c>
      <c r="E167" s="1074" t="inlineStr">
        <is>
          <t>纯拉新</t>
        </is>
      </c>
      <c r="F167" s="1074" t="n"/>
      <c r="G167" s="1074" t="n"/>
      <c r="H167" s="1074" t="inlineStr">
        <is>
          <t>在读</t>
        </is>
      </c>
      <c r="I167" s="1074" t="inlineStr">
        <is>
          <t>三期</t>
        </is>
      </c>
      <c r="J167" s="1074" t="inlineStr">
        <is>
          <t>3132902</t>
        </is>
      </c>
      <c r="K167" s="1074" t="inlineStr">
        <is>
          <t>校内成绩</t>
        </is>
      </c>
      <c r="L167" s="1074" t="n">
        <v>72</v>
      </c>
      <c r="M167" s="1074" t="n">
        <v>90</v>
      </c>
      <c r="N167" s="1074" t="inlineStr">
        <is>
          <t>陈中帅</t>
        </is>
      </c>
      <c r="O167" s="1074" t="inlineStr">
        <is>
          <t>教室3</t>
        </is>
      </c>
      <c r="P167" s="1074" t="inlineStr">
        <is>
          <t>13:20-15:30</t>
        </is>
      </c>
      <c r="Q167" s="1074" t="inlineStr">
        <is>
          <t>潜能班</t>
        </is>
      </c>
      <c r="R167" s="1074" t="inlineStr">
        <is>
          <t>三期</t>
        </is>
      </c>
      <c r="S167" s="1074" t="inlineStr">
        <is>
          <t>在读</t>
        </is>
      </c>
      <c r="T167" s="1074" t="inlineStr">
        <is>
          <t>-</t>
        </is>
      </c>
      <c r="U167" s="1074" t="inlineStr">
        <is>
          <t>5230747</t>
        </is>
      </c>
      <c r="V167" s="1074" t="n"/>
      <c r="W167" s="1074" t="inlineStr">
        <is>
          <t>陈南05</t>
        </is>
      </c>
      <c r="X167" s="1074" t="inlineStr">
        <is>
          <t>教室3</t>
        </is>
      </c>
      <c r="Y167" s="1074" t="inlineStr">
        <is>
          <t>10:20-12:30</t>
        </is>
      </c>
      <c r="Z167" s="1074" t="inlineStr">
        <is>
          <t>潜能班</t>
        </is>
      </c>
      <c r="AA167" s="1074" t="inlineStr">
        <is>
          <t>三期</t>
        </is>
      </c>
      <c r="AB167" s="1074" t="inlineStr">
        <is>
          <t>在读</t>
        </is>
      </c>
      <c r="AC167" s="1074" t="inlineStr">
        <is>
          <t>-</t>
        </is>
      </c>
      <c r="AD167" s="1074" t="inlineStr">
        <is>
          <t>5230821</t>
        </is>
      </c>
      <c r="AE167" s="1074" t="n"/>
      <c r="AF167" s="1074" t="inlineStr">
        <is>
          <t>肖锐03</t>
        </is>
      </c>
      <c r="AG167" s="1074" t="inlineStr">
        <is>
          <t>教室3</t>
        </is>
      </c>
      <c r="AH167" s="1074" t="inlineStr">
        <is>
          <t>15:50-18:00</t>
        </is>
      </c>
      <c r="AI167" s="1074" t="inlineStr">
        <is>
          <t>潜能班</t>
        </is>
      </c>
      <c r="AJ167" s="1074" t="inlineStr">
        <is>
          <t>三期</t>
        </is>
      </c>
      <c r="AK167" s="1074" t="inlineStr">
        <is>
          <t>在读</t>
        </is>
      </c>
      <c r="AL167" s="1074" t="inlineStr">
        <is>
          <t>-</t>
        </is>
      </c>
      <c r="AM167" s="1074" t="n"/>
      <c r="AN167" s="1074" t="n"/>
      <c r="AO167" s="1074" t="n"/>
      <c r="AP167" s="1074" t="n"/>
      <c r="AQ167" s="1074" t="n"/>
      <c r="AR167" s="1074" t="inlineStr">
        <is>
          <t>B</t>
        </is>
      </c>
      <c r="AS167" s="1074" t="inlineStr">
        <is>
          <t>先体验下暑假课，没聊秋季课的事情</t>
        </is>
      </c>
      <c r="AT167" s="311" t="n"/>
    </row>
    <row r="168" ht="26.25" customFormat="1" customHeight="1" s="366">
      <c r="A168" s="1074" t="inlineStr">
        <is>
          <t>天成大厦</t>
        </is>
      </c>
      <c r="B168" s="1074" t="inlineStr">
        <is>
          <t>4442600800</t>
        </is>
      </c>
      <c r="C168" s="1074" t="inlineStr">
        <is>
          <t>冼梓琳</t>
        </is>
      </c>
      <c r="D168" s="1074" t="inlineStr">
        <is>
          <t>陈亮延</t>
        </is>
      </c>
      <c r="E168" s="1074" t="inlineStr">
        <is>
          <t>纯拉新</t>
        </is>
      </c>
      <c r="F168" s="1074" t="n"/>
      <c r="G168" s="1074" t="n"/>
      <c r="H168" s="1074" t="inlineStr">
        <is>
          <t>在读</t>
        </is>
      </c>
      <c r="I168" s="1074" t="inlineStr">
        <is>
          <t>一期/二期</t>
        </is>
      </c>
      <c r="J168" s="1074" t="inlineStr">
        <is>
          <t>3132864</t>
        </is>
      </c>
      <c r="K168" s="1074" t="inlineStr">
        <is>
          <t>报前测成绩</t>
        </is>
      </c>
      <c r="L168" s="1074" t="n">
        <v>90</v>
      </c>
      <c r="M168" s="1074" t="inlineStr">
        <is>
          <t>-</t>
        </is>
      </c>
      <c r="N168" s="1074" t="inlineStr">
        <is>
          <t>宗志鹏</t>
        </is>
      </c>
      <c r="O168" s="1074" t="inlineStr">
        <is>
          <t>03品尚</t>
        </is>
      </c>
      <c r="P168" s="1074" t="inlineStr">
        <is>
          <t>13:20-15:30</t>
        </is>
      </c>
      <c r="Q168" s="1074" t="inlineStr">
        <is>
          <t>潜能班</t>
        </is>
      </c>
      <c r="R168" s="1074" t="inlineStr">
        <is>
          <t>二期</t>
        </is>
      </c>
      <c r="S168" s="1074" t="inlineStr">
        <is>
          <t>在读</t>
        </is>
      </c>
      <c r="T168" s="1074" t="inlineStr">
        <is>
          <t>-</t>
        </is>
      </c>
      <c r="U168" s="1074" t="inlineStr">
        <is>
          <t>3132810</t>
        </is>
      </c>
      <c r="V168" s="1074" t="n">
        <v>31</v>
      </c>
      <c r="W168" s="1074" t="inlineStr">
        <is>
          <t>李润</t>
        </is>
      </c>
      <c r="X168" s="1074" t="inlineStr">
        <is>
          <t>03品尚</t>
        </is>
      </c>
      <c r="Y168" s="1074" t="inlineStr">
        <is>
          <t>15:50-18:00</t>
        </is>
      </c>
      <c r="Z168" s="1074" t="inlineStr">
        <is>
          <t>潜能班</t>
        </is>
      </c>
      <c r="AA168" s="1074" t="inlineStr">
        <is>
          <t>二期</t>
        </is>
      </c>
      <c r="AB168" s="1074" t="inlineStr">
        <is>
          <t>在读</t>
        </is>
      </c>
      <c r="AC168" s="1074" t="inlineStr">
        <is>
          <t>-</t>
        </is>
      </c>
      <c r="AD168" s="1074" t="inlineStr">
        <is>
          <t>5230783</t>
        </is>
      </c>
      <c r="AE168" s="1074" t="n">
        <v>39.5</v>
      </c>
      <c r="AF168" s="1074" t="inlineStr">
        <is>
          <t>刘希子</t>
        </is>
      </c>
      <c r="AG168" s="1074" t="inlineStr">
        <is>
          <t>03品尚</t>
        </is>
      </c>
      <c r="AH168" s="1074" t="inlineStr">
        <is>
          <t>13:20-15:30</t>
        </is>
      </c>
      <c r="AI168" s="1074" t="inlineStr">
        <is>
          <t>潜能班</t>
        </is>
      </c>
      <c r="AJ168" s="1074" t="inlineStr">
        <is>
          <t>一期</t>
        </is>
      </c>
      <c r="AK168" s="1074" t="inlineStr">
        <is>
          <t>在读</t>
        </is>
      </c>
      <c r="AL168" s="1074" t="inlineStr">
        <is>
          <t>-</t>
        </is>
      </c>
      <c r="AM168" s="1074" t="n"/>
      <c r="AN168" s="1074" t="n"/>
      <c r="AO168" s="1074" t="n"/>
      <c r="AP168" s="1074" t="n"/>
      <c r="AQ168" s="1074" t="n"/>
      <c r="AR168" s="1074" t="n"/>
      <c r="AS168" s="1074" t="n"/>
      <c r="AT168" s="311" t="n"/>
    </row>
    <row r="169" ht="26.25" customFormat="1" customHeight="1" s="366">
      <c r="A169" s="1074" t="inlineStr">
        <is>
          <t>同创汇</t>
        </is>
      </c>
      <c r="B169" s="1074" t="inlineStr">
        <is>
          <t>4820562542</t>
        </is>
      </c>
      <c r="C169" s="1074" t="inlineStr">
        <is>
          <t>吴佳恒</t>
        </is>
      </c>
      <c r="D169" s="1074" t="inlineStr">
        <is>
          <t>王丽</t>
        </is>
      </c>
      <c r="E169" s="1074" t="inlineStr">
        <is>
          <t>纯拉新</t>
        </is>
      </c>
      <c r="F169" s="1074" t="n"/>
      <c r="G169" s="1074" t="n"/>
      <c r="H169" s="1074" t="inlineStr">
        <is>
          <t>在读</t>
        </is>
      </c>
      <c r="I169" s="1074" t="inlineStr">
        <is>
          <t>二期</t>
        </is>
      </c>
      <c r="J169" s="1074" t="inlineStr">
        <is>
          <t>-</t>
        </is>
      </c>
      <c r="K169" s="1074" t="inlineStr"/>
      <c r="L169" s="1074" t="inlineStr"/>
      <c r="M169" s="1074" t="inlineStr"/>
      <c r="N169" s="1074" t="inlineStr">
        <is>
          <t>-</t>
        </is>
      </c>
      <c r="O169" s="1074" t="inlineStr">
        <is>
          <t>-</t>
        </is>
      </c>
      <c r="P169" s="1074" t="inlineStr">
        <is>
          <t>-</t>
        </is>
      </c>
      <c r="Q169" s="1074" t="inlineStr">
        <is>
          <t>-</t>
        </is>
      </c>
      <c r="R169" s="1074" t="inlineStr">
        <is>
          <t>-</t>
        </is>
      </c>
      <c r="S169" s="1074" t="inlineStr">
        <is>
          <t>-</t>
        </is>
      </c>
      <c r="T169" s="1074" t="inlineStr">
        <is>
          <t>-</t>
        </is>
      </c>
      <c r="U169" s="1074" t="inlineStr">
        <is>
          <t>5230809</t>
        </is>
      </c>
      <c r="V169" s="1074" t="n">
        <v>30</v>
      </c>
      <c r="W169" s="1074" t="inlineStr">
        <is>
          <t>李润</t>
        </is>
      </c>
      <c r="X169" s="1074" t="inlineStr">
        <is>
          <t>01智慧林</t>
        </is>
      </c>
      <c r="Y169" s="1074" t="inlineStr">
        <is>
          <t>10:20-12:30</t>
        </is>
      </c>
      <c r="Z169" s="1074" t="inlineStr">
        <is>
          <t>潜能班</t>
        </is>
      </c>
      <c r="AA169" s="1074" t="inlineStr">
        <is>
          <t>二期</t>
        </is>
      </c>
      <c r="AB169" s="1074" t="inlineStr">
        <is>
          <t>在读</t>
        </is>
      </c>
      <c r="AC169" s="1074" t="inlineStr">
        <is>
          <t>-</t>
        </is>
      </c>
      <c r="AD169" s="1074" t="inlineStr">
        <is>
          <t>-</t>
        </is>
      </c>
      <c r="AE169" s="1074" t="inlineStr"/>
      <c r="AF169" s="1074" t="inlineStr">
        <is>
          <t>-</t>
        </is>
      </c>
      <c r="AG169" s="1074" t="inlineStr">
        <is>
          <t>-</t>
        </is>
      </c>
      <c r="AH169" s="1074" t="inlineStr">
        <is>
          <t>-</t>
        </is>
      </c>
      <c r="AI169" s="1074" t="inlineStr">
        <is>
          <t>-</t>
        </is>
      </c>
      <c r="AJ169" s="1074" t="inlineStr">
        <is>
          <t>-</t>
        </is>
      </c>
      <c r="AK169" s="1074" t="inlineStr">
        <is>
          <t>-</t>
        </is>
      </c>
      <c r="AL169" s="1074" t="inlineStr">
        <is>
          <t>-</t>
        </is>
      </c>
      <c r="AM169" s="1074" t="n"/>
      <c r="AN169" s="1074" t="n"/>
      <c r="AO169" s="1074" t="n"/>
      <c r="AP169" s="1074" t="n"/>
      <c r="AQ169" s="1074" t="n"/>
      <c r="AR169" s="1074" t="inlineStr">
        <is>
          <t>A</t>
        </is>
      </c>
      <c r="AS169" s="1074" t="inlineStr">
        <is>
          <t>妈妈有支付能力，对孩子比较重视</t>
        </is>
      </c>
      <c r="AT169" s="311" t="n"/>
    </row>
    <row r="170" ht="26.25" customFormat="1" customHeight="1" s="366">
      <c r="A170" s="1074" t="inlineStr">
        <is>
          <t>同创汇</t>
        </is>
      </c>
      <c r="B170" s="1074" t="inlineStr">
        <is>
          <t>2389327604</t>
        </is>
      </c>
      <c r="C170" s="1074" t="inlineStr">
        <is>
          <t>胡宇航</t>
        </is>
      </c>
      <c r="D170" s="1074" t="inlineStr">
        <is>
          <t>沈思浩</t>
        </is>
      </c>
      <c r="E170" s="1074" t="inlineStr">
        <is>
          <t>纯拉新</t>
        </is>
      </c>
      <c r="F170" s="1074" t="n"/>
      <c r="G170" s="1074" t="n"/>
      <c r="H170" s="1074" t="inlineStr">
        <is>
          <t>在读</t>
        </is>
      </c>
      <c r="I170" s="1074" t="inlineStr">
        <is>
          <t>二期</t>
        </is>
      </c>
      <c r="J170" s="1074" t="inlineStr">
        <is>
          <t>3132864</t>
        </is>
      </c>
      <c r="K170" s="1074" t="inlineStr">
        <is>
          <t>校内成绩</t>
        </is>
      </c>
      <c r="L170" s="1074" t="n">
        <v>72</v>
      </c>
      <c r="M170" s="1074" t="n">
        <v>90</v>
      </c>
      <c r="N170" s="1074" t="inlineStr">
        <is>
          <t>宗志鹏</t>
        </is>
      </c>
      <c r="O170" s="1074" t="inlineStr">
        <is>
          <t>03品尚</t>
        </is>
      </c>
      <c r="P170" s="1074" t="inlineStr">
        <is>
          <t>13:20-15:30</t>
        </is>
      </c>
      <c r="Q170" s="1074" t="inlineStr">
        <is>
          <t>潜能班</t>
        </is>
      </c>
      <c r="R170" s="1074" t="inlineStr">
        <is>
          <t>二期</t>
        </is>
      </c>
      <c r="S170" s="1074" t="inlineStr">
        <is>
          <t>在读</t>
        </is>
      </c>
      <c r="T170" s="1074" t="inlineStr">
        <is>
          <t>-</t>
        </is>
      </c>
      <c r="U170" s="1074" t="inlineStr">
        <is>
          <t>5230809</t>
        </is>
      </c>
      <c r="V170" s="1074" t="n"/>
      <c r="W170" s="1074" t="inlineStr">
        <is>
          <t>李润</t>
        </is>
      </c>
      <c r="X170" s="1074" t="inlineStr">
        <is>
          <t>01智慧林</t>
        </is>
      </c>
      <c r="Y170" s="1074" t="inlineStr">
        <is>
          <t>10:20-12:30</t>
        </is>
      </c>
      <c r="Z170" s="1074" t="inlineStr">
        <is>
          <t>潜能班</t>
        </is>
      </c>
      <c r="AA170" s="1074" t="inlineStr">
        <is>
          <t>二期</t>
        </is>
      </c>
      <c r="AB170" s="1074" t="inlineStr">
        <is>
          <t>在读</t>
        </is>
      </c>
      <c r="AC170" s="1074" t="inlineStr">
        <is>
          <t>-</t>
        </is>
      </c>
      <c r="AD170" s="1074" t="inlineStr">
        <is>
          <t>3132858</t>
        </is>
      </c>
      <c r="AE170" s="1074" t="n"/>
      <c r="AF170" s="1074" t="inlineStr">
        <is>
          <t>刘希子</t>
        </is>
      </c>
      <c r="AG170" s="1074" t="inlineStr">
        <is>
          <t>03品尚</t>
        </is>
      </c>
      <c r="AH170" s="1074" t="inlineStr">
        <is>
          <t>10:20-12:30</t>
        </is>
      </c>
      <c r="AI170" s="1074" t="inlineStr">
        <is>
          <t>潜能班</t>
        </is>
      </c>
      <c r="AJ170" s="1074" t="inlineStr">
        <is>
          <t>二期</t>
        </is>
      </c>
      <c r="AK170" s="1074" t="inlineStr">
        <is>
          <t>在读</t>
        </is>
      </c>
      <c r="AL170" s="1074" t="inlineStr">
        <is>
          <t>-</t>
        </is>
      </c>
      <c r="AM170" s="1074" t="n"/>
      <c r="AN170" s="1074" t="n"/>
      <c r="AO170" s="1074" t="n"/>
      <c r="AP170" s="1074" t="n"/>
      <c r="AQ170" s="1074" t="n"/>
      <c r="AR170" s="1074" t="inlineStr">
        <is>
          <t>A</t>
        </is>
      </c>
      <c r="AS170" s="1074" t="inlineStr">
        <is>
          <t>宣蕴、宇航、芷霖是一起的同学，先看学习效果</t>
        </is>
      </c>
      <c r="AT170" s="311" t="n"/>
    </row>
    <row r="171" ht="26.25" customFormat="1" customHeight="1" s="366">
      <c r="A171" s="1074" t="inlineStr">
        <is>
          <t>新宝利</t>
        </is>
      </c>
      <c r="B171" s="1074" t="inlineStr">
        <is>
          <t>4840567291</t>
        </is>
      </c>
      <c r="C171" s="1074" t="inlineStr">
        <is>
          <t>梁韶轩</t>
        </is>
      </c>
      <c r="D171" s="1074" t="inlineStr">
        <is>
          <t>杨林33</t>
        </is>
      </c>
      <c r="E171" s="1074" t="inlineStr">
        <is>
          <t>纯拉新</t>
        </is>
      </c>
      <c r="F171" s="1074" t="n"/>
      <c r="G171" s="1074" t="n"/>
      <c r="H171" s="1074" t="inlineStr">
        <is>
          <t>在读</t>
        </is>
      </c>
      <c r="I171" s="1074" t="inlineStr">
        <is>
          <t>三期</t>
        </is>
      </c>
      <c r="J171" s="1074" t="inlineStr">
        <is>
          <t>3132902</t>
        </is>
      </c>
      <c r="K171" s="1074" t="inlineStr">
        <is>
          <t>校内成绩</t>
        </is>
      </c>
      <c r="L171" s="1074" t="n">
        <v>64</v>
      </c>
      <c r="M171" s="1074" t="n">
        <v>85</v>
      </c>
      <c r="N171" s="1074" t="inlineStr">
        <is>
          <t>陈中帅</t>
        </is>
      </c>
      <c r="O171" s="1074" t="inlineStr">
        <is>
          <t>教室3</t>
        </is>
      </c>
      <c r="P171" s="1074" t="inlineStr">
        <is>
          <t>13:20-15:30</t>
        </is>
      </c>
      <c r="Q171" s="1074" t="inlineStr">
        <is>
          <t>潜能班</t>
        </is>
      </c>
      <c r="R171" s="1074" t="inlineStr">
        <is>
          <t>三期</t>
        </is>
      </c>
      <c r="S171" s="1074" t="inlineStr">
        <is>
          <t>在读</t>
        </is>
      </c>
      <c r="T171" s="1074" t="inlineStr">
        <is>
          <t>-</t>
        </is>
      </c>
      <c r="U171" s="1074" t="inlineStr">
        <is>
          <t>5230747</t>
        </is>
      </c>
      <c r="V171" s="1074" t="n"/>
      <c r="W171" s="1074" t="inlineStr">
        <is>
          <t>陈南05</t>
        </is>
      </c>
      <c r="X171" s="1074" t="inlineStr">
        <is>
          <t>教室3</t>
        </is>
      </c>
      <c r="Y171" s="1074" t="inlineStr">
        <is>
          <t>10:20-12:30</t>
        </is>
      </c>
      <c r="Z171" s="1074" t="inlineStr">
        <is>
          <t>潜能班</t>
        </is>
      </c>
      <c r="AA171" s="1074" t="inlineStr">
        <is>
          <t>三期</t>
        </is>
      </c>
      <c r="AB171" s="1074" t="inlineStr">
        <is>
          <t>在读</t>
        </is>
      </c>
      <c r="AC171" s="1074" t="inlineStr">
        <is>
          <t>-</t>
        </is>
      </c>
      <c r="AD171" s="1074" t="inlineStr">
        <is>
          <t>5230821</t>
        </is>
      </c>
      <c r="AE171" s="1074" t="n"/>
      <c r="AF171" s="1074" t="inlineStr">
        <is>
          <t>肖锐03</t>
        </is>
      </c>
      <c r="AG171" s="1074" t="inlineStr">
        <is>
          <t>教室3</t>
        </is>
      </c>
      <c r="AH171" s="1074" t="inlineStr">
        <is>
          <t>15:50-18:00</t>
        </is>
      </c>
      <c r="AI171" s="1074" t="inlineStr">
        <is>
          <t>潜能班</t>
        </is>
      </c>
      <c r="AJ171" s="1074" t="inlineStr">
        <is>
          <t>三期</t>
        </is>
      </c>
      <c r="AK171" s="1074" t="inlineStr">
        <is>
          <t>在读</t>
        </is>
      </c>
      <c r="AL171" s="1074" t="inlineStr">
        <is>
          <t>-</t>
        </is>
      </c>
      <c r="AM171" s="1074" t="n"/>
      <c r="AN171" s="1074" t="n"/>
      <c r="AO171" s="1074" t="n"/>
      <c r="AP171" s="1074" t="n"/>
      <c r="AQ171" s="1074" t="n"/>
      <c r="AR171" s="1074" t="inlineStr">
        <is>
          <t>B</t>
        </is>
      </c>
      <c r="AS171" s="1074" t="inlineStr">
        <is>
          <t>其他机构也在读，会对比进行选择</t>
        </is>
      </c>
      <c r="AT171" s="311" t="n"/>
    </row>
    <row r="172" ht="26.25" customFormat="1" customHeight="1" s="366">
      <c r="A172" s="1074" t="inlineStr">
        <is>
          <t>同创汇</t>
        </is>
      </c>
      <c r="B172" s="1074" t="inlineStr">
        <is>
          <t>4180623576</t>
        </is>
      </c>
      <c r="C172" s="1074" t="inlineStr">
        <is>
          <t>叶家荣</t>
        </is>
      </c>
      <c r="D172" s="1074" t="inlineStr">
        <is>
          <t>王丽</t>
        </is>
      </c>
      <c r="E172" s="1074" t="inlineStr">
        <is>
          <t>纯拉新</t>
        </is>
      </c>
      <c r="F172" s="1074" t="n"/>
      <c r="G172" s="1074" t="n"/>
      <c r="H172" s="1074" t="inlineStr">
        <is>
          <t>在读</t>
        </is>
      </c>
      <c r="I172" s="1074" t="inlineStr">
        <is>
          <t>二期</t>
        </is>
      </c>
      <c r="J172" s="1074" t="inlineStr">
        <is>
          <t>3132872</t>
        </is>
      </c>
      <c r="K172" s="1074" t="inlineStr">
        <is>
          <t>校内成绩</t>
        </is>
      </c>
      <c r="L172" s="1074" t="n">
        <v>72</v>
      </c>
      <c r="M172" s="1074" t="n">
        <v>90</v>
      </c>
      <c r="N172" s="1074" t="inlineStr">
        <is>
          <t>何咏04</t>
        </is>
      </c>
      <c r="O172" s="1074" t="inlineStr">
        <is>
          <t>01智慧林</t>
        </is>
      </c>
      <c r="P172" s="1074" t="inlineStr">
        <is>
          <t>13:20-15:30</t>
        </is>
      </c>
      <c r="Q172" s="1074" t="inlineStr">
        <is>
          <t>潜能班</t>
        </is>
      </c>
      <c r="R172" s="1074" t="inlineStr">
        <is>
          <t>二期</t>
        </is>
      </c>
      <c r="S172" s="1074" t="inlineStr">
        <is>
          <t>在读</t>
        </is>
      </c>
      <c r="T172" s="1074" t="inlineStr">
        <is>
          <t>-</t>
        </is>
      </c>
      <c r="U172" s="1074" t="inlineStr">
        <is>
          <t>5230809</t>
        </is>
      </c>
      <c r="V172" s="1074" t="n"/>
      <c r="W172" s="1074" t="inlineStr">
        <is>
          <t>李润</t>
        </is>
      </c>
      <c r="X172" s="1074" t="inlineStr">
        <is>
          <t>01智慧林</t>
        </is>
      </c>
      <c r="Y172" s="1074" t="inlineStr">
        <is>
          <t>10:20-12:30</t>
        </is>
      </c>
      <c r="Z172" s="1074" t="inlineStr">
        <is>
          <t>潜能班</t>
        </is>
      </c>
      <c r="AA172" s="1074" t="inlineStr">
        <is>
          <t>二期</t>
        </is>
      </c>
      <c r="AB172" s="1074" t="inlineStr">
        <is>
          <t>在读</t>
        </is>
      </c>
      <c r="AC172" s="1074" t="inlineStr">
        <is>
          <t>-</t>
        </is>
      </c>
      <c r="AD172" s="1074" t="inlineStr">
        <is>
          <t>3132893</t>
        </is>
      </c>
      <c r="AE172" s="1074" t="n"/>
      <c r="AF172" s="1074" t="inlineStr">
        <is>
          <t>刘希子</t>
        </is>
      </c>
      <c r="AG172" s="1074" t="inlineStr">
        <is>
          <t>01智慧林</t>
        </is>
      </c>
      <c r="AH172" s="1074" t="inlineStr">
        <is>
          <t>15:50-18:00</t>
        </is>
      </c>
      <c r="AI172" s="1074" t="inlineStr">
        <is>
          <t>潜能班</t>
        </is>
      </c>
      <c r="AJ172" s="1074" t="inlineStr">
        <is>
          <t>二期</t>
        </is>
      </c>
      <c r="AK172" s="1074" t="inlineStr">
        <is>
          <t>在读</t>
        </is>
      </c>
      <c r="AL172" s="1074" t="inlineStr">
        <is>
          <t>-</t>
        </is>
      </c>
      <c r="AM172" s="1074" t="n"/>
      <c r="AN172" s="1074" t="n"/>
      <c r="AO172" s="1074" t="n"/>
      <c r="AP172" s="1074" t="n"/>
      <c r="AQ172" s="1074" t="n"/>
      <c r="AR172" s="1074" t="inlineStr">
        <is>
          <t>A</t>
        </is>
      </c>
      <c r="AS172" s="1074" t="inlineStr">
        <is>
          <t>妈妈比较好说话，有见过面</t>
        </is>
      </c>
      <c r="AT172" s="311" t="n"/>
    </row>
    <row r="173" ht="26.25" customFormat="1" customHeight="1" s="366">
      <c r="A173" s="1074" t="inlineStr">
        <is>
          <t>天成大厦</t>
        </is>
      </c>
      <c r="B173" s="1074" t="inlineStr">
        <is>
          <t>2550585181</t>
        </is>
      </c>
      <c r="C173" s="1074" t="inlineStr">
        <is>
          <t>陈言斌</t>
        </is>
      </c>
      <c r="D173" s="1074" t="inlineStr">
        <is>
          <t>沈思浩</t>
        </is>
      </c>
      <c r="E173" s="1074" t="inlineStr">
        <is>
          <t>纯拉新</t>
        </is>
      </c>
      <c r="F173" s="1074" t="n"/>
      <c r="G173" s="1074" t="n"/>
      <c r="H173" s="1074" t="inlineStr">
        <is>
          <t>在读</t>
        </is>
      </c>
      <c r="I173" s="1074" t="inlineStr">
        <is>
          <t>一期/二期</t>
        </is>
      </c>
      <c r="J173" s="1074" t="inlineStr">
        <is>
          <t>3132864</t>
        </is>
      </c>
      <c r="K173" s="1074" t="inlineStr">
        <is>
          <t>报前测成绩</t>
        </is>
      </c>
      <c r="L173" s="1074" t="n">
        <v>86</v>
      </c>
      <c r="M173" s="1074" t="inlineStr">
        <is>
          <t>-</t>
        </is>
      </c>
      <c r="N173" s="1074" t="inlineStr">
        <is>
          <t>宗志鹏</t>
        </is>
      </c>
      <c r="O173" s="1074" t="inlineStr">
        <is>
          <t>03品尚</t>
        </is>
      </c>
      <c r="P173" s="1074" t="inlineStr">
        <is>
          <t>13:20-15:30</t>
        </is>
      </c>
      <c r="Q173" s="1074" t="inlineStr">
        <is>
          <t>潜能班</t>
        </is>
      </c>
      <c r="R173" s="1074" t="inlineStr">
        <is>
          <t>二期</t>
        </is>
      </c>
      <c r="S173" s="1074" t="inlineStr">
        <is>
          <t>在读</t>
        </is>
      </c>
      <c r="T173" s="1074" t="inlineStr">
        <is>
          <t>-</t>
        </is>
      </c>
      <c r="U173" s="1074" t="inlineStr">
        <is>
          <t>3132834</t>
        </is>
      </c>
      <c r="V173" s="1074" t="n">
        <v>31</v>
      </c>
      <c r="W173" s="1074" t="inlineStr">
        <is>
          <t>李润</t>
        </is>
      </c>
      <c r="X173" s="1074" t="inlineStr">
        <is>
          <t>03品尚</t>
        </is>
      </c>
      <c r="Y173" s="1074" t="inlineStr">
        <is>
          <t>07:50-10:00</t>
        </is>
      </c>
      <c r="Z173" s="1074" t="inlineStr">
        <is>
          <t>潜能班</t>
        </is>
      </c>
      <c r="AA173" s="1074" t="inlineStr">
        <is>
          <t>一期</t>
        </is>
      </c>
      <c r="AB173" s="1074" t="inlineStr">
        <is>
          <t>在读</t>
        </is>
      </c>
      <c r="AC173" s="1074" t="inlineStr">
        <is>
          <t>-</t>
        </is>
      </c>
      <c r="AD173" s="1074" t="inlineStr">
        <is>
          <t>5230783</t>
        </is>
      </c>
      <c r="AE173" s="1074" t="n">
        <v>35</v>
      </c>
      <c r="AF173" s="1074" t="inlineStr">
        <is>
          <t>刘希子</t>
        </is>
      </c>
      <c r="AG173" s="1074" t="inlineStr">
        <is>
          <t>03品尚</t>
        </is>
      </c>
      <c r="AH173" s="1074" t="inlineStr">
        <is>
          <t>13:20-15:30</t>
        </is>
      </c>
      <c r="AI173" s="1074" t="inlineStr">
        <is>
          <t>潜能班</t>
        </is>
      </c>
      <c r="AJ173" s="1074" t="inlineStr">
        <is>
          <t>一期</t>
        </is>
      </c>
      <c r="AK173" s="1074" t="inlineStr">
        <is>
          <t>在读</t>
        </is>
      </c>
      <c r="AL173" s="1074" t="inlineStr">
        <is>
          <t>-</t>
        </is>
      </c>
      <c r="AM173" s="1074" t="n"/>
      <c r="AN173" s="1074" t="n"/>
      <c r="AO173" s="1074" t="n"/>
      <c r="AP173" s="1074" t="n"/>
      <c r="AQ173" s="1074" t="n"/>
      <c r="AR173" s="1074" t="inlineStr">
        <is>
          <t>S</t>
        </is>
      </c>
      <c r="AS173" s="1074" t="inlineStr">
        <is>
          <t>王喆奎妈妈转介绍，主要是看老师适不适合孩子，主动咨询过秋季</t>
        </is>
      </c>
      <c r="AT173" s="311" t="n"/>
    </row>
    <row r="174" ht="26.25" customFormat="1" customHeight="1" s="366">
      <c r="A174" s="1074" t="inlineStr">
        <is>
          <t>新宝利</t>
        </is>
      </c>
      <c r="B174" s="1074" t="inlineStr">
        <is>
          <t>4299356242</t>
        </is>
      </c>
      <c r="C174" s="1074" t="inlineStr">
        <is>
          <t>段雨芯</t>
        </is>
      </c>
      <c r="D174" s="1074" t="inlineStr">
        <is>
          <t>林志豪01</t>
        </is>
      </c>
      <c r="E174" s="1074" t="inlineStr">
        <is>
          <t>纯拉新</t>
        </is>
      </c>
      <c r="F174" s="1074" t="n"/>
      <c r="G174" s="1074" t="n"/>
      <c r="H174" s="1074" t="inlineStr">
        <is>
          <t>在读</t>
        </is>
      </c>
      <c r="I174" s="1074" t="inlineStr">
        <is>
          <t>零期</t>
        </is>
      </c>
      <c r="J174" s="1074" t="inlineStr">
        <is>
          <t>3132880</t>
        </is>
      </c>
      <c r="K174" s="1074" t="inlineStr">
        <is>
          <t>校内成绩</t>
        </is>
      </c>
      <c r="L174" s="1074" t="n">
        <v>72</v>
      </c>
      <c r="M174" s="1074" t="n">
        <v>90</v>
      </c>
      <c r="N174" s="1074" t="inlineStr">
        <is>
          <t>陈中帅</t>
        </is>
      </c>
      <c r="O174" s="1074" t="inlineStr">
        <is>
          <t>教室2</t>
        </is>
      </c>
      <c r="P174" s="1074" t="inlineStr">
        <is>
          <t>15:50-18:00</t>
        </is>
      </c>
      <c r="Q174" s="1074" t="inlineStr">
        <is>
          <t>启能班</t>
        </is>
      </c>
      <c r="R174" s="1074" t="inlineStr">
        <is>
          <t>零期</t>
        </is>
      </c>
      <c r="S174" s="1074" t="inlineStr">
        <is>
          <t>在读</t>
        </is>
      </c>
      <c r="T174" s="1074" t="inlineStr">
        <is>
          <t>-</t>
        </is>
      </c>
      <c r="U174" s="1074" t="inlineStr">
        <is>
          <t>4513265</t>
        </is>
      </c>
      <c r="V174" s="1074" t="n"/>
      <c r="W174" s="1074" t="inlineStr">
        <is>
          <t>李润</t>
        </is>
      </c>
      <c r="X174" s="1074" t="inlineStr">
        <is>
          <t>教室3</t>
        </is>
      </c>
      <c r="Y174" s="1074" t="inlineStr">
        <is>
          <t>10:20-12:30</t>
        </is>
      </c>
      <c r="Z174" s="1074" t="inlineStr">
        <is>
          <t>潜能班</t>
        </is>
      </c>
      <c r="AA174" s="1074" t="inlineStr">
        <is>
          <t>零期</t>
        </is>
      </c>
      <c r="AB174" s="1074" t="inlineStr">
        <is>
          <t>在读</t>
        </is>
      </c>
      <c r="AC174" s="1074" t="inlineStr">
        <is>
          <t>-</t>
        </is>
      </c>
      <c r="AD174" s="1074" t="inlineStr">
        <is>
          <t>5230727</t>
        </is>
      </c>
      <c r="AE174" s="1074" t="n"/>
      <c r="AF174" s="1074" t="inlineStr">
        <is>
          <t>肖锐03</t>
        </is>
      </c>
      <c r="AG174" s="1074" t="inlineStr">
        <is>
          <t>教室2</t>
        </is>
      </c>
      <c r="AH174" s="1074" t="inlineStr">
        <is>
          <t>13:20-15:30</t>
        </is>
      </c>
      <c r="AI174" s="1074" t="inlineStr">
        <is>
          <t>潜能班</t>
        </is>
      </c>
      <c r="AJ174" s="1074" t="inlineStr">
        <is>
          <t>零期</t>
        </is>
      </c>
      <c r="AK174" s="1074" t="inlineStr">
        <is>
          <t>在读</t>
        </is>
      </c>
      <c r="AL174" s="1074" t="inlineStr">
        <is>
          <t>-</t>
        </is>
      </c>
      <c r="AM174" s="1074" t="inlineStr">
        <is>
          <t>是</t>
        </is>
      </c>
      <c r="AN174" s="1074" t="inlineStr">
        <is>
          <t>是</t>
        </is>
      </c>
      <c r="AO174" s="1074" t="inlineStr">
        <is>
          <t>是</t>
        </is>
      </c>
      <c r="AP174" s="1074" t="n"/>
      <c r="AQ174" s="1074" t="n"/>
      <c r="AR174" s="1074" t="inlineStr">
        <is>
          <t>B</t>
        </is>
      </c>
      <c r="AS174" s="1074" t="inlineStr">
        <is>
          <t>转介绍，之前没报过培训机构，这次是和朋友一起咨询，只聊了暑假，秋没过多沟通</t>
        </is>
      </c>
      <c r="AT174" s="311" t="n"/>
    </row>
    <row r="175" ht="26.25" customFormat="1" customHeight="1" s="366">
      <c r="A175" s="1074" t="inlineStr">
        <is>
          <t>同创汇</t>
        </is>
      </c>
      <c r="B175" s="1074" t="inlineStr">
        <is>
          <t>2435503342</t>
        </is>
      </c>
      <c r="C175" s="1074" t="inlineStr">
        <is>
          <t>杨恩桐</t>
        </is>
      </c>
      <c r="D175" s="1074" t="inlineStr">
        <is>
          <t>王丽</t>
        </is>
      </c>
      <c r="E175" s="1074" t="inlineStr">
        <is>
          <t>纯拉新</t>
        </is>
      </c>
      <c r="F175" s="1074" t="n"/>
      <c r="G175" s="1074" t="n"/>
      <c r="H175" s="1074" t="inlineStr">
        <is>
          <t>在读</t>
        </is>
      </c>
      <c r="I175" s="1074" t="inlineStr">
        <is>
          <t>二期</t>
        </is>
      </c>
      <c r="J175" s="1074" t="inlineStr">
        <is>
          <t>3132872</t>
        </is>
      </c>
      <c r="K175" s="1074" t="inlineStr">
        <is>
          <t>校内成绩</t>
        </is>
      </c>
      <c r="L175" s="1074" t="n">
        <v>72</v>
      </c>
      <c r="M175" s="1074" t="n">
        <v>90</v>
      </c>
      <c r="N175" s="1074" t="inlineStr">
        <is>
          <t>何咏04</t>
        </is>
      </c>
      <c r="O175" s="1074" t="inlineStr">
        <is>
          <t>01智慧林</t>
        </is>
      </c>
      <c r="P175" s="1074" t="inlineStr">
        <is>
          <t>13:20-15:30</t>
        </is>
      </c>
      <c r="Q175" s="1074" t="inlineStr">
        <is>
          <t>潜能班</t>
        </is>
      </c>
      <c r="R175" s="1074" t="inlineStr">
        <is>
          <t>二期</t>
        </is>
      </c>
      <c r="S175" s="1074" t="inlineStr">
        <is>
          <t>在读</t>
        </is>
      </c>
      <c r="T175" s="1074" t="inlineStr">
        <is>
          <t>-</t>
        </is>
      </c>
      <c r="U175" s="1074" t="inlineStr">
        <is>
          <t>5230809</t>
        </is>
      </c>
      <c r="V175" s="1074" t="n"/>
      <c r="W175" s="1074" t="inlineStr">
        <is>
          <t>李润</t>
        </is>
      </c>
      <c r="X175" s="1074" t="inlineStr">
        <is>
          <t>01智慧林</t>
        </is>
      </c>
      <c r="Y175" s="1074" t="inlineStr">
        <is>
          <t>10:20-12:30</t>
        </is>
      </c>
      <c r="Z175" s="1074" t="inlineStr">
        <is>
          <t>潜能班</t>
        </is>
      </c>
      <c r="AA175" s="1074" t="inlineStr">
        <is>
          <t>二期</t>
        </is>
      </c>
      <c r="AB175" s="1074" t="inlineStr">
        <is>
          <t>在读</t>
        </is>
      </c>
      <c r="AC175" s="1074" t="inlineStr">
        <is>
          <t>-</t>
        </is>
      </c>
      <c r="AD175" s="1074" t="inlineStr">
        <is>
          <t>3132893</t>
        </is>
      </c>
      <c r="AE175" s="1074" t="n"/>
      <c r="AF175" s="1074" t="inlineStr">
        <is>
          <t>刘希子</t>
        </is>
      </c>
      <c r="AG175" s="1074" t="inlineStr">
        <is>
          <t>01智慧林</t>
        </is>
      </c>
      <c r="AH175" s="1074" t="inlineStr">
        <is>
          <t>15:50-18:00</t>
        </is>
      </c>
      <c r="AI175" s="1074" t="inlineStr">
        <is>
          <t>潜能班</t>
        </is>
      </c>
      <c r="AJ175" s="1074" t="inlineStr">
        <is>
          <t>二期</t>
        </is>
      </c>
      <c r="AK175" s="1074" t="inlineStr">
        <is>
          <t>在读</t>
        </is>
      </c>
      <c r="AL175" s="1074" t="inlineStr">
        <is>
          <t>-</t>
        </is>
      </c>
      <c r="AM175" s="1074" t="n"/>
      <c r="AN175" s="1074" t="n"/>
      <c r="AO175" s="1074" t="n"/>
      <c r="AP175" s="1074" t="n"/>
      <c r="AQ175" s="1074" t="n"/>
      <c r="AR175" s="1074" t="inlineStr">
        <is>
          <t>B</t>
        </is>
      </c>
      <c r="AS175" s="1074" t="inlineStr">
        <is>
          <t>先体验下暑假课，没聊秋季课的事情</t>
        </is>
      </c>
      <c r="AT175" s="311" t="n"/>
    </row>
    <row r="176" ht="26.25" customFormat="1" customHeight="1" s="366">
      <c r="A176" s="1074" t="inlineStr">
        <is>
          <t>同创汇</t>
        </is>
      </c>
      <c r="B176" s="1074" t="inlineStr">
        <is>
          <t>4125237013</t>
        </is>
      </c>
      <c r="C176" s="1074" t="inlineStr">
        <is>
          <t>魏汀瑶</t>
        </is>
      </c>
      <c r="D176" s="1074" t="inlineStr">
        <is>
          <t>龙倩敏</t>
        </is>
      </c>
      <c r="E176" s="1074" t="inlineStr">
        <is>
          <t>纯拉新</t>
        </is>
      </c>
      <c r="F176" s="1074" t="n"/>
      <c r="G176" s="1074" t="n"/>
      <c r="H176" s="1074" t="inlineStr">
        <is>
          <t>在读</t>
        </is>
      </c>
      <c r="I176" s="1074" t="inlineStr">
        <is>
          <t>二期</t>
        </is>
      </c>
      <c r="J176" s="1074" t="inlineStr">
        <is>
          <t>3132872</t>
        </is>
      </c>
      <c r="K176" s="1074" t="inlineStr">
        <is>
          <t>报前测成绩</t>
        </is>
      </c>
      <c r="L176" s="1074" t="n">
        <v>70</v>
      </c>
      <c r="M176" s="1074" t="inlineStr">
        <is>
          <t>-</t>
        </is>
      </c>
      <c r="N176" s="1074" t="inlineStr">
        <is>
          <t>何咏04</t>
        </is>
      </c>
      <c r="O176" s="1074" t="inlineStr">
        <is>
          <t>01智慧林</t>
        </is>
      </c>
      <c r="P176" s="1074" t="inlineStr">
        <is>
          <t>13:20-15:30</t>
        </is>
      </c>
      <c r="Q176" s="1074" t="inlineStr">
        <is>
          <t>潜能班</t>
        </is>
      </c>
      <c r="R176" s="1074" t="inlineStr">
        <is>
          <t>二期</t>
        </is>
      </c>
      <c r="S176" s="1074" t="inlineStr">
        <is>
          <t>在读</t>
        </is>
      </c>
      <c r="T176" s="1074" t="inlineStr">
        <is>
          <t>-</t>
        </is>
      </c>
      <c r="U176" s="1074" t="inlineStr">
        <is>
          <t>5230809</t>
        </is>
      </c>
      <c r="V176" s="1074" t="n">
        <v>31</v>
      </c>
      <c r="W176" s="1074" t="inlineStr">
        <is>
          <t>李润</t>
        </is>
      </c>
      <c r="X176" s="1074" t="inlineStr">
        <is>
          <t>01智慧林</t>
        </is>
      </c>
      <c r="Y176" s="1074" t="inlineStr">
        <is>
          <t>10:20-12:30</t>
        </is>
      </c>
      <c r="Z176" s="1074" t="inlineStr">
        <is>
          <t>潜能班</t>
        </is>
      </c>
      <c r="AA176" s="1074" t="inlineStr">
        <is>
          <t>二期</t>
        </is>
      </c>
      <c r="AB176" s="1074" t="inlineStr">
        <is>
          <t>在读</t>
        </is>
      </c>
      <c r="AC176" s="1074" t="inlineStr">
        <is>
          <t>-</t>
        </is>
      </c>
      <c r="AD176" s="1074" t="inlineStr">
        <is>
          <t>3132893</t>
        </is>
      </c>
      <c r="AE176" s="1074" t="n">
        <v>21</v>
      </c>
      <c r="AF176" s="1074" t="inlineStr">
        <is>
          <t>刘希子</t>
        </is>
      </c>
      <c r="AG176" s="1074" t="inlineStr">
        <is>
          <t>01智慧林</t>
        </is>
      </c>
      <c r="AH176" s="1074" t="inlineStr">
        <is>
          <t>15:50-18:00</t>
        </is>
      </c>
      <c r="AI176" s="1074" t="inlineStr">
        <is>
          <t>潜能班</t>
        </is>
      </c>
      <c r="AJ176" s="1074" t="inlineStr">
        <is>
          <t>二期</t>
        </is>
      </c>
      <c r="AK176" s="1074" t="inlineStr">
        <is>
          <t>在读</t>
        </is>
      </c>
      <c r="AL176" s="1074" t="inlineStr">
        <is>
          <t>-</t>
        </is>
      </c>
      <c r="AM176" s="1074" t="n"/>
      <c r="AN176" s="1074" t="n"/>
      <c r="AO176" s="1074" t="n"/>
      <c r="AP176" s="1074" t="n"/>
      <c r="AQ176" s="1074" t="n"/>
      <c r="AR176" s="1074" t="inlineStr">
        <is>
          <t>B</t>
        </is>
      </c>
      <c r="AS176" s="1074" t="inlineStr">
        <is>
          <t>孩子从幼儿园一直有上课外补习班，孩子比较依赖补习班，之前妈妈有问过秋季价格，报过三科总价，孩子现在有在上一对三</t>
        </is>
      </c>
      <c r="AT176" s="311" t="n"/>
    </row>
    <row r="177" ht="26.25" customFormat="1" customHeight="1" s="366">
      <c r="A177" s="1074" t="inlineStr">
        <is>
          <t>新宝利</t>
        </is>
      </c>
      <c r="B177" s="1074" t="inlineStr">
        <is>
          <t>2271507248</t>
        </is>
      </c>
      <c r="C177" s="1074" t="inlineStr">
        <is>
          <t>沈锦涵</t>
        </is>
      </c>
      <c r="D177" s="1074" t="inlineStr">
        <is>
          <t>王达04</t>
        </is>
      </c>
      <c r="E177" s="1074" t="inlineStr">
        <is>
          <t>纯拉新</t>
        </is>
      </c>
      <c r="F177" s="1074" t="n"/>
      <c r="G177" s="1074" t="n"/>
      <c r="H177" s="1074" t="inlineStr">
        <is>
          <t>在读</t>
        </is>
      </c>
      <c r="I177" s="1074" t="inlineStr">
        <is>
          <t>零期</t>
        </is>
      </c>
      <c r="J177" s="1074" t="inlineStr">
        <is>
          <t>3132880</t>
        </is>
      </c>
      <c r="K177" s="1074" t="inlineStr">
        <is>
          <t>校内成绩</t>
        </is>
      </c>
      <c r="L177" s="1074" t="n">
        <v>72</v>
      </c>
      <c r="M177" s="1074" t="n">
        <v>90</v>
      </c>
      <c r="N177" s="1074" t="inlineStr">
        <is>
          <t>陈中帅</t>
        </is>
      </c>
      <c r="O177" s="1074" t="inlineStr">
        <is>
          <t>教室2</t>
        </is>
      </c>
      <c r="P177" s="1074" t="inlineStr">
        <is>
          <t>15:50-18:00</t>
        </is>
      </c>
      <c r="Q177" s="1074" t="inlineStr">
        <is>
          <t>启能班</t>
        </is>
      </c>
      <c r="R177" s="1074" t="inlineStr">
        <is>
          <t>零期</t>
        </is>
      </c>
      <c r="S177" s="1074" t="inlineStr">
        <is>
          <t>在读</t>
        </is>
      </c>
      <c r="T177" s="1074" t="inlineStr">
        <is>
          <t>是</t>
        </is>
      </c>
      <c r="U177" s="1074" t="inlineStr">
        <is>
          <t>4513265</t>
        </is>
      </c>
      <c r="V177" s="1074" t="n"/>
      <c r="W177" s="1074" t="inlineStr">
        <is>
          <t>李润</t>
        </is>
      </c>
      <c r="X177" s="1074" t="inlineStr">
        <is>
          <t>教室3</t>
        </is>
      </c>
      <c r="Y177" s="1074" t="inlineStr">
        <is>
          <t>10:20-12:30</t>
        </is>
      </c>
      <c r="Z177" s="1074" t="inlineStr">
        <is>
          <t>潜能班</t>
        </is>
      </c>
      <c r="AA177" s="1074" t="inlineStr">
        <is>
          <t>零期</t>
        </is>
      </c>
      <c r="AB177" s="1074" t="inlineStr">
        <is>
          <t>在读</t>
        </is>
      </c>
      <c r="AC177" s="1074" t="inlineStr">
        <is>
          <t>-</t>
        </is>
      </c>
      <c r="AD177" s="1074" t="inlineStr">
        <is>
          <t>5230727</t>
        </is>
      </c>
      <c r="AE177" s="1074" t="n"/>
      <c r="AF177" s="1074" t="inlineStr">
        <is>
          <t>肖锐03</t>
        </is>
      </c>
      <c r="AG177" s="1074" t="inlineStr">
        <is>
          <t>教室2</t>
        </is>
      </c>
      <c r="AH177" s="1074" t="inlineStr">
        <is>
          <t>13:20-15:30</t>
        </is>
      </c>
      <c r="AI177" s="1074" t="inlineStr">
        <is>
          <t>潜能班</t>
        </is>
      </c>
      <c r="AJ177" s="1074" t="inlineStr">
        <is>
          <t>零期</t>
        </is>
      </c>
      <c r="AK177" s="1074" t="inlineStr">
        <is>
          <t>在读</t>
        </is>
      </c>
      <c r="AL177" s="1074" t="inlineStr">
        <is>
          <t>是</t>
        </is>
      </c>
      <c r="AM177" s="1074" t="inlineStr">
        <is>
          <t>是</t>
        </is>
      </c>
      <c r="AN177" s="1074" t="inlineStr">
        <is>
          <t>是</t>
        </is>
      </c>
      <c r="AO177" s="1074" t="inlineStr">
        <is>
          <t>是</t>
        </is>
      </c>
      <c r="AP177" s="1074" t="n"/>
      <c r="AQ177" s="1074" t="n"/>
      <c r="AR177" s="1074" t="inlineStr">
        <is>
          <t>A</t>
        </is>
      </c>
      <c r="AS177" s="1074" t="inlineStr">
        <is>
          <t>家长想看看孩子学习效果</t>
        </is>
      </c>
      <c r="AT177" s="311" t="n"/>
    </row>
    <row r="178" ht="26.25" customFormat="1" customHeight="1" s="366">
      <c r="A178" s="1074" t="inlineStr">
        <is>
          <t>天成大厦</t>
        </is>
      </c>
      <c r="B178" s="1074" t="inlineStr">
        <is>
          <t>2762252554</t>
        </is>
      </c>
      <c r="C178" s="1074" t="inlineStr">
        <is>
          <t>王宣蕴</t>
        </is>
      </c>
      <c r="D178" s="1074" t="inlineStr">
        <is>
          <t>沈思浩</t>
        </is>
      </c>
      <c r="E178" s="1074" t="inlineStr">
        <is>
          <t>纯拉新</t>
        </is>
      </c>
      <c r="F178" s="1074" t="n"/>
      <c r="G178" s="1074" t="n"/>
      <c r="H178" s="1074" t="inlineStr">
        <is>
          <t>在读</t>
        </is>
      </c>
      <c r="I178" s="1074" t="inlineStr">
        <is>
          <t>二期</t>
        </is>
      </c>
      <c r="J178" s="1074" t="inlineStr">
        <is>
          <t>3132864</t>
        </is>
      </c>
      <c r="K178" s="1074" t="inlineStr">
        <is>
          <t>校内成绩</t>
        </is>
      </c>
      <c r="L178" s="1074" t="n">
        <v>74.40000000000001</v>
      </c>
      <c r="M178" s="1074" t="n">
        <v>93</v>
      </c>
      <c r="N178" s="1074" t="inlineStr">
        <is>
          <t>宗志鹏</t>
        </is>
      </c>
      <c r="O178" s="1074" t="inlineStr">
        <is>
          <t>03品尚</t>
        </is>
      </c>
      <c r="P178" s="1074" t="inlineStr">
        <is>
          <t>13:20-15:30</t>
        </is>
      </c>
      <c r="Q178" s="1074" t="inlineStr">
        <is>
          <t>潜能班</t>
        </is>
      </c>
      <c r="R178" s="1074" t="inlineStr">
        <is>
          <t>二期</t>
        </is>
      </c>
      <c r="S178" s="1074" t="inlineStr">
        <is>
          <t>在读</t>
        </is>
      </c>
      <c r="T178" s="1074" t="inlineStr">
        <is>
          <t>-</t>
        </is>
      </c>
      <c r="U178" s="1074" t="inlineStr">
        <is>
          <t>3132810</t>
        </is>
      </c>
      <c r="V178" s="1074" t="n"/>
      <c r="W178" s="1074" t="inlineStr">
        <is>
          <t>李润</t>
        </is>
      </c>
      <c r="X178" s="1074" t="inlineStr">
        <is>
          <t>03品尚</t>
        </is>
      </c>
      <c r="Y178" s="1074" t="inlineStr">
        <is>
          <t>15:50-18:00</t>
        </is>
      </c>
      <c r="Z178" s="1074" t="inlineStr">
        <is>
          <t>潜能班</t>
        </is>
      </c>
      <c r="AA178" s="1074" t="inlineStr">
        <is>
          <t>二期</t>
        </is>
      </c>
      <c r="AB178" s="1074" t="inlineStr">
        <is>
          <t>在读</t>
        </is>
      </c>
      <c r="AC178" s="1074" t="inlineStr">
        <is>
          <t>-</t>
        </is>
      </c>
      <c r="AD178" s="1074" t="inlineStr">
        <is>
          <t>3132858</t>
        </is>
      </c>
      <c r="AE178" s="1074" t="n"/>
      <c r="AF178" s="1074" t="inlineStr">
        <is>
          <t>刘希子</t>
        </is>
      </c>
      <c r="AG178" s="1074" t="inlineStr">
        <is>
          <t>03品尚</t>
        </is>
      </c>
      <c r="AH178" s="1074" t="inlineStr">
        <is>
          <t>10:20-12:30</t>
        </is>
      </c>
      <c r="AI178" s="1074" t="inlineStr">
        <is>
          <t>潜能班</t>
        </is>
      </c>
      <c r="AJ178" s="1074" t="inlineStr">
        <is>
          <t>二期</t>
        </is>
      </c>
      <c r="AK178" s="1074" t="inlineStr">
        <is>
          <t>在读</t>
        </is>
      </c>
      <c r="AL178" s="1074" t="inlineStr">
        <is>
          <t>-</t>
        </is>
      </c>
      <c r="AM178" s="1074" t="n"/>
      <c r="AN178" s="1074" t="n"/>
      <c r="AO178" s="1074" t="n"/>
      <c r="AP178" s="1074" t="n"/>
      <c r="AQ178" s="1074" t="n"/>
      <c r="AR178" s="1074" t="inlineStr">
        <is>
          <t>A</t>
        </is>
      </c>
      <c r="AS178" s="1074" t="inlineStr">
        <is>
          <t>宣蕴、宇航、芷霖是一起的同学，先看学习效果</t>
        </is>
      </c>
      <c r="AT178" s="311" t="n"/>
    </row>
    <row r="179" ht="26.25" customFormat="1" customHeight="1" s="366">
      <c r="A179" s="1074" t="inlineStr">
        <is>
          <t>天成大厦</t>
        </is>
      </c>
      <c r="B179" s="1074" t="inlineStr">
        <is>
          <t>2152173063</t>
        </is>
      </c>
      <c r="C179" s="1074" t="inlineStr">
        <is>
          <t>刘芷霖</t>
        </is>
      </c>
      <c r="D179" s="1074" t="inlineStr">
        <is>
          <t>沈思浩</t>
        </is>
      </c>
      <c r="E179" s="1074" t="inlineStr">
        <is>
          <t>纯拉新</t>
        </is>
      </c>
      <c r="F179" s="1074" t="n"/>
      <c r="G179" s="1074" t="n"/>
      <c r="H179" s="1074" t="inlineStr">
        <is>
          <t>在读</t>
        </is>
      </c>
      <c r="I179" s="1074" t="inlineStr">
        <is>
          <t>二期</t>
        </is>
      </c>
      <c r="J179" s="1074" t="inlineStr">
        <is>
          <t>3132864</t>
        </is>
      </c>
      <c r="K179" s="1074" t="inlineStr">
        <is>
          <t>校内成绩</t>
        </is>
      </c>
      <c r="L179" s="1074" t="n">
        <v>60</v>
      </c>
      <c r="M179" s="1074" t="n">
        <v>80</v>
      </c>
      <c r="N179" s="1074" t="inlineStr">
        <is>
          <t>宗志鹏</t>
        </is>
      </c>
      <c r="O179" s="1074" t="inlineStr">
        <is>
          <t>03品尚</t>
        </is>
      </c>
      <c r="P179" s="1074" t="inlineStr">
        <is>
          <t>13:20-15:30</t>
        </is>
      </c>
      <c r="Q179" s="1074" t="inlineStr">
        <is>
          <t>潜能班</t>
        </is>
      </c>
      <c r="R179" s="1074" t="inlineStr">
        <is>
          <t>二期</t>
        </is>
      </c>
      <c r="S179" s="1074" t="inlineStr">
        <is>
          <t>在读</t>
        </is>
      </c>
      <c r="T179" s="1074" t="inlineStr">
        <is>
          <t>-</t>
        </is>
      </c>
      <c r="U179" s="1074" t="inlineStr">
        <is>
          <t>3132810</t>
        </is>
      </c>
      <c r="V179" s="1074" t="n"/>
      <c r="W179" s="1074" t="inlineStr">
        <is>
          <t>李润</t>
        </is>
      </c>
      <c r="X179" s="1074" t="inlineStr">
        <is>
          <t>03品尚</t>
        </is>
      </c>
      <c r="Y179" s="1074" t="inlineStr">
        <is>
          <t>15:50-18:00</t>
        </is>
      </c>
      <c r="Z179" s="1074" t="inlineStr">
        <is>
          <t>潜能班</t>
        </is>
      </c>
      <c r="AA179" s="1074" t="inlineStr">
        <is>
          <t>二期</t>
        </is>
      </c>
      <c r="AB179" s="1074" t="inlineStr">
        <is>
          <t>在读</t>
        </is>
      </c>
      <c r="AC179" s="1074" t="inlineStr">
        <is>
          <t>-</t>
        </is>
      </c>
      <c r="AD179" s="1074" t="inlineStr">
        <is>
          <t>3132858</t>
        </is>
      </c>
      <c r="AE179" s="1074" t="n"/>
      <c r="AF179" s="1074" t="inlineStr">
        <is>
          <t>刘希子</t>
        </is>
      </c>
      <c r="AG179" s="1074" t="inlineStr">
        <is>
          <t>03品尚</t>
        </is>
      </c>
      <c r="AH179" s="1074" t="inlineStr">
        <is>
          <t>10:20-12:30</t>
        </is>
      </c>
      <c r="AI179" s="1074" t="inlineStr">
        <is>
          <t>潜能班</t>
        </is>
      </c>
      <c r="AJ179" s="1074" t="inlineStr">
        <is>
          <t>二期</t>
        </is>
      </c>
      <c r="AK179" s="1074" t="inlineStr">
        <is>
          <t>在读</t>
        </is>
      </c>
      <c r="AL179" s="1074" t="inlineStr">
        <is>
          <t>-</t>
        </is>
      </c>
      <c r="AM179" s="1074" t="n"/>
      <c r="AN179" s="1074" t="n"/>
      <c r="AO179" s="1074" t="n"/>
      <c r="AP179" s="1074" t="n"/>
      <c r="AQ179" s="1074" t="n"/>
      <c r="AR179" s="1074" t="inlineStr">
        <is>
          <t>A</t>
        </is>
      </c>
      <c r="AS179" s="1074" t="inlineStr">
        <is>
          <t>宣蕴、宇航、芷霖是一起的同学，先看学习效果</t>
        </is>
      </c>
      <c r="AT179" s="311" t="n"/>
    </row>
    <row r="180" ht="26.25" customFormat="1" customHeight="1" s="366">
      <c r="A180" s="1074" t="inlineStr">
        <is>
          <t>同创汇</t>
        </is>
      </c>
      <c r="B180" s="1074" t="inlineStr">
        <is>
          <t>4840530615</t>
        </is>
      </c>
      <c r="C180" s="1074" t="inlineStr">
        <is>
          <t>丘雅萱</t>
        </is>
      </c>
      <c r="D180" s="1074" t="inlineStr">
        <is>
          <t>王丽</t>
        </is>
      </c>
      <c r="E180" s="1074" t="inlineStr">
        <is>
          <t>纯拉新</t>
        </is>
      </c>
      <c r="F180" s="1074" t="n"/>
      <c r="G180" s="1074" t="n"/>
      <c r="H180" s="1074" t="inlineStr">
        <is>
          <t>在读</t>
        </is>
      </c>
      <c r="I180" s="1074" t="inlineStr">
        <is>
          <t>零期/一期</t>
        </is>
      </c>
      <c r="J180" s="1074" t="inlineStr">
        <is>
          <t>5230814</t>
        </is>
      </c>
      <c r="K180" s="1074" t="inlineStr">
        <is>
          <t>校内成绩</t>
        </is>
      </c>
      <c r="L180" s="1074" t="n">
        <v>75</v>
      </c>
      <c r="M180" s="1074" t="n">
        <v>92</v>
      </c>
      <c r="N180" s="1074" t="inlineStr">
        <is>
          <t>陈中帅</t>
        </is>
      </c>
      <c r="O180" s="1074" t="inlineStr">
        <is>
          <t>02彩虹桥</t>
        </is>
      </c>
      <c r="P180" s="1074" t="inlineStr">
        <is>
          <t>07:50-10:00</t>
        </is>
      </c>
      <c r="Q180" s="1074" t="inlineStr">
        <is>
          <t>启能班</t>
        </is>
      </c>
      <c r="R180" s="1074" t="inlineStr">
        <is>
          <t>零期</t>
        </is>
      </c>
      <c r="S180" s="1074" t="inlineStr">
        <is>
          <t>在读</t>
        </is>
      </c>
      <c r="T180" s="1074" t="inlineStr">
        <is>
          <t>-</t>
        </is>
      </c>
      <c r="U180" s="1074" t="inlineStr">
        <is>
          <t>4632448</t>
        </is>
      </c>
      <c r="V180" s="1074" t="n"/>
      <c r="W180" s="1074" t="inlineStr">
        <is>
          <t>陈南05</t>
        </is>
      </c>
      <c r="X180" s="1074" t="inlineStr">
        <is>
          <t>02彩虹桥</t>
        </is>
      </c>
      <c r="Y180" s="1074" t="inlineStr">
        <is>
          <t>10:20-12:30</t>
        </is>
      </c>
      <c r="Z180" s="1074" t="inlineStr">
        <is>
          <t>潜能班</t>
        </is>
      </c>
      <c r="AA180" s="1074" t="inlineStr">
        <is>
          <t>一期</t>
        </is>
      </c>
      <c r="AB180" s="1074" t="inlineStr">
        <is>
          <t>在读</t>
        </is>
      </c>
      <c r="AC180" s="1074" t="inlineStr">
        <is>
          <t>-</t>
        </is>
      </c>
      <c r="AD180" s="1074" t="inlineStr">
        <is>
          <t>5230765</t>
        </is>
      </c>
      <c r="AE180" s="1074" t="n"/>
      <c r="AF180" s="1074" t="inlineStr">
        <is>
          <t>刘希子</t>
        </is>
      </c>
      <c r="AG180" s="1074" t="inlineStr">
        <is>
          <t>02彩虹桥</t>
        </is>
      </c>
      <c r="AH180" s="1074" t="inlineStr">
        <is>
          <t>10:20-12:30</t>
        </is>
      </c>
      <c r="AI180" s="1074" t="inlineStr">
        <is>
          <t>潜能班</t>
        </is>
      </c>
      <c r="AJ180" s="1074" t="inlineStr">
        <is>
          <t>零期</t>
        </is>
      </c>
      <c r="AK180" s="1074" t="inlineStr">
        <is>
          <t>在读</t>
        </is>
      </c>
      <c r="AL180" s="1074" t="inlineStr">
        <is>
          <t>-</t>
        </is>
      </c>
      <c r="AM180" s="1074" t="inlineStr">
        <is>
          <t>是</t>
        </is>
      </c>
      <c r="AN180" s="1074" t="inlineStr">
        <is>
          <t>是</t>
        </is>
      </c>
      <c r="AO180" s="1074" t="inlineStr">
        <is>
          <t>是</t>
        </is>
      </c>
      <c r="AP180" s="1074" t="n"/>
      <c r="AQ180" s="1074" t="n"/>
      <c r="AR180" s="1074" t="inlineStr">
        <is>
          <t>A</t>
        </is>
      </c>
      <c r="AS180" s="1074" t="inlineStr">
        <is>
          <t>老生转介绍来的，先体验下暑假</t>
        </is>
      </c>
      <c r="AT180" s="311" t="n"/>
    </row>
    <row r="181" ht="26.25" customFormat="1" customHeight="1" s="366">
      <c r="A181" s="1074" t="inlineStr">
        <is>
          <t>新宝利</t>
        </is>
      </c>
      <c r="B181" s="1074" t="inlineStr">
        <is>
          <t>2572368176</t>
        </is>
      </c>
      <c r="C181" s="1074" t="inlineStr">
        <is>
          <t>何柏禧</t>
        </is>
      </c>
      <c r="D181" s="1074" t="inlineStr">
        <is>
          <t>沈思浩</t>
        </is>
      </c>
      <c r="E181" s="1074" t="inlineStr">
        <is>
          <t>断报老生</t>
        </is>
      </c>
      <c r="F181" s="1074" t="inlineStr">
        <is>
          <t>多次短期班转化，25年秋季正价后流失</t>
        </is>
      </c>
      <c r="G181" s="1074" t="n"/>
      <c r="H181" s="1074" t="inlineStr">
        <is>
          <t>在读</t>
        </is>
      </c>
      <c r="I181" s="1074" t="inlineStr">
        <is>
          <t>三期</t>
        </is>
      </c>
      <c r="J181" s="1074" t="inlineStr">
        <is>
          <t>-</t>
        </is>
      </c>
      <c r="K181" s="1074" t="inlineStr"/>
      <c r="L181" s="1074" t="inlineStr"/>
      <c r="M181" s="1074" t="inlineStr"/>
      <c r="N181" s="1074" t="inlineStr">
        <is>
          <t>-</t>
        </is>
      </c>
      <c r="O181" s="1074" t="inlineStr">
        <is>
          <t>-</t>
        </is>
      </c>
      <c r="P181" s="1074" t="inlineStr">
        <is>
          <t>-</t>
        </is>
      </c>
      <c r="Q181" s="1074" t="inlineStr">
        <is>
          <t>-</t>
        </is>
      </c>
      <c r="R181" s="1074" t="inlineStr">
        <is>
          <t>-</t>
        </is>
      </c>
      <c r="S181" s="1074" t="inlineStr">
        <is>
          <t>-</t>
        </is>
      </c>
      <c r="T181" s="1074" t="inlineStr">
        <is>
          <t>-</t>
        </is>
      </c>
      <c r="U181" s="1074" t="inlineStr">
        <is>
          <t>5230747</t>
        </is>
      </c>
      <c r="V181" s="1074" t="n"/>
      <c r="W181" s="1074" t="inlineStr">
        <is>
          <t>陈南05</t>
        </is>
      </c>
      <c r="X181" s="1074" t="inlineStr">
        <is>
          <t>教室3</t>
        </is>
      </c>
      <c r="Y181" s="1074" t="inlineStr">
        <is>
          <t>10:20-12:30</t>
        </is>
      </c>
      <c r="Z181" s="1074" t="inlineStr">
        <is>
          <t>潜能班</t>
        </is>
      </c>
      <c r="AA181" s="1074" t="inlineStr">
        <is>
          <t>三期</t>
        </is>
      </c>
      <c r="AB181" s="1074" t="inlineStr">
        <is>
          <t>在读</t>
        </is>
      </c>
      <c r="AC181" s="1074" t="inlineStr">
        <is>
          <t>-</t>
        </is>
      </c>
      <c r="AD181" s="1074" t="inlineStr">
        <is>
          <t>-</t>
        </is>
      </c>
      <c r="AE181" s="1074" t="inlineStr"/>
      <c r="AF181" s="1074" t="inlineStr">
        <is>
          <t>-</t>
        </is>
      </c>
      <c r="AG181" s="1074" t="inlineStr">
        <is>
          <t>-</t>
        </is>
      </c>
      <c r="AH181" s="1074" t="inlineStr">
        <is>
          <t>-</t>
        </is>
      </c>
      <c r="AI181" s="1074" t="inlineStr">
        <is>
          <t>-</t>
        </is>
      </c>
      <c r="AJ181" s="1074" t="inlineStr">
        <is>
          <t>-</t>
        </is>
      </c>
      <c r="AK181" s="1074" t="inlineStr">
        <is>
          <t>-</t>
        </is>
      </c>
      <c r="AL181" s="1074" t="inlineStr">
        <is>
          <t>-</t>
        </is>
      </c>
      <c r="AM181" s="1074" t="n"/>
      <c r="AN181" s="1074" t="n"/>
      <c r="AO181" s="1074" t="n"/>
      <c r="AP181" s="1074" t="n"/>
      <c r="AQ181" s="1074" t="n"/>
      <c r="AR181" s="1074" t="inlineStr">
        <is>
          <t>A</t>
        </is>
      </c>
      <c r="AS181" s="1074" t="inlineStr">
        <is>
          <t>之前是没有对应的产品家长没续费，语文是柏禧比较薄弱的地方，有点皮的男孩子</t>
        </is>
      </c>
      <c r="AT181" s="311" t="n"/>
    </row>
    <row r="182" ht="26.25" customFormat="1" customHeight="1" s="366">
      <c r="A182" s="1074" t="inlineStr">
        <is>
          <t>新宝利</t>
        </is>
      </c>
      <c r="B182" s="1074" t="inlineStr">
        <is>
          <t>2411448166</t>
        </is>
      </c>
      <c r="C182" s="1074" t="inlineStr">
        <is>
          <t>刘永承</t>
        </is>
      </c>
      <c r="D182" s="1074" t="inlineStr">
        <is>
          <t>杨林33</t>
        </is>
      </c>
      <c r="E182" s="1074" t="inlineStr">
        <is>
          <t>纯拉新</t>
        </is>
      </c>
      <c r="F182" s="1074" t="n"/>
      <c r="G182" s="1074" t="n"/>
      <c r="H182" s="1074" t="inlineStr">
        <is>
          <t>在读</t>
        </is>
      </c>
      <c r="I182" s="1074" t="inlineStr">
        <is>
          <t>三期</t>
        </is>
      </c>
      <c r="J182" s="1074" t="inlineStr">
        <is>
          <t>5111035</t>
        </is>
      </c>
      <c r="K182" s="1074" t="inlineStr">
        <is>
          <t>校内成绩</t>
        </is>
      </c>
      <c r="L182" s="1074" t="n">
        <v>87</v>
      </c>
      <c r="M182" s="1074" t="n">
        <v>97</v>
      </c>
      <c r="N182" s="1074" t="inlineStr">
        <is>
          <t>何咏04</t>
        </is>
      </c>
      <c r="O182" s="1074" t="inlineStr">
        <is>
          <t>教室2</t>
        </is>
      </c>
      <c r="P182" s="1074" t="inlineStr">
        <is>
          <t>15:50-18:00</t>
        </is>
      </c>
      <c r="Q182" s="1074" t="inlineStr">
        <is>
          <t>启能班</t>
        </is>
      </c>
      <c r="R182" s="1074" t="inlineStr">
        <is>
          <t>三期</t>
        </is>
      </c>
      <c r="S182" s="1074" t="inlineStr">
        <is>
          <t>在读</t>
        </is>
      </c>
      <c r="T182" s="1074" t="inlineStr">
        <is>
          <t>-</t>
        </is>
      </c>
      <c r="U182" s="1074" t="inlineStr">
        <is>
          <t>5170873</t>
        </is>
      </c>
      <c r="V182" s="1074" t="n"/>
      <c r="W182" s="1074" t="inlineStr">
        <is>
          <t>李润</t>
        </is>
      </c>
      <c r="X182" s="1074" t="inlineStr">
        <is>
          <t>教室2</t>
        </is>
      </c>
      <c r="Y182" s="1074" t="inlineStr">
        <is>
          <t>13:20-15:30</t>
        </is>
      </c>
      <c r="Z182" s="1074" t="inlineStr">
        <is>
          <t>潜能班</t>
        </is>
      </c>
      <c r="AA182" s="1074" t="inlineStr">
        <is>
          <t>三期</t>
        </is>
      </c>
      <c r="AB182" s="1074" t="inlineStr">
        <is>
          <t>在读</t>
        </is>
      </c>
      <c r="AC182" s="1074" t="inlineStr">
        <is>
          <t>-</t>
        </is>
      </c>
      <c r="AD182" s="1074" t="inlineStr">
        <is>
          <t>5170871</t>
        </is>
      </c>
      <c r="AE182" s="1074" t="n"/>
      <c r="AF182" s="1074" t="inlineStr">
        <is>
          <t>肖锐03</t>
        </is>
      </c>
      <c r="AG182" s="1074" t="inlineStr">
        <is>
          <t>教室2</t>
        </is>
      </c>
      <c r="AH182" s="1074" t="inlineStr">
        <is>
          <t>10:20-12:30</t>
        </is>
      </c>
      <c r="AI182" s="1074" t="inlineStr">
        <is>
          <t>潜能班</t>
        </is>
      </c>
      <c r="AJ182" s="1074" t="inlineStr">
        <is>
          <t>三期</t>
        </is>
      </c>
      <c r="AK182" s="1074" t="inlineStr">
        <is>
          <t>在读</t>
        </is>
      </c>
      <c r="AL182" s="1074" t="inlineStr">
        <is>
          <t>-</t>
        </is>
      </c>
      <c r="AM182" s="1074" t="n"/>
      <c r="AN182" s="1074" t="n"/>
      <c r="AO182" s="1074" t="n"/>
      <c r="AP182" s="1074" t="n"/>
      <c r="AQ182" s="1074" t="n"/>
      <c r="AR182" s="1074" t="inlineStr">
        <is>
          <t>S</t>
        </is>
      </c>
      <c r="AS182" s="1074" t="inlineStr">
        <is>
          <t>教育理念不错，考虑长期学习</t>
        </is>
      </c>
      <c r="AT182" s="311" t="n"/>
    </row>
    <row r="183" ht="26.25" customFormat="1" customHeight="1" s="366">
      <c r="A183" s="1074" t="inlineStr">
        <is>
          <t>新宝利</t>
        </is>
      </c>
      <c r="B183" s="1074" t="inlineStr">
        <is>
          <t>2327899563</t>
        </is>
      </c>
      <c r="C183" s="1074" t="inlineStr">
        <is>
          <t>赖雨甜</t>
        </is>
      </c>
      <c r="D183" s="1074" t="inlineStr">
        <is>
          <t>陈亮延</t>
        </is>
      </c>
      <c r="E183" s="1074" t="inlineStr">
        <is>
          <t>纯拉新</t>
        </is>
      </c>
      <c r="F183" s="1074" t="n"/>
      <c r="G183" s="1074" t="n"/>
      <c r="H183" s="1074" t="inlineStr">
        <is>
          <t>在读</t>
        </is>
      </c>
      <c r="I183" s="1074" t="inlineStr">
        <is>
          <t>零期</t>
        </is>
      </c>
      <c r="J183" s="1074" t="inlineStr">
        <is>
          <t>3132884</t>
        </is>
      </c>
      <c r="K183" s="1074" t="inlineStr">
        <is>
          <t>校内成绩</t>
        </is>
      </c>
      <c r="L183" s="1074" t="n">
        <v>72</v>
      </c>
      <c r="M183" s="1074" t="n">
        <v>90</v>
      </c>
      <c r="N183" s="1074" t="inlineStr">
        <is>
          <t>田雨涵01</t>
        </is>
      </c>
      <c r="O183" s="1074" t="inlineStr">
        <is>
          <t>教室3</t>
        </is>
      </c>
      <c r="P183" s="1074" t="inlineStr">
        <is>
          <t>13:20-15:30</t>
        </is>
      </c>
      <c r="Q183" s="1074" t="inlineStr">
        <is>
          <t>潜能班</t>
        </is>
      </c>
      <c r="R183" s="1074" t="inlineStr">
        <is>
          <t>零期</t>
        </is>
      </c>
      <c r="S183" s="1074" t="inlineStr">
        <is>
          <t>在读</t>
        </is>
      </c>
      <c r="T183" s="1074" t="inlineStr">
        <is>
          <t>-</t>
        </is>
      </c>
      <c r="U183" s="1074" t="inlineStr">
        <is>
          <t>4513265</t>
        </is>
      </c>
      <c r="V183" s="1074" t="n"/>
      <c r="W183" s="1074" t="inlineStr">
        <is>
          <t>李润</t>
        </is>
      </c>
      <c r="X183" s="1074" t="inlineStr">
        <is>
          <t>教室3</t>
        </is>
      </c>
      <c r="Y183" s="1074" t="inlineStr">
        <is>
          <t>10:20-12:30</t>
        </is>
      </c>
      <c r="Z183" s="1074" t="inlineStr">
        <is>
          <t>潜能班</t>
        </is>
      </c>
      <c r="AA183" s="1074" t="inlineStr">
        <is>
          <t>零期</t>
        </is>
      </c>
      <c r="AB183" s="1074" t="inlineStr">
        <is>
          <t>在读</t>
        </is>
      </c>
      <c r="AC183" s="1074" t="inlineStr">
        <is>
          <t>-</t>
        </is>
      </c>
      <c r="AD183" s="1074" t="inlineStr">
        <is>
          <t>5230723</t>
        </is>
      </c>
      <c r="AE183" s="1074" t="n"/>
      <c r="AF183" s="1074" t="inlineStr">
        <is>
          <t>肖锐03</t>
        </is>
      </c>
      <c r="AG183" s="1074" t="inlineStr">
        <is>
          <t>教室3</t>
        </is>
      </c>
      <c r="AH183" s="1074" t="inlineStr">
        <is>
          <t>15:50-18:00</t>
        </is>
      </c>
      <c r="AI183" s="1074" t="inlineStr">
        <is>
          <t>潜能班</t>
        </is>
      </c>
      <c r="AJ183" s="1074" t="inlineStr">
        <is>
          <t>零期</t>
        </is>
      </c>
      <c r="AK183" s="1074" t="inlineStr">
        <is>
          <t>在读</t>
        </is>
      </c>
      <c r="AL183" s="1074" t="inlineStr">
        <is>
          <t>-</t>
        </is>
      </c>
      <c r="AM183" s="1074" t="inlineStr">
        <is>
          <t>是</t>
        </is>
      </c>
      <c r="AN183" s="1074" t="inlineStr">
        <is>
          <t>是</t>
        </is>
      </c>
      <c r="AO183" s="1074" t="inlineStr">
        <is>
          <t>是</t>
        </is>
      </c>
      <c r="AP183" s="1074" t="n"/>
      <c r="AQ183" s="1074" t="n"/>
      <c r="AR183" s="1074" t="inlineStr">
        <is>
          <t>A</t>
        </is>
      </c>
      <c r="AS183" s="1074" t="inlineStr">
        <is>
          <t>有课外辅导经历，对比机构，有提前规划意识</t>
        </is>
      </c>
      <c r="AT183" s="311" t="n"/>
    </row>
    <row r="184" ht="26.25" customFormat="1" customHeight="1" s="366">
      <c r="A184" s="1074" t="inlineStr">
        <is>
          <t>新宝利</t>
        </is>
      </c>
      <c r="B184" s="1074" t="inlineStr">
        <is>
          <t>4484241011</t>
        </is>
      </c>
      <c r="C184" s="1074" t="inlineStr">
        <is>
          <t>于婧芸</t>
        </is>
      </c>
      <c r="D184" s="1074" t="inlineStr">
        <is>
          <t>林志豪01</t>
        </is>
      </c>
      <c r="E184" s="1074" t="inlineStr">
        <is>
          <t>纯拉新</t>
        </is>
      </c>
      <c r="F184" s="1074" t="n"/>
      <c r="G184" s="1074" t="n"/>
      <c r="H184" s="1074" t="inlineStr">
        <is>
          <t>在读</t>
        </is>
      </c>
      <c r="I184" s="1074" t="inlineStr">
        <is>
          <t>零期</t>
        </is>
      </c>
      <c r="J184" s="1074" t="inlineStr">
        <is>
          <t>3132880</t>
        </is>
      </c>
      <c r="K184" s="1074" t="inlineStr">
        <is>
          <t>报前测成绩</t>
        </is>
      </c>
      <c r="L184" s="1074" t="n">
        <v>100</v>
      </c>
      <c r="M184" s="1074" t="inlineStr">
        <is>
          <t>-</t>
        </is>
      </c>
      <c r="N184" s="1074" t="inlineStr">
        <is>
          <t>陈中帅</t>
        </is>
      </c>
      <c r="O184" s="1074" t="inlineStr">
        <is>
          <t>教室2</t>
        </is>
      </c>
      <c r="P184" s="1074" t="inlineStr">
        <is>
          <t>15:50-18:00</t>
        </is>
      </c>
      <c r="Q184" s="1074" t="inlineStr">
        <is>
          <t>启能班</t>
        </is>
      </c>
      <c r="R184" s="1074" t="inlineStr">
        <is>
          <t>零期</t>
        </is>
      </c>
      <c r="S184" s="1074" t="inlineStr">
        <is>
          <t>在读</t>
        </is>
      </c>
      <c r="T184" s="1074" t="inlineStr">
        <is>
          <t>-</t>
        </is>
      </c>
      <c r="U184" s="1074" t="inlineStr">
        <is>
          <t>4513265</t>
        </is>
      </c>
      <c r="V184" s="1074" t="n">
        <v>30</v>
      </c>
      <c r="W184" s="1074" t="inlineStr">
        <is>
          <t>李润</t>
        </is>
      </c>
      <c r="X184" s="1074" t="inlineStr">
        <is>
          <t>教室3</t>
        </is>
      </c>
      <c r="Y184" s="1074" t="inlineStr">
        <is>
          <t>10:20-12:30</t>
        </is>
      </c>
      <c r="Z184" s="1074" t="inlineStr">
        <is>
          <t>潜能班</t>
        </is>
      </c>
      <c r="AA184" s="1074" t="inlineStr">
        <is>
          <t>零期</t>
        </is>
      </c>
      <c r="AB184" s="1074" t="inlineStr">
        <is>
          <t>在读</t>
        </is>
      </c>
      <c r="AC184" s="1074" t="inlineStr">
        <is>
          <t>-</t>
        </is>
      </c>
      <c r="AD184" s="1074" t="inlineStr">
        <is>
          <t>5230727</t>
        </is>
      </c>
      <c r="AE184" s="1074" t="n">
        <v>37</v>
      </c>
      <c r="AF184" s="1074" t="inlineStr">
        <is>
          <t>肖锐03</t>
        </is>
      </c>
      <c r="AG184" s="1074" t="inlineStr">
        <is>
          <t>教室2</t>
        </is>
      </c>
      <c r="AH184" s="1074" t="inlineStr">
        <is>
          <t>13:20-15:30</t>
        </is>
      </c>
      <c r="AI184" s="1074" t="inlineStr">
        <is>
          <t>潜能班</t>
        </is>
      </c>
      <c r="AJ184" s="1074" t="inlineStr">
        <is>
          <t>零期</t>
        </is>
      </c>
      <c r="AK184" s="1074" t="inlineStr">
        <is>
          <t>在读</t>
        </is>
      </c>
      <c r="AL184" s="1074" t="inlineStr">
        <is>
          <t>-</t>
        </is>
      </c>
      <c r="AM184" s="1074" t="inlineStr">
        <is>
          <t>是</t>
        </is>
      </c>
      <c r="AN184" s="1074" t="inlineStr">
        <is>
          <t>否</t>
        </is>
      </c>
      <c r="AO184" s="1074" t="inlineStr">
        <is>
          <t>否</t>
        </is>
      </c>
      <c r="AP184" s="1074" t="n"/>
      <c r="AQ184" s="1074" t="n"/>
      <c r="AR184" s="1074" t="inlineStr">
        <is>
          <t>A</t>
        </is>
      </c>
      <c r="AS184" s="1074" t="inlineStr">
        <is>
          <t>作业帮线上学员对作业帮是认可的，线下也有学教育意识强，有问过语文秋季价格</t>
        </is>
      </c>
      <c r="AT184" s="311" t="n"/>
    </row>
    <row r="185" ht="26.25" customFormat="1" customHeight="1" s="366">
      <c r="A185" s="1074" t="inlineStr">
        <is>
          <t>新宝利</t>
        </is>
      </c>
      <c r="B185" s="1074" t="inlineStr">
        <is>
          <t>2701391531</t>
        </is>
      </c>
      <c r="C185" s="1074" t="inlineStr">
        <is>
          <t>林怿霖</t>
        </is>
      </c>
      <c r="D185" s="1074" t="inlineStr">
        <is>
          <t>林志豪01</t>
        </is>
      </c>
      <c r="E185" s="1074" t="inlineStr">
        <is>
          <t>纯拉新</t>
        </is>
      </c>
      <c r="F185" s="1074" t="n"/>
      <c r="G185" s="1074" t="n"/>
      <c r="H185" s="1074" t="inlineStr">
        <is>
          <t>在读</t>
        </is>
      </c>
      <c r="I185" s="1074" t="inlineStr">
        <is>
          <t>三期</t>
        </is>
      </c>
      <c r="J185" s="1074" t="inlineStr">
        <is>
          <t>3132902</t>
        </is>
      </c>
      <c r="K185" s="1074" t="inlineStr">
        <is>
          <t>校内成绩</t>
        </is>
      </c>
      <c r="L185" s="1074" t="n">
        <v>62</v>
      </c>
      <c r="M185" s="1074" t="n">
        <v>83</v>
      </c>
      <c r="N185" s="1074" t="inlineStr">
        <is>
          <t>陈中帅</t>
        </is>
      </c>
      <c r="O185" s="1074" t="inlineStr">
        <is>
          <t>教室3</t>
        </is>
      </c>
      <c r="P185" s="1074" t="inlineStr">
        <is>
          <t>13:20-15:30</t>
        </is>
      </c>
      <c r="Q185" s="1074" t="inlineStr">
        <is>
          <t>潜能班</t>
        </is>
      </c>
      <c r="R185" s="1074" t="inlineStr">
        <is>
          <t>三期</t>
        </is>
      </c>
      <c r="S185" s="1074" t="inlineStr">
        <is>
          <t>在读</t>
        </is>
      </c>
      <c r="T185" s="1074" t="inlineStr">
        <is>
          <t>-</t>
        </is>
      </c>
      <c r="U185" s="1074" t="inlineStr">
        <is>
          <t>5230747</t>
        </is>
      </c>
      <c r="V185" s="1074" t="n"/>
      <c r="W185" s="1074" t="inlineStr">
        <is>
          <t>陈南05</t>
        </is>
      </c>
      <c r="X185" s="1074" t="inlineStr">
        <is>
          <t>教室3</t>
        </is>
      </c>
      <c r="Y185" s="1074" t="inlineStr">
        <is>
          <t>10:20-12:30</t>
        </is>
      </c>
      <c r="Z185" s="1074" t="inlineStr">
        <is>
          <t>潜能班</t>
        </is>
      </c>
      <c r="AA185" s="1074" t="inlineStr">
        <is>
          <t>三期</t>
        </is>
      </c>
      <c r="AB185" s="1074" t="inlineStr">
        <is>
          <t>在读</t>
        </is>
      </c>
      <c r="AC185" s="1074" t="inlineStr">
        <is>
          <t>-</t>
        </is>
      </c>
      <c r="AD185" s="1074" t="inlineStr">
        <is>
          <t>5230821</t>
        </is>
      </c>
      <c r="AE185" s="1074" t="n"/>
      <c r="AF185" s="1074" t="inlineStr">
        <is>
          <t>肖锐03</t>
        </is>
      </c>
      <c r="AG185" s="1074" t="inlineStr">
        <is>
          <t>教室3</t>
        </is>
      </c>
      <c r="AH185" s="1074" t="inlineStr">
        <is>
          <t>15:50-18:00</t>
        </is>
      </c>
      <c r="AI185" s="1074" t="inlineStr">
        <is>
          <t>潜能班</t>
        </is>
      </c>
      <c r="AJ185" s="1074" t="inlineStr">
        <is>
          <t>三期</t>
        </is>
      </c>
      <c r="AK185" s="1074" t="inlineStr">
        <is>
          <t>在读</t>
        </is>
      </c>
      <c r="AL185" s="1074" t="inlineStr">
        <is>
          <t>-</t>
        </is>
      </c>
      <c r="AM185" s="1074" t="n"/>
      <c r="AN185" s="1074" t="n"/>
      <c r="AO185" s="1074" t="n"/>
      <c r="AP185" s="1074" t="n"/>
      <c r="AQ185" s="1074" t="n"/>
      <c r="AR185" s="1074" t="inlineStr">
        <is>
          <t>B</t>
        </is>
      </c>
      <c r="AS185" s="1074" t="inlineStr">
        <is>
          <t>转介绍，之前没报过培训机构，这次是和朋友一起咨询</t>
        </is>
      </c>
      <c r="AT185" s="311" t="n"/>
    </row>
    <row r="186" ht="26.25" customFormat="1" customHeight="1" s="366">
      <c r="A186" s="1074" t="inlineStr">
        <is>
          <t>新宝利</t>
        </is>
      </c>
      <c r="B186" s="1074" t="inlineStr">
        <is>
          <t>2305874638</t>
        </is>
      </c>
      <c r="C186" s="1074" t="inlineStr">
        <is>
          <t>叶湖萍</t>
        </is>
      </c>
      <c r="D186" s="1074" t="inlineStr">
        <is>
          <t>张敏烨</t>
        </is>
      </c>
      <c r="E186" s="1074" t="inlineStr">
        <is>
          <t>纯拉新</t>
        </is>
      </c>
      <c r="F186" s="1074" t="n"/>
      <c r="G186" s="1074" t="n"/>
      <c r="H186" s="1074" t="inlineStr">
        <is>
          <t>在读</t>
        </is>
      </c>
      <c r="I186" s="1074" t="inlineStr">
        <is>
          <t>零期</t>
        </is>
      </c>
      <c r="J186" s="1074" t="inlineStr">
        <is>
          <t>3132880</t>
        </is>
      </c>
      <c r="K186" s="1074" t="inlineStr">
        <is>
          <t>报前测成绩</t>
        </is>
      </c>
      <c r="L186" s="1074" t="n">
        <v>80</v>
      </c>
      <c r="M186" s="1074" t="inlineStr">
        <is>
          <t>-</t>
        </is>
      </c>
      <c r="N186" s="1074" t="inlineStr">
        <is>
          <t>陈中帅</t>
        </is>
      </c>
      <c r="O186" s="1074" t="inlineStr">
        <is>
          <t>教室2</t>
        </is>
      </c>
      <c r="P186" s="1074" t="inlineStr">
        <is>
          <t>15:50-18:00</t>
        </is>
      </c>
      <c r="Q186" s="1074" t="inlineStr">
        <is>
          <t>启能班</t>
        </is>
      </c>
      <c r="R186" s="1074" t="inlineStr">
        <is>
          <t>零期</t>
        </is>
      </c>
      <c r="S186" s="1074" t="inlineStr">
        <is>
          <t>在读</t>
        </is>
      </c>
      <c r="T186" s="1074" t="inlineStr">
        <is>
          <t>是</t>
        </is>
      </c>
      <c r="U186" s="1074" t="inlineStr">
        <is>
          <t>3132859</t>
        </is>
      </c>
      <c r="V186" s="1074" t="n">
        <v>35</v>
      </c>
      <c r="W186" s="1074" t="inlineStr">
        <is>
          <t>黄铭怡</t>
        </is>
      </c>
      <c r="X186" s="1074" t="inlineStr">
        <is>
          <t>教室2</t>
        </is>
      </c>
      <c r="Y186" s="1074" t="inlineStr">
        <is>
          <t>10:20-12:30</t>
        </is>
      </c>
      <c r="Z186" s="1074" t="inlineStr">
        <is>
          <t>潜能班</t>
        </is>
      </c>
      <c r="AA186" s="1074" t="inlineStr">
        <is>
          <t>零期</t>
        </is>
      </c>
      <c r="AB186" s="1074" t="inlineStr">
        <is>
          <t>在读</t>
        </is>
      </c>
      <c r="AC186" s="1074" t="inlineStr">
        <is>
          <t>是</t>
        </is>
      </c>
      <c r="AD186" s="1074" t="inlineStr">
        <is>
          <t>5230727</t>
        </is>
      </c>
      <c r="AE186" s="1074" t="n">
        <v>29</v>
      </c>
      <c r="AF186" s="1074" t="inlineStr">
        <is>
          <t>肖锐03</t>
        </is>
      </c>
      <c r="AG186" s="1074" t="inlineStr">
        <is>
          <t>教室2</t>
        </is>
      </c>
      <c r="AH186" s="1074" t="inlineStr">
        <is>
          <t>13:20-15:30</t>
        </is>
      </c>
      <c r="AI186" s="1074" t="inlineStr">
        <is>
          <t>潜能班</t>
        </is>
      </c>
      <c r="AJ186" s="1074" t="inlineStr">
        <is>
          <t>零期</t>
        </is>
      </c>
      <c r="AK186" s="1074" t="inlineStr">
        <is>
          <t>在读</t>
        </is>
      </c>
      <c r="AL186" s="1074" t="inlineStr">
        <is>
          <t>是</t>
        </is>
      </c>
      <c r="AM186" s="1074" t="inlineStr">
        <is>
          <t>是</t>
        </is>
      </c>
      <c r="AN186" s="1074" t="inlineStr">
        <is>
          <t>是</t>
        </is>
      </c>
      <c r="AO186" s="1074" t="inlineStr">
        <is>
          <t>否</t>
        </is>
      </c>
      <c r="AP186" s="1074" t="n"/>
      <c r="AQ186" s="1074" t="n"/>
      <c r="AR186" s="1074" t="inlineStr">
        <is>
          <t>S</t>
        </is>
      </c>
      <c r="AS186" s="1074" t="inlineStr">
        <is>
          <t>已报秋</t>
        </is>
      </c>
      <c r="AT186" s="311" t="n"/>
    </row>
    <row r="187" ht="26.25" customFormat="1" customHeight="1" s="366">
      <c r="A187" s="1074" t="inlineStr">
        <is>
          <t>新宝利</t>
        </is>
      </c>
      <c r="B187" s="1074" t="inlineStr">
        <is>
          <t>4467119064</t>
        </is>
      </c>
      <c r="C187" s="1074" t="inlineStr">
        <is>
          <t>何振豪</t>
        </is>
      </c>
      <c r="D187" s="1074" t="inlineStr">
        <is>
          <t>杨林33</t>
        </is>
      </c>
      <c r="E187" s="1074" t="inlineStr">
        <is>
          <t>纯拉新</t>
        </is>
      </c>
      <c r="F187" s="1074" t="n"/>
      <c r="G187" s="1074" t="n"/>
      <c r="H187" s="1074" t="inlineStr">
        <is>
          <t>在读</t>
        </is>
      </c>
      <c r="I187" s="1074" t="inlineStr">
        <is>
          <t>一期</t>
        </is>
      </c>
      <c r="J187" s="1074" t="inlineStr">
        <is>
          <t>5230742</t>
        </is>
      </c>
      <c r="K187" s="1074" t="inlineStr">
        <is>
          <t>校内成绩</t>
        </is>
      </c>
      <c r="L187" s="1074" t="n">
        <v>60</v>
      </c>
      <c r="M187" s="1074" t="n">
        <v>80</v>
      </c>
      <c r="N187" s="1074" t="inlineStr">
        <is>
          <t>何咏04</t>
        </is>
      </c>
      <c r="O187" s="1074" t="inlineStr">
        <is>
          <t>教室2</t>
        </is>
      </c>
      <c r="P187" s="1074" t="inlineStr">
        <is>
          <t>13:20-15:30</t>
        </is>
      </c>
      <c r="Q187" s="1074" t="inlineStr">
        <is>
          <t>潜能班</t>
        </is>
      </c>
      <c r="R187" s="1074" t="inlineStr">
        <is>
          <t>一期</t>
        </is>
      </c>
      <c r="S187" s="1074" t="inlineStr">
        <is>
          <t>在读</t>
        </is>
      </c>
      <c r="T187" s="1074" t="inlineStr">
        <is>
          <t>-</t>
        </is>
      </c>
      <c r="U187" s="1074" t="inlineStr">
        <is>
          <t>5230773</t>
        </is>
      </c>
      <c r="V187" s="1074" t="n"/>
      <c r="W187" s="1074" t="inlineStr">
        <is>
          <t>陈南05</t>
        </is>
      </c>
      <c r="X187" s="1074" t="inlineStr">
        <is>
          <t>教室2</t>
        </is>
      </c>
      <c r="Y187" s="1074" t="inlineStr">
        <is>
          <t>15:50-18:00</t>
        </is>
      </c>
      <c r="Z187" s="1074" t="inlineStr">
        <is>
          <t>潜能班</t>
        </is>
      </c>
      <c r="AA187" s="1074" t="inlineStr">
        <is>
          <t>一期</t>
        </is>
      </c>
      <c r="AB187" s="1074" t="inlineStr">
        <is>
          <t>在读</t>
        </is>
      </c>
      <c r="AC187" s="1074" t="inlineStr">
        <is>
          <t>-</t>
        </is>
      </c>
      <c r="AD187" s="1074" t="inlineStr">
        <is>
          <t>3132888</t>
        </is>
      </c>
      <c r="AE187" s="1074" t="n"/>
      <c r="AF187" s="1074" t="inlineStr">
        <is>
          <t>肖锐03</t>
        </is>
      </c>
      <c r="AG187" s="1074" t="inlineStr">
        <is>
          <t>教室2</t>
        </is>
      </c>
      <c r="AH187" s="1074" t="inlineStr">
        <is>
          <t>10:20-12:30</t>
        </is>
      </c>
      <c r="AI187" s="1074" t="inlineStr">
        <is>
          <t>潜能班</t>
        </is>
      </c>
      <c r="AJ187" s="1074" t="inlineStr">
        <is>
          <t>一期</t>
        </is>
      </c>
      <c r="AK187" s="1074" t="inlineStr">
        <is>
          <t>在读</t>
        </is>
      </c>
      <c r="AL187" s="1074" t="inlineStr">
        <is>
          <t>-</t>
        </is>
      </c>
      <c r="AM187" s="1074" t="n"/>
      <c r="AN187" s="1074" t="n"/>
      <c r="AO187" s="1074" t="n"/>
      <c r="AP187" s="1074" t="n"/>
      <c r="AQ187" s="1074" t="n"/>
      <c r="AR187" s="1074" t="inlineStr">
        <is>
          <t>A</t>
        </is>
      </c>
      <c r="AS187" s="1074" t="inlineStr">
        <is>
          <t>钧豪转介绍，之前其他机构在读，补习意愿度和支付能力是可以的。</t>
        </is>
      </c>
      <c r="AT187" s="311" t="n"/>
    </row>
    <row r="188" ht="26.25" customFormat="1" customHeight="1" s="366">
      <c r="A188" s="1074" t="inlineStr">
        <is>
          <t>新宝利</t>
        </is>
      </c>
      <c r="B188" s="1074" t="inlineStr">
        <is>
          <t>4840268117</t>
        </is>
      </c>
      <c r="C188" s="1074" t="inlineStr">
        <is>
          <t>官沛霖</t>
        </is>
      </c>
      <c r="D188" s="1074" t="inlineStr">
        <is>
          <t>杨林33</t>
        </is>
      </c>
      <c r="E188" s="1074" t="inlineStr">
        <is>
          <t>纯拉新</t>
        </is>
      </c>
      <c r="F188" s="1074" t="n"/>
      <c r="G188" s="1074" t="n"/>
      <c r="H188" s="1074" t="inlineStr">
        <is>
          <t>在读</t>
        </is>
      </c>
      <c r="I188" s="1074" t="inlineStr">
        <is>
          <t>二期</t>
        </is>
      </c>
      <c r="J188" s="1074" t="inlineStr">
        <is>
          <t>-</t>
        </is>
      </c>
      <c r="K188" s="1074" t="inlineStr"/>
      <c r="L188" s="1074" t="inlineStr"/>
      <c r="M188" s="1074" t="inlineStr"/>
      <c r="N188" s="1074" t="inlineStr">
        <is>
          <t>-</t>
        </is>
      </c>
      <c r="O188" s="1074" t="inlineStr">
        <is>
          <t>-</t>
        </is>
      </c>
      <c r="P188" s="1074" t="inlineStr">
        <is>
          <t>-</t>
        </is>
      </c>
      <c r="Q188" s="1074" t="inlineStr">
        <is>
          <t>-</t>
        </is>
      </c>
      <c r="R188" s="1074" t="inlineStr">
        <is>
          <t>-</t>
        </is>
      </c>
      <c r="S188" s="1074" t="inlineStr">
        <is>
          <t>-</t>
        </is>
      </c>
      <c r="T188" s="1074" t="inlineStr">
        <is>
          <t>-</t>
        </is>
      </c>
      <c r="U188" s="1074" t="inlineStr">
        <is>
          <t>3132846</t>
        </is>
      </c>
      <c r="V188" s="1074" t="n">
        <v>30</v>
      </c>
      <c r="W188" s="1074" t="inlineStr">
        <is>
          <t>黄铭怡</t>
        </is>
      </c>
      <c r="X188" s="1074" t="inlineStr">
        <is>
          <t>教室3</t>
        </is>
      </c>
      <c r="Y188" s="1074" t="inlineStr">
        <is>
          <t>13:20-15:30</t>
        </is>
      </c>
      <c r="Z188" s="1074" t="inlineStr">
        <is>
          <t>潜能班</t>
        </is>
      </c>
      <c r="AA188" s="1074" t="inlineStr">
        <is>
          <t>二期</t>
        </is>
      </c>
      <c r="AB188" s="1074" t="inlineStr">
        <is>
          <t>在读</t>
        </is>
      </c>
      <c r="AC188" s="1074" t="inlineStr">
        <is>
          <t>-</t>
        </is>
      </c>
      <c r="AD188" s="1074" t="inlineStr">
        <is>
          <t>-</t>
        </is>
      </c>
      <c r="AE188" s="1074" t="inlineStr"/>
      <c r="AF188" s="1074" t="inlineStr">
        <is>
          <t>-</t>
        </is>
      </c>
      <c r="AG188" s="1074" t="inlineStr">
        <is>
          <t>-</t>
        </is>
      </c>
      <c r="AH188" s="1074" t="inlineStr">
        <is>
          <t>-</t>
        </is>
      </c>
      <c r="AI188" s="1074" t="inlineStr">
        <is>
          <t>-</t>
        </is>
      </c>
      <c r="AJ188" s="1074" t="inlineStr">
        <is>
          <t>-</t>
        </is>
      </c>
      <c r="AK188" s="1074" t="inlineStr">
        <is>
          <t>-</t>
        </is>
      </c>
      <c r="AL188" s="1074" t="inlineStr">
        <is>
          <t>-</t>
        </is>
      </c>
      <c r="AM188" s="1074" t="n"/>
      <c r="AN188" s="1074" t="n"/>
      <c r="AO188" s="1074" t="n"/>
      <c r="AP188" s="1074" t="n"/>
      <c r="AQ188" s="1074" t="n"/>
      <c r="AR188" s="1074" t="inlineStr">
        <is>
          <t>A</t>
        </is>
      </c>
      <c r="AS188" s="1074" t="inlineStr">
        <is>
          <t>爸爸负责学习，教育理念好</t>
        </is>
      </c>
      <c r="AT188" s="311" t="n"/>
    </row>
    <row r="189" ht="26.25" customFormat="1" customHeight="1" s="366">
      <c r="A189" s="1074" t="inlineStr">
        <is>
          <t>同创汇</t>
        </is>
      </c>
      <c r="B189" s="1074" t="inlineStr">
        <is>
          <t>2531326234</t>
        </is>
      </c>
      <c r="C189" s="1074" t="inlineStr">
        <is>
          <t>译译</t>
        </is>
      </c>
      <c r="D189" s="1074" t="inlineStr">
        <is>
          <t>王丽</t>
        </is>
      </c>
      <c r="E189" s="1074" t="inlineStr">
        <is>
          <t>新生转介绍</t>
        </is>
      </c>
      <c r="F189" s="1074" t="n"/>
      <c r="G189" s="1074" t="inlineStr">
        <is>
          <t>李倬承</t>
        </is>
      </c>
      <c r="H189" s="1074" t="inlineStr">
        <is>
          <t>在读</t>
        </is>
      </c>
      <c r="I189" s="1074" t="inlineStr">
        <is>
          <t>零期/二期</t>
        </is>
      </c>
      <c r="J189" s="1074" t="inlineStr">
        <is>
          <t>3132897</t>
        </is>
      </c>
      <c r="K189" s="1074" t="inlineStr">
        <is>
          <t>校内成绩</t>
        </is>
      </c>
      <c r="L189" s="1074" t="n">
        <v>64</v>
      </c>
      <c r="M189" s="1074" t="n">
        <v>85</v>
      </c>
      <c r="N189" s="1074" t="inlineStr">
        <is>
          <t>陈中帅</t>
        </is>
      </c>
      <c r="O189" s="1074" t="inlineStr">
        <is>
          <t>01智慧林</t>
        </is>
      </c>
      <c r="P189" s="1074" t="inlineStr">
        <is>
          <t>10:20-12:30</t>
        </is>
      </c>
      <c r="Q189" s="1074" t="inlineStr">
        <is>
          <t>潜能班</t>
        </is>
      </c>
      <c r="R189" s="1074" t="inlineStr">
        <is>
          <t>零期</t>
        </is>
      </c>
      <c r="S189" s="1074" t="inlineStr">
        <is>
          <t>在读</t>
        </is>
      </c>
      <c r="T189" s="1074" t="inlineStr">
        <is>
          <t>-</t>
        </is>
      </c>
      <c r="U189" s="1074" t="inlineStr">
        <is>
          <t>5230809</t>
        </is>
      </c>
      <c r="V189" s="1074" t="n"/>
      <c r="W189" s="1074" t="inlineStr">
        <is>
          <t>李润</t>
        </is>
      </c>
      <c r="X189" s="1074" t="inlineStr">
        <is>
          <t>01智慧林</t>
        </is>
      </c>
      <c r="Y189" s="1074" t="inlineStr">
        <is>
          <t>10:20-12:30</t>
        </is>
      </c>
      <c r="Z189" s="1074" t="inlineStr">
        <is>
          <t>潜能班</t>
        </is>
      </c>
      <c r="AA189" s="1074" t="inlineStr">
        <is>
          <t>二期</t>
        </is>
      </c>
      <c r="AB189" s="1074" t="inlineStr">
        <is>
          <t>在读</t>
        </is>
      </c>
      <c r="AC189" s="1074" t="inlineStr">
        <is>
          <t>-</t>
        </is>
      </c>
      <c r="AD189" s="1074" t="inlineStr">
        <is>
          <t>5230737</t>
        </is>
      </c>
      <c r="AE189" s="1074" t="n"/>
      <c r="AF189" s="1074" t="inlineStr">
        <is>
          <t>高心怡04</t>
        </is>
      </c>
      <c r="AG189" s="1074" t="inlineStr">
        <is>
          <t>01智慧林</t>
        </is>
      </c>
      <c r="AH189" s="1074" t="inlineStr">
        <is>
          <t>13:20-15:30</t>
        </is>
      </c>
      <c r="AI189" s="1074" t="inlineStr">
        <is>
          <t>潜能班</t>
        </is>
      </c>
      <c r="AJ189" s="1074" t="inlineStr">
        <is>
          <t>零期</t>
        </is>
      </c>
      <c r="AK189" s="1074" t="inlineStr">
        <is>
          <t>在读</t>
        </is>
      </c>
      <c r="AL189" s="1074" t="inlineStr">
        <is>
          <t>-</t>
        </is>
      </c>
      <c r="AM189" s="1074" t="inlineStr">
        <is>
          <t>是</t>
        </is>
      </c>
      <c r="AN189" s="1074" t="inlineStr">
        <is>
          <t>否</t>
        </is>
      </c>
      <c r="AO189" s="1074" t="inlineStr">
        <is>
          <t>否</t>
        </is>
      </c>
      <c r="AP189" s="1074" t="n"/>
      <c r="AQ189" s="1074" t="n"/>
      <c r="AR189" s="1074" t="inlineStr">
        <is>
          <t>A</t>
        </is>
      </c>
      <c r="AS189" s="1074" t="inlineStr">
        <is>
          <t>老生转介绍，意愿度不错</t>
        </is>
      </c>
      <c r="AT189" s="311" t="n"/>
    </row>
    <row r="190" ht="26.25" customFormat="1" customHeight="1" s="366">
      <c r="A190" s="1074" t="inlineStr">
        <is>
          <t>新宝利</t>
        </is>
      </c>
      <c r="B190" s="1074" t="inlineStr">
        <is>
          <t>4828522130</t>
        </is>
      </c>
      <c r="C190" s="1074" t="inlineStr">
        <is>
          <t>陈柯珉</t>
        </is>
      </c>
      <c r="D190" s="1074" t="inlineStr">
        <is>
          <t>陈亮延</t>
        </is>
      </c>
      <c r="E190" s="1074" t="inlineStr">
        <is>
          <t>纯拉新</t>
        </is>
      </c>
      <c r="F190" s="1074" t="n"/>
      <c r="G190" s="1074" t="n"/>
      <c r="H190" s="1074" t="inlineStr">
        <is>
          <t>在读</t>
        </is>
      </c>
      <c r="I190" s="1074" t="inlineStr">
        <is>
          <t>一期</t>
        </is>
      </c>
      <c r="J190" s="1074" t="inlineStr">
        <is>
          <t>5230742</t>
        </is>
      </c>
      <c r="K190" s="1074" t="inlineStr">
        <is>
          <t>校内成绩</t>
        </is>
      </c>
      <c r="L190" s="1074" t="n">
        <v>64</v>
      </c>
      <c r="M190" s="1074" t="n">
        <v>85</v>
      </c>
      <c r="N190" s="1074" t="inlineStr">
        <is>
          <t>何咏04</t>
        </is>
      </c>
      <c r="O190" s="1074" t="inlineStr">
        <is>
          <t>教室2</t>
        </is>
      </c>
      <c r="P190" s="1074" t="inlineStr">
        <is>
          <t>13:20-15:30</t>
        </is>
      </c>
      <c r="Q190" s="1074" t="inlineStr">
        <is>
          <t>潜能班</t>
        </is>
      </c>
      <c r="R190" s="1074" t="inlineStr">
        <is>
          <t>一期</t>
        </is>
      </c>
      <c r="S190" s="1074" t="inlineStr">
        <is>
          <t>在读</t>
        </is>
      </c>
      <c r="T190" s="1074" t="inlineStr">
        <is>
          <t>-</t>
        </is>
      </c>
      <c r="U190" s="1074" t="inlineStr">
        <is>
          <t>-</t>
        </is>
      </c>
      <c r="V190" s="1074" t="inlineStr"/>
      <c r="W190" s="1074" t="inlineStr">
        <is>
          <t>-</t>
        </is>
      </c>
      <c r="X190" s="1074" t="inlineStr">
        <is>
          <t>-</t>
        </is>
      </c>
      <c r="Y190" s="1074" t="inlineStr">
        <is>
          <t>-</t>
        </is>
      </c>
      <c r="Z190" s="1074" t="inlineStr">
        <is>
          <t>-</t>
        </is>
      </c>
      <c r="AA190" s="1074" t="inlineStr">
        <is>
          <t>-</t>
        </is>
      </c>
      <c r="AB190" s="1074" t="inlineStr">
        <is>
          <t>-</t>
        </is>
      </c>
      <c r="AC190" s="1074" t="inlineStr">
        <is>
          <t>-</t>
        </is>
      </c>
      <c r="AD190" s="1074" t="inlineStr">
        <is>
          <t>-</t>
        </is>
      </c>
      <c r="AE190" s="1074" t="inlineStr"/>
      <c r="AF190" s="1074" t="inlineStr">
        <is>
          <t>-</t>
        </is>
      </c>
      <c r="AG190" s="1074" t="inlineStr">
        <is>
          <t>-</t>
        </is>
      </c>
      <c r="AH190" s="1074" t="inlineStr">
        <is>
          <t>-</t>
        </is>
      </c>
      <c r="AI190" s="1074" t="inlineStr">
        <is>
          <t>-</t>
        </is>
      </c>
      <c r="AJ190" s="1074" t="inlineStr">
        <is>
          <t>-</t>
        </is>
      </c>
      <c r="AK190" s="1074" t="inlineStr">
        <is>
          <t>-</t>
        </is>
      </c>
      <c r="AL190" s="1074" t="inlineStr">
        <is>
          <t>-</t>
        </is>
      </c>
      <c r="AM190" s="1074" t="n"/>
      <c r="AN190" s="1074" t="n"/>
      <c r="AO190" s="1074" t="n"/>
      <c r="AP190" s="1074" t="n"/>
      <c r="AQ190" s="1074" t="n"/>
      <c r="AR190" s="1074" t="inlineStr">
        <is>
          <t>A</t>
        </is>
      </c>
      <c r="AS190" s="1074" t="inlineStr">
        <is>
          <t>有课外辅导经历，对比机构，有提前规划意识</t>
        </is>
      </c>
      <c r="AT190" s="311" t="n"/>
    </row>
    <row r="191" ht="26.25" customFormat="1" customHeight="1" s="366">
      <c r="A191" s="1074" t="inlineStr">
        <is>
          <t>天成大厦</t>
        </is>
      </c>
      <c r="B191" s="1074" t="inlineStr">
        <is>
          <t>4076576745</t>
        </is>
      </c>
      <c r="C191" s="1074" t="inlineStr">
        <is>
          <t>辰悦</t>
        </is>
      </c>
      <c r="D191" s="1074" t="inlineStr">
        <is>
          <t>陈亮延</t>
        </is>
      </c>
      <c r="E191" s="1074" t="inlineStr">
        <is>
          <t>纯拉新</t>
        </is>
      </c>
      <c r="F191" s="1074" t="n"/>
      <c r="G191" s="1074" t="n"/>
      <c r="H191" s="1074" t="inlineStr">
        <is>
          <t>在读</t>
        </is>
      </c>
      <c r="I191" s="1074" t="inlineStr">
        <is>
          <t>一期</t>
        </is>
      </c>
      <c r="J191" s="1074" t="inlineStr">
        <is>
          <t>-</t>
        </is>
      </c>
      <c r="K191" s="1074" t="inlineStr"/>
      <c r="L191" s="1074" t="inlineStr"/>
      <c r="M191" s="1074" t="inlineStr"/>
      <c r="N191" s="1074" t="inlineStr">
        <is>
          <t>-</t>
        </is>
      </c>
      <c r="O191" s="1074" t="inlineStr">
        <is>
          <t>-</t>
        </is>
      </c>
      <c r="P191" s="1074" t="inlineStr">
        <is>
          <t>-</t>
        </is>
      </c>
      <c r="Q191" s="1074" t="inlineStr">
        <is>
          <t>-</t>
        </is>
      </c>
      <c r="R191" s="1074" t="inlineStr">
        <is>
          <t>-</t>
        </is>
      </c>
      <c r="S191" s="1074" t="inlineStr">
        <is>
          <t>-</t>
        </is>
      </c>
      <c r="T191" s="1074" t="inlineStr">
        <is>
          <t>-</t>
        </is>
      </c>
      <c r="U191" s="1074" t="inlineStr">
        <is>
          <t>3132834</t>
        </is>
      </c>
      <c r="V191" s="1074" t="n"/>
      <c r="W191" s="1074" t="inlineStr">
        <is>
          <t>李润</t>
        </is>
      </c>
      <c r="X191" s="1074" t="inlineStr">
        <is>
          <t>03品尚</t>
        </is>
      </c>
      <c r="Y191" s="1074" t="inlineStr">
        <is>
          <t>07:50-10:00</t>
        </is>
      </c>
      <c r="Z191" s="1074" t="inlineStr">
        <is>
          <t>潜能班</t>
        </is>
      </c>
      <c r="AA191" s="1074" t="inlineStr">
        <is>
          <t>一期</t>
        </is>
      </c>
      <c r="AB191" s="1074" t="inlineStr">
        <is>
          <t>在读</t>
        </is>
      </c>
      <c r="AC191" s="1074" t="inlineStr">
        <is>
          <t>-</t>
        </is>
      </c>
      <c r="AD191" s="1074" t="inlineStr">
        <is>
          <t>-</t>
        </is>
      </c>
      <c r="AE191" s="1074" t="inlineStr"/>
      <c r="AF191" s="1074" t="inlineStr">
        <is>
          <t>-</t>
        </is>
      </c>
      <c r="AG191" s="1074" t="inlineStr">
        <is>
          <t>-</t>
        </is>
      </c>
      <c r="AH191" s="1074" t="inlineStr">
        <is>
          <t>-</t>
        </is>
      </c>
      <c r="AI191" s="1074" t="inlineStr">
        <is>
          <t>-</t>
        </is>
      </c>
      <c r="AJ191" s="1074" t="inlineStr">
        <is>
          <t>-</t>
        </is>
      </c>
      <c r="AK191" s="1074" t="inlineStr">
        <is>
          <t>-</t>
        </is>
      </c>
      <c r="AL191" s="1074" t="inlineStr">
        <is>
          <t>-</t>
        </is>
      </c>
      <c r="AM191" s="1074" t="n"/>
      <c r="AN191" s="1074" t="n"/>
      <c r="AO191" s="1074" t="n"/>
      <c r="AP191" s="1074" t="n"/>
      <c r="AQ191" s="1074" t="n"/>
      <c r="AR191" s="1074" t="inlineStr">
        <is>
          <t>S</t>
        </is>
      </c>
      <c r="AS191" s="1074" t="inlineStr">
        <is>
          <t>学生安排的比较满，家长课前有问过秋季的安排</t>
        </is>
      </c>
      <c r="AT191" s="311" t="n"/>
    </row>
    <row r="192" ht="26.25" customFormat="1" customHeight="1" s="366">
      <c r="A192" s="1074" t="inlineStr">
        <is>
          <t>新宝利</t>
        </is>
      </c>
      <c r="B192" s="1074" t="inlineStr">
        <is>
          <t>4816284713</t>
        </is>
      </c>
      <c r="C192" s="1074" t="inlineStr">
        <is>
          <t>罗雅茵</t>
        </is>
      </c>
      <c r="D192" s="1074" t="inlineStr">
        <is>
          <t>林志豪01</t>
        </is>
      </c>
      <c r="E192" s="1074" t="inlineStr">
        <is>
          <t>纯拉新</t>
        </is>
      </c>
      <c r="F192" s="1074" t="n"/>
      <c r="G192" s="1074" t="n"/>
      <c r="H192" s="1074" t="inlineStr">
        <is>
          <t>在读</t>
        </is>
      </c>
      <c r="I192" s="1074" t="inlineStr">
        <is>
          <t>二期</t>
        </is>
      </c>
      <c r="J192" s="1074" t="inlineStr">
        <is>
          <t>4513341</t>
        </is>
      </c>
      <c r="K192" s="1074" t="inlineStr">
        <is>
          <t>校内成绩</t>
        </is>
      </c>
      <c r="L192" s="1074" t="n">
        <v>86</v>
      </c>
      <c r="M192" s="1074" t="n">
        <v>96</v>
      </c>
      <c r="N192" s="1074" t="inlineStr">
        <is>
          <t>陈中帅</t>
        </is>
      </c>
      <c r="O192" s="1074" t="inlineStr">
        <is>
          <t>教室3</t>
        </is>
      </c>
      <c r="P192" s="1074" t="inlineStr">
        <is>
          <t>15:50-18:00</t>
        </is>
      </c>
      <c r="Q192" s="1074" t="inlineStr">
        <is>
          <t>启能班</t>
        </is>
      </c>
      <c r="R192" s="1074" t="inlineStr">
        <is>
          <t>二期</t>
        </is>
      </c>
      <c r="S192" s="1074" t="inlineStr">
        <is>
          <t>在读</t>
        </is>
      </c>
      <c r="T192" s="1074" t="inlineStr">
        <is>
          <t>-</t>
        </is>
      </c>
      <c r="U192" s="1074" t="inlineStr">
        <is>
          <t>3132846</t>
        </is>
      </c>
      <c r="V192" s="1074" t="n">
        <v>0</v>
      </c>
      <c r="W192" s="1074" t="inlineStr">
        <is>
          <t>黄铭怡</t>
        </is>
      </c>
      <c r="X192" s="1074" t="inlineStr">
        <is>
          <t>教室3</t>
        </is>
      </c>
      <c r="Y192" s="1074" t="inlineStr">
        <is>
          <t>13:20-15:30</t>
        </is>
      </c>
      <c r="Z192" s="1074" t="inlineStr">
        <is>
          <t>潜能班</t>
        </is>
      </c>
      <c r="AA192" s="1074" t="inlineStr">
        <is>
          <t>二期</t>
        </is>
      </c>
      <c r="AB192" s="1074" t="inlineStr">
        <is>
          <t>在读</t>
        </is>
      </c>
      <c r="AC192" s="1074" t="inlineStr">
        <is>
          <t>-</t>
        </is>
      </c>
      <c r="AD192" s="1074" t="inlineStr">
        <is>
          <t>5230738</t>
        </is>
      </c>
      <c r="AE192" s="1074" t="n">
        <v>0</v>
      </c>
      <c r="AF192" s="1074" t="inlineStr">
        <is>
          <t>高心怡04</t>
        </is>
      </c>
      <c r="AG192" s="1074" t="inlineStr">
        <is>
          <t>教室3</t>
        </is>
      </c>
      <c r="AH192" s="1074" t="inlineStr">
        <is>
          <t>10:20-12:30</t>
        </is>
      </c>
      <c r="AI192" s="1074" t="inlineStr">
        <is>
          <t>潜能班</t>
        </is>
      </c>
      <c r="AJ192" s="1074" t="inlineStr">
        <is>
          <t>二期</t>
        </is>
      </c>
      <c r="AK192" s="1074" t="inlineStr">
        <is>
          <t>在读</t>
        </is>
      </c>
      <c r="AL192" s="1074" t="inlineStr">
        <is>
          <t>-</t>
        </is>
      </c>
      <c r="AM192" s="1074" t="n"/>
      <c r="AN192" s="1074" t="n"/>
      <c r="AO192" s="1074" t="n"/>
      <c r="AP192" s="1074" t="n"/>
      <c r="AQ192" s="1074" t="n"/>
      <c r="AR192" s="1074" t="inlineStr">
        <is>
          <t>B</t>
        </is>
      </c>
      <c r="AS192" s="1074" t="inlineStr">
        <is>
          <t>转介绍，之前报过线上的，整体成绩不错孩子，这次是和朋友一起咨询，只聊了暑假，暑假看情况</t>
        </is>
      </c>
      <c r="AT192" s="311" t="n"/>
    </row>
    <row r="193" ht="26.25" customFormat="1" customHeight="1" s="366">
      <c r="A193" s="1074" t="inlineStr">
        <is>
          <t>新宝利</t>
        </is>
      </c>
      <c r="B193" s="1074" t="inlineStr">
        <is>
          <t>2496797057</t>
        </is>
      </c>
      <c r="C193" s="1074" t="inlineStr">
        <is>
          <t>杨婧茹</t>
        </is>
      </c>
      <c r="D193" s="1074" t="inlineStr">
        <is>
          <t>林志豪01</t>
        </is>
      </c>
      <c r="E193" s="1074" t="inlineStr">
        <is>
          <t>纯拉新</t>
        </is>
      </c>
      <c r="F193" s="1074" t="n"/>
      <c r="G193" s="1074" t="n"/>
      <c r="H193" s="1074" t="inlineStr">
        <is>
          <t>在读</t>
        </is>
      </c>
      <c r="I193" s="1074" t="inlineStr">
        <is>
          <t>三期</t>
        </is>
      </c>
      <c r="J193" s="1074" t="inlineStr">
        <is>
          <t>3132902</t>
        </is>
      </c>
      <c r="K193" s="1074" t="inlineStr">
        <is>
          <t>校内成绩</t>
        </is>
      </c>
      <c r="L193" s="1074" t="n">
        <v>64</v>
      </c>
      <c r="M193" s="1074" t="n">
        <v>85</v>
      </c>
      <c r="N193" s="1074" t="inlineStr">
        <is>
          <t>陈中帅</t>
        </is>
      </c>
      <c r="O193" s="1074" t="inlineStr">
        <is>
          <t>教室3</t>
        </is>
      </c>
      <c r="P193" s="1074" t="inlineStr">
        <is>
          <t>13:20-15:30</t>
        </is>
      </c>
      <c r="Q193" s="1074" t="inlineStr">
        <is>
          <t>潜能班</t>
        </is>
      </c>
      <c r="R193" s="1074" t="inlineStr">
        <is>
          <t>三期</t>
        </is>
      </c>
      <c r="S193" s="1074" t="inlineStr">
        <is>
          <t>在读</t>
        </is>
      </c>
      <c r="T193" s="1074" t="inlineStr">
        <is>
          <t>-</t>
        </is>
      </c>
      <c r="U193" s="1074" t="inlineStr">
        <is>
          <t>5230747</t>
        </is>
      </c>
      <c r="V193" s="1074" t="n">
        <v>0</v>
      </c>
      <c r="W193" s="1074" t="inlineStr">
        <is>
          <t>陈南05</t>
        </is>
      </c>
      <c r="X193" s="1074" t="inlineStr">
        <is>
          <t>教室3</t>
        </is>
      </c>
      <c r="Y193" s="1074" t="inlineStr">
        <is>
          <t>10:20-12:30</t>
        </is>
      </c>
      <c r="Z193" s="1074" t="inlineStr">
        <is>
          <t>潜能班</t>
        </is>
      </c>
      <c r="AA193" s="1074" t="inlineStr">
        <is>
          <t>三期</t>
        </is>
      </c>
      <c r="AB193" s="1074" t="inlineStr">
        <is>
          <t>在读</t>
        </is>
      </c>
      <c r="AC193" s="1074" t="inlineStr">
        <is>
          <t>-</t>
        </is>
      </c>
      <c r="AD193" s="1074" t="inlineStr">
        <is>
          <t>5230821</t>
        </is>
      </c>
      <c r="AE193" s="1074" t="n">
        <v>0</v>
      </c>
      <c r="AF193" s="1074" t="inlineStr">
        <is>
          <t>肖锐03</t>
        </is>
      </c>
      <c r="AG193" s="1074" t="inlineStr">
        <is>
          <t>教室3</t>
        </is>
      </c>
      <c r="AH193" s="1074" t="inlineStr">
        <is>
          <t>15:50-18:00</t>
        </is>
      </c>
      <c r="AI193" s="1074" t="inlineStr">
        <is>
          <t>潜能班</t>
        </is>
      </c>
      <c r="AJ193" s="1074" t="inlineStr">
        <is>
          <t>三期</t>
        </is>
      </c>
      <c r="AK193" s="1074" t="inlineStr">
        <is>
          <t>在读</t>
        </is>
      </c>
      <c r="AL193" s="1074" t="inlineStr">
        <is>
          <t>-</t>
        </is>
      </c>
      <c r="AM193" s="1074" t="n"/>
      <c r="AN193" s="1074" t="n"/>
      <c r="AO193" s="1074" t="n"/>
      <c r="AP193" s="1074" t="n"/>
      <c r="AQ193" s="1074" t="n"/>
      <c r="AR193" s="1074" t="inlineStr">
        <is>
          <t>S</t>
        </is>
      </c>
      <c r="AS193" s="1074" t="inlineStr">
        <is>
          <t>诊断的时候有问过什么时候上秋季课，秋季多少钱，推朋友一起来，已知到价格和时间，对何咏老师很满意</t>
        </is>
      </c>
      <c r="AT193" s="311" t="n"/>
    </row>
    <row r="194" ht="26.25" customFormat="1" customHeight="1" s="366">
      <c r="A194" s="1074" t="inlineStr">
        <is>
          <t>新宝利</t>
        </is>
      </c>
      <c r="B194" s="1074" t="inlineStr">
        <is>
          <t>2490527660</t>
        </is>
      </c>
      <c r="C194" s="1074" t="inlineStr">
        <is>
          <t>林彦辰</t>
        </is>
      </c>
      <c r="D194" s="1074" t="inlineStr">
        <is>
          <t>林志豪01</t>
        </is>
      </c>
      <c r="E194" s="1074" t="inlineStr">
        <is>
          <t>纯拉新</t>
        </is>
      </c>
      <c r="F194" s="1074" t="n"/>
      <c r="G194" s="1074" t="n"/>
      <c r="H194" s="1074" t="inlineStr">
        <is>
          <t>在读</t>
        </is>
      </c>
      <c r="I194" s="1074" t="inlineStr">
        <is>
          <t>三期</t>
        </is>
      </c>
      <c r="J194" s="1074" t="inlineStr">
        <is>
          <t>3132902</t>
        </is>
      </c>
      <c r="K194" s="1074" t="inlineStr">
        <is>
          <t>校内成绩</t>
        </is>
      </c>
      <c r="L194" s="1074" t="n">
        <v>60</v>
      </c>
      <c r="M194" s="1074" t="n">
        <v>80</v>
      </c>
      <c r="N194" s="1074" t="inlineStr">
        <is>
          <t>陈中帅</t>
        </is>
      </c>
      <c r="O194" s="1074" t="inlineStr">
        <is>
          <t>教室3</t>
        </is>
      </c>
      <c r="P194" s="1074" t="inlineStr">
        <is>
          <t>13:20-15:30</t>
        </is>
      </c>
      <c r="Q194" s="1074" t="inlineStr">
        <is>
          <t>潜能班</t>
        </is>
      </c>
      <c r="R194" s="1074" t="inlineStr">
        <is>
          <t>三期</t>
        </is>
      </c>
      <c r="S194" s="1074" t="inlineStr">
        <is>
          <t>在读</t>
        </is>
      </c>
      <c r="T194" s="1074" t="inlineStr">
        <is>
          <t>-</t>
        </is>
      </c>
      <c r="U194" s="1074" t="inlineStr">
        <is>
          <t>5230747</t>
        </is>
      </c>
      <c r="V194" s="1074" t="n">
        <v>0</v>
      </c>
      <c r="W194" s="1074" t="inlineStr">
        <is>
          <t>陈南05</t>
        </is>
      </c>
      <c r="X194" s="1074" t="inlineStr">
        <is>
          <t>教室3</t>
        </is>
      </c>
      <c r="Y194" s="1074" t="inlineStr">
        <is>
          <t>10:20-12:30</t>
        </is>
      </c>
      <c r="Z194" s="1074" t="inlineStr">
        <is>
          <t>潜能班</t>
        </is>
      </c>
      <c r="AA194" s="1074" t="inlineStr">
        <is>
          <t>三期</t>
        </is>
      </c>
      <c r="AB194" s="1074" t="inlineStr">
        <is>
          <t>在读</t>
        </is>
      </c>
      <c r="AC194" s="1074" t="inlineStr">
        <is>
          <t>-</t>
        </is>
      </c>
      <c r="AD194" s="1074" t="inlineStr">
        <is>
          <t>5230821</t>
        </is>
      </c>
      <c r="AE194" s="1074" t="n">
        <v>0</v>
      </c>
      <c r="AF194" s="1074" t="inlineStr">
        <is>
          <t>肖锐03</t>
        </is>
      </c>
      <c r="AG194" s="1074" t="inlineStr">
        <is>
          <t>教室3</t>
        </is>
      </c>
      <c r="AH194" s="1074" t="inlineStr">
        <is>
          <t>15:50-18:00</t>
        </is>
      </c>
      <c r="AI194" s="1074" t="inlineStr">
        <is>
          <t>潜能班</t>
        </is>
      </c>
      <c r="AJ194" s="1074" t="inlineStr">
        <is>
          <t>三期</t>
        </is>
      </c>
      <c r="AK194" s="1074" t="inlineStr">
        <is>
          <t>在读</t>
        </is>
      </c>
      <c r="AL194" s="1074" t="inlineStr">
        <is>
          <t>-</t>
        </is>
      </c>
      <c r="AM194" s="1074" t="n"/>
      <c r="AN194" s="1074" t="n"/>
      <c r="AO194" s="1074" t="n"/>
      <c r="AP194" s="1074" t="n"/>
      <c r="AQ194" s="1074" t="n"/>
      <c r="AR194" s="1074" t="inlineStr">
        <is>
          <t>S</t>
        </is>
      </c>
      <c r="AS194" s="1074" t="inlineStr">
        <is>
          <t>诊断的时候有问过什么时候上秋季课，秋季多少钱，和婧茹一起的</t>
        </is>
      </c>
      <c r="AT194" s="311" t="n"/>
    </row>
    <row r="195" ht="26.25" customFormat="1" customHeight="1" s="366">
      <c r="A195" s="1074" t="inlineStr">
        <is>
          <t>新宝利</t>
        </is>
      </c>
      <c r="B195" s="1074" t="inlineStr">
        <is>
          <t>4607796539</t>
        </is>
      </c>
      <c r="C195" s="1074" t="inlineStr">
        <is>
          <t>詹馨宁</t>
        </is>
      </c>
      <c r="D195" s="1074" t="inlineStr">
        <is>
          <t>林志豪01</t>
        </is>
      </c>
      <c r="E195" s="1074" t="inlineStr">
        <is>
          <t>纯拉新</t>
        </is>
      </c>
      <c r="F195" s="1074" t="n"/>
      <c r="G195" s="1074" t="n"/>
      <c r="H195" s="1074" t="inlineStr">
        <is>
          <t>在读</t>
        </is>
      </c>
      <c r="I195" s="1074" t="inlineStr">
        <is>
          <t>零期</t>
        </is>
      </c>
      <c r="J195" s="1074" t="inlineStr">
        <is>
          <t>3132884</t>
        </is>
      </c>
      <c r="K195" s="1074" t="inlineStr">
        <is>
          <t>报前测成绩</t>
        </is>
      </c>
      <c r="L195" s="1074" t="n">
        <v>72</v>
      </c>
      <c r="M195" s="1074" t="inlineStr">
        <is>
          <t>-</t>
        </is>
      </c>
      <c r="N195" s="1074" t="inlineStr">
        <is>
          <t>田雨涵01</t>
        </is>
      </c>
      <c r="O195" s="1074" t="inlineStr">
        <is>
          <t>教室3</t>
        </is>
      </c>
      <c r="P195" s="1074" t="inlineStr">
        <is>
          <t>13:20-15:30</t>
        </is>
      </c>
      <c r="Q195" s="1074" t="inlineStr">
        <is>
          <t>潜能班</t>
        </is>
      </c>
      <c r="R195" s="1074" t="inlineStr">
        <is>
          <t>零期</t>
        </is>
      </c>
      <c r="S195" s="1074" t="inlineStr">
        <is>
          <t>在读</t>
        </is>
      </c>
      <c r="T195" s="1074" t="inlineStr">
        <is>
          <t>-</t>
        </is>
      </c>
      <c r="U195" s="1074" t="inlineStr">
        <is>
          <t>4513265</t>
        </is>
      </c>
      <c r="V195" s="1074" t="n">
        <v>29</v>
      </c>
      <c r="W195" s="1074" t="inlineStr">
        <is>
          <t>李润</t>
        </is>
      </c>
      <c r="X195" s="1074" t="inlineStr">
        <is>
          <t>教室3</t>
        </is>
      </c>
      <c r="Y195" s="1074" t="inlineStr">
        <is>
          <t>10:20-12:30</t>
        </is>
      </c>
      <c r="Z195" s="1074" t="inlineStr">
        <is>
          <t>潜能班</t>
        </is>
      </c>
      <c r="AA195" s="1074" t="inlineStr">
        <is>
          <t>零期</t>
        </is>
      </c>
      <c r="AB195" s="1074" t="inlineStr">
        <is>
          <t>在读</t>
        </is>
      </c>
      <c r="AC195" s="1074" t="inlineStr">
        <is>
          <t>-</t>
        </is>
      </c>
      <c r="AD195" s="1074" t="inlineStr">
        <is>
          <t>5230723</t>
        </is>
      </c>
      <c r="AE195" s="1074" t="n">
        <v>29</v>
      </c>
      <c r="AF195" s="1074" t="inlineStr">
        <is>
          <t>肖锐03</t>
        </is>
      </c>
      <c r="AG195" s="1074" t="inlineStr">
        <is>
          <t>教室3</t>
        </is>
      </c>
      <c r="AH195" s="1074" t="inlineStr">
        <is>
          <t>15:50-18:00</t>
        </is>
      </c>
      <c r="AI195" s="1074" t="inlineStr">
        <is>
          <t>潜能班</t>
        </is>
      </c>
      <c r="AJ195" s="1074" t="inlineStr">
        <is>
          <t>零期</t>
        </is>
      </c>
      <c r="AK195" s="1074" t="inlineStr">
        <is>
          <t>在读</t>
        </is>
      </c>
      <c r="AL195" s="1074" t="inlineStr">
        <is>
          <t>-</t>
        </is>
      </c>
      <c r="AM195" s="1074" t="inlineStr">
        <is>
          <t>是</t>
        </is>
      </c>
      <c r="AN195" s="1074" t="inlineStr">
        <is>
          <t>是</t>
        </is>
      </c>
      <c r="AO195" s="1074" t="inlineStr">
        <is>
          <t>否</t>
        </is>
      </c>
      <c r="AP195" s="1074" t="n"/>
      <c r="AQ195" s="1074" t="n"/>
      <c r="AR195" s="1074" t="inlineStr">
        <is>
          <t>A</t>
        </is>
      </c>
      <c r="AS195" s="1074" t="inlineStr">
        <is>
          <t>有咨询过秋季的正价课价格，孩子程度也还行，比较有主见的娃</t>
        </is>
      </c>
      <c r="AT195" s="311" t="n"/>
    </row>
    <row r="196" ht="26.25" customFormat="1" customHeight="1" s="366">
      <c r="A196" s="1074" t="inlineStr">
        <is>
          <t>同创汇</t>
        </is>
      </c>
      <c r="B196" s="1074" t="inlineStr">
        <is>
          <t>2514322951</t>
        </is>
      </c>
      <c r="C196" s="1074" t="inlineStr">
        <is>
          <t>杨芊羽</t>
        </is>
      </c>
      <c r="D196" s="1074" t="inlineStr">
        <is>
          <t>苏丽婷</t>
        </is>
      </c>
      <c r="E196" s="1074" t="inlineStr">
        <is>
          <t>春季在读老生</t>
        </is>
      </c>
      <c r="F196" s="1074" t="n"/>
      <c r="G196" s="1074" t="n"/>
      <c r="H196" s="1074" t="inlineStr">
        <is>
          <t>在读</t>
        </is>
      </c>
      <c r="I196" s="1074" t="inlineStr">
        <is>
          <t>零期</t>
        </is>
      </c>
      <c r="J196" s="1074" t="inlineStr">
        <is>
          <t>5230814</t>
        </is>
      </c>
      <c r="K196" s="1074" t="inlineStr">
        <is>
          <t>老师预估</t>
        </is>
      </c>
      <c r="L196" s="1074" t="n">
        <v>95</v>
      </c>
      <c r="M196" s="1074" t="inlineStr">
        <is>
          <t>-</t>
        </is>
      </c>
      <c r="N196" s="1074" t="inlineStr">
        <is>
          <t>陈中帅</t>
        </is>
      </c>
      <c r="O196" s="1074" t="inlineStr">
        <is>
          <t>02彩虹桥</t>
        </is>
      </c>
      <c r="P196" s="1074" t="inlineStr">
        <is>
          <t>07:50-10:00</t>
        </is>
      </c>
      <c r="Q196" s="1074" t="inlineStr">
        <is>
          <t>启能班</t>
        </is>
      </c>
      <c r="R196" s="1074" t="inlineStr">
        <is>
          <t>零期</t>
        </is>
      </c>
      <c r="S196" s="1074" t="inlineStr">
        <is>
          <t>在读</t>
        </is>
      </c>
      <c r="T196" s="1074" t="inlineStr">
        <is>
          <t>-</t>
        </is>
      </c>
      <c r="U196" s="1074" t="inlineStr">
        <is>
          <t>3132905</t>
        </is>
      </c>
      <c r="V196" s="1074" t="n"/>
      <c r="W196" s="1074" t="inlineStr">
        <is>
          <t>黄铭怡</t>
        </is>
      </c>
      <c r="X196" s="1074" t="inlineStr">
        <is>
          <t>02彩虹桥</t>
        </is>
      </c>
      <c r="Y196" s="1074" t="inlineStr">
        <is>
          <t>13:20-15:30</t>
        </is>
      </c>
      <c r="Z196" s="1074" t="inlineStr">
        <is>
          <t>潜能班</t>
        </is>
      </c>
      <c r="AA196" s="1074" t="inlineStr">
        <is>
          <t>零期</t>
        </is>
      </c>
      <c r="AB196" s="1074" t="inlineStr">
        <is>
          <t>在读</t>
        </is>
      </c>
      <c r="AC196" s="1074" t="inlineStr">
        <is>
          <t>-</t>
        </is>
      </c>
      <c r="AD196" s="1074" t="inlineStr">
        <is>
          <t>5230765</t>
        </is>
      </c>
      <c r="AE196" s="1074" t="n"/>
      <c r="AF196" s="1074" t="inlineStr">
        <is>
          <t>刘希子</t>
        </is>
      </c>
      <c r="AG196" s="1074" t="inlineStr">
        <is>
          <t>02彩虹桥</t>
        </is>
      </c>
      <c r="AH196" s="1074" t="inlineStr">
        <is>
          <t>10:20-12:30</t>
        </is>
      </c>
      <c r="AI196" s="1074" t="inlineStr">
        <is>
          <t>潜能班</t>
        </is>
      </c>
      <c r="AJ196" s="1074" t="inlineStr">
        <is>
          <t>零期</t>
        </is>
      </c>
      <c r="AK196" s="1074" t="inlineStr">
        <is>
          <t>在读</t>
        </is>
      </c>
      <c r="AL196" s="1074" t="inlineStr">
        <is>
          <t>-</t>
        </is>
      </c>
      <c r="AM196" s="1074" t="inlineStr">
        <is>
          <t>是</t>
        </is>
      </c>
      <c r="AN196" s="1074" t="inlineStr">
        <is>
          <t>是</t>
        </is>
      </c>
      <c r="AO196" s="1074" t="inlineStr">
        <is>
          <t>是</t>
        </is>
      </c>
      <c r="AP196" s="1074" t="n"/>
      <c r="AQ196" s="1074" t="n"/>
      <c r="AR196" s="1074" t="inlineStr">
        <is>
          <t>A</t>
        </is>
      </c>
      <c r="AS196" s="1074" t="inlineStr">
        <is>
          <t>在读老生，妈妈认可作业帮教学,但是之前暑假班说不续费因为要搬家，后面因为课程优惠报读了课程</t>
        </is>
      </c>
      <c r="AT196" s="311" t="n"/>
    </row>
    <row r="197" ht="26.25" customFormat="1" customHeight="1" s="366">
      <c r="A197" s="1074" t="inlineStr">
        <is>
          <t>新宝利</t>
        </is>
      </c>
      <c r="B197" s="1074" t="inlineStr">
        <is>
          <t>4070489080</t>
        </is>
      </c>
      <c r="C197" s="1074" t="inlineStr">
        <is>
          <t>崔梓莹</t>
        </is>
      </c>
      <c r="D197" s="1074" t="inlineStr">
        <is>
          <t>张敏烨</t>
        </is>
      </c>
      <c r="E197" s="1074" t="inlineStr">
        <is>
          <t>新生转介绍</t>
        </is>
      </c>
      <c r="F197" s="1074" t="n"/>
      <c r="G197" s="1074" t="inlineStr">
        <is>
          <t>欧阳紫晴</t>
        </is>
      </c>
      <c r="H197" s="1074" t="inlineStr">
        <is>
          <t>在读</t>
        </is>
      </c>
      <c r="I197" s="1074" t="inlineStr">
        <is>
          <t>一期</t>
        </is>
      </c>
      <c r="J197" s="1074" t="inlineStr">
        <is>
          <t>5230742</t>
        </is>
      </c>
      <c r="K197" s="1074" t="inlineStr">
        <is>
          <t>报前测成绩</t>
        </is>
      </c>
      <c r="L197" s="1074" t="n">
        <v>71</v>
      </c>
      <c r="M197" s="1074" t="inlineStr">
        <is>
          <t>-</t>
        </is>
      </c>
      <c r="N197" s="1074" t="inlineStr">
        <is>
          <t>何咏04</t>
        </is>
      </c>
      <c r="O197" s="1074" t="inlineStr">
        <is>
          <t>教室2</t>
        </is>
      </c>
      <c r="P197" s="1074" t="inlineStr">
        <is>
          <t>13:20-15:30</t>
        </is>
      </c>
      <c r="Q197" s="1074" t="inlineStr">
        <is>
          <t>潜能班</t>
        </is>
      </c>
      <c r="R197" s="1074" t="inlineStr">
        <is>
          <t>一期</t>
        </is>
      </c>
      <c r="S197" s="1074" t="inlineStr">
        <is>
          <t>在读</t>
        </is>
      </c>
      <c r="T197" s="1074" t="inlineStr">
        <is>
          <t>-</t>
        </is>
      </c>
      <c r="U197" s="1074" t="inlineStr">
        <is>
          <t>-</t>
        </is>
      </c>
      <c r="V197" s="1074" t="inlineStr"/>
      <c r="W197" s="1074" t="inlineStr">
        <is>
          <t>-</t>
        </is>
      </c>
      <c r="X197" s="1074" t="inlineStr">
        <is>
          <t>-</t>
        </is>
      </c>
      <c r="Y197" s="1074" t="inlineStr">
        <is>
          <t>-</t>
        </is>
      </c>
      <c r="Z197" s="1074" t="inlineStr">
        <is>
          <t>-</t>
        </is>
      </c>
      <c r="AA197" s="1074" t="inlineStr">
        <is>
          <t>-</t>
        </is>
      </c>
      <c r="AB197" s="1074" t="inlineStr">
        <is>
          <t>-</t>
        </is>
      </c>
      <c r="AC197" s="1074" t="inlineStr">
        <is>
          <t>-</t>
        </is>
      </c>
      <c r="AD197" s="1074" t="inlineStr">
        <is>
          <t>-</t>
        </is>
      </c>
      <c r="AE197" s="1074" t="inlineStr"/>
      <c r="AF197" s="1074" t="inlineStr">
        <is>
          <t>-</t>
        </is>
      </c>
      <c r="AG197" s="1074" t="inlineStr">
        <is>
          <t>-</t>
        </is>
      </c>
      <c r="AH197" s="1074" t="inlineStr">
        <is>
          <t>-</t>
        </is>
      </c>
      <c r="AI197" s="1074" t="inlineStr">
        <is>
          <t>-</t>
        </is>
      </c>
      <c r="AJ197" s="1074" t="inlineStr">
        <is>
          <t>-</t>
        </is>
      </c>
      <c r="AK197" s="1074" t="inlineStr">
        <is>
          <t>-</t>
        </is>
      </c>
      <c r="AL197" s="1074" t="inlineStr">
        <is>
          <t>-</t>
        </is>
      </c>
      <c r="AM197" s="1074" t="n"/>
      <c r="AN197" s="1074" t="n"/>
      <c r="AO197" s="1074" t="n"/>
      <c r="AP197" s="1074" t="n"/>
      <c r="AQ197" s="1074" t="n"/>
      <c r="AR197" s="1074" t="inlineStr">
        <is>
          <t>B</t>
        </is>
      </c>
      <c r="AS197" s="1074" t="inlineStr">
        <is>
          <t>未咨询过秋季课程，没有校外补习经历</t>
        </is>
      </c>
      <c r="AT197" s="311" t="n"/>
    </row>
    <row r="198" ht="26.25" customFormat="1" customHeight="1" s="366">
      <c r="A198" s="1074" t="inlineStr">
        <is>
          <t>新宝利</t>
        </is>
      </c>
      <c r="B198" s="1074" t="inlineStr">
        <is>
          <t>4838041163</t>
        </is>
      </c>
      <c r="C198" s="1074" t="inlineStr">
        <is>
          <t>欧阳紫晴</t>
        </is>
      </c>
      <c r="D198" s="1074" t="inlineStr">
        <is>
          <t>张敏烨</t>
        </is>
      </c>
      <c r="E198" s="1074" t="inlineStr">
        <is>
          <t>新生转介绍</t>
        </is>
      </c>
      <c r="F198" s="1074" t="n"/>
      <c r="G198" s="1074" t="inlineStr">
        <is>
          <t>千惠</t>
        </is>
      </c>
      <c r="H198" s="1074" t="inlineStr">
        <is>
          <t>在读</t>
        </is>
      </c>
      <c r="I198" s="1074" t="inlineStr">
        <is>
          <t>一期</t>
        </is>
      </c>
      <c r="J198" s="1074" t="inlineStr">
        <is>
          <t>5230742</t>
        </is>
      </c>
      <c r="K198" s="1074" t="inlineStr">
        <is>
          <t>报前测成绩</t>
        </is>
      </c>
      <c r="L198" s="1074" t="n">
        <v>75</v>
      </c>
      <c r="M198" s="1074" t="inlineStr">
        <is>
          <t>-</t>
        </is>
      </c>
      <c r="N198" s="1074" t="inlineStr">
        <is>
          <t>何咏04</t>
        </is>
      </c>
      <c r="O198" s="1074" t="inlineStr">
        <is>
          <t>教室2</t>
        </is>
      </c>
      <c r="P198" s="1074" t="inlineStr">
        <is>
          <t>13:20-15:30</t>
        </is>
      </c>
      <c r="Q198" s="1074" t="inlineStr">
        <is>
          <t>潜能班</t>
        </is>
      </c>
      <c r="R198" s="1074" t="inlineStr">
        <is>
          <t>一期</t>
        </is>
      </c>
      <c r="S198" s="1074" t="inlineStr">
        <is>
          <t>在读</t>
        </is>
      </c>
      <c r="T198" s="1074" t="inlineStr">
        <is>
          <t>-</t>
        </is>
      </c>
      <c r="U198" s="1074" t="inlineStr">
        <is>
          <t>5230773</t>
        </is>
      </c>
      <c r="V198" s="1074" t="n">
        <v>30</v>
      </c>
      <c r="W198" s="1074" t="inlineStr">
        <is>
          <t>陈南05</t>
        </is>
      </c>
      <c r="X198" s="1074" t="inlineStr">
        <is>
          <t>教室2</t>
        </is>
      </c>
      <c r="Y198" s="1074" t="inlineStr">
        <is>
          <t>15:50-18:00</t>
        </is>
      </c>
      <c r="Z198" s="1074" t="inlineStr">
        <is>
          <t>潜能班</t>
        </is>
      </c>
      <c r="AA198" s="1074" t="inlineStr">
        <is>
          <t>一期</t>
        </is>
      </c>
      <c r="AB198" s="1074" t="inlineStr">
        <is>
          <t>在读</t>
        </is>
      </c>
      <c r="AC198" s="1074" t="inlineStr">
        <is>
          <t>-</t>
        </is>
      </c>
      <c r="AD198" s="1074" t="inlineStr">
        <is>
          <t>3132888</t>
        </is>
      </c>
      <c r="AE198" s="1074" t="n">
        <v>25</v>
      </c>
      <c r="AF198" s="1074" t="inlineStr">
        <is>
          <t>肖锐03</t>
        </is>
      </c>
      <c r="AG198" s="1074" t="inlineStr">
        <is>
          <t>教室2</t>
        </is>
      </c>
      <c r="AH198" s="1074" t="inlineStr">
        <is>
          <t>10:20-12:30</t>
        </is>
      </c>
      <c r="AI198" s="1074" t="inlineStr">
        <is>
          <t>潜能班</t>
        </is>
      </c>
      <c r="AJ198" s="1074" t="inlineStr">
        <is>
          <t>一期</t>
        </is>
      </c>
      <c r="AK198" s="1074" t="inlineStr">
        <is>
          <t>在读</t>
        </is>
      </c>
      <c r="AL198" s="1074" t="inlineStr">
        <is>
          <t>-</t>
        </is>
      </c>
      <c r="AM198" s="1074" t="n"/>
      <c r="AN198" s="1074" t="n"/>
      <c r="AO198" s="1074" t="n"/>
      <c r="AP198" s="1074" t="n"/>
      <c r="AQ198" s="1074" t="n"/>
      <c r="AR198" s="1074" t="inlineStr">
        <is>
          <t>B</t>
        </is>
      </c>
      <c r="AS198" s="1074" t="inlineStr">
        <is>
          <t>未咨询过秋季课程，没有校外补习经历</t>
        </is>
      </c>
      <c r="AT198" s="311" t="n"/>
    </row>
    <row r="199" ht="26.25" customFormat="1" customHeight="1" s="366">
      <c r="A199" s="1074" t="inlineStr">
        <is>
          <t>新宝利</t>
        </is>
      </c>
      <c r="B199" s="1074" t="inlineStr">
        <is>
          <t>2531479027</t>
        </is>
      </c>
      <c r="C199" s="1074" t="inlineStr">
        <is>
          <t>黄俊熙</t>
        </is>
      </c>
      <c r="D199" s="1074" t="inlineStr">
        <is>
          <t>张敏烨</t>
        </is>
      </c>
      <c r="E199" s="1074" t="inlineStr">
        <is>
          <t>新生转介绍</t>
        </is>
      </c>
      <c r="F199" s="1074" t="n"/>
      <c r="G199" s="1074" t="inlineStr">
        <is>
          <t>千惠</t>
        </is>
      </c>
      <c r="H199" s="1074" t="inlineStr">
        <is>
          <t>在读</t>
        </is>
      </c>
      <c r="I199" s="1074" t="inlineStr">
        <is>
          <t>三期</t>
        </is>
      </c>
      <c r="J199" s="1074" t="inlineStr">
        <is>
          <t>5111035</t>
        </is>
      </c>
      <c r="K199" s="1074" t="inlineStr">
        <is>
          <t>报前测成绩</t>
        </is>
      </c>
      <c r="L199" s="1074" t="n">
        <v>95</v>
      </c>
      <c r="M199" s="1074" t="inlineStr">
        <is>
          <t>-</t>
        </is>
      </c>
      <c r="N199" s="1074" t="inlineStr">
        <is>
          <t>何咏04</t>
        </is>
      </c>
      <c r="O199" s="1074" t="inlineStr">
        <is>
          <t>教室2</t>
        </is>
      </c>
      <c r="P199" s="1074" t="inlineStr">
        <is>
          <t>15:50-18:00</t>
        </is>
      </c>
      <c r="Q199" s="1074" t="inlineStr">
        <is>
          <t>启能班</t>
        </is>
      </c>
      <c r="R199" s="1074" t="inlineStr">
        <is>
          <t>三期</t>
        </is>
      </c>
      <c r="S199" s="1074" t="inlineStr">
        <is>
          <t>在读</t>
        </is>
      </c>
      <c r="T199" s="1074" t="inlineStr">
        <is>
          <t>-</t>
        </is>
      </c>
      <c r="U199" s="1074" t="inlineStr">
        <is>
          <t>5170873</t>
        </is>
      </c>
      <c r="V199" s="1074" t="n">
        <v>33</v>
      </c>
      <c r="W199" s="1074" t="inlineStr">
        <is>
          <t>李润</t>
        </is>
      </c>
      <c r="X199" s="1074" t="inlineStr">
        <is>
          <t>教室2</t>
        </is>
      </c>
      <c r="Y199" s="1074" t="inlineStr">
        <is>
          <t>13:20-15:30</t>
        </is>
      </c>
      <c r="Z199" s="1074" t="inlineStr">
        <is>
          <t>潜能班</t>
        </is>
      </c>
      <c r="AA199" s="1074" t="inlineStr">
        <is>
          <t>三期</t>
        </is>
      </c>
      <c r="AB199" s="1074" t="inlineStr">
        <is>
          <t>在读</t>
        </is>
      </c>
      <c r="AC199" s="1074" t="inlineStr">
        <is>
          <t>-</t>
        </is>
      </c>
      <c r="AD199" s="1074" t="inlineStr">
        <is>
          <t>5170871</t>
        </is>
      </c>
      <c r="AE199" s="1074" t="n">
        <v>39</v>
      </c>
      <c r="AF199" s="1074" t="inlineStr">
        <is>
          <t>肖锐03</t>
        </is>
      </c>
      <c r="AG199" s="1074" t="inlineStr">
        <is>
          <t>教室2</t>
        </is>
      </c>
      <c r="AH199" s="1074" t="inlineStr">
        <is>
          <t>10:20-12:30</t>
        </is>
      </c>
      <c r="AI199" s="1074" t="inlineStr">
        <is>
          <t>潜能班</t>
        </is>
      </c>
      <c r="AJ199" s="1074" t="inlineStr">
        <is>
          <t>三期</t>
        </is>
      </c>
      <c r="AK199" s="1074" t="inlineStr">
        <is>
          <t>在读</t>
        </is>
      </c>
      <c r="AL199" s="1074" t="inlineStr">
        <is>
          <t>-</t>
        </is>
      </c>
      <c r="AM199" s="1074" t="n"/>
      <c r="AN199" s="1074" t="n"/>
      <c r="AO199" s="1074" t="n"/>
      <c r="AP199" s="1074" t="n"/>
      <c r="AQ199" s="1074" t="n"/>
      <c r="AR199" s="1074" t="inlineStr">
        <is>
          <t>A</t>
        </is>
      </c>
      <c r="AS199" s="1074" t="inlineStr">
        <is>
          <t>有了解秋季价格，暑假先体验</t>
        </is>
      </c>
      <c r="AT199" s="311" t="n"/>
    </row>
    <row r="200" ht="26.25" customFormat="1" customHeight="1" s="366">
      <c r="A200" s="1074" t="inlineStr">
        <is>
          <t>同创汇</t>
        </is>
      </c>
      <c r="B200" s="1074" t="inlineStr">
        <is>
          <t>4029093070</t>
        </is>
      </c>
      <c r="C200" s="1074" t="inlineStr">
        <is>
          <t>李思锊</t>
        </is>
      </c>
      <c r="D200" s="1074" t="inlineStr">
        <is>
          <t>戎凯01</t>
        </is>
      </c>
      <c r="E200" s="1074" t="inlineStr">
        <is>
          <t>纯拉新</t>
        </is>
      </c>
      <c r="F200" s="1074" t="n"/>
      <c r="G200" s="1074" t="n"/>
      <c r="H200" s="1074" t="inlineStr">
        <is>
          <t>在读</t>
        </is>
      </c>
      <c r="I200" s="1074" t="inlineStr">
        <is>
          <t>二期</t>
        </is>
      </c>
      <c r="J200" s="1074" t="inlineStr">
        <is>
          <t>3132872</t>
        </is>
      </c>
      <c r="K200" s="1074" t="inlineStr">
        <is>
          <t>报前测成绩</t>
        </is>
      </c>
      <c r="L200" s="1074" t="n">
        <v>86</v>
      </c>
      <c r="M200" s="1074" t="inlineStr">
        <is>
          <t>-</t>
        </is>
      </c>
      <c r="N200" s="1074" t="inlineStr">
        <is>
          <t>何咏04</t>
        </is>
      </c>
      <c r="O200" s="1074" t="inlineStr">
        <is>
          <t>01智慧林</t>
        </is>
      </c>
      <c r="P200" s="1074" t="inlineStr">
        <is>
          <t>13:20-15:30</t>
        </is>
      </c>
      <c r="Q200" s="1074" t="inlineStr">
        <is>
          <t>潜能班</t>
        </is>
      </c>
      <c r="R200" s="1074" t="inlineStr">
        <is>
          <t>二期</t>
        </is>
      </c>
      <c r="S200" s="1074" t="inlineStr">
        <is>
          <t>在读</t>
        </is>
      </c>
      <c r="T200" s="1074" t="inlineStr">
        <is>
          <t>-</t>
        </is>
      </c>
      <c r="U200" s="1074" t="inlineStr">
        <is>
          <t>5230809</t>
        </is>
      </c>
      <c r="V200" s="1074" t="n">
        <v>30</v>
      </c>
      <c r="W200" s="1074" t="inlineStr">
        <is>
          <t>李润</t>
        </is>
      </c>
      <c r="X200" s="1074" t="inlineStr">
        <is>
          <t>01智慧林</t>
        </is>
      </c>
      <c r="Y200" s="1074" t="inlineStr">
        <is>
          <t>10:20-12:30</t>
        </is>
      </c>
      <c r="Z200" s="1074" t="inlineStr">
        <is>
          <t>潜能班</t>
        </is>
      </c>
      <c r="AA200" s="1074" t="inlineStr">
        <is>
          <t>二期</t>
        </is>
      </c>
      <c r="AB200" s="1074" t="inlineStr">
        <is>
          <t>在读</t>
        </is>
      </c>
      <c r="AC200" s="1074" t="inlineStr">
        <is>
          <t>-</t>
        </is>
      </c>
      <c r="AD200" s="1074" t="inlineStr">
        <is>
          <t>3132893</t>
        </is>
      </c>
      <c r="AE200" s="1074" t="n">
        <v>48</v>
      </c>
      <c r="AF200" s="1074" t="inlineStr">
        <is>
          <t>刘希子</t>
        </is>
      </c>
      <c r="AG200" s="1074" t="inlineStr">
        <is>
          <t>01智慧林</t>
        </is>
      </c>
      <c r="AH200" s="1074" t="inlineStr">
        <is>
          <t>15:50-18:00</t>
        </is>
      </c>
      <c r="AI200" s="1074" t="inlineStr">
        <is>
          <t>潜能班</t>
        </is>
      </c>
      <c r="AJ200" s="1074" t="inlineStr">
        <is>
          <t>二期</t>
        </is>
      </c>
      <c r="AK200" s="1074" t="inlineStr">
        <is>
          <t>在读</t>
        </is>
      </c>
      <c r="AL200" s="1074" t="inlineStr">
        <is>
          <t>-</t>
        </is>
      </c>
      <c r="AM200" s="1074" t="n"/>
      <c r="AN200" s="1074" t="n"/>
      <c r="AO200" s="1074" t="n"/>
      <c r="AP200" s="1074" t="n"/>
      <c r="AQ200" s="1074" t="n"/>
      <c r="AR200" s="1074" t="inlineStr">
        <is>
          <t>A</t>
        </is>
      </c>
      <c r="AS200" s="1074" t="inlineStr">
        <is>
          <t>孩子比较想学，爸爸这边想先试一下</t>
        </is>
      </c>
      <c r="AT200" s="311" t="n"/>
    </row>
    <row r="201" ht="26.25" customFormat="1" customHeight="1" s="366">
      <c r="A201" s="1074" t="inlineStr">
        <is>
          <t>新宝利</t>
        </is>
      </c>
      <c r="B201" s="1074" t="inlineStr">
        <is>
          <t>4777253883</t>
        </is>
      </c>
      <c r="C201" s="1074" t="inlineStr">
        <is>
          <t>李仪璐</t>
        </is>
      </c>
      <c r="D201" s="1074" t="inlineStr">
        <is>
          <t>林志豪01</t>
        </is>
      </c>
      <c r="E201" s="1074" t="inlineStr">
        <is>
          <t>反复低价</t>
        </is>
      </c>
      <c r="F201" s="1074" t="inlineStr">
        <is>
          <t>26寒特惠学员，未转化</t>
        </is>
      </c>
      <c r="G201" s="1074" t="n"/>
      <c r="H201" s="1074" t="inlineStr">
        <is>
          <t>在读</t>
        </is>
      </c>
      <c r="I201" s="1074" t="inlineStr">
        <is>
          <t>零期</t>
        </is>
      </c>
      <c r="J201" s="1074" t="inlineStr">
        <is>
          <t>3132884</t>
        </is>
      </c>
      <c r="K201" s="1074" t="inlineStr">
        <is>
          <t>报前测成绩</t>
        </is>
      </c>
      <c r="L201" s="1074" t="n">
        <v>29</v>
      </c>
      <c r="M201" s="1074" t="inlineStr">
        <is>
          <t>-</t>
        </is>
      </c>
      <c r="N201" s="1074" t="inlineStr">
        <is>
          <t>田雨涵01</t>
        </is>
      </c>
      <c r="O201" s="1074" t="inlineStr">
        <is>
          <t>教室3</t>
        </is>
      </c>
      <c r="P201" s="1074" t="inlineStr">
        <is>
          <t>13:20-15:30</t>
        </is>
      </c>
      <c r="Q201" s="1074" t="inlineStr">
        <is>
          <t>潜能班</t>
        </is>
      </c>
      <c r="R201" s="1074" t="inlineStr">
        <is>
          <t>零期</t>
        </is>
      </c>
      <c r="S201" s="1074" t="inlineStr">
        <is>
          <t>在读</t>
        </is>
      </c>
      <c r="T201" s="1074" t="inlineStr">
        <is>
          <t>-</t>
        </is>
      </c>
      <c r="U201" s="1074" t="inlineStr">
        <is>
          <t>4513265</t>
        </is>
      </c>
      <c r="V201" s="1074" t="n">
        <v>29</v>
      </c>
      <c r="W201" s="1074" t="inlineStr">
        <is>
          <t>李润</t>
        </is>
      </c>
      <c r="X201" s="1074" t="inlineStr">
        <is>
          <t>教室3</t>
        </is>
      </c>
      <c r="Y201" s="1074" t="inlineStr">
        <is>
          <t>10:20-12:30</t>
        </is>
      </c>
      <c r="Z201" s="1074" t="inlineStr">
        <is>
          <t>潜能班</t>
        </is>
      </c>
      <c r="AA201" s="1074" t="inlineStr">
        <is>
          <t>零期</t>
        </is>
      </c>
      <c r="AB201" s="1074" t="inlineStr">
        <is>
          <t>在读</t>
        </is>
      </c>
      <c r="AC201" s="1074" t="inlineStr">
        <is>
          <t>-</t>
        </is>
      </c>
      <c r="AD201" s="1074" t="inlineStr">
        <is>
          <t>5230723</t>
        </is>
      </c>
      <c r="AE201" s="1074" t="n">
        <v>34</v>
      </c>
      <c r="AF201" s="1074" t="inlineStr">
        <is>
          <t>肖锐03</t>
        </is>
      </c>
      <c r="AG201" s="1074" t="inlineStr">
        <is>
          <t>教室3</t>
        </is>
      </c>
      <c r="AH201" s="1074" t="inlineStr">
        <is>
          <t>15:50-18:00</t>
        </is>
      </c>
      <c r="AI201" s="1074" t="inlineStr">
        <is>
          <t>潜能班</t>
        </is>
      </c>
      <c r="AJ201" s="1074" t="inlineStr">
        <is>
          <t>零期</t>
        </is>
      </c>
      <c r="AK201" s="1074" t="inlineStr">
        <is>
          <t>在读</t>
        </is>
      </c>
      <c r="AL201" s="1074" t="inlineStr">
        <is>
          <t>-</t>
        </is>
      </c>
      <c r="AM201" s="1074" t="inlineStr">
        <is>
          <t>是</t>
        </is>
      </c>
      <c r="AN201" s="1074" t="inlineStr">
        <is>
          <t>是</t>
        </is>
      </c>
      <c r="AO201" s="1074" t="inlineStr">
        <is>
          <t>是</t>
        </is>
      </c>
      <c r="AP201" s="1074" t="n"/>
      <c r="AQ201" s="1074" t="n"/>
      <c r="AR201" s="1074" t="inlineStr">
        <is>
          <t>S</t>
        </is>
      </c>
      <c r="AS201" s="1074" t="inlineStr">
        <is>
          <t>这个娃也是很有主见，家长很想妹妹像姐姐一样愿意学，但是妹妹在学校环境下不是特别主动，觉得自己有3A就可以了，没有特别的上进心</t>
        </is>
      </c>
      <c r="AT201" s="311" t="n"/>
    </row>
    <row r="202" ht="26.25" customFormat="1" customHeight="1" s="366">
      <c r="A202" s="1074" t="inlineStr">
        <is>
          <t>新宝利</t>
        </is>
      </c>
      <c r="B202" s="1074" t="inlineStr">
        <is>
          <t>4196125729</t>
        </is>
      </c>
      <c r="C202" s="1074" t="inlineStr">
        <is>
          <t>顾玉瑶</t>
        </is>
      </c>
      <c r="D202" s="1074" t="inlineStr">
        <is>
          <t>张敏烨</t>
        </is>
      </c>
      <c r="E202" s="1074" t="inlineStr">
        <is>
          <t>新生转介绍</t>
        </is>
      </c>
      <c r="F202" s="1074" t="n"/>
      <c r="G202" s="1074" t="inlineStr">
        <is>
          <t>千惠</t>
        </is>
      </c>
      <c r="H202" s="1074" t="inlineStr">
        <is>
          <t>在读</t>
        </is>
      </c>
      <c r="I202" s="1074" t="inlineStr">
        <is>
          <t>三期</t>
        </is>
      </c>
      <c r="J202" s="1074" t="inlineStr">
        <is>
          <t>5111035</t>
        </is>
      </c>
      <c r="K202" s="1074" t="inlineStr">
        <is>
          <t>报前测成绩</t>
        </is>
      </c>
      <c r="L202" s="1074" t="n">
        <v>95</v>
      </c>
      <c r="M202" s="1074" t="inlineStr">
        <is>
          <t>-</t>
        </is>
      </c>
      <c r="N202" s="1074" t="inlineStr">
        <is>
          <t>何咏04</t>
        </is>
      </c>
      <c r="O202" s="1074" t="inlineStr">
        <is>
          <t>教室2</t>
        </is>
      </c>
      <c r="P202" s="1074" t="inlineStr">
        <is>
          <t>15:50-18:00</t>
        </is>
      </c>
      <c r="Q202" s="1074" t="inlineStr">
        <is>
          <t>启能班</t>
        </is>
      </c>
      <c r="R202" s="1074" t="inlineStr">
        <is>
          <t>三期</t>
        </is>
      </c>
      <c r="S202" s="1074" t="inlineStr">
        <is>
          <t>在读</t>
        </is>
      </c>
      <c r="T202" s="1074" t="inlineStr">
        <is>
          <t>-</t>
        </is>
      </c>
      <c r="U202" s="1074" t="inlineStr">
        <is>
          <t>5170873</t>
        </is>
      </c>
      <c r="V202" s="1074" t="n">
        <v>36</v>
      </c>
      <c r="W202" s="1074" t="inlineStr">
        <is>
          <t>李润</t>
        </is>
      </c>
      <c r="X202" s="1074" t="inlineStr">
        <is>
          <t>教室2</t>
        </is>
      </c>
      <c r="Y202" s="1074" t="inlineStr">
        <is>
          <t>13:20-15:30</t>
        </is>
      </c>
      <c r="Z202" s="1074" t="inlineStr">
        <is>
          <t>潜能班</t>
        </is>
      </c>
      <c r="AA202" s="1074" t="inlineStr">
        <is>
          <t>三期</t>
        </is>
      </c>
      <c r="AB202" s="1074" t="inlineStr">
        <is>
          <t>在读</t>
        </is>
      </c>
      <c r="AC202" s="1074" t="inlineStr">
        <is>
          <t>-</t>
        </is>
      </c>
      <c r="AD202" s="1074" t="inlineStr">
        <is>
          <t>5170871</t>
        </is>
      </c>
      <c r="AE202" s="1074" t="n">
        <v>42</v>
      </c>
      <c r="AF202" s="1074" t="inlineStr">
        <is>
          <t>肖锐03</t>
        </is>
      </c>
      <c r="AG202" s="1074" t="inlineStr">
        <is>
          <t>教室2</t>
        </is>
      </c>
      <c r="AH202" s="1074" t="inlineStr">
        <is>
          <t>10:20-12:30</t>
        </is>
      </c>
      <c r="AI202" s="1074" t="inlineStr">
        <is>
          <t>潜能班</t>
        </is>
      </c>
      <c r="AJ202" s="1074" t="inlineStr">
        <is>
          <t>三期</t>
        </is>
      </c>
      <c r="AK202" s="1074" t="inlineStr">
        <is>
          <t>在读</t>
        </is>
      </c>
      <c r="AL202" s="1074" t="inlineStr">
        <is>
          <t>-</t>
        </is>
      </c>
      <c r="AM202" s="1074" t="n"/>
      <c r="AN202" s="1074" t="n"/>
      <c r="AO202" s="1074" t="n"/>
      <c r="AP202" s="1074" t="n"/>
      <c r="AQ202" s="1074" t="n"/>
      <c r="AR202" s="1074" t="inlineStr">
        <is>
          <t>B</t>
        </is>
      </c>
      <c r="AS202" s="1074" t="inlineStr">
        <is>
          <t>暑假和同学一起先体验</t>
        </is>
      </c>
      <c r="AT202" s="311" t="n"/>
    </row>
    <row r="203" ht="26.25" customFormat="1" customHeight="1" s="366">
      <c r="A203" s="1074" t="inlineStr">
        <is>
          <t>新宝利</t>
        </is>
      </c>
      <c r="B203" s="1074" t="inlineStr">
        <is>
          <t>4073001869</t>
        </is>
      </c>
      <c r="C203" s="1074" t="inlineStr">
        <is>
          <t>白锦泽</t>
        </is>
      </c>
      <c r="D203" s="1074" t="inlineStr">
        <is>
          <t>张敏烨</t>
        </is>
      </c>
      <c r="E203" s="1074" t="inlineStr">
        <is>
          <t>新生转介绍</t>
        </is>
      </c>
      <c r="F203" s="1074" t="n"/>
      <c r="G203" s="1074" t="inlineStr">
        <is>
          <t>顾玉瑶</t>
        </is>
      </c>
      <c r="H203" s="1074" t="inlineStr">
        <is>
          <t>在读</t>
        </is>
      </c>
      <c r="I203" s="1074" t="inlineStr">
        <is>
          <t>三期</t>
        </is>
      </c>
      <c r="J203" s="1074" t="inlineStr">
        <is>
          <t>3132902</t>
        </is>
      </c>
      <c r="K203" s="1074" t="inlineStr">
        <is>
          <t>校内成绩</t>
        </is>
      </c>
      <c r="L203" s="1074" t="n">
        <v>65</v>
      </c>
      <c r="M203" s="1074" t="n">
        <v>86</v>
      </c>
      <c r="N203" s="1074" t="inlineStr">
        <is>
          <t>陈中帅</t>
        </is>
      </c>
      <c r="O203" s="1074" t="inlineStr">
        <is>
          <t>教室3</t>
        </is>
      </c>
      <c r="P203" s="1074" t="inlineStr">
        <is>
          <t>13:20-15:30</t>
        </is>
      </c>
      <c r="Q203" s="1074" t="inlineStr">
        <is>
          <t>潜能班</t>
        </is>
      </c>
      <c r="R203" s="1074" t="inlineStr">
        <is>
          <t>三期</t>
        </is>
      </c>
      <c r="S203" s="1074" t="inlineStr">
        <is>
          <t>在读</t>
        </is>
      </c>
      <c r="T203" s="1074" t="inlineStr">
        <is>
          <t>-</t>
        </is>
      </c>
      <c r="U203" s="1074" t="inlineStr">
        <is>
          <t>5230747</t>
        </is>
      </c>
      <c r="V203" s="1074" t="n">
        <v>0</v>
      </c>
      <c r="W203" s="1074" t="inlineStr">
        <is>
          <t>陈南05</t>
        </is>
      </c>
      <c r="X203" s="1074" t="inlineStr">
        <is>
          <t>教室3</t>
        </is>
      </c>
      <c r="Y203" s="1074" t="inlineStr">
        <is>
          <t>10:20-12:30</t>
        </is>
      </c>
      <c r="Z203" s="1074" t="inlineStr">
        <is>
          <t>潜能班</t>
        </is>
      </c>
      <c r="AA203" s="1074" t="inlineStr">
        <is>
          <t>三期</t>
        </is>
      </c>
      <c r="AB203" s="1074" t="inlineStr">
        <is>
          <t>在读</t>
        </is>
      </c>
      <c r="AC203" s="1074" t="inlineStr">
        <is>
          <t>-</t>
        </is>
      </c>
      <c r="AD203" s="1074" t="inlineStr">
        <is>
          <t>5230821</t>
        </is>
      </c>
      <c r="AE203" s="1074" t="n">
        <v>0</v>
      </c>
      <c r="AF203" s="1074" t="inlineStr">
        <is>
          <t>肖锐03</t>
        </is>
      </c>
      <c r="AG203" s="1074" t="inlineStr">
        <is>
          <t>教室3</t>
        </is>
      </c>
      <c r="AH203" s="1074" t="inlineStr">
        <is>
          <t>15:50-18:00</t>
        </is>
      </c>
      <c r="AI203" s="1074" t="inlineStr">
        <is>
          <t>潜能班</t>
        </is>
      </c>
      <c r="AJ203" s="1074" t="inlineStr">
        <is>
          <t>三期</t>
        </is>
      </c>
      <c r="AK203" s="1074" t="inlineStr">
        <is>
          <t>在读</t>
        </is>
      </c>
      <c r="AL203" s="1074" t="inlineStr">
        <is>
          <t>-</t>
        </is>
      </c>
      <c r="AM203" s="1074" t="n"/>
      <c r="AN203" s="1074" t="n"/>
      <c r="AO203" s="1074" t="n"/>
      <c r="AP203" s="1074" t="n"/>
      <c r="AQ203" s="1074" t="n"/>
      <c r="AR203" s="1074" t="inlineStr">
        <is>
          <t>B</t>
        </is>
      </c>
      <c r="AS203" s="1074" t="inlineStr">
        <is>
          <t>未咨询正课价格，先体验</t>
        </is>
      </c>
      <c r="AT203" s="311" t="n"/>
    </row>
    <row r="204" ht="26.25" customFormat="1" customHeight="1" s="366">
      <c r="A204" s="1074" t="inlineStr">
        <is>
          <t>新宝利</t>
        </is>
      </c>
      <c r="B204" s="1074" t="inlineStr">
        <is>
          <t>4773663119</t>
        </is>
      </c>
      <c r="C204" s="1074" t="inlineStr">
        <is>
          <t>陈家誉</t>
        </is>
      </c>
      <c r="D204" s="1074" t="inlineStr">
        <is>
          <t>林志豪01</t>
        </is>
      </c>
      <c r="E204" s="1074" t="inlineStr">
        <is>
          <t>纯拉新</t>
        </is>
      </c>
      <c r="F204" s="1074" t="n"/>
      <c r="G204" s="1074" t="n"/>
      <c r="H204" s="1074" t="inlineStr">
        <is>
          <t>在读</t>
        </is>
      </c>
      <c r="I204" s="1074" t="inlineStr">
        <is>
          <t>零期/一期</t>
        </is>
      </c>
      <c r="J204" s="1074" t="inlineStr">
        <is>
          <t>3132884</t>
        </is>
      </c>
      <c r="K204" s="1074" t="inlineStr">
        <is>
          <t>校内成绩</t>
        </is>
      </c>
      <c r="L204" s="1074" t="n">
        <v>64</v>
      </c>
      <c r="M204" s="1074" t="n">
        <v>85</v>
      </c>
      <c r="N204" s="1074" t="inlineStr">
        <is>
          <t>田雨涵01</t>
        </is>
      </c>
      <c r="O204" s="1074" t="inlineStr">
        <is>
          <t>教室3</t>
        </is>
      </c>
      <c r="P204" s="1074" t="inlineStr">
        <is>
          <t>13:20-15:30</t>
        </is>
      </c>
      <c r="Q204" s="1074" t="inlineStr">
        <is>
          <t>潜能班</t>
        </is>
      </c>
      <c r="R204" s="1074" t="inlineStr">
        <is>
          <t>零期</t>
        </is>
      </c>
      <c r="S204" s="1074" t="inlineStr">
        <is>
          <t>在读</t>
        </is>
      </c>
      <c r="T204" s="1074" t="inlineStr">
        <is>
          <t>-</t>
        </is>
      </c>
      <c r="U204" s="1074" t="inlineStr">
        <is>
          <t>5170706</t>
        </is>
      </c>
      <c r="V204" s="1074" t="n">
        <v>0</v>
      </c>
      <c r="W204" s="1074" t="inlineStr">
        <is>
          <t>李润</t>
        </is>
      </c>
      <c r="X204" s="1074" t="inlineStr">
        <is>
          <t>教室3</t>
        </is>
      </c>
      <c r="Y204" s="1074" t="inlineStr">
        <is>
          <t>13:20-15:30</t>
        </is>
      </c>
      <c r="Z204" s="1074" t="inlineStr">
        <is>
          <t>潜能班</t>
        </is>
      </c>
      <c r="AA204" s="1074" t="inlineStr">
        <is>
          <t>一期</t>
        </is>
      </c>
      <c r="AB204" s="1074" t="inlineStr">
        <is>
          <t>在读</t>
        </is>
      </c>
      <c r="AC204" s="1074" t="inlineStr">
        <is>
          <t>-</t>
        </is>
      </c>
      <c r="AD204" s="1074" t="inlineStr">
        <is>
          <t>5230723</t>
        </is>
      </c>
      <c r="AE204" s="1074" t="n">
        <v>0</v>
      </c>
      <c r="AF204" s="1074" t="inlineStr">
        <is>
          <t>肖锐03</t>
        </is>
      </c>
      <c r="AG204" s="1074" t="inlineStr">
        <is>
          <t>教室3</t>
        </is>
      </c>
      <c r="AH204" s="1074" t="inlineStr">
        <is>
          <t>15:50-18:00</t>
        </is>
      </c>
      <c r="AI204" s="1074" t="inlineStr">
        <is>
          <t>潜能班</t>
        </is>
      </c>
      <c r="AJ204" s="1074" t="inlineStr">
        <is>
          <t>零期</t>
        </is>
      </c>
      <c r="AK204" s="1074" t="inlineStr">
        <is>
          <t>在读</t>
        </is>
      </c>
      <c r="AL204" s="1074" t="inlineStr">
        <is>
          <t>-</t>
        </is>
      </c>
      <c r="AM204" s="1074" t="inlineStr">
        <is>
          <t>是</t>
        </is>
      </c>
      <c r="AN204" s="1074" t="inlineStr">
        <is>
          <t>是</t>
        </is>
      </c>
      <c r="AO204" s="1074" t="inlineStr">
        <is>
          <t>是</t>
        </is>
      </c>
      <c r="AP204" s="1074" t="n"/>
      <c r="AQ204" s="1074" t="n"/>
      <c r="AR204" s="1074" t="inlineStr">
        <is>
          <t>B</t>
        </is>
      </c>
      <c r="AS204" s="1074" t="inlineStr">
        <is>
          <t>只问了暑假的课程和教学内容，其他没过多沟通</t>
        </is>
      </c>
      <c r="AT204" s="311" t="n"/>
    </row>
    <row r="205" ht="26.25" customFormat="1" customHeight="1" s="366">
      <c r="A205" s="1074" t="inlineStr">
        <is>
          <t>新宝利</t>
        </is>
      </c>
      <c r="B205" s="1074" t="inlineStr">
        <is>
          <t>2658073609</t>
        </is>
      </c>
      <c r="C205" s="1074" t="inlineStr">
        <is>
          <t>陈滢西</t>
        </is>
      </c>
      <c r="D205" s="1074" t="inlineStr">
        <is>
          <t>张敏烨</t>
        </is>
      </c>
      <c r="E205" s="1074" t="inlineStr">
        <is>
          <t>新生转介绍</t>
        </is>
      </c>
      <c r="F205" s="1074" t="n"/>
      <c r="G205" s="1074" t="inlineStr">
        <is>
          <t>陈思彤</t>
        </is>
      </c>
      <c r="H205" s="1074" t="inlineStr">
        <is>
          <t>在读</t>
        </is>
      </c>
      <c r="I205" s="1074" t="inlineStr">
        <is>
          <t>零期</t>
        </is>
      </c>
      <c r="J205" s="1074" t="inlineStr">
        <is>
          <t>3132884</t>
        </is>
      </c>
      <c r="K205" s="1074" t="inlineStr">
        <is>
          <t>校内成绩</t>
        </is>
      </c>
      <c r="L205" s="1074" t="n">
        <v>60</v>
      </c>
      <c r="M205" s="1074" t="n">
        <v>79.5</v>
      </c>
      <c r="N205" s="1074" t="inlineStr">
        <is>
          <t>田雨涵01</t>
        </is>
      </c>
      <c r="O205" s="1074" t="inlineStr">
        <is>
          <t>教室3</t>
        </is>
      </c>
      <c r="P205" s="1074" t="inlineStr">
        <is>
          <t>13:20-15:30</t>
        </is>
      </c>
      <c r="Q205" s="1074" t="inlineStr">
        <is>
          <t>潜能班</t>
        </is>
      </c>
      <c r="R205" s="1074" t="inlineStr">
        <is>
          <t>零期</t>
        </is>
      </c>
      <c r="S205" s="1074" t="inlineStr">
        <is>
          <t>在读</t>
        </is>
      </c>
      <c r="T205" s="1074" t="inlineStr">
        <is>
          <t>-</t>
        </is>
      </c>
      <c r="U205" s="1074" t="inlineStr">
        <is>
          <t>4513265</t>
        </is>
      </c>
      <c r="V205" s="1074" t="n">
        <v>0</v>
      </c>
      <c r="W205" s="1074" t="inlineStr">
        <is>
          <t>李润</t>
        </is>
      </c>
      <c r="X205" s="1074" t="inlineStr">
        <is>
          <t>教室3</t>
        </is>
      </c>
      <c r="Y205" s="1074" t="inlineStr">
        <is>
          <t>10:20-12:30</t>
        </is>
      </c>
      <c r="Z205" s="1074" t="inlineStr">
        <is>
          <t>潜能班</t>
        </is>
      </c>
      <c r="AA205" s="1074" t="inlineStr">
        <is>
          <t>零期</t>
        </is>
      </c>
      <c r="AB205" s="1074" t="inlineStr">
        <is>
          <t>在读</t>
        </is>
      </c>
      <c r="AC205" s="1074" t="inlineStr">
        <is>
          <t>-</t>
        </is>
      </c>
      <c r="AD205" s="1074" t="inlineStr">
        <is>
          <t>5230723</t>
        </is>
      </c>
      <c r="AE205" s="1074" t="n">
        <v>0</v>
      </c>
      <c r="AF205" s="1074" t="inlineStr">
        <is>
          <t>肖锐03</t>
        </is>
      </c>
      <c r="AG205" s="1074" t="inlineStr">
        <is>
          <t>教室3</t>
        </is>
      </c>
      <c r="AH205" s="1074" t="inlineStr">
        <is>
          <t>15:50-18:00</t>
        </is>
      </c>
      <c r="AI205" s="1074" t="inlineStr">
        <is>
          <t>潜能班</t>
        </is>
      </c>
      <c r="AJ205" s="1074" t="inlineStr">
        <is>
          <t>零期</t>
        </is>
      </c>
      <c r="AK205" s="1074" t="inlineStr">
        <is>
          <t>在读</t>
        </is>
      </c>
      <c r="AL205" s="1074" t="inlineStr">
        <is>
          <t>-</t>
        </is>
      </c>
      <c r="AM205" s="1074" t="inlineStr">
        <is>
          <t>是</t>
        </is>
      </c>
      <c r="AN205" s="1074" t="inlineStr">
        <is>
          <t>是</t>
        </is>
      </c>
      <c r="AO205" s="1074" t="inlineStr">
        <is>
          <t>是</t>
        </is>
      </c>
      <c r="AP205" s="1074" t="n"/>
      <c r="AQ205" s="1074" t="n"/>
      <c r="AR205" s="1074" t="inlineStr">
        <is>
          <t>B</t>
        </is>
      </c>
      <c r="AS205" s="1074" t="inlineStr">
        <is>
          <t>白云景泰小学，住的比较远，未咨询过正价课价格</t>
        </is>
      </c>
      <c r="AT205" s="311" t="n"/>
    </row>
    <row r="206" ht="26.25" customFormat="1" customHeight="1" s="366">
      <c r="A206" s="1074" t="inlineStr">
        <is>
          <t>新宝利</t>
        </is>
      </c>
      <c r="B206" s="1074" t="inlineStr">
        <is>
          <t>4836856814</t>
        </is>
      </c>
      <c r="C206" s="1074" t="inlineStr">
        <is>
          <t>王柏驎</t>
        </is>
      </c>
      <c r="D206" s="1074" t="inlineStr">
        <is>
          <t>杨林33</t>
        </is>
      </c>
      <c r="E206" s="1074" t="inlineStr">
        <is>
          <t>纯拉新</t>
        </is>
      </c>
      <c r="F206" s="1074" t="n"/>
      <c r="G206" s="1074" t="n"/>
      <c r="H206" s="1074" t="inlineStr">
        <is>
          <t>在读</t>
        </is>
      </c>
      <c r="I206" s="1074" t="inlineStr">
        <is>
          <t>一期</t>
        </is>
      </c>
      <c r="J206" s="1074" t="inlineStr">
        <is>
          <t>5230732</t>
        </is>
      </c>
      <c r="K206" s="1074" t="inlineStr">
        <is>
          <t>校内成绩</t>
        </is>
      </c>
      <c r="L206" s="1074" t="n">
        <v>86</v>
      </c>
      <c r="M206" s="1074" t="n">
        <v>96</v>
      </c>
      <c r="N206" s="1074" t="inlineStr">
        <is>
          <t>何咏04</t>
        </is>
      </c>
      <c r="O206" s="1074" t="inlineStr">
        <is>
          <t>教室3</t>
        </is>
      </c>
      <c r="P206" s="1074" t="inlineStr">
        <is>
          <t>10:30-12:40</t>
        </is>
      </c>
      <c r="Q206" s="1074" t="inlineStr">
        <is>
          <t>启能班</t>
        </is>
      </c>
      <c r="R206" s="1074" t="inlineStr">
        <is>
          <t>一期</t>
        </is>
      </c>
      <c r="S206" s="1074" t="inlineStr">
        <is>
          <t>在读</t>
        </is>
      </c>
      <c r="T206" s="1074" t="inlineStr">
        <is>
          <t>-</t>
        </is>
      </c>
      <c r="U206" s="1074" t="inlineStr">
        <is>
          <t>5170706</t>
        </is>
      </c>
      <c r="V206" s="1074" t="n"/>
      <c r="W206" s="1074" t="inlineStr">
        <is>
          <t>李润</t>
        </is>
      </c>
      <c r="X206" s="1074" t="inlineStr">
        <is>
          <t>教室3</t>
        </is>
      </c>
      <c r="Y206" s="1074" t="inlineStr">
        <is>
          <t>13:20-15:30</t>
        </is>
      </c>
      <c r="Z206" s="1074" t="inlineStr">
        <is>
          <t>潜能班</t>
        </is>
      </c>
      <c r="AA206" s="1074" t="inlineStr">
        <is>
          <t>一期</t>
        </is>
      </c>
      <c r="AB206" s="1074" t="inlineStr">
        <is>
          <t>在读</t>
        </is>
      </c>
      <c r="AC206" s="1074" t="inlineStr">
        <is>
          <t>-</t>
        </is>
      </c>
      <c r="AD206" s="1074" t="inlineStr">
        <is>
          <t>3132899</t>
        </is>
      </c>
      <c r="AE206" s="1074" t="n"/>
      <c r="AF206" s="1074" t="inlineStr">
        <is>
          <t>肖锐03</t>
        </is>
      </c>
      <c r="AG206" s="1074" t="inlineStr">
        <is>
          <t>教室3</t>
        </is>
      </c>
      <c r="AH206" s="1074" t="inlineStr">
        <is>
          <t>07:50-10:00</t>
        </is>
      </c>
      <c r="AI206" s="1074" t="inlineStr">
        <is>
          <t>潜能班</t>
        </is>
      </c>
      <c r="AJ206" s="1074" t="inlineStr">
        <is>
          <t>一期</t>
        </is>
      </c>
      <c r="AK206" s="1074" t="inlineStr">
        <is>
          <t>在读</t>
        </is>
      </c>
      <c r="AL206" s="1074" t="inlineStr">
        <is>
          <t>-</t>
        </is>
      </c>
      <c r="AM206" s="1074" t="n"/>
      <c r="AN206" s="1074" t="n"/>
      <c r="AO206" s="1074" t="n"/>
      <c r="AP206" s="1074" t="n"/>
      <c r="AQ206" s="1074" t="n"/>
      <c r="AR206" s="1074" t="inlineStr">
        <is>
          <t>A</t>
        </is>
      </c>
      <c r="AS206" s="1074" t="inlineStr">
        <is>
          <t>妈妈做生意的，来现场了解过，支付能力评判中等，教育理念还算可以</t>
        </is>
      </c>
      <c r="AT206" s="311" t="n"/>
    </row>
    <row r="207" ht="26.25" customFormat="1" customHeight="1" s="366">
      <c r="A207" s="1074" t="inlineStr">
        <is>
          <t>新宝利</t>
        </is>
      </c>
      <c r="B207" s="1074" t="inlineStr">
        <is>
          <t>4250803345</t>
        </is>
      </c>
      <c r="C207" s="1074" t="inlineStr">
        <is>
          <t>詹培琳</t>
        </is>
      </c>
      <c r="D207" s="1074" t="inlineStr">
        <is>
          <t>杨林33</t>
        </is>
      </c>
      <c r="E207" s="1074" t="inlineStr">
        <is>
          <t>纯拉新</t>
        </is>
      </c>
      <c r="F207" s="1074" t="n"/>
      <c r="G207" s="1074" t="n"/>
      <c r="H207" s="1074" t="inlineStr">
        <is>
          <t>在读</t>
        </is>
      </c>
      <c r="I207" s="1074" t="inlineStr">
        <is>
          <t>零期</t>
        </is>
      </c>
      <c r="J207" s="1074" t="inlineStr">
        <is>
          <t>3132884</t>
        </is>
      </c>
      <c r="K207" s="1074" t="inlineStr">
        <is>
          <t>报前测成绩</t>
        </is>
      </c>
      <c r="L207" s="1074" t="n">
        <v>68</v>
      </c>
      <c r="M207" s="1074" t="inlineStr">
        <is>
          <t>-</t>
        </is>
      </c>
      <c r="N207" s="1074" t="inlineStr">
        <is>
          <t>田雨涵01</t>
        </is>
      </c>
      <c r="O207" s="1074" t="inlineStr">
        <is>
          <t>教室3</t>
        </is>
      </c>
      <c r="P207" s="1074" t="inlineStr">
        <is>
          <t>13:20-15:30</t>
        </is>
      </c>
      <c r="Q207" s="1074" t="inlineStr">
        <is>
          <t>潜能班</t>
        </is>
      </c>
      <c r="R207" s="1074" t="inlineStr">
        <is>
          <t>零期</t>
        </is>
      </c>
      <c r="S207" s="1074" t="inlineStr">
        <is>
          <t>在读</t>
        </is>
      </c>
      <c r="T207" s="1074" t="inlineStr">
        <is>
          <t>-</t>
        </is>
      </c>
      <c r="U207" s="1074" t="inlineStr">
        <is>
          <t>4513265</t>
        </is>
      </c>
      <c r="V207" s="1074" t="n">
        <v>33</v>
      </c>
      <c r="W207" s="1074" t="inlineStr">
        <is>
          <t>李润</t>
        </is>
      </c>
      <c r="X207" s="1074" t="inlineStr">
        <is>
          <t>教室3</t>
        </is>
      </c>
      <c r="Y207" s="1074" t="inlineStr">
        <is>
          <t>10:20-12:30</t>
        </is>
      </c>
      <c r="Z207" s="1074" t="inlineStr">
        <is>
          <t>潜能班</t>
        </is>
      </c>
      <c r="AA207" s="1074" t="inlineStr">
        <is>
          <t>零期</t>
        </is>
      </c>
      <c r="AB207" s="1074" t="inlineStr">
        <is>
          <t>在读</t>
        </is>
      </c>
      <c r="AC207" s="1074" t="inlineStr">
        <is>
          <t>-</t>
        </is>
      </c>
      <c r="AD207" s="1074" t="inlineStr">
        <is>
          <t>5230723</t>
        </is>
      </c>
      <c r="AE207" s="1074" t="n">
        <v>33</v>
      </c>
      <c r="AF207" s="1074" t="inlineStr">
        <is>
          <t>肖锐03</t>
        </is>
      </c>
      <c r="AG207" s="1074" t="inlineStr">
        <is>
          <t>教室3</t>
        </is>
      </c>
      <c r="AH207" s="1074" t="inlineStr">
        <is>
          <t>15:50-18:00</t>
        </is>
      </c>
      <c r="AI207" s="1074" t="inlineStr">
        <is>
          <t>潜能班</t>
        </is>
      </c>
      <c r="AJ207" s="1074" t="inlineStr">
        <is>
          <t>零期</t>
        </is>
      </c>
      <c r="AK207" s="1074" t="inlineStr">
        <is>
          <t>在读</t>
        </is>
      </c>
      <c r="AL207" s="1074" t="inlineStr">
        <is>
          <t>-</t>
        </is>
      </c>
      <c r="AM207" s="1074" t="inlineStr">
        <is>
          <t>是</t>
        </is>
      </c>
      <c r="AN207" s="1074" t="inlineStr">
        <is>
          <t>是</t>
        </is>
      </c>
      <c r="AO207" s="1074" t="inlineStr">
        <is>
          <t>否</t>
        </is>
      </c>
      <c r="AP207" s="1074" t="n"/>
      <c r="AQ207" s="1074" t="n"/>
      <c r="AR207" s="1074" t="inlineStr">
        <is>
          <t>S</t>
        </is>
      </c>
      <c r="AS207" s="1074" t="inlineStr">
        <is>
          <t>诊断的时候全家出动，家长教育理念是很好的，现场穿搭来看支付能力也不错，有长期学习的想法</t>
        </is>
      </c>
      <c r="AT207" s="311" t="n"/>
    </row>
    <row r="208" ht="26.25" customFormat="1" customHeight="1" s="366">
      <c r="A208" s="1074" t="inlineStr">
        <is>
          <t>新宝利</t>
        </is>
      </c>
      <c r="B208" s="1074" t="inlineStr">
        <is>
          <t>4827301500</t>
        </is>
      </c>
      <c r="C208" s="1074" t="inlineStr">
        <is>
          <t>郑茹月</t>
        </is>
      </c>
      <c r="D208" s="1074" t="inlineStr">
        <is>
          <t>杨林33</t>
        </is>
      </c>
      <c r="E208" s="1074" t="inlineStr">
        <is>
          <t>纯拉新</t>
        </is>
      </c>
      <c r="F208" s="1074" t="n"/>
      <c r="G208" s="1074" t="n"/>
      <c r="H208" s="1074" t="inlineStr">
        <is>
          <t>在读</t>
        </is>
      </c>
      <c r="I208" s="1074" t="inlineStr">
        <is>
          <t>一期</t>
        </is>
      </c>
      <c r="J208" s="1074" t="inlineStr">
        <is>
          <t>5230732</t>
        </is>
      </c>
      <c r="K208" s="1074" t="inlineStr">
        <is>
          <t>校内成绩</t>
        </is>
      </c>
      <c r="L208" s="1074" t="n">
        <v>72</v>
      </c>
      <c r="M208" s="1074" t="n">
        <v>90</v>
      </c>
      <c r="N208" s="1074" t="inlineStr">
        <is>
          <t>何咏04</t>
        </is>
      </c>
      <c r="O208" s="1074" t="inlineStr">
        <is>
          <t>教室3</t>
        </is>
      </c>
      <c r="P208" s="1074" t="inlineStr">
        <is>
          <t>10:30-12:40</t>
        </is>
      </c>
      <c r="Q208" s="1074" t="inlineStr">
        <is>
          <t>启能班</t>
        </is>
      </c>
      <c r="R208" s="1074" t="inlineStr">
        <is>
          <t>一期</t>
        </is>
      </c>
      <c r="S208" s="1074" t="inlineStr">
        <is>
          <t>在读</t>
        </is>
      </c>
      <c r="T208" s="1074" t="inlineStr">
        <is>
          <t>-</t>
        </is>
      </c>
      <c r="U208" s="1074" t="inlineStr">
        <is>
          <t>4513265</t>
        </is>
      </c>
      <c r="V208" s="1074" t="n">
        <v>0</v>
      </c>
      <c r="W208" s="1074" t="inlineStr">
        <is>
          <t>李润</t>
        </is>
      </c>
      <c r="X208" s="1074" t="inlineStr">
        <is>
          <t>教室3</t>
        </is>
      </c>
      <c r="Y208" s="1074" t="inlineStr">
        <is>
          <t>10:20-12:30</t>
        </is>
      </c>
      <c r="Z208" s="1074" t="inlineStr">
        <is>
          <t>潜能班</t>
        </is>
      </c>
      <c r="AA208" s="1074" t="inlineStr">
        <is>
          <t>零期</t>
        </is>
      </c>
      <c r="AB208" s="1074" t="inlineStr">
        <is>
          <t>课前退</t>
        </is>
      </c>
      <c r="AC208" s="1074" t="inlineStr">
        <is>
          <t>-</t>
        </is>
      </c>
      <c r="AD208" s="1074" t="inlineStr">
        <is>
          <t>3132899</t>
        </is>
      </c>
      <c r="AE208" s="1074" t="n">
        <v>39</v>
      </c>
      <c r="AF208" s="1074" t="inlineStr">
        <is>
          <t>肖锐03</t>
        </is>
      </c>
      <c r="AG208" s="1074" t="inlineStr">
        <is>
          <t>教室3</t>
        </is>
      </c>
      <c r="AH208" s="1074" t="inlineStr">
        <is>
          <t>07:50-10:00</t>
        </is>
      </c>
      <c r="AI208" s="1074" t="inlineStr">
        <is>
          <t>潜能班</t>
        </is>
      </c>
      <c r="AJ208" s="1074" t="inlineStr">
        <is>
          <t>一期</t>
        </is>
      </c>
      <c r="AK208" s="1074" t="inlineStr">
        <is>
          <t>在读</t>
        </is>
      </c>
      <c r="AL208" s="1074" t="inlineStr">
        <is>
          <t>-</t>
        </is>
      </c>
      <c r="AM208" s="1074" t="inlineStr">
        <is>
          <t>是</t>
        </is>
      </c>
      <c r="AN208" s="1074" t="inlineStr">
        <is>
          <t>是</t>
        </is>
      </c>
      <c r="AO208" s="1074" t="inlineStr">
        <is>
          <t>否</t>
        </is>
      </c>
      <c r="AP208" s="1074" t="n"/>
      <c r="AQ208" s="1074" t="n"/>
      <c r="AR208" s="1074" t="inlineStr">
        <is>
          <t>C</t>
        </is>
      </c>
      <c r="AS208" s="1074" t="inlineStr">
        <is>
          <t>要退费</t>
        </is>
      </c>
      <c r="AT208" s="311" t="n"/>
    </row>
    <row r="209" ht="26.25" customFormat="1" customHeight="1" s="366">
      <c r="A209" s="1074" t="inlineStr">
        <is>
          <t>天成大厦</t>
        </is>
      </c>
      <c r="B209" s="1074" t="inlineStr">
        <is>
          <t>4831426265</t>
        </is>
      </c>
      <c r="C209" s="1074" t="inlineStr">
        <is>
          <t>王喆奎</t>
        </is>
      </c>
      <c r="D209" s="1074" t="inlineStr">
        <is>
          <t>沈思浩</t>
        </is>
      </c>
      <c r="E209" s="1074" t="inlineStr">
        <is>
          <t>纯拉新</t>
        </is>
      </c>
      <c r="F209" s="1074" t="n"/>
      <c r="G209" s="1074" t="n"/>
      <c r="H209" s="1074" t="inlineStr">
        <is>
          <t>在读</t>
        </is>
      </c>
      <c r="I209" s="1074" t="inlineStr">
        <is>
          <t>一期</t>
        </is>
      </c>
      <c r="J209" s="1074" t="inlineStr">
        <is>
          <t>5230775</t>
        </is>
      </c>
      <c r="K209" s="1074" t="inlineStr">
        <is>
          <t>校内成绩</t>
        </is>
      </c>
      <c r="L209" s="1074" t="n">
        <v>85</v>
      </c>
      <c r="M209" s="1074" t="n">
        <v>95</v>
      </c>
      <c r="N209" s="1074" t="inlineStr">
        <is>
          <t>陈中帅</t>
        </is>
      </c>
      <c r="O209" s="1074" t="inlineStr">
        <is>
          <t>03品尚</t>
        </is>
      </c>
      <c r="P209" s="1074" t="inlineStr">
        <is>
          <t>10:20-12:30</t>
        </is>
      </c>
      <c r="Q209" s="1074" t="inlineStr">
        <is>
          <t>潜能班</t>
        </is>
      </c>
      <c r="R209" s="1074" t="inlineStr">
        <is>
          <t>一期</t>
        </is>
      </c>
      <c r="S209" s="1074" t="inlineStr">
        <is>
          <t>在读</t>
        </is>
      </c>
      <c r="T209" s="1074" t="inlineStr">
        <is>
          <t>-</t>
        </is>
      </c>
      <c r="U209" s="1074" t="inlineStr">
        <is>
          <t>3132834</t>
        </is>
      </c>
      <c r="V209" s="1074" t="n"/>
      <c r="W209" s="1074" t="inlineStr">
        <is>
          <t>李润</t>
        </is>
      </c>
      <c r="X209" s="1074" t="inlineStr">
        <is>
          <t>03品尚</t>
        </is>
      </c>
      <c r="Y209" s="1074" t="inlineStr">
        <is>
          <t>07:50-10:00</t>
        </is>
      </c>
      <c r="Z209" s="1074" t="inlineStr">
        <is>
          <t>潜能班</t>
        </is>
      </c>
      <c r="AA209" s="1074" t="inlineStr">
        <is>
          <t>一期</t>
        </is>
      </c>
      <c r="AB209" s="1074" t="inlineStr">
        <is>
          <t>在读</t>
        </is>
      </c>
      <c r="AC209" s="1074" t="inlineStr">
        <is>
          <t>-</t>
        </is>
      </c>
      <c r="AD209" s="1074" t="inlineStr">
        <is>
          <t>5230783</t>
        </is>
      </c>
      <c r="AE209" s="1074" t="n"/>
      <c r="AF209" s="1074" t="inlineStr">
        <is>
          <t>刘希子</t>
        </is>
      </c>
      <c r="AG209" s="1074" t="inlineStr">
        <is>
          <t>03品尚</t>
        </is>
      </c>
      <c r="AH209" s="1074" t="inlineStr">
        <is>
          <t>13:20-15:30</t>
        </is>
      </c>
      <c r="AI209" s="1074" t="inlineStr">
        <is>
          <t>潜能班</t>
        </is>
      </c>
      <c r="AJ209" s="1074" t="inlineStr">
        <is>
          <t>一期</t>
        </is>
      </c>
      <c r="AK209" s="1074" t="inlineStr">
        <is>
          <t>在读</t>
        </is>
      </c>
      <c r="AL209" s="1074" t="inlineStr">
        <is>
          <t>-</t>
        </is>
      </c>
      <c r="AM209" s="1074" t="n"/>
      <c r="AN209" s="1074" t="n"/>
      <c r="AO209" s="1074" t="n"/>
      <c r="AP209" s="1074" t="n"/>
      <c r="AQ209" s="1074" t="n"/>
      <c r="AR209" s="1074" t="inlineStr">
        <is>
          <t>A</t>
        </is>
      </c>
      <c r="AS209" s="1074" t="inlineStr">
        <is>
          <t>孩子程度较好，看看上课状态先</t>
        </is>
      </c>
      <c r="AT209" s="311" t="n"/>
    </row>
    <row r="210" ht="26.25" customFormat="1" customHeight="1" s="366">
      <c r="A210" s="1074" t="inlineStr">
        <is>
          <t>新宝利</t>
        </is>
      </c>
      <c r="B210" s="1074" t="inlineStr">
        <is>
          <t>4486277372</t>
        </is>
      </c>
      <c r="C210" s="1074" t="inlineStr">
        <is>
          <t>陈思彤</t>
        </is>
      </c>
      <c r="D210" s="1074" t="inlineStr">
        <is>
          <t>张敏烨</t>
        </is>
      </c>
      <c r="E210" s="1074" t="inlineStr">
        <is>
          <t>纯拉新</t>
        </is>
      </c>
      <c r="F210" s="1074" t="n"/>
      <c r="G210" s="1074" t="n"/>
      <c r="H210" s="1074" t="inlineStr">
        <is>
          <t>在读</t>
        </is>
      </c>
      <c r="I210" s="1074" t="inlineStr">
        <is>
          <t>一期</t>
        </is>
      </c>
      <c r="J210" s="1074" t="inlineStr">
        <is>
          <t>5230732</t>
        </is>
      </c>
      <c r="K210" s="1074" t="inlineStr">
        <is>
          <t>校内成绩</t>
        </is>
      </c>
      <c r="L210" s="1074" t="n">
        <v>88</v>
      </c>
      <c r="M210" s="1074" t="n">
        <v>98</v>
      </c>
      <c r="N210" s="1074" t="inlineStr">
        <is>
          <t>何咏04</t>
        </is>
      </c>
      <c r="O210" s="1074" t="inlineStr">
        <is>
          <t>教室3</t>
        </is>
      </c>
      <c r="P210" s="1074" t="inlineStr">
        <is>
          <t>10:30-12:40</t>
        </is>
      </c>
      <c r="Q210" s="1074" t="inlineStr">
        <is>
          <t>启能班</t>
        </is>
      </c>
      <c r="R210" s="1074" t="inlineStr">
        <is>
          <t>一期</t>
        </is>
      </c>
      <c r="S210" s="1074" t="inlineStr">
        <is>
          <t>在读</t>
        </is>
      </c>
      <c r="T210" s="1074" t="inlineStr">
        <is>
          <t>-</t>
        </is>
      </c>
      <c r="U210" s="1074" t="inlineStr">
        <is>
          <t>5170706</t>
        </is>
      </c>
      <c r="V210" s="1074" t="n">
        <v>0</v>
      </c>
      <c r="W210" s="1074" t="inlineStr">
        <is>
          <t>李润</t>
        </is>
      </c>
      <c r="X210" s="1074" t="inlineStr">
        <is>
          <t>教室3</t>
        </is>
      </c>
      <c r="Y210" s="1074" t="inlineStr">
        <is>
          <t>13:20-15:30</t>
        </is>
      </c>
      <c r="Z210" s="1074" t="inlineStr">
        <is>
          <t>潜能班</t>
        </is>
      </c>
      <c r="AA210" s="1074" t="inlineStr">
        <is>
          <t>一期</t>
        </is>
      </c>
      <c r="AB210" s="1074" t="inlineStr">
        <is>
          <t>在读</t>
        </is>
      </c>
      <c r="AC210" s="1074" t="inlineStr">
        <is>
          <t>-</t>
        </is>
      </c>
      <c r="AD210" s="1074" t="inlineStr">
        <is>
          <t>3132899</t>
        </is>
      </c>
      <c r="AE210" s="1074" t="n">
        <v>0</v>
      </c>
      <c r="AF210" s="1074" t="inlineStr">
        <is>
          <t>肖锐03</t>
        </is>
      </c>
      <c r="AG210" s="1074" t="inlineStr">
        <is>
          <t>教室3</t>
        </is>
      </c>
      <c r="AH210" s="1074" t="inlineStr">
        <is>
          <t>07:50-10:00</t>
        </is>
      </c>
      <c r="AI210" s="1074" t="inlineStr">
        <is>
          <t>潜能班</t>
        </is>
      </c>
      <c r="AJ210" s="1074" t="inlineStr">
        <is>
          <t>一期</t>
        </is>
      </c>
      <c r="AK210" s="1074" t="inlineStr">
        <is>
          <t>在读</t>
        </is>
      </c>
      <c r="AL210" s="1074" t="inlineStr">
        <is>
          <t>-</t>
        </is>
      </c>
      <c r="AM210" s="1074" t="inlineStr">
        <is>
          <t>是</t>
        </is>
      </c>
      <c r="AN210" s="1074" t="inlineStr">
        <is>
          <t>是</t>
        </is>
      </c>
      <c r="AO210" s="1074" t="inlineStr">
        <is>
          <t>否</t>
        </is>
      </c>
      <c r="AP210" s="1074" t="n"/>
      <c r="AQ210" s="1074" t="n"/>
      <c r="AR210" s="1074" t="inlineStr">
        <is>
          <t>B</t>
        </is>
      </c>
      <c r="AS210" s="1074" t="inlineStr">
        <is>
          <t>未咨询秋季价格，目前有补习班在上和陈滢西是好朋友</t>
        </is>
      </c>
      <c r="AT210" s="311" t="n"/>
    </row>
    <row r="211" ht="26.25" customFormat="1" customHeight="1" s="366">
      <c r="A211" s="1074" t="inlineStr">
        <is>
          <t>新宝利</t>
        </is>
      </c>
      <c r="B211" s="1074" t="inlineStr">
        <is>
          <t>4828248928</t>
        </is>
      </c>
      <c r="C211" s="1074" t="inlineStr">
        <is>
          <t>朱哲辰</t>
        </is>
      </c>
      <c r="D211" s="1074" t="inlineStr">
        <is>
          <t>王达04</t>
        </is>
      </c>
      <c r="E211" s="1074" t="inlineStr">
        <is>
          <t>新生转介绍</t>
        </is>
      </c>
      <c r="F211" s="1074" t="n"/>
      <c r="G211" s="1074" t="inlineStr">
        <is>
          <t>谢希羲</t>
        </is>
      </c>
      <c r="H211" s="1074" t="inlineStr">
        <is>
          <t>在读</t>
        </is>
      </c>
      <c r="I211" s="1074" t="inlineStr">
        <is>
          <t>零期</t>
        </is>
      </c>
      <c r="J211" s="1074" t="inlineStr">
        <is>
          <t>3132884</t>
        </is>
      </c>
      <c r="K211" s="1074" t="inlineStr">
        <is>
          <t>报前测成绩</t>
        </is>
      </c>
      <c r="L211" s="1074" t="n">
        <v>60</v>
      </c>
      <c r="M211" s="1074" t="inlineStr">
        <is>
          <t>-</t>
        </is>
      </c>
      <c r="N211" s="1074" t="inlineStr">
        <is>
          <t>田雨涵01</t>
        </is>
      </c>
      <c r="O211" s="1074" t="inlineStr">
        <is>
          <t>教室3</t>
        </is>
      </c>
      <c r="P211" s="1074" t="inlineStr">
        <is>
          <t>13:20-15:30</t>
        </is>
      </c>
      <c r="Q211" s="1074" t="inlineStr">
        <is>
          <t>潜能班</t>
        </is>
      </c>
      <c r="R211" s="1074" t="inlineStr">
        <is>
          <t>零期</t>
        </is>
      </c>
      <c r="S211" s="1074" t="inlineStr">
        <is>
          <t>在读</t>
        </is>
      </c>
      <c r="T211" s="1074" t="inlineStr">
        <is>
          <t>-</t>
        </is>
      </c>
      <c r="U211" s="1074" t="inlineStr">
        <is>
          <t>4513265</t>
        </is>
      </c>
      <c r="V211" s="1074" t="n">
        <v>32</v>
      </c>
      <c r="W211" s="1074" t="inlineStr">
        <is>
          <t>李润</t>
        </is>
      </c>
      <c r="X211" s="1074" t="inlineStr">
        <is>
          <t>教室3</t>
        </is>
      </c>
      <c r="Y211" s="1074" t="inlineStr">
        <is>
          <t>10:20-12:30</t>
        </is>
      </c>
      <c r="Z211" s="1074" t="inlineStr">
        <is>
          <t>潜能班</t>
        </is>
      </c>
      <c r="AA211" s="1074" t="inlineStr">
        <is>
          <t>零期</t>
        </is>
      </c>
      <c r="AB211" s="1074" t="inlineStr">
        <is>
          <t>在读</t>
        </is>
      </c>
      <c r="AC211" s="1074" t="inlineStr">
        <is>
          <t>-</t>
        </is>
      </c>
      <c r="AD211" s="1074" t="inlineStr">
        <is>
          <t>5230723</t>
        </is>
      </c>
      <c r="AE211" s="1074" t="n">
        <v>31</v>
      </c>
      <c r="AF211" s="1074" t="inlineStr">
        <is>
          <t>肖锐03</t>
        </is>
      </c>
      <c r="AG211" s="1074" t="inlineStr">
        <is>
          <t>教室3</t>
        </is>
      </c>
      <c r="AH211" s="1074" t="inlineStr">
        <is>
          <t>15:50-18:00</t>
        </is>
      </c>
      <c r="AI211" s="1074" t="inlineStr">
        <is>
          <t>潜能班</t>
        </is>
      </c>
      <c r="AJ211" s="1074" t="inlineStr">
        <is>
          <t>零期</t>
        </is>
      </c>
      <c r="AK211" s="1074" t="inlineStr">
        <is>
          <t>在读</t>
        </is>
      </c>
      <c r="AL211" s="1074" t="inlineStr">
        <is>
          <t>-</t>
        </is>
      </c>
      <c r="AM211" s="1074" t="inlineStr">
        <is>
          <t>是</t>
        </is>
      </c>
      <c r="AN211" s="1074" t="inlineStr">
        <is>
          <t>是</t>
        </is>
      </c>
      <c r="AO211" s="1074" t="inlineStr">
        <is>
          <t>否</t>
        </is>
      </c>
      <c r="AP211" s="1074" t="n"/>
      <c r="AQ211" s="1074" t="n"/>
      <c r="AR211" s="1074" t="inlineStr">
        <is>
          <t>B</t>
        </is>
      </c>
      <c r="AS211" s="1074" t="inlineStr">
        <is>
          <t>家长有初步规划，但还是想看看孩子学习情况</t>
        </is>
      </c>
      <c r="AT211" s="311" t="n"/>
    </row>
    <row r="212" ht="26.25" customFormat="1" customHeight="1" s="366">
      <c r="A212" s="1074" t="inlineStr">
        <is>
          <t>同创汇</t>
        </is>
      </c>
      <c r="B212" s="1074" t="inlineStr">
        <is>
          <t>4823074947</t>
        </is>
      </c>
      <c r="C212" s="1074" t="inlineStr">
        <is>
          <t>黄泓宇</t>
        </is>
      </c>
      <c r="D212" s="1074" t="inlineStr">
        <is>
          <t>王丽</t>
        </is>
      </c>
      <c r="E212" s="1074" t="inlineStr">
        <is>
          <t>纯拉新</t>
        </is>
      </c>
      <c r="F212" s="1074" t="n"/>
      <c r="G212" s="1074" t="n"/>
      <c r="H212" s="1074" t="inlineStr">
        <is>
          <t>在读</t>
        </is>
      </c>
      <c r="I212" s="1074" t="inlineStr">
        <is>
          <t>零期</t>
        </is>
      </c>
      <c r="J212" s="1074" t="inlineStr">
        <is>
          <t>3132897</t>
        </is>
      </c>
      <c r="K212" s="1074" t="inlineStr">
        <is>
          <t>校内成绩</t>
        </is>
      </c>
      <c r="L212" s="1074" t="n">
        <v>72</v>
      </c>
      <c r="M212" s="1074" t="n">
        <v>90</v>
      </c>
      <c r="N212" s="1074" t="inlineStr">
        <is>
          <t>陈中帅</t>
        </is>
      </c>
      <c r="O212" s="1074" t="inlineStr">
        <is>
          <t>01智慧林</t>
        </is>
      </c>
      <c r="P212" s="1074" t="inlineStr">
        <is>
          <t>10:20-12:30</t>
        </is>
      </c>
      <c r="Q212" s="1074" t="inlineStr">
        <is>
          <t>潜能班</t>
        </is>
      </c>
      <c r="R212" s="1074" t="inlineStr">
        <is>
          <t>零期</t>
        </is>
      </c>
      <c r="S212" s="1074" t="inlineStr">
        <is>
          <t>在读</t>
        </is>
      </c>
      <c r="T212" s="1074" t="inlineStr">
        <is>
          <t>-</t>
        </is>
      </c>
      <c r="U212" s="1074" t="inlineStr">
        <is>
          <t>5230722</t>
        </is>
      </c>
      <c r="V212" s="1074" t="n">
        <v>0</v>
      </c>
      <c r="W212" s="1074" t="inlineStr">
        <is>
          <t>李润</t>
        </is>
      </c>
      <c r="X212" s="1074" t="inlineStr">
        <is>
          <t>01智慧林</t>
        </is>
      </c>
      <c r="Y212" s="1074" t="inlineStr">
        <is>
          <t>15:50-18:00</t>
        </is>
      </c>
      <c r="Z212" s="1074" t="inlineStr">
        <is>
          <t>潜能班</t>
        </is>
      </c>
      <c r="AA212" s="1074" t="inlineStr">
        <is>
          <t>零期</t>
        </is>
      </c>
      <c r="AB212" s="1074" t="inlineStr">
        <is>
          <t>在读</t>
        </is>
      </c>
      <c r="AC212" s="1074" t="inlineStr">
        <is>
          <t>-</t>
        </is>
      </c>
      <c r="AD212" s="1074" t="inlineStr">
        <is>
          <t>5230737</t>
        </is>
      </c>
      <c r="AE212" s="1074" t="n">
        <v>0</v>
      </c>
      <c r="AF212" s="1074" t="inlineStr">
        <is>
          <t>高心怡04</t>
        </is>
      </c>
      <c r="AG212" s="1074" t="inlineStr">
        <is>
          <t>01智慧林</t>
        </is>
      </c>
      <c r="AH212" s="1074" t="inlineStr">
        <is>
          <t>13:20-15:30</t>
        </is>
      </c>
      <c r="AI212" s="1074" t="inlineStr">
        <is>
          <t>潜能班</t>
        </is>
      </c>
      <c r="AJ212" s="1074" t="inlineStr">
        <is>
          <t>零期</t>
        </is>
      </c>
      <c r="AK212" s="1074" t="inlineStr">
        <is>
          <t>在读</t>
        </is>
      </c>
      <c r="AL212" s="1074" t="inlineStr">
        <is>
          <t>-</t>
        </is>
      </c>
      <c r="AM212" s="1074" t="inlineStr">
        <is>
          <t>是</t>
        </is>
      </c>
      <c r="AN212" s="1074" t="inlineStr">
        <is>
          <t>是</t>
        </is>
      </c>
      <c r="AO212" s="1074" t="inlineStr">
        <is>
          <t>是</t>
        </is>
      </c>
      <c r="AP212" s="1074" t="n"/>
      <c r="AQ212" s="1074" t="n"/>
      <c r="AR212" s="1074" t="inlineStr">
        <is>
          <t>A</t>
        </is>
      </c>
      <c r="AS212" s="1074" t="inlineStr">
        <is>
          <t>妈妈挺好说话的，沟通的还可以</t>
        </is>
      </c>
      <c r="AT212" s="311" t="n"/>
    </row>
    <row r="213" ht="26.25" customFormat="1" customHeight="1" s="366">
      <c r="A213" s="1074" t="inlineStr">
        <is>
          <t>新宝利</t>
        </is>
      </c>
      <c r="B213" s="1074" t="inlineStr">
        <is>
          <t>4837163177</t>
        </is>
      </c>
      <c r="C213" s="1074" t="inlineStr">
        <is>
          <t>黎晓慧</t>
        </is>
      </c>
      <c r="D213" s="1074" t="inlineStr">
        <is>
          <t>杨林33</t>
        </is>
      </c>
      <c r="E213" s="1074" t="inlineStr">
        <is>
          <t>纯拉新</t>
        </is>
      </c>
      <c r="F213" s="1074" t="n"/>
      <c r="G213" s="1074" t="n"/>
      <c r="H213" s="1074" t="inlineStr">
        <is>
          <t>在读</t>
        </is>
      </c>
      <c r="I213" s="1074" t="inlineStr">
        <is>
          <t>一期</t>
        </is>
      </c>
      <c r="J213" s="1074" t="inlineStr">
        <is>
          <t>5230742</t>
        </is>
      </c>
      <c r="K213" s="1074" t="inlineStr">
        <is>
          <t>校内成绩</t>
        </is>
      </c>
      <c r="L213" s="1074" t="n">
        <v>60</v>
      </c>
      <c r="M213" s="1074" t="n">
        <v>80</v>
      </c>
      <c r="N213" s="1074" t="inlineStr">
        <is>
          <t>何咏04</t>
        </is>
      </c>
      <c r="O213" s="1074" t="inlineStr">
        <is>
          <t>教室2</t>
        </is>
      </c>
      <c r="P213" s="1074" t="inlineStr">
        <is>
          <t>13:20-15:30</t>
        </is>
      </c>
      <c r="Q213" s="1074" t="inlineStr">
        <is>
          <t>潜能班</t>
        </is>
      </c>
      <c r="R213" s="1074" t="inlineStr">
        <is>
          <t>一期</t>
        </is>
      </c>
      <c r="S213" s="1074" t="inlineStr">
        <is>
          <t>在读</t>
        </is>
      </c>
      <c r="T213" s="1074" t="inlineStr">
        <is>
          <t>-</t>
        </is>
      </c>
      <c r="U213" s="1074" t="inlineStr">
        <is>
          <t>5230773</t>
        </is>
      </c>
      <c r="V213" s="1074" t="n"/>
      <c r="W213" s="1074" t="inlineStr">
        <is>
          <t>陈南05</t>
        </is>
      </c>
      <c r="X213" s="1074" t="inlineStr">
        <is>
          <t>教室2</t>
        </is>
      </c>
      <c r="Y213" s="1074" t="inlineStr">
        <is>
          <t>15:50-18:00</t>
        </is>
      </c>
      <c r="Z213" s="1074" t="inlineStr">
        <is>
          <t>潜能班</t>
        </is>
      </c>
      <c r="AA213" s="1074" t="inlineStr">
        <is>
          <t>一期</t>
        </is>
      </c>
      <c r="AB213" s="1074" t="inlineStr">
        <is>
          <t>在读</t>
        </is>
      </c>
      <c r="AC213" s="1074" t="inlineStr">
        <is>
          <t>-</t>
        </is>
      </c>
      <c r="AD213" s="1074" t="inlineStr">
        <is>
          <t>3132888</t>
        </is>
      </c>
      <c r="AE213" s="1074" t="n"/>
      <c r="AF213" s="1074" t="inlineStr">
        <is>
          <t>肖锐03</t>
        </is>
      </c>
      <c r="AG213" s="1074" t="inlineStr">
        <is>
          <t>教室2</t>
        </is>
      </c>
      <c r="AH213" s="1074" t="inlineStr">
        <is>
          <t>10:20-12:30</t>
        </is>
      </c>
      <c r="AI213" s="1074" t="inlineStr">
        <is>
          <t>潜能班</t>
        </is>
      </c>
      <c r="AJ213" s="1074" t="inlineStr">
        <is>
          <t>一期</t>
        </is>
      </c>
      <c r="AK213" s="1074" t="inlineStr">
        <is>
          <t>在读</t>
        </is>
      </c>
      <c r="AL213" s="1074" t="inlineStr">
        <is>
          <t>-</t>
        </is>
      </c>
      <c r="AM213" s="1074" t="n"/>
      <c r="AN213" s="1074" t="n"/>
      <c r="AO213" s="1074" t="n"/>
      <c r="AP213" s="1074" t="n"/>
      <c r="AQ213" s="1074" t="n"/>
      <c r="AR213" s="1074" t="inlineStr">
        <is>
          <t>S</t>
        </is>
      </c>
      <c r="AS213" s="1074" t="inlineStr">
        <is>
          <t>教育理念OK，有长期补习的想法，目前对老师满意，家长支付能力OK</t>
        </is>
      </c>
      <c r="AT213" s="311" t="n"/>
    </row>
    <row r="214" ht="26.25" customFormat="1" customHeight="1" s="366">
      <c r="A214" s="1074" t="inlineStr">
        <is>
          <t>新宝利</t>
        </is>
      </c>
      <c r="B214" s="1074" t="inlineStr">
        <is>
          <t>4090630208</t>
        </is>
      </c>
      <c r="C214" s="1074" t="inlineStr">
        <is>
          <t>僮僮</t>
        </is>
      </c>
      <c r="D214" s="1074" t="inlineStr">
        <is>
          <t>杨林33</t>
        </is>
      </c>
      <c r="E214" s="1074" t="inlineStr">
        <is>
          <t>纯拉新</t>
        </is>
      </c>
      <c r="F214" s="1074" t="inlineStr">
        <is>
          <t>薅羊毛，海珠学员，大概率不会到课，目前其他科目在别的机构在读</t>
        </is>
      </c>
      <c r="G214" s="1074" t="n"/>
      <c r="H214" s="1074" t="inlineStr">
        <is>
          <t>在读</t>
        </is>
      </c>
      <c r="I214" s="1074" t="inlineStr">
        <is>
          <t>一期</t>
        </is>
      </c>
      <c r="J214" s="1074" t="inlineStr">
        <is>
          <t>5230742</t>
        </is>
      </c>
      <c r="K214" s="1074" t="inlineStr">
        <is>
          <t>校内成绩</t>
        </is>
      </c>
      <c r="L214" s="1074" t="n">
        <v>75</v>
      </c>
      <c r="M214" s="1074" t="n">
        <v>93</v>
      </c>
      <c r="N214" s="1074" t="inlineStr">
        <is>
          <t>何咏04</t>
        </is>
      </c>
      <c r="O214" s="1074" t="inlineStr">
        <is>
          <t>教室2</t>
        </is>
      </c>
      <c r="P214" s="1074" t="inlineStr">
        <is>
          <t>13:20-15:30</t>
        </is>
      </c>
      <c r="Q214" s="1074" t="inlineStr">
        <is>
          <t>潜能班</t>
        </is>
      </c>
      <c r="R214" s="1074" t="inlineStr">
        <is>
          <t>一期</t>
        </is>
      </c>
      <c r="S214" s="1074" t="inlineStr">
        <is>
          <t>在读</t>
        </is>
      </c>
      <c r="T214" s="1074" t="inlineStr">
        <is>
          <t>-</t>
        </is>
      </c>
      <c r="U214" s="1074" t="inlineStr">
        <is>
          <t>-</t>
        </is>
      </c>
      <c r="V214" s="1074" t="inlineStr"/>
      <c r="W214" s="1074" t="inlineStr">
        <is>
          <t>-</t>
        </is>
      </c>
      <c r="X214" s="1074" t="inlineStr">
        <is>
          <t>-</t>
        </is>
      </c>
      <c r="Y214" s="1074" t="inlineStr">
        <is>
          <t>-</t>
        </is>
      </c>
      <c r="Z214" s="1074" t="inlineStr">
        <is>
          <t>-</t>
        </is>
      </c>
      <c r="AA214" s="1074" t="inlineStr">
        <is>
          <t>-</t>
        </is>
      </c>
      <c r="AB214" s="1074" t="inlineStr">
        <is>
          <t>-</t>
        </is>
      </c>
      <c r="AC214" s="1074" t="inlineStr">
        <is>
          <t>-</t>
        </is>
      </c>
      <c r="AD214" s="1074" t="inlineStr">
        <is>
          <t>-</t>
        </is>
      </c>
      <c r="AE214" s="1074" t="inlineStr"/>
      <c r="AF214" s="1074" t="inlineStr">
        <is>
          <t>-</t>
        </is>
      </c>
      <c r="AG214" s="1074" t="inlineStr">
        <is>
          <t>-</t>
        </is>
      </c>
      <c r="AH214" s="1074" t="inlineStr">
        <is>
          <t>-</t>
        </is>
      </c>
      <c r="AI214" s="1074" t="inlineStr">
        <is>
          <t>-</t>
        </is>
      </c>
      <c r="AJ214" s="1074" t="inlineStr">
        <is>
          <t>-</t>
        </is>
      </c>
      <c r="AK214" s="1074" t="inlineStr">
        <is>
          <t>-</t>
        </is>
      </c>
      <c r="AL214" s="1074" t="inlineStr">
        <is>
          <t>-</t>
        </is>
      </c>
      <c r="AM214" s="1074" t="n"/>
      <c r="AN214" s="1074" t="inlineStr">
        <is>
          <t>是</t>
        </is>
      </c>
      <c r="AO214" s="1074" t="inlineStr">
        <is>
          <t>否</t>
        </is>
      </c>
      <c r="AP214" s="1074" t="n"/>
      <c r="AQ214" s="1074" t="n"/>
      <c r="AR214" s="1074" t="inlineStr">
        <is>
          <t>A</t>
        </is>
      </c>
      <c r="AS214" s="1074" t="inlineStr">
        <is>
          <t>校外补习班比较多，语文英语其他机构都在学，会对比机构，还在补习舞蹈，家庭支付能力不差，</t>
        </is>
      </c>
      <c r="AT214" s="311" t="n"/>
    </row>
    <row r="215" ht="26.25" customFormat="1" customHeight="1" s="366">
      <c r="A215" s="1074" t="inlineStr">
        <is>
          <t>同创汇</t>
        </is>
      </c>
      <c r="B215" s="1074" t="inlineStr">
        <is>
          <t>2418049678</t>
        </is>
      </c>
      <c r="C215" s="1074" t="inlineStr">
        <is>
          <t>伦铭聪</t>
        </is>
      </c>
      <c r="D215" s="1074" t="inlineStr">
        <is>
          <t>沈思浩</t>
        </is>
      </c>
      <c r="E215" s="1074" t="inlineStr">
        <is>
          <t>新生转介绍</t>
        </is>
      </c>
      <c r="F215" s="1074" t="n"/>
      <c r="G215" s="1074" t="inlineStr">
        <is>
          <t>周加尉</t>
        </is>
      </c>
      <c r="H215" s="1074" t="inlineStr">
        <is>
          <t>在读</t>
        </is>
      </c>
      <c r="I215" s="1074" t="inlineStr">
        <is>
          <t>零期</t>
        </is>
      </c>
      <c r="J215" s="1074" t="inlineStr">
        <is>
          <t>5230814</t>
        </is>
      </c>
      <c r="K215" s="1074" t="inlineStr">
        <is>
          <t>报前测成绩</t>
        </is>
      </c>
      <c r="L215" s="1074" t="n">
        <v>118</v>
      </c>
      <c r="M215" s="1074" t="inlineStr">
        <is>
          <t>-</t>
        </is>
      </c>
      <c r="N215" s="1074" t="inlineStr">
        <is>
          <t>陈中帅</t>
        </is>
      </c>
      <c r="O215" s="1074" t="inlineStr">
        <is>
          <t>02彩虹桥</t>
        </is>
      </c>
      <c r="P215" s="1074" t="inlineStr">
        <is>
          <t>07:50-10:00</t>
        </is>
      </c>
      <c r="Q215" s="1074" t="inlineStr">
        <is>
          <t>启能班</t>
        </is>
      </c>
      <c r="R215" s="1074" t="inlineStr">
        <is>
          <t>零期</t>
        </is>
      </c>
      <c r="S215" s="1074" t="inlineStr">
        <is>
          <t>在读</t>
        </is>
      </c>
      <c r="T215" s="1074" t="inlineStr">
        <is>
          <t>-</t>
        </is>
      </c>
      <c r="U215" s="1074" t="inlineStr">
        <is>
          <t>3132905</t>
        </is>
      </c>
      <c r="V215" s="1074" t="n">
        <v>40</v>
      </c>
      <c r="W215" s="1074" t="inlineStr">
        <is>
          <t>黄铭怡</t>
        </is>
      </c>
      <c r="X215" s="1074" t="inlineStr">
        <is>
          <t>02彩虹桥</t>
        </is>
      </c>
      <c r="Y215" s="1074" t="inlineStr">
        <is>
          <t>13:20-15:30</t>
        </is>
      </c>
      <c r="Z215" s="1074" t="inlineStr">
        <is>
          <t>潜能班</t>
        </is>
      </c>
      <c r="AA215" s="1074" t="inlineStr">
        <is>
          <t>零期</t>
        </is>
      </c>
      <c r="AB215" s="1074" t="inlineStr">
        <is>
          <t>在读</t>
        </is>
      </c>
      <c r="AC215" s="1074" t="inlineStr">
        <is>
          <t>-</t>
        </is>
      </c>
      <c r="AD215" s="1074" t="inlineStr">
        <is>
          <t>5230765</t>
        </is>
      </c>
      <c r="AE215" s="1074" t="n">
        <v>30</v>
      </c>
      <c r="AF215" s="1074" t="inlineStr">
        <is>
          <t>刘希子</t>
        </is>
      </c>
      <c r="AG215" s="1074" t="inlineStr">
        <is>
          <t>02彩虹桥</t>
        </is>
      </c>
      <c r="AH215" s="1074" t="inlineStr">
        <is>
          <t>10:20-12:30</t>
        </is>
      </c>
      <c r="AI215" s="1074" t="inlineStr">
        <is>
          <t>潜能班</t>
        </is>
      </c>
      <c r="AJ215" s="1074" t="inlineStr">
        <is>
          <t>零期</t>
        </is>
      </c>
      <c r="AK215" s="1074" t="inlineStr">
        <is>
          <t>在读</t>
        </is>
      </c>
      <c r="AL215" s="1074" t="inlineStr">
        <is>
          <t>-</t>
        </is>
      </c>
      <c r="AM215" s="1074" t="inlineStr">
        <is>
          <t>是</t>
        </is>
      </c>
      <c r="AN215" s="1074" t="inlineStr">
        <is>
          <t>是</t>
        </is>
      </c>
      <c r="AO215" s="1074" t="inlineStr">
        <is>
          <t>否</t>
        </is>
      </c>
      <c r="AP215" s="1074" t="inlineStr">
        <is>
          <t>是</t>
        </is>
      </c>
      <c r="AQ215" s="1074" t="n"/>
      <c r="AR215" s="1074" t="inlineStr">
        <is>
          <t>S</t>
        </is>
      </c>
      <c r="AS215" s="1074" t="inlineStr">
        <is>
          <t>之前咨询过正价课，先看效果</t>
        </is>
      </c>
      <c r="AT215" s="311" t="n"/>
    </row>
    <row r="216" ht="26.25" customFormat="1" customHeight="1" s="366">
      <c r="A216" s="1074" t="inlineStr">
        <is>
          <t>新宝利</t>
        </is>
      </c>
      <c r="B216" s="1074" t="inlineStr">
        <is>
          <t>4739025925</t>
        </is>
      </c>
      <c r="C216" s="1074" t="inlineStr">
        <is>
          <t>陈韵蓉</t>
        </is>
      </c>
      <c r="D216" s="1074" t="inlineStr">
        <is>
          <t>林志豪01</t>
        </is>
      </c>
      <c r="E216" s="1074" t="inlineStr">
        <is>
          <t>纯拉新</t>
        </is>
      </c>
      <c r="F216" s="1074" t="n"/>
      <c r="G216" s="1074" t="n"/>
      <c r="H216" s="1074" t="inlineStr">
        <is>
          <t>退费</t>
        </is>
      </c>
      <c r="I216" s="1074" t="inlineStr">
        <is>
          <t>-</t>
        </is>
      </c>
      <c r="J216" s="1074" t="inlineStr">
        <is>
          <t>5111034</t>
        </is>
      </c>
      <c r="K216" s="1074" t="inlineStr">
        <is>
          <t>校内成绩</t>
        </is>
      </c>
      <c r="L216" s="1074" t="n">
        <v>64</v>
      </c>
      <c r="M216" s="1074" t="n">
        <v>85</v>
      </c>
      <c r="N216" s="1074" t="inlineStr">
        <is>
          <t>田雨涵01</t>
        </is>
      </c>
      <c r="O216" s="1074" t="inlineStr">
        <is>
          <t>教室4</t>
        </is>
      </c>
      <c r="P216" s="1074" t="inlineStr">
        <is>
          <t>13:20-15:30</t>
        </is>
      </c>
      <c r="Q216" s="1074" t="inlineStr">
        <is>
          <t>潜能班</t>
        </is>
      </c>
      <c r="R216" s="1074" t="inlineStr">
        <is>
          <t>二期</t>
        </is>
      </c>
      <c r="S216" s="1074" t="inlineStr">
        <is>
          <t>课前退</t>
        </is>
      </c>
      <c r="T216" s="1074" t="inlineStr">
        <is>
          <t>-</t>
        </is>
      </c>
      <c r="U216" s="1074" t="inlineStr">
        <is>
          <t>5230747</t>
        </is>
      </c>
      <c r="V216" s="1074" t="n">
        <v>0</v>
      </c>
      <c r="W216" s="1074" t="inlineStr">
        <is>
          <t>陈南05</t>
        </is>
      </c>
      <c r="X216" s="1074" t="inlineStr">
        <is>
          <t>教室3</t>
        </is>
      </c>
      <c r="Y216" s="1074" t="inlineStr">
        <is>
          <t>10:20-12:30</t>
        </is>
      </c>
      <c r="Z216" s="1074" t="inlineStr">
        <is>
          <t>潜能班</t>
        </is>
      </c>
      <c r="AA216" s="1074" t="inlineStr">
        <is>
          <t>三期</t>
        </is>
      </c>
      <c r="AB216" s="1074" t="inlineStr">
        <is>
          <t>课前退</t>
        </is>
      </c>
      <c r="AC216" s="1074" t="inlineStr">
        <is>
          <t>-</t>
        </is>
      </c>
      <c r="AD216" s="1074" t="inlineStr">
        <is>
          <t>5230821</t>
        </is>
      </c>
      <c r="AE216" s="1074" t="n">
        <v>0</v>
      </c>
      <c r="AF216" s="1074" t="inlineStr">
        <is>
          <t>肖锐03</t>
        </is>
      </c>
      <c r="AG216" s="1074" t="inlineStr">
        <is>
          <t>教室3</t>
        </is>
      </c>
      <c r="AH216" s="1074" t="inlineStr">
        <is>
          <t>15:50-18:00</t>
        </is>
      </c>
      <c r="AI216" s="1074" t="inlineStr">
        <is>
          <t>潜能班</t>
        </is>
      </c>
      <c r="AJ216" s="1074" t="inlineStr">
        <is>
          <t>三期</t>
        </is>
      </c>
      <c r="AK216" s="1074" t="inlineStr">
        <is>
          <t>课前退</t>
        </is>
      </c>
      <c r="AL216" s="1074" t="inlineStr">
        <is>
          <t>-</t>
        </is>
      </c>
      <c r="AM216" s="1074" t="n"/>
      <c r="AN216" s="1074" t="n"/>
      <c r="AO216" s="1074" t="n"/>
      <c r="AP216" s="1074" t="n"/>
      <c r="AQ216" s="1074" t="n"/>
      <c r="AR216" s="1074" t="inlineStr">
        <is>
          <t>C</t>
        </is>
      </c>
      <c r="AS216" s="1074" t="inlineStr">
        <is>
          <t>准备退费</t>
        </is>
      </c>
      <c r="AT216" s="311" t="n"/>
    </row>
    <row r="217" ht="26.25" customFormat="1" customHeight="1" s="366">
      <c r="A217" s="1074" t="inlineStr">
        <is>
          <t>新宝利</t>
        </is>
      </c>
      <c r="B217" s="1074" t="inlineStr">
        <is>
          <t>2922308038</t>
        </is>
      </c>
      <c r="C217" s="1074" t="inlineStr">
        <is>
          <t>刘达谦</t>
        </is>
      </c>
      <c r="D217" s="1074" t="inlineStr">
        <is>
          <t>杨林33</t>
        </is>
      </c>
      <c r="E217" s="1074" t="inlineStr">
        <is>
          <t>纯拉新</t>
        </is>
      </c>
      <c r="F217" s="1074" t="n"/>
      <c r="G217" s="1074" t="n"/>
      <c r="H217" s="1074" t="inlineStr">
        <is>
          <t>在读</t>
        </is>
      </c>
      <c r="I217" s="1074" t="inlineStr">
        <is>
          <t>一期</t>
        </is>
      </c>
      <c r="J217" s="1074" t="inlineStr">
        <is>
          <t>5230732</t>
        </is>
      </c>
      <c r="K217" s="1074" t="inlineStr">
        <is>
          <t>校内成绩</t>
        </is>
      </c>
      <c r="L217" s="1074" t="n">
        <v>72</v>
      </c>
      <c r="M217" s="1074" t="n">
        <v>90</v>
      </c>
      <c r="N217" s="1074" t="inlineStr">
        <is>
          <t>何咏04</t>
        </is>
      </c>
      <c r="O217" s="1074" t="inlineStr">
        <is>
          <t>教室3</t>
        </is>
      </c>
      <c r="P217" s="1074" t="inlineStr">
        <is>
          <t>10:30-12:40</t>
        </is>
      </c>
      <c r="Q217" s="1074" t="inlineStr">
        <is>
          <t>启能班</t>
        </is>
      </c>
      <c r="R217" s="1074" t="inlineStr">
        <is>
          <t>一期</t>
        </is>
      </c>
      <c r="S217" s="1074" t="inlineStr">
        <is>
          <t>在读</t>
        </is>
      </c>
      <c r="T217" s="1074" t="inlineStr">
        <is>
          <t>-</t>
        </is>
      </c>
      <c r="U217" s="1074" t="inlineStr">
        <is>
          <t>5170706</t>
        </is>
      </c>
      <c r="V217" s="1074" t="n"/>
      <c r="W217" s="1074" t="inlineStr">
        <is>
          <t>李润</t>
        </is>
      </c>
      <c r="X217" s="1074" t="inlineStr">
        <is>
          <t>教室3</t>
        </is>
      </c>
      <c r="Y217" s="1074" t="inlineStr">
        <is>
          <t>13:20-15:30</t>
        </is>
      </c>
      <c r="Z217" s="1074" t="inlineStr">
        <is>
          <t>潜能班</t>
        </is>
      </c>
      <c r="AA217" s="1074" t="inlineStr">
        <is>
          <t>一期</t>
        </is>
      </c>
      <c r="AB217" s="1074" t="inlineStr">
        <is>
          <t>在读</t>
        </is>
      </c>
      <c r="AC217" s="1074" t="inlineStr">
        <is>
          <t>-</t>
        </is>
      </c>
      <c r="AD217" s="1074" t="inlineStr">
        <is>
          <t>3132899</t>
        </is>
      </c>
      <c r="AE217" s="1074" t="n"/>
      <c r="AF217" s="1074" t="inlineStr">
        <is>
          <t>肖锐03</t>
        </is>
      </c>
      <c r="AG217" s="1074" t="inlineStr">
        <is>
          <t>教室3</t>
        </is>
      </c>
      <c r="AH217" s="1074" t="inlineStr">
        <is>
          <t>07:50-10:00</t>
        </is>
      </c>
      <c r="AI217" s="1074" t="inlineStr">
        <is>
          <t>潜能班</t>
        </is>
      </c>
      <c r="AJ217" s="1074" t="inlineStr">
        <is>
          <t>一期</t>
        </is>
      </c>
      <c r="AK217" s="1074" t="inlineStr">
        <is>
          <t>在读</t>
        </is>
      </c>
      <c r="AL217" s="1074" t="inlineStr">
        <is>
          <t>-</t>
        </is>
      </c>
      <c r="AM217" s="1074" t="n"/>
      <c r="AN217" s="1074" t="n"/>
      <c r="AO217" s="1074" t="n"/>
      <c r="AP217" s="1074" t="n"/>
      <c r="AQ217" s="1074" t="n"/>
      <c r="AR217" s="1074" t="inlineStr">
        <is>
          <t>A</t>
        </is>
      </c>
      <c r="AS217" s="1074" t="inlineStr">
        <is>
          <t>许玮庭转介绍，沟通不算多，支付比较爽快，新东方长期在读，应该支付能力OK的</t>
        </is>
      </c>
      <c r="AT217" s="311" t="n"/>
    </row>
    <row r="218" ht="26.25" customFormat="1" customHeight="1" s="366">
      <c r="A218" s="1074" t="inlineStr">
        <is>
          <t>天成大厦</t>
        </is>
      </c>
      <c r="B218" s="1074" t="inlineStr">
        <is>
          <t>4060101914</t>
        </is>
      </c>
      <c r="C218" s="1074" t="inlineStr">
        <is>
          <t>刘丛歌</t>
        </is>
      </c>
      <c r="D218" s="1074" t="inlineStr">
        <is>
          <t>陈亮延</t>
        </is>
      </c>
      <c r="E218" s="1074" t="inlineStr">
        <is>
          <t>断报老生</t>
        </is>
      </c>
      <c r="F218" s="1074" t="n"/>
      <c r="G218" s="1074" t="n"/>
      <c r="H218" s="1074" t="inlineStr">
        <is>
          <t>在读</t>
        </is>
      </c>
      <c r="I218" s="1074" t="inlineStr">
        <is>
          <t>一期</t>
        </is>
      </c>
      <c r="J218" s="1074" t="inlineStr">
        <is>
          <t>5230775</t>
        </is>
      </c>
      <c r="K218" s="1074" t="inlineStr">
        <is>
          <t>报前测成绩</t>
        </is>
      </c>
      <c r="L218" s="1074" t="n">
        <v>100</v>
      </c>
      <c r="M218" s="1074" t="inlineStr">
        <is>
          <t>-</t>
        </is>
      </c>
      <c r="N218" s="1074" t="inlineStr">
        <is>
          <t>陈中帅</t>
        </is>
      </c>
      <c r="O218" s="1074" t="inlineStr">
        <is>
          <t>03品尚</t>
        </is>
      </c>
      <c r="P218" s="1074" t="inlineStr">
        <is>
          <t>10:20-12:30</t>
        </is>
      </c>
      <c r="Q218" s="1074" t="inlineStr">
        <is>
          <t>潜能班</t>
        </is>
      </c>
      <c r="R218" s="1074" t="inlineStr">
        <is>
          <t>一期</t>
        </is>
      </c>
      <c r="S218" s="1074" t="inlineStr">
        <is>
          <t>在读</t>
        </is>
      </c>
      <c r="T218" s="1074" t="inlineStr">
        <is>
          <t>-</t>
        </is>
      </c>
      <c r="U218" s="1074" t="inlineStr">
        <is>
          <t>3132834</t>
        </is>
      </c>
      <c r="V218" s="1074" t="n">
        <v>40</v>
      </c>
      <c r="W218" s="1074" t="inlineStr">
        <is>
          <t>李润</t>
        </is>
      </c>
      <c r="X218" s="1074" t="inlineStr">
        <is>
          <t>03品尚</t>
        </is>
      </c>
      <c r="Y218" s="1074" t="inlineStr">
        <is>
          <t>07:50-10:00</t>
        </is>
      </c>
      <c r="Z218" s="1074" t="inlineStr">
        <is>
          <t>潜能班</t>
        </is>
      </c>
      <c r="AA218" s="1074" t="inlineStr">
        <is>
          <t>一期</t>
        </is>
      </c>
      <c r="AB218" s="1074" t="inlineStr">
        <is>
          <t>在读</t>
        </is>
      </c>
      <c r="AC218" s="1074" t="inlineStr">
        <is>
          <t>-</t>
        </is>
      </c>
      <c r="AD218" s="1074" t="inlineStr">
        <is>
          <t>5230783</t>
        </is>
      </c>
      <c r="AE218" s="1074" t="n">
        <v>39</v>
      </c>
      <c r="AF218" s="1074" t="inlineStr">
        <is>
          <t>刘希子</t>
        </is>
      </c>
      <c r="AG218" s="1074" t="inlineStr">
        <is>
          <t>03品尚</t>
        </is>
      </c>
      <c r="AH218" s="1074" t="inlineStr">
        <is>
          <t>13:20-15:30</t>
        </is>
      </c>
      <c r="AI218" s="1074" t="inlineStr">
        <is>
          <t>潜能班</t>
        </is>
      </c>
      <c r="AJ218" s="1074" t="inlineStr">
        <is>
          <t>一期</t>
        </is>
      </c>
      <c r="AK218" s="1074" t="inlineStr">
        <is>
          <t>在读</t>
        </is>
      </c>
      <c r="AL218" s="1074" t="inlineStr">
        <is>
          <t>-</t>
        </is>
      </c>
      <c r="AM218" s="1074" t="n"/>
      <c r="AN218" s="1074" t="n"/>
      <c r="AO218" s="1074" t="n"/>
      <c r="AP218" s="1074" t="n"/>
      <c r="AQ218" s="1074" t="n"/>
      <c r="AR218" s="1074" t="inlineStr">
        <is>
          <t>A</t>
        </is>
      </c>
      <c r="AS218" s="1074" t="inlineStr">
        <is>
          <t>转介绍学员，家长有提前规划意识</t>
        </is>
      </c>
      <c r="AT218" s="311" t="n"/>
    </row>
    <row r="219" ht="26.25" customFormat="1" customHeight="1" s="366">
      <c r="A219" s="1074" t="inlineStr">
        <is>
          <t>新宝利</t>
        </is>
      </c>
      <c r="B219" s="1074" t="inlineStr">
        <is>
          <t>2774776683</t>
        </is>
      </c>
      <c r="C219" s="1074" t="inlineStr">
        <is>
          <t>庄梓轩</t>
        </is>
      </c>
      <c r="D219" s="1074" t="inlineStr">
        <is>
          <t>苏丽婷</t>
        </is>
      </c>
      <c r="E219" s="1074" t="inlineStr">
        <is>
          <t>纯拉新</t>
        </is>
      </c>
      <c r="F219" s="1074" t="n"/>
      <c r="G219" s="1074" t="n"/>
      <c r="H219" s="1074" t="inlineStr">
        <is>
          <t>在读</t>
        </is>
      </c>
      <c r="I219" s="1074" t="inlineStr">
        <is>
          <t>二期</t>
        </is>
      </c>
      <c r="J219" s="1074" t="inlineStr">
        <is>
          <t>4513341</t>
        </is>
      </c>
      <c r="K219" s="1074" t="inlineStr">
        <is>
          <t>校内成绩</t>
        </is>
      </c>
      <c r="L219" s="1074" t="n">
        <v>87</v>
      </c>
      <c r="M219" s="1074" t="n">
        <v>97</v>
      </c>
      <c r="N219" s="1074" t="inlineStr">
        <is>
          <t>陈中帅</t>
        </is>
      </c>
      <c r="O219" s="1074" t="inlineStr">
        <is>
          <t>教室3</t>
        </is>
      </c>
      <c r="P219" s="1074" t="inlineStr">
        <is>
          <t>15:50-18:00</t>
        </is>
      </c>
      <c r="Q219" s="1074" t="inlineStr">
        <is>
          <t>启能班</t>
        </is>
      </c>
      <c r="R219" s="1074" t="inlineStr">
        <is>
          <t>二期</t>
        </is>
      </c>
      <c r="S219" s="1074" t="inlineStr">
        <is>
          <t>在读</t>
        </is>
      </c>
      <c r="T219" s="1074" t="inlineStr">
        <is>
          <t>-</t>
        </is>
      </c>
      <c r="U219" s="1074" t="inlineStr">
        <is>
          <t>3132846</t>
        </is>
      </c>
      <c r="V219" s="1074" t="n">
        <v>0</v>
      </c>
      <c r="W219" s="1074" t="inlineStr">
        <is>
          <t>黄铭怡</t>
        </is>
      </c>
      <c r="X219" s="1074" t="inlineStr">
        <is>
          <t>教室3</t>
        </is>
      </c>
      <c r="Y219" s="1074" t="inlineStr">
        <is>
          <t>13:20-15:30</t>
        </is>
      </c>
      <c r="Z219" s="1074" t="inlineStr">
        <is>
          <t>潜能班</t>
        </is>
      </c>
      <c r="AA219" s="1074" t="inlineStr">
        <is>
          <t>二期</t>
        </is>
      </c>
      <c r="AB219" s="1074" t="inlineStr">
        <is>
          <t>在读</t>
        </is>
      </c>
      <c r="AC219" s="1074" t="inlineStr">
        <is>
          <t>-</t>
        </is>
      </c>
      <c r="AD219" s="1074" t="inlineStr">
        <is>
          <t>5230738</t>
        </is>
      </c>
      <c r="AE219" s="1074" t="n">
        <v>0</v>
      </c>
      <c r="AF219" s="1074" t="inlineStr">
        <is>
          <t>高心怡04</t>
        </is>
      </c>
      <c r="AG219" s="1074" t="inlineStr">
        <is>
          <t>教室3</t>
        </is>
      </c>
      <c r="AH219" s="1074" t="inlineStr">
        <is>
          <t>10:20-12:30</t>
        </is>
      </c>
      <c r="AI219" s="1074" t="inlineStr">
        <is>
          <t>潜能班</t>
        </is>
      </c>
      <c r="AJ219" s="1074" t="inlineStr">
        <is>
          <t>二期</t>
        </is>
      </c>
      <c r="AK219" s="1074" t="inlineStr">
        <is>
          <t>在读</t>
        </is>
      </c>
      <c r="AL219" s="1074" t="inlineStr">
        <is>
          <t>-</t>
        </is>
      </c>
      <c r="AM219" s="1074" t="n"/>
      <c r="AN219" s="1074" t="n"/>
      <c r="AO219" s="1074" t="n"/>
      <c r="AP219" s="1074" t="n"/>
      <c r="AQ219" s="1074" t="n"/>
      <c r="AR219" s="1074" t="inlineStr">
        <is>
          <t>A</t>
        </is>
      </c>
      <c r="AS219" s="1074" t="inlineStr">
        <is>
          <t>市场地推资源，妈妈比较好沟通</t>
        </is>
      </c>
      <c r="AT219" s="311" t="n"/>
    </row>
    <row r="220" ht="26.25" customFormat="1" customHeight="1" s="366">
      <c r="A220" s="1074" t="inlineStr">
        <is>
          <t>新宝利</t>
        </is>
      </c>
      <c r="B220" s="1074" t="inlineStr">
        <is>
          <t>2516986556</t>
        </is>
      </c>
      <c r="C220" s="1074" t="inlineStr">
        <is>
          <t>黄宝莹</t>
        </is>
      </c>
      <c r="D220" s="1074" t="inlineStr">
        <is>
          <t>沈思浩</t>
        </is>
      </c>
      <c r="E220" s="1074" t="inlineStr">
        <is>
          <t>纯拉新</t>
        </is>
      </c>
      <c r="F220" s="1074" t="n"/>
      <c r="G220" s="1074" t="n"/>
      <c r="H220" s="1074" t="inlineStr">
        <is>
          <t>在读</t>
        </is>
      </c>
      <c r="I220" s="1074" t="inlineStr">
        <is>
          <t>一期/二期</t>
        </is>
      </c>
      <c r="J220" s="1074" t="inlineStr">
        <is>
          <t>4513341</t>
        </is>
      </c>
      <c r="K220" s="1074" t="inlineStr">
        <is>
          <t>校内成绩</t>
        </is>
      </c>
      <c r="L220" s="1074" t="n">
        <v>75</v>
      </c>
      <c r="M220" s="1074" t="n">
        <v>93</v>
      </c>
      <c r="N220" s="1074" t="inlineStr">
        <is>
          <t>陈中帅</t>
        </is>
      </c>
      <c r="O220" s="1074" t="inlineStr">
        <is>
          <t>教室3</t>
        </is>
      </c>
      <c r="P220" s="1074" t="inlineStr">
        <is>
          <t>15:50-18:00</t>
        </is>
      </c>
      <c r="Q220" s="1074" t="inlineStr">
        <is>
          <t>启能班</t>
        </is>
      </c>
      <c r="R220" s="1074" t="inlineStr">
        <is>
          <t>二期</t>
        </is>
      </c>
      <c r="S220" s="1074" t="inlineStr">
        <is>
          <t>在读</t>
        </is>
      </c>
      <c r="T220" s="1074" t="inlineStr">
        <is>
          <t>-</t>
        </is>
      </c>
      <c r="U220" s="1074" t="inlineStr">
        <is>
          <t>5170706</t>
        </is>
      </c>
      <c r="V220" s="1074" t="n"/>
      <c r="W220" s="1074" t="inlineStr">
        <is>
          <t>李润</t>
        </is>
      </c>
      <c r="X220" s="1074" t="inlineStr">
        <is>
          <t>教室3</t>
        </is>
      </c>
      <c r="Y220" s="1074" t="inlineStr">
        <is>
          <t>13:20-15:30</t>
        </is>
      </c>
      <c r="Z220" s="1074" t="inlineStr">
        <is>
          <t>潜能班</t>
        </is>
      </c>
      <c r="AA220" s="1074" t="inlineStr">
        <is>
          <t>一期</t>
        </is>
      </c>
      <c r="AB220" s="1074" t="inlineStr">
        <is>
          <t>在读</t>
        </is>
      </c>
      <c r="AC220" s="1074" t="inlineStr">
        <is>
          <t>-</t>
        </is>
      </c>
      <c r="AD220" s="1074" t="inlineStr">
        <is>
          <t>5230738</t>
        </is>
      </c>
      <c r="AE220" s="1074" t="n"/>
      <c r="AF220" s="1074" t="inlineStr">
        <is>
          <t>高心怡04</t>
        </is>
      </c>
      <c r="AG220" s="1074" t="inlineStr">
        <is>
          <t>教室3</t>
        </is>
      </c>
      <c r="AH220" s="1074" t="inlineStr">
        <is>
          <t>10:20-12:30</t>
        </is>
      </c>
      <c r="AI220" s="1074" t="inlineStr">
        <is>
          <t>潜能班</t>
        </is>
      </c>
      <c r="AJ220" s="1074" t="inlineStr">
        <is>
          <t>二期</t>
        </is>
      </c>
      <c r="AK220" s="1074" t="inlineStr">
        <is>
          <t>在读</t>
        </is>
      </c>
      <c r="AL220" s="1074" t="inlineStr">
        <is>
          <t>-</t>
        </is>
      </c>
      <c r="AM220" s="1074" t="n"/>
      <c r="AN220" s="1074" t="n"/>
      <c r="AO220" s="1074" t="n"/>
      <c r="AP220" s="1074" t="n"/>
      <c r="AQ220" s="1074" t="n"/>
      <c r="AR220" s="1074" t="inlineStr">
        <is>
          <t>S</t>
        </is>
      </c>
      <c r="AS220" s="1074" t="inlineStr">
        <is>
          <t>家长意向度较高也推荐了两位妈妈过来邹子慧，之前问过暑假课，看孩子喜不喜欢老师</t>
        </is>
      </c>
      <c r="AT220" s="311" t="n"/>
    </row>
    <row r="221" ht="26.25" customFormat="1" customHeight="1" s="366">
      <c r="A221" s="1074" t="inlineStr">
        <is>
          <t>新宝利</t>
        </is>
      </c>
      <c r="B221" s="1074" t="inlineStr">
        <is>
          <t>2500666341</t>
        </is>
      </c>
      <c r="C221" s="1074" t="inlineStr">
        <is>
          <t>吴俊希</t>
        </is>
      </c>
      <c r="D221" s="1074" t="inlineStr">
        <is>
          <t>张敏烨</t>
        </is>
      </c>
      <c r="E221" s="1074" t="inlineStr">
        <is>
          <t>纯拉新</t>
        </is>
      </c>
      <c r="F221" s="1074" t="n"/>
      <c r="G221" s="1074" t="n"/>
      <c r="H221" s="1074" t="inlineStr">
        <is>
          <t>在读</t>
        </is>
      </c>
      <c r="I221" s="1074" t="inlineStr">
        <is>
          <t>一期</t>
        </is>
      </c>
      <c r="J221" s="1074" t="inlineStr">
        <is>
          <t>5230732</t>
        </is>
      </c>
      <c r="K221" s="1074" t="inlineStr">
        <is>
          <t>报前测成绩</t>
        </is>
      </c>
      <c r="L221" s="1074" t="n">
        <v>99</v>
      </c>
      <c r="M221" s="1074" t="inlineStr">
        <is>
          <t>-</t>
        </is>
      </c>
      <c r="N221" s="1074" t="inlineStr">
        <is>
          <t>何咏04</t>
        </is>
      </c>
      <c r="O221" s="1074" t="inlineStr">
        <is>
          <t>教室3</t>
        </is>
      </c>
      <c r="P221" s="1074" t="inlineStr">
        <is>
          <t>10:30-12:40</t>
        </is>
      </c>
      <c r="Q221" s="1074" t="inlineStr">
        <is>
          <t>启能班</t>
        </is>
      </c>
      <c r="R221" s="1074" t="inlineStr">
        <is>
          <t>一期</t>
        </is>
      </c>
      <c r="S221" s="1074" t="inlineStr">
        <is>
          <t>在读</t>
        </is>
      </c>
      <c r="T221" s="1074" t="inlineStr">
        <is>
          <t>-</t>
        </is>
      </c>
      <c r="U221" s="1074" t="inlineStr">
        <is>
          <t>5170706</t>
        </is>
      </c>
      <c r="V221" s="1074" t="n">
        <v>34</v>
      </c>
      <c r="W221" s="1074" t="inlineStr">
        <is>
          <t>李润</t>
        </is>
      </c>
      <c r="X221" s="1074" t="inlineStr">
        <is>
          <t>教室3</t>
        </is>
      </c>
      <c r="Y221" s="1074" t="inlineStr">
        <is>
          <t>13:20-15:30</t>
        </is>
      </c>
      <c r="Z221" s="1074" t="inlineStr">
        <is>
          <t>潜能班</t>
        </is>
      </c>
      <c r="AA221" s="1074" t="inlineStr">
        <is>
          <t>一期</t>
        </is>
      </c>
      <c r="AB221" s="1074" t="inlineStr">
        <is>
          <t>在读</t>
        </is>
      </c>
      <c r="AC221" s="1074" t="inlineStr">
        <is>
          <t>-</t>
        </is>
      </c>
      <c r="AD221" s="1074" t="inlineStr">
        <is>
          <t>3132899</t>
        </is>
      </c>
      <c r="AE221" s="1074" t="n">
        <v>38</v>
      </c>
      <c r="AF221" s="1074" t="inlineStr">
        <is>
          <t>肖锐03</t>
        </is>
      </c>
      <c r="AG221" s="1074" t="inlineStr">
        <is>
          <t>教室3</t>
        </is>
      </c>
      <c r="AH221" s="1074" t="inlineStr">
        <is>
          <t>07:50-10:00</t>
        </is>
      </c>
      <c r="AI221" s="1074" t="inlineStr">
        <is>
          <t>潜能班</t>
        </is>
      </c>
      <c r="AJ221" s="1074" t="inlineStr">
        <is>
          <t>一期</t>
        </is>
      </c>
      <c r="AK221" s="1074" t="inlineStr">
        <is>
          <t>在读</t>
        </is>
      </c>
      <c r="AL221" s="1074" t="inlineStr">
        <is>
          <t>-</t>
        </is>
      </c>
      <c r="AM221" s="1074" t="n"/>
      <c r="AN221" s="1074" t="n"/>
      <c r="AO221" s="1074" t="n"/>
      <c r="AP221" s="1074" t="n"/>
      <c r="AQ221" s="1074" t="n"/>
      <c r="AR221" s="1074" t="inlineStr">
        <is>
          <t>A</t>
        </is>
      </c>
      <c r="AS221" s="1074" t="inlineStr">
        <is>
          <t>数学是想长期学的，语文有上线上课，</t>
        </is>
      </c>
      <c r="AT221" s="311" t="n"/>
    </row>
    <row r="222" ht="26.25" customFormat="1" customHeight="1" s="366">
      <c r="A222" s="1074" t="inlineStr">
        <is>
          <t>新宝利</t>
        </is>
      </c>
      <c r="B222" s="1074" t="inlineStr">
        <is>
          <t>2553608227</t>
        </is>
      </c>
      <c r="C222" s="1074" t="inlineStr">
        <is>
          <t>陈泊儒</t>
        </is>
      </c>
      <c r="D222" s="1074" t="inlineStr">
        <is>
          <t>张敏烨</t>
        </is>
      </c>
      <c r="E222" s="1074" t="inlineStr">
        <is>
          <t>新生转介绍</t>
        </is>
      </c>
      <c r="F222" s="1074" t="n"/>
      <c r="G222" s="1074" t="inlineStr">
        <is>
          <t>吴俊希</t>
        </is>
      </c>
      <c r="H222" s="1074" t="inlineStr">
        <is>
          <t>在读</t>
        </is>
      </c>
      <c r="I222" s="1074" t="inlineStr">
        <is>
          <t>一期</t>
        </is>
      </c>
      <c r="J222" s="1074" t="inlineStr">
        <is>
          <t>5230732</t>
        </is>
      </c>
      <c r="K222" s="1074" t="inlineStr">
        <is>
          <t>报前测成绩</t>
        </is>
      </c>
      <c r="L222" s="1074" t="n">
        <v>73</v>
      </c>
      <c r="M222" s="1074" t="inlineStr">
        <is>
          <t>-</t>
        </is>
      </c>
      <c r="N222" s="1074" t="inlineStr">
        <is>
          <t>何咏04</t>
        </is>
      </c>
      <c r="O222" s="1074" t="inlineStr">
        <is>
          <t>教室3</t>
        </is>
      </c>
      <c r="P222" s="1074" t="inlineStr">
        <is>
          <t>10:30-12:40</t>
        </is>
      </c>
      <c r="Q222" s="1074" t="inlineStr">
        <is>
          <t>启能班</t>
        </is>
      </c>
      <c r="R222" s="1074" t="inlineStr">
        <is>
          <t>一期</t>
        </is>
      </c>
      <c r="S222" s="1074" t="inlineStr">
        <is>
          <t>在读</t>
        </is>
      </c>
      <c r="T222" s="1074" t="inlineStr">
        <is>
          <t>-</t>
        </is>
      </c>
      <c r="U222" s="1074" t="inlineStr">
        <is>
          <t>5170706</t>
        </is>
      </c>
      <c r="V222" s="1074" t="n">
        <v>33</v>
      </c>
      <c r="W222" s="1074" t="inlineStr">
        <is>
          <t>李润</t>
        </is>
      </c>
      <c r="X222" s="1074" t="inlineStr">
        <is>
          <t>教室3</t>
        </is>
      </c>
      <c r="Y222" s="1074" t="inlineStr">
        <is>
          <t>13:20-15:30</t>
        </is>
      </c>
      <c r="Z222" s="1074" t="inlineStr">
        <is>
          <t>潜能班</t>
        </is>
      </c>
      <c r="AA222" s="1074" t="inlineStr">
        <is>
          <t>一期</t>
        </is>
      </c>
      <c r="AB222" s="1074" t="inlineStr">
        <is>
          <t>在读</t>
        </is>
      </c>
      <c r="AC222" s="1074" t="inlineStr">
        <is>
          <t>-</t>
        </is>
      </c>
      <c r="AD222" s="1074" t="inlineStr">
        <is>
          <t>3132899</t>
        </is>
      </c>
      <c r="AE222" s="1074" t="n">
        <v>29.5</v>
      </c>
      <c r="AF222" s="1074" t="inlineStr">
        <is>
          <t>肖锐03</t>
        </is>
      </c>
      <c r="AG222" s="1074" t="inlineStr">
        <is>
          <t>教室3</t>
        </is>
      </c>
      <c r="AH222" s="1074" t="inlineStr">
        <is>
          <t>07:50-10:00</t>
        </is>
      </c>
      <c r="AI222" s="1074" t="inlineStr">
        <is>
          <t>潜能班</t>
        </is>
      </c>
      <c r="AJ222" s="1074" t="inlineStr">
        <is>
          <t>一期</t>
        </is>
      </c>
      <c r="AK222" s="1074" t="inlineStr">
        <is>
          <t>在读</t>
        </is>
      </c>
      <c r="AL222" s="1074" t="inlineStr">
        <is>
          <t>-</t>
        </is>
      </c>
      <c r="AM222" s="1074" t="n"/>
      <c r="AN222" s="1074" t="n"/>
      <c r="AO222" s="1074" t="n"/>
      <c r="AP222" s="1074" t="n"/>
      <c r="AQ222" s="1074" t="n"/>
      <c r="AR222" s="1074" t="inlineStr">
        <is>
          <t>B</t>
        </is>
      </c>
      <c r="AS222" s="1074" t="inlineStr">
        <is>
          <t>未咨询过秋季课程，没有校外补习经历</t>
        </is>
      </c>
      <c r="AT222" s="311" t="n"/>
    </row>
    <row r="223" ht="26.25" customFormat="1" customHeight="1" s="366">
      <c r="A223" s="1074" t="inlineStr">
        <is>
          <t>同创汇</t>
        </is>
      </c>
      <c r="B223" s="1074" t="inlineStr">
        <is>
          <t>2451166246</t>
        </is>
      </c>
      <c r="C223" s="1074" t="inlineStr">
        <is>
          <t>孟庆宇</t>
        </is>
      </c>
      <c r="D223" s="1074" t="inlineStr">
        <is>
          <t>王丽</t>
        </is>
      </c>
      <c r="E223" s="1074" t="inlineStr">
        <is>
          <t>纯拉新</t>
        </is>
      </c>
      <c r="F223" s="1074" t="n"/>
      <c r="G223" s="1074" t="n"/>
      <c r="H223" s="1074" t="inlineStr">
        <is>
          <t>在读</t>
        </is>
      </c>
      <c r="I223" s="1074" t="inlineStr">
        <is>
          <t>零期</t>
        </is>
      </c>
      <c r="J223" s="1074" t="inlineStr">
        <is>
          <t>5230814</t>
        </is>
      </c>
      <c r="K223" s="1074" t="inlineStr">
        <is>
          <t>校内成绩</t>
        </is>
      </c>
      <c r="L223" s="1074" t="n">
        <v>72</v>
      </c>
      <c r="M223" s="1074" t="n">
        <v>90</v>
      </c>
      <c r="N223" s="1074" t="inlineStr">
        <is>
          <t>陈中帅</t>
        </is>
      </c>
      <c r="O223" s="1074" t="inlineStr">
        <is>
          <t>02彩虹桥</t>
        </is>
      </c>
      <c r="P223" s="1074" t="inlineStr">
        <is>
          <t>07:50-10:00</t>
        </is>
      </c>
      <c r="Q223" s="1074" t="inlineStr">
        <is>
          <t>启能班</t>
        </is>
      </c>
      <c r="R223" s="1074" t="inlineStr">
        <is>
          <t>零期</t>
        </is>
      </c>
      <c r="S223" s="1074" t="inlineStr">
        <is>
          <t>在读</t>
        </is>
      </c>
      <c r="T223" s="1074" t="inlineStr">
        <is>
          <t>-</t>
        </is>
      </c>
      <c r="U223" s="1074" t="inlineStr">
        <is>
          <t>5230722</t>
        </is>
      </c>
      <c r="V223" s="1074" t="n">
        <v>0</v>
      </c>
      <c r="W223" s="1074" t="inlineStr">
        <is>
          <t>李润</t>
        </is>
      </c>
      <c r="X223" s="1074" t="inlineStr">
        <is>
          <t>01智慧林</t>
        </is>
      </c>
      <c r="Y223" s="1074" t="inlineStr">
        <is>
          <t>15:50-18:00</t>
        </is>
      </c>
      <c r="Z223" s="1074" t="inlineStr">
        <is>
          <t>潜能班</t>
        </is>
      </c>
      <c r="AA223" s="1074" t="inlineStr">
        <is>
          <t>零期</t>
        </is>
      </c>
      <c r="AB223" s="1074" t="inlineStr">
        <is>
          <t>在读</t>
        </is>
      </c>
      <c r="AC223" s="1074" t="inlineStr">
        <is>
          <t>-</t>
        </is>
      </c>
      <c r="AD223" s="1074" t="inlineStr">
        <is>
          <t>5230765</t>
        </is>
      </c>
      <c r="AE223" s="1074" t="n">
        <v>0</v>
      </c>
      <c r="AF223" s="1074" t="inlineStr">
        <is>
          <t>刘希子</t>
        </is>
      </c>
      <c r="AG223" s="1074" t="inlineStr">
        <is>
          <t>02彩虹桥</t>
        </is>
      </c>
      <c r="AH223" s="1074" t="inlineStr">
        <is>
          <t>10:20-12:30</t>
        </is>
      </c>
      <c r="AI223" s="1074" t="inlineStr">
        <is>
          <t>潜能班</t>
        </is>
      </c>
      <c r="AJ223" s="1074" t="inlineStr">
        <is>
          <t>零期</t>
        </is>
      </c>
      <c r="AK223" s="1074" t="inlineStr">
        <is>
          <t>在读</t>
        </is>
      </c>
      <c r="AL223" s="1074" t="inlineStr">
        <is>
          <t>-</t>
        </is>
      </c>
      <c r="AM223" s="1074" t="inlineStr">
        <is>
          <t>是</t>
        </is>
      </c>
      <c r="AN223" s="1074" t="inlineStr">
        <is>
          <t>是</t>
        </is>
      </c>
      <c r="AO223" s="1074" t="inlineStr">
        <is>
          <t>是</t>
        </is>
      </c>
      <c r="AP223" s="1074" t="n"/>
      <c r="AQ223" s="1074" t="n"/>
      <c r="AR223" s="1074" t="inlineStr">
        <is>
          <t>A</t>
        </is>
      </c>
      <c r="AS223" s="1074" t="inlineStr">
        <is>
          <t>妈妈对孩子教育重视，成绩挺不错的</t>
        </is>
      </c>
      <c r="AT223" s="311" t="n"/>
    </row>
    <row r="224" ht="26.25" customFormat="1" customHeight="1" s="366">
      <c r="A224" s="1074" t="inlineStr">
        <is>
          <t>新宝利</t>
        </is>
      </c>
      <c r="B224" s="1074" t="inlineStr">
        <is>
          <t>4818318346</t>
        </is>
      </c>
      <c r="C224" s="1074" t="inlineStr">
        <is>
          <t>李柏贤</t>
        </is>
      </c>
      <c r="D224" s="1074" t="inlineStr">
        <is>
          <t>杨林33</t>
        </is>
      </c>
      <c r="E224" s="1074" t="inlineStr">
        <is>
          <t>纯拉新</t>
        </is>
      </c>
      <c r="F224" s="1074" t="n"/>
      <c r="G224" s="1074" t="n"/>
      <c r="H224" s="1074" t="inlineStr">
        <is>
          <t>在读</t>
        </is>
      </c>
      <c r="I224" s="1074" t="inlineStr">
        <is>
          <t>三期</t>
        </is>
      </c>
      <c r="J224" s="1074" t="inlineStr">
        <is>
          <t>5111035</t>
        </is>
      </c>
      <c r="K224" s="1074" t="inlineStr">
        <is>
          <t>校内成绩</t>
        </is>
      </c>
      <c r="L224" s="1074" t="n">
        <v>86</v>
      </c>
      <c r="M224" s="1074" t="n">
        <v>96</v>
      </c>
      <c r="N224" s="1074" t="inlineStr">
        <is>
          <t>何咏04</t>
        </is>
      </c>
      <c r="O224" s="1074" t="inlineStr">
        <is>
          <t>教室2</t>
        </is>
      </c>
      <c r="P224" s="1074" t="inlineStr">
        <is>
          <t>15:50-18:00</t>
        </is>
      </c>
      <c r="Q224" s="1074" t="inlineStr">
        <is>
          <t>启能班</t>
        </is>
      </c>
      <c r="R224" s="1074" t="inlineStr">
        <is>
          <t>三期</t>
        </is>
      </c>
      <c r="S224" s="1074" t="inlineStr">
        <is>
          <t>在读</t>
        </is>
      </c>
      <c r="T224" s="1074" t="inlineStr">
        <is>
          <t>-</t>
        </is>
      </c>
      <c r="U224" s="1074" t="inlineStr">
        <is>
          <t>5170873</t>
        </is>
      </c>
      <c r="V224" s="1074" t="n"/>
      <c r="W224" s="1074" t="inlineStr">
        <is>
          <t>李润</t>
        </is>
      </c>
      <c r="X224" s="1074" t="inlineStr">
        <is>
          <t>教室2</t>
        </is>
      </c>
      <c r="Y224" s="1074" t="inlineStr">
        <is>
          <t>13:20-15:30</t>
        </is>
      </c>
      <c r="Z224" s="1074" t="inlineStr">
        <is>
          <t>潜能班</t>
        </is>
      </c>
      <c r="AA224" s="1074" t="inlineStr">
        <is>
          <t>三期</t>
        </is>
      </c>
      <c r="AB224" s="1074" t="inlineStr">
        <is>
          <t>在读</t>
        </is>
      </c>
      <c r="AC224" s="1074" t="inlineStr">
        <is>
          <t>-</t>
        </is>
      </c>
      <c r="AD224" s="1074" t="inlineStr">
        <is>
          <t>5170871</t>
        </is>
      </c>
      <c r="AE224" s="1074" t="n"/>
      <c r="AF224" s="1074" t="inlineStr">
        <is>
          <t>肖锐03</t>
        </is>
      </c>
      <c r="AG224" s="1074" t="inlineStr">
        <is>
          <t>教室2</t>
        </is>
      </c>
      <c r="AH224" s="1074" t="inlineStr">
        <is>
          <t>10:20-12:30</t>
        </is>
      </c>
      <c r="AI224" s="1074" t="inlineStr">
        <is>
          <t>潜能班</t>
        </is>
      </c>
      <c r="AJ224" s="1074" t="inlineStr">
        <is>
          <t>三期</t>
        </is>
      </c>
      <c r="AK224" s="1074" t="inlineStr">
        <is>
          <t>在读</t>
        </is>
      </c>
      <c r="AL224" s="1074" t="inlineStr">
        <is>
          <t>-</t>
        </is>
      </c>
      <c r="AM224" s="1074" t="n"/>
      <c r="AN224" s="1074" t="n"/>
      <c r="AO224" s="1074" t="n"/>
      <c r="AP224" s="1074" t="n"/>
      <c r="AQ224" s="1074" t="n"/>
      <c r="AR224" s="1074" t="inlineStr">
        <is>
          <t>A</t>
        </is>
      </c>
      <c r="AS224" s="1074" t="inlineStr">
        <is>
          <t>教育理念不错，考虑长期学习，支付能力待定</t>
        </is>
      </c>
      <c r="AT224" s="311" t="n"/>
    </row>
    <row r="225" ht="26.25" customFormat="1" customHeight="1" s="366">
      <c r="A225" s="1074" t="inlineStr">
        <is>
          <t>新宝利</t>
        </is>
      </c>
      <c r="B225" s="1074" t="inlineStr">
        <is>
          <t>2578142359</t>
        </is>
      </c>
      <c r="C225" s="1074" t="inlineStr">
        <is>
          <t>郭艺霖</t>
        </is>
      </c>
      <c r="D225" s="1074" t="inlineStr">
        <is>
          <t>杨林33</t>
        </is>
      </c>
      <c r="E225" s="1074" t="inlineStr">
        <is>
          <t>纯拉新</t>
        </is>
      </c>
      <c r="F225" s="1074" t="n"/>
      <c r="G225" s="1074" t="n"/>
      <c r="H225" s="1074" t="inlineStr">
        <is>
          <t>在读</t>
        </is>
      </c>
      <c r="I225" s="1074" t="inlineStr">
        <is>
          <t>零期</t>
        </is>
      </c>
      <c r="J225" s="1074" t="inlineStr">
        <is>
          <t>3132880</t>
        </is>
      </c>
      <c r="K225" s="1074" t="inlineStr">
        <is>
          <t>校内成绩</t>
        </is>
      </c>
      <c r="L225" s="1074" t="n">
        <v>85</v>
      </c>
      <c r="M225" s="1074" t="n">
        <v>95</v>
      </c>
      <c r="N225" s="1074" t="inlineStr">
        <is>
          <t>陈中帅</t>
        </is>
      </c>
      <c r="O225" s="1074" t="inlineStr">
        <is>
          <t>教室2</t>
        </is>
      </c>
      <c r="P225" s="1074" t="inlineStr">
        <is>
          <t>15:50-18:00</t>
        </is>
      </c>
      <c r="Q225" s="1074" t="inlineStr">
        <is>
          <t>启能班</t>
        </is>
      </c>
      <c r="R225" s="1074" t="inlineStr">
        <is>
          <t>零期</t>
        </is>
      </c>
      <c r="S225" s="1074" t="inlineStr">
        <is>
          <t>在读</t>
        </is>
      </c>
      <c r="T225" s="1074" t="inlineStr">
        <is>
          <t>-</t>
        </is>
      </c>
      <c r="U225" s="1074" t="inlineStr">
        <is>
          <t>3132859</t>
        </is>
      </c>
      <c r="V225" s="1074" t="n"/>
      <c r="W225" s="1074" t="inlineStr">
        <is>
          <t>黄铭怡</t>
        </is>
      </c>
      <c r="X225" s="1074" t="inlineStr">
        <is>
          <t>教室2</t>
        </is>
      </c>
      <c r="Y225" s="1074" t="inlineStr">
        <is>
          <t>10:20-12:30</t>
        </is>
      </c>
      <c r="Z225" s="1074" t="inlineStr">
        <is>
          <t>潜能班</t>
        </is>
      </c>
      <c r="AA225" s="1074" t="inlineStr">
        <is>
          <t>零期</t>
        </is>
      </c>
      <c r="AB225" s="1074" t="inlineStr">
        <is>
          <t>在读</t>
        </is>
      </c>
      <c r="AC225" s="1074" t="inlineStr">
        <is>
          <t>-</t>
        </is>
      </c>
      <c r="AD225" s="1074" t="inlineStr">
        <is>
          <t>5230727</t>
        </is>
      </c>
      <c r="AE225" s="1074" t="n"/>
      <c r="AF225" s="1074" t="inlineStr">
        <is>
          <t>肖锐03</t>
        </is>
      </c>
      <c r="AG225" s="1074" t="inlineStr">
        <is>
          <t>教室2</t>
        </is>
      </c>
      <c r="AH225" s="1074" t="inlineStr">
        <is>
          <t>13:20-15:30</t>
        </is>
      </c>
      <c r="AI225" s="1074" t="inlineStr">
        <is>
          <t>潜能班</t>
        </is>
      </c>
      <c r="AJ225" s="1074" t="inlineStr">
        <is>
          <t>零期</t>
        </is>
      </c>
      <c r="AK225" s="1074" t="inlineStr">
        <is>
          <t>在读</t>
        </is>
      </c>
      <c r="AL225" s="1074" t="inlineStr">
        <is>
          <t>-</t>
        </is>
      </c>
      <c r="AM225" s="1074" t="inlineStr">
        <is>
          <t>是</t>
        </is>
      </c>
      <c r="AN225" s="1074" t="inlineStr">
        <is>
          <t>否</t>
        </is>
      </c>
      <c r="AO225" s="1074" t="inlineStr">
        <is>
          <t>否</t>
        </is>
      </c>
      <c r="AP225" s="1074" t="n"/>
      <c r="AQ225" s="1074" t="n"/>
      <c r="AR225" s="1074" t="inlineStr">
        <is>
          <t>A</t>
        </is>
      </c>
      <c r="AS225" s="1074" t="inlineStr">
        <is>
          <t>支付能力还可以，之前在其他机构有读过，价格应该不算敏感</t>
        </is>
      </c>
      <c r="AT225" s="311" t="n"/>
    </row>
    <row r="226" ht="26.25" customFormat="1" customHeight="1" s="366">
      <c r="A226" s="1074" t="inlineStr">
        <is>
          <t>天成大厦</t>
        </is>
      </c>
      <c r="B226" s="1074" t="inlineStr">
        <is>
          <t>4161622823</t>
        </is>
      </c>
      <c r="C226" s="1074" t="inlineStr">
        <is>
          <t>冉梓月</t>
        </is>
      </c>
      <c r="D226" s="1074" t="inlineStr">
        <is>
          <t>王达04</t>
        </is>
      </c>
      <c r="E226" s="1074" t="inlineStr">
        <is>
          <t>纯拉新</t>
        </is>
      </c>
      <c r="F226" s="1074" t="n"/>
      <c r="G226" s="1074" t="n"/>
      <c r="H226" s="1074" t="inlineStr">
        <is>
          <t>在读</t>
        </is>
      </c>
      <c r="I226" s="1074" t="inlineStr">
        <is>
          <t>二期</t>
        </is>
      </c>
      <c r="J226" s="1074" t="inlineStr">
        <is>
          <t>3132864</t>
        </is>
      </c>
      <c r="K226" s="1074" t="inlineStr">
        <is>
          <t>报前测成绩</t>
        </is>
      </c>
      <c r="L226" s="1074" t="n">
        <v>64</v>
      </c>
      <c r="M226" s="1074" t="inlineStr">
        <is>
          <t>-</t>
        </is>
      </c>
      <c r="N226" s="1074" t="inlineStr">
        <is>
          <t>宗志鹏</t>
        </is>
      </c>
      <c r="O226" s="1074" t="inlineStr">
        <is>
          <t>03品尚</t>
        </is>
      </c>
      <c r="P226" s="1074" t="inlineStr">
        <is>
          <t>13:20-15:30</t>
        </is>
      </c>
      <c r="Q226" s="1074" t="inlineStr">
        <is>
          <t>潜能班</t>
        </is>
      </c>
      <c r="R226" s="1074" t="inlineStr">
        <is>
          <t>二期</t>
        </is>
      </c>
      <c r="S226" s="1074" t="inlineStr">
        <is>
          <t>在读</t>
        </is>
      </c>
      <c r="T226" s="1074" t="inlineStr">
        <is>
          <t>-</t>
        </is>
      </c>
      <c r="U226" s="1074" t="inlineStr">
        <is>
          <t>3132810</t>
        </is>
      </c>
      <c r="V226" s="1074" t="n">
        <v>30</v>
      </c>
      <c r="W226" s="1074" t="inlineStr">
        <is>
          <t>李润</t>
        </is>
      </c>
      <c r="X226" s="1074" t="inlineStr">
        <is>
          <t>03品尚</t>
        </is>
      </c>
      <c r="Y226" s="1074" t="inlineStr">
        <is>
          <t>15:50-18:00</t>
        </is>
      </c>
      <c r="Z226" s="1074" t="inlineStr">
        <is>
          <t>潜能班</t>
        </is>
      </c>
      <c r="AA226" s="1074" t="inlineStr">
        <is>
          <t>二期</t>
        </is>
      </c>
      <c r="AB226" s="1074" t="inlineStr">
        <is>
          <t>在读</t>
        </is>
      </c>
      <c r="AC226" s="1074" t="inlineStr">
        <is>
          <t>-</t>
        </is>
      </c>
      <c r="AD226" s="1074" t="inlineStr">
        <is>
          <t>3132858</t>
        </is>
      </c>
      <c r="AE226" s="1074" t="n">
        <v>47</v>
      </c>
      <c r="AF226" s="1074" t="inlineStr">
        <is>
          <t>刘希子</t>
        </is>
      </c>
      <c r="AG226" s="1074" t="inlineStr">
        <is>
          <t>03品尚</t>
        </is>
      </c>
      <c r="AH226" s="1074" t="inlineStr">
        <is>
          <t>10:20-12:30</t>
        </is>
      </c>
      <c r="AI226" s="1074" t="inlineStr">
        <is>
          <t>潜能班</t>
        </is>
      </c>
      <c r="AJ226" s="1074" t="inlineStr">
        <is>
          <t>二期</t>
        </is>
      </c>
      <c r="AK226" s="1074" t="inlineStr">
        <is>
          <t>在读</t>
        </is>
      </c>
      <c r="AL226" s="1074" t="inlineStr">
        <is>
          <t>-</t>
        </is>
      </c>
      <c r="AM226" s="1074" t="n"/>
      <c r="AN226" s="1074" t="n"/>
      <c r="AO226" s="1074" t="n"/>
      <c r="AP226" s="1074" t="n"/>
      <c r="AQ226" s="1074" t="n"/>
      <c r="AR226" s="1074" t="inlineStr">
        <is>
          <t>S</t>
        </is>
      </c>
      <c r="AS226" s="1074" t="inlineStr">
        <is>
          <t>家长有问过秋季的课程费用安排</t>
        </is>
      </c>
      <c r="AT226" s="311" t="n"/>
    </row>
    <row r="227" ht="26.25" customFormat="1" customHeight="1" s="366">
      <c r="A227" s="1074" t="inlineStr">
        <is>
          <t>新宝利</t>
        </is>
      </c>
      <c r="B227" s="1074" t="inlineStr">
        <is>
          <t>4151776853</t>
        </is>
      </c>
      <c r="C227" s="1074" t="inlineStr">
        <is>
          <t>陈语希</t>
        </is>
      </c>
      <c r="D227" s="1074" t="inlineStr">
        <is>
          <t>杨林33</t>
        </is>
      </c>
      <c r="E227" s="1074" t="inlineStr">
        <is>
          <t>纯拉新</t>
        </is>
      </c>
      <c r="F227" s="1074" t="n"/>
      <c r="G227" s="1074" t="n"/>
      <c r="H227" s="1074" t="inlineStr">
        <is>
          <t>在读</t>
        </is>
      </c>
      <c r="I227" s="1074" t="inlineStr">
        <is>
          <t>三期</t>
        </is>
      </c>
      <c r="J227" s="1074" t="inlineStr">
        <is>
          <t>5111035</t>
        </is>
      </c>
      <c r="K227" s="1074" t="inlineStr">
        <is>
          <t>校内成绩</t>
        </is>
      </c>
      <c r="L227" s="1074" t="n">
        <v>96</v>
      </c>
      <c r="M227" s="1074" t="n">
        <v>96</v>
      </c>
      <c r="N227" s="1074" t="inlineStr">
        <is>
          <t>何咏04</t>
        </is>
      </c>
      <c r="O227" s="1074" t="inlineStr">
        <is>
          <t>教室2</t>
        </is>
      </c>
      <c r="P227" s="1074" t="inlineStr">
        <is>
          <t>15:50-18:00</t>
        </is>
      </c>
      <c r="Q227" s="1074" t="inlineStr">
        <is>
          <t>启能班</t>
        </is>
      </c>
      <c r="R227" s="1074" t="inlineStr">
        <is>
          <t>三期</t>
        </is>
      </c>
      <c r="S227" s="1074" t="inlineStr">
        <is>
          <t>在读</t>
        </is>
      </c>
      <c r="T227" s="1074" t="inlineStr">
        <is>
          <t>-</t>
        </is>
      </c>
      <c r="U227" s="1074" t="inlineStr">
        <is>
          <t>5170873</t>
        </is>
      </c>
      <c r="V227" s="1074" t="n"/>
      <c r="W227" s="1074" t="inlineStr">
        <is>
          <t>李润</t>
        </is>
      </c>
      <c r="X227" s="1074" t="inlineStr">
        <is>
          <t>教室2</t>
        </is>
      </c>
      <c r="Y227" s="1074" t="inlineStr">
        <is>
          <t>13:20-15:30</t>
        </is>
      </c>
      <c r="Z227" s="1074" t="inlineStr">
        <is>
          <t>潜能班</t>
        </is>
      </c>
      <c r="AA227" s="1074" t="inlineStr">
        <is>
          <t>三期</t>
        </is>
      </c>
      <c r="AB227" s="1074" t="inlineStr">
        <is>
          <t>在读</t>
        </is>
      </c>
      <c r="AC227" s="1074" t="inlineStr">
        <is>
          <t>-</t>
        </is>
      </c>
      <c r="AD227" s="1074" t="inlineStr">
        <is>
          <t>5170871</t>
        </is>
      </c>
      <c r="AE227" s="1074" t="n"/>
      <c r="AF227" s="1074" t="inlineStr">
        <is>
          <t>肖锐03</t>
        </is>
      </c>
      <c r="AG227" s="1074" t="inlineStr">
        <is>
          <t>教室2</t>
        </is>
      </c>
      <c r="AH227" s="1074" t="inlineStr">
        <is>
          <t>10:20-12:30</t>
        </is>
      </c>
      <c r="AI227" s="1074" t="inlineStr">
        <is>
          <t>潜能班</t>
        </is>
      </c>
      <c r="AJ227" s="1074" t="inlineStr">
        <is>
          <t>三期</t>
        </is>
      </c>
      <c r="AK227" s="1074" t="inlineStr">
        <is>
          <t>在读</t>
        </is>
      </c>
      <c r="AL227" s="1074" t="inlineStr">
        <is>
          <t>-</t>
        </is>
      </c>
      <c r="AM227" s="1074" t="n"/>
      <c r="AN227" s="1074" t="n"/>
      <c r="AO227" s="1074" t="n"/>
      <c r="AP227" s="1074" t="n"/>
      <c r="AQ227" s="1074" t="n"/>
      <c r="AR227" s="1074" t="inlineStr">
        <is>
          <t>A</t>
        </is>
      </c>
      <c r="AS227" s="1074" t="inlineStr">
        <is>
          <t>教育理念不错，之前在其他机构一直有学</t>
        </is>
      </c>
      <c r="AT227" s="311" t="n"/>
    </row>
    <row r="228" ht="26.25" customFormat="1" customHeight="1" s="366">
      <c r="A228" s="1074" t="inlineStr">
        <is>
          <t>同创汇</t>
        </is>
      </c>
      <c r="B228" s="1074" t="inlineStr">
        <is>
          <t>4833146537</t>
        </is>
      </c>
      <c r="C228" s="1074" t="inlineStr">
        <is>
          <t>曲睿希</t>
        </is>
      </c>
      <c r="D228" s="1074" t="inlineStr">
        <is>
          <t>王丽</t>
        </is>
      </c>
      <c r="E228" s="1074" t="inlineStr">
        <is>
          <t>纯拉新</t>
        </is>
      </c>
      <c r="F228" s="1074" t="n"/>
      <c r="G228" s="1074" t="n"/>
      <c r="H228" s="1074" t="inlineStr">
        <is>
          <t>在读</t>
        </is>
      </c>
      <c r="I228" s="1074" t="inlineStr">
        <is>
          <t>二期</t>
        </is>
      </c>
      <c r="J228" s="1074" t="inlineStr">
        <is>
          <t>3132872</t>
        </is>
      </c>
      <c r="K228" s="1074" t="inlineStr">
        <is>
          <t>校内成绩</t>
        </is>
      </c>
      <c r="L228" s="1074" t="n">
        <v>60</v>
      </c>
      <c r="M228" s="1074" t="n">
        <v>80</v>
      </c>
      <c r="N228" s="1074" t="inlineStr">
        <is>
          <t>何咏04</t>
        </is>
      </c>
      <c r="O228" s="1074" t="inlineStr">
        <is>
          <t>01智慧林</t>
        </is>
      </c>
      <c r="P228" s="1074" t="inlineStr">
        <is>
          <t>13:20-15:30</t>
        </is>
      </c>
      <c r="Q228" s="1074" t="inlineStr">
        <is>
          <t>潜能班</t>
        </is>
      </c>
      <c r="R228" s="1074" t="inlineStr">
        <is>
          <t>二期</t>
        </is>
      </c>
      <c r="S228" s="1074" t="inlineStr">
        <is>
          <t>在读</t>
        </is>
      </c>
      <c r="T228" s="1074" t="inlineStr">
        <is>
          <t>-</t>
        </is>
      </c>
      <c r="U228" s="1074" t="inlineStr">
        <is>
          <t>5230809</t>
        </is>
      </c>
      <c r="V228" s="1074" t="n">
        <v>0</v>
      </c>
      <c r="W228" s="1074" t="inlineStr">
        <is>
          <t>李润</t>
        </is>
      </c>
      <c r="X228" s="1074" t="inlineStr">
        <is>
          <t>01智慧林</t>
        </is>
      </c>
      <c r="Y228" s="1074" t="inlineStr">
        <is>
          <t>10:20-12:30</t>
        </is>
      </c>
      <c r="Z228" s="1074" t="inlineStr">
        <is>
          <t>潜能班</t>
        </is>
      </c>
      <c r="AA228" s="1074" t="inlineStr">
        <is>
          <t>二期</t>
        </is>
      </c>
      <c r="AB228" s="1074" t="inlineStr">
        <is>
          <t>在读</t>
        </is>
      </c>
      <c r="AC228" s="1074" t="inlineStr">
        <is>
          <t>-</t>
        </is>
      </c>
      <c r="AD228" s="1074" t="inlineStr">
        <is>
          <t>3132893</t>
        </is>
      </c>
      <c r="AE228" s="1074" t="n">
        <v>0</v>
      </c>
      <c r="AF228" s="1074" t="inlineStr">
        <is>
          <t>刘希子</t>
        </is>
      </c>
      <c r="AG228" s="1074" t="inlineStr">
        <is>
          <t>01智慧林</t>
        </is>
      </c>
      <c r="AH228" s="1074" t="inlineStr">
        <is>
          <t>15:50-18:00</t>
        </is>
      </c>
      <c r="AI228" s="1074" t="inlineStr">
        <is>
          <t>潜能班</t>
        </is>
      </c>
      <c r="AJ228" s="1074" t="inlineStr">
        <is>
          <t>二期</t>
        </is>
      </c>
      <c r="AK228" s="1074" t="inlineStr">
        <is>
          <t>在读</t>
        </is>
      </c>
      <c r="AL228" s="1074" t="inlineStr">
        <is>
          <t>-</t>
        </is>
      </c>
      <c r="AM228" s="1074" t="n"/>
      <c r="AN228" s="1074" t="n"/>
      <c r="AO228" s="1074" t="n"/>
      <c r="AP228" s="1074" t="n"/>
      <c r="AQ228" s="1074" t="n"/>
      <c r="AR228" s="1074" t="inlineStr">
        <is>
          <t>B</t>
        </is>
      </c>
      <c r="AS228" s="1074" t="inlineStr">
        <is>
          <t>先体验下暑假课，没聊秋季课的事情</t>
        </is>
      </c>
      <c r="AT228" s="311" t="n"/>
    </row>
    <row r="229" ht="26.25" customFormat="1" customHeight="1" s="366">
      <c r="A229" s="1074" t="inlineStr">
        <is>
          <t>新宝利</t>
        </is>
      </c>
      <c r="B229" s="1074" t="inlineStr">
        <is>
          <t>4835737630</t>
        </is>
      </c>
      <c r="C229" s="1074" t="inlineStr">
        <is>
          <t>马伊惠</t>
        </is>
      </c>
      <c r="D229" s="1074" t="inlineStr">
        <is>
          <t>张敏烨</t>
        </is>
      </c>
      <c r="E229" s="1074" t="inlineStr">
        <is>
          <t>新生转介绍</t>
        </is>
      </c>
      <c r="F229" s="1074" t="n"/>
      <c r="G229" s="1074" t="inlineStr">
        <is>
          <t>穆邵瀚</t>
        </is>
      </c>
      <c r="H229" s="1074" t="inlineStr">
        <is>
          <t>在读</t>
        </is>
      </c>
      <c r="I229" s="1074" t="inlineStr">
        <is>
          <t>零期</t>
        </is>
      </c>
      <c r="J229" s="1074" t="inlineStr">
        <is>
          <t>3132884</t>
        </is>
      </c>
      <c r="K229" s="1074" t="inlineStr">
        <is>
          <t>报前测成绩</t>
        </is>
      </c>
      <c r="L229" s="1074" t="n">
        <v>73</v>
      </c>
      <c r="M229" s="1074" t="inlineStr">
        <is>
          <t>-</t>
        </is>
      </c>
      <c r="N229" s="1074" t="inlineStr">
        <is>
          <t>田雨涵01</t>
        </is>
      </c>
      <c r="O229" s="1074" t="inlineStr">
        <is>
          <t>教室3</t>
        </is>
      </c>
      <c r="P229" s="1074" t="inlineStr">
        <is>
          <t>13:20-15:30</t>
        </is>
      </c>
      <c r="Q229" s="1074" t="inlineStr">
        <is>
          <t>潜能班</t>
        </is>
      </c>
      <c r="R229" s="1074" t="inlineStr">
        <is>
          <t>零期</t>
        </is>
      </c>
      <c r="S229" s="1074" t="inlineStr">
        <is>
          <t>在读</t>
        </is>
      </c>
      <c r="T229" s="1074" t="inlineStr">
        <is>
          <t>-</t>
        </is>
      </c>
      <c r="U229" s="1074" t="inlineStr">
        <is>
          <t>4513265</t>
        </is>
      </c>
      <c r="V229" s="1074" t="n">
        <v>36</v>
      </c>
      <c r="W229" s="1074" t="inlineStr">
        <is>
          <t>李润</t>
        </is>
      </c>
      <c r="X229" s="1074" t="inlineStr">
        <is>
          <t>教室3</t>
        </is>
      </c>
      <c r="Y229" s="1074" t="inlineStr">
        <is>
          <t>10:20-12:30</t>
        </is>
      </c>
      <c r="Z229" s="1074" t="inlineStr">
        <is>
          <t>潜能班</t>
        </is>
      </c>
      <c r="AA229" s="1074" t="inlineStr">
        <is>
          <t>零期</t>
        </is>
      </c>
      <c r="AB229" s="1074" t="inlineStr">
        <is>
          <t>在读</t>
        </is>
      </c>
      <c r="AC229" s="1074" t="inlineStr">
        <is>
          <t>-</t>
        </is>
      </c>
      <c r="AD229" s="1074" t="inlineStr">
        <is>
          <t>5230723</t>
        </is>
      </c>
      <c r="AE229" s="1074" t="n">
        <v>32</v>
      </c>
      <c r="AF229" s="1074" t="inlineStr">
        <is>
          <t>肖锐03</t>
        </is>
      </c>
      <c r="AG229" s="1074" t="inlineStr">
        <is>
          <t>教室3</t>
        </is>
      </c>
      <c r="AH229" s="1074" t="inlineStr">
        <is>
          <t>15:50-18:00</t>
        </is>
      </c>
      <c r="AI229" s="1074" t="inlineStr">
        <is>
          <t>潜能班</t>
        </is>
      </c>
      <c r="AJ229" s="1074" t="inlineStr">
        <is>
          <t>零期</t>
        </is>
      </c>
      <c r="AK229" s="1074" t="inlineStr">
        <is>
          <t>在读</t>
        </is>
      </c>
      <c r="AL229" s="1074" t="inlineStr">
        <is>
          <t>-</t>
        </is>
      </c>
      <c r="AM229" s="1074" t="inlineStr">
        <is>
          <t>是</t>
        </is>
      </c>
      <c r="AN229" s="1074" t="inlineStr">
        <is>
          <t>是</t>
        </is>
      </c>
      <c r="AO229" s="1074" t="inlineStr">
        <is>
          <t>是</t>
        </is>
      </c>
      <c r="AP229" s="1074" t="n"/>
      <c r="AQ229" s="1074" t="n"/>
      <c r="AR229" s="1074" t="inlineStr">
        <is>
          <t>B</t>
        </is>
      </c>
      <c r="AS229" s="1074" t="inlineStr">
        <is>
          <t>转介绍来的，未咨询正课价格</t>
        </is>
      </c>
      <c r="AT229" s="311" t="n"/>
    </row>
    <row r="230" ht="26.25" customFormat="1" customHeight="1" s="366">
      <c r="A230" s="1074" t="inlineStr">
        <is>
          <t>新宝利</t>
        </is>
      </c>
      <c r="B230" s="1074" t="inlineStr">
        <is>
          <t>4476937596</t>
        </is>
      </c>
      <c r="C230" s="1074" t="inlineStr">
        <is>
          <t>任熙旋</t>
        </is>
      </c>
      <c r="D230" s="1074" t="inlineStr">
        <is>
          <t>张敏烨</t>
        </is>
      </c>
      <c r="E230" s="1074" t="inlineStr">
        <is>
          <t>纯拉新</t>
        </is>
      </c>
      <c r="F230" s="1074" t="n"/>
      <c r="G230" s="1074" t="n"/>
      <c r="H230" s="1074" t="inlineStr">
        <is>
          <t>在读</t>
        </is>
      </c>
      <c r="I230" s="1074" t="inlineStr">
        <is>
          <t>三期</t>
        </is>
      </c>
      <c r="J230" s="1074" t="inlineStr">
        <is>
          <t>3132902</t>
        </is>
      </c>
      <c r="K230" s="1074" t="inlineStr">
        <is>
          <t>报前测成绩</t>
        </is>
      </c>
      <c r="L230" s="1074" t="n">
        <v>61</v>
      </c>
      <c r="M230" s="1074" t="inlineStr">
        <is>
          <t>-</t>
        </is>
      </c>
      <c r="N230" s="1074" t="inlineStr">
        <is>
          <t>陈中帅</t>
        </is>
      </c>
      <c r="O230" s="1074" t="inlineStr">
        <is>
          <t>教室3</t>
        </is>
      </c>
      <c r="P230" s="1074" t="inlineStr">
        <is>
          <t>13:20-15:30</t>
        </is>
      </c>
      <c r="Q230" s="1074" t="inlineStr">
        <is>
          <t>潜能班</t>
        </is>
      </c>
      <c r="R230" s="1074" t="inlineStr">
        <is>
          <t>三期</t>
        </is>
      </c>
      <c r="S230" s="1074" t="inlineStr">
        <is>
          <t>在读</t>
        </is>
      </c>
      <c r="T230" s="1074" t="inlineStr">
        <is>
          <t>-</t>
        </is>
      </c>
      <c r="U230" s="1074" t="inlineStr">
        <is>
          <t>5230747</t>
        </is>
      </c>
      <c r="V230" s="1074" t="n">
        <v>30</v>
      </c>
      <c r="W230" s="1074" t="inlineStr">
        <is>
          <t>陈南05</t>
        </is>
      </c>
      <c r="X230" s="1074" t="inlineStr">
        <is>
          <t>教室3</t>
        </is>
      </c>
      <c r="Y230" s="1074" t="inlineStr">
        <is>
          <t>10:20-12:30</t>
        </is>
      </c>
      <c r="Z230" s="1074" t="inlineStr">
        <is>
          <t>潜能班</t>
        </is>
      </c>
      <c r="AA230" s="1074" t="inlineStr">
        <is>
          <t>三期</t>
        </is>
      </c>
      <c r="AB230" s="1074" t="inlineStr">
        <is>
          <t>在读</t>
        </is>
      </c>
      <c r="AC230" s="1074" t="inlineStr">
        <is>
          <t>-</t>
        </is>
      </c>
      <c r="AD230" s="1074" t="inlineStr">
        <is>
          <t>5230821</t>
        </is>
      </c>
      <c r="AE230" s="1074" t="n">
        <v>25.5</v>
      </c>
      <c r="AF230" s="1074" t="inlineStr">
        <is>
          <t>肖锐03</t>
        </is>
      </c>
      <c r="AG230" s="1074" t="inlineStr">
        <is>
          <t>教室3</t>
        </is>
      </c>
      <c r="AH230" s="1074" t="inlineStr">
        <is>
          <t>15:50-18:00</t>
        </is>
      </c>
      <c r="AI230" s="1074" t="inlineStr">
        <is>
          <t>潜能班</t>
        </is>
      </c>
      <c r="AJ230" s="1074" t="inlineStr">
        <is>
          <t>三期</t>
        </is>
      </c>
      <c r="AK230" s="1074" t="inlineStr">
        <is>
          <t>在读</t>
        </is>
      </c>
      <c r="AL230" s="1074" t="inlineStr">
        <is>
          <t>-</t>
        </is>
      </c>
      <c r="AM230" s="1074" t="n"/>
      <c r="AN230" s="1074" t="n"/>
      <c r="AO230" s="1074" t="n"/>
      <c r="AP230" s="1074" t="n"/>
      <c r="AQ230" s="1074" t="n"/>
      <c r="AR230" s="1074" t="inlineStr">
        <is>
          <t>S</t>
        </is>
      </c>
      <c r="AS230" s="1074" t="inlineStr">
        <is>
          <t>了解秋季价格，暑假先看效果，孩子喜欢就能报</t>
        </is>
      </c>
      <c r="AT230" s="311" t="n"/>
    </row>
    <row r="231" ht="26.25" customFormat="1" customHeight="1" s="366">
      <c r="A231" s="1074" t="inlineStr">
        <is>
          <t>新宝利</t>
        </is>
      </c>
      <c r="B231" s="1074" t="inlineStr">
        <is>
          <t>4357245184</t>
        </is>
      </c>
      <c r="C231" s="1074" t="inlineStr">
        <is>
          <t>孙同学</t>
        </is>
      </c>
      <c r="D231" s="1074" t="inlineStr">
        <is>
          <t>林志豪01</t>
        </is>
      </c>
      <c r="E231" s="1074" t="inlineStr">
        <is>
          <t>纯拉新</t>
        </is>
      </c>
      <c r="F231" s="1074" t="n"/>
      <c r="G231" s="1074" t="n"/>
      <c r="H231" s="1074" t="inlineStr">
        <is>
          <t>在读</t>
        </is>
      </c>
      <c r="I231" s="1074" t="inlineStr">
        <is>
          <t>一期</t>
        </is>
      </c>
      <c r="J231" s="1074" t="inlineStr">
        <is>
          <t>5230732</t>
        </is>
      </c>
      <c r="K231" s="1074" t="inlineStr">
        <is>
          <t>校内成绩</t>
        </is>
      </c>
      <c r="L231" s="1074" t="n">
        <v>75</v>
      </c>
      <c r="M231" s="1074" t="n">
        <v>93</v>
      </c>
      <c r="N231" s="1074" t="inlineStr">
        <is>
          <t>何咏04</t>
        </is>
      </c>
      <c r="O231" s="1074" t="inlineStr">
        <is>
          <t>教室3</t>
        </is>
      </c>
      <c r="P231" s="1074" t="inlineStr">
        <is>
          <t>10:30-12:40</t>
        </is>
      </c>
      <c r="Q231" s="1074" t="inlineStr">
        <is>
          <t>启能班</t>
        </is>
      </c>
      <c r="R231" s="1074" t="inlineStr">
        <is>
          <t>一期</t>
        </is>
      </c>
      <c r="S231" s="1074" t="inlineStr">
        <is>
          <t>在读</t>
        </is>
      </c>
      <c r="T231" s="1074" t="inlineStr">
        <is>
          <t>-</t>
        </is>
      </c>
      <c r="U231" s="1074" t="inlineStr">
        <is>
          <t>5170706</t>
        </is>
      </c>
      <c r="V231" s="1074" t="n">
        <v>0</v>
      </c>
      <c r="W231" s="1074" t="inlineStr">
        <is>
          <t>李润</t>
        </is>
      </c>
      <c r="X231" s="1074" t="inlineStr">
        <is>
          <t>教室3</t>
        </is>
      </c>
      <c r="Y231" s="1074" t="inlineStr">
        <is>
          <t>13:20-15:30</t>
        </is>
      </c>
      <c r="Z231" s="1074" t="inlineStr">
        <is>
          <t>潜能班</t>
        </is>
      </c>
      <c r="AA231" s="1074" t="inlineStr">
        <is>
          <t>一期</t>
        </is>
      </c>
      <c r="AB231" s="1074" t="inlineStr">
        <is>
          <t>在读</t>
        </is>
      </c>
      <c r="AC231" s="1074" t="inlineStr">
        <is>
          <t>-</t>
        </is>
      </c>
      <c r="AD231" s="1074" t="inlineStr">
        <is>
          <t>-</t>
        </is>
      </c>
      <c r="AE231" s="1074" t="inlineStr"/>
      <c r="AF231" s="1074" t="inlineStr">
        <is>
          <t>-</t>
        </is>
      </c>
      <c r="AG231" s="1074" t="inlineStr">
        <is>
          <t>-</t>
        </is>
      </c>
      <c r="AH231" s="1074" t="inlineStr">
        <is>
          <t>-</t>
        </is>
      </c>
      <c r="AI231" s="1074" t="inlineStr">
        <is>
          <t>-</t>
        </is>
      </c>
      <c r="AJ231" s="1074" t="inlineStr">
        <is>
          <t>-</t>
        </is>
      </c>
      <c r="AK231" s="1074" t="inlineStr">
        <is>
          <t>-</t>
        </is>
      </c>
      <c r="AL231" s="1074" t="inlineStr">
        <is>
          <t>-</t>
        </is>
      </c>
      <c r="AM231" s="1074" t="n"/>
      <c r="AN231" s="1074" t="n"/>
      <c r="AO231" s="1074" t="n"/>
      <c r="AP231" s="1074" t="n"/>
      <c r="AQ231" s="1074" t="n"/>
      <c r="AR231" s="1074" t="inlineStr">
        <is>
          <t>A</t>
        </is>
      </c>
      <c r="AS231" s="1074" t="inlineStr">
        <is>
          <t>妈咪一直想找机构，之前暑假就想报名正价格的，但是对我们老师和安排很失望，后面退了，看暑假上课情况，好的能谈</t>
        </is>
      </c>
      <c r="AT231" s="311" t="n"/>
    </row>
    <row r="232" ht="26.25" customFormat="1" customHeight="1" s="366">
      <c r="A232" s="1074" t="inlineStr">
        <is>
          <t>新宝利</t>
        </is>
      </c>
      <c r="B232" s="1074" t="inlineStr">
        <is>
          <t>4055682554</t>
        </is>
      </c>
      <c r="C232" s="1074" t="inlineStr">
        <is>
          <t>穆邵瀚</t>
        </is>
      </c>
      <c r="D232" s="1074" t="inlineStr">
        <is>
          <t>张敏烨</t>
        </is>
      </c>
      <c r="E232" s="1074" t="inlineStr">
        <is>
          <t>纯拉新</t>
        </is>
      </c>
      <c r="F232" s="1074" t="n"/>
      <c r="G232" s="1074" t="n"/>
      <c r="H232" s="1074" t="inlineStr">
        <is>
          <t>在读</t>
        </is>
      </c>
      <c r="I232" s="1074" t="inlineStr">
        <is>
          <t>零期</t>
        </is>
      </c>
      <c r="J232" s="1074" t="inlineStr">
        <is>
          <t>3132884</t>
        </is>
      </c>
      <c r="K232" s="1074" t="inlineStr">
        <is>
          <t>报前测成绩</t>
        </is>
      </c>
      <c r="L232" s="1074" t="n">
        <v>63</v>
      </c>
      <c r="M232" s="1074" t="inlineStr">
        <is>
          <t>-</t>
        </is>
      </c>
      <c r="N232" s="1074" t="inlineStr">
        <is>
          <t>田雨涵01</t>
        </is>
      </c>
      <c r="O232" s="1074" t="inlineStr">
        <is>
          <t>教室3</t>
        </is>
      </c>
      <c r="P232" s="1074" t="inlineStr">
        <is>
          <t>13:20-15:30</t>
        </is>
      </c>
      <c r="Q232" s="1074" t="inlineStr">
        <is>
          <t>潜能班</t>
        </is>
      </c>
      <c r="R232" s="1074" t="inlineStr">
        <is>
          <t>零期</t>
        </is>
      </c>
      <c r="S232" s="1074" t="inlineStr">
        <is>
          <t>在读</t>
        </is>
      </c>
      <c r="T232" s="1074" t="inlineStr">
        <is>
          <t>-</t>
        </is>
      </c>
      <c r="U232" s="1074" t="inlineStr">
        <is>
          <t>4513265</t>
        </is>
      </c>
      <c r="V232" s="1074" t="n">
        <v>30</v>
      </c>
      <c r="W232" s="1074" t="inlineStr">
        <is>
          <t>李润</t>
        </is>
      </c>
      <c r="X232" s="1074" t="inlineStr">
        <is>
          <t>教室3</t>
        </is>
      </c>
      <c r="Y232" s="1074" t="inlineStr">
        <is>
          <t>10:20-12:30</t>
        </is>
      </c>
      <c r="Z232" s="1074" t="inlineStr">
        <is>
          <t>潜能班</t>
        </is>
      </c>
      <c r="AA232" s="1074" t="inlineStr">
        <is>
          <t>零期</t>
        </is>
      </c>
      <c r="AB232" s="1074" t="inlineStr">
        <is>
          <t>在读</t>
        </is>
      </c>
      <c r="AC232" s="1074" t="inlineStr">
        <is>
          <t>-</t>
        </is>
      </c>
      <c r="AD232" s="1074" t="inlineStr">
        <is>
          <t>5230723</t>
        </is>
      </c>
      <c r="AE232" s="1074" t="n">
        <v>37.5</v>
      </c>
      <c r="AF232" s="1074" t="inlineStr">
        <is>
          <t>肖锐03</t>
        </is>
      </c>
      <c r="AG232" s="1074" t="inlineStr">
        <is>
          <t>教室3</t>
        </is>
      </c>
      <c r="AH232" s="1074" t="inlineStr">
        <is>
          <t>15:50-18:00</t>
        </is>
      </c>
      <c r="AI232" s="1074" t="inlineStr">
        <is>
          <t>潜能班</t>
        </is>
      </c>
      <c r="AJ232" s="1074" t="inlineStr">
        <is>
          <t>零期</t>
        </is>
      </c>
      <c r="AK232" s="1074" t="inlineStr">
        <is>
          <t>在读</t>
        </is>
      </c>
      <c r="AL232" s="1074" t="inlineStr">
        <is>
          <t>-</t>
        </is>
      </c>
      <c r="AM232" s="1074" t="inlineStr">
        <is>
          <t>是</t>
        </is>
      </c>
      <c r="AN232" s="1074" t="inlineStr">
        <is>
          <t>是</t>
        </is>
      </c>
      <c r="AO232" s="1074" t="inlineStr">
        <is>
          <t>是</t>
        </is>
      </c>
      <c r="AP232" s="1074" t="n"/>
      <c r="AQ232" s="1074" t="n"/>
      <c r="AR232" s="1074" t="inlineStr">
        <is>
          <t>A</t>
        </is>
      </c>
      <c r="AS232" s="1074" t="inlineStr">
        <is>
          <t>转介绍来的，未咨询正课价格，但家长是想孩子暑假好好学，有长期补习的计划</t>
        </is>
      </c>
      <c r="AT232" s="311" t="n"/>
    </row>
    <row r="233" ht="26.25" customFormat="1" customHeight="1" s="366">
      <c r="A233" s="1074" t="inlineStr">
        <is>
          <t>新宝利</t>
        </is>
      </c>
      <c r="B233" s="1074" t="inlineStr">
        <is>
          <t>4827190067</t>
        </is>
      </c>
      <c r="C233" s="1074" t="inlineStr">
        <is>
          <t>潘安生</t>
        </is>
      </c>
      <c r="D233" s="1074" t="inlineStr">
        <is>
          <t>王达04</t>
        </is>
      </c>
      <c r="E233" s="1074" t="inlineStr">
        <is>
          <t>纯拉新</t>
        </is>
      </c>
      <c r="F233" s="1074" t="n"/>
      <c r="G233" s="1074" t="n"/>
      <c r="H233" s="1074" t="inlineStr">
        <is>
          <t>在读</t>
        </is>
      </c>
      <c r="I233" s="1074" t="inlineStr">
        <is>
          <t>三期</t>
        </is>
      </c>
      <c r="J233" s="1074" t="inlineStr">
        <is>
          <t>5111035</t>
        </is>
      </c>
      <c r="K233" s="1074" t="inlineStr">
        <is>
          <t>报前测成绩</t>
        </is>
      </c>
      <c r="L233" s="1074" t="n">
        <v>80</v>
      </c>
      <c r="M233" s="1074" t="inlineStr">
        <is>
          <t>-</t>
        </is>
      </c>
      <c r="N233" s="1074" t="inlineStr">
        <is>
          <t>何咏04</t>
        </is>
      </c>
      <c r="O233" s="1074" t="inlineStr">
        <is>
          <t>教室2</t>
        </is>
      </c>
      <c r="P233" s="1074" t="inlineStr">
        <is>
          <t>15:50-18:00</t>
        </is>
      </c>
      <c r="Q233" s="1074" t="inlineStr">
        <is>
          <t>启能班</t>
        </is>
      </c>
      <c r="R233" s="1074" t="inlineStr">
        <is>
          <t>三期</t>
        </is>
      </c>
      <c r="S233" s="1074" t="inlineStr">
        <is>
          <t>在读</t>
        </is>
      </c>
      <c r="T233" s="1074" t="inlineStr">
        <is>
          <t>-</t>
        </is>
      </c>
      <c r="U233" s="1074" t="inlineStr">
        <is>
          <t>5170873</t>
        </is>
      </c>
      <c r="V233" s="1074" t="n">
        <v>33</v>
      </c>
      <c r="W233" s="1074" t="inlineStr">
        <is>
          <t>李润</t>
        </is>
      </c>
      <c r="X233" s="1074" t="inlineStr">
        <is>
          <t>教室2</t>
        </is>
      </c>
      <c r="Y233" s="1074" t="inlineStr">
        <is>
          <t>13:20-15:30</t>
        </is>
      </c>
      <c r="Z233" s="1074" t="inlineStr">
        <is>
          <t>潜能班</t>
        </is>
      </c>
      <c r="AA233" s="1074" t="inlineStr">
        <is>
          <t>三期</t>
        </is>
      </c>
      <c r="AB233" s="1074" t="inlineStr">
        <is>
          <t>在读</t>
        </is>
      </c>
      <c r="AC233" s="1074" t="inlineStr">
        <is>
          <t>-</t>
        </is>
      </c>
      <c r="AD233" s="1074" t="inlineStr">
        <is>
          <t>5170871</t>
        </is>
      </c>
      <c r="AE233" s="1074" t="n">
        <v>35</v>
      </c>
      <c r="AF233" s="1074" t="inlineStr">
        <is>
          <t>肖锐03</t>
        </is>
      </c>
      <c r="AG233" s="1074" t="inlineStr">
        <is>
          <t>教室2</t>
        </is>
      </c>
      <c r="AH233" s="1074" t="inlineStr">
        <is>
          <t>10:20-12:30</t>
        </is>
      </c>
      <c r="AI233" s="1074" t="inlineStr">
        <is>
          <t>潜能班</t>
        </is>
      </c>
      <c r="AJ233" s="1074" t="inlineStr">
        <is>
          <t>三期</t>
        </is>
      </c>
      <c r="AK233" s="1074" t="inlineStr">
        <is>
          <t>在读</t>
        </is>
      </c>
      <c r="AL233" s="1074" t="inlineStr">
        <is>
          <t>-</t>
        </is>
      </c>
      <c r="AM233" s="1074" t="n"/>
      <c r="AN233" s="1074" t="n"/>
      <c r="AO233" s="1074" t="n"/>
      <c r="AP233" s="1074" t="n"/>
      <c r="AQ233" s="1074" t="n"/>
      <c r="AR233" s="1074" t="inlineStr">
        <is>
          <t>A</t>
        </is>
      </c>
      <c r="AS233" s="1074" t="inlineStr">
        <is>
          <t>转介绍，有问过秋季，了解价格想看看暑假孩子上的怎么样</t>
        </is>
      </c>
      <c r="AT233" s="311" t="n"/>
    </row>
    <row r="234" ht="26.25" customFormat="1" customHeight="1" s="366">
      <c r="A234" s="1074" t="inlineStr">
        <is>
          <t>新宝利</t>
        </is>
      </c>
      <c r="B234" s="1074" t="inlineStr">
        <is>
          <t>4829435326</t>
        </is>
      </c>
      <c r="C234" s="1074" t="inlineStr">
        <is>
          <t>张逸潼</t>
        </is>
      </c>
      <c r="D234" s="1074" t="inlineStr">
        <is>
          <t>沈思浩</t>
        </is>
      </c>
      <c r="E234" s="1074" t="inlineStr">
        <is>
          <t>纯拉新</t>
        </is>
      </c>
      <c r="F234" s="1074" t="n"/>
      <c r="G234" s="1074" t="n"/>
      <c r="H234" s="1074" t="inlineStr">
        <is>
          <t>在读</t>
        </is>
      </c>
      <c r="I234" s="1074" t="inlineStr">
        <is>
          <t>二期</t>
        </is>
      </c>
      <c r="J234" s="1074" t="inlineStr">
        <is>
          <t>5111034</t>
        </is>
      </c>
      <c r="K234" s="1074" t="inlineStr">
        <is>
          <t>校内成绩</t>
        </is>
      </c>
      <c r="L234" s="1074" t="n">
        <v>60</v>
      </c>
      <c r="M234" s="1074" t="n">
        <v>81</v>
      </c>
      <c r="N234" s="1074" t="inlineStr">
        <is>
          <t>田雨涵01</t>
        </is>
      </c>
      <c r="O234" s="1074" t="inlineStr">
        <is>
          <t>教室4</t>
        </is>
      </c>
      <c r="P234" s="1074" t="inlineStr">
        <is>
          <t>13:20-15:30</t>
        </is>
      </c>
      <c r="Q234" s="1074" t="inlineStr">
        <is>
          <t>潜能班</t>
        </is>
      </c>
      <c r="R234" s="1074" t="inlineStr">
        <is>
          <t>二期</t>
        </is>
      </c>
      <c r="S234" s="1074" t="inlineStr">
        <is>
          <t>在读</t>
        </is>
      </c>
      <c r="T234" s="1074" t="inlineStr">
        <is>
          <t>-</t>
        </is>
      </c>
      <c r="U234" s="1074" t="inlineStr">
        <is>
          <t>4513342</t>
        </is>
      </c>
      <c r="V234" s="1074" t="n"/>
      <c r="W234" s="1074" t="inlineStr">
        <is>
          <t>黄铭怡</t>
        </is>
      </c>
      <c r="X234" s="1074" t="inlineStr">
        <is>
          <t>教室4</t>
        </is>
      </c>
      <c r="Y234" s="1074" t="inlineStr">
        <is>
          <t>10:20-12:30</t>
        </is>
      </c>
      <c r="Z234" s="1074" t="inlineStr">
        <is>
          <t>潜能班</t>
        </is>
      </c>
      <c r="AA234" s="1074" t="inlineStr">
        <is>
          <t>二期</t>
        </is>
      </c>
      <c r="AB234" s="1074" t="inlineStr">
        <is>
          <t>在读</t>
        </is>
      </c>
      <c r="AC234" s="1074" t="inlineStr">
        <is>
          <t>-</t>
        </is>
      </c>
      <c r="AD234" s="1074" t="inlineStr">
        <is>
          <t>4513340</t>
        </is>
      </c>
      <c r="AE234" s="1074" t="n"/>
      <c r="AF234" s="1074" t="inlineStr">
        <is>
          <t>高心怡04</t>
        </is>
      </c>
      <c r="AG234" s="1074" t="inlineStr">
        <is>
          <t>教室4</t>
        </is>
      </c>
      <c r="AH234" s="1074" t="inlineStr">
        <is>
          <t>15:50-18:00</t>
        </is>
      </c>
      <c r="AI234" s="1074" t="inlineStr">
        <is>
          <t>潜能班</t>
        </is>
      </c>
      <c r="AJ234" s="1074" t="inlineStr">
        <is>
          <t>二期</t>
        </is>
      </c>
      <c r="AK234" s="1074" t="inlineStr">
        <is>
          <t>在读</t>
        </is>
      </c>
      <c r="AL234" s="1074" t="inlineStr">
        <is>
          <t>-</t>
        </is>
      </c>
      <c r="AM234" s="1074" t="n"/>
      <c r="AN234" s="1074" t="n"/>
      <c r="AO234" s="1074" t="n"/>
      <c r="AP234" s="1074" t="n"/>
      <c r="AQ234" s="1074" t="n"/>
      <c r="AR234" s="1074" t="inlineStr">
        <is>
          <t>A</t>
        </is>
      </c>
      <c r="AS234" s="1074" t="inlineStr">
        <is>
          <t>家长重视教育，先看学习效果再看后面是不是续费</t>
        </is>
      </c>
      <c r="AT234" s="311" t="n"/>
    </row>
    <row r="235" ht="26.25" customFormat="1" customHeight="1" s="366">
      <c r="A235" s="1074" t="inlineStr">
        <is>
          <t>同创汇</t>
        </is>
      </c>
      <c r="B235" s="1074" t="inlineStr">
        <is>
          <t>4303763811</t>
        </is>
      </c>
      <c r="C235" s="1074" t="inlineStr">
        <is>
          <t>梁靖晓</t>
        </is>
      </c>
      <c r="D235" s="1074" t="inlineStr">
        <is>
          <t>戎凯01</t>
        </is>
      </c>
      <c r="E235" s="1074" t="inlineStr">
        <is>
          <t>纯拉新</t>
        </is>
      </c>
      <c r="F235" s="1074" t="n"/>
      <c r="G235" s="1074" t="n"/>
      <c r="H235" s="1074" t="inlineStr">
        <is>
          <t>在读</t>
        </is>
      </c>
      <c r="I235" s="1074" t="inlineStr">
        <is>
          <t>一期</t>
        </is>
      </c>
      <c r="J235" s="1074" t="inlineStr">
        <is>
          <t>5230719</t>
        </is>
      </c>
      <c r="K235" s="1074" t="inlineStr">
        <is>
          <t>报前测成绩</t>
        </is>
      </c>
      <c r="L235" s="1074" t="n">
        <v>90</v>
      </c>
      <c r="M235" s="1074" t="inlineStr">
        <is>
          <t>-</t>
        </is>
      </c>
      <c r="N235" s="1074" t="inlineStr">
        <is>
          <t>陈中帅</t>
        </is>
      </c>
      <c r="O235" s="1074" t="inlineStr">
        <is>
          <t>01智慧林</t>
        </is>
      </c>
      <c r="P235" s="1074" t="inlineStr">
        <is>
          <t>13:20-15:30</t>
        </is>
      </c>
      <c r="Q235" s="1074" t="inlineStr">
        <is>
          <t>启能班</t>
        </is>
      </c>
      <c r="R235" s="1074" t="inlineStr">
        <is>
          <t>一期</t>
        </is>
      </c>
      <c r="S235" s="1074" t="inlineStr">
        <is>
          <t>在读</t>
        </is>
      </c>
      <c r="T235" s="1074" t="inlineStr">
        <is>
          <t>-</t>
        </is>
      </c>
      <c r="U235" s="1074" t="inlineStr">
        <is>
          <t>5230828</t>
        </is>
      </c>
      <c r="V235" s="1074" t="n">
        <v>0</v>
      </c>
      <c r="W235" s="1074" t="inlineStr">
        <is>
          <t>黄铭怡</t>
        </is>
      </c>
      <c r="X235" s="1074" t="inlineStr">
        <is>
          <t>01智慧林</t>
        </is>
      </c>
      <c r="Y235" s="1074" t="inlineStr">
        <is>
          <t>10:20-12:30</t>
        </is>
      </c>
      <c r="Z235" s="1074" t="inlineStr">
        <is>
          <t>潜能班</t>
        </is>
      </c>
      <c r="AA235" s="1074" t="inlineStr">
        <is>
          <t>一期</t>
        </is>
      </c>
      <c r="AB235" s="1074" t="inlineStr">
        <is>
          <t>在读</t>
        </is>
      </c>
      <c r="AC235" s="1074" t="inlineStr">
        <is>
          <t>-</t>
        </is>
      </c>
      <c r="AD235" s="1074" t="inlineStr">
        <is>
          <t>3132869</t>
        </is>
      </c>
      <c r="AE235" s="1074" t="n">
        <v>0</v>
      </c>
      <c r="AF235" s="1074" t="inlineStr">
        <is>
          <t>高心怡04</t>
        </is>
      </c>
      <c r="AG235" s="1074" t="inlineStr">
        <is>
          <t>01智慧林</t>
        </is>
      </c>
      <c r="AH235" s="1074" t="inlineStr">
        <is>
          <t>15:50-18:00</t>
        </is>
      </c>
      <c r="AI235" s="1074" t="inlineStr">
        <is>
          <t>潜能班</t>
        </is>
      </c>
      <c r="AJ235" s="1074" t="inlineStr">
        <is>
          <t>一期</t>
        </is>
      </c>
      <c r="AK235" s="1074" t="inlineStr">
        <is>
          <t>在读</t>
        </is>
      </c>
      <c r="AL235" s="1074" t="inlineStr">
        <is>
          <t>-</t>
        </is>
      </c>
      <c r="AM235" s="1074" t="n"/>
      <c r="AN235" s="1074" t="n"/>
      <c r="AO235" s="1074" t="n"/>
      <c r="AP235" s="1074" t="n"/>
      <c r="AQ235" s="1074" t="n"/>
      <c r="AR235" s="1074" t="inlineStr">
        <is>
          <t>S</t>
        </is>
      </c>
      <c r="AS235" s="1074" t="inlineStr">
        <is>
          <t>和黄靖柔是好闺蜜，校内都是90多，家在海珠那边，靖柔报名，她大概率会报名</t>
        </is>
      </c>
      <c r="AT235" s="311" t="n"/>
    </row>
    <row r="236" ht="26.25" customFormat="1" customHeight="1" s="366">
      <c r="A236" s="1074" t="inlineStr">
        <is>
          <t>新宝利</t>
        </is>
      </c>
      <c r="B236" s="1074" t="inlineStr">
        <is>
          <t>2503083328</t>
        </is>
      </c>
      <c r="C236" s="1074" t="inlineStr">
        <is>
          <t>卢章沺</t>
        </is>
      </c>
      <c r="D236" s="1074" t="inlineStr">
        <is>
          <t>张敏烨</t>
        </is>
      </c>
      <c r="E236" s="1074" t="inlineStr">
        <is>
          <t>纯拉新</t>
        </is>
      </c>
      <c r="F236" s="1074" t="n"/>
      <c r="G236" s="1074" t="n"/>
      <c r="H236" s="1074" t="inlineStr">
        <is>
          <t>在读</t>
        </is>
      </c>
      <c r="I236" s="1074" t="inlineStr">
        <is>
          <t>三期</t>
        </is>
      </c>
      <c r="J236" s="1074" t="inlineStr">
        <is>
          <t>5111035</t>
        </is>
      </c>
      <c r="K236" s="1074" t="inlineStr">
        <is>
          <t>报前测成绩</t>
        </is>
      </c>
      <c r="L236" s="1074" t="n">
        <v>100</v>
      </c>
      <c r="M236" s="1074" t="inlineStr">
        <is>
          <t>-</t>
        </is>
      </c>
      <c r="N236" s="1074" t="inlineStr">
        <is>
          <t>何咏04</t>
        </is>
      </c>
      <c r="O236" s="1074" t="inlineStr">
        <is>
          <t>教室2</t>
        </is>
      </c>
      <c r="P236" s="1074" t="inlineStr">
        <is>
          <t>15:50-18:00</t>
        </is>
      </c>
      <c r="Q236" s="1074" t="inlineStr">
        <is>
          <t>启能班</t>
        </is>
      </c>
      <c r="R236" s="1074" t="inlineStr">
        <is>
          <t>三期</t>
        </is>
      </c>
      <c r="S236" s="1074" t="inlineStr">
        <is>
          <t>在读</t>
        </is>
      </c>
      <c r="T236" s="1074" t="inlineStr">
        <is>
          <t>-</t>
        </is>
      </c>
      <c r="U236" s="1074" t="inlineStr">
        <is>
          <t>5170873</t>
        </is>
      </c>
      <c r="V236" s="1074" t="n">
        <v>0</v>
      </c>
      <c r="W236" s="1074" t="inlineStr">
        <is>
          <t>李润</t>
        </is>
      </c>
      <c r="X236" s="1074" t="inlineStr">
        <is>
          <t>教室2</t>
        </is>
      </c>
      <c r="Y236" s="1074" t="inlineStr">
        <is>
          <t>13:20-15:30</t>
        </is>
      </c>
      <c r="Z236" s="1074" t="inlineStr">
        <is>
          <t>潜能班</t>
        </is>
      </c>
      <c r="AA236" s="1074" t="inlineStr">
        <is>
          <t>三期</t>
        </is>
      </c>
      <c r="AB236" s="1074" t="inlineStr">
        <is>
          <t>在读</t>
        </is>
      </c>
      <c r="AC236" s="1074" t="inlineStr">
        <is>
          <t>-</t>
        </is>
      </c>
      <c r="AD236" s="1074" t="inlineStr">
        <is>
          <t>5170871</t>
        </is>
      </c>
      <c r="AE236" s="1074" t="n">
        <v>44</v>
      </c>
      <c r="AF236" s="1074" t="inlineStr">
        <is>
          <t>肖锐03</t>
        </is>
      </c>
      <c r="AG236" s="1074" t="inlineStr">
        <is>
          <t>教室2</t>
        </is>
      </c>
      <c r="AH236" s="1074" t="inlineStr">
        <is>
          <t>10:20-12:30</t>
        </is>
      </c>
      <c r="AI236" s="1074" t="inlineStr">
        <is>
          <t>潜能班</t>
        </is>
      </c>
      <c r="AJ236" s="1074" t="inlineStr">
        <is>
          <t>三期</t>
        </is>
      </c>
      <c r="AK236" s="1074" t="inlineStr">
        <is>
          <t>在读</t>
        </is>
      </c>
      <c r="AL236" s="1074" t="inlineStr">
        <is>
          <t>-</t>
        </is>
      </c>
      <c r="AM236" s="1074" t="n"/>
      <c r="AN236" s="1074" t="n"/>
      <c r="AO236" s="1074" t="n"/>
      <c r="AP236" s="1074" t="n"/>
      <c r="AQ236" s="1074" t="n"/>
      <c r="AR236" s="1074" t="inlineStr">
        <is>
          <t>S</t>
        </is>
      </c>
      <c r="AS236" s="1074" t="inlineStr">
        <is>
          <t>了解秋季价格，有长期补习的计划，对价格比较敏感</t>
        </is>
      </c>
      <c r="AT236" s="311" t="n"/>
    </row>
    <row r="237" ht="26.25" customFormat="1" customHeight="1" s="366">
      <c r="A237" s="1074" t="inlineStr">
        <is>
          <t>新宝利</t>
        </is>
      </c>
      <c r="B237" s="1074" t="inlineStr">
        <is>
          <t>4826909405</t>
        </is>
      </c>
      <c r="C237" s="1074" t="inlineStr">
        <is>
          <t>圣鑫</t>
        </is>
      </c>
      <c r="D237" s="1074" t="inlineStr">
        <is>
          <t>林志豪01</t>
        </is>
      </c>
      <c r="E237" s="1074" t="inlineStr">
        <is>
          <t>断报老生</t>
        </is>
      </c>
      <c r="F237" s="1074" t="inlineStr">
        <is>
          <t>换手机号、换UID报名，原名梁圣鑫。成绩奇差，自然流失。</t>
        </is>
      </c>
      <c r="G237" s="1074" t="n"/>
      <c r="H237" s="1074" t="inlineStr">
        <is>
          <t>在读</t>
        </is>
      </c>
      <c r="I237" s="1074" t="inlineStr">
        <is>
          <t>三期</t>
        </is>
      </c>
      <c r="J237" s="1074" t="inlineStr">
        <is>
          <t>3132902</t>
        </is>
      </c>
      <c r="K237" s="1074" t="inlineStr">
        <is>
          <t>报前测成绩</t>
        </is>
      </c>
      <c r="L237" s="1074" t="n">
        <v>19</v>
      </c>
      <c r="M237" s="1074" t="inlineStr">
        <is>
          <t>-</t>
        </is>
      </c>
      <c r="N237" s="1074" t="inlineStr">
        <is>
          <t>陈中帅</t>
        </is>
      </c>
      <c r="O237" s="1074" t="inlineStr">
        <is>
          <t>教室3</t>
        </is>
      </c>
      <c r="P237" s="1074" t="inlineStr">
        <is>
          <t>13:20-15:30</t>
        </is>
      </c>
      <c r="Q237" s="1074" t="inlineStr">
        <is>
          <t>潜能班</t>
        </is>
      </c>
      <c r="R237" s="1074" t="inlineStr">
        <is>
          <t>三期</t>
        </is>
      </c>
      <c r="S237" s="1074" t="inlineStr">
        <is>
          <t>在读</t>
        </is>
      </c>
      <c r="T237" s="1074" t="inlineStr">
        <is>
          <t>-</t>
        </is>
      </c>
      <c r="U237" s="1074" t="inlineStr">
        <is>
          <t>5230747</t>
        </is>
      </c>
      <c r="V237" s="1074" t="n">
        <v>29</v>
      </c>
      <c r="W237" s="1074" t="inlineStr">
        <is>
          <t>陈南05</t>
        </is>
      </c>
      <c r="X237" s="1074" t="inlineStr">
        <is>
          <t>教室3</t>
        </is>
      </c>
      <c r="Y237" s="1074" t="inlineStr">
        <is>
          <t>10:20-12:30</t>
        </is>
      </c>
      <c r="Z237" s="1074" t="inlineStr">
        <is>
          <t>潜能班</t>
        </is>
      </c>
      <c r="AA237" s="1074" t="inlineStr">
        <is>
          <t>三期</t>
        </is>
      </c>
      <c r="AB237" s="1074" t="inlineStr">
        <is>
          <t>在读</t>
        </is>
      </c>
      <c r="AC237" s="1074" t="inlineStr">
        <is>
          <t>-</t>
        </is>
      </c>
      <c r="AD237" s="1074" t="inlineStr">
        <is>
          <t>5230821</t>
        </is>
      </c>
      <c r="AE237" s="1074" t="n">
        <v>21</v>
      </c>
      <c r="AF237" s="1074" t="inlineStr">
        <is>
          <t>肖锐03</t>
        </is>
      </c>
      <c r="AG237" s="1074" t="inlineStr">
        <is>
          <t>教室3</t>
        </is>
      </c>
      <c r="AH237" s="1074" t="inlineStr">
        <is>
          <t>15:50-18:00</t>
        </is>
      </c>
      <c r="AI237" s="1074" t="inlineStr">
        <is>
          <t>潜能班</t>
        </is>
      </c>
      <c r="AJ237" s="1074" t="inlineStr">
        <is>
          <t>三期</t>
        </is>
      </c>
      <c r="AK237" s="1074" t="inlineStr">
        <is>
          <t>在读</t>
        </is>
      </c>
      <c r="AL237" s="1074" t="inlineStr">
        <is>
          <t>-</t>
        </is>
      </c>
      <c r="AM237" s="1074" t="n"/>
      <c r="AN237" s="1074" t="n"/>
      <c r="AO237" s="1074" t="n"/>
      <c r="AP237" s="1074" t="n"/>
      <c r="AQ237" s="1074" t="n"/>
      <c r="AR237" s="1074" t="inlineStr">
        <is>
          <t>A</t>
        </is>
      </c>
      <c r="AS237" s="1074" t="inlineStr">
        <is>
          <t>之前大帅老师秋季暑假在读，目前孩子又退步了，所以又来补习，需求数学</t>
        </is>
      </c>
      <c r="AT237" s="311" t="n"/>
    </row>
    <row r="238" ht="26.25" customFormat="1" customHeight="1" s="366">
      <c r="A238" s="1074" t="inlineStr">
        <is>
          <t>同创汇</t>
        </is>
      </c>
      <c r="B238" s="1074" t="inlineStr">
        <is>
          <t>4408597383</t>
        </is>
      </c>
      <c r="C238" s="1074" t="inlineStr">
        <is>
          <t>姚奇葆</t>
        </is>
      </c>
      <c r="D238" s="1074" t="inlineStr">
        <is>
          <t>戎凯01</t>
        </is>
      </c>
      <c r="E238" s="1074" t="inlineStr">
        <is>
          <t>纯拉新</t>
        </is>
      </c>
      <c r="F238" s="1074" t="n"/>
      <c r="G238" s="1074" t="n"/>
      <c r="H238" s="1074" t="inlineStr">
        <is>
          <t>退费</t>
        </is>
      </c>
      <c r="I238" s="1074" t="inlineStr">
        <is>
          <t>-</t>
        </is>
      </c>
      <c r="J238" s="1074" t="inlineStr">
        <is>
          <t>5230719</t>
        </is>
      </c>
      <c r="K238" s="1074" t="inlineStr">
        <is>
          <t>报前测成绩</t>
        </is>
      </c>
      <c r="L238" s="1074" t="n">
        <v>90</v>
      </c>
      <c r="M238" s="1074" t="inlineStr">
        <is>
          <t>-</t>
        </is>
      </c>
      <c r="N238" s="1074" t="inlineStr">
        <is>
          <t>陈中帅</t>
        </is>
      </c>
      <c r="O238" s="1074" t="inlineStr">
        <is>
          <t>01智慧林</t>
        </is>
      </c>
      <c r="P238" s="1074" t="inlineStr">
        <is>
          <t>13:20-15:30</t>
        </is>
      </c>
      <c r="Q238" s="1074" t="inlineStr">
        <is>
          <t>启能班</t>
        </is>
      </c>
      <c r="R238" s="1074" t="inlineStr">
        <is>
          <t>一期</t>
        </is>
      </c>
      <c r="S238" s="1074" t="inlineStr">
        <is>
          <t>课前退</t>
        </is>
      </c>
      <c r="T238" s="1074" t="inlineStr">
        <is>
          <t>-</t>
        </is>
      </c>
      <c r="U238" s="1074" t="inlineStr">
        <is>
          <t>5230828</t>
        </is>
      </c>
      <c r="V238" s="1074" t="n">
        <v>41</v>
      </c>
      <c r="W238" s="1074" t="inlineStr">
        <is>
          <t>黄铭怡</t>
        </is>
      </c>
      <c r="X238" s="1074" t="inlineStr">
        <is>
          <t>01智慧林</t>
        </is>
      </c>
      <c r="Y238" s="1074" t="inlineStr">
        <is>
          <t>10:20-12:30</t>
        </is>
      </c>
      <c r="Z238" s="1074" t="inlineStr">
        <is>
          <t>潜能班</t>
        </is>
      </c>
      <c r="AA238" s="1074" t="inlineStr">
        <is>
          <t>一期</t>
        </is>
      </c>
      <c r="AB238" s="1074" t="inlineStr">
        <is>
          <t>课前退</t>
        </is>
      </c>
      <c r="AC238" s="1074" t="inlineStr">
        <is>
          <t>-</t>
        </is>
      </c>
      <c r="AD238" s="1074" t="inlineStr">
        <is>
          <t>3132869</t>
        </is>
      </c>
      <c r="AE238" s="1074" t="n">
        <v>45</v>
      </c>
      <c r="AF238" s="1074" t="inlineStr">
        <is>
          <t>高心怡04</t>
        </is>
      </c>
      <c r="AG238" s="1074" t="inlineStr">
        <is>
          <t>01智慧林</t>
        </is>
      </c>
      <c r="AH238" s="1074" t="inlineStr">
        <is>
          <t>15:50-18:00</t>
        </is>
      </c>
      <c r="AI238" s="1074" t="inlineStr">
        <is>
          <t>潜能班</t>
        </is>
      </c>
      <c r="AJ238" s="1074" t="inlineStr">
        <is>
          <t>一期</t>
        </is>
      </c>
      <c r="AK238" s="1074" t="inlineStr">
        <is>
          <t>课前退</t>
        </is>
      </c>
      <c r="AL238" s="1074" t="inlineStr">
        <is>
          <t>-</t>
        </is>
      </c>
      <c r="AM238" s="1074" t="n"/>
      <c r="AN238" s="1074" t="n"/>
      <c r="AO238" s="1074" t="n"/>
      <c r="AP238" s="1074" t="n"/>
      <c r="AQ238" s="1074" t="n"/>
      <c r="AR238" s="1074" t="n"/>
      <c r="AS238" s="1074" t="n"/>
      <c r="AT238" s="311" t="n"/>
    </row>
    <row r="239" ht="26.25" customFormat="1" customHeight="1" s="366">
      <c r="A239" s="1074" t="inlineStr">
        <is>
          <t>新宝利</t>
        </is>
      </c>
      <c r="B239" s="1074" t="inlineStr">
        <is>
          <t>4833286317</t>
        </is>
      </c>
      <c r="C239" s="1074" t="inlineStr">
        <is>
          <t>冯芊诺</t>
        </is>
      </c>
      <c r="D239" s="1074" t="inlineStr">
        <is>
          <t>林志豪01</t>
        </is>
      </c>
      <c r="E239" s="1074" t="inlineStr">
        <is>
          <t>反复低价</t>
        </is>
      </c>
      <c r="F239" s="1074" t="inlineStr">
        <is>
          <t>换手机号、换UID报名，原新宝利首批特惠学员，未转化。原UID：2572060809</t>
        </is>
      </c>
      <c r="G239" s="1074" t="n"/>
      <c r="H239" s="1074" t="inlineStr">
        <is>
          <t>在读</t>
        </is>
      </c>
      <c r="I239" s="1074" t="inlineStr">
        <is>
          <t>一期</t>
        </is>
      </c>
      <c r="J239" s="1074" t="inlineStr">
        <is>
          <t>5230732</t>
        </is>
      </c>
      <c r="K239" s="1074" t="inlineStr">
        <is>
          <t>报前测成绩</t>
        </is>
      </c>
      <c r="L239" s="1074" t="n">
        <v>100</v>
      </c>
      <c r="M239" s="1074" t="inlineStr">
        <is>
          <t>-</t>
        </is>
      </c>
      <c r="N239" s="1074" t="inlineStr">
        <is>
          <t>何咏04</t>
        </is>
      </c>
      <c r="O239" s="1074" t="inlineStr">
        <is>
          <t>教室3</t>
        </is>
      </c>
      <c r="P239" s="1074" t="inlineStr">
        <is>
          <t>10:30-12:40</t>
        </is>
      </c>
      <c r="Q239" s="1074" t="inlineStr">
        <is>
          <t>启能班</t>
        </is>
      </c>
      <c r="R239" s="1074" t="inlineStr">
        <is>
          <t>一期</t>
        </is>
      </c>
      <c r="S239" s="1074" t="inlineStr">
        <is>
          <t>在读</t>
        </is>
      </c>
      <c r="T239" s="1074" t="inlineStr">
        <is>
          <t>-</t>
        </is>
      </c>
      <c r="U239" s="1074" t="inlineStr">
        <is>
          <t>5170706</t>
        </is>
      </c>
      <c r="V239" s="1074" t="n">
        <v>0</v>
      </c>
      <c r="W239" s="1074" t="inlineStr">
        <is>
          <t>李润</t>
        </is>
      </c>
      <c r="X239" s="1074" t="inlineStr">
        <is>
          <t>教室3</t>
        </is>
      </c>
      <c r="Y239" s="1074" t="inlineStr">
        <is>
          <t>13:20-15:30</t>
        </is>
      </c>
      <c r="Z239" s="1074" t="inlineStr">
        <is>
          <t>潜能班</t>
        </is>
      </c>
      <c r="AA239" s="1074" t="inlineStr">
        <is>
          <t>一期</t>
        </is>
      </c>
      <c r="AB239" s="1074" t="inlineStr">
        <is>
          <t>在读</t>
        </is>
      </c>
      <c r="AC239" s="1074" t="inlineStr">
        <is>
          <t>-</t>
        </is>
      </c>
      <c r="AD239" s="1074" t="inlineStr">
        <is>
          <t>3132899</t>
        </is>
      </c>
      <c r="AE239" s="1074" t="n">
        <v>20.5</v>
      </c>
      <c r="AF239" s="1074" t="inlineStr">
        <is>
          <t>肖锐03</t>
        </is>
      </c>
      <c r="AG239" s="1074" t="inlineStr">
        <is>
          <t>教室3</t>
        </is>
      </c>
      <c r="AH239" s="1074" t="inlineStr">
        <is>
          <t>07:50-10:00</t>
        </is>
      </c>
      <c r="AI239" s="1074" t="inlineStr">
        <is>
          <t>潜能班</t>
        </is>
      </c>
      <c r="AJ239" s="1074" t="inlineStr">
        <is>
          <t>一期</t>
        </is>
      </c>
      <c r="AK239" s="1074" t="inlineStr">
        <is>
          <t>在读</t>
        </is>
      </c>
      <c r="AL239" s="1074" t="inlineStr">
        <is>
          <t>-</t>
        </is>
      </c>
      <c r="AM239" s="1074" t="n"/>
      <c r="AN239" s="1074" t="n"/>
      <c r="AO239" s="1074" t="n"/>
      <c r="AP239" s="1074" t="n"/>
      <c r="AQ239" s="1074" t="n"/>
      <c r="AR239" s="1074" t="inlineStr">
        <is>
          <t>B</t>
        </is>
      </c>
      <c r="AS239" s="1074" t="inlineStr">
        <is>
          <t>孩子数学还行，英语有需求，看暑假情况安排，妈咪沟通时有说未来要看初中在哪里</t>
        </is>
      </c>
      <c r="AT239" s="311" t="n"/>
    </row>
    <row r="240" ht="26.25" customFormat="1" customHeight="1" s="366">
      <c r="A240" s="1074" t="inlineStr">
        <is>
          <t>新宝利</t>
        </is>
      </c>
      <c r="B240" s="1074" t="inlineStr">
        <is>
          <t>4100299520</t>
        </is>
      </c>
      <c r="C240" s="1074" t="inlineStr">
        <is>
          <t>钟欣妍</t>
        </is>
      </c>
      <c r="D240" s="1074" t="inlineStr">
        <is>
          <t>陈亮延</t>
        </is>
      </c>
      <c r="E240" s="1074" t="inlineStr">
        <is>
          <t>纯拉新</t>
        </is>
      </c>
      <c r="F240" s="1074" t="n"/>
      <c r="G240" s="1074" t="n"/>
      <c r="H240" s="1074" t="inlineStr">
        <is>
          <t>在读</t>
        </is>
      </c>
      <c r="I240" s="1074" t="inlineStr">
        <is>
          <t>零期/一期</t>
        </is>
      </c>
      <c r="J240" s="1074" t="inlineStr">
        <is>
          <t>5230732</t>
        </is>
      </c>
      <c r="K240" s="1074" t="inlineStr">
        <is>
          <t>报前测成绩</t>
        </is>
      </c>
      <c r="L240" s="1074" t="n">
        <v>84</v>
      </c>
      <c r="M240" s="1074" t="inlineStr">
        <is>
          <t>-</t>
        </is>
      </c>
      <c r="N240" s="1074" t="inlineStr">
        <is>
          <t>何咏04</t>
        </is>
      </c>
      <c r="O240" s="1074" t="inlineStr">
        <is>
          <t>教室3</t>
        </is>
      </c>
      <c r="P240" s="1074" t="inlineStr">
        <is>
          <t>10:30-12:40</t>
        </is>
      </c>
      <c r="Q240" s="1074" t="inlineStr">
        <is>
          <t>启能班</t>
        </is>
      </c>
      <c r="R240" s="1074" t="inlineStr">
        <is>
          <t>一期</t>
        </is>
      </c>
      <c r="S240" s="1074" t="inlineStr">
        <is>
          <t>在读</t>
        </is>
      </c>
      <c r="T240" s="1074" t="inlineStr">
        <is>
          <t>-</t>
        </is>
      </c>
      <c r="U240" s="1074" t="inlineStr">
        <is>
          <t>4513265</t>
        </is>
      </c>
      <c r="V240" s="1074" t="n">
        <v>35</v>
      </c>
      <c r="W240" s="1074" t="inlineStr">
        <is>
          <t>李润</t>
        </is>
      </c>
      <c r="X240" s="1074" t="inlineStr">
        <is>
          <t>教室3</t>
        </is>
      </c>
      <c r="Y240" s="1074" t="inlineStr">
        <is>
          <t>10:20-12:30</t>
        </is>
      </c>
      <c r="Z240" s="1074" t="inlineStr">
        <is>
          <t>潜能班</t>
        </is>
      </c>
      <c r="AA240" s="1074" t="inlineStr">
        <is>
          <t>零期</t>
        </is>
      </c>
      <c r="AB240" s="1074" t="inlineStr">
        <is>
          <t>在读</t>
        </is>
      </c>
      <c r="AC240" s="1074" t="inlineStr">
        <is>
          <t>-</t>
        </is>
      </c>
      <c r="AD240" s="1074" t="inlineStr">
        <is>
          <t>5230727</t>
        </is>
      </c>
      <c r="AE240" s="1074" t="n">
        <v>36</v>
      </c>
      <c r="AF240" s="1074" t="inlineStr">
        <is>
          <t>肖锐03</t>
        </is>
      </c>
      <c r="AG240" s="1074" t="inlineStr">
        <is>
          <t>教室2</t>
        </is>
      </c>
      <c r="AH240" s="1074" t="inlineStr">
        <is>
          <t>13:20-15:30</t>
        </is>
      </c>
      <c r="AI240" s="1074" t="inlineStr">
        <is>
          <t>潜能班</t>
        </is>
      </c>
      <c r="AJ240" s="1074" t="inlineStr">
        <is>
          <t>零期</t>
        </is>
      </c>
      <c r="AK240" s="1074" t="inlineStr">
        <is>
          <t>在读</t>
        </is>
      </c>
      <c r="AL240" s="1074" t="inlineStr">
        <is>
          <t>-</t>
        </is>
      </c>
      <c r="AM240" s="1074" t="inlineStr">
        <is>
          <t>是</t>
        </is>
      </c>
      <c r="AN240" s="1074" t="inlineStr">
        <is>
          <t>否</t>
        </is>
      </c>
      <c r="AO240" s="1074" t="inlineStr">
        <is>
          <t>否</t>
        </is>
      </c>
      <c r="AP240" s="1074" t="n"/>
      <c r="AQ240" s="1074" t="n"/>
      <c r="AR240" s="1074" t="inlineStr">
        <is>
          <t>S</t>
        </is>
      </c>
      <c r="AS240" s="1074" t="inlineStr">
        <is>
          <t>目前有在沃伦上数学，课前有问过秋季课程安排</t>
        </is>
      </c>
      <c r="AT240" s="311" t="n"/>
    </row>
    <row r="241" ht="26.25" customFormat="1" customHeight="1" s="366">
      <c r="A241" s="1074" t="inlineStr">
        <is>
          <t>新宝利</t>
        </is>
      </c>
      <c r="B241" s="1074" t="inlineStr">
        <is>
          <t>2579928838</t>
        </is>
      </c>
      <c r="C241" s="1074" t="inlineStr">
        <is>
          <t>王若清</t>
        </is>
      </c>
      <c r="D241" s="1074" t="inlineStr">
        <is>
          <t>沈思浩</t>
        </is>
      </c>
      <c r="E241" s="1074" t="inlineStr">
        <is>
          <t>纯拉新</t>
        </is>
      </c>
      <c r="F241" s="1074" t="n"/>
      <c r="G241" s="1074" t="n"/>
      <c r="H241" s="1074" t="inlineStr">
        <is>
          <t>在读</t>
        </is>
      </c>
      <c r="I241" s="1074" t="inlineStr">
        <is>
          <t>一期</t>
        </is>
      </c>
      <c r="J241" s="1074" t="inlineStr">
        <is>
          <t>5230742</t>
        </is>
      </c>
      <c r="K241" s="1074" t="inlineStr">
        <is>
          <t>报前测成绩</t>
        </is>
      </c>
      <c r="L241" s="1074" t="n">
        <v>64</v>
      </c>
      <c r="M241" s="1074" t="inlineStr">
        <is>
          <t>-</t>
        </is>
      </c>
      <c r="N241" s="1074" t="inlineStr">
        <is>
          <t>何咏04</t>
        </is>
      </c>
      <c r="O241" s="1074" t="inlineStr">
        <is>
          <t>教室2</t>
        </is>
      </c>
      <c r="P241" s="1074" t="inlineStr">
        <is>
          <t>13:20-15:30</t>
        </is>
      </c>
      <c r="Q241" s="1074" t="inlineStr">
        <is>
          <t>潜能班</t>
        </is>
      </c>
      <c r="R241" s="1074" t="inlineStr">
        <is>
          <t>一期</t>
        </is>
      </c>
      <c r="S241" s="1074" t="inlineStr">
        <is>
          <t>在读</t>
        </is>
      </c>
      <c r="T241" s="1074" t="inlineStr">
        <is>
          <t>-</t>
        </is>
      </c>
      <c r="U241" s="1074" t="inlineStr">
        <is>
          <t>5230773</t>
        </is>
      </c>
      <c r="V241" s="1074" t="n">
        <v>30</v>
      </c>
      <c r="W241" s="1074" t="inlineStr">
        <is>
          <t>陈南05</t>
        </is>
      </c>
      <c r="X241" s="1074" t="inlineStr">
        <is>
          <t>教室2</t>
        </is>
      </c>
      <c r="Y241" s="1074" t="inlineStr">
        <is>
          <t>15:50-18:00</t>
        </is>
      </c>
      <c r="Z241" s="1074" t="inlineStr">
        <is>
          <t>潜能班</t>
        </is>
      </c>
      <c r="AA241" s="1074" t="inlineStr">
        <is>
          <t>一期</t>
        </is>
      </c>
      <c r="AB241" s="1074" t="inlineStr">
        <is>
          <t>在读</t>
        </is>
      </c>
      <c r="AC241" s="1074" t="inlineStr">
        <is>
          <t>-</t>
        </is>
      </c>
      <c r="AD241" s="1074" t="inlineStr">
        <is>
          <t>3132888</t>
        </is>
      </c>
      <c r="AE241" s="1074" t="n">
        <v>30</v>
      </c>
      <c r="AF241" s="1074" t="inlineStr">
        <is>
          <t>肖锐03</t>
        </is>
      </c>
      <c r="AG241" s="1074" t="inlineStr">
        <is>
          <t>教室2</t>
        </is>
      </c>
      <c r="AH241" s="1074" t="inlineStr">
        <is>
          <t>10:20-12:30</t>
        </is>
      </c>
      <c r="AI241" s="1074" t="inlineStr">
        <is>
          <t>潜能班</t>
        </is>
      </c>
      <c r="AJ241" s="1074" t="inlineStr">
        <is>
          <t>一期</t>
        </is>
      </c>
      <c r="AK241" s="1074" t="inlineStr">
        <is>
          <t>在读</t>
        </is>
      </c>
      <c r="AL241" s="1074" t="inlineStr">
        <is>
          <t>-</t>
        </is>
      </c>
      <c r="AM241" s="1074" t="n"/>
      <c r="AN241" s="1074" t="n"/>
      <c r="AO241" s="1074" t="n"/>
      <c r="AP241" s="1074" t="n"/>
      <c r="AQ241" s="1074" t="n"/>
      <c r="AR241" s="1074" t="inlineStr">
        <is>
          <t>A</t>
        </is>
      </c>
      <c r="AS241" s="1074" t="inlineStr">
        <is>
          <t>家长重视教育，先看学习效果再看后面是不是续费</t>
        </is>
      </c>
      <c r="AT241" s="311" t="n"/>
    </row>
    <row r="242" ht="26.25" customFormat="1" customHeight="1" s="366">
      <c r="A242" s="1074" t="inlineStr">
        <is>
          <t>新宝利</t>
        </is>
      </c>
      <c r="B242" s="1074" t="inlineStr">
        <is>
          <t>4831946242</t>
        </is>
      </c>
      <c r="C242" s="1074" t="inlineStr">
        <is>
          <t>张艺</t>
        </is>
      </c>
      <c r="D242" s="1074" t="inlineStr">
        <is>
          <t>王达04</t>
        </is>
      </c>
      <c r="E242" s="1074" t="inlineStr">
        <is>
          <t>纯拉新</t>
        </is>
      </c>
      <c r="F242" s="1074" t="n"/>
      <c r="G242" s="1074" t="n"/>
      <c r="H242" s="1074" t="inlineStr">
        <is>
          <t>在读</t>
        </is>
      </c>
      <c r="I242" s="1074" t="inlineStr">
        <is>
          <t>二期</t>
        </is>
      </c>
      <c r="J242" s="1074" t="inlineStr">
        <is>
          <t>5111034</t>
        </is>
      </c>
      <c r="K242" s="1074" t="inlineStr">
        <is>
          <t>校内成绩</t>
        </is>
      </c>
      <c r="L242" s="1074" t="n">
        <v>85</v>
      </c>
      <c r="M242" s="1074" t="n">
        <v>95</v>
      </c>
      <c r="N242" s="1074" t="inlineStr">
        <is>
          <t>田雨涵01</t>
        </is>
      </c>
      <c r="O242" s="1074" t="inlineStr">
        <is>
          <t>教室4</t>
        </is>
      </c>
      <c r="P242" s="1074" t="inlineStr">
        <is>
          <t>13:20-15:30</t>
        </is>
      </c>
      <c r="Q242" s="1074" t="inlineStr">
        <is>
          <t>潜能班</t>
        </is>
      </c>
      <c r="R242" s="1074" t="inlineStr">
        <is>
          <t>二期</t>
        </is>
      </c>
      <c r="S242" s="1074" t="inlineStr">
        <is>
          <t>在读</t>
        </is>
      </c>
      <c r="T242" s="1074" t="inlineStr">
        <is>
          <t>-</t>
        </is>
      </c>
      <c r="U242" s="1074" t="inlineStr">
        <is>
          <t>4513342</t>
        </is>
      </c>
      <c r="V242" s="1074" t="n">
        <v>0</v>
      </c>
      <c r="W242" s="1074" t="inlineStr">
        <is>
          <t>黄铭怡</t>
        </is>
      </c>
      <c r="X242" s="1074" t="inlineStr">
        <is>
          <t>教室4</t>
        </is>
      </c>
      <c r="Y242" s="1074" t="inlineStr">
        <is>
          <t>10:20-12:30</t>
        </is>
      </c>
      <c r="Z242" s="1074" t="inlineStr">
        <is>
          <t>潜能班</t>
        </is>
      </c>
      <c r="AA242" s="1074" t="inlineStr">
        <is>
          <t>二期</t>
        </is>
      </c>
      <c r="AB242" s="1074" t="inlineStr">
        <is>
          <t>在读</t>
        </is>
      </c>
      <c r="AC242" s="1074" t="inlineStr">
        <is>
          <t>-</t>
        </is>
      </c>
      <c r="AD242" s="1074" t="inlineStr">
        <is>
          <t>4513340</t>
        </is>
      </c>
      <c r="AE242" s="1074" t="n">
        <v>0</v>
      </c>
      <c r="AF242" s="1074" t="inlineStr">
        <is>
          <t>高心怡04</t>
        </is>
      </c>
      <c r="AG242" s="1074" t="inlineStr">
        <is>
          <t>教室4</t>
        </is>
      </c>
      <c r="AH242" s="1074" t="inlineStr">
        <is>
          <t>15:50-18:00</t>
        </is>
      </c>
      <c r="AI242" s="1074" t="inlineStr">
        <is>
          <t>潜能班</t>
        </is>
      </c>
      <c r="AJ242" s="1074" t="inlineStr">
        <is>
          <t>二期</t>
        </is>
      </c>
      <c r="AK242" s="1074" t="inlineStr">
        <is>
          <t>在读</t>
        </is>
      </c>
      <c r="AL242" s="1074" t="inlineStr">
        <is>
          <t>-</t>
        </is>
      </c>
      <c r="AM242" s="1074" t="n"/>
      <c r="AN242" s="1074" t="n"/>
      <c r="AO242" s="1074" t="n"/>
      <c r="AP242" s="1074" t="n"/>
      <c r="AQ242" s="1074" t="n"/>
      <c r="AR242" s="1074" t="inlineStr">
        <is>
          <t>A</t>
        </is>
      </c>
      <c r="AS242" s="1074" t="inlineStr">
        <is>
          <t>转介绍，回民，有提前规划意识，觉得初中得给孩子规划</t>
        </is>
      </c>
      <c r="AT242" s="311" t="n"/>
    </row>
    <row r="243" ht="26.25" customFormat="1" customHeight="1" s="366">
      <c r="A243" s="1074" t="inlineStr">
        <is>
          <t>新宝利</t>
        </is>
      </c>
      <c r="B243" s="1074" t="inlineStr">
        <is>
          <t>4185156138</t>
        </is>
      </c>
      <c r="C243" s="1074" t="inlineStr">
        <is>
          <t>李梵煊</t>
        </is>
      </c>
      <c r="D243" s="1074" t="inlineStr">
        <is>
          <t>杨林33</t>
        </is>
      </c>
      <c r="E243" s="1074" t="inlineStr">
        <is>
          <t>纯拉新</t>
        </is>
      </c>
      <c r="F243" s="1074" t="n"/>
      <c r="G243" s="1074" t="n"/>
      <c r="H243" s="1074" t="inlineStr">
        <is>
          <t>在读</t>
        </is>
      </c>
      <c r="I243" s="1074" t="inlineStr">
        <is>
          <t>三期</t>
        </is>
      </c>
      <c r="J243" s="1074" t="inlineStr">
        <is>
          <t>5111035</t>
        </is>
      </c>
      <c r="K243" s="1074" t="inlineStr">
        <is>
          <t>校内成绩</t>
        </is>
      </c>
      <c r="L243" s="1074" t="n">
        <v>85</v>
      </c>
      <c r="M243" s="1074" t="n">
        <v>95</v>
      </c>
      <c r="N243" s="1074" t="inlineStr">
        <is>
          <t>何咏04</t>
        </is>
      </c>
      <c r="O243" s="1074" t="inlineStr">
        <is>
          <t>教室2</t>
        </is>
      </c>
      <c r="P243" s="1074" t="inlineStr">
        <is>
          <t>15:50-18:00</t>
        </is>
      </c>
      <c r="Q243" s="1074" t="inlineStr">
        <is>
          <t>启能班</t>
        </is>
      </c>
      <c r="R243" s="1074" t="inlineStr">
        <is>
          <t>三期</t>
        </is>
      </c>
      <c r="S243" s="1074" t="inlineStr">
        <is>
          <t>在读</t>
        </is>
      </c>
      <c r="T243" s="1074" t="inlineStr">
        <is>
          <t>-</t>
        </is>
      </c>
      <c r="U243" s="1074" t="inlineStr">
        <is>
          <t>5170873</t>
        </is>
      </c>
      <c r="V243" s="1074" t="n"/>
      <c r="W243" s="1074" t="inlineStr">
        <is>
          <t>李润</t>
        </is>
      </c>
      <c r="X243" s="1074" t="inlineStr">
        <is>
          <t>教室2</t>
        </is>
      </c>
      <c r="Y243" s="1074" t="inlineStr">
        <is>
          <t>13:20-15:30</t>
        </is>
      </c>
      <c r="Z243" s="1074" t="inlineStr">
        <is>
          <t>潜能班</t>
        </is>
      </c>
      <c r="AA243" s="1074" t="inlineStr">
        <is>
          <t>三期</t>
        </is>
      </c>
      <c r="AB243" s="1074" t="inlineStr">
        <is>
          <t>在读</t>
        </is>
      </c>
      <c r="AC243" s="1074" t="inlineStr">
        <is>
          <t>-</t>
        </is>
      </c>
      <c r="AD243" s="1074" t="inlineStr">
        <is>
          <t>5170871</t>
        </is>
      </c>
      <c r="AE243" s="1074" t="n"/>
      <c r="AF243" s="1074" t="inlineStr">
        <is>
          <t>肖锐03</t>
        </is>
      </c>
      <c r="AG243" s="1074" t="inlineStr">
        <is>
          <t>教室2</t>
        </is>
      </c>
      <c r="AH243" s="1074" t="inlineStr">
        <is>
          <t>10:20-12:30</t>
        </is>
      </c>
      <c r="AI243" s="1074" t="inlineStr">
        <is>
          <t>潜能班</t>
        </is>
      </c>
      <c r="AJ243" s="1074" t="inlineStr">
        <is>
          <t>三期</t>
        </is>
      </c>
      <c r="AK243" s="1074" t="inlineStr">
        <is>
          <t>在读</t>
        </is>
      </c>
      <c r="AL243" s="1074" t="inlineStr">
        <is>
          <t>-</t>
        </is>
      </c>
      <c r="AM243" s="1074" t="n"/>
      <c r="AN243" s="1074" t="n"/>
      <c r="AO243" s="1074" t="n"/>
      <c r="AP243" s="1074" t="n"/>
      <c r="AQ243" s="1074" t="n"/>
      <c r="AR243" s="1074" t="inlineStr">
        <is>
          <t>S</t>
        </is>
      </c>
      <c r="AS243" s="1074" t="inlineStr">
        <is>
          <t>支付能力很强，考虑民办和花钱进公办，教育理念好</t>
        </is>
      </c>
      <c r="AT243" s="311" t="n"/>
    </row>
    <row r="244" ht="26.25" customFormat="1" customHeight="1" s="366">
      <c r="A244" s="1074" t="inlineStr">
        <is>
          <t>新宝利</t>
        </is>
      </c>
      <c r="B244" s="1074" t="inlineStr">
        <is>
          <t>2958659528</t>
        </is>
      </c>
      <c r="C244" s="1074" t="inlineStr">
        <is>
          <t>魏雨澄</t>
        </is>
      </c>
      <c r="D244" s="1074" t="inlineStr">
        <is>
          <t>王达04</t>
        </is>
      </c>
      <c r="E244" s="1074" t="inlineStr">
        <is>
          <t>纯拉新</t>
        </is>
      </c>
      <c r="F244" s="1074" t="n"/>
      <c r="G244" s="1074" t="n"/>
      <c r="H244" s="1074" t="inlineStr">
        <is>
          <t>在读</t>
        </is>
      </c>
      <c r="I244" s="1074" t="inlineStr">
        <is>
          <t>一期</t>
        </is>
      </c>
      <c r="J244" s="1074" t="inlineStr">
        <is>
          <t>5230732</t>
        </is>
      </c>
      <c r="K244" s="1074" t="inlineStr">
        <is>
          <t>校内成绩</t>
        </is>
      </c>
      <c r="L244" s="1074" t="n">
        <v>85</v>
      </c>
      <c r="M244" s="1074" t="n">
        <v>95</v>
      </c>
      <c r="N244" s="1074" t="inlineStr">
        <is>
          <t>何咏04</t>
        </is>
      </c>
      <c r="O244" s="1074" t="inlineStr">
        <is>
          <t>教室3</t>
        </is>
      </c>
      <c r="P244" s="1074" t="inlineStr">
        <is>
          <t>10:30-12:40</t>
        </is>
      </c>
      <c r="Q244" s="1074" t="inlineStr">
        <is>
          <t>启能班</t>
        </is>
      </c>
      <c r="R244" s="1074" t="inlineStr">
        <is>
          <t>一期</t>
        </is>
      </c>
      <c r="S244" s="1074" t="inlineStr">
        <is>
          <t>在读</t>
        </is>
      </c>
      <c r="T244" s="1074" t="inlineStr">
        <is>
          <t>-</t>
        </is>
      </c>
      <c r="U244" s="1074" t="inlineStr">
        <is>
          <t>5170706</t>
        </is>
      </c>
      <c r="V244" s="1074" t="n">
        <v>0</v>
      </c>
      <c r="W244" s="1074" t="inlineStr">
        <is>
          <t>李润</t>
        </is>
      </c>
      <c r="X244" s="1074" t="inlineStr">
        <is>
          <t>教室3</t>
        </is>
      </c>
      <c r="Y244" s="1074" t="inlineStr">
        <is>
          <t>13:20-15:30</t>
        </is>
      </c>
      <c r="Z244" s="1074" t="inlineStr">
        <is>
          <t>潜能班</t>
        </is>
      </c>
      <c r="AA244" s="1074" t="inlineStr">
        <is>
          <t>一期</t>
        </is>
      </c>
      <c r="AB244" s="1074" t="inlineStr">
        <is>
          <t>在读</t>
        </is>
      </c>
      <c r="AC244" s="1074" t="inlineStr">
        <is>
          <t>-</t>
        </is>
      </c>
      <c r="AD244" s="1074" t="inlineStr">
        <is>
          <t>3132899</t>
        </is>
      </c>
      <c r="AE244" s="1074" t="n">
        <v>0</v>
      </c>
      <c r="AF244" s="1074" t="inlineStr">
        <is>
          <t>肖锐03</t>
        </is>
      </c>
      <c r="AG244" s="1074" t="inlineStr">
        <is>
          <t>教室3</t>
        </is>
      </c>
      <c r="AH244" s="1074" t="inlineStr">
        <is>
          <t>07:50-10:00</t>
        </is>
      </c>
      <c r="AI244" s="1074" t="inlineStr">
        <is>
          <t>潜能班</t>
        </is>
      </c>
      <c r="AJ244" s="1074" t="inlineStr">
        <is>
          <t>一期</t>
        </is>
      </c>
      <c r="AK244" s="1074" t="inlineStr">
        <is>
          <t>在读</t>
        </is>
      </c>
      <c r="AL244" s="1074" t="inlineStr">
        <is>
          <t>-</t>
        </is>
      </c>
      <c r="AM244" s="1074" t="n"/>
      <c r="AN244" s="1074" t="n"/>
      <c r="AO244" s="1074" t="n"/>
      <c r="AP244" s="1074" t="n"/>
      <c r="AQ244" s="1074" t="n"/>
      <c r="AR244" s="1074" t="inlineStr">
        <is>
          <t>A</t>
        </is>
      </c>
      <c r="AS244" s="1074" t="inlineStr">
        <is>
          <t>孩子爸爸有提前规划意识，在升学现场有了解秋季规划以及费用</t>
        </is>
      </c>
      <c r="AT244" s="311" t="n"/>
    </row>
    <row r="245" ht="26.25" customFormat="1" customHeight="1" s="366">
      <c r="A245" s="1074" t="inlineStr">
        <is>
          <t>新宝利</t>
        </is>
      </c>
      <c r="B245" s="1074" t="inlineStr">
        <is>
          <t>4828741262</t>
        </is>
      </c>
      <c r="C245" s="1074" t="inlineStr">
        <is>
          <t>陈芷卉</t>
        </is>
      </c>
      <c r="D245" s="1074" t="inlineStr">
        <is>
          <t>陈亮延</t>
        </is>
      </c>
      <c r="E245" s="1074" t="inlineStr">
        <is>
          <t>纯拉新</t>
        </is>
      </c>
      <c r="F245" s="1074" t="n"/>
      <c r="G245" s="1074" t="n"/>
      <c r="H245" s="1074" t="inlineStr">
        <is>
          <t>退费</t>
        </is>
      </c>
      <c r="I245" s="1074" t="inlineStr">
        <is>
          <t>-</t>
        </is>
      </c>
      <c r="J245" s="1074" t="inlineStr">
        <is>
          <t>5230732</t>
        </is>
      </c>
      <c r="K245" s="1074" t="inlineStr">
        <is>
          <t>-</t>
        </is>
      </c>
      <c r="L245" s="1074" t="inlineStr">
        <is>
          <t>-</t>
        </is>
      </c>
      <c r="M245" s="1074" t="inlineStr">
        <is>
          <t>-</t>
        </is>
      </c>
      <c r="N245" s="1074" t="inlineStr">
        <is>
          <t>何咏04</t>
        </is>
      </c>
      <c r="O245" s="1074" t="inlineStr">
        <is>
          <t>教室3</t>
        </is>
      </c>
      <c r="P245" s="1074" t="inlineStr">
        <is>
          <t>10:30-12:40</t>
        </is>
      </c>
      <c r="Q245" s="1074" t="inlineStr">
        <is>
          <t>启能班</t>
        </is>
      </c>
      <c r="R245" s="1074" t="inlineStr">
        <is>
          <t>一期</t>
        </is>
      </c>
      <c r="S245" s="1074" t="inlineStr">
        <is>
          <t>课前退</t>
        </is>
      </c>
      <c r="T245" s="1074" t="inlineStr">
        <is>
          <t>-</t>
        </is>
      </c>
      <c r="U245" s="1074" t="inlineStr">
        <is>
          <t>5170706</t>
        </is>
      </c>
      <c r="V245" s="1074" t="n"/>
      <c r="W245" s="1074" t="inlineStr">
        <is>
          <t>李润</t>
        </is>
      </c>
      <c r="X245" s="1074" t="inlineStr">
        <is>
          <t>教室3</t>
        </is>
      </c>
      <c r="Y245" s="1074" t="inlineStr">
        <is>
          <t>13:20-15:30</t>
        </is>
      </c>
      <c r="Z245" s="1074" t="inlineStr">
        <is>
          <t>潜能班</t>
        </is>
      </c>
      <c r="AA245" s="1074" t="inlineStr">
        <is>
          <t>一期</t>
        </is>
      </c>
      <c r="AB245" s="1074" t="inlineStr">
        <is>
          <t>课前退</t>
        </is>
      </c>
      <c r="AC245" s="1074" t="inlineStr">
        <is>
          <t>-</t>
        </is>
      </c>
      <c r="AD245" s="1074" t="inlineStr">
        <is>
          <t>3132899</t>
        </is>
      </c>
      <c r="AE245" s="1074" t="n"/>
      <c r="AF245" s="1074" t="inlineStr">
        <is>
          <t>肖锐03</t>
        </is>
      </c>
      <c r="AG245" s="1074" t="inlineStr">
        <is>
          <t>教室3</t>
        </is>
      </c>
      <c r="AH245" s="1074" t="inlineStr">
        <is>
          <t>07:50-10:00</t>
        </is>
      </c>
      <c r="AI245" s="1074" t="inlineStr">
        <is>
          <t>潜能班</t>
        </is>
      </c>
      <c r="AJ245" s="1074" t="inlineStr">
        <is>
          <t>一期</t>
        </is>
      </c>
      <c r="AK245" s="1074" t="inlineStr">
        <is>
          <t>课前退</t>
        </is>
      </c>
      <c r="AL245" s="1074" t="inlineStr">
        <is>
          <t>-</t>
        </is>
      </c>
      <c r="AM245" s="1074" t="n"/>
      <c r="AN245" s="1074" t="n"/>
      <c r="AO245" s="1074" t="n"/>
      <c r="AP245" s="1074" t="n"/>
      <c r="AQ245" s="1074" t="n"/>
      <c r="AR245" s="1074" t="n"/>
      <c r="AS245" s="1074" t="n"/>
      <c r="AT245" s="311" t="n"/>
    </row>
    <row r="246" ht="26.25" customFormat="1" customHeight="1" s="366">
      <c r="A246" s="1074" t="inlineStr">
        <is>
          <t>同创汇</t>
        </is>
      </c>
      <c r="B246" s="1074" t="inlineStr">
        <is>
          <t>2472389311</t>
        </is>
      </c>
      <c r="C246" s="1074" t="inlineStr">
        <is>
          <t>李佳倩</t>
        </is>
      </c>
      <c r="D246" s="1074" t="inlineStr">
        <is>
          <t>戎凯01</t>
        </is>
      </c>
      <c r="E246" s="1074" t="inlineStr">
        <is>
          <t>纯拉新</t>
        </is>
      </c>
      <c r="F246" s="1074" t="n"/>
      <c r="G246" s="1074" t="n"/>
      <c r="H246" s="1074" t="inlineStr">
        <is>
          <t>在读</t>
        </is>
      </c>
      <c r="I246" s="1074" t="inlineStr">
        <is>
          <t>零期/一期</t>
        </is>
      </c>
      <c r="J246" s="1074" t="inlineStr">
        <is>
          <t>5230719</t>
        </is>
      </c>
      <c r="K246" s="1074" t="inlineStr">
        <is>
          <t>报前测成绩</t>
        </is>
      </c>
      <c r="L246" s="1074" t="n">
        <v>87</v>
      </c>
      <c r="M246" s="1074" t="inlineStr">
        <is>
          <t>-</t>
        </is>
      </c>
      <c r="N246" s="1074" t="inlineStr">
        <is>
          <t>陈中帅</t>
        </is>
      </c>
      <c r="O246" s="1074" t="inlineStr">
        <is>
          <t>01智慧林</t>
        </is>
      </c>
      <c r="P246" s="1074" t="inlineStr">
        <is>
          <t>13:20-15:30</t>
        </is>
      </c>
      <c r="Q246" s="1074" t="inlineStr">
        <is>
          <t>启能班</t>
        </is>
      </c>
      <c r="R246" s="1074" t="inlineStr">
        <is>
          <t>一期</t>
        </is>
      </c>
      <c r="S246" s="1074" t="inlineStr">
        <is>
          <t>在读</t>
        </is>
      </c>
      <c r="T246" s="1074" t="inlineStr">
        <is>
          <t>-</t>
        </is>
      </c>
      <c r="U246" s="1074" t="inlineStr">
        <is>
          <t>5230722</t>
        </is>
      </c>
      <c r="V246" s="1074" t="n">
        <v>41</v>
      </c>
      <c r="W246" s="1074" t="inlineStr">
        <is>
          <t>李润</t>
        </is>
      </c>
      <c r="X246" s="1074" t="inlineStr">
        <is>
          <t>01智慧林</t>
        </is>
      </c>
      <c r="Y246" s="1074" t="inlineStr">
        <is>
          <t>15:50-18:00</t>
        </is>
      </c>
      <c r="Z246" s="1074" t="inlineStr">
        <is>
          <t>潜能班</t>
        </is>
      </c>
      <c r="AA246" s="1074" t="inlineStr">
        <is>
          <t>零期</t>
        </is>
      </c>
      <c r="AB246" s="1074" t="inlineStr">
        <is>
          <t>在读</t>
        </is>
      </c>
      <c r="AC246" s="1074" t="inlineStr">
        <is>
          <t>-</t>
        </is>
      </c>
      <c r="AD246" s="1074" t="inlineStr">
        <is>
          <t>3132869</t>
        </is>
      </c>
      <c r="AE246" s="1074" t="n">
        <v>33</v>
      </c>
      <c r="AF246" s="1074" t="inlineStr">
        <is>
          <t>高心怡04</t>
        </is>
      </c>
      <c r="AG246" s="1074" t="inlineStr">
        <is>
          <t>01智慧林</t>
        </is>
      </c>
      <c r="AH246" s="1074" t="inlineStr">
        <is>
          <t>15:50-18:00</t>
        </is>
      </c>
      <c r="AI246" s="1074" t="inlineStr">
        <is>
          <t>潜能班</t>
        </is>
      </c>
      <c r="AJ246" s="1074" t="inlineStr">
        <is>
          <t>一期</t>
        </is>
      </c>
      <c r="AK246" s="1074" t="inlineStr">
        <is>
          <t>在读</t>
        </is>
      </c>
      <c r="AL246" s="1074" t="inlineStr">
        <is>
          <t>-</t>
        </is>
      </c>
      <c r="AM246" s="1074" t="inlineStr">
        <is>
          <t>是</t>
        </is>
      </c>
      <c r="AN246" s="1074" t="inlineStr">
        <is>
          <t>是</t>
        </is>
      </c>
      <c r="AO246" s="1074" t="inlineStr">
        <is>
          <t>是</t>
        </is>
      </c>
      <c r="AP246" s="1074" t="n"/>
      <c r="AQ246" s="1074" t="n"/>
      <c r="AR246" s="1074" t="inlineStr">
        <is>
          <t>S</t>
        </is>
      </c>
      <c r="AS246" s="1074" t="inlineStr">
        <is>
          <t>妈妈有支付能力，考虑民办，很看重孩子选择来报班</t>
        </is>
      </c>
      <c r="AT246" s="311" t="n"/>
    </row>
    <row r="247" ht="26.25" customFormat="1" customHeight="1" s="366">
      <c r="A247" s="1074" t="inlineStr">
        <is>
          <t>新宝利</t>
        </is>
      </c>
      <c r="B247" s="1074" t="inlineStr">
        <is>
          <t>2593274713</t>
        </is>
      </c>
      <c r="C247" s="1074" t="inlineStr">
        <is>
          <t>郑本熙</t>
        </is>
      </c>
      <c r="D247" s="1074" t="inlineStr">
        <is>
          <t>沈思浩</t>
        </is>
      </c>
      <c r="E247" s="1074" t="inlineStr">
        <is>
          <t>春季在读老生</t>
        </is>
      </c>
      <c r="F247" s="1074" t="n"/>
      <c r="G247" s="1074" t="n"/>
      <c r="H247" s="1074" t="inlineStr">
        <is>
          <t>在读</t>
        </is>
      </c>
      <c r="I247" s="1074" t="inlineStr">
        <is>
          <t>二期</t>
        </is>
      </c>
      <c r="J247" s="1074" t="inlineStr">
        <is>
          <t>4513341</t>
        </is>
      </c>
      <c r="K247" s="1074" t="inlineStr">
        <is>
          <t>老师预估</t>
        </is>
      </c>
      <c r="L247" s="1074" t="n">
        <v>64</v>
      </c>
      <c r="M247" s="1074" t="inlineStr">
        <is>
          <t>-</t>
        </is>
      </c>
      <c r="N247" s="1074" t="inlineStr">
        <is>
          <t>陈中帅</t>
        </is>
      </c>
      <c r="O247" s="1074" t="inlineStr">
        <is>
          <t>教室3</t>
        </is>
      </c>
      <c r="P247" s="1074" t="inlineStr">
        <is>
          <t>15:50-18:00</t>
        </is>
      </c>
      <c r="Q247" s="1074" t="inlineStr">
        <is>
          <t>启能班</t>
        </is>
      </c>
      <c r="R247" s="1074" t="inlineStr">
        <is>
          <t>二期</t>
        </is>
      </c>
      <c r="S247" s="1074" t="inlineStr">
        <is>
          <t>在读</t>
        </is>
      </c>
      <c r="T247" s="1074" t="inlineStr">
        <is>
          <t>是</t>
        </is>
      </c>
      <c r="U247" s="1074" t="inlineStr">
        <is>
          <t>3132846</t>
        </is>
      </c>
      <c r="V247" s="1074" t="n">
        <v>27</v>
      </c>
      <c r="W247" s="1074" t="inlineStr">
        <is>
          <t>黄铭怡</t>
        </is>
      </c>
      <c r="X247" s="1074" t="inlineStr">
        <is>
          <t>教室3</t>
        </is>
      </c>
      <c r="Y247" s="1074" t="inlineStr">
        <is>
          <t>13:20-15:30</t>
        </is>
      </c>
      <c r="Z247" s="1074" t="inlineStr">
        <is>
          <t>潜能班</t>
        </is>
      </c>
      <c r="AA247" s="1074" t="inlineStr">
        <is>
          <t>二期</t>
        </is>
      </c>
      <c r="AB247" s="1074" t="inlineStr">
        <is>
          <t>在读</t>
        </is>
      </c>
      <c r="AC247" s="1074" t="inlineStr">
        <is>
          <t>是</t>
        </is>
      </c>
      <c r="AD247" s="1074" t="inlineStr">
        <is>
          <t>5230738</t>
        </is>
      </c>
      <c r="AE247" s="1074" t="n">
        <v>22</v>
      </c>
      <c r="AF247" s="1074" t="inlineStr">
        <is>
          <t>高心怡04</t>
        </is>
      </c>
      <c r="AG247" s="1074" t="inlineStr">
        <is>
          <t>教室3</t>
        </is>
      </c>
      <c r="AH247" s="1074" t="inlineStr">
        <is>
          <t>10:20-12:30</t>
        </is>
      </c>
      <c r="AI247" s="1074" t="inlineStr">
        <is>
          <t>潜能班</t>
        </is>
      </c>
      <c r="AJ247" s="1074" t="inlineStr">
        <is>
          <t>二期</t>
        </is>
      </c>
      <c r="AK247" s="1074" t="inlineStr">
        <is>
          <t>在读</t>
        </is>
      </c>
      <c r="AL247" s="1074" t="inlineStr">
        <is>
          <t>-</t>
        </is>
      </c>
      <c r="AM247" s="1074" t="n"/>
      <c r="AN247" s="1074" t="n"/>
      <c r="AO247" s="1074" t="n"/>
      <c r="AP247" s="1074" t="n"/>
      <c r="AQ247" s="1074" t="n"/>
      <c r="AR247" s="1074" t="inlineStr">
        <is>
          <t>S</t>
        </is>
      </c>
      <c r="AS247" s="1074" t="inlineStr">
        <is>
          <t>在读学员</t>
        </is>
      </c>
      <c r="AT247" s="311" t="n"/>
    </row>
    <row r="248" ht="26.25" customFormat="1" customHeight="1" s="366">
      <c r="A248" s="1074" t="inlineStr">
        <is>
          <t>新宝利</t>
        </is>
      </c>
      <c r="B248" s="1074" t="inlineStr">
        <is>
          <t>4193294263</t>
        </is>
      </c>
      <c r="C248" s="1074" t="inlineStr">
        <is>
          <t>黄偌桐</t>
        </is>
      </c>
      <c r="D248" s="1074" t="inlineStr">
        <is>
          <t>林志豪01</t>
        </is>
      </c>
      <c r="E248" s="1074" t="inlineStr">
        <is>
          <t>春季在读老生</t>
        </is>
      </c>
      <c r="F248" s="1074" t="n"/>
      <c r="G248" s="1074" t="n"/>
      <c r="H248" s="1074" t="inlineStr">
        <is>
          <t>在读</t>
        </is>
      </c>
      <c r="I248" s="1074" t="inlineStr">
        <is>
          <t>一期/二期</t>
        </is>
      </c>
      <c r="J248" s="1074" t="inlineStr">
        <is>
          <t>4513341</t>
        </is>
      </c>
      <c r="K248" s="1074" t="inlineStr">
        <is>
          <t>老师预估</t>
        </is>
      </c>
      <c r="L248" s="1074" t="n">
        <v>60</v>
      </c>
      <c r="M248" s="1074" t="inlineStr">
        <is>
          <t>-</t>
        </is>
      </c>
      <c r="N248" s="1074" t="inlineStr">
        <is>
          <t>陈中帅</t>
        </is>
      </c>
      <c r="O248" s="1074" t="inlineStr">
        <is>
          <t>教室3</t>
        </is>
      </c>
      <c r="P248" s="1074" t="inlineStr">
        <is>
          <t>15:50-18:00</t>
        </is>
      </c>
      <c r="Q248" s="1074" t="inlineStr">
        <is>
          <t>启能班</t>
        </is>
      </c>
      <c r="R248" s="1074" t="inlineStr">
        <is>
          <t>二期</t>
        </is>
      </c>
      <c r="S248" s="1074" t="inlineStr">
        <is>
          <t>在读</t>
        </is>
      </c>
      <c r="T248" s="1074" t="inlineStr">
        <is>
          <t>是</t>
        </is>
      </c>
      <c r="U248" s="1074" t="inlineStr">
        <is>
          <t>5170706</t>
        </is>
      </c>
      <c r="V248" s="1074" t="n">
        <v>0</v>
      </c>
      <c r="W248" s="1074" t="inlineStr">
        <is>
          <t>李润</t>
        </is>
      </c>
      <c r="X248" s="1074" t="inlineStr">
        <is>
          <t>教室3</t>
        </is>
      </c>
      <c r="Y248" s="1074" t="inlineStr">
        <is>
          <t>13:20-15:30</t>
        </is>
      </c>
      <c r="Z248" s="1074" t="inlineStr">
        <is>
          <t>潜能班</t>
        </is>
      </c>
      <c r="AA248" s="1074" t="inlineStr">
        <is>
          <t>一期</t>
        </is>
      </c>
      <c r="AB248" s="1074" t="inlineStr">
        <is>
          <t>在读</t>
        </is>
      </c>
      <c r="AC248" s="1074" t="inlineStr">
        <is>
          <t>-</t>
        </is>
      </c>
      <c r="AD248" s="1074" t="inlineStr">
        <is>
          <t>3132888</t>
        </is>
      </c>
      <c r="AE248" s="1074" t="n">
        <v>0</v>
      </c>
      <c r="AF248" s="1074" t="inlineStr">
        <is>
          <t>肖锐03</t>
        </is>
      </c>
      <c r="AG248" s="1074" t="inlineStr">
        <is>
          <t>教室2</t>
        </is>
      </c>
      <c r="AH248" s="1074" t="inlineStr">
        <is>
          <t>10:20-12:30</t>
        </is>
      </c>
      <c r="AI248" s="1074" t="inlineStr">
        <is>
          <t>潜能班</t>
        </is>
      </c>
      <c r="AJ248" s="1074" t="inlineStr">
        <is>
          <t>一期</t>
        </is>
      </c>
      <c r="AK248" s="1074" t="inlineStr">
        <is>
          <t>在读</t>
        </is>
      </c>
      <c r="AL248" s="1074" t="inlineStr">
        <is>
          <t>-</t>
        </is>
      </c>
      <c r="AM248" s="1074" t="n"/>
      <c r="AN248" s="1074" t="n"/>
      <c r="AO248" s="1074" t="n"/>
      <c r="AP248" s="1074" t="n"/>
      <c r="AQ248" s="1074" t="n"/>
      <c r="AR248" s="1074" t="inlineStr">
        <is>
          <t>S</t>
        </is>
      </c>
      <c r="AS248" s="1074" t="inlineStr">
        <is>
          <t>在读学员</t>
        </is>
      </c>
      <c r="AT248" s="311" t="n"/>
    </row>
    <row r="249" ht="26.25" customFormat="1" customHeight="1" s="366">
      <c r="A249" s="1074" t="inlineStr">
        <is>
          <t>同创汇</t>
        </is>
      </c>
      <c r="B249" s="1074" t="inlineStr">
        <is>
          <t>4829563345</t>
        </is>
      </c>
      <c r="C249" s="1074" t="inlineStr">
        <is>
          <t>旻师</t>
        </is>
      </c>
      <c r="D249" s="1074" t="inlineStr">
        <is>
          <t>王丽</t>
        </is>
      </c>
      <c r="E249" s="1074" t="inlineStr">
        <is>
          <t>新生转介绍</t>
        </is>
      </c>
      <c r="F249" s="1074" t="n"/>
      <c r="G249" s="1074" t="inlineStr">
        <is>
          <t>李倬承</t>
        </is>
      </c>
      <c r="H249" s="1074" t="inlineStr">
        <is>
          <t>在读</t>
        </is>
      </c>
      <c r="I249" s="1074" t="inlineStr">
        <is>
          <t>零期/一期</t>
        </is>
      </c>
      <c r="J249" s="1074" t="inlineStr">
        <is>
          <t>5230802</t>
        </is>
      </c>
      <c r="K249" s="1074" t="inlineStr">
        <is>
          <t>报前测成绩</t>
        </is>
      </c>
      <c r="L249" s="1074" t="n">
        <v>64</v>
      </c>
      <c r="M249" s="1074" t="inlineStr">
        <is>
          <t>-</t>
        </is>
      </c>
      <c r="N249" s="1074" t="inlineStr">
        <is>
          <t>田雨涵01</t>
        </is>
      </c>
      <c r="O249" s="1074" t="inlineStr">
        <is>
          <t>02彩虹桥</t>
        </is>
      </c>
      <c r="P249" s="1074" t="inlineStr">
        <is>
          <t>15:50-18:00</t>
        </is>
      </c>
      <c r="Q249" s="1074" t="inlineStr">
        <is>
          <t>潜能班</t>
        </is>
      </c>
      <c r="R249" s="1074" t="inlineStr">
        <is>
          <t>一期</t>
        </is>
      </c>
      <c r="S249" s="1074" t="inlineStr">
        <is>
          <t>在读</t>
        </is>
      </c>
      <c r="T249" s="1074" t="inlineStr">
        <is>
          <t>-</t>
        </is>
      </c>
      <c r="U249" s="1074" t="inlineStr">
        <is>
          <t>4632448</t>
        </is>
      </c>
      <c r="V249" s="1074" t="n">
        <v>35</v>
      </c>
      <c r="W249" s="1074" t="inlineStr">
        <is>
          <t>陈南05</t>
        </is>
      </c>
      <c r="X249" s="1074" t="inlineStr">
        <is>
          <t>02彩虹桥</t>
        </is>
      </c>
      <c r="Y249" s="1074" t="inlineStr">
        <is>
          <t>10:20-12:30</t>
        </is>
      </c>
      <c r="Z249" s="1074" t="inlineStr">
        <is>
          <t>潜能班</t>
        </is>
      </c>
      <c r="AA249" s="1074" t="inlineStr">
        <is>
          <t>一期</t>
        </is>
      </c>
      <c r="AB249" s="1074" t="inlineStr">
        <is>
          <t>在读</t>
        </is>
      </c>
      <c r="AC249" s="1074" t="inlineStr">
        <is>
          <t>-</t>
        </is>
      </c>
      <c r="AD249" s="1074" t="inlineStr">
        <is>
          <t>3132865</t>
        </is>
      </c>
      <c r="AE249" s="1074" t="n">
        <v>36</v>
      </c>
      <c r="AF249" s="1074" t="inlineStr">
        <is>
          <t>刘希子</t>
        </is>
      </c>
      <c r="AG249" s="1074" t="inlineStr">
        <is>
          <t>03识海阁</t>
        </is>
      </c>
      <c r="AH249" s="1074" t="inlineStr">
        <is>
          <t>15:50-18:00</t>
        </is>
      </c>
      <c r="AI249" s="1074" t="inlineStr">
        <is>
          <t>潜能班</t>
        </is>
      </c>
      <c r="AJ249" s="1074" t="inlineStr">
        <is>
          <t>零期</t>
        </is>
      </c>
      <c r="AK249" s="1074" t="inlineStr">
        <is>
          <t>在读</t>
        </is>
      </c>
      <c r="AL249" s="1074" t="inlineStr">
        <is>
          <t>-</t>
        </is>
      </c>
      <c r="AM249" s="1074" t="inlineStr">
        <is>
          <t>是</t>
        </is>
      </c>
      <c r="AN249" s="1074" t="inlineStr">
        <is>
          <t>是</t>
        </is>
      </c>
      <c r="AO249" s="1074" t="inlineStr">
        <is>
          <t>是</t>
        </is>
      </c>
      <c r="AP249" s="1074" t="n"/>
      <c r="AQ249" s="1074" t="n"/>
      <c r="AR249" s="1074" t="inlineStr">
        <is>
          <t>A</t>
        </is>
      </c>
      <c r="AS249" s="1074" t="inlineStr">
        <is>
          <t>老生转介绍来的，有信任度</t>
        </is>
      </c>
      <c r="AT249" s="311" t="n"/>
    </row>
    <row r="250" ht="26.25" customFormat="1" customHeight="1" s="366">
      <c r="A250" s="1074" t="inlineStr">
        <is>
          <t>新宝利</t>
        </is>
      </c>
      <c r="B250" s="1074" t="inlineStr">
        <is>
          <t>4831171617</t>
        </is>
      </c>
      <c r="C250" s="1074" t="inlineStr">
        <is>
          <t>林钰琪</t>
        </is>
      </c>
      <c r="D250" s="1074" t="inlineStr">
        <is>
          <t>张敏烨</t>
        </is>
      </c>
      <c r="E250" s="1074" t="inlineStr">
        <is>
          <t>新生转介绍</t>
        </is>
      </c>
      <c r="F250" s="1074" t="n"/>
      <c r="G250" s="1074" t="inlineStr">
        <is>
          <t>郭诗颖</t>
        </is>
      </c>
      <c r="H250" s="1074" t="inlineStr">
        <is>
          <t>在读</t>
        </is>
      </c>
      <c r="I250" s="1074" t="inlineStr">
        <is>
          <t>一期</t>
        </is>
      </c>
      <c r="J250" s="1074" t="inlineStr">
        <is>
          <t>5230732</t>
        </is>
      </c>
      <c r="K250" s="1074" t="inlineStr">
        <is>
          <t>报前测成绩</t>
        </is>
      </c>
      <c r="L250" s="1074" t="n">
        <v>70</v>
      </c>
      <c r="M250" s="1074" t="inlineStr">
        <is>
          <t>-</t>
        </is>
      </c>
      <c r="N250" s="1074" t="inlineStr">
        <is>
          <t>何咏04</t>
        </is>
      </c>
      <c r="O250" s="1074" t="inlineStr">
        <is>
          <t>教室3</t>
        </is>
      </c>
      <c r="P250" s="1074" t="inlineStr">
        <is>
          <t>10:30-12:40</t>
        </is>
      </c>
      <c r="Q250" s="1074" t="inlineStr">
        <is>
          <t>启能班</t>
        </is>
      </c>
      <c r="R250" s="1074" t="inlineStr">
        <is>
          <t>一期</t>
        </is>
      </c>
      <c r="S250" s="1074" t="inlineStr">
        <is>
          <t>在读</t>
        </is>
      </c>
      <c r="T250" s="1074" t="inlineStr">
        <is>
          <t>-</t>
        </is>
      </c>
      <c r="U250" s="1074" t="inlineStr">
        <is>
          <t>5170706</t>
        </is>
      </c>
      <c r="V250" s="1074" t="n">
        <v>36</v>
      </c>
      <c r="W250" s="1074" t="inlineStr">
        <is>
          <t>李润</t>
        </is>
      </c>
      <c r="X250" s="1074" t="inlineStr">
        <is>
          <t>教室3</t>
        </is>
      </c>
      <c r="Y250" s="1074" t="inlineStr">
        <is>
          <t>13:20-15:30</t>
        </is>
      </c>
      <c r="Z250" s="1074" t="inlineStr">
        <is>
          <t>潜能班</t>
        </is>
      </c>
      <c r="AA250" s="1074" t="inlineStr">
        <is>
          <t>一期</t>
        </is>
      </c>
      <c r="AB250" s="1074" t="inlineStr">
        <is>
          <t>在读</t>
        </is>
      </c>
      <c r="AC250" s="1074" t="inlineStr">
        <is>
          <t>-</t>
        </is>
      </c>
      <c r="AD250" s="1074" t="inlineStr">
        <is>
          <t>3132899</t>
        </is>
      </c>
      <c r="AE250" s="1074" t="n">
        <v>41</v>
      </c>
      <c r="AF250" s="1074" t="inlineStr">
        <is>
          <t>肖锐03</t>
        </is>
      </c>
      <c r="AG250" s="1074" t="inlineStr">
        <is>
          <t>教室3</t>
        </is>
      </c>
      <c r="AH250" s="1074" t="inlineStr">
        <is>
          <t>07:50-10:00</t>
        </is>
      </c>
      <c r="AI250" s="1074" t="inlineStr">
        <is>
          <t>潜能班</t>
        </is>
      </c>
      <c r="AJ250" s="1074" t="inlineStr">
        <is>
          <t>一期</t>
        </is>
      </c>
      <c r="AK250" s="1074" t="inlineStr">
        <is>
          <t>在读</t>
        </is>
      </c>
      <c r="AL250" s="1074" t="inlineStr">
        <is>
          <t>-</t>
        </is>
      </c>
      <c r="AM250" s="1074" t="n"/>
      <c r="AN250" s="1074" t="n"/>
      <c r="AO250" s="1074" t="n"/>
      <c r="AP250" s="1074" t="n"/>
      <c r="AQ250" s="1074" t="n"/>
      <c r="AR250" s="1074" t="inlineStr">
        <is>
          <t>B</t>
        </is>
      </c>
      <c r="AS250" s="1074" t="inlineStr">
        <is>
          <t>对价格比较敏感，家里做生意的，由于暑假班调课没通知家长，比较有意见</t>
        </is>
      </c>
      <c r="AT250" s="311" t="n"/>
    </row>
    <row r="251" ht="26.25" customFormat="1" customHeight="1" s="366">
      <c r="A251" s="1074" t="inlineStr">
        <is>
          <t>天成大厦</t>
        </is>
      </c>
      <c r="B251" s="1074" t="inlineStr">
        <is>
          <t>4830084500</t>
        </is>
      </c>
      <c r="C251" s="1074" t="inlineStr">
        <is>
          <t>杜昱茗</t>
        </is>
      </c>
      <c r="D251" s="1074" t="inlineStr">
        <is>
          <t>沈思浩</t>
        </is>
      </c>
      <c r="E251" s="1074" t="inlineStr">
        <is>
          <t>纯拉新</t>
        </is>
      </c>
      <c r="F251" s="1074" t="inlineStr">
        <is>
          <t>双胞胎-杜昱萱，已续秋季</t>
        </is>
      </c>
      <c r="G251" s="1074" t="n"/>
      <c r="H251" s="1074" t="inlineStr">
        <is>
          <t>在读</t>
        </is>
      </c>
      <c r="I251" s="1074" t="inlineStr">
        <is>
          <t>一期</t>
        </is>
      </c>
      <c r="J251" s="1074" t="inlineStr">
        <is>
          <t>5230775</t>
        </is>
      </c>
      <c r="K251" s="1074" t="inlineStr">
        <is>
          <t>校内成绩</t>
        </is>
      </c>
      <c r="L251" s="1074" t="n">
        <v>89</v>
      </c>
      <c r="M251" s="1074" t="n">
        <v>99</v>
      </c>
      <c r="N251" s="1074" t="inlineStr">
        <is>
          <t>陈中帅</t>
        </is>
      </c>
      <c r="O251" s="1074" t="inlineStr">
        <is>
          <t>03品尚</t>
        </is>
      </c>
      <c r="P251" s="1074" t="inlineStr">
        <is>
          <t>10:20-12:30</t>
        </is>
      </c>
      <c r="Q251" s="1074" t="inlineStr">
        <is>
          <t>潜能班</t>
        </is>
      </c>
      <c r="R251" s="1074" t="inlineStr">
        <is>
          <t>一期</t>
        </is>
      </c>
      <c r="S251" s="1074" t="inlineStr">
        <is>
          <t>在读</t>
        </is>
      </c>
      <c r="T251" s="1074" t="inlineStr">
        <is>
          <t>是</t>
        </is>
      </c>
      <c r="U251" s="1074" t="inlineStr">
        <is>
          <t>3132834</t>
        </is>
      </c>
      <c r="V251" s="1074" t="n"/>
      <c r="W251" s="1074" t="inlineStr">
        <is>
          <t>李润</t>
        </is>
      </c>
      <c r="X251" s="1074" t="inlineStr">
        <is>
          <t>03品尚</t>
        </is>
      </c>
      <c r="Y251" s="1074" t="inlineStr">
        <is>
          <t>07:50-10:00</t>
        </is>
      </c>
      <c r="Z251" s="1074" t="inlineStr">
        <is>
          <t>潜能班</t>
        </is>
      </c>
      <c r="AA251" s="1074" t="inlineStr">
        <is>
          <t>一期</t>
        </is>
      </c>
      <c r="AB251" s="1074" t="inlineStr">
        <is>
          <t>在读</t>
        </is>
      </c>
      <c r="AC251" s="1074" t="inlineStr">
        <is>
          <t>-</t>
        </is>
      </c>
      <c r="AD251" s="1074" t="inlineStr">
        <is>
          <t>5230783</t>
        </is>
      </c>
      <c r="AE251" s="1074" t="n"/>
      <c r="AF251" s="1074" t="inlineStr">
        <is>
          <t>刘希子</t>
        </is>
      </c>
      <c r="AG251" s="1074" t="inlineStr">
        <is>
          <t>03品尚</t>
        </is>
      </c>
      <c r="AH251" s="1074" t="inlineStr">
        <is>
          <t>13:20-15:30</t>
        </is>
      </c>
      <c r="AI251" s="1074" t="inlineStr">
        <is>
          <t>潜能班</t>
        </is>
      </c>
      <c r="AJ251" s="1074" t="inlineStr">
        <is>
          <t>一期</t>
        </is>
      </c>
      <c r="AK251" s="1074" t="inlineStr">
        <is>
          <t>在读</t>
        </is>
      </c>
      <c r="AL251" s="1074" t="inlineStr">
        <is>
          <t>-</t>
        </is>
      </c>
      <c r="AM251" s="1074" t="n"/>
      <c r="AN251" s="1074" t="n"/>
      <c r="AO251" s="1074" t="n"/>
      <c r="AP251" s="1074" t="n"/>
      <c r="AQ251" s="1074" t="n"/>
      <c r="AR251" s="1074" t="inlineStr">
        <is>
          <t>S</t>
        </is>
      </c>
      <c r="AS251" s="1074" t="inlineStr">
        <is>
          <t>家长报名了数学正价，学得不错应该能续费</t>
        </is>
      </c>
      <c r="AT251" s="311" t="n"/>
    </row>
    <row r="252" ht="26.25" customFormat="1" customHeight="1" s="366">
      <c r="A252" s="1074" t="inlineStr">
        <is>
          <t>天成大厦</t>
        </is>
      </c>
      <c r="B252" s="1074" t="inlineStr">
        <is>
          <t>4823694121</t>
        </is>
      </c>
      <c r="C252" s="1074" t="inlineStr">
        <is>
          <t>杜昱萱</t>
        </is>
      </c>
      <c r="D252" s="1074" t="inlineStr">
        <is>
          <t>沈思浩</t>
        </is>
      </c>
      <c r="E252" s="1074" t="inlineStr">
        <is>
          <t>纯拉新</t>
        </is>
      </c>
      <c r="F252" s="1074" t="inlineStr">
        <is>
          <t>双胞胎-杜昱茗，已续秋季</t>
        </is>
      </c>
      <c r="G252" s="1074" t="n"/>
      <c r="H252" s="1074" t="inlineStr">
        <is>
          <t>在读</t>
        </is>
      </c>
      <c r="I252" s="1074" t="inlineStr">
        <is>
          <t>一期</t>
        </is>
      </c>
      <c r="J252" s="1074" t="inlineStr">
        <is>
          <t>5230775</t>
        </is>
      </c>
      <c r="K252" s="1074" t="inlineStr">
        <is>
          <t>校内成绩</t>
        </is>
      </c>
      <c r="L252" s="1074" t="n">
        <v>88</v>
      </c>
      <c r="M252" s="1074" t="n">
        <v>98</v>
      </c>
      <c r="N252" s="1074" t="inlineStr">
        <is>
          <t>陈中帅</t>
        </is>
      </c>
      <c r="O252" s="1074" t="inlineStr">
        <is>
          <t>03品尚</t>
        </is>
      </c>
      <c r="P252" s="1074" t="inlineStr">
        <is>
          <t>10:20-12:30</t>
        </is>
      </c>
      <c r="Q252" s="1074" t="inlineStr">
        <is>
          <t>潜能班</t>
        </is>
      </c>
      <c r="R252" s="1074" t="inlineStr">
        <is>
          <t>一期</t>
        </is>
      </c>
      <c r="S252" s="1074" t="inlineStr">
        <is>
          <t>在读</t>
        </is>
      </c>
      <c r="T252" s="1074" t="inlineStr">
        <is>
          <t>是</t>
        </is>
      </c>
      <c r="U252" s="1074" t="inlineStr">
        <is>
          <t>3132834</t>
        </is>
      </c>
      <c r="V252" s="1074" t="n"/>
      <c r="W252" s="1074" t="inlineStr">
        <is>
          <t>李润</t>
        </is>
      </c>
      <c r="X252" s="1074" t="inlineStr">
        <is>
          <t>03品尚</t>
        </is>
      </c>
      <c r="Y252" s="1074" t="inlineStr">
        <is>
          <t>07:50-10:00</t>
        </is>
      </c>
      <c r="Z252" s="1074" t="inlineStr">
        <is>
          <t>潜能班</t>
        </is>
      </c>
      <c r="AA252" s="1074" t="inlineStr">
        <is>
          <t>一期</t>
        </is>
      </c>
      <c r="AB252" s="1074" t="inlineStr">
        <is>
          <t>在读</t>
        </is>
      </c>
      <c r="AC252" s="1074" t="inlineStr">
        <is>
          <t>-</t>
        </is>
      </c>
      <c r="AD252" s="1074" t="inlineStr">
        <is>
          <t>5230783</t>
        </is>
      </c>
      <c r="AE252" s="1074" t="n"/>
      <c r="AF252" s="1074" t="inlineStr">
        <is>
          <t>刘希子</t>
        </is>
      </c>
      <c r="AG252" s="1074" t="inlineStr">
        <is>
          <t>03品尚</t>
        </is>
      </c>
      <c r="AH252" s="1074" t="inlineStr">
        <is>
          <t>13:20-15:30</t>
        </is>
      </c>
      <c r="AI252" s="1074" t="inlineStr">
        <is>
          <t>潜能班</t>
        </is>
      </c>
      <c r="AJ252" s="1074" t="inlineStr">
        <is>
          <t>一期</t>
        </is>
      </c>
      <c r="AK252" s="1074" t="inlineStr">
        <is>
          <t>在读</t>
        </is>
      </c>
      <c r="AL252" s="1074" t="inlineStr">
        <is>
          <t>-</t>
        </is>
      </c>
      <c r="AM252" s="1074" t="n"/>
      <c r="AN252" s="1074" t="n"/>
      <c r="AO252" s="1074" t="n"/>
      <c r="AP252" s="1074" t="n"/>
      <c r="AQ252" s="1074" t="n"/>
      <c r="AR252" s="1074" t="inlineStr">
        <is>
          <t>S</t>
        </is>
      </c>
      <c r="AS252" s="1074" t="inlineStr">
        <is>
          <t>家长报名了数学正价，学得不错应该能续费</t>
        </is>
      </c>
      <c r="AT252" s="311" t="n"/>
    </row>
    <row r="253" ht="26.25" customFormat="1" customHeight="1" s="366">
      <c r="A253" s="1074" t="inlineStr">
        <is>
          <t>新宝利</t>
        </is>
      </c>
      <c r="B253" s="1074" t="inlineStr">
        <is>
          <t>4823424926</t>
        </is>
      </c>
      <c r="C253" s="1074" t="inlineStr">
        <is>
          <t>朱梓赟</t>
        </is>
      </c>
      <c r="D253" s="1074" t="inlineStr">
        <is>
          <t>张敏烨</t>
        </is>
      </c>
      <c r="E253" s="1074" t="inlineStr">
        <is>
          <t>纯拉新</t>
        </is>
      </c>
      <c r="F253" s="1074" t="n"/>
      <c r="G253" s="1074" t="n"/>
      <c r="H253" s="1074" t="inlineStr">
        <is>
          <t>退费</t>
        </is>
      </c>
      <c r="I253" s="1074" t="inlineStr">
        <is>
          <t>-</t>
        </is>
      </c>
      <c r="J253" s="1074" t="inlineStr">
        <is>
          <t>5111035</t>
        </is>
      </c>
      <c r="K253" s="1074" t="inlineStr">
        <is>
          <t>-</t>
        </is>
      </c>
      <c r="L253" s="1074" t="inlineStr">
        <is>
          <t>-</t>
        </is>
      </c>
      <c r="M253" s="1074" t="inlineStr">
        <is>
          <t>-</t>
        </is>
      </c>
      <c r="N253" s="1074" t="inlineStr">
        <is>
          <t>何咏04</t>
        </is>
      </c>
      <c r="O253" s="1074" t="inlineStr">
        <is>
          <t>教室2</t>
        </is>
      </c>
      <c r="P253" s="1074" t="inlineStr">
        <is>
          <t>15:50-18:00</t>
        </is>
      </c>
      <c r="Q253" s="1074" t="inlineStr">
        <is>
          <t>启能班</t>
        </is>
      </c>
      <c r="R253" s="1074" t="inlineStr">
        <is>
          <t>三期</t>
        </is>
      </c>
      <c r="S253" s="1074" t="inlineStr">
        <is>
          <t>课前退</t>
        </is>
      </c>
      <c r="T253" s="1074" t="inlineStr">
        <is>
          <t>-</t>
        </is>
      </c>
      <c r="U253" s="1074" t="inlineStr">
        <is>
          <t>5170873</t>
        </is>
      </c>
      <c r="V253" s="1074" t="n"/>
      <c r="W253" s="1074" t="inlineStr">
        <is>
          <t>李润</t>
        </is>
      </c>
      <c r="X253" s="1074" t="inlineStr">
        <is>
          <t>教室2</t>
        </is>
      </c>
      <c r="Y253" s="1074" t="inlineStr">
        <is>
          <t>13:20-15:30</t>
        </is>
      </c>
      <c r="Z253" s="1074" t="inlineStr">
        <is>
          <t>潜能班</t>
        </is>
      </c>
      <c r="AA253" s="1074" t="inlineStr">
        <is>
          <t>三期</t>
        </is>
      </c>
      <c r="AB253" s="1074" t="inlineStr">
        <is>
          <t>课前退</t>
        </is>
      </c>
      <c r="AC253" s="1074" t="inlineStr">
        <is>
          <t>-</t>
        </is>
      </c>
      <c r="AD253" s="1074" t="inlineStr">
        <is>
          <t>5170871</t>
        </is>
      </c>
      <c r="AE253" s="1074" t="n"/>
      <c r="AF253" s="1074" t="inlineStr">
        <is>
          <t>肖锐03</t>
        </is>
      </c>
      <c r="AG253" s="1074" t="inlineStr">
        <is>
          <t>教室2</t>
        </is>
      </c>
      <c r="AH253" s="1074" t="inlineStr">
        <is>
          <t>10:20-12:30</t>
        </is>
      </c>
      <c r="AI253" s="1074" t="inlineStr">
        <is>
          <t>潜能班</t>
        </is>
      </c>
      <c r="AJ253" s="1074" t="inlineStr">
        <is>
          <t>三期</t>
        </is>
      </c>
      <c r="AK253" s="1074" t="inlineStr">
        <is>
          <t>课前退</t>
        </is>
      </c>
      <c r="AL253" s="1074" t="inlineStr">
        <is>
          <t>-</t>
        </is>
      </c>
      <c r="AM253" s="1074" t="n"/>
      <c r="AN253" s="1074" t="n"/>
      <c r="AO253" s="1074" t="n"/>
      <c r="AP253" s="1074" t="n"/>
      <c r="AQ253" s="1074" t="n"/>
      <c r="AR253" s="1074" t="n"/>
      <c r="AS253" s="1074" t="n"/>
      <c r="AT253" s="311" t="n"/>
    </row>
    <row r="254" ht="26.25" customFormat="1" customHeight="1" s="366">
      <c r="A254" s="1074" t="inlineStr">
        <is>
          <t>新宝利</t>
        </is>
      </c>
      <c r="B254" s="1074" t="inlineStr">
        <is>
          <t>2425704855</t>
        </is>
      </c>
      <c r="C254" s="1074" t="inlineStr">
        <is>
          <t>马佳音</t>
        </is>
      </c>
      <c r="D254" s="1074" t="inlineStr">
        <is>
          <t>王达04</t>
        </is>
      </c>
      <c r="E254" s="1074" t="inlineStr">
        <is>
          <t>纯拉新</t>
        </is>
      </c>
      <c r="F254" s="1074" t="n"/>
      <c r="G254" s="1074" t="n"/>
      <c r="H254" s="1074" t="inlineStr">
        <is>
          <t>在读</t>
        </is>
      </c>
      <c r="I254" s="1074" t="inlineStr">
        <is>
          <t>零期</t>
        </is>
      </c>
      <c r="J254" s="1074" t="inlineStr">
        <is>
          <t>3132880</t>
        </is>
      </c>
      <c r="K254" s="1074" t="inlineStr">
        <is>
          <t>报前测成绩</t>
        </is>
      </c>
      <c r="L254" s="1074" t="n">
        <v>85</v>
      </c>
      <c r="M254" s="1074" t="inlineStr">
        <is>
          <t>-</t>
        </is>
      </c>
      <c r="N254" s="1074" t="inlineStr">
        <is>
          <t>陈中帅</t>
        </is>
      </c>
      <c r="O254" s="1074" t="inlineStr">
        <is>
          <t>教室2</t>
        </is>
      </c>
      <c r="P254" s="1074" t="inlineStr">
        <is>
          <t>15:50-18:00</t>
        </is>
      </c>
      <c r="Q254" s="1074" t="inlineStr">
        <is>
          <t>启能班</t>
        </is>
      </c>
      <c r="R254" s="1074" t="inlineStr">
        <is>
          <t>零期</t>
        </is>
      </c>
      <c r="S254" s="1074" t="inlineStr">
        <is>
          <t>在读</t>
        </is>
      </c>
      <c r="T254" s="1074" t="inlineStr">
        <is>
          <t>是</t>
        </is>
      </c>
      <c r="U254" s="1074" t="inlineStr">
        <is>
          <t>3132859</t>
        </is>
      </c>
      <c r="V254" s="1074" t="n">
        <v>32</v>
      </c>
      <c r="W254" s="1074" t="inlineStr">
        <is>
          <t>黄铭怡</t>
        </is>
      </c>
      <c r="X254" s="1074" t="inlineStr">
        <is>
          <t>教室2</t>
        </is>
      </c>
      <c r="Y254" s="1074" t="inlineStr">
        <is>
          <t>10:20-12:30</t>
        </is>
      </c>
      <c r="Z254" s="1074" t="inlineStr">
        <is>
          <t>潜能班</t>
        </is>
      </c>
      <c r="AA254" s="1074" t="inlineStr">
        <is>
          <t>零期</t>
        </is>
      </c>
      <c r="AB254" s="1074" t="inlineStr">
        <is>
          <t>在读</t>
        </is>
      </c>
      <c r="AC254" s="1074" t="inlineStr">
        <is>
          <t>-</t>
        </is>
      </c>
      <c r="AD254" s="1074" t="inlineStr">
        <is>
          <t>5230727</t>
        </is>
      </c>
      <c r="AE254" s="1074" t="n">
        <v>40</v>
      </c>
      <c r="AF254" s="1074" t="inlineStr">
        <is>
          <t>肖锐03</t>
        </is>
      </c>
      <c r="AG254" s="1074" t="inlineStr">
        <is>
          <t>教室2</t>
        </is>
      </c>
      <c r="AH254" s="1074" t="inlineStr">
        <is>
          <t>13:20-15:30</t>
        </is>
      </c>
      <c r="AI254" s="1074" t="inlineStr">
        <is>
          <t>潜能班</t>
        </is>
      </c>
      <c r="AJ254" s="1074" t="inlineStr">
        <is>
          <t>零期</t>
        </is>
      </c>
      <c r="AK254" s="1074" t="inlineStr">
        <is>
          <t>在读</t>
        </is>
      </c>
      <c r="AL254" s="1074" t="inlineStr">
        <is>
          <t>-</t>
        </is>
      </c>
      <c r="AM254" s="1074" t="inlineStr">
        <is>
          <t>是</t>
        </is>
      </c>
      <c r="AN254" s="1074" t="inlineStr">
        <is>
          <t>是</t>
        </is>
      </c>
      <c r="AO254" s="1074" t="inlineStr">
        <is>
          <t>是</t>
        </is>
      </c>
      <c r="AP254" s="1074" t="n"/>
      <c r="AQ254" s="1074" t="n"/>
      <c r="AR254" s="1074" t="inlineStr">
        <is>
          <t>A</t>
        </is>
      </c>
      <c r="AS254" s="1074" t="inlineStr">
        <is>
          <t>回民，妈妈有意识需要让孩子衔接</t>
        </is>
      </c>
      <c r="AT254" s="311" t="n"/>
    </row>
    <row r="255" ht="26.25" customFormat="1" customHeight="1" s="366">
      <c r="A255" s="1074" t="inlineStr">
        <is>
          <t>天成大厦</t>
        </is>
      </c>
      <c r="B255" s="1074" t="inlineStr">
        <is>
          <t>2514140816</t>
        </is>
      </c>
      <c r="C255" s="1074" t="inlineStr">
        <is>
          <t>庞靖怡</t>
        </is>
      </c>
      <c r="D255" s="1074" t="inlineStr">
        <is>
          <t>沈思浩</t>
        </is>
      </c>
      <c r="E255" s="1074" t="inlineStr">
        <is>
          <t>纯拉新</t>
        </is>
      </c>
      <c r="F255" s="1074" t="n"/>
      <c r="G255" s="1074" t="n"/>
      <c r="H255" s="1074" t="inlineStr">
        <is>
          <t>在读</t>
        </is>
      </c>
      <c r="I255" s="1074" t="inlineStr">
        <is>
          <t>一期</t>
        </is>
      </c>
      <c r="J255" s="1074" t="inlineStr">
        <is>
          <t>5230775</t>
        </is>
      </c>
      <c r="K255" s="1074" t="inlineStr">
        <is>
          <t>报前测成绩</t>
        </is>
      </c>
      <c r="L255" s="1074" t="n">
        <v>70</v>
      </c>
      <c r="M255" s="1074" t="inlineStr">
        <is>
          <t>-</t>
        </is>
      </c>
      <c r="N255" s="1074" t="inlineStr">
        <is>
          <t>陈中帅</t>
        </is>
      </c>
      <c r="O255" s="1074" t="inlineStr">
        <is>
          <t>03品尚</t>
        </is>
      </c>
      <c r="P255" s="1074" t="inlineStr">
        <is>
          <t>10:20-12:30</t>
        </is>
      </c>
      <c r="Q255" s="1074" t="inlineStr">
        <is>
          <t>潜能班</t>
        </is>
      </c>
      <c r="R255" s="1074" t="inlineStr">
        <is>
          <t>一期</t>
        </is>
      </c>
      <c r="S255" s="1074" t="inlineStr">
        <is>
          <t>在读</t>
        </is>
      </c>
      <c r="T255" s="1074" t="inlineStr">
        <is>
          <t>-</t>
        </is>
      </c>
      <c r="U255" s="1074" t="inlineStr">
        <is>
          <t>3132834</t>
        </is>
      </c>
      <c r="V255" s="1074" t="n">
        <v>32</v>
      </c>
      <c r="W255" s="1074" t="inlineStr">
        <is>
          <t>李润</t>
        </is>
      </c>
      <c r="X255" s="1074" t="inlineStr">
        <is>
          <t>03品尚</t>
        </is>
      </c>
      <c r="Y255" s="1074" t="inlineStr">
        <is>
          <t>07:50-10:00</t>
        </is>
      </c>
      <c r="Z255" s="1074" t="inlineStr">
        <is>
          <t>潜能班</t>
        </is>
      </c>
      <c r="AA255" s="1074" t="inlineStr">
        <is>
          <t>一期</t>
        </is>
      </c>
      <c r="AB255" s="1074" t="inlineStr">
        <is>
          <t>在读</t>
        </is>
      </c>
      <c r="AC255" s="1074" t="inlineStr">
        <is>
          <t>-</t>
        </is>
      </c>
      <c r="AD255" s="1074" t="inlineStr">
        <is>
          <t>5230783</t>
        </is>
      </c>
      <c r="AE255" s="1074" t="n">
        <v>23</v>
      </c>
      <c r="AF255" s="1074" t="inlineStr">
        <is>
          <t>刘希子</t>
        </is>
      </c>
      <c r="AG255" s="1074" t="inlineStr">
        <is>
          <t>03品尚</t>
        </is>
      </c>
      <c r="AH255" s="1074" t="inlineStr">
        <is>
          <t>13:20-15:30</t>
        </is>
      </c>
      <c r="AI255" s="1074" t="inlineStr">
        <is>
          <t>潜能班</t>
        </is>
      </c>
      <c r="AJ255" s="1074" t="inlineStr">
        <is>
          <t>一期</t>
        </is>
      </c>
      <c r="AK255" s="1074" t="inlineStr">
        <is>
          <t>在读</t>
        </is>
      </c>
      <c r="AL255" s="1074" t="inlineStr">
        <is>
          <t>-</t>
        </is>
      </c>
      <c r="AM255" s="1074" t="n"/>
      <c r="AN255" s="1074" t="n"/>
      <c r="AO255" s="1074" t="n"/>
      <c r="AP255" s="1074" t="n"/>
      <c r="AQ255" s="1074" t="n"/>
      <c r="AR255" s="1074" t="inlineStr">
        <is>
          <t>A</t>
        </is>
      </c>
      <c r="AS255" s="1074" t="inlineStr">
        <is>
          <t>先看看学习效果</t>
        </is>
      </c>
      <c r="AT255" s="311" t="n"/>
    </row>
    <row r="256" ht="26.25" customFormat="1" customHeight="1" s="366">
      <c r="A256" s="1074" t="inlineStr">
        <is>
          <t>天成大厦</t>
        </is>
      </c>
      <c r="B256" s="1074" t="inlineStr">
        <is>
          <t>4373949634</t>
        </is>
      </c>
      <c r="C256" s="1074" t="inlineStr">
        <is>
          <t>郭蕴文</t>
        </is>
      </c>
      <c r="D256" s="1074" t="inlineStr">
        <is>
          <t>沈思浩</t>
        </is>
      </c>
      <c r="E256" s="1074" t="inlineStr">
        <is>
          <t>春季在读老生</t>
        </is>
      </c>
      <c r="F256" s="1074" t="n"/>
      <c r="G256" s="1074" t="n"/>
      <c r="H256" s="1074" t="inlineStr">
        <is>
          <t>在读</t>
        </is>
      </c>
      <c r="I256" s="1074" t="inlineStr">
        <is>
          <t>零期/一期</t>
        </is>
      </c>
      <c r="J256" s="1074" t="inlineStr">
        <is>
          <t>3132897</t>
        </is>
      </c>
      <c r="K256" s="1074" t="inlineStr">
        <is>
          <t>报前测成绩</t>
        </is>
      </c>
      <c r="L256" s="1074" t="n">
        <v>70</v>
      </c>
      <c r="M256" s="1074" t="inlineStr">
        <is>
          <t>-</t>
        </is>
      </c>
      <c r="N256" s="1074" t="inlineStr">
        <is>
          <t>陈中帅</t>
        </is>
      </c>
      <c r="O256" s="1074" t="inlineStr">
        <is>
          <t>01智慧林</t>
        </is>
      </c>
      <c r="P256" s="1074" t="inlineStr">
        <is>
          <t>10:20-12:30</t>
        </is>
      </c>
      <c r="Q256" s="1074" t="inlineStr">
        <is>
          <t>潜能班</t>
        </is>
      </c>
      <c r="R256" s="1074" t="inlineStr">
        <is>
          <t>零期</t>
        </is>
      </c>
      <c r="S256" s="1074" t="inlineStr">
        <is>
          <t>在读</t>
        </is>
      </c>
      <c r="T256" s="1074" t="inlineStr">
        <is>
          <t>是</t>
        </is>
      </c>
      <c r="U256" s="1074" t="inlineStr">
        <is>
          <t>3132905</t>
        </is>
      </c>
      <c r="V256" s="1074" t="n">
        <v>87</v>
      </c>
      <c r="W256" s="1074" t="inlineStr">
        <is>
          <t>黄铭怡</t>
        </is>
      </c>
      <c r="X256" s="1074" t="inlineStr">
        <is>
          <t>02彩虹桥</t>
        </is>
      </c>
      <c r="Y256" s="1074" t="inlineStr">
        <is>
          <t>13:20-15:30</t>
        </is>
      </c>
      <c r="Z256" s="1074" t="inlineStr">
        <is>
          <t>潜能班</t>
        </is>
      </c>
      <c r="AA256" s="1074" t="inlineStr">
        <is>
          <t>零期</t>
        </is>
      </c>
      <c r="AB256" s="1074" t="inlineStr">
        <is>
          <t>在读</t>
        </is>
      </c>
      <c r="AC256" s="1074" t="inlineStr">
        <is>
          <t>是</t>
        </is>
      </c>
      <c r="AD256" s="1074" t="inlineStr">
        <is>
          <t>5230783</t>
        </is>
      </c>
      <c r="AE256" s="1074" t="n">
        <v>31</v>
      </c>
      <c r="AF256" s="1074" t="inlineStr">
        <is>
          <t>刘希子</t>
        </is>
      </c>
      <c r="AG256" s="1074" t="inlineStr">
        <is>
          <t>03品尚</t>
        </is>
      </c>
      <c r="AH256" s="1074" t="inlineStr">
        <is>
          <t>13:20-15:30</t>
        </is>
      </c>
      <c r="AI256" s="1074" t="inlineStr">
        <is>
          <t>潜能班</t>
        </is>
      </c>
      <c r="AJ256" s="1074" t="inlineStr">
        <is>
          <t>一期</t>
        </is>
      </c>
      <c r="AK256" s="1074" t="inlineStr">
        <is>
          <t>在读</t>
        </is>
      </c>
      <c r="AL256" s="1074" t="inlineStr">
        <is>
          <t>-</t>
        </is>
      </c>
      <c r="AM256" s="1074" t="inlineStr">
        <is>
          <t>是</t>
        </is>
      </c>
      <c r="AN256" s="1074" t="inlineStr">
        <is>
          <t>否</t>
        </is>
      </c>
      <c r="AO256" s="1074" t="inlineStr">
        <is>
          <t>否</t>
        </is>
      </c>
      <c r="AP256" s="1074" t="inlineStr">
        <is>
          <t>是</t>
        </is>
      </c>
      <c r="AQ256" s="1074" t="n"/>
      <c r="AR256" s="1074" t="inlineStr">
        <is>
          <t>S</t>
        </is>
      </c>
      <c r="AS256" s="1074" t="inlineStr">
        <is>
          <t>在读老生扩科，续费问题不大</t>
        </is>
      </c>
      <c r="AT256" s="311" t="n"/>
    </row>
    <row r="257" ht="26.25" customFormat="1" customHeight="1" s="366">
      <c r="A257" s="1074" t="inlineStr">
        <is>
          <t>天成大厦</t>
        </is>
      </c>
      <c r="B257" s="1074" t="inlineStr">
        <is>
          <t>2502365653</t>
        </is>
      </c>
      <c r="C257" s="1074" t="inlineStr">
        <is>
          <t>黄梓涵</t>
        </is>
      </c>
      <c r="D257" s="1074" t="inlineStr">
        <is>
          <t>沈思浩</t>
        </is>
      </c>
      <c r="E257" s="1074" t="inlineStr">
        <is>
          <t>断报老生</t>
        </is>
      </c>
      <c r="F257" s="1074" t="n"/>
      <c r="G257" s="1074" t="n"/>
      <c r="H257" s="1074" t="inlineStr">
        <is>
          <t>在读</t>
        </is>
      </c>
      <c r="I257" s="1074" t="inlineStr">
        <is>
          <t>二期</t>
        </is>
      </c>
      <c r="J257" s="1074" t="inlineStr">
        <is>
          <t>-</t>
        </is>
      </c>
      <c r="K257" s="1074" t="inlineStr"/>
      <c r="L257" s="1074" t="inlineStr"/>
      <c r="M257" s="1074" t="inlineStr"/>
      <c r="N257" s="1074" t="inlineStr">
        <is>
          <t>-</t>
        </is>
      </c>
      <c r="O257" s="1074" t="inlineStr">
        <is>
          <t>-</t>
        </is>
      </c>
      <c r="P257" s="1074" t="inlineStr">
        <is>
          <t>-</t>
        </is>
      </c>
      <c r="Q257" s="1074" t="inlineStr">
        <is>
          <t>-</t>
        </is>
      </c>
      <c r="R257" s="1074" t="inlineStr">
        <is>
          <t>-</t>
        </is>
      </c>
      <c r="S257" s="1074" t="inlineStr">
        <is>
          <t>-</t>
        </is>
      </c>
      <c r="T257" s="1074" t="inlineStr">
        <is>
          <t>-</t>
        </is>
      </c>
      <c r="U257" s="1074" t="inlineStr">
        <is>
          <t>3132810</t>
        </is>
      </c>
      <c r="V257" s="1074" t="n">
        <v>32</v>
      </c>
      <c r="W257" s="1074" t="inlineStr">
        <is>
          <t>李润</t>
        </is>
      </c>
      <c r="X257" s="1074" t="inlineStr">
        <is>
          <t>03品尚</t>
        </is>
      </c>
      <c r="Y257" s="1074" t="inlineStr">
        <is>
          <t>15:50-18:00</t>
        </is>
      </c>
      <c r="Z257" s="1074" t="inlineStr">
        <is>
          <t>潜能班</t>
        </is>
      </c>
      <c r="AA257" s="1074" t="inlineStr">
        <is>
          <t>二期</t>
        </is>
      </c>
      <c r="AB257" s="1074" t="inlineStr">
        <is>
          <t>在读</t>
        </is>
      </c>
      <c r="AC257" s="1074" t="inlineStr">
        <is>
          <t>-</t>
        </is>
      </c>
      <c r="AD257" s="1074" t="inlineStr">
        <is>
          <t>-</t>
        </is>
      </c>
      <c r="AE257" s="1074" t="inlineStr"/>
      <c r="AF257" s="1074" t="inlineStr">
        <is>
          <t>-</t>
        </is>
      </c>
      <c r="AG257" s="1074" t="inlineStr">
        <is>
          <t>-</t>
        </is>
      </c>
      <c r="AH257" s="1074" t="inlineStr">
        <is>
          <t>-</t>
        </is>
      </c>
      <c r="AI257" s="1074" t="inlineStr">
        <is>
          <t>-</t>
        </is>
      </c>
      <c r="AJ257" s="1074" t="inlineStr">
        <is>
          <t>-</t>
        </is>
      </c>
      <c r="AK257" s="1074" t="inlineStr">
        <is>
          <t>-</t>
        </is>
      </c>
      <c r="AL257" s="1074" t="inlineStr">
        <is>
          <t>-</t>
        </is>
      </c>
      <c r="AM257" s="1074" t="n"/>
      <c r="AN257" s="1074" t="n"/>
      <c r="AO257" s="1074" t="n"/>
      <c r="AP257" s="1074" t="n"/>
      <c r="AQ257" s="1074" t="n"/>
      <c r="AR257" s="1074" t="inlineStr">
        <is>
          <t>S</t>
        </is>
      </c>
      <c r="AS257" s="1074" t="inlineStr">
        <is>
          <t>孩子喜欢就会报名</t>
        </is>
      </c>
      <c r="AT257" s="311" t="n"/>
    </row>
    <row r="258" ht="26.25" customFormat="1" customHeight="1" s="366">
      <c r="A258" s="1074" t="inlineStr">
        <is>
          <t>新宝利</t>
        </is>
      </c>
      <c r="B258" s="1074" t="inlineStr">
        <is>
          <t>4518395205</t>
        </is>
      </c>
      <c r="C258" s="1074" t="inlineStr">
        <is>
          <t>岑宝锐</t>
        </is>
      </c>
      <c r="D258" s="1074" t="inlineStr">
        <is>
          <t>张敏烨</t>
        </is>
      </c>
      <c r="E258" s="1074" t="inlineStr">
        <is>
          <t>春季在读老生</t>
        </is>
      </c>
      <c r="F258" s="1074" t="n"/>
      <c r="G258" s="1074" t="n"/>
      <c r="H258" s="1074" t="inlineStr">
        <is>
          <t>在读</t>
        </is>
      </c>
      <c r="I258" s="1074" t="inlineStr">
        <is>
          <t>二期</t>
        </is>
      </c>
      <c r="J258" s="1074" t="inlineStr">
        <is>
          <t>4513341</t>
        </is>
      </c>
      <c r="K258" s="1074" t="inlineStr">
        <is>
          <t>老师预估</t>
        </is>
      </c>
      <c r="L258" s="1074" t="n">
        <v>65</v>
      </c>
      <c r="M258" s="1074" t="inlineStr">
        <is>
          <t>-</t>
        </is>
      </c>
      <c r="N258" s="1074" t="inlineStr">
        <is>
          <t>陈中帅</t>
        </is>
      </c>
      <c r="O258" s="1074" t="inlineStr">
        <is>
          <t>教室3</t>
        </is>
      </c>
      <c r="P258" s="1074" t="inlineStr">
        <is>
          <t>15:50-18:00</t>
        </is>
      </c>
      <c r="Q258" s="1074" t="inlineStr">
        <is>
          <t>启能班</t>
        </is>
      </c>
      <c r="R258" s="1074" t="inlineStr">
        <is>
          <t>二期</t>
        </is>
      </c>
      <c r="S258" s="1074" t="inlineStr">
        <is>
          <t>在读</t>
        </is>
      </c>
      <c r="T258" s="1074" t="inlineStr">
        <is>
          <t>是</t>
        </is>
      </c>
      <c r="U258" s="1074" t="inlineStr">
        <is>
          <t>3132846</t>
        </is>
      </c>
      <c r="V258" s="1074" t="n">
        <v>0</v>
      </c>
      <c r="W258" s="1074" t="inlineStr">
        <is>
          <t>黄铭怡</t>
        </is>
      </c>
      <c r="X258" s="1074" t="inlineStr">
        <is>
          <t>教室3</t>
        </is>
      </c>
      <c r="Y258" s="1074" t="inlineStr">
        <is>
          <t>13:20-15:30</t>
        </is>
      </c>
      <c r="Z258" s="1074" t="inlineStr">
        <is>
          <t>潜能班</t>
        </is>
      </c>
      <c r="AA258" s="1074" t="inlineStr">
        <is>
          <t>二期</t>
        </is>
      </c>
      <c r="AB258" s="1074" t="inlineStr">
        <is>
          <t>在读</t>
        </is>
      </c>
      <c r="AC258" s="1074" t="inlineStr">
        <is>
          <t>-</t>
        </is>
      </c>
      <c r="AD258" s="1074" t="inlineStr">
        <is>
          <t>5230738</t>
        </is>
      </c>
      <c r="AE258" s="1074" t="n">
        <v>0</v>
      </c>
      <c r="AF258" s="1074" t="inlineStr">
        <is>
          <t>高心怡04</t>
        </is>
      </c>
      <c r="AG258" s="1074" t="inlineStr">
        <is>
          <t>教室3</t>
        </is>
      </c>
      <c r="AH258" s="1074" t="inlineStr">
        <is>
          <t>10:20-12:30</t>
        </is>
      </c>
      <c r="AI258" s="1074" t="inlineStr">
        <is>
          <t>潜能班</t>
        </is>
      </c>
      <c r="AJ258" s="1074" t="inlineStr">
        <is>
          <t>二期</t>
        </is>
      </c>
      <c r="AK258" s="1074" t="inlineStr">
        <is>
          <t>在读</t>
        </is>
      </c>
      <c r="AL258" s="1074" t="inlineStr">
        <is>
          <t>-</t>
        </is>
      </c>
      <c r="AM258" s="1074" t="n"/>
      <c r="AN258" s="1074" t="n"/>
      <c r="AO258" s="1074" t="n"/>
      <c r="AP258" s="1074" t="n"/>
      <c r="AQ258" s="1074" t="n"/>
      <c r="AR258" s="1074" t="inlineStr">
        <is>
          <t>B</t>
        </is>
      </c>
      <c r="AS258" s="1074" t="inlineStr">
        <is>
          <t>未咨询正课价格</t>
        </is>
      </c>
      <c r="AT258" s="311" t="n"/>
    </row>
    <row r="259" ht="26.25" customFormat="1" customHeight="1" s="366">
      <c r="A259" s="1074" t="inlineStr">
        <is>
          <t>新宝利</t>
        </is>
      </c>
      <c r="B259" s="1074" t="inlineStr">
        <is>
          <t>2499480724</t>
        </is>
      </c>
      <c r="C259" s="1074" t="inlineStr">
        <is>
          <t>黄琲</t>
        </is>
      </c>
      <c r="D259" s="1074" t="inlineStr">
        <is>
          <t>杨林33</t>
        </is>
      </c>
      <c r="E259" s="1074" t="inlineStr">
        <is>
          <t>反复低价</t>
        </is>
      </c>
      <c r="F259" s="1074" t="inlineStr">
        <is>
          <t>第一批新宝利低价学生，多次短期班，未转化</t>
        </is>
      </c>
      <c r="G259" s="1074" t="n"/>
      <c r="H259" s="1074" t="inlineStr">
        <is>
          <t>退费</t>
        </is>
      </c>
      <c r="I259" s="1074" t="inlineStr">
        <is>
          <t>-</t>
        </is>
      </c>
      <c r="J259" s="1074" t="inlineStr">
        <is>
          <t>3132884</t>
        </is>
      </c>
      <c r="K259" s="1074" t="inlineStr">
        <is>
          <t>校内成绩</t>
        </is>
      </c>
      <c r="L259" s="1074" t="n">
        <v>72</v>
      </c>
      <c r="M259" s="1074" t="n">
        <v>90</v>
      </c>
      <c r="N259" s="1074" t="inlineStr">
        <is>
          <t>田雨涵01</t>
        </is>
      </c>
      <c r="O259" s="1074" t="inlineStr">
        <is>
          <t>教室3</t>
        </is>
      </c>
      <c r="P259" s="1074" t="inlineStr">
        <is>
          <t>13:20-15:30</t>
        </is>
      </c>
      <c r="Q259" s="1074" t="inlineStr">
        <is>
          <t>潜能班</t>
        </is>
      </c>
      <c r="R259" s="1074" t="inlineStr">
        <is>
          <t>零期</t>
        </is>
      </c>
      <c r="S259" s="1074" t="inlineStr">
        <is>
          <t>课前退</t>
        </is>
      </c>
      <c r="T259" s="1074" t="inlineStr">
        <is>
          <t>-</t>
        </is>
      </c>
      <c r="U259" s="1074" t="inlineStr">
        <is>
          <t>4513265</t>
        </is>
      </c>
      <c r="V259" s="1074" t="n">
        <v>0</v>
      </c>
      <c r="W259" s="1074" t="inlineStr">
        <is>
          <t>李润</t>
        </is>
      </c>
      <c r="X259" s="1074" t="inlineStr">
        <is>
          <t>教室3</t>
        </is>
      </c>
      <c r="Y259" s="1074" t="inlineStr">
        <is>
          <t>10:20-12:30</t>
        </is>
      </c>
      <c r="Z259" s="1074" t="inlineStr">
        <is>
          <t>潜能班</t>
        </is>
      </c>
      <c r="AA259" s="1074" t="inlineStr">
        <is>
          <t>零期</t>
        </is>
      </c>
      <c r="AB259" s="1074" t="inlineStr">
        <is>
          <t>课前退</t>
        </is>
      </c>
      <c r="AC259" s="1074" t="inlineStr">
        <is>
          <t>-</t>
        </is>
      </c>
      <c r="AD259" s="1074" t="inlineStr">
        <is>
          <t>5230723</t>
        </is>
      </c>
      <c r="AE259" s="1074" t="n">
        <v>0</v>
      </c>
      <c r="AF259" s="1074" t="inlineStr">
        <is>
          <t>肖锐03</t>
        </is>
      </c>
      <c r="AG259" s="1074" t="inlineStr">
        <is>
          <t>教室3</t>
        </is>
      </c>
      <c r="AH259" s="1074" t="inlineStr">
        <is>
          <t>15:50-18:00</t>
        </is>
      </c>
      <c r="AI259" s="1074" t="inlineStr">
        <is>
          <t>潜能班</t>
        </is>
      </c>
      <c r="AJ259" s="1074" t="inlineStr">
        <is>
          <t>零期</t>
        </is>
      </c>
      <c r="AK259" s="1074" t="inlineStr">
        <is>
          <t>课前退</t>
        </is>
      </c>
      <c r="AL259" s="1074" t="inlineStr">
        <is>
          <t>-</t>
        </is>
      </c>
      <c r="AM259" s="1074" t="n"/>
      <c r="AN259" s="1074" t="n"/>
      <c r="AO259" s="1074" t="n"/>
      <c r="AP259" s="1074" t="n"/>
      <c r="AQ259" s="1074" t="n"/>
      <c r="AR259" s="1074" t="inlineStr">
        <is>
          <t>C</t>
        </is>
      </c>
      <c r="AS259" s="1074" t="inlineStr">
        <is>
          <t>申请退费</t>
        </is>
      </c>
      <c r="AT259" s="311" t="n"/>
    </row>
    <row r="260" ht="26.25" customFormat="1" customHeight="1" s="366">
      <c r="A260" s="1074" t="inlineStr">
        <is>
          <t>同创汇</t>
        </is>
      </c>
      <c r="B260" s="1074" t="inlineStr">
        <is>
          <t>4357593784</t>
        </is>
      </c>
      <c r="C260" s="1074" t="inlineStr">
        <is>
          <t>杨元博</t>
        </is>
      </c>
      <c r="D260" s="1074" t="inlineStr">
        <is>
          <t>王丽</t>
        </is>
      </c>
      <c r="E260" s="1074" t="inlineStr">
        <is>
          <t>春季在读老生</t>
        </is>
      </c>
      <c r="F260" s="1074" t="inlineStr">
        <is>
          <t>春暑秋双科连报</t>
        </is>
      </c>
      <c r="G260" s="1074" t="n"/>
      <c r="H260" s="1074" t="inlineStr">
        <is>
          <t>在读</t>
        </is>
      </c>
      <c r="I260" s="1074" t="inlineStr">
        <is>
          <t>零期</t>
        </is>
      </c>
      <c r="J260" s="1074" t="inlineStr">
        <is>
          <t>5230814</t>
        </is>
      </c>
      <c r="K260" s="1074" t="inlineStr">
        <is>
          <t>老师预估</t>
        </is>
      </c>
      <c r="L260" s="1074" t="n">
        <v>90</v>
      </c>
      <c r="M260" s="1074" t="inlineStr">
        <is>
          <t>-</t>
        </is>
      </c>
      <c r="N260" s="1074" t="inlineStr">
        <is>
          <t>陈中帅</t>
        </is>
      </c>
      <c r="O260" s="1074" t="inlineStr">
        <is>
          <t>02彩虹桥</t>
        </is>
      </c>
      <c r="P260" s="1074" t="inlineStr">
        <is>
          <t>07:50-10:00</t>
        </is>
      </c>
      <c r="Q260" s="1074" t="inlineStr">
        <is>
          <t>启能班</t>
        </is>
      </c>
      <c r="R260" s="1074" t="inlineStr">
        <is>
          <t>零期</t>
        </is>
      </c>
      <c r="S260" s="1074" t="inlineStr">
        <is>
          <t>在读</t>
        </is>
      </c>
      <c r="T260" s="1074" t="inlineStr">
        <is>
          <t>是</t>
        </is>
      </c>
      <c r="U260" s="1074" t="inlineStr">
        <is>
          <t>3132905</t>
        </is>
      </c>
      <c r="V260" s="1074" t="n"/>
      <c r="W260" s="1074" t="inlineStr">
        <is>
          <t>黄铭怡</t>
        </is>
      </c>
      <c r="X260" s="1074" t="inlineStr">
        <is>
          <t>02彩虹桥</t>
        </is>
      </c>
      <c r="Y260" s="1074" t="inlineStr">
        <is>
          <t>13:20-15:30</t>
        </is>
      </c>
      <c r="Z260" s="1074" t="inlineStr">
        <is>
          <t>潜能班</t>
        </is>
      </c>
      <c r="AA260" s="1074" t="inlineStr">
        <is>
          <t>零期</t>
        </is>
      </c>
      <c r="AB260" s="1074" t="inlineStr">
        <is>
          <t>在读</t>
        </is>
      </c>
      <c r="AC260" s="1074" t="inlineStr">
        <is>
          <t>是</t>
        </is>
      </c>
      <c r="AD260" s="1074" t="inlineStr">
        <is>
          <t>-</t>
        </is>
      </c>
      <c r="AE260" s="1074" t="inlineStr"/>
      <c r="AF260" s="1074" t="inlineStr">
        <is>
          <t>-</t>
        </is>
      </c>
      <c r="AG260" s="1074" t="inlineStr">
        <is>
          <t>-</t>
        </is>
      </c>
      <c r="AH260" s="1074" t="inlineStr">
        <is>
          <t>-</t>
        </is>
      </c>
      <c r="AI260" s="1074" t="inlineStr">
        <is>
          <t>-</t>
        </is>
      </c>
      <c r="AJ260" s="1074" t="inlineStr">
        <is>
          <t>-</t>
        </is>
      </c>
      <c r="AK260" s="1074" t="inlineStr">
        <is>
          <t>-</t>
        </is>
      </c>
      <c r="AL260" s="1074" t="inlineStr">
        <is>
          <t>-</t>
        </is>
      </c>
      <c r="AM260" s="1074" t="inlineStr">
        <is>
          <t>是</t>
        </is>
      </c>
      <c r="AN260" s="1074" t="inlineStr">
        <is>
          <t>是</t>
        </is>
      </c>
      <c r="AO260" s="1074" t="inlineStr">
        <is>
          <t>是</t>
        </is>
      </c>
      <c r="AP260" s="1074" t="n"/>
      <c r="AQ260" s="1074" t="n"/>
      <c r="AR260" s="1074" t="inlineStr">
        <is>
          <t>S</t>
        </is>
      </c>
      <c r="AS260" s="1074" t="inlineStr">
        <is>
          <t>已经暑秋连报了</t>
        </is>
      </c>
      <c r="AT260" s="311" t="n"/>
    </row>
    <row r="261" ht="26.25" customFormat="1" customHeight="1" s="366">
      <c r="A261" s="1074" t="inlineStr">
        <is>
          <t>新宝利</t>
        </is>
      </c>
      <c r="B261" s="1074" t="inlineStr">
        <is>
          <t>4110924941</t>
        </is>
      </c>
      <c r="C261" s="1074" t="inlineStr">
        <is>
          <t>李泓毅</t>
        </is>
      </c>
      <c r="D261" s="1074" t="inlineStr">
        <is>
          <t>王丽</t>
        </is>
      </c>
      <c r="E261" s="1074" t="inlineStr">
        <is>
          <t>断报老生</t>
        </is>
      </c>
      <c r="F261" s="1074" t="n"/>
      <c r="G261" s="1074" t="n"/>
      <c r="H261" s="1074" t="inlineStr">
        <is>
          <t>退费</t>
        </is>
      </c>
      <c r="I261" s="1074" t="inlineStr">
        <is>
          <t>-</t>
        </is>
      </c>
      <c r="J261" s="1074" t="inlineStr">
        <is>
          <t>5230732</t>
        </is>
      </c>
      <c r="K261" s="1074" t="inlineStr">
        <is>
          <t>校内成绩</t>
        </is>
      </c>
      <c r="L261" s="1074" t="n">
        <v>85</v>
      </c>
      <c r="M261" s="1074" t="n">
        <v>95</v>
      </c>
      <c r="N261" s="1074" t="inlineStr">
        <is>
          <t>何咏04</t>
        </is>
      </c>
      <c r="O261" s="1074" t="inlineStr">
        <is>
          <t>教室3</t>
        </is>
      </c>
      <c r="P261" s="1074" t="inlineStr">
        <is>
          <t>10:30-12:40</t>
        </is>
      </c>
      <c r="Q261" s="1074" t="inlineStr">
        <is>
          <t>启能班</t>
        </is>
      </c>
      <c r="R261" s="1074" t="inlineStr">
        <is>
          <t>一期</t>
        </is>
      </c>
      <c r="S261" s="1074" t="inlineStr">
        <is>
          <t>课前退</t>
        </is>
      </c>
      <c r="T261" s="1074" t="inlineStr">
        <is>
          <t>-</t>
        </is>
      </c>
      <c r="U261" s="1074" t="inlineStr">
        <is>
          <t>5170706</t>
        </is>
      </c>
      <c r="V261" s="1074" t="n">
        <v>0</v>
      </c>
      <c r="W261" s="1074" t="inlineStr">
        <is>
          <t>李润</t>
        </is>
      </c>
      <c r="X261" s="1074" t="inlineStr">
        <is>
          <t>教室3</t>
        </is>
      </c>
      <c r="Y261" s="1074" t="inlineStr">
        <is>
          <t>13:20-15:30</t>
        </is>
      </c>
      <c r="Z261" s="1074" t="inlineStr">
        <is>
          <t>潜能班</t>
        </is>
      </c>
      <c r="AA261" s="1074" t="inlineStr">
        <is>
          <t>一期</t>
        </is>
      </c>
      <c r="AB261" s="1074" t="inlineStr">
        <is>
          <t>课前退</t>
        </is>
      </c>
      <c r="AC261" s="1074" t="inlineStr">
        <is>
          <t>-</t>
        </is>
      </c>
      <c r="AD261" s="1074" t="inlineStr">
        <is>
          <t>3132899</t>
        </is>
      </c>
      <c r="AE261" s="1074" t="n">
        <v>0</v>
      </c>
      <c r="AF261" s="1074" t="inlineStr">
        <is>
          <t>肖锐03</t>
        </is>
      </c>
      <c r="AG261" s="1074" t="inlineStr">
        <is>
          <t>教室3</t>
        </is>
      </c>
      <c r="AH261" s="1074" t="inlineStr">
        <is>
          <t>07:50-10:00</t>
        </is>
      </c>
      <c r="AI261" s="1074" t="inlineStr">
        <is>
          <t>潜能班</t>
        </is>
      </c>
      <c r="AJ261" s="1074" t="inlineStr">
        <is>
          <t>一期</t>
        </is>
      </c>
      <c r="AK261" s="1074" t="inlineStr">
        <is>
          <t>课前退</t>
        </is>
      </c>
      <c r="AL261" s="1074" t="inlineStr">
        <is>
          <t>-</t>
        </is>
      </c>
      <c r="AM261" s="1074" t="n"/>
      <c r="AN261" s="1074" t="n"/>
      <c r="AO261" s="1074" t="n"/>
      <c r="AP261" s="1074" t="n"/>
      <c r="AQ261" s="1074" t="n"/>
      <c r="AR261" s="1074" t="n"/>
      <c r="AS261" s="1074" t="n"/>
      <c r="AT261" s="311" t="n"/>
    </row>
    <row r="262" ht="26.25" customFormat="1" customHeight="1" s="366">
      <c r="A262" s="1074" t="inlineStr">
        <is>
          <t>新宝利</t>
        </is>
      </c>
      <c r="B262" s="1074" t="inlineStr">
        <is>
          <t>4231298195</t>
        </is>
      </c>
      <c r="C262" s="1074" t="inlineStr">
        <is>
          <t>刘梦可</t>
        </is>
      </c>
      <c r="D262" s="1074" t="inlineStr">
        <is>
          <t>张敏烨</t>
        </is>
      </c>
      <c r="E262" s="1074" t="inlineStr">
        <is>
          <t>新生转介绍</t>
        </is>
      </c>
      <c r="F262" s="1074" t="n"/>
      <c r="G262" s="1074" t="inlineStr">
        <is>
          <t>张瑞桐</t>
        </is>
      </c>
      <c r="H262" s="1074" t="inlineStr">
        <is>
          <t>在读</t>
        </is>
      </c>
      <c r="I262" s="1074" t="inlineStr">
        <is>
          <t>三期</t>
        </is>
      </c>
      <c r="J262" s="1074" t="inlineStr">
        <is>
          <t>3132902</t>
        </is>
      </c>
      <c r="K262" s="1074" t="inlineStr">
        <is>
          <t>报前测成绩</t>
        </is>
      </c>
      <c r="L262" s="1074" t="n">
        <v>70</v>
      </c>
      <c r="M262" s="1074" t="inlineStr">
        <is>
          <t>-</t>
        </is>
      </c>
      <c r="N262" s="1074" t="inlineStr">
        <is>
          <t>陈中帅</t>
        </is>
      </c>
      <c r="O262" s="1074" t="inlineStr">
        <is>
          <t>教室3</t>
        </is>
      </c>
      <c r="P262" s="1074" t="inlineStr">
        <is>
          <t>13:20-15:30</t>
        </is>
      </c>
      <c r="Q262" s="1074" t="inlineStr">
        <is>
          <t>潜能班</t>
        </is>
      </c>
      <c r="R262" s="1074" t="inlineStr">
        <is>
          <t>三期</t>
        </is>
      </c>
      <c r="S262" s="1074" t="inlineStr">
        <is>
          <t>在读</t>
        </is>
      </c>
      <c r="T262" s="1074" t="inlineStr">
        <is>
          <t>-</t>
        </is>
      </c>
      <c r="U262" s="1074" t="inlineStr">
        <is>
          <t>5230747</t>
        </is>
      </c>
      <c r="V262" s="1074" t="n">
        <v>32</v>
      </c>
      <c r="W262" s="1074" t="inlineStr">
        <is>
          <t>陈南05</t>
        </is>
      </c>
      <c r="X262" s="1074" t="inlineStr">
        <is>
          <t>教室3</t>
        </is>
      </c>
      <c r="Y262" s="1074" t="inlineStr">
        <is>
          <t>10:20-12:30</t>
        </is>
      </c>
      <c r="Z262" s="1074" t="inlineStr">
        <is>
          <t>潜能班</t>
        </is>
      </c>
      <c r="AA262" s="1074" t="inlineStr">
        <is>
          <t>三期</t>
        </is>
      </c>
      <c r="AB262" s="1074" t="inlineStr">
        <is>
          <t>在读</t>
        </is>
      </c>
      <c r="AC262" s="1074" t="inlineStr">
        <is>
          <t>-</t>
        </is>
      </c>
      <c r="AD262" s="1074" t="inlineStr">
        <is>
          <t>5230821</t>
        </is>
      </c>
      <c r="AE262" s="1074" t="n">
        <v>35</v>
      </c>
      <c r="AF262" s="1074" t="inlineStr">
        <is>
          <t>肖锐03</t>
        </is>
      </c>
      <c r="AG262" s="1074" t="inlineStr">
        <is>
          <t>教室3</t>
        </is>
      </c>
      <c r="AH262" s="1074" t="inlineStr">
        <is>
          <t>15:50-18:00</t>
        </is>
      </c>
      <c r="AI262" s="1074" t="inlineStr">
        <is>
          <t>潜能班</t>
        </is>
      </c>
      <c r="AJ262" s="1074" t="inlineStr">
        <is>
          <t>三期</t>
        </is>
      </c>
      <c r="AK262" s="1074" t="inlineStr">
        <is>
          <t>在读</t>
        </is>
      </c>
      <c r="AL262" s="1074" t="inlineStr">
        <is>
          <t>-</t>
        </is>
      </c>
      <c r="AM262" s="1074" t="n"/>
      <c r="AN262" s="1074" t="n"/>
      <c r="AO262" s="1074" t="n"/>
      <c r="AP262" s="1074" t="n"/>
      <c r="AQ262" s="1074" t="n"/>
      <c r="AR262" s="1074" t="inlineStr">
        <is>
          <t>B</t>
        </is>
      </c>
      <c r="AS262" s="1074" t="inlineStr">
        <is>
          <t>V未咨询正课价格</t>
        </is>
      </c>
      <c r="AT262" s="311" t="n"/>
    </row>
    <row r="263" ht="26.25" customFormat="1" customHeight="1" s="366">
      <c r="A263" s="1074" t="inlineStr">
        <is>
          <t>天成大厦</t>
        </is>
      </c>
      <c r="B263" s="1074" t="inlineStr">
        <is>
          <t>2501290170</t>
        </is>
      </c>
      <c r="C263" s="1074" t="inlineStr">
        <is>
          <t>Apple</t>
        </is>
      </c>
      <c r="D263" s="1074" t="inlineStr">
        <is>
          <t>沈思浩</t>
        </is>
      </c>
      <c r="E263" s="1074" t="inlineStr">
        <is>
          <t>反复低价</t>
        </is>
      </c>
      <c r="F263" s="1074" t="inlineStr">
        <is>
          <t>换手机号、换UID报名，还有Mango、沐沐。家里3个孩子只报特惠，从不续费</t>
        </is>
      </c>
      <c r="G263" s="1074" t="n"/>
      <c r="H263" s="1074" t="inlineStr">
        <is>
          <t>在读</t>
        </is>
      </c>
      <c r="I263" s="1074" t="inlineStr">
        <is>
          <t>一期</t>
        </is>
      </c>
      <c r="J263" s="1074" t="inlineStr">
        <is>
          <t>5230775</t>
        </is>
      </c>
      <c r="K263" s="1074" t="inlineStr">
        <is>
          <t>校内成绩</t>
        </is>
      </c>
      <c r="L263" s="1074" t="n">
        <v>88</v>
      </c>
      <c r="M263" s="1074" t="n">
        <v>98</v>
      </c>
      <c r="N263" s="1074" t="inlineStr">
        <is>
          <t>陈中帅</t>
        </is>
      </c>
      <c r="O263" s="1074" t="inlineStr">
        <is>
          <t>03品尚</t>
        </is>
      </c>
      <c r="P263" s="1074" t="inlineStr">
        <is>
          <t>10:20-12:30</t>
        </is>
      </c>
      <c r="Q263" s="1074" t="inlineStr">
        <is>
          <t>潜能班</t>
        </is>
      </c>
      <c r="R263" s="1074" t="inlineStr">
        <is>
          <t>一期</t>
        </is>
      </c>
      <c r="S263" s="1074" t="inlineStr">
        <is>
          <t>在读</t>
        </is>
      </c>
      <c r="T263" s="1074" t="inlineStr">
        <is>
          <t>-</t>
        </is>
      </c>
      <c r="U263" s="1074" t="inlineStr">
        <is>
          <t>3132834</t>
        </is>
      </c>
      <c r="V263" s="1074" t="n">
        <v>0</v>
      </c>
      <c r="W263" s="1074" t="inlineStr">
        <is>
          <t>李润</t>
        </is>
      </c>
      <c r="X263" s="1074" t="inlineStr">
        <is>
          <t>03品尚</t>
        </is>
      </c>
      <c r="Y263" s="1074" t="inlineStr">
        <is>
          <t>07:50-10:00</t>
        </is>
      </c>
      <c r="Z263" s="1074" t="inlineStr">
        <is>
          <t>潜能班</t>
        </is>
      </c>
      <c r="AA263" s="1074" t="inlineStr">
        <is>
          <t>一期</t>
        </is>
      </c>
      <c r="AB263" s="1074" t="inlineStr">
        <is>
          <t>在读</t>
        </is>
      </c>
      <c r="AC263" s="1074" t="inlineStr">
        <is>
          <t>-</t>
        </is>
      </c>
      <c r="AD263" s="1074" t="inlineStr">
        <is>
          <t>5230783</t>
        </is>
      </c>
      <c r="AE263" s="1074" t="n">
        <v>0</v>
      </c>
      <c r="AF263" s="1074" t="inlineStr">
        <is>
          <t>刘希子</t>
        </is>
      </c>
      <c r="AG263" s="1074" t="inlineStr">
        <is>
          <t>03品尚</t>
        </is>
      </c>
      <c r="AH263" s="1074" t="inlineStr">
        <is>
          <t>13:20-15:30</t>
        </is>
      </c>
      <c r="AI263" s="1074" t="inlineStr">
        <is>
          <t>潜能班</t>
        </is>
      </c>
      <c r="AJ263" s="1074" t="inlineStr">
        <is>
          <t>一期</t>
        </is>
      </c>
      <c r="AK263" s="1074" t="inlineStr">
        <is>
          <t>在读</t>
        </is>
      </c>
      <c r="AL263" s="1074" t="inlineStr">
        <is>
          <t>-</t>
        </is>
      </c>
      <c r="AM263" s="1074" t="n"/>
      <c r="AN263" s="1074" t="n"/>
      <c r="AO263" s="1074" t="n"/>
      <c r="AP263" s="1074" t="n"/>
      <c r="AQ263" s="1074" t="n"/>
      <c r="AR263" s="1074" t="n"/>
      <c r="AS263" s="1074" t="n"/>
      <c r="AT263" s="311" t="n"/>
    </row>
    <row r="264" ht="26.25" customFormat="1" customHeight="1" s="366">
      <c r="A264" s="1074" t="inlineStr">
        <is>
          <t>新宝利</t>
        </is>
      </c>
      <c r="B264" s="1074" t="inlineStr">
        <is>
          <t>2421169637</t>
        </is>
      </c>
      <c r="C264" s="1074" t="inlineStr">
        <is>
          <t>钟雨橦</t>
        </is>
      </c>
      <c r="D264" s="1074" t="inlineStr">
        <is>
          <t>杨林33</t>
        </is>
      </c>
      <c r="E264" s="1074" t="inlineStr">
        <is>
          <t>纯拉新</t>
        </is>
      </c>
      <c r="F264" s="1074" t="n"/>
      <c r="G264" s="1074" t="n"/>
      <c r="H264" s="1074" t="inlineStr">
        <is>
          <t>在读</t>
        </is>
      </c>
      <c r="I264" s="1074" t="inlineStr">
        <is>
          <t>一期</t>
        </is>
      </c>
      <c r="J264" s="1074" t="inlineStr">
        <is>
          <t>5230732</t>
        </is>
      </c>
      <c r="K264" s="1074" t="inlineStr">
        <is>
          <t>校内成绩</t>
        </is>
      </c>
      <c r="L264" s="1074" t="n">
        <v>85</v>
      </c>
      <c r="M264" s="1074" t="n">
        <v>95</v>
      </c>
      <c r="N264" s="1074" t="inlineStr">
        <is>
          <t>何咏04</t>
        </is>
      </c>
      <c r="O264" s="1074" t="inlineStr">
        <is>
          <t>教室3</t>
        </is>
      </c>
      <c r="P264" s="1074" t="inlineStr">
        <is>
          <t>10:30-12:40</t>
        </is>
      </c>
      <c r="Q264" s="1074" t="inlineStr">
        <is>
          <t>启能班</t>
        </is>
      </c>
      <c r="R264" s="1074" t="inlineStr">
        <is>
          <t>一期</t>
        </is>
      </c>
      <c r="S264" s="1074" t="inlineStr">
        <is>
          <t>在读</t>
        </is>
      </c>
      <c r="T264" s="1074" t="inlineStr">
        <is>
          <t>-</t>
        </is>
      </c>
      <c r="U264" s="1074" t="inlineStr">
        <is>
          <t>5170706</t>
        </is>
      </c>
      <c r="V264" s="1074" t="n">
        <v>0</v>
      </c>
      <c r="W264" s="1074" t="inlineStr">
        <is>
          <t>李润</t>
        </is>
      </c>
      <c r="X264" s="1074" t="inlineStr">
        <is>
          <t>教室3</t>
        </is>
      </c>
      <c r="Y264" s="1074" t="inlineStr">
        <is>
          <t>13:20-15:30</t>
        </is>
      </c>
      <c r="Z264" s="1074" t="inlineStr">
        <is>
          <t>潜能班</t>
        </is>
      </c>
      <c r="AA264" s="1074" t="inlineStr">
        <is>
          <t>一期</t>
        </is>
      </c>
      <c r="AB264" s="1074" t="inlineStr">
        <is>
          <t>在读</t>
        </is>
      </c>
      <c r="AC264" s="1074" t="inlineStr">
        <is>
          <t>是</t>
        </is>
      </c>
      <c r="AD264" s="1074" t="inlineStr">
        <is>
          <t>3132899</t>
        </is>
      </c>
      <c r="AE264" s="1074" t="n">
        <v>0</v>
      </c>
      <c r="AF264" s="1074" t="inlineStr">
        <is>
          <t>肖锐03</t>
        </is>
      </c>
      <c r="AG264" s="1074" t="inlineStr">
        <is>
          <t>教室3</t>
        </is>
      </c>
      <c r="AH264" s="1074" t="inlineStr">
        <is>
          <t>07:50-10:00</t>
        </is>
      </c>
      <c r="AI264" s="1074" t="inlineStr">
        <is>
          <t>潜能班</t>
        </is>
      </c>
      <c r="AJ264" s="1074" t="inlineStr">
        <is>
          <t>一期</t>
        </is>
      </c>
      <c r="AK264" s="1074" t="inlineStr">
        <is>
          <t>在读</t>
        </is>
      </c>
      <c r="AL264" s="1074" t="inlineStr">
        <is>
          <t>-</t>
        </is>
      </c>
      <c r="AM264" s="1074" t="n"/>
      <c r="AN264" s="1074" t="n"/>
      <c r="AO264" s="1074" t="n"/>
      <c r="AP264" s="1074" t="n"/>
      <c r="AQ264" s="1074" t="n"/>
      <c r="AR264" s="1074" t="inlineStr">
        <is>
          <t>B</t>
        </is>
      </c>
      <c r="AS264" s="1074" t="inlineStr">
        <is>
          <t>语文是报了暑秋，数学当时想着便宜就报了，支付能力肯定是OK的，关键在于孩子想不想继续学</t>
        </is>
      </c>
      <c r="AT264" s="311" t="n"/>
    </row>
    <row r="265" ht="26.25" customFormat="1" customHeight="1" s="366">
      <c r="A265" s="1074" t="inlineStr">
        <is>
          <t>新宝利</t>
        </is>
      </c>
      <c r="B265" s="1074" t="inlineStr">
        <is>
          <t>2530903451</t>
        </is>
      </c>
      <c r="C265" s="1074" t="inlineStr">
        <is>
          <t>符钧豪</t>
        </is>
      </c>
      <c r="D265" s="1074" t="inlineStr">
        <is>
          <t>杨林33</t>
        </is>
      </c>
      <c r="E265" s="1074" t="inlineStr">
        <is>
          <t>纯拉新</t>
        </is>
      </c>
      <c r="F265" s="1074" t="n"/>
      <c r="G265" s="1074" t="n"/>
      <c r="H265" s="1074" t="inlineStr">
        <is>
          <t>在读</t>
        </is>
      </c>
      <c r="I265" s="1074" t="inlineStr">
        <is>
          <t>三期</t>
        </is>
      </c>
      <c r="J265" s="1074" t="inlineStr">
        <is>
          <t>3132902</t>
        </is>
      </c>
      <c r="K265" s="1074" t="inlineStr">
        <is>
          <t>报前测成绩</t>
        </is>
      </c>
      <c r="L265" s="1074" t="n">
        <v>60</v>
      </c>
      <c r="M265" s="1074" t="inlineStr">
        <is>
          <t>-</t>
        </is>
      </c>
      <c r="N265" s="1074" t="inlineStr">
        <is>
          <t>陈中帅</t>
        </is>
      </c>
      <c r="O265" s="1074" t="inlineStr">
        <is>
          <t>教室3</t>
        </is>
      </c>
      <c r="P265" s="1074" t="inlineStr">
        <is>
          <t>13:20-15:30</t>
        </is>
      </c>
      <c r="Q265" s="1074" t="inlineStr">
        <is>
          <t>潜能班</t>
        </is>
      </c>
      <c r="R265" s="1074" t="inlineStr">
        <is>
          <t>三期</t>
        </is>
      </c>
      <c r="S265" s="1074" t="inlineStr">
        <is>
          <t>在读</t>
        </is>
      </c>
      <c r="T265" s="1074" t="inlineStr">
        <is>
          <t>-</t>
        </is>
      </c>
      <c r="U265" s="1074" t="inlineStr">
        <is>
          <t>5230747</t>
        </is>
      </c>
      <c r="V265" s="1074" t="n">
        <v>30</v>
      </c>
      <c r="W265" s="1074" t="inlineStr">
        <is>
          <t>陈南05</t>
        </is>
      </c>
      <c r="X265" s="1074" t="inlineStr">
        <is>
          <t>教室3</t>
        </is>
      </c>
      <c r="Y265" s="1074" t="inlineStr">
        <is>
          <t>10:20-12:30</t>
        </is>
      </c>
      <c r="Z265" s="1074" t="inlineStr">
        <is>
          <t>潜能班</t>
        </is>
      </c>
      <c r="AA265" s="1074" t="inlineStr">
        <is>
          <t>三期</t>
        </is>
      </c>
      <c r="AB265" s="1074" t="inlineStr">
        <is>
          <t>在读</t>
        </is>
      </c>
      <c r="AC265" s="1074" t="inlineStr">
        <is>
          <t>-</t>
        </is>
      </c>
      <c r="AD265" s="1074" t="inlineStr">
        <is>
          <t>5230821</t>
        </is>
      </c>
      <c r="AE265" s="1074" t="n">
        <v>31.5</v>
      </c>
      <c r="AF265" s="1074" t="inlineStr">
        <is>
          <t>肖锐03</t>
        </is>
      </c>
      <c r="AG265" s="1074" t="inlineStr">
        <is>
          <t>教室3</t>
        </is>
      </c>
      <c r="AH265" s="1074" t="inlineStr">
        <is>
          <t>15:50-18:00</t>
        </is>
      </c>
      <c r="AI265" s="1074" t="inlineStr">
        <is>
          <t>潜能班</t>
        </is>
      </c>
      <c r="AJ265" s="1074" t="inlineStr">
        <is>
          <t>三期</t>
        </is>
      </c>
      <c r="AK265" s="1074" t="inlineStr">
        <is>
          <t>在读</t>
        </is>
      </c>
      <c r="AL265" s="1074" t="inlineStr">
        <is>
          <t>-</t>
        </is>
      </c>
      <c r="AM265" s="1074" t="n"/>
      <c r="AN265" s="1074" t="n"/>
      <c r="AO265" s="1074" t="n"/>
      <c r="AP265" s="1074" t="n"/>
      <c r="AQ265" s="1074" t="n"/>
      <c r="AR265" s="1074" t="inlineStr">
        <is>
          <t>S</t>
        </is>
      </c>
      <c r="AS265" s="1074" t="inlineStr">
        <is>
          <t>新东方长期在读，退了新东方报的咱们这边，重点看暑假学习情况做对比，支付能力OK，学的好大概率会报</t>
        </is>
      </c>
      <c r="AT265" s="311" t="n"/>
    </row>
    <row r="266" ht="26.25" customFormat="1" customHeight="1" s="366">
      <c r="A266" s="1074" t="inlineStr">
        <is>
          <t>同创汇</t>
        </is>
      </c>
      <c r="B266" s="1074" t="inlineStr">
        <is>
          <t>4255068106</t>
        </is>
      </c>
      <c r="C266" s="1074" t="inlineStr">
        <is>
          <t>李子骞</t>
        </is>
      </c>
      <c r="D266" s="1074" t="inlineStr">
        <is>
          <t>王丽</t>
        </is>
      </c>
      <c r="E266" s="1074" t="inlineStr">
        <is>
          <t>反复低价</t>
        </is>
      </c>
      <c r="F266" s="1074" t="inlineStr">
        <is>
          <t>25年暑假短期班，未转化</t>
        </is>
      </c>
      <c r="G266" s="1074" t="n"/>
      <c r="H266" s="1074" t="inlineStr">
        <is>
          <t>在读</t>
        </is>
      </c>
      <c r="I266" s="1074" t="inlineStr">
        <is>
          <t>一期</t>
        </is>
      </c>
      <c r="J266" s="1074" t="inlineStr">
        <is>
          <t>5230719</t>
        </is>
      </c>
      <c r="K266" s="1074" t="inlineStr">
        <is>
          <t>报前测成绩</t>
        </is>
      </c>
      <c r="L266" s="1074" t="n">
        <v>98</v>
      </c>
      <c r="M266" s="1074" t="inlineStr">
        <is>
          <t>-</t>
        </is>
      </c>
      <c r="N266" s="1074" t="inlineStr">
        <is>
          <t>陈中帅</t>
        </is>
      </c>
      <c r="O266" s="1074" t="inlineStr">
        <is>
          <t>01智慧林</t>
        </is>
      </c>
      <c r="P266" s="1074" t="inlineStr">
        <is>
          <t>13:20-15:30</t>
        </is>
      </c>
      <c r="Q266" s="1074" t="inlineStr">
        <is>
          <t>启能班</t>
        </is>
      </c>
      <c r="R266" s="1074" t="inlineStr">
        <is>
          <t>一期</t>
        </is>
      </c>
      <c r="S266" s="1074" t="inlineStr">
        <is>
          <t>在读</t>
        </is>
      </c>
      <c r="T266" s="1074" t="inlineStr">
        <is>
          <t>-</t>
        </is>
      </c>
      <c r="U266" s="1074" t="inlineStr">
        <is>
          <t>5230828</t>
        </is>
      </c>
      <c r="V266" s="1074" t="n">
        <v>40</v>
      </c>
      <c r="W266" s="1074" t="inlineStr">
        <is>
          <t>黄铭怡</t>
        </is>
      </c>
      <c r="X266" s="1074" t="inlineStr">
        <is>
          <t>01智慧林</t>
        </is>
      </c>
      <c r="Y266" s="1074" t="inlineStr">
        <is>
          <t>10:20-12:30</t>
        </is>
      </c>
      <c r="Z266" s="1074" t="inlineStr">
        <is>
          <t>潜能班</t>
        </is>
      </c>
      <c r="AA266" s="1074" t="inlineStr">
        <is>
          <t>一期</t>
        </is>
      </c>
      <c r="AB266" s="1074" t="inlineStr">
        <is>
          <t>在读</t>
        </is>
      </c>
      <c r="AC266" s="1074" t="inlineStr">
        <is>
          <t>-</t>
        </is>
      </c>
      <c r="AD266" s="1074" t="inlineStr">
        <is>
          <t>3132869</t>
        </is>
      </c>
      <c r="AE266" s="1074" t="n">
        <v>41</v>
      </c>
      <c r="AF266" s="1074" t="inlineStr">
        <is>
          <t>高心怡04</t>
        </is>
      </c>
      <c r="AG266" s="1074" t="inlineStr">
        <is>
          <t>01智慧林</t>
        </is>
      </c>
      <c r="AH266" s="1074" t="inlineStr">
        <is>
          <t>15:50-18:00</t>
        </is>
      </c>
      <c r="AI266" s="1074" t="inlineStr">
        <is>
          <t>潜能班</t>
        </is>
      </c>
      <c r="AJ266" s="1074" t="inlineStr">
        <is>
          <t>一期</t>
        </is>
      </c>
      <c r="AK266" s="1074" t="inlineStr">
        <is>
          <t>在读</t>
        </is>
      </c>
      <c r="AL266" s="1074" t="inlineStr">
        <is>
          <t>-</t>
        </is>
      </c>
      <c r="AM266" s="1074" t="n"/>
      <c r="AN266" s="1074" t="n"/>
      <c r="AO266" s="1074" t="n"/>
      <c r="AP266" s="1074" t="n"/>
      <c r="AQ266" s="1074" t="n"/>
      <c r="AR266" s="1074" t="inlineStr">
        <is>
          <t>B</t>
        </is>
      </c>
      <c r="AS266" s="1074" t="inlineStr">
        <is>
          <t>先体验下暑假课，没聊秋季课的事情</t>
        </is>
      </c>
      <c r="AT266" s="311" t="n"/>
    </row>
    <row r="267" ht="26.25" customFormat="1" customHeight="1" s="366">
      <c r="A267" s="1074" t="inlineStr">
        <is>
          <t>同创汇</t>
        </is>
      </c>
      <c r="B267" s="1074" t="inlineStr">
        <is>
          <t>4830601122</t>
        </is>
      </c>
      <c r="C267" s="1074" t="inlineStr">
        <is>
          <t>黄思睿</t>
        </is>
      </c>
      <c r="D267" s="1074" t="inlineStr">
        <is>
          <t>戎凯01</t>
        </is>
      </c>
      <c r="E267" s="1074" t="inlineStr">
        <is>
          <t>纯拉新</t>
        </is>
      </c>
      <c r="F267" s="1074" t="n"/>
      <c r="G267" s="1074" t="n"/>
      <c r="H267" s="1074" t="inlineStr">
        <is>
          <t>在读</t>
        </is>
      </c>
      <c r="I267" s="1074" t="inlineStr">
        <is>
          <t>零期</t>
        </is>
      </c>
      <c r="J267" s="1074" t="inlineStr">
        <is>
          <t>5230806</t>
        </is>
      </c>
      <c r="K267" s="1074" t="inlineStr">
        <is>
          <t>报前测成绩</t>
        </is>
      </c>
      <c r="L267" s="1074" t="n">
        <v>55</v>
      </c>
      <c r="M267" s="1074" t="inlineStr">
        <is>
          <t>-</t>
        </is>
      </c>
      <c r="N267" s="1074" t="inlineStr">
        <is>
          <t>田雨涵01</t>
        </is>
      </c>
      <c r="O267" s="1074" t="inlineStr">
        <is>
          <t>03识海阁</t>
        </is>
      </c>
      <c r="P267" s="1074" t="inlineStr">
        <is>
          <t>10:20-12:30</t>
        </is>
      </c>
      <c r="Q267" s="1074" t="inlineStr">
        <is>
          <t>潜能班</t>
        </is>
      </c>
      <c r="R267" s="1074" t="inlineStr">
        <is>
          <t>零期</t>
        </is>
      </c>
      <c r="S267" s="1074" t="inlineStr">
        <is>
          <t>在读</t>
        </is>
      </c>
      <c r="T267" s="1074" t="inlineStr">
        <is>
          <t>-</t>
        </is>
      </c>
      <c r="U267" s="1074" t="inlineStr">
        <is>
          <t>5170872</t>
        </is>
      </c>
      <c r="V267" s="1074" t="n">
        <v>27</v>
      </c>
      <c r="W267" s="1074" t="inlineStr">
        <is>
          <t>陈南05</t>
        </is>
      </c>
      <c r="X267" s="1074" t="inlineStr">
        <is>
          <t>03识海阁</t>
        </is>
      </c>
      <c r="Y267" s="1074" t="inlineStr">
        <is>
          <t>13:20-15:30</t>
        </is>
      </c>
      <c r="Z267" s="1074" t="inlineStr">
        <is>
          <t>潜能班</t>
        </is>
      </c>
      <c r="AA267" s="1074" t="inlineStr">
        <is>
          <t>零期</t>
        </is>
      </c>
      <c r="AB267" s="1074" t="inlineStr">
        <is>
          <t>课前退</t>
        </is>
      </c>
      <c r="AC267" s="1074" t="inlineStr">
        <is>
          <t>-</t>
        </is>
      </c>
      <c r="AD267" s="1074" t="inlineStr">
        <is>
          <t>3132865</t>
        </is>
      </c>
      <c r="AE267" s="1074" t="n">
        <v>31</v>
      </c>
      <c r="AF267" s="1074" t="inlineStr">
        <is>
          <t>刘希子</t>
        </is>
      </c>
      <c r="AG267" s="1074" t="inlineStr">
        <is>
          <t>03识海阁</t>
        </is>
      </c>
      <c r="AH267" s="1074" t="inlineStr">
        <is>
          <t>15:50-18:00</t>
        </is>
      </c>
      <c r="AI267" s="1074" t="inlineStr">
        <is>
          <t>潜能班</t>
        </is>
      </c>
      <c r="AJ267" s="1074" t="inlineStr">
        <is>
          <t>零期</t>
        </is>
      </c>
      <c r="AK267" s="1074" t="inlineStr">
        <is>
          <t>课前退</t>
        </is>
      </c>
      <c r="AL267" s="1074" t="inlineStr">
        <is>
          <t>-</t>
        </is>
      </c>
      <c r="AM267" s="1074" t="inlineStr">
        <is>
          <t>是</t>
        </is>
      </c>
      <c r="AN267" s="1074" t="inlineStr">
        <is>
          <t>否</t>
        </is>
      </c>
      <c r="AO267" s="1074" t="inlineStr">
        <is>
          <t>否</t>
        </is>
      </c>
      <c r="AP267" s="1074" t="n"/>
      <c r="AQ267" s="1074" t="n"/>
      <c r="AR267" s="1074" t="inlineStr">
        <is>
          <t>S</t>
        </is>
      </c>
      <c r="AS267" s="1074" t="inlineStr">
        <is>
          <t>弟弟黄博涵4年级数学在读，姐姐英语在喜学在读，主要看孩子，选择报名</t>
        </is>
      </c>
      <c r="AT267" s="311" t="n"/>
    </row>
    <row r="268" ht="26.25" customFormat="1" customHeight="1" s="366">
      <c r="A268" s="1074" t="inlineStr">
        <is>
          <t>新宝利</t>
        </is>
      </c>
      <c r="B268" s="1074" t="inlineStr">
        <is>
          <t>2452257548</t>
        </is>
      </c>
      <c r="C268" s="1074" t="inlineStr">
        <is>
          <t>周芷萱</t>
        </is>
      </c>
      <c r="D268" s="1074" t="inlineStr">
        <is>
          <t>尚歆01</t>
        </is>
      </c>
      <c r="E268" s="1074" t="inlineStr">
        <is>
          <t>春季在读老生</t>
        </is>
      </c>
      <c r="F268" s="1074" t="n"/>
      <c r="G268" s="1074" t="n"/>
      <c r="H268" s="1074" t="inlineStr">
        <is>
          <t>在读</t>
        </is>
      </c>
      <c r="I268" s="1074" t="inlineStr">
        <is>
          <t>二期</t>
        </is>
      </c>
      <c r="J268" s="1074" t="inlineStr">
        <is>
          <t>4513341</t>
        </is>
      </c>
      <c r="K268" s="1074" t="inlineStr">
        <is>
          <t>老师预估</t>
        </is>
      </c>
      <c r="L268" s="1074" t="n">
        <v>85</v>
      </c>
      <c r="M268" s="1074" t="inlineStr">
        <is>
          <t>-</t>
        </is>
      </c>
      <c r="N268" s="1074" t="inlineStr">
        <is>
          <t>陈中帅</t>
        </is>
      </c>
      <c r="O268" s="1074" t="inlineStr">
        <is>
          <t>教室3</t>
        </is>
      </c>
      <c r="P268" s="1074" t="inlineStr">
        <is>
          <t>15:50-18:00</t>
        </is>
      </c>
      <c r="Q268" s="1074" t="inlineStr">
        <is>
          <t>启能班</t>
        </is>
      </c>
      <c r="R268" s="1074" t="inlineStr">
        <is>
          <t>二期</t>
        </is>
      </c>
      <c r="S268" s="1074" t="inlineStr">
        <is>
          <t>在读</t>
        </is>
      </c>
      <c r="T268" s="1074" t="inlineStr">
        <is>
          <t>-</t>
        </is>
      </c>
      <c r="U268" s="1074" t="inlineStr">
        <is>
          <t>3132846</t>
        </is>
      </c>
      <c r="V268" s="1074" t="n">
        <v>0</v>
      </c>
      <c r="W268" s="1074" t="inlineStr">
        <is>
          <t>黄铭怡</t>
        </is>
      </c>
      <c r="X268" s="1074" t="inlineStr">
        <is>
          <t>教室3</t>
        </is>
      </c>
      <c r="Y268" s="1074" t="inlineStr">
        <is>
          <t>13:20-15:30</t>
        </is>
      </c>
      <c r="Z268" s="1074" t="inlineStr">
        <is>
          <t>潜能班</t>
        </is>
      </c>
      <c r="AA268" s="1074" t="inlineStr">
        <is>
          <t>二期</t>
        </is>
      </c>
      <c r="AB268" s="1074" t="inlineStr">
        <is>
          <t>在读</t>
        </is>
      </c>
      <c r="AC268" s="1074" t="inlineStr">
        <is>
          <t>-</t>
        </is>
      </c>
      <c r="AD268" s="1074" t="inlineStr">
        <is>
          <t>5230738</t>
        </is>
      </c>
      <c r="AE268" s="1074" t="n">
        <v>0</v>
      </c>
      <c r="AF268" s="1074" t="inlineStr">
        <is>
          <t>高心怡04</t>
        </is>
      </c>
      <c r="AG268" s="1074" t="inlineStr">
        <is>
          <t>教室3</t>
        </is>
      </c>
      <c r="AH268" s="1074" t="inlineStr">
        <is>
          <t>10:20-12:30</t>
        </is>
      </c>
      <c r="AI268" s="1074" t="inlineStr">
        <is>
          <t>潜能班</t>
        </is>
      </c>
      <c r="AJ268" s="1074" t="inlineStr">
        <is>
          <t>二期</t>
        </is>
      </c>
      <c r="AK268" s="1074" t="inlineStr">
        <is>
          <t>在读</t>
        </is>
      </c>
      <c r="AL268" s="1074" t="inlineStr">
        <is>
          <t>-</t>
        </is>
      </c>
      <c r="AM268" s="1074" t="n"/>
      <c r="AN268" s="1074" t="n"/>
      <c r="AO268" s="1074" t="n"/>
      <c r="AP268" s="1074" t="n"/>
      <c r="AQ268" s="1074" t="n"/>
      <c r="AR268" s="1074" t="inlineStr">
        <is>
          <t>S</t>
        </is>
      </c>
      <c r="AS268" s="1074" t="inlineStr">
        <is>
          <t>在读学员报名了暑假，大概率续报的秋季</t>
        </is>
      </c>
      <c r="AT268" s="311" t="n"/>
    </row>
    <row r="269" ht="26.25" customFormat="1" customHeight="1" s="366">
      <c r="A269" s="1074" t="inlineStr">
        <is>
          <t>同创汇</t>
        </is>
      </c>
      <c r="B269" s="1074" t="inlineStr">
        <is>
          <t>2181270054</t>
        </is>
      </c>
      <c r="C269" s="1074" t="inlineStr">
        <is>
          <t>张睿沂</t>
        </is>
      </c>
      <c r="D269" s="1074" t="inlineStr">
        <is>
          <t>王丽</t>
        </is>
      </c>
      <c r="E269" s="1074" t="inlineStr">
        <is>
          <t>春季在读老生</t>
        </is>
      </c>
      <c r="F269" s="1074" t="n"/>
      <c r="G269" s="1074" t="n"/>
      <c r="H269" s="1074" t="inlineStr">
        <is>
          <t>在读</t>
        </is>
      </c>
      <c r="I269" s="1074" t="inlineStr">
        <is>
          <t>一期</t>
        </is>
      </c>
      <c r="J269" s="1074" t="inlineStr">
        <is>
          <t>5230719</t>
        </is>
      </c>
      <c r="K269" s="1074" t="inlineStr">
        <is>
          <t>老师预估</t>
        </is>
      </c>
      <c r="L269" s="1074" t="n">
        <v>70</v>
      </c>
      <c r="M269" s="1074" t="inlineStr">
        <is>
          <t>-</t>
        </is>
      </c>
      <c r="N269" s="1074" t="inlineStr">
        <is>
          <t>陈中帅</t>
        </is>
      </c>
      <c r="O269" s="1074" t="inlineStr">
        <is>
          <t>01智慧林</t>
        </is>
      </c>
      <c r="P269" s="1074" t="inlineStr">
        <is>
          <t>13:20-15:30</t>
        </is>
      </c>
      <c r="Q269" s="1074" t="inlineStr">
        <is>
          <t>启能班</t>
        </is>
      </c>
      <c r="R269" s="1074" t="inlineStr">
        <is>
          <t>一期</t>
        </is>
      </c>
      <c r="S269" s="1074" t="inlineStr">
        <is>
          <t>在读</t>
        </is>
      </c>
      <c r="T269" s="1074" t="inlineStr">
        <is>
          <t>是</t>
        </is>
      </c>
      <c r="U269" s="1074" t="inlineStr">
        <is>
          <t>5230828</t>
        </is>
      </c>
      <c r="V269" s="1074" t="n">
        <v>0</v>
      </c>
      <c r="W269" s="1074" t="inlineStr">
        <is>
          <t>黄铭怡</t>
        </is>
      </c>
      <c r="X269" s="1074" t="inlineStr">
        <is>
          <t>01智慧林</t>
        </is>
      </c>
      <c r="Y269" s="1074" t="inlineStr">
        <is>
          <t>10:20-12:30</t>
        </is>
      </c>
      <c r="Z269" s="1074" t="inlineStr">
        <is>
          <t>潜能班</t>
        </is>
      </c>
      <c r="AA269" s="1074" t="inlineStr">
        <is>
          <t>一期</t>
        </is>
      </c>
      <c r="AB269" s="1074" t="inlineStr">
        <is>
          <t>在读</t>
        </is>
      </c>
      <c r="AC269" s="1074" t="inlineStr">
        <is>
          <t>-</t>
        </is>
      </c>
      <c r="AD269" s="1074" t="inlineStr">
        <is>
          <t>3132869</t>
        </is>
      </c>
      <c r="AE269" s="1074" t="n">
        <v>0</v>
      </c>
      <c r="AF269" s="1074" t="inlineStr">
        <is>
          <t>高心怡04</t>
        </is>
      </c>
      <c r="AG269" s="1074" t="inlineStr">
        <is>
          <t>01智慧林</t>
        </is>
      </c>
      <c r="AH269" s="1074" t="inlineStr">
        <is>
          <t>15:50-18:00</t>
        </is>
      </c>
      <c r="AI269" s="1074" t="inlineStr">
        <is>
          <t>潜能班</t>
        </is>
      </c>
      <c r="AJ269" s="1074" t="inlineStr">
        <is>
          <t>一期</t>
        </is>
      </c>
      <c r="AK269" s="1074" t="inlineStr">
        <is>
          <t>在读</t>
        </is>
      </c>
      <c r="AL269" s="1074" t="inlineStr">
        <is>
          <t>-</t>
        </is>
      </c>
      <c r="AM269" s="1074" t="n"/>
      <c r="AN269" s="1074" t="n"/>
      <c r="AO269" s="1074" t="n"/>
      <c r="AP269" s="1074" t="n"/>
      <c r="AQ269" s="1074" t="n"/>
      <c r="AR269" s="1074" t="inlineStr">
        <is>
          <t>A</t>
        </is>
      </c>
      <c r="AS269" s="1074" t="inlineStr">
        <is>
          <t>数学正价在读</t>
        </is>
      </c>
      <c r="AT269" s="311" t="n"/>
    </row>
    <row r="270" ht="26.25" customFormat="1" customHeight="1" s="366">
      <c r="A270" s="1074" t="inlineStr">
        <is>
          <t>同创汇</t>
        </is>
      </c>
      <c r="B270" s="1074" t="inlineStr">
        <is>
          <t>4621125866</t>
        </is>
      </c>
      <c r="C270" s="1074" t="inlineStr">
        <is>
          <t>司徒嘉瑷</t>
        </is>
      </c>
      <c r="D270" s="1074" t="inlineStr">
        <is>
          <t>戎凯01</t>
        </is>
      </c>
      <c r="E270" s="1074" t="inlineStr">
        <is>
          <t>反复低价</t>
        </is>
      </c>
      <c r="F270" s="1074" t="inlineStr">
        <is>
          <t>25春、25暑多次特惠未转化</t>
        </is>
      </c>
      <c r="G270" s="1074" t="n"/>
      <c r="H270" s="1074" t="inlineStr">
        <is>
          <t>退费</t>
        </is>
      </c>
      <c r="I270" s="1074" t="inlineStr">
        <is>
          <t>-</t>
        </is>
      </c>
      <c r="J270" s="1074" t="inlineStr">
        <is>
          <t>5230719</t>
        </is>
      </c>
      <c r="K270" s="1074" t="inlineStr">
        <is>
          <t>校内成绩</t>
        </is>
      </c>
      <c r="L270" s="1074" t="n">
        <v>72</v>
      </c>
      <c r="M270" s="1074" t="n">
        <v>90</v>
      </c>
      <c r="N270" s="1074" t="inlineStr">
        <is>
          <t>陈中帅</t>
        </is>
      </c>
      <c r="O270" s="1074" t="inlineStr">
        <is>
          <t>01智慧林</t>
        </is>
      </c>
      <c r="P270" s="1074" t="inlineStr">
        <is>
          <t>13:20-15:30</t>
        </is>
      </c>
      <c r="Q270" s="1074" t="inlineStr">
        <is>
          <t>启能班</t>
        </is>
      </c>
      <c r="R270" s="1074" t="inlineStr">
        <is>
          <t>一期</t>
        </is>
      </c>
      <c r="S270" s="1074" t="inlineStr">
        <is>
          <t>课前退</t>
        </is>
      </c>
      <c r="T270" s="1074" t="inlineStr">
        <is>
          <t>-</t>
        </is>
      </c>
      <c r="U270" s="1074" t="inlineStr">
        <is>
          <t>-</t>
        </is>
      </c>
      <c r="V270" s="1074" t="inlineStr"/>
      <c r="W270" s="1074" t="inlineStr">
        <is>
          <t>-</t>
        </is>
      </c>
      <c r="X270" s="1074" t="inlineStr">
        <is>
          <t>-</t>
        </is>
      </c>
      <c r="Y270" s="1074" t="inlineStr">
        <is>
          <t>-</t>
        </is>
      </c>
      <c r="Z270" s="1074" t="inlineStr">
        <is>
          <t>-</t>
        </is>
      </c>
      <c r="AA270" s="1074" t="inlineStr">
        <is>
          <t>-</t>
        </is>
      </c>
      <c r="AB270" s="1074" t="inlineStr">
        <is>
          <t>-</t>
        </is>
      </c>
      <c r="AC270" s="1074" t="inlineStr">
        <is>
          <t>-</t>
        </is>
      </c>
      <c r="AD270" s="1074" t="inlineStr">
        <is>
          <t>3132869</t>
        </is>
      </c>
      <c r="AE270" s="1074" t="n">
        <v>0</v>
      </c>
      <c r="AF270" s="1074" t="inlineStr">
        <is>
          <t>高心怡04</t>
        </is>
      </c>
      <c r="AG270" s="1074" t="inlineStr">
        <is>
          <t>01智慧林</t>
        </is>
      </c>
      <c r="AH270" s="1074" t="inlineStr">
        <is>
          <t>15:50-18:00</t>
        </is>
      </c>
      <c r="AI270" s="1074" t="inlineStr">
        <is>
          <t>潜能班</t>
        </is>
      </c>
      <c r="AJ270" s="1074" t="inlineStr">
        <is>
          <t>一期</t>
        </is>
      </c>
      <c r="AK270" s="1074" t="inlineStr">
        <is>
          <t>课前退</t>
        </is>
      </c>
      <c r="AL270" s="1074" t="inlineStr">
        <is>
          <t>-</t>
        </is>
      </c>
      <c r="AM270" s="1074" t="n"/>
      <c r="AN270" s="1074" t="n"/>
      <c r="AO270" s="1074" t="n"/>
      <c r="AP270" s="1074" t="n"/>
      <c r="AQ270" s="1074" t="n"/>
      <c r="AR270" s="1074" t="inlineStr">
        <is>
          <t>C</t>
        </is>
      </c>
      <c r="AS270" s="1074" t="inlineStr">
        <is>
          <t>申请退费</t>
        </is>
      </c>
      <c r="AT270" s="311" t="n"/>
    </row>
    <row r="271" ht="26.25" customFormat="1" customHeight="1" s="366">
      <c r="A271" s="1074" t="inlineStr">
        <is>
          <t>新宝利</t>
        </is>
      </c>
      <c r="B271" s="1074" t="inlineStr">
        <is>
          <t>2442647983</t>
        </is>
      </c>
      <c r="C271" s="1074" t="inlineStr">
        <is>
          <t>曹腾烽</t>
        </is>
      </c>
      <c r="D271" s="1074" t="inlineStr">
        <is>
          <t>熊天宝01</t>
        </is>
      </c>
      <c r="E271" s="1074" t="inlineStr">
        <is>
          <t>春季在读老生</t>
        </is>
      </c>
      <c r="F271" s="1074" t="n"/>
      <c r="G271" s="1074" t="n"/>
      <c r="H271" s="1074" t="inlineStr">
        <is>
          <t>在读</t>
        </is>
      </c>
      <c r="I271" s="1074" t="inlineStr">
        <is>
          <t>零期</t>
        </is>
      </c>
      <c r="J271" s="1074" t="inlineStr">
        <is>
          <t>-</t>
        </is>
      </c>
      <c r="K271" s="1074" t="inlineStr"/>
      <c r="L271" s="1074" t="inlineStr"/>
      <c r="M271" s="1074" t="inlineStr"/>
      <c r="N271" s="1074" t="inlineStr">
        <is>
          <t>-</t>
        </is>
      </c>
      <c r="O271" s="1074" t="inlineStr">
        <is>
          <t>-</t>
        </is>
      </c>
      <c r="P271" s="1074" t="inlineStr">
        <is>
          <t>-</t>
        </is>
      </c>
      <c r="Q271" s="1074" t="inlineStr">
        <is>
          <t>-</t>
        </is>
      </c>
      <c r="R271" s="1074" t="inlineStr">
        <is>
          <t>-</t>
        </is>
      </c>
      <c r="S271" s="1074" t="inlineStr">
        <is>
          <t>-</t>
        </is>
      </c>
      <c r="T271" s="1074" t="inlineStr">
        <is>
          <t>-</t>
        </is>
      </c>
      <c r="U271" s="1074" t="inlineStr">
        <is>
          <t>3132859</t>
        </is>
      </c>
      <c r="V271" s="1074" t="n"/>
      <c r="W271" s="1074" t="inlineStr">
        <is>
          <t>黄铭怡</t>
        </is>
      </c>
      <c r="X271" s="1074" t="inlineStr">
        <is>
          <t>教室2</t>
        </is>
      </c>
      <c r="Y271" s="1074" t="inlineStr">
        <is>
          <t>10:20-12:30</t>
        </is>
      </c>
      <c r="Z271" s="1074" t="inlineStr">
        <is>
          <t>潜能班</t>
        </is>
      </c>
      <c r="AA271" s="1074" t="inlineStr">
        <is>
          <t>零期</t>
        </is>
      </c>
      <c r="AB271" s="1074" t="inlineStr">
        <is>
          <t>在读</t>
        </is>
      </c>
      <c r="AC271" s="1074" t="inlineStr">
        <is>
          <t>是</t>
        </is>
      </c>
      <c r="AD271" s="1074" t="inlineStr">
        <is>
          <t>-</t>
        </is>
      </c>
      <c r="AE271" s="1074" t="inlineStr"/>
      <c r="AF271" s="1074" t="inlineStr">
        <is>
          <t>-</t>
        </is>
      </c>
      <c r="AG271" s="1074" t="inlineStr">
        <is>
          <t>-</t>
        </is>
      </c>
      <c r="AH271" s="1074" t="inlineStr">
        <is>
          <t>-</t>
        </is>
      </c>
      <c r="AI271" s="1074" t="inlineStr">
        <is>
          <t>-</t>
        </is>
      </c>
      <c r="AJ271" s="1074" t="inlineStr">
        <is>
          <t>-</t>
        </is>
      </c>
      <c r="AK271" s="1074" t="inlineStr">
        <is>
          <t>-</t>
        </is>
      </c>
      <c r="AL271" s="1074" t="inlineStr">
        <is>
          <t>-</t>
        </is>
      </c>
      <c r="AM271" s="1074" t="inlineStr">
        <is>
          <t>是</t>
        </is>
      </c>
      <c r="AN271" s="1074" t="inlineStr">
        <is>
          <t>是</t>
        </is>
      </c>
      <c r="AO271" s="1074" t="inlineStr">
        <is>
          <t>否</t>
        </is>
      </c>
      <c r="AP271" s="1074" t="n"/>
      <c r="AQ271" s="1074" t="n"/>
      <c r="AR271" s="1074" t="n"/>
      <c r="AS271" s="1074" t="n"/>
      <c r="AT271" s="311" t="n"/>
    </row>
    <row r="272" ht="26.25" customFormat="1" customHeight="1" s="366">
      <c r="A272" s="1074" t="inlineStr">
        <is>
          <t>同创汇</t>
        </is>
      </c>
      <c r="B272" s="1074" t="inlineStr">
        <is>
          <t>4050031794</t>
        </is>
      </c>
      <c r="C272" s="1074" t="inlineStr">
        <is>
          <t>陈秉谦</t>
        </is>
      </c>
      <c r="D272" s="1074" t="inlineStr">
        <is>
          <t>戎凯01</t>
        </is>
      </c>
      <c r="E272" s="1074" t="inlineStr">
        <is>
          <t>纯拉新</t>
        </is>
      </c>
      <c r="F272" s="1074" t="n"/>
      <c r="G272" s="1074" t="n"/>
      <c r="H272" s="1074" t="inlineStr">
        <is>
          <t>在读</t>
        </is>
      </c>
      <c r="I272" s="1074" t="inlineStr">
        <is>
          <t>零期/一期</t>
        </is>
      </c>
      <c r="J272" s="1074" t="inlineStr">
        <is>
          <t>-</t>
        </is>
      </c>
      <c r="K272" s="1074" t="inlineStr"/>
      <c r="L272" s="1074" t="inlineStr"/>
      <c r="M272" s="1074" t="inlineStr"/>
      <c r="N272" s="1074" t="inlineStr">
        <is>
          <t>-</t>
        </is>
      </c>
      <c r="O272" s="1074" t="inlineStr">
        <is>
          <t>-</t>
        </is>
      </c>
      <c r="P272" s="1074" t="inlineStr">
        <is>
          <t>-</t>
        </is>
      </c>
      <c r="Q272" s="1074" t="inlineStr">
        <is>
          <t>-</t>
        </is>
      </c>
      <c r="R272" s="1074" t="inlineStr">
        <is>
          <t>-</t>
        </is>
      </c>
      <c r="S272" s="1074" t="inlineStr">
        <is>
          <t>-</t>
        </is>
      </c>
      <c r="T272" s="1074" t="inlineStr">
        <is>
          <t>-</t>
        </is>
      </c>
      <c r="U272" s="1074" t="inlineStr">
        <is>
          <t>5230828</t>
        </is>
      </c>
      <c r="V272" s="1074" t="n">
        <v>0</v>
      </c>
      <c r="W272" s="1074" t="inlineStr">
        <is>
          <t>黄铭怡</t>
        </is>
      </c>
      <c r="X272" s="1074" t="inlineStr">
        <is>
          <t>01智慧林</t>
        </is>
      </c>
      <c r="Y272" s="1074" t="inlineStr">
        <is>
          <t>10:20-12:30</t>
        </is>
      </c>
      <c r="Z272" s="1074" t="inlineStr">
        <is>
          <t>潜能班</t>
        </is>
      </c>
      <c r="AA272" s="1074" t="inlineStr">
        <is>
          <t>一期</t>
        </is>
      </c>
      <c r="AB272" s="1074" t="inlineStr">
        <is>
          <t>在读</t>
        </is>
      </c>
      <c r="AC272" s="1074" t="inlineStr">
        <is>
          <t>-</t>
        </is>
      </c>
      <c r="AD272" s="1074" t="inlineStr">
        <is>
          <t>5230765</t>
        </is>
      </c>
      <c r="AE272" s="1074" t="n">
        <v>0</v>
      </c>
      <c r="AF272" s="1074" t="inlineStr">
        <is>
          <t>刘希子</t>
        </is>
      </c>
      <c r="AG272" s="1074" t="inlineStr">
        <is>
          <t>02彩虹桥</t>
        </is>
      </c>
      <c r="AH272" s="1074" t="inlineStr">
        <is>
          <t>10:20-12:30</t>
        </is>
      </c>
      <c r="AI272" s="1074" t="inlineStr">
        <is>
          <t>潜能班</t>
        </is>
      </c>
      <c r="AJ272" s="1074" t="inlineStr">
        <is>
          <t>零期</t>
        </is>
      </c>
      <c r="AK272" s="1074" t="inlineStr">
        <is>
          <t>在读</t>
        </is>
      </c>
      <c r="AL272" s="1074" t="inlineStr">
        <is>
          <t>-</t>
        </is>
      </c>
      <c r="AM272" s="1074" t="inlineStr">
        <is>
          <t>是</t>
        </is>
      </c>
      <c r="AN272" s="1074" t="inlineStr">
        <is>
          <t>否</t>
        </is>
      </c>
      <c r="AO272" s="1074" t="inlineStr">
        <is>
          <t>否</t>
        </is>
      </c>
      <c r="AP272" s="1074" t="n"/>
      <c r="AQ272" s="1074" t="n"/>
      <c r="AR272" s="1074" t="inlineStr">
        <is>
          <t>A</t>
        </is>
      </c>
      <c r="AS272" s="1074" t="inlineStr">
        <is>
          <t>妈妈很懂行，要看效果</t>
        </is>
      </c>
      <c r="AT272" s="311" t="n"/>
    </row>
    <row r="273" ht="26.25" customFormat="1" customHeight="1" s="366">
      <c r="A273" s="1074" t="inlineStr">
        <is>
          <t>同创汇</t>
        </is>
      </c>
      <c r="B273" s="1074" t="inlineStr">
        <is>
          <t>2429621505</t>
        </is>
      </c>
      <c r="C273" s="1074" t="inlineStr">
        <is>
          <t>邢婧萱</t>
        </is>
      </c>
      <c r="D273" s="1074" t="inlineStr">
        <is>
          <t>苏丽婷</t>
        </is>
      </c>
      <c r="E273" s="1074" t="inlineStr">
        <is>
          <t>春季在读老生</t>
        </is>
      </c>
      <c r="F273" s="1074" t="n"/>
      <c r="G273" s="1074" t="n"/>
      <c r="H273" s="1074" t="inlineStr">
        <is>
          <t>在读</t>
        </is>
      </c>
      <c r="I273" s="1074" t="inlineStr">
        <is>
          <t>零期</t>
        </is>
      </c>
      <c r="J273" s="1074" t="inlineStr">
        <is>
          <t>5230806</t>
        </is>
      </c>
      <c r="K273" s="1074" t="inlineStr">
        <is>
          <t>老师预估</t>
        </is>
      </c>
      <c r="L273" s="1074" t="n">
        <v>50</v>
      </c>
      <c r="M273" s="1074" t="inlineStr">
        <is>
          <t>-</t>
        </is>
      </c>
      <c r="N273" s="1074" t="inlineStr">
        <is>
          <t>田雨涵01</t>
        </is>
      </c>
      <c r="O273" s="1074" t="inlineStr">
        <is>
          <t>03识海阁</t>
        </is>
      </c>
      <c r="P273" s="1074" t="inlineStr">
        <is>
          <t>10:20-12:30</t>
        </is>
      </c>
      <c r="Q273" s="1074" t="inlineStr">
        <is>
          <t>潜能班</t>
        </is>
      </c>
      <c r="R273" s="1074" t="inlineStr">
        <is>
          <t>零期</t>
        </is>
      </c>
      <c r="S273" s="1074" t="inlineStr">
        <is>
          <t>在读</t>
        </is>
      </c>
      <c r="T273" s="1074" t="inlineStr">
        <is>
          <t>-</t>
        </is>
      </c>
      <c r="U273" s="1074" t="inlineStr">
        <is>
          <t>3132905</t>
        </is>
      </c>
      <c r="V273" s="1074" t="n">
        <v>0</v>
      </c>
      <c r="W273" s="1074" t="inlineStr">
        <is>
          <t>黄铭怡</t>
        </is>
      </c>
      <c r="X273" s="1074" t="inlineStr">
        <is>
          <t>02彩虹桥</t>
        </is>
      </c>
      <c r="Y273" s="1074" t="inlineStr">
        <is>
          <t>13:20-15:30</t>
        </is>
      </c>
      <c r="Z273" s="1074" t="inlineStr">
        <is>
          <t>潜能班</t>
        </is>
      </c>
      <c r="AA273" s="1074" t="inlineStr">
        <is>
          <t>零期</t>
        </is>
      </c>
      <c r="AB273" s="1074" t="inlineStr">
        <is>
          <t>在读</t>
        </is>
      </c>
      <c r="AC273" s="1074" t="inlineStr">
        <is>
          <t>是</t>
        </is>
      </c>
      <c r="AD273" s="1074" t="inlineStr">
        <is>
          <t>3132865</t>
        </is>
      </c>
      <c r="AE273" s="1074" t="n">
        <v>0</v>
      </c>
      <c r="AF273" s="1074" t="inlineStr">
        <is>
          <t>刘希子</t>
        </is>
      </c>
      <c r="AG273" s="1074" t="inlineStr">
        <is>
          <t>03识海阁</t>
        </is>
      </c>
      <c r="AH273" s="1074" t="inlineStr">
        <is>
          <t>15:50-18:00</t>
        </is>
      </c>
      <c r="AI273" s="1074" t="inlineStr">
        <is>
          <t>潜能班</t>
        </is>
      </c>
      <c r="AJ273" s="1074" t="inlineStr">
        <is>
          <t>零期</t>
        </is>
      </c>
      <c r="AK273" s="1074" t="inlineStr">
        <is>
          <t>在读</t>
        </is>
      </c>
      <c r="AL273" s="1074" t="inlineStr">
        <is>
          <t>-</t>
        </is>
      </c>
      <c r="AM273" s="1074" t="inlineStr">
        <is>
          <t>是</t>
        </is>
      </c>
      <c r="AN273" s="1074" t="inlineStr">
        <is>
          <t>否</t>
        </is>
      </c>
      <c r="AO273" s="1074" t="inlineStr">
        <is>
          <t>否</t>
        </is>
      </c>
      <c r="AP273" s="1074" t="n"/>
      <c r="AQ273" s="1074" t="n"/>
      <c r="AR273" s="1074" t="inlineStr">
        <is>
          <t>S</t>
        </is>
      </c>
      <c r="AS273" s="1074" t="inlineStr">
        <is>
          <t>语文已经续报秋，英语数学是新扩报科目，学习有效果家长考虑报读秋季课程的</t>
        </is>
      </c>
      <c r="AT273" s="311" t="n"/>
    </row>
    <row r="274" ht="26.25" customFormat="1" customHeight="1" s="366">
      <c r="A274" s="1074" t="inlineStr">
        <is>
          <t>同创汇</t>
        </is>
      </c>
      <c r="B274" s="1074" t="inlineStr">
        <is>
          <t>2573471597</t>
        </is>
      </c>
      <c r="C274" s="1074" t="inlineStr">
        <is>
          <t>林烨</t>
        </is>
      </c>
      <c r="D274" s="1074" t="inlineStr">
        <is>
          <t>戎凯01</t>
        </is>
      </c>
      <c r="E274" s="1074" t="inlineStr">
        <is>
          <t>反复低价</t>
        </is>
      </c>
      <c r="F274" s="1074" t="inlineStr">
        <is>
          <t>25春、25暑多次特惠未转化</t>
        </is>
      </c>
      <c r="G274" s="1074" t="n"/>
      <c r="H274" s="1074" t="inlineStr">
        <is>
          <t>在读</t>
        </is>
      </c>
      <c r="I274" s="1074" t="inlineStr">
        <is>
          <t>一期</t>
        </is>
      </c>
      <c r="J274" s="1074" t="inlineStr">
        <is>
          <t>5230719</t>
        </is>
      </c>
      <c r="K274" s="1074" t="inlineStr">
        <is>
          <t>校内成绩</t>
        </is>
      </c>
      <c r="L274" s="1074" t="n">
        <v>72</v>
      </c>
      <c r="M274" s="1074" t="n">
        <v>90</v>
      </c>
      <c r="N274" s="1074" t="inlineStr">
        <is>
          <t>陈中帅</t>
        </is>
      </c>
      <c r="O274" s="1074" t="inlineStr">
        <is>
          <t>01智慧林</t>
        </is>
      </c>
      <c r="P274" s="1074" t="inlineStr">
        <is>
          <t>13:20-15:30</t>
        </is>
      </c>
      <c r="Q274" s="1074" t="inlineStr">
        <is>
          <t>启能班</t>
        </is>
      </c>
      <c r="R274" s="1074" t="inlineStr">
        <is>
          <t>一期</t>
        </is>
      </c>
      <c r="S274" s="1074" t="inlineStr">
        <is>
          <t>在读</t>
        </is>
      </c>
      <c r="T274" s="1074" t="inlineStr">
        <is>
          <t>-</t>
        </is>
      </c>
      <c r="U274" s="1074" t="inlineStr">
        <is>
          <t>5230828</t>
        </is>
      </c>
      <c r="V274" s="1074" t="n">
        <v>0</v>
      </c>
      <c r="W274" s="1074" t="inlineStr">
        <is>
          <t>黄铭怡</t>
        </is>
      </c>
      <c r="X274" s="1074" t="inlineStr">
        <is>
          <t>01智慧林</t>
        </is>
      </c>
      <c r="Y274" s="1074" t="inlineStr">
        <is>
          <t>10:20-12:30</t>
        </is>
      </c>
      <c r="Z274" s="1074" t="inlineStr">
        <is>
          <t>潜能班</t>
        </is>
      </c>
      <c r="AA274" s="1074" t="inlineStr">
        <is>
          <t>一期</t>
        </is>
      </c>
      <c r="AB274" s="1074" t="inlineStr">
        <is>
          <t>在读</t>
        </is>
      </c>
      <c r="AC274" s="1074" t="inlineStr">
        <is>
          <t>-</t>
        </is>
      </c>
      <c r="AD274" s="1074" t="inlineStr">
        <is>
          <t>3132869</t>
        </is>
      </c>
      <c r="AE274" s="1074" t="n">
        <v>0</v>
      </c>
      <c r="AF274" s="1074" t="inlineStr">
        <is>
          <t>高心怡04</t>
        </is>
      </c>
      <c r="AG274" s="1074" t="inlineStr">
        <is>
          <t>01智慧林</t>
        </is>
      </c>
      <c r="AH274" s="1074" t="inlineStr">
        <is>
          <t>15:50-18:00</t>
        </is>
      </c>
      <c r="AI274" s="1074" t="inlineStr">
        <is>
          <t>潜能班</t>
        </is>
      </c>
      <c r="AJ274" s="1074" t="inlineStr">
        <is>
          <t>一期</t>
        </is>
      </c>
      <c r="AK274" s="1074" t="inlineStr">
        <is>
          <t>在读</t>
        </is>
      </c>
      <c r="AL274" s="1074" t="inlineStr">
        <is>
          <t>-</t>
        </is>
      </c>
      <c r="AM274" s="1074" t="n"/>
      <c r="AN274" s="1074" t="n"/>
      <c r="AO274" s="1074" t="n"/>
      <c r="AP274" s="1074" t="n"/>
      <c r="AQ274" s="1074" t="n"/>
      <c r="AR274" s="1074" t="inlineStr">
        <is>
          <t>A</t>
        </is>
      </c>
      <c r="AS274" s="1074" t="inlineStr">
        <is>
          <t>农林下的孩子，成绩280左右，有点爱占小便宜</t>
        </is>
      </c>
      <c r="AT274" s="311" t="n"/>
    </row>
    <row r="275" ht="26.25" customFormat="1" customHeight="1" s="366">
      <c r="A275" s="1074" t="inlineStr">
        <is>
          <t>天成大厦</t>
        </is>
      </c>
      <c r="B275" s="1074" t="inlineStr">
        <is>
          <t>4720146806</t>
        </is>
      </c>
      <c r="C275" s="1074" t="inlineStr">
        <is>
          <t>周德容</t>
        </is>
      </c>
      <c r="D275" s="1074" t="inlineStr"/>
      <c r="E275" s="1074" t="inlineStr">
        <is>
          <t>春季在读老生</t>
        </is>
      </c>
      <c r="F275" s="1074" t="n"/>
      <c r="G275" s="1074" t="n"/>
      <c r="H275" s="1074" t="inlineStr">
        <is>
          <t>在读</t>
        </is>
      </c>
      <c r="I275" s="1074" t="inlineStr">
        <is>
          <t>一期</t>
        </is>
      </c>
      <c r="J275" s="1074" t="inlineStr">
        <is>
          <t>5230775</t>
        </is>
      </c>
      <c r="K275" s="1074" t="inlineStr">
        <is>
          <t>老师预估</t>
        </is>
      </c>
      <c r="L275" s="1074" t="n">
        <v>80</v>
      </c>
      <c r="M275" s="1074" t="inlineStr">
        <is>
          <t>-</t>
        </is>
      </c>
      <c r="N275" s="1074" t="inlineStr">
        <is>
          <t>陈中帅</t>
        </is>
      </c>
      <c r="O275" s="1074" t="inlineStr">
        <is>
          <t>03品尚</t>
        </is>
      </c>
      <c r="P275" s="1074" t="inlineStr">
        <is>
          <t>10:20-12:30</t>
        </is>
      </c>
      <c r="Q275" s="1074" t="inlineStr">
        <is>
          <t>潜能班</t>
        </is>
      </c>
      <c r="R275" s="1074" t="inlineStr">
        <is>
          <t>一期</t>
        </is>
      </c>
      <c r="S275" s="1074" t="inlineStr">
        <is>
          <t>在读</t>
        </is>
      </c>
      <c r="T275" s="1074" t="inlineStr">
        <is>
          <t>是</t>
        </is>
      </c>
      <c r="U275" s="1074" t="inlineStr">
        <is>
          <t>-</t>
        </is>
      </c>
      <c r="V275" s="1074" t="inlineStr"/>
      <c r="W275" s="1074" t="inlineStr">
        <is>
          <t>-</t>
        </is>
      </c>
      <c r="X275" s="1074" t="inlineStr">
        <is>
          <t>-</t>
        </is>
      </c>
      <c r="Y275" s="1074" t="inlineStr">
        <is>
          <t>-</t>
        </is>
      </c>
      <c r="Z275" s="1074" t="inlineStr">
        <is>
          <t>-</t>
        </is>
      </c>
      <c r="AA275" s="1074" t="inlineStr">
        <is>
          <t>-</t>
        </is>
      </c>
      <c r="AB275" s="1074" t="inlineStr">
        <is>
          <t>-</t>
        </is>
      </c>
      <c r="AC275" s="1074" t="inlineStr">
        <is>
          <t>-</t>
        </is>
      </c>
      <c r="AD275" s="1074" t="inlineStr">
        <is>
          <t>-</t>
        </is>
      </c>
      <c r="AE275" s="1074" t="inlineStr"/>
      <c r="AF275" s="1074" t="inlineStr">
        <is>
          <t>-</t>
        </is>
      </c>
      <c r="AG275" s="1074" t="inlineStr">
        <is>
          <t>-</t>
        </is>
      </c>
      <c r="AH275" s="1074" t="inlineStr">
        <is>
          <t>-</t>
        </is>
      </c>
      <c r="AI275" s="1074" t="inlineStr">
        <is>
          <t>-</t>
        </is>
      </c>
      <c r="AJ275" s="1074" t="inlineStr">
        <is>
          <t>-</t>
        </is>
      </c>
      <c r="AK275" s="1074" t="inlineStr">
        <is>
          <t>-</t>
        </is>
      </c>
      <c r="AL275" s="1074" t="inlineStr">
        <is>
          <t>-</t>
        </is>
      </c>
      <c r="AM275" s="1074" t="n"/>
      <c r="AN275" s="1074" t="n"/>
      <c r="AO275" s="1074" t="n"/>
      <c r="AP275" s="1074" t="n"/>
      <c r="AQ275" s="1074" t="n"/>
      <c r="AR275" s="1074" t="n"/>
      <c r="AS275" s="1074" t="n"/>
      <c r="AT275" s="311" t="n"/>
    </row>
    <row r="276" ht="26.25" customFormat="1" customHeight="1" s="366">
      <c r="A276" s="1074" t="inlineStr">
        <is>
          <t>新宝利</t>
        </is>
      </c>
      <c r="B276" s="1074" t="inlineStr">
        <is>
          <t>2748308649</t>
        </is>
      </c>
      <c r="C276" s="1074" t="inlineStr">
        <is>
          <t>陈韵晞</t>
        </is>
      </c>
      <c r="D276" s="1074" t="inlineStr">
        <is>
          <t>张敏烨</t>
        </is>
      </c>
      <c r="E276" s="1074" t="inlineStr">
        <is>
          <t>春季在读老生</t>
        </is>
      </c>
      <c r="F276" s="1074" t="n"/>
      <c r="G276" s="1074" t="n"/>
      <c r="H276" s="1074" t="inlineStr">
        <is>
          <t>在读</t>
        </is>
      </c>
      <c r="I276" s="1074" t="inlineStr">
        <is>
          <t>一期/二期</t>
        </is>
      </c>
      <c r="J276" s="1074" t="inlineStr">
        <is>
          <t>5230742</t>
        </is>
      </c>
      <c r="K276" s="1074" t="inlineStr">
        <is>
          <t>老师预估</t>
        </is>
      </c>
      <c r="L276" s="1074" t="n">
        <v>35</v>
      </c>
      <c r="M276" s="1074" t="inlineStr">
        <is>
          <t>-</t>
        </is>
      </c>
      <c r="N276" s="1074" t="inlineStr">
        <is>
          <t>何咏04</t>
        </is>
      </c>
      <c r="O276" s="1074" t="inlineStr">
        <is>
          <t>教室2</t>
        </is>
      </c>
      <c r="P276" s="1074" t="inlineStr">
        <is>
          <t>13:20-15:30</t>
        </is>
      </c>
      <c r="Q276" s="1074" t="inlineStr">
        <is>
          <t>潜能班</t>
        </is>
      </c>
      <c r="R276" s="1074" t="inlineStr">
        <is>
          <t>一期</t>
        </is>
      </c>
      <c r="S276" s="1074" t="inlineStr">
        <is>
          <t>在读</t>
        </is>
      </c>
      <c r="T276" s="1074" t="inlineStr">
        <is>
          <t>-</t>
        </is>
      </c>
      <c r="U276" s="1074" t="inlineStr">
        <is>
          <t>-</t>
        </is>
      </c>
      <c r="V276" s="1074" t="inlineStr"/>
      <c r="W276" s="1074" t="inlineStr">
        <is>
          <t>-</t>
        </is>
      </c>
      <c r="X276" s="1074" t="inlineStr">
        <is>
          <t>-</t>
        </is>
      </c>
      <c r="Y276" s="1074" t="inlineStr">
        <is>
          <t>-</t>
        </is>
      </c>
      <c r="Z276" s="1074" t="inlineStr">
        <is>
          <t>-</t>
        </is>
      </c>
      <c r="AA276" s="1074" t="inlineStr">
        <is>
          <t>-</t>
        </is>
      </c>
      <c r="AB276" s="1074" t="inlineStr">
        <is>
          <t>-</t>
        </is>
      </c>
      <c r="AC276" s="1074" t="inlineStr">
        <is>
          <t>-</t>
        </is>
      </c>
      <c r="AD276" s="1074" t="inlineStr">
        <is>
          <t>5230738</t>
        </is>
      </c>
      <c r="AE276" s="1074" t="n">
        <v>0</v>
      </c>
      <c r="AF276" s="1074" t="inlineStr">
        <is>
          <t>高心怡04</t>
        </is>
      </c>
      <c r="AG276" s="1074" t="inlineStr">
        <is>
          <t>教室3</t>
        </is>
      </c>
      <c r="AH276" s="1074" t="inlineStr">
        <is>
          <t>10:20-12:30</t>
        </is>
      </c>
      <c r="AI276" s="1074" t="inlineStr">
        <is>
          <t>潜能班</t>
        </is>
      </c>
      <c r="AJ276" s="1074" t="inlineStr">
        <is>
          <t>二期</t>
        </is>
      </c>
      <c r="AK276" s="1074" t="inlineStr">
        <is>
          <t>在读</t>
        </is>
      </c>
      <c r="AL276" s="1074" t="inlineStr">
        <is>
          <t>-</t>
        </is>
      </c>
      <c r="AM276" s="1074" t="n"/>
      <c r="AN276" s="1074" t="n"/>
      <c r="AO276" s="1074" t="n"/>
      <c r="AP276" s="1074" t="n"/>
      <c r="AQ276" s="1074" t="n"/>
      <c r="AR276" s="1074" t="inlineStr">
        <is>
          <t>B</t>
        </is>
      </c>
      <c r="AS276" s="1074" t="inlineStr">
        <is>
          <t>在读老生扩科，未咨询过秋季价格</t>
        </is>
      </c>
      <c r="AT276" s="311" t="n"/>
    </row>
    <row r="277" ht="26.25" customFormat="1" customHeight="1" s="366">
      <c r="A277" s="1074" t="inlineStr">
        <is>
          <t>新宝利</t>
        </is>
      </c>
      <c r="B277" s="1074" t="inlineStr">
        <is>
          <t>2579506930</t>
        </is>
      </c>
      <c r="C277" s="1074" t="inlineStr">
        <is>
          <t>周炜婷</t>
        </is>
      </c>
      <c r="D277" s="1074" t="inlineStr">
        <is>
          <t>张敏烨</t>
        </is>
      </c>
      <c r="E277" s="1074" t="inlineStr">
        <is>
          <t>春季在读老生</t>
        </is>
      </c>
      <c r="F277" s="1074" t="n"/>
      <c r="G277" s="1074" t="n"/>
      <c r="H277" s="1074" t="inlineStr">
        <is>
          <t>在读</t>
        </is>
      </c>
      <c r="I277" s="1074" t="inlineStr">
        <is>
          <t>二期</t>
        </is>
      </c>
      <c r="J277" s="1074" t="inlineStr">
        <is>
          <t>4513341</t>
        </is>
      </c>
      <c r="K277" s="1074" t="inlineStr">
        <is>
          <t>报前测成绩</t>
        </is>
      </c>
      <c r="L277" s="1074" t="n">
        <v>70</v>
      </c>
      <c r="M277" s="1074" t="inlineStr">
        <is>
          <t>-</t>
        </is>
      </c>
      <c r="N277" s="1074" t="inlineStr">
        <is>
          <t>陈中帅</t>
        </is>
      </c>
      <c r="O277" s="1074" t="inlineStr">
        <is>
          <t>教室3</t>
        </is>
      </c>
      <c r="P277" s="1074" t="inlineStr">
        <is>
          <t>15:50-18:00</t>
        </is>
      </c>
      <c r="Q277" s="1074" t="inlineStr">
        <is>
          <t>启能班</t>
        </is>
      </c>
      <c r="R277" s="1074" t="inlineStr">
        <is>
          <t>二期</t>
        </is>
      </c>
      <c r="S277" s="1074" t="inlineStr">
        <is>
          <t>在读</t>
        </is>
      </c>
      <c r="T277" s="1074" t="inlineStr">
        <is>
          <t>-</t>
        </is>
      </c>
      <c r="U277" s="1074" t="inlineStr">
        <is>
          <t>3132846</t>
        </is>
      </c>
      <c r="V277" s="1074" t="n">
        <v>38</v>
      </c>
      <c r="W277" s="1074" t="inlineStr">
        <is>
          <t>黄铭怡</t>
        </is>
      </c>
      <c r="X277" s="1074" t="inlineStr">
        <is>
          <t>教室3</t>
        </is>
      </c>
      <c r="Y277" s="1074" t="inlineStr">
        <is>
          <t>13:20-15:30</t>
        </is>
      </c>
      <c r="Z277" s="1074" t="inlineStr">
        <is>
          <t>潜能班</t>
        </is>
      </c>
      <c r="AA277" s="1074" t="inlineStr">
        <is>
          <t>二期</t>
        </is>
      </c>
      <c r="AB277" s="1074" t="inlineStr">
        <is>
          <t>在读</t>
        </is>
      </c>
      <c r="AC277" s="1074" t="inlineStr">
        <is>
          <t>-</t>
        </is>
      </c>
      <c r="AD277" s="1074" t="inlineStr">
        <is>
          <t>5230738</t>
        </is>
      </c>
      <c r="AE277" s="1074" t="n">
        <v>41</v>
      </c>
      <c r="AF277" s="1074" t="inlineStr">
        <is>
          <t>高心怡04</t>
        </is>
      </c>
      <c r="AG277" s="1074" t="inlineStr">
        <is>
          <t>教室3</t>
        </is>
      </c>
      <c r="AH277" s="1074" t="inlineStr">
        <is>
          <t>10:20-12:30</t>
        </is>
      </c>
      <c r="AI277" s="1074" t="inlineStr">
        <is>
          <t>潜能班</t>
        </is>
      </c>
      <c r="AJ277" s="1074" t="inlineStr">
        <is>
          <t>二期</t>
        </is>
      </c>
      <c r="AK277" s="1074" t="inlineStr">
        <is>
          <t>在读</t>
        </is>
      </c>
      <c r="AL277" s="1074" t="inlineStr">
        <is>
          <t>-</t>
        </is>
      </c>
      <c r="AM277" s="1074" t="n"/>
      <c r="AN277" s="1074" t="n"/>
      <c r="AO277" s="1074" t="n"/>
      <c r="AP277" s="1074" t="n"/>
      <c r="AQ277" s="1074" t="n"/>
      <c r="AR277" s="1074" t="inlineStr">
        <is>
          <t>B</t>
        </is>
      </c>
      <c r="AS277" s="1074" t="inlineStr">
        <is>
          <t>暑假先上，看看效果</t>
        </is>
      </c>
      <c r="AT277" s="311" t="n"/>
    </row>
    <row r="278" ht="26.25" customFormat="1" customHeight="1" s="366">
      <c r="A278" s="1074" t="inlineStr">
        <is>
          <t>新宝利</t>
        </is>
      </c>
      <c r="B278" s="1074" t="inlineStr">
        <is>
          <t>4089282515</t>
        </is>
      </c>
      <c r="C278" s="1074" t="inlineStr">
        <is>
          <t>苏晋扬</t>
        </is>
      </c>
      <c r="D278" s="1074" t="inlineStr">
        <is>
          <t>杨林33</t>
        </is>
      </c>
      <c r="E278" s="1074" t="inlineStr">
        <is>
          <t>纯拉新</t>
        </is>
      </c>
      <c r="F278" s="1074" t="n"/>
      <c r="G278" s="1074" t="n"/>
      <c r="H278" s="1074" t="inlineStr">
        <is>
          <t>在读</t>
        </is>
      </c>
      <c r="I278" s="1074" t="inlineStr">
        <is>
          <t>二期</t>
        </is>
      </c>
      <c r="J278" s="1074" t="inlineStr">
        <is>
          <t>5111034</t>
        </is>
      </c>
      <c r="K278" s="1074" t="inlineStr">
        <is>
          <t>报前测成绩</t>
        </is>
      </c>
      <c r="L278" s="1074" t="n">
        <v>50</v>
      </c>
      <c r="M278" s="1074" t="inlineStr">
        <is>
          <t>-</t>
        </is>
      </c>
      <c r="N278" s="1074" t="inlineStr">
        <is>
          <t>田雨涵01</t>
        </is>
      </c>
      <c r="O278" s="1074" t="inlineStr">
        <is>
          <t>教室4</t>
        </is>
      </c>
      <c r="P278" s="1074" t="inlineStr">
        <is>
          <t>13:20-15:30</t>
        </is>
      </c>
      <c r="Q278" s="1074" t="inlineStr">
        <is>
          <t>潜能班</t>
        </is>
      </c>
      <c r="R278" s="1074" t="inlineStr">
        <is>
          <t>二期</t>
        </is>
      </c>
      <c r="S278" s="1074" t="inlineStr">
        <is>
          <t>在读</t>
        </is>
      </c>
      <c r="T278" s="1074" t="inlineStr">
        <is>
          <t>-</t>
        </is>
      </c>
      <c r="U278" s="1074" t="inlineStr">
        <is>
          <t>4513342</t>
        </is>
      </c>
      <c r="V278" s="1074" t="n">
        <v>0</v>
      </c>
      <c r="W278" s="1074" t="inlineStr">
        <is>
          <t>黄铭怡</t>
        </is>
      </c>
      <c r="X278" s="1074" t="inlineStr">
        <is>
          <t>教室4</t>
        </is>
      </c>
      <c r="Y278" s="1074" t="inlineStr">
        <is>
          <t>10:20-12:30</t>
        </is>
      </c>
      <c r="Z278" s="1074" t="inlineStr">
        <is>
          <t>潜能班</t>
        </is>
      </c>
      <c r="AA278" s="1074" t="inlineStr">
        <is>
          <t>二期</t>
        </is>
      </c>
      <c r="AB278" s="1074" t="inlineStr">
        <is>
          <t>在读</t>
        </is>
      </c>
      <c r="AC278" s="1074" t="inlineStr">
        <is>
          <t>-</t>
        </is>
      </c>
      <c r="AD278" s="1074" t="inlineStr">
        <is>
          <t>4513340</t>
        </is>
      </c>
      <c r="AE278" s="1074" t="n">
        <v>33</v>
      </c>
      <c r="AF278" s="1074" t="inlineStr">
        <is>
          <t>高心怡04</t>
        </is>
      </c>
      <c r="AG278" s="1074" t="inlineStr">
        <is>
          <t>教室4</t>
        </is>
      </c>
      <c r="AH278" s="1074" t="inlineStr">
        <is>
          <t>15:50-18:00</t>
        </is>
      </c>
      <c r="AI278" s="1074" t="inlineStr">
        <is>
          <t>潜能班</t>
        </is>
      </c>
      <c r="AJ278" s="1074" t="inlineStr">
        <is>
          <t>二期</t>
        </is>
      </c>
      <c r="AK278" s="1074" t="inlineStr">
        <is>
          <t>在读</t>
        </is>
      </c>
      <c r="AL278" s="1074" t="inlineStr">
        <is>
          <t>-</t>
        </is>
      </c>
      <c r="AM278" s="1074" t="n"/>
      <c r="AN278" s="1074" t="n"/>
      <c r="AO278" s="1074" t="n"/>
      <c r="AP278" s="1074" t="n"/>
      <c r="AQ278" s="1074" t="n"/>
      <c r="AR278" s="1074" t="inlineStr">
        <is>
          <t>S</t>
        </is>
      </c>
      <c r="AS278" s="1074" t="inlineStr">
        <is>
          <t>支付能力很强，长期一对一在读的，有长期学习的想法和意愿度</t>
        </is>
      </c>
      <c r="AT278" s="311" t="n"/>
    </row>
    <row r="279" ht="26.25" customFormat="1" customHeight="1" s="366">
      <c r="A279" s="1074" t="inlineStr">
        <is>
          <t>新宝利</t>
        </is>
      </c>
      <c r="B279" s="1074" t="inlineStr">
        <is>
          <t>4827744612</t>
        </is>
      </c>
      <c r="C279" s="1074" t="inlineStr">
        <is>
          <t>刘芯妍</t>
        </is>
      </c>
      <c r="D279" s="1074" t="inlineStr">
        <is>
          <t>沈思浩</t>
        </is>
      </c>
      <c r="E279" s="1074" t="inlineStr">
        <is>
          <t>纯拉新</t>
        </is>
      </c>
      <c r="F279" s="1074" t="n"/>
      <c r="G279" s="1074" t="n"/>
      <c r="H279" s="1074" t="inlineStr">
        <is>
          <t>在读</t>
        </is>
      </c>
      <c r="I279" s="1074" t="inlineStr">
        <is>
          <t>零期</t>
        </is>
      </c>
      <c r="J279" s="1074" t="inlineStr">
        <is>
          <t>3132884</t>
        </is>
      </c>
      <c r="K279" s="1074" t="inlineStr">
        <is>
          <t>报前测成绩</t>
        </is>
      </c>
      <c r="L279" s="1074" t="n">
        <v>66</v>
      </c>
      <c r="M279" s="1074" t="inlineStr">
        <is>
          <t>-</t>
        </is>
      </c>
      <c r="N279" s="1074" t="inlineStr">
        <is>
          <t>田雨涵01</t>
        </is>
      </c>
      <c r="O279" s="1074" t="inlineStr">
        <is>
          <t>教室3</t>
        </is>
      </c>
      <c r="P279" s="1074" t="inlineStr">
        <is>
          <t>13:20-15:30</t>
        </is>
      </c>
      <c r="Q279" s="1074" t="inlineStr">
        <is>
          <t>潜能班</t>
        </is>
      </c>
      <c r="R279" s="1074" t="inlineStr">
        <is>
          <t>零期</t>
        </is>
      </c>
      <c r="S279" s="1074" t="inlineStr">
        <is>
          <t>在读</t>
        </is>
      </c>
      <c r="T279" s="1074" t="inlineStr">
        <is>
          <t>-</t>
        </is>
      </c>
      <c r="U279" s="1074" t="inlineStr">
        <is>
          <t>4513265</t>
        </is>
      </c>
      <c r="V279" s="1074" t="n">
        <v>32</v>
      </c>
      <c r="W279" s="1074" t="inlineStr">
        <is>
          <t>李润</t>
        </is>
      </c>
      <c r="X279" s="1074" t="inlineStr">
        <is>
          <t>教室3</t>
        </is>
      </c>
      <c r="Y279" s="1074" t="inlineStr">
        <is>
          <t>10:20-12:30</t>
        </is>
      </c>
      <c r="Z279" s="1074" t="inlineStr">
        <is>
          <t>潜能班</t>
        </is>
      </c>
      <c r="AA279" s="1074" t="inlineStr">
        <is>
          <t>零期</t>
        </is>
      </c>
      <c r="AB279" s="1074" t="inlineStr">
        <is>
          <t>在读</t>
        </is>
      </c>
      <c r="AC279" s="1074" t="inlineStr">
        <is>
          <t>-</t>
        </is>
      </c>
      <c r="AD279" s="1074" t="inlineStr">
        <is>
          <t>5230723</t>
        </is>
      </c>
      <c r="AE279" s="1074" t="n">
        <v>43</v>
      </c>
      <c r="AF279" s="1074" t="inlineStr">
        <is>
          <t>肖锐03</t>
        </is>
      </c>
      <c r="AG279" s="1074" t="inlineStr">
        <is>
          <t>教室3</t>
        </is>
      </c>
      <c r="AH279" s="1074" t="inlineStr">
        <is>
          <t>15:50-18:00</t>
        </is>
      </c>
      <c r="AI279" s="1074" t="inlineStr">
        <is>
          <t>潜能班</t>
        </is>
      </c>
      <c r="AJ279" s="1074" t="inlineStr">
        <is>
          <t>零期</t>
        </is>
      </c>
      <c r="AK279" s="1074" t="inlineStr">
        <is>
          <t>在读</t>
        </is>
      </c>
      <c r="AL279" s="1074" t="inlineStr">
        <is>
          <t>-</t>
        </is>
      </c>
      <c r="AM279" s="1074" t="inlineStr">
        <is>
          <t>是</t>
        </is>
      </c>
      <c r="AN279" s="1074" t="inlineStr">
        <is>
          <t>是</t>
        </is>
      </c>
      <c r="AO279" s="1074" t="inlineStr">
        <is>
          <t>是</t>
        </is>
      </c>
      <c r="AP279" s="1074" t="inlineStr">
        <is>
          <t>是</t>
        </is>
      </c>
      <c r="AQ279" s="1074" t="n"/>
      <c r="AR279" s="1074" t="inlineStr">
        <is>
          <t>A</t>
        </is>
      </c>
      <c r="AS279" s="1074" t="inlineStr">
        <is>
          <t>家长重视教育，先看学习效果再看后面是不是续费</t>
        </is>
      </c>
      <c r="AT279" s="311" t="n"/>
    </row>
    <row r="280" ht="26.25" customFormat="1" customHeight="1" s="366">
      <c r="A280" s="1074" t="inlineStr">
        <is>
          <t>新宝利</t>
        </is>
      </c>
      <c r="B280" s="1074" t="inlineStr">
        <is>
          <t>2583024622</t>
        </is>
      </c>
      <c r="C280" s="1074" t="inlineStr">
        <is>
          <t>张宸</t>
        </is>
      </c>
      <c r="D280" s="1074" t="inlineStr">
        <is>
          <t>沈思浩</t>
        </is>
      </c>
      <c r="E280" s="1074" t="inlineStr">
        <is>
          <t>新生转介绍</t>
        </is>
      </c>
      <c r="F280" s="1074" t="n"/>
      <c r="G280" s="1074" t="inlineStr">
        <is>
          <t>刘芯妍</t>
        </is>
      </c>
      <c r="H280" s="1074" t="inlineStr">
        <is>
          <t>在读</t>
        </is>
      </c>
      <c r="I280" s="1074" t="inlineStr">
        <is>
          <t>零期</t>
        </is>
      </c>
      <c r="J280" s="1074" t="inlineStr">
        <is>
          <t>3132880</t>
        </is>
      </c>
      <c r="K280" s="1074" t="inlineStr">
        <is>
          <t>报前测成绩</t>
        </is>
      </c>
      <c r="L280" s="1074" t="n">
        <v>100</v>
      </c>
      <c r="M280" s="1074" t="inlineStr">
        <is>
          <t>-</t>
        </is>
      </c>
      <c r="N280" s="1074" t="inlineStr">
        <is>
          <t>陈中帅</t>
        </is>
      </c>
      <c r="O280" s="1074" t="inlineStr">
        <is>
          <t>教室2</t>
        </is>
      </c>
      <c r="P280" s="1074" t="inlineStr">
        <is>
          <t>15:50-18:00</t>
        </is>
      </c>
      <c r="Q280" s="1074" t="inlineStr">
        <is>
          <t>启能班</t>
        </is>
      </c>
      <c r="R280" s="1074" t="inlineStr">
        <is>
          <t>零期</t>
        </is>
      </c>
      <c r="S280" s="1074" t="inlineStr">
        <is>
          <t>在读</t>
        </is>
      </c>
      <c r="T280" s="1074" t="inlineStr">
        <is>
          <t>-</t>
        </is>
      </c>
      <c r="U280" s="1074" t="inlineStr">
        <is>
          <t>3132859</t>
        </is>
      </c>
      <c r="V280" s="1074" t="n">
        <v>36</v>
      </c>
      <c r="W280" s="1074" t="inlineStr">
        <is>
          <t>黄铭怡</t>
        </is>
      </c>
      <c r="X280" s="1074" t="inlineStr">
        <is>
          <t>教室2</t>
        </is>
      </c>
      <c r="Y280" s="1074" t="inlineStr">
        <is>
          <t>10:20-12:30</t>
        </is>
      </c>
      <c r="Z280" s="1074" t="inlineStr">
        <is>
          <t>潜能班</t>
        </is>
      </c>
      <c r="AA280" s="1074" t="inlineStr">
        <is>
          <t>零期</t>
        </is>
      </c>
      <c r="AB280" s="1074" t="inlineStr">
        <is>
          <t>在读</t>
        </is>
      </c>
      <c r="AC280" s="1074" t="inlineStr">
        <is>
          <t>-</t>
        </is>
      </c>
      <c r="AD280" s="1074" t="inlineStr">
        <is>
          <t>5230727</t>
        </is>
      </c>
      <c r="AE280" s="1074" t="n">
        <v>40</v>
      </c>
      <c r="AF280" s="1074" t="inlineStr">
        <is>
          <t>肖锐03</t>
        </is>
      </c>
      <c r="AG280" s="1074" t="inlineStr">
        <is>
          <t>教室2</t>
        </is>
      </c>
      <c r="AH280" s="1074" t="inlineStr">
        <is>
          <t>13:20-15:30</t>
        </is>
      </c>
      <c r="AI280" s="1074" t="inlineStr">
        <is>
          <t>潜能班</t>
        </is>
      </c>
      <c r="AJ280" s="1074" t="inlineStr">
        <is>
          <t>零期</t>
        </is>
      </c>
      <c r="AK280" s="1074" t="inlineStr">
        <is>
          <t>在读</t>
        </is>
      </c>
      <c r="AL280" s="1074" t="inlineStr">
        <is>
          <t>-</t>
        </is>
      </c>
      <c r="AM280" s="1074" t="inlineStr">
        <is>
          <t>是</t>
        </is>
      </c>
      <c r="AN280" s="1074" t="inlineStr">
        <is>
          <t>是</t>
        </is>
      </c>
      <c r="AO280" s="1074" t="inlineStr">
        <is>
          <t>是</t>
        </is>
      </c>
      <c r="AP280" s="1074" t="inlineStr">
        <is>
          <t>否</t>
        </is>
      </c>
      <c r="AQ280" s="1074" t="n"/>
      <c r="AR280" s="1074" t="inlineStr">
        <is>
          <t>A</t>
        </is>
      </c>
      <c r="AS280" s="1074" t="inlineStr">
        <is>
          <t>家长重视教育，先看学习效果再看后面是不是续费</t>
        </is>
      </c>
      <c r="AT280" s="311" t="n"/>
    </row>
    <row r="281" ht="26.25" customFormat="1" customHeight="1" s="366">
      <c r="A281" s="1074" t="inlineStr">
        <is>
          <t>同创汇</t>
        </is>
      </c>
      <c r="B281" s="1074" t="inlineStr">
        <is>
          <t>4594246595</t>
        </is>
      </c>
      <c r="C281" s="1074" t="inlineStr">
        <is>
          <t>文文</t>
        </is>
      </c>
      <c r="D281" s="1074" t="inlineStr">
        <is>
          <t>戎凯01</t>
        </is>
      </c>
      <c r="E281" s="1074" t="inlineStr">
        <is>
          <t>纯拉新</t>
        </is>
      </c>
      <c r="F281" s="1074" t="n"/>
      <c r="G281" s="1074" t="n"/>
      <c r="H281" s="1074" t="inlineStr">
        <is>
          <t>在读</t>
        </is>
      </c>
      <c r="I281" s="1074" t="inlineStr">
        <is>
          <t>零期</t>
        </is>
      </c>
      <c r="J281" s="1074" t="inlineStr">
        <is>
          <t>5230806</t>
        </is>
      </c>
      <c r="K281" s="1074" t="inlineStr">
        <is>
          <t>报前测成绩</t>
        </is>
      </c>
      <c r="L281" s="1074" t="n">
        <v>80</v>
      </c>
      <c r="M281" s="1074" t="inlineStr">
        <is>
          <t>-</t>
        </is>
      </c>
      <c r="N281" s="1074" t="inlineStr">
        <is>
          <t>田雨涵01</t>
        </is>
      </c>
      <c r="O281" s="1074" t="inlineStr">
        <is>
          <t>03识海阁</t>
        </is>
      </c>
      <c r="P281" s="1074" t="inlineStr">
        <is>
          <t>10:20-12:30</t>
        </is>
      </c>
      <c r="Q281" s="1074" t="inlineStr">
        <is>
          <t>潜能班</t>
        </is>
      </c>
      <c r="R281" s="1074" t="inlineStr">
        <is>
          <t>零期</t>
        </is>
      </c>
      <c r="S281" s="1074" t="inlineStr">
        <is>
          <t>在读</t>
        </is>
      </c>
      <c r="T281" s="1074" t="inlineStr">
        <is>
          <t>-</t>
        </is>
      </c>
      <c r="U281" s="1074" t="inlineStr">
        <is>
          <t>5170872</t>
        </is>
      </c>
      <c r="V281" s="1074" t="n">
        <v>41</v>
      </c>
      <c r="W281" s="1074" t="inlineStr">
        <is>
          <t>陈南05</t>
        </is>
      </c>
      <c r="X281" s="1074" t="inlineStr">
        <is>
          <t>03识海阁</t>
        </is>
      </c>
      <c r="Y281" s="1074" t="inlineStr">
        <is>
          <t>13:20-15:30</t>
        </is>
      </c>
      <c r="Z281" s="1074" t="inlineStr">
        <is>
          <t>潜能班</t>
        </is>
      </c>
      <c r="AA281" s="1074" t="inlineStr">
        <is>
          <t>零期</t>
        </is>
      </c>
      <c r="AB281" s="1074" t="inlineStr">
        <is>
          <t>在读</t>
        </is>
      </c>
      <c r="AC281" s="1074" t="inlineStr">
        <is>
          <t>-</t>
        </is>
      </c>
      <c r="AD281" s="1074" t="inlineStr">
        <is>
          <t>3132865</t>
        </is>
      </c>
      <c r="AE281" s="1074" t="n">
        <v>26.5</v>
      </c>
      <c r="AF281" s="1074" t="inlineStr">
        <is>
          <t>刘希子</t>
        </is>
      </c>
      <c r="AG281" s="1074" t="inlineStr">
        <is>
          <t>03识海阁</t>
        </is>
      </c>
      <c r="AH281" s="1074" t="inlineStr">
        <is>
          <t>15:50-18:00</t>
        </is>
      </c>
      <c r="AI281" s="1074" t="inlineStr">
        <is>
          <t>潜能班</t>
        </is>
      </c>
      <c r="AJ281" s="1074" t="inlineStr">
        <is>
          <t>零期</t>
        </is>
      </c>
      <c r="AK281" s="1074" t="inlineStr">
        <is>
          <t>在读</t>
        </is>
      </c>
      <c r="AL281" s="1074" t="inlineStr">
        <is>
          <t>-</t>
        </is>
      </c>
      <c r="AM281" s="1074" t="inlineStr">
        <is>
          <t>是</t>
        </is>
      </c>
      <c r="AN281" s="1074" t="inlineStr">
        <is>
          <t>否</t>
        </is>
      </c>
      <c r="AO281" s="1074" t="inlineStr">
        <is>
          <t>否</t>
        </is>
      </c>
      <c r="AP281" s="1074" t="n"/>
      <c r="AQ281" s="1074" t="n"/>
      <c r="AR281" s="1074" t="inlineStr">
        <is>
          <t>B</t>
        </is>
      </c>
      <c r="AS281" s="1074" t="inlineStr">
        <is>
          <t>妈妈比较看重老师，很尊重孩子意愿</t>
        </is>
      </c>
      <c r="AT281" s="311" t="n"/>
    </row>
    <row r="282" ht="26.25" customFormat="1" customHeight="1" s="366">
      <c r="A282" s="1074" t="inlineStr">
        <is>
          <t>新宝利</t>
        </is>
      </c>
      <c r="B282" s="1074" t="inlineStr">
        <is>
          <t>4090250168</t>
        </is>
      </c>
      <c r="C282" s="1074" t="inlineStr">
        <is>
          <t>李玥宣</t>
        </is>
      </c>
      <c r="D282" s="1074" t="inlineStr">
        <is>
          <t>杨利娟10</t>
        </is>
      </c>
      <c r="E282" s="1074" t="inlineStr">
        <is>
          <t>春季在读老生</t>
        </is>
      </c>
      <c r="F282" s="1074" t="n"/>
      <c r="G282" s="1074" t="n"/>
      <c r="H282" s="1074" t="inlineStr">
        <is>
          <t>在读</t>
        </is>
      </c>
      <c r="I282" s="1074" t="inlineStr">
        <is>
          <t>零期</t>
        </is>
      </c>
      <c r="J282" s="1074" t="inlineStr">
        <is>
          <t>-</t>
        </is>
      </c>
      <c r="K282" s="1074" t="inlineStr"/>
      <c r="L282" s="1074" t="inlineStr"/>
      <c r="M282" s="1074" t="inlineStr"/>
      <c r="N282" s="1074" t="inlineStr">
        <is>
          <t>-</t>
        </is>
      </c>
      <c r="O282" s="1074" t="inlineStr">
        <is>
          <t>-</t>
        </is>
      </c>
      <c r="P282" s="1074" t="inlineStr">
        <is>
          <t>-</t>
        </is>
      </c>
      <c r="Q282" s="1074" t="inlineStr">
        <is>
          <t>-</t>
        </is>
      </c>
      <c r="R282" s="1074" t="inlineStr">
        <is>
          <t>-</t>
        </is>
      </c>
      <c r="S282" s="1074" t="inlineStr">
        <is>
          <t>-</t>
        </is>
      </c>
      <c r="T282" s="1074" t="inlineStr">
        <is>
          <t>-</t>
        </is>
      </c>
      <c r="U282" s="1074" t="inlineStr">
        <is>
          <t>3132859</t>
        </is>
      </c>
      <c r="V282" s="1074" t="n"/>
      <c r="W282" s="1074" t="inlineStr">
        <is>
          <t>黄铭怡</t>
        </is>
      </c>
      <c r="X282" s="1074" t="inlineStr">
        <is>
          <t>教室2</t>
        </is>
      </c>
      <c r="Y282" s="1074" t="inlineStr">
        <is>
          <t>10:20-12:30</t>
        </is>
      </c>
      <c r="Z282" s="1074" t="inlineStr">
        <is>
          <t>潜能班</t>
        </is>
      </c>
      <c r="AA282" s="1074" t="inlineStr">
        <is>
          <t>零期</t>
        </is>
      </c>
      <c r="AB282" s="1074" t="inlineStr">
        <is>
          <t>在读</t>
        </is>
      </c>
      <c r="AC282" s="1074" t="inlineStr">
        <is>
          <t>是</t>
        </is>
      </c>
      <c r="AD282" s="1074" t="inlineStr">
        <is>
          <t>-</t>
        </is>
      </c>
      <c r="AE282" s="1074" t="inlineStr"/>
      <c r="AF282" s="1074" t="inlineStr">
        <is>
          <t>-</t>
        </is>
      </c>
      <c r="AG282" s="1074" t="inlineStr">
        <is>
          <t>-</t>
        </is>
      </c>
      <c r="AH282" s="1074" t="inlineStr">
        <is>
          <t>-</t>
        </is>
      </c>
      <c r="AI282" s="1074" t="inlineStr">
        <is>
          <t>-</t>
        </is>
      </c>
      <c r="AJ282" s="1074" t="inlineStr">
        <is>
          <t>-</t>
        </is>
      </c>
      <c r="AK282" s="1074" t="inlineStr">
        <is>
          <t>-</t>
        </is>
      </c>
      <c r="AL282" s="1074" t="inlineStr">
        <is>
          <t>-</t>
        </is>
      </c>
      <c r="AM282" s="1074" t="inlineStr">
        <is>
          <t>是</t>
        </is>
      </c>
      <c r="AN282" s="1074" t="inlineStr">
        <is>
          <t>是</t>
        </is>
      </c>
      <c r="AO282" s="1074" t="inlineStr">
        <is>
          <t>是</t>
        </is>
      </c>
      <c r="AP282" s="1074" t="n"/>
      <c r="AQ282" s="1074" t="n"/>
      <c r="AR282" s="1074" t="n"/>
      <c r="AS282" s="1074" t="n"/>
      <c r="AT282" s="311" t="n"/>
    </row>
    <row r="283" ht="26.25" customFormat="1" customHeight="1" s="366">
      <c r="A283" s="1074" t="inlineStr">
        <is>
          <t>新宝利</t>
        </is>
      </c>
      <c r="B283" s="1074" t="inlineStr">
        <is>
          <t>4825822969</t>
        </is>
      </c>
      <c r="C283" s="1074" t="inlineStr">
        <is>
          <t>梁跃曦</t>
        </is>
      </c>
      <c r="D283" s="1074" t="inlineStr">
        <is>
          <t>林志豪01</t>
        </is>
      </c>
      <c r="E283" s="1074" t="inlineStr">
        <is>
          <t>老生转介绍</t>
        </is>
      </c>
      <c r="F283" s="1074" t="n"/>
      <c r="G283" s="1074" t="inlineStr">
        <is>
          <t>关浩言</t>
        </is>
      </c>
      <c r="H283" s="1074" t="inlineStr">
        <is>
          <t>退费</t>
        </is>
      </c>
      <c r="I283" s="1074" t="inlineStr">
        <is>
          <t>-</t>
        </is>
      </c>
      <c r="J283" s="1074" t="inlineStr">
        <is>
          <t>-</t>
        </is>
      </c>
      <c r="K283" s="1074" t="inlineStr"/>
      <c r="L283" s="1074" t="inlineStr"/>
      <c r="M283" s="1074" t="inlineStr"/>
      <c r="N283" s="1074" t="inlineStr">
        <is>
          <t>-</t>
        </is>
      </c>
      <c r="O283" s="1074" t="inlineStr">
        <is>
          <t>-</t>
        </is>
      </c>
      <c r="P283" s="1074" t="inlineStr">
        <is>
          <t>-</t>
        </is>
      </c>
      <c r="Q283" s="1074" t="inlineStr">
        <is>
          <t>-</t>
        </is>
      </c>
      <c r="R283" s="1074" t="inlineStr">
        <is>
          <t>-</t>
        </is>
      </c>
      <c r="S283" s="1074" t="inlineStr">
        <is>
          <t>-</t>
        </is>
      </c>
      <c r="T283" s="1074" t="inlineStr">
        <is>
          <t>-</t>
        </is>
      </c>
      <c r="U283" s="1074" t="inlineStr">
        <is>
          <t>3132859</t>
        </is>
      </c>
      <c r="V283" s="1074" t="n">
        <v>36</v>
      </c>
      <c r="W283" s="1074" t="inlineStr">
        <is>
          <t>黄铭怡</t>
        </is>
      </c>
      <c r="X283" s="1074" t="inlineStr">
        <is>
          <t>教室2</t>
        </is>
      </c>
      <c r="Y283" s="1074" t="inlineStr">
        <is>
          <t>10:20-12:30</t>
        </is>
      </c>
      <c r="Z283" s="1074" t="inlineStr">
        <is>
          <t>潜能班</t>
        </is>
      </c>
      <c r="AA283" s="1074" t="inlineStr">
        <is>
          <t>零期</t>
        </is>
      </c>
      <c r="AB283" s="1074" t="inlineStr">
        <is>
          <t>课前退</t>
        </is>
      </c>
      <c r="AC283" s="1074" t="inlineStr">
        <is>
          <t>-</t>
        </is>
      </c>
      <c r="AD283" s="1074" t="inlineStr">
        <is>
          <t>5230738</t>
        </is>
      </c>
      <c r="AE283" s="1074" t="n">
        <v>0</v>
      </c>
      <c r="AF283" s="1074" t="inlineStr">
        <is>
          <t>高心怡04</t>
        </is>
      </c>
      <c r="AG283" s="1074" t="inlineStr">
        <is>
          <t>教室3</t>
        </is>
      </c>
      <c r="AH283" s="1074" t="inlineStr">
        <is>
          <t>10:20-12:30</t>
        </is>
      </c>
      <c r="AI283" s="1074" t="inlineStr">
        <is>
          <t>潜能班</t>
        </is>
      </c>
      <c r="AJ283" s="1074" t="inlineStr">
        <is>
          <t>二期</t>
        </is>
      </c>
      <c r="AK283" s="1074" t="inlineStr">
        <is>
          <t>课前退</t>
        </is>
      </c>
      <c r="AL283" s="1074" t="inlineStr">
        <is>
          <t>-</t>
        </is>
      </c>
      <c r="AM283" s="1074" t="n"/>
      <c r="AN283" s="1074" t="n"/>
      <c r="AO283" s="1074" t="n"/>
      <c r="AP283" s="1074" t="n"/>
      <c r="AQ283" s="1074" t="n"/>
      <c r="AR283" s="1074" t="inlineStr">
        <is>
          <t>C</t>
        </is>
      </c>
      <c r="AS283" s="1074" t="inlineStr">
        <is>
          <t>申请退费</t>
        </is>
      </c>
      <c r="AT283" s="311" t="n"/>
    </row>
    <row r="284" ht="26.25" customFormat="1" customHeight="1" s="366">
      <c r="A284" s="1074" t="inlineStr">
        <is>
          <t>新宝利</t>
        </is>
      </c>
      <c r="B284" s="1074" t="inlineStr">
        <is>
          <t>2925240994</t>
        </is>
      </c>
      <c r="C284" s="1074" t="inlineStr">
        <is>
          <t>陆芷琳</t>
        </is>
      </c>
      <c r="D284" s="1074" t="inlineStr">
        <is>
          <t>杨林33</t>
        </is>
      </c>
      <c r="E284" s="1074" t="inlineStr">
        <is>
          <t>纯拉新</t>
        </is>
      </c>
      <c r="F284" s="1074" t="n"/>
      <c r="G284" s="1074" t="n"/>
      <c r="H284" s="1074" t="inlineStr">
        <is>
          <t>在读</t>
        </is>
      </c>
      <c r="I284" s="1074" t="inlineStr">
        <is>
          <t>二期</t>
        </is>
      </c>
      <c r="J284" s="1074" t="inlineStr">
        <is>
          <t>-</t>
        </is>
      </c>
      <c r="K284" s="1074" t="inlineStr"/>
      <c r="L284" s="1074" t="inlineStr"/>
      <c r="M284" s="1074" t="inlineStr"/>
      <c r="N284" s="1074" t="inlineStr">
        <is>
          <t>-</t>
        </is>
      </c>
      <c r="O284" s="1074" t="inlineStr">
        <is>
          <t>-</t>
        </is>
      </c>
      <c r="P284" s="1074" t="inlineStr">
        <is>
          <t>-</t>
        </is>
      </c>
      <c r="Q284" s="1074" t="inlineStr">
        <is>
          <t>-</t>
        </is>
      </c>
      <c r="R284" s="1074" t="inlineStr">
        <is>
          <t>-</t>
        </is>
      </c>
      <c r="S284" s="1074" t="inlineStr">
        <is>
          <t>-</t>
        </is>
      </c>
      <c r="T284" s="1074" t="inlineStr">
        <is>
          <t>-</t>
        </is>
      </c>
      <c r="U284" s="1074" t="inlineStr">
        <is>
          <t>3132846</t>
        </is>
      </c>
      <c r="V284" s="1074" t="n">
        <v>39</v>
      </c>
      <c r="W284" s="1074" t="inlineStr">
        <is>
          <t>黄铭怡</t>
        </is>
      </c>
      <c r="X284" s="1074" t="inlineStr">
        <is>
          <t>教室3</t>
        </is>
      </c>
      <c r="Y284" s="1074" t="inlineStr">
        <is>
          <t>13:20-15:30</t>
        </is>
      </c>
      <c r="Z284" s="1074" t="inlineStr">
        <is>
          <t>潜能班</t>
        </is>
      </c>
      <c r="AA284" s="1074" t="inlineStr">
        <is>
          <t>二期</t>
        </is>
      </c>
      <c r="AB284" s="1074" t="inlineStr">
        <is>
          <t>在读</t>
        </is>
      </c>
      <c r="AC284" s="1074" t="inlineStr">
        <is>
          <t>是</t>
        </is>
      </c>
      <c r="AD284" s="1074" t="inlineStr">
        <is>
          <t>5230738</t>
        </is>
      </c>
      <c r="AE284" s="1074" t="n">
        <v>28.5</v>
      </c>
      <c r="AF284" s="1074" t="inlineStr">
        <is>
          <t>高心怡04</t>
        </is>
      </c>
      <c r="AG284" s="1074" t="inlineStr">
        <is>
          <t>教室3</t>
        </is>
      </c>
      <c r="AH284" s="1074" t="inlineStr">
        <is>
          <t>10:20-12:30</t>
        </is>
      </c>
      <c r="AI284" s="1074" t="inlineStr">
        <is>
          <t>潜能班</t>
        </is>
      </c>
      <c r="AJ284" s="1074" t="inlineStr">
        <is>
          <t>二期</t>
        </is>
      </c>
      <c r="AK284" s="1074" t="inlineStr">
        <is>
          <t>在读</t>
        </is>
      </c>
      <c r="AL284" s="1074" t="inlineStr">
        <is>
          <t>-</t>
        </is>
      </c>
      <c r="AM284" s="1074" t="n"/>
      <c r="AN284" s="1074" t="n"/>
      <c r="AO284" s="1074" t="n"/>
      <c r="AP284" s="1074" t="n"/>
      <c r="AQ284" s="1074" t="n"/>
      <c r="AR284" s="1074" t="inlineStr">
        <is>
          <t>A</t>
        </is>
      </c>
      <c r="AS284" s="1074" t="inlineStr">
        <is>
          <t>妈妈教育理念不错，有支付能力，可以重点关注</t>
        </is>
      </c>
      <c r="AT284" s="311" t="n"/>
    </row>
    <row r="285" ht="26.25" customFormat="1" customHeight="1" s="366">
      <c r="A285" s="1074" t="inlineStr">
        <is>
          <t>同创汇</t>
        </is>
      </c>
      <c r="B285" s="1074" t="inlineStr">
        <is>
          <t>4628703443</t>
        </is>
      </c>
      <c r="C285" s="1074" t="inlineStr">
        <is>
          <t>林小逗</t>
        </is>
      </c>
      <c r="D285" s="1074" t="inlineStr">
        <is>
          <t>戎凯01</t>
        </is>
      </c>
      <c r="E285" s="1074" t="inlineStr">
        <is>
          <t>春季在读老生</t>
        </is>
      </c>
      <c r="F285" s="1074" t="n"/>
      <c r="G285" s="1074" t="n"/>
      <c r="H285" s="1074" t="inlineStr">
        <is>
          <t>在读</t>
        </is>
      </c>
      <c r="I285" s="1074" t="inlineStr">
        <is>
          <t>零期</t>
        </is>
      </c>
      <c r="J285" s="1074" t="inlineStr">
        <is>
          <t>5230814</t>
        </is>
      </c>
      <c r="K285" s="1074" t="inlineStr">
        <is>
          <t>老师预估</t>
        </is>
      </c>
      <c r="L285" s="1074" t="n">
        <v>90</v>
      </c>
      <c r="M285" s="1074" t="inlineStr">
        <is>
          <t>-</t>
        </is>
      </c>
      <c r="N285" s="1074" t="inlineStr">
        <is>
          <t>陈中帅</t>
        </is>
      </c>
      <c r="O285" s="1074" t="inlineStr">
        <is>
          <t>02彩虹桥</t>
        </is>
      </c>
      <c r="P285" s="1074" t="inlineStr">
        <is>
          <t>07:50-10:00</t>
        </is>
      </c>
      <c r="Q285" s="1074" t="inlineStr">
        <is>
          <t>启能班</t>
        </is>
      </c>
      <c r="R285" s="1074" t="inlineStr">
        <is>
          <t>零期</t>
        </is>
      </c>
      <c r="S285" s="1074" t="inlineStr">
        <is>
          <t>在读</t>
        </is>
      </c>
      <c r="T285" s="1074" t="inlineStr">
        <is>
          <t>是</t>
        </is>
      </c>
      <c r="U285" s="1074" t="inlineStr">
        <is>
          <t>-</t>
        </is>
      </c>
      <c r="V285" s="1074" t="inlineStr"/>
      <c r="W285" s="1074" t="inlineStr">
        <is>
          <t>-</t>
        </is>
      </c>
      <c r="X285" s="1074" t="inlineStr">
        <is>
          <t>-</t>
        </is>
      </c>
      <c r="Y285" s="1074" t="inlineStr">
        <is>
          <t>-</t>
        </is>
      </c>
      <c r="Z285" s="1074" t="inlineStr">
        <is>
          <t>-</t>
        </is>
      </c>
      <c r="AA285" s="1074" t="inlineStr">
        <is>
          <t>-</t>
        </is>
      </c>
      <c r="AB285" s="1074" t="inlineStr">
        <is>
          <t>-</t>
        </is>
      </c>
      <c r="AC285" s="1074" t="inlineStr">
        <is>
          <t>-</t>
        </is>
      </c>
      <c r="AD285" s="1074" t="inlineStr">
        <is>
          <t>5230765</t>
        </is>
      </c>
      <c r="AE285" s="1074" t="n">
        <v>0</v>
      </c>
      <c r="AF285" s="1074" t="inlineStr">
        <is>
          <t>刘希子</t>
        </is>
      </c>
      <c r="AG285" s="1074" t="inlineStr">
        <is>
          <t>02彩虹桥</t>
        </is>
      </c>
      <c r="AH285" s="1074" t="inlineStr">
        <is>
          <t>10:20-12:30</t>
        </is>
      </c>
      <c r="AI285" s="1074" t="inlineStr">
        <is>
          <t>潜能班</t>
        </is>
      </c>
      <c r="AJ285" s="1074" t="inlineStr">
        <is>
          <t>零期</t>
        </is>
      </c>
      <c r="AK285" s="1074" t="inlineStr">
        <is>
          <t>在读</t>
        </is>
      </c>
      <c r="AL285" s="1074" t="inlineStr">
        <is>
          <t>是</t>
        </is>
      </c>
      <c r="AM285" s="1074" t="inlineStr">
        <is>
          <t>是</t>
        </is>
      </c>
      <c r="AN285" s="1074" t="inlineStr">
        <is>
          <t>是</t>
        </is>
      </c>
      <c r="AO285" s="1074" t="inlineStr">
        <is>
          <t>否</t>
        </is>
      </c>
      <c r="AP285" s="1074" t="n"/>
      <c r="AQ285" s="1074" t="n"/>
      <c r="AR285" s="1074" t="inlineStr">
        <is>
          <t>S</t>
        </is>
      </c>
      <c r="AS285" s="1074" t="inlineStr">
        <is>
          <t>在读老生</t>
        </is>
      </c>
      <c r="AT285" s="311" t="n"/>
    </row>
    <row r="286" ht="26.25" customFormat="1" customHeight="1" s="366">
      <c r="A286" s="1074" t="inlineStr">
        <is>
          <t>新宝利</t>
        </is>
      </c>
      <c r="B286" s="1074" t="inlineStr">
        <is>
          <t>2207027530</t>
        </is>
      </c>
      <c r="C286" s="1074" t="inlineStr">
        <is>
          <t>戴圆圆</t>
        </is>
      </c>
      <c r="D286" s="1074" t="inlineStr">
        <is>
          <t>杨林33</t>
        </is>
      </c>
      <c r="E286" s="1074" t="inlineStr">
        <is>
          <t>纯拉新</t>
        </is>
      </c>
      <c r="F286" s="1074" t="n"/>
      <c r="G286" s="1074" t="n"/>
      <c r="H286" s="1074" t="inlineStr">
        <is>
          <t>在读</t>
        </is>
      </c>
      <c r="I286" s="1074" t="inlineStr">
        <is>
          <t>零期/二期</t>
        </is>
      </c>
      <c r="J286" s="1074" t="inlineStr">
        <is>
          <t>3132884</t>
        </is>
      </c>
      <c r="K286" s="1074" t="inlineStr">
        <is>
          <t>报前测成绩</t>
        </is>
      </c>
      <c r="L286" s="1074" t="n">
        <v>68</v>
      </c>
      <c r="M286" s="1074" t="inlineStr">
        <is>
          <t>-</t>
        </is>
      </c>
      <c r="N286" s="1074" t="inlineStr">
        <is>
          <t>田雨涵01</t>
        </is>
      </c>
      <c r="O286" s="1074" t="inlineStr">
        <is>
          <t>教室3</t>
        </is>
      </c>
      <c r="P286" s="1074" t="inlineStr">
        <is>
          <t>13:20-15:30</t>
        </is>
      </c>
      <c r="Q286" s="1074" t="inlineStr">
        <is>
          <t>潜能班</t>
        </is>
      </c>
      <c r="R286" s="1074" t="inlineStr">
        <is>
          <t>零期</t>
        </is>
      </c>
      <c r="S286" s="1074" t="inlineStr">
        <is>
          <t>在读</t>
        </is>
      </c>
      <c r="T286" s="1074" t="inlineStr">
        <is>
          <t>是</t>
        </is>
      </c>
      <c r="U286" s="1074" t="inlineStr">
        <is>
          <t>5230809</t>
        </is>
      </c>
      <c r="V286" s="1074" t="n">
        <v>31</v>
      </c>
      <c r="W286" s="1074" t="inlineStr">
        <is>
          <t>李润</t>
        </is>
      </c>
      <c r="X286" s="1074" t="inlineStr">
        <is>
          <t>01智慧林</t>
        </is>
      </c>
      <c r="Y286" s="1074" t="inlineStr">
        <is>
          <t>10:20-12:30</t>
        </is>
      </c>
      <c r="Z286" s="1074" t="inlineStr">
        <is>
          <t>潜能班</t>
        </is>
      </c>
      <c r="AA286" s="1074" t="inlineStr">
        <is>
          <t>二期</t>
        </is>
      </c>
      <c r="AB286" s="1074" t="inlineStr">
        <is>
          <t>在读</t>
        </is>
      </c>
      <c r="AC286" s="1074" t="inlineStr">
        <is>
          <t>-</t>
        </is>
      </c>
      <c r="AD286" s="1074" t="inlineStr">
        <is>
          <t>5230723</t>
        </is>
      </c>
      <c r="AE286" s="1074" t="n">
        <v>32</v>
      </c>
      <c r="AF286" s="1074" t="inlineStr">
        <is>
          <t>肖锐03</t>
        </is>
      </c>
      <c r="AG286" s="1074" t="inlineStr">
        <is>
          <t>教室3</t>
        </is>
      </c>
      <c r="AH286" s="1074" t="inlineStr">
        <is>
          <t>15:50-18:00</t>
        </is>
      </c>
      <c r="AI286" s="1074" t="inlineStr">
        <is>
          <t>潜能班</t>
        </is>
      </c>
      <c r="AJ286" s="1074" t="inlineStr">
        <is>
          <t>零期</t>
        </is>
      </c>
      <c r="AK286" s="1074" t="inlineStr">
        <is>
          <t>在读</t>
        </is>
      </c>
      <c r="AL286" s="1074" t="inlineStr">
        <is>
          <t>-</t>
        </is>
      </c>
      <c r="AM286" s="1074" t="inlineStr">
        <is>
          <t>是</t>
        </is>
      </c>
      <c r="AN286" s="1074" t="inlineStr">
        <is>
          <t>是</t>
        </is>
      </c>
      <c r="AO286" s="1074" t="inlineStr">
        <is>
          <t>是</t>
        </is>
      </c>
      <c r="AP286" s="1074" t="n"/>
      <c r="AQ286" s="1074" t="n"/>
      <c r="AR286" s="1074" t="inlineStr">
        <is>
          <t>A</t>
        </is>
      </c>
      <c r="AS286" s="1074" t="inlineStr">
        <is>
          <t>讲座现场报名，孩子愿意学，对老师满意，有问到秋季的课程情况</t>
        </is>
      </c>
      <c r="AT286" s="311" t="n"/>
    </row>
    <row r="287" ht="26.25" customFormat="1" customHeight="1" s="366">
      <c r="A287" s="1074" t="inlineStr">
        <is>
          <t>新宝利</t>
        </is>
      </c>
      <c r="B287" s="1074" t="inlineStr">
        <is>
          <t>4071730385</t>
        </is>
      </c>
      <c r="C287" s="1074" t="inlineStr">
        <is>
          <t>张晨睿</t>
        </is>
      </c>
      <c r="D287" s="1074" t="inlineStr">
        <is>
          <t>杨林33</t>
        </is>
      </c>
      <c r="E287" s="1074" t="inlineStr">
        <is>
          <t>新生转介绍</t>
        </is>
      </c>
      <c r="F287" s="1074" t="n"/>
      <c r="G287" s="1074" t="inlineStr">
        <is>
          <t>符钧豪</t>
        </is>
      </c>
      <c r="H287" s="1074" t="inlineStr">
        <is>
          <t>退费</t>
        </is>
      </c>
      <c r="I287" s="1074" t="inlineStr">
        <is>
          <t>-</t>
        </is>
      </c>
      <c r="J287" s="1074" t="inlineStr">
        <is>
          <t>3132884</t>
        </is>
      </c>
      <c r="K287" s="1074" t="inlineStr">
        <is>
          <t>报前测成绩</t>
        </is>
      </c>
      <c r="L287" s="1074" t="n">
        <v>80</v>
      </c>
      <c r="M287" s="1074" t="inlineStr">
        <is>
          <t>-</t>
        </is>
      </c>
      <c r="N287" s="1074" t="inlineStr">
        <is>
          <t>田雨涵01</t>
        </is>
      </c>
      <c r="O287" s="1074" t="inlineStr">
        <is>
          <t>教室3</t>
        </is>
      </c>
      <c r="P287" s="1074" t="inlineStr">
        <is>
          <t>13:20-15:30</t>
        </is>
      </c>
      <c r="Q287" s="1074" t="inlineStr">
        <is>
          <t>潜能班</t>
        </is>
      </c>
      <c r="R287" s="1074" t="inlineStr">
        <is>
          <t>零期</t>
        </is>
      </c>
      <c r="S287" s="1074" t="inlineStr">
        <is>
          <t>课前退</t>
        </is>
      </c>
      <c r="T287" s="1074" t="inlineStr">
        <is>
          <t>-</t>
        </is>
      </c>
      <c r="U287" s="1074" t="inlineStr">
        <is>
          <t>4513265</t>
        </is>
      </c>
      <c r="V287" s="1074" t="n">
        <v>30</v>
      </c>
      <c r="W287" s="1074" t="inlineStr">
        <is>
          <t>李润</t>
        </is>
      </c>
      <c r="X287" s="1074" t="inlineStr">
        <is>
          <t>教室3</t>
        </is>
      </c>
      <c r="Y287" s="1074" t="inlineStr">
        <is>
          <t>10:20-12:30</t>
        </is>
      </c>
      <c r="Z287" s="1074" t="inlineStr">
        <is>
          <t>潜能班</t>
        </is>
      </c>
      <c r="AA287" s="1074" t="inlineStr">
        <is>
          <t>零期</t>
        </is>
      </c>
      <c r="AB287" s="1074" t="inlineStr">
        <is>
          <t>课前退</t>
        </is>
      </c>
      <c r="AC287" s="1074" t="inlineStr">
        <is>
          <t>-</t>
        </is>
      </c>
      <c r="AD287" s="1074" t="inlineStr">
        <is>
          <t>5230723</t>
        </is>
      </c>
      <c r="AE287" s="1074" t="n">
        <v>31</v>
      </c>
      <c r="AF287" s="1074" t="inlineStr">
        <is>
          <t>肖锐03</t>
        </is>
      </c>
      <c r="AG287" s="1074" t="inlineStr">
        <is>
          <t>教室3</t>
        </is>
      </c>
      <c r="AH287" s="1074" t="inlineStr">
        <is>
          <t>15:50-18:00</t>
        </is>
      </c>
      <c r="AI287" s="1074" t="inlineStr">
        <is>
          <t>潜能班</t>
        </is>
      </c>
      <c r="AJ287" s="1074" t="inlineStr">
        <is>
          <t>零期</t>
        </is>
      </c>
      <c r="AK287" s="1074" t="inlineStr">
        <is>
          <t>课前退</t>
        </is>
      </c>
      <c r="AL287" s="1074" t="inlineStr">
        <is>
          <t>-</t>
        </is>
      </c>
      <c r="AM287" s="1074" t="n"/>
      <c r="AN287" s="1074" t="n"/>
      <c r="AO287" s="1074" t="n"/>
      <c r="AP287" s="1074" t="n"/>
      <c r="AQ287" s="1074" t="n"/>
      <c r="AR287" s="1074" t="inlineStr">
        <is>
          <t>A</t>
        </is>
      </c>
      <c r="AS287" s="1074" t="inlineStr">
        <is>
          <t>支付能力OK，比较看重孩子的感受，教育理念不错的，很重视孩子的教育</t>
        </is>
      </c>
      <c r="AT287" s="311" t="n"/>
    </row>
    <row r="288" ht="26.25" customFormat="1" customHeight="1" s="366">
      <c r="A288" s="1074" t="inlineStr">
        <is>
          <t>新宝利</t>
        </is>
      </c>
      <c r="B288" s="1074" t="inlineStr">
        <is>
          <t>2780082407</t>
        </is>
      </c>
      <c r="C288" s="1074" t="inlineStr">
        <is>
          <t>赖信雅</t>
        </is>
      </c>
      <c r="D288" s="1074" t="inlineStr">
        <is>
          <t>沈思浩</t>
        </is>
      </c>
      <c r="E288" s="1074" t="inlineStr">
        <is>
          <t>纯拉新</t>
        </is>
      </c>
      <c r="F288" s="1074" t="inlineStr">
        <is>
          <t>爸爸是新东方市场渠道负责人，拒绝线下诊断。大概率是咨单获取情报</t>
        </is>
      </c>
      <c r="G288" s="1074" t="n"/>
      <c r="H288" s="1074" t="inlineStr">
        <is>
          <t>在读</t>
        </is>
      </c>
      <c r="I288" s="1074" t="inlineStr">
        <is>
          <t>一期</t>
        </is>
      </c>
      <c r="J288" s="1074" t="inlineStr">
        <is>
          <t>5230742</t>
        </is>
      </c>
      <c r="K288" s="1074" t="inlineStr">
        <is>
          <t>校内成绩</t>
        </is>
      </c>
      <c r="L288" s="1074" t="n">
        <v>60</v>
      </c>
      <c r="M288" s="1074" t="n">
        <v>80</v>
      </c>
      <c r="N288" s="1074" t="inlineStr">
        <is>
          <t>何咏04</t>
        </is>
      </c>
      <c r="O288" s="1074" t="inlineStr">
        <is>
          <t>教室2</t>
        </is>
      </c>
      <c r="P288" s="1074" t="inlineStr">
        <is>
          <t>13:20-15:30</t>
        </is>
      </c>
      <c r="Q288" s="1074" t="inlineStr">
        <is>
          <t>潜能班</t>
        </is>
      </c>
      <c r="R288" s="1074" t="inlineStr">
        <is>
          <t>一期</t>
        </is>
      </c>
      <c r="S288" s="1074" t="inlineStr">
        <is>
          <t>在读</t>
        </is>
      </c>
      <c r="T288" s="1074" t="inlineStr">
        <is>
          <t>-</t>
        </is>
      </c>
      <c r="U288" s="1074" t="inlineStr">
        <is>
          <t>5230773</t>
        </is>
      </c>
      <c r="V288" s="1074" t="n">
        <v>0</v>
      </c>
      <c r="W288" s="1074" t="inlineStr">
        <is>
          <t>陈南05</t>
        </is>
      </c>
      <c r="X288" s="1074" t="inlineStr">
        <is>
          <t>教室2</t>
        </is>
      </c>
      <c r="Y288" s="1074" t="inlineStr">
        <is>
          <t>15:50-18:00</t>
        </is>
      </c>
      <c r="Z288" s="1074" t="inlineStr">
        <is>
          <t>潜能班</t>
        </is>
      </c>
      <c r="AA288" s="1074" t="inlineStr">
        <is>
          <t>一期</t>
        </is>
      </c>
      <c r="AB288" s="1074" t="inlineStr">
        <is>
          <t>在读</t>
        </is>
      </c>
      <c r="AC288" s="1074" t="inlineStr">
        <is>
          <t>-</t>
        </is>
      </c>
      <c r="AD288" s="1074" t="inlineStr">
        <is>
          <t>3132888</t>
        </is>
      </c>
      <c r="AE288" s="1074" t="n">
        <v>0</v>
      </c>
      <c r="AF288" s="1074" t="inlineStr">
        <is>
          <t>肖锐03</t>
        </is>
      </c>
      <c r="AG288" s="1074" t="inlineStr">
        <is>
          <t>教室2</t>
        </is>
      </c>
      <c r="AH288" s="1074" t="inlineStr">
        <is>
          <t>10:20-12:30</t>
        </is>
      </c>
      <c r="AI288" s="1074" t="inlineStr">
        <is>
          <t>潜能班</t>
        </is>
      </c>
      <c r="AJ288" s="1074" t="inlineStr">
        <is>
          <t>一期</t>
        </is>
      </c>
      <c r="AK288" s="1074" t="inlineStr">
        <is>
          <t>在读</t>
        </is>
      </c>
      <c r="AL288" s="1074" t="inlineStr">
        <is>
          <t>-</t>
        </is>
      </c>
      <c r="AM288" s="1074" t="n"/>
      <c r="AN288" s="1074" t="n"/>
      <c r="AO288" s="1074" t="n"/>
      <c r="AP288" s="1074" t="n"/>
      <c r="AQ288" s="1074" t="n"/>
      <c r="AR288" s="1074" t="inlineStr">
        <is>
          <t>S</t>
        </is>
      </c>
      <c r="AS288" s="1074" t="inlineStr">
        <is>
          <t>主动咨询秋季课程</t>
        </is>
      </c>
      <c r="AT288" s="311" t="n"/>
    </row>
    <row r="289" ht="26.25" customFormat="1" customHeight="1" s="366">
      <c r="A289" s="1074" t="inlineStr">
        <is>
          <t>新宝利</t>
        </is>
      </c>
      <c r="B289" s="1074" t="inlineStr">
        <is>
          <t>2562161214</t>
        </is>
      </c>
      <c r="C289" s="1074" t="inlineStr">
        <is>
          <t>罗蕴欣</t>
        </is>
      </c>
      <c r="D289" s="1074" t="inlineStr">
        <is>
          <t>陈亮延</t>
        </is>
      </c>
      <c r="E289" s="1074" t="inlineStr">
        <is>
          <t>纯拉新</t>
        </is>
      </c>
      <c r="F289" s="1074" t="n"/>
      <c r="G289" s="1074" t="n"/>
      <c r="H289" s="1074" t="inlineStr">
        <is>
          <t>在读</t>
        </is>
      </c>
      <c r="I289" s="1074" t="inlineStr">
        <is>
          <t>一期</t>
        </is>
      </c>
      <c r="J289" s="1074" t="inlineStr">
        <is>
          <t>5230742</t>
        </is>
      </c>
      <c r="K289" s="1074" t="inlineStr">
        <is>
          <t>报前测成绩</t>
        </is>
      </c>
      <c r="L289" s="1074" t="n">
        <v>77</v>
      </c>
      <c r="M289" s="1074" t="inlineStr">
        <is>
          <t>-</t>
        </is>
      </c>
      <c r="N289" s="1074" t="inlineStr">
        <is>
          <t>何咏04</t>
        </is>
      </c>
      <c r="O289" s="1074" t="inlineStr">
        <is>
          <t>教室2</t>
        </is>
      </c>
      <c r="P289" s="1074" t="inlineStr">
        <is>
          <t>13:20-15:30</t>
        </is>
      </c>
      <c r="Q289" s="1074" t="inlineStr">
        <is>
          <t>潜能班</t>
        </is>
      </c>
      <c r="R289" s="1074" t="inlineStr">
        <is>
          <t>一期</t>
        </is>
      </c>
      <c r="S289" s="1074" t="inlineStr">
        <is>
          <t>在读</t>
        </is>
      </c>
      <c r="T289" s="1074" t="inlineStr">
        <is>
          <t>-</t>
        </is>
      </c>
      <c r="U289" s="1074" t="inlineStr">
        <is>
          <t>5230773</t>
        </is>
      </c>
      <c r="V289" s="1074" t="n">
        <v>30</v>
      </c>
      <c r="W289" s="1074" t="inlineStr">
        <is>
          <t>陈南05</t>
        </is>
      </c>
      <c r="X289" s="1074" t="inlineStr">
        <is>
          <t>教室2</t>
        </is>
      </c>
      <c r="Y289" s="1074" t="inlineStr">
        <is>
          <t>15:50-18:00</t>
        </is>
      </c>
      <c r="Z289" s="1074" t="inlineStr">
        <is>
          <t>潜能班</t>
        </is>
      </c>
      <c r="AA289" s="1074" t="inlineStr">
        <is>
          <t>一期</t>
        </is>
      </c>
      <c r="AB289" s="1074" t="inlineStr">
        <is>
          <t>在读</t>
        </is>
      </c>
      <c r="AC289" s="1074" t="inlineStr">
        <is>
          <t>-</t>
        </is>
      </c>
      <c r="AD289" s="1074" t="inlineStr">
        <is>
          <t>3132888</t>
        </is>
      </c>
      <c r="AE289" s="1074" t="n">
        <v>31</v>
      </c>
      <c r="AF289" s="1074" t="inlineStr">
        <is>
          <t>肖锐03</t>
        </is>
      </c>
      <c r="AG289" s="1074" t="inlineStr">
        <is>
          <t>教室2</t>
        </is>
      </c>
      <c r="AH289" s="1074" t="inlineStr">
        <is>
          <t>10:20-12:30</t>
        </is>
      </c>
      <c r="AI289" s="1074" t="inlineStr">
        <is>
          <t>潜能班</t>
        </is>
      </c>
      <c r="AJ289" s="1074" t="inlineStr">
        <is>
          <t>一期</t>
        </is>
      </c>
      <c r="AK289" s="1074" t="inlineStr">
        <is>
          <t>在读</t>
        </is>
      </c>
      <c r="AL289" s="1074" t="inlineStr">
        <is>
          <t>-</t>
        </is>
      </c>
      <c r="AM289" s="1074" t="n"/>
      <c r="AN289" s="1074" t="n"/>
      <c r="AO289" s="1074" t="n"/>
      <c r="AP289" s="1074" t="n"/>
      <c r="AQ289" s="1074" t="n"/>
      <c r="AR289" s="1074" t="inlineStr">
        <is>
          <t>S</t>
        </is>
      </c>
      <c r="AS289" s="1074" t="inlineStr">
        <is>
          <t>家长课前询过过秋季安排，想体验暑假过后再决定</t>
        </is>
      </c>
      <c r="AT289" s="311" t="n"/>
    </row>
    <row r="290" ht="26.25" customFormat="1" customHeight="1" s="366">
      <c r="A290" s="1074" t="inlineStr">
        <is>
          <t>新宝利</t>
        </is>
      </c>
      <c r="B290" s="1074" t="inlineStr">
        <is>
          <t>4746323068</t>
        </is>
      </c>
      <c r="C290" s="1074" t="inlineStr">
        <is>
          <t>吴皓霖</t>
        </is>
      </c>
      <c r="D290" s="1074" t="inlineStr">
        <is>
          <t>杨林33</t>
        </is>
      </c>
      <c r="E290" s="1074" t="inlineStr">
        <is>
          <t>春季在读老生</t>
        </is>
      </c>
      <c r="F290" s="1074" t="n"/>
      <c r="G290" s="1074" t="n"/>
      <c r="H290" s="1074" t="inlineStr">
        <is>
          <t>在读</t>
        </is>
      </c>
      <c r="I290" s="1074" t="inlineStr">
        <is>
          <t>二期</t>
        </is>
      </c>
      <c r="J290" s="1074" t="inlineStr">
        <is>
          <t>4513341</t>
        </is>
      </c>
      <c r="K290" s="1074" t="inlineStr">
        <is>
          <t>报前测成绩</t>
        </is>
      </c>
      <c r="L290" s="1074" t="n">
        <v>65</v>
      </c>
      <c r="M290" s="1074" t="inlineStr">
        <is>
          <t>-</t>
        </is>
      </c>
      <c r="N290" s="1074" t="inlineStr">
        <is>
          <t>陈中帅</t>
        </is>
      </c>
      <c r="O290" s="1074" t="inlineStr">
        <is>
          <t>教室3</t>
        </is>
      </c>
      <c r="P290" s="1074" t="inlineStr">
        <is>
          <t>15:50-18:00</t>
        </is>
      </c>
      <c r="Q290" s="1074" t="inlineStr">
        <is>
          <t>启能班</t>
        </is>
      </c>
      <c r="R290" s="1074" t="inlineStr">
        <is>
          <t>二期</t>
        </is>
      </c>
      <c r="S290" s="1074" t="inlineStr">
        <is>
          <t>在读</t>
        </is>
      </c>
      <c r="T290" s="1074" t="inlineStr">
        <is>
          <t>是</t>
        </is>
      </c>
      <c r="U290" s="1074" t="inlineStr">
        <is>
          <t>-</t>
        </is>
      </c>
      <c r="V290" s="1074" t="inlineStr"/>
      <c r="W290" s="1074" t="inlineStr">
        <is>
          <t>-</t>
        </is>
      </c>
      <c r="X290" s="1074" t="inlineStr">
        <is>
          <t>-</t>
        </is>
      </c>
      <c r="Y290" s="1074" t="inlineStr">
        <is>
          <t>-</t>
        </is>
      </c>
      <c r="Z290" s="1074" t="inlineStr">
        <is>
          <t>-</t>
        </is>
      </c>
      <c r="AA290" s="1074" t="inlineStr">
        <is>
          <t>-</t>
        </is>
      </c>
      <c r="AB290" s="1074" t="inlineStr">
        <is>
          <t>-</t>
        </is>
      </c>
      <c r="AC290" s="1074" t="inlineStr">
        <is>
          <t>-</t>
        </is>
      </c>
      <c r="AD290" s="1074" t="inlineStr">
        <is>
          <t>5230738</t>
        </is>
      </c>
      <c r="AE290" s="1074" t="n">
        <v>26</v>
      </c>
      <c r="AF290" s="1074" t="inlineStr">
        <is>
          <t>高心怡04</t>
        </is>
      </c>
      <c r="AG290" s="1074" t="inlineStr">
        <is>
          <t>教室3</t>
        </is>
      </c>
      <c r="AH290" s="1074" t="inlineStr">
        <is>
          <t>10:20-12:30</t>
        </is>
      </c>
      <c r="AI290" s="1074" t="inlineStr">
        <is>
          <t>潜能班</t>
        </is>
      </c>
      <c r="AJ290" s="1074" t="inlineStr">
        <is>
          <t>二期</t>
        </is>
      </c>
      <c r="AK290" s="1074" t="inlineStr">
        <is>
          <t>在读</t>
        </is>
      </c>
      <c r="AL290" s="1074" t="inlineStr">
        <is>
          <t>是</t>
        </is>
      </c>
      <c r="AM290" s="1074" t="n"/>
      <c r="AN290" s="1074" t="n"/>
      <c r="AO290" s="1074" t="n"/>
      <c r="AP290" s="1074" t="n"/>
      <c r="AQ290" s="1074" t="n"/>
      <c r="AR290" s="1074" t="n"/>
      <c r="AS290" s="1074" t="n"/>
      <c r="AT290" s="311" t="n"/>
    </row>
    <row r="291" ht="26.25" customFormat="1" customHeight="1" s="366">
      <c r="A291" s="1074" t="inlineStr">
        <is>
          <t>新宝利</t>
        </is>
      </c>
      <c r="B291" s="1074" t="inlineStr">
        <is>
          <t>2284879023</t>
        </is>
      </c>
      <c r="C291" s="1074" t="inlineStr">
        <is>
          <t>严婉宁</t>
        </is>
      </c>
      <c r="D291" s="1074" t="inlineStr">
        <is>
          <t>王达04</t>
        </is>
      </c>
      <c r="E291" s="1074" t="inlineStr">
        <is>
          <t>纯拉新</t>
        </is>
      </c>
      <c r="F291" s="1074" t="n"/>
      <c r="G291" s="1074" t="n"/>
      <c r="H291" s="1074" t="inlineStr">
        <is>
          <t>在读</t>
        </is>
      </c>
      <c r="I291" s="1074" t="inlineStr">
        <is>
          <t>一期</t>
        </is>
      </c>
      <c r="J291" s="1074" t="inlineStr">
        <is>
          <t>5230742</t>
        </is>
      </c>
      <c r="K291" s="1074" t="inlineStr">
        <is>
          <t>报前测成绩</t>
        </is>
      </c>
      <c r="L291" s="1074" t="n">
        <v>86</v>
      </c>
      <c r="M291" s="1074" t="inlineStr">
        <is>
          <t>-</t>
        </is>
      </c>
      <c r="N291" s="1074" t="inlineStr">
        <is>
          <t>何咏04</t>
        </is>
      </c>
      <c r="O291" s="1074" t="inlineStr">
        <is>
          <t>教室2</t>
        </is>
      </c>
      <c r="P291" s="1074" t="inlineStr">
        <is>
          <t>13:20-15:30</t>
        </is>
      </c>
      <c r="Q291" s="1074" t="inlineStr">
        <is>
          <t>潜能班</t>
        </is>
      </c>
      <c r="R291" s="1074" t="inlineStr">
        <is>
          <t>一期</t>
        </is>
      </c>
      <c r="S291" s="1074" t="inlineStr">
        <is>
          <t>在读</t>
        </is>
      </c>
      <c r="T291" s="1074" t="inlineStr">
        <is>
          <t>-</t>
        </is>
      </c>
      <c r="U291" s="1074" t="inlineStr">
        <is>
          <t>5230773</t>
        </is>
      </c>
      <c r="V291" s="1074" t="n">
        <v>38</v>
      </c>
      <c r="W291" s="1074" t="inlineStr">
        <is>
          <t>陈南05</t>
        </is>
      </c>
      <c r="X291" s="1074" t="inlineStr">
        <is>
          <t>教室2</t>
        </is>
      </c>
      <c r="Y291" s="1074" t="inlineStr">
        <is>
          <t>15:50-18:00</t>
        </is>
      </c>
      <c r="Z291" s="1074" t="inlineStr">
        <is>
          <t>潜能班</t>
        </is>
      </c>
      <c r="AA291" s="1074" t="inlineStr">
        <is>
          <t>一期</t>
        </is>
      </c>
      <c r="AB291" s="1074" t="inlineStr">
        <is>
          <t>在读</t>
        </is>
      </c>
      <c r="AC291" s="1074" t="inlineStr">
        <is>
          <t>-</t>
        </is>
      </c>
      <c r="AD291" s="1074" t="inlineStr">
        <is>
          <t>3132888</t>
        </is>
      </c>
      <c r="AE291" s="1074" t="n">
        <v>39</v>
      </c>
      <c r="AF291" s="1074" t="inlineStr">
        <is>
          <t>肖锐03</t>
        </is>
      </c>
      <c r="AG291" s="1074" t="inlineStr">
        <is>
          <t>教室2</t>
        </is>
      </c>
      <c r="AH291" s="1074" t="inlineStr">
        <is>
          <t>10:20-12:30</t>
        </is>
      </c>
      <c r="AI291" s="1074" t="inlineStr">
        <is>
          <t>潜能班</t>
        </is>
      </c>
      <c r="AJ291" s="1074" t="inlineStr">
        <is>
          <t>一期</t>
        </is>
      </c>
      <c r="AK291" s="1074" t="inlineStr">
        <is>
          <t>在读</t>
        </is>
      </c>
      <c r="AL291" s="1074" t="inlineStr">
        <is>
          <t>-</t>
        </is>
      </c>
      <c r="AM291" s="1074" t="n"/>
      <c r="AN291" s="1074" t="n"/>
      <c r="AO291" s="1074" t="n"/>
      <c r="AP291" s="1074" t="n"/>
      <c r="AQ291" s="1074" t="n"/>
      <c r="AR291" s="1074" t="n"/>
      <c r="AS291" s="1074" t="n"/>
      <c r="AT291" s="311" t="n"/>
    </row>
    <row r="292" ht="26.25" customFormat="1" customHeight="1" s="366">
      <c r="A292" s="1074" t="inlineStr">
        <is>
          <t>新宝利</t>
        </is>
      </c>
      <c r="B292" s="1074" t="inlineStr">
        <is>
          <t>2338410975</t>
        </is>
      </c>
      <c r="C292" s="1074" t="inlineStr">
        <is>
          <t>张思宇</t>
        </is>
      </c>
      <c r="D292" s="1074" t="inlineStr">
        <is>
          <t>王达04</t>
        </is>
      </c>
      <c r="E292" s="1074" t="inlineStr">
        <is>
          <t>纯拉新</t>
        </is>
      </c>
      <c r="F292" s="1074" t="n"/>
      <c r="G292" s="1074" t="n"/>
      <c r="H292" s="1074" t="inlineStr">
        <is>
          <t>在读</t>
        </is>
      </c>
      <c r="I292" s="1074" t="inlineStr">
        <is>
          <t>三期</t>
        </is>
      </c>
      <c r="J292" s="1074" t="inlineStr">
        <is>
          <t>3132902</t>
        </is>
      </c>
      <c r="K292" s="1074" t="inlineStr">
        <is>
          <t>报前测成绩</t>
        </is>
      </c>
      <c r="L292" s="1074" t="n">
        <v>80</v>
      </c>
      <c r="M292" s="1074" t="inlineStr">
        <is>
          <t>-</t>
        </is>
      </c>
      <c r="N292" s="1074" t="inlineStr">
        <is>
          <t>陈中帅</t>
        </is>
      </c>
      <c r="O292" s="1074" t="inlineStr">
        <is>
          <t>教室3</t>
        </is>
      </c>
      <c r="P292" s="1074" t="inlineStr">
        <is>
          <t>13:20-15:30</t>
        </is>
      </c>
      <c r="Q292" s="1074" t="inlineStr">
        <is>
          <t>潜能班</t>
        </is>
      </c>
      <c r="R292" s="1074" t="inlineStr">
        <is>
          <t>三期</t>
        </is>
      </c>
      <c r="S292" s="1074" t="inlineStr">
        <is>
          <t>在读</t>
        </is>
      </c>
      <c r="T292" s="1074" t="inlineStr">
        <is>
          <t>-</t>
        </is>
      </c>
      <c r="U292" s="1074" t="inlineStr">
        <is>
          <t>5230747</t>
        </is>
      </c>
      <c r="V292" s="1074" t="n">
        <v>32</v>
      </c>
      <c r="W292" s="1074" t="inlineStr">
        <is>
          <t>陈南05</t>
        </is>
      </c>
      <c r="X292" s="1074" t="inlineStr">
        <is>
          <t>教室3</t>
        </is>
      </c>
      <c r="Y292" s="1074" t="inlineStr">
        <is>
          <t>10:20-12:30</t>
        </is>
      </c>
      <c r="Z292" s="1074" t="inlineStr">
        <is>
          <t>潜能班</t>
        </is>
      </c>
      <c r="AA292" s="1074" t="inlineStr">
        <is>
          <t>三期</t>
        </is>
      </c>
      <c r="AB292" s="1074" t="inlineStr">
        <is>
          <t>在读</t>
        </is>
      </c>
      <c r="AC292" s="1074" t="inlineStr">
        <is>
          <t>-</t>
        </is>
      </c>
      <c r="AD292" s="1074" t="inlineStr">
        <is>
          <t>5230821</t>
        </is>
      </c>
      <c r="AE292" s="1074" t="n">
        <v>25.5</v>
      </c>
      <c r="AF292" s="1074" t="inlineStr">
        <is>
          <t>肖锐03</t>
        </is>
      </c>
      <c r="AG292" s="1074" t="inlineStr">
        <is>
          <t>教室3</t>
        </is>
      </c>
      <c r="AH292" s="1074" t="inlineStr">
        <is>
          <t>15:50-18:00</t>
        </is>
      </c>
      <c r="AI292" s="1074" t="inlineStr">
        <is>
          <t>潜能班</t>
        </is>
      </c>
      <c r="AJ292" s="1074" t="inlineStr">
        <is>
          <t>三期</t>
        </is>
      </c>
      <c r="AK292" s="1074" t="inlineStr">
        <is>
          <t>在读</t>
        </is>
      </c>
      <c r="AL292" s="1074" t="inlineStr">
        <is>
          <t>-</t>
        </is>
      </c>
      <c r="AM292" s="1074" t="n"/>
      <c r="AN292" s="1074" t="n"/>
      <c r="AO292" s="1074" t="n"/>
      <c r="AP292" s="1074" t="n"/>
      <c r="AQ292" s="1074" t="n"/>
      <c r="AR292" s="1074" t="inlineStr">
        <is>
          <t>A</t>
        </is>
      </c>
      <c r="AS292" s="1074" t="inlineStr">
        <is>
          <t>转介绍学员，家长有提前规划意识</t>
        </is>
      </c>
      <c r="AT292" s="311" t="n"/>
    </row>
    <row r="293" ht="26.25" customFormat="1" customHeight="1" s="366">
      <c r="A293" s="1074" t="inlineStr">
        <is>
          <t>新宝利</t>
        </is>
      </c>
      <c r="B293" s="1074" t="inlineStr">
        <is>
          <t>2356540819</t>
        </is>
      </c>
      <c r="C293" s="1074" t="inlineStr">
        <is>
          <t>黄歆越</t>
        </is>
      </c>
      <c r="D293" s="1074" t="inlineStr">
        <is>
          <t>杨林33</t>
        </is>
      </c>
      <c r="E293" s="1074" t="inlineStr">
        <is>
          <t>反复低价</t>
        </is>
      </c>
      <c r="F293" s="1074" t="inlineStr">
        <is>
          <t>从5年级到初一，只报低价课</t>
        </is>
      </c>
      <c r="G293" s="1074" t="n"/>
      <c r="H293" s="1074" t="inlineStr">
        <is>
          <t>在读</t>
        </is>
      </c>
      <c r="I293" s="1074" t="inlineStr">
        <is>
          <t>零期</t>
        </is>
      </c>
      <c r="J293" s="1074" t="inlineStr">
        <is>
          <t>3132884</t>
        </is>
      </c>
      <c r="K293" s="1074" t="inlineStr">
        <is>
          <t>报前测成绩</t>
        </is>
      </c>
      <c r="L293" s="1074" t="n">
        <v>26</v>
      </c>
      <c r="M293" s="1074" t="inlineStr">
        <is>
          <t>-</t>
        </is>
      </c>
      <c r="N293" s="1074" t="inlineStr">
        <is>
          <t>田雨涵01</t>
        </is>
      </c>
      <c r="O293" s="1074" t="inlineStr">
        <is>
          <t>教室3</t>
        </is>
      </c>
      <c r="P293" s="1074" t="inlineStr">
        <is>
          <t>13:20-15:30</t>
        </is>
      </c>
      <c r="Q293" s="1074" t="inlineStr">
        <is>
          <t>潜能班</t>
        </is>
      </c>
      <c r="R293" s="1074" t="inlineStr">
        <is>
          <t>零期</t>
        </is>
      </c>
      <c r="S293" s="1074" t="inlineStr">
        <is>
          <t>在读</t>
        </is>
      </c>
      <c r="T293" s="1074" t="inlineStr">
        <is>
          <t>-</t>
        </is>
      </c>
      <c r="U293" s="1074" t="inlineStr">
        <is>
          <t>4513265</t>
        </is>
      </c>
      <c r="V293" s="1074" t="n">
        <v>31</v>
      </c>
      <c r="W293" s="1074" t="inlineStr">
        <is>
          <t>李润</t>
        </is>
      </c>
      <c r="X293" s="1074" t="inlineStr">
        <is>
          <t>教室3</t>
        </is>
      </c>
      <c r="Y293" s="1074" t="inlineStr">
        <is>
          <t>10:20-12:30</t>
        </is>
      </c>
      <c r="Z293" s="1074" t="inlineStr">
        <is>
          <t>潜能班</t>
        </is>
      </c>
      <c r="AA293" s="1074" t="inlineStr">
        <is>
          <t>零期</t>
        </is>
      </c>
      <c r="AB293" s="1074" t="inlineStr">
        <is>
          <t>在读</t>
        </is>
      </c>
      <c r="AC293" s="1074" t="inlineStr">
        <is>
          <t>-</t>
        </is>
      </c>
      <c r="AD293" s="1074" t="inlineStr">
        <is>
          <t>5230723</t>
        </is>
      </c>
      <c r="AE293" s="1074" t="n">
        <v>38</v>
      </c>
      <c r="AF293" s="1074" t="inlineStr">
        <is>
          <t>肖锐03</t>
        </is>
      </c>
      <c r="AG293" s="1074" t="inlineStr">
        <is>
          <t>教室3</t>
        </is>
      </c>
      <c r="AH293" s="1074" t="inlineStr">
        <is>
          <t>15:50-18:00</t>
        </is>
      </c>
      <c r="AI293" s="1074" t="inlineStr">
        <is>
          <t>潜能班</t>
        </is>
      </c>
      <c r="AJ293" s="1074" t="inlineStr">
        <is>
          <t>零期</t>
        </is>
      </c>
      <c r="AK293" s="1074" t="inlineStr">
        <is>
          <t>在读</t>
        </is>
      </c>
      <c r="AL293" s="1074" t="inlineStr">
        <is>
          <t>-</t>
        </is>
      </c>
      <c r="AM293" s="1074" t="inlineStr">
        <is>
          <t>是</t>
        </is>
      </c>
      <c r="AN293" s="1074" t="inlineStr">
        <is>
          <t>是</t>
        </is>
      </c>
      <c r="AO293" s="1074" t="inlineStr">
        <is>
          <t>是</t>
        </is>
      </c>
      <c r="AP293" s="1074" t="n"/>
      <c r="AQ293" s="1074" t="n"/>
      <c r="AR293" s="1074" t="inlineStr">
        <is>
          <t>S</t>
        </is>
      </c>
      <c r="AS293" s="1074" t="inlineStr">
        <is>
          <t>妈妈教育理念比较重视，支付能力OK，之前报过长期班，后续因为换师频繁退费了</t>
        </is>
      </c>
      <c r="AT293" s="311" t="n"/>
    </row>
    <row r="294" ht="26.25" customFormat="1" customHeight="1" s="366">
      <c r="A294" s="1074" t="inlineStr">
        <is>
          <t>新宝利</t>
        </is>
      </c>
      <c r="B294" s="1074" t="inlineStr">
        <is>
          <t>4823986037</t>
        </is>
      </c>
      <c r="C294" s="1074" t="inlineStr">
        <is>
          <t>郭诗颖</t>
        </is>
      </c>
      <c r="D294" s="1074" t="inlineStr">
        <is>
          <t>张敏烨</t>
        </is>
      </c>
      <c r="E294" s="1074" t="inlineStr">
        <is>
          <t>纯拉新</t>
        </is>
      </c>
      <c r="F294" s="1074" t="n"/>
      <c r="G294" s="1074" t="n"/>
      <c r="H294" s="1074" t="inlineStr">
        <is>
          <t>在读</t>
        </is>
      </c>
      <c r="I294" s="1074" t="inlineStr">
        <is>
          <t>一期</t>
        </is>
      </c>
      <c r="J294" s="1074" t="inlineStr">
        <is>
          <t>5230732</t>
        </is>
      </c>
      <c r="K294" s="1074" t="inlineStr">
        <is>
          <t>报前测成绩</t>
        </is>
      </c>
      <c r="L294" s="1074" t="n">
        <v>88</v>
      </c>
      <c r="M294" s="1074" t="inlineStr">
        <is>
          <t>-</t>
        </is>
      </c>
      <c r="N294" s="1074" t="inlineStr">
        <is>
          <t>何咏04</t>
        </is>
      </c>
      <c r="O294" s="1074" t="inlineStr">
        <is>
          <t>教室3</t>
        </is>
      </c>
      <c r="P294" s="1074" t="inlineStr">
        <is>
          <t>10:30-12:40</t>
        </is>
      </c>
      <c r="Q294" s="1074" t="inlineStr">
        <is>
          <t>启能班</t>
        </is>
      </c>
      <c r="R294" s="1074" t="inlineStr">
        <is>
          <t>一期</t>
        </is>
      </c>
      <c r="S294" s="1074" t="inlineStr">
        <is>
          <t>在读</t>
        </is>
      </c>
      <c r="T294" s="1074" t="inlineStr">
        <is>
          <t>-</t>
        </is>
      </c>
      <c r="U294" s="1074" t="inlineStr">
        <is>
          <t>5170706</t>
        </is>
      </c>
      <c r="V294" s="1074" t="n">
        <v>32</v>
      </c>
      <c r="W294" s="1074" t="inlineStr">
        <is>
          <t>李润</t>
        </is>
      </c>
      <c r="X294" s="1074" t="inlineStr">
        <is>
          <t>教室3</t>
        </is>
      </c>
      <c r="Y294" s="1074" t="inlineStr">
        <is>
          <t>13:20-15:30</t>
        </is>
      </c>
      <c r="Z294" s="1074" t="inlineStr">
        <is>
          <t>潜能班</t>
        </is>
      </c>
      <c r="AA294" s="1074" t="inlineStr">
        <is>
          <t>一期</t>
        </is>
      </c>
      <c r="AB294" s="1074" t="inlineStr">
        <is>
          <t>在读</t>
        </is>
      </c>
      <c r="AC294" s="1074" t="inlineStr">
        <is>
          <t>-</t>
        </is>
      </c>
      <c r="AD294" s="1074" t="inlineStr">
        <is>
          <t>3132899</t>
        </is>
      </c>
      <c r="AE294" s="1074" t="n">
        <v>38</v>
      </c>
      <c r="AF294" s="1074" t="inlineStr">
        <is>
          <t>肖锐03</t>
        </is>
      </c>
      <c r="AG294" s="1074" t="inlineStr">
        <is>
          <t>教室3</t>
        </is>
      </c>
      <c r="AH294" s="1074" t="inlineStr">
        <is>
          <t>07:50-10:00</t>
        </is>
      </c>
      <c r="AI294" s="1074" t="inlineStr">
        <is>
          <t>潜能班</t>
        </is>
      </c>
      <c r="AJ294" s="1074" t="inlineStr">
        <is>
          <t>一期</t>
        </is>
      </c>
      <c r="AK294" s="1074" t="inlineStr">
        <is>
          <t>在读</t>
        </is>
      </c>
      <c r="AL294" s="1074" t="inlineStr">
        <is>
          <t>-</t>
        </is>
      </c>
      <c r="AM294" s="1074" t="n"/>
      <c r="AN294" s="1074" t="n"/>
      <c r="AO294" s="1074" t="n"/>
      <c r="AP294" s="1074" t="n"/>
      <c r="AQ294" s="1074" t="n"/>
      <c r="AR294" s="1074" t="inlineStr">
        <is>
          <t>A</t>
        </is>
      </c>
      <c r="AS294" s="1074" t="inlineStr">
        <is>
          <t>现场有了解秋季价格，觉得暑假划算，暑假看看效果再决定秋季</t>
        </is>
      </c>
      <c r="AT294" s="311" t="n"/>
    </row>
    <row r="295" ht="26.25" customFormat="1" customHeight="1" s="366">
      <c r="A295" s="1074" t="inlineStr">
        <is>
          <t>同创汇</t>
        </is>
      </c>
      <c r="B295" s="1074" t="inlineStr">
        <is>
          <t>2946163107</t>
        </is>
      </c>
      <c r="C295" s="1074" t="inlineStr">
        <is>
          <t>邱子轩</t>
        </is>
      </c>
      <c r="D295" s="1074" t="inlineStr">
        <is>
          <t>戎凯01</t>
        </is>
      </c>
      <c r="E295" s="1074" t="inlineStr">
        <is>
          <t>春季在读老生</t>
        </is>
      </c>
      <c r="F295" s="1074" t="n"/>
      <c r="G295" s="1074" t="n"/>
      <c r="H295" s="1074" t="inlineStr">
        <is>
          <t>在读</t>
        </is>
      </c>
      <c r="I295" s="1074" t="inlineStr">
        <is>
          <t>一期/二期</t>
        </is>
      </c>
      <c r="J295" s="1074" t="inlineStr">
        <is>
          <t>4513341</t>
        </is>
      </c>
      <c r="K295" s="1074" t="inlineStr">
        <is>
          <t>老师预估</t>
        </is>
      </c>
      <c r="L295" s="1074" t="n">
        <v>80</v>
      </c>
      <c r="M295" s="1074" t="inlineStr">
        <is>
          <t>-</t>
        </is>
      </c>
      <c r="N295" s="1074" t="inlineStr">
        <is>
          <t>陈中帅</t>
        </is>
      </c>
      <c r="O295" s="1074" t="inlineStr">
        <is>
          <t>教室3</t>
        </is>
      </c>
      <c r="P295" s="1074" t="inlineStr">
        <is>
          <t>15:50-18:00</t>
        </is>
      </c>
      <c r="Q295" s="1074" t="inlineStr">
        <is>
          <t>启能班</t>
        </is>
      </c>
      <c r="R295" s="1074" t="inlineStr">
        <is>
          <t>二期</t>
        </is>
      </c>
      <c r="S295" s="1074" t="inlineStr">
        <is>
          <t>在读</t>
        </is>
      </c>
      <c r="T295" s="1074" t="inlineStr">
        <is>
          <t>是</t>
        </is>
      </c>
      <c r="U295" s="1074" t="inlineStr">
        <is>
          <t>5230828</t>
        </is>
      </c>
      <c r="V295" s="1074" t="n">
        <v>0</v>
      </c>
      <c r="W295" s="1074" t="inlineStr">
        <is>
          <t>黄铭怡</t>
        </is>
      </c>
      <c r="X295" s="1074" t="inlineStr">
        <is>
          <t>01智慧林</t>
        </is>
      </c>
      <c r="Y295" s="1074" t="inlineStr">
        <is>
          <t>10:20-12:30</t>
        </is>
      </c>
      <c r="Z295" s="1074" t="inlineStr">
        <is>
          <t>潜能班</t>
        </is>
      </c>
      <c r="AA295" s="1074" t="inlineStr">
        <is>
          <t>一期</t>
        </is>
      </c>
      <c r="AB295" s="1074" t="inlineStr">
        <is>
          <t>在读</t>
        </is>
      </c>
      <c r="AC295" s="1074" t="inlineStr">
        <is>
          <t>是</t>
        </is>
      </c>
      <c r="AD295" s="1074" t="inlineStr">
        <is>
          <t>3132869</t>
        </is>
      </c>
      <c r="AE295" s="1074" t="n">
        <v>0</v>
      </c>
      <c r="AF295" s="1074" t="inlineStr">
        <is>
          <t>高心怡04</t>
        </is>
      </c>
      <c r="AG295" s="1074" t="inlineStr">
        <is>
          <t>01智慧林</t>
        </is>
      </c>
      <c r="AH295" s="1074" t="inlineStr">
        <is>
          <t>15:50-18:00</t>
        </is>
      </c>
      <c r="AI295" s="1074" t="inlineStr">
        <is>
          <t>潜能班</t>
        </is>
      </c>
      <c r="AJ295" s="1074" t="inlineStr">
        <is>
          <t>一期</t>
        </is>
      </c>
      <c r="AK295" s="1074" t="inlineStr">
        <is>
          <t>在读</t>
        </is>
      </c>
      <c r="AL295" s="1074" t="inlineStr">
        <is>
          <t>-</t>
        </is>
      </c>
      <c r="AM295" s="1074" t="n"/>
      <c r="AN295" s="1074" t="n"/>
      <c r="AO295" s="1074" t="n"/>
      <c r="AP295" s="1074" t="n"/>
      <c r="AQ295" s="1074" t="n"/>
      <c r="AR295" s="1074" t="inlineStr">
        <is>
          <t>S</t>
        </is>
      </c>
      <c r="AS295" s="1074" t="inlineStr">
        <is>
          <t>在读老生</t>
        </is>
      </c>
      <c r="AT295" s="311" t="n"/>
    </row>
    <row r="296" ht="26.25" customFormat="1" customHeight="1" s="366">
      <c r="A296" s="1074" t="inlineStr">
        <is>
          <t>新宝利</t>
        </is>
      </c>
      <c r="B296" s="1074" t="inlineStr">
        <is>
          <t>2718515302</t>
        </is>
      </c>
      <c r="C296" s="1074" t="inlineStr">
        <is>
          <t>陈霖锋</t>
        </is>
      </c>
      <c r="D296" s="1074" t="inlineStr">
        <is>
          <t>苏丽婷</t>
        </is>
      </c>
      <c r="E296" s="1074" t="inlineStr">
        <is>
          <t>纯拉新</t>
        </is>
      </c>
      <c r="F296" s="1074" t="n"/>
      <c r="G296" s="1074" t="n"/>
      <c r="H296" s="1074" t="inlineStr">
        <is>
          <t>在读</t>
        </is>
      </c>
      <c r="I296" s="1074" t="inlineStr">
        <is>
          <t>零期</t>
        </is>
      </c>
      <c r="J296" s="1074" t="inlineStr">
        <is>
          <t>-</t>
        </is>
      </c>
      <c r="K296" s="1074" t="inlineStr"/>
      <c r="L296" s="1074" t="inlineStr"/>
      <c r="M296" s="1074" t="inlineStr"/>
      <c r="N296" s="1074" t="inlineStr">
        <is>
          <t>-</t>
        </is>
      </c>
      <c r="O296" s="1074" t="inlineStr">
        <is>
          <t>-</t>
        </is>
      </c>
      <c r="P296" s="1074" t="inlineStr">
        <is>
          <t>-</t>
        </is>
      </c>
      <c r="Q296" s="1074" t="inlineStr">
        <is>
          <t>-</t>
        </is>
      </c>
      <c r="R296" s="1074" t="inlineStr">
        <is>
          <t>-</t>
        </is>
      </c>
      <c r="S296" s="1074" t="inlineStr">
        <is>
          <t>-</t>
        </is>
      </c>
      <c r="T296" s="1074" t="inlineStr">
        <is>
          <t>-</t>
        </is>
      </c>
      <c r="U296" s="1074" t="inlineStr">
        <is>
          <t>3132859</t>
        </is>
      </c>
      <c r="V296" s="1074" t="n">
        <v>0</v>
      </c>
      <c r="W296" s="1074" t="inlineStr">
        <is>
          <t>黄铭怡</t>
        </is>
      </c>
      <c r="X296" s="1074" t="inlineStr">
        <is>
          <t>教室2</t>
        </is>
      </c>
      <c r="Y296" s="1074" t="inlineStr">
        <is>
          <t>10:20-12:30</t>
        </is>
      </c>
      <c r="Z296" s="1074" t="inlineStr">
        <is>
          <t>潜能班</t>
        </is>
      </c>
      <c r="AA296" s="1074" t="inlineStr">
        <is>
          <t>零期</t>
        </is>
      </c>
      <c r="AB296" s="1074" t="inlineStr">
        <is>
          <t>在读</t>
        </is>
      </c>
      <c r="AC296" s="1074" t="inlineStr">
        <is>
          <t>-</t>
        </is>
      </c>
      <c r="AD296" s="1074" t="inlineStr">
        <is>
          <t>-</t>
        </is>
      </c>
      <c r="AE296" s="1074" t="inlineStr"/>
      <c r="AF296" s="1074" t="inlineStr">
        <is>
          <t>-</t>
        </is>
      </c>
      <c r="AG296" s="1074" t="inlineStr">
        <is>
          <t>-</t>
        </is>
      </c>
      <c r="AH296" s="1074" t="inlineStr">
        <is>
          <t>-</t>
        </is>
      </c>
      <c r="AI296" s="1074" t="inlineStr">
        <is>
          <t>-</t>
        </is>
      </c>
      <c r="AJ296" s="1074" t="inlineStr">
        <is>
          <t>-</t>
        </is>
      </c>
      <c r="AK296" s="1074" t="inlineStr">
        <is>
          <t>-</t>
        </is>
      </c>
      <c r="AL296" s="1074" t="inlineStr">
        <is>
          <t>-</t>
        </is>
      </c>
      <c r="AM296" s="1074" t="inlineStr">
        <is>
          <t>是</t>
        </is>
      </c>
      <c r="AN296" s="1074" t="inlineStr">
        <is>
          <t>是</t>
        </is>
      </c>
      <c r="AO296" s="1074" t="inlineStr">
        <is>
          <t>否</t>
        </is>
      </c>
      <c r="AP296" s="1074" t="n"/>
      <c r="AQ296" s="1074" t="n"/>
      <c r="AR296" s="1074" t="inlineStr">
        <is>
          <t>A</t>
        </is>
      </c>
      <c r="AS296" s="1074" t="inlineStr">
        <is>
          <t>有报课习惯，孩子基础很好，秋季的课程也在前期铺垫了一下</t>
        </is>
      </c>
      <c r="AT296" s="311" t="n"/>
    </row>
    <row r="297" ht="26.25" customFormat="1" customHeight="1" s="366">
      <c r="A297" s="1074" t="inlineStr">
        <is>
          <t>同创汇</t>
        </is>
      </c>
      <c r="B297" s="1074" t="inlineStr">
        <is>
          <t>4634094018</t>
        </is>
      </c>
      <c r="C297" s="1074" t="inlineStr">
        <is>
          <t>黄芷瑶</t>
        </is>
      </c>
      <c r="D297" s="1074" t="inlineStr">
        <is>
          <t>戎凯01</t>
        </is>
      </c>
      <c r="E297" s="1074" t="inlineStr">
        <is>
          <t>纯拉新</t>
        </is>
      </c>
      <c r="F297" s="1074" t="n"/>
      <c r="G297" s="1074" t="n"/>
      <c r="H297" s="1074" t="inlineStr">
        <is>
          <t>在读</t>
        </is>
      </c>
      <c r="I297" s="1074" t="inlineStr">
        <is>
          <t>零期</t>
        </is>
      </c>
      <c r="J297" s="1074" t="inlineStr">
        <is>
          <t>5230806</t>
        </is>
      </c>
      <c r="K297" s="1074" t="inlineStr">
        <is>
          <t>报前测成绩</t>
        </is>
      </c>
      <c r="L297" s="1074" t="n">
        <v>48</v>
      </c>
      <c r="M297" s="1074" t="inlineStr">
        <is>
          <t>-</t>
        </is>
      </c>
      <c r="N297" s="1074" t="inlineStr">
        <is>
          <t>田雨涵01</t>
        </is>
      </c>
      <c r="O297" s="1074" t="inlineStr">
        <is>
          <t>03识海阁</t>
        </is>
      </c>
      <c r="P297" s="1074" t="inlineStr">
        <is>
          <t>10:20-12:30</t>
        </is>
      </c>
      <c r="Q297" s="1074" t="inlineStr">
        <is>
          <t>潜能班</t>
        </is>
      </c>
      <c r="R297" s="1074" t="inlineStr">
        <is>
          <t>零期</t>
        </is>
      </c>
      <c r="S297" s="1074" t="inlineStr">
        <is>
          <t>课前退</t>
        </is>
      </c>
      <c r="T297" s="1074" t="inlineStr">
        <is>
          <t>-</t>
        </is>
      </c>
      <c r="U297" s="1074" t="inlineStr">
        <is>
          <t>5170872</t>
        </is>
      </c>
      <c r="V297" s="1074" t="n">
        <v>27</v>
      </c>
      <c r="W297" s="1074" t="inlineStr">
        <is>
          <t>陈南05</t>
        </is>
      </c>
      <c r="X297" s="1074" t="inlineStr">
        <is>
          <t>03识海阁</t>
        </is>
      </c>
      <c r="Y297" s="1074" t="inlineStr">
        <is>
          <t>13:20-15:30</t>
        </is>
      </c>
      <c r="Z297" s="1074" t="inlineStr">
        <is>
          <t>潜能班</t>
        </is>
      </c>
      <c r="AA297" s="1074" t="inlineStr">
        <is>
          <t>零期</t>
        </is>
      </c>
      <c r="AB297" s="1074" t="inlineStr">
        <is>
          <t>在读</t>
        </is>
      </c>
      <c r="AC297" s="1074" t="inlineStr">
        <is>
          <t>-</t>
        </is>
      </c>
      <c r="AD297" s="1074" t="inlineStr">
        <is>
          <t>5230765</t>
        </is>
      </c>
      <c r="AE297" s="1074" t="n">
        <v>31</v>
      </c>
      <c r="AF297" s="1074" t="inlineStr">
        <is>
          <t>刘希子</t>
        </is>
      </c>
      <c r="AG297" s="1074" t="inlineStr">
        <is>
          <t>02彩虹桥</t>
        </is>
      </c>
      <c r="AH297" s="1074" t="inlineStr">
        <is>
          <t>10:20-12:30</t>
        </is>
      </c>
      <c r="AI297" s="1074" t="inlineStr">
        <is>
          <t>潜能班</t>
        </is>
      </c>
      <c r="AJ297" s="1074" t="inlineStr">
        <is>
          <t>零期</t>
        </is>
      </c>
      <c r="AK297" s="1074" t="inlineStr">
        <is>
          <t>在读</t>
        </is>
      </c>
      <c r="AL297" s="1074" t="inlineStr">
        <is>
          <t>-</t>
        </is>
      </c>
      <c r="AM297" s="1074" t="inlineStr">
        <is>
          <t>是</t>
        </is>
      </c>
      <c r="AN297" s="1074" t="inlineStr">
        <is>
          <t>否</t>
        </is>
      </c>
      <c r="AO297" s="1074" t="inlineStr">
        <is>
          <t>否</t>
        </is>
      </c>
      <c r="AP297" s="1074" t="n"/>
      <c r="AQ297" s="1074" t="n"/>
      <c r="AR297" s="1074" t="inlineStr">
        <is>
          <t>A</t>
        </is>
      </c>
      <c r="AS297" s="1074" t="inlineStr">
        <is>
          <t>妈妈看效果</t>
        </is>
      </c>
      <c r="AT297" s="311" t="n"/>
    </row>
    <row r="298" ht="26.25" customFormat="1" customHeight="1" s="366">
      <c r="A298" s="1074" t="inlineStr">
        <is>
          <t>同创汇</t>
        </is>
      </c>
      <c r="B298" s="1074" t="inlineStr">
        <is>
          <t>2731869099</t>
        </is>
      </c>
      <c r="C298" s="1074" t="inlineStr">
        <is>
          <t>周芷羽1</t>
        </is>
      </c>
      <c r="D298" s="1074" t="inlineStr">
        <is>
          <t>戎凯01</t>
        </is>
      </c>
      <c r="E298" s="1074" t="inlineStr">
        <is>
          <t>春季在读老生</t>
        </is>
      </c>
      <c r="F298" s="1074" t="n"/>
      <c r="G298" s="1074" t="n"/>
      <c r="H298" s="1074" t="inlineStr">
        <is>
          <t>在读</t>
        </is>
      </c>
      <c r="I298" s="1074" t="inlineStr">
        <is>
          <t>一期</t>
        </is>
      </c>
      <c r="J298" s="1074" t="inlineStr">
        <is>
          <t>5230719</t>
        </is>
      </c>
      <c r="K298" s="1074" t="inlineStr">
        <is>
          <t>老师预估</t>
        </is>
      </c>
      <c r="L298" s="1074" t="n">
        <v>70</v>
      </c>
      <c r="M298" s="1074" t="inlineStr">
        <is>
          <t>-</t>
        </is>
      </c>
      <c r="N298" s="1074" t="inlineStr">
        <is>
          <t>陈中帅</t>
        </is>
      </c>
      <c r="O298" s="1074" t="inlineStr">
        <is>
          <t>01智慧林</t>
        </is>
      </c>
      <c r="P298" s="1074" t="inlineStr">
        <is>
          <t>13:20-15:30</t>
        </is>
      </c>
      <c r="Q298" s="1074" t="inlineStr">
        <is>
          <t>启能班</t>
        </is>
      </c>
      <c r="R298" s="1074" t="inlineStr">
        <is>
          <t>一期</t>
        </is>
      </c>
      <c r="S298" s="1074" t="inlineStr">
        <is>
          <t>在读</t>
        </is>
      </c>
      <c r="T298" s="1074" t="inlineStr">
        <is>
          <t>是</t>
        </is>
      </c>
      <c r="U298" s="1074" t="inlineStr">
        <is>
          <t>5230828</t>
        </is>
      </c>
      <c r="V298" s="1074" t="n">
        <v>0</v>
      </c>
      <c r="W298" s="1074" t="inlineStr">
        <is>
          <t>黄铭怡</t>
        </is>
      </c>
      <c r="X298" s="1074" t="inlineStr">
        <is>
          <t>01智慧林</t>
        </is>
      </c>
      <c r="Y298" s="1074" t="inlineStr">
        <is>
          <t>10:20-12:30</t>
        </is>
      </c>
      <c r="Z298" s="1074" t="inlineStr">
        <is>
          <t>潜能班</t>
        </is>
      </c>
      <c r="AA298" s="1074" t="inlineStr">
        <is>
          <t>一期</t>
        </is>
      </c>
      <c r="AB298" s="1074" t="inlineStr">
        <is>
          <t>在读</t>
        </is>
      </c>
      <c r="AC298" s="1074" t="inlineStr">
        <is>
          <t>是</t>
        </is>
      </c>
      <c r="AD298" s="1074" t="inlineStr">
        <is>
          <t>3132869</t>
        </is>
      </c>
      <c r="AE298" s="1074" t="n">
        <v>0</v>
      </c>
      <c r="AF298" s="1074" t="inlineStr">
        <is>
          <t>高心怡04</t>
        </is>
      </c>
      <c r="AG298" s="1074" t="inlineStr">
        <is>
          <t>01智慧林</t>
        </is>
      </c>
      <c r="AH298" s="1074" t="inlineStr">
        <is>
          <t>15:50-18:00</t>
        </is>
      </c>
      <c r="AI298" s="1074" t="inlineStr">
        <is>
          <t>潜能班</t>
        </is>
      </c>
      <c r="AJ298" s="1074" t="inlineStr">
        <is>
          <t>一期</t>
        </is>
      </c>
      <c r="AK298" s="1074" t="inlineStr">
        <is>
          <t>在读</t>
        </is>
      </c>
      <c r="AL298" s="1074" t="inlineStr">
        <is>
          <t>是</t>
        </is>
      </c>
      <c r="AM298" s="1074" t="n"/>
      <c r="AN298" s="1074" t="n"/>
      <c r="AO298" s="1074" t="n"/>
      <c r="AP298" s="1074" t="n"/>
      <c r="AQ298" s="1074" t="n"/>
      <c r="AR298" s="1074" t="n"/>
      <c r="AS298" s="1074" t="n"/>
      <c r="AT298" s="311" t="n"/>
    </row>
    <row r="299" ht="26.25" customFormat="1" customHeight="1" s="366">
      <c r="A299" s="1074" t="inlineStr">
        <is>
          <t>同创汇</t>
        </is>
      </c>
      <c r="B299" s="1074" t="inlineStr">
        <is>
          <t>4279445279</t>
        </is>
      </c>
      <c r="C299" s="1074" t="inlineStr">
        <is>
          <t>黄佩仪</t>
        </is>
      </c>
      <c r="D299" s="1074" t="inlineStr">
        <is>
          <t>戎凯01</t>
        </is>
      </c>
      <c r="E299" s="1074" t="inlineStr">
        <is>
          <t>春季在读老生</t>
        </is>
      </c>
      <c r="F299" s="1074" t="n"/>
      <c r="G299" s="1074" t="n"/>
      <c r="H299" s="1074" t="inlineStr">
        <is>
          <t>在读</t>
        </is>
      </c>
      <c r="I299" s="1074" t="inlineStr">
        <is>
          <t>零期</t>
        </is>
      </c>
      <c r="J299" s="1074" t="inlineStr">
        <is>
          <t>3132897</t>
        </is>
      </c>
      <c r="K299" s="1074" t="inlineStr">
        <is>
          <t>报前测成绩</t>
        </is>
      </c>
      <c r="L299" s="1074" t="n">
        <v>59</v>
      </c>
      <c r="M299" s="1074" t="inlineStr">
        <is>
          <t>-</t>
        </is>
      </c>
      <c r="N299" s="1074" t="inlineStr">
        <is>
          <t>陈中帅</t>
        </is>
      </c>
      <c r="O299" s="1074" t="inlineStr">
        <is>
          <t>01智慧林</t>
        </is>
      </c>
      <c r="P299" s="1074" t="inlineStr">
        <is>
          <t>10:20-12:30</t>
        </is>
      </c>
      <c r="Q299" s="1074" t="inlineStr">
        <is>
          <t>潜能班</t>
        </is>
      </c>
      <c r="R299" s="1074" t="inlineStr">
        <is>
          <t>零期</t>
        </is>
      </c>
      <c r="S299" s="1074" t="inlineStr">
        <is>
          <t>在读</t>
        </is>
      </c>
      <c r="T299" s="1074" t="inlineStr">
        <is>
          <t>是</t>
        </is>
      </c>
      <c r="U299" s="1074" t="inlineStr">
        <is>
          <t>-</t>
        </is>
      </c>
      <c r="V299" s="1074" t="inlineStr"/>
      <c r="W299" s="1074" t="inlineStr">
        <is>
          <t>-</t>
        </is>
      </c>
      <c r="X299" s="1074" t="inlineStr">
        <is>
          <t>-</t>
        </is>
      </c>
      <c r="Y299" s="1074" t="inlineStr">
        <is>
          <t>-</t>
        </is>
      </c>
      <c r="Z299" s="1074" t="inlineStr">
        <is>
          <t>-</t>
        </is>
      </c>
      <c r="AA299" s="1074" t="inlineStr">
        <is>
          <t>-</t>
        </is>
      </c>
      <c r="AB299" s="1074" t="inlineStr">
        <is>
          <t>-</t>
        </is>
      </c>
      <c r="AC299" s="1074" t="inlineStr">
        <is>
          <t>-</t>
        </is>
      </c>
      <c r="AD299" s="1074" t="inlineStr">
        <is>
          <t>5230737</t>
        </is>
      </c>
      <c r="AE299" s="1074" t="n">
        <v>33.5</v>
      </c>
      <c r="AF299" s="1074" t="inlineStr">
        <is>
          <t>高心怡04</t>
        </is>
      </c>
      <c r="AG299" s="1074" t="inlineStr">
        <is>
          <t>01智慧林</t>
        </is>
      </c>
      <c r="AH299" s="1074" t="inlineStr">
        <is>
          <t>13:20-15:30</t>
        </is>
      </c>
      <c r="AI299" s="1074" t="inlineStr">
        <is>
          <t>潜能班</t>
        </is>
      </c>
      <c r="AJ299" s="1074" t="inlineStr">
        <is>
          <t>零期</t>
        </is>
      </c>
      <c r="AK299" s="1074" t="inlineStr">
        <is>
          <t>在读</t>
        </is>
      </c>
      <c r="AL299" s="1074" t="inlineStr">
        <is>
          <t>是</t>
        </is>
      </c>
      <c r="AM299" s="1074" t="inlineStr">
        <is>
          <t>是</t>
        </is>
      </c>
      <c r="AN299" s="1074" t="inlineStr">
        <is>
          <t>是</t>
        </is>
      </c>
      <c r="AO299" s="1074" t="inlineStr">
        <is>
          <t>是</t>
        </is>
      </c>
      <c r="AP299" s="1074" t="n"/>
      <c r="AQ299" s="1074" t="n"/>
      <c r="AR299" s="1074" t="inlineStr">
        <is>
          <t>S</t>
        </is>
      </c>
      <c r="AS299" s="1074" t="inlineStr">
        <is>
          <t>在读扩科</t>
        </is>
      </c>
      <c r="AT299" s="311" t="n"/>
    </row>
    <row r="300" ht="26.25" customFormat="1" customHeight="1" s="366">
      <c r="A300" s="1074" t="inlineStr">
        <is>
          <t>新宝利</t>
        </is>
      </c>
      <c r="B300" s="1074" t="inlineStr">
        <is>
          <t>2463978823</t>
        </is>
      </c>
      <c r="C300" s="1074" t="inlineStr">
        <is>
          <t>陈可欣</t>
        </is>
      </c>
      <c r="D300" s="1074" t="inlineStr">
        <is>
          <t>张敏烨</t>
        </is>
      </c>
      <c r="E300" s="1074" t="inlineStr">
        <is>
          <t>纯拉新</t>
        </is>
      </c>
      <c r="F300" s="1074" t="n"/>
      <c r="G300" s="1074" t="n"/>
      <c r="H300" s="1074" t="inlineStr">
        <is>
          <t>在读</t>
        </is>
      </c>
      <c r="I300" s="1074" t="inlineStr">
        <is>
          <t>零期</t>
        </is>
      </c>
      <c r="J300" s="1074" t="inlineStr">
        <is>
          <t>3132884</t>
        </is>
      </c>
      <c r="K300" s="1074" t="inlineStr">
        <is>
          <t>报前测成绩</t>
        </is>
      </c>
      <c r="L300" s="1074" t="n">
        <v>60</v>
      </c>
      <c r="M300" s="1074" t="inlineStr">
        <is>
          <t>-</t>
        </is>
      </c>
      <c r="N300" s="1074" t="inlineStr">
        <is>
          <t>田雨涵01</t>
        </is>
      </c>
      <c r="O300" s="1074" t="inlineStr">
        <is>
          <t>教室3</t>
        </is>
      </c>
      <c r="P300" s="1074" t="inlineStr">
        <is>
          <t>13:20-15:30</t>
        </is>
      </c>
      <c r="Q300" s="1074" t="inlineStr">
        <is>
          <t>潜能班</t>
        </is>
      </c>
      <c r="R300" s="1074" t="inlineStr">
        <is>
          <t>零期</t>
        </is>
      </c>
      <c r="S300" s="1074" t="inlineStr">
        <is>
          <t>在读</t>
        </is>
      </c>
      <c r="T300" s="1074" t="inlineStr">
        <is>
          <t>-</t>
        </is>
      </c>
      <c r="U300" s="1074" t="inlineStr">
        <is>
          <t>4513265</t>
        </is>
      </c>
      <c r="V300" s="1074" t="n">
        <v>30</v>
      </c>
      <c r="W300" s="1074" t="inlineStr">
        <is>
          <t>李润</t>
        </is>
      </c>
      <c r="X300" s="1074" t="inlineStr">
        <is>
          <t>教室3</t>
        </is>
      </c>
      <c r="Y300" s="1074" t="inlineStr">
        <is>
          <t>10:20-12:30</t>
        </is>
      </c>
      <c r="Z300" s="1074" t="inlineStr">
        <is>
          <t>潜能班</t>
        </is>
      </c>
      <c r="AA300" s="1074" t="inlineStr">
        <is>
          <t>零期</t>
        </is>
      </c>
      <c r="AB300" s="1074" t="inlineStr">
        <is>
          <t>在读</t>
        </is>
      </c>
      <c r="AC300" s="1074" t="inlineStr">
        <is>
          <t>-</t>
        </is>
      </c>
      <c r="AD300" s="1074" t="inlineStr">
        <is>
          <t>-</t>
        </is>
      </c>
      <c r="AE300" s="1074" t="inlineStr"/>
      <c r="AF300" s="1074" t="inlineStr">
        <is>
          <t>-</t>
        </is>
      </c>
      <c r="AG300" s="1074" t="inlineStr">
        <is>
          <t>-</t>
        </is>
      </c>
      <c r="AH300" s="1074" t="inlineStr">
        <is>
          <t>-</t>
        </is>
      </c>
      <c r="AI300" s="1074" t="inlineStr">
        <is>
          <t>-</t>
        </is>
      </c>
      <c r="AJ300" s="1074" t="inlineStr">
        <is>
          <t>-</t>
        </is>
      </c>
      <c r="AK300" s="1074" t="inlineStr">
        <is>
          <t>-</t>
        </is>
      </c>
      <c r="AL300" s="1074" t="inlineStr">
        <is>
          <t>-</t>
        </is>
      </c>
      <c r="AM300" s="1074" t="inlineStr">
        <is>
          <t>是</t>
        </is>
      </c>
      <c r="AN300" s="1074" t="inlineStr">
        <is>
          <t>是</t>
        </is>
      </c>
      <c r="AO300" s="1074" t="inlineStr">
        <is>
          <t>否</t>
        </is>
      </c>
      <c r="AP300" s="1074" t="n"/>
      <c r="AQ300" s="1074" t="n"/>
      <c r="AR300" s="1074" t="n"/>
      <c r="AS300" s="1074" t="n"/>
      <c r="AT300" s="311" t="n"/>
    </row>
    <row r="301" ht="26.25" customFormat="1" customHeight="1" s="366">
      <c r="A301" s="1074" t="inlineStr">
        <is>
          <t>新宝利</t>
        </is>
      </c>
      <c r="B301" s="1074" t="inlineStr">
        <is>
          <t>2499809313</t>
        </is>
      </c>
      <c r="C301" s="1074" t="inlineStr">
        <is>
          <t>李尔然</t>
        </is>
      </c>
      <c r="D301" s="1074" t="inlineStr">
        <is>
          <t>林志豪01</t>
        </is>
      </c>
      <c r="E301" s="1074" t="inlineStr">
        <is>
          <t>春季在读老生</t>
        </is>
      </c>
      <c r="F301" s="1074" t="n"/>
      <c r="G301" s="1074" t="n"/>
      <c r="H301" s="1074" t="inlineStr">
        <is>
          <t>在读</t>
        </is>
      </c>
      <c r="I301" s="1074" t="inlineStr">
        <is>
          <t>零期</t>
        </is>
      </c>
      <c r="J301" s="1074" t="inlineStr">
        <is>
          <t>3132880</t>
        </is>
      </c>
      <c r="K301" s="1074" t="inlineStr">
        <is>
          <t>老师预估</t>
        </is>
      </c>
      <c r="L301" s="1074" t="n">
        <v>75</v>
      </c>
      <c r="M301" s="1074" t="inlineStr">
        <is>
          <t>-</t>
        </is>
      </c>
      <c r="N301" s="1074" t="inlineStr">
        <is>
          <t>陈中帅</t>
        </is>
      </c>
      <c r="O301" s="1074" t="inlineStr">
        <is>
          <t>教室2</t>
        </is>
      </c>
      <c r="P301" s="1074" t="inlineStr">
        <is>
          <t>15:50-18:00</t>
        </is>
      </c>
      <c r="Q301" s="1074" t="inlineStr">
        <is>
          <t>启能班</t>
        </is>
      </c>
      <c r="R301" s="1074" t="inlineStr">
        <is>
          <t>零期</t>
        </is>
      </c>
      <c r="S301" s="1074" t="inlineStr">
        <is>
          <t>在读</t>
        </is>
      </c>
      <c r="T301" s="1074" t="inlineStr">
        <is>
          <t>是</t>
        </is>
      </c>
      <c r="U301" s="1074" t="inlineStr">
        <is>
          <t>4513265</t>
        </is>
      </c>
      <c r="V301" s="1074" t="n">
        <v>0</v>
      </c>
      <c r="W301" s="1074" t="inlineStr">
        <is>
          <t>李润</t>
        </is>
      </c>
      <c r="X301" s="1074" t="inlineStr">
        <is>
          <t>教室3</t>
        </is>
      </c>
      <c r="Y301" s="1074" t="inlineStr">
        <is>
          <t>10:20-12:30</t>
        </is>
      </c>
      <c r="Z301" s="1074" t="inlineStr">
        <is>
          <t>潜能班</t>
        </is>
      </c>
      <c r="AA301" s="1074" t="inlineStr">
        <is>
          <t>零期</t>
        </is>
      </c>
      <c r="AB301" s="1074" t="inlineStr">
        <is>
          <t>在读</t>
        </is>
      </c>
      <c r="AC301" s="1074" t="inlineStr">
        <is>
          <t>-</t>
        </is>
      </c>
      <c r="AD301" s="1074" t="inlineStr">
        <is>
          <t>5230727</t>
        </is>
      </c>
      <c r="AE301" s="1074" t="n">
        <v>0</v>
      </c>
      <c r="AF301" s="1074" t="inlineStr">
        <is>
          <t>肖锐03</t>
        </is>
      </c>
      <c r="AG301" s="1074" t="inlineStr">
        <is>
          <t>教室2</t>
        </is>
      </c>
      <c r="AH301" s="1074" t="inlineStr">
        <is>
          <t>13:20-15:30</t>
        </is>
      </c>
      <c r="AI301" s="1074" t="inlineStr">
        <is>
          <t>潜能班</t>
        </is>
      </c>
      <c r="AJ301" s="1074" t="inlineStr">
        <is>
          <t>零期</t>
        </is>
      </c>
      <c r="AK301" s="1074" t="inlineStr">
        <is>
          <t>在读</t>
        </is>
      </c>
      <c r="AL301" s="1074" t="inlineStr">
        <is>
          <t>-</t>
        </is>
      </c>
      <c r="AM301" s="1074" t="inlineStr">
        <is>
          <t>是</t>
        </is>
      </c>
      <c r="AN301" s="1074" t="inlineStr">
        <is>
          <t>是</t>
        </is>
      </c>
      <c r="AO301" s="1074" t="inlineStr">
        <is>
          <t>是</t>
        </is>
      </c>
      <c r="AP301" s="1074" t="n"/>
      <c r="AQ301" s="1074" t="n"/>
      <c r="AR301" s="1074" t="inlineStr">
        <is>
          <t>S</t>
        </is>
      </c>
      <c r="AS301" s="1074" t="inlineStr">
        <is>
          <t>在读学员</t>
        </is>
      </c>
      <c r="AT301" s="311" t="n"/>
    </row>
    <row r="302" ht="26.25" customFormat="1" customHeight="1" s="366">
      <c r="A302" s="1074" t="inlineStr">
        <is>
          <t>新宝利</t>
        </is>
      </c>
      <c r="B302" s="1074" t="inlineStr">
        <is>
          <t>4534492760</t>
        </is>
      </c>
      <c r="C302" s="1074" t="inlineStr">
        <is>
          <t>叶梓琳</t>
        </is>
      </c>
      <c r="D302" s="1074" t="inlineStr">
        <is>
          <t>林志豪01</t>
        </is>
      </c>
      <c r="E302" s="1074" t="inlineStr">
        <is>
          <t>春季在读老生</t>
        </is>
      </c>
      <c r="F302" s="1074" t="n"/>
      <c r="G302" s="1074" t="n"/>
      <c r="H302" s="1074" t="inlineStr">
        <is>
          <t>在读</t>
        </is>
      </c>
      <c r="I302" s="1074" t="inlineStr">
        <is>
          <t>零期</t>
        </is>
      </c>
      <c r="J302" s="1074" t="inlineStr">
        <is>
          <t>3132880</t>
        </is>
      </c>
      <c r="K302" s="1074" t="inlineStr">
        <is>
          <t>报前测成绩</t>
        </is>
      </c>
      <c r="L302" s="1074" t="n">
        <v>80</v>
      </c>
      <c r="M302" s="1074" t="inlineStr">
        <is>
          <t>-</t>
        </is>
      </c>
      <c r="N302" s="1074" t="inlineStr">
        <is>
          <t>陈中帅</t>
        </is>
      </c>
      <c r="O302" s="1074" t="inlineStr">
        <is>
          <t>教室2</t>
        </is>
      </c>
      <c r="P302" s="1074" t="inlineStr">
        <is>
          <t>15:50-18:00</t>
        </is>
      </c>
      <c r="Q302" s="1074" t="inlineStr">
        <is>
          <t>启能班</t>
        </is>
      </c>
      <c r="R302" s="1074" t="inlineStr">
        <is>
          <t>零期</t>
        </is>
      </c>
      <c r="S302" s="1074" t="inlineStr">
        <is>
          <t>在读</t>
        </is>
      </c>
      <c r="T302" s="1074" t="inlineStr">
        <is>
          <t>是</t>
        </is>
      </c>
      <c r="U302" s="1074" t="inlineStr">
        <is>
          <t>3132859</t>
        </is>
      </c>
      <c r="V302" s="1074" t="n">
        <v>36</v>
      </c>
      <c r="W302" s="1074" t="inlineStr">
        <is>
          <t>黄铭怡</t>
        </is>
      </c>
      <c r="X302" s="1074" t="inlineStr">
        <is>
          <t>教室2</t>
        </is>
      </c>
      <c r="Y302" s="1074" t="inlineStr">
        <is>
          <t>10:20-12:30</t>
        </is>
      </c>
      <c r="Z302" s="1074" t="inlineStr">
        <is>
          <t>潜能班</t>
        </is>
      </c>
      <c r="AA302" s="1074" t="inlineStr">
        <is>
          <t>零期</t>
        </is>
      </c>
      <c r="AB302" s="1074" t="inlineStr">
        <is>
          <t>在读</t>
        </is>
      </c>
      <c r="AC302" s="1074" t="inlineStr">
        <is>
          <t>-</t>
        </is>
      </c>
      <c r="AD302" s="1074" t="inlineStr">
        <is>
          <t>5230727</t>
        </is>
      </c>
      <c r="AE302" s="1074" t="n">
        <v>34</v>
      </c>
      <c r="AF302" s="1074" t="inlineStr">
        <is>
          <t>肖锐03</t>
        </is>
      </c>
      <c r="AG302" s="1074" t="inlineStr">
        <is>
          <t>教室2</t>
        </is>
      </c>
      <c r="AH302" s="1074" t="inlineStr">
        <is>
          <t>13:20-15:30</t>
        </is>
      </c>
      <c r="AI302" s="1074" t="inlineStr">
        <is>
          <t>潜能班</t>
        </is>
      </c>
      <c r="AJ302" s="1074" t="inlineStr">
        <is>
          <t>零期</t>
        </is>
      </c>
      <c r="AK302" s="1074" t="inlineStr">
        <is>
          <t>在读</t>
        </is>
      </c>
      <c r="AL302" s="1074" t="inlineStr">
        <is>
          <t>-</t>
        </is>
      </c>
      <c r="AM302" s="1074" t="inlineStr">
        <is>
          <t>是</t>
        </is>
      </c>
      <c r="AN302" s="1074" t="inlineStr">
        <is>
          <t>是</t>
        </is>
      </c>
      <c r="AO302" s="1074" t="inlineStr">
        <is>
          <t>是</t>
        </is>
      </c>
      <c r="AP302" s="1074" t="n"/>
      <c r="AQ302" s="1074" t="n"/>
      <c r="AR302" s="1074" t="inlineStr">
        <is>
          <t>S</t>
        </is>
      </c>
      <c r="AS302" s="1074" t="inlineStr">
        <is>
          <t>在读学员</t>
        </is>
      </c>
      <c r="AT302" s="311" t="n"/>
    </row>
    <row r="303" ht="26.25" customFormat="1" customHeight="1" s="366">
      <c r="A303" s="1074" t="inlineStr">
        <is>
          <t>新宝利</t>
        </is>
      </c>
      <c r="B303" s="1074" t="inlineStr">
        <is>
          <t>2408937171</t>
        </is>
      </c>
      <c r="C303" s="1074" t="inlineStr">
        <is>
          <t>李伟国</t>
        </is>
      </c>
      <c r="D303" s="1074" t="inlineStr">
        <is>
          <t>张敏烨</t>
        </is>
      </c>
      <c r="E303" s="1074" t="inlineStr">
        <is>
          <t>纯拉新</t>
        </is>
      </c>
      <c r="F303" s="1074" t="n"/>
      <c r="G303" s="1074" t="n"/>
      <c r="H303" s="1074" t="inlineStr">
        <is>
          <t>在读</t>
        </is>
      </c>
      <c r="I303" s="1074" t="inlineStr">
        <is>
          <t>一期</t>
        </is>
      </c>
      <c r="J303" s="1074" t="inlineStr">
        <is>
          <t>5230732</t>
        </is>
      </c>
      <c r="K303" s="1074" t="inlineStr">
        <is>
          <t>校内成绩</t>
        </is>
      </c>
      <c r="L303" s="1074" t="n">
        <v>85</v>
      </c>
      <c r="M303" s="1074" t="n">
        <v>95</v>
      </c>
      <c r="N303" s="1074" t="inlineStr">
        <is>
          <t>何咏04</t>
        </is>
      </c>
      <c r="O303" s="1074" t="inlineStr">
        <is>
          <t>教室3</t>
        </is>
      </c>
      <c r="P303" s="1074" t="inlineStr">
        <is>
          <t>10:30-12:40</t>
        </is>
      </c>
      <c r="Q303" s="1074" t="inlineStr">
        <is>
          <t>启能班</t>
        </is>
      </c>
      <c r="R303" s="1074" t="inlineStr">
        <is>
          <t>一期</t>
        </is>
      </c>
      <c r="S303" s="1074" t="inlineStr">
        <is>
          <t>在读</t>
        </is>
      </c>
      <c r="T303" s="1074" t="inlineStr">
        <is>
          <t>-</t>
        </is>
      </c>
      <c r="U303" s="1074" t="inlineStr">
        <is>
          <t>5170706</t>
        </is>
      </c>
      <c r="V303" s="1074" t="n">
        <v>0</v>
      </c>
      <c r="W303" s="1074" t="inlineStr">
        <is>
          <t>李润</t>
        </is>
      </c>
      <c r="X303" s="1074" t="inlineStr">
        <is>
          <t>教室3</t>
        </is>
      </c>
      <c r="Y303" s="1074" t="inlineStr">
        <is>
          <t>13:20-15:30</t>
        </is>
      </c>
      <c r="Z303" s="1074" t="inlineStr">
        <is>
          <t>潜能班</t>
        </is>
      </c>
      <c r="AA303" s="1074" t="inlineStr">
        <is>
          <t>一期</t>
        </is>
      </c>
      <c r="AB303" s="1074" t="inlineStr">
        <is>
          <t>在读</t>
        </is>
      </c>
      <c r="AC303" s="1074" t="inlineStr">
        <is>
          <t>-</t>
        </is>
      </c>
      <c r="AD303" s="1074" t="inlineStr">
        <is>
          <t>3132899</t>
        </is>
      </c>
      <c r="AE303" s="1074" t="n">
        <v>0</v>
      </c>
      <c r="AF303" s="1074" t="inlineStr">
        <is>
          <t>肖锐03</t>
        </is>
      </c>
      <c r="AG303" s="1074" t="inlineStr">
        <is>
          <t>教室3</t>
        </is>
      </c>
      <c r="AH303" s="1074" t="inlineStr">
        <is>
          <t>07:50-10:00</t>
        </is>
      </c>
      <c r="AI303" s="1074" t="inlineStr">
        <is>
          <t>潜能班</t>
        </is>
      </c>
      <c r="AJ303" s="1074" t="inlineStr">
        <is>
          <t>一期</t>
        </is>
      </c>
      <c r="AK303" s="1074" t="inlineStr">
        <is>
          <t>在读</t>
        </is>
      </c>
      <c r="AL303" s="1074" t="inlineStr">
        <is>
          <t>-</t>
        </is>
      </c>
      <c r="AM303" s="1074" t="n"/>
      <c r="AN303" s="1074" t="n"/>
      <c r="AO303" s="1074" t="n"/>
      <c r="AP303" s="1074" t="n"/>
      <c r="AQ303" s="1074" t="n"/>
      <c r="AR303" s="1074" t="inlineStr">
        <is>
          <t>B</t>
        </is>
      </c>
      <c r="AS303" s="1074" t="inlineStr">
        <is>
          <t>未咨询过秋季课程</t>
        </is>
      </c>
      <c r="AT303" s="311" t="n"/>
    </row>
    <row r="304" ht="26.25" customFormat="1" customHeight="1" s="366">
      <c r="A304" s="1074" t="inlineStr">
        <is>
          <t>新宝利</t>
        </is>
      </c>
      <c r="B304" s="1074" t="inlineStr">
        <is>
          <t>4384813412</t>
        </is>
      </c>
      <c r="C304" s="1074" t="inlineStr">
        <is>
          <t>罗梓林</t>
        </is>
      </c>
      <c r="D304" s="1074" t="inlineStr">
        <is>
          <t>王丽</t>
        </is>
      </c>
      <c r="E304" s="1074" t="inlineStr">
        <is>
          <t>纯拉新</t>
        </is>
      </c>
      <c r="F304" s="1074" t="n"/>
      <c r="G304" s="1074" t="n"/>
      <c r="H304" s="1074" t="inlineStr">
        <is>
          <t>在读</t>
        </is>
      </c>
      <c r="I304" s="1074" t="inlineStr">
        <is>
          <t>一期</t>
        </is>
      </c>
      <c r="J304" s="1074" t="inlineStr">
        <is>
          <t>5230732</t>
        </is>
      </c>
      <c r="K304" s="1074" t="inlineStr">
        <is>
          <t>校内成绩</t>
        </is>
      </c>
      <c r="L304" s="1074" t="n">
        <v>72</v>
      </c>
      <c r="M304" s="1074" t="n">
        <v>90</v>
      </c>
      <c r="N304" s="1074" t="inlineStr">
        <is>
          <t>何咏04</t>
        </is>
      </c>
      <c r="O304" s="1074" t="inlineStr">
        <is>
          <t>教室3</t>
        </is>
      </c>
      <c r="P304" s="1074" t="inlineStr">
        <is>
          <t>10:30-12:40</t>
        </is>
      </c>
      <c r="Q304" s="1074" t="inlineStr">
        <is>
          <t>启能班</t>
        </is>
      </c>
      <c r="R304" s="1074" t="inlineStr">
        <is>
          <t>一期</t>
        </is>
      </c>
      <c r="S304" s="1074" t="inlineStr">
        <is>
          <t>在读</t>
        </is>
      </c>
      <c r="T304" s="1074" t="inlineStr">
        <is>
          <t>-</t>
        </is>
      </c>
      <c r="U304" s="1074" t="inlineStr">
        <is>
          <t>5170706</t>
        </is>
      </c>
      <c r="V304" s="1074" t="n">
        <v>0</v>
      </c>
      <c r="W304" s="1074" t="inlineStr">
        <is>
          <t>李润</t>
        </is>
      </c>
      <c r="X304" s="1074" t="inlineStr">
        <is>
          <t>教室3</t>
        </is>
      </c>
      <c r="Y304" s="1074" t="inlineStr">
        <is>
          <t>13:20-15:30</t>
        </is>
      </c>
      <c r="Z304" s="1074" t="inlineStr">
        <is>
          <t>潜能班</t>
        </is>
      </c>
      <c r="AA304" s="1074" t="inlineStr">
        <is>
          <t>一期</t>
        </is>
      </c>
      <c r="AB304" s="1074" t="inlineStr">
        <is>
          <t>在读</t>
        </is>
      </c>
      <c r="AC304" s="1074" t="inlineStr">
        <is>
          <t>-</t>
        </is>
      </c>
      <c r="AD304" s="1074" t="inlineStr">
        <is>
          <t>3132899</t>
        </is>
      </c>
      <c r="AE304" s="1074" t="n">
        <v>22</v>
      </c>
      <c r="AF304" s="1074" t="inlineStr">
        <is>
          <t>肖锐03</t>
        </is>
      </c>
      <c r="AG304" s="1074" t="inlineStr">
        <is>
          <t>教室3</t>
        </is>
      </c>
      <c r="AH304" s="1074" t="inlineStr">
        <is>
          <t>07:50-10:00</t>
        </is>
      </c>
      <c r="AI304" s="1074" t="inlineStr">
        <is>
          <t>潜能班</t>
        </is>
      </c>
      <c r="AJ304" s="1074" t="inlineStr">
        <is>
          <t>一期</t>
        </is>
      </c>
      <c r="AK304" s="1074" t="inlineStr">
        <is>
          <t>在读</t>
        </is>
      </c>
      <c r="AL304" s="1074" t="inlineStr">
        <is>
          <t>-</t>
        </is>
      </c>
      <c r="AM304" s="1074" t="n"/>
      <c r="AN304" s="1074" t="n"/>
      <c r="AO304" s="1074" t="n"/>
      <c r="AP304" s="1074" t="n"/>
      <c r="AQ304" s="1074" t="n"/>
      <c r="AR304" s="1074" t="inlineStr">
        <is>
          <t>B</t>
        </is>
      </c>
      <c r="AS304" s="1074" t="inlineStr">
        <is>
          <t>之前在作业帮线上学，先体验下暑假课，没聊秋季课的事情</t>
        </is>
      </c>
      <c r="AT304" s="311" t="n"/>
    </row>
    <row r="305" ht="26.25" customFormat="1" customHeight="1" s="366">
      <c r="A305" s="1074" t="inlineStr">
        <is>
          <t>同创汇</t>
        </is>
      </c>
      <c r="B305" s="1074" t="inlineStr">
        <is>
          <t>4481410838</t>
        </is>
      </c>
      <c r="C305" s="1074" t="inlineStr">
        <is>
          <t>顾浩轩</t>
        </is>
      </c>
      <c r="D305" s="1074" t="inlineStr">
        <is>
          <t>王丽</t>
        </is>
      </c>
      <c r="E305" s="1074" t="inlineStr">
        <is>
          <t>纯拉新</t>
        </is>
      </c>
      <c r="F305" s="1074" t="n"/>
      <c r="G305" s="1074" t="n"/>
      <c r="H305" s="1074" t="inlineStr">
        <is>
          <t>在读</t>
        </is>
      </c>
      <c r="I305" s="1074" t="inlineStr">
        <is>
          <t>一期</t>
        </is>
      </c>
      <c r="J305" s="1074" t="inlineStr">
        <is>
          <t>5230719</t>
        </is>
      </c>
      <c r="K305" s="1074" t="inlineStr">
        <is>
          <t>报前测成绩</t>
        </is>
      </c>
      <c r="L305" s="1074" t="n">
        <v>100</v>
      </c>
      <c r="M305" s="1074" t="inlineStr">
        <is>
          <t>-</t>
        </is>
      </c>
      <c r="N305" s="1074" t="inlineStr">
        <is>
          <t>陈中帅</t>
        </is>
      </c>
      <c r="O305" s="1074" t="inlineStr">
        <is>
          <t>01智慧林</t>
        </is>
      </c>
      <c r="P305" s="1074" t="inlineStr">
        <is>
          <t>13:20-15:30</t>
        </is>
      </c>
      <c r="Q305" s="1074" t="inlineStr">
        <is>
          <t>启能班</t>
        </is>
      </c>
      <c r="R305" s="1074" t="inlineStr">
        <is>
          <t>一期</t>
        </is>
      </c>
      <c r="S305" s="1074" t="inlineStr">
        <is>
          <t>在读</t>
        </is>
      </c>
      <c r="T305" s="1074" t="inlineStr">
        <is>
          <t>-</t>
        </is>
      </c>
      <c r="U305" s="1074" t="inlineStr">
        <is>
          <t>5230828</t>
        </is>
      </c>
      <c r="V305" s="1074" t="n">
        <v>31</v>
      </c>
      <c r="W305" s="1074" t="inlineStr">
        <is>
          <t>黄铭怡</t>
        </is>
      </c>
      <c r="X305" s="1074" t="inlineStr">
        <is>
          <t>01智慧林</t>
        </is>
      </c>
      <c r="Y305" s="1074" t="inlineStr">
        <is>
          <t>10:20-12:30</t>
        </is>
      </c>
      <c r="Z305" s="1074" t="inlineStr">
        <is>
          <t>潜能班</t>
        </is>
      </c>
      <c r="AA305" s="1074" t="inlineStr">
        <is>
          <t>一期</t>
        </is>
      </c>
      <c r="AB305" s="1074" t="inlineStr">
        <is>
          <t>在读</t>
        </is>
      </c>
      <c r="AC305" s="1074" t="inlineStr">
        <is>
          <t>-</t>
        </is>
      </c>
      <c r="AD305" s="1074" t="inlineStr">
        <is>
          <t>3132869</t>
        </is>
      </c>
      <c r="AE305" s="1074" t="n">
        <v>43</v>
      </c>
      <c r="AF305" s="1074" t="inlineStr">
        <is>
          <t>高心怡04</t>
        </is>
      </c>
      <c r="AG305" s="1074" t="inlineStr">
        <is>
          <t>01智慧林</t>
        </is>
      </c>
      <c r="AH305" s="1074" t="inlineStr">
        <is>
          <t>15:50-18:00</t>
        </is>
      </c>
      <c r="AI305" s="1074" t="inlineStr">
        <is>
          <t>潜能班</t>
        </is>
      </c>
      <c r="AJ305" s="1074" t="inlineStr">
        <is>
          <t>一期</t>
        </is>
      </c>
      <c r="AK305" s="1074" t="inlineStr">
        <is>
          <t>在读</t>
        </is>
      </c>
      <c r="AL305" s="1074" t="inlineStr">
        <is>
          <t>-</t>
        </is>
      </c>
      <c r="AM305" s="1074" t="n"/>
      <c r="AN305" s="1074" t="n"/>
      <c r="AO305" s="1074" t="n"/>
      <c r="AP305" s="1074" t="n"/>
      <c r="AQ305" s="1074" t="n"/>
      <c r="AR305" s="1074" t="inlineStr">
        <is>
          <t>A</t>
        </is>
      </c>
      <c r="AS305" s="1074" t="inlineStr">
        <is>
          <t>爸妈都挺关心孩子学习，知道作业帮</t>
        </is>
      </c>
      <c r="AT305" s="311" t="n"/>
    </row>
    <row r="306" ht="26.25" customFormat="1" customHeight="1" s="366">
      <c r="A306" s="1074" t="inlineStr">
        <is>
          <t>同创汇</t>
        </is>
      </c>
      <c r="B306" s="1074" t="inlineStr">
        <is>
          <t>4231131337</t>
        </is>
      </c>
      <c r="C306" s="1074" t="inlineStr">
        <is>
          <t>陈艺凡</t>
        </is>
      </c>
      <c r="D306" s="1074" t="inlineStr">
        <is>
          <t>戎凯01</t>
        </is>
      </c>
      <c r="E306" s="1074" t="inlineStr">
        <is>
          <t>纯拉新</t>
        </is>
      </c>
      <c r="F306" s="1074" t="n"/>
      <c r="G306" s="1074" t="n"/>
      <c r="H306" s="1074" t="inlineStr">
        <is>
          <t>在读</t>
        </is>
      </c>
      <c r="I306" s="1074" t="inlineStr">
        <is>
          <t>零期</t>
        </is>
      </c>
      <c r="J306" s="1074" t="inlineStr">
        <is>
          <t>5230814</t>
        </is>
      </c>
      <c r="K306" s="1074" t="inlineStr">
        <is>
          <t>报前测成绩</t>
        </is>
      </c>
      <c r="L306" s="1074" t="n">
        <v>90</v>
      </c>
      <c r="M306" s="1074" t="inlineStr">
        <is>
          <t>-</t>
        </is>
      </c>
      <c r="N306" s="1074" t="inlineStr">
        <is>
          <t>陈中帅</t>
        </is>
      </c>
      <c r="O306" s="1074" t="inlineStr">
        <is>
          <t>02彩虹桥</t>
        </is>
      </c>
      <c r="P306" s="1074" t="inlineStr">
        <is>
          <t>07:50-10:00</t>
        </is>
      </c>
      <c r="Q306" s="1074" t="inlineStr">
        <is>
          <t>启能班</t>
        </is>
      </c>
      <c r="R306" s="1074" t="inlineStr">
        <is>
          <t>零期</t>
        </is>
      </c>
      <c r="S306" s="1074" t="inlineStr">
        <is>
          <t>在读</t>
        </is>
      </c>
      <c r="T306" s="1074" t="inlineStr">
        <is>
          <t>-</t>
        </is>
      </c>
      <c r="U306" s="1074" t="inlineStr">
        <is>
          <t>3132905</t>
        </is>
      </c>
      <c r="V306" s="1074" t="n">
        <v>37</v>
      </c>
      <c r="W306" s="1074" t="inlineStr">
        <is>
          <t>黄铭怡</t>
        </is>
      </c>
      <c r="X306" s="1074" t="inlineStr">
        <is>
          <t>02彩虹桥</t>
        </is>
      </c>
      <c r="Y306" s="1074" t="inlineStr">
        <is>
          <t>13:20-15:30</t>
        </is>
      </c>
      <c r="Z306" s="1074" t="inlineStr">
        <is>
          <t>潜能班</t>
        </is>
      </c>
      <c r="AA306" s="1074" t="inlineStr">
        <is>
          <t>零期</t>
        </is>
      </c>
      <c r="AB306" s="1074" t="inlineStr">
        <is>
          <t>在读</t>
        </is>
      </c>
      <c r="AC306" s="1074" t="inlineStr">
        <is>
          <t>-</t>
        </is>
      </c>
      <c r="AD306" s="1074" t="inlineStr">
        <is>
          <t>5230765</t>
        </is>
      </c>
      <c r="AE306" s="1074" t="n">
        <v>38.5</v>
      </c>
      <c r="AF306" s="1074" t="inlineStr">
        <is>
          <t>刘希子</t>
        </is>
      </c>
      <c r="AG306" s="1074" t="inlineStr">
        <is>
          <t>02彩虹桥</t>
        </is>
      </c>
      <c r="AH306" s="1074" t="inlineStr">
        <is>
          <t>10:20-12:30</t>
        </is>
      </c>
      <c r="AI306" s="1074" t="inlineStr">
        <is>
          <t>潜能班</t>
        </is>
      </c>
      <c r="AJ306" s="1074" t="inlineStr">
        <is>
          <t>零期</t>
        </is>
      </c>
      <c r="AK306" s="1074" t="inlineStr">
        <is>
          <t>在读</t>
        </is>
      </c>
      <c r="AL306" s="1074" t="inlineStr">
        <is>
          <t>-</t>
        </is>
      </c>
      <c r="AM306" s="1074" t="inlineStr">
        <is>
          <t>是</t>
        </is>
      </c>
      <c r="AN306" s="1074" t="inlineStr">
        <is>
          <t>是</t>
        </is>
      </c>
      <c r="AO306" s="1074" t="inlineStr">
        <is>
          <t>是</t>
        </is>
      </c>
      <c r="AP306" s="1074" t="n"/>
      <c r="AQ306" s="1074" t="n"/>
      <c r="AR306" s="1074" t="inlineStr">
        <is>
          <t>A</t>
        </is>
      </c>
      <c r="AS306" s="1074" t="inlineStr">
        <is>
          <t>讲座转化的，孩子成绩295左右</t>
        </is>
      </c>
      <c r="AT306" s="311" t="n"/>
    </row>
    <row r="307" ht="26.25" customFormat="1" customHeight="1" s="366">
      <c r="A307" s="1074" t="inlineStr">
        <is>
          <t>新宝利</t>
        </is>
      </c>
      <c r="B307" s="1074" t="inlineStr">
        <is>
          <t>4825766381</t>
        </is>
      </c>
      <c r="C307" s="1074" t="inlineStr">
        <is>
          <t>叶璟霖</t>
        </is>
      </c>
      <c r="D307" s="1074" t="inlineStr">
        <is>
          <t>林志豪01</t>
        </is>
      </c>
      <c r="E307" s="1074" t="inlineStr">
        <is>
          <t>纯拉新</t>
        </is>
      </c>
      <c r="F307" s="1074" t="n"/>
      <c r="G307" s="1074" t="n"/>
      <c r="H307" s="1074" t="inlineStr">
        <is>
          <t>在读</t>
        </is>
      </c>
      <c r="I307" s="1074" t="inlineStr">
        <is>
          <t>一期</t>
        </is>
      </c>
      <c r="J307" s="1074" t="inlineStr">
        <is>
          <t>5230742</t>
        </is>
      </c>
      <c r="K307" s="1074" t="inlineStr">
        <is>
          <t>报前测成绩</t>
        </is>
      </c>
      <c r="L307" s="1074" t="n">
        <v>70</v>
      </c>
      <c r="M307" s="1074" t="inlineStr">
        <is>
          <t>-</t>
        </is>
      </c>
      <c r="N307" s="1074" t="inlineStr">
        <is>
          <t>何咏04</t>
        </is>
      </c>
      <c r="O307" s="1074" t="inlineStr">
        <is>
          <t>教室2</t>
        </is>
      </c>
      <c r="P307" s="1074" t="inlineStr">
        <is>
          <t>13:20-15:30</t>
        </is>
      </c>
      <c r="Q307" s="1074" t="inlineStr">
        <is>
          <t>潜能班</t>
        </is>
      </c>
      <c r="R307" s="1074" t="inlineStr">
        <is>
          <t>一期</t>
        </is>
      </c>
      <c r="S307" s="1074" t="inlineStr">
        <is>
          <t>在读</t>
        </is>
      </c>
      <c r="T307" s="1074" t="inlineStr">
        <is>
          <t>-</t>
        </is>
      </c>
      <c r="U307" s="1074" t="inlineStr">
        <is>
          <t>-</t>
        </is>
      </c>
      <c r="V307" s="1074" t="inlineStr"/>
      <c r="W307" s="1074" t="inlineStr">
        <is>
          <t>-</t>
        </is>
      </c>
      <c r="X307" s="1074" t="inlineStr">
        <is>
          <t>-</t>
        </is>
      </c>
      <c r="Y307" s="1074" t="inlineStr">
        <is>
          <t>-</t>
        </is>
      </c>
      <c r="Z307" s="1074" t="inlineStr">
        <is>
          <t>-</t>
        </is>
      </c>
      <c r="AA307" s="1074" t="inlineStr">
        <is>
          <t>-</t>
        </is>
      </c>
      <c r="AB307" s="1074" t="inlineStr">
        <is>
          <t>-</t>
        </is>
      </c>
      <c r="AC307" s="1074" t="inlineStr">
        <is>
          <t>-</t>
        </is>
      </c>
      <c r="AD307" s="1074" t="inlineStr">
        <is>
          <t>-</t>
        </is>
      </c>
      <c r="AE307" s="1074" t="inlineStr"/>
      <c r="AF307" s="1074" t="inlineStr">
        <is>
          <t>-</t>
        </is>
      </c>
      <c r="AG307" s="1074" t="inlineStr">
        <is>
          <t>-</t>
        </is>
      </c>
      <c r="AH307" s="1074" t="inlineStr">
        <is>
          <t>-</t>
        </is>
      </c>
      <c r="AI307" s="1074" t="inlineStr">
        <is>
          <t>-</t>
        </is>
      </c>
      <c r="AJ307" s="1074" t="inlineStr">
        <is>
          <t>-</t>
        </is>
      </c>
      <c r="AK307" s="1074" t="inlineStr">
        <is>
          <t>-</t>
        </is>
      </c>
      <c r="AL307" s="1074" t="inlineStr">
        <is>
          <t>-</t>
        </is>
      </c>
      <c r="AM307" s="1074" t="n"/>
      <c r="AN307" s="1074" t="n"/>
      <c r="AO307" s="1074" t="n"/>
      <c r="AP307" s="1074" t="n"/>
      <c r="AQ307" s="1074" t="n"/>
      <c r="AR307" s="1074" t="inlineStr">
        <is>
          <t>B</t>
        </is>
      </c>
      <c r="AS307" s="1074" t="inlineStr">
        <is>
          <t>转介绍，之前没报过培训机构，这次是和朋友一起咨询</t>
        </is>
      </c>
      <c r="AT307" s="311" t="n"/>
    </row>
    <row r="308" ht="26.25" customFormat="1" customHeight="1" s="366">
      <c r="A308" s="1074" t="inlineStr">
        <is>
          <t>天成大厦</t>
        </is>
      </c>
      <c r="B308" s="1074" t="inlineStr">
        <is>
          <t>2533826337</t>
        </is>
      </c>
      <c r="C308" s="1074" t="inlineStr">
        <is>
          <t>张桓</t>
        </is>
      </c>
      <c r="D308" s="1074" t="inlineStr">
        <is>
          <t>陈亮延</t>
        </is>
      </c>
      <c r="E308" s="1074" t="inlineStr">
        <is>
          <t>断报老生</t>
        </is>
      </c>
      <c r="F308" s="1074" t="inlineStr">
        <is>
          <t>魔丸，自然流失未做续费动作</t>
        </is>
      </c>
      <c r="G308" s="1074" t="n"/>
      <c r="H308" s="1074" t="inlineStr">
        <is>
          <t>在读</t>
        </is>
      </c>
      <c r="I308" s="1074" t="inlineStr">
        <is>
          <t>一期</t>
        </is>
      </c>
      <c r="J308" s="1074" t="inlineStr">
        <is>
          <t>5230775</t>
        </is>
      </c>
      <c r="K308" s="1074" t="inlineStr">
        <is>
          <t>报前测成绩</t>
        </is>
      </c>
      <c r="L308" s="1074" t="n">
        <v>85</v>
      </c>
      <c r="M308" s="1074" t="inlineStr">
        <is>
          <t>-</t>
        </is>
      </c>
      <c r="N308" s="1074" t="inlineStr">
        <is>
          <t>陈中帅</t>
        </is>
      </c>
      <c r="O308" s="1074" t="inlineStr">
        <is>
          <t>03品尚</t>
        </is>
      </c>
      <c r="P308" s="1074" t="inlineStr">
        <is>
          <t>10:20-12:30</t>
        </is>
      </c>
      <c r="Q308" s="1074" t="inlineStr">
        <is>
          <t>潜能班</t>
        </is>
      </c>
      <c r="R308" s="1074" t="inlineStr">
        <is>
          <t>一期</t>
        </is>
      </c>
      <c r="S308" s="1074" t="inlineStr">
        <is>
          <t>在读</t>
        </is>
      </c>
      <c r="T308" s="1074" t="inlineStr">
        <is>
          <t>-</t>
        </is>
      </c>
      <c r="U308" s="1074" t="inlineStr">
        <is>
          <t>3132834</t>
        </is>
      </c>
      <c r="V308" s="1074" t="n">
        <v>30</v>
      </c>
      <c r="W308" s="1074" t="inlineStr">
        <is>
          <t>李润</t>
        </is>
      </c>
      <c r="X308" s="1074" t="inlineStr">
        <is>
          <t>03品尚</t>
        </is>
      </c>
      <c r="Y308" s="1074" t="inlineStr">
        <is>
          <t>07:50-10:00</t>
        </is>
      </c>
      <c r="Z308" s="1074" t="inlineStr">
        <is>
          <t>潜能班</t>
        </is>
      </c>
      <c r="AA308" s="1074" t="inlineStr">
        <is>
          <t>一期</t>
        </is>
      </c>
      <c r="AB308" s="1074" t="inlineStr">
        <is>
          <t>在读</t>
        </is>
      </c>
      <c r="AC308" s="1074" t="inlineStr">
        <is>
          <t>-</t>
        </is>
      </c>
      <c r="AD308" s="1074" t="inlineStr">
        <is>
          <t>5230783</t>
        </is>
      </c>
      <c r="AE308" s="1074" t="n">
        <v>48</v>
      </c>
      <c r="AF308" s="1074" t="inlineStr">
        <is>
          <t>刘希子</t>
        </is>
      </c>
      <c r="AG308" s="1074" t="inlineStr">
        <is>
          <t>03品尚</t>
        </is>
      </c>
      <c r="AH308" s="1074" t="inlineStr">
        <is>
          <t>13:20-15:30</t>
        </is>
      </c>
      <c r="AI308" s="1074" t="inlineStr">
        <is>
          <t>潜能班</t>
        </is>
      </c>
      <c r="AJ308" s="1074" t="inlineStr">
        <is>
          <t>一期</t>
        </is>
      </c>
      <c r="AK308" s="1074" t="inlineStr">
        <is>
          <t>在读</t>
        </is>
      </c>
      <c r="AL308" s="1074" t="inlineStr">
        <is>
          <t>-</t>
        </is>
      </c>
      <c r="AM308" s="1074" t="n"/>
      <c r="AN308" s="1074" t="n"/>
      <c r="AO308" s="1074" t="n"/>
      <c r="AP308" s="1074" t="n"/>
      <c r="AQ308" s="1074" t="n"/>
      <c r="AR308" s="1074" t="inlineStr">
        <is>
          <t>S</t>
        </is>
      </c>
      <c r="AS308" s="1074" t="inlineStr">
        <is>
          <t>系统课老学员回流</t>
        </is>
      </c>
      <c r="AT308" s="311" t="n"/>
    </row>
    <row r="309" ht="26.25" customFormat="1" customHeight="1" s="366">
      <c r="A309" s="1074" t="inlineStr">
        <is>
          <t>新宝利</t>
        </is>
      </c>
      <c r="B309" s="1074" t="inlineStr">
        <is>
          <t>2112208710</t>
        </is>
      </c>
      <c r="C309" s="1074" t="inlineStr">
        <is>
          <t>俊儒</t>
        </is>
      </c>
      <c r="D309" s="1074" t="inlineStr">
        <is>
          <t>张敏烨</t>
        </is>
      </c>
      <c r="E309" s="1074" t="inlineStr">
        <is>
          <t>纯拉新</t>
        </is>
      </c>
      <c r="F309" s="1074" t="n"/>
      <c r="G309" s="1074" t="n"/>
      <c r="H309" s="1074" t="inlineStr">
        <is>
          <t>在读</t>
        </is>
      </c>
      <c r="I309" s="1074" t="inlineStr">
        <is>
          <t>一期/二期</t>
        </is>
      </c>
      <c r="J309" s="1074" t="inlineStr">
        <is>
          <t>5230742</t>
        </is>
      </c>
      <c r="K309" s="1074" t="inlineStr">
        <is>
          <t>报前测成绩</t>
        </is>
      </c>
      <c r="L309" s="1074" t="n">
        <v>65</v>
      </c>
      <c r="M309" s="1074" t="inlineStr">
        <is>
          <t>-</t>
        </is>
      </c>
      <c r="N309" s="1074" t="inlineStr">
        <is>
          <t>何咏04</t>
        </is>
      </c>
      <c r="O309" s="1074" t="inlineStr">
        <is>
          <t>教室2</t>
        </is>
      </c>
      <c r="P309" s="1074" t="inlineStr">
        <is>
          <t>13:20-15:30</t>
        </is>
      </c>
      <c r="Q309" s="1074" t="inlineStr">
        <is>
          <t>潜能班</t>
        </is>
      </c>
      <c r="R309" s="1074" t="inlineStr">
        <is>
          <t>一期</t>
        </is>
      </c>
      <c r="S309" s="1074" t="inlineStr">
        <is>
          <t>在读</t>
        </is>
      </c>
      <c r="T309" s="1074" t="inlineStr">
        <is>
          <t>是</t>
        </is>
      </c>
      <c r="U309" s="1074" t="inlineStr">
        <is>
          <t>5230773</t>
        </is>
      </c>
      <c r="V309" s="1074" t="n">
        <v>30</v>
      </c>
      <c r="W309" s="1074" t="inlineStr">
        <is>
          <t>陈南05</t>
        </is>
      </c>
      <c r="X309" s="1074" t="inlineStr">
        <is>
          <t>教室2</t>
        </is>
      </c>
      <c r="Y309" s="1074" t="inlineStr">
        <is>
          <t>15:50-18:00</t>
        </is>
      </c>
      <c r="Z309" s="1074" t="inlineStr">
        <is>
          <t>潜能班</t>
        </is>
      </c>
      <c r="AA309" s="1074" t="inlineStr">
        <is>
          <t>一期</t>
        </is>
      </c>
      <c r="AB309" s="1074" t="inlineStr">
        <is>
          <t>在读</t>
        </is>
      </c>
      <c r="AC309" s="1074" t="inlineStr">
        <is>
          <t>-</t>
        </is>
      </c>
      <c r="AD309" s="1074" t="inlineStr">
        <is>
          <t>5230738</t>
        </is>
      </c>
      <c r="AE309" s="1074" t="n">
        <v>25</v>
      </c>
      <c r="AF309" s="1074" t="inlineStr">
        <is>
          <t>高心怡04</t>
        </is>
      </c>
      <c r="AG309" s="1074" t="inlineStr">
        <is>
          <t>教室3</t>
        </is>
      </c>
      <c r="AH309" s="1074" t="inlineStr">
        <is>
          <t>10:20-12:30</t>
        </is>
      </c>
      <c r="AI309" s="1074" t="inlineStr">
        <is>
          <t>潜能班</t>
        </is>
      </c>
      <c r="AJ309" s="1074" t="inlineStr">
        <is>
          <t>二期</t>
        </is>
      </c>
      <c r="AK309" s="1074" t="inlineStr">
        <is>
          <t>在读</t>
        </is>
      </c>
      <c r="AL309" s="1074" t="inlineStr">
        <is>
          <t>-</t>
        </is>
      </c>
      <c r="AM309" s="1074" t="n"/>
      <c r="AN309" s="1074" t="n"/>
      <c r="AO309" s="1074" t="n"/>
      <c r="AP309" s="1074" t="n"/>
      <c r="AQ309" s="1074" t="n"/>
      <c r="AR309" s="1074" t="inlineStr">
        <is>
          <t>S</t>
        </is>
      </c>
      <c r="AS309" s="1074" t="inlineStr">
        <is>
          <t>已报秋</t>
        </is>
      </c>
      <c r="AT309" s="311" t="n"/>
    </row>
    <row r="310" ht="26.25" customFormat="1" customHeight="1" s="366">
      <c r="A310" s="1074" t="inlineStr">
        <is>
          <t>天成大厦</t>
        </is>
      </c>
      <c r="B310" s="1074" t="inlineStr">
        <is>
          <t>4218384525</t>
        </is>
      </c>
      <c r="C310" s="1074" t="inlineStr">
        <is>
          <t>刘芳铨</t>
        </is>
      </c>
      <c r="D310" s="1074" t="inlineStr">
        <is>
          <t>张敏烨</t>
        </is>
      </c>
      <c r="E310" s="1074" t="inlineStr">
        <is>
          <t>纯拉新</t>
        </is>
      </c>
      <c r="F310" s="1074" t="inlineStr">
        <is>
          <t>ID异常，疑似换手机号报名</t>
        </is>
      </c>
      <c r="G310" s="1074" t="n"/>
      <c r="H310" s="1074" t="inlineStr">
        <is>
          <t>在读</t>
        </is>
      </c>
      <c r="I310" s="1074" t="inlineStr">
        <is>
          <t>一期</t>
        </is>
      </c>
      <c r="J310" s="1074" t="inlineStr">
        <is>
          <t>5230775</t>
        </is>
      </c>
      <c r="K310" s="1074" t="inlineStr">
        <is>
          <t>校内成绩</t>
        </is>
      </c>
      <c r="L310" s="1074" t="n">
        <v>64</v>
      </c>
      <c r="M310" s="1074" t="n">
        <v>85</v>
      </c>
      <c r="N310" s="1074" t="inlineStr">
        <is>
          <t>陈中帅</t>
        </is>
      </c>
      <c r="O310" s="1074" t="inlineStr">
        <is>
          <t>03品尚</t>
        </is>
      </c>
      <c r="P310" s="1074" t="inlineStr">
        <is>
          <t>10:20-12:30</t>
        </is>
      </c>
      <c r="Q310" s="1074" t="inlineStr">
        <is>
          <t>潜能班</t>
        </is>
      </c>
      <c r="R310" s="1074" t="inlineStr">
        <is>
          <t>一期</t>
        </is>
      </c>
      <c r="S310" s="1074" t="inlineStr">
        <is>
          <t>在读</t>
        </is>
      </c>
      <c r="T310" s="1074" t="inlineStr">
        <is>
          <t>-</t>
        </is>
      </c>
      <c r="U310" s="1074" t="inlineStr">
        <is>
          <t>3132834</t>
        </is>
      </c>
      <c r="V310" s="1074" t="n"/>
      <c r="W310" s="1074" t="inlineStr">
        <is>
          <t>李润</t>
        </is>
      </c>
      <c r="X310" s="1074" t="inlineStr">
        <is>
          <t>03品尚</t>
        </is>
      </c>
      <c r="Y310" s="1074" t="inlineStr">
        <is>
          <t>07:50-10:00</t>
        </is>
      </c>
      <c r="Z310" s="1074" t="inlineStr">
        <is>
          <t>潜能班</t>
        </is>
      </c>
      <c r="AA310" s="1074" t="inlineStr">
        <is>
          <t>一期</t>
        </is>
      </c>
      <c r="AB310" s="1074" t="inlineStr">
        <is>
          <t>在读</t>
        </is>
      </c>
      <c r="AC310" s="1074" t="inlineStr">
        <is>
          <t>-</t>
        </is>
      </c>
      <c r="AD310" s="1074" t="inlineStr">
        <is>
          <t>5230783</t>
        </is>
      </c>
      <c r="AE310" s="1074" t="n"/>
      <c r="AF310" s="1074" t="inlineStr">
        <is>
          <t>刘希子</t>
        </is>
      </c>
      <c r="AG310" s="1074" t="inlineStr">
        <is>
          <t>03品尚</t>
        </is>
      </c>
      <c r="AH310" s="1074" t="inlineStr">
        <is>
          <t>13:20-15:30</t>
        </is>
      </c>
      <c r="AI310" s="1074" t="inlineStr">
        <is>
          <t>潜能班</t>
        </is>
      </c>
      <c r="AJ310" s="1074" t="inlineStr">
        <is>
          <t>一期</t>
        </is>
      </c>
      <c r="AK310" s="1074" t="inlineStr">
        <is>
          <t>在读</t>
        </is>
      </c>
      <c r="AL310" s="1074" t="inlineStr">
        <is>
          <t>-</t>
        </is>
      </c>
      <c r="AM310" s="1074" t="n"/>
      <c r="AN310" s="1074" t="n"/>
      <c r="AO310" s="1074" t="n"/>
      <c r="AP310" s="1074" t="n"/>
      <c r="AQ310" s="1074" t="n"/>
      <c r="AR310" s="1074" t="n"/>
      <c r="AS310" s="1074" t="n"/>
      <c r="AT310" s="311" t="n"/>
    </row>
    <row r="311" ht="26.25" customFormat="1" customHeight="1" s="366">
      <c r="A311" s="1074" t="inlineStr">
        <is>
          <t>新宝利</t>
        </is>
      </c>
      <c r="B311" s="1074" t="inlineStr">
        <is>
          <t>2580537342</t>
        </is>
      </c>
      <c r="C311" s="1074" t="inlineStr">
        <is>
          <t>黄愉晴</t>
        </is>
      </c>
      <c r="D311" s="1074" t="inlineStr">
        <is>
          <t>杨林33</t>
        </is>
      </c>
      <c r="E311" s="1074" t="inlineStr">
        <is>
          <t>纯拉新</t>
        </is>
      </c>
      <c r="F311" s="1074" t="n"/>
      <c r="G311" s="1074" t="n"/>
      <c r="H311" s="1074" t="inlineStr">
        <is>
          <t>在读</t>
        </is>
      </c>
      <c r="I311" s="1074" t="inlineStr">
        <is>
          <t>一期</t>
        </is>
      </c>
      <c r="J311" s="1074" t="inlineStr">
        <is>
          <t>5230742</t>
        </is>
      </c>
      <c r="K311" s="1074" t="inlineStr">
        <is>
          <t>报前测成绩</t>
        </is>
      </c>
      <c r="L311" s="1074" t="n">
        <v>70</v>
      </c>
      <c r="M311" s="1074" t="inlineStr">
        <is>
          <t>-</t>
        </is>
      </c>
      <c r="N311" s="1074" t="inlineStr">
        <is>
          <t>何咏04</t>
        </is>
      </c>
      <c r="O311" s="1074" t="inlineStr">
        <is>
          <t>教室2</t>
        </is>
      </c>
      <c r="P311" s="1074" t="inlineStr">
        <is>
          <t>13:20-15:30</t>
        </is>
      </c>
      <c r="Q311" s="1074" t="inlineStr">
        <is>
          <t>潜能班</t>
        </is>
      </c>
      <c r="R311" s="1074" t="inlineStr">
        <is>
          <t>一期</t>
        </is>
      </c>
      <c r="S311" s="1074" t="inlineStr">
        <is>
          <t>在读</t>
        </is>
      </c>
      <c r="T311" s="1074" t="inlineStr">
        <is>
          <t>-</t>
        </is>
      </c>
      <c r="U311" s="1074" t="inlineStr">
        <is>
          <t>5230773</t>
        </is>
      </c>
      <c r="V311" s="1074" t="n">
        <v>33</v>
      </c>
      <c r="W311" s="1074" t="inlineStr">
        <is>
          <t>陈南05</t>
        </is>
      </c>
      <c r="X311" s="1074" t="inlineStr">
        <is>
          <t>教室2</t>
        </is>
      </c>
      <c r="Y311" s="1074" t="inlineStr">
        <is>
          <t>15:50-18:00</t>
        </is>
      </c>
      <c r="Z311" s="1074" t="inlineStr">
        <is>
          <t>潜能班</t>
        </is>
      </c>
      <c r="AA311" s="1074" t="inlineStr">
        <is>
          <t>一期</t>
        </is>
      </c>
      <c r="AB311" s="1074" t="inlineStr">
        <is>
          <t>在读</t>
        </is>
      </c>
      <c r="AC311" s="1074" t="inlineStr">
        <is>
          <t>-</t>
        </is>
      </c>
      <c r="AD311" s="1074" t="inlineStr">
        <is>
          <t>3132888</t>
        </is>
      </c>
      <c r="AE311" s="1074" t="n">
        <v>35</v>
      </c>
      <c r="AF311" s="1074" t="inlineStr">
        <is>
          <t>肖锐03</t>
        </is>
      </c>
      <c r="AG311" s="1074" t="inlineStr">
        <is>
          <t>教室2</t>
        </is>
      </c>
      <c r="AH311" s="1074" t="inlineStr">
        <is>
          <t>10:20-12:30</t>
        </is>
      </c>
      <c r="AI311" s="1074" t="inlineStr">
        <is>
          <t>潜能班</t>
        </is>
      </c>
      <c r="AJ311" s="1074" t="inlineStr">
        <is>
          <t>一期</t>
        </is>
      </c>
      <c r="AK311" s="1074" t="inlineStr">
        <is>
          <t>在读</t>
        </is>
      </c>
      <c r="AL311" s="1074" t="inlineStr">
        <is>
          <t>是</t>
        </is>
      </c>
      <c r="AM311" s="1074" t="n"/>
      <c r="AN311" s="1074" t="n"/>
      <c r="AO311" s="1074" t="n"/>
      <c r="AP311" s="1074" t="n"/>
      <c r="AQ311" s="1074" t="n"/>
      <c r="AR311" s="1074" t="inlineStr">
        <is>
          <t>B</t>
        </is>
      </c>
      <c r="AS311" s="1074" t="inlineStr">
        <is>
          <t>讲座现场报名，沟通比较少，教育理念可以的，支付能力不确定</t>
        </is>
      </c>
      <c r="AT311" s="311" t="n"/>
    </row>
    <row r="312" ht="26.25" customFormat="1" customHeight="1" s="366">
      <c r="A312" s="1074" t="inlineStr">
        <is>
          <t>同创汇</t>
        </is>
      </c>
      <c r="B312" s="1074" t="inlineStr">
        <is>
          <t>2564941289</t>
        </is>
      </c>
      <c r="C312" s="1074" t="inlineStr">
        <is>
          <t>李倬承</t>
        </is>
      </c>
      <c r="D312" s="1074" t="inlineStr">
        <is>
          <t>王丽</t>
        </is>
      </c>
      <c r="E312" s="1074" t="inlineStr">
        <is>
          <t>春季在读老生</t>
        </is>
      </c>
      <c r="F312" s="1074" t="n"/>
      <c r="G312" s="1074" t="n"/>
      <c r="H312" s="1074" t="inlineStr">
        <is>
          <t>在读</t>
        </is>
      </c>
      <c r="I312" s="1074" t="inlineStr">
        <is>
          <t>零期</t>
        </is>
      </c>
      <c r="J312" s="1074" t="inlineStr">
        <is>
          <t>3132897</t>
        </is>
      </c>
      <c r="K312" s="1074" t="inlineStr">
        <is>
          <t>老师预估</t>
        </is>
      </c>
      <c r="L312" s="1074" t="n">
        <v>85</v>
      </c>
      <c r="M312" s="1074" t="inlineStr">
        <is>
          <t>-</t>
        </is>
      </c>
      <c r="N312" s="1074" t="inlineStr">
        <is>
          <t>陈中帅</t>
        </is>
      </c>
      <c r="O312" s="1074" t="inlineStr">
        <is>
          <t>01智慧林</t>
        </is>
      </c>
      <c r="P312" s="1074" t="inlineStr">
        <is>
          <t>10:20-12:30</t>
        </is>
      </c>
      <c r="Q312" s="1074" t="inlineStr">
        <is>
          <t>潜能班</t>
        </is>
      </c>
      <c r="R312" s="1074" t="inlineStr">
        <is>
          <t>零期</t>
        </is>
      </c>
      <c r="S312" s="1074" t="inlineStr">
        <is>
          <t>在读</t>
        </is>
      </c>
      <c r="T312" s="1074" t="inlineStr">
        <is>
          <t>是</t>
        </is>
      </c>
      <c r="U312" s="1074" t="inlineStr">
        <is>
          <t>-</t>
        </is>
      </c>
      <c r="V312" s="1074" t="inlineStr"/>
      <c r="W312" s="1074" t="inlineStr">
        <is>
          <t>-</t>
        </is>
      </c>
      <c r="X312" s="1074" t="inlineStr">
        <is>
          <t>-</t>
        </is>
      </c>
      <c r="Y312" s="1074" t="inlineStr">
        <is>
          <t>-</t>
        </is>
      </c>
      <c r="Z312" s="1074" t="inlineStr">
        <is>
          <t>-</t>
        </is>
      </c>
      <c r="AA312" s="1074" t="inlineStr">
        <is>
          <t>-</t>
        </is>
      </c>
      <c r="AB312" s="1074" t="inlineStr">
        <is>
          <t>-</t>
        </is>
      </c>
      <c r="AC312" s="1074" t="inlineStr">
        <is>
          <t>-</t>
        </is>
      </c>
      <c r="AD312" s="1074" t="inlineStr">
        <is>
          <t>5230737</t>
        </is>
      </c>
      <c r="AE312" s="1074" t="n">
        <v>0</v>
      </c>
      <c r="AF312" s="1074" t="inlineStr">
        <is>
          <t>高心怡04</t>
        </is>
      </c>
      <c r="AG312" s="1074" t="inlineStr">
        <is>
          <t>01智慧林</t>
        </is>
      </c>
      <c r="AH312" s="1074" t="inlineStr">
        <is>
          <t>13:20-15:30</t>
        </is>
      </c>
      <c r="AI312" s="1074" t="inlineStr">
        <is>
          <t>潜能班</t>
        </is>
      </c>
      <c r="AJ312" s="1074" t="inlineStr">
        <is>
          <t>零期</t>
        </is>
      </c>
      <c r="AK312" s="1074" t="inlineStr">
        <is>
          <t>在读</t>
        </is>
      </c>
      <c r="AL312" s="1074" t="inlineStr">
        <is>
          <t>-</t>
        </is>
      </c>
      <c r="AM312" s="1074" t="inlineStr">
        <is>
          <t>是</t>
        </is>
      </c>
      <c r="AN312" s="1074" t="inlineStr">
        <is>
          <t>否</t>
        </is>
      </c>
      <c r="AO312" s="1074" t="inlineStr">
        <is>
          <t>否</t>
        </is>
      </c>
      <c r="AP312" s="1074" t="n"/>
      <c r="AQ312" s="1074" t="n"/>
      <c r="AR312" s="1074" t="inlineStr">
        <is>
          <t>S</t>
        </is>
      </c>
      <c r="AS312" s="1074" t="inlineStr">
        <is>
          <t>妈妈问过秋季的安排和费用，数学正价在读</t>
        </is>
      </c>
      <c r="AT312" s="311" t="n"/>
    </row>
    <row r="313" ht="26.25" customFormat="1" customHeight="1" s="366">
      <c r="A313" s="1074" t="inlineStr">
        <is>
          <t>天成大厦</t>
        </is>
      </c>
      <c r="B313" s="1074" t="inlineStr">
        <is>
          <t>4397457478</t>
        </is>
      </c>
      <c r="C313" s="1074" t="inlineStr">
        <is>
          <t>刘均瑞</t>
        </is>
      </c>
      <c r="D313" s="1074" t="inlineStr">
        <is>
          <t>尚歆01</t>
        </is>
      </c>
      <c r="E313" s="1074" t="inlineStr">
        <is>
          <t>断报老生</t>
        </is>
      </c>
      <c r="F313" s="1074" t="n"/>
      <c r="G313" s="1074" t="n"/>
      <c r="H313" s="1074" t="inlineStr">
        <is>
          <t>在读</t>
        </is>
      </c>
      <c r="I313" s="1074" t="inlineStr">
        <is>
          <t>一期</t>
        </is>
      </c>
      <c r="J313" s="1074" t="inlineStr">
        <is>
          <t>5230775</t>
        </is>
      </c>
      <c r="K313" s="1074" t="inlineStr">
        <is>
          <t>-</t>
        </is>
      </c>
      <c r="L313" s="1074" t="inlineStr">
        <is>
          <t>-</t>
        </is>
      </c>
      <c r="M313" s="1074" t="inlineStr">
        <is>
          <t>-</t>
        </is>
      </c>
      <c r="N313" s="1074" t="inlineStr">
        <is>
          <t>陈中帅</t>
        </is>
      </c>
      <c r="O313" s="1074" t="inlineStr">
        <is>
          <t>03品尚</t>
        </is>
      </c>
      <c r="P313" s="1074" t="inlineStr">
        <is>
          <t>10:20-12:30</t>
        </is>
      </c>
      <c r="Q313" s="1074" t="inlineStr">
        <is>
          <t>潜能班</t>
        </is>
      </c>
      <c r="R313" s="1074" t="inlineStr">
        <is>
          <t>一期</t>
        </is>
      </c>
      <c r="S313" s="1074" t="inlineStr">
        <is>
          <t>在读</t>
        </is>
      </c>
      <c r="T313" s="1074" t="inlineStr">
        <is>
          <t>-</t>
        </is>
      </c>
      <c r="U313" s="1074" t="inlineStr">
        <is>
          <t>-</t>
        </is>
      </c>
      <c r="V313" s="1074" t="inlineStr"/>
      <c r="W313" s="1074" t="inlineStr">
        <is>
          <t>-</t>
        </is>
      </c>
      <c r="X313" s="1074" t="inlineStr">
        <is>
          <t>-</t>
        </is>
      </c>
      <c r="Y313" s="1074" t="inlineStr">
        <is>
          <t>-</t>
        </is>
      </c>
      <c r="Z313" s="1074" t="inlineStr">
        <is>
          <t>-</t>
        </is>
      </c>
      <c r="AA313" s="1074" t="inlineStr">
        <is>
          <t>-</t>
        </is>
      </c>
      <c r="AB313" s="1074" t="inlineStr">
        <is>
          <t>-</t>
        </is>
      </c>
      <c r="AC313" s="1074" t="inlineStr">
        <is>
          <t>-</t>
        </is>
      </c>
      <c r="AD313" s="1074" t="inlineStr">
        <is>
          <t>5230783</t>
        </is>
      </c>
      <c r="AE313" s="1074" t="n">
        <v>20</v>
      </c>
      <c r="AF313" s="1074" t="inlineStr">
        <is>
          <t>刘希子</t>
        </is>
      </c>
      <c r="AG313" s="1074" t="inlineStr">
        <is>
          <t>03品尚</t>
        </is>
      </c>
      <c r="AH313" s="1074" t="inlineStr">
        <is>
          <t>13:20-15:30</t>
        </is>
      </c>
      <c r="AI313" s="1074" t="inlineStr">
        <is>
          <t>潜能班</t>
        </is>
      </c>
      <c r="AJ313" s="1074" t="inlineStr">
        <is>
          <t>一期</t>
        </is>
      </c>
      <c r="AK313" s="1074" t="inlineStr">
        <is>
          <t>在读</t>
        </is>
      </c>
      <c r="AL313" s="1074" t="inlineStr">
        <is>
          <t>-</t>
        </is>
      </c>
      <c r="AM313" s="1074" t="n"/>
      <c r="AN313" s="1074" t="n"/>
      <c r="AO313" s="1074" t="n"/>
      <c r="AP313" s="1074" t="n"/>
      <c r="AQ313" s="1074" t="n"/>
      <c r="AR313" s="1074" t="n"/>
      <c r="AS313" s="1074" t="n"/>
      <c r="AT313" s="311" t="n"/>
    </row>
    <row r="314" ht="26.25" customFormat="1" customHeight="1" s="366">
      <c r="A314" s="1074" t="inlineStr">
        <is>
          <t>新宝利</t>
        </is>
      </c>
      <c r="B314" s="1074" t="inlineStr">
        <is>
          <t>2920739804</t>
        </is>
      </c>
      <c r="C314" s="1074" t="inlineStr">
        <is>
          <t>朗朗</t>
        </is>
      </c>
      <c r="D314" s="1074" t="inlineStr">
        <is>
          <t>陈亮延</t>
        </is>
      </c>
      <c r="E314" s="1074" t="inlineStr">
        <is>
          <t>纯拉新</t>
        </is>
      </c>
      <c r="F314" s="1074" t="n"/>
      <c r="G314" s="1074" t="n"/>
      <c r="H314" s="1074" t="inlineStr">
        <is>
          <t>在读</t>
        </is>
      </c>
      <c r="I314" s="1074" t="inlineStr">
        <is>
          <t>三期</t>
        </is>
      </c>
      <c r="J314" s="1074" t="inlineStr">
        <is>
          <t>3132902</t>
        </is>
      </c>
      <c r="K314" s="1074" t="inlineStr">
        <is>
          <t>报前测成绩</t>
        </is>
      </c>
      <c r="L314" s="1074" t="n">
        <v>33.5</v>
      </c>
      <c r="M314" s="1074" t="inlineStr">
        <is>
          <t>-</t>
        </is>
      </c>
      <c r="N314" s="1074" t="inlineStr">
        <is>
          <t>陈中帅</t>
        </is>
      </c>
      <c r="O314" s="1074" t="inlineStr">
        <is>
          <t>教室3</t>
        </is>
      </c>
      <c r="P314" s="1074" t="inlineStr">
        <is>
          <t>13:20-15:30</t>
        </is>
      </c>
      <c r="Q314" s="1074" t="inlineStr">
        <is>
          <t>潜能班</t>
        </is>
      </c>
      <c r="R314" s="1074" t="inlineStr">
        <is>
          <t>三期</t>
        </is>
      </c>
      <c r="S314" s="1074" t="inlineStr">
        <is>
          <t>在读</t>
        </is>
      </c>
      <c r="T314" s="1074" t="inlineStr">
        <is>
          <t>-</t>
        </is>
      </c>
      <c r="U314" s="1074" t="inlineStr">
        <is>
          <t>5230747</t>
        </is>
      </c>
      <c r="V314" s="1074" t="n">
        <v>49</v>
      </c>
      <c r="W314" s="1074" t="inlineStr">
        <is>
          <t>陈南05</t>
        </is>
      </c>
      <c r="X314" s="1074" t="inlineStr">
        <is>
          <t>教室3</t>
        </is>
      </c>
      <c r="Y314" s="1074" t="inlineStr">
        <is>
          <t>10:20-12:30</t>
        </is>
      </c>
      <c r="Z314" s="1074" t="inlineStr">
        <is>
          <t>潜能班</t>
        </is>
      </c>
      <c r="AA314" s="1074" t="inlineStr">
        <is>
          <t>三期</t>
        </is>
      </c>
      <c r="AB314" s="1074" t="inlineStr">
        <is>
          <t>在读</t>
        </is>
      </c>
      <c r="AC314" s="1074" t="inlineStr">
        <is>
          <t>-</t>
        </is>
      </c>
      <c r="AD314" s="1074" t="inlineStr">
        <is>
          <t>5230821</t>
        </is>
      </c>
      <c r="AE314" s="1074" t="n">
        <v>100</v>
      </c>
      <c r="AF314" s="1074" t="inlineStr">
        <is>
          <t>肖锐03</t>
        </is>
      </c>
      <c r="AG314" s="1074" t="inlineStr">
        <is>
          <t>教室3</t>
        </is>
      </c>
      <c r="AH314" s="1074" t="inlineStr">
        <is>
          <t>15:50-18:00</t>
        </is>
      </c>
      <c r="AI314" s="1074" t="inlineStr">
        <is>
          <t>潜能班</t>
        </is>
      </c>
      <c r="AJ314" s="1074" t="inlineStr">
        <is>
          <t>三期</t>
        </is>
      </c>
      <c r="AK314" s="1074" t="inlineStr">
        <is>
          <t>在读</t>
        </is>
      </c>
      <c r="AL314" s="1074" t="inlineStr">
        <is>
          <t>-</t>
        </is>
      </c>
      <c r="AM314" s="1074" t="n"/>
      <c r="AN314" s="1074" t="n"/>
      <c r="AO314" s="1074" t="n"/>
      <c r="AP314" s="1074" t="n"/>
      <c r="AQ314" s="1074" t="n"/>
      <c r="AR314" s="1074" t="inlineStr">
        <is>
          <t>A</t>
        </is>
      </c>
      <c r="AS314" s="1074" t="inlineStr">
        <is>
          <t>家长课前有问过秋季安排</t>
        </is>
      </c>
      <c r="AT314" s="311" t="n"/>
    </row>
    <row r="315" ht="26.25" customFormat="1" customHeight="1" s="366">
      <c r="A315" s="1074" t="inlineStr">
        <is>
          <t>新宝利</t>
        </is>
      </c>
      <c r="B315" s="1074" t="inlineStr">
        <is>
          <t>4815965040</t>
        </is>
      </c>
      <c r="C315" s="1074" t="inlineStr">
        <is>
          <t>巴子轩</t>
        </is>
      </c>
      <c r="D315" s="1074" t="inlineStr">
        <is>
          <t>林志豪01</t>
        </is>
      </c>
      <c r="E315" s="1074" t="inlineStr">
        <is>
          <t>纯拉新</t>
        </is>
      </c>
      <c r="F315" s="1074" t="n"/>
      <c r="G315" s="1074" t="n"/>
      <c r="H315" s="1074" t="inlineStr">
        <is>
          <t>在读</t>
        </is>
      </c>
      <c r="I315" s="1074" t="inlineStr">
        <is>
          <t>三期</t>
        </is>
      </c>
      <c r="J315" s="1074" t="inlineStr">
        <is>
          <t>4632447</t>
        </is>
      </c>
      <c r="K315" s="1074" t="inlineStr">
        <is>
          <t>报前测成绩</t>
        </is>
      </c>
      <c r="L315" s="1074" t="n">
        <v>47</v>
      </c>
      <c r="M315" s="1074" t="inlineStr">
        <is>
          <t>-</t>
        </is>
      </c>
      <c r="N315" s="1074" t="inlineStr">
        <is>
          <t>田雨涵01</t>
        </is>
      </c>
      <c r="O315" s="1074" t="inlineStr">
        <is>
          <t>教室5</t>
        </is>
      </c>
      <c r="P315" s="1074" t="inlineStr">
        <is>
          <t>10:20-12:30</t>
        </is>
      </c>
      <c r="Q315" s="1074" t="inlineStr">
        <is>
          <t>潜能班</t>
        </is>
      </c>
      <c r="R315" s="1074" t="inlineStr">
        <is>
          <t>三期</t>
        </is>
      </c>
      <c r="S315" s="1074" t="inlineStr">
        <is>
          <t>在读</t>
        </is>
      </c>
      <c r="T315" s="1074" t="inlineStr">
        <is>
          <t>-</t>
        </is>
      </c>
      <c r="U315" s="1074" t="inlineStr">
        <is>
          <t>5111226</t>
        </is>
      </c>
      <c r="V315" s="1074" t="n">
        <v>27</v>
      </c>
      <c r="W315" s="1074" t="inlineStr">
        <is>
          <t>李润</t>
        </is>
      </c>
      <c r="X315" s="1074" t="inlineStr">
        <is>
          <t>教室5</t>
        </is>
      </c>
      <c r="Y315" s="1074" t="inlineStr">
        <is>
          <t>15:50-18:00</t>
        </is>
      </c>
      <c r="Z315" s="1074" t="inlineStr">
        <is>
          <t>潜能班</t>
        </is>
      </c>
      <c r="AA315" s="1074" t="inlineStr">
        <is>
          <t>三期</t>
        </is>
      </c>
      <c r="AB315" s="1074" t="inlineStr">
        <is>
          <t>在读</t>
        </is>
      </c>
      <c r="AC315" s="1074" t="inlineStr">
        <is>
          <t>-</t>
        </is>
      </c>
      <c r="AD315" s="1074" t="inlineStr">
        <is>
          <t>4513388</t>
        </is>
      </c>
      <c r="AE315" s="1074" t="n">
        <v>34.5</v>
      </c>
      <c r="AF315" s="1074" t="inlineStr">
        <is>
          <t>肖锐03</t>
        </is>
      </c>
      <c r="AG315" s="1074" t="inlineStr">
        <is>
          <t>教室5</t>
        </is>
      </c>
      <c r="AH315" s="1074" t="inlineStr">
        <is>
          <t>13:20-15:30</t>
        </is>
      </c>
      <c r="AI315" s="1074" t="inlineStr">
        <is>
          <t>潜能班</t>
        </is>
      </c>
      <c r="AJ315" s="1074" t="inlineStr">
        <is>
          <t>三期</t>
        </is>
      </c>
      <c r="AK315" s="1074" t="inlineStr">
        <is>
          <t>在读</t>
        </is>
      </c>
      <c r="AL315" s="1074" t="inlineStr">
        <is>
          <t>-</t>
        </is>
      </c>
      <c r="AM315" s="1074" t="n"/>
      <c r="AN315" s="1074" t="n"/>
      <c r="AO315" s="1074" t="n"/>
      <c r="AP315" s="1074" t="n"/>
      <c r="AQ315" s="1074" t="n"/>
      <c r="AR315" s="1074" t="inlineStr">
        <is>
          <t>A</t>
        </is>
      </c>
      <c r="AS315" s="1074" t="inlineStr">
        <is>
          <t>爸爸两娃，都有沟通正价课，知道我们正价课价格，需要看效果，孩子意愿</t>
        </is>
      </c>
      <c r="AT315" s="311" t="n"/>
    </row>
    <row r="316" ht="26.25" customFormat="1" customHeight="1" s="366">
      <c r="A316" s="1074" t="inlineStr">
        <is>
          <t>天成大厦</t>
        </is>
      </c>
      <c r="B316" s="1074" t="inlineStr">
        <is>
          <t>4129826988</t>
        </is>
      </c>
      <c r="C316" s="1074" t="inlineStr">
        <is>
          <t>区玮倩</t>
        </is>
      </c>
      <c r="D316" s="1074" t="inlineStr">
        <is>
          <t>王达04</t>
        </is>
      </c>
      <c r="E316" s="1074" t="inlineStr">
        <is>
          <t>纯拉新</t>
        </is>
      </c>
      <c r="F316" s="1074" t="n"/>
      <c r="G316" s="1074" t="n"/>
      <c r="H316" s="1074" t="inlineStr">
        <is>
          <t>在读</t>
        </is>
      </c>
      <c r="I316" s="1074" t="inlineStr">
        <is>
          <t>一期</t>
        </is>
      </c>
      <c r="J316" s="1074" t="inlineStr">
        <is>
          <t>5230775</t>
        </is>
      </c>
      <c r="K316" s="1074" t="inlineStr">
        <is>
          <t>报前测成绩</t>
        </is>
      </c>
      <c r="L316" s="1074" t="n">
        <v>59</v>
      </c>
      <c r="M316" s="1074" t="inlineStr">
        <is>
          <t>-</t>
        </is>
      </c>
      <c r="N316" s="1074" t="inlineStr">
        <is>
          <t>陈中帅</t>
        </is>
      </c>
      <c r="O316" s="1074" t="inlineStr">
        <is>
          <t>03品尚</t>
        </is>
      </c>
      <c r="P316" s="1074" t="inlineStr">
        <is>
          <t>10:20-12:30</t>
        </is>
      </c>
      <c r="Q316" s="1074" t="inlineStr">
        <is>
          <t>潜能班</t>
        </is>
      </c>
      <c r="R316" s="1074" t="inlineStr">
        <is>
          <t>一期</t>
        </is>
      </c>
      <c r="S316" s="1074" t="inlineStr">
        <is>
          <t>在读</t>
        </is>
      </c>
      <c r="T316" s="1074" t="inlineStr">
        <is>
          <t>-</t>
        </is>
      </c>
      <c r="U316" s="1074" t="inlineStr">
        <is>
          <t>3132834</t>
        </is>
      </c>
      <c r="V316" s="1074" t="n">
        <v>28</v>
      </c>
      <c r="W316" s="1074" t="inlineStr">
        <is>
          <t>李润</t>
        </is>
      </c>
      <c r="X316" s="1074" t="inlineStr">
        <is>
          <t>03品尚</t>
        </is>
      </c>
      <c r="Y316" s="1074" t="inlineStr">
        <is>
          <t>07:50-10:00</t>
        </is>
      </c>
      <c r="Z316" s="1074" t="inlineStr">
        <is>
          <t>潜能班</t>
        </is>
      </c>
      <c r="AA316" s="1074" t="inlineStr">
        <is>
          <t>一期</t>
        </is>
      </c>
      <c r="AB316" s="1074" t="inlineStr">
        <is>
          <t>在读</t>
        </is>
      </c>
      <c r="AC316" s="1074" t="inlineStr">
        <is>
          <t>-</t>
        </is>
      </c>
      <c r="AD316" s="1074" t="inlineStr">
        <is>
          <t>5230783</t>
        </is>
      </c>
      <c r="AE316" s="1074" t="n">
        <v>17</v>
      </c>
      <c r="AF316" s="1074" t="inlineStr">
        <is>
          <t>刘希子</t>
        </is>
      </c>
      <c r="AG316" s="1074" t="inlineStr">
        <is>
          <t>03品尚</t>
        </is>
      </c>
      <c r="AH316" s="1074" t="inlineStr">
        <is>
          <t>13:20-15:30</t>
        </is>
      </c>
      <c r="AI316" s="1074" t="inlineStr">
        <is>
          <t>潜能班</t>
        </is>
      </c>
      <c r="AJ316" s="1074" t="inlineStr">
        <is>
          <t>一期</t>
        </is>
      </c>
      <c r="AK316" s="1074" t="inlineStr">
        <is>
          <t>在读</t>
        </is>
      </c>
      <c r="AL316" s="1074" t="inlineStr">
        <is>
          <t>-</t>
        </is>
      </c>
      <c r="AM316" s="1074" t="n"/>
      <c r="AN316" s="1074" t="n"/>
      <c r="AO316" s="1074" t="n"/>
      <c r="AP316" s="1074" t="n"/>
      <c r="AQ316" s="1074" t="n"/>
      <c r="AR316" s="1074" t="n"/>
      <c r="AS316" s="1074" t="n"/>
      <c r="AT316" s="311" t="n"/>
    </row>
    <row r="317" ht="26.25" customFormat="1" customHeight="1" s="366">
      <c r="A317" s="1074" t="inlineStr">
        <is>
          <t>新宝利</t>
        </is>
      </c>
      <c r="B317" s="1074" t="inlineStr">
        <is>
          <t>4027388026</t>
        </is>
      </c>
      <c r="C317" s="1074" t="inlineStr">
        <is>
          <t>梁嘉轩</t>
        </is>
      </c>
      <c r="D317" s="1074" t="inlineStr">
        <is>
          <t>林志豪01</t>
        </is>
      </c>
      <c r="E317" s="1074" t="inlineStr">
        <is>
          <t>纯拉新</t>
        </is>
      </c>
      <c r="F317" s="1074" t="n"/>
      <c r="G317" s="1074" t="n"/>
      <c r="H317" s="1074" t="inlineStr">
        <is>
          <t>在读</t>
        </is>
      </c>
      <c r="I317" s="1074" t="inlineStr">
        <is>
          <t>二期</t>
        </is>
      </c>
      <c r="J317" s="1074" t="inlineStr">
        <is>
          <t>5111034</t>
        </is>
      </c>
      <c r="K317" s="1074" t="inlineStr">
        <is>
          <t>校内成绩</t>
        </is>
      </c>
      <c r="L317" s="1074" t="n">
        <v>72</v>
      </c>
      <c r="M317" s="1074" t="n">
        <v>90</v>
      </c>
      <c r="N317" s="1074" t="inlineStr">
        <is>
          <t>田雨涵01</t>
        </is>
      </c>
      <c r="O317" s="1074" t="inlineStr">
        <is>
          <t>教室4</t>
        </is>
      </c>
      <c r="P317" s="1074" t="inlineStr">
        <is>
          <t>13:20-15:30</t>
        </is>
      </c>
      <c r="Q317" s="1074" t="inlineStr">
        <is>
          <t>潜能班</t>
        </is>
      </c>
      <c r="R317" s="1074" t="inlineStr">
        <is>
          <t>二期</t>
        </is>
      </c>
      <c r="S317" s="1074" t="inlineStr">
        <is>
          <t>在读</t>
        </is>
      </c>
      <c r="T317" s="1074" t="inlineStr">
        <is>
          <t>-</t>
        </is>
      </c>
      <c r="U317" s="1074" t="inlineStr">
        <is>
          <t>4513342</t>
        </is>
      </c>
      <c r="V317" s="1074" t="n">
        <v>0</v>
      </c>
      <c r="W317" s="1074" t="inlineStr">
        <is>
          <t>黄铭怡</t>
        </is>
      </c>
      <c r="X317" s="1074" t="inlineStr">
        <is>
          <t>教室4</t>
        </is>
      </c>
      <c r="Y317" s="1074" t="inlineStr">
        <is>
          <t>10:20-12:30</t>
        </is>
      </c>
      <c r="Z317" s="1074" t="inlineStr">
        <is>
          <t>潜能班</t>
        </is>
      </c>
      <c r="AA317" s="1074" t="inlineStr">
        <is>
          <t>二期</t>
        </is>
      </c>
      <c r="AB317" s="1074" t="inlineStr">
        <is>
          <t>在读</t>
        </is>
      </c>
      <c r="AC317" s="1074" t="inlineStr">
        <is>
          <t>-</t>
        </is>
      </c>
      <c r="AD317" s="1074" t="inlineStr">
        <is>
          <t>-</t>
        </is>
      </c>
      <c r="AE317" s="1074" t="inlineStr"/>
      <c r="AF317" s="1074" t="inlineStr">
        <is>
          <t>-</t>
        </is>
      </c>
      <c r="AG317" s="1074" t="inlineStr">
        <is>
          <t>-</t>
        </is>
      </c>
      <c r="AH317" s="1074" t="inlineStr">
        <is>
          <t>-</t>
        </is>
      </c>
      <c r="AI317" s="1074" t="inlineStr">
        <is>
          <t>-</t>
        </is>
      </c>
      <c r="AJ317" s="1074" t="inlineStr">
        <is>
          <t>-</t>
        </is>
      </c>
      <c r="AK317" s="1074" t="inlineStr">
        <is>
          <t>-</t>
        </is>
      </c>
      <c r="AL317" s="1074" t="inlineStr">
        <is>
          <t>-</t>
        </is>
      </c>
      <c r="AM317" s="1074" t="n"/>
      <c r="AN317" s="1074" t="n"/>
      <c r="AO317" s="1074" t="n"/>
      <c r="AP317" s="1074" t="n"/>
      <c r="AQ317" s="1074" t="n"/>
      <c r="AR317" s="1074" t="inlineStr">
        <is>
          <t>B</t>
        </is>
      </c>
      <c r="AS317" s="1074" t="inlineStr">
        <is>
          <t>只问了暑假的课程和教学内容，其他没过多沟通</t>
        </is>
      </c>
      <c r="AT317" s="311" t="n"/>
    </row>
    <row r="318" ht="26.25" customFormat="1" customHeight="1" s="366">
      <c r="A318" s="1074" t="inlineStr">
        <is>
          <t>新宝利</t>
        </is>
      </c>
      <c r="B318" s="1074" t="inlineStr">
        <is>
          <t>2466589641</t>
        </is>
      </c>
      <c r="C318" s="1074" t="inlineStr">
        <is>
          <t>赖奕鹏</t>
        </is>
      </c>
      <c r="D318" s="1074" t="inlineStr">
        <is>
          <t>林志豪01</t>
        </is>
      </c>
      <c r="E318" s="1074" t="inlineStr">
        <is>
          <t>春季在读老生</t>
        </is>
      </c>
      <c r="F318" s="1074" t="n"/>
      <c r="G318" s="1074" t="n"/>
      <c r="H318" s="1074" t="inlineStr">
        <is>
          <t>在读</t>
        </is>
      </c>
      <c r="I318" s="1074" t="inlineStr">
        <is>
          <t>零期</t>
        </is>
      </c>
      <c r="J318" s="1074" t="inlineStr">
        <is>
          <t>3132884</t>
        </is>
      </c>
      <c r="K318" s="1074" t="inlineStr">
        <is>
          <t>报前测成绩</t>
        </is>
      </c>
      <c r="L318" s="1074" t="n">
        <v>60</v>
      </c>
      <c r="M318" s="1074" t="inlineStr">
        <is>
          <t>-</t>
        </is>
      </c>
      <c r="N318" s="1074" t="inlineStr">
        <is>
          <t>田雨涵01</t>
        </is>
      </c>
      <c r="O318" s="1074" t="inlineStr">
        <is>
          <t>教室3</t>
        </is>
      </c>
      <c r="P318" s="1074" t="inlineStr">
        <is>
          <t>13:20-15:30</t>
        </is>
      </c>
      <c r="Q318" s="1074" t="inlineStr">
        <is>
          <t>潜能班</t>
        </is>
      </c>
      <c r="R318" s="1074" t="inlineStr">
        <is>
          <t>零期</t>
        </is>
      </c>
      <c r="S318" s="1074" t="inlineStr">
        <is>
          <t>在读</t>
        </is>
      </c>
      <c r="T318" s="1074" t="inlineStr">
        <is>
          <t>是</t>
        </is>
      </c>
      <c r="U318" s="1074" t="inlineStr">
        <is>
          <t>-</t>
        </is>
      </c>
      <c r="V318" s="1074" t="inlineStr"/>
      <c r="W318" s="1074" t="inlineStr">
        <is>
          <t>-</t>
        </is>
      </c>
      <c r="X318" s="1074" t="inlineStr">
        <is>
          <t>-</t>
        </is>
      </c>
      <c r="Y318" s="1074" t="inlineStr">
        <is>
          <t>-</t>
        </is>
      </c>
      <c r="Z318" s="1074" t="inlineStr">
        <is>
          <t>-</t>
        </is>
      </c>
      <c r="AA318" s="1074" t="inlineStr">
        <is>
          <t>-</t>
        </is>
      </c>
      <c r="AB318" s="1074" t="inlineStr">
        <is>
          <t>-</t>
        </is>
      </c>
      <c r="AC318" s="1074" t="inlineStr">
        <is>
          <t>-</t>
        </is>
      </c>
      <c r="AD318" s="1074" t="inlineStr">
        <is>
          <t>5230723</t>
        </is>
      </c>
      <c r="AE318" s="1074" t="n">
        <v>39.5</v>
      </c>
      <c r="AF318" s="1074" t="inlineStr">
        <is>
          <t>肖锐03</t>
        </is>
      </c>
      <c r="AG318" s="1074" t="inlineStr">
        <is>
          <t>教室3</t>
        </is>
      </c>
      <c r="AH318" s="1074" t="inlineStr">
        <is>
          <t>15:50-18:00</t>
        </is>
      </c>
      <c r="AI318" s="1074" t="inlineStr">
        <is>
          <t>潜能班</t>
        </is>
      </c>
      <c r="AJ318" s="1074" t="inlineStr">
        <is>
          <t>零期</t>
        </is>
      </c>
      <c r="AK318" s="1074" t="inlineStr">
        <is>
          <t>在读</t>
        </is>
      </c>
      <c r="AL318" s="1074" t="inlineStr">
        <is>
          <t>-</t>
        </is>
      </c>
      <c r="AM318" s="1074" t="inlineStr">
        <is>
          <t>是</t>
        </is>
      </c>
      <c r="AN318" s="1074" t="inlineStr">
        <is>
          <t>是</t>
        </is>
      </c>
      <c r="AO318" s="1074" t="inlineStr">
        <is>
          <t>是</t>
        </is>
      </c>
      <c r="AP318" s="1074" t="n"/>
      <c r="AQ318" s="1074" t="n"/>
      <c r="AR318" s="1074" t="inlineStr">
        <is>
          <t>S</t>
        </is>
      </c>
      <c r="AS318" s="1074" t="inlineStr">
        <is>
          <t>在读秋季已报名</t>
        </is>
      </c>
      <c r="AT318" s="311" t="n"/>
    </row>
    <row r="319" ht="26.25" customFormat="1" customHeight="1" s="366">
      <c r="A319" s="1074" t="inlineStr">
        <is>
          <t>新宝利</t>
        </is>
      </c>
      <c r="B319" s="1074" t="inlineStr">
        <is>
          <t>4635810658</t>
        </is>
      </c>
      <c r="C319" s="1074" t="inlineStr">
        <is>
          <t>陈衍信</t>
        </is>
      </c>
      <c r="D319" s="1074" t="inlineStr">
        <is>
          <t>王达04</t>
        </is>
      </c>
      <c r="E319" s="1074" t="inlineStr">
        <is>
          <t>断报老生</t>
        </is>
      </c>
      <c r="F319" s="1074" t="inlineStr">
        <is>
          <t>家庭支付能力差</t>
        </is>
      </c>
      <c r="G319" s="1074" t="n"/>
      <c r="H319" s="1074" t="inlineStr">
        <is>
          <t>在读</t>
        </is>
      </c>
      <c r="I319" s="1074" t="inlineStr">
        <is>
          <t>零期/一期</t>
        </is>
      </c>
      <c r="J319" s="1074" t="inlineStr">
        <is>
          <t>5230742</t>
        </is>
      </c>
      <c r="K319" s="1074" t="inlineStr">
        <is>
          <t>报前测成绩</t>
        </is>
      </c>
      <c r="L319" s="1074" t="n">
        <v>59</v>
      </c>
      <c r="M319" s="1074" t="inlineStr">
        <is>
          <t>-</t>
        </is>
      </c>
      <c r="N319" s="1074" t="inlineStr">
        <is>
          <t>何咏04</t>
        </is>
      </c>
      <c r="O319" s="1074" t="inlineStr">
        <is>
          <t>教室2</t>
        </is>
      </c>
      <c r="P319" s="1074" t="inlineStr">
        <is>
          <t>13:20-15:30</t>
        </is>
      </c>
      <c r="Q319" s="1074" t="inlineStr">
        <is>
          <t>潜能班</t>
        </is>
      </c>
      <c r="R319" s="1074" t="inlineStr">
        <is>
          <t>一期</t>
        </is>
      </c>
      <c r="S319" s="1074" t="inlineStr">
        <is>
          <t>在读</t>
        </is>
      </c>
      <c r="T319" s="1074" t="inlineStr">
        <is>
          <t>是</t>
        </is>
      </c>
      <c r="U319" s="1074" t="inlineStr">
        <is>
          <t>3132859</t>
        </is>
      </c>
      <c r="V319" s="1074" t="n">
        <v>25</v>
      </c>
      <c r="W319" s="1074" t="inlineStr">
        <is>
          <t>黄铭怡</t>
        </is>
      </c>
      <c r="X319" s="1074" t="inlineStr">
        <is>
          <t>教室2</t>
        </is>
      </c>
      <c r="Y319" s="1074" t="inlineStr">
        <is>
          <t>10:20-12:30</t>
        </is>
      </c>
      <c r="Z319" s="1074" t="inlineStr">
        <is>
          <t>潜能班</t>
        </is>
      </c>
      <c r="AA319" s="1074" t="inlineStr">
        <is>
          <t>零期</t>
        </is>
      </c>
      <c r="AB319" s="1074" t="inlineStr">
        <is>
          <t>在读</t>
        </is>
      </c>
      <c r="AC319" s="1074" t="inlineStr">
        <is>
          <t>是</t>
        </is>
      </c>
      <c r="AD319" s="1074" t="inlineStr">
        <is>
          <t>5230727</t>
        </is>
      </c>
      <c r="AE319" s="1074" t="n">
        <v>33.5</v>
      </c>
      <c r="AF319" s="1074" t="inlineStr">
        <is>
          <t>肖锐03</t>
        </is>
      </c>
      <c r="AG319" s="1074" t="inlineStr">
        <is>
          <t>教室2</t>
        </is>
      </c>
      <c r="AH319" s="1074" t="inlineStr">
        <is>
          <t>13:20-15:30</t>
        </is>
      </c>
      <c r="AI319" s="1074" t="inlineStr">
        <is>
          <t>潜能班</t>
        </is>
      </c>
      <c r="AJ319" s="1074" t="inlineStr">
        <is>
          <t>零期</t>
        </is>
      </c>
      <c r="AK319" s="1074" t="inlineStr">
        <is>
          <t>在读</t>
        </is>
      </c>
      <c r="AL319" s="1074" t="inlineStr">
        <is>
          <t>是</t>
        </is>
      </c>
      <c r="AM319" s="1074" t="inlineStr">
        <is>
          <t>是</t>
        </is>
      </c>
      <c r="AN319" s="1074" t="inlineStr">
        <is>
          <t>是</t>
        </is>
      </c>
      <c r="AO319" s="1074" t="inlineStr">
        <is>
          <t>是</t>
        </is>
      </c>
      <c r="AP319" s="1074" t="n"/>
      <c r="AQ319" s="1074" t="n"/>
      <c r="AR319" s="1074" t="inlineStr">
        <is>
          <t>A</t>
        </is>
      </c>
      <c r="AS319" s="1074" t="inlineStr">
        <is>
          <t>之前数学正价学员</t>
        </is>
      </c>
      <c r="AT319" s="311" t="n"/>
    </row>
    <row r="320" ht="26.25" customFormat="1" customHeight="1" s="366">
      <c r="A320" s="1074" t="inlineStr">
        <is>
          <t>新宝利</t>
        </is>
      </c>
      <c r="B320" s="1074" t="inlineStr">
        <is>
          <t>4240904687</t>
        </is>
      </c>
      <c r="C320" s="1074" t="inlineStr">
        <is>
          <t>黎佳恩</t>
        </is>
      </c>
      <c r="D320" s="1074" t="inlineStr">
        <is>
          <t>沈思浩</t>
        </is>
      </c>
      <c r="E320" s="1074" t="inlineStr">
        <is>
          <t>纯拉新</t>
        </is>
      </c>
      <c r="F320" s="1074" t="n"/>
      <c r="G320" s="1074" t="n"/>
      <c r="H320" s="1074" t="inlineStr">
        <is>
          <t>在读</t>
        </is>
      </c>
      <c r="I320" s="1074" t="inlineStr">
        <is>
          <t>一期</t>
        </is>
      </c>
      <c r="J320" s="1074" t="inlineStr">
        <is>
          <t>5230732</t>
        </is>
      </c>
      <c r="K320" s="1074" t="inlineStr">
        <is>
          <t>报前测成绩</t>
        </is>
      </c>
      <c r="L320" s="1074" t="n">
        <v>80</v>
      </c>
      <c r="M320" s="1074" t="inlineStr">
        <is>
          <t>-</t>
        </is>
      </c>
      <c r="N320" s="1074" t="inlineStr">
        <is>
          <t>何咏04</t>
        </is>
      </c>
      <c r="O320" s="1074" t="inlineStr">
        <is>
          <t>教室3</t>
        </is>
      </c>
      <c r="P320" s="1074" t="inlineStr">
        <is>
          <t>10:30-12:40</t>
        </is>
      </c>
      <c r="Q320" s="1074" t="inlineStr">
        <is>
          <t>启能班</t>
        </is>
      </c>
      <c r="R320" s="1074" t="inlineStr">
        <is>
          <t>一期</t>
        </is>
      </c>
      <c r="S320" s="1074" t="inlineStr">
        <is>
          <t>在读</t>
        </is>
      </c>
      <c r="T320" s="1074" t="inlineStr">
        <is>
          <t>-</t>
        </is>
      </c>
      <c r="U320" s="1074" t="inlineStr">
        <is>
          <t>5170706</t>
        </is>
      </c>
      <c r="V320" s="1074" t="n">
        <v>31</v>
      </c>
      <c r="W320" s="1074" t="inlineStr">
        <is>
          <t>李润</t>
        </is>
      </c>
      <c r="X320" s="1074" t="inlineStr">
        <is>
          <t>教室3</t>
        </is>
      </c>
      <c r="Y320" s="1074" t="inlineStr">
        <is>
          <t>13:20-15:30</t>
        </is>
      </c>
      <c r="Z320" s="1074" t="inlineStr">
        <is>
          <t>潜能班</t>
        </is>
      </c>
      <c r="AA320" s="1074" t="inlineStr">
        <is>
          <t>一期</t>
        </is>
      </c>
      <c r="AB320" s="1074" t="inlineStr">
        <is>
          <t>在读</t>
        </is>
      </c>
      <c r="AC320" s="1074" t="inlineStr">
        <is>
          <t>-</t>
        </is>
      </c>
      <c r="AD320" s="1074" t="inlineStr">
        <is>
          <t>3132899</t>
        </is>
      </c>
      <c r="AE320" s="1074" t="n">
        <v>32</v>
      </c>
      <c r="AF320" s="1074" t="inlineStr">
        <is>
          <t>肖锐03</t>
        </is>
      </c>
      <c r="AG320" s="1074" t="inlineStr">
        <is>
          <t>教室3</t>
        </is>
      </c>
      <c r="AH320" s="1074" t="inlineStr">
        <is>
          <t>07:50-10:00</t>
        </is>
      </c>
      <c r="AI320" s="1074" t="inlineStr">
        <is>
          <t>潜能班</t>
        </is>
      </c>
      <c r="AJ320" s="1074" t="inlineStr">
        <is>
          <t>一期</t>
        </is>
      </c>
      <c r="AK320" s="1074" t="inlineStr">
        <is>
          <t>在读</t>
        </is>
      </c>
      <c r="AL320" s="1074" t="inlineStr">
        <is>
          <t>-</t>
        </is>
      </c>
      <c r="AM320" s="1074" t="n"/>
      <c r="AN320" s="1074" t="n"/>
      <c r="AO320" s="1074" t="n"/>
      <c r="AP320" s="1074" t="n"/>
      <c r="AQ320" s="1074" t="n"/>
      <c r="AR320" s="1074" t="inlineStr">
        <is>
          <t>A</t>
        </is>
      </c>
      <c r="AS320" s="1074" t="inlineStr">
        <is>
          <t>家长重视教育，先看学习效果再看后面是不是续费</t>
        </is>
      </c>
      <c r="AT320" s="311" t="n"/>
    </row>
    <row r="321" ht="26.25" customFormat="1" customHeight="1" s="366">
      <c r="A321" s="1074" t="inlineStr">
        <is>
          <t>新宝利</t>
        </is>
      </c>
      <c r="B321" s="1074" t="inlineStr">
        <is>
          <t>4817190059</t>
        </is>
      </c>
      <c r="C321" s="1074" t="inlineStr">
        <is>
          <t>苍云轩</t>
        </is>
      </c>
      <c r="D321" s="1074" t="inlineStr">
        <is>
          <t>陈亮延</t>
        </is>
      </c>
      <c r="E321" s="1074" t="inlineStr">
        <is>
          <t>纯拉新</t>
        </is>
      </c>
      <c r="F321" s="1074" t="n"/>
      <c r="G321" s="1074" t="n"/>
      <c r="H321" s="1074" t="inlineStr">
        <is>
          <t>在读</t>
        </is>
      </c>
      <c r="I321" s="1074" t="inlineStr">
        <is>
          <t>一期</t>
        </is>
      </c>
      <c r="J321" s="1074" t="inlineStr">
        <is>
          <t>5230742</t>
        </is>
      </c>
      <c r="K321" s="1074" t="inlineStr">
        <is>
          <t>报前测成绩</t>
        </is>
      </c>
      <c r="L321" s="1074" t="n">
        <v>22</v>
      </c>
      <c r="M321" s="1074" t="inlineStr">
        <is>
          <t>-</t>
        </is>
      </c>
      <c r="N321" s="1074" t="inlineStr">
        <is>
          <t>何咏04</t>
        </is>
      </c>
      <c r="O321" s="1074" t="inlineStr">
        <is>
          <t>教室2</t>
        </is>
      </c>
      <c r="P321" s="1074" t="inlineStr">
        <is>
          <t>13:20-15:30</t>
        </is>
      </c>
      <c r="Q321" s="1074" t="inlineStr">
        <is>
          <t>潜能班</t>
        </is>
      </c>
      <c r="R321" s="1074" t="inlineStr">
        <is>
          <t>一期</t>
        </is>
      </c>
      <c r="S321" s="1074" t="inlineStr">
        <is>
          <t>在读</t>
        </is>
      </c>
      <c r="T321" s="1074" t="inlineStr">
        <is>
          <t>-</t>
        </is>
      </c>
      <c r="U321" s="1074" t="inlineStr">
        <is>
          <t>5230773</t>
        </is>
      </c>
      <c r="V321" s="1074" t="n">
        <v>25</v>
      </c>
      <c r="W321" s="1074" t="inlineStr">
        <is>
          <t>陈南05</t>
        </is>
      </c>
      <c r="X321" s="1074" t="inlineStr">
        <is>
          <t>教室2</t>
        </is>
      </c>
      <c r="Y321" s="1074" t="inlineStr">
        <is>
          <t>15:50-18:00</t>
        </is>
      </c>
      <c r="Z321" s="1074" t="inlineStr">
        <is>
          <t>潜能班</t>
        </is>
      </c>
      <c r="AA321" s="1074" t="inlineStr">
        <is>
          <t>一期</t>
        </is>
      </c>
      <c r="AB321" s="1074" t="inlineStr">
        <is>
          <t>在读</t>
        </is>
      </c>
      <c r="AC321" s="1074" t="inlineStr">
        <is>
          <t>-</t>
        </is>
      </c>
      <c r="AD321" s="1074" t="inlineStr">
        <is>
          <t>3132888</t>
        </is>
      </c>
      <c r="AE321" s="1074" t="n">
        <v>61</v>
      </c>
      <c r="AF321" s="1074" t="inlineStr">
        <is>
          <t>肖锐03</t>
        </is>
      </c>
      <c r="AG321" s="1074" t="inlineStr">
        <is>
          <t>教室2</t>
        </is>
      </c>
      <c r="AH321" s="1074" t="inlineStr">
        <is>
          <t>10:20-12:30</t>
        </is>
      </c>
      <c r="AI321" s="1074" t="inlineStr">
        <is>
          <t>潜能班</t>
        </is>
      </c>
      <c r="AJ321" s="1074" t="inlineStr">
        <is>
          <t>一期</t>
        </is>
      </c>
      <c r="AK321" s="1074" t="inlineStr">
        <is>
          <t>在读</t>
        </is>
      </c>
      <c r="AL321" s="1074" t="inlineStr">
        <is>
          <t>-</t>
        </is>
      </c>
      <c r="AM321" s="1074" t="n"/>
      <c r="AN321" s="1074" t="n"/>
      <c r="AO321" s="1074" t="n"/>
      <c r="AP321" s="1074" t="n"/>
      <c r="AQ321" s="1074" t="n"/>
      <c r="AR321" s="1074" t="inlineStr">
        <is>
          <t>A</t>
        </is>
      </c>
      <c r="AS321" s="1074" t="inlineStr">
        <is>
          <t>学生程度比较弱，没有辅导经历，但是家长有问过秋季安排，有规划打算</t>
        </is>
      </c>
      <c r="AT321" s="311" t="n"/>
    </row>
    <row r="322" ht="26.25" customFormat="1" customHeight="1" s="366">
      <c r="A322" s="1074" t="inlineStr">
        <is>
          <t>天成大厦</t>
        </is>
      </c>
      <c r="B322" s="1074" t="inlineStr">
        <is>
          <t>4063162006</t>
        </is>
      </c>
      <c r="C322" s="1074" t="inlineStr">
        <is>
          <t>詹婉琦</t>
        </is>
      </c>
      <c r="D322" s="1074" t="inlineStr">
        <is>
          <t>沈思浩</t>
        </is>
      </c>
      <c r="E322" s="1074" t="inlineStr">
        <is>
          <t>纯拉新</t>
        </is>
      </c>
      <c r="F322" s="1074" t="n"/>
      <c r="G322" s="1074" t="n"/>
      <c r="H322" s="1074" t="inlineStr">
        <is>
          <t>在读</t>
        </is>
      </c>
      <c r="I322" s="1074" t="inlineStr">
        <is>
          <t>三期</t>
        </is>
      </c>
      <c r="J322" s="1074" t="inlineStr">
        <is>
          <t>5230801</t>
        </is>
      </c>
      <c r="K322" s="1074" t="inlineStr">
        <is>
          <t>报前测成绩</t>
        </is>
      </c>
      <c r="L322" s="1074" t="n">
        <v>99</v>
      </c>
      <c r="M322" s="1074" t="inlineStr">
        <is>
          <t>-</t>
        </is>
      </c>
      <c r="N322" s="1074" t="inlineStr">
        <is>
          <t>宗志鹏</t>
        </is>
      </c>
      <c r="O322" s="1074" t="inlineStr">
        <is>
          <t>03品尚</t>
        </is>
      </c>
      <c r="P322" s="1074" t="inlineStr">
        <is>
          <t>13:20-15:30</t>
        </is>
      </c>
      <c r="Q322" s="1074" t="inlineStr">
        <is>
          <t>潜能班</t>
        </is>
      </c>
      <c r="R322" s="1074" t="inlineStr">
        <is>
          <t>三期</t>
        </is>
      </c>
      <c r="S322" s="1074" t="inlineStr">
        <is>
          <t>在读</t>
        </is>
      </c>
      <c r="T322" s="1074" t="inlineStr">
        <is>
          <t>-</t>
        </is>
      </c>
      <c r="U322" s="1074" t="inlineStr">
        <is>
          <t>5230739</t>
        </is>
      </c>
      <c r="V322" s="1074" t="n">
        <v>33</v>
      </c>
      <c r="W322" s="1074" t="inlineStr">
        <is>
          <t>李润</t>
        </is>
      </c>
      <c r="X322" s="1074" t="inlineStr">
        <is>
          <t>03品尚</t>
        </is>
      </c>
      <c r="Y322" s="1074" t="inlineStr">
        <is>
          <t>10:20-12:30</t>
        </is>
      </c>
      <c r="Z322" s="1074" t="inlineStr">
        <is>
          <t>潜能班</t>
        </is>
      </c>
      <c r="AA322" s="1074" t="inlineStr">
        <is>
          <t>三期</t>
        </is>
      </c>
      <c r="AB322" s="1074" t="inlineStr">
        <is>
          <t>在读</t>
        </is>
      </c>
      <c r="AC322" s="1074" t="inlineStr">
        <is>
          <t>-</t>
        </is>
      </c>
      <c r="AD322" s="1074" t="inlineStr">
        <is>
          <t>5230788</t>
        </is>
      </c>
      <c r="AE322" s="1074" t="n">
        <v>48</v>
      </c>
      <c r="AF322" s="1074" t="inlineStr">
        <is>
          <t>刘希子</t>
        </is>
      </c>
      <c r="AG322" s="1074" t="inlineStr">
        <is>
          <t>03品尚</t>
        </is>
      </c>
      <c r="AH322" s="1074" t="inlineStr">
        <is>
          <t>15:50-18:00</t>
        </is>
      </c>
      <c r="AI322" s="1074" t="inlineStr">
        <is>
          <t>潜能班</t>
        </is>
      </c>
      <c r="AJ322" s="1074" t="inlineStr">
        <is>
          <t>三期</t>
        </is>
      </c>
      <c r="AK322" s="1074" t="inlineStr">
        <is>
          <t>在读</t>
        </is>
      </c>
      <c r="AL322" s="1074" t="inlineStr">
        <is>
          <t>-</t>
        </is>
      </c>
      <c r="AM322" s="1074" t="n"/>
      <c r="AN322" s="1074" t="n"/>
      <c r="AO322" s="1074" t="n"/>
      <c r="AP322" s="1074" t="n"/>
      <c r="AQ322" s="1074" t="n"/>
      <c r="AR322" s="1074" t="inlineStr">
        <is>
          <t>C</t>
        </is>
      </c>
      <c r="AS322" s="1074" t="inlineStr">
        <is>
          <t>申请退费</t>
        </is>
      </c>
      <c r="AT322" s="311" t="n"/>
    </row>
    <row r="323" ht="26.25" customFormat="1" customHeight="1" s="366">
      <c r="A323" s="1074" t="inlineStr">
        <is>
          <t>同创汇</t>
        </is>
      </c>
      <c r="B323" s="1074" t="inlineStr">
        <is>
          <t>4149980338</t>
        </is>
      </c>
      <c r="C323" s="1074" t="inlineStr">
        <is>
          <t>郭芃泽</t>
        </is>
      </c>
      <c r="D323" s="1074" t="inlineStr">
        <is>
          <t>王丽</t>
        </is>
      </c>
      <c r="E323" s="1074" t="inlineStr">
        <is>
          <t>春季在读老生</t>
        </is>
      </c>
      <c r="F323" s="1074" t="n"/>
      <c r="G323" s="1074" t="n"/>
      <c r="H323" s="1074" t="inlineStr">
        <is>
          <t>在读</t>
        </is>
      </c>
      <c r="I323" s="1074" t="inlineStr">
        <is>
          <t>零期</t>
        </is>
      </c>
      <c r="J323" s="1074" t="inlineStr">
        <is>
          <t>5230814</t>
        </is>
      </c>
      <c r="K323" s="1074" t="inlineStr">
        <is>
          <t>报前测成绩</t>
        </is>
      </c>
      <c r="L323" s="1074" t="n">
        <v>90</v>
      </c>
      <c r="M323" s="1074" t="inlineStr">
        <is>
          <t>-</t>
        </is>
      </c>
      <c r="N323" s="1074" t="inlineStr">
        <is>
          <t>陈中帅</t>
        </is>
      </c>
      <c r="O323" s="1074" t="inlineStr">
        <is>
          <t>02彩虹桥</t>
        </is>
      </c>
      <c r="P323" s="1074" t="inlineStr">
        <is>
          <t>07:50-10:00</t>
        </is>
      </c>
      <c r="Q323" s="1074" t="inlineStr">
        <is>
          <t>启能班</t>
        </is>
      </c>
      <c r="R323" s="1074" t="inlineStr">
        <is>
          <t>零期</t>
        </is>
      </c>
      <c r="S323" s="1074" t="inlineStr">
        <is>
          <t>在读</t>
        </is>
      </c>
      <c r="T323" s="1074" t="inlineStr">
        <is>
          <t>是</t>
        </is>
      </c>
      <c r="U323" s="1074" t="inlineStr">
        <is>
          <t>3132905</t>
        </is>
      </c>
      <c r="V323" s="1074" t="n">
        <v>30</v>
      </c>
      <c r="W323" s="1074" t="inlineStr">
        <is>
          <t>黄铭怡</t>
        </is>
      </c>
      <c r="X323" s="1074" t="inlineStr">
        <is>
          <t>02彩虹桥</t>
        </is>
      </c>
      <c r="Y323" s="1074" t="inlineStr">
        <is>
          <t>13:20-15:30</t>
        </is>
      </c>
      <c r="Z323" s="1074" t="inlineStr">
        <is>
          <t>潜能班</t>
        </is>
      </c>
      <c r="AA323" s="1074" t="inlineStr">
        <is>
          <t>零期</t>
        </is>
      </c>
      <c r="AB323" s="1074" t="inlineStr">
        <is>
          <t>在读</t>
        </is>
      </c>
      <c r="AC323" s="1074" t="inlineStr">
        <is>
          <t>是</t>
        </is>
      </c>
      <c r="AD323" s="1074" t="inlineStr">
        <is>
          <t>-</t>
        </is>
      </c>
      <c r="AE323" s="1074" t="inlineStr"/>
      <c r="AF323" s="1074" t="inlineStr">
        <is>
          <t>-</t>
        </is>
      </c>
      <c r="AG323" s="1074" t="inlineStr">
        <is>
          <t>-</t>
        </is>
      </c>
      <c r="AH323" s="1074" t="inlineStr">
        <is>
          <t>-</t>
        </is>
      </c>
      <c r="AI323" s="1074" t="inlineStr">
        <is>
          <t>-</t>
        </is>
      </c>
      <c r="AJ323" s="1074" t="inlineStr">
        <is>
          <t>-</t>
        </is>
      </c>
      <c r="AK323" s="1074" t="inlineStr">
        <is>
          <t>-</t>
        </is>
      </c>
      <c r="AL323" s="1074" t="inlineStr">
        <is>
          <t>-</t>
        </is>
      </c>
      <c r="AM323" s="1074" t="inlineStr">
        <is>
          <t>是</t>
        </is>
      </c>
      <c r="AN323" s="1074" t="inlineStr">
        <is>
          <t>是</t>
        </is>
      </c>
      <c r="AO323" s="1074" t="inlineStr">
        <is>
          <t>是</t>
        </is>
      </c>
      <c r="AP323" s="1074" t="n"/>
      <c r="AQ323" s="1074" t="n"/>
      <c r="AR323" s="1074" t="inlineStr">
        <is>
          <t>S</t>
        </is>
      </c>
      <c r="AS323" s="1074" t="inlineStr">
        <is>
          <t>已经暑秋连报了</t>
        </is>
      </c>
      <c r="AT323" s="311" t="n"/>
    </row>
    <row r="324" ht="26.25" customFormat="1" customHeight="1" s="366">
      <c r="A324" s="1074" t="inlineStr">
        <is>
          <t>新宝利</t>
        </is>
      </c>
      <c r="B324" s="1074" t="inlineStr">
        <is>
          <t>2529696621</t>
        </is>
      </c>
      <c r="C324" s="1074" t="inlineStr">
        <is>
          <t>招思宏</t>
        </is>
      </c>
      <c r="D324" s="1074" t="inlineStr">
        <is>
          <t>王达04</t>
        </is>
      </c>
      <c r="E324" s="1074" t="inlineStr">
        <is>
          <t>纯拉新</t>
        </is>
      </c>
      <c r="F324" s="1074" t="n"/>
      <c r="G324" s="1074" t="n"/>
      <c r="H324" s="1074" t="inlineStr">
        <is>
          <t>在读</t>
        </is>
      </c>
      <c r="I324" s="1074" t="inlineStr">
        <is>
          <t>一期</t>
        </is>
      </c>
      <c r="J324" s="1074" t="inlineStr">
        <is>
          <t>-</t>
        </is>
      </c>
      <c r="K324" s="1074" t="inlineStr"/>
      <c r="L324" s="1074" t="inlineStr"/>
      <c r="M324" s="1074" t="inlineStr"/>
      <c r="N324" s="1074" t="inlineStr">
        <is>
          <t>-</t>
        </is>
      </c>
      <c r="O324" s="1074" t="inlineStr">
        <is>
          <t>-</t>
        </is>
      </c>
      <c r="P324" s="1074" t="inlineStr">
        <is>
          <t>-</t>
        </is>
      </c>
      <c r="Q324" s="1074" t="inlineStr">
        <is>
          <t>-</t>
        </is>
      </c>
      <c r="R324" s="1074" t="inlineStr">
        <is>
          <t>-</t>
        </is>
      </c>
      <c r="S324" s="1074" t="inlineStr">
        <is>
          <t>-</t>
        </is>
      </c>
      <c r="T324" s="1074" t="inlineStr">
        <is>
          <t>-</t>
        </is>
      </c>
      <c r="U324" s="1074" t="inlineStr">
        <is>
          <t>5170706</t>
        </is>
      </c>
      <c r="V324" s="1074" t="n">
        <v>28</v>
      </c>
      <c r="W324" s="1074" t="inlineStr">
        <is>
          <t>李润</t>
        </is>
      </c>
      <c r="X324" s="1074" t="inlineStr">
        <is>
          <t>教室3</t>
        </is>
      </c>
      <c r="Y324" s="1074" t="inlineStr">
        <is>
          <t>13:20-15:30</t>
        </is>
      </c>
      <c r="Z324" s="1074" t="inlineStr">
        <is>
          <t>潜能班</t>
        </is>
      </c>
      <c r="AA324" s="1074" t="inlineStr">
        <is>
          <t>一期</t>
        </is>
      </c>
      <c r="AB324" s="1074" t="inlineStr">
        <is>
          <t>在读</t>
        </is>
      </c>
      <c r="AC324" s="1074" t="inlineStr">
        <is>
          <t>-</t>
        </is>
      </c>
      <c r="AD324" s="1074" t="inlineStr">
        <is>
          <t>3132888</t>
        </is>
      </c>
      <c r="AE324" s="1074" t="n">
        <v>29</v>
      </c>
      <c r="AF324" s="1074" t="inlineStr">
        <is>
          <t>肖锐03</t>
        </is>
      </c>
      <c r="AG324" s="1074" t="inlineStr">
        <is>
          <t>教室2</t>
        </is>
      </c>
      <c r="AH324" s="1074" t="inlineStr">
        <is>
          <t>10:20-12:30</t>
        </is>
      </c>
      <c r="AI324" s="1074" t="inlineStr">
        <is>
          <t>潜能班</t>
        </is>
      </c>
      <c r="AJ324" s="1074" t="inlineStr">
        <is>
          <t>一期</t>
        </is>
      </c>
      <c r="AK324" s="1074" t="inlineStr">
        <is>
          <t>在读</t>
        </is>
      </c>
      <c r="AL324" s="1074" t="inlineStr">
        <is>
          <t>-</t>
        </is>
      </c>
      <c r="AM324" s="1074" t="n"/>
      <c r="AN324" s="1074" t="n"/>
      <c r="AO324" s="1074" t="n"/>
      <c r="AP324" s="1074" t="n"/>
      <c r="AQ324" s="1074" t="n"/>
      <c r="AR324" s="1074" t="inlineStr">
        <is>
          <t>A</t>
        </is>
      </c>
      <c r="AS324" s="1074" t="inlineStr">
        <is>
          <t>家长有初步规划，但还是想看看孩子学习情况</t>
        </is>
      </c>
      <c r="AT324" s="311" t="n"/>
    </row>
    <row r="325" ht="26.25" customFormat="1" customHeight="1" s="366">
      <c r="A325" s="1074" t="inlineStr">
        <is>
          <t>新宝利</t>
        </is>
      </c>
      <c r="B325" s="1074" t="inlineStr">
        <is>
          <t>4822277261</t>
        </is>
      </c>
      <c r="C325" s="1074" t="inlineStr">
        <is>
          <t>吴季礼</t>
        </is>
      </c>
      <c r="D325" s="1074" t="inlineStr">
        <is>
          <t>张敏烨</t>
        </is>
      </c>
      <c r="E325" s="1074" t="inlineStr">
        <is>
          <t>纯拉新</t>
        </is>
      </c>
      <c r="F325" s="1074" t="n"/>
      <c r="G325" s="1074" t="n"/>
      <c r="H325" s="1074" t="inlineStr">
        <is>
          <t>在读</t>
        </is>
      </c>
      <c r="I325" s="1074" t="inlineStr">
        <is>
          <t>二期</t>
        </is>
      </c>
      <c r="J325" s="1074" t="inlineStr">
        <is>
          <t>4513341</t>
        </is>
      </c>
      <c r="K325" s="1074" t="inlineStr">
        <is>
          <t>报前测成绩</t>
        </is>
      </c>
      <c r="L325" s="1074" t="n">
        <v>86</v>
      </c>
      <c r="M325" s="1074" t="inlineStr">
        <is>
          <t>-</t>
        </is>
      </c>
      <c r="N325" s="1074" t="inlineStr">
        <is>
          <t>陈中帅</t>
        </is>
      </c>
      <c r="O325" s="1074" t="inlineStr">
        <is>
          <t>教室3</t>
        </is>
      </c>
      <c r="P325" s="1074" t="inlineStr">
        <is>
          <t>15:50-18:00</t>
        </is>
      </c>
      <c r="Q325" s="1074" t="inlineStr">
        <is>
          <t>启能班</t>
        </is>
      </c>
      <c r="R325" s="1074" t="inlineStr">
        <is>
          <t>二期</t>
        </is>
      </c>
      <c r="S325" s="1074" t="inlineStr">
        <is>
          <t>在读</t>
        </is>
      </c>
      <c r="T325" s="1074" t="inlineStr">
        <is>
          <t>-</t>
        </is>
      </c>
      <c r="U325" s="1074" t="inlineStr">
        <is>
          <t>3132846</t>
        </is>
      </c>
      <c r="V325" s="1074" t="n">
        <v>30</v>
      </c>
      <c r="W325" s="1074" t="inlineStr">
        <is>
          <t>黄铭怡</t>
        </is>
      </c>
      <c r="X325" s="1074" t="inlineStr">
        <is>
          <t>教室3</t>
        </is>
      </c>
      <c r="Y325" s="1074" t="inlineStr">
        <is>
          <t>13:20-15:30</t>
        </is>
      </c>
      <c r="Z325" s="1074" t="inlineStr">
        <is>
          <t>潜能班</t>
        </is>
      </c>
      <c r="AA325" s="1074" t="inlineStr">
        <is>
          <t>二期</t>
        </is>
      </c>
      <c r="AB325" s="1074" t="inlineStr">
        <is>
          <t>在读</t>
        </is>
      </c>
      <c r="AC325" s="1074" t="inlineStr">
        <is>
          <t>-</t>
        </is>
      </c>
      <c r="AD325" s="1074" t="inlineStr">
        <is>
          <t>5230738</t>
        </is>
      </c>
      <c r="AE325" s="1074" t="n">
        <v>33</v>
      </c>
      <c r="AF325" s="1074" t="inlineStr">
        <is>
          <t>高心怡04</t>
        </is>
      </c>
      <c r="AG325" s="1074" t="inlineStr">
        <is>
          <t>教室3</t>
        </is>
      </c>
      <c r="AH325" s="1074" t="inlineStr">
        <is>
          <t>10:20-12:30</t>
        </is>
      </c>
      <c r="AI325" s="1074" t="inlineStr">
        <is>
          <t>潜能班</t>
        </is>
      </c>
      <c r="AJ325" s="1074" t="inlineStr">
        <is>
          <t>二期</t>
        </is>
      </c>
      <c r="AK325" s="1074" t="inlineStr">
        <is>
          <t>在读</t>
        </is>
      </c>
      <c r="AL325" s="1074" t="inlineStr">
        <is>
          <t>-</t>
        </is>
      </c>
      <c r="AM325" s="1074" t="n"/>
      <c r="AN325" s="1074" t="n"/>
      <c r="AO325" s="1074" t="n"/>
      <c r="AP325" s="1074" t="n"/>
      <c r="AQ325" s="1074" t="n"/>
      <c r="AR325" s="1074" t="inlineStr">
        <is>
          <t>B</t>
        </is>
      </c>
      <c r="AS325" s="1074" t="inlineStr">
        <is>
          <t>在读学员扩科，暑假先上着</t>
        </is>
      </c>
      <c r="AT325" s="311" t="n"/>
    </row>
    <row r="326" ht="26.25" customFormat="1" customHeight="1" s="366">
      <c r="A326" s="1074" t="inlineStr">
        <is>
          <t>同创汇</t>
        </is>
      </c>
      <c r="B326" s="1074" t="inlineStr">
        <is>
          <t>2163375170</t>
        </is>
      </c>
      <c r="C326" s="1074" t="inlineStr">
        <is>
          <t>邱兆臻</t>
        </is>
      </c>
      <c r="D326" s="1074" t="inlineStr">
        <is>
          <t>王丽</t>
        </is>
      </c>
      <c r="E326" s="1074" t="inlineStr">
        <is>
          <t>春季在读老生</t>
        </is>
      </c>
      <c r="F326" s="1074" t="n"/>
      <c r="G326" s="1074" t="n"/>
      <c r="H326" s="1074" t="inlineStr">
        <is>
          <t>在读</t>
        </is>
      </c>
      <c r="I326" s="1074" t="inlineStr">
        <is>
          <t>零期/一期</t>
        </is>
      </c>
      <c r="J326" s="1074" t="inlineStr">
        <is>
          <t>5230806</t>
        </is>
      </c>
      <c r="K326" s="1074" t="inlineStr">
        <is>
          <t>老师预估</t>
        </is>
      </c>
      <c r="L326" s="1074" t="n">
        <v>50</v>
      </c>
      <c r="M326" s="1074" t="inlineStr">
        <is>
          <t>-</t>
        </is>
      </c>
      <c r="N326" s="1074" t="inlineStr">
        <is>
          <t>田雨涵01</t>
        </is>
      </c>
      <c r="O326" s="1074" t="inlineStr">
        <is>
          <t>03识海阁</t>
        </is>
      </c>
      <c r="P326" s="1074" t="inlineStr">
        <is>
          <t>10:20-12:30</t>
        </is>
      </c>
      <c r="Q326" s="1074" t="inlineStr">
        <is>
          <t>潜能班</t>
        </is>
      </c>
      <c r="R326" s="1074" t="inlineStr">
        <is>
          <t>零期</t>
        </is>
      </c>
      <c r="S326" s="1074" t="inlineStr">
        <is>
          <t>在读</t>
        </is>
      </c>
      <c r="T326" s="1074" t="inlineStr">
        <is>
          <t>是</t>
        </is>
      </c>
      <c r="U326" s="1074" t="inlineStr">
        <is>
          <t>3132905</t>
        </is>
      </c>
      <c r="V326" s="1074" t="n">
        <v>0</v>
      </c>
      <c r="W326" s="1074" t="inlineStr">
        <is>
          <t>黄铭怡</t>
        </is>
      </c>
      <c r="X326" s="1074" t="inlineStr">
        <is>
          <t>02彩虹桥</t>
        </is>
      </c>
      <c r="Y326" s="1074" t="inlineStr">
        <is>
          <t>13:20-15:30</t>
        </is>
      </c>
      <c r="Z326" s="1074" t="inlineStr">
        <is>
          <t>潜能班</t>
        </is>
      </c>
      <c r="AA326" s="1074" t="inlineStr">
        <is>
          <t>零期</t>
        </is>
      </c>
      <c r="AB326" s="1074" t="inlineStr">
        <is>
          <t>在读</t>
        </is>
      </c>
      <c r="AC326" s="1074" t="inlineStr">
        <is>
          <t>是</t>
        </is>
      </c>
      <c r="AD326" s="1074" t="inlineStr">
        <is>
          <t>3132869</t>
        </is>
      </c>
      <c r="AE326" s="1074" t="n">
        <v>0</v>
      </c>
      <c r="AF326" s="1074" t="inlineStr">
        <is>
          <t>高心怡04</t>
        </is>
      </c>
      <c r="AG326" s="1074" t="inlineStr">
        <is>
          <t>01智慧林</t>
        </is>
      </c>
      <c r="AH326" s="1074" t="inlineStr">
        <is>
          <t>15:50-18:00</t>
        </is>
      </c>
      <c r="AI326" s="1074" t="inlineStr">
        <is>
          <t>潜能班</t>
        </is>
      </c>
      <c r="AJ326" s="1074" t="inlineStr">
        <is>
          <t>一期</t>
        </is>
      </c>
      <c r="AK326" s="1074" t="inlineStr">
        <is>
          <t>在读</t>
        </is>
      </c>
      <c r="AL326" s="1074" t="inlineStr">
        <is>
          <t>-</t>
        </is>
      </c>
      <c r="AM326" s="1074" t="inlineStr">
        <is>
          <t>是</t>
        </is>
      </c>
      <c r="AN326" s="1074" t="inlineStr">
        <is>
          <t>是</t>
        </is>
      </c>
      <c r="AO326" s="1074" t="inlineStr">
        <is>
          <t>是</t>
        </is>
      </c>
      <c r="AP326" s="1074" t="n"/>
      <c r="AQ326" s="1074" t="n"/>
      <c r="AR326" s="1074" t="inlineStr">
        <is>
          <t>A</t>
        </is>
      </c>
      <c r="AS326" s="1074" t="inlineStr">
        <is>
          <t>语文正价在读</t>
        </is>
      </c>
      <c r="AT326" s="311" t="n"/>
    </row>
    <row r="327" ht="26.25" customFormat="1" customHeight="1" s="366">
      <c r="A327" s="1074" t="inlineStr">
        <is>
          <t>新宝利</t>
        </is>
      </c>
      <c r="B327" s="1074" t="inlineStr">
        <is>
          <t>4819427662</t>
        </is>
      </c>
      <c r="C327" s="1074" t="inlineStr">
        <is>
          <t>张樽昊</t>
        </is>
      </c>
      <c r="D327" s="1074" t="inlineStr">
        <is>
          <t>沈思浩</t>
        </is>
      </c>
      <c r="E327" s="1074" t="inlineStr">
        <is>
          <t>纯拉新</t>
        </is>
      </c>
      <c r="F327" s="1074" t="n"/>
      <c r="G327" s="1074" t="n"/>
      <c r="H327" s="1074" t="inlineStr">
        <is>
          <t>在读</t>
        </is>
      </c>
      <c r="I327" s="1074" t="inlineStr">
        <is>
          <t>二期</t>
        </is>
      </c>
      <c r="J327" s="1074" t="inlineStr">
        <is>
          <t>4513341</t>
        </is>
      </c>
      <c r="K327" s="1074" t="inlineStr">
        <is>
          <t>报前测成绩</t>
        </is>
      </c>
      <c r="L327" s="1074" t="n">
        <v>85</v>
      </c>
      <c r="M327" s="1074" t="inlineStr">
        <is>
          <t>-</t>
        </is>
      </c>
      <c r="N327" s="1074" t="inlineStr">
        <is>
          <t>陈中帅</t>
        </is>
      </c>
      <c r="O327" s="1074" t="inlineStr">
        <is>
          <t>教室3</t>
        </is>
      </c>
      <c r="P327" s="1074" t="inlineStr">
        <is>
          <t>15:50-18:00</t>
        </is>
      </c>
      <c r="Q327" s="1074" t="inlineStr">
        <is>
          <t>启能班</t>
        </is>
      </c>
      <c r="R327" s="1074" t="inlineStr">
        <is>
          <t>二期</t>
        </is>
      </c>
      <c r="S327" s="1074" t="inlineStr">
        <is>
          <t>在读</t>
        </is>
      </c>
      <c r="T327" s="1074" t="inlineStr">
        <is>
          <t>-</t>
        </is>
      </c>
      <c r="U327" s="1074" t="inlineStr">
        <is>
          <t>3132846</t>
        </is>
      </c>
      <c r="V327" s="1074" t="n">
        <v>30</v>
      </c>
      <c r="W327" s="1074" t="inlineStr">
        <is>
          <t>黄铭怡</t>
        </is>
      </c>
      <c r="X327" s="1074" t="inlineStr">
        <is>
          <t>教室3</t>
        </is>
      </c>
      <c r="Y327" s="1074" t="inlineStr">
        <is>
          <t>13:20-15:30</t>
        </is>
      </c>
      <c r="Z327" s="1074" t="inlineStr">
        <is>
          <t>潜能班</t>
        </is>
      </c>
      <c r="AA327" s="1074" t="inlineStr">
        <is>
          <t>二期</t>
        </is>
      </c>
      <c r="AB327" s="1074" t="inlineStr">
        <is>
          <t>在读</t>
        </is>
      </c>
      <c r="AC327" s="1074" t="inlineStr">
        <is>
          <t>-</t>
        </is>
      </c>
      <c r="AD327" s="1074" t="inlineStr">
        <is>
          <t>5230738</t>
        </is>
      </c>
      <c r="AE327" s="1074" t="n">
        <v>26.5</v>
      </c>
      <c r="AF327" s="1074" t="inlineStr">
        <is>
          <t>高心怡04</t>
        </is>
      </c>
      <c r="AG327" s="1074" t="inlineStr">
        <is>
          <t>教室3</t>
        </is>
      </c>
      <c r="AH327" s="1074" t="inlineStr">
        <is>
          <t>10:20-12:30</t>
        </is>
      </c>
      <c r="AI327" s="1074" t="inlineStr">
        <is>
          <t>潜能班</t>
        </is>
      </c>
      <c r="AJ327" s="1074" t="inlineStr">
        <is>
          <t>二期</t>
        </is>
      </c>
      <c r="AK327" s="1074" t="inlineStr">
        <is>
          <t>在读</t>
        </is>
      </c>
      <c r="AL327" s="1074" t="inlineStr">
        <is>
          <t>-</t>
        </is>
      </c>
      <c r="AM327" s="1074" t="n"/>
      <c r="AN327" s="1074" t="n"/>
      <c r="AO327" s="1074" t="n"/>
      <c r="AP327" s="1074" t="n"/>
      <c r="AQ327" s="1074" t="n"/>
      <c r="AR327" s="1074" t="inlineStr">
        <is>
          <t>A</t>
        </is>
      </c>
      <c r="AS327" s="1074" t="inlineStr">
        <is>
          <t>先看看小朋友的适应情况</t>
        </is>
      </c>
      <c r="AT327" s="311" t="n"/>
    </row>
    <row r="328" ht="26.25" customFormat="1" customHeight="1" s="366">
      <c r="A328" s="1074" t="inlineStr">
        <is>
          <t>新宝利</t>
        </is>
      </c>
      <c r="B328" s="1074" t="inlineStr">
        <is>
          <t>4020960616</t>
        </is>
      </c>
      <c r="C328" s="1074" t="inlineStr">
        <is>
          <t>叶羽宸</t>
        </is>
      </c>
      <c r="D328" s="1074" t="inlineStr">
        <is>
          <t>杨林33</t>
        </is>
      </c>
      <c r="E328" s="1074" t="inlineStr">
        <is>
          <t>反复低价</t>
        </is>
      </c>
      <c r="F328" s="1074" t="inlineStr">
        <is>
          <t>成绩极差，曾被劝退。且现场中帅有告知明确不收</t>
        </is>
      </c>
      <c r="G328" s="1074" t="n"/>
      <c r="H328" s="1074" t="inlineStr">
        <is>
          <t>在读</t>
        </is>
      </c>
      <c r="I328" s="1074" t="inlineStr">
        <is>
          <t>三期</t>
        </is>
      </c>
      <c r="J328" s="1074" t="inlineStr">
        <is>
          <t>3132902</t>
        </is>
      </c>
      <c r="K328" s="1074" t="inlineStr">
        <is>
          <t>报前测成绩</t>
        </is>
      </c>
      <c r="L328" s="1074" t="n">
        <v>40</v>
      </c>
      <c r="M328" s="1074" t="inlineStr">
        <is>
          <t>-</t>
        </is>
      </c>
      <c r="N328" s="1074" t="inlineStr">
        <is>
          <t>陈中帅</t>
        </is>
      </c>
      <c r="O328" s="1074" t="inlineStr">
        <is>
          <t>教室3</t>
        </is>
      </c>
      <c r="P328" s="1074" t="inlineStr">
        <is>
          <t>13:20-15:30</t>
        </is>
      </c>
      <c r="Q328" s="1074" t="inlineStr">
        <is>
          <t>潜能班</t>
        </is>
      </c>
      <c r="R328" s="1074" t="inlineStr">
        <is>
          <t>三期</t>
        </is>
      </c>
      <c r="S328" s="1074" t="inlineStr">
        <is>
          <t>在读</t>
        </is>
      </c>
      <c r="T328" s="1074" t="inlineStr">
        <is>
          <t>-</t>
        </is>
      </c>
      <c r="U328" s="1074" t="inlineStr">
        <is>
          <t>5230747</t>
        </is>
      </c>
      <c r="V328" s="1074" t="n">
        <v>0</v>
      </c>
      <c r="W328" s="1074" t="inlineStr">
        <is>
          <t>陈南05</t>
        </is>
      </c>
      <c r="X328" s="1074" t="inlineStr">
        <is>
          <t>教室3</t>
        </is>
      </c>
      <c r="Y328" s="1074" t="inlineStr">
        <is>
          <t>10:20-12:30</t>
        </is>
      </c>
      <c r="Z328" s="1074" t="inlineStr">
        <is>
          <t>潜能班</t>
        </is>
      </c>
      <c r="AA328" s="1074" t="inlineStr">
        <is>
          <t>三期</t>
        </is>
      </c>
      <c r="AB328" s="1074" t="inlineStr">
        <is>
          <t>在读</t>
        </is>
      </c>
      <c r="AC328" s="1074" t="inlineStr">
        <is>
          <t>-</t>
        </is>
      </c>
      <c r="AD328" s="1074" t="inlineStr">
        <is>
          <t>5230821</t>
        </is>
      </c>
      <c r="AE328" s="1074" t="n">
        <v>0</v>
      </c>
      <c r="AF328" s="1074" t="inlineStr">
        <is>
          <t>肖锐03</t>
        </is>
      </c>
      <c r="AG328" s="1074" t="inlineStr">
        <is>
          <t>教室3</t>
        </is>
      </c>
      <c r="AH328" s="1074" t="inlineStr">
        <is>
          <t>15:50-18:00</t>
        </is>
      </c>
      <c r="AI328" s="1074" t="inlineStr">
        <is>
          <t>潜能班</t>
        </is>
      </c>
      <c r="AJ328" s="1074" t="inlineStr">
        <is>
          <t>三期</t>
        </is>
      </c>
      <c r="AK328" s="1074" t="inlineStr">
        <is>
          <t>在读</t>
        </is>
      </c>
      <c r="AL328" s="1074" t="inlineStr">
        <is>
          <t>-</t>
        </is>
      </c>
      <c r="AM328" s="1074" t="n"/>
      <c r="AN328" s="1074" t="n"/>
      <c r="AO328" s="1074" t="n"/>
      <c r="AP328" s="1074" t="n"/>
      <c r="AQ328" s="1074" t="n"/>
      <c r="AR328" s="1074" t="inlineStr">
        <is>
          <t>C</t>
        </is>
      </c>
      <c r="AS328" s="1074" t="inlineStr">
        <is>
          <t>续报难说</t>
        </is>
      </c>
      <c r="AT328" s="311" t="n"/>
    </row>
    <row r="329" ht="26.25" customFormat="1" customHeight="1" s="366">
      <c r="A329" s="1074" t="inlineStr">
        <is>
          <t>天成大厦</t>
        </is>
      </c>
      <c r="B329" s="1074" t="inlineStr">
        <is>
          <t>2226829869</t>
        </is>
      </c>
      <c r="C329" s="1074" t="inlineStr">
        <is>
          <t>翁圣翔</t>
        </is>
      </c>
      <c r="D329" s="1074" t="inlineStr">
        <is>
          <t>陈亮延</t>
        </is>
      </c>
      <c r="E329" s="1074" t="inlineStr">
        <is>
          <t>春季在读老生</t>
        </is>
      </c>
      <c r="F329" s="1074" t="n"/>
      <c r="G329" s="1074" t="n"/>
      <c r="H329" s="1074" t="inlineStr">
        <is>
          <t>在读</t>
        </is>
      </c>
      <c r="I329" s="1074" t="inlineStr">
        <is>
          <t>一期</t>
        </is>
      </c>
      <c r="J329" s="1074" t="inlineStr">
        <is>
          <t>5230775</t>
        </is>
      </c>
      <c r="K329" s="1074" t="inlineStr">
        <is>
          <t>老师预估</t>
        </is>
      </c>
      <c r="L329" s="1074" t="n">
        <v>60</v>
      </c>
      <c r="M329" s="1074" t="inlineStr">
        <is>
          <t>-</t>
        </is>
      </c>
      <c r="N329" s="1074" t="inlineStr">
        <is>
          <t>陈中帅</t>
        </is>
      </c>
      <c r="O329" s="1074" t="inlineStr">
        <is>
          <t>03品尚</t>
        </is>
      </c>
      <c r="P329" s="1074" t="inlineStr">
        <is>
          <t>10:20-12:30</t>
        </is>
      </c>
      <c r="Q329" s="1074" t="inlineStr">
        <is>
          <t>潜能班</t>
        </is>
      </c>
      <c r="R329" s="1074" t="inlineStr">
        <is>
          <t>一期</t>
        </is>
      </c>
      <c r="S329" s="1074" t="inlineStr">
        <is>
          <t>在读</t>
        </is>
      </c>
      <c r="T329" s="1074" t="inlineStr">
        <is>
          <t>是</t>
        </is>
      </c>
      <c r="U329" s="1074" t="inlineStr">
        <is>
          <t>-</t>
        </is>
      </c>
      <c r="V329" s="1074" t="inlineStr"/>
      <c r="W329" s="1074" t="inlineStr">
        <is>
          <t>-</t>
        </is>
      </c>
      <c r="X329" s="1074" t="inlineStr">
        <is>
          <t>-</t>
        </is>
      </c>
      <c r="Y329" s="1074" t="inlineStr">
        <is>
          <t>-</t>
        </is>
      </c>
      <c r="Z329" s="1074" t="inlineStr">
        <is>
          <t>-</t>
        </is>
      </c>
      <c r="AA329" s="1074" t="inlineStr">
        <is>
          <t>-</t>
        </is>
      </c>
      <c r="AB329" s="1074" t="inlineStr">
        <is>
          <t>-</t>
        </is>
      </c>
      <c r="AC329" s="1074" t="inlineStr">
        <is>
          <t>-</t>
        </is>
      </c>
      <c r="AD329" s="1074" t="inlineStr">
        <is>
          <t>5230783</t>
        </is>
      </c>
      <c r="AE329" s="1074" t="n">
        <v>0</v>
      </c>
      <c r="AF329" s="1074" t="inlineStr">
        <is>
          <t>刘希子</t>
        </is>
      </c>
      <c r="AG329" s="1074" t="inlineStr">
        <is>
          <t>03品尚</t>
        </is>
      </c>
      <c r="AH329" s="1074" t="inlineStr">
        <is>
          <t>13:20-15:30</t>
        </is>
      </c>
      <c r="AI329" s="1074" t="inlineStr">
        <is>
          <t>潜能班</t>
        </is>
      </c>
      <c r="AJ329" s="1074" t="inlineStr">
        <is>
          <t>一期</t>
        </is>
      </c>
      <c r="AK329" s="1074" t="inlineStr">
        <is>
          <t>在读</t>
        </is>
      </c>
      <c r="AL329" s="1074" t="inlineStr">
        <is>
          <t>是</t>
        </is>
      </c>
      <c r="AM329" s="1074" t="n"/>
      <c r="AN329" s="1074" t="n"/>
      <c r="AO329" s="1074" t="n"/>
      <c r="AP329" s="1074" t="n"/>
      <c r="AQ329" s="1074" t="n"/>
      <c r="AR329" s="1074" t="inlineStr">
        <is>
          <t>S</t>
        </is>
      </c>
      <c r="AS329" s="1074" t="inlineStr">
        <is>
          <t>在读数学系统课学员，有扩科意向</t>
        </is>
      </c>
      <c r="AT329" s="311" t="n"/>
    </row>
    <row r="330" ht="26.25" customFormat="1" customHeight="1" s="366">
      <c r="A330" s="1074" t="inlineStr">
        <is>
          <t>新宝利</t>
        </is>
      </c>
      <c r="B330" s="1074" t="inlineStr">
        <is>
          <t>4565666670</t>
        </is>
      </c>
      <c r="C330" s="1074" t="inlineStr">
        <is>
          <t>梁悦轩</t>
        </is>
      </c>
      <c r="D330" s="1074" t="inlineStr">
        <is>
          <t>林志豪01</t>
        </is>
      </c>
      <c r="E330" s="1074" t="inlineStr">
        <is>
          <t>老生转介绍</t>
        </is>
      </c>
      <c r="F330" s="1074" t="n"/>
      <c r="G330" s="1074" t="inlineStr">
        <is>
          <t>程雅涵</t>
        </is>
      </c>
      <c r="H330" s="1074" t="inlineStr">
        <is>
          <t>在读</t>
        </is>
      </c>
      <c r="I330" s="1074" t="inlineStr">
        <is>
          <t>二期</t>
        </is>
      </c>
      <c r="J330" s="1074" t="inlineStr">
        <is>
          <t>4513341</t>
        </is>
      </c>
      <c r="K330" s="1074" t="inlineStr">
        <is>
          <t>报前测成绩</t>
        </is>
      </c>
      <c r="L330" s="1074" t="n">
        <v>86</v>
      </c>
      <c r="M330" s="1074" t="inlineStr">
        <is>
          <t>-</t>
        </is>
      </c>
      <c r="N330" s="1074" t="inlineStr">
        <is>
          <t>陈中帅</t>
        </is>
      </c>
      <c r="O330" s="1074" t="inlineStr">
        <is>
          <t>教室3</t>
        </is>
      </c>
      <c r="P330" s="1074" t="inlineStr">
        <is>
          <t>15:50-18:00</t>
        </is>
      </c>
      <c r="Q330" s="1074" t="inlineStr">
        <is>
          <t>启能班</t>
        </is>
      </c>
      <c r="R330" s="1074" t="inlineStr">
        <is>
          <t>二期</t>
        </is>
      </c>
      <c r="S330" s="1074" t="inlineStr">
        <is>
          <t>在读</t>
        </is>
      </c>
      <c r="T330" s="1074" t="inlineStr">
        <is>
          <t>-</t>
        </is>
      </c>
      <c r="U330" s="1074" t="inlineStr">
        <is>
          <t>3132846</t>
        </is>
      </c>
      <c r="V330" s="1074" t="n">
        <v>40</v>
      </c>
      <c r="W330" s="1074" t="inlineStr">
        <is>
          <t>黄铭怡</t>
        </is>
      </c>
      <c r="X330" s="1074" t="inlineStr">
        <is>
          <t>教室3</t>
        </is>
      </c>
      <c r="Y330" s="1074" t="inlineStr">
        <is>
          <t>13:20-15:30</t>
        </is>
      </c>
      <c r="Z330" s="1074" t="inlineStr">
        <is>
          <t>潜能班</t>
        </is>
      </c>
      <c r="AA330" s="1074" t="inlineStr">
        <is>
          <t>二期</t>
        </is>
      </c>
      <c r="AB330" s="1074" t="inlineStr">
        <is>
          <t>在读</t>
        </is>
      </c>
      <c r="AC330" s="1074" t="inlineStr">
        <is>
          <t>-</t>
        </is>
      </c>
      <c r="AD330" s="1074" t="inlineStr">
        <is>
          <t>5230738</t>
        </is>
      </c>
      <c r="AE330" s="1074" t="n">
        <v>33.5</v>
      </c>
      <c r="AF330" s="1074" t="inlineStr">
        <is>
          <t>高心怡04</t>
        </is>
      </c>
      <c r="AG330" s="1074" t="inlineStr">
        <is>
          <t>教室3</t>
        </is>
      </c>
      <c r="AH330" s="1074" t="inlineStr">
        <is>
          <t>10:20-12:30</t>
        </is>
      </c>
      <c r="AI330" s="1074" t="inlineStr">
        <is>
          <t>潜能班</t>
        </is>
      </c>
      <c r="AJ330" s="1074" t="inlineStr">
        <is>
          <t>二期</t>
        </is>
      </c>
      <c r="AK330" s="1074" t="inlineStr">
        <is>
          <t>在读</t>
        </is>
      </c>
      <c r="AL330" s="1074" t="inlineStr">
        <is>
          <t>-</t>
        </is>
      </c>
      <c r="AM330" s="1074" t="n"/>
      <c r="AN330" s="1074" t="n"/>
      <c r="AO330" s="1074" t="n"/>
      <c r="AP330" s="1074" t="n"/>
      <c r="AQ330" s="1074" t="n"/>
      <c r="AR330" s="1074" t="inlineStr">
        <is>
          <t>B</t>
        </is>
      </c>
      <c r="AS330" s="1074" t="inlineStr">
        <is>
          <t>转介绍，孩子优秀，而且很有主见，妈咪教育意识也强，但只聊了暑假，秋没过多谈看暑假情况</t>
        </is>
      </c>
      <c r="AT330" s="311" t="n"/>
    </row>
    <row r="331" ht="26.25" customFormat="1" customHeight="1" s="366">
      <c r="A331" s="1074" t="inlineStr">
        <is>
          <t>新宝利</t>
        </is>
      </c>
      <c r="B331" s="1074" t="inlineStr">
        <is>
          <t>2464539305</t>
        </is>
      </c>
      <c r="C331" s="1074" t="inlineStr">
        <is>
          <t>钟宥廷</t>
        </is>
      </c>
      <c r="D331" s="1074" t="inlineStr"/>
      <c r="E331" s="1074" t="inlineStr">
        <is>
          <t>春季在读老生</t>
        </is>
      </c>
      <c r="F331" s="1074" t="n"/>
      <c r="G331" s="1074" t="n"/>
      <c r="H331" s="1074" t="inlineStr">
        <is>
          <t>在读</t>
        </is>
      </c>
      <c r="I331" s="1074" t="inlineStr">
        <is>
          <t>二期</t>
        </is>
      </c>
      <c r="J331" s="1074" t="inlineStr">
        <is>
          <t>-</t>
        </is>
      </c>
      <c r="K331" s="1074" t="inlineStr"/>
      <c r="L331" s="1074" t="inlineStr"/>
      <c r="M331" s="1074" t="inlineStr"/>
      <c r="N331" s="1074" t="inlineStr">
        <is>
          <t>-</t>
        </is>
      </c>
      <c r="O331" s="1074" t="inlineStr">
        <is>
          <t>-</t>
        </is>
      </c>
      <c r="P331" s="1074" t="inlineStr">
        <is>
          <t>-</t>
        </is>
      </c>
      <c r="Q331" s="1074" t="inlineStr">
        <is>
          <t>-</t>
        </is>
      </c>
      <c r="R331" s="1074" t="inlineStr">
        <is>
          <t>-</t>
        </is>
      </c>
      <c r="S331" s="1074" t="inlineStr">
        <is>
          <t>-</t>
        </is>
      </c>
      <c r="T331" s="1074" t="inlineStr">
        <is>
          <t>-</t>
        </is>
      </c>
      <c r="U331" s="1074" t="inlineStr">
        <is>
          <t>4513342</t>
        </is>
      </c>
      <c r="V331" s="1074" t="n"/>
      <c r="W331" s="1074" t="inlineStr">
        <is>
          <t>黄铭怡</t>
        </is>
      </c>
      <c r="X331" s="1074" t="inlineStr">
        <is>
          <t>教室4</t>
        </is>
      </c>
      <c r="Y331" s="1074" t="inlineStr">
        <is>
          <t>10:20-12:30</t>
        </is>
      </c>
      <c r="Z331" s="1074" t="inlineStr">
        <is>
          <t>潜能班</t>
        </is>
      </c>
      <c r="AA331" s="1074" t="inlineStr">
        <is>
          <t>二期</t>
        </is>
      </c>
      <c r="AB331" s="1074" t="inlineStr">
        <is>
          <t>在读</t>
        </is>
      </c>
      <c r="AC331" s="1074" t="inlineStr">
        <is>
          <t>是</t>
        </is>
      </c>
      <c r="AD331" s="1074" t="inlineStr">
        <is>
          <t>-</t>
        </is>
      </c>
      <c r="AE331" s="1074" t="inlineStr"/>
      <c r="AF331" s="1074" t="inlineStr">
        <is>
          <t>-</t>
        </is>
      </c>
      <c r="AG331" s="1074" t="inlineStr">
        <is>
          <t>-</t>
        </is>
      </c>
      <c r="AH331" s="1074" t="inlineStr">
        <is>
          <t>-</t>
        </is>
      </c>
      <c r="AI331" s="1074" t="inlineStr">
        <is>
          <t>-</t>
        </is>
      </c>
      <c r="AJ331" s="1074" t="inlineStr">
        <is>
          <t>-</t>
        </is>
      </c>
      <c r="AK331" s="1074" t="inlineStr">
        <is>
          <t>-</t>
        </is>
      </c>
      <c r="AL331" s="1074" t="inlineStr">
        <is>
          <t>-</t>
        </is>
      </c>
      <c r="AM331" s="1074" t="n"/>
      <c r="AN331" s="1074" t="n"/>
      <c r="AO331" s="1074" t="n"/>
      <c r="AP331" s="1074" t="n"/>
      <c r="AQ331" s="1074" t="n"/>
      <c r="AR331" s="1074" t="n"/>
      <c r="AS331" s="1074" t="n"/>
      <c r="AT331" s="311" t="n"/>
    </row>
    <row r="332" ht="26.25" customFormat="1" customHeight="1" s="366">
      <c r="A332" s="1074" t="inlineStr">
        <is>
          <t>天成大厦</t>
        </is>
      </c>
      <c r="B332" s="1074" t="inlineStr">
        <is>
          <t>4050255637</t>
        </is>
      </c>
      <c r="C332" s="1074" t="inlineStr">
        <is>
          <t>程芷仪</t>
        </is>
      </c>
      <c r="D332" s="1074" t="inlineStr"/>
      <c r="E332" s="1074" t="inlineStr">
        <is>
          <t>春季在读老生</t>
        </is>
      </c>
      <c r="F332" s="1074" t="n"/>
      <c r="G332" s="1074" t="n"/>
      <c r="H332" s="1074" t="inlineStr">
        <is>
          <t>在读</t>
        </is>
      </c>
      <c r="I332" s="1074" t="inlineStr">
        <is>
          <t>一期</t>
        </is>
      </c>
      <c r="J332" s="1074" t="inlineStr">
        <is>
          <t>5230775</t>
        </is>
      </c>
      <c r="K332" s="1074" t="inlineStr">
        <is>
          <t>老师预估</t>
        </is>
      </c>
      <c r="L332" s="1074" t="n">
        <v>65</v>
      </c>
      <c r="M332" s="1074" t="inlineStr">
        <is>
          <t>-</t>
        </is>
      </c>
      <c r="N332" s="1074" t="inlineStr">
        <is>
          <t>陈中帅</t>
        </is>
      </c>
      <c r="O332" s="1074" t="inlineStr">
        <is>
          <t>03品尚</t>
        </is>
      </c>
      <c r="P332" s="1074" t="inlineStr">
        <is>
          <t>10:20-12:30</t>
        </is>
      </c>
      <c r="Q332" s="1074" t="inlineStr">
        <is>
          <t>潜能班</t>
        </is>
      </c>
      <c r="R332" s="1074" t="inlineStr">
        <is>
          <t>一期</t>
        </is>
      </c>
      <c r="S332" s="1074" t="inlineStr">
        <is>
          <t>在读</t>
        </is>
      </c>
      <c r="T332" s="1074" t="inlineStr">
        <is>
          <t>是</t>
        </is>
      </c>
      <c r="U332" s="1074" t="inlineStr">
        <is>
          <t>-</t>
        </is>
      </c>
      <c r="V332" s="1074" t="inlineStr"/>
      <c r="W332" s="1074" t="inlineStr">
        <is>
          <t>-</t>
        </is>
      </c>
      <c r="X332" s="1074" t="inlineStr">
        <is>
          <t>-</t>
        </is>
      </c>
      <c r="Y332" s="1074" t="inlineStr">
        <is>
          <t>-</t>
        </is>
      </c>
      <c r="Z332" s="1074" t="inlineStr">
        <is>
          <t>-</t>
        </is>
      </c>
      <c r="AA332" s="1074" t="inlineStr">
        <is>
          <t>-</t>
        </is>
      </c>
      <c r="AB332" s="1074" t="inlineStr">
        <is>
          <t>-</t>
        </is>
      </c>
      <c r="AC332" s="1074" t="inlineStr">
        <is>
          <t>-</t>
        </is>
      </c>
      <c r="AD332" s="1074" t="inlineStr">
        <is>
          <t>-</t>
        </is>
      </c>
      <c r="AE332" s="1074" t="inlineStr"/>
      <c r="AF332" s="1074" t="inlineStr">
        <is>
          <t>-</t>
        </is>
      </c>
      <c r="AG332" s="1074" t="inlineStr">
        <is>
          <t>-</t>
        </is>
      </c>
      <c r="AH332" s="1074" t="inlineStr">
        <is>
          <t>-</t>
        </is>
      </c>
      <c r="AI332" s="1074" t="inlineStr">
        <is>
          <t>-</t>
        </is>
      </c>
      <c r="AJ332" s="1074" t="inlineStr">
        <is>
          <t>-</t>
        </is>
      </c>
      <c r="AK332" s="1074" t="inlineStr">
        <is>
          <t>-</t>
        </is>
      </c>
      <c r="AL332" s="1074" t="inlineStr">
        <is>
          <t>-</t>
        </is>
      </c>
      <c r="AM332" s="1074" t="n"/>
      <c r="AN332" s="1074" t="n"/>
      <c r="AO332" s="1074" t="n"/>
      <c r="AP332" s="1074" t="n"/>
      <c r="AQ332" s="1074" t="n"/>
      <c r="AR332" s="1074" t="n"/>
      <c r="AS332" s="1074" t="n"/>
      <c r="AT332" s="311" t="n"/>
    </row>
    <row r="333" ht="26.25" customFormat="1" customHeight="1" s="366">
      <c r="A333" s="1074" t="inlineStr">
        <is>
          <t>同创汇</t>
        </is>
      </c>
      <c r="B333" s="1074" t="inlineStr">
        <is>
          <t>2488140963</t>
        </is>
      </c>
      <c r="C333" s="1074" t="inlineStr">
        <is>
          <t>张进桐</t>
        </is>
      </c>
      <c r="D333" s="1074" t="inlineStr">
        <is>
          <t>戎凯01</t>
        </is>
      </c>
      <c r="E333" s="1074" t="inlineStr">
        <is>
          <t>春季在读老生</t>
        </is>
      </c>
      <c r="F333" s="1074" t="n"/>
      <c r="G333" s="1074" t="n"/>
      <c r="H333" s="1074" t="inlineStr">
        <is>
          <t>在读</t>
        </is>
      </c>
      <c r="I333" s="1074" t="inlineStr">
        <is>
          <t>零期</t>
        </is>
      </c>
      <c r="J333" s="1074" t="inlineStr">
        <is>
          <t>5230814</t>
        </is>
      </c>
      <c r="K333" s="1074" t="inlineStr">
        <is>
          <t>老师预估</t>
        </is>
      </c>
      <c r="L333" s="1074" t="n">
        <v>90</v>
      </c>
      <c r="M333" s="1074" t="inlineStr">
        <is>
          <t>-</t>
        </is>
      </c>
      <c r="N333" s="1074" t="inlineStr">
        <is>
          <t>陈中帅</t>
        </is>
      </c>
      <c r="O333" s="1074" t="inlineStr">
        <is>
          <t>02彩虹桥</t>
        </is>
      </c>
      <c r="P333" s="1074" t="inlineStr">
        <is>
          <t>07:50-10:00</t>
        </is>
      </c>
      <c r="Q333" s="1074" t="inlineStr">
        <is>
          <t>启能班</t>
        </is>
      </c>
      <c r="R333" s="1074" t="inlineStr">
        <is>
          <t>零期</t>
        </is>
      </c>
      <c r="S333" s="1074" t="inlineStr">
        <is>
          <t>在读</t>
        </is>
      </c>
      <c r="T333" s="1074" t="inlineStr">
        <is>
          <t>是</t>
        </is>
      </c>
      <c r="U333" s="1074" t="inlineStr">
        <is>
          <t>3132905</t>
        </is>
      </c>
      <c r="V333" s="1074" t="n"/>
      <c r="W333" s="1074" t="inlineStr">
        <is>
          <t>黄铭怡</t>
        </is>
      </c>
      <c r="X333" s="1074" t="inlineStr">
        <is>
          <t>02彩虹桥</t>
        </is>
      </c>
      <c r="Y333" s="1074" t="inlineStr">
        <is>
          <t>13:20-15:30</t>
        </is>
      </c>
      <c r="Z333" s="1074" t="inlineStr">
        <is>
          <t>潜能班</t>
        </is>
      </c>
      <c r="AA333" s="1074" t="inlineStr">
        <is>
          <t>零期</t>
        </is>
      </c>
      <c r="AB333" s="1074" t="inlineStr">
        <is>
          <t>在读</t>
        </is>
      </c>
      <c r="AC333" s="1074" t="inlineStr">
        <is>
          <t>是</t>
        </is>
      </c>
      <c r="AD333" s="1074" t="inlineStr">
        <is>
          <t>5230765</t>
        </is>
      </c>
      <c r="AE333" s="1074" t="n"/>
      <c r="AF333" s="1074" t="inlineStr">
        <is>
          <t>刘希子</t>
        </is>
      </c>
      <c r="AG333" s="1074" t="inlineStr">
        <is>
          <t>02彩虹桥</t>
        </is>
      </c>
      <c r="AH333" s="1074" t="inlineStr">
        <is>
          <t>10:20-12:30</t>
        </is>
      </c>
      <c r="AI333" s="1074" t="inlineStr">
        <is>
          <t>潜能班</t>
        </is>
      </c>
      <c r="AJ333" s="1074" t="inlineStr">
        <is>
          <t>零期</t>
        </is>
      </c>
      <c r="AK333" s="1074" t="inlineStr">
        <is>
          <t>在读</t>
        </is>
      </c>
      <c r="AL333" s="1074" t="inlineStr">
        <is>
          <t>是</t>
        </is>
      </c>
      <c r="AM333" s="1074" t="inlineStr">
        <is>
          <t>是</t>
        </is>
      </c>
      <c r="AN333" s="1074" t="inlineStr">
        <is>
          <t>是</t>
        </is>
      </c>
      <c r="AO333" s="1074" t="inlineStr">
        <is>
          <t>是</t>
        </is>
      </c>
      <c r="AP333" s="1074" t="n"/>
      <c r="AQ333" s="1074" t="n"/>
      <c r="AR333" s="1074" t="inlineStr">
        <is>
          <t>S</t>
        </is>
      </c>
      <c r="AS333" s="1074" t="inlineStr">
        <is>
          <t>在读老生</t>
        </is>
      </c>
      <c r="AT333" s="311" t="n"/>
    </row>
    <row r="334" ht="26.25" customFormat="1" customHeight="1" s="366">
      <c r="A334" s="1074" t="inlineStr">
        <is>
          <t>同创汇</t>
        </is>
      </c>
      <c r="B334" s="1074" t="inlineStr">
        <is>
          <t>4310026061</t>
        </is>
      </c>
      <c r="C334" s="1074" t="inlineStr">
        <is>
          <t>黄心悦</t>
        </is>
      </c>
      <c r="D334" s="1074" t="inlineStr">
        <is>
          <t>苏丽婷</t>
        </is>
      </c>
      <c r="E334" s="1074" t="inlineStr">
        <is>
          <t>纯拉新</t>
        </is>
      </c>
      <c r="F334" s="1074" t="n"/>
      <c r="G334" s="1074" t="n"/>
      <c r="H334" s="1074" t="inlineStr">
        <is>
          <t>在读</t>
        </is>
      </c>
      <c r="I334" s="1074" t="inlineStr">
        <is>
          <t>一期</t>
        </is>
      </c>
      <c r="J334" s="1074" t="inlineStr">
        <is>
          <t>5230719</t>
        </is>
      </c>
      <c r="K334" s="1074" t="inlineStr">
        <is>
          <t>报前测成绩</t>
        </is>
      </c>
      <c r="L334" s="1074" t="n">
        <v>94</v>
      </c>
      <c r="M334" s="1074" t="inlineStr">
        <is>
          <t>-</t>
        </is>
      </c>
      <c r="N334" s="1074" t="inlineStr">
        <is>
          <t>陈中帅</t>
        </is>
      </c>
      <c r="O334" s="1074" t="inlineStr">
        <is>
          <t>01智慧林</t>
        </is>
      </c>
      <c r="P334" s="1074" t="inlineStr">
        <is>
          <t>13:20-15:30</t>
        </is>
      </c>
      <c r="Q334" s="1074" t="inlineStr">
        <is>
          <t>启能班</t>
        </is>
      </c>
      <c r="R334" s="1074" t="inlineStr">
        <is>
          <t>一期</t>
        </is>
      </c>
      <c r="S334" s="1074" t="inlineStr">
        <is>
          <t>在读</t>
        </is>
      </c>
      <c r="T334" s="1074" t="inlineStr">
        <is>
          <t>-</t>
        </is>
      </c>
      <c r="U334" s="1074" t="inlineStr">
        <is>
          <t>4632448</t>
        </is>
      </c>
      <c r="V334" s="1074" t="n">
        <v>42</v>
      </c>
      <c r="W334" s="1074" t="inlineStr">
        <is>
          <t>陈南05</t>
        </is>
      </c>
      <c r="X334" s="1074" t="inlineStr">
        <is>
          <t>02彩虹桥</t>
        </is>
      </c>
      <c r="Y334" s="1074" t="inlineStr">
        <is>
          <t>10:20-12:30</t>
        </is>
      </c>
      <c r="Z334" s="1074" t="inlineStr">
        <is>
          <t>潜能班</t>
        </is>
      </c>
      <c r="AA334" s="1074" t="inlineStr">
        <is>
          <t>一期</t>
        </is>
      </c>
      <c r="AB334" s="1074" t="inlineStr">
        <is>
          <t>在读</t>
        </is>
      </c>
      <c r="AC334" s="1074" t="inlineStr">
        <is>
          <t>-</t>
        </is>
      </c>
      <c r="AD334" s="1074" t="inlineStr">
        <is>
          <t>3132869</t>
        </is>
      </c>
      <c r="AE334" s="1074" t="n">
        <v>37.5</v>
      </c>
      <c r="AF334" s="1074" t="inlineStr">
        <is>
          <t>高心怡04</t>
        </is>
      </c>
      <c r="AG334" s="1074" t="inlineStr">
        <is>
          <t>01智慧林</t>
        </is>
      </c>
      <c r="AH334" s="1074" t="inlineStr">
        <is>
          <t>15:50-18:00</t>
        </is>
      </c>
      <c r="AI334" s="1074" t="inlineStr">
        <is>
          <t>潜能班</t>
        </is>
      </c>
      <c r="AJ334" s="1074" t="inlineStr">
        <is>
          <t>一期</t>
        </is>
      </c>
      <c r="AK334" s="1074" t="inlineStr">
        <is>
          <t>在读</t>
        </is>
      </c>
      <c r="AL334" s="1074" t="inlineStr">
        <is>
          <t>-</t>
        </is>
      </c>
      <c r="AM334" s="1074" t="n"/>
      <c r="AN334" s="1074" t="n"/>
      <c r="AO334" s="1074" t="n"/>
      <c r="AP334" s="1074" t="n"/>
      <c r="AQ334" s="1074" t="n"/>
      <c r="AR334" s="1074" t="inlineStr">
        <is>
          <t>A</t>
        </is>
      </c>
      <c r="AS334" s="1074" t="inlineStr">
        <is>
          <t>学习是爸爸负责，但是有在对比机构，喜欢听讲座，到处参加</t>
        </is>
      </c>
      <c r="AT334" s="311" t="n"/>
    </row>
    <row r="335" ht="26.25" customFormat="1" customHeight="1" s="366">
      <c r="A335" s="1074" t="inlineStr">
        <is>
          <t>新宝利</t>
        </is>
      </c>
      <c r="B335" s="1074" t="inlineStr">
        <is>
          <t>2482427367</t>
        </is>
      </c>
      <c r="C335" s="1074" t="inlineStr">
        <is>
          <t>李晴曦</t>
        </is>
      </c>
      <c r="D335" s="1074" t="inlineStr"/>
      <c r="E335" s="1074" t="inlineStr">
        <is>
          <t>春季在读老生</t>
        </is>
      </c>
      <c r="F335" s="1074" t="n"/>
      <c r="G335" s="1074" t="n"/>
      <c r="H335" s="1074" t="inlineStr">
        <is>
          <t>在读</t>
        </is>
      </c>
      <c r="I335" s="1074" t="inlineStr">
        <is>
          <t>二期</t>
        </is>
      </c>
      <c r="J335" s="1074" t="inlineStr">
        <is>
          <t>4513341</t>
        </is>
      </c>
      <c r="K335" s="1074" t="inlineStr">
        <is>
          <t>老师预估</t>
        </is>
      </c>
      <c r="L335" s="1074" t="n">
        <v>60</v>
      </c>
      <c r="M335" s="1074" t="inlineStr">
        <is>
          <t>-</t>
        </is>
      </c>
      <c r="N335" s="1074" t="inlineStr">
        <is>
          <t>陈中帅</t>
        </is>
      </c>
      <c r="O335" s="1074" t="inlineStr">
        <is>
          <t>教室3</t>
        </is>
      </c>
      <c r="P335" s="1074" t="inlineStr">
        <is>
          <t>15:50-18:00</t>
        </is>
      </c>
      <c r="Q335" s="1074" t="inlineStr">
        <is>
          <t>启能班</t>
        </is>
      </c>
      <c r="R335" s="1074" t="inlineStr">
        <is>
          <t>二期</t>
        </is>
      </c>
      <c r="S335" s="1074" t="inlineStr">
        <is>
          <t>在读</t>
        </is>
      </c>
      <c r="T335" s="1074" t="inlineStr">
        <is>
          <t>是</t>
        </is>
      </c>
      <c r="U335" s="1074" t="inlineStr">
        <is>
          <t>-</t>
        </is>
      </c>
      <c r="V335" s="1074" t="inlineStr"/>
      <c r="W335" s="1074" t="inlineStr">
        <is>
          <t>-</t>
        </is>
      </c>
      <c r="X335" s="1074" t="inlineStr">
        <is>
          <t>-</t>
        </is>
      </c>
      <c r="Y335" s="1074" t="inlineStr">
        <is>
          <t>-</t>
        </is>
      </c>
      <c r="Z335" s="1074" t="inlineStr">
        <is>
          <t>-</t>
        </is>
      </c>
      <c r="AA335" s="1074" t="inlineStr">
        <is>
          <t>-</t>
        </is>
      </c>
      <c r="AB335" s="1074" t="inlineStr">
        <is>
          <t>-</t>
        </is>
      </c>
      <c r="AC335" s="1074" t="inlineStr">
        <is>
          <t>-</t>
        </is>
      </c>
      <c r="AD335" s="1074" t="inlineStr">
        <is>
          <t>-</t>
        </is>
      </c>
      <c r="AE335" s="1074" t="inlineStr"/>
      <c r="AF335" s="1074" t="inlineStr">
        <is>
          <t>-</t>
        </is>
      </c>
      <c r="AG335" s="1074" t="inlineStr">
        <is>
          <t>-</t>
        </is>
      </c>
      <c r="AH335" s="1074" t="inlineStr">
        <is>
          <t>-</t>
        </is>
      </c>
      <c r="AI335" s="1074" t="inlineStr">
        <is>
          <t>-</t>
        </is>
      </c>
      <c r="AJ335" s="1074" t="inlineStr">
        <is>
          <t>-</t>
        </is>
      </c>
      <c r="AK335" s="1074" t="inlineStr">
        <is>
          <t>-</t>
        </is>
      </c>
      <c r="AL335" s="1074" t="inlineStr">
        <is>
          <t>-</t>
        </is>
      </c>
      <c r="AM335" s="1074" t="n"/>
      <c r="AN335" s="1074" t="n"/>
      <c r="AO335" s="1074" t="n"/>
      <c r="AP335" s="1074" t="n"/>
      <c r="AQ335" s="1074" t="n"/>
      <c r="AR335" s="1074" t="inlineStr">
        <is>
          <t>S</t>
        </is>
      </c>
      <c r="AS335" s="1074" t="inlineStr">
        <is>
          <t>在读学员</t>
        </is>
      </c>
      <c r="AT335" s="311" t="n"/>
    </row>
    <row r="336" ht="26.25" customFormat="1" customHeight="1" s="366">
      <c r="A336" s="1074" t="inlineStr">
        <is>
          <t>新宝利</t>
        </is>
      </c>
      <c r="B336" s="1074" t="inlineStr">
        <is>
          <t>4513948598</t>
        </is>
      </c>
      <c r="C336" s="1074" t="inlineStr">
        <is>
          <t>小诺</t>
        </is>
      </c>
      <c r="D336" s="1074" t="inlineStr">
        <is>
          <t>杨林33</t>
        </is>
      </c>
      <c r="E336" s="1074" t="inlineStr">
        <is>
          <t>反复低价</t>
        </is>
      </c>
      <c r="F336" s="1074" t="inlineStr">
        <is>
          <t>新宝利第一批特惠学员，未转化。龙凤胎，跟小恩一起</t>
        </is>
      </c>
      <c r="G336" s="1074" t="n"/>
      <c r="H336" s="1074" t="inlineStr">
        <is>
          <t>退费</t>
        </is>
      </c>
      <c r="I336" s="1074" t="inlineStr">
        <is>
          <t>-</t>
        </is>
      </c>
      <c r="J336" s="1074" t="inlineStr">
        <is>
          <t>5111034</t>
        </is>
      </c>
      <c r="K336" s="1074" t="inlineStr">
        <is>
          <t>报前测成绩</t>
        </is>
      </c>
      <c r="L336" s="1074" t="n">
        <v>55</v>
      </c>
      <c r="M336" s="1074" t="inlineStr">
        <is>
          <t>-</t>
        </is>
      </c>
      <c r="N336" s="1074" t="inlineStr">
        <is>
          <t>田雨涵01</t>
        </is>
      </c>
      <c r="O336" s="1074" t="inlineStr">
        <is>
          <t>教室4</t>
        </is>
      </c>
      <c r="P336" s="1074" t="inlineStr">
        <is>
          <t>13:20-15:30</t>
        </is>
      </c>
      <c r="Q336" s="1074" t="inlineStr">
        <is>
          <t>潜能班</t>
        </is>
      </c>
      <c r="R336" s="1074" t="inlineStr">
        <is>
          <t>二期</t>
        </is>
      </c>
      <c r="S336" s="1074" t="inlineStr">
        <is>
          <t>课前退</t>
        </is>
      </c>
      <c r="T336" s="1074" t="inlineStr">
        <is>
          <t>-</t>
        </is>
      </c>
      <c r="U336" s="1074" t="inlineStr">
        <is>
          <t>5230773</t>
        </is>
      </c>
      <c r="V336" s="1074" t="n">
        <v>37</v>
      </c>
      <c r="W336" s="1074" t="inlineStr">
        <is>
          <t>陈南05</t>
        </is>
      </c>
      <c r="X336" s="1074" t="inlineStr">
        <is>
          <t>教室2</t>
        </is>
      </c>
      <c r="Y336" s="1074" t="inlineStr">
        <is>
          <t>15:50-18:00</t>
        </is>
      </c>
      <c r="Z336" s="1074" t="inlineStr">
        <is>
          <t>潜能班</t>
        </is>
      </c>
      <c r="AA336" s="1074" t="inlineStr">
        <is>
          <t>一期</t>
        </is>
      </c>
      <c r="AB336" s="1074" t="inlineStr">
        <is>
          <t>课前退</t>
        </is>
      </c>
      <c r="AC336" s="1074" t="inlineStr">
        <is>
          <t>-</t>
        </is>
      </c>
      <c r="AD336" s="1074" t="inlineStr">
        <is>
          <t>5230821</t>
        </is>
      </c>
      <c r="AE336" s="1074" t="n">
        <v>19.5</v>
      </c>
      <c r="AF336" s="1074" t="inlineStr">
        <is>
          <t>肖锐03</t>
        </is>
      </c>
      <c r="AG336" s="1074" t="inlineStr">
        <is>
          <t>教室3</t>
        </is>
      </c>
      <c r="AH336" s="1074" t="inlineStr">
        <is>
          <t>15:50-18:00</t>
        </is>
      </c>
      <c r="AI336" s="1074" t="inlineStr">
        <is>
          <t>潜能班</t>
        </is>
      </c>
      <c r="AJ336" s="1074" t="inlineStr">
        <is>
          <t>三期</t>
        </is>
      </c>
      <c r="AK336" s="1074" t="inlineStr">
        <is>
          <t>课前退</t>
        </is>
      </c>
      <c r="AL336" s="1074" t="inlineStr">
        <is>
          <t>-</t>
        </is>
      </c>
      <c r="AM336" s="1074" t="n"/>
      <c r="AN336" s="1074" t="n"/>
      <c r="AO336" s="1074" t="n"/>
      <c r="AP336" s="1074" t="n"/>
      <c r="AQ336" s="1074" t="n"/>
      <c r="AR336" s="1074" t="inlineStr">
        <is>
          <t>C</t>
        </is>
      </c>
      <c r="AS336" s="1074" t="inlineStr">
        <is>
          <t>要退费</t>
        </is>
      </c>
      <c r="AT336" s="311" t="n"/>
    </row>
    <row r="337" ht="26.25" customFormat="1" customHeight="1" s="366">
      <c r="A337" s="1074" t="inlineStr">
        <is>
          <t>新宝利</t>
        </is>
      </c>
      <c r="B337" s="1074" t="inlineStr">
        <is>
          <t>4190977864</t>
        </is>
      </c>
      <c r="C337" s="1074" t="inlineStr">
        <is>
          <t>许玮庭</t>
        </is>
      </c>
      <c r="D337" s="1074" t="inlineStr">
        <is>
          <t>杨林33</t>
        </is>
      </c>
      <c r="E337" s="1074" t="inlineStr">
        <is>
          <t>纯拉新</t>
        </is>
      </c>
      <c r="F337" s="1074" t="n"/>
      <c r="G337" s="1074" t="n"/>
      <c r="H337" s="1074" t="inlineStr">
        <is>
          <t>在读</t>
        </is>
      </c>
      <c r="I337" s="1074" t="inlineStr">
        <is>
          <t>零期</t>
        </is>
      </c>
      <c r="J337" s="1074" t="inlineStr">
        <is>
          <t>3132880</t>
        </is>
      </c>
      <c r="K337" s="1074" t="inlineStr">
        <is>
          <t>报前测成绩</t>
        </is>
      </c>
      <c r="L337" s="1074" t="n">
        <v>95</v>
      </c>
      <c r="M337" s="1074" t="inlineStr">
        <is>
          <t>-</t>
        </is>
      </c>
      <c r="N337" s="1074" t="inlineStr">
        <is>
          <t>陈中帅</t>
        </is>
      </c>
      <c r="O337" s="1074" t="inlineStr">
        <is>
          <t>教室2</t>
        </is>
      </c>
      <c r="P337" s="1074" t="inlineStr">
        <is>
          <t>15:50-18:00</t>
        </is>
      </c>
      <c r="Q337" s="1074" t="inlineStr">
        <is>
          <t>启能班</t>
        </is>
      </c>
      <c r="R337" s="1074" t="inlineStr">
        <is>
          <t>零期</t>
        </is>
      </c>
      <c r="S337" s="1074" t="inlineStr">
        <is>
          <t>在读</t>
        </is>
      </c>
      <c r="T337" s="1074" t="inlineStr">
        <is>
          <t>-</t>
        </is>
      </c>
      <c r="U337" s="1074" t="inlineStr">
        <is>
          <t>3132859</t>
        </is>
      </c>
      <c r="V337" s="1074" t="n">
        <v>38</v>
      </c>
      <c r="W337" s="1074" t="inlineStr">
        <is>
          <t>黄铭怡</t>
        </is>
      </c>
      <c r="X337" s="1074" t="inlineStr">
        <is>
          <t>教室2</t>
        </is>
      </c>
      <c r="Y337" s="1074" t="inlineStr">
        <is>
          <t>10:20-12:30</t>
        </is>
      </c>
      <c r="Z337" s="1074" t="inlineStr">
        <is>
          <t>潜能班</t>
        </is>
      </c>
      <c r="AA337" s="1074" t="inlineStr">
        <is>
          <t>零期</t>
        </is>
      </c>
      <c r="AB337" s="1074" t="inlineStr">
        <is>
          <t>在读</t>
        </is>
      </c>
      <c r="AC337" s="1074" t="inlineStr">
        <is>
          <t>-</t>
        </is>
      </c>
      <c r="AD337" s="1074" t="inlineStr">
        <is>
          <t>5230727</t>
        </is>
      </c>
      <c r="AE337" s="1074" t="n">
        <v>0</v>
      </c>
      <c r="AF337" s="1074" t="inlineStr">
        <is>
          <t>肖锐03</t>
        </is>
      </c>
      <c r="AG337" s="1074" t="inlineStr">
        <is>
          <t>教室2</t>
        </is>
      </c>
      <c r="AH337" s="1074" t="inlineStr">
        <is>
          <t>13:20-15:30</t>
        </is>
      </c>
      <c r="AI337" s="1074" t="inlineStr">
        <is>
          <t>潜能班</t>
        </is>
      </c>
      <c r="AJ337" s="1074" t="inlineStr">
        <is>
          <t>零期</t>
        </is>
      </c>
      <c r="AK337" s="1074" t="inlineStr">
        <is>
          <t>在读</t>
        </is>
      </c>
      <c r="AL337" s="1074" t="inlineStr">
        <is>
          <t>-</t>
        </is>
      </c>
      <c r="AM337" s="1074" t="inlineStr">
        <is>
          <t>是</t>
        </is>
      </c>
      <c r="AN337" s="1074" t="inlineStr">
        <is>
          <t>是</t>
        </is>
      </c>
      <c r="AO337" s="1074" t="inlineStr">
        <is>
          <t>是</t>
        </is>
      </c>
      <c r="AP337" s="1074" t="n"/>
      <c r="AQ337" s="1074" t="n"/>
      <c r="AR337" s="1074" t="inlineStr">
        <is>
          <t>S</t>
        </is>
      </c>
      <c r="AS337" s="1074" t="inlineStr">
        <is>
          <t>新东方长期在读，退了新东方报的咱们这边，重点看暑假学习情况做对比，支付能力OK，学的好大概率会报</t>
        </is>
      </c>
      <c r="AT337" s="311" t="n"/>
    </row>
    <row r="338" ht="26.25" customFormat="1" customHeight="1" s="366">
      <c r="A338" s="1074" t="inlineStr">
        <is>
          <t>新宝利</t>
        </is>
      </c>
      <c r="B338" s="1074" t="inlineStr">
        <is>
          <t>4806523959</t>
        </is>
      </c>
      <c r="C338" s="1074" t="inlineStr">
        <is>
          <t>马嘉浩</t>
        </is>
      </c>
      <c r="D338" s="1074" t="inlineStr">
        <is>
          <t>王丽</t>
        </is>
      </c>
      <c r="E338" s="1074" t="inlineStr">
        <is>
          <t>纯拉新</t>
        </is>
      </c>
      <c r="F338" s="1074" t="n"/>
      <c r="G338" s="1074" t="n"/>
      <c r="H338" s="1074" t="inlineStr">
        <is>
          <t>在读</t>
        </is>
      </c>
      <c r="I338" s="1074" t="inlineStr">
        <is>
          <t>二期</t>
        </is>
      </c>
      <c r="J338" s="1074" t="inlineStr">
        <is>
          <t>5111034</t>
        </is>
      </c>
      <c r="K338" s="1074" t="inlineStr">
        <is>
          <t>报前测成绩</t>
        </is>
      </c>
      <c r="L338" s="1074" t="n">
        <v>29</v>
      </c>
      <c r="M338" s="1074" t="inlineStr">
        <is>
          <t>-</t>
        </is>
      </c>
      <c r="N338" s="1074" t="inlineStr">
        <is>
          <t>田雨涵01</t>
        </is>
      </c>
      <c r="O338" s="1074" t="inlineStr">
        <is>
          <t>教室4</t>
        </is>
      </c>
      <c r="P338" s="1074" t="inlineStr">
        <is>
          <t>13:20-15:30</t>
        </is>
      </c>
      <c r="Q338" s="1074" t="inlineStr">
        <is>
          <t>潜能班</t>
        </is>
      </c>
      <c r="R338" s="1074" t="inlineStr">
        <is>
          <t>二期</t>
        </is>
      </c>
      <c r="S338" s="1074" t="inlineStr">
        <is>
          <t>在读</t>
        </is>
      </c>
      <c r="T338" s="1074" t="inlineStr">
        <is>
          <t>-</t>
        </is>
      </c>
      <c r="U338" s="1074" t="inlineStr">
        <is>
          <t>4513342</t>
        </is>
      </c>
      <c r="V338" s="1074" t="n">
        <v>0</v>
      </c>
      <c r="W338" s="1074" t="inlineStr">
        <is>
          <t>黄铭怡</t>
        </is>
      </c>
      <c r="X338" s="1074" t="inlineStr">
        <is>
          <t>教室4</t>
        </is>
      </c>
      <c r="Y338" s="1074" t="inlineStr">
        <is>
          <t>10:20-12:30</t>
        </is>
      </c>
      <c r="Z338" s="1074" t="inlineStr">
        <is>
          <t>潜能班</t>
        </is>
      </c>
      <c r="AA338" s="1074" t="inlineStr">
        <is>
          <t>二期</t>
        </is>
      </c>
      <c r="AB338" s="1074" t="inlineStr">
        <is>
          <t>在读</t>
        </is>
      </c>
      <c r="AC338" s="1074" t="inlineStr">
        <is>
          <t>-</t>
        </is>
      </c>
      <c r="AD338" s="1074" t="inlineStr">
        <is>
          <t>4513340</t>
        </is>
      </c>
      <c r="AE338" s="1074" t="n">
        <v>33</v>
      </c>
      <c r="AF338" s="1074" t="inlineStr">
        <is>
          <t>高心怡04</t>
        </is>
      </c>
      <c r="AG338" s="1074" t="inlineStr">
        <is>
          <t>教室4</t>
        </is>
      </c>
      <c r="AH338" s="1074" t="inlineStr">
        <is>
          <t>15:50-18:00</t>
        </is>
      </c>
      <c r="AI338" s="1074" t="inlineStr">
        <is>
          <t>潜能班</t>
        </is>
      </c>
      <c r="AJ338" s="1074" t="inlineStr">
        <is>
          <t>二期</t>
        </is>
      </c>
      <c r="AK338" s="1074" t="inlineStr">
        <is>
          <t>在读</t>
        </is>
      </c>
      <c r="AL338" s="1074" t="inlineStr">
        <is>
          <t>-</t>
        </is>
      </c>
      <c r="AM338" s="1074" t="n"/>
      <c r="AN338" s="1074" t="n"/>
      <c r="AO338" s="1074" t="n"/>
      <c r="AP338" s="1074" t="n"/>
      <c r="AQ338" s="1074" t="n"/>
      <c r="AR338" s="1074" t="inlineStr">
        <is>
          <t>A</t>
        </is>
      </c>
      <c r="AS338" s="1074" t="inlineStr">
        <is>
          <t>姐姐正价在读，妈妈有支付能力</t>
        </is>
      </c>
      <c r="AT338" s="311" t="n"/>
    </row>
    <row r="339" ht="26.25" customFormat="1" customHeight="1" s="366">
      <c r="A339" s="1074" t="inlineStr">
        <is>
          <t>新宝利</t>
        </is>
      </c>
      <c r="B339" s="1074" t="inlineStr">
        <is>
          <t>4688376355</t>
        </is>
      </c>
      <c r="C339" s="1074" t="inlineStr">
        <is>
          <t>王奕皓</t>
        </is>
      </c>
      <c r="D339" s="1074" t="inlineStr">
        <is>
          <t>罗玉玲</t>
        </is>
      </c>
      <c r="E339" s="1074" t="inlineStr">
        <is>
          <t>春季在读老生</t>
        </is>
      </c>
      <c r="F339" s="1074" t="n"/>
      <c r="G339" s="1074" t="n"/>
      <c r="H339" s="1074" t="inlineStr">
        <is>
          <t>在读</t>
        </is>
      </c>
      <c r="I339" s="1074" t="inlineStr">
        <is>
          <t>二期</t>
        </is>
      </c>
      <c r="J339" s="1074" t="inlineStr">
        <is>
          <t>-</t>
        </is>
      </c>
      <c r="K339" s="1074" t="inlineStr"/>
      <c r="L339" s="1074" t="inlineStr"/>
      <c r="M339" s="1074" t="inlineStr"/>
      <c r="N339" s="1074" t="inlineStr">
        <is>
          <t>-</t>
        </is>
      </c>
      <c r="O339" s="1074" t="inlineStr">
        <is>
          <t>-</t>
        </is>
      </c>
      <c r="P339" s="1074" t="inlineStr">
        <is>
          <t>-</t>
        </is>
      </c>
      <c r="Q339" s="1074" t="inlineStr">
        <is>
          <t>-</t>
        </is>
      </c>
      <c r="R339" s="1074" t="inlineStr">
        <is>
          <t>-</t>
        </is>
      </c>
      <c r="S339" s="1074" t="inlineStr">
        <is>
          <t>-</t>
        </is>
      </c>
      <c r="T339" s="1074" t="inlineStr">
        <is>
          <t>-</t>
        </is>
      </c>
      <c r="U339" s="1074" t="inlineStr">
        <is>
          <t>3132846</t>
        </is>
      </c>
      <c r="V339" s="1074" t="n"/>
      <c r="W339" s="1074" t="inlineStr">
        <is>
          <t>黄铭怡</t>
        </is>
      </c>
      <c r="X339" s="1074" t="inlineStr">
        <is>
          <t>教室3</t>
        </is>
      </c>
      <c r="Y339" s="1074" t="inlineStr">
        <is>
          <t>13:20-15:30</t>
        </is>
      </c>
      <c r="Z339" s="1074" t="inlineStr">
        <is>
          <t>潜能班</t>
        </is>
      </c>
      <c r="AA339" s="1074" t="inlineStr">
        <is>
          <t>二期</t>
        </is>
      </c>
      <c r="AB339" s="1074" t="inlineStr">
        <is>
          <t>在读</t>
        </is>
      </c>
      <c r="AC339" s="1074" t="inlineStr">
        <is>
          <t>是</t>
        </is>
      </c>
      <c r="AD339" s="1074" t="inlineStr">
        <is>
          <t>-</t>
        </is>
      </c>
      <c r="AE339" s="1074" t="inlineStr"/>
      <c r="AF339" s="1074" t="inlineStr">
        <is>
          <t>-</t>
        </is>
      </c>
      <c r="AG339" s="1074" t="inlineStr">
        <is>
          <t>-</t>
        </is>
      </c>
      <c r="AH339" s="1074" t="inlineStr">
        <is>
          <t>-</t>
        </is>
      </c>
      <c r="AI339" s="1074" t="inlineStr">
        <is>
          <t>-</t>
        </is>
      </c>
      <c r="AJ339" s="1074" t="inlineStr">
        <is>
          <t>-</t>
        </is>
      </c>
      <c r="AK339" s="1074" t="inlineStr">
        <is>
          <t>-</t>
        </is>
      </c>
      <c r="AL339" s="1074" t="inlineStr">
        <is>
          <t>-</t>
        </is>
      </c>
      <c r="AM339" s="1074" t="n"/>
      <c r="AN339" s="1074" t="n"/>
      <c r="AO339" s="1074" t="n"/>
      <c r="AP339" s="1074" t="n"/>
      <c r="AQ339" s="1074" t="n"/>
      <c r="AR339" s="1074" t="n"/>
      <c r="AS339" s="1074" t="n"/>
      <c r="AT339" s="311" t="n"/>
    </row>
    <row r="340" ht="26.25" customFormat="1" customHeight="1" s="366">
      <c r="A340" s="1074" t="inlineStr">
        <is>
          <t>新宝利</t>
        </is>
      </c>
      <c r="B340" s="1074" t="inlineStr">
        <is>
          <t>4155553297</t>
        </is>
      </c>
      <c r="C340" s="1074" t="inlineStr">
        <is>
          <t>钟瑞佑</t>
        </is>
      </c>
      <c r="D340" s="1074" t="inlineStr">
        <is>
          <t>林志豪01</t>
        </is>
      </c>
      <c r="E340" s="1074" t="inlineStr">
        <is>
          <t>纯拉新</t>
        </is>
      </c>
      <c r="F340" s="1074" t="n"/>
      <c r="G340" s="1074" t="n"/>
      <c r="H340" s="1074" t="inlineStr">
        <is>
          <t>在读</t>
        </is>
      </c>
      <c r="I340" s="1074" t="inlineStr">
        <is>
          <t>三期</t>
        </is>
      </c>
      <c r="J340" s="1074" t="inlineStr">
        <is>
          <t>3132902</t>
        </is>
      </c>
      <c r="K340" s="1074" t="inlineStr">
        <is>
          <t>校内成绩</t>
        </is>
      </c>
      <c r="L340" s="1074" t="n">
        <v>64</v>
      </c>
      <c r="M340" s="1074" t="n">
        <v>85</v>
      </c>
      <c r="N340" s="1074" t="inlineStr">
        <is>
          <t>陈中帅</t>
        </is>
      </c>
      <c r="O340" s="1074" t="inlineStr">
        <is>
          <t>教室3</t>
        </is>
      </c>
      <c r="P340" s="1074" t="inlineStr">
        <is>
          <t>13:20-15:30</t>
        </is>
      </c>
      <c r="Q340" s="1074" t="inlineStr">
        <is>
          <t>潜能班</t>
        </is>
      </c>
      <c r="R340" s="1074" t="inlineStr">
        <is>
          <t>三期</t>
        </is>
      </c>
      <c r="S340" s="1074" t="inlineStr">
        <is>
          <t>在读</t>
        </is>
      </c>
      <c r="T340" s="1074" t="inlineStr">
        <is>
          <t>-</t>
        </is>
      </c>
      <c r="U340" s="1074" t="inlineStr">
        <is>
          <t>5230747</t>
        </is>
      </c>
      <c r="V340" s="1074" t="n">
        <v>0</v>
      </c>
      <c r="W340" s="1074" t="inlineStr">
        <is>
          <t>陈南05</t>
        </is>
      </c>
      <c r="X340" s="1074" t="inlineStr">
        <is>
          <t>教室3</t>
        </is>
      </c>
      <c r="Y340" s="1074" t="inlineStr">
        <is>
          <t>10:20-12:30</t>
        </is>
      </c>
      <c r="Z340" s="1074" t="inlineStr">
        <is>
          <t>潜能班</t>
        </is>
      </c>
      <c r="AA340" s="1074" t="inlineStr">
        <is>
          <t>三期</t>
        </is>
      </c>
      <c r="AB340" s="1074" t="inlineStr">
        <is>
          <t>在读</t>
        </is>
      </c>
      <c r="AC340" s="1074" t="inlineStr">
        <is>
          <t>-</t>
        </is>
      </c>
      <c r="AD340" s="1074" t="inlineStr">
        <is>
          <t>5230821</t>
        </is>
      </c>
      <c r="AE340" s="1074" t="n">
        <v>0</v>
      </c>
      <c r="AF340" s="1074" t="inlineStr">
        <is>
          <t>肖锐03</t>
        </is>
      </c>
      <c r="AG340" s="1074" t="inlineStr">
        <is>
          <t>教室3</t>
        </is>
      </c>
      <c r="AH340" s="1074" t="inlineStr">
        <is>
          <t>15:50-18:00</t>
        </is>
      </c>
      <c r="AI340" s="1074" t="inlineStr">
        <is>
          <t>潜能班</t>
        </is>
      </c>
      <c r="AJ340" s="1074" t="inlineStr">
        <is>
          <t>三期</t>
        </is>
      </c>
      <c r="AK340" s="1074" t="inlineStr">
        <is>
          <t>在读</t>
        </is>
      </c>
      <c r="AL340" s="1074" t="inlineStr">
        <is>
          <t>-</t>
        </is>
      </c>
      <c r="AM340" s="1074" t="n"/>
      <c r="AN340" s="1074" t="n"/>
      <c r="AO340" s="1074" t="n"/>
      <c r="AP340" s="1074" t="n"/>
      <c r="AQ340" s="1074" t="n"/>
      <c r="AR340" s="1074" t="inlineStr">
        <is>
          <t>A</t>
        </is>
      </c>
      <c r="AS340" s="1074" t="inlineStr">
        <is>
          <t>孩子的成绩一直不温不火，妈咪有比较想提升的需求</t>
        </is>
      </c>
      <c r="AT340" s="311" t="n"/>
    </row>
    <row r="341" ht="26.25" customFormat="1" customHeight="1" s="366">
      <c r="A341" s="1074" t="inlineStr">
        <is>
          <t>新宝利</t>
        </is>
      </c>
      <c r="B341" s="1074" t="inlineStr">
        <is>
          <t>2515578569</t>
        </is>
      </c>
      <c r="C341" s="1074" t="inlineStr">
        <is>
          <t>陶鼎兴</t>
        </is>
      </c>
      <c r="D341" s="1074" t="inlineStr">
        <is>
          <t>张敏烨</t>
        </is>
      </c>
      <c r="E341" s="1074" t="inlineStr">
        <is>
          <t>纯拉新</t>
        </is>
      </c>
      <c r="F341" s="1074" t="n"/>
      <c r="G341" s="1074" t="n"/>
      <c r="H341" s="1074" t="inlineStr">
        <is>
          <t>在读</t>
        </is>
      </c>
      <c r="I341" s="1074" t="inlineStr">
        <is>
          <t>零期/一期</t>
        </is>
      </c>
      <c r="J341" s="1074" t="inlineStr">
        <is>
          <t>3132880</t>
        </is>
      </c>
      <c r="K341" s="1074" t="inlineStr">
        <is>
          <t>报前测成绩</t>
        </is>
      </c>
      <c r="L341" s="1074" t="n">
        <v>80</v>
      </c>
      <c r="M341" s="1074" t="inlineStr">
        <is>
          <t>-</t>
        </is>
      </c>
      <c r="N341" s="1074" t="inlineStr">
        <is>
          <t>陈中帅</t>
        </is>
      </c>
      <c r="O341" s="1074" t="inlineStr">
        <is>
          <t>教室2</t>
        </is>
      </c>
      <c r="P341" s="1074" t="inlineStr">
        <is>
          <t>15:50-18:00</t>
        </is>
      </c>
      <c r="Q341" s="1074" t="inlineStr">
        <is>
          <t>启能班</t>
        </is>
      </c>
      <c r="R341" s="1074" t="inlineStr">
        <is>
          <t>零期</t>
        </is>
      </c>
      <c r="S341" s="1074" t="inlineStr">
        <is>
          <t>在读</t>
        </is>
      </c>
      <c r="T341" s="1074" t="inlineStr">
        <is>
          <t>-</t>
        </is>
      </c>
      <c r="U341" s="1074" t="inlineStr">
        <is>
          <t>5170706</t>
        </is>
      </c>
      <c r="V341" s="1074" t="n">
        <v>30</v>
      </c>
      <c r="W341" s="1074" t="inlineStr">
        <is>
          <t>李润</t>
        </is>
      </c>
      <c r="X341" s="1074" t="inlineStr">
        <is>
          <t>教室3</t>
        </is>
      </c>
      <c r="Y341" s="1074" t="inlineStr">
        <is>
          <t>13:20-15:30</t>
        </is>
      </c>
      <c r="Z341" s="1074" t="inlineStr">
        <is>
          <t>潜能班</t>
        </is>
      </c>
      <c r="AA341" s="1074" t="inlineStr">
        <is>
          <t>一期</t>
        </is>
      </c>
      <c r="AB341" s="1074" t="inlineStr">
        <is>
          <t>在读</t>
        </is>
      </c>
      <c r="AC341" s="1074" t="inlineStr">
        <is>
          <t>-</t>
        </is>
      </c>
      <c r="AD341" s="1074" t="inlineStr">
        <is>
          <t>5230727</t>
        </is>
      </c>
      <c r="AE341" s="1074" t="n">
        <v>29.5</v>
      </c>
      <c r="AF341" s="1074" t="inlineStr">
        <is>
          <t>肖锐03</t>
        </is>
      </c>
      <c r="AG341" s="1074" t="inlineStr">
        <is>
          <t>教室2</t>
        </is>
      </c>
      <c r="AH341" s="1074" t="inlineStr">
        <is>
          <t>13:20-15:30</t>
        </is>
      </c>
      <c r="AI341" s="1074" t="inlineStr">
        <is>
          <t>潜能班</t>
        </is>
      </c>
      <c r="AJ341" s="1074" t="inlineStr">
        <is>
          <t>零期</t>
        </is>
      </c>
      <c r="AK341" s="1074" t="inlineStr">
        <is>
          <t>在读</t>
        </is>
      </c>
      <c r="AL341" s="1074" t="inlineStr">
        <is>
          <t>-</t>
        </is>
      </c>
      <c r="AM341" s="1074" t="inlineStr">
        <is>
          <t>是</t>
        </is>
      </c>
      <c r="AN341" s="1074" t="inlineStr">
        <is>
          <t>是</t>
        </is>
      </c>
      <c r="AO341" s="1074" t="inlineStr">
        <is>
          <t>否</t>
        </is>
      </c>
      <c r="AP341" s="1074" t="n"/>
      <c r="AQ341" s="1074" t="n"/>
      <c r="AR341" s="1074" t="inlineStr">
        <is>
          <t>B</t>
        </is>
      </c>
      <c r="AS341" s="1074" t="inlineStr">
        <is>
          <t>未咨询过正价费用，且没在读机构</t>
        </is>
      </c>
      <c r="AT341" s="311" t="n"/>
    </row>
    <row r="342" ht="26.25" customFormat="1" customHeight="1" s="366">
      <c r="A342" s="1074" t="inlineStr">
        <is>
          <t>同创汇</t>
        </is>
      </c>
      <c r="B342" s="1074" t="inlineStr">
        <is>
          <t>4816674258</t>
        </is>
      </c>
      <c r="C342" s="1074" t="inlineStr">
        <is>
          <t>冯晨茵</t>
        </is>
      </c>
      <c r="D342" s="1074" t="inlineStr">
        <is>
          <t>王丽</t>
        </is>
      </c>
      <c r="E342" s="1074" t="inlineStr">
        <is>
          <t>纯拉新</t>
        </is>
      </c>
      <c r="F342" s="1074" t="n"/>
      <c r="G342" s="1074" t="n"/>
      <c r="H342" s="1074" t="inlineStr">
        <is>
          <t>在读</t>
        </is>
      </c>
      <c r="I342" s="1074" t="inlineStr">
        <is>
          <t>一期</t>
        </is>
      </c>
      <c r="J342" s="1074" t="inlineStr">
        <is>
          <t>5230719</t>
        </is>
      </c>
      <c r="K342" s="1074" t="inlineStr">
        <is>
          <t>报前测成绩</t>
        </is>
      </c>
      <c r="L342" s="1074" t="n">
        <v>103</v>
      </c>
      <c r="M342" s="1074" t="inlineStr">
        <is>
          <t>-</t>
        </is>
      </c>
      <c r="N342" s="1074" t="inlineStr">
        <is>
          <t>陈中帅</t>
        </is>
      </c>
      <c r="O342" s="1074" t="inlineStr">
        <is>
          <t>01智慧林</t>
        </is>
      </c>
      <c r="P342" s="1074" t="inlineStr">
        <is>
          <t>13:20-15:30</t>
        </is>
      </c>
      <c r="Q342" s="1074" t="inlineStr">
        <is>
          <t>启能班</t>
        </is>
      </c>
      <c r="R342" s="1074" t="inlineStr">
        <is>
          <t>一期</t>
        </is>
      </c>
      <c r="S342" s="1074" t="inlineStr">
        <is>
          <t>在读</t>
        </is>
      </c>
      <c r="T342" s="1074" t="inlineStr">
        <is>
          <t>-</t>
        </is>
      </c>
      <c r="U342" s="1074" t="inlineStr">
        <is>
          <t>-</t>
        </is>
      </c>
      <c r="V342" s="1074" t="inlineStr"/>
      <c r="W342" s="1074" t="inlineStr">
        <is>
          <t>-</t>
        </is>
      </c>
      <c r="X342" s="1074" t="inlineStr">
        <is>
          <t>-</t>
        </is>
      </c>
      <c r="Y342" s="1074" t="inlineStr">
        <is>
          <t>-</t>
        </is>
      </c>
      <c r="Z342" s="1074" t="inlineStr">
        <is>
          <t>-</t>
        </is>
      </c>
      <c r="AA342" s="1074" t="inlineStr">
        <is>
          <t>-</t>
        </is>
      </c>
      <c r="AB342" s="1074" t="inlineStr">
        <is>
          <t>-</t>
        </is>
      </c>
      <c r="AC342" s="1074" t="inlineStr">
        <is>
          <t>-</t>
        </is>
      </c>
      <c r="AD342" s="1074" t="inlineStr">
        <is>
          <t>-</t>
        </is>
      </c>
      <c r="AE342" s="1074" t="inlineStr"/>
      <c r="AF342" s="1074" t="inlineStr">
        <is>
          <t>-</t>
        </is>
      </c>
      <c r="AG342" s="1074" t="inlineStr">
        <is>
          <t>-</t>
        </is>
      </c>
      <c r="AH342" s="1074" t="inlineStr">
        <is>
          <t>-</t>
        </is>
      </c>
      <c r="AI342" s="1074" t="inlineStr">
        <is>
          <t>-</t>
        </is>
      </c>
      <c r="AJ342" s="1074" t="inlineStr">
        <is>
          <t>-</t>
        </is>
      </c>
      <c r="AK342" s="1074" t="inlineStr">
        <is>
          <t>-</t>
        </is>
      </c>
      <c r="AL342" s="1074" t="inlineStr">
        <is>
          <t>-</t>
        </is>
      </c>
      <c r="AM342" s="1074" t="n"/>
      <c r="AN342" s="1074" t="n"/>
      <c r="AO342" s="1074" t="n"/>
      <c r="AP342" s="1074" t="n"/>
      <c r="AQ342" s="1074" t="n"/>
      <c r="AR342" s="1074" t="inlineStr">
        <is>
          <t>B</t>
        </is>
      </c>
      <c r="AS342" s="1074" t="inlineStr">
        <is>
          <t>先体验下暑假课，没聊秋季课的事情</t>
        </is>
      </c>
      <c r="AT342" s="311" t="n"/>
    </row>
    <row r="343" ht="26.25" customFormat="1" customHeight="1" s="366">
      <c r="A343" s="1074" t="inlineStr">
        <is>
          <t>天成大厦</t>
        </is>
      </c>
      <c r="B343" s="1074" t="inlineStr">
        <is>
          <t>4396777299</t>
        </is>
      </c>
      <c r="C343" s="1074" t="inlineStr">
        <is>
          <t>郑皓</t>
        </is>
      </c>
      <c r="D343" s="1074" t="inlineStr">
        <is>
          <t>王达04</t>
        </is>
      </c>
      <c r="E343" s="1074" t="inlineStr">
        <is>
          <t>春季在读老生</t>
        </is>
      </c>
      <c r="F343" s="1074" t="n"/>
      <c r="G343" s="1074" t="n"/>
      <c r="H343" s="1074" t="inlineStr">
        <is>
          <t>在读</t>
        </is>
      </c>
      <c r="I343" s="1074" t="inlineStr">
        <is>
          <t>一期</t>
        </is>
      </c>
      <c r="J343" s="1074" t="inlineStr">
        <is>
          <t>5230775</t>
        </is>
      </c>
      <c r="K343" s="1074" t="inlineStr">
        <is>
          <t>报前测成绩</t>
        </is>
      </c>
      <c r="L343" s="1074" t="n">
        <v>60</v>
      </c>
      <c r="M343" s="1074" t="inlineStr">
        <is>
          <t>-</t>
        </is>
      </c>
      <c r="N343" s="1074" t="inlineStr">
        <is>
          <t>陈中帅</t>
        </is>
      </c>
      <c r="O343" s="1074" t="inlineStr">
        <is>
          <t>03品尚</t>
        </is>
      </c>
      <c r="P343" s="1074" t="inlineStr">
        <is>
          <t>10:20-12:30</t>
        </is>
      </c>
      <c r="Q343" s="1074" t="inlineStr">
        <is>
          <t>潜能班</t>
        </is>
      </c>
      <c r="R343" s="1074" t="inlineStr">
        <is>
          <t>一期</t>
        </is>
      </c>
      <c r="S343" s="1074" t="inlineStr">
        <is>
          <t>在读</t>
        </is>
      </c>
      <c r="T343" s="1074" t="inlineStr">
        <is>
          <t>是</t>
        </is>
      </c>
      <c r="U343" s="1074" t="inlineStr">
        <is>
          <t>-</t>
        </is>
      </c>
      <c r="V343" s="1074" t="inlineStr"/>
      <c r="W343" s="1074" t="inlineStr">
        <is>
          <t>-</t>
        </is>
      </c>
      <c r="X343" s="1074" t="inlineStr">
        <is>
          <t>-</t>
        </is>
      </c>
      <c r="Y343" s="1074" t="inlineStr">
        <is>
          <t>-</t>
        </is>
      </c>
      <c r="Z343" s="1074" t="inlineStr">
        <is>
          <t>-</t>
        </is>
      </c>
      <c r="AA343" s="1074" t="inlineStr">
        <is>
          <t>-</t>
        </is>
      </c>
      <c r="AB343" s="1074" t="inlineStr">
        <is>
          <t>-</t>
        </is>
      </c>
      <c r="AC343" s="1074" t="inlineStr">
        <is>
          <t>-</t>
        </is>
      </c>
      <c r="AD343" s="1074" t="inlineStr">
        <is>
          <t>5230783</t>
        </is>
      </c>
      <c r="AE343" s="1074" t="n">
        <v>33</v>
      </c>
      <c r="AF343" s="1074" t="inlineStr">
        <is>
          <t>刘希子</t>
        </is>
      </c>
      <c r="AG343" s="1074" t="inlineStr">
        <is>
          <t>03品尚</t>
        </is>
      </c>
      <c r="AH343" s="1074" t="inlineStr">
        <is>
          <t>13:20-15:30</t>
        </is>
      </c>
      <c r="AI343" s="1074" t="inlineStr">
        <is>
          <t>潜能班</t>
        </is>
      </c>
      <c r="AJ343" s="1074" t="inlineStr">
        <is>
          <t>一期</t>
        </is>
      </c>
      <c r="AK343" s="1074" t="inlineStr">
        <is>
          <t>在读</t>
        </is>
      </c>
      <c r="AL343" s="1074" t="inlineStr">
        <is>
          <t>是</t>
        </is>
      </c>
      <c r="AM343" s="1074" t="n"/>
      <c r="AN343" s="1074" t="n"/>
      <c r="AO343" s="1074" t="n"/>
      <c r="AP343" s="1074" t="n"/>
      <c r="AQ343" s="1074" t="n"/>
      <c r="AR343" s="1074" t="inlineStr">
        <is>
          <t>S</t>
        </is>
      </c>
      <c r="AS343" s="1074" t="inlineStr">
        <is>
          <t>正价秋季已报</t>
        </is>
      </c>
      <c r="AT343" s="311" t="n"/>
    </row>
    <row r="344" ht="26.25" customFormat="1" customHeight="1" s="366">
      <c r="A344" s="1074" t="inlineStr">
        <is>
          <t>新宝利</t>
        </is>
      </c>
      <c r="B344" s="1074" t="inlineStr">
        <is>
          <t>4370732289</t>
        </is>
      </c>
      <c r="C344" s="1074" t="inlineStr">
        <is>
          <t>黎勇成</t>
        </is>
      </c>
      <c r="D344" s="1074" t="inlineStr">
        <is>
          <t>杨林33</t>
        </is>
      </c>
      <c r="E344" s="1074" t="inlineStr">
        <is>
          <t>反复低价</t>
        </is>
      </c>
      <c r="F344" s="1074" t="inlineStr">
        <is>
          <t>新宝利第一批特惠学员，未转化</t>
        </is>
      </c>
      <c r="G344" s="1074" t="n"/>
      <c r="H344" s="1074" t="inlineStr">
        <is>
          <t>在读</t>
        </is>
      </c>
      <c r="I344" s="1074" t="inlineStr">
        <is>
          <t>一期/二期</t>
        </is>
      </c>
      <c r="J344" s="1074" t="inlineStr">
        <is>
          <t>5230732</t>
        </is>
      </c>
      <c r="K344" s="1074" t="inlineStr">
        <is>
          <t>报前测成绩</t>
        </is>
      </c>
      <c r="L344" s="1074" t="n">
        <v>85</v>
      </c>
      <c r="M344" s="1074" t="inlineStr">
        <is>
          <t>-</t>
        </is>
      </c>
      <c r="N344" s="1074" t="inlineStr">
        <is>
          <t>何咏04</t>
        </is>
      </c>
      <c r="O344" s="1074" t="inlineStr">
        <is>
          <t>教室3</t>
        </is>
      </c>
      <c r="P344" s="1074" t="inlineStr">
        <is>
          <t>10:30-12:40</t>
        </is>
      </c>
      <c r="Q344" s="1074" t="inlineStr">
        <is>
          <t>启能班</t>
        </is>
      </c>
      <c r="R344" s="1074" t="inlineStr">
        <is>
          <t>一期</t>
        </is>
      </c>
      <c r="S344" s="1074" t="inlineStr">
        <is>
          <t>在读</t>
        </is>
      </c>
      <c r="T344" s="1074" t="inlineStr">
        <is>
          <t>-</t>
        </is>
      </c>
      <c r="U344" s="1074" t="inlineStr">
        <is>
          <t>3132846</t>
        </is>
      </c>
      <c r="V344" s="1074" t="n">
        <v>22</v>
      </c>
      <c r="W344" s="1074" t="inlineStr">
        <is>
          <t>黄铭怡</t>
        </is>
      </c>
      <c r="X344" s="1074" t="inlineStr">
        <is>
          <t>教室3</t>
        </is>
      </c>
      <c r="Y344" s="1074" t="inlineStr">
        <is>
          <t>13:20-15:30</t>
        </is>
      </c>
      <c r="Z344" s="1074" t="inlineStr">
        <is>
          <t>潜能班</t>
        </is>
      </c>
      <c r="AA344" s="1074" t="inlineStr">
        <is>
          <t>二期</t>
        </is>
      </c>
      <c r="AB344" s="1074" t="inlineStr">
        <is>
          <t>在读</t>
        </is>
      </c>
      <c r="AC344" s="1074" t="inlineStr">
        <is>
          <t>-</t>
        </is>
      </c>
      <c r="AD344" s="1074" t="inlineStr">
        <is>
          <t>3132899</t>
        </is>
      </c>
      <c r="AE344" s="1074" t="n">
        <v>30.5</v>
      </c>
      <c r="AF344" s="1074" t="inlineStr">
        <is>
          <t>肖锐03</t>
        </is>
      </c>
      <c r="AG344" s="1074" t="inlineStr">
        <is>
          <t>教室3</t>
        </is>
      </c>
      <c r="AH344" s="1074" t="inlineStr">
        <is>
          <t>07:50-10:00</t>
        </is>
      </c>
      <c r="AI344" s="1074" t="inlineStr">
        <is>
          <t>潜能班</t>
        </is>
      </c>
      <c r="AJ344" s="1074" t="inlineStr">
        <is>
          <t>一期</t>
        </is>
      </c>
      <c r="AK344" s="1074" t="inlineStr">
        <is>
          <t>在读</t>
        </is>
      </c>
      <c r="AL344" s="1074" t="inlineStr">
        <is>
          <t>-</t>
        </is>
      </c>
      <c r="AM344" s="1074" t="n"/>
      <c r="AN344" s="1074" t="n"/>
      <c r="AO344" s="1074" t="n"/>
      <c r="AP344" s="1074" t="n"/>
      <c r="AQ344" s="1074" t="n"/>
      <c r="AR344" s="1074" t="inlineStr">
        <is>
          <t>A</t>
        </is>
      </c>
      <c r="AS344" s="1074" t="inlineStr">
        <is>
          <t>价格会稍微敏感些，看暑假学习情况，之前问了秋季价格，有可能会做取舍</t>
        </is>
      </c>
      <c r="AT344" s="311" t="n"/>
    </row>
    <row r="345" ht="26.25" customFormat="1" customHeight="1" s="366">
      <c r="A345" s="1074" t="inlineStr">
        <is>
          <t>同创汇</t>
        </is>
      </c>
      <c r="B345" s="1074" t="inlineStr">
        <is>
          <t>4774287872</t>
        </is>
      </c>
      <c r="C345" s="1074" t="inlineStr">
        <is>
          <t>陈一依</t>
        </is>
      </c>
      <c r="D345" s="1074" t="inlineStr">
        <is>
          <t>王丽</t>
        </is>
      </c>
      <c r="E345" s="1074" t="inlineStr">
        <is>
          <t>春季在读老生</t>
        </is>
      </c>
      <c r="F345" s="1074" t="n"/>
      <c r="G345" s="1074" t="n"/>
      <c r="H345" s="1074" t="inlineStr">
        <is>
          <t>在读</t>
        </is>
      </c>
      <c r="I345" s="1074" t="inlineStr">
        <is>
          <t>零期</t>
        </is>
      </c>
      <c r="J345" s="1074" t="inlineStr">
        <is>
          <t>5230806</t>
        </is>
      </c>
      <c r="K345" s="1074" t="inlineStr">
        <is>
          <t>报前测成绩</t>
        </is>
      </c>
      <c r="L345" s="1074" t="n">
        <v>35</v>
      </c>
      <c r="M345" s="1074" t="inlineStr">
        <is>
          <t>-</t>
        </is>
      </c>
      <c r="N345" s="1074" t="inlineStr">
        <is>
          <t>田雨涵01</t>
        </is>
      </c>
      <c r="O345" s="1074" t="inlineStr">
        <is>
          <t>03识海阁</t>
        </is>
      </c>
      <c r="P345" s="1074" t="inlineStr">
        <is>
          <t>10:20-12:30</t>
        </is>
      </c>
      <c r="Q345" s="1074" t="inlineStr">
        <is>
          <t>潜能班</t>
        </is>
      </c>
      <c r="R345" s="1074" t="inlineStr">
        <is>
          <t>零期</t>
        </is>
      </c>
      <c r="S345" s="1074" t="inlineStr">
        <is>
          <t>在读</t>
        </is>
      </c>
      <c r="T345" s="1074" t="inlineStr">
        <is>
          <t>是</t>
        </is>
      </c>
      <c r="U345" s="1074" t="inlineStr">
        <is>
          <t>-</t>
        </is>
      </c>
      <c r="V345" s="1074" t="inlineStr"/>
      <c r="W345" s="1074" t="inlineStr">
        <is>
          <t>-</t>
        </is>
      </c>
      <c r="X345" s="1074" t="inlineStr">
        <is>
          <t>-</t>
        </is>
      </c>
      <c r="Y345" s="1074" t="inlineStr">
        <is>
          <t>-</t>
        </is>
      </c>
      <c r="Z345" s="1074" t="inlineStr">
        <is>
          <t>-</t>
        </is>
      </c>
      <c r="AA345" s="1074" t="inlineStr">
        <is>
          <t>-</t>
        </is>
      </c>
      <c r="AB345" s="1074" t="inlineStr">
        <is>
          <t>-</t>
        </is>
      </c>
      <c r="AC345" s="1074" t="inlineStr">
        <is>
          <t>-</t>
        </is>
      </c>
      <c r="AD345" s="1074" t="inlineStr">
        <is>
          <t>5230737</t>
        </is>
      </c>
      <c r="AE345" s="1074" t="n">
        <v>26.5</v>
      </c>
      <c r="AF345" s="1074" t="inlineStr">
        <is>
          <t>高心怡04</t>
        </is>
      </c>
      <c r="AG345" s="1074" t="inlineStr">
        <is>
          <t>01智慧林</t>
        </is>
      </c>
      <c r="AH345" s="1074" t="inlineStr">
        <is>
          <t>13:20-15:30</t>
        </is>
      </c>
      <c r="AI345" s="1074" t="inlineStr">
        <is>
          <t>潜能班</t>
        </is>
      </c>
      <c r="AJ345" s="1074" t="inlineStr">
        <is>
          <t>零期</t>
        </is>
      </c>
      <c r="AK345" s="1074" t="inlineStr">
        <is>
          <t>在读</t>
        </is>
      </c>
      <c r="AL345" s="1074" t="inlineStr">
        <is>
          <t>-</t>
        </is>
      </c>
      <c r="AM345" s="1074" t="inlineStr">
        <is>
          <t>是</t>
        </is>
      </c>
      <c r="AN345" s="1074" t="inlineStr">
        <is>
          <t>否</t>
        </is>
      </c>
      <c r="AO345" s="1074" t="inlineStr">
        <is>
          <t>否</t>
        </is>
      </c>
      <c r="AP345" s="1074" t="n"/>
      <c r="AQ345" s="1074" t="n"/>
      <c r="AR345" s="1074" t="inlineStr">
        <is>
          <t>S</t>
        </is>
      </c>
      <c r="AS345" s="1074" t="inlineStr">
        <is>
          <t>已经暑秋连报了</t>
        </is>
      </c>
      <c r="AT345" s="311" t="n"/>
    </row>
    <row r="346" ht="26.25" customFormat="1" customHeight="1" s="366">
      <c r="A346" s="1074" t="inlineStr">
        <is>
          <t>新宝利</t>
        </is>
      </c>
      <c r="B346" s="1074" t="inlineStr">
        <is>
          <t>2577771687</t>
        </is>
      </c>
      <c r="C346" s="1074" t="inlineStr">
        <is>
          <t>卿子蕙</t>
        </is>
      </c>
      <c r="D346" s="1074" t="inlineStr">
        <is>
          <t>林志豪01</t>
        </is>
      </c>
      <c r="E346" s="1074" t="inlineStr">
        <is>
          <t>春季在读老生</t>
        </is>
      </c>
      <c r="F346" s="1074" t="n"/>
      <c r="G346" s="1074" t="n"/>
      <c r="H346" s="1074" t="inlineStr">
        <is>
          <t>在读</t>
        </is>
      </c>
      <c r="I346" s="1074" t="inlineStr">
        <is>
          <t>零期</t>
        </is>
      </c>
      <c r="J346" s="1074" t="inlineStr">
        <is>
          <t>3132880</t>
        </is>
      </c>
      <c r="K346" s="1074" t="inlineStr">
        <is>
          <t>报前测成绩</t>
        </is>
      </c>
      <c r="L346" s="1074" t="n">
        <v>75</v>
      </c>
      <c r="M346" s="1074" t="inlineStr">
        <is>
          <t>-</t>
        </is>
      </c>
      <c r="N346" s="1074" t="inlineStr">
        <is>
          <t>陈中帅</t>
        </is>
      </c>
      <c r="O346" s="1074" t="inlineStr">
        <is>
          <t>教室2</t>
        </is>
      </c>
      <c r="P346" s="1074" t="inlineStr">
        <is>
          <t>15:50-18:00</t>
        </is>
      </c>
      <c r="Q346" s="1074" t="inlineStr">
        <is>
          <t>启能班</t>
        </is>
      </c>
      <c r="R346" s="1074" t="inlineStr">
        <is>
          <t>零期</t>
        </is>
      </c>
      <c r="S346" s="1074" t="inlineStr">
        <is>
          <t>在读</t>
        </is>
      </c>
      <c r="T346" s="1074" t="inlineStr">
        <is>
          <t>是</t>
        </is>
      </c>
      <c r="U346" s="1074" t="inlineStr">
        <is>
          <t>3132859</t>
        </is>
      </c>
      <c r="V346" s="1074" t="n">
        <v>0</v>
      </c>
      <c r="W346" s="1074" t="inlineStr">
        <is>
          <t>黄铭怡</t>
        </is>
      </c>
      <c r="X346" s="1074" t="inlineStr">
        <is>
          <t>教室2</t>
        </is>
      </c>
      <c r="Y346" s="1074" t="inlineStr">
        <is>
          <t>10:20-12:30</t>
        </is>
      </c>
      <c r="Z346" s="1074" t="inlineStr">
        <is>
          <t>潜能班</t>
        </is>
      </c>
      <c r="AA346" s="1074" t="inlineStr">
        <is>
          <t>零期</t>
        </is>
      </c>
      <c r="AB346" s="1074" t="inlineStr">
        <is>
          <t>在读</t>
        </is>
      </c>
      <c r="AC346" s="1074" t="inlineStr">
        <is>
          <t>是</t>
        </is>
      </c>
      <c r="AD346" s="1074" t="inlineStr">
        <is>
          <t>5230727</t>
        </is>
      </c>
      <c r="AE346" s="1074" t="n">
        <v>0</v>
      </c>
      <c r="AF346" s="1074" t="inlineStr">
        <is>
          <t>肖锐03</t>
        </is>
      </c>
      <c r="AG346" s="1074" t="inlineStr">
        <is>
          <t>教室2</t>
        </is>
      </c>
      <c r="AH346" s="1074" t="inlineStr">
        <is>
          <t>13:20-15:30</t>
        </is>
      </c>
      <c r="AI346" s="1074" t="inlineStr">
        <is>
          <t>潜能班</t>
        </is>
      </c>
      <c r="AJ346" s="1074" t="inlineStr">
        <is>
          <t>零期</t>
        </is>
      </c>
      <c r="AK346" s="1074" t="inlineStr">
        <is>
          <t>在读</t>
        </is>
      </c>
      <c r="AL346" s="1074" t="inlineStr">
        <is>
          <t>是</t>
        </is>
      </c>
      <c r="AM346" s="1074" t="inlineStr">
        <is>
          <t>是</t>
        </is>
      </c>
      <c r="AN346" s="1074" t="inlineStr">
        <is>
          <t>是</t>
        </is>
      </c>
      <c r="AO346" s="1074" t="inlineStr">
        <is>
          <t>是</t>
        </is>
      </c>
      <c r="AP346" s="1074" t="n"/>
      <c r="AQ346" s="1074" t="n"/>
      <c r="AR346" s="1074" t="inlineStr">
        <is>
          <t>S</t>
        </is>
      </c>
      <c r="AS346" s="1074" t="inlineStr">
        <is>
          <t>在读学员</t>
        </is>
      </c>
      <c r="AT346" s="311" t="n"/>
    </row>
    <row r="347" ht="26.25" customFormat="1" customHeight="1" s="366">
      <c r="A347" s="1074" t="inlineStr">
        <is>
          <t>天成大厦</t>
        </is>
      </c>
      <c r="B347" s="1074" t="inlineStr">
        <is>
          <t>2363647901</t>
        </is>
      </c>
      <c r="C347" s="1074" t="inlineStr">
        <is>
          <t>杜小雨</t>
        </is>
      </c>
      <c r="D347" s="1074" t="inlineStr">
        <is>
          <t>王达04</t>
        </is>
      </c>
      <c r="E347" s="1074" t="inlineStr">
        <is>
          <t>春季在读老生</t>
        </is>
      </c>
      <c r="F347" s="1074" t="n"/>
      <c r="G347" s="1074" t="n"/>
      <c r="H347" s="1074" t="inlineStr">
        <is>
          <t>在读</t>
        </is>
      </c>
      <c r="I347" s="1074" t="inlineStr">
        <is>
          <t>一期</t>
        </is>
      </c>
      <c r="J347" s="1074" t="inlineStr">
        <is>
          <t>5230775</t>
        </is>
      </c>
      <c r="K347" s="1074" t="inlineStr">
        <is>
          <t>老师预估</t>
        </is>
      </c>
      <c r="L347" s="1074" t="n">
        <v>93</v>
      </c>
      <c r="M347" s="1074" t="inlineStr">
        <is>
          <t>-</t>
        </is>
      </c>
      <c r="N347" s="1074" t="inlineStr">
        <is>
          <t>陈中帅</t>
        </is>
      </c>
      <c r="O347" s="1074" t="inlineStr">
        <is>
          <t>03品尚</t>
        </is>
      </c>
      <c r="P347" s="1074" t="inlineStr">
        <is>
          <t>10:20-12:30</t>
        </is>
      </c>
      <c r="Q347" s="1074" t="inlineStr">
        <is>
          <t>潜能班</t>
        </is>
      </c>
      <c r="R347" s="1074" t="inlineStr">
        <is>
          <t>一期</t>
        </is>
      </c>
      <c r="S347" s="1074" t="inlineStr">
        <is>
          <t>在读</t>
        </is>
      </c>
      <c r="T347" s="1074" t="inlineStr">
        <is>
          <t>-</t>
        </is>
      </c>
      <c r="U347" s="1074" t="inlineStr">
        <is>
          <t>-</t>
        </is>
      </c>
      <c r="V347" s="1074" t="inlineStr"/>
      <c r="W347" s="1074" t="inlineStr">
        <is>
          <t>-</t>
        </is>
      </c>
      <c r="X347" s="1074" t="inlineStr">
        <is>
          <t>-</t>
        </is>
      </c>
      <c r="Y347" s="1074" t="inlineStr">
        <is>
          <t>-</t>
        </is>
      </c>
      <c r="Z347" s="1074" t="inlineStr">
        <is>
          <t>-</t>
        </is>
      </c>
      <c r="AA347" s="1074" t="inlineStr">
        <is>
          <t>-</t>
        </is>
      </c>
      <c r="AB347" s="1074" t="inlineStr">
        <is>
          <t>-</t>
        </is>
      </c>
      <c r="AC347" s="1074" t="inlineStr">
        <is>
          <t>-</t>
        </is>
      </c>
      <c r="AD347" s="1074" t="inlineStr">
        <is>
          <t>-</t>
        </is>
      </c>
      <c r="AE347" s="1074" t="inlineStr"/>
      <c r="AF347" s="1074" t="inlineStr">
        <is>
          <t>-</t>
        </is>
      </c>
      <c r="AG347" s="1074" t="inlineStr">
        <is>
          <t>-</t>
        </is>
      </c>
      <c r="AH347" s="1074" t="inlineStr">
        <is>
          <t>-</t>
        </is>
      </c>
      <c r="AI347" s="1074" t="inlineStr">
        <is>
          <t>-</t>
        </is>
      </c>
      <c r="AJ347" s="1074" t="inlineStr">
        <is>
          <t>-</t>
        </is>
      </c>
      <c r="AK347" s="1074" t="inlineStr">
        <is>
          <t>-</t>
        </is>
      </c>
      <c r="AL347" s="1074" t="inlineStr">
        <is>
          <t>-</t>
        </is>
      </c>
      <c r="AM347" s="1074" t="n"/>
      <c r="AN347" s="1074" t="n"/>
      <c r="AO347" s="1074" t="n"/>
      <c r="AP347" s="1074" t="n"/>
      <c r="AQ347" s="1074" t="n"/>
      <c r="AR347" s="1074" t="inlineStr">
        <is>
          <t>S</t>
        </is>
      </c>
      <c r="AS347" s="1074" t="inlineStr">
        <is>
          <t>春季正价</t>
        </is>
      </c>
      <c r="AT347" s="311" t="n"/>
    </row>
    <row r="348" ht="26.25" customFormat="1" customHeight="1" s="366">
      <c r="A348" s="1074" t="inlineStr">
        <is>
          <t>同创汇</t>
        </is>
      </c>
      <c r="B348" s="1074" t="inlineStr">
        <is>
          <t>2916095465</t>
        </is>
      </c>
      <c r="C348" s="1074" t="inlineStr">
        <is>
          <t>徐子尧</t>
        </is>
      </c>
      <c r="D348" s="1074" t="inlineStr">
        <is>
          <t>陈亮延</t>
        </is>
      </c>
      <c r="E348" s="1074" t="inlineStr">
        <is>
          <t>纯拉新</t>
        </is>
      </c>
      <c r="F348" s="1074" t="n"/>
      <c r="G348" s="1074" t="n"/>
      <c r="H348" s="1074" t="inlineStr">
        <is>
          <t>退费</t>
        </is>
      </c>
      <c r="I348" s="1074" t="inlineStr">
        <is>
          <t>-</t>
        </is>
      </c>
      <c r="J348" s="1074" t="inlineStr">
        <is>
          <t>-</t>
        </is>
      </c>
      <c r="K348" s="1074" t="inlineStr"/>
      <c r="L348" s="1074" t="inlineStr"/>
      <c r="M348" s="1074" t="inlineStr"/>
      <c r="N348" s="1074" t="inlineStr">
        <is>
          <t>-</t>
        </is>
      </c>
      <c r="O348" s="1074" t="inlineStr">
        <is>
          <t>-</t>
        </is>
      </c>
      <c r="P348" s="1074" t="inlineStr">
        <is>
          <t>-</t>
        </is>
      </c>
      <c r="Q348" s="1074" t="inlineStr">
        <is>
          <t>-</t>
        </is>
      </c>
      <c r="R348" s="1074" t="inlineStr">
        <is>
          <t>-</t>
        </is>
      </c>
      <c r="S348" s="1074" t="inlineStr">
        <is>
          <t>-</t>
        </is>
      </c>
      <c r="T348" s="1074" t="inlineStr">
        <is>
          <t>-</t>
        </is>
      </c>
      <c r="U348" s="1074" t="inlineStr">
        <is>
          <t>3132905</t>
        </is>
      </c>
      <c r="V348" s="1074" t="n">
        <v>32</v>
      </c>
      <c r="W348" s="1074" t="inlineStr">
        <is>
          <t>黄铭怡</t>
        </is>
      </c>
      <c r="X348" s="1074" t="inlineStr">
        <is>
          <t>02彩虹桥</t>
        </is>
      </c>
      <c r="Y348" s="1074" t="inlineStr">
        <is>
          <t>13:20-15:30</t>
        </is>
      </c>
      <c r="Z348" s="1074" t="inlineStr">
        <is>
          <t>潜能班</t>
        </is>
      </c>
      <c r="AA348" s="1074" t="inlineStr">
        <is>
          <t>零期</t>
        </is>
      </c>
      <c r="AB348" s="1074" t="inlineStr">
        <is>
          <t>课前退</t>
        </is>
      </c>
      <c r="AC348" s="1074" t="inlineStr">
        <is>
          <t>-</t>
        </is>
      </c>
      <c r="AD348" s="1074" t="inlineStr">
        <is>
          <t>5230765</t>
        </is>
      </c>
      <c r="AE348" s="1074" t="n">
        <v>47</v>
      </c>
      <c r="AF348" s="1074" t="inlineStr">
        <is>
          <t>刘希子</t>
        </is>
      </c>
      <c r="AG348" s="1074" t="inlineStr">
        <is>
          <t>02彩虹桥</t>
        </is>
      </c>
      <c r="AH348" s="1074" t="inlineStr">
        <is>
          <t>10:20-12:30</t>
        </is>
      </c>
      <c r="AI348" s="1074" t="inlineStr">
        <is>
          <t>潜能班</t>
        </is>
      </c>
      <c r="AJ348" s="1074" t="inlineStr">
        <is>
          <t>零期</t>
        </is>
      </c>
      <c r="AK348" s="1074" t="inlineStr">
        <is>
          <t>课前退</t>
        </is>
      </c>
      <c r="AL348" s="1074" t="inlineStr">
        <is>
          <t>-</t>
        </is>
      </c>
      <c r="AM348" s="1074" t="n"/>
      <c r="AN348" s="1074" t="inlineStr">
        <is>
          <t>否</t>
        </is>
      </c>
      <c r="AO348" s="1074" t="n"/>
      <c r="AP348" s="1074" t="n"/>
      <c r="AQ348" s="1074" t="n"/>
      <c r="AR348" s="1074" t="inlineStr">
        <is>
          <t>A</t>
        </is>
      </c>
      <c r="AS348" s="1074" t="inlineStr">
        <is>
          <t>学生数学XH在读，暑假过来体验语文再做秋季安排</t>
        </is>
      </c>
      <c r="AT348" s="311" t="n"/>
    </row>
    <row r="349" ht="26.25" customFormat="1" customHeight="1" s="366">
      <c r="A349" s="1074" t="inlineStr">
        <is>
          <t>新宝利</t>
        </is>
      </c>
      <c r="B349" s="1074" t="inlineStr">
        <is>
          <t>2171178730</t>
        </is>
      </c>
      <c r="C349" s="1074" t="inlineStr">
        <is>
          <t>马宇成</t>
        </is>
      </c>
      <c r="D349" s="1074" t="inlineStr">
        <is>
          <t>杨林33</t>
        </is>
      </c>
      <c r="E349" s="1074" t="inlineStr">
        <is>
          <t>老生转介绍</t>
        </is>
      </c>
      <c r="F349" s="1074" t="n"/>
      <c r="G349" s="1074" t="inlineStr">
        <is>
          <t>关浩言</t>
        </is>
      </c>
      <c r="H349" s="1074" t="inlineStr">
        <is>
          <t>在读</t>
        </is>
      </c>
      <c r="I349" s="1074" t="inlineStr">
        <is>
          <t>三期</t>
        </is>
      </c>
      <c r="J349" s="1074" t="inlineStr">
        <is>
          <t>5111035</t>
        </is>
      </c>
      <c r="K349" s="1074" t="inlineStr">
        <is>
          <t>报前测成绩</t>
        </is>
      </c>
      <c r="L349" s="1074" t="n">
        <v>84</v>
      </c>
      <c r="M349" s="1074" t="inlineStr">
        <is>
          <t>-</t>
        </is>
      </c>
      <c r="N349" s="1074" t="inlineStr">
        <is>
          <t>何咏04</t>
        </is>
      </c>
      <c r="O349" s="1074" t="inlineStr">
        <is>
          <t>教室2</t>
        </is>
      </c>
      <c r="P349" s="1074" t="inlineStr">
        <is>
          <t>15:50-18:00</t>
        </is>
      </c>
      <c r="Q349" s="1074" t="inlineStr">
        <is>
          <t>启能班</t>
        </is>
      </c>
      <c r="R349" s="1074" t="inlineStr">
        <is>
          <t>三期</t>
        </is>
      </c>
      <c r="S349" s="1074" t="inlineStr">
        <is>
          <t>在读</t>
        </is>
      </c>
      <c r="T349" s="1074" t="inlineStr">
        <is>
          <t>-</t>
        </is>
      </c>
      <c r="U349" s="1074" t="inlineStr">
        <is>
          <t>5170873</t>
        </is>
      </c>
      <c r="V349" s="1074" t="n">
        <v>30</v>
      </c>
      <c r="W349" s="1074" t="inlineStr">
        <is>
          <t>李润</t>
        </is>
      </c>
      <c r="X349" s="1074" t="inlineStr">
        <is>
          <t>教室2</t>
        </is>
      </c>
      <c r="Y349" s="1074" t="inlineStr">
        <is>
          <t>13:20-15:30</t>
        </is>
      </c>
      <c r="Z349" s="1074" t="inlineStr">
        <is>
          <t>潜能班</t>
        </is>
      </c>
      <c r="AA349" s="1074" t="inlineStr">
        <is>
          <t>三期</t>
        </is>
      </c>
      <c r="AB349" s="1074" t="inlineStr">
        <is>
          <t>在读</t>
        </is>
      </c>
      <c r="AC349" s="1074" t="inlineStr">
        <is>
          <t>-</t>
        </is>
      </c>
      <c r="AD349" s="1074" t="inlineStr">
        <is>
          <t>5170871</t>
        </is>
      </c>
      <c r="AE349" s="1074" t="n">
        <v>43</v>
      </c>
      <c r="AF349" s="1074" t="inlineStr">
        <is>
          <t>肖锐03</t>
        </is>
      </c>
      <c r="AG349" s="1074" t="inlineStr">
        <is>
          <t>教室2</t>
        </is>
      </c>
      <c r="AH349" s="1074" t="inlineStr">
        <is>
          <t>10:20-12:30</t>
        </is>
      </c>
      <c r="AI349" s="1074" t="inlineStr">
        <is>
          <t>潜能班</t>
        </is>
      </c>
      <c r="AJ349" s="1074" t="inlineStr">
        <is>
          <t>三期</t>
        </is>
      </c>
      <c r="AK349" s="1074" t="inlineStr">
        <is>
          <t>在读</t>
        </is>
      </c>
      <c r="AL349" s="1074" t="inlineStr">
        <is>
          <t>-</t>
        </is>
      </c>
      <c r="AM349" s="1074" t="n"/>
      <c r="AN349" s="1074" t="n"/>
      <c r="AO349" s="1074" t="n"/>
      <c r="AP349" s="1074" t="n"/>
      <c r="AQ349" s="1074" t="n"/>
      <c r="AR349" s="1074" t="inlineStr">
        <is>
          <t>B</t>
        </is>
      </c>
      <c r="AS349" s="1074" t="inlineStr">
        <is>
          <t>价格敏感，长期学习不好说</t>
        </is>
      </c>
      <c r="AT349" s="311" t="n"/>
    </row>
    <row r="350" ht="26.25" customFormat="1" customHeight="1" s="366">
      <c r="A350" s="1074" t="inlineStr">
        <is>
          <t>新宝利</t>
        </is>
      </c>
      <c r="B350" s="1074" t="inlineStr">
        <is>
          <t>2488328270</t>
        </is>
      </c>
      <c r="C350" s="1074" t="inlineStr">
        <is>
          <t>莫琳珊</t>
        </is>
      </c>
      <c r="D350" s="1074" t="inlineStr">
        <is>
          <t>杨林33</t>
        </is>
      </c>
      <c r="E350" s="1074" t="inlineStr">
        <is>
          <t>反复低价</t>
        </is>
      </c>
      <c r="F350" s="1074" t="inlineStr">
        <is>
          <t>曾被劝退学员</t>
        </is>
      </c>
      <c r="G350" s="1074" t="n"/>
      <c r="H350" s="1074" t="inlineStr">
        <is>
          <t>在读</t>
        </is>
      </c>
      <c r="I350" s="1074" t="inlineStr">
        <is>
          <t>三期</t>
        </is>
      </c>
      <c r="J350" s="1074" t="inlineStr">
        <is>
          <t>3132902</t>
        </is>
      </c>
      <c r="K350" s="1074" t="inlineStr">
        <is>
          <t>报前测成绩</t>
        </is>
      </c>
      <c r="L350" s="1074" t="n">
        <v>70</v>
      </c>
      <c r="M350" s="1074" t="inlineStr">
        <is>
          <t>-</t>
        </is>
      </c>
      <c r="N350" s="1074" t="inlineStr">
        <is>
          <t>陈中帅</t>
        </is>
      </c>
      <c r="O350" s="1074" t="inlineStr">
        <is>
          <t>教室3</t>
        </is>
      </c>
      <c r="P350" s="1074" t="inlineStr">
        <is>
          <t>13:20-15:30</t>
        </is>
      </c>
      <c r="Q350" s="1074" t="inlineStr">
        <is>
          <t>潜能班</t>
        </is>
      </c>
      <c r="R350" s="1074" t="inlineStr">
        <is>
          <t>三期</t>
        </is>
      </c>
      <c r="S350" s="1074" t="inlineStr">
        <is>
          <t>在读</t>
        </is>
      </c>
      <c r="T350" s="1074" t="inlineStr">
        <is>
          <t>-</t>
        </is>
      </c>
      <c r="U350" s="1074" t="inlineStr">
        <is>
          <t>5230747</t>
        </is>
      </c>
      <c r="V350" s="1074" t="n">
        <v>37</v>
      </c>
      <c r="W350" s="1074" t="inlineStr">
        <is>
          <t>陈南05</t>
        </is>
      </c>
      <c r="X350" s="1074" t="inlineStr">
        <is>
          <t>教室3</t>
        </is>
      </c>
      <c r="Y350" s="1074" t="inlineStr">
        <is>
          <t>10:20-12:30</t>
        </is>
      </c>
      <c r="Z350" s="1074" t="inlineStr">
        <is>
          <t>潜能班</t>
        </is>
      </c>
      <c r="AA350" s="1074" t="inlineStr">
        <is>
          <t>三期</t>
        </is>
      </c>
      <c r="AB350" s="1074" t="inlineStr">
        <is>
          <t>在读</t>
        </is>
      </c>
      <c r="AC350" s="1074" t="inlineStr">
        <is>
          <t>-</t>
        </is>
      </c>
      <c r="AD350" s="1074" t="inlineStr">
        <is>
          <t>5230821</t>
        </is>
      </c>
      <c r="AE350" s="1074" t="n">
        <v>41</v>
      </c>
      <c r="AF350" s="1074" t="inlineStr">
        <is>
          <t>肖锐03</t>
        </is>
      </c>
      <c r="AG350" s="1074" t="inlineStr">
        <is>
          <t>教室3</t>
        </is>
      </c>
      <c r="AH350" s="1074" t="inlineStr">
        <is>
          <t>15:50-18:00</t>
        </is>
      </c>
      <c r="AI350" s="1074" t="inlineStr">
        <is>
          <t>潜能班</t>
        </is>
      </c>
      <c r="AJ350" s="1074" t="inlineStr">
        <is>
          <t>三期</t>
        </is>
      </c>
      <c r="AK350" s="1074" t="inlineStr">
        <is>
          <t>在读</t>
        </is>
      </c>
      <c r="AL350" s="1074" t="inlineStr">
        <is>
          <t>-</t>
        </is>
      </c>
      <c r="AM350" s="1074" t="n"/>
      <c r="AN350" s="1074" t="n"/>
      <c r="AO350" s="1074" t="n"/>
      <c r="AP350" s="1074" t="n"/>
      <c r="AQ350" s="1074" t="n"/>
      <c r="AR350" s="1074" t="inlineStr">
        <is>
          <t>B</t>
        </is>
      </c>
      <c r="AS350" s="1074" t="inlineStr">
        <is>
          <t>长期学可能会选择一科，价格会比较敏感，看三科学习情况</t>
        </is>
      </c>
      <c r="AT350" s="311" t="n"/>
    </row>
    <row r="351" ht="26.25" customFormat="1" customHeight="1" s="366">
      <c r="A351" s="1074" t="inlineStr">
        <is>
          <t>新宝利</t>
        </is>
      </c>
      <c r="B351" s="1074" t="inlineStr">
        <is>
          <t>4581996547</t>
        </is>
      </c>
      <c r="C351" s="1074" t="inlineStr">
        <is>
          <t>林骏锋</t>
        </is>
      </c>
      <c r="D351" s="1074" t="inlineStr">
        <is>
          <t>林志豪01</t>
        </is>
      </c>
      <c r="E351" s="1074" t="inlineStr">
        <is>
          <t>老生转介绍</t>
        </is>
      </c>
      <c r="F351" s="1074" t="n"/>
      <c r="G351" s="1074" t="inlineStr">
        <is>
          <t>关浩言</t>
        </is>
      </c>
      <c r="H351" s="1074" t="inlineStr">
        <is>
          <t>在读</t>
        </is>
      </c>
      <c r="I351" s="1074" t="inlineStr">
        <is>
          <t>一期</t>
        </is>
      </c>
      <c r="J351" s="1074" t="inlineStr">
        <is>
          <t>5230742</t>
        </is>
      </c>
      <c r="K351" s="1074" t="inlineStr">
        <is>
          <t>校内成绩</t>
        </is>
      </c>
      <c r="L351" s="1074" t="n">
        <v>60</v>
      </c>
      <c r="M351" s="1074" t="n">
        <v>80</v>
      </c>
      <c r="N351" s="1074" t="inlineStr">
        <is>
          <t>何咏04</t>
        </is>
      </c>
      <c r="O351" s="1074" t="inlineStr">
        <is>
          <t>教室2</t>
        </is>
      </c>
      <c r="P351" s="1074" t="inlineStr">
        <is>
          <t>13:20-15:30</t>
        </is>
      </c>
      <c r="Q351" s="1074" t="inlineStr">
        <is>
          <t>潜能班</t>
        </is>
      </c>
      <c r="R351" s="1074" t="inlineStr">
        <is>
          <t>一期</t>
        </is>
      </c>
      <c r="S351" s="1074" t="inlineStr">
        <is>
          <t>在读</t>
        </is>
      </c>
      <c r="T351" s="1074" t="inlineStr">
        <is>
          <t>-</t>
        </is>
      </c>
      <c r="U351" s="1074" t="inlineStr">
        <is>
          <t>5230773</t>
        </is>
      </c>
      <c r="V351" s="1074" t="n">
        <v>0</v>
      </c>
      <c r="W351" s="1074" t="inlineStr">
        <is>
          <t>陈南05</t>
        </is>
      </c>
      <c r="X351" s="1074" t="inlineStr">
        <is>
          <t>教室2</t>
        </is>
      </c>
      <c r="Y351" s="1074" t="inlineStr">
        <is>
          <t>15:50-18:00</t>
        </is>
      </c>
      <c r="Z351" s="1074" t="inlineStr">
        <is>
          <t>潜能班</t>
        </is>
      </c>
      <c r="AA351" s="1074" t="inlineStr">
        <is>
          <t>一期</t>
        </is>
      </c>
      <c r="AB351" s="1074" t="inlineStr">
        <is>
          <t>在读</t>
        </is>
      </c>
      <c r="AC351" s="1074" t="inlineStr">
        <is>
          <t>-</t>
        </is>
      </c>
      <c r="AD351" s="1074" t="inlineStr">
        <is>
          <t>3132888</t>
        </is>
      </c>
      <c r="AE351" s="1074" t="n">
        <v>27.5</v>
      </c>
      <c r="AF351" s="1074" t="inlineStr">
        <is>
          <t>肖锐03</t>
        </is>
      </c>
      <c r="AG351" s="1074" t="inlineStr">
        <is>
          <t>教室2</t>
        </is>
      </c>
      <c r="AH351" s="1074" t="inlineStr">
        <is>
          <t>10:20-12:30</t>
        </is>
      </c>
      <c r="AI351" s="1074" t="inlineStr">
        <is>
          <t>潜能班</t>
        </is>
      </c>
      <c r="AJ351" s="1074" t="inlineStr">
        <is>
          <t>一期</t>
        </is>
      </c>
      <c r="AK351" s="1074" t="inlineStr">
        <is>
          <t>在读</t>
        </is>
      </c>
      <c r="AL351" s="1074" t="inlineStr">
        <is>
          <t>-</t>
        </is>
      </c>
      <c r="AM351" s="1074" t="n"/>
      <c r="AN351" s="1074" t="n"/>
      <c r="AO351" s="1074" t="n"/>
      <c r="AP351" s="1074" t="n"/>
      <c r="AQ351" s="1074" t="n"/>
      <c r="AR351" s="1074" t="inlineStr">
        <is>
          <t>B</t>
        </is>
      </c>
      <c r="AS351" s="1074" t="inlineStr">
        <is>
          <t>转介绍，之前没报过培训机构，这次是和朋友一起咨询</t>
        </is>
      </c>
      <c r="AT351" s="311" t="n"/>
    </row>
    <row r="352" ht="26.25" customFormat="1" customHeight="1" s="366">
      <c r="A352" s="1074" t="inlineStr">
        <is>
          <t>同创汇</t>
        </is>
      </c>
      <c r="B352" s="1074" t="inlineStr">
        <is>
          <t>4819417495</t>
        </is>
      </c>
      <c r="C352" s="1074" t="inlineStr">
        <is>
          <t>马若涵</t>
        </is>
      </c>
      <c r="D352" s="1074" t="inlineStr">
        <is>
          <t>戎凯01</t>
        </is>
      </c>
      <c r="E352" s="1074" t="inlineStr">
        <is>
          <t>纯拉新</t>
        </is>
      </c>
      <c r="F352" s="1074" t="n"/>
      <c r="G352" s="1074" t="n"/>
      <c r="H352" s="1074" t="inlineStr">
        <is>
          <t>在读</t>
        </is>
      </c>
      <c r="I352" s="1074" t="inlineStr">
        <is>
          <t>一期</t>
        </is>
      </c>
      <c r="J352" s="1074" t="inlineStr">
        <is>
          <t>5230719</t>
        </is>
      </c>
      <c r="K352" s="1074" t="inlineStr">
        <is>
          <t>报前测成绩</t>
        </is>
      </c>
      <c r="L352" s="1074" t="n">
        <v>80</v>
      </c>
      <c r="M352" s="1074" t="inlineStr">
        <is>
          <t>-</t>
        </is>
      </c>
      <c r="N352" s="1074" t="inlineStr">
        <is>
          <t>陈中帅</t>
        </is>
      </c>
      <c r="O352" s="1074" t="inlineStr">
        <is>
          <t>01智慧林</t>
        </is>
      </c>
      <c r="P352" s="1074" t="inlineStr">
        <is>
          <t>13:20-15:30</t>
        </is>
      </c>
      <c r="Q352" s="1074" t="inlineStr">
        <is>
          <t>启能班</t>
        </is>
      </c>
      <c r="R352" s="1074" t="inlineStr">
        <is>
          <t>一期</t>
        </is>
      </c>
      <c r="S352" s="1074" t="inlineStr">
        <is>
          <t>在读</t>
        </is>
      </c>
      <c r="T352" s="1074" t="inlineStr">
        <is>
          <t>-</t>
        </is>
      </c>
      <c r="U352" s="1074" t="inlineStr">
        <is>
          <t>5230828</t>
        </is>
      </c>
      <c r="V352" s="1074" t="n">
        <v>30</v>
      </c>
      <c r="W352" s="1074" t="inlineStr">
        <is>
          <t>黄铭怡</t>
        </is>
      </c>
      <c r="X352" s="1074" t="inlineStr">
        <is>
          <t>01智慧林</t>
        </is>
      </c>
      <c r="Y352" s="1074" t="inlineStr">
        <is>
          <t>10:20-12:30</t>
        </is>
      </c>
      <c r="Z352" s="1074" t="inlineStr">
        <is>
          <t>潜能班</t>
        </is>
      </c>
      <c r="AA352" s="1074" t="inlineStr">
        <is>
          <t>一期</t>
        </is>
      </c>
      <c r="AB352" s="1074" t="inlineStr">
        <is>
          <t>在读</t>
        </is>
      </c>
      <c r="AC352" s="1074" t="inlineStr">
        <is>
          <t>-</t>
        </is>
      </c>
      <c r="AD352" s="1074" t="inlineStr">
        <is>
          <t>3132869</t>
        </is>
      </c>
      <c r="AE352" s="1074" t="n">
        <v>30</v>
      </c>
      <c r="AF352" s="1074" t="inlineStr">
        <is>
          <t>高心怡04</t>
        </is>
      </c>
      <c r="AG352" s="1074" t="inlineStr">
        <is>
          <t>01智慧林</t>
        </is>
      </c>
      <c r="AH352" s="1074" t="inlineStr">
        <is>
          <t>15:50-18:00</t>
        </is>
      </c>
      <c r="AI352" s="1074" t="inlineStr">
        <is>
          <t>潜能班</t>
        </is>
      </c>
      <c r="AJ352" s="1074" t="inlineStr">
        <is>
          <t>一期</t>
        </is>
      </c>
      <c r="AK352" s="1074" t="inlineStr">
        <is>
          <t>在读</t>
        </is>
      </c>
      <c r="AL352" s="1074" t="inlineStr">
        <is>
          <t>-</t>
        </is>
      </c>
      <c r="AM352" s="1074" t="n"/>
      <c r="AN352" s="1074" t="n"/>
      <c r="AO352" s="1074" t="n"/>
      <c r="AP352" s="1074" t="n"/>
      <c r="AQ352" s="1074" t="n"/>
      <c r="AR352" s="1074" t="inlineStr">
        <is>
          <t>S</t>
        </is>
      </c>
      <c r="AS352" s="1074" t="inlineStr">
        <is>
          <t>讲座转化，孩子成绩280左右，妈妈对于规划不是很懂，但是意愿和配合度很高</t>
        </is>
      </c>
      <c r="AT352" s="311" t="n"/>
    </row>
    <row r="353" ht="26.25" customFormat="1" customHeight="1" s="366">
      <c r="A353" s="1074" t="inlineStr">
        <is>
          <t>同创汇</t>
        </is>
      </c>
      <c r="B353" s="1074" t="inlineStr">
        <is>
          <t>2579017054</t>
        </is>
      </c>
      <c r="C353" s="1074" t="inlineStr">
        <is>
          <t>闫卓熙</t>
        </is>
      </c>
      <c r="D353" s="1074" t="inlineStr">
        <is>
          <t>苏丽婷</t>
        </is>
      </c>
      <c r="E353" s="1074" t="inlineStr">
        <is>
          <t>纯拉新</t>
        </is>
      </c>
      <c r="F353" s="1074" t="n"/>
      <c r="G353" s="1074" t="n"/>
      <c r="H353" s="1074" t="inlineStr">
        <is>
          <t>退费</t>
        </is>
      </c>
      <c r="I353" s="1074" t="inlineStr">
        <is>
          <t>-</t>
        </is>
      </c>
      <c r="J353" s="1074" t="inlineStr">
        <is>
          <t>5230719</t>
        </is>
      </c>
      <c r="K353" s="1074" t="inlineStr">
        <is>
          <t>-</t>
        </is>
      </c>
      <c r="L353" s="1074" t="inlineStr">
        <is>
          <t>-</t>
        </is>
      </c>
      <c r="M353" s="1074" t="inlineStr">
        <is>
          <t>-</t>
        </is>
      </c>
      <c r="N353" s="1074" t="inlineStr">
        <is>
          <t>陈中帅</t>
        </is>
      </c>
      <c r="O353" s="1074" t="inlineStr">
        <is>
          <t>01智慧林</t>
        </is>
      </c>
      <c r="P353" s="1074" t="inlineStr">
        <is>
          <t>13:20-15:30</t>
        </is>
      </c>
      <c r="Q353" s="1074" t="inlineStr">
        <is>
          <t>启能班</t>
        </is>
      </c>
      <c r="R353" s="1074" t="inlineStr">
        <is>
          <t>一期</t>
        </is>
      </c>
      <c r="S353" s="1074" t="inlineStr">
        <is>
          <t>课前退</t>
        </is>
      </c>
      <c r="T353" s="1074" t="inlineStr">
        <is>
          <t>-</t>
        </is>
      </c>
      <c r="U353" s="1074" t="inlineStr">
        <is>
          <t>5230828</t>
        </is>
      </c>
      <c r="V353" s="1074" t="n"/>
      <c r="W353" s="1074" t="inlineStr">
        <is>
          <t>黄铭怡</t>
        </is>
      </c>
      <c r="X353" s="1074" t="inlineStr">
        <is>
          <t>01智慧林</t>
        </is>
      </c>
      <c r="Y353" s="1074" t="inlineStr">
        <is>
          <t>10:20-12:30</t>
        </is>
      </c>
      <c r="Z353" s="1074" t="inlineStr">
        <is>
          <t>潜能班</t>
        </is>
      </c>
      <c r="AA353" s="1074" t="inlineStr">
        <is>
          <t>一期</t>
        </is>
      </c>
      <c r="AB353" s="1074" t="inlineStr">
        <is>
          <t>课前退</t>
        </is>
      </c>
      <c r="AC353" s="1074" t="inlineStr">
        <is>
          <t>-</t>
        </is>
      </c>
      <c r="AD353" s="1074" t="inlineStr">
        <is>
          <t>3132869</t>
        </is>
      </c>
      <c r="AE353" s="1074" t="n"/>
      <c r="AF353" s="1074" t="inlineStr">
        <is>
          <t>高心怡04</t>
        </is>
      </c>
      <c r="AG353" s="1074" t="inlineStr">
        <is>
          <t>01智慧林</t>
        </is>
      </c>
      <c r="AH353" s="1074" t="inlineStr">
        <is>
          <t>15:50-18:00</t>
        </is>
      </c>
      <c r="AI353" s="1074" t="inlineStr">
        <is>
          <t>潜能班</t>
        </is>
      </c>
      <c r="AJ353" s="1074" t="inlineStr">
        <is>
          <t>一期</t>
        </is>
      </c>
      <c r="AK353" s="1074" t="inlineStr">
        <is>
          <t>课前退</t>
        </is>
      </c>
      <c r="AL353" s="1074" t="inlineStr">
        <is>
          <t>-</t>
        </is>
      </c>
      <c r="AM353" s="1074" t="n"/>
      <c r="AN353" s="1074" t="n"/>
      <c r="AO353" s="1074" t="n"/>
      <c r="AP353" s="1074" t="n"/>
      <c r="AQ353" s="1074" t="n"/>
      <c r="AR353" s="1074" t="n"/>
      <c r="AS353" s="1074" t="n"/>
      <c r="AT353" s="311" t="n"/>
    </row>
    <row r="354" ht="26.25" customFormat="1" customHeight="1" s="366">
      <c r="A354" s="1074" t="inlineStr">
        <is>
          <t>同创汇</t>
        </is>
      </c>
      <c r="B354" s="1074" t="inlineStr">
        <is>
          <t>2549336119</t>
        </is>
      </c>
      <c r="C354" s="1074" t="inlineStr">
        <is>
          <t>刘庭玮</t>
        </is>
      </c>
      <c r="D354" s="1074" t="inlineStr">
        <is>
          <t>戎凯01</t>
        </is>
      </c>
      <c r="E354" s="1074" t="inlineStr">
        <is>
          <t>纯拉新</t>
        </is>
      </c>
      <c r="F354" s="1074" t="n"/>
      <c r="G354" s="1074" t="n"/>
      <c r="H354" s="1074" t="inlineStr">
        <is>
          <t>在读</t>
        </is>
      </c>
      <c r="I354" s="1074" t="inlineStr">
        <is>
          <t>一期</t>
        </is>
      </c>
      <c r="J354" s="1074" t="inlineStr">
        <is>
          <t>5230719</t>
        </is>
      </c>
      <c r="K354" s="1074" t="inlineStr">
        <is>
          <t>报前测成绩</t>
        </is>
      </c>
      <c r="L354" s="1074" t="n">
        <v>120</v>
      </c>
      <c r="M354" s="1074" t="inlineStr">
        <is>
          <t>-</t>
        </is>
      </c>
      <c r="N354" s="1074" t="inlineStr">
        <is>
          <t>陈中帅</t>
        </is>
      </c>
      <c r="O354" s="1074" t="inlineStr">
        <is>
          <t>01智慧林</t>
        </is>
      </c>
      <c r="P354" s="1074" t="inlineStr">
        <is>
          <t>13:20-15:30</t>
        </is>
      </c>
      <c r="Q354" s="1074" t="inlineStr">
        <is>
          <t>启能班</t>
        </is>
      </c>
      <c r="R354" s="1074" t="inlineStr">
        <is>
          <t>一期</t>
        </is>
      </c>
      <c r="S354" s="1074" t="inlineStr">
        <is>
          <t>在读</t>
        </is>
      </c>
      <c r="T354" s="1074" t="inlineStr">
        <is>
          <t>-</t>
        </is>
      </c>
      <c r="U354" s="1074" t="inlineStr">
        <is>
          <t>5230828</t>
        </is>
      </c>
      <c r="V354" s="1074" t="n">
        <v>26</v>
      </c>
      <c r="W354" s="1074" t="inlineStr">
        <is>
          <t>黄铭怡</t>
        </is>
      </c>
      <c r="X354" s="1074" t="inlineStr">
        <is>
          <t>01智慧林</t>
        </is>
      </c>
      <c r="Y354" s="1074" t="inlineStr">
        <is>
          <t>10:20-12:30</t>
        </is>
      </c>
      <c r="Z354" s="1074" t="inlineStr">
        <is>
          <t>潜能班</t>
        </is>
      </c>
      <c r="AA354" s="1074" t="inlineStr">
        <is>
          <t>一期</t>
        </is>
      </c>
      <c r="AB354" s="1074" t="inlineStr">
        <is>
          <t>在读</t>
        </is>
      </c>
      <c r="AC354" s="1074" t="inlineStr">
        <is>
          <t>-</t>
        </is>
      </c>
      <c r="AD354" s="1074" t="inlineStr">
        <is>
          <t>3132869</t>
        </is>
      </c>
      <c r="AE354" s="1074" t="n">
        <v>48</v>
      </c>
      <c r="AF354" s="1074" t="inlineStr">
        <is>
          <t>高心怡04</t>
        </is>
      </c>
      <c r="AG354" s="1074" t="inlineStr">
        <is>
          <t>01智慧林</t>
        </is>
      </c>
      <c r="AH354" s="1074" t="inlineStr">
        <is>
          <t>15:50-18:00</t>
        </is>
      </c>
      <c r="AI354" s="1074" t="inlineStr">
        <is>
          <t>潜能班</t>
        </is>
      </c>
      <c r="AJ354" s="1074" t="inlineStr">
        <is>
          <t>一期</t>
        </is>
      </c>
      <c r="AK354" s="1074" t="inlineStr">
        <is>
          <t>在读</t>
        </is>
      </c>
      <c r="AL354" s="1074" t="inlineStr">
        <is>
          <t>-</t>
        </is>
      </c>
      <c r="AM354" s="1074" t="n"/>
      <c r="AN354" s="1074" t="n"/>
      <c r="AO354" s="1074" t="n"/>
      <c r="AP354" s="1074" t="n"/>
      <c r="AQ354" s="1074" t="n"/>
      <c r="AR354" s="1074" t="inlineStr">
        <is>
          <t>B</t>
        </is>
      </c>
      <c r="AS354" s="1074" t="inlineStr">
        <is>
          <t>讲座转化的，孩子成绩非常好，后续可能没有合适班型可以转化</t>
        </is>
      </c>
      <c r="AT354" s="311" t="n"/>
    </row>
    <row r="355" ht="26.25" customFormat="1" customHeight="1" s="366">
      <c r="A355" s="1074" t="inlineStr">
        <is>
          <t>同创汇</t>
        </is>
      </c>
      <c r="B355" s="1074" t="inlineStr">
        <is>
          <t>4149020827</t>
        </is>
      </c>
      <c r="C355" s="1074" t="inlineStr">
        <is>
          <t>黄靖柔</t>
        </is>
      </c>
      <c r="D355" s="1074" t="inlineStr">
        <is>
          <t>戎凯01</t>
        </is>
      </c>
      <c r="E355" s="1074" t="inlineStr">
        <is>
          <t>纯拉新</t>
        </is>
      </c>
      <c r="F355" s="1074" t="n"/>
      <c r="G355" s="1074" t="n"/>
      <c r="H355" s="1074" t="inlineStr">
        <is>
          <t>在读</t>
        </is>
      </c>
      <c r="I355" s="1074" t="inlineStr">
        <is>
          <t>一期</t>
        </is>
      </c>
      <c r="J355" s="1074" t="inlineStr">
        <is>
          <t>5230719</t>
        </is>
      </c>
      <c r="K355" s="1074" t="inlineStr">
        <is>
          <t>报前测成绩</t>
        </is>
      </c>
      <c r="L355" s="1074" t="n">
        <v>75</v>
      </c>
      <c r="M355" s="1074" t="inlineStr">
        <is>
          <t>-</t>
        </is>
      </c>
      <c r="N355" s="1074" t="inlineStr">
        <is>
          <t>陈中帅</t>
        </is>
      </c>
      <c r="O355" s="1074" t="inlineStr">
        <is>
          <t>01智慧林</t>
        </is>
      </c>
      <c r="P355" s="1074" t="inlineStr">
        <is>
          <t>13:20-15:30</t>
        </is>
      </c>
      <c r="Q355" s="1074" t="inlineStr">
        <is>
          <t>启能班</t>
        </is>
      </c>
      <c r="R355" s="1074" t="inlineStr">
        <is>
          <t>一期</t>
        </is>
      </c>
      <c r="S355" s="1074" t="inlineStr">
        <is>
          <t>在读</t>
        </is>
      </c>
      <c r="T355" s="1074" t="inlineStr">
        <is>
          <t>-</t>
        </is>
      </c>
      <c r="U355" s="1074" t="inlineStr">
        <is>
          <t>5230828</t>
        </is>
      </c>
      <c r="V355" s="1074" t="n">
        <v>31</v>
      </c>
      <c r="W355" s="1074" t="inlineStr">
        <is>
          <t>黄铭怡</t>
        </is>
      </c>
      <c r="X355" s="1074" t="inlineStr">
        <is>
          <t>01智慧林</t>
        </is>
      </c>
      <c r="Y355" s="1074" t="inlineStr">
        <is>
          <t>10:20-12:30</t>
        </is>
      </c>
      <c r="Z355" s="1074" t="inlineStr">
        <is>
          <t>潜能班</t>
        </is>
      </c>
      <c r="AA355" s="1074" t="inlineStr">
        <is>
          <t>一期</t>
        </is>
      </c>
      <c r="AB355" s="1074" t="inlineStr">
        <is>
          <t>在读</t>
        </is>
      </c>
      <c r="AC355" s="1074" t="inlineStr">
        <is>
          <t>-</t>
        </is>
      </c>
      <c r="AD355" s="1074" t="inlineStr">
        <is>
          <t>3132869</t>
        </is>
      </c>
      <c r="AE355" s="1074" t="n">
        <v>31</v>
      </c>
      <c r="AF355" s="1074" t="inlineStr">
        <is>
          <t>高心怡04</t>
        </is>
      </c>
      <c r="AG355" s="1074" t="inlineStr">
        <is>
          <t>01智慧林</t>
        </is>
      </c>
      <c r="AH355" s="1074" t="inlineStr">
        <is>
          <t>15:50-18:00</t>
        </is>
      </c>
      <c r="AI355" s="1074" t="inlineStr">
        <is>
          <t>潜能班</t>
        </is>
      </c>
      <c r="AJ355" s="1074" t="inlineStr">
        <is>
          <t>一期</t>
        </is>
      </c>
      <c r="AK355" s="1074" t="inlineStr">
        <is>
          <t>在读</t>
        </is>
      </c>
      <c r="AL355" s="1074" t="inlineStr">
        <is>
          <t>-</t>
        </is>
      </c>
      <c r="AM355" s="1074" t="n"/>
      <c r="AN355" s="1074" t="n"/>
      <c r="AO355" s="1074" t="n"/>
      <c r="AP355" s="1074" t="n"/>
      <c r="AQ355" s="1074" t="n"/>
      <c r="AR355" s="1074" t="inlineStr">
        <is>
          <t>S</t>
        </is>
      </c>
      <c r="AS355" s="1074" t="inlineStr">
        <is>
          <t>之前的在读正价学员，之前应为孩子有阳光抑郁，妈妈不敢逼的太紧，只要孩子喜欢，妈妈就会报名，需要和梁靖晓一个班</t>
        </is>
      </c>
      <c r="AT355" s="311" t="n"/>
    </row>
    <row r="356" ht="26.25" customFormat="1" customHeight="1" s="366">
      <c r="A356" s="1074" t="inlineStr">
        <is>
          <t>新宝利</t>
        </is>
      </c>
      <c r="B356" s="1074" t="inlineStr">
        <is>
          <t>2577817187</t>
        </is>
      </c>
      <c r="C356" s="1074" t="inlineStr">
        <is>
          <t>侯家聪</t>
        </is>
      </c>
      <c r="D356" s="1074" t="inlineStr">
        <is>
          <t>林志豪01</t>
        </is>
      </c>
      <c r="E356" s="1074" t="inlineStr">
        <is>
          <t>纯拉新</t>
        </is>
      </c>
      <c r="F356" s="1074" t="n"/>
      <c r="G356" s="1074" t="n"/>
      <c r="H356" s="1074" t="inlineStr">
        <is>
          <t>在读</t>
        </is>
      </c>
      <c r="I356" s="1074" t="inlineStr">
        <is>
          <t>一期</t>
        </is>
      </c>
      <c r="J356" s="1074" t="inlineStr">
        <is>
          <t>5230742</t>
        </is>
      </c>
      <c r="K356" s="1074" t="inlineStr">
        <is>
          <t>校内成绩</t>
        </is>
      </c>
      <c r="L356" s="1074" t="n">
        <v>64</v>
      </c>
      <c r="M356" s="1074" t="n">
        <v>85</v>
      </c>
      <c r="N356" s="1074" t="inlineStr">
        <is>
          <t>何咏04</t>
        </is>
      </c>
      <c r="O356" s="1074" t="inlineStr">
        <is>
          <t>教室2</t>
        </is>
      </c>
      <c r="P356" s="1074" t="inlineStr">
        <is>
          <t>13:20-15:30</t>
        </is>
      </c>
      <c r="Q356" s="1074" t="inlineStr">
        <is>
          <t>潜能班</t>
        </is>
      </c>
      <c r="R356" s="1074" t="inlineStr">
        <is>
          <t>一期</t>
        </is>
      </c>
      <c r="S356" s="1074" t="inlineStr">
        <is>
          <t>在读</t>
        </is>
      </c>
      <c r="T356" s="1074" t="inlineStr">
        <is>
          <t>-</t>
        </is>
      </c>
      <c r="U356" s="1074" t="inlineStr">
        <is>
          <t>5230773</t>
        </is>
      </c>
      <c r="V356" s="1074" t="n">
        <v>0</v>
      </c>
      <c r="W356" s="1074" t="inlineStr">
        <is>
          <t>陈南05</t>
        </is>
      </c>
      <c r="X356" s="1074" t="inlineStr">
        <is>
          <t>教室2</t>
        </is>
      </c>
      <c r="Y356" s="1074" t="inlineStr">
        <is>
          <t>15:50-18:00</t>
        </is>
      </c>
      <c r="Z356" s="1074" t="inlineStr">
        <is>
          <t>潜能班</t>
        </is>
      </c>
      <c r="AA356" s="1074" t="inlineStr">
        <is>
          <t>一期</t>
        </is>
      </c>
      <c r="AB356" s="1074" t="inlineStr">
        <is>
          <t>在读</t>
        </is>
      </c>
      <c r="AC356" s="1074" t="inlineStr">
        <is>
          <t>-</t>
        </is>
      </c>
      <c r="AD356" s="1074" t="inlineStr">
        <is>
          <t>3132888</t>
        </is>
      </c>
      <c r="AE356" s="1074" t="n">
        <v>28</v>
      </c>
      <c r="AF356" s="1074" t="inlineStr">
        <is>
          <t>肖锐03</t>
        </is>
      </c>
      <c r="AG356" s="1074" t="inlineStr">
        <is>
          <t>教室2</t>
        </is>
      </c>
      <c r="AH356" s="1074" t="inlineStr">
        <is>
          <t>10:20-12:30</t>
        </is>
      </c>
      <c r="AI356" s="1074" t="inlineStr">
        <is>
          <t>潜能班</t>
        </is>
      </c>
      <c r="AJ356" s="1074" t="inlineStr">
        <is>
          <t>一期</t>
        </is>
      </c>
      <c r="AK356" s="1074" t="inlineStr">
        <is>
          <t>在读</t>
        </is>
      </c>
      <c r="AL356" s="1074" t="inlineStr">
        <is>
          <t>-</t>
        </is>
      </c>
      <c r="AM356" s="1074" t="n"/>
      <c r="AN356" s="1074" t="n"/>
      <c r="AO356" s="1074" t="n"/>
      <c r="AP356" s="1074" t="n"/>
      <c r="AQ356" s="1074" t="n"/>
      <c r="AR356" s="1074" t="inlineStr">
        <is>
          <t>B</t>
        </is>
      </c>
      <c r="AS356" s="1074" t="inlineStr">
        <is>
          <t>转介绍，之前没报过培训机构，这次是和朋友一起咨询</t>
        </is>
      </c>
      <c r="AT356" s="311" t="n"/>
    </row>
    <row r="357" ht="26.25" customFormat="1" customHeight="1" s="366">
      <c r="A357" s="1074" t="inlineStr">
        <is>
          <t>新宝利</t>
        </is>
      </c>
      <c r="B357" s="1074" t="inlineStr">
        <is>
          <t>2963993497</t>
        </is>
      </c>
      <c r="C357" s="1074" t="inlineStr">
        <is>
          <t>萧嘉骏</t>
        </is>
      </c>
      <c r="D357" s="1074" t="inlineStr">
        <is>
          <t>林志豪01</t>
        </is>
      </c>
      <c r="E357" s="1074" t="inlineStr">
        <is>
          <t>春季在读老生</t>
        </is>
      </c>
      <c r="F357" s="1074" t="n"/>
      <c r="G357" s="1074" t="n"/>
      <c r="H357" s="1074" t="inlineStr">
        <is>
          <t>在读</t>
        </is>
      </c>
      <c r="I357" s="1074" t="inlineStr">
        <is>
          <t>二期</t>
        </is>
      </c>
      <c r="J357" s="1074" t="inlineStr">
        <is>
          <t>5111034</t>
        </is>
      </c>
      <c r="K357" s="1074" t="inlineStr">
        <is>
          <t>报前测成绩</t>
        </is>
      </c>
      <c r="L357" s="1074" t="n">
        <v>65</v>
      </c>
      <c r="M357" s="1074" t="inlineStr">
        <is>
          <t>-</t>
        </is>
      </c>
      <c r="N357" s="1074" t="inlineStr">
        <is>
          <t>田雨涵01</t>
        </is>
      </c>
      <c r="O357" s="1074" t="inlineStr">
        <is>
          <t>教室4</t>
        </is>
      </c>
      <c r="P357" s="1074" t="inlineStr">
        <is>
          <t>13:20-15:30</t>
        </is>
      </c>
      <c r="Q357" s="1074" t="inlineStr">
        <is>
          <t>潜能班</t>
        </is>
      </c>
      <c r="R357" s="1074" t="inlineStr">
        <is>
          <t>二期</t>
        </is>
      </c>
      <c r="S357" s="1074" t="inlineStr">
        <is>
          <t>在读</t>
        </is>
      </c>
      <c r="T357" s="1074" t="inlineStr">
        <is>
          <t>-</t>
        </is>
      </c>
      <c r="U357" s="1074" t="inlineStr">
        <is>
          <t>4513342</t>
        </is>
      </c>
      <c r="V357" s="1074" t="n">
        <v>28</v>
      </c>
      <c r="W357" s="1074" t="inlineStr">
        <is>
          <t>黄铭怡</t>
        </is>
      </c>
      <c r="X357" s="1074" t="inlineStr">
        <is>
          <t>教室4</t>
        </is>
      </c>
      <c r="Y357" s="1074" t="inlineStr">
        <is>
          <t>10:20-12:30</t>
        </is>
      </c>
      <c r="Z357" s="1074" t="inlineStr">
        <is>
          <t>潜能班</t>
        </is>
      </c>
      <c r="AA357" s="1074" t="inlineStr">
        <is>
          <t>二期</t>
        </is>
      </c>
      <c r="AB357" s="1074" t="inlineStr">
        <is>
          <t>在读</t>
        </is>
      </c>
      <c r="AC357" s="1074" t="inlineStr">
        <is>
          <t>是</t>
        </is>
      </c>
      <c r="AD357" s="1074" t="inlineStr">
        <is>
          <t>4513340</t>
        </is>
      </c>
      <c r="AE357" s="1074" t="n">
        <v>32.5</v>
      </c>
      <c r="AF357" s="1074" t="inlineStr">
        <is>
          <t>高心怡04</t>
        </is>
      </c>
      <c r="AG357" s="1074" t="inlineStr">
        <is>
          <t>教室4</t>
        </is>
      </c>
      <c r="AH357" s="1074" t="inlineStr">
        <is>
          <t>15:50-18:00</t>
        </is>
      </c>
      <c r="AI357" s="1074" t="inlineStr">
        <is>
          <t>潜能班</t>
        </is>
      </c>
      <c r="AJ357" s="1074" t="inlineStr">
        <is>
          <t>二期</t>
        </is>
      </c>
      <c r="AK357" s="1074" t="inlineStr">
        <is>
          <t>在读</t>
        </is>
      </c>
      <c r="AL357" s="1074" t="inlineStr">
        <is>
          <t>-</t>
        </is>
      </c>
      <c r="AM357" s="1074" t="n"/>
      <c r="AN357" s="1074" t="inlineStr">
        <is>
          <t>是</t>
        </is>
      </c>
      <c r="AO357" s="1074" t="inlineStr">
        <is>
          <t>否</t>
        </is>
      </c>
      <c r="AP357" s="1074" t="n"/>
      <c r="AQ357" s="1074" t="n"/>
      <c r="AR357" s="1074" t="inlineStr">
        <is>
          <t>S</t>
        </is>
      </c>
      <c r="AS357" s="1074" t="inlineStr">
        <is>
          <t>孩子很有特点需要看自己喜不喜欢老师，之前在我们这里199暑假报名数学语文，后面只报名语文正价课，原因觉得之前暑假老师不满意，转头去学而思报名了，要孩子愿意跟着老师就会报名</t>
        </is>
      </c>
      <c r="AT357" s="311" t="n"/>
    </row>
    <row r="358" ht="26.25" customFormat="1" customHeight="1" s="366">
      <c r="A358" s="1074" t="inlineStr">
        <is>
          <t>同创汇</t>
        </is>
      </c>
      <c r="B358" s="1074" t="inlineStr">
        <is>
          <t>4024784462</t>
        </is>
      </c>
      <c r="C358" s="1074" t="inlineStr">
        <is>
          <t>萌萌</t>
        </is>
      </c>
      <c r="D358" s="1074" t="inlineStr">
        <is>
          <t>罗玉玲</t>
        </is>
      </c>
      <c r="E358" s="1074" t="inlineStr">
        <is>
          <t>春季在读老生</t>
        </is>
      </c>
      <c r="F358" s="1074" t="n"/>
      <c r="G358" s="1074" t="n"/>
      <c r="H358" s="1074" t="inlineStr">
        <is>
          <t>在读</t>
        </is>
      </c>
      <c r="I358" s="1074" t="inlineStr">
        <is>
          <t>零期</t>
        </is>
      </c>
      <c r="J358" s="1074" t="inlineStr">
        <is>
          <t>3132897</t>
        </is>
      </c>
      <c r="K358" s="1074" t="inlineStr">
        <is>
          <t>老师预估</t>
        </is>
      </c>
      <c r="L358" s="1074" t="n">
        <v>70</v>
      </c>
      <c r="M358" s="1074" t="inlineStr">
        <is>
          <t>-</t>
        </is>
      </c>
      <c r="N358" s="1074" t="inlineStr">
        <is>
          <t>陈中帅</t>
        </is>
      </c>
      <c r="O358" s="1074" t="inlineStr">
        <is>
          <t>01智慧林</t>
        </is>
      </c>
      <c r="P358" s="1074" t="inlineStr">
        <is>
          <t>10:20-12:30</t>
        </is>
      </c>
      <c r="Q358" s="1074" t="inlineStr">
        <is>
          <t>潜能班</t>
        </is>
      </c>
      <c r="R358" s="1074" t="inlineStr">
        <is>
          <t>零期</t>
        </is>
      </c>
      <c r="S358" s="1074" t="inlineStr">
        <is>
          <t>在读</t>
        </is>
      </c>
      <c r="T358" s="1074" t="inlineStr">
        <is>
          <t>是</t>
        </is>
      </c>
      <c r="U358" s="1074" t="inlineStr">
        <is>
          <t>5230722</t>
        </is>
      </c>
      <c r="V358" s="1074" t="n">
        <v>0</v>
      </c>
      <c r="W358" s="1074" t="inlineStr">
        <is>
          <t>李润</t>
        </is>
      </c>
      <c r="X358" s="1074" t="inlineStr">
        <is>
          <t>01智慧林</t>
        </is>
      </c>
      <c r="Y358" s="1074" t="inlineStr">
        <is>
          <t>15:50-18:00</t>
        </is>
      </c>
      <c r="Z358" s="1074" t="inlineStr">
        <is>
          <t>潜能班</t>
        </is>
      </c>
      <c r="AA358" s="1074" t="inlineStr">
        <is>
          <t>零期</t>
        </is>
      </c>
      <c r="AB358" s="1074" t="inlineStr">
        <is>
          <t>在读</t>
        </is>
      </c>
      <c r="AC358" s="1074" t="inlineStr">
        <is>
          <t>-</t>
        </is>
      </c>
      <c r="AD358" s="1074" t="inlineStr">
        <is>
          <t>5230737</t>
        </is>
      </c>
      <c r="AE358" s="1074" t="n">
        <v>0</v>
      </c>
      <c r="AF358" s="1074" t="inlineStr">
        <is>
          <t>高心怡04</t>
        </is>
      </c>
      <c r="AG358" s="1074" t="inlineStr">
        <is>
          <t>01智慧林</t>
        </is>
      </c>
      <c r="AH358" s="1074" t="inlineStr">
        <is>
          <t>13:20-15:30</t>
        </is>
      </c>
      <c r="AI358" s="1074" t="inlineStr">
        <is>
          <t>潜能班</t>
        </is>
      </c>
      <c r="AJ358" s="1074" t="inlineStr">
        <is>
          <t>零期</t>
        </is>
      </c>
      <c r="AK358" s="1074" t="inlineStr">
        <is>
          <t>在读</t>
        </is>
      </c>
      <c r="AL358" s="1074" t="inlineStr">
        <is>
          <t>是</t>
        </is>
      </c>
      <c r="AM358" s="1074" t="inlineStr">
        <is>
          <t>是</t>
        </is>
      </c>
      <c r="AN358" s="1074" t="inlineStr">
        <is>
          <t>是</t>
        </is>
      </c>
      <c r="AO358" s="1074" t="inlineStr">
        <is>
          <t>否</t>
        </is>
      </c>
      <c r="AP358" s="1074" t="n"/>
      <c r="AQ358" s="1074" t="n"/>
      <c r="AR358" s="1074" t="n"/>
      <c r="AS358" s="1074" t="n"/>
      <c r="AT358" s="311" t="n"/>
    </row>
    <row r="359" ht="26.25" customFormat="1" customHeight="1" s="366">
      <c r="A359" s="1074" t="inlineStr">
        <is>
          <t>同创汇</t>
        </is>
      </c>
      <c r="B359" s="1074" t="inlineStr">
        <is>
          <t>4247653400</t>
        </is>
      </c>
      <c r="C359" s="1074" t="inlineStr">
        <is>
          <t>温静仪</t>
        </is>
      </c>
      <c r="D359" s="1074" t="inlineStr">
        <is>
          <t>王丽</t>
        </is>
      </c>
      <c r="E359" s="1074" t="inlineStr">
        <is>
          <t>春季在读老生</t>
        </is>
      </c>
      <c r="F359" s="1074" t="n"/>
      <c r="G359" s="1074" t="n"/>
      <c r="H359" s="1074" t="inlineStr">
        <is>
          <t>在读</t>
        </is>
      </c>
      <c r="I359" s="1074" t="inlineStr">
        <is>
          <t>零期/一期</t>
        </is>
      </c>
      <c r="J359" s="1074" t="inlineStr">
        <is>
          <t>5230719</t>
        </is>
      </c>
      <c r="K359" s="1074" t="inlineStr">
        <is>
          <t>老师预估</t>
        </is>
      </c>
      <c r="L359" s="1074" t="n">
        <v>65</v>
      </c>
      <c r="M359" s="1074" t="inlineStr">
        <is>
          <t>-</t>
        </is>
      </c>
      <c r="N359" s="1074" t="inlineStr">
        <is>
          <t>陈中帅</t>
        </is>
      </c>
      <c r="O359" s="1074" t="inlineStr">
        <is>
          <t>01智慧林</t>
        </is>
      </c>
      <c r="P359" s="1074" t="inlineStr">
        <is>
          <t>13:20-15:30</t>
        </is>
      </c>
      <c r="Q359" s="1074" t="inlineStr">
        <is>
          <t>启能班</t>
        </is>
      </c>
      <c r="R359" s="1074" t="inlineStr">
        <is>
          <t>一期</t>
        </is>
      </c>
      <c r="S359" s="1074" t="inlineStr">
        <is>
          <t>在读</t>
        </is>
      </c>
      <c r="T359" s="1074" t="inlineStr">
        <is>
          <t>是</t>
        </is>
      </c>
      <c r="U359" s="1074" t="inlineStr">
        <is>
          <t>5230828</t>
        </is>
      </c>
      <c r="V359" s="1074" t="n">
        <v>0</v>
      </c>
      <c r="W359" s="1074" t="inlineStr">
        <is>
          <t>黄铭怡</t>
        </is>
      </c>
      <c r="X359" s="1074" t="inlineStr">
        <is>
          <t>01智慧林</t>
        </is>
      </c>
      <c r="Y359" s="1074" t="inlineStr">
        <is>
          <t>10:20-12:30</t>
        </is>
      </c>
      <c r="Z359" s="1074" t="inlineStr">
        <is>
          <t>潜能班</t>
        </is>
      </c>
      <c r="AA359" s="1074" t="inlineStr">
        <is>
          <t>一期</t>
        </is>
      </c>
      <c r="AB359" s="1074" t="inlineStr">
        <is>
          <t>在读</t>
        </is>
      </c>
      <c r="AC359" s="1074" t="inlineStr">
        <is>
          <t>是</t>
        </is>
      </c>
      <c r="AD359" s="1074" t="inlineStr">
        <is>
          <t>5230765</t>
        </is>
      </c>
      <c r="AE359" s="1074" t="n">
        <v>0</v>
      </c>
      <c r="AF359" s="1074" t="inlineStr">
        <is>
          <t>刘希子</t>
        </is>
      </c>
      <c r="AG359" s="1074" t="inlineStr">
        <is>
          <t>02彩虹桥</t>
        </is>
      </c>
      <c r="AH359" s="1074" t="inlineStr">
        <is>
          <t>10:20-12:30</t>
        </is>
      </c>
      <c r="AI359" s="1074" t="inlineStr">
        <is>
          <t>潜能班</t>
        </is>
      </c>
      <c r="AJ359" s="1074" t="inlineStr">
        <is>
          <t>零期</t>
        </is>
      </c>
      <c r="AK359" s="1074" t="inlineStr">
        <is>
          <t>在读</t>
        </is>
      </c>
      <c r="AL359" s="1074" t="inlineStr">
        <is>
          <t>-</t>
        </is>
      </c>
      <c r="AM359" s="1074" t="inlineStr">
        <is>
          <t>是</t>
        </is>
      </c>
      <c r="AN359" s="1074" t="inlineStr">
        <is>
          <t>是</t>
        </is>
      </c>
      <c r="AO359" s="1074" t="inlineStr">
        <is>
          <t>否</t>
        </is>
      </c>
      <c r="AP359" s="1074" t="n"/>
      <c r="AQ359" s="1074" t="n"/>
      <c r="AR359" s="1074" t="inlineStr">
        <is>
          <t>S</t>
        </is>
      </c>
      <c r="AS359" s="1074" t="inlineStr">
        <is>
          <t>已经暑秋连报了</t>
        </is>
      </c>
      <c r="AT359" s="311" t="n"/>
    </row>
    <row r="360" ht="26.25" customFormat="1" customHeight="1" s="366">
      <c r="A360" s="1074" t="inlineStr">
        <is>
          <t>新宝利</t>
        </is>
      </c>
      <c r="B360" s="1074" t="inlineStr">
        <is>
          <t>4817463167</t>
        </is>
      </c>
      <c r="C360" s="1074" t="inlineStr">
        <is>
          <t>宸郗</t>
        </is>
      </c>
      <c r="D360" s="1074" t="inlineStr">
        <is>
          <t>陈亮延</t>
        </is>
      </c>
      <c r="E360" s="1074" t="inlineStr">
        <is>
          <t>纯拉新</t>
        </is>
      </c>
      <c r="F360" s="1074" t="n"/>
      <c r="G360" s="1074" t="n"/>
      <c r="H360" s="1074" t="inlineStr">
        <is>
          <t>在读</t>
        </is>
      </c>
      <c r="I360" s="1074" t="inlineStr">
        <is>
          <t>三期</t>
        </is>
      </c>
      <c r="J360" s="1074" t="inlineStr">
        <is>
          <t>3132902</t>
        </is>
      </c>
      <c r="K360" s="1074" t="inlineStr">
        <is>
          <t>报前测成绩</t>
        </is>
      </c>
      <c r="L360" s="1074" t="n">
        <v>57</v>
      </c>
      <c r="M360" s="1074" t="inlineStr">
        <is>
          <t>-</t>
        </is>
      </c>
      <c r="N360" s="1074" t="inlineStr">
        <is>
          <t>陈中帅</t>
        </is>
      </c>
      <c r="O360" s="1074" t="inlineStr">
        <is>
          <t>教室3</t>
        </is>
      </c>
      <c r="P360" s="1074" t="inlineStr">
        <is>
          <t>13:20-15:30</t>
        </is>
      </c>
      <c r="Q360" s="1074" t="inlineStr">
        <is>
          <t>潜能班</t>
        </is>
      </c>
      <c r="R360" s="1074" t="inlineStr">
        <is>
          <t>三期</t>
        </is>
      </c>
      <c r="S360" s="1074" t="inlineStr">
        <is>
          <t>在读</t>
        </is>
      </c>
      <c r="T360" s="1074" t="inlineStr">
        <is>
          <t>-</t>
        </is>
      </c>
      <c r="U360" s="1074" t="inlineStr">
        <is>
          <t>5230747</t>
        </is>
      </c>
      <c r="V360" s="1074" t="n">
        <v>0</v>
      </c>
      <c r="W360" s="1074" t="inlineStr">
        <is>
          <t>陈南05</t>
        </is>
      </c>
      <c r="X360" s="1074" t="inlineStr">
        <is>
          <t>教室3</t>
        </is>
      </c>
      <c r="Y360" s="1074" t="inlineStr">
        <is>
          <t>10:20-12:30</t>
        </is>
      </c>
      <c r="Z360" s="1074" t="inlineStr">
        <is>
          <t>潜能班</t>
        </is>
      </c>
      <c r="AA360" s="1074" t="inlineStr">
        <is>
          <t>三期</t>
        </is>
      </c>
      <c r="AB360" s="1074" t="inlineStr">
        <is>
          <t>在读</t>
        </is>
      </c>
      <c r="AC360" s="1074" t="inlineStr">
        <is>
          <t>-</t>
        </is>
      </c>
      <c r="AD360" s="1074" t="inlineStr">
        <is>
          <t>5230821</t>
        </is>
      </c>
      <c r="AE360" s="1074" t="n">
        <v>29</v>
      </c>
      <c r="AF360" s="1074" t="inlineStr">
        <is>
          <t>肖锐03</t>
        </is>
      </c>
      <c r="AG360" s="1074" t="inlineStr">
        <is>
          <t>教室3</t>
        </is>
      </c>
      <c r="AH360" s="1074" t="inlineStr">
        <is>
          <t>15:50-18:00</t>
        </is>
      </c>
      <c r="AI360" s="1074" t="inlineStr">
        <is>
          <t>潜能班</t>
        </is>
      </c>
      <c r="AJ360" s="1074" t="inlineStr">
        <is>
          <t>三期</t>
        </is>
      </c>
      <c r="AK360" s="1074" t="inlineStr">
        <is>
          <t>在读</t>
        </is>
      </c>
      <c r="AL360" s="1074" t="inlineStr">
        <is>
          <t>-</t>
        </is>
      </c>
      <c r="AM360" s="1074" t="n"/>
      <c r="AN360" s="1074" t="n"/>
      <c r="AO360" s="1074" t="n"/>
      <c r="AP360" s="1074" t="n"/>
      <c r="AQ360" s="1074" t="n"/>
      <c r="AR360" s="1074" t="n"/>
      <c r="AS360" s="1074" t="n"/>
      <c r="AT360" s="311" t="n"/>
    </row>
    <row r="361" ht="26.25" customFormat="1" customHeight="1" s="366">
      <c r="A361" s="1074" t="inlineStr">
        <is>
          <t>新宝利</t>
        </is>
      </c>
      <c r="B361" s="1074" t="inlineStr">
        <is>
          <t>2748777690</t>
        </is>
      </c>
      <c r="C361" s="1074" t="inlineStr">
        <is>
          <t>傅梓轩</t>
        </is>
      </c>
      <c r="D361" s="1074" t="inlineStr">
        <is>
          <t>林志豪01</t>
        </is>
      </c>
      <c r="E361" s="1074" t="inlineStr">
        <is>
          <t>春季在读老生</t>
        </is>
      </c>
      <c r="F361" s="1074" t="n"/>
      <c r="G361" s="1074" t="n"/>
      <c r="H361" s="1074" t="inlineStr">
        <is>
          <t>在读</t>
        </is>
      </c>
      <c r="I361" s="1074" t="inlineStr">
        <is>
          <t>零期</t>
        </is>
      </c>
      <c r="J361" s="1074" t="inlineStr">
        <is>
          <t>3132880</t>
        </is>
      </c>
      <c r="K361" s="1074" t="inlineStr">
        <is>
          <t>报前测成绩</t>
        </is>
      </c>
      <c r="L361" s="1074" t="n">
        <v>90</v>
      </c>
      <c r="M361" s="1074" t="inlineStr">
        <is>
          <t>-</t>
        </is>
      </c>
      <c r="N361" s="1074" t="inlineStr">
        <is>
          <t>陈中帅</t>
        </is>
      </c>
      <c r="O361" s="1074" t="inlineStr">
        <is>
          <t>教室2</t>
        </is>
      </c>
      <c r="P361" s="1074" t="inlineStr">
        <is>
          <t>15:50-18:00</t>
        </is>
      </c>
      <c r="Q361" s="1074" t="inlineStr">
        <is>
          <t>启能班</t>
        </is>
      </c>
      <c r="R361" s="1074" t="inlineStr">
        <is>
          <t>零期</t>
        </is>
      </c>
      <c r="S361" s="1074" t="inlineStr">
        <is>
          <t>在读</t>
        </is>
      </c>
      <c r="T361" s="1074" t="inlineStr">
        <is>
          <t>是</t>
        </is>
      </c>
      <c r="U361" s="1074" t="inlineStr">
        <is>
          <t>3132859</t>
        </is>
      </c>
      <c r="V361" s="1074" t="n">
        <v>0</v>
      </c>
      <c r="W361" s="1074" t="inlineStr">
        <is>
          <t>黄铭怡</t>
        </is>
      </c>
      <c r="X361" s="1074" t="inlineStr">
        <is>
          <t>教室2</t>
        </is>
      </c>
      <c r="Y361" s="1074" t="inlineStr">
        <is>
          <t>10:20-12:30</t>
        </is>
      </c>
      <c r="Z361" s="1074" t="inlineStr">
        <is>
          <t>潜能班</t>
        </is>
      </c>
      <c r="AA361" s="1074" t="inlineStr">
        <is>
          <t>零期</t>
        </is>
      </c>
      <c r="AB361" s="1074" t="inlineStr">
        <is>
          <t>在读</t>
        </is>
      </c>
      <c r="AC361" s="1074" t="inlineStr">
        <is>
          <t>是</t>
        </is>
      </c>
      <c r="AD361" s="1074" t="inlineStr">
        <is>
          <t>5230727</t>
        </is>
      </c>
      <c r="AE361" s="1074" t="n">
        <v>27.5</v>
      </c>
      <c r="AF361" s="1074" t="inlineStr">
        <is>
          <t>肖锐03</t>
        </is>
      </c>
      <c r="AG361" s="1074" t="inlineStr">
        <is>
          <t>教室2</t>
        </is>
      </c>
      <c r="AH361" s="1074" t="inlineStr">
        <is>
          <t>13:20-15:30</t>
        </is>
      </c>
      <c r="AI361" s="1074" t="inlineStr">
        <is>
          <t>潜能班</t>
        </is>
      </c>
      <c r="AJ361" s="1074" t="inlineStr">
        <is>
          <t>零期</t>
        </is>
      </c>
      <c r="AK361" s="1074" t="inlineStr">
        <is>
          <t>在读</t>
        </is>
      </c>
      <c r="AL361" s="1074" t="inlineStr">
        <is>
          <t>是</t>
        </is>
      </c>
      <c r="AM361" s="1074" t="inlineStr">
        <is>
          <t>是</t>
        </is>
      </c>
      <c r="AN361" s="1074" t="inlineStr">
        <is>
          <t>是</t>
        </is>
      </c>
      <c r="AO361" s="1074" t="inlineStr">
        <is>
          <t>是</t>
        </is>
      </c>
      <c r="AP361" s="1074" t="n"/>
      <c r="AQ361" s="1074" t="n"/>
      <c r="AR361" s="1074" t="inlineStr">
        <is>
          <t>S</t>
        </is>
      </c>
      <c r="AS361" s="1074" t="inlineStr">
        <is>
          <t>在读学员</t>
        </is>
      </c>
      <c r="AT361" s="311" t="n"/>
    </row>
    <row r="362" ht="26.25" customFormat="1" customHeight="1" s="366">
      <c r="A362" s="1074" t="inlineStr">
        <is>
          <t>新宝利</t>
        </is>
      </c>
      <c r="B362" s="1074" t="inlineStr">
        <is>
          <t>2625942958</t>
        </is>
      </c>
      <c r="C362" s="1074" t="inlineStr">
        <is>
          <t>许博然</t>
        </is>
      </c>
      <c r="D362" s="1074" t="inlineStr"/>
      <c r="E362" s="1074" t="inlineStr">
        <is>
          <t>春季在读老生</t>
        </is>
      </c>
      <c r="F362" s="1074" t="n"/>
      <c r="G362" s="1074" t="n"/>
      <c r="H362" s="1074" t="inlineStr">
        <is>
          <t>在读</t>
        </is>
      </c>
      <c r="I362" s="1074" t="inlineStr">
        <is>
          <t>二期</t>
        </is>
      </c>
      <c r="J362" s="1074" t="inlineStr">
        <is>
          <t>-</t>
        </is>
      </c>
      <c r="K362" s="1074" t="inlineStr"/>
      <c r="L362" s="1074" t="inlineStr"/>
      <c r="M362" s="1074" t="inlineStr"/>
      <c r="N362" s="1074" t="inlineStr">
        <is>
          <t>-</t>
        </is>
      </c>
      <c r="O362" s="1074" t="inlineStr">
        <is>
          <t>-</t>
        </is>
      </c>
      <c r="P362" s="1074" t="inlineStr">
        <is>
          <t>-</t>
        </is>
      </c>
      <c r="Q362" s="1074" t="inlineStr">
        <is>
          <t>-</t>
        </is>
      </c>
      <c r="R362" s="1074" t="inlineStr">
        <is>
          <t>-</t>
        </is>
      </c>
      <c r="S362" s="1074" t="inlineStr">
        <is>
          <t>-</t>
        </is>
      </c>
      <c r="T362" s="1074" t="inlineStr">
        <is>
          <t>-</t>
        </is>
      </c>
      <c r="U362" s="1074" t="inlineStr">
        <is>
          <t>3132846</t>
        </is>
      </c>
      <c r="V362" s="1074" t="n"/>
      <c r="W362" s="1074" t="inlineStr">
        <is>
          <t>黄铭怡</t>
        </is>
      </c>
      <c r="X362" s="1074" t="inlineStr">
        <is>
          <t>教室3</t>
        </is>
      </c>
      <c r="Y362" s="1074" t="inlineStr">
        <is>
          <t>13:20-15:30</t>
        </is>
      </c>
      <c r="Z362" s="1074" t="inlineStr">
        <is>
          <t>潜能班</t>
        </is>
      </c>
      <c r="AA362" s="1074" t="inlineStr">
        <is>
          <t>二期</t>
        </is>
      </c>
      <c r="AB362" s="1074" t="inlineStr">
        <is>
          <t>在读</t>
        </is>
      </c>
      <c r="AC362" s="1074" t="inlineStr">
        <is>
          <t>是</t>
        </is>
      </c>
      <c r="AD362" s="1074" t="inlineStr">
        <is>
          <t>-</t>
        </is>
      </c>
      <c r="AE362" s="1074" t="inlineStr"/>
      <c r="AF362" s="1074" t="inlineStr">
        <is>
          <t>-</t>
        </is>
      </c>
      <c r="AG362" s="1074" t="inlineStr">
        <is>
          <t>-</t>
        </is>
      </c>
      <c r="AH362" s="1074" t="inlineStr">
        <is>
          <t>-</t>
        </is>
      </c>
      <c r="AI362" s="1074" t="inlineStr">
        <is>
          <t>-</t>
        </is>
      </c>
      <c r="AJ362" s="1074" t="inlineStr">
        <is>
          <t>-</t>
        </is>
      </c>
      <c r="AK362" s="1074" t="inlineStr">
        <is>
          <t>-</t>
        </is>
      </c>
      <c r="AL362" s="1074" t="inlineStr">
        <is>
          <t>-</t>
        </is>
      </c>
      <c r="AM362" s="1074" t="n"/>
      <c r="AN362" s="1074" t="n"/>
      <c r="AO362" s="1074" t="n"/>
      <c r="AP362" s="1074" t="n"/>
      <c r="AQ362" s="1074" t="n"/>
      <c r="AR362" s="1074" t="n"/>
      <c r="AS362" s="1074" t="n"/>
      <c r="AT362" s="311" t="n"/>
    </row>
    <row r="363" ht="26.25" customFormat="1" customHeight="1" s="366">
      <c r="A363" s="1074" t="inlineStr">
        <is>
          <t>同创汇</t>
        </is>
      </c>
      <c r="B363" s="1074" t="inlineStr">
        <is>
          <t>4709657503</t>
        </is>
      </c>
      <c r="C363" s="1074" t="inlineStr">
        <is>
          <t>余宸逸</t>
        </is>
      </c>
      <c r="D363" s="1074" t="inlineStr"/>
      <c r="E363" s="1074" t="inlineStr">
        <is>
          <t>春季在读老生</t>
        </is>
      </c>
      <c r="F363" s="1074" t="n"/>
      <c r="G363" s="1074" t="n"/>
      <c r="H363" s="1074" t="inlineStr">
        <is>
          <t>在读</t>
        </is>
      </c>
      <c r="I363" s="1074" t="inlineStr">
        <is>
          <t>一期</t>
        </is>
      </c>
      <c r="J363" s="1074" t="inlineStr">
        <is>
          <t>-</t>
        </is>
      </c>
      <c r="K363" s="1074" t="inlineStr"/>
      <c r="L363" s="1074" t="inlineStr"/>
      <c r="M363" s="1074" t="inlineStr"/>
      <c r="N363" s="1074" t="inlineStr">
        <is>
          <t>-</t>
        </is>
      </c>
      <c r="O363" s="1074" t="inlineStr">
        <is>
          <t>-</t>
        </is>
      </c>
      <c r="P363" s="1074" t="inlineStr">
        <is>
          <t>-</t>
        </is>
      </c>
      <c r="Q363" s="1074" t="inlineStr">
        <is>
          <t>-</t>
        </is>
      </c>
      <c r="R363" s="1074" t="inlineStr">
        <is>
          <t>-</t>
        </is>
      </c>
      <c r="S363" s="1074" t="inlineStr">
        <is>
          <t>-</t>
        </is>
      </c>
      <c r="T363" s="1074" t="inlineStr">
        <is>
          <t>-</t>
        </is>
      </c>
      <c r="U363" s="1074" t="inlineStr">
        <is>
          <t>5230828</t>
        </is>
      </c>
      <c r="V363" s="1074" t="n"/>
      <c r="W363" s="1074" t="inlineStr">
        <is>
          <t>黄铭怡</t>
        </is>
      </c>
      <c r="X363" s="1074" t="inlineStr">
        <is>
          <t>01智慧林</t>
        </is>
      </c>
      <c r="Y363" s="1074" t="inlineStr">
        <is>
          <t>10:20-12:30</t>
        </is>
      </c>
      <c r="Z363" s="1074" t="inlineStr">
        <is>
          <t>潜能班</t>
        </is>
      </c>
      <c r="AA363" s="1074" t="inlineStr">
        <is>
          <t>一期</t>
        </is>
      </c>
      <c r="AB363" s="1074" t="inlineStr">
        <is>
          <t>在读</t>
        </is>
      </c>
      <c r="AC363" s="1074" t="inlineStr">
        <is>
          <t>是</t>
        </is>
      </c>
      <c r="AD363" s="1074" t="inlineStr">
        <is>
          <t>-</t>
        </is>
      </c>
      <c r="AE363" s="1074" t="inlineStr"/>
      <c r="AF363" s="1074" t="inlineStr">
        <is>
          <t>-</t>
        </is>
      </c>
      <c r="AG363" s="1074" t="inlineStr">
        <is>
          <t>-</t>
        </is>
      </c>
      <c r="AH363" s="1074" t="inlineStr">
        <is>
          <t>-</t>
        </is>
      </c>
      <c r="AI363" s="1074" t="inlineStr">
        <is>
          <t>-</t>
        </is>
      </c>
      <c r="AJ363" s="1074" t="inlineStr">
        <is>
          <t>-</t>
        </is>
      </c>
      <c r="AK363" s="1074" t="inlineStr">
        <is>
          <t>-</t>
        </is>
      </c>
      <c r="AL363" s="1074" t="inlineStr">
        <is>
          <t>-</t>
        </is>
      </c>
      <c r="AM363" s="1074" t="n"/>
      <c r="AN363" s="1074" t="n"/>
      <c r="AO363" s="1074" t="n"/>
      <c r="AP363" s="1074" t="n"/>
      <c r="AQ363" s="1074" t="n"/>
      <c r="AR363" s="1074" t="n"/>
      <c r="AS363" s="1074" t="n"/>
      <c r="AT363" s="311" t="n"/>
    </row>
    <row r="364" ht="26.25" customFormat="1" customHeight="1" s="366">
      <c r="A364" s="1074" t="inlineStr">
        <is>
          <t>新宝利</t>
        </is>
      </c>
      <c r="B364" s="1074" t="inlineStr">
        <is>
          <t>2521677553</t>
        </is>
      </c>
      <c r="C364" s="1074" t="inlineStr">
        <is>
          <t>方一鸣</t>
        </is>
      </c>
      <c r="D364" s="1074" t="inlineStr">
        <is>
          <t>张敏烨</t>
        </is>
      </c>
      <c r="E364" s="1074" t="inlineStr">
        <is>
          <t>新生转介绍</t>
        </is>
      </c>
      <c r="F364" s="1074" t="n"/>
      <c r="G364" s="1074" t="inlineStr">
        <is>
          <t>千惠</t>
        </is>
      </c>
      <c r="H364" s="1074" t="inlineStr">
        <is>
          <t>在读</t>
        </is>
      </c>
      <c r="I364" s="1074" t="inlineStr">
        <is>
          <t>三期</t>
        </is>
      </c>
      <c r="J364" s="1074" t="inlineStr">
        <is>
          <t>3132902</t>
        </is>
      </c>
      <c r="K364" s="1074" t="inlineStr">
        <is>
          <t>报前测成绩</t>
        </is>
      </c>
      <c r="L364" s="1074" t="n">
        <v>43</v>
      </c>
      <c r="M364" s="1074" t="inlineStr">
        <is>
          <t>-</t>
        </is>
      </c>
      <c r="N364" s="1074" t="inlineStr">
        <is>
          <t>陈中帅</t>
        </is>
      </c>
      <c r="O364" s="1074" t="inlineStr">
        <is>
          <t>教室3</t>
        </is>
      </c>
      <c r="P364" s="1074" t="inlineStr">
        <is>
          <t>13:20-15:30</t>
        </is>
      </c>
      <c r="Q364" s="1074" t="inlineStr">
        <is>
          <t>潜能班</t>
        </is>
      </c>
      <c r="R364" s="1074" t="inlineStr">
        <is>
          <t>三期</t>
        </is>
      </c>
      <c r="S364" s="1074" t="inlineStr">
        <is>
          <t>在读</t>
        </is>
      </c>
      <c r="T364" s="1074" t="inlineStr">
        <is>
          <t>-</t>
        </is>
      </c>
      <c r="U364" s="1074" t="inlineStr">
        <is>
          <t>5230747</t>
        </is>
      </c>
      <c r="V364" s="1074" t="n">
        <v>30</v>
      </c>
      <c r="W364" s="1074" t="inlineStr">
        <is>
          <t>陈南05</t>
        </is>
      </c>
      <c r="X364" s="1074" t="inlineStr">
        <is>
          <t>教室3</t>
        </is>
      </c>
      <c r="Y364" s="1074" t="inlineStr">
        <is>
          <t>10:20-12:30</t>
        </is>
      </c>
      <c r="Z364" s="1074" t="inlineStr">
        <is>
          <t>潜能班</t>
        </is>
      </c>
      <c r="AA364" s="1074" t="inlineStr">
        <is>
          <t>三期</t>
        </is>
      </c>
      <c r="AB364" s="1074" t="inlineStr">
        <is>
          <t>在读</t>
        </is>
      </c>
      <c r="AC364" s="1074" t="inlineStr">
        <is>
          <t>-</t>
        </is>
      </c>
      <c r="AD364" s="1074" t="inlineStr">
        <is>
          <t>5230821</t>
        </is>
      </c>
      <c r="AE364" s="1074" t="n">
        <v>36.5</v>
      </c>
      <c r="AF364" s="1074" t="inlineStr">
        <is>
          <t>肖锐03</t>
        </is>
      </c>
      <c r="AG364" s="1074" t="inlineStr">
        <is>
          <t>教室3</t>
        </is>
      </c>
      <c r="AH364" s="1074" t="inlineStr">
        <is>
          <t>15:50-18:00</t>
        </is>
      </c>
      <c r="AI364" s="1074" t="inlineStr">
        <is>
          <t>潜能班</t>
        </is>
      </c>
      <c r="AJ364" s="1074" t="inlineStr">
        <is>
          <t>三期</t>
        </is>
      </c>
      <c r="AK364" s="1074" t="inlineStr">
        <is>
          <t>在读</t>
        </is>
      </c>
      <c r="AL364" s="1074" t="inlineStr">
        <is>
          <t>-</t>
        </is>
      </c>
      <c r="AM364" s="1074" t="n"/>
      <c r="AN364" s="1074" t="n"/>
      <c r="AO364" s="1074" t="n"/>
      <c r="AP364" s="1074" t="n"/>
      <c r="AQ364" s="1074" t="n"/>
      <c r="AR364" s="1074" t="inlineStr">
        <is>
          <t>B</t>
        </is>
      </c>
      <c r="AS364" s="1074" t="inlineStr">
        <is>
          <t>千惠同学，校外没有机构补习过</t>
        </is>
      </c>
      <c r="AT364" s="311" t="n"/>
    </row>
    <row r="365" ht="26.25" customFormat="1" customHeight="1" s="366">
      <c r="A365" s="1074" t="inlineStr">
        <is>
          <t>同创汇</t>
        </is>
      </c>
      <c r="B365" s="1074" t="inlineStr">
        <is>
          <t>4049364466</t>
        </is>
      </c>
      <c r="C365" s="1074" t="inlineStr">
        <is>
          <t>安安</t>
        </is>
      </c>
      <c r="D365" s="1074" t="inlineStr">
        <is>
          <t>王丽</t>
        </is>
      </c>
      <c r="E365" s="1074" t="inlineStr">
        <is>
          <t>春季在读老生</t>
        </is>
      </c>
      <c r="F365" s="1074" t="inlineStr">
        <is>
          <t>李倬承转介绍</t>
        </is>
      </c>
      <c r="G365" s="1074" t="n"/>
      <c r="H365" s="1074" t="inlineStr">
        <is>
          <t>在读</t>
        </is>
      </c>
      <c r="I365" s="1074" t="inlineStr">
        <is>
          <t>二期</t>
        </is>
      </c>
      <c r="J365" s="1074" t="inlineStr">
        <is>
          <t>3132872</t>
        </is>
      </c>
      <c r="K365" s="1074" t="inlineStr">
        <is>
          <t>老师预估</t>
        </is>
      </c>
      <c r="L365" s="1074" t="n">
        <v>50</v>
      </c>
      <c r="M365" s="1074" t="inlineStr">
        <is>
          <t>-</t>
        </is>
      </c>
      <c r="N365" s="1074" t="inlineStr">
        <is>
          <t>何咏04</t>
        </is>
      </c>
      <c r="O365" s="1074" t="inlineStr">
        <is>
          <t>01智慧林</t>
        </is>
      </c>
      <c r="P365" s="1074" t="inlineStr">
        <is>
          <t>13:20-15:30</t>
        </is>
      </c>
      <c r="Q365" s="1074" t="inlineStr">
        <is>
          <t>潜能班</t>
        </is>
      </c>
      <c r="R365" s="1074" t="inlineStr">
        <is>
          <t>二期</t>
        </is>
      </c>
      <c r="S365" s="1074" t="inlineStr">
        <is>
          <t>在读</t>
        </is>
      </c>
      <c r="T365" s="1074" t="inlineStr">
        <is>
          <t>-</t>
        </is>
      </c>
      <c r="U365" s="1074" t="inlineStr">
        <is>
          <t>5230809</t>
        </is>
      </c>
      <c r="V365" s="1074" t="n">
        <v>0</v>
      </c>
      <c r="W365" s="1074" t="inlineStr">
        <is>
          <t>李润</t>
        </is>
      </c>
      <c r="X365" s="1074" t="inlineStr">
        <is>
          <t>01智慧林</t>
        </is>
      </c>
      <c r="Y365" s="1074" t="inlineStr">
        <is>
          <t>10:20-12:30</t>
        </is>
      </c>
      <c r="Z365" s="1074" t="inlineStr">
        <is>
          <t>潜能班</t>
        </is>
      </c>
      <c r="AA365" s="1074" t="inlineStr">
        <is>
          <t>二期</t>
        </is>
      </c>
      <c r="AB365" s="1074" t="inlineStr">
        <is>
          <t>在读</t>
        </is>
      </c>
      <c r="AC365" s="1074" t="inlineStr">
        <is>
          <t>-</t>
        </is>
      </c>
      <c r="AD365" s="1074" t="inlineStr">
        <is>
          <t>3132893</t>
        </is>
      </c>
      <c r="AE365" s="1074" t="n">
        <v>0</v>
      </c>
      <c r="AF365" s="1074" t="inlineStr">
        <is>
          <t>刘希子</t>
        </is>
      </c>
      <c r="AG365" s="1074" t="inlineStr">
        <is>
          <t>01智慧林</t>
        </is>
      </c>
      <c r="AH365" s="1074" t="inlineStr">
        <is>
          <t>15:50-18:00</t>
        </is>
      </c>
      <c r="AI365" s="1074" t="inlineStr">
        <is>
          <t>潜能班</t>
        </is>
      </c>
      <c r="AJ365" s="1074" t="inlineStr">
        <is>
          <t>二期</t>
        </is>
      </c>
      <c r="AK365" s="1074" t="inlineStr">
        <is>
          <t>在读</t>
        </is>
      </c>
      <c r="AL365" s="1074" t="inlineStr">
        <is>
          <t>-</t>
        </is>
      </c>
      <c r="AM365" s="1074" t="n"/>
      <c r="AN365" s="1074" t="n"/>
      <c r="AO365" s="1074" t="n"/>
      <c r="AP365" s="1074" t="n"/>
      <c r="AQ365" s="1074" t="n"/>
      <c r="AR365" s="1074" t="inlineStr">
        <is>
          <t>A</t>
        </is>
      </c>
      <c r="AS365" s="1074" t="inlineStr">
        <is>
          <t>在读老生转介绍，支付能力可以</t>
        </is>
      </c>
      <c r="AT365" s="311" t="n"/>
    </row>
    <row r="366" ht="26.25" customFormat="1" customHeight="1" s="366">
      <c r="A366" s="1074" t="inlineStr">
        <is>
          <t>新宝利</t>
        </is>
      </c>
      <c r="B366" s="1074" t="inlineStr">
        <is>
          <t>2575108724</t>
        </is>
      </c>
      <c r="C366" s="1074" t="inlineStr">
        <is>
          <t>李植圳</t>
        </is>
      </c>
      <c r="D366" s="1074" t="inlineStr"/>
      <c r="E366" s="1074" t="inlineStr">
        <is>
          <t>春季在读老生</t>
        </is>
      </c>
      <c r="F366" s="1074" t="n"/>
      <c r="G366" s="1074" t="n"/>
      <c r="H366" s="1074" t="inlineStr">
        <is>
          <t>在读</t>
        </is>
      </c>
      <c r="I366" s="1074" t="inlineStr">
        <is>
          <t>二期</t>
        </is>
      </c>
      <c r="J366" s="1074" t="inlineStr">
        <is>
          <t>-</t>
        </is>
      </c>
      <c r="K366" s="1074" t="inlineStr"/>
      <c r="L366" s="1074" t="inlineStr"/>
      <c r="M366" s="1074" t="inlineStr"/>
      <c r="N366" s="1074" t="inlineStr">
        <is>
          <t>-</t>
        </is>
      </c>
      <c r="O366" s="1074" t="inlineStr">
        <is>
          <t>-</t>
        </is>
      </c>
      <c r="P366" s="1074" t="inlineStr">
        <is>
          <t>-</t>
        </is>
      </c>
      <c r="Q366" s="1074" t="inlineStr">
        <is>
          <t>-</t>
        </is>
      </c>
      <c r="R366" s="1074" t="inlineStr">
        <is>
          <t>-</t>
        </is>
      </c>
      <c r="S366" s="1074" t="inlineStr">
        <is>
          <t>-</t>
        </is>
      </c>
      <c r="T366" s="1074" t="inlineStr">
        <is>
          <t>-</t>
        </is>
      </c>
      <c r="U366" s="1074" t="inlineStr">
        <is>
          <t>4513342</t>
        </is>
      </c>
      <c r="V366" s="1074" t="n"/>
      <c r="W366" s="1074" t="inlineStr">
        <is>
          <t>黄铭怡</t>
        </is>
      </c>
      <c r="X366" s="1074" t="inlineStr">
        <is>
          <t>教室4</t>
        </is>
      </c>
      <c r="Y366" s="1074" t="inlineStr">
        <is>
          <t>10:20-12:30</t>
        </is>
      </c>
      <c r="Z366" s="1074" t="inlineStr">
        <is>
          <t>潜能班</t>
        </is>
      </c>
      <c r="AA366" s="1074" t="inlineStr">
        <is>
          <t>二期</t>
        </is>
      </c>
      <c r="AB366" s="1074" t="inlineStr">
        <is>
          <t>在读</t>
        </is>
      </c>
      <c r="AC366" s="1074" t="inlineStr">
        <is>
          <t>是</t>
        </is>
      </c>
      <c r="AD366" s="1074" t="inlineStr">
        <is>
          <t>-</t>
        </is>
      </c>
      <c r="AE366" s="1074" t="inlineStr"/>
      <c r="AF366" s="1074" t="inlineStr">
        <is>
          <t>-</t>
        </is>
      </c>
      <c r="AG366" s="1074" t="inlineStr">
        <is>
          <t>-</t>
        </is>
      </c>
      <c r="AH366" s="1074" t="inlineStr">
        <is>
          <t>-</t>
        </is>
      </c>
      <c r="AI366" s="1074" t="inlineStr">
        <is>
          <t>-</t>
        </is>
      </c>
      <c r="AJ366" s="1074" t="inlineStr">
        <is>
          <t>-</t>
        </is>
      </c>
      <c r="AK366" s="1074" t="inlineStr">
        <is>
          <t>-</t>
        </is>
      </c>
      <c r="AL366" s="1074" t="inlineStr">
        <is>
          <t>-</t>
        </is>
      </c>
      <c r="AM366" s="1074" t="n"/>
      <c r="AN366" s="1074" t="n"/>
      <c r="AO366" s="1074" t="n"/>
      <c r="AP366" s="1074" t="n"/>
      <c r="AQ366" s="1074" t="n"/>
      <c r="AR366" s="1074" t="n"/>
      <c r="AS366" s="1074" t="n"/>
      <c r="AT366" s="311" t="n"/>
    </row>
    <row r="367" ht="26.25" customFormat="1" customHeight="1" s="366">
      <c r="A367" s="1074" t="inlineStr">
        <is>
          <t>新宝利</t>
        </is>
      </c>
      <c r="B367" s="1074" t="inlineStr">
        <is>
          <t>4637742680</t>
        </is>
      </c>
      <c r="C367" s="1074" t="inlineStr">
        <is>
          <t>张瑞茜</t>
        </is>
      </c>
      <c r="D367" s="1074" t="inlineStr">
        <is>
          <t>杨林33</t>
        </is>
      </c>
      <c r="E367" s="1074" t="inlineStr">
        <is>
          <t>纯拉新</t>
        </is>
      </c>
      <c r="F367" s="1074" t="n"/>
      <c r="G367" s="1074" t="n"/>
      <c r="H367" s="1074" t="inlineStr">
        <is>
          <t>在读</t>
        </is>
      </c>
      <c r="I367" s="1074" t="inlineStr">
        <is>
          <t>二期</t>
        </is>
      </c>
      <c r="J367" s="1074" t="inlineStr">
        <is>
          <t>5111034</t>
        </is>
      </c>
      <c r="K367" s="1074" t="inlineStr">
        <is>
          <t>报前测成绩</t>
        </is>
      </c>
      <c r="L367" s="1074" t="n">
        <v>65</v>
      </c>
      <c r="M367" s="1074" t="inlineStr">
        <is>
          <t>-</t>
        </is>
      </c>
      <c r="N367" s="1074" t="inlineStr">
        <is>
          <t>田雨涵01</t>
        </is>
      </c>
      <c r="O367" s="1074" t="inlineStr">
        <is>
          <t>教室4</t>
        </is>
      </c>
      <c r="P367" s="1074" t="inlineStr">
        <is>
          <t>13:20-15:30</t>
        </is>
      </c>
      <c r="Q367" s="1074" t="inlineStr">
        <is>
          <t>潜能班</t>
        </is>
      </c>
      <c r="R367" s="1074" t="inlineStr">
        <is>
          <t>二期</t>
        </is>
      </c>
      <c r="S367" s="1074" t="inlineStr">
        <is>
          <t>在读</t>
        </is>
      </c>
      <c r="T367" s="1074" t="inlineStr">
        <is>
          <t>-</t>
        </is>
      </c>
      <c r="U367" s="1074" t="inlineStr">
        <is>
          <t>4513342</t>
        </is>
      </c>
      <c r="V367" s="1074" t="n">
        <v>32</v>
      </c>
      <c r="W367" s="1074" t="inlineStr">
        <is>
          <t>黄铭怡</t>
        </is>
      </c>
      <c r="X367" s="1074" t="inlineStr">
        <is>
          <t>教室4</t>
        </is>
      </c>
      <c r="Y367" s="1074" t="inlineStr">
        <is>
          <t>10:20-12:30</t>
        </is>
      </c>
      <c r="Z367" s="1074" t="inlineStr">
        <is>
          <t>潜能班</t>
        </is>
      </c>
      <c r="AA367" s="1074" t="inlineStr">
        <is>
          <t>二期</t>
        </is>
      </c>
      <c r="AB367" s="1074" t="inlineStr">
        <is>
          <t>在读</t>
        </is>
      </c>
      <c r="AC367" s="1074" t="inlineStr">
        <is>
          <t>-</t>
        </is>
      </c>
      <c r="AD367" s="1074" t="inlineStr">
        <is>
          <t>4513340</t>
        </is>
      </c>
      <c r="AE367" s="1074" t="n">
        <v>34.5</v>
      </c>
      <c r="AF367" s="1074" t="inlineStr">
        <is>
          <t>高心怡04</t>
        </is>
      </c>
      <c r="AG367" s="1074" t="inlineStr">
        <is>
          <t>教室4</t>
        </is>
      </c>
      <c r="AH367" s="1074" t="inlineStr">
        <is>
          <t>15:50-18:00</t>
        </is>
      </c>
      <c r="AI367" s="1074" t="inlineStr">
        <is>
          <t>潜能班</t>
        </is>
      </c>
      <c r="AJ367" s="1074" t="inlineStr">
        <is>
          <t>二期</t>
        </is>
      </c>
      <c r="AK367" s="1074" t="inlineStr">
        <is>
          <t>在读</t>
        </is>
      </c>
      <c r="AL367" s="1074" t="inlineStr">
        <is>
          <t>是</t>
        </is>
      </c>
      <c r="AM367" s="1074" t="n"/>
      <c r="AN367" s="1074" t="n"/>
      <c r="AO367" s="1074" t="n"/>
      <c r="AP367" s="1074" t="n"/>
      <c r="AQ367" s="1074" t="n"/>
      <c r="AR367" s="1074" t="inlineStr">
        <is>
          <t>S</t>
        </is>
      </c>
      <c r="AS367" s="1074" t="inlineStr">
        <is>
          <t>妈妈经营体校培训的，家庭支付能力不差，教育理念好，英语是直接报了暑秋</t>
        </is>
      </c>
      <c r="AT367" s="311" t="n"/>
    </row>
    <row r="368" ht="26.25" customFormat="1" customHeight="1" s="366">
      <c r="A368" s="1074" t="inlineStr">
        <is>
          <t>新宝利</t>
        </is>
      </c>
      <c r="B368" s="1074" t="inlineStr">
        <is>
          <t>4815971458</t>
        </is>
      </c>
      <c r="C368" s="1074" t="inlineStr">
        <is>
          <t>李奕萱</t>
        </is>
      </c>
      <c r="D368" s="1074" t="inlineStr">
        <is>
          <t>张敏烨</t>
        </is>
      </c>
      <c r="E368" s="1074" t="inlineStr">
        <is>
          <t>纯拉新</t>
        </is>
      </c>
      <c r="F368" s="1074" t="n"/>
      <c r="G368" s="1074" t="n"/>
      <c r="H368" s="1074" t="inlineStr">
        <is>
          <t>在读</t>
        </is>
      </c>
      <c r="I368" s="1074" t="inlineStr">
        <is>
          <t>零期</t>
        </is>
      </c>
      <c r="J368" s="1074" t="inlineStr">
        <is>
          <t>3132880</t>
        </is>
      </c>
      <c r="K368" s="1074" t="inlineStr">
        <is>
          <t>报前测成绩</t>
        </is>
      </c>
      <c r="L368" s="1074" t="n">
        <v>85</v>
      </c>
      <c r="M368" s="1074" t="inlineStr">
        <is>
          <t>-</t>
        </is>
      </c>
      <c r="N368" s="1074" t="inlineStr">
        <is>
          <t>陈中帅</t>
        </is>
      </c>
      <c r="O368" s="1074" t="inlineStr">
        <is>
          <t>教室2</t>
        </is>
      </c>
      <c r="P368" s="1074" t="inlineStr">
        <is>
          <t>15:50-18:00</t>
        </is>
      </c>
      <c r="Q368" s="1074" t="inlineStr">
        <is>
          <t>启能班</t>
        </is>
      </c>
      <c r="R368" s="1074" t="inlineStr">
        <is>
          <t>零期</t>
        </is>
      </c>
      <c r="S368" s="1074" t="inlineStr">
        <is>
          <t>课前退</t>
        </is>
      </c>
      <c r="T368" s="1074" t="inlineStr">
        <is>
          <t>-</t>
        </is>
      </c>
      <c r="U368" s="1074" t="inlineStr">
        <is>
          <t>3132846</t>
        </is>
      </c>
      <c r="V368" s="1074" t="inlineStr">
        <is>
          <t>-</t>
        </is>
      </c>
      <c r="W368" s="1074" t="inlineStr">
        <is>
          <t>黄铭怡</t>
        </is>
      </c>
      <c r="X368" s="1074" t="inlineStr">
        <is>
          <t>教室3</t>
        </is>
      </c>
      <c r="Y368" s="1074" t="inlineStr">
        <is>
          <t>13:20-15:30</t>
        </is>
      </c>
      <c r="Z368" s="1074" t="inlineStr">
        <is>
          <t>潜能班</t>
        </is>
      </c>
      <c r="AA368" s="1074" t="inlineStr">
        <is>
          <t>二期</t>
        </is>
      </c>
      <c r="AB368" s="1074" t="inlineStr">
        <is>
          <t>课前退</t>
        </is>
      </c>
      <c r="AC368" s="1074" t="inlineStr">
        <is>
          <t>-</t>
        </is>
      </c>
      <c r="AD368" s="1074" t="inlineStr">
        <is>
          <t>5230727</t>
        </is>
      </c>
      <c r="AE368" s="1074" t="n">
        <v>0</v>
      </c>
      <c r="AF368" s="1074" t="inlineStr">
        <is>
          <t>肖锐03</t>
        </is>
      </c>
      <c r="AG368" s="1074" t="inlineStr">
        <is>
          <t>教室2</t>
        </is>
      </c>
      <c r="AH368" s="1074" t="inlineStr">
        <is>
          <t>13:20-15:30</t>
        </is>
      </c>
      <c r="AI368" s="1074" t="inlineStr">
        <is>
          <t>潜能班</t>
        </is>
      </c>
      <c r="AJ368" s="1074" t="inlineStr">
        <is>
          <t>零期</t>
        </is>
      </c>
      <c r="AK368" s="1074" t="inlineStr">
        <is>
          <t>在读</t>
        </is>
      </c>
      <c r="AL368" s="1074" t="inlineStr">
        <is>
          <t>-</t>
        </is>
      </c>
      <c r="AM368" s="1074" t="inlineStr">
        <is>
          <t>是</t>
        </is>
      </c>
      <c r="AN368" s="1074" t="inlineStr">
        <is>
          <t>是</t>
        </is>
      </c>
      <c r="AO368" s="1074" t="inlineStr">
        <is>
          <t>是</t>
        </is>
      </c>
      <c r="AP368" s="1074" t="n"/>
      <c r="AQ368" s="1074" t="n"/>
      <c r="AR368" s="1074" t="inlineStr">
        <is>
          <t>A</t>
        </is>
      </c>
      <c r="AS368" s="1074" t="inlineStr">
        <is>
          <t>有长期补习的计划，暑假看看效果先</t>
        </is>
      </c>
      <c r="AT368" s="311" t="n"/>
    </row>
    <row r="369" ht="26.25" customFormat="1" customHeight="1" s="366">
      <c r="A369" s="1074" t="inlineStr">
        <is>
          <t>天成大厦</t>
        </is>
      </c>
      <c r="B369" s="1074" t="inlineStr">
        <is>
          <t>2580559089</t>
        </is>
      </c>
      <c r="C369" s="1074" t="inlineStr">
        <is>
          <t>春雨</t>
        </is>
      </c>
      <c r="D369" s="1074" t="inlineStr">
        <is>
          <t>王达04</t>
        </is>
      </c>
      <c r="E369" s="1074" t="inlineStr">
        <is>
          <t>纯拉新</t>
        </is>
      </c>
      <c r="F369" s="1074" t="n"/>
      <c r="G369" s="1074" t="n"/>
      <c r="H369" s="1074" t="inlineStr">
        <is>
          <t>在读</t>
        </is>
      </c>
      <c r="I369" s="1074" t="inlineStr">
        <is>
          <t>三期</t>
        </is>
      </c>
      <c r="J369" s="1074" t="inlineStr">
        <is>
          <t>-</t>
        </is>
      </c>
      <c r="K369" s="1074" t="inlineStr"/>
      <c r="L369" s="1074" t="inlineStr"/>
      <c r="M369" s="1074" t="inlineStr"/>
      <c r="N369" s="1074" t="inlineStr">
        <is>
          <t>-</t>
        </is>
      </c>
      <c r="O369" s="1074" t="inlineStr">
        <is>
          <t>-</t>
        </is>
      </c>
      <c r="P369" s="1074" t="inlineStr">
        <is>
          <t>-</t>
        </is>
      </c>
      <c r="Q369" s="1074" t="inlineStr">
        <is>
          <t>-</t>
        </is>
      </c>
      <c r="R369" s="1074" t="inlineStr">
        <is>
          <t>-</t>
        </is>
      </c>
      <c r="S369" s="1074" t="inlineStr">
        <is>
          <t>-</t>
        </is>
      </c>
      <c r="T369" s="1074" t="inlineStr">
        <is>
          <t>-</t>
        </is>
      </c>
      <c r="U369" s="1074" t="inlineStr">
        <is>
          <t>-</t>
        </is>
      </c>
      <c r="V369" s="1074" t="inlineStr"/>
      <c r="W369" s="1074" t="inlineStr">
        <is>
          <t>-</t>
        </is>
      </c>
      <c r="X369" s="1074" t="inlineStr">
        <is>
          <t>-</t>
        </is>
      </c>
      <c r="Y369" s="1074" t="inlineStr">
        <is>
          <t>-</t>
        </is>
      </c>
      <c r="Z369" s="1074" t="inlineStr">
        <is>
          <t>-</t>
        </is>
      </c>
      <c r="AA369" s="1074" t="inlineStr">
        <is>
          <t>-</t>
        </is>
      </c>
      <c r="AB369" s="1074" t="inlineStr">
        <is>
          <t>-</t>
        </is>
      </c>
      <c r="AC369" s="1074" t="inlineStr">
        <is>
          <t>-</t>
        </is>
      </c>
      <c r="AD369" s="1074" t="inlineStr">
        <is>
          <t>5230788</t>
        </is>
      </c>
      <c r="AE369" s="1074" t="n">
        <v>0</v>
      </c>
      <c r="AF369" s="1074" t="inlineStr">
        <is>
          <t>刘希子</t>
        </is>
      </c>
      <c r="AG369" s="1074" t="inlineStr">
        <is>
          <t>03品尚</t>
        </is>
      </c>
      <c r="AH369" s="1074" t="inlineStr">
        <is>
          <t>15:50-18:00</t>
        </is>
      </c>
      <c r="AI369" s="1074" t="inlineStr">
        <is>
          <t>潜能班</t>
        </is>
      </c>
      <c r="AJ369" s="1074" t="inlineStr">
        <is>
          <t>三期</t>
        </is>
      </c>
      <c r="AK369" s="1074" t="inlineStr">
        <is>
          <t>在读</t>
        </is>
      </c>
      <c r="AL369" s="1074" t="inlineStr">
        <is>
          <t>-</t>
        </is>
      </c>
      <c r="AM369" s="1074" t="n"/>
      <c r="AN369" s="1074" t="n"/>
      <c r="AO369" s="1074" t="n"/>
      <c r="AP369" s="1074" t="n"/>
      <c r="AQ369" s="1074" t="n"/>
      <c r="AR369" s="1074" t="inlineStr">
        <is>
          <t>A</t>
        </is>
      </c>
      <c r="AS369" s="1074" t="inlineStr">
        <is>
          <t>家长想看看后面学习效果，有提前做规划</t>
        </is>
      </c>
      <c r="AT369" s="311" t="n"/>
    </row>
    <row r="370" ht="26.25" customFormat="1" customHeight="1" s="366">
      <c r="A370" s="1074" t="inlineStr">
        <is>
          <t>新宝利</t>
        </is>
      </c>
      <c r="B370" s="1074" t="inlineStr">
        <is>
          <t>2447294696</t>
        </is>
      </c>
      <c r="C370" s="1074" t="inlineStr">
        <is>
          <t>奇锋</t>
        </is>
      </c>
      <c r="D370" s="1074" t="inlineStr">
        <is>
          <t>杨林33</t>
        </is>
      </c>
      <c r="E370" s="1074" t="inlineStr">
        <is>
          <t>反复低价</t>
        </is>
      </c>
      <c r="F370" s="1074" t="inlineStr">
        <is>
          <t>新宝利第一批特惠学员，未转化</t>
        </is>
      </c>
      <c r="G370" s="1074" t="n"/>
      <c r="H370" s="1074" t="inlineStr">
        <is>
          <t>在读</t>
        </is>
      </c>
      <c r="I370" s="1074" t="inlineStr">
        <is>
          <t>三期</t>
        </is>
      </c>
      <c r="J370" s="1074" t="inlineStr">
        <is>
          <t>3132902</t>
        </is>
      </c>
      <c r="K370" s="1074" t="inlineStr">
        <is>
          <t>校内成绩</t>
        </is>
      </c>
      <c r="L370" s="1074" t="n">
        <v>60</v>
      </c>
      <c r="M370" s="1074" t="n">
        <v>80</v>
      </c>
      <c r="N370" s="1074" t="inlineStr">
        <is>
          <t>陈中帅</t>
        </is>
      </c>
      <c r="O370" s="1074" t="inlineStr">
        <is>
          <t>教室3</t>
        </is>
      </c>
      <c r="P370" s="1074" t="inlineStr">
        <is>
          <t>13:20-15:30</t>
        </is>
      </c>
      <c r="Q370" s="1074" t="inlineStr">
        <is>
          <t>潜能班</t>
        </is>
      </c>
      <c r="R370" s="1074" t="inlineStr">
        <is>
          <t>三期</t>
        </is>
      </c>
      <c r="S370" s="1074" t="inlineStr">
        <is>
          <t>在读</t>
        </is>
      </c>
      <c r="T370" s="1074" t="inlineStr">
        <is>
          <t>-</t>
        </is>
      </c>
      <c r="U370" s="1074" t="inlineStr">
        <is>
          <t>5230747</t>
        </is>
      </c>
      <c r="V370" s="1074" t="n">
        <v>0</v>
      </c>
      <c r="W370" s="1074" t="inlineStr">
        <is>
          <t>陈南05</t>
        </is>
      </c>
      <c r="X370" s="1074" t="inlineStr">
        <is>
          <t>教室3</t>
        </is>
      </c>
      <c r="Y370" s="1074" t="inlineStr">
        <is>
          <t>10:20-12:30</t>
        </is>
      </c>
      <c r="Z370" s="1074" t="inlineStr">
        <is>
          <t>潜能班</t>
        </is>
      </c>
      <c r="AA370" s="1074" t="inlineStr">
        <is>
          <t>三期</t>
        </is>
      </c>
      <c r="AB370" s="1074" t="inlineStr">
        <is>
          <t>在读</t>
        </is>
      </c>
      <c r="AC370" s="1074" t="inlineStr">
        <is>
          <t>-</t>
        </is>
      </c>
      <c r="AD370" s="1074" t="inlineStr">
        <is>
          <t>5230821</t>
        </is>
      </c>
      <c r="AE370" s="1074" t="n">
        <v>0</v>
      </c>
      <c r="AF370" s="1074" t="inlineStr">
        <is>
          <t>肖锐03</t>
        </is>
      </c>
      <c r="AG370" s="1074" t="inlineStr">
        <is>
          <t>教室3</t>
        </is>
      </c>
      <c r="AH370" s="1074" t="inlineStr">
        <is>
          <t>15:50-18:00</t>
        </is>
      </c>
      <c r="AI370" s="1074" t="inlineStr">
        <is>
          <t>潜能班</t>
        </is>
      </c>
      <c r="AJ370" s="1074" t="inlineStr">
        <is>
          <t>三期</t>
        </is>
      </c>
      <c r="AK370" s="1074" t="inlineStr">
        <is>
          <t>在读</t>
        </is>
      </c>
      <c r="AL370" s="1074" t="inlineStr">
        <is>
          <t>-</t>
        </is>
      </c>
      <c r="AM370" s="1074" t="n"/>
      <c r="AN370" s="1074" t="n"/>
      <c r="AO370" s="1074" t="n"/>
      <c r="AP370" s="1074" t="n"/>
      <c r="AQ370" s="1074" t="n"/>
      <c r="AR370" s="1074" t="inlineStr">
        <is>
          <t>A</t>
        </is>
      </c>
      <c r="AS370" s="1074" t="inlineStr">
        <is>
          <t>之前沟通的时候聊的就是暑秋，后来因为经济紧张先报了暑假，大概率后续能续1-2科</t>
        </is>
      </c>
      <c r="AT370" s="311" t="n"/>
    </row>
    <row r="371" ht="26.25" customFormat="1" customHeight="1" s="366">
      <c r="A371" s="1074" t="inlineStr">
        <is>
          <t>同创汇</t>
        </is>
      </c>
      <c r="B371" s="1074" t="inlineStr">
        <is>
          <t>2717412875</t>
        </is>
      </c>
      <c r="C371" s="1074" t="inlineStr">
        <is>
          <t>董昔予</t>
        </is>
      </c>
      <c r="D371" s="1074" t="inlineStr">
        <is>
          <t>戎凯01</t>
        </is>
      </c>
      <c r="E371" s="1074" t="inlineStr">
        <is>
          <t>春季在读老生</t>
        </is>
      </c>
      <c r="F371" s="1074" t="n"/>
      <c r="G371" s="1074" t="n"/>
      <c r="H371" s="1074" t="inlineStr">
        <is>
          <t>在读</t>
        </is>
      </c>
      <c r="I371" s="1074" t="inlineStr">
        <is>
          <t>零期/一期</t>
        </is>
      </c>
      <c r="J371" s="1074" t="inlineStr">
        <is>
          <t>3132897</t>
        </is>
      </c>
      <c r="K371" s="1074" t="inlineStr">
        <is>
          <t>报前测成绩</t>
        </is>
      </c>
      <c r="L371" s="1074" t="n">
        <v>68</v>
      </c>
      <c r="M371" s="1074" t="inlineStr">
        <is>
          <t>-</t>
        </is>
      </c>
      <c r="N371" s="1074" t="inlineStr">
        <is>
          <t>陈中帅</t>
        </is>
      </c>
      <c r="O371" s="1074" t="inlineStr">
        <is>
          <t>01智慧林</t>
        </is>
      </c>
      <c r="P371" s="1074" t="inlineStr">
        <is>
          <t>10:20-12:30</t>
        </is>
      </c>
      <c r="Q371" s="1074" t="inlineStr">
        <is>
          <t>潜能班</t>
        </is>
      </c>
      <c r="R371" s="1074" t="inlineStr">
        <is>
          <t>零期</t>
        </is>
      </c>
      <c r="S371" s="1074" t="inlineStr">
        <is>
          <t>在读</t>
        </is>
      </c>
      <c r="T371" s="1074" t="inlineStr">
        <is>
          <t>是</t>
        </is>
      </c>
      <c r="U371" s="1074" t="inlineStr">
        <is>
          <t>5230722</t>
        </is>
      </c>
      <c r="V371" s="1074" t="n">
        <v>36</v>
      </c>
      <c r="W371" s="1074" t="inlineStr">
        <is>
          <t>李润</t>
        </is>
      </c>
      <c r="X371" s="1074" t="inlineStr">
        <is>
          <t>01智慧林</t>
        </is>
      </c>
      <c r="Y371" s="1074" t="inlineStr">
        <is>
          <t>15:50-18:00</t>
        </is>
      </c>
      <c r="Z371" s="1074" t="inlineStr">
        <is>
          <t>潜能班</t>
        </is>
      </c>
      <c r="AA371" s="1074" t="inlineStr">
        <is>
          <t>零期</t>
        </is>
      </c>
      <c r="AB371" s="1074" t="inlineStr">
        <is>
          <t>在读</t>
        </is>
      </c>
      <c r="AC371" s="1074" t="inlineStr">
        <is>
          <t>-</t>
        </is>
      </c>
      <c r="AD371" s="1074" t="inlineStr">
        <is>
          <t>3132869</t>
        </is>
      </c>
      <c r="AE371" s="1074" t="n">
        <v>36</v>
      </c>
      <c r="AF371" s="1074" t="inlineStr">
        <is>
          <t>高心怡04</t>
        </is>
      </c>
      <c r="AG371" s="1074" t="inlineStr">
        <is>
          <t>01智慧林</t>
        </is>
      </c>
      <c r="AH371" s="1074" t="inlineStr">
        <is>
          <t>15:50-18:00</t>
        </is>
      </c>
      <c r="AI371" s="1074" t="inlineStr">
        <is>
          <t>潜能班</t>
        </is>
      </c>
      <c r="AJ371" s="1074" t="inlineStr">
        <is>
          <t>一期</t>
        </is>
      </c>
      <c r="AK371" s="1074" t="inlineStr">
        <is>
          <t>在读</t>
        </is>
      </c>
      <c r="AL371" s="1074" t="inlineStr">
        <is>
          <t>-</t>
        </is>
      </c>
      <c r="AM371" s="1074" t="inlineStr">
        <is>
          <t>是</t>
        </is>
      </c>
      <c r="AN371" s="1074" t="inlineStr">
        <is>
          <t>否</t>
        </is>
      </c>
      <c r="AO371" s="1074" t="inlineStr">
        <is>
          <t>否</t>
        </is>
      </c>
      <c r="AP371" s="1074" t="n"/>
      <c r="AQ371" s="1074" t="n"/>
      <c r="AR371" s="1074" t="inlineStr">
        <is>
          <t>S</t>
        </is>
      </c>
      <c r="AS371" s="1074" t="inlineStr">
        <is>
          <t>在读老生</t>
        </is>
      </c>
      <c r="AT371" s="311" t="n"/>
    </row>
    <row r="372" ht="26.25" customFormat="1" customHeight="1" s="366">
      <c r="A372" s="1074" t="inlineStr">
        <is>
          <t>同创汇</t>
        </is>
      </c>
      <c r="B372" s="1074" t="inlineStr">
        <is>
          <t>2717337139</t>
        </is>
      </c>
      <c r="C372" s="1074" t="inlineStr">
        <is>
          <t>李恩</t>
        </is>
      </c>
      <c r="D372" s="1074" t="inlineStr">
        <is>
          <t>王丽</t>
        </is>
      </c>
      <c r="E372" s="1074" t="inlineStr">
        <is>
          <t>纯拉新</t>
        </is>
      </c>
      <c r="F372" s="1074" t="n"/>
      <c r="G372" s="1074" t="n"/>
      <c r="H372" s="1074" t="inlineStr">
        <is>
          <t>在读</t>
        </is>
      </c>
      <c r="I372" s="1074" t="inlineStr">
        <is>
          <t>零期</t>
        </is>
      </c>
      <c r="J372" s="1074" t="inlineStr">
        <is>
          <t>5230814</t>
        </is>
      </c>
      <c r="K372" s="1074" t="inlineStr">
        <is>
          <t>报前测成绩</t>
        </is>
      </c>
      <c r="L372" s="1074" t="n">
        <v>95</v>
      </c>
      <c r="M372" s="1074" t="inlineStr">
        <is>
          <t>-</t>
        </is>
      </c>
      <c r="N372" s="1074" t="inlineStr">
        <is>
          <t>陈中帅</t>
        </is>
      </c>
      <c r="O372" s="1074" t="inlineStr">
        <is>
          <t>02彩虹桥</t>
        </is>
      </c>
      <c r="P372" s="1074" t="inlineStr">
        <is>
          <t>07:50-10:00</t>
        </is>
      </c>
      <c r="Q372" s="1074" t="inlineStr">
        <is>
          <t>启能班</t>
        </is>
      </c>
      <c r="R372" s="1074" t="inlineStr">
        <is>
          <t>零期</t>
        </is>
      </c>
      <c r="S372" s="1074" t="inlineStr">
        <is>
          <t>在读</t>
        </is>
      </c>
      <c r="T372" s="1074" t="inlineStr">
        <is>
          <t>-</t>
        </is>
      </c>
      <c r="U372" s="1074" t="inlineStr">
        <is>
          <t>3132905</t>
        </is>
      </c>
      <c r="V372" s="1074" t="n">
        <v>22</v>
      </c>
      <c r="W372" s="1074" t="inlineStr">
        <is>
          <t>黄铭怡</t>
        </is>
      </c>
      <c r="X372" s="1074" t="inlineStr">
        <is>
          <t>02彩虹桥</t>
        </is>
      </c>
      <c r="Y372" s="1074" t="inlineStr">
        <is>
          <t>13:20-15:30</t>
        </is>
      </c>
      <c r="Z372" s="1074" t="inlineStr">
        <is>
          <t>潜能班</t>
        </is>
      </c>
      <c r="AA372" s="1074" t="inlineStr">
        <is>
          <t>零期</t>
        </is>
      </c>
      <c r="AB372" s="1074" t="inlineStr">
        <is>
          <t>在读</t>
        </is>
      </c>
      <c r="AC372" s="1074" t="inlineStr">
        <is>
          <t>-</t>
        </is>
      </c>
      <c r="AD372" s="1074" t="inlineStr">
        <is>
          <t>5230765</t>
        </is>
      </c>
      <c r="AE372" s="1074" t="n">
        <v>40</v>
      </c>
      <c r="AF372" s="1074" t="inlineStr">
        <is>
          <t>刘希子</t>
        </is>
      </c>
      <c r="AG372" s="1074" t="inlineStr">
        <is>
          <t>02彩虹桥</t>
        </is>
      </c>
      <c r="AH372" s="1074" t="inlineStr">
        <is>
          <t>10:20-12:30</t>
        </is>
      </c>
      <c r="AI372" s="1074" t="inlineStr">
        <is>
          <t>潜能班</t>
        </is>
      </c>
      <c r="AJ372" s="1074" t="inlineStr">
        <is>
          <t>零期</t>
        </is>
      </c>
      <c r="AK372" s="1074" t="inlineStr">
        <is>
          <t>在读</t>
        </is>
      </c>
      <c r="AL372" s="1074" t="inlineStr">
        <is>
          <t>-</t>
        </is>
      </c>
      <c r="AM372" s="1074" t="inlineStr">
        <is>
          <t>是</t>
        </is>
      </c>
      <c r="AN372" s="1074" t="inlineStr">
        <is>
          <t>是</t>
        </is>
      </c>
      <c r="AO372" s="1074" t="inlineStr">
        <is>
          <t>是</t>
        </is>
      </c>
      <c r="AP372" s="1074" t="n"/>
      <c r="AQ372" s="1074" t="n"/>
      <c r="AR372" s="1074" t="inlineStr">
        <is>
          <t>A</t>
        </is>
      </c>
      <c r="AS372" s="1074" t="inlineStr">
        <is>
          <t>在读老生转介绍</t>
        </is>
      </c>
      <c r="AT372" s="311" t="n"/>
    </row>
    <row r="373" ht="26.25" customFormat="1" customHeight="1" s="366">
      <c r="A373" s="1074" t="inlineStr">
        <is>
          <t>同创汇</t>
        </is>
      </c>
      <c r="B373" s="1074" t="inlineStr">
        <is>
          <t>2579177783</t>
        </is>
      </c>
      <c r="C373" s="1074" t="inlineStr">
        <is>
          <t>吴钦霖</t>
        </is>
      </c>
      <c r="D373" s="1074" t="inlineStr">
        <is>
          <t>苏丽婷</t>
        </is>
      </c>
      <c r="E373" s="1074" t="inlineStr">
        <is>
          <t>纯拉新</t>
        </is>
      </c>
      <c r="F373" s="1074" t="n"/>
      <c r="G373" s="1074" t="n"/>
      <c r="H373" s="1074" t="inlineStr">
        <is>
          <t>在读</t>
        </is>
      </c>
      <c r="I373" s="1074" t="inlineStr">
        <is>
          <t>一期</t>
        </is>
      </c>
      <c r="J373" s="1074" t="inlineStr">
        <is>
          <t>5230719</t>
        </is>
      </c>
      <c r="K373" s="1074" t="inlineStr">
        <is>
          <t>报前测成绩</t>
        </is>
      </c>
      <c r="L373" s="1074" t="n">
        <v>95</v>
      </c>
      <c r="M373" s="1074" t="inlineStr">
        <is>
          <t>-</t>
        </is>
      </c>
      <c r="N373" s="1074" t="inlineStr">
        <is>
          <t>陈中帅</t>
        </is>
      </c>
      <c r="O373" s="1074" t="inlineStr">
        <is>
          <t>01智慧林</t>
        </is>
      </c>
      <c r="P373" s="1074" t="inlineStr">
        <is>
          <t>13:20-15:30</t>
        </is>
      </c>
      <c r="Q373" s="1074" t="inlineStr">
        <is>
          <t>启能班</t>
        </is>
      </c>
      <c r="R373" s="1074" t="inlineStr">
        <is>
          <t>一期</t>
        </is>
      </c>
      <c r="S373" s="1074" t="inlineStr">
        <is>
          <t>在读</t>
        </is>
      </c>
      <c r="T373" s="1074" t="inlineStr">
        <is>
          <t>-</t>
        </is>
      </c>
      <c r="U373" s="1074" t="inlineStr">
        <is>
          <t>5230828</t>
        </is>
      </c>
      <c r="V373" s="1074" t="n">
        <v>28</v>
      </c>
      <c r="W373" s="1074" t="inlineStr">
        <is>
          <t>黄铭怡</t>
        </is>
      </c>
      <c r="X373" s="1074" t="inlineStr">
        <is>
          <t>01智慧林</t>
        </is>
      </c>
      <c r="Y373" s="1074" t="inlineStr">
        <is>
          <t>10:20-12:30</t>
        </is>
      </c>
      <c r="Z373" s="1074" t="inlineStr">
        <is>
          <t>潜能班</t>
        </is>
      </c>
      <c r="AA373" s="1074" t="inlineStr">
        <is>
          <t>一期</t>
        </is>
      </c>
      <c r="AB373" s="1074" t="inlineStr">
        <is>
          <t>在读</t>
        </is>
      </c>
      <c r="AC373" s="1074" t="inlineStr">
        <is>
          <t>-</t>
        </is>
      </c>
      <c r="AD373" s="1074" t="inlineStr">
        <is>
          <t>3132869</t>
        </is>
      </c>
      <c r="AE373" s="1074" t="n">
        <v>36</v>
      </c>
      <c r="AF373" s="1074" t="inlineStr">
        <is>
          <t>高心怡04</t>
        </is>
      </c>
      <c r="AG373" s="1074" t="inlineStr">
        <is>
          <t>01智慧林</t>
        </is>
      </c>
      <c r="AH373" s="1074" t="inlineStr">
        <is>
          <t>15:50-18:00</t>
        </is>
      </c>
      <c r="AI373" s="1074" t="inlineStr">
        <is>
          <t>潜能班</t>
        </is>
      </c>
      <c r="AJ373" s="1074" t="inlineStr">
        <is>
          <t>一期</t>
        </is>
      </c>
      <c r="AK373" s="1074" t="inlineStr">
        <is>
          <t>在读</t>
        </is>
      </c>
      <c r="AL373" s="1074" t="inlineStr">
        <is>
          <t>-</t>
        </is>
      </c>
      <c r="AM373" s="1074" t="n"/>
      <c r="AN373" s="1074" t="inlineStr">
        <is>
          <t>已转班</t>
        </is>
      </c>
      <c r="AO373" s="1074" t="n"/>
      <c r="AP373" s="1074" t="n"/>
      <c r="AQ373" s="1074" t="n"/>
      <c r="AR373" s="1074" t="inlineStr">
        <is>
          <t>A</t>
        </is>
      </c>
      <c r="AS373" s="1074" t="inlineStr">
        <is>
          <t>团报的家长，没具体了解过</t>
        </is>
      </c>
      <c r="AT373" s="311" t="n"/>
    </row>
    <row r="374" ht="26.25" customFormat="1" customHeight="1" s="366">
      <c r="A374" s="1074" t="inlineStr">
        <is>
          <t>新宝利</t>
        </is>
      </c>
      <c r="B374" s="1074" t="inlineStr">
        <is>
          <t>4197197873</t>
        </is>
      </c>
      <c r="C374" s="1074" t="inlineStr">
        <is>
          <t>高若曦</t>
        </is>
      </c>
      <c r="D374" s="1074" t="inlineStr">
        <is>
          <t>王丽</t>
        </is>
      </c>
      <c r="E374" s="1074" t="inlineStr">
        <is>
          <t>纯拉新</t>
        </is>
      </c>
      <c r="F374" s="1074" t="n"/>
      <c r="G374" s="1074" t="n"/>
      <c r="H374" s="1074" t="inlineStr">
        <is>
          <t>在读</t>
        </is>
      </c>
      <c r="I374" s="1074" t="inlineStr">
        <is>
          <t>零期</t>
        </is>
      </c>
      <c r="J374" s="1074" t="inlineStr">
        <is>
          <t>3132884</t>
        </is>
      </c>
      <c r="K374" s="1074" t="inlineStr">
        <is>
          <t>校内成绩</t>
        </is>
      </c>
      <c r="L374" s="1074" t="n">
        <v>72</v>
      </c>
      <c r="M374" s="1074" t="n">
        <v>90</v>
      </c>
      <c r="N374" s="1074" t="inlineStr">
        <is>
          <t>田雨涵01</t>
        </is>
      </c>
      <c r="O374" s="1074" t="inlineStr">
        <is>
          <t>教室3</t>
        </is>
      </c>
      <c r="P374" s="1074" t="inlineStr">
        <is>
          <t>13:20-15:30</t>
        </is>
      </c>
      <c r="Q374" s="1074" t="inlineStr">
        <is>
          <t>潜能班</t>
        </is>
      </c>
      <c r="R374" s="1074" t="inlineStr">
        <is>
          <t>零期</t>
        </is>
      </c>
      <c r="S374" s="1074" t="inlineStr">
        <is>
          <t>在读</t>
        </is>
      </c>
      <c r="T374" s="1074" t="inlineStr">
        <is>
          <t>-</t>
        </is>
      </c>
      <c r="U374" s="1074" t="inlineStr">
        <is>
          <t>4513265</t>
        </is>
      </c>
      <c r="V374" s="1074" t="n">
        <v>0</v>
      </c>
      <c r="W374" s="1074" t="inlineStr">
        <is>
          <t>李润</t>
        </is>
      </c>
      <c r="X374" s="1074" t="inlineStr">
        <is>
          <t>教室3</t>
        </is>
      </c>
      <c r="Y374" s="1074" t="inlineStr">
        <is>
          <t>10:20-12:30</t>
        </is>
      </c>
      <c r="Z374" s="1074" t="inlineStr">
        <is>
          <t>潜能班</t>
        </is>
      </c>
      <c r="AA374" s="1074" t="inlineStr">
        <is>
          <t>零期</t>
        </is>
      </c>
      <c r="AB374" s="1074" t="inlineStr">
        <is>
          <t>在读</t>
        </is>
      </c>
      <c r="AC374" s="1074" t="inlineStr">
        <is>
          <t>-</t>
        </is>
      </c>
      <c r="AD374" s="1074" t="inlineStr">
        <is>
          <t>5230723</t>
        </is>
      </c>
      <c r="AE374" s="1074" t="n">
        <v>0</v>
      </c>
      <c r="AF374" s="1074" t="inlineStr">
        <is>
          <t>肖锐03</t>
        </is>
      </c>
      <c r="AG374" s="1074" t="inlineStr">
        <is>
          <t>教室3</t>
        </is>
      </c>
      <c r="AH374" s="1074" t="inlineStr">
        <is>
          <t>15:50-18:00</t>
        </is>
      </c>
      <c r="AI374" s="1074" t="inlineStr">
        <is>
          <t>潜能班</t>
        </is>
      </c>
      <c r="AJ374" s="1074" t="inlineStr">
        <is>
          <t>零期</t>
        </is>
      </c>
      <c r="AK374" s="1074" t="inlineStr">
        <is>
          <t>在读</t>
        </is>
      </c>
      <c r="AL374" s="1074" t="inlineStr">
        <is>
          <t>-</t>
        </is>
      </c>
      <c r="AM374" s="1074" t="inlineStr">
        <is>
          <t>是</t>
        </is>
      </c>
      <c r="AN374" s="1074" t="inlineStr">
        <is>
          <t>否</t>
        </is>
      </c>
      <c r="AO374" s="1074" t="inlineStr">
        <is>
          <t>否</t>
        </is>
      </c>
      <c r="AP374" s="1074" t="n"/>
      <c r="AQ374" s="1074" t="n"/>
      <c r="AR374" s="1074" t="inlineStr">
        <is>
          <t>B</t>
        </is>
      </c>
      <c r="AS374" s="1074" t="inlineStr">
        <is>
          <t>先体验下暑假课，没聊秋季课的事情</t>
        </is>
      </c>
      <c r="AT374" s="311" t="n"/>
    </row>
    <row r="375" ht="26.25" customFormat="1" customHeight="1" s="366">
      <c r="A375" s="1074" t="inlineStr">
        <is>
          <t>新宝利</t>
        </is>
      </c>
      <c r="B375" s="1074" t="inlineStr">
        <is>
          <t>4818106263</t>
        </is>
      </c>
      <c r="C375" s="1074" t="inlineStr">
        <is>
          <t>曹梓晴</t>
        </is>
      </c>
      <c r="D375" s="1074" t="inlineStr">
        <is>
          <t>张敏烨</t>
        </is>
      </c>
      <c r="E375" s="1074" t="inlineStr">
        <is>
          <t>纯拉新</t>
        </is>
      </c>
      <c r="F375" s="1074" t="n"/>
      <c r="G375" s="1074" t="n"/>
      <c r="H375" s="1074" t="inlineStr">
        <is>
          <t>在读</t>
        </is>
      </c>
      <c r="I375" s="1074" t="inlineStr">
        <is>
          <t>二期</t>
        </is>
      </c>
      <c r="J375" s="1074" t="inlineStr">
        <is>
          <t>4513341</t>
        </is>
      </c>
      <c r="K375" s="1074" t="inlineStr">
        <is>
          <t>报前测成绩</t>
        </is>
      </c>
      <c r="L375" s="1074" t="n">
        <v>82</v>
      </c>
      <c r="M375" s="1074" t="inlineStr">
        <is>
          <t>-</t>
        </is>
      </c>
      <c r="N375" s="1074" t="inlineStr">
        <is>
          <t>陈中帅</t>
        </is>
      </c>
      <c r="O375" s="1074" t="inlineStr">
        <is>
          <t>教室3</t>
        </is>
      </c>
      <c r="P375" s="1074" t="inlineStr">
        <is>
          <t>15:50-18:00</t>
        </is>
      </c>
      <c r="Q375" s="1074" t="inlineStr">
        <is>
          <t>启能班</t>
        </is>
      </c>
      <c r="R375" s="1074" t="inlineStr">
        <is>
          <t>二期</t>
        </is>
      </c>
      <c r="S375" s="1074" t="inlineStr">
        <is>
          <t>在读</t>
        </is>
      </c>
      <c r="T375" s="1074" t="inlineStr">
        <is>
          <t>-</t>
        </is>
      </c>
      <c r="U375" s="1074" t="inlineStr">
        <is>
          <t>3132846</t>
        </is>
      </c>
      <c r="V375" s="1074" t="n">
        <v>0</v>
      </c>
      <c r="W375" s="1074" t="inlineStr">
        <is>
          <t>黄铭怡</t>
        </is>
      </c>
      <c r="X375" s="1074" t="inlineStr">
        <is>
          <t>教室3</t>
        </is>
      </c>
      <c r="Y375" s="1074" t="inlineStr">
        <is>
          <t>13:20-15:30</t>
        </is>
      </c>
      <c r="Z375" s="1074" t="inlineStr">
        <is>
          <t>潜能班</t>
        </is>
      </c>
      <c r="AA375" s="1074" t="inlineStr">
        <is>
          <t>二期</t>
        </is>
      </c>
      <c r="AB375" s="1074" t="inlineStr">
        <is>
          <t>在读</t>
        </is>
      </c>
      <c r="AC375" s="1074" t="inlineStr">
        <is>
          <t>-</t>
        </is>
      </c>
      <c r="AD375" s="1074" t="inlineStr">
        <is>
          <t>5230738</t>
        </is>
      </c>
      <c r="AE375" s="1074" t="n">
        <v>41</v>
      </c>
      <c r="AF375" s="1074" t="inlineStr">
        <is>
          <t>高心怡04</t>
        </is>
      </c>
      <c r="AG375" s="1074" t="inlineStr">
        <is>
          <t>教室3</t>
        </is>
      </c>
      <c r="AH375" s="1074" t="inlineStr">
        <is>
          <t>10:20-12:30</t>
        </is>
      </c>
      <c r="AI375" s="1074" t="inlineStr">
        <is>
          <t>潜能班</t>
        </is>
      </c>
      <c r="AJ375" s="1074" t="inlineStr">
        <is>
          <t>二期</t>
        </is>
      </c>
      <c r="AK375" s="1074" t="inlineStr">
        <is>
          <t>在读</t>
        </is>
      </c>
      <c r="AL375" s="1074" t="inlineStr">
        <is>
          <t>-</t>
        </is>
      </c>
      <c r="AM375" s="1074" t="n"/>
      <c r="AN375" s="1074" t="n"/>
      <c r="AO375" s="1074" t="n"/>
      <c r="AP375" s="1074" t="n"/>
      <c r="AQ375" s="1074" t="n"/>
      <c r="AR375" s="1074" t="inlineStr">
        <is>
          <t>A</t>
        </is>
      </c>
      <c r="AS375" s="1074" t="inlineStr">
        <is>
          <t>了解过正课价格，暑假看看效果先</t>
        </is>
      </c>
      <c r="AT375" s="311" t="n"/>
    </row>
    <row r="376" ht="26.25" customFormat="1" customHeight="1" s="366">
      <c r="A376" s="1074" t="inlineStr">
        <is>
          <t>新宝利</t>
        </is>
      </c>
      <c r="B376" s="1074" t="inlineStr">
        <is>
          <t>2373150682</t>
        </is>
      </c>
      <c r="C376" s="1074" t="inlineStr">
        <is>
          <t>李亦翔</t>
        </is>
      </c>
      <c r="D376" s="1074" t="inlineStr">
        <is>
          <t>杨林33</t>
        </is>
      </c>
      <c r="E376" s="1074" t="inlineStr">
        <is>
          <t>反复低价</t>
        </is>
      </c>
      <c r="F376" s="1074" t="n"/>
      <c r="G376" s="1074" t="n"/>
      <c r="H376" s="1074" t="inlineStr">
        <is>
          <t>在读</t>
        </is>
      </c>
      <c r="I376" s="1074" t="inlineStr">
        <is>
          <t>二期</t>
        </is>
      </c>
      <c r="J376" s="1074" t="inlineStr">
        <is>
          <t>4513341</t>
        </is>
      </c>
      <c r="K376" s="1074" t="inlineStr">
        <is>
          <t>报前测成绩</t>
        </is>
      </c>
      <c r="L376" s="1074" t="n">
        <v>74</v>
      </c>
      <c r="M376" s="1074" t="inlineStr">
        <is>
          <t>-</t>
        </is>
      </c>
      <c r="N376" s="1074" t="inlineStr">
        <is>
          <t>陈中帅</t>
        </is>
      </c>
      <c r="O376" s="1074" t="inlineStr">
        <is>
          <t>教室3</t>
        </is>
      </c>
      <c r="P376" s="1074" t="inlineStr">
        <is>
          <t>15:50-18:00</t>
        </is>
      </c>
      <c r="Q376" s="1074" t="inlineStr">
        <is>
          <t>启能班</t>
        </is>
      </c>
      <c r="R376" s="1074" t="inlineStr">
        <is>
          <t>二期</t>
        </is>
      </c>
      <c r="S376" s="1074" t="inlineStr">
        <is>
          <t>在读</t>
        </is>
      </c>
      <c r="T376" s="1074" t="inlineStr">
        <is>
          <t>-</t>
        </is>
      </c>
      <c r="U376" s="1074" t="inlineStr">
        <is>
          <t>3132846</t>
        </is>
      </c>
      <c r="V376" s="1074" t="n">
        <v>0</v>
      </c>
      <c r="W376" s="1074" t="inlineStr">
        <is>
          <t>黄铭怡</t>
        </is>
      </c>
      <c r="X376" s="1074" t="inlineStr">
        <is>
          <t>教室3</t>
        </is>
      </c>
      <c r="Y376" s="1074" t="inlineStr">
        <is>
          <t>13:20-15:30</t>
        </is>
      </c>
      <c r="Z376" s="1074" t="inlineStr">
        <is>
          <t>潜能班</t>
        </is>
      </c>
      <c r="AA376" s="1074" t="inlineStr">
        <is>
          <t>二期</t>
        </is>
      </c>
      <c r="AB376" s="1074" t="inlineStr">
        <is>
          <t>在读</t>
        </is>
      </c>
      <c r="AC376" s="1074" t="inlineStr">
        <is>
          <t>-</t>
        </is>
      </c>
      <c r="AD376" s="1074" t="inlineStr">
        <is>
          <t>5230738</t>
        </is>
      </c>
      <c r="AE376" s="1074" t="n">
        <v>33</v>
      </c>
      <c r="AF376" s="1074" t="inlineStr">
        <is>
          <t>高心怡04</t>
        </is>
      </c>
      <c r="AG376" s="1074" t="inlineStr">
        <is>
          <t>教室3</t>
        </is>
      </c>
      <c r="AH376" s="1074" t="inlineStr">
        <is>
          <t>10:20-12:30</t>
        </is>
      </c>
      <c r="AI376" s="1074" t="inlineStr">
        <is>
          <t>潜能班</t>
        </is>
      </c>
      <c r="AJ376" s="1074" t="inlineStr">
        <is>
          <t>二期</t>
        </is>
      </c>
      <c r="AK376" s="1074" t="inlineStr">
        <is>
          <t>在读</t>
        </is>
      </c>
      <c r="AL376" s="1074" t="inlineStr">
        <is>
          <t>-</t>
        </is>
      </c>
      <c r="AM376" s="1074" t="n"/>
      <c r="AN376" s="1074" t="n"/>
      <c r="AO376" s="1074" t="n"/>
      <c r="AP376" s="1074" t="n"/>
      <c r="AQ376" s="1074" t="n"/>
      <c r="AR376" s="1074" t="n"/>
      <c r="AS376" s="1074" t="n"/>
      <c r="AT376" s="311" t="n"/>
    </row>
    <row r="377" ht="26.25" customFormat="1" customHeight="1" s="366">
      <c r="A377" s="1074" t="inlineStr">
        <is>
          <t>新宝利</t>
        </is>
      </c>
      <c r="B377" s="1074" t="inlineStr">
        <is>
          <t>4820516119</t>
        </is>
      </c>
      <c r="C377" s="1074" t="inlineStr">
        <is>
          <t>黄梓烨</t>
        </is>
      </c>
      <c r="D377" s="1074" t="inlineStr">
        <is>
          <t>杨林33</t>
        </is>
      </c>
      <c r="E377" s="1074" t="inlineStr">
        <is>
          <t>纯拉新</t>
        </is>
      </c>
      <c r="F377" s="1074" t="n"/>
      <c r="G377" s="1074" t="n"/>
      <c r="H377" s="1074" t="inlineStr">
        <is>
          <t>在读</t>
        </is>
      </c>
      <c r="I377" s="1074" t="inlineStr">
        <is>
          <t>一期</t>
        </is>
      </c>
      <c r="J377" s="1074" t="inlineStr">
        <is>
          <t>5230742</t>
        </is>
      </c>
      <c r="K377" s="1074" t="inlineStr">
        <is>
          <t>报前测成绩</t>
        </is>
      </c>
      <c r="L377" s="1074" t="n">
        <v>35</v>
      </c>
      <c r="M377" s="1074" t="inlineStr">
        <is>
          <t>-</t>
        </is>
      </c>
      <c r="N377" s="1074" t="inlineStr">
        <is>
          <t>何咏04</t>
        </is>
      </c>
      <c r="O377" s="1074" t="inlineStr">
        <is>
          <t>教室2</t>
        </is>
      </c>
      <c r="P377" s="1074" t="inlineStr">
        <is>
          <t>13:20-15:30</t>
        </is>
      </c>
      <c r="Q377" s="1074" t="inlineStr">
        <is>
          <t>潜能班</t>
        </is>
      </c>
      <c r="R377" s="1074" t="inlineStr">
        <is>
          <t>一期</t>
        </is>
      </c>
      <c r="S377" s="1074" t="inlineStr">
        <is>
          <t>在读</t>
        </is>
      </c>
      <c r="T377" s="1074" t="inlineStr">
        <is>
          <t>-</t>
        </is>
      </c>
      <c r="U377" s="1074" t="inlineStr">
        <is>
          <t>5230773</t>
        </is>
      </c>
      <c r="V377" s="1074" t="n">
        <v>0</v>
      </c>
      <c r="W377" s="1074" t="inlineStr">
        <is>
          <t>陈南05</t>
        </is>
      </c>
      <c r="X377" s="1074" t="inlineStr">
        <is>
          <t>教室2</t>
        </is>
      </c>
      <c r="Y377" s="1074" t="inlineStr">
        <is>
          <t>15:50-18:00</t>
        </is>
      </c>
      <c r="Z377" s="1074" t="inlineStr">
        <is>
          <t>潜能班</t>
        </is>
      </c>
      <c r="AA377" s="1074" t="inlineStr">
        <is>
          <t>一期</t>
        </is>
      </c>
      <c r="AB377" s="1074" t="inlineStr">
        <is>
          <t>在读</t>
        </is>
      </c>
      <c r="AC377" s="1074" t="inlineStr">
        <is>
          <t>-</t>
        </is>
      </c>
      <c r="AD377" s="1074" t="inlineStr">
        <is>
          <t>3132888</t>
        </is>
      </c>
      <c r="AE377" s="1074" t="n">
        <v>35</v>
      </c>
      <c r="AF377" s="1074" t="inlineStr">
        <is>
          <t>肖锐03</t>
        </is>
      </c>
      <c r="AG377" s="1074" t="inlineStr">
        <is>
          <t>教室2</t>
        </is>
      </c>
      <c r="AH377" s="1074" t="inlineStr">
        <is>
          <t>10:20-12:30</t>
        </is>
      </c>
      <c r="AI377" s="1074" t="inlineStr">
        <is>
          <t>潜能班</t>
        </is>
      </c>
      <c r="AJ377" s="1074" t="inlineStr">
        <is>
          <t>一期</t>
        </is>
      </c>
      <c r="AK377" s="1074" t="inlineStr">
        <is>
          <t>在读</t>
        </is>
      </c>
      <c r="AL377" s="1074" t="inlineStr">
        <is>
          <t>-</t>
        </is>
      </c>
      <c r="AM377" s="1074" t="n"/>
      <c r="AN377" s="1074" t="n"/>
      <c r="AO377" s="1074" t="n"/>
      <c r="AP377" s="1074" t="n"/>
      <c r="AQ377" s="1074" t="n"/>
      <c r="AR377" s="1074" t="inlineStr">
        <is>
          <t>B</t>
        </is>
      </c>
      <c r="AS377" s="1074" t="inlineStr">
        <is>
          <t>讲座现场报名，沟通比较少，教育理念可以的，支付能力不确定</t>
        </is>
      </c>
      <c r="AT377" s="311" t="n"/>
    </row>
    <row r="378" ht="26.25" customFormat="1" customHeight="1" s="366">
      <c r="A378" s="1074" t="inlineStr">
        <is>
          <t>新宝利</t>
        </is>
      </c>
      <c r="B378" s="1074" t="inlineStr">
        <is>
          <t>2519098261</t>
        </is>
      </c>
      <c r="C378" s="1074" t="inlineStr">
        <is>
          <t>钟博睿</t>
        </is>
      </c>
      <c r="D378" s="1074" t="inlineStr">
        <is>
          <t>陈亮延</t>
        </is>
      </c>
      <c r="E378" s="1074" t="inlineStr">
        <is>
          <t>新生转介绍</t>
        </is>
      </c>
      <c r="F378" s="1074" t="n"/>
      <c r="G378" s="1074" t="inlineStr">
        <is>
          <t>程雅涵</t>
        </is>
      </c>
      <c r="H378" s="1074" t="inlineStr">
        <is>
          <t>在读</t>
        </is>
      </c>
      <c r="I378" s="1074" t="inlineStr">
        <is>
          <t>零期</t>
        </is>
      </c>
      <c r="J378" s="1074" t="inlineStr">
        <is>
          <t>3132880</t>
        </is>
      </c>
      <c r="K378" s="1074" t="inlineStr">
        <is>
          <t>报前测成绩</t>
        </is>
      </c>
      <c r="L378" s="1074" t="n">
        <v>68</v>
      </c>
      <c r="M378" s="1074" t="inlineStr">
        <is>
          <t>-</t>
        </is>
      </c>
      <c r="N378" s="1074" t="inlineStr">
        <is>
          <t>陈中帅</t>
        </is>
      </c>
      <c r="O378" s="1074" t="inlineStr">
        <is>
          <t>教室2</t>
        </is>
      </c>
      <c r="P378" s="1074" t="inlineStr">
        <is>
          <t>15:50-18:00</t>
        </is>
      </c>
      <c r="Q378" s="1074" t="inlineStr">
        <is>
          <t>启能班</t>
        </is>
      </c>
      <c r="R378" s="1074" t="inlineStr">
        <is>
          <t>零期</t>
        </is>
      </c>
      <c r="S378" s="1074" t="inlineStr">
        <is>
          <t>在读</t>
        </is>
      </c>
      <c r="T378" s="1074" t="inlineStr">
        <is>
          <t>是</t>
        </is>
      </c>
      <c r="U378" s="1074" t="inlineStr">
        <is>
          <t>4513265</t>
        </is>
      </c>
      <c r="V378" s="1074" t="n">
        <v>25</v>
      </c>
      <c r="W378" s="1074" t="inlineStr">
        <is>
          <t>李润</t>
        </is>
      </c>
      <c r="X378" s="1074" t="inlineStr">
        <is>
          <t>教室3</t>
        </is>
      </c>
      <c r="Y378" s="1074" t="inlineStr">
        <is>
          <t>10:20-12:30</t>
        </is>
      </c>
      <c r="Z378" s="1074" t="inlineStr">
        <is>
          <t>潜能班</t>
        </is>
      </c>
      <c r="AA378" s="1074" t="inlineStr">
        <is>
          <t>零期</t>
        </is>
      </c>
      <c r="AB378" s="1074" t="inlineStr">
        <is>
          <t>在读</t>
        </is>
      </c>
      <c r="AC378" s="1074" t="inlineStr">
        <is>
          <t>是</t>
        </is>
      </c>
      <c r="AD378" s="1074" t="inlineStr">
        <is>
          <t>5230727</t>
        </is>
      </c>
      <c r="AE378" s="1074" t="n">
        <v>42</v>
      </c>
      <c r="AF378" s="1074" t="inlineStr">
        <is>
          <t>肖锐03</t>
        </is>
      </c>
      <c r="AG378" s="1074" t="inlineStr">
        <is>
          <t>教室2</t>
        </is>
      </c>
      <c r="AH378" s="1074" t="inlineStr">
        <is>
          <t>13:20-15:30</t>
        </is>
      </c>
      <c r="AI378" s="1074" t="inlineStr">
        <is>
          <t>潜能班</t>
        </is>
      </c>
      <c r="AJ378" s="1074" t="inlineStr">
        <is>
          <t>零期</t>
        </is>
      </c>
      <c r="AK378" s="1074" t="inlineStr">
        <is>
          <t>在读</t>
        </is>
      </c>
      <c r="AL378" s="1074" t="inlineStr">
        <is>
          <t>是</t>
        </is>
      </c>
      <c r="AM378" s="1074" t="inlineStr">
        <is>
          <t>是</t>
        </is>
      </c>
      <c r="AN378" s="1074" t="inlineStr">
        <is>
          <t>是</t>
        </is>
      </c>
      <c r="AO378" s="1074" t="inlineStr">
        <is>
          <t>否</t>
        </is>
      </c>
      <c r="AP378" s="1074" t="n"/>
      <c r="AQ378" s="1074" t="n"/>
      <c r="AR378" s="1074" t="inlineStr">
        <is>
          <t>S</t>
        </is>
      </c>
      <c r="AS378" s="1074" t="inlineStr">
        <is>
          <t>家长课前询过过秋季安排，想体验暑假过后再决定</t>
        </is>
      </c>
      <c r="AT378" s="311" t="n"/>
    </row>
    <row r="379" ht="26.25" customFormat="1" customHeight="1" s="366">
      <c r="A379" s="1074" t="inlineStr">
        <is>
          <t>同创汇</t>
        </is>
      </c>
      <c r="B379" s="1074" t="inlineStr">
        <is>
          <t>2270640709</t>
        </is>
      </c>
      <c r="C379" s="1074" t="inlineStr">
        <is>
          <t>米诺</t>
        </is>
      </c>
      <c r="D379" s="1074" t="inlineStr">
        <is>
          <t>戎凯01</t>
        </is>
      </c>
      <c r="E379" s="1074" t="inlineStr">
        <is>
          <t>春季在读老生</t>
        </is>
      </c>
      <c r="F379" s="1074" t="n"/>
      <c r="G379" s="1074" t="n"/>
      <c r="H379" s="1074" t="inlineStr">
        <is>
          <t>在读</t>
        </is>
      </c>
      <c r="I379" s="1074" t="inlineStr">
        <is>
          <t>零期</t>
        </is>
      </c>
      <c r="J379" s="1074" t="inlineStr">
        <is>
          <t>3132897</t>
        </is>
      </c>
      <c r="K379" s="1074" t="inlineStr">
        <is>
          <t>老师预估</t>
        </is>
      </c>
      <c r="L379" s="1074" t="n">
        <v>75</v>
      </c>
      <c r="M379" s="1074" t="inlineStr">
        <is>
          <t>-</t>
        </is>
      </c>
      <c r="N379" s="1074" t="inlineStr">
        <is>
          <t>陈中帅</t>
        </is>
      </c>
      <c r="O379" s="1074" t="inlineStr">
        <is>
          <t>01智慧林</t>
        </is>
      </c>
      <c r="P379" s="1074" t="inlineStr">
        <is>
          <t>10:20-12:30</t>
        </is>
      </c>
      <c r="Q379" s="1074" t="inlineStr">
        <is>
          <t>潜能班</t>
        </is>
      </c>
      <c r="R379" s="1074" t="inlineStr">
        <is>
          <t>零期</t>
        </is>
      </c>
      <c r="S379" s="1074" t="inlineStr">
        <is>
          <t>在读</t>
        </is>
      </c>
      <c r="T379" s="1074" t="inlineStr">
        <is>
          <t>是</t>
        </is>
      </c>
      <c r="U379" s="1074" t="inlineStr">
        <is>
          <t>5230722</t>
        </is>
      </c>
      <c r="V379" s="1074" t="n">
        <v>23</v>
      </c>
      <c r="W379" s="1074" t="inlineStr">
        <is>
          <t>李润</t>
        </is>
      </c>
      <c r="X379" s="1074" t="inlineStr">
        <is>
          <t>01智慧林</t>
        </is>
      </c>
      <c r="Y379" s="1074" t="inlineStr">
        <is>
          <t>15:50-18:00</t>
        </is>
      </c>
      <c r="Z379" s="1074" t="inlineStr">
        <is>
          <t>潜能班</t>
        </is>
      </c>
      <c r="AA379" s="1074" t="inlineStr">
        <is>
          <t>零期</t>
        </is>
      </c>
      <c r="AB379" s="1074" t="inlineStr">
        <is>
          <t>在读</t>
        </is>
      </c>
      <c r="AC379" s="1074" t="inlineStr">
        <is>
          <t>是</t>
        </is>
      </c>
      <c r="AD379" s="1074" t="inlineStr">
        <is>
          <t>5230737</t>
        </is>
      </c>
      <c r="AE379" s="1074" t="n">
        <v>35</v>
      </c>
      <c r="AF379" s="1074" t="inlineStr">
        <is>
          <t>高心怡04</t>
        </is>
      </c>
      <c r="AG379" s="1074" t="inlineStr">
        <is>
          <t>01智慧林</t>
        </is>
      </c>
      <c r="AH379" s="1074" t="inlineStr">
        <is>
          <t>13:20-15:30</t>
        </is>
      </c>
      <c r="AI379" s="1074" t="inlineStr">
        <is>
          <t>潜能班</t>
        </is>
      </c>
      <c r="AJ379" s="1074" t="inlineStr">
        <is>
          <t>零期</t>
        </is>
      </c>
      <c r="AK379" s="1074" t="inlineStr">
        <is>
          <t>在读</t>
        </is>
      </c>
      <c r="AL379" s="1074" t="inlineStr">
        <is>
          <t>是</t>
        </is>
      </c>
      <c r="AM379" s="1074" t="inlineStr">
        <is>
          <t>是</t>
        </is>
      </c>
      <c r="AN379" s="1074" t="inlineStr">
        <is>
          <t>是</t>
        </is>
      </c>
      <c r="AO379" s="1074" t="inlineStr">
        <is>
          <t>是</t>
        </is>
      </c>
      <c r="AP379" s="1074" t="n"/>
      <c r="AQ379" s="1074" t="n"/>
      <c r="AR379" s="1074" t="inlineStr">
        <is>
          <t>S</t>
        </is>
      </c>
      <c r="AS379" s="1074" t="inlineStr">
        <is>
          <t>在读老生</t>
        </is>
      </c>
      <c r="AT379" s="311" t="n"/>
    </row>
    <row r="380" ht="26.25" customFormat="1" customHeight="1" s="366">
      <c r="A380" s="1074" t="inlineStr">
        <is>
          <t>新宝利</t>
        </is>
      </c>
      <c r="B380" s="1074" t="inlineStr">
        <is>
          <t>2569106820</t>
        </is>
      </c>
      <c r="C380" s="1074" t="inlineStr">
        <is>
          <t>胡力扬</t>
        </is>
      </c>
      <c r="D380" s="1074" t="inlineStr">
        <is>
          <t>林志豪01</t>
        </is>
      </c>
      <c r="E380" s="1074" t="inlineStr">
        <is>
          <t>反复低价</t>
        </is>
      </c>
      <c r="F380" s="1074" t="inlineStr">
        <is>
          <t>纯薅羊毛，曾经报过5节低价课，从5年到7年级</t>
        </is>
      </c>
      <c r="G380" s="1074" t="n"/>
      <c r="H380" s="1074" t="inlineStr">
        <is>
          <t>在读</t>
        </is>
      </c>
      <c r="I380" s="1074" t="inlineStr">
        <is>
          <t>三期</t>
        </is>
      </c>
      <c r="J380" s="1074" t="inlineStr">
        <is>
          <t>5111035</t>
        </is>
      </c>
      <c r="K380" s="1074" t="inlineStr">
        <is>
          <t>校内成绩</t>
        </is>
      </c>
      <c r="L380" s="1074" t="n">
        <v>85</v>
      </c>
      <c r="M380" s="1074" t="n">
        <v>95</v>
      </c>
      <c r="N380" s="1074" t="inlineStr">
        <is>
          <t>何咏04</t>
        </is>
      </c>
      <c r="O380" s="1074" t="inlineStr">
        <is>
          <t>教室2</t>
        </is>
      </c>
      <c r="P380" s="1074" t="inlineStr">
        <is>
          <t>15:50-18:00</t>
        </is>
      </c>
      <c r="Q380" s="1074" t="inlineStr">
        <is>
          <t>启能班</t>
        </is>
      </c>
      <c r="R380" s="1074" t="inlineStr">
        <is>
          <t>三期</t>
        </is>
      </c>
      <c r="S380" s="1074" t="inlineStr">
        <is>
          <t>在读</t>
        </is>
      </c>
      <c r="T380" s="1074" t="inlineStr">
        <is>
          <t>-</t>
        </is>
      </c>
      <c r="U380" s="1074" t="inlineStr">
        <is>
          <t>5170873</t>
        </is>
      </c>
      <c r="V380" s="1074" t="n">
        <v>0</v>
      </c>
      <c r="W380" s="1074" t="inlineStr">
        <is>
          <t>李润</t>
        </is>
      </c>
      <c r="X380" s="1074" t="inlineStr">
        <is>
          <t>教室2</t>
        </is>
      </c>
      <c r="Y380" s="1074" t="inlineStr">
        <is>
          <t>13:20-15:30</t>
        </is>
      </c>
      <c r="Z380" s="1074" t="inlineStr">
        <is>
          <t>潜能班</t>
        </is>
      </c>
      <c r="AA380" s="1074" t="inlineStr">
        <is>
          <t>三期</t>
        </is>
      </c>
      <c r="AB380" s="1074" t="inlineStr">
        <is>
          <t>在读</t>
        </is>
      </c>
      <c r="AC380" s="1074" t="inlineStr">
        <is>
          <t>-</t>
        </is>
      </c>
      <c r="AD380" s="1074" t="inlineStr">
        <is>
          <t>5170871</t>
        </is>
      </c>
      <c r="AE380" s="1074" t="n">
        <v>0</v>
      </c>
      <c r="AF380" s="1074" t="inlineStr">
        <is>
          <t>肖锐03</t>
        </is>
      </c>
      <c r="AG380" s="1074" t="inlineStr">
        <is>
          <t>教室2</t>
        </is>
      </c>
      <c r="AH380" s="1074" t="inlineStr">
        <is>
          <t>10:20-12:30</t>
        </is>
      </c>
      <c r="AI380" s="1074" t="inlineStr">
        <is>
          <t>潜能班</t>
        </is>
      </c>
      <c r="AJ380" s="1074" t="inlineStr">
        <is>
          <t>三期</t>
        </is>
      </c>
      <c r="AK380" s="1074" t="inlineStr">
        <is>
          <t>在读</t>
        </is>
      </c>
      <c r="AL380" s="1074" t="inlineStr">
        <is>
          <t>-</t>
        </is>
      </c>
      <c r="AM380" s="1074" t="n"/>
      <c r="AN380" s="1074" t="n"/>
      <c r="AO380" s="1074" t="n"/>
      <c r="AP380" s="1074" t="n"/>
      <c r="AQ380" s="1074" t="n"/>
      <c r="AR380" s="1074" t="inlineStr">
        <is>
          <t>B</t>
        </is>
      </c>
      <c r="AS380" s="1074" t="inlineStr">
        <is>
          <t>之前铭铭班的正式学员，孩子数学英语很好，需求不高，主要语文需求</t>
        </is>
      </c>
      <c r="AT380" s="311" t="n"/>
    </row>
    <row r="381" ht="26.25" customFormat="1" customHeight="1" s="366">
      <c r="A381" s="1074" t="inlineStr">
        <is>
          <t>新宝利</t>
        </is>
      </c>
      <c r="B381" s="1074" t="inlineStr">
        <is>
          <t>4816521213</t>
        </is>
      </c>
      <c r="C381" s="1074" t="inlineStr">
        <is>
          <t>姚一新</t>
        </is>
      </c>
      <c r="D381" s="1074" t="inlineStr">
        <is>
          <t>王丽</t>
        </is>
      </c>
      <c r="E381" s="1074" t="inlineStr">
        <is>
          <t>纯拉新</t>
        </is>
      </c>
      <c r="F381" s="1074" t="n"/>
      <c r="G381" s="1074" t="n"/>
      <c r="H381" s="1074" t="inlineStr">
        <is>
          <t>在读</t>
        </is>
      </c>
      <c r="I381" s="1074" t="inlineStr">
        <is>
          <t>零期</t>
        </is>
      </c>
      <c r="J381" s="1074" t="inlineStr">
        <is>
          <t>3132884</t>
        </is>
      </c>
      <c r="K381" s="1074" t="inlineStr">
        <is>
          <t>校内成绩</t>
        </is>
      </c>
      <c r="L381" s="1074" t="n">
        <v>72</v>
      </c>
      <c r="M381" s="1074" t="n">
        <v>90</v>
      </c>
      <c r="N381" s="1074" t="inlineStr">
        <is>
          <t>田雨涵01</t>
        </is>
      </c>
      <c r="O381" s="1074" t="inlineStr">
        <is>
          <t>教室3</t>
        </is>
      </c>
      <c r="P381" s="1074" t="inlineStr">
        <is>
          <t>13:20-15:30</t>
        </is>
      </c>
      <c r="Q381" s="1074" t="inlineStr">
        <is>
          <t>潜能班</t>
        </is>
      </c>
      <c r="R381" s="1074" t="inlineStr">
        <is>
          <t>零期</t>
        </is>
      </c>
      <c r="S381" s="1074" t="inlineStr">
        <is>
          <t>在读</t>
        </is>
      </c>
      <c r="T381" s="1074" t="inlineStr">
        <is>
          <t>-</t>
        </is>
      </c>
      <c r="U381" s="1074" t="inlineStr">
        <is>
          <t>4513265</t>
        </is>
      </c>
      <c r="V381" s="1074" t="n">
        <v>0</v>
      </c>
      <c r="W381" s="1074" t="inlineStr">
        <is>
          <t>李润</t>
        </is>
      </c>
      <c r="X381" s="1074" t="inlineStr">
        <is>
          <t>教室3</t>
        </is>
      </c>
      <c r="Y381" s="1074" t="inlineStr">
        <is>
          <t>10:20-12:30</t>
        </is>
      </c>
      <c r="Z381" s="1074" t="inlineStr">
        <is>
          <t>潜能班</t>
        </is>
      </c>
      <c r="AA381" s="1074" t="inlineStr">
        <is>
          <t>零期</t>
        </is>
      </c>
      <c r="AB381" s="1074" t="inlineStr">
        <is>
          <t>在读</t>
        </is>
      </c>
      <c r="AC381" s="1074" t="inlineStr">
        <is>
          <t>-</t>
        </is>
      </c>
      <c r="AD381" s="1074" t="inlineStr">
        <is>
          <t>5230723</t>
        </is>
      </c>
      <c r="AE381" s="1074" t="n">
        <v>29</v>
      </c>
      <c r="AF381" s="1074" t="inlineStr">
        <is>
          <t>肖锐03</t>
        </is>
      </c>
      <c r="AG381" s="1074" t="inlineStr">
        <is>
          <t>教室3</t>
        </is>
      </c>
      <c r="AH381" s="1074" t="inlineStr">
        <is>
          <t>15:50-18:00</t>
        </is>
      </c>
      <c r="AI381" s="1074" t="inlineStr">
        <is>
          <t>潜能班</t>
        </is>
      </c>
      <c r="AJ381" s="1074" t="inlineStr">
        <is>
          <t>零期</t>
        </is>
      </c>
      <c r="AK381" s="1074" t="inlineStr">
        <is>
          <t>在读</t>
        </is>
      </c>
      <c r="AL381" s="1074" t="inlineStr">
        <is>
          <t>-</t>
        </is>
      </c>
      <c r="AM381" s="1074" t="inlineStr">
        <is>
          <t>是</t>
        </is>
      </c>
      <c r="AN381" s="1074" t="inlineStr">
        <is>
          <t>是</t>
        </is>
      </c>
      <c r="AO381" s="1074" t="inlineStr">
        <is>
          <t>是</t>
        </is>
      </c>
      <c r="AP381" s="1074" t="n"/>
      <c r="AQ381" s="1074" t="n"/>
      <c r="AR381" s="1074" t="inlineStr">
        <is>
          <t>B</t>
        </is>
      </c>
      <c r="AS381" s="1074" t="inlineStr">
        <is>
          <t>先体验下暑假课，没聊秋季课的事情</t>
        </is>
      </c>
      <c r="AT381" s="311" t="n"/>
    </row>
    <row r="382" ht="26.25" customFormat="1" customHeight="1" s="366">
      <c r="A382" s="1074" t="inlineStr">
        <is>
          <t>新宝利</t>
        </is>
      </c>
      <c r="B382" s="1074" t="inlineStr">
        <is>
          <t>2457332134</t>
        </is>
      </c>
      <c r="C382" s="1074" t="inlineStr">
        <is>
          <t>佳佳</t>
        </is>
      </c>
      <c r="D382" s="1074" t="inlineStr">
        <is>
          <t>王达04</t>
        </is>
      </c>
      <c r="E382" s="1074" t="inlineStr">
        <is>
          <t>反复低价</t>
        </is>
      </c>
      <c r="F382" s="1074" t="inlineStr">
        <is>
          <t>26寒特惠学员，未转化</t>
        </is>
      </c>
      <c r="G382" s="1074" t="n"/>
      <c r="H382" s="1074" t="inlineStr">
        <is>
          <t>在读</t>
        </is>
      </c>
      <c r="I382" s="1074" t="inlineStr">
        <is>
          <t>一期</t>
        </is>
      </c>
      <c r="J382" s="1074" t="inlineStr">
        <is>
          <t>5230742</t>
        </is>
      </c>
      <c r="K382" s="1074" t="inlineStr">
        <is>
          <t>报前测成绩</t>
        </is>
      </c>
      <c r="L382" s="1074" t="n">
        <v>74</v>
      </c>
      <c r="M382" s="1074" t="inlineStr">
        <is>
          <t>-</t>
        </is>
      </c>
      <c r="N382" s="1074" t="inlineStr">
        <is>
          <t>何咏04</t>
        </is>
      </c>
      <c r="O382" s="1074" t="inlineStr">
        <is>
          <t>教室2</t>
        </is>
      </c>
      <c r="P382" s="1074" t="inlineStr">
        <is>
          <t>13:20-15:30</t>
        </is>
      </c>
      <c r="Q382" s="1074" t="inlineStr">
        <is>
          <t>潜能班</t>
        </is>
      </c>
      <c r="R382" s="1074" t="inlineStr">
        <is>
          <t>一期</t>
        </is>
      </c>
      <c r="S382" s="1074" t="inlineStr">
        <is>
          <t>在读</t>
        </is>
      </c>
      <c r="T382" s="1074" t="inlineStr">
        <is>
          <t>-</t>
        </is>
      </c>
      <c r="U382" s="1074" t="inlineStr">
        <is>
          <t>-</t>
        </is>
      </c>
      <c r="V382" s="1074" t="inlineStr"/>
      <c r="W382" s="1074" t="inlineStr">
        <is>
          <t>-</t>
        </is>
      </c>
      <c r="X382" s="1074" t="inlineStr">
        <is>
          <t>-</t>
        </is>
      </c>
      <c r="Y382" s="1074" t="inlineStr">
        <is>
          <t>-</t>
        </is>
      </c>
      <c r="Z382" s="1074" t="inlineStr">
        <is>
          <t>-</t>
        </is>
      </c>
      <c r="AA382" s="1074" t="inlineStr">
        <is>
          <t>-</t>
        </is>
      </c>
      <c r="AB382" s="1074" t="inlineStr">
        <is>
          <t>-</t>
        </is>
      </c>
      <c r="AC382" s="1074" t="inlineStr">
        <is>
          <t>-</t>
        </is>
      </c>
      <c r="AD382" s="1074" t="inlineStr">
        <is>
          <t>3132888</t>
        </is>
      </c>
      <c r="AE382" s="1074" t="n">
        <v>27</v>
      </c>
      <c r="AF382" s="1074" t="inlineStr">
        <is>
          <t>肖锐03</t>
        </is>
      </c>
      <c r="AG382" s="1074" t="inlineStr">
        <is>
          <t>教室2</t>
        </is>
      </c>
      <c r="AH382" s="1074" t="inlineStr">
        <is>
          <t>10:20-12:30</t>
        </is>
      </c>
      <c r="AI382" s="1074" t="inlineStr">
        <is>
          <t>潜能班</t>
        </is>
      </c>
      <c r="AJ382" s="1074" t="inlineStr">
        <is>
          <t>一期</t>
        </is>
      </c>
      <c r="AK382" s="1074" t="inlineStr">
        <is>
          <t>在读</t>
        </is>
      </c>
      <c r="AL382" s="1074" t="inlineStr">
        <is>
          <t>-</t>
        </is>
      </c>
      <c r="AM382" s="1074" t="n"/>
      <c r="AN382" s="1074" t="n"/>
      <c r="AO382" s="1074" t="n"/>
      <c r="AP382" s="1074" t="n"/>
      <c r="AQ382" s="1074" t="n"/>
      <c r="AR382" s="1074" t="inlineStr">
        <is>
          <t>B</t>
        </is>
      </c>
      <c r="AS382" s="1074" t="inlineStr">
        <is>
          <t>之前面聊有说过之后学习规划，考虑通勤</t>
        </is>
      </c>
      <c r="AT382" s="311" t="n"/>
    </row>
    <row r="383" ht="26.25" customFormat="1" customHeight="1" s="366">
      <c r="A383" s="1074" t="inlineStr">
        <is>
          <t>天成大厦</t>
        </is>
      </c>
      <c r="B383" s="1074" t="inlineStr">
        <is>
          <t>4487097843</t>
        </is>
      </c>
      <c r="C383" s="1074" t="inlineStr">
        <is>
          <t>江逸飞</t>
        </is>
      </c>
      <c r="D383" s="1074" t="inlineStr">
        <is>
          <t>沈思浩</t>
        </is>
      </c>
      <c r="E383" s="1074" t="inlineStr">
        <is>
          <t>春季在读老生</t>
        </is>
      </c>
      <c r="F383" s="1074" t="n"/>
      <c r="G383" s="1074" t="n"/>
      <c r="H383" s="1074" t="inlineStr">
        <is>
          <t>在读</t>
        </is>
      </c>
      <c r="I383" s="1074" t="inlineStr">
        <is>
          <t>一期</t>
        </is>
      </c>
      <c r="J383" s="1074" t="inlineStr">
        <is>
          <t>5230775</t>
        </is>
      </c>
      <c r="K383" s="1074" t="inlineStr">
        <is>
          <t>报前测成绩</t>
        </is>
      </c>
      <c r="L383" s="1074" t="n">
        <v>60</v>
      </c>
      <c r="M383" s="1074" t="inlineStr">
        <is>
          <t>-</t>
        </is>
      </c>
      <c r="N383" s="1074" t="inlineStr">
        <is>
          <t>陈中帅</t>
        </is>
      </c>
      <c r="O383" s="1074" t="inlineStr">
        <is>
          <t>03品尚</t>
        </is>
      </c>
      <c r="P383" s="1074" t="inlineStr">
        <is>
          <t>10:20-12:30</t>
        </is>
      </c>
      <c r="Q383" s="1074" t="inlineStr">
        <is>
          <t>潜能班</t>
        </is>
      </c>
      <c r="R383" s="1074" t="inlineStr">
        <is>
          <t>一期</t>
        </is>
      </c>
      <c r="S383" s="1074" t="inlineStr">
        <is>
          <t>在读</t>
        </is>
      </c>
      <c r="T383" s="1074" t="inlineStr">
        <is>
          <t>是</t>
        </is>
      </c>
      <c r="U383" s="1074" t="inlineStr">
        <is>
          <t>3132834</t>
        </is>
      </c>
      <c r="V383" s="1074" t="n">
        <v>63</v>
      </c>
      <c r="W383" s="1074" t="inlineStr">
        <is>
          <t>李润</t>
        </is>
      </c>
      <c r="X383" s="1074" t="inlineStr">
        <is>
          <t>03品尚</t>
        </is>
      </c>
      <c r="Y383" s="1074" t="inlineStr">
        <is>
          <t>07:50-10:00</t>
        </is>
      </c>
      <c r="Z383" s="1074" t="inlineStr">
        <is>
          <t>潜能班</t>
        </is>
      </c>
      <c r="AA383" s="1074" t="inlineStr">
        <is>
          <t>一期</t>
        </is>
      </c>
      <c r="AB383" s="1074" t="inlineStr">
        <is>
          <t>在读</t>
        </is>
      </c>
      <c r="AC383" s="1074" t="inlineStr">
        <is>
          <t>-</t>
        </is>
      </c>
      <c r="AD383" s="1074" t="inlineStr">
        <is>
          <t>5230783</t>
        </is>
      </c>
      <c r="AE383" s="1074" t="n">
        <v>70</v>
      </c>
      <c r="AF383" s="1074" t="inlineStr">
        <is>
          <t>刘希子</t>
        </is>
      </c>
      <c r="AG383" s="1074" t="inlineStr">
        <is>
          <t>03品尚</t>
        </is>
      </c>
      <c r="AH383" s="1074" t="inlineStr">
        <is>
          <t>13:20-15:30</t>
        </is>
      </c>
      <c r="AI383" s="1074" t="inlineStr">
        <is>
          <t>潜能班</t>
        </is>
      </c>
      <c r="AJ383" s="1074" t="inlineStr">
        <is>
          <t>一期</t>
        </is>
      </c>
      <c r="AK383" s="1074" t="inlineStr">
        <is>
          <t>在读</t>
        </is>
      </c>
      <c r="AL383" s="1074" t="inlineStr">
        <is>
          <t>-</t>
        </is>
      </c>
      <c r="AM383" s="1074" t="n"/>
      <c r="AN383" s="1074" t="n"/>
      <c r="AO383" s="1074" t="n"/>
      <c r="AP383" s="1074" t="n"/>
      <c r="AQ383" s="1074" t="n"/>
      <c r="AR383" s="1074" t="inlineStr">
        <is>
          <t>S</t>
        </is>
      </c>
      <c r="AS383" s="1074" t="inlineStr">
        <is>
          <t>主动咨询秋季课程</t>
        </is>
      </c>
      <c r="AT383" s="311" t="n"/>
    </row>
    <row r="384" ht="26.25" customFormat="1" customHeight="1" s="366">
      <c r="A384" s="1074" t="inlineStr">
        <is>
          <t>同创汇</t>
        </is>
      </c>
      <c r="B384" s="1074" t="inlineStr">
        <is>
          <t>4700610785</t>
        </is>
      </c>
      <c r="C384" s="1074" t="inlineStr">
        <is>
          <t>黄馨可</t>
        </is>
      </c>
      <c r="D384" s="1074" t="inlineStr">
        <is>
          <t>王丽</t>
        </is>
      </c>
      <c r="E384" s="1074" t="inlineStr">
        <is>
          <t>春季在读老生</t>
        </is>
      </c>
      <c r="F384" s="1074" t="n"/>
      <c r="G384" s="1074" t="n"/>
      <c r="H384" s="1074" t="inlineStr">
        <is>
          <t>在读</t>
        </is>
      </c>
      <c r="I384" s="1074" t="inlineStr">
        <is>
          <t>零期</t>
        </is>
      </c>
      <c r="J384" s="1074" t="inlineStr">
        <is>
          <t>5230814</t>
        </is>
      </c>
      <c r="K384" s="1074" t="inlineStr">
        <is>
          <t>老师预估</t>
        </is>
      </c>
      <c r="L384" s="1074" t="n">
        <v>90</v>
      </c>
      <c r="M384" s="1074" t="inlineStr">
        <is>
          <t>-</t>
        </is>
      </c>
      <c r="N384" s="1074" t="inlineStr">
        <is>
          <t>陈中帅</t>
        </is>
      </c>
      <c r="O384" s="1074" t="inlineStr">
        <is>
          <t>02彩虹桥</t>
        </is>
      </c>
      <c r="P384" s="1074" t="inlineStr">
        <is>
          <t>07:50-10:00</t>
        </is>
      </c>
      <c r="Q384" s="1074" t="inlineStr">
        <is>
          <t>启能班</t>
        </is>
      </c>
      <c r="R384" s="1074" t="inlineStr">
        <is>
          <t>零期</t>
        </is>
      </c>
      <c r="S384" s="1074" t="inlineStr">
        <is>
          <t>在读</t>
        </is>
      </c>
      <c r="T384" s="1074" t="inlineStr">
        <is>
          <t>是</t>
        </is>
      </c>
      <c r="U384" s="1074" t="inlineStr">
        <is>
          <t>3132905</t>
        </is>
      </c>
      <c r="V384" s="1074" t="n">
        <v>0</v>
      </c>
      <c r="W384" s="1074" t="inlineStr">
        <is>
          <t>黄铭怡</t>
        </is>
      </c>
      <c r="X384" s="1074" t="inlineStr">
        <is>
          <t>02彩虹桥</t>
        </is>
      </c>
      <c r="Y384" s="1074" t="inlineStr">
        <is>
          <t>13:20-15:30</t>
        </is>
      </c>
      <c r="Z384" s="1074" t="inlineStr">
        <is>
          <t>潜能班</t>
        </is>
      </c>
      <c r="AA384" s="1074" t="inlineStr">
        <is>
          <t>零期</t>
        </is>
      </c>
      <c r="AB384" s="1074" t="inlineStr">
        <is>
          <t>在读</t>
        </is>
      </c>
      <c r="AC384" s="1074" t="inlineStr">
        <is>
          <t>是</t>
        </is>
      </c>
      <c r="AD384" s="1074" t="inlineStr">
        <is>
          <t>5230765</t>
        </is>
      </c>
      <c r="AE384" s="1074" t="n">
        <v>0</v>
      </c>
      <c r="AF384" s="1074" t="inlineStr">
        <is>
          <t>刘希子</t>
        </is>
      </c>
      <c r="AG384" s="1074" t="inlineStr">
        <is>
          <t>02彩虹桥</t>
        </is>
      </c>
      <c r="AH384" s="1074" t="inlineStr">
        <is>
          <t>10:20-12:30</t>
        </is>
      </c>
      <c r="AI384" s="1074" t="inlineStr">
        <is>
          <t>潜能班</t>
        </is>
      </c>
      <c r="AJ384" s="1074" t="inlineStr">
        <is>
          <t>零期</t>
        </is>
      </c>
      <c r="AK384" s="1074" t="inlineStr">
        <is>
          <t>在读</t>
        </is>
      </c>
      <c r="AL384" s="1074" t="inlineStr">
        <is>
          <t>是</t>
        </is>
      </c>
      <c r="AM384" s="1074" t="inlineStr">
        <is>
          <t>是</t>
        </is>
      </c>
      <c r="AN384" s="1074" t="inlineStr">
        <is>
          <t>否</t>
        </is>
      </c>
      <c r="AO384" s="1074" t="inlineStr">
        <is>
          <t>否</t>
        </is>
      </c>
      <c r="AP384" s="1074" t="n"/>
      <c r="AQ384" s="1074" t="n"/>
      <c r="AR384" s="1074" t="inlineStr">
        <is>
          <t>S</t>
        </is>
      </c>
      <c r="AS384" s="1074" t="inlineStr">
        <is>
          <t>已经暑秋连报了</t>
        </is>
      </c>
      <c r="AT384" s="311" t="n"/>
    </row>
    <row r="385" ht="26.25" customFormat="1" customHeight="1" s="366">
      <c r="A385" s="1074" t="inlineStr">
        <is>
          <t>天成大厦</t>
        </is>
      </c>
      <c r="B385" s="1074" t="inlineStr">
        <is>
          <t>4397750353</t>
        </is>
      </c>
      <c r="C385" s="1074" t="inlineStr">
        <is>
          <t>陈梓萱</t>
        </is>
      </c>
      <c r="D385" s="1074" t="inlineStr"/>
      <c r="E385" s="1074" t="inlineStr">
        <is>
          <t>春季在读老生</t>
        </is>
      </c>
      <c r="F385" s="1074" t="n"/>
      <c r="G385" s="1074" t="n"/>
      <c r="H385" s="1074" t="inlineStr">
        <is>
          <t>在读</t>
        </is>
      </c>
      <c r="I385" s="1074" t="inlineStr">
        <is>
          <t>一期</t>
        </is>
      </c>
      <c r="J385" s="1074" t="inlineStr">
        <is>
          <t>5230775</t>
        </is>
      </c>
      <c r="K385" s="1074" t="inlineStr">
        <is>
          <t>老师预估</t>
        </is>
      </c>
      <c r="L385" s="1074" t="n">
        <v>50</v>
      </c>
      <c r="M385" s="1074" t="inlineStr">
        <is>
          <t>-</t>
        </is>
      </c>
      <c r="N385" s="1074" t="inlineStr">
        <is>
          <t>陈中帅</t>
        </is>
      </c>
      <c r="O385" s="1074" t="inlineStr">
        <is>
          <t>03品尚</t>
        </is>
      </c>
      <c r="P385" s="1074" t="inlineStr">
        <is>
          <t>10:20-12:30</t>
        </is>
      </c>
      <c r="Q385" s="1074" t="inlineStr">
        <is>
          <t>潜能班</t>
        </is>
      </c>
      <c r="R385" s="1074" t="inlineStr">
        <is>
          <t>一期</t>
        </is>
      </c>
      <c r="S385" s="1074" t="inlineStr">
        <is>
          <t>在读</t>
        </is>
      </c>
      <c r="T385" s="1074" t="inlineStr">
        <is>
          <t>是</t>
        </is>
      </c>
      <c r="U385" s="1074" t="inlineStr">
        <is>
          <t>-</t>
        </is>
      </c>
      <c r="V385" s="1074" t="inlineStr"/>
      <c r="W385" s="1074" t="inlineStr">
        <is>
          <t>-</t>
        </is>
      </c>
      <c r="X385" s="1074" t="inlineStr">
        <is>
          <t>-</t>
        </is>
      </c>
      <c r="Y385" s="1074" t="inlineStr">
        <is>
          <t>-</t>
        </is>
      </c>
      <c r="Z385" s="1074" t="inlineStr">
        <is>
          <t>-</t>
        </is>
      </c>
      <c r="AA385" s="1074" t="inlineStr">
        <is>
          <t>-</t>
        </is>
      </c>
      <c r="AB385" s="1074" t="inlineStr">
        <is>
          <t>-</t>
        </is>
      </c>
      <c r="AC385" s="1074" t="inlineStr">
        <is>
          <t>-</t>
        </is>
      </c>
      <c r="AD385" s="1074" t="inlineStr">
        <is>
          <t>-</t>
        </is>
      </c>
      <c r="AE385" s="1074" t="inlineStr"/>
      <c r="AF385" s="1074" t="inlineStr">
        <is>
          <t>-</t>
        </is>
      </c>
      <c r="AG385" s="1074" t="inlineStr">
        <is>
          <t>-</t>
        </is>
      </c>
      <c r="AH385" s="1074" t="inlineStr">
        <is>
          <t>-</t>
        </is>
      </c>
      <c r="AI385" s="1074" t="inlineStr">
        <is>
          <t>-</t>
        </is>
      </c>
      <c r="AJ385" s="1074" t="inlineStr">
        <is>
          <t>-</t>
        </is>
      </c>
      <c r="AK385" s="1074" t="inlineStr">
        <is>
          <t>-</t>
        </is>
      </c>
      <c r="AL385" s="1074" t="inlineStr">
        <is>
          <t>-</t>
        </is>
      </c>
      <c r="AM385" s="1074" t="n"/>
      <c r="AN385" s="1074" t="n"/>
      <c r="AO385" s="1074" t="n"/>
      <c r="AP385" s="1074" t="n"/>
      <c r="AQ385" s="1074" t="n"/>
      <c r="AR385" s="1074" t="n"/>
      <c r="AS385" s="1074" t="n"/>
      <c r="AT385" s="311" t="n"/>
    </row>
    <row r="386" ht="26.25" customFormat="1" customHeight="1" s="366">
      <c r="A386" s="1074" t="inlineStr">
        <is>
          <t>同创汇</t>
        </is>
      </c>
      <c r="B386" s="1074" t="inlineStr">
        <is>
          <t>4816966506</t>
        </is>
      </c>
      <c r="C386" s="1074" t="inlineStr">
        <is>
          <t>李泓睿</t>
        </is>
      </c>
      <c r="D386" s="1074" t="inlineStr">
        <is>
          <t>戎凯01</t>
        </is>
      </c>
      <c r="E386" s="1074" t="inlineStr">
        <is>
          <t>纯拉新</t>
        </is>
      </c>
      <c r="F386" s="1074" t="n"/>
      <c r="G386" s="1074" t="n"/>
      <c r="H386" s="1074" t="inlineStr">
        <is>
          <t>在读</t>
        </is>
      </c>
      <c r="I386" s="1074" t="inlineStr">
        <is>
          <t>零期</t>
        </is>
      </c>
      <c r="J386" s="1074" t="inlineStr">
        <is>
          <t>5230814</t>
        </is>
      </c>
      <c r="K386" s="1074" t="inlineStr">
        <is>
          <t>报前测成绩</t>
        </is>
      </c>
      <c r="L386" s="1074" t="n">
        <v>93</v>
      </c>
      <c r="M386" s="1074" t="inlineStr">
        <is>
          <t>-</t>
        </is>
      </c>
      <c r="N386" s="1074" t="inlineStr">
        <is>
          <t>陈中帅</t>
        </is>
      </c>
      <c r="O386" s="1074" t="inlineStr">
        <is>
          <t>02彩虹桥</t>
        </is>
      </c>
      <c r="P386" s="1074" t="inlineStr">
        <is>
          <t>07:50-10:00</t>
        </is>
      </c>
      <c r="Q386" s="1074" t="inlineStr">
        <is>
          <t>启能班</t>
        </is>
      </c>
      <c r="R386" s="1074" t="inlineStr">
        <is>
          <t>零期</t>
        </is>
      </c>
      <c r="S386" s="1074" t="inlineStr">
        <is>
          <t>在读</t>
        </is>
      </c>
      <c r="T386" s="1074" t="inlineStr">
        <is>
          <t>是</t>
        </is>
      </c>
      <c r="U386" s="1074" t="inlineStr">
        <is>
          <t>3132905</t>
        </is>
      </c>
      <c r="V386" s="1074" t="n">
        <v>0</v>
      </c>
      <c r="W386" s="1074" t="inlineStr">
        <is>
          <t>黄铭怡</t>
        </is>
      </c>
      <c r="X386" s="1074" t="inlineStr">
        <is>
          <t>02彩虹桥</t>
        </is>
      </c>
      <c r="Y386" s="1074" t="inlineStr">
        <is>
          <t>13:20-15:30</t>
        </is>
      </c>
      <c r="Z386" s="1074" t="inlineStr">
        <is>
          <t>潜能班</t>
        </is>
      </c>
      <c r="AA386" s="1074" t="inlineStr">
        <is>
          <t>零期</t>
        </is>
      </c>
      <c r="AB386" s="1074" t="inlineStr">
        <is>
          <t>在读</t>
        </is>
      </c>
      <c r="AC386" s="1074" t="inlineStr">
        <is>
          <t>-</t>
        </is>
      </c>
      <c r="AD386" s="1074" t="inlineStr">
        <is>
          <t>5230765</t>
        </is>
      </c>
      <c r="AE386" s="1074" t="n">
        <v>29</v>
      </c>
      <c r="AF386" s="1074" t="inlineStr">
        <is>
          <t>刘希子</t>
        </is>
      </c>
      <c r="AG386" s="1074" t="inlineStr">
        <is>
          <t>02彩虹桥</t>
        </is>
      </c>
      <c r="AH386" s="1074" t="inlineStr">
        <is>
          <t>10:20-12:30</t>
        </is>
      </c>
      <c r="AI386" s="1074" t="inlineStr">
        <is>
          <t>潜能班</t>
        </is>
      </c>
      <c r="AJ386" s="1074" t="inlineStr">
        <is>
          <t>零期</t>
        </is>
      </c>
      <c r="AK386" s="1074" t="inlineStr">
        <is>
          <t>在读</t>
        </is>
      </c>
      <c r="AL386" s="1074" t="inlineStr">
        <is>
          <t>是</t>
        </is>
      </c>
      <c r="AM386" s="1074" t="inlineStr">
        <is>
          <t>是</t>
        </is>
      </c>
      <c r="AN386" s="1074" t="inlineStr">
        <is>
          <t>是</t>
        </is>
      </c>
      <c r="AO386" s="1074" t="inlineStr">
        <is>
          <t>是</t>
        </is>
      </c>
      <c r="AP386" s="1074" t="n"/>
      <c r="AQ386" s="1074" t="n"/>
      <c r="AR386" s="1074" t="inlineStr">
        <is>
          <t>A</t>
        </is>
      </c>
      <c r="AS386" s="1074" t="inlineStr">
        <is>
          <t>讲座转化，校内290左右</t>
        </is>
      </c>
      <c r="AT386" s="311" t="n"/>
    </row>
    <row r="387" ht="26.25" customFormat="1" customHeight="1" s="366">
      <c r="A387" s="1074" t="inlineStr">
        <is>
          <t>同创汇</t>
        </is>
      </c>
      <c r="B387" s="1074" t="inlineStr">
        <is>
          <t>4078699077</t>
        </is>
      </c>
      <c r="C387" s="1074" t="inlineStr">
        <is>
          <t>张善如</t>
        </is>
      </c>
      <c r="D387" s="1074" t="inlineStr">
        <is>
          <t>王丽</t>
        </is>
      </c>
      <c r="E387" s="1074" t="inlineStr">
        <is>
          <t>纯拉新</t>
        </is>
      </c>
      <c r="F387" s="1074" t="n"/>
      <c r="G387" s="1074" t="n"/>
      <c r="H387" s="1074" t="inlineStr">
        <is>
          <t>在读</t>
        </is>
      </c>
      <c r="I387" s="1074" t="inlineStr">
        <is>
          <t>零期/一期</t>
        </is>
      </c>
      <c r="J387" s="1074" t="inlineStr">
        <is>
          <t>5230719</t>
        </is>
      </c>
      <c r="K387" s="1074" t="inlineStr">
        <is>
          <t>校内成绩</t>
        </is>
      </c>
      <c r="L387" s="1074" t="n">
        <v>72</v>
      </c>
      <c r="M387" s="1074" t="n">
        <v>90</v>
      </c>
      <c r="N387" s="1074" t="inlineStr">
        <is>
          <t>陈中帅</t>
        </is>
      </c>
      <c r="O387" s="1074" t="inlineStr">
        <is>
          <t>01智慧林</t>
        </is>
      </c>
      <c r="P387" s="1074" t="inlineStr">
        <is>
          <t>13:20-15:30</t>
        </is>
      </c>
      <c r="Q387" s="1074" t="inlineStr">
        <is>
          <t>启能班</t>
        </is>
      </c>
      <c r="R387" s="1074" t="inlineStr">
        <is>
          <t>一期</t>
        </is>
      </c>
      <c r="S387" s="1074" t="inlineStr">
        <is>
          <t>在读</t>
        </is>
      </c>
      <c r="T387" s="1074" t="inlineStr">
        <is>
          <t>-</t>
        </is>
      </c>
      <c r="U387" s="1074" t="inlineStr">
        <is>
          <t>5230722</t>
        </is>
      </c>
      <c r="V387" s="1074" t="n">
        <v>0</v>
      </c>
      <c r="W387" s="1074" t="inlineStr">
        <is>
          <t>李润</t>
        </is>
      </c>
      <c r="X387" s="1074" t="inlineStr">
        <is>
          <t>01智慧林</t>
        </is>
      </c>
      <c r="Y387" s="1074" t="inlineStr">
        <is>
          <t>15:50-18:00</t>
        </is>
      </c>
      <c r="Z387" s="1074" t="inlineStr">
        <is>
          <t>潜能班</t>
        </is>
      </c>
      <c r="AA387" s="1074" t="inlineStr">
        <is>
          <t>零期</t>
        </is>
      </c>
      <c r="AB387" s="1074" t="inlineStr">
        <is>
          <t>在读</t>
        </is>
      </c>
      <c r="AC387" s="1074" t="inlineStr">
        <is>
          <t>-</t>
        </is>
      </c>
      <c r="AD387" s="1074" t="inlineStr">
        <is>
          <t>5230737</t>
        </is>
      </c>
      <c r="AE387" s="1074" t="n">
        <v>0</v>
      </c>
      <c r="AF387" s="1074" t="inlineStr">
        <is>
          <t>高心怡04</t>
        </is>
      </c>
      <c r="AG387" s="1074" t="inlineStr">
        <is>
          <t>01智慧林</t>
        </is>
      </c>
      <c r="AH387" s="1074" t="inlineStr">
        <is>
          <t>13:20-15:30</t>
        </is>
      </c>
      <c r="AI387" s="1074" t="inlineStr">
        <is>
          <t>潜能班</t>
        </is>
      </c>
      <c r="AJ387" s="1074" t="inlineStr">
        <is>
          <t>零期</t>
        </is>
      </c>
      <c r="AK387" s="1074" t="inlineStr">
        <is>
          <t>在读</t>
        </is>
      </c>
      <c r="AL387" s="1074" t="inlineStr">
        <is>
          <t>-</t>
        </is>
      </c>
      <c r="AM387" s="1074" t="inlineStr">
        <is>
          <t>是</t>
        </is>
      </c>
      <c r="AN387" s="1074" t="inlineStr">
        <is>
          <t>是</t>
        </is>
      </c>
      <c r="AO387" s="1074" t="inlineStr">
        <is>
          <t>是</t>
        </is>
      </c>
      <c r="AP387" s="1074" t="n"/>
      <c r="AQ387" s="1074" t="n"/>
      <c r="AR387" s="1074" t="inlineStr">
        <is>
          <t>B</t>
        </is>
      </c>
      <c r="AS387" s="1074" t="inlineStr">
        <is>
          <t>先体验下暑假课，没聊秋季课的事情</t>
        </is>
      </c>
      <c r="AT387" s="311" t="n"/>
    </row>
    <row r="388" ht="26.25" customFormat="1" customHeight="1" s="366">
      <c r="A388" s="1074" t="inlineStr">
        <is>
          <t>新宝利</t>
        </is>
      </c>
      <c r="B388" s="1074" t="inlineStr">
        <is>
          <t>4119709833</t>
        </is>
      </c>
      <c r="C388" s="1074" t="inlineStr">
        <is>
          <t>张翊昕</t>
        </is>
      </c>
      <c r="D388" s="1074" t="inlineStr">
        <is>
          <t>张敏烨</t>
        </is>
      </c>
      <c r="E388" s="1074" t="inlineStr">
        <is>
          <t>新生转介绍</t>
        </is>
      </c>
      <c r="F388" s="1074" t="n"/>
      <c r="G388" s="1074" t="inlineStr">
        <is>
          <t>关雅致</t>
        </is>
      </c>
      <c r="H388" s="1074" t="inlineStr">
        <is>
          <t>在读</t>
        </is>
      </c>
      <c r="I388" s="1074" t="inlineStr">
        <is>
          <t>二期/三期</t>
        </is>
      </c>
      <c r="J388" s="1074" t="inlineStr">
        <is>
          <t>3132902</t>
        </is>
      </c>
      <c r="K388" s="1074" t="inlineStr">
        <is>
          <t>报前测成绩</t>
        </is>
      </c>
      <c r="L388" s="1074" t="n">
        <v>43</v>
      </c>
      <c r="M388" s="1074" t="inlineStr">
        <is>
          <t>-</t>
        </is>
      </c>
      <c r="N388" s="1074" t="inlineStr">
        <is>
          <t>陈中帅</t>
        </is>
      </c>
      <c r="O388" s="1074" t="inlineStr">
        <is>
          <t>教室3</t>
        </is>
      </c>
      <c r="P388" s="1074" t="inlineStr">
        <is>
          <t>13:20-15:30</t>
        </is>
      </c>
      <c r="Q388" s="1074" t="inlineStr">
        <is>
          <t>潜能班</t>
        </is>
      </c>
      <c r="R388" s="1074" t="inlineStr">
        <is>
          <t>三期</t>
        </is>
      </c>
      <c r="S388" s="1074" t="inlineStr">
        <is>
          <t>在读</t>
        </is>
      </c>
      <c r="T388" s="1074" t="inlineStr">
        <is>
          <t>-</t>
        </is>
      </c>
      <c r="U388" s="1074" t="inlineStr">
        <is>
          <t>3132846</t>
        </is>
      </c>
      <c r="V388" s="1074" t="n">
        <v>51</v>
      </c>
      <c r="W388" s="1074" t="inlineStr">
        <is>
          <t>黄铭怡</t>
        </is>
      </c>
      <c r="X388" s="1074" t="inlineStr">
        <is>
          <t>教室3</t>
        </is>
      </c>
      <c r="Y388" s="1074" t="inlineStr">
        <is>
          <t>13:20-15:30</t>
        </is>
      </c>
      <c r="Z388" s="1074" t="inlineStr">
        <is>
          <t>潜能班</t>
        </is>
      </c>
      <c r="AA388" s="1074" t="inlineStr">
        <is>
          <t>二期</t>
        </is>
      </c>
      <c r="AB388" s="1074" t="inlineStr">
        <is>
          <t>在读</t>
        </is>
      </c>
      <c r="AC388" s="1074" t="inlineStr">
        <is>
          <t>-</t>
        </is>
      </c>
      <c r="AD388" s="1074" t="inlineStr">
        <is>
          <t>5230738</t>
        </is>
      </c>
      <c r="AE388" s="1074" t="n">
        <v>32.5</v>
      </c>
      <c r="AF388" s="1074" t="inlineStr">
        <is>
          <t>高心怡04</t>
        </is>
      </c>
      <c r="AG388" s="1074" t="inlineStr">
        <is>
          <t>教室3</t>
        </is>
      </c>
      <c r="AH388" s="1074" t="inlineStr">
        <is>
          <t>10:20-12:30</t>
        </is>
      </c>
      <c r="AI388" s="1074" t="inlineStr">
        <is>
          <t>潜能班</t>
        </is>
      </c>
      <c r="AJ388" s="1074" t="inlineStr">
        <is>
          <t>二期</t>
        </is>
      </c>
      <c r="AK388" s="1074" t="inlineStr">
        <is>
          <t>在读</t>
        </is>
      </c>
      <c r="AL388" s="1074" t="inlineStr">
        <is>
          <t>-</t>
        </is>
      </c>
      <c r="AM388" s="1074" t="n"/>
      <c r="AN388" s="1074" t="n"/>
      <c r="AO388" s="1074" t="n"/>
      <c r="AP388" s="1074" t="n"/>
      <c r="AQ388" s="1074" t="n"/>
      <c r="AR388" s="1074" t="inlineStr">
        <is>
          <t>A</t>
        </is>
      </c>
      <c r="AS388" s="1074" t="inlineStr">
        <is>
          <t>有咨询过正课价格，</t>
        </is>
      </c>
      <c r="AT388" s="311" t="n"/>
    </row>
    <row r="389" ht="26.25" customFormat="1" customHeight="1" s="366">
      <c r="A389" s="1074" t="inlineStr">
        <is>
          <t>新宝利</t>
        </is>
      </c>
      <c r="B389" s="1074" t="inlineStr">
        <is>
          <t>4759516454</t>
        </is>
      </c>
      <c r="C389" s="1074" t="inlineStr">
        <is>
          <t>关雅致</t>
        </is>
      </c>
      <c r="D389" s="1074" t="inlineStr">
        <is>
          <t>张敏烨</t>
        </is>
      </c>
      <c r="E389" s="1074" t="inlineStr">
        <is>
          <t>纯拉新</t>
        </is>
      </c>
      <c r="F389" s="1074" t="n"/>
      <c r="G389" s="1074" t="n"/>
      <c r="H389" s="1074" t="inlineStr">
        <is>
          <t>在读</t>
        </is>
      </c>
      <c r="I389" s="1074" t="inlineStr">
        <is>
          <t>二期/三期</t>
        </is>
      </c>
      <c r="J389" s="1074" t="inlineStr">
        <is>
          <t>3132902</t>
        </is>
      </c>
      <c r="K389" s="1074" t="inlineStr">
        <is>
          <t>报前测成绩</t>
        </is>
      </c>
      <c r="L389" s="1074" t="n">
        <v>43</v>
      </c>
      <c r="M389" s="1074" t="inlineStr">
        <is>
          <t>-</t>
        </is>
      </c>
      <c r="N389" s="1074" t="inlineStr">
        <is>
          <t>陈中帅</t>
        </is>
      </c>
      <c r="O389" s="1074" t="inlineStr">
        <is>
          <t>教室3</t>
        </is>
      </c>
      <c r="P389" s="1074" t="inlineStr">
        <is>
          <t>13:20-15:30</t>
        </is>
      </c>
      <c r="Q389" s="1074" t="inlineStr">
        <is>
          <t>潜能班</t>
        </is>
      </c>
      <c r="R389" s="1074" t="inlineStr">
        <is>
          <t>三期</t>
        </is>
      </c>
      <c r="S389" s="1074" t="inlineStr">
        <is>
          <t>在读</t>
        </is>
      </c>
      <c r="T389" s="1074" t="inlineStr">
        <is>
          <t>-</t>
        </is>
      </c>
      <c r="U389" s="1074" t="inlineStr">
        <is>
          <t>3132846</t>
        </is>
      </c>
      <c r="V389" s="1074" t="n">
        <v>32</v>
      </c>
      <c r="W389" s="1074" t="inlineStr">
        <is>
          <t>黄铭怡</t>
        </is>
      </c>
      <c r="X389" s="1074" t="inlineStr">
        <is>
          <t>教室3</t>
        </is>
      </c>
      <c r="Y389" s="1074" t="inlineStr">
        <is>
          <t>13:20-15:30</t>
        </is>
      </c>
      <c r="Z389" s="1074" t="inlineStr">
        <is>
          <t>潜能班</t>
        </is>
      </c>
      <c r="AA389" s="1074" t="inlineStr">
        <is>
          <t>二期</t>
        </is>
      </c>
      <c r="AB389" s="1074" t="inlineStr">
        <is>
          <t>在读</t>
        </is>
      </c>
      <c r="AC389" s="1074" t="inlineStr">
        <is>
          <t>-</t>
        </is>
      </c>
      <c r="AD389" s="1074" t="inlineStr">
        <is>
          <t>5230738</t>
        </is>
      </c>
      <c r="AE389" s="1074" t="n">
        <v>24.5</v>
      </c>
      <c r="AF389" s="1074" t="inlineStr">
        <is>
          <t>高心怡04</t>
        </is>
      </c>
      <c r="AG389" s="1074" t="inlineStr">
        <is>
          <t>教室3</t>
        </is>
      </c>
      <c r="AH389" s="1074" t="inlineStr">
        <is>
          <t>10:20-12:30</t>
        </is>
      </c>
      <c r="AI389" s="1074" t="inlineStr">
        <is>
          <t>潜能班</t>
        </is>
      </c>
      <c r="AJ389" s="1074" t="inlineStr">
        <is>
          <t>二期</t>
        </is>
      </c>
      <c r="AK389" s="1074" t="inlineStr">
        <is>
          <t>在读</t>
        </is>
      </c>
      <c r="AL389" s="1074" t="inlineStr">
        <is>
          <t>-</t>
        </is>
      </c>
      <c r="AM389" s="1074" t="n"/>
      <c r="AN389" s="1074" t="n"/>
      <c r="AO389" s="1074" t="n"/>
      <c r="AP389" s="1074" t="n"/>
      <c r="AQ389" s="1074" t="n"/>
      <c r="AR389" s="1074" t="inlineStr">
        <is>
          <t>B</t>
        </is>
      </c>
      <c r="AS389" s="1074" t="inlineStr">
        <is>
          <t>未咨询正课价格，先体验</t>
        </is>
      </c>
      <c r="AT389" s="311" t="n"/>
    </row>
    <row r="390" ht="26.25" customFormat="1" customHeight="1" s="366">
      <c r="A390" s="1074" t="inlineStr">
        <is>
          <t>同创汇</t>
        </is>
      </c>
      <c r="B390" s="1074" t="inlineStr">
        <is>
          <t>2545862641</t>
        </is>
      </c>
      <c r="C390" s="1074" t="inlineStr">
        <is>
          <t>于彦臻</t>
        </is>
      </c>
      <c r="D390" s="1074" t="inlineStr">
        <is>
          <t>王丽</t>
        </is>
      </c>
      <c r="E390" s="1074" t="inlineStr">
        <is>
          <t>春季在读老生</t>
        </is>
      </c>
      <c r="F390" s="1074" t="n"/>
      <c r="G390" s="1074" t="n"/>
      <c r="H390" s="1074" t="inlineStr">
        <is>
          <t>在读</t>
        </is>
      </c>
      <c r="I390" s="1074" t="inlineStr">
        <is>
          <t>零期</t>
        </is>
      </c>
      <c r="J390" s="1074" t="inlineStr">
        <is>
          <t>5230814</t>
        </is>
      </c>
      <c r="K390" s="1074" t="inlineStr">
        <is>
          <t>老师预估</t>
        </is>
      </c>
      <c r="L390" s="1074" t="n">
        <v>80</v>
      </c>
      <c r="M390" s="1074" t="inlineStr">
        <is>
          <t>-</t>
        </is>
      </c>
      <c r="N390" s="1074" t="inlineStr">
        <is>
          <t>陈中帅</t>
        </is>
      </c>
      <c r="O390" s="1074" t="inlineStr">
        <is>
          <t>02彩虹桥</t>
        </is>
      </c>
      <c r="P390" s="1074" t="inlineStr">
        <is>
          <t>07:50-10:00</t>
        </is>
      </c>
      <c r="Q390" s="1074" t="inlineStr">
        <is>
          <t>启能班</t>
        </is>
      </c>
      <c r="R390" s="1074" t="inlineStr">
        <is>
          <t>零期</t>
        </is>
      </c>
      <c r="S390" s="1074" t="inlineStr">
        <is>
          <t>在读</t>
        </is>
      </c>
      <c r="T390" s="1074" t="inlineStr">
        <is>
          <t>是</t>
        </is>
      </c>
      <c r="U390" s="1074" t="inlineStr">
        <is>
          <t>3132905</t>
        </is>
      </c>
      <c r="V390" s="1074" t="n">
        <v>0</v>
      </c>
      <c r="W390" s="1074" t="inlineStr">
        <is>
          <t>黄铭怡</t>
        </is>
      </c>
      <c r="X390" s="1074" t="inlineStr">
        <is>
          <t>02彩虹桥</t>
        </is>
      </c>
      <c r="Y390" s="1074" t="inlineStr">
        <is>
          <t>13:20-15:30</t>
        </is>
      </c>
      <c r="Z390" s="1074" t="inlineStr">
        <is>
          <t>潜能班</t>
        </is>
      </c>
      <c r="AA390" s="1074" t="inlineStr">
        <is>
          <t>零期</t>
        </is>
      </c>
      <c r="AB390" s="1074" t="inlineStr">
        <is>
          <t>在读</t>
        </is>
      </c>
      <c r="AC390" s="1074" t="inlineStr">
        <is>
          <t>是</t>
        </is>
      </c>
      <c r="AD390" s="1074" t="inlineStr">
        <is>
          <t>5230765</t>
        </is>
      </c>
      <c r="AE390" s="1074" t="n">
        <v>0</v>
      </c>
      <c r="AF390" s="1074" t="inlineStr">
        <is>
          <t>刘希子</t>
        </is>
      </c>
      <c r="AG390" s="1074" t="inlineStr">
        <is>
          <t>02彩虹桥</t>
        </is>
      </c>
      <c r="AH390" s="1074" t="inlineStr">
        <is>
          <t>10:20-12:30</t>
        </is>
      </c>
      <c r="AI390" s="1074" t="inlineStr">
        <is>
          <t>潜能班</t>
        </is>
      </c>
      <c r="AJ390" s="1074" t="inlineStr">
        <is>
          <t>零期</t>
        </is>
      </c>
      <c r="AK390" s="1074" t="inlineStr">
        <is>
          <t>在读</t>
        </is>
      </c>
      <c r="AL390" s="1074" t="inlineStr">
        <is>
          <t>是</t>
        </is>
      </c>
      <c r="AM390" s="1074" t="inlineStr">
        <is>
          <t>是</t>
        </is>
      </c>
      <c r="AN390" s="1074" t="inlineStr">
        <is>
          <t>是</t>
        </is>
      </c>
      <c r="AO390" s="1074" t="inlineStr">
        <is>
          <t>是</t>
        </is>
      </c>
      <c r="AP390" s="1074" t="n"/>
      <c r="AQ390" s="1074" t="n"/>
      <c r="AR390" s="1074" t="inlineStr">
        <is>
          <t>S</t>
        </is>
      </c>
      <c r="AS390" s="1074" t="inlineStr">
        <is>
          <t>已经暑秋连报了</t>
        </is>
      </c>
      <c r="AT390" s="311" t="n"/>
    </row>
    <row r="391" ht="26.25" customFormat="1" customHeight="1" s="366">
      <c r="A391" s="1074" t="inlineStr">
        <is>
          <t>同创汇</t>
        </is>
      </c>
      <c r="B391" s="1074" t="inlineStr">
        <is>
          <t>4779330593</t>
        </is>
      </c>
      <c r="C391" s="1074" t="inlineStr">
        <is>
          <t>叶蓉臻</t>
        </is>
      </c>
      <c r="D391" s="1074" t="inlineStr">
        <is>
          <t>戎凯01</t>
        </is>
      </c>
      <c r="E391" s="1074" t="inlineStr">
        <is>
          <t>春季在读老生</t>
        </is>
      </c>
      <c r="F391" s="1074" t="n"/>
      <c r="G391" s="1074" t="n"/>
      <c r="H391" s="1074" t="inlineStr">
        <is>
          <t>在读</t>
        </is>
      </c>
      <c r="I391" s="1074" t="inlineStr">
        <is>
          <t>一期</t>
        </is>
      </c>
      <c r="J391" s="1074" t="inlineStr">
        <is>
          <t>5230719</t>
        </is>
      </c>
      <c r="K391" s="1074" t="inlineStr">
        <is>
          <t>老师预估</t>
        </is>
      </c>
      <c r="L391" s="1074" t="n">
        <v>85</v>
      </c>
      <c r="M391" s="1074" t="inlineStr">
        <is>
          <t>-</t>
        </is>
      </c>
      <c r="N391" s="1074" t="inlineStr">
        <is>
          <t>陈中帅</t>
        </is>
      </c>
      <c r="O391" s="1074" t="inlineStr">
        <is>
          <t>01智慧林</t>
        </is>
      </c>
      <c r="P391" s="1074" t="inlineStr">
        <is>
          <t>13:20-15:30</t>
        </is>
      </c>
      <c r="Q391" s="1074" t="inlineStr">
        <is>
          <t>启能班</t>
        </is>
      </c>
      <c r="R391" s="1074" t="inlineStr">
        <is>
          <t>一期</t>
        </is>
      </c>
      <c r="S391" s="1074" t="inlineStr">
        <is>
          <t>在读</t>
        </is>
      </c>
      <c r="T391" s="1074" t="inlineStr">
        <is>
          <t>是</t>
        </is>
      </c>
      <c r="U391" s="1074" t="inlineStr">
        <is>
          <t>5230828</t>
        </is>
      </c>
      <c r="V391" s="1074" t="n">
        <v>0</v>
      </c>
      <c r="W391" s="1074" t="inlineStr">
        <is>
          <t>黄铭怡</t>
        </is>
      </c>
      <c r="X391" s="1074" t="inlineStr">
        <is>
          <t>01智慧林</t>
        </is>
      </c>
      <c r="Y391" s="1074" t="inlineStr">
        <is>
          <t>10:20-12:30</t>
        </is>
      </c>
      <c r="Z391" s="1074" t="inlineStr">
        <is>
          <t>潜能班</t>
        </is>
      </c>
      <c r="AA391" s="1074" t="inlineStr">
        <is>
          <t>一期</t>
        </is>
      </c>
      <c r="AB391" s="1074" t="inlineStr">
        <is>
          <t>在读</t>
        </is>
      </c>
      <c r="AC391" s="1074" t="inlineStr">
        <is>
          <t>是</t>
        </is>
      </c>
      <c r="AD391" s="1074" t="inlineStr">
        <is>
          <t>3132869</t>
        </is>
      </c>
      <c r="AE391" s="1074" t="n">
        <v>0</v>
      </c>
      <c r="AF391" s="1074" t="inlineStr">
        <is>
          <t>高心怡04</t>
        </is>
      </c>
      <c r="AG391" s="1074" t="inlineStr">
        <is>
          <t>01智慧林</t>
        </is>
      </c>
      <c r="AH391" s="1074" t="inlineStr">
        <is>
          <t>15:50-18:00</t>
        </is>
      </c>
      <c r="AI391" s="1074" t="inlineStr">
        <is>
          <t>潜能班</t>
        </is>
      </c>
      <c r="AJ391" s="1074" t="inlineStr">
        <is>
          <t>一期</t>
        </is>
      </c>
      <c r="AK391" s="1074" t="inlineStr">
        <is>
          <t>在读</t>
        </is>
      </c>
      <c r="AL391" s="1074" t="inlineStr">
        <is>
          <t>是</t>
        </is>
      </c>
      <c r="AM391" s="1074" t="n"/>
      <c r="AN391" s="1074" t="n"/>
      <c r="AO391" s="1074" t="n"/>
      <c r="AP391" s="1074" t="n"/>
      <c r="AQ391" s="1074" t="n"/>
      <c r="AR391" s="1074" t="inlineStr">
        <is>
          <t>S</t>
        </is>
      </c>
      <c r="AS391" s="1074" t="inlineStr">
        <is>
          <t>在读老生</t>
        </is>
      </c>
      <c r="AT391" s="311" t="n"/>
    </row>
    <row r="392" ht="26.25" customFormat="1" customHeight="1" s="366">
      <c r="A392" s="1074" t="inlineStr">
        <is>
          <t>新宝利</t>
        </is>
      </c>
      <c r="B392" s="1074" t="inlineStr">
        <is>
          <t>2562153035</t>
        </is>
      </c>
      <c r="C392" s="1074" t="inlineStr">
        <is>
          <t>程雅涵</t>
        </is>
      </c>
      <c r="D392" s="1074" t="inlineStr">
        <is>
          <t>林志豪01</t>
        </is>
      </c>
      <c r="E392" s="1074" t="inlineStr">
        <is>
          <t>纯拉新</t>
        </is>
      </c>
      <c r="F392" s="1074" t="n"/>
      <c r="G392" s="1074" t="n"/>
      <c r="H392" s="1074" t="inlineStr">
        <is>
          <t>在读</t>
        </is>
      </c>
      <c r="I392" s="1074" t="inlineStr">
        <is>
          <t>零期/二期</t>
        </is>
      </c>
      <c r="J392" s="1074" t="inlineStr">
        <is>
          <t>-</t>
        </is>
      </c>
      <c r="K392" s="1074" t="inlineStr"/>
      <c r="L392" s="1074" t="inlineStr"/>
      <c r="M392" s="1074" t="inlineStr"/>
      <c r="N392" s="1074" t="inlineStr">
        <is>
          <t>-</t>
        </is>
      </c>
      <c r="O392" s="1074" t="inlineStr">
        <is>
          <t>-</t>
        </is>
      </c>
      <c r="P392" s="1074" t="inlineStr">
        <is>
          <t>-</t>
        </is>
      </c>
      <c r="Q392" s="1074" t="inlineStr">
        <is>
          <t>-</t>
        </is>
      </c>
      <c r="R392" s="1074" t="inlineStr">
        <is>
          <t>-</t>
        </is>
      </c>
      <c r="S392" s="1074" t="inlineStr">
        <is>
          <t>-</t>
        </is>
      </c>
      <c r="T392" s="1074" t="inlineStr">
        <is>
          <t>-</t>
        </is>
      </c>
      <c r="U392" s="1074" t="inlineStr">
        <is>
          <t>3132859</t>
        </is>
      </c>
      <c r="V392" s="1074" t="n">
        <v>36</v>
      </c>
      <c r="W392" s="1074" t="inlineStr">
        <is>
          <t>黄铭怡</t>
        </is>
      </c>
      <c r="X392" s="1074" t="inlineStr">
        <is>
          <t>教室2</t>
        </is>
      </c>
      <c r="Y392" s="1074" t="inlineStr">
        <is>
          <t>10:20-12:30</t>
        </is>
      </c>
      <c r="Z392" s="1074" t="inlineStr">
        <is>
          <t>潜能班</t>
        </is>
      </c>
      <c r="AA392" s="1074" t="inlineStr">
        <is>
          <t>零期</t>
        </is>
      </c>
      <c r="AB392" s="1074" t="inlineStr">
        <is>
          <t>在读</t>
        </is>
      </c>
      <c r="AC392" s="1074" t="inlineStr">
        <is>
          <t>-</t>
        </is>
      </c>
      <c r="AD392" s="1074" t="inlineStr">
        <is>
          <t>4513340</t>
        </is>
      </c>
      <c r="AE392" s="1074" t="n">
        <v>37.5</v>
      </c>
      <c r="AF392" s="1074" t="inlineStr">
        <is>
          <t>高心怡04</t>
        </is>
      </c>
      <c r="AG392" s="1074" t="inlineStr">
        <is>
          <t>教室4</t>
        </is>
      </c>
      <c r="AH392" s="1074" t="inlineStr">
        <is>
          <t>15:50-18:00</t>
        </is>
      </c>
      <c r="AI392" s="1074" t="inlineStr">
        <is>
          <t>潜能班</t>
        </is>
      </c>
      <c r="AJ392" s="1074" t="inlineStr">
        <is>
          <t>二期</t>
        </is>
      </c>
      <c r="AK392" s="1074" t="inlineStr">
        <is>
          <t>在读</t>
        </is>
      </c>
      <c r="AL392" s="1074" t="inlineStr">
        <is>
          <t>-</t>
        </is>
      </c>
      <c r="AM392" s="1074" t="inlineStr">
        <is>
          <t>是</t>
        </is>
      </c>
      <c r="AN392" s="1074" t="inlineStr">
        <is>
          <t>是</t>
        </is>
      </c>
      <c r="AO392" s="1074" t="inlineStr">
        <is>
          <t>是</t>
        </is>
      </c>
      <c r="AP392" s="1074" t="n"/>
      <c r="AQ392" s="1074" t="n"/>
      <c r="AR392" s="1074" t="inlineStr">
        <is>
          <t>S</t>
        </is>
      </c>
      <c r="AS392" s="1074" t="inlineStr">
        <is>
          <t>孩子喜欢，就能报</t>
        </is>
      </c>
      <c r="AT392" s="311" t="n"/>
    </row>
    <row r="393" ht="26.25" customFormat="1" customHeight="1" s="366">
      <c r="A393" s="1074" t="inlineStr">
        <is>
          <t>同创汇</t>
        </is>
      </c>
      <c r="B393" s="1074" t="inlineStr">
        <is>
          <t>4744732648</t>
        </is>
      </c>
      <c r="C393" s="1074" t="inlineStr">
        <is>
          <t>李许晨</t>
        </is>
      </c>
      <c r="D393" s="1074" t="inlineStr">
        <is>
          <t>苏丽婷</t>
        </is>
      </c>
      <c r="E393" s="1074" t="inlineStr">
        <is>
          <t>纯拉新</t>
        </is>
      </c>
      <c r="F393" s="1074" t="n"/>
      <c r="G393" s="1074" t="n"/>
      <c r="H393" s="1074" t="inlineStr">
        <is>
          <t>在读</t>
        </is>
      </c>
      <c r="I393" s="1074" t="inlineStr">
        <is>
          <t>零期</t>
        </is>
      </c>
      <c r="J393" s="1074" t="inlineStr">
        <is>
          <t>3132897</t>
        </is>
      </c>
      <c r="K393" s="1074" t="inlineStr">
        <is>
          <t>报前测成绩</t>
        </is>
      </c>
      <c r="L393" s="1074" t="n">
        <v>75</v>
      </c>
      <c r="M393" s="1074" t="inlineStr">
        <is>
          <t>-</t>
        </is>
      </c>
      <c r="N393" s="1074" t="inlineStr">
        <is>
          <t>陈中帅</t>
        </is>
      </c>
      <c r="O393" s="1074" t="inlineStr">
        <is>
          <t>01智慧林</t>
        </is>
      </c>
      <c r="P393" s="1074" t="inlineStr">
        <is>
          <t>10:20-12:30</t>
        </is>
      </c>
      <c r="Q393" s="1074" t="inlineStr">
        <is>
          <t>潜能班</t>
        </is>
      </c>
      <c r="R393" s="1074" t="inlineStr">
        <is>
          <t>零期</t>
        </is>
      </c>
      <c r="S393" s="1074" t="inlineStr">
        <is>
          <t>在读</t>
        </is>
      </c>
      <c r="T393" s="1074" t="inlineStr">
        <is>
          <t>-</t>
        </is>
      </c>
      <c r="U393" s="1074" t="inlineStr">
        <is>
          <t>5230722</t>
        </is>
      </c>
      <c r="V393" s="1074" t="n">
        <v>0</v>
      </c>
      <c r="W393" s="1074" t="inlineStr">
        <is>
          <t>李润</t>
        </is>
      </c>
      <c r="X393" s="1074" t="inlineStr">
        <is>
          <t>01智慧林</t>
        </is>
      </c>
      <c r="Y393" s="1074" t="inlineStr">
        <is>
          <t>15:50-18:00</t>
        </is>
      </c>
      <c r="Z393" s="1074" t="inlineStr">
        <is>
          <t>潜能班</t>
        </is>
      </c>
      <c r="AA393" s="1074" t="inlineStr">
        <is>
          <t>零期</t>
        </is>
      </c>
      <c r="AB393" s="1074" t="inlineStr">
        <is>
          <t>在读</t>
        </is>
      </c>
      <c r="AC393" s="1074" t="inlineStr">
        <is>
          <t>-</t>
        </is>
      </c>
      <c r="AD393" s="1074" t="inlineStr">
        <is>
          <t>5230737</t>
        </is>
      </c>
      <c r="AE393" s="1074" t="n">
        <v>40.5</v>
      </c>
      <c r="AF393" s="1074" t="inlineStr">
        <is>
          <t>高心怡04</t>
        </is>
      </c>
      <c r="AG393" s="1074" t="inlineStr">
        <is>
          <t>01智慧林</t>
        </is>
      </c>
      <c r="AH393" s="1074" t="inlineStr">
        <is>
          <t>13:20-15:30</t>
        </is>
      </c>
      <c r="AI393" s="1074" t="inlineStr">
        <is>
          <t>潜能班</t>
        </is>
      </c>
      <c r="AJ393" s="1074" t="inlineStr">
        <is>
          <t>零期</t>
        </is>
      </c>
      <c r="AK393" s="1074" t="inlineStr">
        <is>
          <t>在读</t>
        </is>
      </c>
      <c r="AL393" s="1074" t="inlineStr">
        <is>
          <t>-</t>
        </is>
      </c>
      <c r="AM393" s="1074" t="inlineStr">
        <is>
          <t>是</t>
        </is>
      </c>
      <c r="AN393" s="1074" t="inlineStr">
        <is>
          <t>是</t>
        </is>
      </c>
      <c r="AO393" s="1074" t="inlineStr">
        <is>
          <t>是</t>
        </is>
      </c>
      <c r="AP393" s="1074" t="n"/>
      <c r="AQ393" s="1074" t="n"/>
      <c r="AR393" s="1074" t="inlineStr">
        <is>
          <t>A</t>
        </is>
      </c>
      <c r="AS393" s="1074" t="inlineStr">
        <is>
          <t>住小北，有报课习惯，之前上的是线上课，孩子校内基础很好，因为没有拿到很好的证书，没有参加mk，选择被动，讲座现场落泪，后面有沟通过一次退班退费，觉得远，以未开课，课程性价比高等等挽留成功</t>
        </is>
      </c>
      <c r="AT393" s="311" t="n"/>
    </row>
    <row r="394" ht="26.25" customFormat="1" customHeight="1" s="366">
      <c r="A394" s="1074" t="inlineStr">
        <is>
          <t>新宝利</t>
        </is>
      </c>
      <c r="B394" s="1074" t="inlineStr">
        <is>
          <t>4616206863</t>
        </is>
      </c>
      <c r="C394" s="1074" t="inlineStr">
        <is>
          <t>毕子媛</t>
        </is>
      </c>
      <c r="D394" s="1074" t="inlineStr">
        <is>
          <t>林志豪01</t>
        </is>
      </c>
      <c r="E394" s="1074" t="inlineStr">
        <is>
          <t>纯拉新</t>
        </is>
      </c>
      <c r="F394" s="1074" t="n"/>
      <c r="G394" s="1074" t="n"/>
      <c r="H394" s="1074" t="inlineStr">
        <is>
          <t>在读</t>
        </is>
      </c>
      <c r="I394" s="1074" t="inlineStr">
        <is>
          <t>零期</t>
        </is>
      </c>
      <c r="J394" s="1074" t="inlineStr">
        <is>
          <t>3132880</t>
        </is>
      </c>
      <c r="K394" s="1074" t="inlineStr">
        <is>
          <t>报前测成绩</t>
        </is>
      </c>
      <c r="L394" s="1074" t="n">
        <v>110</v>
      </c>
      <c r="M394" s="1074" t="inlineStr">
        <is>
          <t>-</t>
        </is>
      </c>
      <c r="N394" s="1074" t="inlineStr">
        <is>
          <t>陈中帅</t>
        </is>
      </c>
      <c r="O394" s="1074" t="inlineStr">
        <is>
          <t>教室2</t>
        </is>
      </c>
      <c r="P394" s="1074" t="inlineStr">
        <is>
          <t>15:50-18:00</t>
        </is>
      </c>
      <c r="Q394" s="1074" t="inlineStr">
        <is>
          <t>启能班</t>
        </is>
      </c>
      <c r="R394" s="1074" t="inlineStr">
        <is>
          <t>零期</t>
        </is>
      </c>
      <c r="S394" s="1074" t="inlineStr">
        <is>
          <t>在读</t>
        </is>
      </c>
      <c r="T394" s="1074" t="inlineStr">
        <is>
          <t>-</t>
        </is>
      </c>
      <c r="U394" s="1074" t="inlineStr">
        <is>
          <t>3132859</t>
        </is>
      </c>
      <c r="V394" s="1074" t="n">
        <v>41</v>
      </c>
      <c r="W394" s="1074" t="inlineStr">
        <is>
          <t>黄铭怡</t>
        </is>
      </c>
      <c r="X394" s="1074" t="inlineStr">
        <is>
          <t>教室2</t>
        </is>
      </c>
      <c r="Y394" s="1074" t="inlineStr">
        <is>
          <t>10:20-12:30</t>
        </is>
      </c>
      <c r="Z394" s="1074" t="inlineStr">
        <is>
          <t>潜能班</t>
        </is>
      </c>
      <c r="AA394" s="1074" t="inlineStr">
        <is>
          <t>零期</t>
        </is>
      </c>
      <c r="AB394" s="1074" t="inlineStr">
        <is>
          <t>在读</t>
        </is>
      </c>
      <c r="AC394" s="1074" t="inlineStr">
        <is>
          <t>-</t>
        </is>
      </c>
      <c r="AD394" s="1074" t="inlineStr">
        <is>
          <t>5230727</t>
        </is>
      </c>
      <c r="AE394" s="1074" t="n">
        <v>40</v>
      </c>
      <c r="AF394" s="1074" t="inlineStr">
        <is>
          <t>肖锐03</t>
        </is>
      </c>
      <c r="AG394" s="1074" t="inlineStr">
        <is>
          <t>教室2</t>
        </is>
      </c>
      <c r="AH394" s="1074" t="inlineStr">
        <is>
          <t>13:20-15:30</t>
        </is>
      </c>
      <c r="AI394" s="1074" t="inlineStr">
        <is>
          <t>潜能班</t>
        </is>
      </c>
      <c r="AJ394" s="1074" t="inlineStr">
        <is>
          <t>零期</t>
        </is>
      </c>
      <c r="AK394" s="1074" t="inlineStr">
        <is>
          <t>在读</t>
        </is>
      </c>
      <c r="AL394" s="1074" t="inlineStr">
        <is>
          <t>-</t>
        </is>
      </c>
      <c r="AM394" s="1074" t="inlineStr">
        <is>
          <t>是</t>
        </is>
      </c>
      <c r="AN394" s="1074" t="inlineStr">
        <is>
          <t>否</t>
        </is>
      </c>
      <c r="AO394" s="1074" t="inlineStr">
        <is>
          <t>否</t>
        </is>
      </c>
      <c r="AP394" s="1074" t="n"/>
      <c r="AQ394" s="1074" t="n"/>
      <c r="AR394" s="1074" t="inlineStr">
        <is>
          <t>A</t>
        </is>
      </c>
      <c r="AS394" s="1074" t="inlineStr">
        <is>
          <t>孩子很有主见，妈咪之前只上过学而思短暂学期，觉得不好就没在上过，想稳定好初中成绩才报名暑假，有需求</t>
        </is>
      </c>
      <c r="AT394" s="311" t="n"/>
    </row>
    <row r="395" ht="26.25" customFormat="1" customHeight="1" s="366">
      <c r="A395" s="1074" t="inlineStr">
        <is>
          <t>同创汇</t>
        </is>
      </c>
      <c r="B395" s="1074" t="inlineStr">
        <is>
          <t>4765984969</t>
        </is>
      </c>
      <c r="C395" s="1074" t="inlineStr">
        <is>
          <t>高雅萱</t>
        </is>
      </c>
      <c r="D395" s="1074" t="inlineStr">
        <is>
          <t>王丽</t>
        </is>
      </c>
      <c r="E395" s="1074" t="inlineStr">
        <is>
          <t>纯拉新</t>
        </is>
      </c>
      <c r="F395" s="1074" t="n"/>
      <c r="G395" s="1074" t="n"/>
      <c r="H395" s="1074" t="inlineStr">
        <is>
          <t>在读</t>
        </is>
      </c>
      <c r="I395" s="1074" t="inlineStr">
        <is>
          <t>一期</t>
        </is>
      </c>
      <c r="J395" s="1074" t="inlineStr">
        <is>
          <t>5230802</t>
        </is>
      </c>
      <c r="K395" s="1074" t="inlineStr">
        <is>
          <t>报前测成绩</t>
        </is>
      </c>
      <c r="L395" s="1074" t="n">
        <v>65</v>
      </c>
      <c r="M395" s="1074" t="inlineStr">
        <is>
          <t>-</t>
        </is>
      </c>
      <c r="N395" s="1074" t="inlineStr">
        <is>
          <t>田雨涵01</t>
        </is>
      </c>
      <c r="O395" s="1074" t="inlineStr">
        <is>
          <t>02彩虹桥</t>
        </is>
      </c>
      <c r="P395" s="1074" t="inlineStr">
        <is>
          <t>15:50-18:00</t>
        </is>
      </c>
      <c r="Q395" s="1074" t="inlineStr">
        <is>
          <t>潜能班</t>
        </is>
      </c>
      <c r="R395" s="1074" t="inlineStr">
        <is>
          <t>一期</t>
        </is>
      </c>
      <c r="S395" s="1074" t="inlineStr">
        <is>
          <t>在读</t>
        </is>
      </c>
      <c r="T395" s="1074" t="inlineStr">
        <is>
          <t>-</t>
        </is>
      </c>
      <c r="U395" s="1074" t="inlineStr">
        <is>
          <t>4632448</t>
        </is>
      </c>
      <c r="V395" s="1074" t="n"/>
      <c r="W395" s="1074" t="inlineStr">
        <is>
          <t>陈南05</t>
        </is>
      </c>
      <c r="X395" s="1074" t="inlineStr">
        <is>
          <t>02彩虹桥</t>
        </is>
      </c>
      <c r="Y395" s="1074" t="inlineStr">
        <is>
          <t>10:20-12:30</t>
        </is>
      </c>
      <c r="Z395" s="1074" t="inlineStr">
        <is>
          <t>潜能班</t>
        </is>
      </c>
      <c r="AA395" s="1074" t="inlineStr">
        <is>
          <t>一期</t>
        </is>
      </c>
      <c r="AB395" s="1074" t="inlineStr">
        <is>
          <t>在读</t>
        </is>
      </c>
      <c r="AC395" s="1074" t="inlineStr">
        <is>
          <t>-</t>
        </is>
      </c>
      <c r="AD395" s="1074" t="inlineStr">
        <is>
          <t>3132837</t>
        </is>
      </c>
      <c r="AE395" s="1074" t="n"/>
      <c r="AF395" s="1074" t="inlineStr">
        <is>
          <t>高心怡04</t>
        </is>
      </c>
      <c r="AG395" s="1074" t="inlineStr">
        <is>
          <t>02彩虹桥</t>
        </is>
      </c>
      <c r="AH395" s="1074" t="inlineStr">
        <is>
          <t>13:20-15:30</t>
        </is>
      </c>
      <c r="AI395" s="1074" t="inlineStr">
        <is>
          <t>潜能班</t>
        </is>
      </c>
      <c r="AJ395" s="1074" t="inlineStr">
        <is>
          <t>一期</t>
        </is>
      </c>
      <c r="AK395" s="1074" t="inlineStr">
        <is>
          <t>在读</t>
        </is>
      </c>
      <c r="AL395" s="1074" t="inlineStr">
        <is>
          <t>-</t>
        </is>
      </c>
      <c r="AM395" s="1074" t="n"/>
      <c r="AN395" s="1074" t="n"/>
      <c r="AO395" s="1074" t="n"/>
      <c r="AP395" s="1074" t="n"/>
      <c r="AQ395" s="1074" t="n"/>
      <c r="AR395" s="1074" t="inlineStr">
        <is>
          <t>B</t>
        </is>
      </c>
      <c r="AS395" s="1074" t="inlineStr">
        <is>
          <t>先体验下暑假课，没聊秋季课的事情</t>
        </is>
      </c>
    </row>
    <row r="396" ht="26.25" customFormat="1" customHeight="1" s="366">
      <c r="A396" s="1074" t="inlineStr">
        <is>
          <t>同创汇</t>
        </is>
      </c>
      <c r="B396" s="1074" t="inlineStr">
        <is>
          <t>4029496535</t>
        </is>
      </c>
      <c r="C396" s="1074" t="inlineStr">
        <is>
          <t>肖宸熙</t>
        </is>
      </c>
      <c r="D396" s="1074" t="inlineStr">
        <is>
          <t>王丽</t>
        </is>
      </c>
      <c r="E396" s="1074" t="inlineStr">
        <is>
          <t>断报老生</t>
        </is>
      </c>
      <c r="F396" s="1074" t="n"/>
      <c r="G396" s="1074" t="n"/>
      <c r="H396" s="1074" t="inlineStr">
        <is>
          <t>在读</t>
        </is>
      </c>
      <c r="I396" s="1074" t="inlineStr">
        <is>
          <t>零期</t>
        </is>
      </c>
      <c r="J396" s="1074" t="inlineStr">
        <is>
          <t>5230814</t>
        </is>
      </c>
      <c r="K396" s="1074" t="inlineStr">
        <is>
          <t>报前测成绩</t>
        </is>
      </c>
      <c r="L396" s="1074" t="n">
        <v>109</v>
      </c>
      <c r="M396" s="1074" t="inlineStr">
        <is>
          <t>-</t>
        </is>
      </c>
      <c r="N396" s="1074" t="inlineStr">
        <is>
          <t>陈中帅</t>
        </is>
      </c>
      <c r="O396" s="1074" t="inlineStr">
        <is>
          <t>02彩虹桥</t>
        </is>
      </c>
      <c r="P396" s="1074" t="inlineStr">
        <is>
          <t>07:50-10:00</t>
        </is>
      </c>
      <c r="Q396" s="1074" t="inlineStr">
        <is>
          <t>启能班</t>
        </is>
      </c>
      <c r="R396" s="1074" t="inlineStr">
        <is>
          <t>零期</t>
        </is>
      </c>
      <c r="S396" s="1074" t="inlineStr">
        <is>
          <t>在读</t>
        </is>
      </c>
      <c r="T396" s="1074" t="inlineStr">
        <is>
          <t>-</t>
        </is>
      </c>
      <c r="U396" s="1074" t="inlineStr">
        <is>
          <t>3132905</t>
        </is>
      </c>
      <c r="V396" s="1074" t="n">
        <v>43</v>
      </c>
      <c r="W396" s="1074" t="inlineStr">
        <is>
          <t>黄铭怡</t>
        </is>
      </c>
      <c r="X396" s="1074" t="inlineStr">
        <is>
          <t>02彩虹桥</t>
        </is>
      </c>
      <c r="Y396" s="1074" t="inlineStr">
        <is>
          <t>13:20-15:30</t>
        </is>
      </c>
      <c r="Z396" s="1074" t="inlineStr">
        <is>
          <t>潜能班</t>
        </is>
      </c>
      <c r="AA396" s="1074" t="inlineStr">
        <is>
          <t>零期</t>
        </is>
      </c>
      <c r="AB396" s="1074" t="inlineStr">
        <is>
          <t>在读</t>
        </is>
      </c>
      <c r="AC396" s="1074" t="inlineStr">
        <is>
          <t>-</t>
        </is>
      </c>
      <c r="AD396" s="1074" t="inlineStr">
        <is>
          <t>5230765</t>
        </is>
      </c>
      <c r="AE396" s="1074" t="n">
        <v>32</v>
      </c>
      <c r="AF396" s="1074" t="inlineStr">
        <is>
          <t>刘希子</t>
        </is>
      </c>
      <c r="AG396" s="1074" t="inlineStr">
        <is>
          <t>02彩虹桥</t>
        </is>
      </c>
      <c r="AH396" s="1074" t="inlineStr">
        <is>
          <t>10:20-12:30</t>
        </is>
      </c>
      <c r="AI396" s="1074" t="inlineStr">
        <is>
          <t>潜能班</t>
        </is>
      </c>
      <c r="AJ396" s="1074" t="inlineStr">
        <is>
          <t>零期</t>
        </is>
      </c>
      <c r="AK396" s="1074" t="inlineStr">
        <is>
          <t>在读</t>
        </is>
      </c>
      <c r="AL396" s="1074" t="inlineStr">
        <is>
          <t>-</t>
        </is>
      </c>
      <c r="AM396" s="1074" t="inlineStr">
        <is>
          <t>是</t>
        </is>
      </c>
      <c r="AN396" s="1074" t="inlineStr">
        <is>
          <t>是</t>
        </is>
      </c>
      <c r="AO396" s="1074" t="inlineStr">
        <is>
          <t>是</t>
        </is>
      </c>
      <c r="AP396" s="1074" t="n"/>
      <c r="AQ396" s="1074" t="n"/>
      <c r="AR396" s="1074" t="inlineStr">
        <is>
          <t>A</t>
        </is>
      </c>
      <c r="AS396" s="1074" t="inlineStr">
        <is>
          <t>有报读过正价课程</t>
        </is>
      </c>
    </row>
    <row r="397" ht="26.25" customFormat="1" customHeight="1" s="366">
      <c r="A397" s="1074" t="inlineStr">
        <is>
          <t>同创汇</t>
        </is>
      </c>
      <c r="B397" s="1074" t="inlineStr">
        <is>
          <t>4263818980</t>
        </is>
      </c>
      <c r="C397" s="1074" t="inlineStr">
        <is>
          <t>洛汐</t>
        </is>
      </c>
      <c r="D397" s="1074" t="inlineStr">
        <is>
          <t>戎凯01</t>
        </is>
      </c>
      <c r="E397" s="1074" t="inlineStr">
        <is>
          <t>纯拉新</t>
        </is>
      </c>
      <c r="F397" s="1074" t="n"/>
      <c r="G397" s="1074" t="n"/>
      <c r="H397" s="1074" t="inlineStr">
        <is>
          <t>退费</t>
        </is>
      </c>
      <c r="I397" s="1074" t="inlineStr">
        <is>
          <t>-</t>
        </is>
      </c>
      <c r="J397" s="1074" t="inlineStr">
        <is>
          <t>5230814</t>
        </is>
      </c>
      <c r="K397" s="1074" t="inlineStr">
        <is>
          <t>报前测成绩</t>
        </is>
      </c>
      <c r="L397" s="1074" t="n">
        <v>83</v>
      </c>
      <c r="M397" s="1074" t="inlineStr">
        <is>
          <t>-</t>
        </is>
      </c>
      <c r="N397" s="1074" t="inlineStr">
        <is>
          <t>陈中帅</t>
        </is>
      </c>
      <c r="O397" s="1074" t="inlineStr">
        <is>
          <t>02彩虹桥</t>
        </is>
      </c>
      <c r="P397" s="1074" t="inlineStr">
        <is>
          <t>07:50-10:00</t>
        </is>
      </c>
      <c r="Q397" s="1074" t="inlineStr">
        <is>
          <t>启能班</t>
        </is>
      </c>
      <c r="R397" s="1074" t="inlineStr">
        <is>
          <t>零期</t>
        </is>
      </c>
      <c r="S397" s="1074" t="inlineStr">
        <is>
          <t>课前退</t>
        </is>
      </c>
      <c r="T397" s="1074" t="inlineStr">
        <is>
          <t>-</t>
        </is>
      </c>
      <c r="U397" s="1074" t="inlineStr">
        <is>
          <t>3132905</t>
        </is>
      </c>
      <c r="V397" s="1074" t="n">
        <v>0</v>
      </c>
      <c r="W397" s="1074" t="inlineStr">
        <is>
          <t>黄铭怡</t>
        </is>
      </c>
      <c r="X397" s="1074" t="inlineStr">
        <is>
          <t>02彩虹桥</t>
        </is>
      </c>
      <c r="Y397" s="1074" t="inlineStr">
        <is>
          <t>13:20-15:30</t>
        </is>
      </c>
      <c r="Z397" s="1074" t="inlineStr">
        <is>
          <t>潜能班</t>
        </is>
      </c>
      <c r="AA397" s="1074" t="inlineStr">
        <is>
          <t>零期</t>
        </is>
      </c>
      <c r="AB397" s="1074" t="inlineStr">
        <is>
          <t>课前退</t>
        </is>
      </c>
      <c r="AC397" s="1074" t="inlineStr">
        <is>
          <t>-</t>
        </is>
      </c>
      <c r="AD397" s="1074" t="inlineStr">
        <is>
          <t>5230765</t>
        </is>
      </c>
      <c r="AE397" s="1074" t="n">
        <v>38.5</v>
      </c>
      <c r="AF397" s="1074" t="inlineStr">
        <is>
          <t>刘希子</t>
        </is>
      </c>
      <c r="AG397" s="1074" t="inlineStr">
        <is>
          <t>02彩虹桥</t>
        </is>
      </c>
      <c r="AH397" s="1074" t="inlineStr">
        <is>
          <t>10:20-12:30</t>
        </is>
      </c>
      <c r="AI397" s="1074" t="inlineStr">
        <is>
          <t>潜能班</t>
        </is>
      </c>
      <c r="AJ397" s="1074" t="inlineStr">
        <is>
          <t>零期</t>
        </is>
      </c>
      <c r="AK397" s="1074" t="inlineStr">
        <is>
          <t>课前退</t>
        </is>
      </c>
      <c r="AL397" s="1074" t="inlineStr">
        <is>
          <t>-</t>
        </is>
      </c>
      <c r="AM397" s="1074" t="n"/>
      <c r="AN397" s="1074" t="inlineStr">
        <is>
          <t>否</t>
        </is>
      </c>
      <c r="AO397" s="1074" t="n"/>
      <c r="AP397" s="1074" t="n"/>
      <c r="AQ397" s="1074" t="n"/>
      <c r="AR397" s="1074" t="inlineStr">
        <is>
          <t>C</t>
        </is>
      </c>
      <c r="AS397" s="1074" t="inlineStr">
        <is>
          <t>申请退费</t>
        </is>
      </c>
    </row>
    <row r="398" ht="26.25" customFormat="1" customHeight="1" s="366">
      <c r="A398" s="1074" t="inlineStr">
        <is>
          <t>同创汇</t>
        </is>
      </c>
      <c r="B398" s="1074" t="inlineStr">
        <is>
          <t>4762945633</t>
        </is>
      </c>
      <c r="C398" s="1074" t="inlineStr">
        <is>
          <t>张权</t>
        </is>
      </c>
      <c r="D398" s="1074" t="inlineStr">
        <is>
          <t>戎凯01</t>
        </is>
      </c>
      <c r="E398" s="1074" t="inlineStr">
        <is>
          <t>春季在读老生</t>
        </is>
      </c>
      <c r="F398" s="1074" t="n"/>
      <c r="G398" s="1074" t="n"/>
      <c r="H398" s="1074" t="inlineStr">
        <is>
          <t>在读</t>
        </is>
      </c>
      <c r="I398" s="1074" t="inlineStr">
        <is>
          <t>零期</t>
        </is>
      </c>
      <c r="J398" s="1074" t="inlineStr">
        <is>
          <t>5230814</t>
        </is>
      </c>
      <c r="K398" s="1074" t="inlineStr">
        <is>
          <t>报前测成绩</t>
        </is>
      </c>
      <c r="L398" s="1074" t="n">
        <v>100</v>
      </c>
      <c r="M398" s="1074" t="inlineStr">
        <is>
          <t>-</t>
        </is>
      </c>
      <c r="N398" s="1074" t="inlineStr">
        <is>
          <t>陈中帅</t>
        </is>
      </c>
      <c r="O398" s="1074" t="inlineStr">
        <is>
          <t>02彩虹桥</t>
        </is>
      </c>
      <c r="P398" s="1074" t="inlineStr">
        <is>
          <t>07:50-10:00</t>
        </is>
      </c>
      <c r="Q398" s="1074" t="inlineStr">
        <is>
          <t>启能班</t>
        </is>
      </c>
      <c r="R398" s="1074" t="inlineStr">
        <is>
          <t>零期</t>
        </is>
      </c>
      <c r="S398" s="1074" t="inlineStr">
        <is>
          <t>在读</t>
        </is>
      </c>
      <c r="T398" s="1074" t="inlineStr">
        <is>
          <t>是</t>
        </is>
      </c>
      <c r="U398" s="1074" t="inlineStr">
        <is>
          <t>3132905</t>
        </is>
      </c>
      <c r="V398" s="1074" t="n">
        <v>0</v>
      </c>
      <c r="W398" s="1074" t="inlineStr">
        <is>
          <t>黄铭怡</t>
        </is>
      </c>
      <c r="X398" s="1074" t="inlineStr">
        <is>
          <t>02彩虹桥</t>
        </is>
      </c>
      <c r="Y398" s="1074" t="inlineStr">
        <is>
          <t>13:20-15:30</t>
        </is>
      </c>
      <c r="Z398" s="1074" t="inlineStr">
        <is>
          <t>潜能班</t>
        </is>
      </c>
      <c r="AA398" s="1074" t="inlineStr">
        <is>
          <t>零期</t>
        </is>
      </c>
      <c r="AB398" s="1074" t="inlineStr">
        <is>
          <t>在读</t>
        </is>
      </c>
      <c r="AC398" s="1074" t="inlineStr">
        <is>
          <t>是</t>
        </is>
      </c>
      <c r="AD398" s="1074" t="inlineStr">
        <is>
          <t>5230765</t>
        </is>
      </c>
      <c r="AE398" s="1074" t="n">
        <v>44</v>
      </c>
      <c r="AF398" s="1074" t="inlineStr">
        <is>
          <t>刘希子</t>
        </is>
      </c>
      <c r="AG398" s="1074" t="inlineStr">
        <is>
          <t>02彩虹桥</t>
        </is>
      </c>
      <c r="AH398" s="1074" t="inlineStr">
        <is>
          <t>10:20-12:30</t>
        </is>
      </c>
      <c r="AI398" s="1074" t="inlineStr">
        <is>
          <t>潜能班</t>
        </is>
      </c>
      <c r="AJ398" s="1074" t="inlineStr">
        <is>
          <t>零期</t>
        </is>
      </c>
      <c r="AK398" s="1074" t="inlineStr">
        <is>
          <t>在读</t>
        </is>
      </c>
      <c r="AL398" s="1074" t="inlineStr">
        <is>
          <t>是</t>
        </is>
      </c>
      <c r="AM398" s="1074" t="inlineStr">
        <is>
          <t>是</t>
        </is>
      </c>
      <c r="AN398" s="1074" t="inlineStr">
        <is>
          <t>是</t>
        </is>
      </c>
      <c r="AO398" s="1074" t="inlineStr">
        <is>
          <t>是</t>
        </is>
      </c>
      <c r="AP398" s="1074" t="n"/>
      <c r="AQ398" s="1074" t="n"/>
      <c r="AR398" s="1074" t="inlineStr">
        <is>
          <t>S</t>
        </is>
      </c>
      <c r="AS398" s="1074" t="inlineStr">
        <is>
          <t>春季正价在读</t>
        </is>
      </c>
    </row>
    <row r="399" ht="26.25" customFormat="1" customHeight="1" s="366">
      <c r="A399" s="1074" t="inlineStr">
        <is>
          <t>同创汇</t>
        </is>
      </c>
      <c r="B399" s="1074" t="inlineStr">
        <is>
          <t>4776166958</t>
        </is>
      </c>
      <c r="C399" s="1074" t="inlineStr">
        <is>
          <t>汐汐</t>
        </is>
      </c>
      <c r="D399" s="1074" t="inlineStr">
        <is>
          <t>王佳44</t>
        </is>
      </c>
      <c r="E399" s="1074" t="inlineStr">
        <is>
          <t>纯拉新</t>
        </is>
      </c>
      <c r="F399" s="1074" t="n"/>
      <c r="G399" s="1074" t="n"/>
      <c r="H399" s="1074" t="inlineStr">
        <is>
          <t>退费</t>
        </is>
      </c>
      <c r="I399" s="1074" t="inlineStr">
        <is>
          <t>-</t>
        </is>
      </c>
      <c r="J399" s="1074" t="inlineStr">
        <is>
          <t>3132897</t>
        </is>
      </c>
      <c r="K399" s="1074" t="inlineStr">
        <is>
          <t>-</t>
        </is>
      </c>
      <c r="L399" s="1074" t="inlineStr">
        <is>
          <t>-</t>
        </is>
      </c>
      <c r="M399" s="1074" t="inlineStr">
        <is>
          <t>-</t>
        </is>
      </c>
      <c r="N399" s="1074" t="inlineStr">
        <is>
          <t>陈中帅</t>
        </is>
      </c>
      <c r="O399" s="1074" t="inlineStr">
        <is>
          <t>01智慧林</t>
        </is>
      </c>
      <c r="P399" s="1074" t="inlineStr">
        <is>
          <t>10:20-12:30</t>
        </is>
      </c>
      <c r="Q399" s="1074" t="inlineStr">
        <is>
          <t>潜能班</t>
        </is>
      </c>
      <c r="R399" s="1074" t="inlineStr">
        <is>
          <t>零期</t>
        </is>
      </c>
      <c r="S399" s="1074" t="inlineStr">
        <is>
          <t>课前退</t>
        </is>
      </c>
      <c r="T399" s="1074" t="inlineStr">
        <is>
          <t>-</t>
        </is>
      </c>
      <c r="U399" s="1074" t="inlineStr">
        <is>
          <t>5230722</t>
        </is>
      </c>
      <c r="V399" s="1074" t="n"/>
      <c r="W399" s="1074" t="inlineStr">
        <is>
          <t>李润</t>
        </is>
      </c>
      <c r="X399" s="1074" t="inlineStr">
        <is>
          <t>01智慧林</t>
        </is>
      </c>
      <c r="Y399" s="1074" t="inlineStr">
        <is>
          <t>15:50-18:00</t>
        </is>
      </c>
      <c r="Z399" s="1074" t="inlineStr">
        <is>
          <t>潜能班</t>
        </is>
      </c>
      <c r="AA399" s="1074" t="inlineStr">
        <is>
          <t>零期</t>
        </is>
      </c>
      <c r="AB399" s="1074" t="inlineStr">
        <is>
          <t>课前退</t>
        </is>
      </c>
      <c r="AC399" s="1074" t="inlineStr">
        <is>
          <t>-</t>
        </is>
      </c>
      <c r="AD399" s="1074" t="inlineStr">
        <is>
          <t>5230737</t>
        </is>
      </c>
      <c r="AE399" s="1074" t="n"/>
      <c r="AF399" s="1074" t="inlineStr">
        <is>
          <t>高心怡04</t>
        </is>
      </c>
      <c r="AG399" s="1074" t="inlineStr">
        <is>
          <t>01智慧林</t>
        </is>
      </c>
      <c r="AH399" s="1074" t="inlineStr">
        <is>
          <t>13:20-15:30</t>
        </is>
      </c>
      <c r="AI399" s="1074" t="inlineStr">
        <is>
          <t>潜能班</t>
        </is>
      </c>
      <c r="AJ399" s="1074" t="inlineStr">
        <is>
          <t>零期</t>
        </is>
      </c>
      <c r="AK399" s="1074" t="inlineStr">
        <is>
          <t>课前退</t>
        </is>
      </c>
      <c r="AL399" s="1074" t="inlineStr">
        <is>
          <t>-</t>
        </is>
      </c>
      <c r="AM399" s="1074" t="n"/>
      <c r="AN399" s="1074" t="n"/>
      <c r="AO399" s="1074" t="n"/>
      <c r="AP399" s="1074" t="n"/>
      <c r="AQ399" s="1074" t="n"/>
      <c r="AR399" s="1074" t="n"/>
      <c r="AS399" s="1074" t="n"/>
    </row>
    <row r="400" ht="26.25" customFormat="1" customHeight="1" s="366">
      <c r="A400" s="1074" t="inlineStr">
        <is>
          <t>同创汇</t>
        </is>
      </c>
      <c r="B400" s="1074" t="inlineStr">
        <is>
          <t>4819955828</t>
        </is>
      </c>
      <c r="C400" s="1074" t="inlineStr">
        <is>
          <t>周芷帆</t>
        </is>
      </c>
      <c r="D400" s="1074" t="inlineStr">
        <is>
          <t>王丽</t>
        </is>
      </c>
      <c r="E400" s="1074" t="inlineStr">
        <is>
          <t>纯拉新</t>
        </is>
      </c>
      <c r="F400" s="1074" t="n"/>
      <c r="G400" s="1074" t="n"/>
      <c r="H400" s="1074" t="inlineStr">
        <is>
          <t>在读</t>
        </is>
      </c>
      <c r="I400" s="1074" t="inlineStr">
        <is>
          <t>零期</t>
        </is>
      </c>
      <c r="J400" s="1074" t="inlineStr">
        <is>
          <t>5230814</t>
        </is>
      </c>
      <c r="K400" s="1074" t="inlineStr">
        <is>
          <t>报前测成绩</t>
        </is>
      </c>
      <c r="L400" s="1074" t="n">
        <v>91</v>
      </c>
      <c r="M400" s="1074" t="inlineStr">
        <is>
          <t>-</t>
        </is>
      </c>
      <c r="N400" s="1074" t="inlineStr">
        <is>
          <t>陈中帅</t>
        </is>
      </c>
      <c r="O400" s="1074" t="inlineStr">
        <is>
          <t>02彩虹桥</t>
        </is>
      </c>
      <c r="P400" s="1074" t="inlineStr">
        <is>
          <t>07:50-10:00</t>
        </is>
      </c>
      <c r="Q400" s="1074" t="inlineStr">
        <is>
          <t>启能班</t>
        </is>
      </c>
      <c r="R400" s="1074" t="inlineStr">
        <is>
          <t>零期</t>
        </is>
      </c>
      <c r="S400" s="1074" t="inlineStr">
        <is>
          <t>在读</t>
        </is>
      </c>
      <c r="T400" s="1074" t="inlineStr">
        <is>
          <t>是</t>
        </is>
      </c>
      <c r="U400" s="1074" t="inlineStr">
        <is>
          <t>3132905</t>
        </is>
      </c>
      <c r="V400" s="1074" t="n">
        <v>0</v>
      </c>
      <c r="W400" s="1074" t="inlineStr">
        <is>
          <t>黄铭怡</t>
        </is>
      </c>
      <c r="X400" s="1074" t="inlineStr">
        <is>
          <t>02彩虹桥</t>
        </is>
      </c>
      <c r="Y400" s="1074" t="inlineStr">
        <is>
          <t>13:20-15:30</t>
        </is>
      </c>
      <c r="Z400" s="1074" t="inlineStr">
        <is>
          <t>潜能班</t>
        </is>
      </c>
      <c r="AA400" s="1074" t="inlineStr">
        <is>
          <t>零期</t>
        </is>
      </c>
      <c r="AB400" s="1074" t="inlineStr">
        <is>
          <t>在读</t>
        </is>
      </c>
      <c r="AC400" s="1074" t="inlineStr">
        <is>
          <t>是</t>
        </is>
      </c>
      <c r="AD400" s="1074" t="inlineStr">
        <is>
          <t>5230765</t>
        </is>
      </c>
      <c r="AE400" s="1074" t="n">
        <v>42.5</v>
      </c>
      <c r="AF400" s="1074" t="inlineStr">
        <is>
          <t>刘希子</t>
        </is>
      </c>
      <c r="AG400" s="1074" t="inlineStr">
        <is>
          <t>02彩虹桥</t>
        </is>
      </c>
      <c r="AH400" s="1074" t="inlineStr">
        <is>
          <t>10:20-12:30</t>
        </is>
      </c>
      <c r="AI400" s="1074" t="inlineStr">
        <is>
          <t>潜能班</t>
        </is>
      </c>
      <c r="AJ400" s="1074" t="inlineStr">
        <is>
          <t>零期</t>
        </is>
      </c>
      <c r="AK400" s="1074" t="inlineStr">
        <is>
          <t>在读</t>
        </is>
      </c>
      <c r="AL400" s="1074" t="inlineStr">
        <is>
          <t>是</t>
        </is>
      </c>
      <c r="AM400" s="1074" t="inlineStr">
        <is>
          <t>是</t>
        </is>
      </c>
      <c r="AN400" s="1074" t="inlineStr">
        <is>
          <t>是</t>
        </is>
      </c>
      <c r="AO400" s="1074" t="inlineStr">
        <is>
          <t>是</t>
        </is>
      </c>
      <c r="AP400" s="1074" t="n"/>
      <c r="AQ400" s="1074" t="n"/>
      <c r="AR400" s="1074" t="inlineStr">
        <is>
          <t>B</t>
        </is>
      </c>
      <c r="AS400" s="1074" t="inlineStr">
        <is>
          <t>先体验下暑假课，没聊秋季课的事情</t>
        </is>
      </c>
    </row>
    <row r="401" ht="26.25" customFormat="1" customHeight="1" s="366">
      <c r="A401" s="1074" t="inlineStr">
        <is>
          <t>同创汇</t>
        </is>
      </c>
      <c r="B401" s="1074" t="inlineStr">
        <is>
          <t>2520917908</t>
        </is>
      </c>
      <c r="C401" s="1074" t="inlineStr">
        <is>
          <t>王梓骏</t>
        </is>
      </c>
      <c r="D401" s="1074" t="inlineStr">
        <is>
          <t>王丽</t>
        </is>
      </c>
      <c r="E401" s="1074" t="inlineStr">
        <is>
          <t>纯拉新</t>
        </is>
      </c>
      <c r="F401" s="1074" t="n"/>
      <c r="G401" s="1074" t="n"/>
      <c r="H401" s="1074" t="inlineStr">
        <is>
          <t>在读</t>
        </is>
      </c>
      <c r="I401" s="1074" t="inlineStr">
        <is>
          <t>零期</t>
        </is>
      </c>
      <c r="J401" s="1074" t="inlineStr">
        <is>
          <t>3132897</t>
        </is>
      </c>
      <c r="K401" s="1074" t="inlineStr">
        <is>
          <t>报前测成绩</t>
        </is>
      </c>
      <c r="L401" s="1074" t="n">
        <v>75</v>
      </c>
      <c r="M401" s="1074" t="inlineStr">
        <is>
          <t>-</t>
        </is>
      </c>
      <c r="N401" s="1074" t="inlineStr">
        <is>
          <t>陈中帅</t>
        </is>
      </c>
      <c r="O401" s="1074" t="inlineStr">
        <is>
          <t>01智慧林</t>
        </is>
      </c>
      <c r="P401" s="1074" t="inlineStr">
        <is>
          <t>10:20-12:30</t>
        </is>
      </c>
      <c r="Q401" s="1074" t="inlineStr">
        <is>
          <t>潜能班</t>
        </is>
      </c>
      <c r="R401" s="1074" t="inlineStr">
        <is>
          <t>零期</t>
        </is>
      </c>
      <c r="S401" s="1074" t="inlineStr">
        <is>
          <t>在读</t>
        </is>
      </c>
      <c r="T401" s="1074" t="inlineStr">
        <is>
          <t>-</t>
        </is>
      </c>
      <c r="U401" s="1074" t="inlineStr">
        <is>
          <t>5230722</t>
        </is>
      </c>
      <c r="V401" s="1074" t="n">
        <v>25</v>
      </c>
      <c r="W401" s="1074" t="inlineStr">
        <is>
          <t>李润</t>
        </is>
      </c>
      <c r="X401" s="1074" t="inlineStr">
        <is>
          <t>01智慧林</t>
        </is>
      </c>
      <c r="Y401" s="1074" t="inlineStr">
        <is>
          <t>15:50-18:00</t>
        </is>
      </c>
      <c r="Z401" s="1074" t="inlineStr">
        <is>
          <t>潜能班</t>
        </is>
      </c>
      <c r="AA401" s="1074" t="inlineStr">
        <is>
          <t>零期</t>
        </is>
      </c>
      <c r="AB401" s="1074" t="inlineStr">
        <is>
          <t>在读</t>
        </is>
      </c>
      <c r="AC401" s="1074" t="inlineStr">
        <is>
          <t>-</t>
        </is>
      </c>
      <c r="AD401" s="1074" t="inlineStr">
        <is>
          <t>5230737</t>
        </is>
      </c>
      <c r="AE401" s="1074" t="n">
        <v>29</v>
      </c>
      <c r="AF401" s="1074" t="inlineStr">
        <is>
          <t>高心怡04</t>
        </is>
      </c>
      <c r="AG401" s="1074" t="inlineStr">
        <is>
          <t>01智慧林</t>
        </is>
      </c>
      <c r="AH401" s="1074" t="inlineStr">
        <is>
          <t>13:20-15:30</t>
        </is>
      </c>
      <c r="AI401" s="1074" t="inlineStr">
        <is>
          <t>潜能班</t>
        </is>
      </c>
      <c r="AJ401" s="1074" t="inlineStr">
        <is>
          <t>零期</t>
        </is>
      </c>
      <c r="AK401" s="1074" t="inlineStr">
        <is>
          <t>在读</t>
        </is>
      </c>
      <c r="AL401" s="1074" t="inlineStr">
        <is>
          <t>-</t>
        </is>
      </c>
      <c r="AM401" s="1074" t="inlineStr">
        <is>
          <t>是</t>
        </is>
      </c>
      <c r="AN401" s="1074" t="inlineStr">
        <is>
          <t>是</t>
        </is>
      </c>
      <c r="AO401" s="1074" t="inlineStr">
        <is>
          <t>否</t>
        </is>
      </c>
      <c r="AP401" s="1074" t="n"/>
      <c r="AQ401" s="1074" t="n"/>
      <c r="AR401" s="1074" t="inlineStr">
        <is>
          <t>B</t>
        </is>
      </c>
      <c r="AS401" s="1074" t="inlineStr">
        <is>
          <t>先体验下暑假课，没聊秋季课的事情</t>
        </is>
      </c>
    </row>
    <row r="402" ht="26.25" customFormat="1" customHeight="1" s="366">
      <c r="A402" s="1074" t="inlineStr">
        <is>
          <t>新宝利</t>
        </is>
      </c>
      <c r="B402" s="1074" t="inlineStr">
        <is>
          <t>4089928152</t>
        </is>
      </c>
      <c r="C402" s="1074" t="inlineStr">
        <is>
          <t>小恩</t>
        </is>
      </c>
      <c r="D402" s="1074" t="inlineStr">
        <is>
          <t>杨林33</t>
        </is>
      </c>
      <c r="E402" s="1074" t="inlineStr">
        <is>
          <t>反复低价</t>
        </is>
      </c>
      <c r="F402" s="1074" t="inlineStr">
        <is>
          <t>新宝利第一批特惠学员，未转化。龙凤胎，跟小诺一起</t>
        </is>
      </c>
      <c r="G402" s="1074" t="n"/>
      <c r="H402" s="1074" t="inlineStr">
        <is>
          <t>退费</t>
        </is>
      </c>
      <c r="I402" s="1074" t="inlineStr">
        <is>
          <t>-</t>
        </is>
      </c>
      <c r="J402" s="1074" t="inlineStr">
        <is>
          <t>5111034</t>
        </is>
      </c>
      <c r="K402" s="1074" t="inlineStr">
        <is>
          <t>报前测成绩</t>
        </is>
      </c>
      <c r="L402" s="1074" t="n">
        <v>61</v>
      </c>
      <c r="M402" s="1074" t="inlineStr">
        <is>
          <t>-</t>
        </is>
      </c>
      <c r="N402" s="1074" t="inlineStr">
        <is>
          <t>田雨涵01</t>
        </is>
      </c>
      <c r="O402" s="1074" t="inlineStr">
        <is>
          <t>教室4</t>
        </is>
      </c>
      <c r="P402" s="1074" t="inlineStr">
        <is>
          <t>13:20-15:30</t>
        </is>
      </c>
      <c r="Q402" s="1074" t="inlineStr">
        <is>
          <t>潜能班</t>
        </is>
      </c>
      <c r="R402" s="1074" t="inlineStr">
        <is>
          <t>二期</t>
        </is>
      </c>
      <c r="S402" s="1074" t="inlineStr">
        <is>
          <t>课前退</t>
        </is>
      </c>
      <c r="T402" s="1074" t="inlineStr">
        <is>
          <t>-</t>
        </is>
      </c>
      <c r="U402" s="1074" t="inlineStr">
        <is>
          <t>5230773</t>
        </is>
      </c>
      <c r="V402" s="1074" t="n">
        <v>67</v>
      </c>
      <c r="W402" s="1074" t="inlineStr">
        <is>
          <t>陈南05</t>
        </is>
      </c>
      <c r="X402" s="1074" t="inlineStr">
        <is>
          <t>教室2</t>
        </is>
      </c>
      <c r="Y402" s="1074" t="inlineStr">
        <is>
          <t>15:50-18:00</t>
        </is>
      </c>
      <c r="Z402" s="1074" t="inlineStr">
        <is>
          <t>潜能班</t>
        </is>
      </c>
      <c r="AA402" s="1074" t="inlineStr">
        <is>
          <t>一期</t>
        </is>
      </c>
      <c r="AB402" s="1074" t="inlineStr">
        <is>
          <t>课前退</t>
        </is>
      </c>
      <c r="AC402" s="1074" t="inlineStr">
        <is>
          <t>-</t>
        </is>
      </c>
      <c r="AD402" s="1074" t="inlineStr">
        <is>
          <t>5230821</t>
        </is>
      </c>
      <c r="AE402" s="1074" t="n">
        <v>30.5</v>
      </c>
      <c r="AF402" s="1074" t="inlineStr">
        <is>
          <t>肖锐03</t>
        </is>
      </c>
      <c r="AG402" s="1074" t="inlineStr">
        <is>
          <t>教室3</t>
        </is>
      </c>
      <c r="AH402" s="1074" t="inlineStr">
        <is>
          <t>15:50-18:00</t>
        </is>
      </c>
      <c r="AI402" s="1074" t="inlineStr">
        <is>
          <t>潜能班</t>
        </is>
      </c>
      <c r="AJ402" s="1074" t="inlineStr">
        <is>
          <t>三期</t>
        </is>
      </c>
      <c r="AK402" s="1074" t="inlineStr">
        <is>
          <t>课前退</t>
        </is>
      </c>
      <c r="AL402" s="1074" t="inlineStr">
        <is>
          <t>-</t>
        </is>
      </c>
      <c r="AM402" s="1074" t="n"/>
      <c r="AN402" s="1074" t="n"/>
      <c r="AO402" s="1074" t="n"/>
      <c r="AP402" s="1074" t="n"/>
      <c r="AQ402" s="1074" t="n"/>
      <c r="AR402" s="1074" t="inlineStr">
        <is>
          <t>C</t>
        </is>
      </c>
      <c r="AS402" s="1074" t="inlineStr">
        <is>
          <t>要退费</t>
        </is>
      </c>
    </row>
    <row r="403" ht="26.25" customFormat="1" customHeight="1" s="366">
      <c r="A403" s="1074" t="inlineStr">
        <is>
          <t>天成大厦</t>
        </is>
      </c>
      <c r="B403" s="1074" t="inlineStr">
        <is>
          <t>4046231321</t>
        </is>
      </c>
      <c r="C403" s="1074" t="inlineStr">
        <is>
          <t>唐瑜蔓</t>
        </is>
      </c>
      <c r="D403" s="1074" t="inlineStr">
        <is>
          <t>沈思浩</t>
        </is>
      </c>
      <c r="E403" s="1074" t="inlineStr">
        <is>
          <t>纯拉新</t>
        </is>
      </c>
      <c r="F403" s="1074" t="n"/>
      <c r="G403" s="1074" t="n"/>
      <c r="H403" s="1074" t="inlineStr">
        <is>
          <t>在读</t>
        </is>
      </c>
      <c r="I403" s="1074" t="inlineStr">
        <is>
          <t>一期</t>
        </is>
      </c>
      <c r="J403" s="1074" t="inlineStr">
        <is>
          <t>5230775</t>
        </is>
      </c>
      <c r="K403" s="1074" t="inlineStr">
        <is>
          <t>报前测成绩</t>
        </is>
      </c>
      <c r="L403" s="1074" t="n">
        <v>100</v>
      </c>
      <c r="M403" s="1074" t="inlineStr">
        <is>
          <t>-</t>
        </is>
      </c>
      <c r="N403" s="1074" t="inlineStr">
        <is>
          <t>陈中帅</t>
        </is>
      </c>
      <c r="O403" s="1074" t="inlineStr">
        <is>
          <t>03品尚</t>
        </is>
      </c>
      <c r="P403" s="1074" t="inlineStr">
        <is>
          <t>10:20-12:30</t>
        </is>
      </c>
      <c r="Q403" s="1074" t="inlineStr">
        <is>
          <t>潜能班</t>
        </is>
      </c>
      <c r="R403" s="1074" t="inlineStr">
        <is>
          <t>一期</t>
        </is>
      </c>
      <c r="S403" s="1074" t="inlineStr">
        <is>
          <t>在读</t>
        </is>
      </c>
      <c r="T403" s="1074" t="inlineStr">
        <is>
          <t>-</t>
        </is>
      </c>
      <c r="U403" s="1074" t="inlineStr">
        <is>
          <t>3132834</t>
        </is>
      </c>
      <c r="V403" s="1074" t="n">
        <v>26</v>
      </c>
      <c r="W403" s="1074" t="inlineStr">
        <is>
          <t>李润</t>
        </is>
      </c>
      <c r="X403" s="1074" t="inlineStr">
        <is>
          <t>03品尚</t>
        </is>
      </c>
      <c r="Y403" s="1074" t="inlineStr">
        <is>
          <t>07:50-10:00</t>
        </is>
      </c>
      <c r="Z403" s="1074" t="inlineStr">
        <is>
          <t>潜能班</t>
        </is>
      </c>
      <c r="AA403" s="1074" t="inlineStr">
        <is>
          <t>一期</t>
        </is>
      </c>
      <c r="AB403" s="1074" t="inlineStr">
        <is>
          <t>在读</t>
        </is>
      </c>
      <c r="AC403" s="1074" t="inlineStr">
        <is>
          <t>-</t>
        </is>
      </c>
      <c r="AD403" s="1074" t="inlineStr">
        <is>
          <t>5230783</t>
        </is>
      </c>
      <c r="AE403" s="1074" t="n">
        <v>44</v>
      </c>
      <c r="AF403" s="1074" t="inlineStr">
        <is>
          <t>刘希子</t>
        </is>
      </c>
      <c r="AG403" s="1074" t="inlineStr">
        <is>
          <t>03品尚</t>
        </is>
      </c>
      <c r="AH403" s="1074" t="inlineStr">
        <is>
          <t>13:20-15:30</t>
        </is>
      </c>
      <c r="AI403" s="1074" t="inlineStr">
        <is>
          <t>潜能班</t>
        </is>
      </c>
      <c r="AJ403" s="1074" t="inlineStr">
        <is>
          <t>一期</t>
        </is>
      </c>
      <c r="AK403" s="1074" t="inlineStr">
        <is>
          <t>在读</t>
        </is>
      </c>
      <c r="AL403" s="1074" t="inlineStr">
        <is>
          <t>-</t>
        </is>
      </c>
      <c r="AM403" s="1074" t="n"/>
      <c r="AN403" s="1074" t="n"/>
      <c r="AO403" s="1074" t="n"/>
      <c r="AP403" s="1074" t="n"/>
      <c r="AQ403" s="1074" t="n"/>
      <c r="AR403" s="1074" t="inlineStr">
        <is>
          <t>A</t>
        </is>
      </c>
      <c r="AS403" s="1074" t="inlineStr">
        <is>
          <t>孩子程度较好，看看上课状态先</t>
        </is>
      </c>
    </row>
    <row r="404" ht="26.25" customFormat="1" customHeight="1" s="366">
      <c r="A404" s="1074" t="inlineStr">
        <is>
          <t>天成大厦</t>
        </is>
      </c>
      <c r="B404" s="1074" t="inlineStr">
        <is>
          <t>2527226009</t>
        </is>
      </c>
      <c r="C404" s="1074" t="inlineStr">
        <is>
          <t>陈玥伊</t>
        </is>
      </c>
      <c r="D404" s="1074" t="inlineStr">
        <is>
          <t>王达04</t>
        </is>
      </c>
      <c r="E404" s="1074" t="inlineStr">
        <is>
          <t>纯拉新</t>
        </is>
      </c>
      <c r="F404" s="1074" t="n"/>
      <c r="G404" s="1074" t="n"/>
      <c r="H404" s="1074" t="inlineStr">
        <is>
          <t>退费</t>
        </is>
      </c>
      <c r="I404" s="1074" t="inlineStr">
        <is>
          <t>-</t>
        </is>
      </c>
      <c r="J404" s="1074" t="inlineStr">
        <is>
          <t>5230775</t>
        </is>
      </c>
      <c r="K404" s="1074" t="inlineStr">
        <is>
          <t>-</t>
        </is>
      </c>
      <c r="L404" s="1074" t="inlineStr">
        <is>
          <t>-</t>
        </is>
      </c>
      <c r="M404" s="1074" t="inlineStr">
        <is>
          <t>-</t>
        </is>
      </c>
      <c r="N404" s="1074" t="inlineStr">
        <is>
          <t>陈中帅</t>
        </is>
      </c>
      <c r="O404" s="1074" t="inlineStr">
        <is>
          <t>03品尚</t>
        </is>
      </c>
      <c r="P404" s="1074" t="inlineStr">
        <is>
          <t>10:20-12:30</t>
        </is>
      </c>
      <c r="Q404" s="1074" t="inlineStr">
        <is>
          <t>潜能班</t>
        </is>
      </c>
      <c r="R404" s="1074" t="inlineStr">
        <is>
          <t>一期</t>
        </is>
      </c>
      <c r="S404" s="1074" t="inlineStr">
        <is>
          <t>课前退</t>
        </is>
      </c>
      <c r="T404" s="1074" t="inlineStr">
        <is>
          <t>-</t>
        </is>
      </c>
      <c r="U404" s="1074" t="inlineStr">
        <is>
          <t>3132834</t>
        </is>
      </c>
      <c r="V404" s="1074" t="n"/>
      <c r="W404" s="1074" t="inlineStr">
        <is>
          <t>李润</t>
        </is>
      </c>
      <c r="X404" s="1074" t="inlineStr">
        <is>
          <t>03品尚</t>
        </is>
      </c>
      <c r="Y404" s="1074" t="inlineStr">
        <is>
          <t>07:50-10:00</t>
        </is>
      </c>
      <c r="Z404" s="1074" t="inlineStr">
        <is>
          <t>潜能班</t>
        </is>
      </c>
      <c r="AA404" s="1074" t="inlineStr">
        <is>
          <t>一期</t>
        </is>
      </c>
      <c r="AB404" s="1074" t="inlineStr">
        <is>
          <t>课前退</t>
        </is>
      </c>
      <c r="AC404" s="1074" t="inlineStr">
        <is>
          <t>-</t>
        </is>
      </c>
      <c r="AD404" s="1074" t="inlineStr">
        <is>
          <t>5230783</t>
        </is>
      </c>
      <c r="AE404" s="1074" t="n"/>
      <c r="AF404" s="1074" t="inlineStr">
        <is>
          <t>刘希子</t>
        </is>
      </c>
      <c r="AG404" s="1074" t="inlineStr">
        <is>
          <t>03品尚</t>
        </is>
      </c>
      <c r="AH404" s="1074" t="inlineStr">
        <is>
          <t>13:20-15:30</t>
        </is>
      </c>
      <c r="AI404" s="1074" t="inlineStr">
        <is>
          <t>潜能班</t>
        </is>
      </c>
      <c r="AJ404" s="1074" t="inlineStr">
        <is>
          <t>一期</t>
        </is>
      </c>
      <c r="AK404" s="1074" t="inlineStr">
        <is>
          <t>课前退</t>
        </is>
      </c>
      <c r="AL404" s="1074" t="inlineStr">
        <is>
          <t>-</t>
        </is>
      </c>
      <c r="AM404" s="1074" t="n"/>
      <c r="AN404" s="1074" t="n"/>
      <c r="AO404" s="1074" t="n"/>
      <c r="AP404" s="1074" t="n"/>
      <c r="AQ404" s="1074" t="n"/>
      <c r="AR404" s="1074" t="n"/>
      <c r="AS404" s="1074" t="n"/>
    </row>
    <row r="405" ht="26.25" customFormat="1" customHeight="1" s="366">
      <c r="A405" s="1074" t="inlineStr">
        <is>
          <t>新宝利</t>
        </is>
      </c>
      <c r="B405" s="1074" t="inlineStr">
        <is>
          <t>2752351775</t>
        </is>
      </c>
      <c r="C405" s="1074" t="inlineStr">
        <is>
          <t>徐浩轩</t>
        </is>
      </c>
      <c r="D405" s="1074" t="inlineStr">
        <is>
          <t>林志豪01</t>
        </is>
      </c>
      <c r="E405" s="1074" t="inlineStr">
        <is>
          <t>纯拉新</t>
        </is>
      </c>
      <c r="F405" s="1074" t="n"/>
      <c r="G405" s="1074" t="n"/>
      <c r="H405" s="1074" t="inlineStr">
        <is>
          <t>在读</t>
        </is>
      </c>
      <c r="I405" s="1074" t="inlineStr">
        <is>
          <t>零期</t>
        </is>
      </c>
      <c r="J405" s="1074" t="inlineStr">
        <is>
          <t>3132884</t>
        </is>
      </c>
      <c r="K405" s="1074" t="inlineStr">
        <is>
          <t>报前测成绩</t>
        </is>
      </c>
      <c r="L405" s="1074" t="n">
        <v>70</v>
      </c>
      <c r="M405" s="1074" t="inlineStr">
        <is>
          <t>-</t>
        </is>
      </c>
      <c r="N405" s="1074" t="inlineStr">
        <is>
          <t>田雨涵01</t>
        </is>
      </c>
      <c r="O405" s="1074" t="inlineStr">
        <is>
          <t>教室3</t>
        </is>
      </c>
      <c r="P405" s="1074" t="inlineStr">
        <is>
          <t>13:20-15:30</t>
        </is>
      </c>
      <c r="Q405" s="1074" t="inlineStr">
        <is>
          <t>潜能班</t>
        </is>
      </c>
      <c r="R405" s="1074" t="inlineStr">
        <is>
          <t>零期</t>
        </is>
      </c>
      <c r="S405" s="1074" t="inlineStr">
        <is>
          <t>在读</t>
        </is>
      </c>
      <c r="T405" s="1074" t="inlineStr">
        <is>
          <t>-</t>
        </is>
      </c>
      <c r="U405" s="1074" t="inlineStr">
        <is>
          <t>-</t>
        </is>
      </c>
      <c r="V405" s="1074" t="inlineStr"/>
      <c r="W405" s="1074" t="inlineStr">
        <is>
          <t>-</t>
        </is>
      </c>
      <c r="X405" s="1074" t="inlineStr">
        <is>
          <t>-</t>
        </is>
      </c>
      <c r="Y405" s="1074" t="inlineStr">
        <is>
          <t>-</t>
        </is>
      </c>
      <c r="Z405" s="1074" t="inlineStr">
        <is>
          <t>-</t>
        </is>
      </c>
      <c r="AA405" s="1074" t="inlineStr">
        <is>
          <t>-</t>
        </is>
      </c>
      <c r="AB405" s="1074" t="inlineStr">
        <is>
          <t>-</t>
        </is>
      </c>
      <c r="AC405" s="1074" t="inlineStr">
        <is>
          <t>-</t>
        </is>
      </c>
      <c r="AD405" s="1074" t="inlineStr">
        <is>
          <t>5230723</t>
        </is>
      </c>
      <c r="AE405" s="1074" t="n">
        <v>33.5</v>
      </c>
      <c r="AF405" s="1074" t="inlineStr">
        <is>
          <t>肖锐03</t>
        </is>
      </c>
      <c r="AG405" s="1074" t="inlineStr">
        <is>
          <t>教室3</t>
        </is>
      </c>
      <c r="AH405" s="1074" t="inlineStr">
        <is>
          <t>15:50-18:00</t>
        </is>
      </c>
      <c r="AI405" s="1074" t="inlineStr">
        <is>
          <t>潜能班</t>
        </is>
      </c>
      <c r="AJ405" s="1074" t="inlineStr">
        <is>
          <t>零期</t>
        </is>
      </c>
      <c r="AK405" s="1074" t="inlineStr">
        <is>
          <t>在读</t>
        </is>
      </c>
      <c r="AL405" s="1074" t="inlineStr">
        <is>
          <t>-</t>
        </is>
      </c>
      <c r="AM405" s="1074" t="inlineStr">
        <is>
          <t>是</t>
        </is>
      </c>
      <c r="AN405" s="1074" t="inlineStr">
        <is>
          <t>是</t>
        </is>
      </c>
      <c r="AO405" s="1074" t="inlineStr">
        <is>
          <t>是</t>
        </is>
      </c>
      <c r="AP405" s="1074" t="n"/>
      <c r="AQ405" s="1074" t="n"/>
      <c r="AR405" s="1074" t="inlineStr">
        <is>
          <t>S</t>
        </is>
      </c>
      <c r="AS405" s="1074" t="inlineStr">
        <is>
          <t>之前娃想做乒乓球的，目前是区队。但是正因为训练多成绩落下了，目前走不了特长只能走校内成绩，需要恶补</t>
        </is>
      </c>
    </row>
    <row r="406" ht="26.25" customFormat="1" customHeight="1" s="366">
      <c r="A406" s="1074" t="inlineStr">
        <is>
          <t>新宝利</t>
        </is>
      </c>
      <c r="B406" s="1074" t="inlineStr">
        <is>
          <t>4769415192</t>
        </is>
      </c>
      <c r="C406" s="1074" t="inlineStr">
        <is>
          <t>关浩言</t>
        </is>
      </c>
      <c r="D406" s="1074" t="inlineStr">
        <is>
          <t>林志豪01</t>
        </is>
      </c>
      <c r="E406" s="1074" t="inlineStr">
        <is>
          <t>春季在读老生</t>
        </is>
      </c>
      <c r="F406" s="1074" t="inlineStr">
        <is>
          <t>团长，转介绍7人</t>
        </is>
      </c>
      <c r="G406" s="1074" t="n"/>
      <c r="H406" s="1074" t="inlineStr">
        <is>
          <t>在读</t>
        </is>
      </c>
      <c r="I406" s="1074" t="inlineStr">
        <is>
          <t>零期/二期</t>
        </is>
      </c>
      <c r="J406" s="1074" t="inlineStr">
        <is>
          <t>4513341</t>
        </is>
      </c>
      <c r="K406" s="1074" t="inlineStr">
        <is>
          <t>老师预估</t>
        </is>
      </c>
      <c r="L406" s="1074" t="n">
        <v>70</v>
      </c>
      <c r="M406" s="1074" t="inlineStr">
        <is>
          <t>-</t>
        </is>
      </c>
      <c r="N406" s="1074" t="inlineStr">
        <is>
          <t>陈中帅</t>
        </is>
      </c>
      <c r="O406" s="1074" t="inlineStr">
        <is>
          <t>教室3</t>
        </is>
      </c>
      <c r="P406" s="1074" t="inlineStr">
        <is>
          <t>15:50-18:00</t>
        </is>
      </c>
      <c r="Q406" s="1074" t="inlineStr">
        <is>
          <t>启能班</t>
        </is>
      </c>
      <c r="R406" s="1074" t="inlineStr">
        <is>
          <t>二期</t>
        </is>
      </c>
      <c r="S406" s="1074" t="inlineStr">
        <is>
          <t>在读</t>
        </is>
      </c>
      <c r="T406" s="1074" t="inlineStr">
        <is>
          <t>是</t>
        </is>
      </c>
      <c r="U406" s="1074" t="inlineStr">
        <is>
          <t>3132846</t>
        </is>
      </c>
      <c r="V406" s="1074" t="n">
        <v>0</v>
      </c>
      <c r="W406" s="1074" t="inlineStr">
        <is>
          <t>黄铭怡</t>
        </is>
      </c>
      <c r="X406" s="1074" t="inlineStr">
        <is>
          <t>教室3</t>
        </is>
      </c>
      <c r="Y406" s="1074" t="inlineStr">
        <is>
          <t>13:20-15:30</t>
        </is>
      </c>
      <c r="Z406" s="1074" t="inlineStr">
        <is>
          <t>潜能班</t>
        </is>
      </c>
      <c r="AA406" s="1074" t="inlineStr">
        <is>
          <t>二期</t>
        </is>
      </c>
      <c r="AB406" s="1074" t="inlineStr">
        <is>
          <t>在读</t>
        </is>
      </c>
      <c r="AC406" s="1074" t="inlineStr">
        <is>
          <t>是</t>
        </is>
      </c>
      <c r="AD406" s="1074" t="inlineStr">
        <is>
          <t>5230727</t>
        </is>
      </c>
      <c r="AE406" s="1074" t="n">
        <v>0</v>
      </c>
      <c r="AF406" s="1074" t="inlineStr">
        <is>
          <t>肖锐03</t>
        </is>
      </c>
      <c r="AG406" s="1074" t="inlineStr">
        <is>
          <t>教室2</t>
        </is>
      </c>
      <c r="AH406" s="1074" t="inlineStr">
        <is>
          <t>13:20-15:30</t>
        </is>
      </c>
      <c r="AI406" s="1074" t="inlineStr">
        <is>
          <t>潜能班</t>
        </is>
      </c>
      <c r="AJ406" s="1074" t="inlineStr">
        <is>
          <t>零期</t>
        </is>
      </c>
      <c r="AK406" s="1074" t="inlineStr">
        <is>
          <t>在读</t>
        </is>
      </c>
      <c r="AL406" s="1074" t="inlineStr">
        <is>
          <t>是</t>
        </is>
      </c>
      <c r="AM406" s="1074" t="inlineStr">
        <is>
          <t>是</t>
        </is>
      </c>
      <c r="AN406" s="1074" t="inlineStr">
        <is>
          <t>是</t>
        </is>
      </c>
      <c r="AO406" s="1074" t="inlineStr">
        <is>
          <t>否</t>
        </is>
      </c>
      <c r="AP406" s="1074" t="n"/>
      <c r="AQ406" s="1074" t="n"/>
      <c r="AR406" s="1074" t="inlineStr">
        <is>
          <t>S</t>
        </is>
      </c>
      <c r="AS406" s="1074" t="inlineStr">
        <is>
          <t>在读秋季已报名</t>
        </is>
      </c>
    </row>
    <row r="407" ht="26.25" customFormat="1" customHeight="1" s="366">
      <c r="A407" s="1074" t="inlineStr">
        <is>
          <t>新宝利</t>
        </is>
      </c>
      <c r="B407" s="1074" t="inlineStr">
        <is>
          <t>4199533248</t>
        </is>
      </c>
      <c r="C407" s="1074" t="inlineStr">
        <is>
          <t>陈君羡</t>
        </is>
      </c>
      <c r="D407" s="1074" t="inlineStr">
        <is>
          <t>林志豪01</t>
        </is>
      </c>
      <c r="E407" s="1074" t="inlineStr">
        <is>
          <t>老生转介绍</t>
        </is>
      </c>
      <c r="F407" s="1074" t="n"/>
      <c r="G407" s="1074" t="inlineStr">
        <is>
          <t>关浩言</t>
        </is>
      </c>
      <c r="H407" s="1074" t="inlineStr">
        <is>
          <t>在读</t>
        </is>
      </c>
      <c r="I407" s="1074" t="inlineStr">
        <is>
          <t>零期</t>
        </is>
      </c>
      <c r="J407" s="1074" t="inlineStr">
        <is>
          <t>3132880</t>
        </is>
      </c>
      <c r="K407" s="1074" t="inlineStr">
        <is>
          <t>报前测成绩</t>
        </is>
      </c>
      <c r="L407" s="1074" t="n">
        <v>80</v>
      </c>
      <c r="M407" s="1074" t="inlineStr">
        <is>
          <t>-</t>
        </is>
      </c>
      <c r="N407" s="1074" t="inlineStr">
        <is>
          <t>陈中帅</t>
        </is>
      </c>
      <c r="O407" s="1074" t="inlineStr">
        <is>
          <t>教室2</t>
        </is>
      </c>
      <c r="P407" s="1074" t="inlineStr">
        <is>
          <t>15:50-18:00</t>
        </is>
      </c>
      <c r="Q407" s="1074" t="inlineStr">
        <is>
          <t>启能班</t>
        </is>
      </c>
      <c r="R407" s="1074" t="inlineStr">
        <is>
          <t>零期</t>
        </is>
      </c>
      <c r="S407" s="1074" t="inlineStr">
        <is>
          <t>在读</t>
        </is>
      </c>
      <c r="T407" s="1074" t="inlineStr">
        <is>
          <t>-</t>
        </is>
      </c>
      <c r="U407" s="1074" t="inlineStr">
        <is>
          <t>3132859</t>
        </is>
      </c>
      <c r="V407" s="1074" t="n">
        <v>41</v>
      </c>
      <c r="W407" s="1074" t="inlineStr">
        <is>
          <t>黄铭怡</t>
        </is>
      </c>
      <c r="X407" s="1074" t="inlineStr">
        <is>
          <t>教室2</t>
        </is>
      </c>
      <c r="Y407" s="1074" t="inlineStr">
        <is>
          <t>10:20-12:30</t>
        </is>
      </c>
      <c r="Z407" s="1074" t="inlineStr">
        <is>
          <t>潜能班</t>
        </is>
      </c>
      <c r="AA407" s="1074" t="inlineStr">
        <is>
          <t>零期</t>
        </is>
      </c>
      <c r="AB407" s="1074" t="inlineStr">
        <is>
          <t>在读</t>
        </is>
      </c>
      <c r="AC407" s="1074" t="inlineStr">
        <is>
          <t>-</t>
        </is>
      </c>
      <c r="AD407" s="1074" t="inlineStr">
        <is>
          <t>5230727</t>
        </is>
      </c>
      <c r="AE407" s="1074" t="n">
        <v>39.5</v>
      </c>
      <c r="AF407" s="1074" t="inlineStr">
        <is>
          <t>肖锐03</t>
        </is>
      </c>
      <c r="AG407" s="1074" t="inlineStr">
        <is>
          <t>教室2</t>
        </is>
      </c>
      <c r="AH407" s="1074" t="inlineStr">
        <is>
          <t>13:20-15:30</t>
        </is>
      </c>
      <c r="AI407" s="1074" t="inlineStr">
        <is>
          <t>潜能班</t>
        </is>
      </c>
      <c r="AJ407" s="1074" t="inlineStr">
        <is>
          <t>零期</t>
        </is>
      </c>
      <c r="AK407" s="1074" t="inlineStr">
        <is>
          <t>在读</t>
        </is>
      </c>
      <c r="AL407" s="1074" t="inlineStr">
        <is>
          <t>-</t>
        </is>
      </c>
      <c r="AM407" s="1074" t="inlineStr">
        <is>
          <t>是</t>
        </is>
      </c>
      <c r="AN407" s="1074" t="inlineStr">
        <is>
          <t>是</t>
        </is>
      </c>
      <c r="AO407" s="1074" t="inlineStr">
        <is>
          <t>是</t>
        </is>
      </c>
      <c r="AP407" s="1074" t="n"/>
      <c r="AQ407" s="1074" t="n"/>
      <c r="AR407" s="1074" t="inlineStr">
        <is>
          <t>B</t>
        </is>
      </c>
      <c r="AS407" s="1074" t="inlineStr">
        <is>
          <t>转介绍，之前没报过培训机构，这次是和朋友一起咨询，只聊了暑假，秋没过多沟通</t>
        </is>
      </c>
    </row>
    <row r="408" ht="26.25" customFormat="1" customHeight="1" s="366">
      <c r="A408" s="1074" t="inlineStr">
        <is>
          <t>同创汇</t>
        </is>
      </c>
      <c r="B408" s="1074" t="inlineStr">
        <is>
          <t>2439586675</t>
        </is>
      </c>
      <c r="C408" s="1074" t="inlineStr">
        <is>
          <t>周名扬</t>
        </is>
      </c>
      <c r="D408" s="1074" t="inlineStr">
        <is>
          <t>戎凯01</t>
        </is>
      </c>
      <c r="E408" s="1074" t="inlineStr">
        <is>
          <t>纯拉新</t>
        </is>
      </c>
      <c r="F408" s="1074" t="n"/>
      <c r="G408" s="1074" t="n"/>
      <c r="H408" s="1074" t="inlineStr">
        <is>
          <t>在读</t>
        </is>
      </c>
      <c r="I408" s="1074" t="inlineStr">
        <is>
          <t>零期/二期</t>
        </is>
      </c>
      <c r="J408" s="1074" t="inlineStr">
        <is>
          <t>3132872</t>
        </is>
      </c>
      <c r="K408" s="1074" t="inlineStr">
        <is>
          <t>报前测成绩</t>
        </is>
      </c>
      <c r="L408" s="1074" t="n">
        <v>85</v>
      </c>
      <c r="M408" s="1074" t="inlineStr">
        <is>
          <t>-</t>
        </is>
      </c>
      <c r="N408" s="1074" t="inlineStr">
        <is>
          <t>何咏04</t>
        </is>
      </c>
      <c r="O408" s="1074" t="inlineStr">
        <is>
          <t>01智慧林</t>
        </is>
      </c>
      <c r="P408" s="1074" t="inlineStr">
        <is>
          <t>13:20-15:30</t>
        </is>
      </c>
      <c r="Q408" s="1074" t="inlineStr">
        <is>
          <t>潜能班</t>
        </is>
      </c>
      <c r="R408" s="1074" t="inlineStr">
        <is>
          <t>二期</t>
        </is>
      </c>
      <c r="S408" s="1074" t="inlineStr">
        <is>
          <t>在读</t>
        </is>
      </c>
      <c r="T408" s="1074" t="inlineStr">
        <is>
          <t>-</t>
        </is>
      </c>
      <c r="U408" s="1074" t="inlineStr">
        <is>
          <t>3132905</t>
        </is>
      </c>
      <c r="V408" s="1074" t="n">
        <v>0</v>
      </c>
      <c r="W408" s="1074" t="inlineStr">
        <is>
          <t>黄铭怡</t>
        </is>
      </c>
      <c r="X408" s="1074" t="inlineStr">
        <is>
          <t>02彩虹桥</t>
        </is>
      </c>
      <c r="Y408" s="1074" t="inlineStr">
        <is>
          <t>13:20-15:30</t>
        </is>
      </c>
      <c r="Z408" s="1074" t="inlineStr">
        <is>
          <t>潜能班</t>
        </is>
      </c>
      <c r="AA408" s="1074" t="inlineStr">
        <is>
          <t>零期</t>
        </is>
      </c>
      <c r="AB408" s="1074" t="inlineStr">
        <is>
          <t>在读</t>
        </is>
      </c>
      <c r="AC408" s="1074" t="inlineStr">
        <is>
          <t>-</t>
        </is>
      </c>
      <c r="AD408" s="1074" t="inlineStr">
        <is>
          <t>5230765</t>
        </is>
      </c>
      <c r="AE408" s="1074" t="n">
        <v>28</v>
      </c>
      <c r="AF408" s="1074" t="inlineStr">
        <is>
          <t>刘希子</t>
        </is>
      </c>
      <c r="AG408" s="1074" t="inlineStr">
        <is>
          <t>02彩虹桥</t>
        </is>
      </c>
      <c r="AH408" s="1074" t="inlineStr">
        <is>
          <t>10:20-12:30</t>
        </is>
      </c>
      <c r="AI408" s="1074" t="inlineStr">
        <is>
          <t>潜能班</t>
        </is>
      </c>
      <c r="AJ408" s="1074" t="inlineStr">
        <is>
          <t>零期</t>
        </is>
      </c>
      <c r="AK408" s="1074" t="inlineStr">
        <is>
          <t>在读</t>
        </is>
      </c>
      <c r="AL408" s="1074" t="inlineStr">
        <is>
          <t>-</t>
        </is>
      </c>
      <c r="AM408" s="1074" t="inlineStr">
        <is>
          <t>是</t>
        </is>
      </c>
      <c r="AN408" s="1074" t="inlineStr">
        <is>
          <t>是</t>
        </is>
      </c>
      <c r="AO408" s="1074" t="inlineStr">
        <is>
          <t>否</t>
        </is>
      </c>
      <c r="AP408" s="1074" t="n"/>
      <c r="AQ408" s="1074" t="n"/>
      <c r="AR408" s="1074" t="inlineStr">
        <is>
          <t>A</t>
        </is>
      </c>
      <c r="AS408" s="1074" t="inlineStr">
        <is>
          <t>讲座报名，择校方面妈妈不是很懂</t>
        </is>
      </c>
    </row>
    <row r="409" ht="26.25" customFormat="1" customHeight="1" s="366">
      <c r="A409" s="1074" t="inlineStr">
        <is>
          <t>同创汇</t>
        </is>
      </c>
      <c r="B409" s="1074" t="inlineStr">
        <is>
          <t>2930670841</t>
        </is>
      </c>
      <c r="C409" s="1074" t="inlineStr">
        <is>
          <t>梁流楷</t>
        </is>
      </c>
      <c r="D409" s="1074" t="inlineStr">
        <is>
          <t>苏丽婷</t>
        </is>
      </c>
      <c r="E409" s="1074" t="inlineStr">
        <is>
          <t>纯拉新</t>
        </is>
      </c>
      <c r="F409" s="1074" t="n"/>
      <c r="G409" s="1074" t="n"/>
      <c r="H409" s="1074" t="inlineStr">
        <is>
          <t>在读</t>
        </is>
      </c>
      <c r="I409" s="1074" t="inlineStr">
        <is>
          <t>零期</t>
        </is>
      </c>
      <c r="J409" s="1074" t="inlineStr">
        <is>
          <t>3132897</t>
        </is>
      </c>
      <c r="K409" s="1074" t="inlineStr">
        <is>
          <t>校内成绩</t>
        </is>
      </c>
      <c r="L409" s="1074" t="n">
        <v>72</v>
      </c>
      <c r="M409" s="1074" t="n">
        <v>90</v>
      </c>
      <c r="N409" s="1074" t="inlineStr">
        <is>
          <t>陈中帅</t>
        </is>
      </c>
      <c r="O409" s="1074" t="inlineStr">
        <is>
          <t>01智慧林</t>
        </is>
      </c>
      <c r="P409" s="1074" t="inlineStr">
        <is>
          <t>10:20-12:30</t>
        </is>
      </c>
      <c r="Q409" s="1074" t="inlineStr">
        <is>
          <t>潜能班</t>
        </is>
      </c>
      <c r="R409" s="1074" t="inlineStr">
        <is>
          <t>零期</t>
        </is>
      </c>
      <c r="S409" s="1074" t="inlineStr">
        <is>
          <t>在读</t>
        </is>
      </c>
      <c r="T409" s="1074" t="inlineStr">
        <is>
          <t>-</t>
        </is>
      </c>
      <c r="U409" s="1074" t="inlineStr">
        <is>
          <t>5230722</t>
        </is>
      </c>
      <c r="V409" s="1074" t="n">
        <v>0</v>
      </c>
      <c r="W409" s="1074" t="inlineStr">
        <is>
          <t>李润</t>
        </is>
      </c>
      <c r="X409" s="1074" t="inlineStr">
        <is>
          <t>01智慧林</t>
        </is>
      </c>
      <c r="Y409" s="1074" t="inlineStr">
        <is>
          <t>15:50-18:00</t>
        </is>
      </c>
      <c r="Z409" s="1074" t="inlineStr">
        <is>
          <t>潜能班</t>
        </is>
      </c>
      <c r="AA409" s="1074" t="inlineStr">
        <is>
          <t>零期</t>
        </is>
      </c>
      <c r="AB409" s="1074" t="inlineStr">
        <is>
          <t>在读</t>
        </is>
      </c>
      <c r="AC409" s="1074" t="inlineStr">
        <is>
          <t>-</t>
        </is>
      </c>
      <c r="AD409" s="1074" t="inlineStr">
        <is>
          <t>5230737</t>
        </is>
      </c>
      <c r="AE409" s="1074" t="n">
        <v>0</v>
      </c>
      <c r="AF409" s="1074" t="inlineStr">
        <is>
          <t>高心怡04</t>
        </is>
      </c>
      <c r="AG409" s="1074" t="inlineStr">
        <is>
          <t>01智慧林</t>
        </is>
      </c>
      <c r="AH409" s="1074" t="inlineStr">
        <is>
          <t>13:20-15:30</t>
        </is>
      </c>
      <c r="AI409" s="1074" t="inlineStr">
        <is>
          <t>潜能班</t>
        </is>
      </c>
      <c r="AJ409" s="1074" t="inlineStr">
        <is>
          <t>零期</t>
        </is>
      </c>
      <c r="AK409" s="1074" t="inlineStr">
        <is>
          <t>在读</t>
        </is>
      </c>
      <c r="AL409" s="1074" t="inlineStr">
        <is>
          <t>-</t>
        </is>
      </c>
      <c r="AM409" s="1074" t="inlineStr">
        <is>
          <t>是</t>
        </is>
      </c>
      <c r="AN409" s="1074" t="inlineStr">
        <is>
          <t>否</t>
        </is>
      </c>
      <c r="AO409" s="1074" t="inlineStr">
        <is>
          <t>否</t>
        </is>
      </c>
      <c r="AP409" s="1074" t="n"/>
      <c r="AQ409" s="1074" t="n"/>
      <c r="AR409" s="1074" t="inlineStr">
        <is>
          <t>A</t>
        </is>
      </c>
      <c r="AS409" s="1074" t="inlineStr">
        <is>
          <t>孩子很多课程、兴趣班在学，家长有教育理念，讲座转化，回家说和孩子沟通后主动联系报名课程</t>
        </is>
      </c>
    </row>
    <row r="410" ht="26.25" customFormat="1" customHeight="1" s="366">
      <c r="A410" s="1074" t="inlineStr">
        <is>
          <t>新宝利</t>
        </is>
      </c>
      <c r="B410" s="1074" t="inlineStr">
        <is>
          <t>4401719031</t>
        </is>
      </c>
      <c r="C410" s="1074" t="inlineStr">
        <is>
          <t>魏绍恒</t>
        </is>
      </c>
      <c r="D410" s="1074" t="inlineStr">
        <is>
          <t>张敏烨</t>
        </is>
      </c>
      <c r="E410" s="1074" t="inlineStr">
        <is>
          <t>纯拉新</t>
        </is>
      </c>
      <c r="F410" s="1074" t="n"/>
      <c r="G410" s="1074" t="n"/>
      <c r="H410" s="1074" t="inlineStr">
        <is>
          <t>在读</t>
        </is>
      </c>
      <c r="I410" s="1074" t="inlineStr">
        <is>
          <t>二期</t>
        </is>
      </c>
      <c r="J410" s="1074" t="inlineStr">
        <is>
          <t>5111034</t>
        </is>
      </c>
      <c r="K410" s="1074" t="inlineStr">
        <is>
          <t>报前测成绩</t>
        </is>
      </c>
      <c r="L410" s="1074" t="n">
        <v>60</v>
      </c>
      <c r="M410" s="1074" t="inlineStr">
        <is>
          <t>-</t>
        </is>
      </c>
      <c r="N410" s="1074" t="inlineStr">
        <is>
          <t>田雨涵01</t>
        </is>
      </c>
      <c r="O410" s="1074" t="inlineStr">
        <is>
          <t>教室4</t>
        </is>
      </c>
      <c r="P410" s="1074" t="inlineStr">
        <is>
          <t>13:20-15:30</t>
        </is>
      </c>
      <c r="Q410" s="1074" t="inlineStr">
        <is>
          <t>潜能班</t>
        </is>
      </c>
      <c r="R410" s="1074" t="inlineStr">
        <is>
          <t>二期</t>
        </is>
      </c>
      <c r="S410" s="1074" t="inlineStr">
        <is>
          <t>在读</t>
        </is>
      </c>
      <c r="T410" s="1074" t="inlineStr">
        <is>
          <t>-</t>
        </is>
      </c>
      <c r="U410" s="1074" t="inlineStr">
        <is>
          <t>4513342</t>
        </is>
      </c>
      <c r="V410" s="1074" t="n">
        <v>30</v>
      </c>
      <c r="W410" s="1074" t="inlineStr">
        <is>
          <t>黄铭怡</t>
        </is>
      </c>
      <c r="X410" s="1074" t="inlineStr">
        <is>
          <t>教室4</t>
        </is>
      </c>
      <c r="Y410" s="1074" t="inlineStr">
        <is>
          <t>10:20-12:30</t>
        </is>
      </c>
      <c r="Z410" s="1074" t="inlineStr">
        <is>
          <t>潜能班</t>
        </is>
      </c>
      <c r="AA410" s="1074" t="inlineStr">
        <is>
          <t>二期</t>
        </is>
      </c>
      <c r="AB410" s="1074" t="inlineStr">
        <is>
          <t>在读</t>
        </is>
      </c>
      <c r="AC410" s="1074" t="inlineStr">
        <is>
          <t>-</t>
        </is>
      </c>
      <c r="AD410" s="1074" t="inlineStr">
        <is>
          <t>4513340</t>
        </is>
      </c>
      <c r="AE410" s="1074" t="n">
        <v>21</v>
      </c>
      <c r="AF410" s="1074" t="inlineStr">
        <is>
          <t>高心怡04</t>
        </is>
      </c>
      <c r="AG410" s="1074" t="inlineStr">
        <is>
          <t>教室4</t>
        </is>
      </c>
      <c r="AH410" s="1074" t="inlineStr">
        <is>
          <t>15:50-18:00</t>
        </is>
      </c>
      <c r="AI410" s="1074" t="inlineStr">
        <is>
          <t>潜能班</t>
        </is>
      </c>
      <c r="AJ410" s="1074" t="inlineStr">
        <is>
          <t>二期</t>
        </is>
      </c>
      <c r="AK410" s="1074" t="inlineStr">
        <is>
          <t>在读</t>
        </is>
      </c>
      <c r="AL410" s="1074" t="inlineStr">
        <is>
          <t>-</t>
        </is>
      </c>
      <c r="AM410" s="1074" t="n"/>
      <c r="AN410" s="1074" t="n"/>
      <c r="AO410" s="1074" t="n"/>
      <c r="AP410" s="1074" t="n"/>
      <c r="AQ410" s="1074" t="n"/>
      <c r="AR410" s="1074" t="inlineStr">
        <is>
          <t>B</t>
        </is>
      </c>
      <c r="AS410" s="1074" t="inlineStr">
        <is>
          <t>未咨询过秋季价格</t>
        </is>
      </c>
    </row>
    <row r="411" ht="26.25" customFormat="1" customHeight="1" s="366">
      <c r="A411" s="1074" t="inlineStr">
        <is>
          <t>天成大厦</t>
        </is>
      </c>
      <c r="B411" s="1074" t="inlineStr">
        <is>
          <t>4560291309</t>
        </is>
      </c>
      <c r="C411" s="1074" t="inlineStr">
        <is>
          <t>潘一宁</t>
        </is>
      </c>
      <c r="D411" s="1074" t="inlineStr">
        <is>
          <t>沈思浩</t>
        </is>
      </c>
      <c r="E411" s="1074" t="inlineStr">
        <is>
          <t>纯拉新</t>
        </is>
      </c>
      <c r="F411" s="1074" t="inlineStr">
        <is>
          <t>升学渠道</t>
        </is>
      </c>
      <c r="G411" s="1074" t="n"/>
      <c r="H411" s="1074" t="inlineStr">
        <is>
          <t>退费</t>
        </is>
      </c>
      <c r="I411" s="1074" t="inlineStr">
        <is>
          <t>-</t>
        </is>
      </c>
      <c r="J411" s="1074" t="inlineStr">
        <is>
          <t>5230775</t>
        </is>
      </c>
      <c r="K411" s="1074" t="inlineStr">
        <is>
          <t>校内成绩</t>
        </is>
      </c>
      <c r="L411" s="1074" t="n">
        <v>89</v>
      </c>
      <c r="M411" s="1074" t="n">
        <v>99</v>
      </c>
      <c r="N411" s="1074" t="inlineStr">
        <is>
          <t>陈中帅</t>
        </is>
      </c>
      <c r="O411" s="1074" t="inlineStr">
        <is>
          <t>03品尚</t>
        </is>
      </c>
      <c r="P411" s="1074" t="inlineStr">
        <is>
          <t>10:20-12:30</t>
        </is>
      </c>
      <c r="Q411" s="1074" t="inlineStr">
        <is>
          <t>潜能班</t>
        </is>
      </c>
      <c r="R411" s="1074" t="inlineStr">
        <is>
          <t>一期</t>
        </is>
      </c>
      <c r="S411" s="1074" t="inlineStr">
        <is>
          <t>课前退</t>
        </is>
      </c>
      <c r="T411" s="1074" t="inlineStr">
        <is>
          <t>-</t>
        </is>
      </c>
      <c r="U411" s="1074" t="inlineStr">
        <is>
          <t>3132834</t>
        </is>
      </c>
      <c r="V411" s="1074" t="n">
        <v>0</v>
      </c>
      <c r="W411" s="1074" t="inlineStr">
        <is>
          <t>李润</t>
        </is>
      </c>
      <c r="X411" s="1074" t="inlineStr">
        <is>
          <t>03品尚</t>
        </is>
      </c>
      <c r="Y411" s="1074" t="inlineStr">
        <is>
          <t>07:50-10:00</t>
        </is>
      </c>
      <c r="Z411" s="1074" t="inlineStr">
        <is>
          <t>潜能班</t>
        </is>
      </c>
      <c r="AA411" s="1074" t="inlineStr">
        <is>
          <t>一期</t>
        </is>
      </c>
      <c r="AB411" s="1074" t="inlineStr">
        <is>
          <t>课前退</t>
        </is>
      </c>
      <c r="AC411" s="1074" t="inlineStr">
        <is>
          <t>-</t>
        </is>
      </c>
      <c r="AD411" s="1074" t="inlineStr">
        <is>
          <t>5230783</t>
        </is>
      </c>
      <c r="AE411" s="1074" t="n">
        <v>0</v>
      </c>
      <c r="AF411" s="1074" t="inlineStr">
        <is>
          <t>刘希子</t>
        </is>
      </c>
      <c r="AG411" s="1074" t="inlineStr">
        <is>
          <t>03品尚</t>
        </is>
      </c>
      <c r="AH411" s="1074" t="inlineStr">
        <is>
          <t>13:20-15:30</t>
        </is>
      </c>
      <c r="AI411" s="1074" t="inlineStr">
        <is>
          <t>潜能班</t>
        </is>
      </c>
      <c r="AJ411" s="1074" t="inlineStr">
        <is>
          <t>一期</t>
        </is>
      </c>
      <c r="AK411" s="1074" t="inlineStr">
        <is>
          <t>课前退</t>
        </is>
      </c>
      <c r="AL411" s="1074" t="inlineStr">
        <is>
          <t>-</t>
        </is>
      </c>
      <c r="AM411" s="1074" t="n"/>
      <c r="AN411" s="1074" t="n"/>
      <c r="AO411" s="1074" t="n"/>
      <c r="AP411" s="1074" t="n"/>
      <c r="AQ411" s="1074" t="n"/>
      <c r="AR411" s="1074" t="n"/>
      <c r="AS411" s="1074" t="n"/>
    </row>
    <row r="412" ht="26.25" customFormat="1" customHeight="1" s="366">
      <c r="A412" s="1074" t="inlineStr">
        <is>
          <t>同创汇</t>
        </is>
      </c>
      <c r="B412" s="1074" t="inlineStr">
        <is>
          <t>4815840303</t>
        </is>
      </c>
      <c r="C412" s="1074" t="inlineStr">
        <is>
          <t>雷斐然</t>
        </is>
      </c>
      <c r="D412" s="1074" t="inlineStr">
        <is>
          <t>苏丽婷</t>
        </is>
      </c>
      <c r="E412" s="1074" t="inlineStr">
        <is>
          <t>纯拉新</t>
        </is>
      </c>
      <c r="F412" s="1074" t="n"/>
      <c r="G412" s="1074" t="n"/>
      <c r="H412" s="1074" t="inlineStr">
        <is>
          <t>在读</t>
        </is>
      </c>
      <c r="I412" s="1074" t="inlineStr">
        <is>
          <t>零期</t>
        </is>
      </c>
      <c r="J412" s="1074" t="inlineStr">
        <is>
          <t>3132897</t>
        </is>
      </c>
      <c r="K412" s="1074" t="inlineStr">
        <is>
          <t>报前测成绩</t>
        </is>
      </c>
      <c r="L412" s="1074" t="n">
        <v>60</v>
      </c>
      <c r="M412" s="1074" t="inlineStr">
        <is>
          <t>-</t>
        </is>
      </c>
      <c r="N412" s="1074" t="inlineStr">
        <is>
          <t>陈中帅</t>
        </is>
      </c>
      <c r="O412" s="1074" t="inlineStr">
        <is>
          <t>01智慧林</t>
        </is>
      </c>
      <c r="P412" s="1074" t="inlineStr">
        <is>
          <t>10:20-12:30</t>
        </is>
      </c>
      <c r="Q412" s="1074" t="inlineStr">
        <is>
          <t>潜能班</t>
        </is>
      </c>
      <c r="R412" s="1074" t="inlineStr">
        <is>
          <t>零期</t>
        </is>
      </c>
      <c r="S412" s="1074" t="inlineStr">
        <is>
          <t>在读</t>
        </is>
      </c>
      <c r="T412" s="1074" t="inlineStr">
        <is>
          <t>-</t>
        </is>
      </c>
      <c r="U412" s="1074" t="inlineStr">
        <is>
          <t>5230722</t>
        </is>
      </c>
      <c r="V412" s="1074" t="n">
        <v>0</v>
      </c>
      <c r="W412" s="1074" t="inlineStr">
        <is>
          <t>李润</t>
        </is>
      </c>
      <c r="X412" s="1074" t="inlineStr">
        <is>
          <t>01智慧林</t>
        </is>
      </c>
      <c r="Y412" s="1074" t="inlineStr">
        <is>
          <t>15:50-18:00</t>
        </is>
      </c>
      <c r="Z412" s="1074" t="inlineStr">
        <is>
          <t>潜能班</t>
        </is>
      </c>
      <c r="AA412" s="1074" t="inlineStr">
        <is>
          <t>零期</t>
        </is>
      </c>
      <c r="AB412" s="1074" t="inlineStr">
        <is>
          <t>在读</t>
        </is>
      </c>
      <c r="AC412" s="1074" t="inlineStr">
        <is>
          <t>-</t>
        </is>
      </c>
      <c r="AD412" s="1074" t="inlineStr">
        <is>
          <t>5230737</t>
        </is>
      </c>
      <c r="AE412" s="1074" t="n">
        <v>38</v>
      </c>
      <c r="AF412" s="1074" t="inlineStr">
        <is>
          <t>高心怡04</t>
        </is>
      </c>
      <c r="AG412" s="1074" t="inlineStr">
        <is>
          <t>01智慧林</t>
        </is>
      </c>
      <c r="AH412" s="1074" t="inlineStr">
        <is>
          <t>13:20-15:30</t>
        </is>
      </c>
      <c r="AI412" s="1074" t="inlineStr">
        <is>
          <t>潜能班</t>
        </is>
      </c>
      <c r="AJ412" s="1074" t="inlineStr">
        <is>
          <t>零期</t>
        </is>
      </c>
      <c r="AK412" s="1074" t="inlineStr">
        <is>
          <t>在读</t>
        </is>
      </c>
      <c r="AL412" s="1074" t="inlineStr">
        <is>
          <t>-</t>
        </is>
      </c>
      <c r="AM412" s="1074" t="inlineStr">
        <is>
          <t>是</t>
        </is>
      </c>
      <c r="AN412" s="1074" t="inlineStr">
        <is>
          <t>是</t>
        </is>
      </c>
      <c r="AO412" s="1074" t="inlineStr">
        <is>
          <t>是</t>
        </is>
      </c>
      <c r="AP412" s="1074" t="n"/>
      <c r="AQ412" s="1074" t="n"/>
      <c r="AR412" s="1074" t="inlineStr">
        <is>
          <t>A</t>
        </is>
      </c>
      <c r="AS412" s="1074" t="inlineStr">
        <is>
          <t>讲座转化的，爸妈一起了解政策，重视孩子的教育</t>
        </is>
      </c>
    </row>
    <row r="413" ht="26.25" customFormat="1" customHeight="1" s="366">
      <c r="A413" s="1074" t="inlineStr">
        <is>
          <t>同创汇</t>
        </is>
      </c>
      <c r="B413" s="1074" t="inlineStr">
        <is>
          <t>2948961140</t>
        </is>
      </c>
      <c r="C413" s="1074" t="inlineStr">
        <is>
          <t>果儿</t>
        </is>
      </c>
      <c r="D413" s="1074" t="inlineStr">
        <is>
          <t>戎凯01</t>
        </is>
      </c>
      <c r="E413" s="1074" t="inlineStr">
        <is>
          <t>春季在读老生</t>
        </is>
      </c>
      <c r="F413" s="1074" t="n"/>
      <c r="G413" s="1074" t="n"/>
      <c r="H413" s="1074" t="inlineStr">
        <is>
          <t>在读</t>
        </is>
      </c>
      <c r="I413" s="1074" t="inlineStr">
        <is>
          <t>零期</t>
        </is>
      </c>
      <c r="J413" s="1074" t="inlineStr">
        <is>
          <t>5230814</t>
        </is>
      </c>
      <c r="K413" s="1074" t="inlineStr">
        <is>
          <t>报前测成绩</t>
        </is>
      </c>
      <c r="L413" s="1074" t="n">
        <v>82</v>
      </c>
      <c r="M413" s="1074" t="inlineStr">
        <is>
          <t>-</t>
        </is>
      </c>
      <c r="N413" s="1074" t="inlineStr">
        <is>
          <t>陈中帅</t>
        </is>
      </c>
      <c r="O413" s="1074" t="inlineStr">
        <is>
          <t>02彩虹桥</t>
        </is>
      </c>
      <c r="P413" s="1074" t="inlineStr">
        <is>
          <t>07:50-10:00</t>
        </is>
      </c>
      <c r="Q413" s="1074" t="inlineStr">
        <is>
          <t>启能班</t>
        </is>
      </c>
      <c r="R413" s="1074" t="inlineStr">
        <is>
          <t>零期</t>
        </is>
      </c>
      <c r="S413" s="1074" t="inlineStr">
        <is>
          <t>在读</t>
        </is>
      </c>
      <c r="T413" s="1074" t="inlineStr">
        <is>
          <t>-</t>
        </is>
      </c>
      <c r="U413" s="1074" t="inlineStr">
        <is>
          <t>3132905</t>
        </is>
      </c>
      <c r="V413" s="1074" t="n">
        <v>0</v>
      </c>
      <c r="W413" s="1074" t="inlineStr">
        <is>
          <t>黄铭怡</t>
        </is>
      </c>
      <c r="X413" s="1074" t="inlineStr">
        <is>
          <t>02彩虹桥</t>
        </is>
      </c>
      <c r="Y413" s="1074" t="inlineStr">
        <is>
          <t>13:20-15:30</t>
        </is>
      </c>
      <c r="Z413" s="1074" t="inlineStr">
        <is>
          <t>潜能班</t>
        </is>
      </c>
      <c r="AA413" s="1074" t="inlineStr">
        <is>
          <t>零期</t>
        </is>
      </c>
      <c r="AB413" s="1074" t="inlineStr">
        <is>
          <t>在读</t>
        </is>
      </c>
      <c r="AC413" s="1074" t="inlineStr">
        <is>
          <t>-</t>
        </is>
      </c>
      <c r="AD413" s="1074" t="inlineStr">
        <is>
          <t>5230765</t>
        </is>
      </c>
      <c r="AE413" s="1074" t="n">
        <v>41.5</v>
      </c>
      <c r="AF413" s="1074" t="inlineStr">
        <is>
          <t>刘希子</t>
        </is>
      </c>
      <c r="AG413" s="1074" t="inlineStr">
        <is>
          <t>02彩虹桥</t>
        </is>
      </c>
      <c r="AH413" s="1074" t="inlineStr">
        <is>
          <t>10:20-12:30</t>
        </is>
      </c>
      <c r="AI413" s="1074" t="inlineStr">
        <is>
          <t>潜能班</t>
        </is>
      </c>
      <c r="AJ413" s="1074" t="inlineStr">
        <is>
          <t>零期</t>
        </is>
      </c>
      <c r="AK413" s="1074" t="inlineStr">
        <is>
          <t>在读</t>
        </is>
      </c>
      <c r="AL413" s="1074" t="inlineStr">
        <is>
          <t>-</t>
        </is>
      </c>
      <c r="AM413" s="1074" t="inlineStr">
        <is>
          <t>是</t>
        </is>
      </c>
      <c r="AN413" s="1074" t="inlineStr">
        <is>
          <t>否</t>
        </is>
      </c>
      <c r="AO413" s="1074" t="inlineStr">
        <is>
          <t>否</t>
        </is>
      </c>
      <c r="AP413" s="1074" t="n"/>
      <c r="AQ413" s="1074" t="n"/>
      <c r="AR413" s="1074" t="inlineStr">
        <is>
          <t>S</t>
        </is>
      </c>
      <c r="AS413" s="1074" t="inlineStr">
        <is>
          <t>春季在读</t>
        </is>
      </c>
    </row>
    <row r="414" ht="26.25" customFormat="1" customHeight="1" s="366">
      <c r="A414" s="1074" t="inlineStr">
        <is>
          <t>同创汇</t>
        </is>
      </c>
      <c r="B414" s="1074" t="inlineStr">
        <is>
          <t>4186122294</t>
        </is>
      </c>
      <c r="C414" s="1074" t="inlineStr">
        <is>
          <t>苏颖旋</t>
        </is>
      </c>
      <c r="D414" s="1074" t="inlineStr">
        <is>
          <t>戎凯01</t>
        </is>
      </c>
      <c r="E414" s="1074" t="inlineStr">
        <is>
          <t>纯拉新</t>
        </is>
      </c>
      <c r="F414" s="1074" t="n"/>
      <c r="G414" s="1074" t="n"/>
      <c r="H414" s="1074" t="inlineStr">
        <is>
          <t>退费</t>
        </is>
      </c>
      <c r="I414" s="1074" t="inlineStr">
        <is>
          <t>-</t>
        </is>
      </c>
      <c r="J414" s="1074" t="inlineStr">
        <is>
          <t>5230806</t>
        </is>
      </c>
      <c r="K414" s="1074" t="inlineStr">
        <is>
          <t>报前测成绩</t>
        </is>
      </c>
      <c r="L414" s="1074" t="n">
        <v>29</v>
      </c>
      <c r="M414" s="1074" t="inlineStr">
        <is>
          <t>-</t>
        </is>
      </c>
      <c r="N414" s="1074" t="inlineStr">
        <is>
          <t>田雨涵01</t>
        </is>
      </c>
      <c r="O414" s="1074" t="inlineStr">
        <is>
          <t>03识海阁</t>
        </is>
      </c>
      <c r="P414" s="1074" t="inlineStr">
        <is>
          <t>10:20-12:30</t>
        </is>
      </c>
      <c r="Q414" s="1074" t="inlineStr">
        <is>
          <t>潜能班</t>
        </is>
      </c>
      <c r="R414" s="1074" t="inlineStr">
        <is>
          <t>零期</t>
        </is>
      </c>
      <c r="S414" s="1074" t="inlineStr">
        <is>
          <t>课前退</t>
        </is>
      </c>
      <c r="T414" s="1074" t="inlineStr">
        <is>
          <t>-</t>
        </is>
      </c>
      <c r="U414" s="1074" t="inlineStr">
        <is>
          <t>5170872</t>
        </is>
      </c>
      <c r="V414" s="1074" t="n">
        <v>0</v>
      </c>
      <c r="W414" s="1074" t="inlineStr">
        <is>
          <t>陈南05</t>
        </is>
      </c>
      <c r="X414" s="1074" t="inlineStr">
        <is>
          <t>03识海阁</t>
        </is>
      </c>
      <c r="Y414" s="1074" t="inlineStr">
        <is>
          <t>13:20-15:30</t>
        </is>
      </c>
      <c r="Z414" s="1074" t="inlineStr">
        <is>
          <t>潜能班</t>
        </is>
      </c>
      <c r="AA414" s="1074" t="inlineStr">
        <is>
          <t>零期</t>
        </is>
      </c>
      <c r="AB414" s="1074" t="inlineStr">
        <is>
          <t>课前退</t>
        </is>
      </c>
      <c r="AC414" s="1074" t="inlineStr">
        <is>
          <t>-</t>
        </is>
      </c>
      <c r="AD414" s="1074" t="inlineStr">
        <is>
          <t>3132865</t>
        </is>
      </c>
      <c r="AE414" s="1074" t="n">
        <v>29</v>
      </c>
      <c r="AF414" s="1074" t="inlineStr">
        <is>
          <t>刘希子</t>
        </is>
      </c>
      <c r="AG414" s="1074" t="inlineStr">
        <is>
          <t>03识海阁</t>
        </is>
      </c>
      <c r="AH414" s="1074" t="inlineStr">
        <is>
          <t>15:50-18:00</t>
        </is>
      </c>
      <c r="AI414" s="1074" t="inlineStr">
        <is>
          <t>潜能班</t>
        </is>
      </c>
      <c r="AJ414" s="1074" t="inlineStr">
        <is>
          <t>零期</t>
        </is>
      </c>
      <c r="AK414" s="1074" t="inlineStr">
        <is>
          <t>课前退</t>
        </is>
      </c>
      <c r="AL414" s="1074" t="inlineStr">
        <is>
          <t>-</t>
        </is>
      </c>
      <c r="AM414" s="1074" t="n"/>
      <c r="AN414" s="1074" t="n"/>
      <c r="AO414" s="1074" t="n"/>
      <c r="AP414" s="1074" t="n"/>
      <c r="AQ414" s="1074" t="n"/>
      <c r="AR414" s="1074" t="inlineStr">
        <is>
          <t>B</t>
        </is>
      </c>
      <c r="AS414" s="1074" t="inlineStr">
        <is>
          <t>要来新宝利的时间，还没回复</t>
        </is>
      </c>
    </row>
    <row r="415" ht="26.25" customFormat="1" customHeight="1" s="366">
      <c r="A415" s="1074" t="inlineStr">
        <is>
          <t>同创汇</t>
        </is>
      </c>
      <c r="B415" s="1074" t="inlineStr">
        <is>
          <t>4443796286</t>
        </is>
      </c>
      <c r="C415" s="1074" t="inlineStr">
        <is>
          <t>马涌钛</t>
        </is>
      </c>
      <c r="D415" s="1074" t="inlineStr">
        <is>
          <t>戎凯01</t>
        </is>
      </c>
      <c r="E415" s="1074" t="inlineStr">
        <is>
          <t>春季在读老生</t>
        </is>
      </c>
      <c r="F415" s="1074" t="n"/>
      <c r="G415" s="1074" t="n"/>
      <c r="H415" s="1074" t="inlineStr">
        <is>
          <t>在读</t>
        </is>
      </c>
      <c r="I415" s="1074" t="inlineStr">
        <is>
          <t>零期/一期</t>
        </is>
      </c>
      <c r="J415" s="1074" t="inlineStr">
        <is>
          <t>-</t>
        </is>
      </c>
      <c r="K415" s="1074" t="inlineStr"/>
      <c r="L415" s="1074" t="inlineStr"/>
      <c r="M415" s="1074" t="inlineStr"/>
      <c r="N415" s="1074" t="inlineStr">
        <is>
          <t>-</t>
        </is>
      </c>
      <c r="O415" s="1074" t="inlineStr">
        <is>
          <t>-</t>
        </is>
      </c>
      <c r="P415" s="1074" t="inlineStr">
        <is>
          <t>-</t>
        </is>
      </c>
      <c r="Q415" s="1074" t="inlineStr">
        <is>
          <t>-</t>
        </is>
      </c>
      <c r="R415" s="1074" t="inlineStr">
        <is>
          <t>-</t>
        </is>
      </c>
      <c r="S415" s="1074" t="inlineStr">
        <is>
          <t>-</t>
        </is>
      </c>
      <c r="T415" s="1074" t="inlineStr">
        <is>
          <t>-</t>
        </is>
      </c>
      <c r="U415" s="1074" t="inlineStr">
        <is>
          <t>5230828</t>
        </is>
      </c>
      <c r="V415" s="1074" t="n">
        <v>0</v>
      </c>
      <c r="W415" s="1074" t="inlineStr">
        <is>
          <t>黄铭怡</t>
        </is>
      </c>
      <c r="X415" s="1074" t="inlineStr">
        <is>
          <t>01智慧林</t>
        </is>
      </c>
      <c r="Y415" s="1074" t="inlineStr">
        <is>
          <t>10:20-12:30</t>
        </is>
      </c>
      <c r="Z415" s="1074" t="inlineStr">
        <is>
          <t>潜能班</t>
        </is>
      </c>
      <c r="AA415" s="1074" t="inlineStr">
        <is>
          <t>一期</t>
        </is>
      </c>
      <c r="AB415" s="1074" t="inlineStr">
        <is>
          <t>在读</t>
        </is>
      </c>
      <c r="AC415" s="1074" t="inlineStr">
        <is>
          <t>是</t>
        </is>
      </c>
      <c r="AD415" s="1074" t="inlineStr">
        <is>
          <t>5230765</t>
        </is>
      </c>
      <c r="AE415" s="1074" t="n">
        <v>0</v>
      </c>
      <c r="AF415" s="1074" t="inlineStr">
        <is>
          <t>刘希子</t>
        </is>
      </c>
      <c r="AG415" s="1074" t="inlineStr">
        <is>
          <t>02彩虹桥</t>
        </is>
      </c>
      <c r="AH415" s="1074" t="inlineStr">
        <is>
          <t>10:20-12:30</t>
        </is>
      </c>
      <c r="AI415" s="1074" t="inlineStr">
        <is>
          <t>潜能班</t>
        </is>
      </c>
      <c r="AJ415" s="1074" t="inlineStr">
        <is>
          <t>零期</t>
        </is>
      </c>
      <c r="AK415" s="1074" t="inlineStr">
        <is>
          <t>在读</t>
        </is>
      </c>
      <c r="AL415" s="1074" t="inlineStr">
        <is>
          <t>-</t>
        </is>
      </c>
      <c r="AM415" s="1074" t="inlineStr">
        <is>
          <t>是</t>
        </is>
      </c>
      <c r="AN415" s="1074" t="inlineStr">
        <is>
          <t>是</t>
        </is>
      </c>
      <c r="AO415" s="1074" t="inlineStr">
        <is>
          <t>否</t>
        </is>
      </c>
      <c r="AP415" s="1074" t="n"/>
      <c r="AQ415" s="1074" t="n"/>
      <c r="AR415" s="1074" t="inlineStr">
        <is>
          <t>A</t>
        </is>
      </c>
      <c r="AS415" s="1074" t="inlineStr">
        <is>
          <t>在读扩科</t>
        </is>
      </c>
    </row>
    <row r="416" ht="26.25" customFormat="1" customHeight="1" s="366">
      <c r="A416" s="1074" t="inlineStr">
        <is>
          <t>同创汇</t>
        </is>
      </c>
      <c r="B416" s="1074" t="inlineStr">
        <is>
          <t>4787927529</t>
        </is>
      </c>
      <c r="C416" s="1074" t="inlineStr">
        <is>
          <t>姚诗琳</t>
        </is>
      </c>
      <c r="D416" s="1074" t="inlineStr">
        <is>
          <t>戎凯01</t>
        </is>
      </c>
      <c r="E416" s="1074" t="inlineStr">
        <is>
          <t>纯拉新</t>
        </is>
      </c>
      <c r="F416" s="1074" t="n"/>
      <c r="G416" s="1074" t="n"/>
      <c r="H416" s="1074" t="inlineStr">
        <is>
          <t>在读</t>
        </is>
      </c>
      <c r="I416" s="1074" t="inlineStr">
        <is>
          <t>零期</t>
        </is>
      </c>
      <c r="J416" s="1074" t="inlineStr">
        <is>
          <t>5230806</t>
        </is>
      </c>
      <c r="K416" s="1074" t="inlineStr">
        <is>
          <t>报前测成绩</t>
        </is>
      </c>
      <c r="L416" s="1074" t="n">
        <v>105</v>
      </c>
      <c r="M416" s="1074" t="inlineStr">
        <is>
          <t>-</t>
        </is>
      </c>
      <c r="N416" s="1074" t="inlineStr">
        <is>
          <t>田雨涵01</t>
        </is>
      </c>
      <c r="O416" s="1074" t="inlineStr">
        <is>
          <t>03识海阁</t>
        </is>
      </c>
      <c r="P416" s="1074" t="inlineStr">
        <is>
          <t>10:20-12:30</t>
        </is>
      </c>
      <c r="Q416" s="1074" t="inlineStr">
        <is>
          <t>潜能班</t>
        </is>
      </c>
      <c r="R416" s="1074" t="inlineStr">
        <is>
          <t>零期</t>
        </is>
      </c>
      <c r="S416" s="1074" t="inlineStr">
        <is>
          <t>在读</t>
        </is>
      </c>
      <c r="T416" s="1074" t="inlineStr">
        <is>
          <t>-</t>
        </is>
      </c>
      <c r="U416" s="1074" t="inlineStr">
        <is>
          <t>3132905</t>
        </is>
      </c>
      <c r="V416" s="1074" t="n">
        <v>0</v>
      </c>
      <c r="W416" s="1074" t="inlineStr">
        <is>
          <t>黄铭怡</t>
        </is>
      </c>
      <c r="X416" s="1074" t="inlineStr">
        <is>
          <t>02彩虹桥</t>
        </is>
      </c>
      <c r="Y416" s="1074" t="inlineStr">
        <is>
          <t>13:20-15:30</t>
        </is>
      </c>
      <c r="Z416" s="1074" t="inlineStr">
        <is>
          <t>潜能班</t>
        </is>
      </c>
      <c r="AA416" s="1074" t="inlineStr">
        <is>
          <t>零期</t>
        </is>
      </c>
      <c r="AB416" s="1074" t="inlineStr">
        <is>
          <t>课前退</t>
        </is>
      </c>
      <c r="AC416" s="1074" t="inlineStr">
        <is>
          <t>-</t>
        </is>
      </c>
      <c r="AD416" s="1074" t="inlineStr">
        <is>
          <t>5230765</t>
        </is>
      </c>
      <c r="AE416" s="1074" t="n">
        <v>46.5</v>
      </c>
      <c r="AF416" s="1074" t="inlineStr">
        <is>
          <t>刘希子</t>
        </is>
      </c>
      <c r="AG416" s="1074" t="inlineStr">
        <is>
          <t>02彩虹桥</t>
        </is>
      </c>
      <c r="AH416" s="1074" t="inlineStr">
        <is>
          <t>10:20-12:30</t>
        </is>
      </c>
      <c r="AI416" s="1074" t="inlineStr">
        <is>
          <t>潜能班</t>
        </is>
      </c>
      <c r="AJ416" s="1074" t="inlineStr">
        <is>
          <t>零期</t>
        </is>
      </c>
      <c r="AK416" s="1074" t="inlineStr">
        <is>
          <t>课前退</t>
        </is>
      </c>
      <c r="AL416" s="1074" t="inlineStr">
        <is>
          <t>-</t>
        </is>
      </c>
      <c r="AM416" s="1074" t="inlineStr">
        <is>
          <t>是</t>
        </is>
      </c>
      <c r="AN416" s="1074" t="inlineStr">
        <is>
          <t>否</t>
        </is>
      </c>
      <c r="AO416" s="1074" t="inlineStr">
        <is>
          <t>否</t>
        </is>
      </c>
      <c r="AP416" s="1074" t="n"/>
      <c r="AQ416" s="1074" t="n"/>
      <c r="AR416" s="1074" t="inlineStr">
        <is>
          <t>A</t>
        </is>
      </c>
      <c r="AS416" s="1074" t="inlineStr">
        <is>
          <t>讲座转化，妈妈有意识，孩子愿意学</t>
        </is>
      </c>
    </row>
    <row r="417" ht="26.25" customFormat="1" customHeight="1" s="366">
      <c r="A417" s="1074" t="inlineStr">
        <is>
          <t>同创汇</t>
        </is>
      </c>
      <c r="B417" s="1074" t="inlineStr">
        <is>
          <t>2517351773</t>
        </is>
      </c>
      <c r="C417" s="1074" t="inlineStr">
        <is>
          <t>李志轩</t>
        </is>
      </c>
      <c r="D417" s="1074" t="inlineStr">
        <is>
          <t>苏丽婷</t>
        </is>
      </c>
      <c r="E417" s="1074" t="inlineStr">
        <is>
          <t>纯拉新</t>
        </is>
      </c>
      <c r="F417" s="1074" t="n"/>
      <c r="G417" s="1074" t="n"/>
      <c r="H417" s="1074" t="inlineStr">
        <is>
          <t>退费</t>
        </is>
      </c>
      <c r="I417" s="1074" t="inlineStr">
        <is>
          <t>-</t>
        </is>
      </c>
      <c r="J417" s="1074" t="inlineStr">
        <is>
          <t>3132897</t>
        </is>
      </c>
      <c r="K417" s="1074" t="inlineStr">
        <is>
          <t>报前测成绩</t>
        </is>
      </c>
      <c r="L417" s="1074" t="n">
        <v>60</v>
      </c>
      <c r="M417" s="1074" t="inlineStr">
        <is>
          <t>-</t>
        </is>
      </c>
      <c r="N417" s="1074" t="inlineStr">
        <is>
          <t>陈中帅</t>
        </is>
      </c>
      <c r="O417" s="1074" t="inlineStr">
        <is>
          <t>01智慧林</t>
        </is>
      </c>
      <c r="P417" s="1074" t="inlineStr">
        <is>
          <t>10:20-12:30</t>
        </is>
      </c>
      <c r="Q417" s="1074" t="inlineStr">
        <is>
          <t>潜能班</t>
        </is>
      </c>
      <c r="R417" s="1074" t="inlineStr">
        <is>
          <t>零期</t>
        </is>
      </c>
      <c r="S417" s="1074" t="inlineStr">
        <is>
          <t>课前退</t>
        </is>
      </c>
      <c r="T417" s="1074" t="inlineStr">
        <is>
          <t>-</t>
        </is>
      </c>
      <c r="U417" s="1074" t="inlineStr">
        <is>
          <t>5230722</t>
        </is>
      </c>
      <c r="V417" s="1074" t="n">
        <v>0</v>
      </c>
      <c r="W417" s="1074" t="inlineStr">
        <is>
          <t>李润</t>
        </is>
      </c>
      <c r="X417" s="1074" t="inlineStr">
        <is>
          <t>01智慧林</t>
        </is>
      </c>
      <c r="Y417" s="1074" t="inlineStr">
        <is>
          <t>15:50-18:00</t>
        </is>
      </c>
      <c r="Z417" s="1074" t="inlineStr">
        <is>
          <t>潜能班</t>
        </is>
      </c>
      <c r="AA417" s="1074" t="inlineStr">
        <is>
          <t>零期</t>
        </is>
      </c>
      <c r="AB417" s="1074" t="inlineStr">
        <is>
          <t>课前退</t>
        </is>
      </c>
      <c r="AC417" s="1074" t="inlineStr">
        <is>
          <t>-</t>
        </is>
      </c>
      <c r="AD417" s="1074" t="inlineStr">
        <is>
          <t>5230737</t>
        </is>
      </c>
      <c r="AE417" s="1074" t="n">
        <v>29</v>
      </c>
      <c r="AF417" s="1074" t="inlineStr">
        <is>
          <t>高心怡04</t>
        </is>
      </c>
      <c r="AG417" s="1074" t="inlineStr">
        <is>
          <t>01智慧林</t>
        </is>
      </c>
      <c r="AH417" s="1074" t="inlineStr">
        <is>
          <t>13:20-15:30</t>
        </is>
      </c>
      <c r="AI417" s="1074" t="inlineStr">
        <is>
          <t>潜能班</t>
        </is>
      </c>
      <c r="AJ417" s="1074" t="inlineStr">
        <is>
          <t>零期</t>
        </is>
      </c>
      <c r="AK417" s="1074" t="inlineStr">
        <is>
          <t>课前退</t>
        </is>
      </c>
      <c r="AL417" s="1074" t="inlineStr">
        <is>
          <t>-</t>
        </is>
      </c>
      <c r="AM417" s="1074" t="n"/>
      <c r="AN417" s="1074" t="inlineStr">
        <is>
          <t>是</t>
        </is>
      </c>
      <c r="AO417" s="1074" t="n"/>
      <c r="AP417" s="1074" t="n"/>
      <c r="AQ417" s="1074" t="n"/>
      <c r="AR417" s="1074" t="inlineStr">
        <is>
          <t>A</t>
        </is>
      </c>
      <c r="AS417" s="1074" t="inlineStr">
        <is>
          <t>表示学习有效果，孩子喜欢会考虑续班秋季课程</t>
        </is>
      </c>
    </row>
    <row r="418" ht="26.25" customFormat="1" customHeight="1" s="366">
      <c r="A418" s="1074" t="inlineStr">
        <is>
          <t>新宝利</t>
        </is>
      </c>
      <c r="B418" s="1074" t="inlineStr">
        <is>
          <t>2722598495</t>
        </is>
      </c>
      <c r="C418" s="1074" t="inlineStr">
        <is>
          <t>钟森伦</t>
        </is>
      </c>
      <c r="D418" s="1074" t="inlineStr">
        <is>
          <t>王达04</t>
        </is>
      </c>
      <c r="E418" s="1074" t="inlineStr">
        <is>
          <t>纯拉新</t>
        </is>
      </c>
      <c r="F418" s="1074" t="n"/>
      <c r="G418" s="1074" t="n"/>
      <c r="H418" s="1074" t="inlineStr">
        <is>
          <t>退费</t>
        </is>
      </c>
      <c r="I418" s="1074" t="inlineStr">
        <is>
          <t>-</t>
        </is>
      </c>
      <c r="J418" s="1074" t="inlineStr">
        <is>
          <t>5111035</t>
        </is>
      </c>
      <c r="K418" s="1074" t="inlineStr">
        <is>
          <t>报前测成绩</t>
        </is>
      </c>
      <c r="L418" s="1074" t="n">
        <v>90</v>
      </c>
      <c r="M418" s="1074" t="inlineStr">
        <is>
          <t>-</t>
        </is>
      </c>
      <c r="N418" s="1074" t="inlineStr">
        <is>
          <t>何咏04</t>
        </is>
      </c>
      <c r="O418" s="1074" t="inlineStr">
        <is>
          <t>教室2</t>
        </is>
      </c>
      <c r="P418" s="1074" t="inlineStr">
        <is>
          <t>15:50-18:00</t>
        </is>
      </c>
      <c r="Q418" s="1074" t="inlineStr">
        <is>
          <t>启能班</t>
        </is>
      </c>
      <c r="R418" s="1074" t="inlineStr">
        <is>
          <t>三期</t>
        </is>
      </c>
      <c r="S418" s="1074" t="inlineStr">
        <is>
          <t>课前退</t>
        </is>
      </c>
      <c r="T418" s="1074" t="inlineStr">
        <is>
          <t>-</t>
        </is>
      </c>
      <c r="U418" s="1074" t="inlineStr">
        <is>
          <t>-</t>
        </is>
      </c>
      <c r="V418" s="1074" t="inlineStr"/>
      <c r="W418" s="1074" t="inlineStr">
        <is>
          <t>-</t>
        </is>
      </c>
      <c r="X418" s="1074" t="inlineStr">
        <is>
          <t>-</t>
        </is>
      </c>
      <c r="Y418" s="1074" t="inlineStr">
        <is>
          <t>-</t>
        </is>
      </c>
      <c r="Z418" s="1074" t="inlineStr">
        <is>
          <t>-</t>
        </is>
      </c>
      <c r="AA418" s="1074" t="inlineStr">
        <is>
          <t>-</t>
        </is>
      </c>
      <c r="AB418" s="1074" t="inlineStr">
        <is>
          <t>-</t>
        </is>
      </c>
      <c r="AC418" s="1074" t="inlineStr">
        <is>
          <t>-</t>
        </is>
      </c>
      <c r="AD418" s="1074" t="inlineStr">
        <is>
          <t>-</t>
        </is>
      </c>
      <c r="AE418" s="1074" t="inlineStr"/>
      <c r="AF418" s="1074" t="inlineStr">
        <is>
          <t>-</t>
        </is>
      </c>
      <c r="AG418" s="1074" t="inlineStr">
        <is>
          <t>-</t>
        </is>
      </c>
      <c r="AH418" s="1074" t="inlineStr">
        <is>
          <t>-</t>
        </is>
      </c>
      <c r="AI418" s="1074" t="inlineStr">
        <is>
          <t>-</t>
        </is>
      </c>
      <c r="AJ418" s="1074" t="inlineStr">
        <is>
          <t>-</t>
        </is>
      </c>
      <c r="AK418" s="1074" t="inlineStr">
        <is>
          <t>-</t>
        </is>
      </c>
      <c r="AL418" s="1074" t="inlineStr">
        <is>
          <t>-</t>
        </is>
      </c>
      <c r="AM418" s="1074" t="n"/>
      <c r="AN418" s="1074" t="n"/>
      <c r="AO418" s="1074" t="n"/>
      <c r="AP418" s="1074" t="n"/>
      <c r="AQ418" s="1074" t="n"/>
      <c r="AR418" s="1074" t="n"/>
      <c r="AS418" s="1074" t="n"/>
    </row>
    <row r="419" ht="26.25" customFormat="1" customHeight="1" s="366">
      <c r="A419" s="1074" t="inlineStr">
        <is>
          <t>同创汇</t>
        </is>
      </c>
      <c r="B419" s="1074" t="inlineStr">
        <is>
          <t>4108975188</t>
        </is>
      </c>
      <c r="C419" s="1074" t="inlineStr">
        <is>
          <t>梁芷昕</t>
        </is>
      </c>
      <c r="D419" s="1074" t="inlineStr">
        <is>
          <t>沈思浩</t>
        </is>
      </c>
      <c r="E419" s="1074" t="inlineStr">
        <is>
          <t>纯拉新</t>
        </is>
      </c>
      <c r="F419" s="1074" t="n"/>
      <c r="G419" s="1074" t="n"/>
      <c r="H419" s="1074" t="inlineStr">
        <is>
          <t>在读</t>
        </is>
      </c>
      <c r="I419" s="1074" t="inlineStr">
        <is>
          <t>一期</t>
        </is>
      </c>
      <c r="J419" s="1074" t="inlineStr">
        <is>
          <t>5230802</t>
        </is>
      </c>
      <c r="K419" s="1074" t="inlineStr">
        <is>
          <t>报前测成绩</t>
        </is>
      </c>
      <c r="L419" s="1074" t="n">
        <v>29</v>
      </c>
      <c r="M419" s="1074" t="inlineStr">
        <is>
          <t>-</t>
        </is>
      </c>
      <c r="N419" s="1074" t="inlineStr">
        <is>
          <t>田雨涵01</t>
        </is>
      </c>
      <c r="O419" s="1074" t="inlineStr">
        <is>
          <t>02彩虹桥</t>
        </is>
      </c>
      <c r="P419" s="1074" t="inlineStr">
        <is>
          <t>15:50-18:00</t>
        </is>
      </c>
      <c r="Q419" s="1074" t="inlineStr">
        <is>
          <t>潜能班</t>
        </is>
      </c>
      <c r="R419" s="1074" t="inlineStr">
        <is>
          <t>一期</t>
        </is>
      </c>
      <c r="S419" s="1074" t="inlineStr">
        <is>
          <t>在读</t>
        </is>
      </c>
      <c r="T419" s="1074" t="inlineStr">
        <is>
          <t>-</t>
        </is>
      </c>
      <c r="U419" s="1074" t="inlineStr">
        <is>
          <t>4632448</t>
        </is>
      </c>
      <c r="V419" s="1074" t="n">
        <v>34</v>
      </c>
      <c r="W419" s="1074" t="inlineStr">
        <is>
          <t>陈南05</t>
        </is>
      </c>
      <c r="X419" s="1074" t="inlineStr">
        <is>
          <t>02彩虹桥</t>
        </is>
      </c>
      <c r="Y419" s="1074" t="inlineStr">
        <is>
          <t>10:20-12:30</t>
        </is>
      </c>
      <c r="Z419" s="1074" t="inlineStr">
        <is>
          <t>潜能班</t>
        </is>
      </c>
      <c r="AA419" s="1074" t="inlineStr">
        <is>
          <t>一期</t>
        </is>
      </c>
      <c r="AB419" s="1074" t="inlineStr">
        <is>
          <t>在读</t>
        </is>
      </c>
      <c r="AC419" s="1074" t="inlineStr">
        <is>
          <t>-</t>
        </is>
      </c>
      <c r="AD419" s="1074" t="inlineStr">
        <is>
          <t>3132837</t>
        </is>
      </c>
      <c r="AE419" s="1074" t="n">
        <v>25</v>
      </c>
      <c r="AF419" s="1074" t="inlineStr">
        <is>
          <t>高心怡04</t>
        </is>
      </c>
      <c r="AG419" s="1074" t="inlineStr">
        <is>
          <t>02彩虹桥</t>
        </is>
      </c>
      <c r="AH419" s="1074" t="inlineStr">
        <is>
          <t>13:20-15:30</t>
        </is>
      </c>
      <c r="AI419" s="1074" t="inlineStr">
        <is>
          <t>潜能班</t>
        </is>
      </c>
      <c r="AJ419" s="1074" t="inlineStr">
        <is>
          <t>一期</t>
        </is>
      </c>
      <c r="AK419" s="1074" t="inlineStr">
        <is>
          <t>在读</t>
        </is>
      </c>
      <c r="AL419" s="1074" t="inlineStr">
        <is>
          <t>-</t>
        </is>
      </c>
      <c r="AM419" s="1074" t="n"/>
      <c r="AN419" s="1074" t="n"/>
      <c r="AO419" s="1074" t="n"/>
      <c r="AP419" s="1074" t="n"/>
      <c r="AQ419" s="1074" t="n"/>
      <c r="AR419" s="1074" t="inlineStr">
        <is>
          <t>A</t>
        </is>
      </c>
      <c r="AS419" s="1074" t="inlineStr">
        <is>
          <t>家长重视教育，先看学习效果再看后面是不是续费</t>
        </is>
      </c>
    </row>
    <row r="420" ht="26.25" customFormat="1" customHeight="1" s="366">
      <c r="A420" s="1074" t="inlineStr">
        <is>
          <t>新宝利</t>
        </is>
      </c>
      <c r="B420" s="1074" t="inlineStr">
        <is>
          <t>2421831053</t>
        </is>
      </c>
      <c r="C420" s="1074" t="inlineStr">
        <is>
          <t>何施乐</t>
        </is>
      </c>
      <c r="D420" s="1074" t="inlineStr">
        <is>
          <t>张敏烨</t>
        </is>
      </c>
      <c r="E420" s="1074" t="inlineStr">
        <is>
          <t>反复低价</t>
        </is>
      </c>
      <c r="F420" s="1074" t="inlineStr">
        <is>
          <t>新宝利第一批特惠学员，未转化</t>
        </is>
      </c>
      <c r="G420" s="1074" t="n"/>
      <c r="H420" s="1074" t="inlineStr">
        <is>
          <t>在读</t>
        </is>
      </c>
      <c r="I420" s="1074" t="inlineStr">
        <is>
          <t>二期</t>
        </is>
      </c>
      <c r="J420" s="1074" t="inlineStr">
        <is>
          <t>4513341</t>
        </is>
      </c>
      <c r="K420" s="1074" t="inlineStr">
        <is>
          <t>报前测成绩</t>
        </is>
      </c>
      <c r="L420" s="1074" t="n">
        <v>95</v>
      </c>
      <c r="M420" s="1074" t="inlineStr">
        <is>
          <t>-</t>
        </is>
      </c>
      <c r="N420" s="1074" t="inlineStr">
        <is>
          <t>陈中帅</t>
        </is>
      </c>
      <c r="O420" s="1074" t="inlineStr">
        <is>
          <t>教室3</t>
        </is>
      </c>
      <c r="P420" s="1074" t="inlineStr">
        <is>
          <t>15:50-18:00</t>
        </is>
      </c>
      <c r="Q420" s="1074" t="inlineStr">
        <is>
          <t>启能班</t>
        </is>
      </c>
      <c r="R420" s="1074" t="inlineStr">
        <is>
          <t>二期</t>
        </is>
      </c>
      <c r="S420" s="1074" t="inlineStr">
        <is>
          <t>在读</t>
        </is>
      </c>
      <c r="T420" s="1074" t="inlineStr">
        <is>
          <t>-</t>
        </is>
      </c>
      <c r="U420" s="1074" t="inlineStr">
        <is>
          <t>3132846</t>
        </is>
      </c>
      <c r="V420" s="1074" t="n">
        <v>0</v>
      </c>
      <c r="W420" s="1074" t="inlineStr">
        <is>
          <t>黄铭怡</t>
        </is>
      </c>
      <c r="X420" s="1074" t="inlineStr">
        <is>
          <t>教室3</t>
        </is>
      </c>
      <c r="Y420" s="1074" t="inlineStr">
        <is>
          <t>13:20-15:30</t>
        </is>
      </c>
      <c r="Z420" s="1074" t="inlineStr">
        <is>
          <t>潜能班</t>
        </is>
      </c>
      <c r="AA420" s="1074" t="inlineStr">
        <is>
          <t>二期</t>
        </is>
      </c>
      <c r="AB420" s="1074" t="inlineStr">
        <is>
          <t>在读</t>
        </is>
      </c>
      <c r="AC420" s="1074" t="inlineStr">
        <is>
          <t>-</t>
        </is>
      </c>
      <c r="AD420" s="1074" t="inlineStr">
        <is>
          <t>5230738</t>
        </is>
      </c>
      <c r="AE420" s="1074" t="n">
        <v>0</v>
      </c>
      <c r="AF420" s="1074" t="inlineStr">
        <is>
          <t>高心怡04</t>
        </is>
      </c>
      <c r="AG420" s="1074" t="inlineStr">
        <is>
          <t>教室3</t>
        </is>
      </c>
      <c r="AH420" s="1074" t="inlineStr">
        <is>
          <t>10:20-12:30</t>
        </is>
      </c>
      <c r="AI420" s="1074" t="inlineStr">
        <is>
          <t>潜能班</t>
        </is>
      </c>
      <c r="AJ420" s="1074" t="inlineStr">
        <is>
          <t>二期</t>
        </is>
      </c>
      <c r="AK420" s="1074" t="inlineStr">
        <is>
          <t>在读</t>
        </is>
      </c>
      <c r="AL420" s="1074" t="inlineStr">
        <is>
          <t>-</t>
        </is>
      </c>
      <c r="AM420" s="1074" t="n"/>
      <c r="AN420" s="1074" t="n"/>
      <c r="AO420" s="1074" t="n"/>
      <c r="AP420" s="1074" t="n"/>
      <c r="AQ420" s="1074" t="n"/>
      <c r="AR420" s="1074" t="inlineStr">
        <is>
          <t>B</t>
        </is>
      </c>
      <c r="AS420" s="1074" t="inlineStr">
        <is>
          <t>未咨询过正课价格，暑假先体验</t>
        </is>
      </c>
    </row>
    <row r="421" ht="26.25" customFormat="1" customHeight="1" s="366">
      <c r="A421" s="1074" t="inlineStr">
        <is>
          <t>新宝利</t>
        </is>
      </c>
      <c r="B421" s="1074" t="inlineStr">
        <is>
          <t>4613006507</t>
        </is>
      </c>
      <c r="C421" s="1074" t="inlineStr">
        <is>
          <t>张曦元</t>
        </is>
      </c>
      <c r="D421" s="1074" t="inlineStr">
        <is>
          <t>林志豪01</t>
        </is>
      </c>
      <c r="E421" s="1074" t="inlineStr">
        <is>
          <t>纯拉新</t>
        </is>
      </c>
      <c r="F421" s="1074" t="n"/>
      <c r="G421" s="1074" t="n"/>
      <c r="H421" s="1074" t="inlineStr">
        <is>
          <t>在读</t>
        </is>
      </c>
      <c r="I421" s="1074" t="inlineStr">
        <is>
          <t>零期</t>
        </is>
      </c>
      <c r="J421" s="1074" t="inlineStr">
        <is>
          <t>3132884</t>
        </is>
      </c>
      <c r="K421" s="1074" t="inlineStr">
        <is>
          <t>报前测成绩</t>
        </is>
      </c>
      <c r="L421" s="1074" t="n">
        <v>75</v>
      </c>
      <c r="M421" s="1074" t="inlineStr">
        <is>
          <t>-</t>
        </is>
      </c>
      <c r="N421" s="1074" t="inlineStr">
        <is>
          <t>田雨涵01</t>
        </is>
      </c>
      <c r="O421" s="1074" t="inlineStr">
        <is>
          <t>教室3</t>
        </is>
      </c>
      <c r="P421" s="1074" t="inlineStr">
        <is>
          <t>13:20-15:30</t>
        </is>
      </c>
      <c r="Q421" s="1074" t="inlineStr">
        <is>
          <t>潜能班</t>
        </is>
      </c>
      <c r="R421" s="1074" t="inlineStr">
        <is>
          <t>零期</t>
        </is>
      </c>
      <c r="S421" s="1074" t="inlineStr">
        <is>
          <t>在读</t>
        </is>
      </c>
      <c r="T421" s="1074" t="inlineStr">
        <is>
          <t>-</t>
        </is>
      </c>
      <c r="U421" s="1074" t="inlineStr">
        <is>
          <t>4513265</t>
        </is>
      </c>
      <c r="V421" s="1074" t="n">
        <v>85</v>
      </c>
      <c r="W421" s="1074" t="inlineStr">
        <is>
          <t>李润</t>
        </is>
      </c>
      <c r="X421" s="1074" t="inlineStr">
        <is>
          <t>教室3</t>
        </is>
      </c>
      <c r="Y421" s="1074" t="inlineStr">
        <is>
          <t>10:20-12:30</t>
        </is>
      </c>
      <c r="Z421" s="1074" t="inlineStr">
        <is>
          <t>潜能班</t>
        </is>
      </c>
      <c r="AA421" s="1074" t="inlineStr">
        <is>
          <t>零期</t>
        </is>
      </c>
      <c r="AB421" s="1074" t="inlineStr">
        <is>
          <t>在读</t>
        </is>
      </c>
      <c r="AC421" s="1074" t="inlineStr">
        <is>
          <t>-</t>
        </is>
      </c>
      <c r="AD421" s="1074" t="inlineStr">
        <is>
          <t>5230723</t>
        </is>
      </c>
      <c r="AE421" s="1074" t="n">
        <v>32.5</v>
      </c>
      <c r="AF421" s="1074" t="inlineStr">
        <is>
          <t>肖锐03</t>
        </is>
      </c>
      <c r="AG421" s="1074" t="inlineStr">
        <is>
          <t>教室3</t>
        </is>
      </c>
      <c r="AH421" s="1074" t="inlineStr">
        <is>
          <t>15:50-18:00</t>
        </is>
      </c>
      <c r="AI421" s="1074" t="inlineStr">
        <is>
          <t>潜能班</t>
        </is>
      </c>
      <c r="AJ421" s="1074" t="inlineStr">
        <is>
          <t>零期</t>
        </is>
      </c>
      <c r="AK421" s="1074" t="inlineStr">
        <is>
          <t>在读</t>
        </is>
      </c>
      <c r="AL421" s="1074" t="inlineStr">
        <is>
          <t>-</t>
        </is>
      </c>
      <c r="AM421" s="1074" t="inlineStr">
        <is>
          <t>是</t>
        </is>
      </c>
      <c r="AN421" s="1074" t="inlineStr">
        <is>
          <t>是</t>
        </is>
      </c>
      <c r="AO421" s="1074" t="inlineStr">
        <is>
          <t>是</t>
        </is>
      </c>
      <c r="AP421" s="1074" t="n"/>
      <c r="AQ421" s="1074" t="n"/>
      <c r="AR421" s="1074" t="inlineStr">
        <is>
          <t>B</t>
        </is>
      </c>
      <c r="AS421" s="1074" t="inlineStr">
        <is>
          <t>只问了暑假的课程和教学内容，其他没过多沟通</t>
        </is>
      </c>
    </row>
    <row r="422" ht="26.25" customFormat="1" customHeight="1" s="366">
      <c r="A422" s="1074" t="inlineStr">
        <is>
          <t>新宝利</t>
        </is>
      </c>
      <c r="B422" s="1074" t="inlineStr">
        <is>
          <t>4809328080</t>
        </is>
      </c>
      <c r="C422" s="1074" t="inlineStr">
        <is>
          <t>黄雨桐</t>
        </is>
      </c>
      <c r="D422" s="1074" t="inlineStr">
        <is>
          <t>林志豪01</t>
        </is>
      </c>
      <c r="E422" s="1074" t="inlineStr">
        <is>
          <t>春季在读老生</t>
        </is>
      </c>
      <c r="F422" s="1074" t="n"/>
      <c r="G422" s="1074" t="n"/>
      <c r="H422" s="1074" t="inlineStr">
        <is>
          <t>在读</t>
        </is>
      </c>
      <c r="I422" s="1074" t="inlineStr">
        <is>
          <t>二期</t>
        </is>
      </c>
      <c r="J422" s="1074" t="inlineStr">
        <is>
          <t>4513341</t>
        </is>
      </c>
      <c r="K422" s="1074" t="inlineStr">
        <is>
          <t>报前测成绩</t>
        </is>
      </c>
      <c r="L422" s="1074" t="n">
        <v>70</v>
      </c>
      <c r="M422" s="1074" t="inlineStr">
        <is>
          <t>-</t>
        </is>
      </c>
      <c r="N422" s="1074" t="inlineStr">
        <is>
          <t>陈中帅</t>
        </is>
      </c>
      <c r="O422" s="1074" t="inlineStr">
        <is>
          <t>教室3</t>
        </is>
      </c>
      <c r="P422" s="1074" t="inlineStr">
        <is>
          <t>15:50-18:00</t>
        </is>
      </c>
      <c r="Q422" s="1074" t="inlineStr">
        <is>
          <t>启能班</t>
        </is>
      </c>
      <c r="R422" s="1074" t="inlineStr">
        <is>
          <t>二期</t>
        </is>
      </c>
      <c r="S422" s="1074" t="inlineStr">
        <is>
          <t>在读</t>
        </is>
      </c>
      <c r="T422" s="1074" t="inlineStr">
        <is>
          <t>-</t>
        </is>
      </c>
      <c r="U422" s="1074" t="inlineStr">
        <is>
          <t>3132846</t>
        </is>
      </c>
      <c r="V422" s="1074" t="n">
        <v>20</v>
      </c>
      <c r="W422" s="1074" t="inlineStr">
        <is>
          <t>黄铭怡</t>
        </is>
      </c>
      <c r="X422" s="1074" t="inlineStr">
        <is>
          <t>教室3</t>
        </is>
      </c>
      <c r="Y422" s="1074" t="inlineStr">
        <is>
          <t>13:20-15:30</t>
        </is>
      </c>
      <c r="Z422" s="1074" t="inlineStr">
        <is>
          <t>潜能班</t>
        </is>
      </c>
      <c r="AA422" s="1074" t="inlineStr">
        <is>
          <t>二期</t>
        </is>
      </c>
      <c r="AB422" s="1074" t="inlineStr">
        <is>
          <t>在读</t>
        </is>
      </c>
      <c r="AC422" s="1074" t="inlineStr">
        <is>
          <t>-</t>
        </is>
      </c>
      <c r="AD422" s="1074" t="inlineStr">
        <is>
          <t>5230738</t>
        </is>
      </c>
      <c r="AE422" s="1074" t="n">
        <v>34.5</v>
      </c>
      <c r="AF422" s="1074" t="inlineStr">
        <is>
          <t>高心怡04</t>
        </is>
      </c>
      <c r="AG422" s="1074" t="inlineStr">
        <is>
          <t>教室3</t>
        </is>
      </c>
      <c r="AH422" s="1074" t="inlineStr">
        <is>
          <t>10:20-12:30</t>
        </is>
      </c>
      <c r="AI422" s="1074" t="inlineStr">
        <is>
          <t>潜能班</t>
        </is>
      </c>
      <c r="AJ422" s="1074" t="inlineStr">
        <is>
          <t>二期</t>
        </is>
      </c>
      <c r="AK422" s="1074" t="inlineStr">
        <is>
          <t>在读</t>
        </is>
      </c>
      <c r="AL422" s="1074" t="inlineStr">
        <is>
          <t>-</t>
        </is>
      </c>
      <c r="AM422" s="1074" t="n"/>
      <c r="AN422" s="1074" t="n"/>
      <c r="AO422" s="1074" t="n"/>
      <c r="AP422" s="1074" t="n"/>
      <c r="AQ422" s="1074" t="n"/>
      <c r="AR422" s="1074" t="inlineStr">
        <is>
          <t>S</t>
        </is>
      </c>
      <c r="AS422" s="1074" t="inlineStr">
        <is>
          <t>在读学员</t>
        </is>
      </c>
    </row>
    <row r="423" ht="26.25" customFormat="1" customHeight="1" s="366">
      <c r="A423" s="1074" t="inlineStr">
        <is>
          <t>新宝利</t>
        </is>
      </c>
      <c r="B423" s="1074" t="inlineStr">
        <is>
          <t>4814495593</t>
        </is>
      </c>
      <c r="C423" s="1074" t="inlineStr">
        <is>
          <t>张瑞桐</t>
        </is>
      </c>
      <c r="D423" s="1074" t="inlineStr">
        <is>
          <t>张敏烨</t>
        </is>
      </c>
      <c r="E423" s="1074" t="inlineStr">
        <is>
          <t>纯拉新</t>
        </is>
      </c>
      <c r="F423" s="1074" t="n"/>
      <c r="G423" s="1074" t="n"/>
      <c r="H423" s="1074" t="inlineStr">
        <is>
          <t>在读</t>
        </is>
      </c>
      <c r="I423" s="1074" t="inlineStr">
        <is>
          <t>二期</t>
        </is>
      </c>
      <c r="J423" s="1074" t="inlineStr">
        <is>
          <t>4513341</t>
        </is>
      </c>
      <c r="K423" s="1074" t="inlineStr">
        <is>
          <t>报前测成绩</t>
        </is>
      </c>
      <c r="L423" s="1074" t="n">
        <v>92</v>
      </c>
      <c r="M423" s="1074" t="inlineStr">
        <is>
          <t>-</t>
        </is>
      </c>
      <c r="N423" s="1074" t="inlineStr">
        <is>
          <t>陈中帅</t>
        </is>
      </c>
      <c r="O423" s="1074" t="inlineStr">
        <is>
          <t>教室3</t>
        </is>
      </c>
      <c r="P423" s="1074" t="inlineStr">
        <is>
          <t>15:50-18:00</t>
        </is>
      </c>
      <c r="Q423" s="1074" t="inlineStr">
        <is>
          <t>启能班</t>
        </is>
      </c>
      <c r="R423" s="1074" t="inlineStr">
        <is>
          <t>二期</t>
        </is>
      </c>
      <c r="S423" s="1074" t="inlineStr">
        <is>
          <t>在读</t>
        </is>
      </c>
      <c r="T423" s="1074" t="inlineStr">
        <is>
          <t>-</t>
        </is>
      </c>
      <c r="U423" s="1074" t="inlineStr">
        <is>
          <t>3132846</t>
        </is>
      </c>
      <c r="V423" s="1074" t="n">
        <v>45</v>
      </c>
      <c r="W423" s="1074" t="inlineStr">
        <is>
          <t>黄铭怡</t>
        </is>
      </c>
      <c r="X423" s="1074" t="inlineStr">
        <is>
          <t>教室3</t>
        </is>
      </c>
      <c r="Y423" s="1074" t="inlineStr">
        <is>
          <t>13:20-15:30</t>
        </is>
      </c>
      <c r="Z423" s="1074" t="inlineStr">
        <is>
          <t>潜能班</t>
        </is>
      </c>
      <c r="AA423" s="1074" t="inlineStr">
        <is>
          <t>二期</t>
        </is>
      </c>
      <c r="AB423" s="1074" t="inlineStr">
        <is>
          <t>在读</t>
        </is>
      </c>
      <c r="AC423" s="1074" t="inlineStr">
        <is>
          <t>-</t>
        </is>
      </c>
      <c r="AD423" s="1074" t="inlineStr">
        <is>
          <t>5230738</t>
        </is>
      </c>
      <c r="AE423" s="1074" t="n">
        <v>32</v>
      </c>
      <c r="AF423" s="1074" t="inlineStr">
        <is>
          <t>高心怡04</t>
        </is>
      </c>
      <c r="AG423" s="1074" t="inlineStr">
        <is>
          <t>教室3</t>
        </is>
      </c>
      <c r="AH423" s="1074" t="inlineStr">
        <is>
          <t>10:20-12:30</t>
        </is>
      </c>
      <c r="AI423" s="1074" t="inlineStr">
        <is>
          <t>潜能班</t>
        </is>
      </c>
      <c r="AJ423" s="1074" t="inlineStr">
        <is>
          <t>二期</t>
        </is>
      </c>
      <c r="AK423" s="1074" t="inlineStr">
        <is>
          <t>在读</t>
        </is>
      </c>
      <c r="AL423" s="1074" t="inlineStr">
        <is>
          <t>-</t>
        </is>
      </c>
      <c r="AM423" s="1074" t="n"/>
      <c r="AN423" s="1074" t="n"/>
      <c r="AO423" s="1074" t="n"/>
      <c r="AP423" s="1074" t="n"/>
      <c r="AQ423" s="1074" t="n"/>
      <c r="AR423" s="1074" t="inlineStr">
        <is>
          <t>A</t>
        </is>
      </c>
      <c r="AS423" s="1074" t="inlineStr">
        <is>
          <t>卓越有在读，暑假先看看效果，有了解秋季价格</t>
        </is>
      </c>
    </row>
    <row r="424" ht="26.25" customFormat="1" customHeight="1" s="366">
      <c r="A424" s="1074" t="inlineStr">
        <is>
          <t>同创汇</t>
        </is>
      </c>
      <c r="B424" s="1074" t="inlineStr">
        <is>
          <t>4613866328</t>
        </is>
      </c>
      <c r="C424" s="1074" t="inlineStr">
        <is>
          <t>黎晶晶</t>
        </is>
      </c>
      <c r="D424" s="1074" t="inlineStr">
        <is>
          <t>王丽</t>
        </is>
      </c>
      <c r="E424" s="1074" t="inlineStr">
        <is>
          <t>纯拉新</t>
        </is>
      </c>
      <c r="F424" s="1074" t="inlineStr">
        <is>
          <t>双胞胎，支付能力差</t>
        </is>
      </c>
      <c r="G424" s="1074" t="n"/>
      <c r="H424" s="1074" t="inlineStr">
        <is>
          <t>在读</t>
        </is>
      </c>
      <c r="I424" s="1074" t="inlineStr">
        <is>
          <t>零期</t>
        </is>
      </c>
      <c r="J424" s="1074" t="inlineStr">
        <is>
          <t>5230806</t>
        </is>
      </c>
      <c r="K424" s="1074" t="inlineStr">
        <is>
          <t>报前测成绩</t>
        </is>
      </c>
      <c r="L424" s="1074" t="n">
        <v>45</v>
      </c>
      <c r="M424" s="1074" t="inlineStr">
        <is>
          <t>-</t>
        </is>
      </c>
      <c r="N424" s="1074" t="inlineStr">
        <is>
          <t>田雨涵01</t>
        </is>
      </c>
      <c r="O424" s="1074" t="inlineStr">
        <is>
          <t>03识海阁</t>
        </is>
      </c>
      <c r="P424" s="1074" t="inlineStr">
        <is>
          <t>10:20-12:30</t>
        </is>
      </c>
      <c r="Q424" s="1074" t="inlineStr">
        <is>
          <t>潜能班</t>
        </is>
      </c>
      <c r="R424" s="1074" t="inlineStr">
        <is>
          <t>零期</t>
        </is>
      </c>
      <c r="S424" s="1074" t="inlineStr">
        <is>
          <t>在读</t>
        </is>
      </c>
      <c r="T424" s="1074" t="inlineStr">
        <is>
          <t>-</t>
        </is>
      </c>
      <c r="U424" s="1074" t="inlineStr">
        <is>
          <t>5170872</t>
        </is>
      </c>
      <c r="V424" s="1074" t="n">
        <v>0</v>
      </c>
      <c r="W424" s="1074" t="inlineStr">
        <is>
          <t>陈南05</t>
        </is>
      </c>
      <c r="X424" s="1074" t="inlineStr">
        <is>
          <t>03识海阁</t>
        </is>
      </c>
      <c r="Y424" s="1074" t="inlineStr">
        <is>
          <t>13:20-15:30</t>
        </is>
      </c>
      <c r="Z424" s="1074" t="inlineStr">
        <is>
          <t>潜能班</t>
        </is>
      </c>
      <c r="AA424" s="1074" t="inlineStr">
        <is>
          <t>零期</t>
        </is>
      </c>
      <c r="AB424" s="1074" t="inlineStr">
        <is>
          <t>在读</t>
        </is>
      </c>
      <c r="AC424" s="1074" t="inlineStr">
        <is>
          <t>-</t>
        </is>
      </c>
      <c r="AD424" s="1074" t="inlineStr">
        <is>
          <t>3132865</t>
        </is>
      </c>
      <c r="AE424" s="1074" t="n">
        <v>31.5</v>
      </c>
      <c r="AF424" s="1074" t="inlineStr">
        <is>
          <t>刘希子</t>
        </is>
      </c>
      <c r="AG424" s="1074" t="inlineStr">
        <is>
          <t>03识海阁</t>
        </is>
      </c>
      <c r="AH424" s="1074" t="inlineStr">
        <is>
          <t>15:50-18:00</t>
        </is>
      </c>
      <c r="AI424" s="1074" t="inlineStr">
        <is>
          <t>潜能班</t>
        </is>
      </c>
      <c r="AJ424" s="1074" t="inlineStr">
        <is>
          <t>零期</t>
        </is>
      </c>
      <c r="AK424" s="1074" t="inlineStr">
        <is>
          <t>在读</t>
        </is>
      </c>
      <c r="AL424" s="1074" t="inlineStr">
        <is>
          <t>-</t>
        </is>
      </c>
      <c r="AM424" s="1074" t="inlineStr">
        <is>
          <t>是</t>
        </is>
      </c>
      <c r="AN424" s="1074" t="inlineStr">
        <is>
          <t>是</t>
        </is>
      </c>
      <c r="AO424" s="1074" t="inlineStr">
        <is>
          <t>是</t>
        </is>
      </c>
      <c r="AP424" s="1074" t="n"/>
      <c r="AQ424" s="1074" t="n"/>
      <c r="AR424" s="1074" t="inlineStr">
        <is>
          <t>B</t>
        </is>
      </c>
      <c r="AS424" s="1074" t="inlineStr">
        <is>
          <t>先体验下暑假课，没聊秋季课的事情</t>
        </is>
      </c>
    </row>
    <row r="425" ht="26.25" customFormat="1" customHeight="1" s="366">
      <c r="A425" s="1074" t="inlineStr">
        <is>
          <t>同创汇</t>
        </is>
      </c>
      <c r="B425" s="1074" t="inlineStr">
        <is>
          <t>4815418129</t>
        </is>
      </c>
      <c r="C425" s="1074" t="inlineStr">
        <is>
          <t>黎莹莹</t>
        </is>
      </c>
      <c r="D425" s="1074" t="inlineStr">
        <is>
          <t>王丽</t>
        </is>
      </c>
      <c r="E425" s="1074" t="inlineStr">
        <is>
          <t>纯拉新</t>
        </is>
      </c>
      <c r="F425" s="1074" t="inlineStr">
        <is>
          <t>双胞胎，支付能力差</t>
        </is>
      </c>
      <c r="G425" s="1074" t="n"/>
      <c r="H425" s="1074" t="inlineStr">
        <is>
          <t>在读</t>
        </is>
      </c>
      <c r="I425" s="1074" t="inlineStr">
        <is>
          <t>零期</t>
        </is>
      </c>
      <c r="J425" s="1074" t="inlineStr">
        <is>
          <t>5230806</t>
        </is>
      </c>
      <c r="K425" s="1074" t="inlineStr">
        <is>
          <t>报前测成绩</t>
        </is>
      </c>
      <c r="L425" s="1074" t="n">
        <v>55</v>
      </c>
      <c r="M425" s="1074" t="inlineStr">
        <is>
          <t>-</t>
        </is>
      </c>
      <c r="N425" s="1074" t="inlineStr">
        <is>
          <t>田雨涵01</t>
        </is>
      </c>
      <c r="O425" s="1074" t="inlineStr">
        <is>
          <t>03识海阁</t>
        </is>
      </c>
      <c r="P425" s="1074" t="inlineStr">
        <is>
          <t>10:20-12:30</t>
        </is>
      </c>
      <c r="Q425" s="1074" t="inlineStr">
        <is>
          <t>潜能班</t>
        </is>
      </c>
      <c r="R425" s="1074" t="inlineStr">
        <is>
          <t>零期</t>
        </is>
      </c>
      <c r="S425" s="1074" t="inlineStr">
        <is>
          <t>在读</t>
        </is>
      </c>
      <c r="T425" s="1074" t="inlineStr">
        <is>
          <t>-</t>
        </is>
      </c>
      <c r="U425" s="1074" t="inlineStr">
        <is>
          <t>5170872</t>
        </is>
      </c>
      <c r="V425" s="1074" t="n">
        <v>0</v>
      </c>
      <c r="W425" s="1074" t="inlineStr">
        <is>
          <t>陈南05</t>
        </is>
      </c>
      <c r="X425" s="1074" t="inlineStr">
        <is>
          <t>03识海阁</t>
        </is>
      </c>
      <c r="Y425" s="1074" t="inlineStr">
        <is>
          <t>13:20-15:30</t>
        </is>
      </c>
      <c r="Z425" s="1074" t="inlineStr">
        <is>
          <t>潜能班</t>
        </is>
      </c>
      <c r="AA425" s="1074" t="inlineStr">
        <is>
          <t>零期</t>
        </is>
      </c>
      <c r="AB425" s="1074" t="inlineStr">
        <is>
          <t>在读</t>
        </is>
      </c>
      <c r="AC425" s="1074" t="inlineStr">
        <is>
          <t>-</t>
        </is>
      </c>
      <c r="AD425" s="1074" t="inlineStr">
        <is>
          <t>3132865</t>
        </is>
      </c>
      <c r="AE425" s="1074" t="n">
        <v>40</v>
      </c>
      <c r="AF425" s="1074" t="inlineStr">
        <is>
          <t>刘希子</t>
        </is>
      </c>
      <c r="AG425" s="1074" t="inlineStr">
        <is>
          <t>03识海阁</t>
        </is>
      </c>
      <c r="AH425" s="1074" t="inlineStr">
        <is>
          <t>15:50-18:00</t>
        </is>
      </c>
      <c r="AI425" s="1074" t="inlineStr">
        <is>
          <t>潜能班</t>
        </is>
      </c>
      <c r="AJ425" s="1074" t="inlineStr">
        <is>
          <t>零期</t>
        </is>
      </c>
      <c r="AK425" s="1074" t="inlineStr">
        <is>
          <t>在读</t>
        </is>
      </c>
      <c r="AL425" s="1074" t="inlineStr">
        <is>
          <t>-</t>
        </is>
      </c>
      <c r="AM425" s="1074" t="inlineStr">
        <is>
          <t>是</t>
        </is>
      </c>
      <c r="AN425" s="1074" t="inlineStr">
        <is>
          <t>是</t>
        </is>
      </c>
      <c r="AO425" s="1074" t="inlineStr">
        <is>
          <t>是</t>
        </is>
      </c>
      <c r="AP425" s="1074" t="n"/>
      <c r="AQ425" s="1074" t="n"/>
      <c r="AR425" s="1074" t="inlineStr">
        <is>
          <t>B</t>
        </is>
      </c>
      <c r="AS425" s="1074" t="inlineStr">
        <is>
          <t>先体验下暑假课，没聊秋季课的事情</t>
        </is>
      </c>
    </row>
    <row r="426" ht="26.25" customFormat="1" customHeight="1" s="366">
      <c r="A426" s="1074" t="inlineStr">
        <is>
          <t>同创汇</t>
        </is>
      </c>
      <c r="B426" s="1074" t="inlineStr">
        <is>
          <t>2578637555</t>
        </is>
      </c>
      <c r="C426" s="1074" t="inlineStr">
        <is>
          <t>苏家颖</t>
        </is>
      </c>
      <c r="D426" s="1074" t="inlineStr">
        <is>
          <t>林志豪01</t>
        </is>
      </c>
      <c r="E426" s="1074" t="inlineStr">
        <is>
          <t>纯拉新</t>
        </is>
      </c>
      <c r="F426" s="1074" t="n"/>
      <c r="G426" s="1074" t="n"/>
      <c r="H426" s="1074" t="inlineStr">
        <is>
          <t>在读</t>
        </is>
      </c>
      <c r="I426" s="1074" t="inlineStr">
        <is>
          <t>零期</t>
        </is>
      </c>
      <c r="J426" s="1074" t="inlineStr">
        <is>
          <t>3132897</t>
        </is>
      </c>
      <c r="K426" s="1074" t="inlineStr">
        <is>
          <t>报前测成绩</t>
        </is>
      </c>
      <c r="L426" s="1074" t="n">
        <v>75</v>
      </c>
      <c r="M426" s="1074" t="inlineStr">
        <is>
          <t>-</t>
        </is>
      </c>
      <c r="N426" s="1074" t="inlineStr">
        <is>
          <t>陈中帅</t>
        </is>
      </c>
      <c r="O426" s="1074" t="inlineStr">
        <is>
          <t>01智慧林</t>
        </is>
      </c>
      <c r="P426" s="1074" t="inlineStr">
        <is>
          <t>10:20-12:30</t>
        </is>
      </c>
      <c r="Q426" s="1074" t="inlineStr">
        <is>
          <t>潜能班</t>
        </is>
      </c>
      <c r="R426" s="1074" t="inlineStr">
        <is>
          <t>零期</t>
        </is>
      </c>
      <c r="S426" s="1074" t="inlineStr">
        <is>
          <t>在读</t>
        </is>
      </c>
      <c r="T426" s="1074" t="inlineStr">
        <is>
          <t>是</t>
        </is>
      </c>
      <c r="U426" s="1074" t="inlineStr">
        <is>
          <t>5230722</t>
        </is>
      </c>
      <c r="V426" s="1074" t="n">
        <v>79</v>
      </c>
      <c r="W426" s="1074" t="inlineStr">
        <is>
          <t>李润</t>
        </is>
      </c>
      <c r="X426" s="1074" t="inlineStr">
        <is>
          <t>01智慧林</t>
        </is>
      </c>
      <c r="Y426" s="1074" t="inlineStr">
        <is>
          <t>15:50-18:00</t>
        </is>
      </c>
      <c r="Z426" s="1074" t="inlineStr">
        <is>
          <t>潜能班</t>
        </is>
      </c>
      <c r="AA426" s="1074" t="inlineStr">
        <is>
          <t>零期</t>
        </is>
      </c>
      <c r="AB426" s="1074" t="inlineStr">
        <is>
          <t>在读</t>
        </is>
      </c>
      <c r="AC426" s="1074" t="inlineStr">
        <is>
          <t>-</t>
        </is>
      </c>
      <c r="AD426" s="1074" t="inlineStr">
        <is>
          <t>5230737</t>
        </is>
      </c>
      <c r="AE426" s="1074" t="n">
        <v>0</v>
      </c>
      <c r="AF426" s="1074" t="inlineStr">
        <is>
          <t>高心怡04</t>
        </is>
      </c>
      <c r="AG426" s="1074" t="inlineStr">
        <is>
          <t>01智慧林</t>
        </is>
      </c>
      <c r="AH426" s="1074" t="inlineStr">
        <is>
          <t>13:20-15:30</t>
        </is>
      </c>
      <c r="AI426" s="1074" t="inlineStr">
        <is>
          <t>潜能班</t>
        </is>
      </c>
      <c r="AJ426" s="1074" t="inlineStr">
        <is>
          <t>零期</t>
        </is>
      </c>
      <c r="AK426" s="1074" t="inlineStr">
        <is>
          <t>在读</t>
        </is>
      </c>
      <c r="AL426" s="1074" t="inlineStr">
        <is>
          <t>-</t>
        </is>
      </c>
      <c r="AM426" s="1074" t="inlineStr">
        <is>
          <t>是</t>
        </is>
      </c>
      <c r="AN426" s="1074" t="inlineStr">
        <is>
          <t>是</t>
        </is>
      </c>
      <c r="AO426" s="1074" t="inlineStr">
        <is>
          <t>是</t>
        </is>
      </c>
      <c r="AP426" s="1074" t="n"/>
      <c r="AQ426" s="1074" t="n"/>
      <c r="AR426" s="1074" t="inlineStr">
        <is>
          <t>S</t>
        </is>
      </c>
      <c r="AS426" s="1074" t="inlineStr">
        <is>
          <t>已报名秋季</t>
        </is>
      </c>
    </row>
    <row r="427" ht="26.25" customFormat="1" customHeight="1" s="366">
      <c r="A427" s="1074" t="inlineStr">
        <is>
          <t>新宝利</t>
        </is>
      </c>
      <c r="B427" s="1074" t="inlineStr">
        <is>
          <t>2513129518</t>
        </is>
      </c>
      <c r="C427" s="1074" t="inlineStr">
        <is>
          <t>文犀</t>
        </is>
      </c>
      <c r="D427" s="1074" t="inlineStr">
        <is>
          <t>张敏烨</t>
        </is>
      </c>
      <c r="E427" s="1074" t="inlineStr">
        <is>
          <t>纯拉新</t>
        </is>
      </c>
      <c r="F427" s="1074" t="n"/>
      <c r="G427" s="1074" t="n"/>
      <c r="H427" s="1074" t="inlineStr">
        <is>
          <t>在读</t>
        </is>
      </c>
      <c r="I427" s="1074" t="inlineStr">
        <is>
          <t>二期</t>
        </is>
      </c>
      <c r="J427" s="1074" t="inlineStr">
        <is>
          <t>4513341</t>
        </is>
      </c>
      <c r="K427" s="1074" t="inlineStr">
        <is>
          <t>报前测成绩</t>
        </is>
      </c>
      <c r="L427" s="1074" t="n">
        <v>94</v>
      </c>
      <c r="M427" s="1074" t="inlineStr">
        <is>
          <t>-</t>
        </is>
      </c>
      <c r="N427" s="1074" t="inlineStr">
        <is>
          <t>陈中帅</t>
        </is>
      </c>
      <c r="O427" s="1074" t="inlineStr">
        <is>
          <t>教室3</t>
        </is>
      </c>
      <c r="P427" s="1074" t="inlineStr">
        <is>
          <t>15:50-18:00</t>
        </is>
      </c>
      <c r="Q427" s="1074" t="inlineStr">
        <is>
          <t>启能班</t>
        </is>
      </c>
      <c r="R427" s="1074" t="inlineStr">
        <is>
          <t>二期</t>
        </is>
      </c>
      <c r="S427" s="1074" t="inlineStr">
        <is>
          <t>在读</t>
        </is>
      </c>
      <c r="T427" s="1074" t="inlineStr">
        <is>
          <t>是</t>
        </is>
      </c>
      <c r="U427" s="1074" t="inlineStr">
        <is>
          <t>-</t>
        </is>
      </c>
      <c r="V427" s="1074" t="inlineStr"/>
      <c r="W427" s="1074" t="inlineStr">
        <is>
          <t>-</t>
        </is>
      </c>
      <c r="X427" s="1074" t="inlineStr">
        <is>
          <t>-</t>
        </is>
      </c>
      <c r="Y427" s="1074" t="inlineStr">
        <is>
          <t>-</t>
        </is>
      </c>
      <c r="Z427" s="1074" t="inlineStr">
        <is>
          <t>-</t>
        </is>
      </c>
      <c r="AA427" s="1074" t="inlineStr">
        <is>
          <t>-</t>
        </is>
      </c>
      <c r="AB427" s="1074" t="inlineStr">
        <is>
          <t>-</t>
        </is>
      </c>
      <c r="AC427" s="1074" t="inlineStr">
        <is>
          <t>-</t>
        </is>
      </c>
      <c r="AD427" s="1074" t="inlineStr">
        <is>
          <t>-</t>
        </is>
      </c>
      <c r="AE427" s="1074" t="inlineStr"/>
      <c r="AF427" s="1074" t="inlineStr">
        <is>
          <t>-</t>
        </is>
      </c>
      <c r="AG427" s="1074" t="inlineStr">
        <is>
          <t>-</t>
        </is>
      </c>
      <c r="AH427" s="1074" t="inlineStr">
        <is>
          <t>-</t>
        </is>
      </c>
      <c r="AI427" s="1074" t="inlineStr">
        <is>
          <t>-</t>
        </is>
      </c>
      <c r="AJ427" s="1074" t="inlineStr">
        <is>
          <t>-</t>
        </is>
      </c>
      <c r="AK427" s="1074" t="inlineStr">
        <is>
          <t>-</t>
        </is>
      </c>
      <c r="AL427" s="1074" t="inlineStr">
        <is>
          <t>-</t>
        </is>
      </c>
      <c r="AM427" s="1074" t="n"/>
      <c r="AN427" s="1074" t="n"/>
      <c r="AO427" s="1074" t="n"/>
      <c r="AP427" s="1074" t="n"/>
      <c r="AQ427" s="1074" t="n"/>
      <c r="AR427" s="1074" t="n"/>
      <c r="AS427" s="1074" t="n"/>
    </row>
    <row r="428" ht="26.25" customFormat="1" customHeight="1" s="366">
      <c r="A428" s="1074" t="inlineStr">
        <is>
          <t>同创汇</t>
        </is>
      </c>
      <c r="B428" s="1074" t="inlineStr">
        <is>
          <t>2721240331</t>
        </is>
      </c>
      <c r="C428" s="1074" t="inlineStr">
        <is>
          <t>何子越</t>
        </is>
      </c>
      <c r="D428" s="1074" t="inlineStr">
        <is>
          <t>戎凯01</t>
        </is>
      </c>
      <c r="E428" s="1074" t="inlineStr">
        <is>
          <t>纯拉新</t>
        </is>
      </c>
      <c r="F428" s="1074" t="n"/>
      <c r="G428" s="1074" t="n"/>
      <c r="H428" s="1074" t="inlineStr">
        <is>
          <t>在读</t>
        </is>
      </c>
      <c r="I428" s="1074" t="inlineStr">
        <is>
          <t>零期</t>
        </is>
      </c>
      <c r="J428" s="1074" t="inlineStr">
        <is>
          <t>3132897</t>
        </is>
      </c>
      <c r="K428" s="1074" t="inlineStr">
        <is>
          <t>报前测成绩</t>
        </is>
      </c>
      <c r="L428" s="1074" t="n">
        <v>66.5</v>
      </c>
      <c r="M428" s="1074" t="inlineStr">
        <is>
          <t>-</t>
        </is>
      </c>
      <c r="N428" s="1074" t="inlineStr">
        <is>
          <t>陈中帅</t>
        </is>
      </c>
      <c r="O428" s="1074" t="inlineStr">
        <is>
          <t>01智慧林</t>
        </is>
      </c>
      <c r="P428" s="1074" t="inlineStr">
        <is>
          <t>10:20-12:30</t>
        </is>
      </c>
      <c r="Q428" s="1074" t="inlineStr">
        <is>
          <t>潜能班</t>
        </is>
      </c>
      <c r="R428" s="1074" t="inlineStr">
        <is>
          <t>零期</t>
        </is>
      </c>
      <c r="S428" s="1074" t="inlineStr">
        <is>
          <t>在读</t>
        </is>
      </c>
      <c r="T428" s="1074" t="inlineStr">
        <is>
          <t>-</t>
        </is>
      </c>
      <c r="U428" s="1074" t="inlineStr">
        <is>
          <t>5230722</t>
        </is>
      </c>
      <c r="V428" s="1074" t="n">
        <v>0</v>
      </c>
      <c r="W428" s="1074" t="inlineStr">
        <is>
          <t>李润</t>
        </is>
      </c>
      <c r="X428" s="1074" t="inlineStr">
        <is>
          <t>01智慧林</t>
        </is>
      </c>
      <c r="Y428" s="1074" t="inlineStr">
        <is>
          <t>15:50-18:00</t>
        </is>
      </c>
      <c r="Z428" s="1074" t="inlineStr">
        <is>
          <t>潜能班</t>
        </is>
      </c>
      <c r="AA428" s="1074" t="inlineStr">
        <is>
          <t>零期</t>
        </is>
      </c>
      <c r="AB428" s="1074" t="inlineStr">
        <is>
          <t>在读</t>
        </is>
      </c>
      <c r="AC428" s="1074" t="inlineStr">
        <is>
          <t>-</t>
        </is>
      </c>
      <c r="AD428" s="1074" t="inlineStr">
        <is>
          <t>5230737</t>
        </is>
      </c>
      <c r="AE428" s="1074" t="n">
        <v>41.5</v>
      </c>
      <c r="AF428" s="1074" t="inlineStr">
        <is>
          <t>高心怡04</t>
        </is>
      </c>
      <c r="AG428" s="1074" t="inlineStr">
        <is>
          <t>01智慧林</t>
        </is>
      </c>
      <c r="AH428" s="1074" t="inlineStr">
        <is>
          <t>13:20-15:30</t>
        </is>
      </c>
      <c r="AI428" s="1074" t="inlineStr">
        <is>
          <t>潜能班</t>
        </is>
      </c>
      <c r="AJ428" s="1074" t="inlineStr">
        <is>
          <t>零期</t>
        </is>
      </c>
      <c r="AK428" s="1074" t="inlineStr">
        <is>
          <t>在读</t>
        </is>
      </c>
      <c r="AL428" s="1074" t="inlineStr">
        <is>
          <t>-</t>
        </is>
      </c>
      <c r="AM428" s="1074" t="inlineStr">
        <is>
          <t>是</t>
        </is>
      </c>
      <c r="AN428" s="1074" t="inlineStr">
        <is>
          <t>是</t>
        </is>
      </c>
      <c r="AO428" s="1074" t="inlineStr">
        <is>
          <t>是</t>
        </is>
      </c>
      <c r="AP428" s="1074" t="n"/>
      <c r="AQ428" s="1074" t="n"/>
      <c r="AR428" s="1074" t="inlineStr">
        <is>
          <t>A</t>
        </is>
      </c>
      <c r="AS428" s="1074" t="inlineStr">
        <is>
          <t>讲座推优转化，比较看重效果</t>
        </is>
      </c>
    </row>
    <row r="429" ht="26.25" customFormat="1" customHeight="1" s="366">
      <c r="A429" s="1074" t="inlineStr">
        <is>
          <t>同创汇</t>
        </is>
      </c>
      <c r="B429" s="1074" t="inlineStr">
        <is>
          <t>2931347598</t>
        </is>
      </c>
      <c r="C429" s="1074" t="inlineStr">
        <is>
          <t>张安然</t>
        </is>
      </c>
      <c r="D429" s="1074" t="inlineStr">
        <is>
          <t>戎凯01</t>
        </is>
      </c>
      <c r="E429" s="1074" t="inlineStr">
        <is>
          <t>纯拉新</t>
        </is>
      </c>
      <c r="F429" s="1074" t="n"/>
      <c r="G429" s="1074" t="n"/>
      <c r="H429" s="1074" t="inlineStr">
        <is>
          <t>退费</t>
        </is>
      </c>
      <c r="I429" s="1074" t="inlineStr">
        <is>
          <t>-</t>
        </is>
      </c>
      <c r="J429" s="1074" t="inlineStr">
        <is>
          <t>3132897</t>
        </is>
      </c>
      <c r="K429" s="1074" t="inlineStr">
        <is>
          <t>报前测成绩</t>
        </is>
      </c>
      <c r="L429" s="1074" t="n">
        <v>72</v>
      </c>
      <c r="M429" s="1074" t="inlineStr">
        <is>
          <t>-</t>
        </is>
      </c>
      <c r="N429" s="1074" t="inlineStr">
        <is>
          <t>陈中帅</t>
        </is>
      </c>
      <c r="O429" s="1074" t="inlineStr">
        <is>
          <t>01智慧林</t>
        </is>
      </c>
      <c r="P429" s="1074" t="inlineStr">
        <is>
          <t>10:20-12:30</t>
        </is>
      </c>
      <c r="Q429" s="1074" t="inlineStr">
        <is>
          <t>潜能班</t>
        </is>
      </c>
      <c r="R429" s="1074" t="inlineStr">
        <is>
          <t>零期</t>
        </is>
      </c>
      <c r="S429" s="1074" t="inlineStr">
        <is>
          <t>课前退</t>
        </is>
      </c>
      <c r="T429" s="1074" t="inlineStr">
        <is>
          <t>-</t>
        </is>
      </c>
      <c r="U429" s="1074" t="inlineStr">
        <is>
          <t>5230722</t>
        </is>
      </c>
      <c r="V429" s="1074" t="inlineStr">
        <is>
          <t>-</t>
        </is>
      </c>
      <c r="W429" s="1074" t="inlineStr">
        <is>
          <t>李润</t>
        </is>
      </c>
      <c r="X429" s="1074" t="inlineStr">
        <is>
          <t>01智慧林</t>
        </is>
      </c>
      <c r="Y429" s="1074" t="inlineStr">
        <is>
          <t>15:50-18:00</t>
        </is>
      </c>
      <c r="Z429" s="1074" t="inlineStr">
        <is>
          <t>潜能班</t>
        </is>
      </c>
      <c r="AA429" s="1074" t="inlineStr">
        <is>
          <t>零期</t>
        </is>
      </c>
      <c r="AB429" s="1074" t="inlineStr">
        <is>
          <t>课前退</t>
        </is>
      </c>
      <c r="AC429" s="1074" t="inlineStr">
        <is>
          <t>-</t>
        </is>
      </c>
      <c r="AD429" s="1074" t="inlineStr">
        <is>
          <t>5230737</t>
        </is>
      </c>
      <c r="AE429" s="1074" t="n">
        <v>40.5</v>
      </c>
      <c r="AF429" s="1074" t="inlineStr">
        <is>
          <t>高心怡04</t>
        </is>
      </c>
      <c r="AG429" s="1074" t="inlineStr">
        <is>
          <t>01智慧林</t>
        </is>
      </c>
      <c r="AH429" s="1074" t="inlineStr">
        <is>
          <t>13:20-15:30</t>
        </is>
      </c>
      <c r="AI429" s="1074" t="inlineStr">
        <is>
          <t>潜能班</t>
        </is>
      </c>
      <c r="AJ429" s="1074" t="inlineStr">
        <is>
          <t>零期</t>
        </is>
      </c>
      <c r="AK429" s="1074" t="inlineStr">
        <is>
          <t>课前退</t>
        </is>
      </c>
      <c r="AL429" s="1074" t="inlineStr">
        <is>
          <t>-</t>
        </is>
      </c>
      <c r="AM429" s="1074" t="n"/>
      <c r="AN429" s="1074" t="n"/>
      <c r="AO429" s="1074" t="n"/>
      <c r="AP429" s="1074" t="n"/>
      <c r="AQ429" s="1074" t="n"/>
      <c r="AR429" s="1074" t="inlineStr">
        <is>
          <t>S</t>
        </is>
      </c>
      <c r="AS429" s="1074" t="inlineStr">
        <is>
          <t>首场讲座转化，爸爸妈妈比较看好中帅</t>
        </is>
      </c>
    </row>
    <row r="430" ht="26.25" customFormat="1" customHeight="1" s="366">
      <c r="A430" s="1074" t="inlineStr">
        <is>
          <t>新宝利</t>
        </is>
      </c>
      <c r="B430" s="1074" t="inlineStr">
        <is>
          <t>2705697445</t>
        </is>
      </c>
      <c r="C430" s="1074" t="inlineStr">
        <is>
          <t>千惠</t>
        </is>
      </c>
      <c r="D430" s="1074" t="inlineStr">
        <is>
          <t>张敏烨</t>
        </is>
      </c>
      <c r="E430" s="1074" t="inlineStr">
        <is>
          <t>纯拉新</t>
        </is>
      </c>
      <c r="F430" s="1074" t="n"/>
      <c r="G430" s="1074" t="n"/>
      <c r="H430" s="1074" t="inlineStr">
        <is>
          <t>在读</t>
        </is>
      </c>
      <c r="I430" s="1074" t="inlineStr">
        <is>
          <t>三期</t>
        </is>
      </c>
      <c r="J430" s="1074" t="inlineStr">
        <is>
          <t>3132902</t>
        </is>
      </c>
      <c r="K430" s="1074" t="inlineStr">
        <is>
          <t>报前测成绩</t>
        </is>
      </c>
      <c r="L430" s="1074" t="n">
        <v>60</v>
      </c>
      <c r="M430" s="1074" t="inlineStr">
        <is>
          <t>-</t>
        </is>
      </c>
      <c r="N430" s="1074" t="inlineStr">
        <is>
          <t>陈中帅</t>
        </is>
      </c>
      <c r="O430" s="1074" t="inlineStr">
        <is>
          <t>教室3</t>
        </is>
      </c>
      <c r="P430" s="1074" t="inlineStr">
        <is>
          <t>13:20-15:30</t>
        </is>
      </c>
      <c r="Q430" s="1074" t="inlineStr">
        <is>
          <t>潜能班</t>
        </is>
      </c>
      <c r="R430" s="1074" t="inlineStr">
        <is>
          <t>三期</t>
        </is>
      </c>
      <c r="S430" s="1074" t="inlineStr">
        <is>
          <t>在读</t>
        </is>
      </c>
      <c r="T430" s="1074" t="inlineStr">
        <is>
          <t>-</t>
        </is>
      </c>
      <c r="U430" s="1074" t="inlineStr">
        <is>
          <t>5230747</t>
        </is>
      </c>
      <c r="V430" s="1074" t="n">
        <v>80</v>
      </c>
      <c r="W430" s="1074" t="inlineStr">
        <is>
          <t>陈南05</t>
        </is>
      </c>
      <c r="X430" s="1074" t="inlineStr">
        <is>
          <t>教室3</t>
        </is>
      </c>
      <c r="Y430" s="1074" t="inlineStr">
        <is>
          <t>10:20-12:30</t>
        </is>
      </c>
      <c r="Z430" s="1074" t="inlineStr">
        <is>
          <t>潜能班</t>
        </is>
      </c>
      <c r="AA430" s="1074" t="inlineStr">
        <is>
          <t>三期</t>
        </is>
      </c>
      <c r="AB430" s="1074" t="inlineStr">
        <is>
          <t>在读</t>
        </is>
      </c>
      <c r="AC430" s="1074" t="inlineStr">
        <is>
          <t>-</t>
        </is>
      </c>
      <c r="AD430" s="1074" t="inlineStr">
        <is>
          <t>5230821</t>
        </is>
      </c>
      <c r="AE430" s="1074" t="n">
        <v>43</v>
      </c>
      <c r="AF430" s="1074" t="inlineStr">
        <is>
          <t>肖锐03</t>
        </is>
      </c>
      <c r="AG430" s="1074" t="inlineStr">
        <is>
          <t>教室3</t>
        </is>
      </c>
      <c r="AH430" s="1074" t="inlineStr">
        <is>
          <t>15:50-18:00</t>
        </is>
      </c>
      <c r="AI430" s="1074" t="inlineStr">
        <is>
          <t>潜能班</t>
        </is>
      </c>
      <c r="AJ430" s="1074" t="inlineStr">
        <is>
          <t>三期</t>
        </is>
      </c>
      <c r="AK430" s="1074" t="inlineStr">
        <is>
          <t>在读</t>
        </is>
      </c>
      <c r="AL430" s="1074" t="inlineStr">
        <is>
          <t>-</t>
        </is>
      </c>
      <c r="AM430" s="1074" t="n"/>
      <c r="AN430" s="1074" t="n"/>
      <c r="AO430" s="1074" t="n"/>
      <c r="AP430" s="1074" t="n"/>
      <c r="AQ430" s="1074" t="n"/>
      <c r="AR430" s="1074" t="inlineStr">
        <is>
          <t>B</t>
        </is>
      </c>
      <c r="AS430" s="1074" t="inlineStr">
        <is>
          <t>未咨询秋季价格</t>
        </is>
      </c>
    </row>
    <row r="431" ht="26.25" customFormat="1" customHeight="1" s="366">
      <c r="A431" s="1074" t="inlineStr">
        <is>
          <t>天成大厦</t>
        </is>
      </c>
      <c r="B431" s="1074" t="inlineStr">
        <is>
          <t>2673038530</t>
        </is>
      </c>
      <c r="C431" s="1074" t="inlineStr">
        <is>
          <t>李庚联</t>
        </is>
      </c>
      <c r="D431" s="1074" t="inlineStr">
        <is>
          <t>龙倩敏</t>
        </is>
      </c>
      <c r="E431" s="1074" t="inlineStr">
        <is>
          <t>断报老生</t>
        </is>
      </c>
      <c r="F431" s="1074" t="n"/>
      <c r="G431" s="1074" t="n"/>
      <c r="H431" s="1074" t="inlineStr">
        <is>
          <t>退费</t>
        </is>
      </c>
      <c r="I431" s="1074" t="inlineStr">
        <is>
          <t>-</t>
        </is>
      </c>
      <c r="J431" s="1074" t="inlineStr">
        <is>
          <t>5230775</t>
        </is>
      </c>
      <c r="K431" s="1074" t="inlineStr">
        <is>
          <t>-</t>
        </is>
      </c>
      <c r="L431" s="1074" t="inlineStr">
        <is>
          <t>-</t>
        </is>
      </c>
      <c r="M431" s="1074" t="inlineStr">
        <is>
          <t>-</t>
        </is>
      </c>
      <c r="N431" s="1074" t="inlineStr">
        <is>
          <t>陈中帅</t>
        </is>
      </c>
      <c r="O431" s="1074" t="inlineStr">
        <is>
          <t>03品尚</t>
        </is>
      </c>
      <c r="P431" s="1074" t="inlineStr">
        <is>
          <t>10:20-12:30</t>
        </is>
      </c>
      <c r="Q431" s="1074" t="inlineStr">
        <is>
          <t>潜能班</t>
        </is>
      </c>
      <c r="R431" s="1074" t="inlineStr">
        <is>
          <t>一期</t>
        </is>
      </c>
      <c r="S431" s="1074" t="inlineStr">
        <is>
          <t>课前退</t>
        </is>
      </c>
      <c r="T431" s="1074" t="inlineStr">
        <is>
          <t>-</t>
        </is>
      </c>
      <c r="U431" s="1074" t="inlineStr">
        <is>
          <t>3132834</t>
        </is>
      </c>
      <c r="V431" s="1074" t="n"/>
      <c r="W431" s="1074" t="inlineStr">
        <is>
          <t>李润</t>
        </is>
      </c>
      <c r="X431" s="1074" t="inlineStr">
        <is>
          <t>03品尚</t>
        </is>
      </c>
      <c r="Y431" s="1074" t="inlineStr">
        <is>
          <t>07:50-10:00</t>
        </is>
      </c>
      <c r="Z431" s="1074" t="inlineStr">
        <is>
          <t>潜能班</t>
        </is>
      </c>
      <c r="AA431" s="1074" t="inlineStr">
        <is>
          <t>一期</t>
        </is>
      </c>
      <c r="AB431" s="1074" t="inlineStr">
        <is>
          <t>课前退</t>
        </is>
      </c>
      <c r="AC431" s="1074" t="inlineStr">
        <is>
          <t>-</t>
        </is>
      </c>
      <c r="AD431" s="1074" t="inlineStr">
        <is>
          <t>5230783</t>
        </is>
      </c>
      <c r="AE431" s="1074" t="n"/>
      <c r="AF431" s="1074" t="inlineStr">
        <is>
          <t>刘希子</t>
        </is>
      </c>
      <c r="AG431" s="1074" t="inlineStr">
        <is>
          <t>03品尚</t>
        </is>
      </c>
      <c r="AH431" s="1074" t="inlineStr">
        <is>
          <t>13:20-15:30</t>
        </is>
      </c>
      <c r="AI431" s="1074" t="inlineStr">
        <is>
          <t>潜能班</t>
        </is>
      </c>
      <c r="AJ431" s="1074" t="inlineStr">
        <is>
          <t>一期</t>
        </is>
      </c>
      <c r="AK431" s="1074" t="inlineStr">
        <is>
          <t>课前退</t>
        </is>
      </c>
      <c r="AL431" s="1074" t="inlineStr">
        <is>
          <t>-</t>
        </is>
      </c>
      <c r="AM431" s="1074" t="n"/>
      <c r="AN431" s="1074" t="n"/>
      <c r="AO431" s="1074" t="n"/>
      <c r="AP431" s="1074" t="n"/>
      <c r="AQ431" s="1074" t="n"/>
      <c r="AR431" s="1074" t="n"/>
      <c r="AS431" s="1074" t="n"/>
    </row>
    <row r="432" ht="26.25" customFormat="1" customHeight="1" s="366">
      <c r="A432" s="1074" t="inlineStr">
        <is>
          <t>天成大厦</t>
        </is>
      </c>
      <c r="B432" s="1074" t="inlineStr">
        <is>
          <t>4396309386</t>
        </is>
      </c>
      <c r="C432" s="1074" t="inlineStr">
        <is>
          <t>蔡可馨</t>
        </is>
      </c>
      <c r="D432" s="1074" t="inlineStr">
        <is>
          <t>王达04</t>
        </is>
      </c>
      <c r="E432" s="1074" t="inlineStr">
        <is>
          <t>春季在读老生</t>
        </is>
      </c>
      <c r="F432" s="1074" t="n"/>
      <c r="G432" s="1074" t="n"/>
      <c r="H432" s="1074" t="inlineStr">
        <is>
          <t>在读</t>
        </is>
      </c>
      <c r="I432" s="1074" t="inlineStr">
        <is>
          <t>一期</t>
        </is>
      </c>
      <c r="J432" s="1074" t="inlineStr">
        <is>
          <t>5230775</t>
        </is>
      </c>
      <c r="K432" s="1074" t="inlineStr">
        <is>
          <t>老师预估</t>
        </is>
      </c>
      <c r="L432" s="1074" t="n">
        <v>90</v>
      </c>
      <c r="M432" s="1074" t="inlineStr">
        <is>
          <t>-</t>
        </is>
      </c>
      <c r="N432" s="1074" t="inlineStr">
        <is>
          <t>陈中帅</t>
        </is>
      </c>
      <c r="O432" s="1074" t="inlineStr">
        <is>
          <t>03品尚</t>
        </is>
      </c>
      <c r="P432" s="1074" t="inlineStr">
        <is>
          <t>10:20-12:30</t>
        </is>
      </c>
      <c r="Q432" s="1074" t="inlineStr">
        <is>
          <t>潜能班</t>
        </is>
      </c>
      <c r="R432" s="1074" t="inlineStr">
        <is>
          <t>一期</t>
        </is>
      </c>
      <c r="S432" s="1074" t="inlineStr">
        <is>
          <t>在读</t>
        </is>
      </c>
      <c r="T432" s="1074" t="inlineStr">
        <is>
          <t>是</t>
        </is>
      </c>
      <c r="U432" s="1074" t="inlineStr">
        <is>
          <t>-</t>
        </is>
      </c>
      <c r="V432" s="1074" t="inlineStr"/>
      <c r="W432" s="1074" t="inlineStr">
        <is>
          <t>-</t>
        </is>
      </c>
      <c r="X432" s="1074" t="inlineStr">
        <is>
          <t>-</t>
        </is>
      </c>
      <c r="Y432" s="1074" t="inlineStr">
        <is>
          <t>-</t>
        </is>
      </c>
      <c r="Z432" s="1074" t="inlineStr">
        <is>
          <t>-</t>
        </is>
      </c>
      <c r="AA432" s="1074" t="inlineStr">
        <is>
          <t>-</t>
        </is>
      </c>
      <c r="AB432" s="1074" t="inlineStr">
        <is>
          <t>-</t>
        </is>
      </c>
      <c r="AC432" s="1074" t="inlineStr">
        <is>
          <t>-</t>
        </is>
      </c>
      <c r="AD432" s="1074" t="inlineStr">
        <is>
          <t>-</t>
        </is>
      </c>
      <c r="AE432" s="1074" t="inlineStr"/>
      <c r="AF432" s="1074" t="inlineStr">
        <is>
          <t>-</t>
        </is>
      </c>
      <c r="AG432" s="1074" t="inlineStr">
        <is>
          <t>-</t>
        </is>
      </c>
      <c r="AH432" s="1074" t="inlineStr">
        <is>
          <t>-</t>
        </is>
      </c>
      <c r="AI432" s="1074" t="inlineStr">
        <is>
          <t>-</t>
        </is>
      </c>
      <c r="AJ432" s="1074" t="inlineStr">
        <is>
          <t>-</t>
        </is>
      </c>
      <c r="AK432" s="1074" t="inlineStr">
        <is>
          <t>-</t>
        </is>
      </c>
      <c r="AL432" s="1074" t="inlineStr">
        <is>
          <t>-</t>
        </is>
      </c>
      <c r="AM432" s="1074" t="n"/>
      <c r="AN432" s="1074" t="n"/>
      <c r="AO432" s="1074" t="n"/>
      <c r="AP432" s="1074" t="n"/>
      <c r="AQ432" s="1074" t="n"/>
      <c r="AR432" s="1074" t="inlineStr">
        <is>
          <t>S</t>
        </is>
      </c>
      <c r="AS432" s="1074" t="inlineStr">
        <is>
          <t>正价学员</t>
        </is>
      </c>
    </row>
    <row r="433" ht="26.25" customFormat="1" customHeight="1" s="366">
      <c r="AS433" s="366" t="n"/>
    </row>
    <row r="434" ht="26.25" customFormat="1" customHeight="1" s="366">
      <c r="AS434" s="366" t="n"/>
    </row>
    <row r="435" ht="26.25" customFormat="1" customHeight="1" s="366">
      <c r="AS435" s="366" t="n"/>
    </row>
    <row r="436" ht="26.25" customFormat="1" customHeight="1" s="366">
      <c r="AS436" s="366" t="n"/>
    </row>
    <row r="437" ht="26.25" customFormat="1" customHeight="1" s="366">
      <c r="AS437" s="366" t="n"/>
    </row>
    <row r="438" ht="26.25" customFormat="1" customHeight="1" s="366">
      <c r="AS438" s="366" t="n"/>
    </row>
    <row r="439" ht="26.25" customFormat="1" customHeight="1" s="366">
      <c r="AS439" s="366" t="n"/>
    </row>
    <row r="440" ht="26.25" customFormat="1" customHeight="1" s="366">
      <c r="AS440" s="366" t="n"/>
    </row>
    <row r="441" ht="26.25" customFormat="1" customHeight="1" s="366">
      <c r="AS441" s="366" t="n"/>
    </row>
    <row r="442" ht="26.25" customFormat="1" customHeight="1" s="366">
      <c r="AS442" s="366" t="n"/>
    </row>
    <row r="443" ht="26.25" customFormat="1" customHeight="1" s="366">
      <c r="AS443" s="366" t="n"/>
    </row>
    <row r="444" ht="26.25" customFormat="1" customHeight="1" s="366">
      <c r="AS444" s="366" t="n"/>
    </row>
    <row r="445" ht="26.25" customFormat="1" customHeight="1" s="366">
      <c r="AS445" s="366" t="n"/>
    </row>
    <row r="446" ht="26.25" customFormat="1" customHeight="1" s="366">
      <c r="AS446" s="366" t="n"/>
    </row>
    <row r="447" ht="26.25" customFormat="1" customHeight="1" s="366">
      <c r="AS447" s="366" t="n"/>
    </row>
    <row r="448" ht="26.25" customFormat="1" customHeight="1" s="366">
      <c r="AS448" s="366" t="n"/>
    </row>
    <row r="449" ht="26.25" customFormat="1" customHeight="1" s="366">
      <c r="AS449" s="366" t="n"/>
    </row>
    <row r="450" ht="26.25" customFormat="1" customHeight="1" s="366">
      <c r="AS450" s="366" t="n"/>
    </row>
    <row r="451" ht="26.25" customFormat="1" customHeight="1" s="366">
      <c r="AS451" s="366" t="n"/>
    </row>
    <row r="452" ht="26.25" customFormat="1" customHeight="1" s="366">
      <c r="AS452" s="366" t="n"/>
    </row>
    <row r="453" ht="26.25" customFormat="1" customHeight="1" s="366">
      <c r="AS453" s="366" t="n"/>
    </row>
    <row r="454" ht="26.25" customFormat="1" customHeight="1" s="366">
      <c r="AS454" s="366" t="n"/>
    </row>
    <row r="455" ht="26.25" customFormat="1" customHeight="1" s="366">
      <c r="AS455" s="366" t="n"/>
    </row>
    <row r="456" ht="26.25" customFormat="1" customHeight="1" s="366">
      <c r="AS456" s="366" t="n"/>
    </row>
    <row r="457" ht="26.25" customFormat="1" customHeight="1" s="366">
      <c r="AS457" s="366" t="n"/>
    </row>
    <row r="458" ht="26.25" customFormat="1" customHeight="1" s="366">
      <c r="AS458" s="366" t="n"/>
    </row>
    <row r="459" ht="26.25" customFormat="1" customHeight="1" s="366">
      <c r="AS459" s="366" t="n"/>
    </row>
    <row r="460" ht="26.25" customFormat="1" customHeight="1" s="366">
      <c r="AS460" s="366" t="n"/>
    </row>
    <row r="461" ht="26.25" customFormat="1" customHeight="1" s="366">
      <c r="AS461" s="366" t="n"/>
    </row>
    <row r="462" ht="26.25" customFormat="1" customHeight="1" s="366">
      <c r="AS462" s="366" t="n"/>
    </row>
    <row r="463" ht="26.25" customFormat="1" customHeight="1" s="366">
      <c r="AS463" s="366" t="n"/>
    </row>
    <row r="464" ht="26.25" customFormat="1" customHeight="1" s="366">
      <c r="AS464" s="366" t="n"/>
    </row>
    <row r="465" ht="26.25" customFormat="1" customHeight="1" s="366">
      <c r="AS465" s="366" t="n"/>
    </row>
    <row r="466" ht="26.25" customFormat="1" customHeight="1" s="366">
      <c r="AS466" s="366" t="n"/>
    </row>
    <row r="467" ht="26.25" customFormat="1" customHeight="1" s="366">
      <c r="AS467" s="366" t="n"/>
    </row>
    <row r="468" ht="26.25" customFormat="1" customHeight="1" s="366">
      <c r="AS468" s="366" t="n"/>
    </row>
    <row r="469" ht="26.25" customFormat="1" customHeight="1" s="366">
      <c r="AS469" s="366" t="n"/>
    </row>
    <row r="470" ht="26.25" customFormat="1" customHeight="1" s="366">
      <c r="AS470" s="366" t="n"/>
    </row>
    <row r="471" ht="26.25" customFormat="1" customHeight="1" s="366">
      <c r="AS471" s="366" t="n"/>
    </row>
    <row r="472" ht="26.25" customFormat="1" customHeight="1" s="366">
      <c r="AS472" s="366" t="n"/>
    </row>
    <row r="473" ht="26.25" customFormat="1" customHeight="1" s="366">
      <c r="AS473" s="366" t="n"/>
    </row>
    <row r="474" ht="26.25" customFormat="1" customHeight="1" s="366">
      <c r="AS474" s="366" t="n"/>
    </row>
    <row r="475" ht="26.25" customFormat="1" customHeight="1" s="366">
      <c r="AS475" s="366" t="n"/>
    </row>
    <row r="476" ht="26.25" customFormat="1" customHeight="1" s="366">
      <c r="AS476" s="366" t="n"/>
    </row>
    <row r="477" ht="26.25" customFormat="1" customHeight="1" s="366">
      <c r="AS477" s="366" t="n"/>
    </row>
    <row r="478" ht="26.25" customFormat="1" customHeight="1" s="366">
      <c r="AS478" s="366" t="n"/>
    </row>
    <row r="479" ht="26.25" customFormat="1" customHeight="1" s="366">
      <c r="AS479" s="366" t="n"/>
    </row>
    <row r="480" ht="26.25" customFormat="1" customHeight="1" s="366">
      <c r="AS480" s="366" t="n"/>
    </row>
    <row r="481" ht="26.25" customFormat="1" customHeight="1" s="366">
      <c r="AS481" s="366" t="n"/>
    </row>
    <row r="482" ht="26.25" customFormat="1" customHeight="1" s="366">
      <c r="AS482" s="366" t="n"/>
    </row>
    <row r="483" ht="26.25" customFormat="1" customHeight="1" s="366">
      <c r="AS483" s="366" t="n"/>
    </row>
    <row r="484" ht="26.25" customFormat="1" customHeight="1" s="366">
      <c r="AS484" s="366" t="n"/>
    </row>
    <row r="485" ht="26.25" customFormat="1" customHeight="1" s="366">
      <c r="AS485" s="366" t="n"/>
    </row>
    <row r="486" ht="26.25" customFormat="1" customHeight="1" s="366">
      <c r="AS486" s="366" t="n"/>
    </row>
    <row r="487" ht="26.25" customFormat="1" customHeight="1" s="366">
      <c r="AS487" s="366" t="n"/>
    </row>
    <row r="488" ht="26.25" customFormat="1" customHeight="1" s="366">
      <c r="AS488" s="366" t="n"/>
    </row>
    <row r="489" ht="26.25" customFormat="1" customHeight="1" s="366">
      <c r="AS489" s="366" t="n"/>
    </row>
    <row r="490" ht="26.25" customFormat="1" customHeight="1" s="366">
      <c r="AS490" s="366" t="n"/>
    </row>
    <row r="491" ht="26.25" customFormat="1" customHeight="1" s="366">
      <c r="AS491" s="366" t="n"/>
    </row>
    <row r="492" ht="26.25" customFormat="1" customHeight="1" s="366">
      <c r="AS492" s="366"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3" min="2" max="2"/>
    <col width="10" customWidth="1" style="1053" min="4" max="4"/>
    <col width="7.125" customWidth="1" style="1053" min="5" max="5"/>
    <col width="9.64453125" customWidth="1" style="1053" min="6" max="6"/>
    <col width="6.80859375" customWidth="1" style="1053" min="7" max="7"/>
    <col width="8.419921875" customWidth="1" style="1053" min="8" max="8"/>
    <col width="7.623046875" customWidth="1" style="1053" min="9" max="9"/>
    <col width="5.923828125" customWidth="1" style="1053" min="10" max="10"/>
    <col width="9.4248046875" customWidth="1" style="1053" min="11" max="11"/>
    <col width="8.2880859375" customWidth="1" style="1053" min="12" max="12"/>
    <col width="7.623046875" customWidth="1" style="1053" min="13" max="13"/>
    <col width="7.423828125" customWidth="1" style="1053" min="14" max="14"/>
    <col width="9.4248046875" customWidth="1" style="1053" min="15" max="15"/>
    <col width="7.7607421875" customWidth="1" style="1053" min="16" max="16"/>
    <col width="7.623046875" customWidth="1" style="1053" min="17" max="17"/>
    <col width="8.373046875" customWidth="1" style="1053" min="18" max="18"/>
    <col width="10" customWidth="1" style="1053" min="19" max="20"/>
    <col width="15.19921875" customWidth="1" style="366" min="21" max="21"/>
    <col width="7.32421875" customWidth="1" style="366" min="22" max="22"/>
    <col width="17.9501953125" customWidth="1" style="1053" min="23" max="23"/>
    <col width="8.44921875" customWidth="1" style="1053" min="24" max="24"/>
    <col width="16.681640625" customWidth="1" style="1053" min="25" max="25"/>
    <col width="8.431640625" customWidth="1" style="1053" min="26" max="26"/>
    <col width="13.201171875" customWidth="1" style="366" min="27" max="27"/>
    <col width="11.326171875" customWidth="1" style="366" min="28" max="28"/>
    <col width="11.326171875" customWidth="1" style="156" min="29" max="29"/>
    <col width="10.875" customWidth="1" style="315" min="30" max="30"/>
    <col width="10" customWidth="1" style="1053" min="31" max="33"/>
    <col width="10.998046875" customWidth="1" style="1053" min="34" max="34"/>
    <col width="15.75" customWidth="1" style="359" min="35" max="35"/>
    <col width="15.75" customWidth="1" style="426" min="36" max="37"/>
    <col width="7.1103515625" customWidth="1" style="366" min="38" max="41"/>
    <col width="18.75" customWidth="1" style="350" min="42" max="42"/>
    <col width="10.2744140625" customWidth="1" style="366" min="43" max="43"/>
    <col width="21.873046875" customWidth="1" style="359" min="44" max="44"/>
    <col width="6.41015625" customWidth="1" style="366" min="45" max="50"/>
    <col width="16.248046875" customWidth="1" style="366" min="51" max="51"/>
    <col width="36.22265625" customWidth="1" style="350" min="52" max="52"/>
    <col width="16.248046875" customWidth="1" style="1053" min="53" max="53"/>
  </cols>
  <sheetData>
    <row r="1" ht="30"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44" t="inlineStr">
        <is>
          <t>首课电联老师</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88"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30" customFormat="1" customHeight="1" s="298">
      <c r="A2" s="1057" t="n"/>
      <c r="B2" s="1057" t="n"/>
      <c r="C2" s="1057" t="n"/>
      <c r="D2" s="1057" t="n"/>
      <c r="E2" s="290" t="inlineStr">
        <is>
          <t>主讲</t>
        </is>
      </c>
      <c r="F2" s="290" t="inlineStr">
        <is>
          <t>上课时段</t>
        </is>
      </c>
      <c r="G2" s="290"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185"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154" t="inlineStr">
        <is>
          <t>（T6～T7）</t>
        </is>
      </c>
      <c r="BA2" s="285" t="inlineStr">
        <is>
          <t>（U8～U10）</t>
        </is>
      </c>
    </row>
    <row r="3" ht="30" customFormat="1" customHeight="1" s="366">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inlineStr">
        <is>
          <t>否</t>
        </is>
      </c>
      <c r="T3" s="281" t="inlineStr">
        <is>
          <t>否</t>
        </is>
      </c>
      <c r="U3" s="281" t="n"/>
      <c r="V3" s="281" t="n"/>
      <c r="W3" s="281" t="inlineStr">
        <is>
          <t>李润,高心怡04</t>
        </is>
      </c>
      <c r="X3" s="281" t="n"/>
      <c r="Y3" s="119" t="n"/>
      <c r="Z3" s="119" t="n"/>
      <c r="AA3" s="73" t="inlineStr">
        <is>
          <t>李润</t>
        </is>
      </c>
      <c r="AB3" s="339" t="inlineStr">
        <is>
          <t>是</t>
        </is>
      </c>
      <c r="AC3" s="315" t="inlineStr">
        <is>
          <t>陈中帅</t>
        </is>
      </c>
      <c r="AD3" s="315" t="inlineStr">
        <is>
          <t>是</t>
        </is>
      </c>
      <c r="AE3" s="281" t="inlineStr">
        <is>
          <t>戎凯01</t>
        </is>
      </c>
      <c r="AF3" s="281">
        <f>VLOOKUP(B3,'UV台帐'!B:G,6,0)</f>
        <v/>
      </c>
      <c r="AG3" s="281" t="n"/>
      <c r="AH3" s="281" t="inlineStr">
        <is>
          <t>是</t>
        </is>
      </c>
      <c r="AI3" s="281" t="n"/>
      <c r="AJ3" s="426" t="inlineStr">
        <is>
          <t>未接2</t>
        </is>
      </c>
      <c r="AK3" s="426" t="inlineStr">
        <is>
          <t>未接2</t>
        </is>
      </c>
      <c r="AL3" s="366" t="inlineStr">
        <is>
          <t>S</t>
        </is>
      </c>
      <c r="AM3" s="366" t="n"/>
      <c r="AN3" s="366" t="n"/>
      <c r="AO3" s="366" t="inlineStr">
        <is>
          <t>S</t>
        </is>
      </c>
      <c r="AP3" s="350" t="n"/>
      <c r="AR3" s="359" t="n"/>
      <c r="AS3" s="281">
        <f>COUNTIFS(H3,"零期",I3,"在读")+COUNTIFS(L3,"零期",M3,"在读")+COUNTIFS(P3,"零期",Q3,"在读")</f>
        <v/>
      </c>
      <c r="AT3" s="281">
        <f>AS3-AX3</f>
        <v/>
      </c>
      <c r="AU3" s="366">
        <f>VLOOKUP(B3,'UV台帐'!B:AL,19,0)</f>
        <v/>
      </c>
      <c r="AV3" s="366">
        <f>VLOOKUP(B3,'UV台帐'!B:AL,28,0)</f>
        <v/>
      </c>
      <c r="AW3" s="366">
        <f>VLOOKUP(B3,'UV台帐'!B:AL,37,0)</f>
        <v/>
      </c>
      <c r="AX3" s="281">
        <f>COUNTIFS(H3,"零期",AU3,"是")+COUNTIFS(L3,"零期",AV3,"是")+COUNTIFS(P3,"零期",AW3,"是")</f>
        <v/>
      </c>
      <c r="AZ3" s="350" t="inlineStr">
        <is>
          <t>没人聊上，妈妈是决策人，听完讲座就走了。</t>
        </is>
      </c>
      <c r="BA3" s="359" t="n"/>
    </row>
    <row r="4" ht="30" customFormat="1" customHeight="1" s="366">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inlineStr">
        <is>
          <t>是</t>
        </is>
      </c>
      <c r="T4" s="281" t="inlineStr">
        <is>
          <t>是</t>
        </is>
      </c>
      <c r="U4" s="281" t="n"/>
      <c r="V4" s="281" t="n"/>
      <c r="W4" s="119" t="inlineStr">
        <is>
          <t>田雨涵01</t>
        </is>
      </c>
      <c r="X4" s="119" t="n"/>
      <c r="Y4" s="119" t="inlineStr">
        <is>
          <t>李润</t>
        </is>
      </c>
      <c r="Z4" s="119" t="n"/>
      <c r="AA4" s="73" t="inlineStr">
        <is>
          <t>田雨涵01</t>
        </is>
      </c>
      <c r="AB4" s="281" t="inlineStr">
        <is>
          <t>是</t>
        </is>
      </c>
      <c r="AC4" s="7" t="inlineStr">
        <is>
          <t>龙倩敏</t>
        </is>
      </c>
      <c r="AD4" s="315" t="inlineStr">
        <is>
          <t>是</t>
        </is>
      </c>
      <c r="AE4" s="281" t="inlineStr">
        <is>
          <t>王达04</t>
        </is>
      </c>
      <c r="AF4" s="281">
        <f>VLOOKUP(B4,'UV台帐'!B:G,6,0)</f>
        <v/>
      </c>
      <c r="AG4" s="281" t="inlineStr">
        <is>
          <t>二中</t>
        </is>
      </c>
      <c r="AH4" s="281" t="inlineStr">
        <is>
          <t>是</t>
        </is>
      </c>
      <c r="AI4" s="281" t="inlineStr">
        <is>
          <t>没问题，已建群，</t>
        </is>
      </c>
      <c r="AJ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6" t="inlineStr">
        <is>
          <t>B</t>
        </is>
      </c>
      <c r="AM4" s="366" t="inlineStr">
        <is>
          <t>B</t>
        </is>
      </c>
      <c r="AN4" s="366" t="inlineStr">
        <is>
          <t>B</t>
        </is>
      </c>
      <c r="AO4" s="366" t="inlineStr">
        <is>
          <t>B</t>
        </is>
      </c>
      <c r="AP4" s="350" t="inlineStr">
        <is>
          <t>肖锐老师判定B，孩子学习课次表现上有上升，家长回复量偏少，但是孩子课堂意愿比较好。</t>
        </is>
      </c>
      <c r="AR4" s="359" t="n"/>
      <c r="AS4" s="281">
        <f>COUNTIFS(H4,"零期",I4,"在读")+COUNTIFS(L4,"零期",M4,"在读")+COUNTIFS(P4,"零期",Q4,"在读")</f>
        <v/>
      </c>
      <c r="AT4" s="281">
        <f>AS4-AX4</f>
        <v/>
      </c>
      <c r="AU4" s="366">
        <f>VLOOKUP(B4,'UV台帐'!B:AL,19,0)</f>
        <v/>
      </c>
      <c r="AV4" s="366">
        <f>VLOOKUP(B4,'UV台帐'!B:AL,28,0)</f>
        <v/>
      </c>
      <c r="AW4" s="366">
        <f>VLOOKUP(B4,'UV台帐'!B:AL,37,0)</f>
        <v/>
      </c>
      <c r="AX4" s="281">
        <f>COUNTIFS(H4,"零期",AU4,"是")+COUNTIFS(L4,"零期",AV4,"是")+COUNTIFS(P4,"零期",AW4,"是")</f>
        <v/>
      </c>
      <c r="AZ4" s="350" t="inlineStr">
        <is>
          <t>今晚答复，卡点机构对比，不自信，担心学不好，成绩中上。</t>
        </is>
      </c>
      <c r="BA4" s="359" t="n"/>
    </row>
    <row r="5" ht="30" customFormat="1" customHeight="1" s="366">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n"/>
      <c r="S5" s="281" t="inlineStr">
        <is>
          <t>是</t>
        </is>
      </c>
      <c r="T5" s="281" t="inlineStr">
        <is>
          <t>是</t>
        </is>
      </c>
      <c r="U5" s="281" t="inlineStr">
        <is>
          <t>田雨涵01,黄铭怡</t>
        </is>
      </c>
      <c r="V5" s="281" t="n"/>
      <c r="W5" s="281" t="n"/>
      <c r="X5" s="281" t="n"/>
      <c r="Y5" s="281" t="n"/>
      <c r="Z5" s="281" t="n"/>
      <c r="AA5" s="73" t="inlineStr">
        <is>
          <t>田雨涵01</t>
        </is>
      </c>
      <c r="AB5" s="281" t="inlineStr">
        <is>
          <t>是</t>
        </is>
      </c>
      <c r="AC5" s="86" t="inlineStr">
        <is>
          <t>玉玲</t>
        </is>
      </c>
      <c r="AD5" s="315" t="inlineStr">
        <is>
          <t>是</t>
        </is>
      </c>
      <c r="AE5" s="281" t="inlineStr">
        <is>
          <t>王丽</t>
        </is>
      </c>
      <c r="AF5" s="281">
        <f>VLOOKUP(B5,'UV台帐'!B:G,6,0)</f>
        <v/>
      </c>
      <c r="AG5" s="281" t="n"/>
      <c r="AH5" s="281" t="inlineStr">
        <is>
          <t>是</t>
        </is>
      </c>
      <c r="AI5" s="281" t="inlineStr">
        <is>
          <t>数学想要上大帅的班，对换师不满，数学从中帅换博闻现在换路涵老师</t>
        </is>
      </c>
      <c r="AJ5" s="426" t="inlineStr">
        <is>
          <t>孩子爸爸的电话，孩子妈妈管学习，第一天连续上三科孩子太疲惫了，英语调一期上课去了，孩子状态没那么好的话配合度就没那么高，说后面也会考虑秋季，每次续报都是哥哥给钱的</t>
        </is>
      </c>
      <c r="AK5" s="426" t="inlineStr">
        <is>
          <t>孩子爸爸的电话，孩子妈妈管学习，第一天连续上三科孩子太疲惫了，英语调一期上课去了，孩子状态没那么好的话配合度就没那么高，说后面也会考虑秋季，每次续报都是哥哥给钱的</t>
        </is>
      </c>
      <c r="AL5" s="366" t="inlineStr">
        <is>
          <t>S</t>
        </is>
      </c>
      <c r="AM5" s="366" t="inlineStr">
        <is>
          <t>A</t>
        </is>
      </c>
      <c r="AN5" s="366" t="n"/>
      <c r="AO5" s="366" t="n"/>
      <c r="AP5" s="350" t="inlineStr">
        <is>
          <t>数学：孩子学习态度有问题，有主动问秋季课的事情</t>
        </is>
      </c>
      <c r="AQ5" s="366" t="inlineStr">
        <is>
          <t>是</t>
        </is>
      </c>
      <c r="AR5" s="359" t="inlineStr">
        <is>
          <t>0期数学语文，1期英语；满意度调查，明确一定会报读；所以学员整体意向是S；在前台有明确咨询过课程，目前是时间异议比较大，希望AB上完数学和语文，但是目前没法协调时间。</t>
        </is>
      </c>
      <c r="AS5" s="281">
        <f>COUNTIFS(H5,"零期",I5,"在读")+COUNTIFS(L5,"零期",M5,"在读")+COUNTIFS(P5,"零期",Q5,"在读")</f>
        <v/>
      </c>
      <c r="AT5" s="281">
        <f>AS5-AX5</f>
        <v/>
      </c>
      <c r="AU5" s="366">
        <f>VLOOKUP(B5,'UV台帐'!B:AL,19,0)</f>
        <v/>
      </c>
      <c r="AV5" s="366" t="inlineStr">
        <is>
          <t>是</t>
        </is>
      </c>
      <c r="AW5" s="366">
        <f>VLOOKUP(B5,'UV台帐'!B:AL,37,0)</f>
        <v/>
      </c>
      <c r="AX5" s="281" t="n">
        <v>2</v>
      </c>
      <c r="AZ5" s="350" t="inlineStr">
        <is>
          <t>已转化</t>
        </is>
      </c>
      <c r="BA5" s="359" t="n"/>
    </row>
    <row r="6" ht="30" customFormat="1" customHeight="1" s="366">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n"/>
      <c r="S6" s="281" t="inlineStr">
        <is>
          <t>是</t>
        </is>
      </c>
      <c r="T6" s="281" t="inlineStr">
        <is>
          <t>是</t>
        </is>
      </c>
      <c r="U6" s="119" t="n"/>
      <c r="V6" s="119" t="n"/>
      <c r="W6" s="281" t="inlineStr">
        <is>
          <t>田雨涵01,肖锐03</t>
        </is>
      </c>
      <c r="X6" s="281" t="n"/>
      <c r="Y6" s="119" t="n"/>
      <c r="Z6" s="119" t="n"/>
      <c r="AA6" s="73" t="inlineStr">
        <is>
          <t>肖锐03</t>
        </is>
      </c>
      <c r="AB6" s="339" t="inlineStr">
        <is>
          <t>是</t>
        </is>
      </c>
      <c r="AC6" s="156" t="inlineStr">
        <is>
          <t>杨林</t>
        </is>
      </c>
      <c r="AD6" s="315" t="inlineStr">
        <is>
          <t>是</t>
        </is>
      </c>
      <c r="AE6" s="281" t="inlineStr">
        <is>
          <t>杨林33</t>
        </is>
      </c>
      <c r="AF6" s="281">
        <f>VLOOKUP(B6,'UV台帐'!B:G,6,0)</f>
        <v/>
      </c>
      <c r="AG6" s="281" t="inlineStr">
        <is>
          <t>三中</t>
        </is>
      </c>
      <c r="AH6" s="281" t="inlineStr">
        <is>
          <t>是</t>
        </is>
      </c>
      <c r="AI6" s="281" t="inlineStr">
        <is>
          <t>7.3日时间冲突，有长期学习的想法</t>
        </is>
      </c>
      <c r="AJ6" s="426" t="inlineStr">
        <is>
          <t>课程感知不错，配合度高，有长期学习的想法，支付能力待定</t>
        </is>
      </c>
      <c r="AK6" s="426" t="inlineStr">
        <is>
          <t>课程感知不错，配合度高，有长期学习的想法，支付能力待定</t>
        </is>
      </c>
      <c r="AL6" s="366" t="inlineStr">
        <is>
          <t>A</t>
        </is>
      </c>
      <c r="AM6" s="366" t="inlineStr">
        <is>
          <t>A</t>
        </is>
      </c>
      <c r="AN6" s="366" t="inlineStr">
        <is>
          <t>A</t>
        </is>
      </c>
      <c r="AO6" s="366" t="inlineStr">
        <is>
          <t>C</t>
        </is>
      </c>
      <c r="AP6" s="350" t="inlineStr">
        <is>
          <t>课程感知不错，配合度高，有长期学习的想法，价格有部分异议</t>
        </is>
      </c>
      <c r="AQ6" s="366" t="inlineStr">
        <is>
          <t>是</t>
        </is>
      </c>
      <c r="AR6" s="35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81">
        <f>COUNTIFS(H6,"零期",I6,"在读")+COUNTIFS(L6,"零期",M6,"在读")+COUNTIFS(P6,"零期",Q6,"在读")</f>
        <v/>
      </c>
      <c r="AT6" s="281">
        <f>AS6-AX6</f>
        <v/>
      </c>
      <c r="AU6" s="366">
        <f>VLOOKUP(B6,'UV台帐'!B:AL,19,0)</f>
        <v/>
      </c>
      <c r="AV6" s="366">
        <f>VLOOKUP(B6,'UV台帐'!B:AL,28,0)</f>
        <v/>
      </c>
      <c r="AW6" s="366">
        <f>VLOOKUP(B6,'UV台帐'!B:AL,37,0)</f>
        <v/>
      </c>
      <c r="AX6" s="281">
        <f>COUNTIFS(H6,"零期",AU6,"是")+COUNTIFS(L6,"零期",AV6,"是")+COUNTIFS(P6,"零期",AW6,"是")</f>
        <v/>
      </c>
      <c r="AZ6" s="350" t="inlineStr">
        <is>
          <t>报一科，英语大概率不报</t>
        </is>
      </c>
      <c r="BA6" s="359" t="n"/>
    </row>
    <row r="7" ht="30" customFormat="1" customHeight="1" s="366">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n"/>
      <c r="S7" s="281" t="inlineStr">
        <is>
          <t>是</t>
        </is>
      </c>
      <c r="T7" s="281" t="inlineStr">
        <is>
          <t>是</t>
        </is>
      </c>
      <c r="U7" s="281" t="inlineStr">
        <is>
          <t>田雨涵01</t>
        </is>
      </c>
      <c r="V7" s="281" t="n"/>
      <c r="W7" s="281" t="n"/>
      <c r="X7" s="281" t="n"/>
      <c r="Y7" s="281" t="n"/>
      <c r="Z7" s="281" t="n"/>
      <c r="AA7" s="73" t="inlineStr">
        <is>
          <t>陈南05</t>
        </is>
      </c>
      <c r="AB7" s="339" t="inlineStr">
        <is>
          <t>是</t>
        </is>
      </c>
      <c r="AC7" s="119" t="inlineStr">
        <is>
          <t>天宝</t>
        </is>
      </c>
      <c r="AD7" s="315" t="inlineStr">
        <is>
          <t>是</t>
        </is>
      </c>
      <c r="AE7" s="281" t="inlineStr">
        <is>
          <t>王丽</t>
        </is>
      </c>
      <c r="AF7" s="281">
        <f>VLOOKUP(B7,'UV台帐'!B:G,6,0)</f>
        <v/>
      </c>
      <c r="AG7" s="281" t="inlineStr">
        <is>
          <t>民办，龙涛</t>
        </is>
      </c>
      <c r="AH7" s="281" t="inlineStr">
        <is>
          <t>是</t>
        </is>
      </c>
      <c r="AI7" s="281" t="inlineStr">
        <is>
          <t>正常上课</t>
        </is>
      </c>
      <c r="AJ7" s="426" t="inlineStr">
        <is>
          <t>妈妈说孩子之前都没有补习过，孩子白云过来，需要1.5小时，说只考虑寒暑假，秋季没打算，7.13开始学校那边也会组织预习，开始学新初一内容。家长觉得孩子懒</t>
        </is>
      </c>
      <c r="AK7" s="426" t="inlineStr">
        <is>
          <t>妈妈说孩子之前都没有补习过，孩子白云过来，需要1.5小时，说只考虑寒暑假，秋季没打算，7.13开始学校那边也会组织预习，开始学新初一内容。家长觉得孩子懒</t>
        </is>
      </c>
      <c r="AL7" s="366" t="inlineStr">
        <is>
          <t>B</t>
        </is>
      </c>
      <c r="AM7" s="366" t="inlineStr">
        <is>
          <t>B</t>
        </is>
      </c>
      <c r="AN7" s="366" t="inlineStr">
        <is>
          <t>C</t>
        </is>
      </c>
      <c r="AO7" s="366" t="inlineStr">
        <is>
          <t>B</t>
        </is>
      </c>
      <c r="AP7" s="350" t="inlineStr">
        <is>
          <t>住白云，孩子基础较弱</t>
        </is>
      </c>
      <c r="AR7" s="359" t="n"/>
      <c r="AS7" s="281">
        <f>COUNTIFS(H7,"零期",I7,"在读")+COUNTIFS(L7,"零期",M7,"在读")+COUNTIFS(P7,"零期",Q7,"在读")</f>
        <v/>
      </c>
      <c r="AT7" s="281">
        <f>AS7-AX7</f>
        <v/>
      </c>
      <c r="AU7" s="366">
        <f>VLOOKUP(B7,'UV台帐'!B:AL,19,0)</f>
        <v/>
      </c>
      <c r="AV7" s="366">
        <f>VLOOKUP(B7,'UV台帐'!B:AL,28,0)</f>
        <v/>
      </c>
      <c r="AW7" s="366">
        <f>VLOOKUP(B7,'UV台帐'!B:AL,37,0)</f>
        <v/>
      </c>
      <c r="AX7" s="281">
        <f>COUNTIFS(H7,"零期",AU7,"是")+COUNTIFS(L7,"零期",AV7,"是")+COUNTIFS(P7,"零期",AW7,"是")</f>
        <v/>
      </c>
      <c r="AZ7" s="3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9" t="n"/>
    </row>
    <row r="8" ht="30" customFormat="1" customHeight="1" s="366">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inlineStr">
        <is>
          <t>是</t>
        </is>
      </c>
      <c r="T8" s="281" t="inlineStr">
        <is>
          <t>否</t>
        </is>
      </c>
      <c r="U8" s="281" t="inlineStr">
        <is>
          <t>刘希子</t>
        </is>
      </c>
      <c r="V8" s="281" t="n"/>
      <c r="W8" s="281" t="n"/>
      <c r="X8" s="281" t="n"/>
      <c r="Y8" s="281" t="inlineStr">
        <is>
          <t>田雨涵01</t>
        </is>
      </c>
      <c r="Z8" s="281" t="n"/>
      <c r="AA8" s="73" t="inlineStr">
        <is>
          <t>刘希子</t>
        </is>
      </c>
      <c r="AB8" s="339" t="inlineStr">
        <is>
          <t>是</t>
        </is>
      </c>
      <c r="AC8" s="315" t="inlineStr">
        <is>
          <t>刘晨</t>
        </is>
      </c>
      <c r="AD8" s="315" t="inlineStr">
        <is>
          <t>是</t>
        </is>
      </c>
      <c r="AE8" s="281" t="inlineStr">
        <is>
          <t>戎凯01</t>
        </is>
      </c>
      <c r="AF8" s="281">
        <f>VLOOKUP(B8,'UV台帐'!B:G,6,0)</f>
        <v/>
      </c>
      <c r="AG8" s="281" t="inlineStr">
        <is>
          <t>广附</t>
        </is>
      </c>
      <c r="AH8" s="281" t="inlineStr">
        <is>
          <t>是</t>
        </is>
      </c>
      <c r="AI8" s="281" t="inlineStr">
        <is>
          <t>可正常来上课</t>
        </is>
      </c>
      <c r="AJ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6" t="inlineStr">
        <is>
          <t>S</t>
        </is>
      </c>
      <c r="AM8" s="366" t="inlineStr">
        <is>
          <t>S</t>
        </is>
      </c>
      <c r="AN8" s="366" t="inlineStr">
        <is>
          <t>S</t>
        </is>
      </c>
      <c r="AO8" s="366" t="inlineStr">
        <is>
          <t>B</t>
        </is>
      </c>
      <c r="AP8" s="350" t="n"/>
      <c r="AR8" s="359" t="n"/>
      <c r="AS8" s="281">
        <f>COUNTIFS(H8,"零期",I8,"在读")+COUNTIFS(L8,"零期",M8,"在读")+COUNTIFS(P8,"零期",Q8,"在读")</f>
        <v/>
      </c>
      <c r="AT8" s="281">
        <f>AS8-AX8</f>
        <v/>
      </c>
      <c r="AU8" s="366">
        <f>VLOOKUP(B8,'UV台帐'!B:AL,19,0)</f>
        <v/>
      </c>
      <c r="AV8" s="366">
        <f>VLOOKUP(B8,'UV台帐'!B:AL,28,0)</f>
        <v/>
      </c>
      <c r="AW8" s="366">
        <f>VLOOKUP(B8,'UV台帐'!B:AL,37,0)</f>
        <v/>
      </c>
      <c r="AX8" s="281">
        <f>COUNTIFS(H8,"零期",AU8,"是")+COUNTIFS(L8,"零期",AV8,"是")+COUNTIFS(P8,"零期",AW8,"是")</f>
        <v/>
      </c>
      <c r="AZ8" s="350" t="inlineStr">
        <is>
          <t>已报名</t>
        </is>
      </c>
      <c r="BA8" s="359" t="n"/>
    </row>
    <row r="9" ht="30" customFormat="1" customHeight="1" s="366">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81" t="n"/>
      <c r="S9" s="281" t="inlineStr">
        <is>
          <t>是</t>
        </is>
      </c>
      <c r="T9" s="281" t="inlineStr">
        <is>
          <t>是</t>
        </is>
      </c>
      <c r="U9" s="281" t="inlineStr">
        <is>
          <t>高心怡04</t>
        </is>
      </c>
      <c r="V9" s="281" t="n"/>
      <c r="W9" s="281" t="n"/>
      <c r="X9" s="281" t="n"/>
      <c r="Y9" s="281" t="n"/>
      <c r="Z9" s="281" t="n"/>
      <c r="AA9" s="73" t="inlineStr">
        <is>
          <t>高心怡04</t>
        </is>
      </c>
      <c r="AB9" s="339" t="inlineStr">
        <is>
          <t>是</t>
        </is>
      </c>
      <c r="AC9" s="315" t="inlineStr">
        <is>
          <t>戎凯</t>
        </is>
      </c>
      <c r="AD9" s="315" t="inlineStr">
        <is>
          <t>是</t>
        </is>
      </c>
      <c r="AE9" s="281" t="inlineStr">
        <is>
          <t>戎凯01</t>
        </is>
      </c>
      <c r="AF9" s="281">
        <f>VLOOKUP(B9,'UV台帐'!B:G,6,0)</f>
        <v/>
      </c>
      <c r="AG9" s="281" t="inlineStr">
        <is>
          <t>育才实验</t>
        </is>
      </c>
      <c r="AH9" s="281" t="inlineStr">
        <is>
          <t>是</t>
        </is>
      </c>
      <c r="AI9" s="281" t="inlineStr">
        <is>
          <t>可正常来上课</t>
        </is>
      </c>
      <c r="AJ9" s="426" t="inlineStr">
        <is>
          <t>希望孩子在笔记中比标记好重点，做作业方面准确度提升，作业完成不好的，可以适当留堂，考虑语文英语两科，需要问孩子意见，主要担心一天三节课，孩子不接受，又担心孩子初中压力大。</t>
        </is>
      </c>
      <c r="AK9" s="426" t="inlineStr">
        <is>
          <t>希望孩子在笔记中比标记好重点，做作业方面准确度提升，作业完成不好的，可以适当留堂，考虑语文英语两科，需要问孩子意见，主要担心一天三节课，孩子不接受，又担心孩子初中压力大。</t>
        </is>
      </c>
      <c r="AL9" s="366" t="inlineStr">
        <is>
          <t>S</t>
        </is>
      </c>
      <c r="AM9" s="366" t="n"/>
      <c r="AN9" s="366" t="n"/>
      <c r="AO9" s="366" t="inlineStr">
        <is>
          <t>A</t>
        </is>
      </c>
      <c r="AP9" s="350" t="n"/>
      <c r="AR9" s="359" t="n"/>
      <c r="AS9" s="281">
        <f>COUNTIFS(H9,"零期",I9,"在读")+COUNTIFS(L9,"零期",M9,"在读")+COUNTIFS(P9,"零期",Q9,"在读")</f>
        <v/>
      </c>
      <c r="AT9" s="281">
        <f>AS9-AX9</f>
        <v/>
      </c>
      <c r="AU9" s="366">
        <f>VLOOKUP(B9,'UV台帐'!B:AL,19,0)</f>
        <v/>
      </c>
      <c r="AV9" s="366">
        <f>VLOOKUP(B9,'UV台帐'!B:AL,28,0)</f>
        <v/>
      </c>
      <c r="AW9" s="366">
        <f>VLOOKUP(B9,'UV台帐'!B:AL,37,0)</f>
        <v/>
      </c>
      <c r="AX9" s="281">
        <f>COUNTIFS(H9,"零期",AU9,"是")+COUNTIFS(L9,"零期",AV9,"是")+COUNTIFS(P9,"零期",AW9,"是")</f>
        <v/>
      </c>
      <c r="AZ9" s="350" t="inlineStr">
        <is>
          <t>已报名</t>
        </is>
      </c>
      <c r="BA9" s="359" t="n"/>
    </row>
    <row r="10" ht="30" customFormat="1" customHeight="1" s="366">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inlineStr">
        <is>
          <t>是</t>
        </is>
      </c>
      <c r="T10" s="281" t="inlineStr">
        <is>
          <t>是</t>
        </is>
      </c>
      <c r="U10" s="281" t="n"/>
      <c r="V10" s="281" t="n"/>
      <c r="W10" s="281" t="n"/>
      <c r="X10" s="281" t="n"/>
      <c r="Y10" s="281" t="n"/>
      <c r="Z10" s="281" t="n"/>
      <c r="AA10" s="80" t="inlineStr">
        <is>
          <t>李润</t>
        </is>
      </c>
      <c r="AB10" s="339" t="inlineStr">
        <is>
          <t>是</t>
        </is>
      </c>
      <c r="AC10" s="158" t="inlineStr">
        <is>
          <t>沈源</t>
        </is>
      </c>
      <c r="AD10" s="119" t="inlineStr">
        <is>
          <t>是</t>
        </is>
      </c>
      <c r="AE10" s="281" t="inlineStr">
        <is>
          <t>王达04</t>
        </is>
      </c>
      <c r="AF10" s="281">
        <f>VLOOKUP(B10,'UV台帐'!B:G,6,0)</f>
        <v/>
      </c>
      <c r="AG10" s="281" t="inlineStr">
        <is>
          <t>广园</t>
        </is>
      </c>
      <c r="AH10" s="281" t="inlineStr">
        <is>
          <t>是</t>
        </is>
      </c>
      <c r="AI10" s="281" t="inlineStr">
        <is>
          <t>没问题，已建群</t>
        </is>
      </c>
      <c r="AJ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6" t="inlineStr">
        <is>
          <t>B</t>
        </is>
      </c>
      <c r="AM10" s="366" t="inlineStr">
        <is>
          <t>B</t>
        </is>
      </c>
      <c r="AN10" s="366" t="inlineStr">
        <is>
          <t>B</t>
        </is>
      </c>
      <c r="AO10" s="366" t="inlineStr">
        <is>
          <t>B</t>
        </is>
      </c>
      <c r="AP10" s="350" t="inlineStr">
        <is>
          <t>中帅老师：判定B，之前有上补习班，线上补习妈妈也有安排，有学习规划也有支付能力 就是学习兴趣方面需要提高。肖锐老师判定A,孩子课堂的表现是会比较积极</t>
        </is>
      </c>
      <c r="AQ10" s="366" t="inlineStr">
        <is>
          <t>是</t>
        </is>
      </c>
      <c r="AR10" s="35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81">
        <f>COUNTIFS(H10,"零期",I10,"在读")+COUNTIFS(L10,"零期",M10,"在读")+COUNTIFS(P10,"零期",Q10,"在读")</f>
        <v/>
      </c>
      <c r="AT10" s="281">
        <f>AS10-AX10</f>
        <v/>
      </c>
      <c r="AU10" s="366">
        <f>VLOOKUP(B10,'UV台帐'!B:AL,19,0)</f>
        <v/>
      </c>
      <c r="AV10" s="366">
        <f>VLOOKUP(B10,'UV台帐'!B:AL,28,0)</f>
        <v/>
      </c>
      <c r="AW10" s="366">
        <f>VLOOKUP(B10,'UV台帐'!B:AL,37,0)</f>
        <v/>
      </c>
      <c r="AX10" s="281">
        <f>COUNTIFS(H10,"零期",AU10,"是")+COUNTIFS(L10,"零期",AV10,"是")+COUNTIFS(P10,"零期",AW10,"是")</f>
        <v/>
      </c>
      <c r="AZ10" s="350" t="inlineStr">
        <is>
          <t>报2科数学英语，语文暂时不报，需要语文老师关注 追单，搞定孩子</t>
        </is>
      </c>
      <c r="BA10" s="359" t="n"/>
    </row>
    <row r="11" ht="30" customFormat="1" customHeight="1" s="366">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inlineStr">
        <is>
          <t>是</t>
        </is>
      </c>
      <c r="T11" s="281" t="inlineStr">
        <is>
          <t>否</t>
        </is>
      </c>
      <c r="U11" s="281" t="n"/>
      <c r="V11" s="281" t="n"/>
      <c r="W11" s="281" t="n"/>
      <c r="X11" s="281" t="n"/>
      <c r="AA11" s="73" t="inlineStr">
        <is>
          <t>肖锐03</t>
        </is>
      </c>
      <c r="AB11" s="339" t="inlineStr">
        <is>
          <t>是</t>
        </is>
      </c>
      <c r="AC11" s="159" t="inlineStr">
        <is>
          <t>已转化</t>
        </is>
      </c>
      <c r="AD11" s="315" t="inlineStr">
        <is>
          <t>是</t>
        </is>
      </c>
      <c r="AE11" s="281" t="inlineStr">
        <is>
          <t>张敏烨</t>
        </is>
      </c>
      <c r="AF11" s="281">
        <f>VLOOKUP(B11,'UV台帐'!B:G,6,0)</f>
        <v/>
      </c>
      <c r="AG11" s="281" t="n"/>
      <c r="AH11" s="281" t="inlineStr">
        <is>
          <t>是</t>
        </is>
      </c>
      <c r="AI11" s="281" t="inlineStr">
        <is>
          <t>未接，已留言</t>
        </is>
      </c>
      <c r="AJ11" s="426" t="inlineStr">
        <is>
          <t>已转化</t>
        </is>
      </c>
      <c r="AK11" s="426" t="inlineStr">
        <is>
          <t>已转化</t>
        </is>
      </c>
      <c r="AL11" s="366" t="n"/>
      <c r="AM11" s="366" t="n"/>
      <c r="AN11" s="366" t="n"/>
      <c r="AO11" s="366" t="n"/>
      <c r="AP11" s="350" t="n"/>
      <c r="AQ11" s="366" t="inlineStr">
        <is>
          <t>是</t>
        </is>
      </c>
      <c r="AR11" s="359" t="n"/>
      <c r="AS11" s="281">
        <f>COUNTIFS(H11,"零期",I11,"在读")+COUNTIFS(L11,"零期",M11,"在读")+COUNTIFS(P11,"零期",Q11,"在读")</f>
        <v/>
      </c>
      <c r="AT11" s="281">
        <f>AS11-AX11</f>
        <v/>
      </c>
      <c r="AU11" s="366">
        <f>VLOOKUP(B11,'UV台帐'!B:AL,19,0)</f>
        <v/>
      </c>
      <c r="AV11" s="366">
        <f>VLOOKUP(B11,'UV台帐'!B:AL,28,0)</f>
        <v/>
      </c>
      <c r="AW11" s="366">
        <f>VLOOKUP(B11,'UV台帐'!B:AL,37,0)</f>
        <v/>
      </c>
      <c r="AX11" s="281">
        <f>COUNTIFS(H11,"零期",AU11,"是")+COUNTIFS(L11,"零期",AV11,"是")+COUNTIFS(P11,"零期",AW11,"是")</f>
        <v/>
      </c>
      <c r="AZ11" s="350" t="n"/>
      <c r="BA11" s="359" t="n"/>
    </row>
    <row r="12" ht="30" customFormat="1" customHeight="1" s="366">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inlineStr">
        <is>
          <t>是</t>
        </is>
      </c>
      <c r="T12" s="281" t="inlineStr">
        <is>
          <t>是</t>
        </is>
      </c>
      <c r="U12" s="281" t="n"/>
      <c r="V12" s="281" t="n"/>
      <c r="W12" s="281" t="n"/>
      <c r="X12" s="281" t="n"/>
      <c r="Y12" s="281" t="inlineStr">
        <is>
          <t>田雨涵01</t>
        </is>
      </c>
      <c r="Z12" s="281" t="n"/>
      <c r="AA12" s="80" t="inlineStr">
        <is>
          <t>李润</t>
        </is>
      </c>
      <c r="AB12" s="339" t="inlineStr">
        <is>
          <t>否</t>
        </is>
      </c>
      <c r="AC12" s="119" t="n"/>
      <c r="AD12" s="119" t="inlineStr">
        <is>
          <t>否</t>
        </is>
      </c>
      <c r="AE12" s="281" t="inlineStr">
        <is>
          <t>陈亮延</t>
        </is>
      </c>
      <c r="AF12" s="281">
        <f>VLOOKUP(B12,'UV台帐'!B:G,6,0)</f>
        <v/>
      </c>
      <c r="AG12" s="281" t="inlineStr">
        <is>
          <t>育才实验</t>
        </is>
      </c>
      <c r="AH12" s="281" t="inlineStr">
        <is>
          <t>是</t>
        </is>
      </c>
      <c r="AI12" s="281" t="inlineStr">
        <is>
          <t>没问题，正常到课</t>
        </is>
      </c>
      <c r="AJ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6" t="inlineStr">
        <is>
          <t>B</t>
        </is>
      </c>
      <c r="AM12" s="366" t="inlineStr">
        <is>
          <t>B</t>
        </is>
      </c>
      <c r="AN12" s="366" t="inlineStr">
        <is>
          <t>B</t>
        </is>
      </c>
      <c r="AO12" s="366" t="inlineStr">
        <is>
          <t>B</t>
        </is>
      </c>
      <c r="AP12" s="350" t="inlineStr">
        <is>
          <t>孩子没有特别积极，家长基本看孩子。明确对比卓越，卡点：孩子意向，同学都在卓越。二是距离，卓越就在家楼下。</t>
        </is>
      </c>
      <c r="AQ12" s="366" t="inlineStr">
        <is>
          <t>是</t>
        </is>
      </c>
      <c r="AR12" s="359" t="inlineStr">
        <is>
          <t>家长满意度对三科评分高，但是也明确表示体感不明显，孩子的兴趣提升感觉变化不大；还在犹豫是否续报秋季</t>
        </is>
      </c>
      <c r="AS12" s="281">
        <f>COUNTIFS(H12,"零期",I12,"在读")+COUNTIFS(L12,"零期",M12,"在读")+COUNTIFS(P12,"零期",Q12,"在读")</f>
        <v/>
      </c>
      <c r="AT12" s="281">
        <f>AS12-AX12</f>
        <v/>
      </c>
      <c r="AU12" s="366">
        <f>VLOOKUP(B12,'UV台帐'!B:AL,19,0)</f>
        <v/>
      </c>
      <c r="AV12" s="366">
        <f>VLOOKUP(B12,'UV台帐'!B:AL,28,0)</f>
        <v/>
      </c>
      <c r="AW12" s="366">
        <f>VLOOKUP(B12,'UV台帐'!B:AL,37,0)</f>
        <v/>
      </c>
      <c r="AX12" s="281">
        <f>COUNTIFS(H12,"零期",AU12,"是")+COUNTIFS(L12,"零期",AV12,"是")+COUNTIFS(P12,"零期",AW12,"是")</f>
        <v/>
      </c>
      <c r="AZ12" s="350" t="n"/>
      <c r="BA12" s="359" t="n"/>
    </row>
    <row r="13" ht="30" customFormat="1" customHeight="1" s="366">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inlineStr">
        <is>
          <t>是</t>
        </is>
      </c>
      <c r="T13" s="281" t="inlineStr">
        <is>
          <t>是</t>
        </is>
      </c>
      <c r="U13" s="119" t="n"/>
      <c r="V13" s="119" t="n"/>
      <c r="W13" s="281" t="inlineStr">
        <is>
          <t>田雨涵01</t>
        </is>
      </c>
      <c r="X13" s="281" t="n"/>
      <c r="Y13" s="119" t="inlineStr">
        <is>
          <t>肖锐03</t>
        </is>
      </c>
      <c r="Z13" s="119" t="n"/>
      <c r="AA13" s="80" t="inlineStr">
        <is>
          <t>李润</t>
        </is>
      </c>
      <c r="AB13" s="339" t="inlineStr">
        <is>
          <t>不确定</t>
        </is>
      </c>
      <c r="AC13" s="119" t="n"/>
      <c r="AD13" s="119" t="inlineStr">
        <is>
          <t>否</t>
        </is>
      </c>
      <c r="AE13" s="281" t="inlineStr">
        <is>
          <t>杨林33</t>
        </is>
      </c>
      <c r="AF13" s="281">
        <f>VLOOKUP(B13,'UV台帐'!B:G,6,0)</f>
        <v/>
      </c>
      <c r="AG13" s="281" t="inlineStr">
        <is>
          <t>育才实验</t>
        </is>
      </c>
      <c r="AH13" s="281" t="inlineStr">
        <is>
          <t>是</t>
        </is>
      </c>
      <c r="AI13" s="281" t="inlineStr">
        <is>
          <t>6.29毕业典礼，7.4报名，有长期学的想法</t>
        </is>
      </c>
      <c r="AJ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6" t="inlineStr">
        <is>
          <t>A</t>
        </is>
      </c>
      <c r="AM13" s="366" t="inlineStr">
        <is>
          <t>A</t>
        </is>
      </c>
      <c r="AN13" s="366" t="inlineStr">
        <is>
          <t>A</t>
        </is>
      </c>
      <c r="AO13" s="366" t="inlineStr">
        <is>
          <t>A</t>
        </is>
      </c>
      <c r="AP13" s="350" t="inlineStr">
        <is>
          <t>喜欢课程，孩子学习状态好，妈妈认可目前的课程服务和反馈，唯一顾虑点在于秋季是否每次课程都正常的反馈，妈妈很在意</t>
        </is>
      </c>
      <c r="AR13" s="359" t="n"/>
      <c r="AS13" s="281">
        <f>COUNTIFS(H13,"零期",I13,"在读")+COUNTIFS(L13,"零期",M13,"在读")+COUNTIFS(P13,"零期",Q13,"在读")</f>
        <v/>
      </c>
      <c r="AT13" s="281">
        <f>AS13-AX13</f>
        <v/>
      </c>
      <c r="AU13" s="366">
        <f>VLOOKUP(B13,'UV台帐'!B:AL,19,0)</f>
        <v/>
      </c>
      <c r="AV13" s="366">
        <f>VLOOKUP(B13,'UV台帐'!B:AL,28,0)</f>
        <v/>
      </c>
      <c r="AW13" s="366">
        <f>VLOOKUP(B13,'UV台帐'!B:AL,37,0)</f>
        <v/>
      </c>
      <c r="AX13" s="281">
        <f>COUNTIFS(H13,"零期",AU13,"是")+COUNTIFS(L13,"零期",AV13,"是")+COUNTIFS(P13,"零期",AW13,"是")</f>
        <v/>
      </c>
      <c r="AZ13" s="350" t="n"/>
      <c r="BA13" s="359" t="n"/>
    </row>
    <row r="14" ht="30" customFormat="1" customHeight="1" s="366">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n"/>
      <c r="S14" s="281" t="inlineStr">
        <is>
          <t>是</t>
        </is>
      </c>
      <c r="T14" s="281" t="inlineStr">
        <is>
          <t>否</t>
        </is>
      </c>
      <c r="U14" s="281" t="n"/>
      <c r="V14" s="281" t="n"/>
      <c r="W14" s="281" t="inlineStr">
        <is>
          <t>刘希子</t>
        </is>
      </c>
      <c r="X14" s="281" t="n"/>
      <c r="Y14" s="366" t="inlineStr">
        <is>
          <t>黄铭怡</t>
        </is>
      </c>
      <c r="AA14" s="73" t="inlineStr">
        <is>
          <t>刘希子</t>
        </is>
      </c>
      <c r="AB14" s="339" t="inlineStr">
        <is>
          <t>是</t>
        </is>
      </c>
      <c r="AC14" s="86" t="inlineStr">
        <is>
          <t>沈思浩</t>
        </is>
      </c>
      <c r="AD14" s="315" t="inlineStr">
        <is>
          <t>是</t>
        </is>
      </c>
      <c r="AE14" s="281" t="inlineStr">
        <is>
          <t>沈思浩</t>
        </is>
      </c>
      <c r="AF14" s="281">
        <f>VLOOKUP(B14,'UV台帐'!B:G,6,0)</f>
        <v/>
      </c>
      <c r="AG14" s="281" t="inlineStr">
        <is>
          <t>执信</t>
        </is>
      </c>
      <c r="AH14" s="281" t="inlineStr">
        <is>
          <t>是</t>
        </is>
      </c>
      <c r="AI14" s="281" t="inlineStr">
        <is>
          <t>没问题照常安排就行</t>
        </is>
      </c>
      <c r="AJ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6" t="inlineStr">
        <is>
          <t>S</t>
        </is>
      </c>
      <c r="AM14" s="366" t="inlineStr">
        <is>
          <t>S</t>
        </is>
      </c>
      <c r="AN14" s="366" t="inlineStr">
        <is>
          <t>S</t>
        </is>
      </c>
      <c r="AO14" s="366" t="inlineStr">
        <is>
          <t>S</t>
        </is>
      </c>
      <c r="AP14" s="350" t="inlineStr">
        <is>
          <t>孩子上课能听懂而且还会跟老师分享日常认可教师，已经宣导家长会优惠</t>
        </is>
      </c>
      <c r="AQ14" s="366" t="inlineStr">
        <is>
          <t>是</t>
        </is>
      </c>
      <c r="AR14" s="359" t="inlineStr">
        <is>
          <t>家长三科满意度满分，综合体感非常满意；表示孩子略有进步；兴趣有所提升；并且明确表示大概率会报，有主动提出希望系统性学习。</t>
        </is>
      </c>
      <c r="AS14" s="281">
        <f>COUNTIFS(H14,"零期",I14,"在读")+COUNTIFS(L14,"零期",M14,"在读")+COUNTIFS(P14,"零期",Q14,"在读")</f>
        <v/>
      </c>
      <c r="AT14" s="281">
        <f>AS14-AX14</f>
        <v/>
      </c>
      <c r="AU14" s="366">
        <f>VLOOKUP(B14,'UV台帐'!B:AL,19,0)</f>
        <v/>
      </c>
      <c r="AV14" s="366">
        <f>VLOOKUP(B14,'UV台帐'!B:AL,28,0)</f>
        <v/>
      </c>
      <c r="AW14" s="366">
        <f>VLOOKUP(B14,'UV台帐'!B:AL,37,0)</f>
        <v/>
      </c>
      <c r="AX14" s="281">
        <f>COUNTIFS(H14,"零期",AU14,"是")+COUNTIFS(L14,"零期",AV14,"是")+COUNTIFS(P14,"零期",AW14,"是")</f>
        <v/>
      </c>
      <c r="AZ14" s="350" t="inlineStr">
        <is>
          <t>在沟通</t>
        </is>
      </c>
      <c r="BA14" s="359" t="n"/>
    </row>
    <row r="15" ht="30" customFormat="1" customHeight="1" s="366">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n"/>
      <c r="S15" s="281" t="inlineStr">
        <is>
          <t>是</t>
        </is>
      </c>
      <c r="T15" s="281" t="inlineStr">
        <is>
          <t>是</t>
        </is>
      </c>
      <c r="U15" s="281" t="n"/>
      <c r="V15" s="281" t="n"/>
      <c r="W15" s="281" t="n"/>
      <c r="X15" s="281" t="n"/>
      <c r="Y15" s="281" t="n"/>
      <c r="Z15" s="281" t="n"/>
      <c r="AA15" s="80" t="inlineStr">
        <is>
          <t>黄铭怡</t>
        </is>
      </c>
      <c r="AB15" s="339" t="inlineStr">
        <is>
          <t>是</t>
        </is>
      </c>
      <c r="AC15" s="7" t="inlineStr">
        <is>
          <t>龙倩敏</t>
        </is>
      </c>
      <c r="AD15" s="119" t="inlineStr">
        <is>
          <t>是</t>
        </is>
      </c>
      <c r="AE15" s="281" t="inlineStr">
        <is>
          <t>王达04</t>
        </is>
      </c>
      <c r="AF15" s="281">
        <f>VLOOKUP(B15,'UV台帐'!B:G,6,0)</f>
        <v/>
      </c>
      <c r="AG15" s="281" t="inlineStr">
        <is>
          <t>16中</t>
        </is>
      </c>
      <c r="AH15" s="281" t="inlineStr">
        <is>
          <t>是</t>
        </is>
      </c>
      <c r="AI15" s="281" t="inlineStr">
        <is>
          <t>没问题，已建群，</t>
        </is>
      </c>
      <c r="AJ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6" t="inlineStr">
        <is>
          <t>B</t>
        </is>
      </c>
      <c r="AM15" s="366" t="inlineStr">
        <is>
          <t>B</t>
        </is>
      </c>
      <c r="AN15" s="366" t="inlineStr">
        <is>
          <t>B</t>
        </is>
      </c>
      <c r="AO15" s="366" t="inlineStr">
        <is>
          <t>B</t>
        </is>
      </c>
      <c r="AP15" s="350" t="inlineStr">
        <is>
          <t>铭铭老师：判定B，孩子之前没有补习经历老师有直接问过妈妈有没有计划继续跟着学，妈妈说看孩子情况 Jerry老师判断B</t>
        </is>
      </c>
      <c r="AR15" s="359" t="n"/>
      <c r="AS15" s="281">
        <f>COUNTIFS(H15,"零期",I15,"在读")+COUNTIFS(L15,"零期",M15,"在读")+COUNTIFS(P15,"零期",Q15,"在读")</f>
        <v/>
      </c>
      <c r="AT15" s="281">
        <f>AS15-AX15</f>
        <v/>
      </c>
      <c r="AU15" s="366">
        <f>VLOOKUP(B15,'UV台帐'!B:AL,19,0)</f>
        <v/>
      </c>
      <c r="AV15" s="366">
        <f>VLOOKUP(B15,'UV台帐'!B:AL,28,0)</f>
        <v/>
      </c>
      <c r="AW15" s="366">
        <f>VLOOKUP(B15,'UV台帐'!B:AL,37,0)</f>
        <v/>
      </c>
      <c r="AX15" s="281">
        <f>COUNTIFS(H15,"零期",AU15,"是")+COUNTIFS(L15,"零期",AV15,"是")+COUNTIFS(P15,"零期",AW15,"是")</f>
        <v/>
      </c>
      <c r="AZ15" s="350" t="inlineStr">
        <is>
          <t>妈妈表示来之前有问过孩子，孩子不愿意，表示想要等开学后先学一段时间，看看有哪个科目薄弱的再提升，</t>
        </is>
      </c>
      <c r="BA15" s="359" t="n"/>
    </row>
    <row r="16" ht="30" customFormat="1" customHeight="1" s="366">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81" t="n"/>
      <c r="S16" s="281" t="inlineStr">
        <is>
          <t>否</t>
        </is>
      </c>
      <c r="T16" s="281" t="inlineStr">
        <is>
          <t>否</t>
        </is>
      </c>
      <c r="U16" s="281" t="n"/>
      <c r="V16" s="281" t="n"/>
      <c r="W16" s="281" t="n"/>
      <c r="X16" s="281" t="n"/>
      <c r="Y16" s="281" t="inlineStr">
        <is>
          <t>田雨涵01</t>
        </is>
      </c>
      <c r="Z16" s="281" t="n"/>
      <c r="AA16" s="73" t="inlineStr">
        <is>
          <t>田雨涵01</t>
        </is>
      </c>
      <c r="AB16" s="532" t="inlineStr">
        <is>
          <t>否</t>
        </is>
      </c>
      <c r="AC16" s="315" t="n"/>
      <c r="AD16" s="315" t="inlineStr">
        <is>
          <t>否</t>
        </is>
      </c>
      <c r="AE16" s="281" t="inlineStr">
        <is>
          <t>苏丽婷</t>
        </is>
      </c>
      <c r="AF16" s="281">
        <f>VLOOKUP(B16,'UV台帐'!B:G,6,0)</f>
        <v/>
      </c>
      <c r="AG16" s="281" t="inlineStr">
        <is>
          <t>十三中</t>
        </is>
      </c>
      <c r="AH16" s="281" t="inlineStr">
        <is>
          <t>是</t>
        </is>
      </c>
      <c r="AI16" s="281" t="inlineStr">
        <is>
          <t>家长说颁奖典礼应该可以请假，问问校内老师先。上课时间日期、换师都没问题</t>
        </is>
      </c>
      <c r="AJ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6" t="inlineStr">
        <is>
          <t>A</t>
        </is>
      </c>
      <c r="AM16" s="366" t="inlineStr">
        <is>
          <t>B</t>
        </is>
      </c>
      <c r="AN16" s="366" t="inlineStr">
        <is>
          <t>S</t>
        </is>
      </c>
      <c r="AO16" s="366" t="inlineStr">
        <is>
          <t>B</t>
        </is>
      </c>
      <c r="AP16" s="537" t="inlineStr">
        <is>
          <t>铭铭：判S，孩子语文已经续班秋季
刘希子：
田雨涵：</t>
        </is>
      </c>
      <c r="AQ16" s="366" t="inlineStr">
        <is>
          <t>是</t>
        </is>
      </c>
      <c r="AR16" s="359" t="inlineStr">
        <is>
          <t>单独做一下面谈，给家长一些信心，而且给到专业和真实的反馈和分析，鼓励并引导孩子回家多和家长分享。</t>
        </is>
      </c>
      <c r="AS16" s="281">
        <f>COUNTIFS(H16,"零期",I16,"在读")+COUNTIFS(L16,"零期",M16,"在读")+COUNTIFS(P16,"零期",Q16,"在读")</f>
        <v/>
      </c>
      <c r="AT16" s="281">
        <f>AS16-AX16</f>
        <v/>
      </c>
      <c r="AU16" s="366">
        <f>VLOOKUP(B16,'UV台帐'!B:AL,19,0)</f>
        <v/>
      </c>
      <c r="AV16" s="366">
        <f>VLOOKUP(B16,'UV台帐'!B:AL,28,0)</f>
        <v/>
      </c>
      <c r="AW16" s="366">
        <f>VLOOKUP(B16,'UV台帐'!B:AL,37,0)</f>
        <v/>
      </c>
      <c r="AX16" s="281">
        <f>COUNTIFS(H16,"零期",AU16,"是")+COUNTIFS(L16,"零期",AV16,"是")+COUNTIFS(P16,"零期",AW16,"是")</f>
        <v/>
      </c>
      <c r="AZ16" s="350" t="inlineStr">
        <is>
          <t>提前续费语文，数学、英语跟不上；</t>
        </is>
      </c>
      <c r="BA16" s="359" t="n"/>
    </row>
    <row r="17" ht="30" customFormat="1" customHeight="1" s="366">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inlineStr">
        <is>
          <t>是</t>
        </is>
      </c>
      <c r="T17" s="281" t="inlineStr">
        <is>
          <t>否</t>
        </is>
      </c>
      <c r="U17" s="281" t="n"/>
      <c r="V17" s="281" t="n"/>
      <c r="W17" s="281" t="n"/>
      <c r="X17" s="281" t="n"/>
      <c r="AA17" s="73" t="inlineStr">
        <is>
          <t>刘希子</t>
        </is>
      </c>
      <c r="AB17" s="339" t="inlineStr">
        <is>
          <t>是</t>
        </is>
      </c>
      <c r="AC17" s="119" t="n"/>
      <c r="AD17" s="315" t="inlineStr">
        <is>
          <t>否</t>
        </is>
      </c>
      <c r="AE17" s="281" t="inlineStr">
        <is>
          <t>戎凯01</t>
        </is>
      </c>
      <c r="AF17" s="281">
        <f>VLOOKUP(B17,'UV台帐'!B:G,6,0)</f>
        <v/>
      </c>
      <c r="AG17" s="281" t="inlineStr">
        <is>
          <t>育才</t>
        </is>
      </c>
      <c r="AH17" s="281" t="inlineStr">
        <is>
          <t>是</t>
        </is>
      </c>
      <c r="AI17" s="281" t="inlineStr">
        <is>
          <t>0期来上语文英语，2期上数学</t>
        </is>
      </c>
      <c r="AJ17" s="426" t="inlineStr">
        <is>
          <t>妈妈认识到初中的重要性，家里还有一个四年级的弟弟，需要在下一下危机，没有说后续不学秋季，目前只上了一次课，需要在上几次，看一下孩子的提升点</t>
        </is>
      </c>
      <c r="AK17" s="426" t="inlineStr">
        <is>
          <t>妈妈认识到初中的重要性，家里还有一个四年级的弟弟，需要在下一下危机，没有说后续不学秋季，目前只上了一次课，需要在上几次，看一下孩子的提升点</t>
        </is>
      </c>
      <c r="AL17" s="366" t="inlineStr">
        <is>
          <t>B</t>
        </is>
      </c>
      <c r="AM17" s="366" t="inlineStr">
        <is>
          <t>B</t>
        </is>
      </c>
      <c r="AN17" s="366" t="inlineStr">
        <is>
          <t>B</t>
        </is>
      </c>
      <c r="AO17" s="366" t="inlineStr">
        <is>
          <t>B</t>
        </is>
      </c>
      <c r="AP17" s="350" t="n"/>
      <c r="AR17" s="359" t="n"/>
      <c r="AS17" s="281">
        <f>COUNTIFS(H17,"零期",I17,"在读")+COUNTIFS(L17,"零期",M17,"在读")+COUNTIFS(P17,"零期",Q17,"在读")</f>
        <v/>
      </c>
      <c r="AT17" s="281">
        <f>AS17-AX17</f>
        <v/>
      </c>
      <c r="AU17" s="366">
        <f>VLOOKUP(B17,'UV台帐'!B:AL,19,0)</f>
        <v/>
      </c>
      <c r="AV17" s="366">
        <f>VLOOKUP(B17,'UV台帐'!B:AL,28,0)</f>
        <v/>
      </c>
      <c r="AW17" s="366">
        <f>VLOOKUP(B17,'UV台帐'!B:AL,37,0)</f>
        <v/>
      </c>
      <c r="AX17" s="281">
        <f>COUNTIFS(H17,"零期",AU17,"是")+COUNTIFS(L17,"零期",AV17,"是")+COUNTIFS(P17,"零期",AW17,"是")</f>
        <v/>
      </c>
      <c r="AZ17" s="350" t="inlineStr">
        <is>
          <t>没来</t>
        </is>
      </c>
      <c r="BA17" s="359" t="n"/>
    </row>
    <row r="18" ht="30" customFormat="1" customHeight="1" s="366">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inlineStr">
        <is>
          <t>是</t>
        </is>
      </c>
      <c r="T18" s="281" t="inlineStr">
        <is>
          <t>否</t>
        </is>
      </c>
      <c r="U18" s="281" t="n"/>
      <c r="V18" s="281" t="n"/>
      <c r="W18" s="281" t="n"/>
      <c r="X18" s="281" t="n"/>
      <c r="Y18" s="281" t="n"/>
      <c r="Z18" s="281" t="n"/>
      <c r="AA18" s="73" t="inlineStr">
        <is>
          <t>黄铭怡</t>
        </is>
      </c>
      <c r="AB18" s="339" t="inlineStr">
        <is>
          <t>未回复</t>
        </is>
      </c>
      <c r="AC18" s="315" t="inlineStr">
        <is>
          <t>老生</t>
        </is>
      </c>
      <c r="AD18" s="315" t="inlineStr">
        <is>
          <t>否</t>
        </is>
      </c>
      <c r="AE18" s="281" t="inlineStr">
        <is>
          <t>林志豪01</t>
        </is>
      </c>
      <c r="AF18" s="281">
        <f>VLOOKUP(B18,'UV台帐'!B:G,6,0)</f>
        <v/>
      </c>
      <c r="AG18" s="281" t="n"/>
      <c r="AH18" s="281" t="inlineStr">
        <is>
          <t>是</t>
        </is>
      </c>
      <c r="AI18" s="281" t="n"/>
      <c r="AJ18" s="426" t="inlineStr">
        <is>
          <t>老生</t>
        </is>
      </c>
      <c r="AK18" s="426" t="inlineStr">
        <is>
          <t>老生</t>
        </is>
      </c>
      <c r="AL18" s="366" t="n"/>
      <c r="AM18" s="366" t="n"/>
      <c r="AN18" s="366" t="n"/>
      <c r="AO18" s="366" t="n"/>
      <c r="AP18" s="350" t="inlineStr">
        <is>
          <t>老生</t>
        </is>
      </c>
      <c r="AR18" s="359" t="n"/>
      <c r="AS18" s="281">
        <f>COUNTIFS(H18,"零期",I18,"在读")+COUNTIFS(L18,"零期",M18,"在读")+COUNTIFS(P18,"零期",Q18,"在读")</f>
        <v/>
      </c>
      <c r="AT18" s="281">
        <f>AS18-AX18</f>
        <v/>
      </c>
      <c r="AU18" s="366">
        <f>VLOOKUP(B18,'UV台帐'!B:AL,19,0)</f>
        <v/>
      </c>
      <c r="AV18" s="366">
        <f>VLOOKUP(B18,'UV台帐'!B:AL,28,0)</f>
        <v/>
      </c>
      <c r="AW18" s="366">
        <f>VLOOKUP(B18,'UV台帐'!B:AL,37,0)</f>
        <v/>
      </c>
      <c r="AX18" s="281">
        <f>COUNTIFS(H18,"零期",AU18,"是")+COUNTIFS(L18,"零期",AV18,"是")+COUNTIFS(P18,"零期",AW18,"是")</f>
        <v/>
      </c>
      <c r="AZ18" s="350" t="n"/>
      <c r="BA18" s="359" t="n"/>
    </row>
    <row r="19" ht="30" customFormat="1" customHeight="1" s="366">
      <c r="A19" s="281" t="inlineStr">
        <is>
          <t>同创汇</t>
        </is>
      </c>
      <c r="B19" s="281"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inlineStr">
        <is>
          <t>是</t>
        </is>
      </c>
      <c r="T19" s="281" t="inlineStr">
        <is>
          <t>是</t>
        </is>
      </c>
      <c r="U19" s="281" t="n"/>
      <c r="V19" s="281" t="n"/>
      <c r="W19" s="281" t="inlineStr">
        <is>
          <t>刘希子,李润</t>
        </is>
      </c>
      <c r="X19" s="281" t="n"/>
      <c r="Y19" s="281" t="n"/>
      <c r="Z19" s="281" t="n"/>
      <c r="AA19" s="73" t="inlineStr">
        <is>
          <t>刘希子</t>
        </is>
      </c>
      <c r="AB19" s="339" t="inlineStr">
        <is>
          <t>是</t>
        </is>
      </c>
      <c r="AC19" s="315" t="inlineStr">
        <is>
          <t>陈中帅</t>
        </is>
      </c>
      <c r="AD19" s="315" t="inlineStr">
        <is>
          <t>是</t>
        </is>
      </c>
      <c r="AE19" s="281" t="inlineStr">
        <is>
          <t>王丽</t>
        </is>
      </c>
      <c r="AF19" s="281">
        <f>VLOOKUP(B19,'UV台帐'!B:G,6,0)</f>
        <v/>
      </c>
      <c r="AG19" s="281" t="n"/>
      <c r="AH19" s="281" t="inlineStr">
        <is>
          <t>是</t>
        </is>
      </c>
      <c r="AI19" s="281" t="inlineStr">
        <is>
          <t>7.7下午3点的语文课，临时调整到1点半</t>
        </is>
      </c>
      <c r="AJ19" s="426" t="inlineStr">
        <is>
          <t>电话未接，微信留言；家长会来，家长会关注。</t>
        </is>
      </c>
      <c r="AK19" s="426" t="inlineStr">
        <is>
          <t>电话未接，微信留言；家长会来，家长会关注。</t>
        </is>
      </c>
      <c r="AL19" s="366" t="inlineStr">
        <is>
          <t>A</t>
        </is>
      </c>
      <c r="AM19" s="366" t="inlineStr">
        <is>
          <t>A</t>
        </is>
      </c>
      <c r="AN19" s="366" t="inlineStr">
        <is>
          <t>B</t>
        </is>
      </c>
      <c r="AO19" s="366" t="inlineStr">
        <is>
          <t>B</t>
        </is>
      </c>
      <c r="AP19" s="350" t="inlineStr">
        <is>
          <t>数学：要现场沟通，说进步+体系</t>
        </is>
      </c>
      <c r="AQ19" s="366" t="inlineStr">
        <is>
          <t>是</t>
        </is>
      </c>
      <c r="AR19" s="359" t="inlineStr">
        <is>
          <t>目前满意度较高，表示有进步，兴趣有提升；作业正确率及主动性提高；还在犹豫，原因已经提前报读其他机构。</t>
        </is>
      </c>
      <c r="AS19" s="281">
        <f>COUNTIFS(H19,"零期",I19,"在读")+COUNTIFS(L19,"零期",M19,"在读")+COUNTIFS(P19,"零期",Q19,"在读")</f>
        <v/>
      </c>
      <c r="AT19" s="281">
        <f>AS19-AX19</f>
        <v/>
      </c>
      <c r="AU19" s="366">
        <f>VLOOKUP(B19,'UV台帐'!B:AL,19,0)</f>
        <v/>
      </c>
      <c r="AV19" s="366">
        <f>VLOOKUP(B19,'UV台帐'!B:AL,28,0)</f>
        <v/>
      </c>
      <c r="AW19" s="366">
        <f>VLOOKUP(B19,'UV台帐'!B:AL,37,0)</f>
        <v/>
      </c>
      <c r="AX19" s="281">
        <f>COUNTIFS(H19,"零期",AU19,"是")+COUNTIFS(L19,"零期",AV19,"是")+COUNTIFS(P19,"零期",AW19,"是")</f>
        <v/>
      </c>
      <c r="AZ19" s="53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9" t="n"/>
    </row>
    <row r="20" ht="30" customFormat="1" customHeight="1" s="366">
      <c r="A20" s="281" t="inlineStr">
        <is>
          <t>新宝利</t>
        </is>
      </c>
      <c r="B20" s="281"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inlineStr">
        <is>
          <t>是</t>
        </is>
      </c>
      <c r="T20" s="281" t="inlineStr">
        <is>
          <t>否</t>
        </is>
      </c>
      <c r="U20" s="281" t="n"/>
      <c r="V20" s="281" t="n"/>
      <c r="W20" s="281" t="inlineStr">
        <is>
          <t>田雨涵01,李润</t>
        </is>
      </c>
      <c r="X20" s="281" t="n"/>
      <c r="Y20" s="281" t="n"/>
      <c r="Z20" s="281" t="n"/>
      <c r="AA20" s="73" t="inlineStr">
        <is>
          <t>李润</t>
        </is>
      </c>
      <c r="AB20" s="339" t="inlineStr">
        <is>
          <t>否</t>
        </is>
      </c>
      <c r="AC20" s="315" t="n"/>
      <c r="AD20" s="315" t="inlineStr">
        <is>
          <t>否</t>
        </is>
      </c>
      <c r="AE20" s="281" t="inlineStr">
        <is>
          <t>王达04</t>
        </is>
      </c>
      <c r="AF20" s="281">
        <f>VLOOKUP(B20,'UV台帐'!B:G,6,0)</f>
        <v/>
      </c>
      <c r="AG20" s="281" t="inlineStr">
        <is>
          <t>西关外国语</t>
        </is>
      </c>
      <c r="AH20" s="281" t="inlineStr">
        <is>
          <t>是</t>
        </is>
      </c>
      <c r="AI20" s="281" t="inlineStr">
        <is>
          <t>没问题，已建群，</t>
        </is>
      </c>
      <c r="AJ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6" t="inlineStr">
        <is>
          <t>B</t>
        </is>
      </c>
      <c r="AM20" s="366" t="inlineStr">
        <is>
          <t>B</t>
        </is>
      </c>
      <c r="AN20" s="366" t="inlineStr">
        <is>
          <t>B</t>
        </is>
      </c>
      <c r="AO20" s="366" t="n"/>
      <c r="AP20" s="350" t="inlineStr">
        <is>
          <t>李润：判定B 跟家长面对面沟通 家长的了解意愿停留在暑假的课程内容上面 感觉对秋季的规划安排的比较少。</t>
        </is>
      </c>
      <c r="AQ20" s="366" t="inlineStr">
        <is>
          <t>是</t>
        </is>
      </c>
      <c r="AR20" s="35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81">
        <f>COUNTIFS(H20,"零期",I20,"在读")+COUNTIFS(L20,"零期",M20,"在读")+COUNTIFS(P20,"零期",Q20,"在读")</f>
        <v/>
      </c>
      <c r="AT20" s="281">
        <f>AS20-AX20</f>
        <v/>
      </c>
      <c r="AU20" s="366">
        <f>VLOOKUP(B20,'UV台帐'!B:AL,19,0)</f>
        <v/>
      </c>
      <c r="AV20" s="366">
        <f>VLOOKUP(B20,'UV台帐'!B:AL,28,0)</f>
        <v/>
      </c>
      <c r="AW20" s="366">
        <f>VLOOKUP(B20,'UV台帐'!B:AL,37,0)</f>
        <v/>
      </c>
      <c r="AX20" s="281">
        <f>COUNTIFS(H20,"零期",AU20,"是")+COUNTIFS(L20,"零期",AV20,"是")+COUNTIFS(P20,"零期",AW20,"是")</f>
        <v/>
      </c>
      <c r="AZ20" s="350" t="n"/>
      <c r="BA20" s="359" t="n"/>
    </row>
    <row r="21" ht="30" customFormat="1" customHeight="1" s="366">
      <c r="A21" s="281" t="inlineStr">
        <is>
          <t>新宝利</t>
        </is>
      </c>
      <c r="B21" s="281"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n"/>
      <c r="S21" s="281" t="inlineStr">
        <is>
          <t>是</t>
        </is>
      </c>
      <c r="T21" s="281" t="inlineStr">
        <is>
          <t>是</t>
        </is>
      </c>
      <c r="U21" s="281" t="n"/>
      <c r="V21" s="281" t="n"/>
      <c r="W21" s="281" t="n"/>
      <c r="X21" s="281" t="n"/>
      <c r="Y21" s="281" t="inlineStr">
        <is>
          <t>田雨涵01</t>
        </is>
      </c>
      <c r="Z21" s="281" t="n"/>
      <c r="AA21" s="73" t="inlineStr">
        <is>
          <t>肖锐03</t>
        </is>
      </c>
      <c r="AB21" s="339" t="inlineStr">
        <is>
          <t>是</t>
        </is>
      </c>
      <c r="AC21" s="158" t="inlineStr">
        <is>
          <t>何咏</t>
        </is>
      </c>
      <c r="AD21" s="315" t="inlineStr">
        <is>
          <t>是</t>
        </is>
      </c>
      <c r="AE21" s="281" t="inlineStr">
        <is>
          <t>林志豪01</t>
        </is>
      </c>
      <c r="AF21" s="281">
        <f>VLOOKUP(B21,'UV台帐'!B:G,6,0)</f>
        <v/>
      </c>
      <c r="AG21" s="281" t="inlineStr">
        <is>
          <t>侨外</t>
        </is>
      </c>
      <c r="AH21" s="281" t="inlineStr">
        <is>
          <t>是</t>
        </is>
      </c>
      <c r="AI21" s="281" t="n"/>
      <c r="AJ21" s="426" t="inlineStr">
        <is>
          <t>孩子之前是有K优秀，有机构的不过数学觉得我们不错明确在我们这里继续学习，所以想着英语也来我们这里学，妈咪这几节课还可以，反馈也不错，学的好的情况考虑继续学习</t>
        </is>
      </c>
      <c r="AK21" s="426" t="inlineStr">
        <is>
          <t>孩子之前是有K优秀，有机构的不过数学觉得我们不错明确在我们这里继续学习，所以想着英语也来我们这里学，妈咪这几节课还可以，反馈也不错，学的好的情况考虑继续学习</t>
        </is>
      </c>
      <c r="AL21" s="366" t="inlineStr">
        <is>
          <t>A</t>
        </is>
      </c>
      <c r="AM21" s="366" t="inlineStr">
        <is>
          <t>S</t>
        </is>
      </c>
      <c r="AN21" s="366" t="n"/>
      <c r="AO21" s="366" t="inlineStr">
        <is>
          <t>C</t>
        </is>
      </c>
      <c r="AP21" s="3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6" t="inlineStr">
        <is>
          <t>是</t>
        </is>
      </c>
      <c r="AR21" s="35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81">
        <f>COUNTIFS(H21,"零期",I21,"在读")+COUNTIFS(L21,"零期",M21,"在读")+COUNTIFS(P21,"零期",Q21,"在读")</f>
        <v/>
      </c>
      <c r="AT21" s="281">
        <f>AS21-AX21</f>
        <v/>
      </c>
      <c r="AU21" s="366">
        <f>VLOOKUP(B21,'UV台帐'!B:AL,19,0)</f>
        <v/>
      </c>
      <c r="AV21" s="366">
        <f>VLOOKUP(B21,'UV台帐'!B:AL,28,0)</f>
        <v/>
      </c>
      <c r="AW21" s="366">
        <f>VLOOKUP(B21,'UV台帐'!B:AL,37,0)</f>
        <v/>
      </c>
      <c r="AX21" s="281">
        <f>COUNTIFS(H21,"零期",AU21,"是")+COUNTIFS(L21,"零期",AV21,"是")+COUNTIFS(P21,"零期",AW21,"是")</f>
        <v/>
      </c>
      <c r="AZ21" s="350" t="inlineStr">
        <is>
          <t>判C，知道价格去其他机构。</t>
        </is>
      </c>
      <c r="BA21" s="359" t="n"/>
    </row>
    <row r="22" ht="30" customFormat="1" customHeight="1" s="366">
      <c r="A22" s="281" t="inlineStr">
        <is>
          <t>同创汇</t>
        </is>
      </c>
      <c r="B22" s="281"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inlineStr">
        <is>
          <t>是</t>
        </is>
      </c>
      <c r="T22" s="281" t="inlineStr">
        <is>
          <t>是</t>
        </is>
      </c>
      <c r="U22" s="281" t="n"/>
      <c r="V22" s="281" t="n"/>
      <c r="W22" s="281" t="n"/>
      <c r="X22" s="281" t="n"/>
      <c r="Y22" s="281" t="n"/>
      <c r="Z22" s="281" t="n"/>
      <c r="AA22" s="73" t="inlineStr">
        <is>
          <t>李润</t>
        </is>
      </c>
      <c r="AB22" s="339" t="inlineStr">
        <is>
          <t>否</t>
        </is>
      </c>
      <c r="AC22" s="315" t="n"/>
      <c r="AD22" s="315" t="inlineStr">
        <is>
          <t>否</t>
        </is>
      </c>
      <c r="AE22" s="281" t="inlineStr">
        <is>
          <t>戎凯01</t>
        </is>
      </c>
      <c r="AF22" s="281">
        <f>VLOOKUP(B22,'UV台帐'!B:G,6,0)</f>
        <v/>
      </c>
      <c r="AG22" s="281" t="n"/>
      <c r="AH22" s="281" t="inlineStr">
        <is>
          <t>是</t>
        </is>
      </c>
      <c r="AI22" s="281" t="inlineStr">
        <is>
          <t>可正常来上课</t>
        </is>
      </c>
      <c r="AJ22" s="426" t="inlineStr">
        <is>
          <t>孩子目前才上一节课，还没融入班级，妈妈希望老师多关注一下，把座位安排在第二排，同桌最好多活跃一点，帮助孩子融入，考虑后续秋季班，看孩子意愿。</t>
        </is>
      </c>
      <c r="AK22" s="426" t="inlineStr">
        <is>
          <t>孩子目前才上一节课，还没融入班级，妈妈希望老师多关注一下，把座位安排在第二排，同桌最好多活跃一点，帮助孩子融入，考虑后续秋季班，看孩子意愿。</t>
        </is>
      </c>
      <c r="AL22" s="366" t="inlineStr">
        <is>
          <t>A</t>
        </is>
      </c>
      <c r="AM22" s="366" t="n"/>
      <c r="AN22" s="366" t="inlineStr">
        <is>
          <t>A</t>
        </is>
      </c>
      <c r="AO22" s="366" t="n"/>
      <c r="AP22" s="350" t="n"/>
      <c r="AR22" s="359" t="n"/>
      <c r="AS22" s="281">
        <f>COUNTIFS(H22,"零期",I22,"在读")+COUNTIFS(L22,"零期",M22,"在读")+COUNTIFS(P22,"零期",Q22,"在读")</f>
        <v/>
      </c>
      <c r="AT22" s="281">
        <f>AS22-AX22</f>
        <v/>
      </c>
      <c r="AU22" s="366">
        <f>VLOOKUP(B22,'UV台帐'!B:AL,19,0)</f>
        <v/>
      </c>
      <c r="AV22" s="366">
        <f>VLOOKUP(B22,'UV台帐'!B:AL,28,0)</f>
        <v/>
      </c>
      <c r="AW22" s="366">
        <f>VLOOKUP(B22,'UV台帐'!B:AL,37,0)</f>
        <v/>
      </c>
      <c r="AX22" s="281">
        <f>COUNTIFS(H22,"零期",AU22,"是")+COUNTIFS(L22,"零期",AV22,"是")+COUNTIFS(P22,"零期",AW22,"是")</f>
        <v/>
      </c>
      <c r="AZ22" s="350" t="inlineStr">
        <is>
          <t>没来</t>
        </is>
      </c>
      <c r="BA22" s="359" t="n"/>
    </row>
    <row r="23" ht="30" customFormat="1" customHeight="1" s="366">
      <c r="A23" s="281" t="inlineStr">
        <is>
          <t>同创汇</t>
        </is>
      </c>
      <c r="B23" s="281"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inlineStr"/>
      <c r="T23" s="281" t="inlineStr">
        <is>
          <t>是</t>
        </is>
      </c>
      <c r="U23" s="281" t="n"/>
      <c r="V23" s="281" t="n"/>
      <c r="W23" s="281" t="inlineStr">
        <is>
          <t>刘希子</t>
        </is>
      </c>
      <c r="X23" s="281" t="n"/>
      <c r="Y23" s="281" t="n"/>
      <c r="Z23" s="281" t="n"/>
      <c r="AA23" s="73" t="inlineStr">
        <is>
          <t>刘希子</t>
        </is>
      </c>
      <c r="AB23" s="339" t="inlineStr">
        <is>
          <t>是</t>
        </is>
      </c>
      <c r="AC23" s="86" t="inlineStr">
        <is>
          <t>沈源</t>
        </is>
      </c>
      <c r="AD23" s="315" t="inlineStr">
        <is>
          <t>是</t>
        </is>
      </c>
      <c r="AE23" s="281" t="inlineStr">
        <is>
          <t>戎凯01</t>
        </is>
      </c>
      <c r="AF23" s="281">
        <f>VLOOKUP(B23,'UV台帐'!B:G,6,0)</f>
        <v/>
      </c>
      <c r="AG23" s="281" t="n"/>
      <c r="AH23" s="281" t="inlineStr">
        <is>
          <t>是</t>
        </is>
      </c>
      <c r="AI23" s="281" t="inlineStr">
        <is>
          <t>可正常来上课</t>
        </is>
      </c>
      <c r="AJ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4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6" t="inlineStr">
        <is>
          <t>S</t>
        </is>
      </c>
      <c r="AM23" s="366" t="inlineStr">
        <is>
          <t>S</t>
        </is>
      </c>
      <c r="AN23" s="366" t="inlineStr">
        <is>
          <t>S</t>
        </is>
      </c>
      <c r="AO23" s="366" t="inlineStr">
        <is>
          <t>S</t>
        </is>
      </c>
      <c r="AP23" s="350" t="inlineStr">
        <is>
          <t>表示大概率会报，并且明确夸奖老师负责任；对后续规划也非常满意</t>
        </is>
      </c>
      <c r="AQ23" s="366" t="inlineStr">
        <is>
          <t>是</t>
        </is>
      </c>
      <c r="AR23" s="359" t="n"/>
      <c r="AS23" s="281">
        <f>COUNTIFS(H23,"零期",I23,"在读")+COUNTIFS(L23,"零期",M23,"在读")+COUNTIFS(P23,"零期",Q23,"在读")</f>
        <v/>
      </c>
      <c r="AT23" s="281">
        <f>AS23-AX23</f>
        <v/>
      </c>
      <c r="AU23" s="366">
        <f>VLOOKUP(B23,'UV台帐'!B:AL,19,0)</f>
        <v/>
      </c>
      <c r="AV23" s="366">
        <f>VLOOKUP(B23,'UV台帐'!B:AL,28,0)</f>
        <v/>
      </c>
      <c r="AW23" s="366">
        <f>VLOOKUP(B23,'UV台帐'!B:AL,37,0)</f>
        <v/>
      </c>
      <c r="AX23" s="281">
        <f>COUNTIFS(H23,"零期",AU23,"是")+COUNTIFS(L23,"零期",AV23,"是")+COUNTIFS(P23,"零期",AW23,"是")</f>
        <v/>
      </c>
      <c r="AZ23" s="350" t="inlineStr">
        <is>
          <t>最后说明说会给答复，因为一定要去和张进桐本人聊一下</t>
        </is>
      </c>
      <c r="BA23" s="359" t="n"/>
    </row>
    <row r="24" ht="30" customFormat="1" customHeight="1" s="366">
      <c r="A24" s="281" t="inlineStr">
        <is>
          <t>同创汇</t>
        </is>
      </c>
      <c r="B24" s="281"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inlineStr">
        <is>
          <t>是</t>
        </is>
      </c>
      <c r="T24" s="281" t="inlineStr">
        <is>
          <t>否</t>
        </is>
      </c>
      <c r="U24" s="281" t="inlineStr">
        <is>
          <t>田雨涵01,高心怡04</t>
        </is>
      </c>
      <c r="V24" s="281" t="n"/>
      <c r="W24" s="281" t="n"/>
      <c r="X24" s="281" t="n"/>
      <c r="Y24" s="119" t="inlineStr">
        <is>
          <t>李润</t>
        </is>
      </c>
      <c r="Z24" s="119" t="n"/>
      <c r="AA24" s="73" t="inlineStr">
        <is>
          <t>田雨涵01</t>
        </is>
      </c>
      <c r="AB24" s="532" t="inlineStr">
        <is>
          <t>否</t>
        </is>
      </c>
      <c r="AC24" s="315" t="n"/>
      <c r="AD24" s="315" t="inlineStr">
        <is>
          <t>否</t>
        </is>
      </c>
      <c r="AE24" s="281" t="inlineStr">
        <is>
          <t>苏丽婷</t>
        </is>
      </c>
      <c r="AF24" s="281">
        <f>VLOOKUP(B24,'UV台帐'!B:G,6,0)</f>
        <v/>
      </c>
      <c r="AG24" s="281" t="inlineStr">
        <is>
          <t>培正</t>
        </is>
      </c>
      <c r="AH24" s="281" t="inlineStr">
        <is>
          <t>是</t>
        </is>
      </c>
      <c r="AI24" s="281" t="inlineStr">
        <is>
          <t>6月29号下午拿通知书待确定，作业帮的课可能需要请假，7月8号第一节请假需要晚上补课</t>
        </is>
      </c>
      <c r="AJ24" s="42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6" t="inlineStr">
        <is>
          <t>学习对孩子严格要求些</t>
        </is>
      </c>
      <c r="AL24" s="366" t="inlineStr">
        <is>
          <t>B</t>
        </is>
      </c>
      <c r="AM24" s="366" t="inlineStr">
        <is>
          <t>B</t>
        </is>
      </c>
      <c r="AN24" s="366" t="inlineStr">
        <is>
          <t>B</t>
        </is>
      </c>
      <c r="AO24" s="366" t="inlineStr">
        <is>
          <t>B</t>
        </is>
      </c>
      <c r="AP24" s="541" t="inlineStr">
        <is>
          <t>李润
田雨涵01
高心怡04：孩子乖巧，听课认真</t>
        </is>
      </c>
      <c r="AR24" s="359" t="n"/>
      <c r="AS24" s="281">
        <f>COUNTIFS(H24,"零期",I24,"在读")+COUNTIFS(L24,"零期",M24,"在读")+COUNTIFS(P24,"零期",Q24,"在读")</f>
        <v/>
      </c>
      <c r="AT24" s="281">
        <f>AS24-AX24</f>
        <v/>
      </c>
      <c r="AU24" s="366">
        <f>VLOOKUP(B24,'UV台帐'!B:AL,19,0)</f>
        <v/>
      </c>
      <c r="AV24" s="366">
        <f>VLOOKUP(B24,'UV台帐'!B:AL,28,0)</f>
        <v/>
      </c>
      <c r="AW24" s="366">
        <f>VLOOKUP(B24,'UV台帐'!B:AL,37,0)</f>
        <v/>
      </c>
      <c r="AX24" s="281">
        <f>COUNTIFS(H24,"零期",AU24,"是")+COUNTIFS(L24,"零期",AV24,"是")+COUNTIFS(P24,"零期",AW24,"是")</f>
        <v/>
      </c>
      <c r="AZ24" s="350" t="inlineStr">
        <is>
          <t>费用问题是卡，只接受微信沟通；</t>
        </is>
      </c>
      <c r="BA24" s="359" t="n"/>
    </row>
    <row r="25" ht="30" customFormat="1" customHeight="1" s="366">
      <c r="A25" s="281" t="inlineStr">
        <is>
          <t>新宝利</t>
        </is>
      </c>
      <c r="B25" s="281"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81" t="n"/>
      <c r="S25" s="281" t="inlineStr">
        <is>
          <t>是</t>
        </is>
      </c>
      <c r="T25" s="281" t="inlineStr">
        <is>
          <t>是</t>
        </is>
      </c>
      <c r="U25" s="281" t="n"/>
      <c r="V25" s="281" t="n"/>
      <c r="W25" s="281" t="inlineStr">
        <is>
          <t>肖锐03</t>
        </is>
      </c>
      <c r="X25" s="281" t="n"/>
      <c r="Y25" s="281" t="n"/>
      <c r="Z25" s="281" t="n"/>
      <c r="AA25" s="80" t="inlineStr">
        <is>
          <t>李润</t>
        </is>
      </c>
      <c r="AB25" s="339" t="inlineStr">
        <is>
          <t>是</t>
        </is>
      </c>
      <c r="AC25" s="158" t="inlineStr">
        <is>
          <t>朱悦涵</t>
        </is>
      </c>
      <c r="AD25" s="119" t="inlineStr">
        <is>
          <t>是</t>
        </is>
      </c>
      <c r="AE25" s="281" t="inlineStr">
        <is>
          <t>林志豪01</t>
        </is>
      </c>
      <c r="AF25" s="281">
        <f>VLOOKUP(B25,'UV台帐'!B:G,6,0)</f>
        <v/>
      </c>
      <c r="AG25" s="281" t="inlineStr">
        <is>
          <t>西关培英</t>
        </is>
      </c>
      <c r="AH25" s="281" t="inlineStr">
        <is>
          <t>是</t>
        </is>
      </c>
      <c r="AI25" s="281" t="n"/>
      <c r="AJ25" s="426" t="inlineStr">
        <is>
          <t>觉得都挺好的，三科老师都很满意，尤其孩子特别喜欢大帅老师，</t>
        </is>
      </c>
      <c r="AK25" s="426" t="inlineStr">
        <is>
          <t>觉得都挺好的，三科老师都很满意，尤其孩子特别喜欢大帅老师，</t>
        </is>
      </c>
      <c r="AL25" s="366" t="inlineStr">
        <is>
          <t>B</t>
        </is>
      </c>
      <c r="AM25" s="366" t="n"/>
      <c r="AN25" s="366" t="inlineStr">
        <is>
          <t>B</t>
        </is>
      </c>
      <c r="AO25" s="366" t="inlineStr">
        <is>
          <t>B</t>
        </is>
      </c>
      <c r="AP25" s="350" t="inlineStr">
        <is>
          <t>觉得都挺好的，三科老师都很满意，尤其孩子特别喜欢大帅老师，有老生加持，但是没什么特别反馈，目前在帮弟弟找数学，优先考虑弟弟的</t>
        </is>
      </c>
      <c r="AR25" s="359" t="n"/>
      <c r="AS25" s="281">
        <f>COUNTIFS(H25,"零期",I25,"在读")+COUNTIFS(L25,"零期",M25,"在读")+COUNTIFS(P25,"零期",Q25,"在读")</f>
        <v/>
      </c>
      <c r="AT25" s="281">
        <f>AS25-AX25</f>
        <v/>
      </c>
      <c r="AU25" s="366">
        <f>VLOOKUP(B25,'UV台帐'!B:AL,19,0)</f>
        <v/>
      </c>
      <c r="AV25" s="366">
        <f>VLOOKUP(B25,'UV台帐'!B:AL,28,0)</f>
        <v/>
      </c>
      <c r="AW25" s="366">
        <f>VLOOKUP(B25,'UV台帐'!B:AL,37,0)</f>
        <v/>
      </c>
      <c r="AX25" s="281">
        <f>COUNTIFS(H25,"零期",AU25,"是")+COUNTIFS(L25,"零期",AV25,"是")+COUNTIFS(P25,"零期",AW25,"是")</f>
        <v/>
      </c>
      <c r="AZ25" s="350" t="inlineStr">
        <is>
          <t>未到</t>
        </is>
      </c>
      <c r="BA25" s="359" t="n"/>
    </row>
    <row r="26" ht="47.5" customFormat="1" customHeight="1" s="366">
      <c r="A26" s="281" t="inlineStr">
        <is>
          <t>同创汇</t>
        </is>
      </c>
      <c r="B26" s="281"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n"/>
      <c r="S26" s="281" t="inlineStr">
        <is>
          <t>是</t>
        </is>
      </c>
      <c r="T26" s="281" t="inlineStr">
        <is>
          <t>是</t>
        </is>
      </c>
      <c r="W26" s="281" t="inlineStr">
        <is>
          <t>刘希子</t>
        </is>
      </c>
      <c r="X26" s="281" t="n"/>
      <c r="AA26" s="73" t="inlineStr">
        <is>
          <t>刘希子</t>
        </is>
      </c>
      <c r="AB26" s="339" t="inlineStr">
        <is>
          <t>是</t>
        </is>
      </c>
      <c r="AC26" s="315" t="inlineStr">
        <is>
          <t>何咏</t>
        </is>
      </c>
      <c r="AD26" s="315" t="inlineStr">
        <is>
          <t>是</t>
        </is>
      </c>
      <c r="AE26" s="281" t="inlineStr">
        <is>
          <t>苏丽婷</t>
        </is>
      </c>
      <c r="AF26" s="281">
        <f>VLOOKUP(B26,'UV台帐'!B:G,6,0)</f>
        <v/>
      </c>
      <c r="AG26" s="281" t="inlineStr">
        <is>
          <t>源雅</t>
        </is>
      </c>
      <c r="AH26" s="281" t="inlineStr">
        <is>
          <t>是</t>
        </is>
      </c>
      <c r="AI26" s="542" t="inlineStr">
        <is>
          <t>6月29日(下午2:30-3:30)回校拿录取通知书和毕业生纸质档案
7月10日(早上8:00)回校参加散学典礼拿成长手册和奖状</t>
        </is>
      </c>
      <c r="AJ26" s="426" t="inlineStr">
        <is>
          <t>昨晚关机，家长是护士，工作很忙碌，平时也是姥姥接送，今日微信联系是孩子妈妈想先找孩子详细了解一下后答复，VIP群回复也很及时；看孩子意愿；</t>
        </is>
      </c>
      <c r="AK26" s="426" t="inlineStr">
        <is>
          <t>昨晚关机，家长是护士，工作很忙碌，平时也是姥姥接送，今日微信联系是孩子妈妈想先找孩子详细了解一下后答复，VIP群回复也很及时；看孩子意愿；</t>
        </is>
      </c>
      <c r="AL26" s="366" t="inlineStr">
        <is>
          <t>A</t>
        </is>
      </c>
      <c r="AM26" s="366" t="inlineStr">
        <is>
          <t>A</t>
        </is>
      </c>
      <c r="AN26" s="366" t="inlineStr">
        <is>
          <t>C</t>
        </is>
      </c>
      <c r="AO26" s="366" t="inlineStr">
        <is>
          <t>B</t>
        </is>
      </c>
      <c r="AP26" s="543" t="inlineStr">
        <is>
          <t>铭铭：语文判C，之前退费，报暑假之前就说过不打算报秋；三科都报了新东方的暑假；
中帅：白省和源雅都去考试了，没出结果；学习习惯不好，得抓学习习惯。
希子：</t>
        </is>
      </c>
      <c r="AR26" s="359" t="n"/>
      <c r="AS26" s="281">
        <f>COUNTIFS(H26,"零期",I26,"在读")+COUNTIFS(L26,"零期",M26,"在读")+COUNTIFS(P26,"零期",Q26,"在读")</f>
        <v/>
      </c>
      <c r="AT26" s="281">
        <f>AS26-AX26</f>
        <v/>
      </c>
      <c r="AU26" s="366">
        <f>VLOOKUP(B26,'UV台帐'!B:AL,19,0)</f>
        <v/>
      </c>
      <c r="AV26" s="366">
        <f>VLOOKUP(B26,'UV台帐'!B:AL,28,0)</f>
        <v/>
      </c>
      <c r="AW26" s="366">
        <f>VLOOKUP(B26,'UV台帐'!B:AL,37,0)</f>
        <v/>
      </c>
      <c r="AX26" s="281">
        <f>COUNTIFS(H26,"零期",AU26,"是")+COUNTIFS(L26,"零期",AV26,"是")+COUNTIFS(P26,"零期",AW26,"是")</f>
        <v/>
      </c>
      <c r="AZ26" s="350" t="inlineStr">
        <is>
          <t>几套说辞，搬家白云，秋季听孩子的意见，觉得进度慢找小机构对比，何咏老师看了那边教学大纲很水，和妈妈做了排他，要考虑回去找孩子商量。</t>
        </is>
      </c>
      <c r="BA26" s="359" t="n"/>
    </row>
    <row r="27" ht="30" customFormat="1" customHeight="1" s="366">
      <c r="A27" s="281" t="inlineStr">
        <is>
          <t>新宝利</t>
        </is>
      </c>
      <c r="B27" s="281"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inlineStr">
        <is>
          <t>是</t>
        </is>
      </c>
      <c r="T27" s="281" t="inlineStr">
        <is>
          <t>否</t>
        </is>
      </c>
      <c r="W27" s="281" t="n"/>
      <c r="X27" s="281" t="n"/>
      <c r="Y27" s="281" t="n"/>
      <c r="Z27" s="281" t="n"/>
      <c r="AA27" s="73" t="inlineStr">
        <is>
          <t>陈中帅</t>
        </is>
      </c>
      <c r="AB27" s="339" t="inlineStr">
        <is>
          <t>不确定</t>
        </is>
      </c>
      <c r="AC27" s="119" t="inlineStr">
        <is>
          <t>沈源</t>
        </is>
      </c>
      <c r="AD27" s="315" t="inlineStr">
        <is>
          <t>否</t>
        </is>
      </c>
      <c r="AE27" s="281" t="inlineStr">
        <is>
          <t>张敏烨</t>
        </is>
      </c>
      <c r="AF27" s="281">
        <f>VLOOKUP(B27,'UV台帐'!B:G,6,0)</f>
        <v/>
      </c>
      <c r="AG27" s="281" t="inlineStr">
        <is>
          <t>三中</t>
        </is>
      </c>
      <c r="AH27" s="281" t="inlineStr">
        <is>
          <t>是</t>
        </is>
      </c>
      <c r="AI27" s="281" t="inlineStr">
        <is>
          <t>29返校</t>
        </is>
      </c>
      <c r="AJ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6" t="inlineStr">
        <is>
          <t>A</t>
        </is>
      </c>
      <c r="AM27" s="366" t="inlineStr">
        <is>
          <t>B</t>
        </is>
      </c>
      <c r="AN27" s="366" t="inlineStr">
        <is>
          <t>B</t>
        </is>
      </c>
      <c r="AO27" s="366" t="n"/>
      <c r="AP27" s="350" t="inlineStr">
        <is>
          <t>语文已经调到1期，家长有主动问过秋季价格，讲完家长觉得贵，秋季的学习主要看孩子自己，对孩子的上课情况感觉家长不怎么关注的，卡点是家长觉得贵，孩子计算需要提高</t>
        </is>
      </c>
      <c r="AR27" s="359" t="n"/>
      <c r="AS27" s="281">
        <f>COUNTIFS(H27,"零期",I27,"在读")+COUNTIFS(L27,"零期",M27,"在读")+COUNTIFS(P27,"零期",Q27,"在读")</f>
        <v/>
      </c>
      <c r="AT27" s="281">
        <f>AS27-AX27</f>
        <v/>
      </c>
      <c r="AU27" s="366">
        <f>VLOOKUP(B27,'UV台帐'!B:AL,19,0)</f>
        <v/>
      </c>
      <c r="AV27" s="366">
        <f>VLOOKUP(B27,'UV台帐'!B:AL,28,0)</f>
        <v/>
      </c>
      <c r="AW27" s="366">
        <f>VLOOKUP(B27,'UV台帐'!B:AL,37,0)</f>
        <v/>
      </c>
      <c r="AX27" s="281">
        <f>COUNTIFS(H27,"零期",AU27,"是")+COUNTIFS(L27,"零期",AV27,"是")+COUNTIFS(P27,"零期",AW27,"是")</f>
        <v/>
      </c>
      <c r="AZ27" s="350" t="n"/>
      <c r="BA27" s="359" t="n"/>
    </row>
    <row r="28" ht="30" customFormat="1" customHeight="1" s="366">
      <c r="A28" s="281" t="inlineStr">
        <is>
          <t>新宝利</t>
        </is>
      </c>
      <c r="B28" s="281"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n"/>
      <c r="S28" s="281" t="inlineStr">
        <is>
          <t>是</t>
        </is>
      </c>
      <c r="T28" s="281" t="inlineStr">
        <is>
          <t>否</t>
        </is>
      </c>
      <c r="U28" s="366" t="inlineStr">
        <is>
          <t>李润</t>
        </is>
      </c>
      <c r="W28" s="281" t="inlineStr">
        <is>
          <t>肖锐03</t>
        </is>
      </c>
      <c r="X28" s="281" t="n"/>
      <c r="Y28" s="281" t="n"/>
      <c r="Z28" s="281" t="n"/>
      <c r="AA28" s="80" t="inlineStr">
        <is>
          <t>李润</t>
        </is>
      </c>
      <c r="AB28" s="339" t="inlineStr">
        <is>
          <t>是</t>
        </is>
      </c>
      <c r="AC28" s="159" t="inlineStr">
        <is>
          <t>已转化</t>
        </is>
      </c>
      <c r="AD28" s="119" t="inlineStr">
        <is>
          <t>是</t>
        </is>
      </c>
      <c r="AE28" s="281" t="inlineStr">
        <is>
          <t>陈亮延</t>
        </is>
      </c>
      <c r="AF28" s="281">
        <f>VLOOKUP(B28,'UV台帐'!B:G,6,0)</f>
        <v/>
      </c>
      <c r="AG28" s="281" t="inlineStr">
        <is>
          <t>侨中</t>
        </is>
      </c>
      <c r="AH28" s="281" t="inlineStr">
        <is>
          <t>是</t>
        </is>
      </c>
      <c r="AI28" s="281" t="inlineStr">
        <is>
          <t>没问题，正常到课</t>
        </is>
      </c>
      <c r="AJ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6" t="inlineStr">
        <is>
          <t>S</t>
        </is>
      </c>
      <c r="AM28" s="366" t="inlineStr">
        <is>
          <t>S</t>
        </is>
      </c>
      <c r="AN28" s="366" t="inlineStr">
        <is>
          <t>S</t>
        </is>
      </c>
      <c r="AO28" s="366" t="inlineStr">
        <is>
          <t>S</t>
        </is>
      </c>
      <c r="AP28" s="350" t="inlineStr">
        <is>
          <t>家长已经沟通了秋季，目前纠结优惠，因为之前报过暑秋连报价格。</t>
        </is>
      </c>
      <c r="AQ28" s="366" t="inlineStr">
        <is>
          <t>是</t>
        </is>
      </c>
      <c r="AR28" s="359" t="n"/>
      <c r="AS28" s="281">
        <f>COUNTIFS(H28,"零期",I28,"在读")+COUNTIFS(L28,"零期",M28,"在读")+COUNTIFS(P28,"零期",Q28,"在读")</f>
        <v/>
      </c>
      <c r="AT28" s="281">
        <f>AS28-AX28</f>
        <v/>
      </c>
      <c r="AU28" s="366">
        <f>VLOOKUP(B28,'UV台帐'!B:AL,19,0)</f>
        <v/>
      </c>
      <c r="AV28" s="366">
        <f>VLOOKUP(B28,'UV台帐'!B:AL,28,0)</f>
        <v/>
      </c>
      <c r="AW28" s="366">
        <f>VLOOKUP(B28,'UV台帐'!B:AL,37,0)</f>
        <v/>
      </c>
      <c r="AX28" s="281">
        <f>COUNTIFS(H28,"零期",AU28,"是")+COUNTIFS(L28,"零期",AV28,"是")+COUNTIFS(P28,"零期",AW28,"是")</f>
        <v/>
      </c>
      <c r="AZ28" s="350" t="inlineStr">
        <is>
          <t>已转</t>
        </is>
      </c>
      <c r="BA28" s="359" t="n"/>
    </row>
    <row r="29" ht="30" customFormat="1" customHeight="1" s="366">
      <c r="A29" s="281" t="inlineStr">
        <is>
          <t>同创汇</t>
        </is>
      </c>
      <c r="B29" s="281"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81" t="n"/>
      <c r="S29" s="281" t="inlineStr">
        <is>
          <t>是</t>
        </is>
      </c>
      <c r="T29" s="281" t="inlineStr">
        <is>
          <t>否</t>
        </is>
      </c>
      <c r="W29" s="281" t="n"/>
      <c r="X29" s="281" t="n"/>
      <c r="Y29" s="281" t="inlineStr">
        <is>
          <t>高心怡04</t>
        </is>
      </c>
      <c r="Z29" s="281" t="n"/>
      <c r="AA29" s="73" t="inlineStr">
        <is>
          <t>李润</t>
        </is>
      </c>
      <c r="AB29" s="339" t="inlineStr">
        <is>
          <t>否</t>
        </is>
      </c>
      <c r="AC29" s="119" t="n"/>
      <c r="AD29" s="315" t="inlineStr">
        <is>
          <t>否</t>
        </is>
      </c>
      <c r="AE29" s="281" t="inlineStr">
        <is>
          <t>王丽</t>
        </is>
      </c>
      <c r="AF29" s="281">
        <f>VLOOKUP(B29,'UV台帐'!B:G,6,0)</f>
        <v/>
      </c>
      <c r="AG29" s="281" t="inlineStr">
        <is>
          <t>16中实验</t>
        </is>
      </c>
      <c r="AH29" s="281" t="inlineStr">
        <is>
          <t>是</t>
        </is>
      </c>
      <c r="AI29" s="281" t="inlineStr">
        <is>
          <t>没问题</t>
        </is>
      </c>
      <c r="AJ29" s="426" t="inlineStr">
        <is>
          <t>孩子三科都很喜欢，也能够适应这个节奏，和家长说了孩子上课偶尔会走神，也希望老师可以多多监督</t>
        </is>
      </c>
      <c r="AK29" s="426" t="inlineStr">
        <is>
          <t>孩子三科都很喜欢，也能够适应这个节奏，和家长说了孩子上课偶尔会走神，也希望老师可以多多监督</t>
        </is>
      </c>
      <c r="AL29" s="366" t="inlineStr">
        <is>
          <t>A</t>
        </is>
      </c>
      <c r="AM29" s="366" t="inlineStr">
        <is>
          <t>B</t>
        </is>
      </c>
      <c r="AN29" s="366" t="inlineStr">
        <is>
          <t>B</t>
        </is>
      </c>
      <c r="AO29" s="366" t="inlineStr">
        <is>
          <t>B</t>
        </is>
      </c>
      <c r="AP29" s="544" t="inlineStr">
        <is>
          <t>得洗理念
英语：课堂纪律不好，成绩也不太好，家长忙</t>
        </is>
      </c>
      <c r="AR29" s="359" t="n"/>
      <c r="AS29" s="281">
        <f>COUNTIFS(H29,"零期",I29,"在读")+COUNTIFS(L29,"零期",M29,"在读")+COUNTIFS(P29,"零期",Q29,"在读")</f>
        <v/>
      </c>
      <c r="AT29" s="281">
        <f>AS29-AX29</f>
        <v/>
      </c>
      <c r="AU29" s="366">
        <f>VLOOKUP(B29,'UV台帐'!B:AL,19,0)</f>
        <v/>
      </c>
      <c r="AV29" s="366">
        <f>VLOOKUP(B29,'UV台帐'!B:AL,28,0)</f>
        <v/>
      </c>
      <c r="AW29" s="366">
        <f>VLOOKUP(B29,'UV台帐'!B:AL,37,0)</f>
        <v/>
      </c>
      <c r="AX29" s="281">
        <f>COUNTIFS(H29,"零期",AU29,"是")+COUNTIFS(L29,"零期",AV29,"是")+COUNTIFS(P29,"零期",AW29,"是")</f>
        <v/>
      </c>
      <c r="AZ29" s="350" t="inlineStr">
        <is>
          <t>价格觉得贵；可能续费1科；数学自律性比较差，但是吸收情况很好；孩子很喜欢。家长也满意。</t>
        </is>
      </c>
      <c r="BA29" s="359" t="n"/>
    </row>
    <row r="30" ht="30" customFormat="1" customHeight="1" s="366">
      <c r="A30" s="281" t="inlineStr">
        <is>
          <t>同创汇</t>
        </is>
      </c>
      <c r="B30" s="281"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inlineStr">
        <is>
          <t>否</t>
        </is>
      </c>
      <c r="T30" s="281" t="inlineStr">
        <is>
          <t>否</t>
        </is>
      </c>
      <c r="U30" s="281" t="inlineStr">
        <is>
          <t>高心怡04</t>
        </is>
      </c>
      <c r="V30" s="281" t="n"/>
      <c r="W30" s="281" t="n"/>
      <c r="X30" s="281" t="n"/>
      <c r="Y30" s="119" t="inlineStr">
        <is>
          <t>陈中帅</t>
        </is>
      </c>
      <c r="Z30" s="119" t="n"/>
      <c r="AA30" s="73" t="inlineStr">
        <is>
          <t>高心怡04</t>
        </is>
      </c>
      <c r="AB30" s="281" t="inlineStr">
        <is>
          <t>否</t>
        </is>
      </c>
      <c r="AC30" s="315" t="n"/>
      <c r="AD30" s="315" t="inlineStr">
        <is>
          <t>否</t>
        </is>
      </c>
      <c r="AE30" s="281" t="inlineStr">
        <is>
          <t>王丽</t>
        </is>
      </c>
      <c r="AF30" s="281">
        <f>VLOOKUP(B30,'UV台帐'!B:G,6,0)</f>
        <v/>
      </c>
      <c r="AG30" s="281" t="inlineStr">
        <is>
          <t>育才</t>
        </is>
      </c>
      <c r="AH30" s="281" t="inlineStr">
        <is>
          <t>是</t>
        </is>
      </c>
      <c r="AI30" s="281" t="inlineStr">
        <is>
          <t>没问题</t>
        </is>
      </c>
      <c r="AJ30" s="426" t="inlineStr">
        <is>
          <t>未接，微信沟通孩子第一天不适应，语文调去二期了，第二天要好一些了，基础偏弱一些</t>
        </is>
      </c>
      <c r="AK30" s="426" t="inlineStr">
        <is>
          <t>未接，微信沟通孩子第一天不适应，语文调去二期了，第二天要好一些了，基础偏弱一些</t>
        </is>
      </c>
      <c r="AL30" s="366" t="inlineStr">
        <is>
          <t>A</t>
        </is>
      </c>
      <c r="AM30" s="366" t="inlineStr">
        <is>
          <t>A</t>
        </is>
      </c>
      <c r="AN30" s="366" t="n"/>
      <c r="AO30" s="366" t="inlineStr">
        <is>
          <t>C</t>
        </is>
      </c>
      <c r="AP30" s="350" t="inlineStr">
        <is>
          <t>数学英语：基础较弱，有进步</t>
        </is>
      </c>
      <c r="AR30" s="359" t="n"/>
      <c r="AS30" s="281">
        <f>COUNTIFS(H30,"零期",I30,"在读")+COUNTIFS(L30,"零期",M30,"在读")+COUNTIFS(P30,"零期",Q30,"在读")</f>
        <v/>
      </c>
      <c r="AT30" s="281">
        <f>AS30-AX30</f>
        <v/>
      </c>
      <c r="AU30" s="366">
        <f>VLOOKUP(B30,'UV台帐'!B:AL,19,0)</f>
        <v/>
      </c>
      <c r="AV30" s="366">
        <f>VLOOKUP(B30,'UV台帐'!B:AL,28,0)</f>
        <v/>
      </c>
      <c r="AW30" s="366">
        <f>VLOOKUP(B30,'UV台帐'!B:AL,37,0)</f>
        <v/>
      </c>
      <c r="AX30" s="281">
        <f>COUNTIFS(H30,"零期",AU30,"是")+COUNTIFS(L30,"零期",AV30,"是")+COUNTIFS(P30,"零期",AW30,"是")</f>
        <v/>
      </c>
      <c r="AZ30" s="350" t="inlineStr">
        <is>
          <t>李卓成报名了，转介绍都报名了；英语16分，作文表述我不喜欢英语</t>
        </is>
      </c>
      <c r="BA30" s="359" t="n"/>
    </row>
    <row r="31" ht="30" customFormat="1" customHeight="1" s="366">
      <c r="A31" s="281" t="inlineStr">
        <is>
          <t>同创汇</t>
        </is>
      </c>
      <c r="B31" s="281"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81" t="n"/>
      <c r="S31" s="281" t="inlineStr">
        <is>
          <t>是</t>
        </is>
      </c>
      <c r="T31" s="281" t="inlineStr">
        <is>
          <t>是</t>
        </is>
      </c>
      <c r="W31" s="281" t="inlineStr">
        <is>
          <t>刘希子</t>
        </is>
      </c>
      <c r="X31" s="281" t="n"/>
      <c r="Y31" s="281" t="n"/>
      <c r="Z31" s="281" t="n"/>
      <c r="AA31" s="73" t="inlineStr">
        <is>
          <t>刘希子</t>
        </is>
      </c>
      <c r="AB31" s="281" t="inlineStr">
        <is>
          <t>否</t>
        </is>
      </c>
      <c r="AC31" s="315" t="inlineStr">
        <is>
          <t>/</t>
        </is>
      </c>
      <c r="AD31" s="315" t="inlineStr">
        <is>
          <t>否</t>
        </is>
      </c>
      <c r="AE31" s="281" t="inlineStr">
        <is>
          <t>王丽</t>
        </is>
      </c>
      <c r="AF31" s="281">
        <f>VLOOKUP(B31,'UV台帐'!B:G,6,0)</f>
        <v/>
      </c>
      <c r="AG31" s="281" t="n"/>
      <c r="AH31" s="281" t="inlineStr">
        <is>
          <t>是</t>
        </is>
      </c>
      <c r="AI31" s="281" t="inlineStr">
        <is>
          <t>语数英8号10号这两讲调到1期上，学校有事情（第八讲、第十讲）</t>
        </is>
      </c>
      <c r="AJ31" s="426" t="inlineStr">
        <is>
          <t>老生已经暑秋连报</t>
        </is>
      </c>
      <c r="AK31" s="426" t="inlineStr">
        <is>
          <t>老生已经暑秋连报</t>
        </is>
      </c>
      <c r="AL31" s="366" t="n"/>
      <c r="AM31" s="366" t="n"/>
      <c r="AN31" s="366" t="n"/>
      <c r="AO31" s="366" t="n"/>
      <c r="AP31" s="350" t="n"/>
      <c r="AQ31" s="366" t="inlineStr">
        <is>
          <t>是</t>
        </is>
      </c>
      <c r="AR31" s="359" t="n"/>
      <c r="AS31" s="281">
        <f>COUNTIFS(H31,"零期",I31,"在读")+COUNTIFS(L31,"零期",M31,"在读")+COUNTIFS(P31,"零期",Q31,"在读")</f>
        <v/>
      </c>
      <c r="AT31" s="281">
        <f>AS31-AX31</f>
        <v/>
      </c>
      <c r="AU31" s="366">
        <f>VLOOKUP(B31,'UV台帐'!B:AL,19,0)</f>
        <v/>
      </c>
      <c r="AV31" s="366">
        <f>VLOOKUP(B31,'UV台帐'!B:AL,28,0)</f>
        <v/>
      </c>
      <c r="AW31" s="366">
        <f>VLOOKUP(B31,'UV台帐'!B:AL,37,0)</f>
        <v/>
      </c>
      <c r="AX31" s="281">
        <f>COUNTIFS(H31,"零期",AU31,"是")+COUNTIFS(L31,"零期",AV31,"是")+COUNTIFS(P31,"零期",AW31,"是")</f>
        <v/>
      </c>
      <c r="AZ31" s="350" t="n"/>
      <c r="BA31" s="359" t="n"/>
    </row>
    <row r="32" ht="30" customFormat="1" customHeight="1" s="366">
      <c r="A32" s="281" t="inlineStr">
        <is>
          <t>新宝利</t>
        </is>
      </c>
      <c r="B32" s="281"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81" t="n"/>
      <c r="S32" s="281" t="inlineStr">
        <is>
          <t>是</t>
        </is>
      </c>
      <c r="T32" s="281" t="inlineStr">
        <is>
          <t>是</t>
        </is>
      </c>
      <c r="W32" s="281" t="n"/>
      <c r="X32" s="281" t="n"/>
      <c r="Y32" s="366" t="inlineStr">
        <is>
          <t>黄铭怡</t>
        </is>
      </c>
      <c r="AA32" s="81" t="inlineStr">
        <is>
          <t>黄铭怡</t>
        </is>
      </c>
      <c r="AB32" s="281" t="inlineStr">
        <is>
          <t>是</t>
        </is>
      </c>
      <c r="AC32" s="421" t="inlineStr">
        <is>
          <t>汪汪</t>
        </is>
      </c>
      <c r="AD32" s="281" t="inlineStr">
        <is>
          <t>是</t>
        </is>
      </c>
      <c r="AE32" s="281" t="inlineStr">
        <is>
          <t>林志豪01</t>
        </is>
      </c>
      <c r="AF32" s="281">
        <f>VLOOKUP(B32,'UV台帐'!B:G,6,0)</f>
        <v/>
      </c>
      <c r="AG32" s="281" t="inlineStr">
        <is>
          <t>二中</t>
        </is>
      </c>
      <c r="AH32" s="281" t="inlineStr">
        <is>
          <t>是</t>
        </is>
      </c>
      <c r="AI32" s="281" t="n"/>
      <c r="AJ32" s="426" t="inlineStr">
        <is>
          <t>妈咪还没和孩子细聊，今天才正式上了第一节课，昨天请假了，回放看了， 今天掌握还行课前测作对了，孩子阅读是薄弱，希望能学到阅读的方法，分析长期学会好，在读学而思数学，中旅</t>
        </is>
      </c>
      <c r="AK32" s="426" t="inlineStr">
        <is>
          <t>妈咪还没和孩子细聊，今天才正式上了第一节课，昨天请假了，回放看了， 今天掌握还行课前测作对了，孩子阅读是薄弱，希望能学到阅读的方法，分析长期学会好，在读学而思数学，中旅</t>
        </is>
      </c>
      <c r="AL32" s="366" t="inlineStr">
        <is>
          <t>A</t>
        </is>
      </c>
      <c r="AM32" s="366" t="n"/>
      <c r="AN32" s="366" t="inlineStr">
        <is>
          <t>A</t>
        </is>
      </c>
      <c r="AO32" s="366" t="n"/>
      <c r="AP32" s="350" t="inlineStr">
        <is>
          <t>1、目前学而思在读数学，从4年级就在学而思了，有对比2、家长和孩子还是满意度比较高3、有主动问过价格+体系</t>
        </is>
      </c>
      <c r="AR32" s="359" t="n"/>
      <c r="AS32" s="281">
        <f>COUNTIFS(H32,"零期",I32,"在读")+COUNTIFS(L32,"零期",M32,"在读")+COUNTIFS(P32,"零期",Q32,"在读")</f>
        <v/>
      </c>
      <c r="AT32" s="281">
        <f>AS32-AX32</f>
        <v/>
      </c>
      <c r="AU32" s="366">
        <f>VLOOKUP(B32,'UV台帐'!B:AL,19,0)</f>
        <v/>
      </c>
      <c r="AV32" s="366">
        <f>VLOOKUP(B32,'UV台帐'!B:AL,28,0)</f>
        <v/>
      </c>
      <c r="AW32" s="366">
        <f>VLOOKUP(B32,'UV台帐'!B:AL,37,0)</f>
        <v/>
      </c>
      <c r="AX32" s="281">
        <f>COUNTIFS(H32,"零期",AU32,"是")+COUNTIFS(L32,"零期",AV32,"是")+COUNTIFS(P32,"零期",AW32,"是")</f>
        <v/>
      </c>
      <c r="AZ32" s="545" t="inlineStr">
        <is>
          <t>妈妈到场，数学在进阶，先聊的单跟铭铭老师交流
关注孩子的学习效果，平时妈妈管学习</t>
        </is>
      </c>
      <c r="BA32" s="359" t="n"/>
    </row>
    <row r="33" ht="30" customFormat="1" customHeight="1" s="366">
      <c r="A33" s="281" t="inlineStr">
        <is>
          <t>同创汇</t>
        </is>
      </c>
      <c r="B33" s="281"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81" t="n"/>
      <c r="S33" s="281" t="inlineStr">
        <is>
          <t>否</t>
        </is>
      </c>
      <c r="T33" s="281" t="inlineStr">
        <is>
          <t>否</t>
        </is>
      </c>
      <c r="U33" s="281" t="inlineStr">
        <is>
          <t>高心怡04</t>
        </is>
      </c>
      <c r="V33" s="281" t="n"/>
      <c r="W33" s="281" t="n"/>
      <c r="X33" s="281" t="n"/>
      <c r="Y33" s="281" t="n"/>
      <c r="Z33" s="281" t="n"/>
      <c r="AA33" s="73" t="inlineStr">
        <is>
          <t>高心怡04</t>
        </is>
      </c>
      <c r="AB33" s="281" t="inlineStr">
        <is>
          <t>否</t>
        </is>
      </c>
      <c r="AC33" s="315" t="n"/>
      <c r="AD33" s="315" t="inlineStr">
        <is>
          <t>否</t>
        </is>
      </c>
      <c r="AE33" s="281" t="inlineStr">
        <is>
          <t>王丽</t>
        </is>
      </c>
      <c r="AF33" s="281">
        <f>VLOOKUP(B33,'UV台帐'!B:G,6,0)</f>
        <v/>
      </c>
      <c r="AG33" s="281" t="inlineStr">
        <is>
          <t>16中</t>
        </is>
      </c>
      <c r="AH33" s="281" t="inlineStr">
        <is>
          <t>是</t>
        </is>
      </c>
      <c r="AI33" s="281" t="inlineStr">
        <is>
          <t>29号领取通知书，不知道能不能带领。10号毕业典礼他要去学校。都是上午去学校，如果调课的话需要调到2期8月的时候</t>
        </is>
      </c>
      <c r="AJ33" s="426" t="inlineStr">
        <is>
          <t>觉得挺好的，孩子适应的快。英语有在其他机构补，如果上的好会转过来学</t>
        </is>
      </c>
      <c r="AK33" s="426" t="inlineStr">
        <is>
          <t>觉得挺好的，孩子适应的快。英语有在其他机构补，如果上的好会转过来学</t>
        </is>
      </c>
      <c r="AL33" s="366" t="inlineStr">
        <is>
          <t>A</t>
        </is>
      </c>
      <c r="AM33" s="366" t="n"/>
      <c r="AN33" s="366" t="n"/>
      <c r="AO33" s="366" t="inlineStr">
        <is>
          <t>A</t>
        </is>
      </c>
      <c r="AP33" s="350" t="inlineStr">
        <is>
          <t>英语：写作业不够认真，感觉难度比较适应</t>
        </is>
      </c>
      <c r="AQ33" s="366" t="inlineStr">
        <is>
          <t>是</t>
        </is>
      </c>
      <c r="AR33" s="359" t="n"/>
      <c r="AS33" s="281">
        <f>COUNTIFS(H33,"零期",I33,"在读")+COUNTIFS(L33,"零期",M33,"在读")+COUNTIFS(P33,"零期",Q33,"在读")</f>
        <v/>
      </c>
      <c r="AT33" s="281">
        <f>AS33-AX33</f>
        <v/>
      </c>
      <c r="AU33" s="366">
        <f>VLOOKUP(B33,'UV台帐'!B:AL,19,0)</f>
        <v/>
      </c>
      <c r="AV33" s="366">
        <f>VLOOKUP(B33,'UV台帐'!B:AL,28,0)</f>
        <v/>
      </c>
      <c r="AW33" s="366">
        <f>VLOOKUP(B33,'UV台帐'!B:AL,37,0)</f>
        <v/>
      </c>
      <c r="AX33" s="281">
        <f>COUNTIFS(H33,"零期",AU33,"是")+COUNTIFS(L33,"零期",AV33,"是")+COUNTIFS(P33,"零期",AW33,"是")</f>
        <v/>
      </c>
      <c r="AZ33" s="350" t="inlineStr">
        <is>
          <t>英语等听完课程再报；在星火在读，那边的课程难度较大，跟不上。</t>
        </is>
      </c>
      <c r="BA33" s="359" t="n"/>
    </row>
    <row r="34" ht="30" customFormat="1" customHeight="1" s="366">
      <c r="A34" s="281" t="inlineStr">
        <is>
          <t>同创汇</t>
        </is>
      </c>
      <c r="B34" s="281"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81" t="n"/>
      <c r="S34" s="281" t="inlineStr">
        <is>
          <t>否</t>
        </is>
      </c>
      <c r="T34" s="281" t="inlineStr">
        <is>
          <t>否</t>
        </is>
      </c>
      <c r="W34" s="281" t="n"/>
      <c r="X34" s="281" t="n"/>
      <c r="Y34" s="281" t="n"/>
      <c r="Z34" s="281" t="n"/>
      <c r="AA34" s="73" t="inlineStr">
        <is>
          <t>陈南05</t>
        </is>
      </c>
      <c r="AB34" s="7" t="inlineStr">
        <is>
          <t>不确定</t>
        </is>
      </c>
      <c r="AC34" s="315" t="inlineStr">
        <is>
          <t>张敏烨</t>
        </is>
      </c>
      <c r="AD34" s="315" t="inlineStr">
        <is>
          <t>否</t>
        </is>
      </c>
      <c r="AE34" s="281" t="inlineStr">
        <is>
          <t>张敏烨</t>
        </is>
      </c>
      <c r="AF34" s="281">
        <f>VLOOKUP(B34,'UV台帐'!B:G,6,0)</f>
        <v/>
      </c>
      <c r="AG34" s="281" t="inlineStr">
        <is>
          <t>三中</t>
        </is>
      </c>
      <c r="AH34" s="281" t="inlineStr">
        <is>
          <t>是</t>
        </is>
      </c>
      <c r="AI34" s="281" t="inlineStr">
        <is>
          <t>6.29返校</t>
        </is>
      </c>
      <c r="AJ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6" t="inlineStr">
        <is>
          <t>A</t>
        </is>
      </c>
      <c r="AM34" s="366" t="inlineStr">
        <is>
          <t>A</t>
        </is>
      </c>
      <c r="AN34" s="366" t="inlineStr">
        <is>
          <t>A</t>
        </is>
      </c>
      <c r="AO34" s="366" t="inlineStr">
        <is>
          <t>C</t>
        </is>
      </c>
      <c r="AP34" s="350" t="inlineStr">
        <is>
          <t>数学孩子吸收挺好的，但是妈妈没有明确后续继续学的学法，语文上课还行，但是妈妈比较关注数学和英语科目</t>
        </is>
      </c>
      <c r="AQ34" s="366" t="inlineStr">
        <is>
          <t>是</t>
        </is>
      </c>
      <c r="AR34" s="359" t="inlineStr">
        <is>
          <t>满意度回访家长觉得距离太远，不方便接送，还在考虑</t>
        </is>
      </c>
      <c r="AS34" s="281">
        <f>COUNTIFS(H34,"零期",I34,"在读")+COUNTIFS(L34,"零期",M34,"在读")+COUNTIFS(P34,"零期",Q34,"在读")</f>
        <v/>
      </c>
      <c r="AT34" s="281">
        <f>AS34-AX34</f>
        <v/>
      </c>
      <c r="AU34" s="366">
        <f>VLOOKUP(B34,'UV台帐'!B:AL,19,0)</f>
        <v/>
      </c>
      <c r="AV34" s="366">
        <f>VLOOKUP(B34,'UV台帐'!B:AL,28,0)</f>
        <v/>
      </c>
      <c r="AW34" s="366">
        <f>VLOOKUP(B34,'UV台帐'!B:AL,37,0)</f>
        <v/>
      </c>
      <c r="AX34" s="281">
        <f>COUNTIFS(H34,"零期",AU34,"是")+COUNTIFS(L34,"零期",AV34,"是")+COUNTIFS(P34,"零期",AW34,"是")</f>
        <v/>
      </c>
      <c r="AZ34" s="350" t="inlineStr">
        <is>
          <t>7.5号回访，家长想报数学和英语科目，但是要对下美术课时间，秋季要去新宝利校区上，想要多点收心课</t>
        </is>
      </c>
      <c r="BA34" s="359" t="n"/>
    </row>
    <row r="35" ht="30" customFormat="1" customHeight="1" s="366">
      <c r="A35" s="281" t="inlineStr">
        <is>
          <t>新宝利</t>
        </is>
      </c>
      <c r="B35" s="281"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81" t="n"/>
      <c r="S35" s="281" t="inlineStr">
        <is>
          <t>是</t>
        </is>
      </c>
      <c r="T35" s="281" t="inlineStr">
        <is>
          <t>否</t>
        </is>
      </c>
      <c r="W35" s="281" t="n"/>
      <c r="X35" s="281" t="n"/>
      <c r="Y35" s="281" t="inlineStr">
        <is>
          <t>肖锐03</t>
        </is>
      </c>
      <c r="Z35" s="281" t="n"/>
      <c r="AA35" s="73" t="inlineStr">
        <is>
          <t>肖锐03</t>
        </is>
      </c>
      <c r="AB35" s="281" t="inlineStr">
        <is>
          <t>否</t>
        </is>
      </c>
      <c r="AC35" s="315" t="n"/>
      <c r="AD35" s="315" t="inlineStr">
        <is>
          <t>否</t>
        </is>
      </c>
      <c r="AE35" s="281" t="inlineStr">
        <is>
          <t>林志豪01</t>
        </is>
      </c>
      <c r="AF35" s="281">
        <f>VLOOKUP(B35,'UV台帐'!B:G,6,0)</f>
        <v/>
      </c>
      <c r="AG35" s="281" t="inlineStr">
        <is>
          <t>三中</t>
        </is>
      </c>
      <c r="AH35" s="281" t="inlineStr">
        <is>
          <t>是</t>
        </is>
      </c>
      <c r="AI35" s="281" t="n"/>
      <c r="AJ35" s="426" t="inlineStr">
        <is>
          <t>1反馈想调下一期，告知最好不要调课，孩子状态刚起来，且知识点前后差了2周，有在别的机构学数学英语，数学在晚上18点，秋季也是</t>
        </is>
      </c>
      <c r="AK35" s="426" t="inlineStr">
        <is>
          <t>1反馈想调下一期，告知最好不要调课，孩子状态刚起来，且知识点前后差了2周，有在别的机构学数学英语，数学在晚上18点，秋季也是</t>
        </is>
      </c>
      <c r="AL35" s="366" t="inlineStr">
        <is>
          <t>A</t>
        </is>
      </c>
      <c r="AM35" s="366" t="n"/>
      <c r="AN35" s="366" t="n"/>
      <c r="AO35" s="366" t="inlineStr">
        <is>
          <t>A</t>
        </is>
      </c>
      <c r="AP35" s="350" t="inlineStr">
        <is>
          <t>1、在别的机构有补课，目前知道周六18点有课，不能冲突2、但是妈咪想要给孩子提升，英语是薄弱科目想安排线下，有主动问过秋季3、回访中对老师认可度可以，但是觉得缺课比较担心掌握不了</t>
        </is>
      </c>
      <c r="AR35" s="359" t="n"/>
      <c r="AS35" s="281">
        <f>COUNTIFS(H35,"零期",I35,"在读")+COUNTIFS(L35,"零期",M35,"在读")+COUNTIFS(P35,"零期",Q35,"在读")</f>
        <v/>
      </c>
      <c r="AT35" s="281">
        <f>AS35-AX35</f>
        <v/>
      </c>
      <c r="AU35" s="366">
        <f>VLOOKUP(B35,'UV台帐'!B:AL,19,0)</f>
        <v/>
      </c>
      <c r="AV35" s="366">
        <f>VLOOKUP(B35,'UV台帐'!B:AL,28,0)</f>
        <v/>
      </c>
      <c r="AW35" s="366">
        <f>VLOOKUP(B35,'UV台帐'!B:AL,37,0)</f>
        <v/>
      </c>
      <c r="AX35" s="281">
        <f>COUNTIFS(H35,"零期",AU35,"是")+COUNTIFS(L35,"零期",AV35,"是")+COUNTIFS(P35,"零期",AW35,"是")</f>
        <v/>
      </c>
      <c r="AZ35" s="350" t="n"/>
      <c r="BA35" s="359" t="n"/>
    </row>
    <row r="36" ht="30" customFormat="1" customHeight="1" s="366">
      <c r="A36" s="281" t="inlineStr">
        <is>
          <t>同创汇</t>
        </is>
      </c>
      <c r="B36" s="281"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81" t="n"/>
      <c r="S36" s="281" t="inlineStr">
        <is>
          <t>是</t>
        </is>
      </c>
      <c r="T36" s="281" t="inlineStr">
        <is>
          <t>是</t>
        </is>
      </c>
      <c r="U36" s="281" t="inlineStr">
        <is>
          <t>高心怡04</t>
        </is>
      </c>
      <c r="V36" s="281" t="n"/>
      <c r="W36" s="281" t="n"/>
      <c r="X36" s="281" t="n"/>
      <c r="Y36" s="119" t="inlineStr">
        <is>
          <t>李润</t>
        </is>
      </c>
      <c r="Z36" s="119" t="n"/>
      <c r="AA36" s="73" t="inlineStr">
        <is>
          <t>陈中帅</t>
        </is>
      </c>
      <c r="AB36" s="281" t="inlineStr">
        <is>
          <t>否</t>
        </is>
      </c>
      <c r="AC36" s="315" t="inlineStr">
        <is>
          <t>林志豪</t>
        </is>
      </c>
      <c r="AD36" s="315" t="inlineStr">
        <is>
          <t>人在四川</t>
        </is>
      </c>
      <c r="AE36" s="281" t="inlineStr">
        <is>
          <t>林志豪01</t>
        </is>
      </c>
      <c r="AF36" s="281">
        <f>VLOOKUP(B36,'UV台帐'!B:G,6,0)</f>
        <v/>
      </c>
      <c r="AG36" s="281" t="inlineStr">
        <is>
          <t>培文民办学校重点班</t>
        </is>
      </c>
      <c r="AH36" s="281" t="inlineStr">
        <is>
          <t>是</t>
        </is>
      </c>
      <c r="AI36" s="281" t="n"/>
      <c r="AJ36" s="426" t="inlineStr">
        <is>
          <t>孩子成绩不错，三科老师反馈的很好，让孩子紧接老师的节奏学习，多帮我严格捉捉，怕他松散，住西村，危险点第一距离，第二孩子到时候白云培文重点班住宿，平时远+不能用手机</t>
        </is>
      </c>
      <c r="AK36" s="426" t="inlineStr">
        <is>
          <t>孩子成绩不错，三科老师反馈的很好，让孩子紧接老师的节奏学习，多帮我严格捉捉，怕他松散，住西村，危险点第一距离，第二孩子到时候白云培文重点班住宿，平时远+不能用手机</t>
        </is>
      </c>
      <c r="AL36" s="366" t="inlineStr">
        <is>
          <t>A</t>
        </is>
      </c>
      <c r="AM36" s="366" t="inlineStr">
        <is>
          <t>A</t>
        </is>
      </c>
      <c r="AN36" s="366" t="inlineStr">
        <is>
          <t>A</t>
        </is>
      </c>
      <c r="AO36" s="366" t="inlineStr">
        <is>
          <t>A</t>
        </is>
      </c>
      <c r="AP36" s="350" t="inlineStr">
        <is>
          <t>住西村，危险点第一距离，第二孩子到时候白云培文重点班住宿，存在可能周六有课的情况加餐，但是满意度挺高孩子和家长</t>
        </is>
      </c>
      <c r="AQ36" s="366" t="inlineStr">
        <is>
          <t>是</t>
        </is>
      </c>
      <c r="AR36" s="359" t="n"/>
      <c r="AS36" s="281">
        <f>COUNTIFS(H36,"零期",I36,"在读")+COUNTIFS(L36,"零期",M36,"在读")+COUNTIFS(P36,"零期",Q36,"在读")</f>
        <v/>
      </c>
      <c r="AT36" s="281">
        <f>AS36-AX36</f>
        <v/>
      </c>
      <c r="AU36" s="366">
        <f>VLOOKUP(B36,'UV台帐'!B:AL,19,0)</f>
        <v/>
      </c>
      <c r="AV36" s="366">
        <f>VLOOKUP(B36,'UV台帐'!B:AL,28,0)</f>
        <v/>
      </c>
      <c r="AW36" s="366">
        <f>VLOOKUP(B36,'UV台帐'!B:AL,37,0)</f>
        <v/>
      </c>
      <c r="AX36" s="281">
        <f>COUNTIFS(H36,"零期",AU36,"是")+COUNTIFS(L36,"零期",AV36,"是")+COUNTIFS(P36,"零期",AW36,"是")</f>
        <v/>
      </c>
      <c r="AZ36" s="350" t="inlineStr">
        <is>
          <t>①分班不知道A/B；A周六要补课：②距离问题。不是启能班，可以考虑周日</t>
        </is>
      </c>
      <c r="BA36" s="359" t="n"/>
    </row>
    <row r="37" ht="30" customFormat="1" customHeight="1" s="366">
      <c r="A37" s="281" t="inlineStr">
        <is>
          <t>新宝利</t>
        </is>
      </c>
      <c r="B37" s="281"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81" t="n"/>
      <c r="S37" s="281" t="inlineStr">
        <is>
          <t>是</t>
        </is>
      </c>
      <c r="T37" s="281" t="inlineStr">
        <is>
          <t>是</t>
        </is>
      </c>
      <c r="W37" s="281" t="n"/>
      <c r="X37" s="281" t="n"/>
      <c r="Y37" s="281" t="n"/>
      <c r="Z37" s="281" t="n"/>
      <c r="AA37" s="73" t="inlineStr">
        <is>
          <t>肖锐03</t>
        </is>
      </c>
      <c r="AB37" s="281" t="inlineStr">
        <is>
          <t>是</t>
        </is>
      </c>
      <c r="AC37" s="159" t="inlineStr">
        <is>
          <t>已转化</t>
        </is>
      </c>
      <c r="AD37" s="315" t="inlineStr">
        <is>
          <t>是</t>
        </is>
      </c>
      <c r="AE37" s="281" t="inlineStr">
        <is>
          <t>林志豪01</t>
        </is>
      </c>
      <c r="AF37" s="281">
        <f>VLOOKUP(B37,'UV台帐'!B:G,6,0)</f>
        <v/>
      </c>
      <c r="AG37" s="281" t="n"/>
      <c r="AH37" s="281" t="inlineStr">
        <is>
          <t>是</t>
        </is>
      </c>
      <c r="AI37" s="281" t="n"/>
      <c r="AJ37" s="426" t="inlineStr">
        <is>
          <t>不打了，已转化了三科</t>
        </is>
      </c>
      <c r="AK37" s="426" t="inlineStr">
        <is>
          <t>不打了，已转化了三科</t>
        </is>
      </c>
      <c r="AL37" s="366" t="n"/>
      <c r="AM37" s="366" t="n"/>
      <c r="AN37" s="366" t="n"/>
      <c r="AO37" s="366" t="n"/>
      <c r="AP37" s="350" t="inlineStr">
        <is>
          <t>不打了，已转化了三科</t>
        </is>
      </c>
      <c r="AQ37" s="366" t="inlineStr">
        <is>
          <t>是</t>
        </is>
      </c>
      <c r="AR37" s="359" t="n"/>
      <c r="AS37" s="281">
        <f>COUNTIFS(H37,"零期",I37,"在读")+COUNTIFS(L37,"零期",M37,"在读")+COUNTIFS(P37,"零期",Q37,"在读")</f>
        <v/>
      </c>
      <c r="AT37" s="281">
        <f>AS37-AX37</f>
        <v/>
      </c>
      <c r="AU37" s="366">
        <f>VLOOKUP(B37,'UV台帐'!B:AL,19,0)</f>
        <v/>
      </c>
      <c r="AV37" s="366">
        <f>VLOOKUP(B37,'UV台帐'!B:AL,28,0)</f>
        <v/>
      </c>
      <c r="AW37" s="366">
        <f>VLOOKUP(B37,'UV台帐'!B:AL,37,0)</f>
        <v/>
      </c>
      <c r="AX37" s="281">
        <f>COUNTIFS(H37,"零期",AU37,"是")+COUNTIFS(L37,"零期",AV37,"是")+COUNTIFS(P37,"零期",AW37,"是")</f>
        <v/>
      </c>
      <c r="AZ37" s="350" t="inlineStr">
        <is>
          <t>已转化</t>
        </is>
      </c>
      <c r="BA37" s="359" t="n"/>
    </row>
    <row r="38" ht="30" customFormat="1" customHeight="1" s="366">
      <c r="A38" s="281" t="inlineStr">
        <is>
          <t>新宝利</t>
        </is>
      </c>
      <c r="B38" s="281"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inlineStr">
        <is>
          <t>否</t>
        </is>
      </c>
      <c r="T38" s="281" t="inlineStr">
        <is>
          <t>否</t>
        </is>
      </c>
      <c r="W38" s="281" t="n"/>
      <c r="X38" s="281" t="n"/>
      <c r="Y38" s="281" t="n"/>
      <c r="Z38" s="281" t="n"/>
      <c r="AA38" s="81" t="inlineStr">
        <is>
          <t>黄铭怡</t>
        </is>
      </c>
      <c r="AB38" s="281" t="inlineStr">
        <is>
          <t>不确定</t>
        </is>
      </c>
      <c r="AC38" s="281" t="n"/>
      <c r="AD38" s="281" t="inlineStr">
        <is>
          <t>否</t>
        </is>
      </c>
      <c r="AE38" s="281" t="inlineStr">
        <is>
          <t>杨林33</t>
        </is>
      </c>
      <c r="AF38" s="281">
        <f>VLOOKUP(B38,'UV台帐'!B:G,6,0)</f>
        <v/>
      </c>
      <c r="AG38" s="281" t="inlineStr">
        <is>
          <t>荔广实验</t>
        </is>
      </c>
      <c r="AH38" s="281" t="inlineStr">
        <is>
          <t>是</t>
        </is>
      </c>
      <c r="AI38" s="281" t="inlineStr">
        <is>
          <t>7.10日毕业典礼，语文会冲突，需要调</t>
        </is>
      </c>
      <c r="AJ38" s="426" t="inlineStr">
        <is>
          <t>孩子反馈都喜欢，妈妈选择民办省事，无长期学习的意愿度，家长不愿意过多聊，沟通了9分钟，初一不打算补课。</t>
        </is>
      </c>
      <c r="AK38" s="426" t="inlineStr">
        <is>
          <t>孩子反馈都喜欢，妈妈选择民办省事，无长期学习的意愿度，家长不愿意过多聊，沟通了9分钟，初一不打算补课。</t>
        </is>
      </c>
      <c r="AL38" s="366" t="inlineStr">
        <is>
          <t>B</t>
        </is>
      </c>
      <c r="AM38" s="366" t="inlineStr">
        <is>
          <t>B</t>
        </is>
      </c>
      <c r="AN38" s="366" t="inlineStr">
        <is>
          <t>B</t>
        </is>
      </c>
      <c r="AO38" s="366" t="inlineStr">
        <is>
          <t>B</t>
        </is>
      </c>
      <c r="AP38" s="350" t="inlineStr">
        <is>
          <t>卡点在于妈妈的补习认知，觉得把孩子丢在民办，学校老师就能解决大部分学习问题，而且初一内容简单，孩子不需要额外的补习</t>
        </is>
      </c>
      <c r="AQ38" s="366" t="inlineStr">
        <is>
          <t>是</t>
        </is>
      </c>
      <c r="AR38" s="359" t="n"/>
      <c r="AS38" s="281">
        <f>COUNTIFS(H38,"零期",I38,"在读")+COUNTIFS(L38,"零期",M38,"在读")+COUNTIFS(P38,"零期",Q38,"在读")</f>
        <v/>
      </c>
      <c r="AT38" s="281">
        <f>AS38-AX38</f>
        <v/>
      </c>
      <c r="AU38" s="366">
        <f>VLOOKUP(B38,'UV台帐'!B:AL,19,0)</f>
        <v/>
      </c>
      <c r="AV38" s="366">
        <f>VLOOKUP(B38,'UV台帐'!B:AL,28,0)</f>
        <v/>
      </c>
      <c r="AW38" s="366">
        <f>VLOOKUP(B38,'UV台帐'!B:AL,37,0)</f>
        <v/>
      </c>
      <c r="AX38" s="281">
        <f>COUNTIFS(H38,"零期",AU38,"是")+COUNTIFS(L38,"零期",AV38,"是")+COUNTIFS(P38,"零期",AW38,"是")</f>
        <v/>
      </c>
      <c r="AZ38" s="350" t="n"/>
      <c r="BA38" s="359" t="n"/>
    </row>
    <row r="39" ht="30" customFormat="1" customHeight="1" s="366">
      <c r="A39" s="281" t="inlineStr">
        <is>
          <t>同创汇</t>
        </is>
      </c>
      <c r="B39" s="281"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inlineStr">
        <is>
          <t>是</t>
        </is>
      </c>
      <c r="T39" s="281" t="inlineStr">
        <is>
          <t>是</t>
        </is>
      </c>
      <c r="W39" s="281" t="inlineStr">
        <is>
          <t>高心怡04</t>
        </is>
      </c>
      <c r="X39" s="281" t="n"/>
      <c r="Y39" s="281" t="n"/>
      <c r="Z39" s="281" t="n"/>
      <c r="AA39" s="73" t="inlineStr">
        <is>
          <t>高心怡04</t>
        </is>
      </c>
      <c r="AB39" s="281" t="inlineStr">
        <is>
          <t>是</t>
        </is>
      </c>
      <c r="AC39" s="86" t="inlineStr">
        <is>
          <t>林志豪</t>
        </is>
      </c>
      <c r="AD39" s="315" t="inlineStr">
        <is>
          <t>是</t>
        </is>
      </c>
      <c r="AE39" s="281" t="inlineStr">
        <is>
          <t>林志豪01</t>
        </is>
      </c>
      <c r="AF39" s="281">
        <f>VLOOKUP(B39,'UV台帐'!B:G,6,0)</f>
        <v/>
      </c>
      <c r="AG39" s="281" t="inlineStr">
        <is>
          <t>97中</t>
        </is>
      </c>
      <c r="AH39" s="281" t="inlineStr">
        <is>
          <t>是</t>
        </is>
      </c>
      <c r="AI39" s="281" t="n"/>
      <c r="AJ39" s="426" t="inlineStr">
        <is>
          <t>目前觉得三个老师都不错的，秋季续报了数学，其他科目看情况，孩子最薄弱数学，语文英语还行且经济有一定压力，孩子偏内向慢热，希望老师多多关注鼓励表扬融入课堂中</t>
        </is>
      </c>
      <c r="AK39" s="426" t="inlineStr">
        <is>
          <t>目前觉得三个老师都不错的，秋季续报了数学，其他科目看情况，孩子最薄弱数学，语文英语还行且经济有一定压力，孩子偏内向慢热，希望老师多多关注鼓励表扬融入课堂中</t>
        </is>
      </c>
      <c r="AL39" s="366" t="inlineStr">
        <is>
          <t>S</t>
        </is>
      </c>
      <c r="AM39" s="366" t="inlineStr">
        <is>
          <t>S</t>
        </is>
      </c>
      <c r="AN39" s="366" t="inlineStr">
        <is>
          <t>A</t>
        </is>
      </c>
      <c r="AO39" s="366" t="inlineStr">
        <is>
          <t>B</t>
        </is>
      </c>
      <c r="AP39" s="350" t="inlineStr">
        <is>
          <t>秋季续报了数学，满意度高三科老师，所以有转化可能，但实际家长经济客观因素比较有难度，需要有很好的规划</t>
        </is>
      </c>
      <c r="AQ39" s="366" t="inlineStr">
        <is>
          <t>是</t>
        </is>
      </c>
      <c r="AR39" s="359" t="n"/>
      <c r="AS39" s="281">
        <f>COUNTIFS(H39,"零期",I39,"在读")+COUNTIFS(L39,"零期",M39,"在读")+COUNTIFS(P39,"零期",Q39,"在读")</f>
        <v/>
      </c>
      <c r="AT39" s="281">
        <f>AS39-AX39</f>
        <v/>
      </c>
      <c r="AU39" s="366">
        <f>VLOOKUP(B39,'UV台帐'!B:AL,19,0)</f>
        <v/>
      </c>
      <c r="AV39" s="366">
        <f>VLOOKUP(B39,'UV台帐'!B:AL,28,0)</f>
        <v/>
      </c>
      <c r="AW39" s="366">
        <f>VLOOKUP(B39,'UV台帐'!B:AL,37,0)</f>
        <v/>
      </c>
      <c r="AX39" s="281">
        <f>COUNTIFS(H39,"零期",AU39,"是")+COUNTIFS(L39,"零期",AV39,"是")+COUNTIFS(P39,"零期",AW39,"是")</f>
        <v/>
      </c>
      <c r="AZ39" s="381" t="inlineStr">
        <is>
          <t>排课问题。家长表示没办法那么早到，目前数学已报名科目还得要沟通新宝利，大概率语文+数学</t>
        </is>
      </c>
      <c r="BA39" s="359" t="n"/>
    </row>
    <row r="40" ht="30" customFormat="1" customHeight="1" s="366">
      <c r="A40" s="281" t="inlineStr">
        <is>
          <t>同创汇</t>
        </is>
      </c>
      <c r="B40" s="281"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n"/>
      <c r="S40" s="281" t="inlineStr">
        <is>
          <t>否</t>
        </is>
      </c>
      <c r="T40" s="281" t="inlineStr">
        <is>
          <t>否</t>
        </is>
      </c>
      <c r="W40" s="281" t="n"/>
      <c r="X40" s="281" t="n"/>
      <c r="Y40" s="281" t="n"/>
      <c r="Z40" s="281" t="n"/>
      <c r="AA40" s="73" t="inlineStr">
        <is>
          <t>田雨涵01</t>
        </is>
      </c>
      <c r="AB40" s="532" t="inlineStr">
        <is>
          <t>否</t>
        </is>
      </c>
      <c r="AC40" s="315" t="n"/>
      <c r="AD40" s="315" t="inlineStr">
        <is>
          <t>否</t>
        </is>
      </c>
      <c r="AE40" s="281" t="inlineStr">
        <is>
          <t>王丽</t>
        </is>
      </c>
      <c r="AF40" s="281">
        <f>VLOOKUP(B40,'UV台帐'!B:G,6,0)</f>
        <v/>
      </c>
      <c r="AG40" s="281" t="n"/>
      <c r="AH40" s="281" t="inlineStr">
        <is>
          <t>是</t>
        </is>
      </c>
      <c r="AI40" s="281" t="inlineStr">
        <is>
          <t>1号 2号 10号学校有事，也和家长提了开回放（第三、第四、第十讲）</t>
        </is>
      </c>
      <c r="AJ40" s="426" t="inlineStr">
        <is>
          <t>孩子妈妈这周不在广州，孩子上课和老师的互动比较少，不太愿意跟老师交流，妈妈说回去也会跟孩子沟通下，希望后面可以有所改善，后续主要看孩子愿不愿意学</t>
        </is>
      </c>
      <c r="AK40" s="426" t="inlineStr">
        <is>
          <t>孩子妈妈这周不在广州，孩子上课和老师的互动比较少，不太愿意跟老师交流，妈妈说回去也会跟孩子沟通下，希望后面可以有所改善，后续主要看孩子愿不愿意学</t>
        </is>
      </c>
      <c r="AL40" s="366" t="inlineStr">
        <is>
          <t>C</t>
        </is>
      </c>
      <c r="AM40" s="366" t="inlineStr">
        <is>
          <t>C</t>
        </is>
      </c>
      <c r="AN40" s="366" t="n"/>
      <c r="AO40" s="366" t="n"/>
      <c r="AP40" s="350" t="inlineStr">
        <is>
          <t>吸收的可以，孩子很内向，沟通很费劲，课前测都不给老师</t>
        </is>
      </c>
      <c r="AR40" s="359" t="n"/>
      <c r="AS40" s="281">
        <f>COUNTIFS(H40,"零期",I40,"在读")+COUNTIFS(L40,"零期",M40,"在读")+COUNTIFS(P40,"零期",Q40,"在读")</f>
        <v/>
      </c>
      <c r="AT40" s="281">
        <f>AS40-AX40</f>
        <v/>
      </c>
      <c r="AU40" s="366">
        <f>VLOOKUP(B40,'UV台帐'!B:AL,19,0)</f>
        <v/>
      </c>
      <c r="AV40" s="366">
        <f>VLOOKUP(B40,'UV台帐'!B:AL,28,0)</f>
        <v/>
      </c>
      <c r="AW40" s="366">
        <f>VLOOKUP(B40,'UV台帐'!B:AL,37,0)</f>
        <v/>
      </c>
      <c r="AX40" s="281">
        <f>COUNTIFS(H40,"零期",AU40,"是")+COUNTIFS(L40,"零期",AV40,"是")+COUNTIFS(P40,"零期",AW40,"是")</f>
        <v/>
      </c>
      <c r="AZ40" s="350" t="inlineStr">
        <is>
          <t>没有机会面对面沟通；课堂完全不沟通。孩子非常不自信，爸爸也不愿意沟通。</t>
        </is>
      </c>
      <c r="BA40" s="359" t="n"/>
    </row>
    <row r="41" ht="30" customFormat="1" customHeight="1" s="366">
      <c r="A41" s="281" t="inlineStr">
        <is>
          <t>新宝利</t>
        </is>
      </c>
      <c r="B41" s="281"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81" t="n"/>
      <c r="S41" s="281" t="inlineStr">
        <is>
          <t>是</t>
        </is>
      </c>
      <c r="T41" s="281" t="inlineStr">
        <is>
          <t>是</t>
        </is>
      </c>
      <c r="U41" s="366" t="inlineStr">
        <is>
          <t>黄铭怡</t>
        </is>
      </c>
      <c r="W41" s="281" t="inlineStr">
        <is>
          <t>刘希子</t>
        </is>
      </c>
      <c r="X41" s="281" t="n"/>
      <c r="Y41" s="281" t="n"/>
      <c r="Z41" s="281" t="n"/>
      <c r="AA41" s="73" t="inlineStr">
        <is>
          <t>陈中帅</t>
        </is>
      </c>
      <c r="AB41" s="281" t="inlineStr">
        <is>
          <t>不确定</t>
        </is>
      </c>
      <c r="AC41" s="315" t="n"/>
      <c r="AD41" s="315" t="inlineStr">
        <is>
          <t>否</t>
        </is>
      </c>
      <c r="AE41" s="281" t="inlineStr">
        <is>
          <t>沈思浩</t>
        </is>
      </c>
      <c r="AF41" s="281">
        <f>VLOOKUP(B41,'UV台帐'!B:G,6,0)</f>
        <v/>
      </c>
      <c r="AG41" s="281" t="inlineStr">
        <is>
          <t>石榴妹</t>
        </is>
      </c>
      <c r="AH41" s="281" t="inlineStr">
        <is>
          <t>是</t>
        </is>
      </c>
      <c r="AI41" s="281" t="inlineStr">
        <is>
          <t>需要调整上课时间</t>
        </is>
      </c>
      <c r="AJ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6" t="inlineStr">
        <is>
          <t>A</t>
        </is>
      </c>
      <c r="AM41" s="366" t="inlineStr">
        <is>
          <t>A</t>
        </is>
      </c>
      <c r="AN41" s="366" t="inlineStr">
        <is>
          <t>A</t>
        </is>
      </c>
      <c r="AO41" s="366" t="inlineStr">
        <is>
          <t>A</t>
        </is>
      </c>
      <c r="AP41" s="54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9" t="n"/>
      <c r="AS41" s="281">
        <f>COUNTIFS(H41,"零期",I41,"在读")+COUNTIFS(L41,"零期",M41,"在读")+COUNTIFS(P41,"零期",Q41,"在读")</f>
        <v/>
      </c>
      <c r="AT41" s="281">
        <f>AS41-AX41</f>
        <v/>
      </c>
      <c r="AU41" s="366">
        <f>VLOOKUP(B41,'UV台帐'!B:AL,19,0)</f>
        <v/>
      </c>
      <c r="AV41" s="366">
        <f>VLOOKUP(B41,'UV台帐'!B:AL,28,0)</f>
        <v/>
      </c>
      <c r="AW41" s="366">
        <f>VLOOKUP(B41,'UV台帐'!B:AL,37,0)</f>
        <v/>
      </c>
      <c r="AX41" s="281">
        <f>COUNTIFS(H41,"零期",AU41,"是")+COUNTIFS(L41,"零期",AV41,"是")+COUNTIFS(P41,"零期",AW41,"是")</f>
        <v/>
      </c>
      <c r="AZ41" s="350" t="n"/>
      <c r="BA41" s="359" t="n"/>
    </row>
    <row r="42" ht="30" customFormat="1" customHeight="1" s="366">
      <c r="A42" s="281" t="inlineStr">
        <is>
          <t>同创汇</t>
        </is>
      </c>
      <c r="B42" s="281"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n"/>
      <c r="S42" s="281" t="inlineStr">
        <is>
          <t>是</t>
        </is>
      </c>
      <c r="T42" s="281" t="inlineStr">
        <is>
          <t>是</t>
        </is>
      </c>
      <c r="W42" s="281" t="n"/>
      <c r="X42" s="281" t="n"/>
      <c r="Y42" s="281" t="inlineStr">
        <is>
          <t>高心怡04</t>
        </is>
      </c>
      <c r="Z42" s="281" t="n"/>
      <c r="AA42" s="73" t="inlineStr">
        <is>
          <t>高心怡04</t>
        </is>
      </c>
      <c r="AB42" s="281" t="inlineStr">
        <is>
          <t>是</t>
        </is>
      </c>
      <c r="AC42" s="315" t="inlineStr">
        <is>
          <t>朱悦涵</t>
        </is>
      </c>
      <c r="AD42" s="315" t="inlineStr">
        <is>
          <t>是</t>
        </is>
      </c>
      <c r="AE42" s="281" t="inlineStr">
        <is>
          <t>王丽</t>
        </is>
      </c>
      <c r="AF42" s="281">
        <f>VLOOKUP(B42,'UV台帐'!B:G,6,0)</f>
        <v/>
      </c>
      <c r="AG42" s="281" t="n"/>
      <c r="AH42" s="281" t="inlineStr">
        <is>
          <t>是</t>
        </is>
      </c>
      <c r="AI42" s="281" t="inlineStr">
        <is>
          <t>没问题</t>
        </is>
      </c>
      <c r="AJ42" s="426" t="inlineStr">
        <is>
          <t>今天下午回学校，语文英语都请假了</t>
        </is>
      </c>
      <c r="AK42" s="426" t="inlineStr">
        <is>
          <t>今天下午回学校，语文英语都请假了</t>
        </is>
      </c>
      <c r="AL42" s="366" t="inlineStr">
        <is>
          <t>A</t>
        </is>
      </c>
      <c r="AM42" s="366" t="n"/>
      <c r="AN42" s="366" t="inlineStr">
        <is>
          <t>A</t>
        </is>
      </c>
      <c r="AO42" s="366" t="n"/>
      <c r="AP42" s="350" t="inlineStr">
        <is>
          <t>和孩子熟悉度有增加，之前有问过秋季的安排</t>
        </is>
      </c>
      <c r="AR42" s="359" t="n"/>
      <c r="AS42" s="281">
        <f>COUNTIFS(H42,"零期",I42,"在读")+COUNTIFS(L42,"零期",M42,"在读")+COUNTIFS(P42,"零期",Q42,"在读")</f>
        <v/>
      </c>
      <c r="AT42" s="281">
        <f>AS42-AX42</f>
        <v/>
      </c>
      <c r="AU42" s="366">
        <f>VLOOKUP(B42,'UV台帐'!B:AL,19,0)</f>
        <v/>
      </c>
      <c r="AV42" s="366">
        <f>VLOOKUP(B42,'UV台帐'!B:AL,28,0)</f>
        <v/>
      </c>
      <c r="AW42" s="366">
        <f>VLOOKUP(B42,'UV台帐'!B:AL,37,0)</f>
        <v/>
      </c>
      <c r="AX42" s="281">
        <f>COUNTIFS(H42,"零期",AU42,"是")+COUNTIFS(L42,"零期",AV42,"是")+COUNTIFS(P42,"零期",AW42,"是")</f>
        <v/>
      </c>
      <c r="AZ42" s="350" t="inlineStr">
        <is>
          <t>说和孩子最近没有怎么聊语文学习的情况，今天也没有见到老师本人，要回家和孩子商量，后面再线上和l老师沟通。</t>
        </is>
      </c>
      <c r="BA42" s="359" t="n"/>
    </row>
    <row r="43" ht="30" customFormat="1" customHeight="1" s="366">
      <c r="A43" s="281" t="inlineStr">
        <is>
          <t>新宝利</t>
        </is>
      </c>
      <c r="B43" s="281"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inlineStr">
        <is>
          <t>是</t>
        </is>
      </c>
      <c r="T43" s="281" t="inlineStr">
        <is>
          <t>是</t>
        </is>
      </c>
      <c r="W43" s="281" t="inlineStr">
        <is>
          <t>田雨涵01</t>
        </is>
      </c>
      <c r="X43" s="281" t="n"/>
      <c r="Y43" s="119" t="inlineStr">
        <is>
          <t>李润</t>
        </is>
      </c>
      <c r="Z43" s="119" t="n"/>
      <c r="AA43" s="73" t="inlineStr">
        <is>
          <t>田雨涵01</t>
        </is>
      </c>
      <c r="AB43" s="281" t="inlineStr">
        <is>
          <t>是</t>
        </is>
      </c>
      <c r="AC43" s="158" t="inlineStr">
        <is>
          <t>刘晨</t>
        </is>
      </c>
      <c r="AD43" s="315" t="inlineStr">
        <is>
          <t>是</t>
        </is>
      </c>
      <c r="AE43" s="281" t="inlineStr">
        <is>
          <t>张敏烨</t>
        </is>
      </c>
      <c r="AF43" s="281">
        <f>VLOOKUP(B43,'UV台帐'!B:G,6,0)</f>
        <v/>
      </c>
      <c r="AG43" s="281" t="inlineStr">
        <is>
          <t>白云广园直升</t>
        </is>
      </c>
      <c r="AH43" s="281" t="inlineStr">
        <is>
          <t>是</t>
        </is>
      </c>
      <c r="AI43" s="281" t="inlineStr">
        <is>
          <t>拒接，已留言</t>
        </is>
      </c>
      <c r="AJ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6" t="inlineStr">
        <is>
          <t>A</t>
        </is>
      </c>
      <c r="AM43" s="366" t="inlineStr">
        <is>
          <t>C</t>
        </is>
      </c>
      <c r="AN43" s="366" t="inlineStr">
        <is>
          <t>A</t>
        </is>
      </c>
      <c r="AO43" s="366" t="inlineStr">
        <is>
          <t>S</t>
        </is>
      </c>
      <c r="AP43" s="350" t="inlineStr">
        <is>
          <t>孩子和数学老师契合度不错，语文感受也不错，英语听课认真积极，单词背不下来，语法很弱，卡点是距离问题以及有英语在读机构，要做对比</t>
        </is>
      </c>
      <c r="AQ43" s="366" t="inlineStr">
        <is>
          <t>是</t>
        </is>
      </c>
      <c r="AR43" s="359" t="inlineStr">
        <is>
          <t>觉得价格偏贵</t>
        </is>
      </c>
      <c r="AS43" s="281">
        <f>COUNTIFS(H43,"零期",I43,"在读")+COUNTIFS(L43,"零期",M43,"在读")+COUNTIFS(P43,"零期",Q43,"在读")</f>
        <v/>
      </c>
      <c r="AT43" s="281">
        <f>AS43-AX43</f>
        <v/>
      </c>
      <c r="AU43" s="366">
        <f>VLOOKUP(B43,'UV台帐'!B:AL,19,0)</f>
        <v/>
      </c>
      <c r="AV43" s="366">
        <f>VLOOKUP(B43,'UV台帐'!B:AL,28,0)</f>
        <v/>
      </c>
      <c r="AW43" s="366">
        <f>VLOOKUP(B43,'UV台帐'!B:AL,37,0)</f>
        <v/>
      </c>
      <c r="AX43" s="281">
        <f>COUNTIFS(H43,"零期",AU43,"是")+COUNTIFS(L43,"零期",AV43,"是")+COUNTIFS(P43,"零期",AW43,"是")</f>
        <v/>
      </c>
      <c r="AZ43" s="350" t="inlineStr">
        <is>
          <t>7.5晚上电联家长说报数学，因为数学最弱，英语和语文也很喜欢但是妈妈是无业游民没钱，交钱是爸爸给钱，等爸爸出钱</t>
        </is>
      </c>
      <c r="BA43" s="359" t="n"/>
    </row>
    <row r="44" ht="30" customFormat="1" customHeight="1" s="366">
      <c r="A44" s="281" t="inlineStr">
        <is>
          <t>新宝利</t>
        </is>
      </c>
      <c r="B44" s="281"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81" t="n"/>
      <c r="S44" s="281" t="inlineStr">
        <is>
          <t>是</t>
        </is>
      </c>
      <c r="T44" s="281" t="inlineStr">
        <is>
          <t>否</t>
        </is>
      </c>
      <c r="W44" s="281" t="n"/>
      <c r="X44" s="281" t="n"/>
      <c r="Y44" s="281" t="inlineStr">
        <is>
          <t>家长不让打电话</t>
        </is>
      </c>
      <c r="Z44" s="281" t="n"/>
      <c r="AA44" s="73" t="inlineStr">
        <is>
          <t>李润</t>
        </is>
      </c>
      <c r="AB44" s="281" t="inlineStr">
        <is>
          <t>是</t>
        </is>
      </c>
      <c r="AC44" s="315" t="n"/>
      <c r="AD44" s="315" t="inlineStr">
        <is>
          <t>是</t>
        </is>
      </c>
      <c r="AE44" s="281" t="inlineStr">
        <is>
          <t>林志豪01</t>
        </is>
      </c>
      <c r="AF44" s="281">
        <f>VLOOKUP(B44,'UV台帐'!B:G,6,0)</f>
        <v/>
      </c>
      <c r="AG44" s="281" t="inlineStr">
        <is>
          <t>侨中</t>
        </is>
      </c>
      <c r="AH44" s="281" t="inlineStr">
        <is>
          <t>是</t>
        </is>
      </c>
      <c r="AI44" s="281" t="inlineStr">
        <is>
          <t>29号返校需要补课</t>
        </is>
      </c>
      <c r="AJ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6" t="inlineStr">
        <is>
          <t>A</t>
        </is>
      </c>
      <c r="AM44" s="366" t="inlineStr">
        <is>
          <t>A</t>
        </is>
      </c>
      <c r="AN44" s="366" t="inlineStr">
        <is>
          <t>B</t>
        </is>
      </c>
      <c r="AO44" s="366" t="inlineStr">
        <is>
          <t>S</t>
        </is>
      </c>
      <c r="AP44"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9" t="n"/>
      <c r="AS44" s="281">
        <f>COUNTIFS(H44,"零期",I44,"在读")+COUNTIFS(L44,"零期",M44,"在读")+COUNTIFS(P44,"零期",Q44,"在读")</f>
        <v/>
      </c>
      <c r="AT44" s="281">
        <f>AS44-AX44</f>
        <v/>
      </c>
      <c r="AU44" s="366">
        <f>VLOOKUP(B44,'UV台帐'!B:AL,19,0)</f>
        <v/>
      </c>
      <c r="AV44" s="366">
        <f>VLOOKUP(B44,'UV台帐'!B:AL,28,0)</f>
        <v/>
      </c>
      <c r="AW44" s="366">
        <f>VLOOKUP(B44,'UV台帐'!B:AL,37,0)</f>
        <v/>
      </c>
      <c r="AX44" s="281">
        <f>COUNTIFS(H44,"零期",AU44,"是")+COUNTIFS(L44,"零期",AV44,"是")+COUNTIFS(P44,"零期",AW44,"是")</f>
        <v/>
      </c>
      <c r="AZ44" s="350" t="inlineStr">
        <is>
          <t>英语已经报过秋季，数学认可老师，商量数学，重点讲本地化</t>
        </is>
      </c>
      <c r="BA44" s="359" t="n"/>
    </row>
    <row r="45" ht="30" customFormat="1" customHeight="1" s="366">
      <c r="A45" s="281" t="inlineStr">
        <is>
          <t>同创汇</t>
        </is>
      </c>
      <c r="B45" s="281"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inlineStr">
        <is>
          <t>是</t>
        </is>
      </c>
      <c r="T45" s="281" t="inlineStr">
        <is>
          <t>是</t>
        </is>
      </c>
      <c r="U45" s="366" t="inlineStr">
        <is>
          <t>黄铭怡</t>
        </is>
      </c>
      <c r="W45" s="281" t="inlineStr">
        <is>
          <t>刘希子</t>
        </is>
      </c>
      <c r="X45" s="281" t="n"/>
      <c r="Y45" s="281" t="inlineStr">
        <is>
          <t>刘希子</t>
        </is>
      </c>
      <c r="Z45" s="281" t="n"/>
      <c r="AA45" s="73" t="inlineStr">
        <is>
          <t>刘希子</t>
        </is>
      </c>
      <c r="AB45" s="281" t="inlineStr">
        <is>
          <t>是</t>
        </is>
      </c>
      <c r="AC45" s="315" t="inlineStr">
        <is>
          <t>剑锋</t>
        </is>
      </c>
      <c r="AD45" s="315" t="inlineStr">
        <is>
          <t>是</t>
        </is>
      </c>
      <c r="AE45" s="281" t="inlineStr">
        <is>
          <t>王丽</t>
        </is>
      </c>
      <c r="AF45" s="281">
        <f>VLOOKUP(B45,'UV台帐'!B:G,6,0)</f>
        <v/>
      </c>
      <c r="AG45" s="281" t="n"/>
      <c r="AH45" s="281" t="inlineStr">
        <is>
          <t>是</t>
        </is>
      </c>
      <c r="AI45" s="281" t="inlineStr">
        <is>
          <t>没问题</t>
        </is>
      </c>
      <c r="AJ45" s="426" t="inlineStr">
        <is>
          <t>孩子感觉还行，没有特别的反馈，三科老师也都有及时沟通，没有什么问题；</t>
        </is>
      </c>
      <c r="AK45" s="426" t="inlineStr">
        <is>
          <t>孩子感觉还行，没有特别的反馈，三科老师也都有及时沟通，没有什么问题；</t>
        </is>
      </c>
      <c r="AL45" s="366" t="inlineStr">
        <is>
          <t>A</t>
        </is>
      </c>
      <c r="AM45" s="366" t="inlineStr">
        <is>
          <t>A</t>
        </is>
      </c>
      <c r="AN45" s="366" t="inlineStr">
        <is>
          <t>B</t>
        </is>
      </c>
      <c r="AO45" s="366" t="inlineStr">
        <is>
          <t>B</t>
        </is>
      </c>
      <c r="AP45" s="350" t="inlineStr">
        <is>
          <t>铭铭：家长没什么焦虑感，还没有明显薄弱的地方，成绩都挺好，家长没有过多的要求</t>
        </is>
      </c>
      <c r="AQ45" s="366" t="inlineStr">
        <is>
          <t>否</t>
        </is>
      </c>
      <c r="AR45" s="359" t="n"/>
      <c r="AS45" s="281">
        <f>COUNTIFS(H45,"零期",I45,"在读")+COUNTIFS(L45,"零期",M45,"在读")+COUNTIFS(P45,"零期",Q45,"在读")</f>
        <v/>
      </c>
      <c r="AT45" s="281">
        <f>AS45-AX45</f>
        <v/>
      </c>
      <c r="AU45" s="366">
        <f>VLOOKUP(B45,'UV台帐'!B:AL,19,0)</f>
        <v/>
      </c>
      <c r="AV45" s="366">
        <f>VLOOKUP(B45,'UV台帐'!B:AL,28,0)</f>
        <v/>
      </c>
      <c r="AW45" s="366">
        <f>VLOOKUP(B45,'UV台帐'!B:AL,37,0)</f>
        <v/>
      </c>
      <c r="AX45" s="281">
        <f>COUNTIFS(H45,"零期",AU45,"是")+COUNTIFS(L45,"零期",AV45,"是")+COUNTIFS(P45,"零期",AW45,"是")</f>
        <v/>
      </c>
      <c r="AZ45" s="5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9" t="n"/>
    </row>
    <row r="46" ht="30" customFormat="1" customHeight="1" s="366">
      <c r="A46" s="281" t="inlineStr">
        <is>
          <t>同创汇</t>
        </is>
      </c>
      <c r="B46" s="281"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81" t="n"/>
      <c r="S46" s="281" t="inlineStr">
        <is>
          <t>否</t>
        </is>
      </c>
      <c r="T46" s="281" t="inlineStr">
        <is>
          <t>否</t>
        </is>
      </c>
      <c r="W46" s="281" t="n"/>
      <c r="X46" s="281" t="n"/>
      <c r="Y46" s="281" t="inlineStr">
        <is>
          <t>李润</t>
        </is>
      </c>
      <c r="Z46" s="281" t="n"/>
      <c r="AA46" s="73" t="inlineStr">
        <is>
          <t>李润</t>
        </is>
      </c>
      <c r="AB46" s="281" t="inlineStr">
        <is>
          <t>是</t>
        </is>
      </c>
      <c r="AC46" s="315" t="inlineStr">
        <is>
          <t>戎凯</t>
        </is>
      </c>
      <c r="AD46" s="315" t="inlineStr">
        <is>
          <t>是</t>
        </is>
      </c>
      <c r="AE46" s="281" t="inlineStr">
        <is>
          <t>戎凯01</t>
        </is>
      </c>
      <c r="AF46" s="281">
        <f>VLOOKUP(B46,'UV台帐'!B:G,6,0)</f>
        <v/>
      </c>
      <c r="AG46" s="281" t="n"/>
      <c r="AH46" s="281" t="inlineStr">
        <is>
          <t>是</t>
        </is>
      </c>
      <c r="AI46" s="281" t="inlineStr">
        <is>
          <t>可正常来上课</t>
        </is>
      </c>
      <c r="AJ46" s="426" t="inlineStr">
        <is>
          <t>妈妈担心我们换师频繁不稳定，认为三科学习还是有必要的，在看一下物理的学科，发上课时间和价格</t>
        </is>
      </c>
      <c r="AK46" s="426" t="inlineStr">
        <is>
          <t>妈妈担心我们换师频繁不稳定，认为三科学习还是有必要的，在看一下物理的学科，发上课时间和价格</t>
        </is>
      </c>
      <c r="AL46" s="366" t="inlineStr">
        <is>
          <t>S</t>
        </is>
      </c>
      <c r="AM46" s="366" t="n"/>
      <c r="AN46" s="366" t="n"/>
      <c r="AO46" s="366" t="n"/>
      <c r="AP46" s="350" t="n"/>
      <c r="AR46" s="359" t="n"/>
      <c r="AS46" s="281">
        <f>COUNTIFS(H46,"零期",I46,"在读")+COUNTIFS(L46,"零期",M46,"在读")+COUNTIFS(P46,"零期",Q46,"在读")</f>
        <v/>
      </c>
      <c r="AT46" s="281">
        <f>AS46-AX46</f>
        <v/>
      </c>
      <c r="AU46" s="366">
        <f>VLOOKUP(B46,'UV台帐'!B:AL,19,0)</f>
        <v/>
      </c>
      <c r="AV46" s="366">
        <f>VLOOKUP(B46,'UV台帐'!B:AL,28,0)</f>
        <v/>
      </c>
      <c r="AW46" s="366">
        <f>VLOOKUP(B46,'UV台帐'!B:AL,37,0)</f>
        <v/>
      </c>
      <c r="AX46" s="281">
        <f>COUNTIFS(H46,"零期",AU46,"是")+COUNTIFS(L46,"零期",AV46,"是")+COUNTIFS(P46,"零期",AW46,"是")</f>
        <v/>
      </c>
      <c r="AZ46" s="350" t="inlineStr">
        <is>
          <t>英语还没上课，语文看米诺报了陈南，在纠结要不要一起报名，需要明天跟进</t>
        </is>
      </c>
      <c r="BA46" s="359" t="n"/>
    </row>
    <row r="47" ht="30" customFormat="1" customHeight="1" s="366">
      <c r="A47" s="281" t="inlineStr">
        <is>
          <t>新宝利</t>
        </is>
      </c>
      <c r="B47" s="281"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n"/>
      <c r="S47" s="281" t="inlineStr">
        <is>
          <t>是</t>
        </is>
      </c>
      <c r="T47" s="281" t="inlineStr">
        <is>
          <t>否</t>
        </is>
      </c>
      <c r="W47" s="281" t="n"/>
      <c r="X47" s="281" t="n"/>
      <c r="AA47" s="73" t="inlineStr">
        <is>
          <t>黄铭怡</t>
        </is>
      </c>
      <c r="AB47" s="281" t="inlineStr">
        <is>
          <t>是</t>
        </is>
      </c>
      <c r="AC47" s="156" t="inlineStr">
        <is>
          <t>苏丽婷</t>
        </is>
      </c>
      <c r="AD47" s="315" t="inlineStr">
        <is>
          <t>是</t>
        </is>
      </c>
      <c r="AE47" s="281" t="inlineStr">
        <is>
          <t>苏丽婷</t>
        </is>
      </c>
      <c r="AF47" s="281">
        <f>VLOOKUP(B47,'UV台帐'!B:G,6,0)</f>
        <v/>
      </c>
      <c r="AG47" s="281" t="n"/>
      <c r="AH47" s="281" t="inlineStr">
        <is>
          <t>是</t>
        </is>
      </c>
      <c r="AI47" s="281" t="inlineStr">
        <is>
          <t>29和1号上午回校，下午其他机构有课。来不了</t>
        </is>
      </c>
      <c r="AJ47" s="426" t="inlineStr">
        <is>
          <t>第一和第三节课请假，孩子妈妈说还没找孩子了解上课情况，班群的内容反馈还没看，数学在进阶学，学得比较超前，英语考了剑桥，觉得我们内容简单，秋季转化异议点有：家长在意教学师资和效果</t>
        </is>
      </c>
      <c r="AK47" s="426" t="inlineStr">
        <is>
          <t>第一和第三节课请假，孩子妈妈说还没找孩子了解上课情况，班群的内容反馈还没看，数学在进阶学，学得比较超前，英语考了剑桥，觉得我们内容简单，秋季转化异议点有：家长在意教学师资和效果</t>
        </is>
      </c>
      <c r="AL47" s="366" t="inlineStr">
        <is>
          <t>B</t>
        </is>
      </c>
      <c r="AM47" s="366" t="n"/>
      <c r="AN47" s="366" t="inlineStr">
        <is>
          <t>B</t>
        </is>
      </c>
      <c r="AO47" s="366" t="n"/>
      <c r="AP47" s="350" t="inlineStr">
        <is>
          <t>家长沟通平淡，暂时没有产生粘性，孩子上课状态腼腆，互动少</t>
        </is>
      </c>
      <c r="AQ47" s="366" t="inlineStr">
        <is>
          <t>是</t>
        </is>
      </c>
      <c r="AR47" s="359" t="n"/>
      <c r="AS47" s="281">
        <f>COUNTIFS(H47,"零期",I47,"在读")+COUNTIFS(L47,"零期",M47,"在读")+COUNTIFS(P47,"零期",Q47,"在读")</f>
        <v/>
      </c>
      <c r="AT47" s="281">
        <f>AS47-AX47</f>
        <v/>
      </c>
      <c r="AU47" s="366">
        <f>VLOOKUP(B47,'UV台帐'!B:AL,19,0)</f>
        <v/>
      </c>
      <c r="AV47" s="366">
        <f>VLOOKUP(B47,'UV台帐'!B:AL,28,0)</f>
        <v/>
      </c>
      <c r="AW47" s="366">
        <f>VLOOKUP(B47,'UV台帐'!B:AL,37,0)</f>
        <v/>
      </c>
      <c r="AX47" s="281">
        <f>COUNTIFS(H47,"零期",AU47,"是")+COUNTIFS(L47,"零期",AV47,"是")+COUNTIFS(P47,"零期",AW47,"是")</f>
        <v/>
      </c>
      <c r="AZ47" s="350" t="inlineStr">
        <is>
          <t>7号给答复，考虑语文，扩数学</t>
        </is>
      </c>
      <c r="BA47" s="359" t="n"/>
    </row>
    <row r="48" ht="30" customFormat="1" customHeight="1" s="366">
      <c r="A48" s="281" t="inlineStr">
        <is>
          <t>同创汇</t>
        </is>
      </c>
      <c r="B48" s="281"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81" t="n"/>
      <c r="S48" s="281" t="inlineStr">
        <is>
          <t>是</t>
        </is>
      </c>
      <c r="T48" s="281" t="inlineStr">
        <is>
          <t>是</t>
        </is>
      </c>
      <c r="W48" s="281" t="inlineStr">
        <is>
          <t>陈中帅,高心怡04</t>
        </is>
      </c>
      <c r="X48" s="281" t="n"/>
      <c r="Y48" s="119" t="inlineStr">
        <is>
          <t>李润</t>
        </is>
      </c>
      <c r="Z48" s="119" t="n"/>
      <c r="AA48" s="73" t="inlineStr">
        <is>
          <t>高心怡04</t>
        </is>
      </c>
      <c r="AB48" s="281" t="inlineStr">
        <is>
          <t>是</t>
        </is>
      </c>
      <c r="AC48" s="315" t="inlineStr">
        <is>
          <t>高心怡</t>
        </is>
      </c>
      <c r="AD48" s="315" t="inlineStr">
        <is>
          <t>是</t>
        </is>
      </c>
      <c r="AE48" s="281" t="inlineStr">
        <is>
          <t>戎凯01</t>
        </is>
      </c>
      <c r="AF48" s="281">
        <f>VLOOKUP(B48,'UV台帐'!B:G,6,0)</f>
        <v/>
      </c>
      <c r="AG48" s="281" t="inlineStr">
        <is>
          <t>十三中，白六课改保底</t>
        </is>
      </c>
      <c r="AH48" s="281" t="inlineStr">
        <is>
          <t>是</t>
        </is>
      </c>
      <c r="AI48" s="281" t="inlineStr">
        <is>
          <t>可正常来上课</t>
        </is>
      </c>
      <c r="AJ48" s="426" t="inlineStr">
        <is>
          <t>妈妈有考虑三科，希望英语成为孩子的优势学科，能帮助孩子尽快在初中站稳，有更多自信；</t>
        </is>
      </c>
      <c r="AK48" s="426" t="inlineStr">
        <is>
          <t>妈妈有考虑三科，希望英语成为孩子的优势学科，能帮助孩子尽快在初中站稳，有更多自信；</t>
        </is>
      </c>
      <c r="AL48" s="366" t="inlineStr">
        <is>
          <t>B</t>
        </is>
      </c>
      <c r="AM48" s="366" t="inlineStr">
        <is>
          <t>A</t>
        </is>
      </c>
      <c r="AN48" s="366" t="inlineStr">
        <is>
          <t>B</t>
        </is>
      </c>
      <c r="AO48" s="366" t="inlineStr">
        <is>
          <t>B</t>
        </is>
      </c>
      <c r="AP48" s="350" t="inlineStr">
        <is>
          <t>课堂需要在多关注一下，激发孩子的兴趣</t>
        </is>
      </c>
      <c r="AR48" s="359" t="n"/>
      <c r="AS48" s="281">
        <f>COUNTIFS(H48,"零期",I48,"在读")+COUNTIFS(L48,"零期",M48,"在读")+COUNTIFS(P48,"零期",Q48,"在读")</f>
        <v/>
      </c>
      <c r="AT48" s="281">
        <f>AS48-AX48</f>
        <v/>
      </c>
      <c r="AU48" s="366">
        <f>VLOOKUP(B48,'UV台帐'!B:AL,19,0)</f>
        <v/>
      </c>
      <c r="AV48" s="366">
        <f>VLOOKUP(B48,'UV台帐'!B:AL,28,0)</f>
        <v/>
      </c>
      <c r="AW48" s="366">
        <f>VLOOKUP(B48,'UV台帐'!B:AL,37,0)</f>
        <v/>
      </c>
      <c r="AX48" s="281">
        <f>COUNTIFS(H48,"零期",AU48,"是")+COUNTIFS(L48,"零期",AV48,"是")+COUNTIFS(P48,"零期",AW48,"是")</f>
        <v/>
      </c>
      <c r="AZ48" s="350" t="inlineStr">
        <is>
          <t>白六今天注册，上完咱们的课还要上白六推荐的机构？对比机构</t>
        </is>
      </c>
      <c r="BA48" s="359" t="n"/>
    </row>
    <row r="49" ht="30" customFormat="1" customHeight="1" s="366">
      <c r="A49" s="281" t="inlineStr">
        <is>
          <t>新宝利</t>
        </is>
      </c>
      <c r="B49" s="281"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81" t="n"/>
      <c r="S49" s="281" t="inlineStr">
        <is>
          <t>是</t>
        </is>
      </c>
      <c r="T49" s="281" t="inlineStr">
        <is>
          <t>是</t>
        </is>
      </c>
      <c r="W49" s="281" t="n"/>
      <c r="X49" s="281" t="n"/>
      <c r="Y49" s="281" t="inlineStr">
        <is>
          <t>肖锐03</t>
        </is>
      </c>
      <c r="Z49" s="281" t="n"/>
      <c r="AA49" s="73" t="inlineStr">
        <is>
          <t>肖锐03</t>
        </is>
      </c>
      <c r="AB49" s="281" t="inlineStr">
        <is>
          <t>是</t>
        </is>
      </c>
      <c r="AC49" s="156" t="inlineStr">
        <is>
          <t>沈源</t>
        </is>
      </c>
      <c r="AD49" s="315" t="inlineStr">
        <is>
          <t>是</t>
        </is>
      </c>
      <c r="AE49" s="281" t="inlineStr">
        <is>
          <t>林志豪01</t>
        </is>
      </c>
      <c r="AF49" s="281">
        <f>VLOOKUP(B49,'UV台帐'!B:G,6,0)</f>
        <v/>
      </c>
      <c r="AG49" s="281" t="inlineStr">
        <is>
          <t>美华</t>
        </is>
      </c>
      <c r="AH49" s="281" t="inlineStr">
        <is>
          <t>是</t>
        </is>
      </c>
      <c r="AI49" s="281" t="inlineStr">
        <is>
          <t>29号返校需要补课</t>
        </is>
      </c>
      <c r="AJ49" s="426" t="inlineStr">
        <is>
          <t>孩子成绩还不错，但是这次摇号结果很心寒，预备着初一都补，但是担心孩子太累，卡点时间</t>
        </is>
      </c>
      <c r="AK49" s="426" t="inlineStr">
        <is>
          <t>孩子成绩还不错，但是这次摇号结果很心寒，预备着初一都补，但是担心孩子太累，卡点时间</t>
        </is>
      </c>
      <c r="AL49" s="366" t="inlineStr">
        <is>
          <t>A</t>
        </is>
      </c>
      <c r="AM49" s="366" t="n"/>
      <c r="AN49" s="366" t="n"/>
      <c r="AO49" s="366" t="inlineStr">
        <is>
          <t>A</t>
        </is>
      </c>
      <c r="AP49" s="350" t="inlineStr">
        <is>
          <t>孩子成绩还不错，但是这次摇号结果很心寒，预备着初一都补，但是担心孩子太累，卡点时间</t>
        </is>
      </c>
      <c r="AQ49" s="366" t="inlineStr">
        <is>
          <t>是</t>
        </is>
      </c>
      <c r="AR49" s="359" t="n"/>
      <c r="AS49" s="281">
        <f>COUNTIFS(H49,"零期",I49,"在读")+COUNTIFS(L49,"零期",M49,"在读")+COUNTIFS(P49,"零期",Q49,"在读")</f>
        <v/>
      </c>
      <c r="AT49" s="281">
        <f>AS49-AX49</f>
        <v/>
      </c>
      <c r="AU49" s="366">
        <f>VLOOKUP(B49,'UV台帐'!B:AL,19,0)</f>
        <v/>
      </c>
      <c r="AV49" s="366">
        <f>VLOOKUP(B49,'UV台帐'!B:AL,28,0)</f>
        <v/>
      </c>
      <c r="AW49" s="366">
        <f>VLOOKUP(B49,'UV台帐'!B:AL,37,0)</f>
        <v/>
      </c>
      <c r="AX49" s="281">
        <f>COUNTIFS(H49,"零期",AU49,"是")+COUNTIFS(L49,"零期",AV49,"是")+COUNTIFS(P49,"零期",AW49,"是")</f>
        <v/>
      </c>
      <c r="AZ49" s="350" t="inlineStr">
        <is>
          <t>已转</t>
        </is>
      </c>
      <c r="BA49" s="359" t="n"/>
    </row>
    <row r="50" ht="30" customFormat="1" customHeight="1" s="366">
      <c r="A50" s="281" t="inlineStr">
        <is>
          <t>新宝利</t>
        </is>
      </c>
      <c r="B50" s="281"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81" t="n"/>
      <c r="S50" s="281" t="inlineStr">
        <is>
          <t>是</t>
        </is>
      </c>
      <c r="T50" s="281" t="inlineStr">
        <is>
          <t>是</t>
        </is>
      </c>
      <c r="W50" s="281" t="inlineStr">
        <is>
          <t>田雨涵01</t>
        </is>
      </c>
      <c r="X50" s="281" t="n"/>
      <c r="Y50" s="281" t="n"/>
      <c r="Z50" s="281" t="n"/>
      <c r="AA50" s="73" t="inlineStr">
        <is>
          <t>肖锐03</t>
        </is>
      </c>
      <c r="AB50" s="339" t="inlineStr">
        <is>
          <t>是</t>
        </is>
      </c>
      <c r="AC50" s="158" t="inlineStr">
        <is>
          <t>裴剑锋</t>
        </is>
      </c>
      <c r="AD50" s="315" t="inlineStr">
        <is>
          <t>是</t>
        </is>
      </c>
      <c r="AE50" s="281" t="inlineStr">
        <is>
          <t>林志豪01</t>
        </is>
      </c>
      <c r="AF50" s="281">
        <f>VLOOKUP(B50,'UV台帐'!B:G,6,0)</f>
        <v/>
      </c>
      <c r="AG50" s="281" t="inlineStr">
        <is>
          <t>培正</t>
        </is>
      </c>
      <c r="AH50" s="281" t="inlineStr">
        <is>
          <t>是</t>
        </is>
      </c>
      <c r="AI50" s="281" t="inlineStr">
        <is>
          <t>29号返校需要补课</t>
        </is>
      </c>
      <c r="AJ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6" t="inlineStr">
        <is>
          <t>S</t>
        </is>
      </c>
      <c r="AM50" s="366" t="inlineStr">
        <is>
          <t>A</t>
        </is>
      </c>
      <c r="AN50" s="366" t="inlineStr">
        <is>
          <t>A</t>
        </is>
      </c>
      <c r="AO50" s="366" t="inlineStr">
        <is>
          <t>A</t>
        </is>
      </c>
      <c r="AP50" s="3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6" t="inlineStr">
        <is>
          <t>是</t>
        </is>
      </c>
      <c r="AR50" s="359" t="n"/>
      <c r="AS50" s="281">
        <f>COUNTIFS(H50,"零期",I50,"在读")+COUNTIFS(L50,"零期",M50,"在读")+COUNTIFS(P50,"零期",Q50,"在读")</f>
        <v/>
      </c>
      <c r="AT50" s="281">
        <f>AS50-AX50</f>
        <v/>
      </c>
      <c r="AU50" s="366">
        <f>VLOOKUP(B50,'UV台帐'!B:AL,19,0)</f>
        <v/>
      </c>
      <c r="AV50" s="366">
        <f>VLOOKUP(B50,'UV台帐'!B:AL,28,0)</f>
        <v/>
      </c>
      <c r="AW50" s="366">
        <f>VLOOKUP(B50,'UV台帐'!B:AL,37,0)</f>
        <v/>
      </c>
      <c r="AX50" s="281">
        <f>COUNTIFS(H50,"零期",AU50,"是")+COUNTIFS(L50,"零期",AV50,"是")+COUNTIFS(P50,"零期",AW50,"是")</f>
        <v/>
      </c>
      <c r="AZ50" s="3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9" t="n"/>
    </row>
    <row r="51" ht="30" customFormat="1" customHeight="1" s="366">
      <c r="A51" s="281" t="inlineStr">
        <is>
          <t>同创汇</t>
        </is>
      </c>
      <c r="B51" s="281"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n"/>
      <c r="S51" s="281" t="inlineStr">
        <is>
          <t>否</t>
        </is>
      </c>
      <c r="T51" s="281" t="inlineStr">
        <is>
          <t>否</t>
        </is>
      </c>
      <c r="W51" s="281" t="inlineStr">
        <is>
          <t>陈中帅</t>
        </is>
      </c>
      <c r="X51" s="281" t="n"/>
      <c r="Y51" s="119" t="inlineStr">
        <is>
          <t>李润</t>
        </is>
      </c>
      <c r="Z51" s="119" t="n"/>
      <c r="AA51" s="73" t="inlineStr">
        <is>
          <t>高心怡04</t>
        </is>
      </c>
      <c r="AB51" s="281" t="inlineStr">
        <is>
          <t>是</t>
        </is>
      </c>
      <c r="AC51" s="315" t="inlineStr">
        <is>
          <t>苏丽婷</t>
        </is>
      </c>
      <c r="AD51" s="315" t="inlineStr">
        <is>
          <t>是</t>
        </is>
      </c>
      <c r="AE51" s="281" t="inlineStr">
        <is>
          <t>苏丽婷</t>
        </is>
      </c>
      <c r="AF51" s="281">
        <f>VLOOKUP(B51,'UV台帐'!B:G,6,0)</f>
        <v/>
      </c>
      <c r="AG51" s="281" t="inlineStr">
        <is>
          <t>天河执信</t>
        </is>
      </c>
      <c r="AH51" s="281" t="inlineStr">
        <is>
          <t>是</t>
        </is>
      </c>
      <c r="AI51" s="28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6" t="inlineStr">
        <is>
          <t>S</t>
        </is>
      </c>
      <c r="AM51" s="366" t="inlineStr">
        <is>
          <t>S</t>
        </is>
      </c>
      <c r="AN51" s="366" t="inlineStr">
        <is>
          <t>B</t>
        </is>
      </c>
      <c r="AO51" s="366" t="inlineStr">
        <is>
          <t>B</t>
        </is>
      </c>
      <c r="AP51" s="548" t="inlineStr">
        <is>
          <t>中帅：判S，孩子主动加老师微信，妈妈这边主动推荐新生了解课程，妹妹也有计划报读升4暑假数学启航班
心怡：
1-3节请假，无印象
李润：
1-3节请假，无印象</t>
        </is>
      </c>
      <c r="AQ51" s="366" t="inlineStr">
        <is>
          <t>是</t>
        </is>
      </c>
      <c r="AR51" s="359" t="n"/>
      <c r="AS51" s="281">
        <f>COUNTIFS(H51,"零期",I51,"在读")+COUNTIFS(L51,"零期",M51,"在读")+COUNTIFS(P51,"零期",Q51,"在读")</f>
        <v/>
      </c>
      <c r="AT51" s="281">
        <f>AS51-AX51</f>
        <v/>
      </c>
      <c r="AU51" s="366">
        <f>VLOOKUP(B51,'UV台帐'!B:AL,19,0)</f>
        <v/>
      </c>
      <c r="AV51" s="366">
        <f>VLOOKUP(B51,'UV台帐'!B:AL,28,0)</f>
        <v/>
      </c>
      <c r="AW51" s="366">
        <f>VLOOKUP(B51,'UV台帐'!B:AL,37,0)</f>
        <v/>
      </c>
      <c r="AX51" s="281">
        <f>COUNTIFS(H51,"零期",AU51,"是")+COUNTIFS(L51,"零期",AV51,"是")+COUNTIFS(P51,"零期",AW51,"是")</f>
        <v/>
      </c>
      <c r="AZ51" s="350" t="inlineStr">
        <is>
          <t>确定要报数学，只有周日上午有时间，而且是启能班型</t>
        </is>
      </c>
      <c r="BA51" s="359" t="n"/>
    </row>
    <row r="52" ht="30" customFormat="1" customHeight="1" s="366">
      <c r="A52" s="281" t="inlineStr">
        <is>
          <t>同创汇</t>
        </is>
      </c>
      <c r="B52" s="281"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81" t="n"/>
      <c r="S52" s="281" t="inlineStr">
        <is>
          <t>否</t>
        </is>
      </c>
      <c r="T52" s="281" t="inlineStr">
        <is>
          <t>否</t>
        </is>
      </c>
      <c r="W52" s="281" t="n"/>
      <c r="X52" s="281" t="n"/>
      <c r="Y52" s="281" t="n"/>
      <c r="Z52" s="281" t="n"/>
      <c r="AA52" s="73" t="inlineStr">
        <is>
          <t>刘希子</t>
        </is>
      </c>
      <c r="AB52" s="281" t="inlineStr">
        <is>
          <t>否</t>
        </is>
      </c>
      <c r="AC52" s="315" t="n"/>
      <c r="AD52" s="315" t="inlineStr">
        <is>
          <t>否</t>
        </is>
      </c>
      <c r="AE52" s="281" t="inlineStr">
        <is>
          <t>戎凯01</t>
        </is>
      </c>
      <c r="AF52" s="281">
        <f>VLOOKUP(B52,'UV台帐'!B:G,6,0)</f>
        <v/>
      </c>
      <c r="AG52" s="281" t="inlineStr">
        <is>
          <t>培正</t>
        </is>
      </c>
      <c r="AH52" s="281" t="inlineStr">
        <is>
          <t>是</t>
        </is>
      </c>
      <c r="AI52" s="281" t="inlineStr">
        <is>
          <t>可正常来上课</t>
        </is>
      </c>
      <c r="AJ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6" t="inlineStr">
        <is>
          <t>A</t>
        </is>
      </c>
      <c r="AM52" s="366" t="inlineStr">
        <is>
          <t>A</t>
        </is>
      </c>
      <c r="AN52" s="366" t="inlineStr">
        <is>
          <t>B</t>
        </is>
      </c>
      <c r="AO52" s="366" t="inlineStr">
        <is>
          <t>A</t>
        </is>
      </c>
      <c r="AP52" s="350" t="inlineStr">
        <is>
          <t>中帅：孩子学习有进步；得等家长，那五讲一测报告去PUSH关单；目前对品读行不够满意</t>
        </is>
      </c>
      <c r="AR52" s="359" t="n"/>
      <c r="AS52" s="281">
        <f>COUNTIFS(H52,"零期",I52,"在读")+COUNTIFS(L52,"零期",M52,"在读")+COUNTIFS(P52,"零期",Q52,"在读")</f>
        <v/>
      </c>
      <c r="AT52" s="281">
        <f>AS52-AX52</f>
        <v/>
      </c>
      <c r="AU52" s="366">
        <f>VLOOKUP(B52,'UV台帐'!B:AL,19,0)</f>
        <v/>
      </c>
      <c r="AV52" s="366">
        <f>VLOOKUP(B52,'UV台帐'!B:AL,28,0)</f>
        <v/>
      </c>
      <c r="AW52" s="366">
        <f>VLOOKUP(B52,'UV台帐'!B:AL,37,0)</f>
        <v/>
      </c>
      <c r="AX52" s="281">
        <f>COUNTIFS(H52,"零期",AU52,"是")+COUNTIFS(L52,"零期",AV52,"是")+COUNTIFS(P52,"零期",AW52,"是")</f>
        <v/>
      </c>
      <c r="AZ52" s="350" t="inlineStr">
        <is>
          <t>数学很好，家长很焦虑，课程排满了；讲座春暑连报的；</t>
        </is>
      </c>
      <c r="BA52" s="359" t="n"/>
    </row>
    <row r="53" ht="30" customFormat="1" customHeight="1" s="366">
      <c r="A53" s="281" t="inlineStr">
        <is>
          <t>新宝利</t>
        </is>
      </c>
      <c r="B53" s="281"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n"/>
      <c r="S53" s="281" t="inlineStr">
        <is>
          <t>是</t>
        </is>
      </c>
      <c r="T53" s="281" t="inlineStr">
        <is>
          <t>是</t>
        </is>
      </c>
      <c r="W53" s="281" t="inlineStr">
        <is>
          <t>陈中帅</t>
        </is>
      </c>
      <c r="X53" s="281" t="n"/>
      <c r="AA53" s="81" t="inlineStr">
        <is>
          <t>黄铭怡</t>
        </is>
      </c>
      <c r="AB53" s="339" t="inlineStr">
        <is>
          <t>否</t>
        </is>
      </c>
      <c r="AC53" s="281" t="n"/>
      <c r="AD53" s="315" t="inlineStr">
        <is>
          <t>否</t>
        </is>
      </c>
      <c r="AE53" s="281" t="inlineStr">
        <is>
          <t>林志豪01</t>
        </is>
      </c>
      <c r="AF53" s="281">
        <f>VLOOKUP(B53,'UV台帐'!B:G,6,0)</f>
        <v/>
      </c>
      <c r="AG53" s="281" t="inlineStr">
        <is>
          <t>三中</t>
        </is>
      </c>
      <c r="AH53" s="281" t="inlineStr">
        <is>
          <t>是</t>
        </is>
      </c>
      <c r="AI53" s="281" t="inlineStr">
        <is>
          <t>29号返校需要补课</t>
        </is>
      </c>
      <c r="AJ53" s="426" t="inlineStr">
        <is>
          <t>之前一直有补习机构学，了解后孩子三中答应给重点班的，目前聊了，他说初中看看情况有没有需要补，告知孩子重点班压力大，更需要跟上脚步</t>
        </is>
      </c>
      <c r="AK53" s="426" t="inlineStr">
        <is>
          <t>之前一直有补习机构学，了解后孩子三中答应给重点班的，目前聊了，他说初中看看情况有没有需要补，告知孩子重点班压力大，更需要跟上脚步</t>
        </is>
      </c>
      <c r="AL53" s="366" t="inlineStr">
        <is>
          <t>B</t>
        </is>
      </c>
      <c r="AM53" s="366" t="inlineStr">
        <is>
          <t>B</t>
        </is>
      </c>
      <c r="AN53" s="366" t="inlineStr">
        <is>
          <t>B</t>
        </is>
      </c>
      <c r="AO53" s="366" t="inlineStr">
        <is>
          <t>B</t>
        </is>
      </c>
      <c r="AP53" s="350" t="inlineStr">
        <is>
          <t>1、孩子程度好，大概率三中重点班，会存在校内压力大2、孩子觉得还行，妈咪问了孩子也没表现特别多的好评，认可，3有在学而思学过，存在对比</t>
        </is>
      </c>
      <c r="AQ53" s="366" t="inlineStr">
        <is>
          <t>是</t>
        </is>
      </c>
      <c r="AR53" s="359" t="n"/>
      <c r="AS53" s="281">
        <f>COUNTIFS(H53,"零期",I53,"在读")+COUNTIFS(L53,"零期",M53,"在读")+COUNTIFS(P53,"零期",Q53,"在读")</f>
        <v/>
      </c>
      <c r="AT53" s="281">
        <f>AS53-AX53</f>
        <v/>
      </c>
      <c r="AU53" s="366">
        <f>VLOOKUP(B53,'UV台帐'!B:AL,19,0)</f>
        <v/>
      </c>
      <c r="AV53" s="366">
        <f>VLOOKUP(B53,'UV台帐'!B:AL,28,0)</f>
        <v/>
      </c>
      <c r="AW53" s="366">
        <f>VLOOKUP(B53,'UV台帐'!B:AL,37,0)</f>
        <v/>
      </c>
      <c r="AX53" s="281">
        <f>COUNTIFS(H53,"零期",AU53,"是")+COUNTIFS(L53,"零期",AV53,"是")+COUNTIFS(P53,"零期",AW53,"是")</f>
        <v/>
      </c>
      <c r="AZ53" s="350" t="n"/>
      <c r="BA53" s="359" t="n"/>
    </row>
    <row r="54" ht="30" customFormat="1" customHeight="1" s="366">
      <c r="A54" s="281" t="inlineStr">
        <is>
          <t>同创汇</t>
        </is>
      </c>
      <c r="B54" s="281"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inlineStr">
        <is>
          <t>是</t>
        </is>
      </c>
      <c r="T54" s="281" t="inlineStr">
        <is>
          <t>否</t>
        </is>
      </c>
      <c r="U54" s="366" t="inlineStr">
        <is>
          <t>田雨涵01</t>
        </is>
      </c>
      <c r="W54" s="281" t="inlineStr">
        <is>
          <t>陈南05</t>
        </is>
      </c>
      <c r="X54" s="281" t="n"/>
      <c r="Y54" s="281" t="n"/>
      <c r="Z54" s="281" t="n"/>
      <c r="AA54" s="73" t="inlineStr">
        <is>
          <t>刘希子</t>
        </is>
      </c>
      <c r="AB54" s="281" t="inlineStr">
        <is>
          <t>是</t>
        </is>
      </c>
      <c r="AC54" s="315" t="inlineStr">
        <is>
          <t>陈南</t>
        </is>
      </c>
      <c r="AD54" s="315" t="inlineStr">
        <is>
          <t>是</t>
        </is>
      </c>
      <c r="AE54" s="281" t="inlineStr">
        <is>
          <t>苏丽婷</t>
        </is>
      </c>
      <c r="AF54" s="281">
        <f>VLOOKUP(B54,'UV台帐'!B:G,6,0)</f>
        <v/>
      </c>
      <c r="AG54" s="281" t="inlineStr">
        <is>
          <t>五羊</t>
        </is>
      </c>
      <c r="AH54" s="281" t="inlineStr">
        <is>
          <t>是</t>
        </is>
      </c>
      <c r="AI54" s="281" t="inlineStr">
        <is>
          <t>6月29号下午拿通知书待确定，爸爸说看看能不能家长代拿，不行可能需要请假，7月8号第一节请假需要当天晚上补课</t>
        </is>
      </c>
      <c r="AJ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6" t="inlineStr">
        <is>
          <t>S</t>
        </is>
      </c>
      <c r="AM54" s="366" t="inlineStr">
        <is>
          <t>A</t>
        </is>
      </c>
      <c r="AN54" s="366" t="inlineStr">
        <is>
          <t>A</t>
        </is>
      </c>
      <c r="AO54" s="366" t="inlineStr">
        <is>
          <t>A</t>
        </is>
      </c>
      <c r="AP54" s="549" t="inlineStr">
        <is>
          <t>路涵老师：判A,家长vip群很关注老师的反馈，孩子上课积极，班级前几，做题正确率很高
陈南05
：爸爸认可教学，配合度很高，孩子进步很大
刘希子</t>
        </is>
      </c>
      <c r="AQ54" s="366" t="inlineStr">
        <is>
          <t>是</t>
        </is>
      </c>
      <c r="AR54" s="359" t="n"/>
      <c r="AS54" s="281">
        <f>COUNTIFS(H54,"零期",I54,"在读")+COUNTIFS(L54,"零期",M54,"在读")+COUNTIFS(P54,"零期",Q54,"在读")</f>
        <v/>
      </c>
      <c r="AT54" s="281">
        <f>AS54-AX54</f>
        <v/>
      </c>
      <c r="AU54" s="366">
        <f>VLOOKUP(B54,'UV台帐'!B:AL,19,0)</f>
        <v/>
      </c>
      <c r="AV54" s="366">
        <f>VLOOKUP(B54,'UV台帐'!B:AL,28,0)</f>
        <v/>
      </c>
      <c r="AW54" s="366">
        <f>VLOOKUP(B54,'UV台帐'!B:AL,37,0)</f>
        <v/>
      </c>
      <c r="AX54" s="281">
        <f>COUNTIFS(H54,"零期",AU54,"是")+COUNTIFS(L54,"零期",AV54,"是")+COUNTIFS(P54,"零期",AW54,"是")</f>
        <v/>
      </c>
      <c r="AZ54" s="350" t="inlineStr">
        <is>
          <t>觉得秋季三科上课时间很密集，要看看孩子的时间安排和孩子沟通；希望BDE时间；午休吃饭的需求</t>
        </is>
      </c>
      <c r="BA54" s="359" t="n"/>
    </row>
    <row r="55" ht="30" customFormat="1" customHeight="1" s="366">
      <c r="A55" s="281" t="inlineStr">
        <is>
          <t>同创汇</t>
        </is>
      </c>
      <c r="B55" s="281"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n"/>
      <c r="S55" s="281" t="inlineStr">
        <is>
          <t>是</t>
        </is>
      </c>
      <c r="T55" s="281" t="inlineStr">
        <is>
          <t>否</t>
        </is>
      </c>
      <c r="U55" s="281" t="inlineStr">
        <is>
          <t>高心怡04</t>
        </is>
      </c>
      <c r="V55" s="281" t="n"/>
      <c r="W55" s="281" t="n"/>
      <c r="X55" s="281" t="n"/>
      <c r="Y55" s="281" t="n"/>
      <c r="Z55" s="281" t="n"/>
      <c r="AA55" s="73" t="inlineStr">
        <is>
          <t>陈中帅</t>
        </is>
      </c>
      <c r="AB55" s="281" t="inlineStr">
        <is>
          <t>是</t>
        </is>
      </c>
      <c r="AC55" s="315" t="inlineStr">
        <is>
          <t>铭铭</t>
        </is>
      </c>
      <c r="AD55" s="315" t="inlineStr">
        <is>
          <t>是</t>
        </is>
      </c>
      <c r="AE55" s="281" t="inlineStr">
        <is>
          <t>王丽</t>
        </is>
      </c>
      <c r="AF55" s="281">
        <f>VLOOKUP(B55,'UV台帐'!B:G,6,0)</f>
        <v/>
      </c>
      <c r="AG55" s="281" t="n"/>
      <c r="AH55" s="281" t="inlineStr">
        <is>
          <t>是</t>
        </is>
      </c>
      <c r="AI55" s="281" t="inlineStr">
        <is>
          <t>30号上午的数学调到1期上，要回学校，下午的不耽误，可以正常上课</t>
        </is>
      </c>
      <c r="AJ55" s="426" t="inlineStr">
        <is>
          <t>孩子妈妈说孩子说还可以，没有太多的反馈，孩子上课状态还行，妈妈对于孩子的规划会比较重视，主要还是想要提分</t>
        </is>
      </c>
      <c r="AK55" s="426" t="inlineStr">
        <is>
          <t>孩子妈妈说孩子说还可以，没有太多的反馈，孩子上课状态还行，妈妈对于孩子的规划会比较重视，主要还是想要提分</t>
        </is>
      </c>
      <c r="AL55" s="366" t="n"/>
      <c r="AM55" s="366" t="n"/>
      <c r="AN55" s="366" t="n"/>
      <c r="AO55" s="366" t="n"/>
      <c r="AP55" s="350" t="n"/>
      <c r="AR55" s="359" t="n"/>
      <c r="AS55" s="281">
        <f>COUNTIFS(H55,"零期",I55,"在读")+COUNTIFS(L55,"零期",M55,"在读")+COUNTIFS(P55,"零期",Q55,"在读")</f>
        <v/>
      </c>
      <c r="AT55" s="281">
        <f>AS55-AX55</f>
        <v/>
      </c>
      <c r="AU55" s="366">
        <f>VLOOKUP(B55,'UV台帐'!B:AL,19,0)</f>
        <v/>
      </c>
      <c r="AV55" s="366">
        <f>VLOOKUP(B55,'UV台帐'!B:AL,28,0)</f>
        <v/>
      </c>
      <c r="AW55" s="366">
        <f>VLOOKUP(B55,'UV台帐'!B:AL,37,0)</f>
        <v/>
      </c>
      <c r="AX55" s="281">
        <f>COUNTIFS(H55,"零期",AU55,"是")+COUNTIFS(L55,"零期",AV55,"是")+COUNTIFS(P55,"零期",AW55,"是")</f>
        <v/>
      </c>
      <c r="AZ55" s="350" t="inlineStr">
        <is>
          <t>语文等铭铭反馈</t>
        </is>
      </c>
      <c r="BA55" s="359" t="n"/>
    </row>
    <row r="56" ht="30" customFormat="1" customHeight="1" s="366">
      <c r="A56" s="281" t="inlineStr">
        <is>
          <t>同创汇</t>
        </is>
      </c>
      <c r="B56" s="281"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n"/>
      <c r="S56" s="281" t="inlineStr">
        <is>
          <t>是</t>
        </is>
      </c>
      <c r="T56" s="281" t="inlineStr">
        <is>
          <t>是</t>
        </is>
      </c>
      <c r="W56" s="281" t="inlineStr">
        <is>
          <t>刘希子</t>
        </is>
      </c>
      <c r="X56" s="281" t="n"/>
      <c r="AA56" s="80" t="inlineStr">
        <is>
          <t>陈中帅</t>
        </is>
      </c>
      <c r="AB56" s="281" t="inlineStr">
        <is>
          <t>是</t>
        </is>
      </c>
      <c r="AC56" s="315" t="inlineStr">
        <is>
          <t>王丽</t>
        </is>
      </c>
      <c r="AD56" s="119" t="inlineStr">
        <is>
          <t>是</t>
        </is>
      </c>
      <c r="AE56" s="281" t="inlineStr">
        <is>
          <t>王丽</t>
        </is>
      </c>
      <c r="AF56" s="281">
        <f>VLOOKUP(B56,'UV台帐'!B:G,6,0)</f>
        <v/>
      </c>
      <c r="AG56" s="281" t="n"/>
      <c r="AH56" s="281" t="inlineStr">
        <is>
          <t>是</t>
        </is>
      </c>
      <c r="AI56" s="281" t="inlineStr">
        <is>
          <t>没问题</t>
        </is>
      </c>
      <c r="AJ56" s="426" t="inlineStr">
        <is>
          <t>孩子妈妈在忙，没接，孩子上课配合度一般；正价学员断保；</t>
        </is>
      </c>
      <c r="AK56" s="426" t="inlineStr">
        <is>
          <t>孩子妈妈在忙，没接，孩子上课配合度一般；正价学员断保；</t>
        </is>
      </c>
      <c r="AL56" s="366" t="inlineStr">
        <is>
          <t>A</t>
        </is>
      </c>
      <c r="AM56" s="366" t="inlineStr">
        <is>
          <t>A</t>
        </is>
      </c>
      <c r="AN56" s="366" t="inlineStr">
        <is>
          <t>B</t>
        </is>
      </c>
      <c r="AO56" s="366" t="inlineStr">
        <is>
          <t>B</t>
        </is>
      </c>
      <c r="AP56" s="350" t="inlineStr">
        <is>
          <t>可以和家长沟通下，下危机</t>
        </is>
      </c>
      <c r="AR56" s="359" t="n"/>
      <c r="AS56" s="281">
        <f>COUNTIFS(H56,"零期",I56,"在读")+COUNTIFS(L56,"零期",M56,"在读")+COUNTIFS(P56,"零期",Q56,"在读")</f>
        <v/>
      </c>
      <c r="AT56" s="281">
        <f>AS56-AX56</f>
        <v/>
      </c>
      <c r="AU56" s="366">
        <f>VLOOKUP(B56,'UV台帐'!B:AL,19,0)</f>
        <v/>
      </c>
      <c r="AV56" s="366">
        <f>VLOOKUP(B56,'UV台帐'!B:AL,28,0)</f>
        <v/>
      </c>
      <c r="AW56" s="366">
        <f>VLOOKUP(B56,'UV台帐'!B:AL,37,0)</f>
        <v/>
      </c>
      <c r="AX56" s="281">
        <f>COUNTIFS(H56,"零期",AU56,"是")+COUNTIFS(L56,"零期",AV56,"是")+COUNTIFS(P56,"零期",AW56,"是")</f>
        <v/>
      </c>
      <c r="AZ56" s="350" t="inlineStr">
        <is>
          <t>孩子妈妈要赶着去接孩子，语数英三科说后面线上跟老师沟通，数学不确定还能不能继续跟上启能班，孩子学习态度也不是很好，要重新跟孩子聊聊才能确定要不要报秋季课；程度中等偏下，</t>
        </is>
      </c>
      <c r="BA56" s="359" t="n"/>
    </row>
    <row r="57" ht="30" customFormat="1" customHeight="1" s="366">
      <c r="A57" s="281" t="inlineStr">
        <is>
          <t>同创汇</t>
        </is>
      </c>
      <c r="B57" s="281"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81" t="n"/>
      <c r="S57" s="281" t="inlineStr">
        <is>
          <t>是</t>
        </is>
      </c>
      <c r="T57" s="281" t="inlineStr">
        <is>
          <t>是</t>
        </is>
      </c>
      <c r="U57" s="366" t="inlineStr">
        <is>
          <t>刘希子</t>
        </is>
      </c>
      <c r="W57" s="281" t="inlineStr">
        <is>
          <t>陈南05</t>
        </is>
      </c>
      <c r="X57" s="281" t="n"/>
      <c r="Y57" s="281" t="inlineStr">
        <is>
          <t>田雨涵01</t>
        </is>
      </c>
      <c r="Z57" s="281" t="n"/>
      <c r="AA57" s="73" t="inlineStr">
        <is>
          <t>陈南05</t>
        </is>
      </c>
      <c r="AB57" s="7" t="inlineStr">
        <is>
          <t>否</t>
        </is>
      </c>
      <c r="AC57" s="315" t="n"/>
      <c r="AD57" s="315" t="inlineStr">
        <is>
          <t>否</t>
        </is>
      </c>
      <c r="AE57" s="281" t="inlineStr">
        <is>
          <t>戎凯01</t>
        </is>
      </c>
      <c r="AF57" s="281">
        <f>VLOOKUP(B57,'UV台帐'!B:G,6,0)</f>
        <v/>
      </c>
      <c r="AG57" s="281" t="n"/>
      <c r="AH57" s="281" t="inlineStr">
        <is>
          <t>是</t>
        </is>
      </c>
      <c r="AI57" s="281" t="inlineStr">
        <is>
          <t>可以正常上课</t>
        </is>
      </c>
      <c r="AJ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6" t="inlineStr">
        <is>
          <t>A</t>
        </is>
      </c>
      <c r="AM57" s="366" t="inlineStr">
        <is>
          <t>A</t>
        </is>
      </c>
      <c r="AN57" s="366" t="inlineStr">
        <is>
          <t>A</t>
        </is>
      </c>
      <c r="AO57" s="366" t="inlineStr">
        <is>
          <t>B</t>
        </is>
      </c>
      <c r="AP57" s="350" t="n"/>
      <c r="AR57" s="359" t="n"/>
      <c r="AS57" s="281">
        <f>COUNTIFS(H57,"零期",I57,"在读")+COUNTIFS(L57,"零期",M57,"在读")+COUNTIFS(P57,"零期",Q57,"在读")</f>
        <v/>
      </c>
      <c r="AT57" s="281">
        <f>AS57-AX57</f>
        <v/>
      </c>
      <c r="AU57" s="366">
        <f>VLOOKUP(B57,'UV台帐'!B:AL,19,0)</f>
        <v/>
      </c>
      <c r="AV57" s="366">
        <f>VLOOKUP(B57,'UV台帐'!B:AL,28,0)</f>
        <v/>
      </c>
      <c r="AW57" s="366">
        <f>VLOOKUP(B57,'UV台帐'!B:AL,37,0)</f>
        <v/>
      </c>
      <c r="AX57" s="281">
        <f>COUNTIFS(H57,"零期",AU57,"是")+COUNTIFS(L57,"零期",AV57,"是")+COUNTIFS(P57,"零期",AW57,"是")</f>
        <v/>
      </c>
      <c r="AZ57" s="350" t="inlineStr">
        <is>
          <t>数学情况还可以；学习习惯不好，家长要求很高；家长是愿意沟通学情的；</t>
        </is>
      </c>
      <c r="BA57" s="359" t="n"/>
    </row>
    <row r="58" ht="30" customFormat="1" customHeight="1" s="366">
      <c r="A58" s="281" t="inlineStr">
        <is>
          <t>同创汇</t>
        </is>
      </c>
      <c r="B58" s="281"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n"/>
      <c r="S58" s="281" t="inlineStr">
        <is>
          <t>否</t>
        </is>
      </c>
      <c r="T58" s="281" t="inlineStr">
        <is>
          <t>否</t>
        </is>
      </c>
      <c r="W58" s="281" t="n"/>
      <c r="X58" s="281" t="n"/>
      <c r="Y58" s="366" t="inlineStr">
        <is>
          <t>黄铭怡</t>
        </is>
      </c>
      <c r="AA58" s="73" t="inlineStr">
        <is>
          <t>刘希子</t>
        </is>
      </c>
      <c r="AB58" s="281" t="inlineStr">
        <is>
          <t>是</t>
        </is>
      </c>
      <c r="AC58" s="315" t="inlineStr">
        <is>
          <t>铭铭</t>
        </is>
      </c>
      <c r="AD58" s="315" t="inlineStr">
        <is>
          <t>是</t>
        </is>
      </c>
      <c r="AE58" s="281" t="inlineStr">
        <is>
          <t>戎凯01</t>
        </is>
      </c>
      <c r="AF58" s="281">
        <f>VLOOKUP(B58,'UV台帐'!B:G,6,0)</f>
        <v/>
      </c>
      <c r="AG58" s="281" t="n"/>
      <c r="AH58" s="281" t="inlineStr">
        <is>
          <t>是</t>
        </is>
      </c>
      <c r="AI58" s="281" t="n"/>
      <c r="AJ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6" t="inlineStr">
        <is>
          <t>S</t>
        </is>
      </c>
      <c r="AM58" s="366" t="n"/>
      <c r="AN58" s="366" t="inlineStr">
        <is>
          <t>A</t>
        </is>
      </c>
      <c r="AO58" s="366" t="inlineStr">
        <is>
          <t>B</t>
        </is>
      </c>
      <c r="AP58" s="350" t="inlineStr">
        <is>
          <t>铭铭：孩子比较腼腆，得解决孩子意愿问题，能够续报。</t>
        </is>
      </c>
      <c r="AQ58" s="366" t="inlineStr">
        <is>
          <t>是</t>
        </is>
      </c>
      <c r="AR58" s="359" t="n"/>
      <c r="AS58" s="281">
        <f>COUNTIFS(H58,"零期",I58,"在读")+COUNTIFS(L58,"零期",M58,"在读")+COUNTIFS(P58,"零期",Q58,"在读")</f>
        <v/>
      </c>
      <c r="AT58" s="281">
        <f>AS58-AX58</f>
        <v/>
      </c>
      <c r="AU58" s="366">
        <f>VLOOKUP(B58,'UV台帐'!B:AL,19,0)</f>
        <v/>
      </c>
      <c r="AV58" s="366">
        <f>VLOOKUP(B58,'UV台帐'!B:AL,28,0)</f>
        <v/>
      </c>
      <c r="AW58" s="366">
        <f>VLOOKUP(B58,'UV台帐'!B:AL,37,0)</f>
        <v/>
      </c>
      <c r="AX58" s="281">
        <f>COUNTIFS(H58,"零期",AU58,"是")+COUNTIFS(L58,"零期",AV58,"是")+COUNTIFS(P58,"零期",AW58,"是")</f>
        <v/>
      </c>
      <c r="AZ58" s="350" t="inlineStr">
        <is>
          <t>家长说陈秉谦老有个性了，得陈秉谦想学；妈妈了解过后续学习内容；</t>
        </is>
      </c>
      <c r="BA58" s="359" t="n"/>
    </row>
    <row r="59" ht="30" customFormat="1" customHeight="1" s="366">
      <c r="A59" s="281" t="inlineStr">
        <is>
          <t>新宝利</t>
        </is>
      </c>
      <c r="B59" s="281"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inlineStr">
        <is>
          <t>是</t>
        </is>
      </c>
      <c r="T59" s="281" t="inlineStr">
        <is>
          <t>是</t>
        </is>
      </c>
      <c r="W59" s="281" t="inlineStr">
        <is>
          <t>田雨涵01,李润</t>
        </is>
      </c>
      <c r="X59" s="281" t="n"/>
      <c r="Y59" s="281" t="n"/>
      <c r="Z59" s="281" t="n"/>
      <c r="AA59" s="80" t="inlineStr">
        <is>
          <t>李润</t>
        </is>
      </c>
      <c r="AB59" s="281" t="inlineStr">
        <is>
          <t>是</t>
        </is>
      </c>
      <c r="AC59" s="156" t="inlineStr">
        <is>
          <t>张敏烨</t>
        </is>
      </c>
      <c r="AD59" s="119" t="inlineStr">
        <is>
          <t>是</t>
        </is>
      </c>
      <c r="AE59" s="281" t="inlineStr">
        <is>
          <t>张敏烨</t>
        </is>
      </c>
      <c r="AF59" s="281">
        <f>VLOOKUP(B59,'UV台帐'!B:G,6,0)</f>
        <v/>
      </c>
      <c r="AG59" s="281" t="inlineStr">
        <is>
          <t>侨中</t>
        </is>
      </c>
      <c r="AH59" s="281" t="inlineStr">
        <is>
          <t>是</t>
        </is>
      </c>
      <c r="AI59" s="281" t="inlineStr">
        <is>
          <t>29号下午返校</t>
        </is>
      </c>
      <c r="AJ59" s="426" t="inlineStr">
        <is>
          <t>聊了五分半，希望老师对于字迹严格要求下，孩子上课没有跟家长沟通过，之前有补习经历，有长期学的计划，但是觉得目前才第二节课还太早，可以多观察一下，说在忙就先挂了</t>
        </is>
      </c>
      <c r="AK59" s="426" t="inlineStr">
        <is>
          <t>聊了五分半，希望老师对于字迹严格要求下，孩子上课没有跟家长沟通过，之前有补习经历，有长期学的计划，但是觉得目前才第二节课还太早，可以多观察一下，说在忙就先挂了</t>
        </is>
      </c>
      <c r="AL59" s="366" t="inlineStr">
        <is>
          <t>A</t>
        </is>
      </c>
      <c r="AM59" s="366" t="inlineStr">
        <is>
          <t>A</t>
        </is>
      </c>
      <c r="AN59" s="366" t="inlineStr">
        <is>
          <t>A</t>
        </is>
      </c>
      <c r="AO59" s="366" t="inlineStr">
        <is>
          <t>A</t>
        </is>
      </c>
      <c r="AP59" s="350" t="inlineStr">
        <is>
          <t>数学有点跟不上；语文也弱，英语上课很沉默，担心效果不明显</t>
        </is>
      </c>
      <c r="AQ59" s="366" t="inlineStr">
        <is>
          <t>是</t>
        </is>
      </c>
      <c r="AR59" s="359" t="n"/>
      <c r="AS59" s="281">
        <f>COUNTIFS(H59,"零期",I59,"在读")+COUNTIFS(L59,"零期",M59,"在读")+COUNTIFS(P59,"零期",Q59,"在读")</f>
        <v/>
      </c>
      <c r="AT59" s="281">
        <f>AS59-AX59</f>
        <v/>
      </c>
      <c r="AU59" s="366">
        <f>VLOOKUP(B59,'UV台帐'!B:AL,19,0)</f>
        <v/>
      </c>
      <c r="AV59" s="366">
        <f>VLOOKUP(B59,'UV台帐'!B:AL,28,0)</f>
        <v/>
      </c>
      <c r="AW59" s="366">
        <f>VLOOKUP(B59,'UV台帐'!B:AL,37,0)</f>
        <v/>
      </c>
      <c r="AX59" s="281">
        <f>COUNTIFS(H59,"零期",AU59,"是")+COUNTIFS(L59,"零期",AV59,"是")+COUNTIFS(P59,"零期",AW59,"是")</f>
        <v/>
      </c>
      <c r="AZ59" s="350" t="inlineStr">
        <is>
          <t>7号前给答复，三科都要学，英语科目，孩子喜欢语文，数学英语意向度比较高。</t>
        </is>
      </c>
      <c r="BA59" s="350" t="inlineStr">
        <is>
          <t>7.5号电联说还没和孩子沟通，不急不急</t>
        </is>
      </c>
    </row>
    <row r="60" ht="30" customFormat="1" customHeight="1" s="366">
      <c r="A60" s="281" t="inlineStr">
        <is>
          <t>同创汇</t>
        </is>
      </c>
      <c r="B60" s="281"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81" t="n"/>
      <c r="S60" s="281" t="inlineStr">
        <is>
          <t>是</t>
        </is>
      </c>
      <c r="T60" s="281" t="inlineStr">
        <is>
          <t>是</t>
        </is>
      </c>
      <c r="W60" s="281" t="inlineStr">
        <is>
          <t>高心怡04</t>
        </is>
      </c>
      <c r="X60" s="281" t="n"/>
      <c r="Y60" s="119" t="inlineStr">
        <is>
          <t>李润</t>
        </is>
      </c>
      <c r="Z60" s="119" t="n"/>
      <c r="AA60" s="73" t="inlineStr">
        <is>
          <t>李润</t>
        </is>
      </c>
      <c r="AB60" s="281" t="inlineStr">
        <is>
          <t>否</t>
        </is>
      </c>
      <c r="AC60" s="315" t="n"/>
      <c r="AD60" s="315" t="inlineStr">
        <is>
          <t>否</t>
        </is>
      </c>
      <c r="AE60" s="281" t="inlineStr">
        <is>
          <t>王丽</t>
        </is>
      </c>
      <c r="AF60" s="281">
        <f>VLOOKUP(B60,'UV台帐'!B:G,6,0)</f>
        <v/>
      </c>
      <c r="AG60" s="281" t="inlineStr">
        <is>
          <t>省实越秀</t>
        </is>
      </c>
      <c r="AH60" s="281" t="inlineStr">
        <is>
          <t>是</t>
        </is>
      </c>
      <c r="AI60" s="281" t="inlineStr">
        <is>
          <t>没问题</t>
        </is>
      </c>
      <c r="AJ60" s="426" t="inlineStr">
        <is>
          <t>未接，微信留言。孩子主动要求坐第一排，觉得会比较安静，课堂上感觉还好，没有说其他的反馈</t>
        </is>
      </c>
      <c r="AK60" s="426" t="inlineStr">
        <is>
          <t>未接，微信留言。孩子主动要求坐第一排，觉得会比较安静，课堂上感觉还好，没有说其他的反馈</t>
        </is>
      </c>
      <c r="AL60" s="366" t="inlineStr">
        <is>
          <t>A</t>
        </is>
      </c>
      <c r="AM60" s="366" t="n"/>
      <c r="AN60" s="366" t="n"/>
      <c r="AO60" s="366" t="inlineStr">
        <is>
          <t>A</t>
        </is>
      </c>
      <c r="AP60" s="350" t="inlineStr">
        <is>
          <t>英语：孩子程度好愿意学</t>
        </is>
      </c>
      <c r="AR60" s="359" t="n"/>
      <c r="AS60" s="281">
        <f>COUNTIFS(H60,"零期",I60,"在读")+COUNTIFS(L60,"零期",M60,"在读")+COUNTIFS(P60,"零期",Q60,"在读")</f>
        <v/>
      </c>
      <c r="AT60" s="281">
        <f>AS60-AX60</f>
        <v/>
      </c>
      <c r="AU60" s="366">
        <f>VLOOKUP(B60,'UV台帐'!B:AL,19,0)</f>
        <v/>
      </c>
      <c r="AV60" s="366">
        <f>VLOOKUP(B60,'UV台帐'!B:AL,28,0)</f>
        <v/>
      </c>
      <c r="AW60" s="366">
        <f>VLOOKUP(B60,'UV台帐'!B:AL,37,0)</f>
        <v/>
      </c>
      <c r="AX60" s="281">
        <f>COUNTIFS(H60,"零期",AU60,"是")+COUNTIFS(L60,"零期",AV60,"是")+COUNTIFS(P60,"零期",AW60,"是")</f>
        <v/>
      </c>
      <c r="AZ60" s="350" t="inlineStr">
        <is>
          <t>发了续报消息，问了秋季安排。英语做了补充题目，妈妈对孩子没什么自信；</t>
        </is>
      </c>
      <c r="BA60" s="359" t="n"/>
    </row>
    <row r="61" ht="30" customFormat="1" customHeight="1" s="366">
      <c r="A61" s="281" t="inlineStr">
        <is>
          <t>新宝利</t>
        </is>
      </c>
      <c r="B61" s="281"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n"/>
      <c r="S61" s="281" t="inlineStr">
        <is>
          <t>是</t>
        </is>
      </c>
      <c r="T61" s="281" t="inlineStr">
        <is>
          <t>否</t>
        </is>
      </c>
      <c r="W61" s="281" t="n"/>
      <c r="X61" s="281" t="n"/>
      <c r="Y61" s="366" t="inlineStr">
        <is>
          <t>黄铭怡</t>
        </is>
      </c>
      <c r="AA61" s="81" t="inlineStr">
        <is>
          <t>黄铭怡</t>
        </is>
      </c>
      <c r="AB61" s="339" t="inlineStr">
        <is>
          <t>不确定</t>
        </is>
      </c>
      <c r="AC61" s="281" t="n"/>
      <c r="AD61" s="315" t="inlineStr">
        <is>
          <t>否</t>
        </is>
      </c>
      <c r="AE61" s="281" t="inlineStr">
        <is>
          <t>林志豪01</t>
        </is>
      </c>
      <c r="AF61" s="281">
        <f>VLOOKUP(B61,'UV台帐'!B:G,6,0)</f>
        <v/>
      </c>
      <c r="AG61" s="281" t="inlineStr">
        <is>
          <t>一中</t>
        </is>
      </c>
      <c r="AH61" s="281" t="inlineStr">
        <is>
          <t>是</t>
        </is>
      </c>
      <c r="AI61" s="281" t="inlineStr">
        <is>
          <t>29号返校需要补课</t>
        </is>
      </c>
      <c r="AJ61" s="426" t="inlineStr">
        <is>
          <t>孩子之前有不过卓越3年语文，没提升后面没补课了，孩子阅读一直不好，需要办法提升，语文最想补课</t>
        </is>
      </c>
      <c r="AK61" s="426" t="inlineStr">
        <is>
          <t>孩子之前有不过卓越3年语文，没提升后面没补课了，孩子阅读一直不好，需要办法提升，语文最想补课</t>
        </is>
      </c>
      <c r="AL61" s="366" t="inlineStr">
        <is>
          <t>A</t>
        </is>
      </c>
      <c r="AM61" s="366" t="n"/>
      <c r="AN61" s="366" t="inlineStr">
        <is>
          <t>A</t>
        </is>
      </c>
      <c r="AO61" s="366" t="n"/>
      <c r="AP61" s="350" t="inlineStr">
        <is>
          <t>孩子之前有不过卓越3年语文，没提升后面没补课了，孩子阅读一直不好，需要办法提升，语文最想补课，且妈咪有问过正价课和安排</t>
        </is>
      </c>
      <c r="AR61" s="359" t="n"/>
      <c r="AS61" s="281">
        <f>COUNTIFS(H61,"零期",I61,"在读")+COUNTIFS(L61,"零期",M61,"在读")+COUNTIFS(P61,"零期",Q61,"在读")</f>
        <v/>
      </c>
      <c r="AT61" s="281">
        <f>AS61-AX61</f>
        <v/>
      </c>
      <c r="AU61" s="366">
        <f>VLOOKUP(B61,'UV台帐'!B:AL,19,0)</f>
        <v/>
      </c>
      <c r="AV61" s="366">
        <f>VLOOKUP(B61,'UV台帐'!B:AL,28,0)</f>
        <v/>
      </c>
      <c r="AW61" s="366">
        <f>VLOOKUP(B61,'UV台帐'!B:AL,37,0)</f>
        <v/>
      </c>
      <c r="AX61" s="281">
        <f>COUNTIFS(H61,"零期",AU61,"是")+COUNTIFS(L61,"零期",AV61,"是")+COUNTIFS(P61,"零期",AW61,"是")</f>
        <v/>
      </c>
      <c r="AZ61" s="350" t="n"/>
      <c r="BA61" s="359" t="n"/>
    </row>
    <row r="62" ht="30" customFormat="1" customHeight="1" s="366">
      <c r="A62" s="281" t="inlineStr">
        <is>
          <t>新宝利</t>
        </is>
      </c>
      <c r="B62" s="281"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n"/>
      <c r="S62" s="281" t="inlineStr">
        <is>
          <t>是</t>
        </is>
      </c>
      <c r="T62" s="281" t="inlineStr">
        <is>
          <t>是</t>
        </is>
      </c>
      <c r="W62" s="281" t="n"/>
      <c r="X62" s="281" t="n"/>
      <c r="Y62" s="281" t="n"/>
      <c r="Z62" s="281" t="n"/>
      <c r="AA62" s="73" t="inlineStr">
        <is>
          <t>黄铭怡</t>
        </is>
      </c>
      <c r="AB62" s="339" t="inlineStr">
        <is>
          <t>未回复</t>
        </is>
      </c>
      <c r="AC62" s="315" t="inlineStr">
        <is>
          <t xml:space="preserve"> </t>
        </is>
      </c>
      <c r="AD62" s="315" t="inlineStr">
        <is>
          <t>否</t>
        </is>
      </c>
      <c r="AE62" s="281" t="inlineStr">
        <is>
          <t>林志豪01</t>
        </is>
      </c>
      <c r="AF62" s="281">
        <f>VLOOKUP(B62,'UV台帐'!B:G,6,0)</f>
        <v/>
      </c>
      <c r="AG62" s="281" t="n"/>
      <c r="AH62" s="281" t="inlineStr">
        <is>
          <t>是</t>
        </is>
      </c>
      <c r="AI62" s="281" t="n"/>
      <c r="AJ62" s="426" t="inlineStr">
        <is>
          <t>老生</t>
        </is>
      </c>
      <c r="AK62" s="426" t="inlineStr">
        <is>
          <t>老生</t>
        </is>
      </c>
      <c r="AL62" s="366" t="inlineStr">
        <is>
          <t>S</t>
        </is>
      </c>
      <c r="AM62" s="366" t="n"/>
      <c r="AN62" s="366" t="inlineStr">
        <is>
          <t>S</t>
        </is>
      </c>
      <c r="AO62" s="366" t="n"/>
      <c r="AP62" s="350" t="inlineStr">
        <is>
          <t>老生</t>
        </is>
      </c>
      <c r="AR62" s="359" t="n"/>
      <c r="AS62" s="281">
        <f>COUNTIFS(H62,"零期",I62,"在读")+COUNTIFS(L62,"零期",M62,"在读")+COUNTIFS(P62,"零期",Q62,"在读")</f>
        <v/>
      </c>
      <c r="AT62" s="281">
        <f>AS62-AX62</f>
        <v/>
      </c>
      <c r="AU62" s="366">
        <f>VLOOKUP(B62,'UV台帐'!B:AL,19,0)</f>
        <v/>
      </c>
      <c r="AV62" s="366">
        <f>VLOOKUP(B62,'UV台帐'!B:AL,28,0)</f>
        <v/>
      </c>
      <c r="AW62" s="366">
        <f>VLOOKUP(B62,'UV台帐'!B:AL,37,0)</f>
        <v/>
      </c>
      <c r="AX62" s="281">
        <f>COUNTIFS(H62,"零期",AU62,"是")+COUNTIFS(L62,"零期",AV62,"是")+COUNTIFS(P62,"零期",AW62,"是")</f>
        <v/>
      </c>
      <c r="AZ62" s="350" t="n"/>
      <c r="BA62" s="359" t="n"/>
    </row>
    <row r="63" ht="30" customFormat="1" customHeight="1" s="366">
      <c r="A63" s="281" t="inlineStr">
        <is>
          <t>新宝利</t>
        </is>
      </c>
      <c r="B63" s="281"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81" t="n"/>
      <c r="S63" s="281" t="inlineStr">
        <is>
          <t>否</t>
        </is>
      </c>
      <c r="T63" s="281" t="inlineStr">
        <is>
          <t>否</t>
        </is>
      </c>
      <c r="W63" s="281" t="inlineStr">
        <is>
          <t>李润</t>
        </is>
      </c>
      <c r="X63" s="281" t="n"/>
      <c r="Y63" s="281" t="n"/>
      <c r="Z63" s="281" t="n"/>
      <c r="AA63" s="80" t="inlineStr">
        <is>
          <t>李润</t>
        </is>
      </c>
      <c r="AB63" s="281" t="inlineStr">
        <is>
          <t>是</t>
        </is>
      </c>
      <c r="AC63" s="158" t="inlineStr">
        <is>
          <t>陈亮延</t>
        </is>
      </c>
      <c r="AD63" s="119" t="inlineStr">
        <is>
          <t>否</t>
        </is>
      </c>
      <c r="AE63" s="281" t="inlineStr">
        <is>
          <t>陈亮延</t>
        </is>
      </c>
      <c r="AF63" s="281">
        <f>VLOOKUP(B63,'UV台帐'!B:G,6,0)</f>
        <v/>
      </c>
      <c r="AG63" s="281" t="inlineStr">
        <is>
          <t>广附</t>
        </is>
      </c>
      <c r="AH63" s="281" t="inlineStr">
        <is>
          <t>是</t>
        </is>
      </c>
      <c r="AI63" s="281" t="inlineStr">
        <is>
          <t>对英语换师颇有微词，上课时间没问题</t>
        </is>
      </c>
      <c r="AJ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6" t="inlineStr">
        <is>
          <t>A</t>
        </is>
      </c>
      <c r="AM63" s="366" t="n"/>
      <c r="AN63" s="366" t="inlineStr">
        <is>
          <t>A</t>
        </is>
      </c>
      <c r="AO63" s="366" t="inlineStr">
        <is>
          <t>A</t>
        </is>
      </c>
      <c r="AP63" s="55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9" t="n"/>
      <c r="AS63" s="281">
        <f>COUNTIFS(H63,"零期",I63,"在读")+COUNTIFS(L63,"零期",M63,"在读")+COUNTIFS(P63,"零期",Q63,"在读")</f>
        <v/>
      </c>
      <c r="AT63" s="281">
        <f>AS63-AX63</f>
        <v/>
      </c>
      <c r="AU63" s="366">
        <f>VLOOKUP(B63,'UV台帐'!B:AL,19,0)</f>
        <v/>
      </c>
      <c r="AV63" s="366">
        <f>VLOOKUP(B63,'UV台帐'!B:AL,28,0)</f>
        <v/>
      </c>
      <c r="AW63" s="366">
        <f>VLOOKUP(B63,'UV台帐'!B:AL,37,0)</f>
        <v/>
      </c>
      <c r="AX63" s="281">
        <f>COUNTIFS(H63,"零期",AU63,"是")+COUNTIFS(L63,"零期",AV63,"是")+COUNTIFS(P63,"零期",AW63,"是")</f>
        <v/>
      </c>
      <c r="AZ63" s="350" t="n"/>
      <c r="BA63" s="359" t="n"/>
    </row>
    <row r="64" ht="30" customFormat="1" customHeight="1" s="366">
      <c r="A64" s="281" t="inlineStr">
        <is>
          <t>同创汇</t>
        </is>
      </c>
      <c r="B64" s="281"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inlineStr">
        <is>
          <t>是</t>
        </is>
      </c>
      <c r="T64" s="281" t="inlineStr">
        <is>
          <t>是</t>
        </is>
      </c>
      <c r="U64" s="366" t="inlineStr">
        <is>
          <t>刘希子</t>
        </is>
      </c>
      <c r="W64" s="281" t="n"/>
      <c r="X64" s="281" t="n"/>
      <c r="Y64" s="119" t="inlineStr">
        <is>
          <t>李润</t>
        </is>
      </c>
      <c r="Z64" s="119" t="n"/>
      <c r="AA64" s="73" t="inlineStr">
        <is>
          <t>陈中帅</t>
        </is>
      </c>
      <c r="AB64" s="281" t="inlineStr">
        <is>
          <t>是</t>
        </is>
      </c>
      <c r="AC64" s="315" t="inlineStr">
        <is>
          <t>龙倩敏</t>
        </is>
      </c>
      <c r="AD64" s="315" t="inlineStr">
        <is>
          <t>是</t>
        </is>
      </c>
      <c r="AE64" s="281" t="inlineStr">
        <is>
          <t>龙倩敏</t>
        </is>
      </c>
      <c r="AF64" s="281">
        <f>VLOOKUP(B64,'UV台帐'!B:G,6,0)</f>
        <v/>
      </c>
      <c r="AG64" s="281" t="inlineStr">
        <is>
          <t>育才zdb</t>
        </is>
      </c>
      <c r="AH64" s="281" t="inlineStr">
        <is>
          <t>是</t>
        </is>
      </c>
      <c r="AI64" s="281" t="inlineStr">
        <is>
          <t>可正常来上课，学生7月9日-10日要调班到数B英C语D</t>
        </is>
      </c>
      <c r="AJ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6" t="inlineStr">
        <is>
          <t>A</t>
        </is>
      </c>
      <c r="AM64" s="366" t="inlineStr">
        <is>
          <t>B</t>
        </is>
      </c>
      <c r="AN64" s="366" t="inlineStr">
        <is>
          <t>B</t>
        </is>
      </c>
      <c r="AO64" s="366" t="inlineStr">
        <is>
          <t>B</t>
        </is>
      </c>
      <c r="AP64" s="350" t="inlineStr">
        <is>
          <t>需要老师要求规定课后作业完成时间</t>
        </is>
      </c>
      <c r="AQ64" s="366" t="inlineStr">
        <is>
          <t>是</t>
        </is>
      </c>
      <c r="AR64" s="359" t="inlineStr">
        <is>
          <t>家长满意度：考虑中、价格稍高、时间</t>
        </is>
      </c>
      <c r="AS64" s="281">
        <f>COUNTIFS(H64,"零期",I64,"在读")+COUNTIFS(L64,"零期",M64,"在读")+COUNTIFS(P64,"零期",Q64,"在读")</f>
        <v/>
      </c>
      <c r="AT64" s="281">
        <f>AS64-AX64</f>
        <v/>
      </c>
      <c r="AU64" s="366">
        <f>VLOOKUP(B64,'UV台帐'!B:AL,19,0)</f>
        <v/>
      </c>
      <c r="AV64" s="366">
        <f>VLOOKUP(B64,'UV台帐'!B:AL,28,0)</f>
        <v/>
      </c>
      <c r="AW64" s="366">
        <f>VLOOKUP(B64,'UV台帐'!B:AL,37,0)</f>
        <v/>
      </c>
      <c r="AX64" s="281">
        <f>COUNTIFS(H64,"零期",AU64,"是")+COUNTIFS(L64,"零期",AV64,"是")+COUNTIFS(P64,"零期",AW64,"是")</f>
        <v/>
      </c>
      <c r="AY64" s="34" t="n"/>
      <c r="AZ64" s="381"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9" t="n"/>
    </row>
    <row r="65" ht="30" customFormat="1" customHeight="1" s="366">
      <c r="A65" s="281" t="inlineStr">
        <is>
          <t>同创汇</t>
        </is>
      </c>
      <c r="B65" s="281"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n"/>
      <c r="S65" s="281" t="inlineStr">
        <is>
          <t>是</t>
        </is>
      </c>
      <c r="T65" s="281" t="inlineStr">
        <is>
          <t>是</t>
        </is>
      </c>
      <c r="W65" s="281" t="n"/>
      <c r="X65" s="281" t="n"/>
      <c r="Y65" s="281" t="n"/>
      <c r="Z65" s="281" t="n"/>
      <c r="AA65" s="73" t="inlineStr">
        <is>
          <t>陈中帅</t>
        </is>
      </c>
      <c r="AB65" s="281" t="inlineStr">
        <is>
          <t>是</t>
        </is>
      </c>
      <c r="AC65" s="315" t="inlineStr">
        <is>
          <t>/</t>
        </is>
      </c>
      <c r="AD65" s="315" t="inlineStr">
        <is>
          <t>是</t>
        </is>
      </c>
      <c r="AE65" s="281" t="inlineStr">
        <is>
          <t>王丽</t>
        </is>
      </c>
      <c r="AF65" s="281">
        <f>VLOOKUP(B65,'UV台帐'!B:G,6,0)</f>
        <v/>
      </c>
      <c r="AG65" s="281" t="n"/>
      <c r="AH65" s="281" t="inlineStr">
        <is>
          <t>是</t>
        </is>
      </c>
      <c r="AI65" s="281" t="inlineStr">
        <is>
          <t>2026/7/10要返校，不知道要不要去一天，家长更倾向于补课，调课因为时间原因调不了</t>
        </is>
      </c>
      <c r="AJ65" s="426" t="inlineStr">
        <is>
          <t>老生已经暑秋连报</t>
        </is>
      </c>
      <c r="AK65" s="426" t="inlineStr">
        <is>
          <t>老生已经暑秋连报</t>
        </is>
      </c>
      <c r="AL65" s="366" t="inlineStr">
        <is>
          <t>S</t>
        </is>
      </c>
      <c r="AM65" s="366" t="n"/>
      <c r="AN65" s="366" t="n"/>
      <c r="AO65" s="366" t="n"/>
      <c r="AP65" s="350" t="n"/>
      <c r="AQ65" s="366" t="inlineStr">
        <is>
          <t>是</t>
        </is>
      </c>
      <c r="AR65" s="359" t="n"/>
      <c r="AS65" s="281">
        <f>COUNTIFS(H65,"零期",I65,"在读")+COUNTIFS(L65,"零期",M65,"在读")+COUNTIFS(P65,"零期",Q65,"在读")</f>
        <v/>
      </c>
      <c r="AT65" s="281">
        <f>AS65-AX65</f>
        <v/>
      </c>
      <c r="AU65" s="366">
        <f>VLOOKUP(B65,'UV台帐'!B:AL,19,0)</f>
        <v/>
      </c>
      <c r="AV65" s="366">
        <f>VLOOKUP(B65,'UV台帐'!B:AL,28,0)</f>
        <v/>
      </c>
      <c r="AW65" s="366">
        <f>VLOOKUP(B65,'UV台帐'!B:AL,37,0)</f>
        <v/>
      </c>
      <c r="AX65" s="281">
        <f>COUNTIFS(H65,"零期",AU65,"是")+COUNTIFS(L65,"零期",AV65,"是")+COUNTIFS(P65,"零期",AW65,"是")</f>
        <v/>
      </c>
      <c r="AZ65" s="350" t="inlineStr">
        <is>
          <t>孩子回家打卡安排。</t>
        </is>
      </c>
      <c r="BA65" s="359" t="n"/>
    </row>
    <row r="66" ht="30" customFormat="1" customHeight="1" s="366">
      <c r="A66" s="281" t="inlineStr">
        <is>
          <t>新宝利</t>
        </is>
      </c>
      <c r="B66" s="281"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81" t="n"/>
      <c r="S66" s="281" t="inlineStr">
        <is>
          <t>是</t>
        </is>
      </c>
      <c r="T66" s="281" t="inlineStr">
        <is>
          <t>否</t>
        </is>
      </c>
      <c r="U66" s="366" t="inlineStr">
        <is>
          <t>黄铭怡</t>
        </is>
      </c>
      <c r="W66" s="281" t="n"/>
      <c r="X66" s="281" t="n"/>
      <c r="Y66" s="281" t="n"/>
      <c r="Z66" s="281" t="n"/>
      <c r="AA66" s="81" t="inlineStr">
        <is>
          <t>黄铭怡</t>
        </is>
      </c>
      <c r="AB66" s="339" t="inlineStr">
        <is>
          <t>是</t>
        </is>
      </c>
      <c r="AC66" s="158" t="inlineStr">
        <is>
          <t>朱悦涵</t>
        </is>
      </c>
      <c r="AD66" s="281" t="inlineStr">
        <is>
          <t>是</t>
        </is>
      </c>
      <c r="AE66" s="281" t="inlineStr">
        <is>
          <t>杨林33</t>
        </is>
      </c>
      <c r="AF66" s="281">
        <f>VLOOKUP(B66,'UV台帐'!B:G,6,0)</f>
        <v/>
      </c>
      <c r="AG66" s="281" t="inlineStr">
        <is>
          <t>三中</t>
        </is>
      </c>
      <c r="AH66" s="281" t="inlineStr">
        <is>
          <t>是</t>
        </is>
      </c>
      <c r="AI66" s="281" t="inlineStr">
        <is>
          <t>家长在忙，暂时时间没有问题。</t>
        </is>
      </c>
      <c r="AJ66" s="426" t="inlineStr">
        <is>
          <t>三中重点班，妈妈反馈比较平淡，父母做档口生意的，问了秋季学习的意向，妈妈反馈我们的题目比较简单，比不上进阶和学而思的难度，已经初步解释。</t>
        </is>
      </c>
      <c r="AK66" s="426" t="inlineStr">
        <is>
          <t>三中重点班，妈妈反馈比较平淡，父母做档口生意的，问了秋季学习的意向，妈妈反馈我们的题目比较简单，比不上进阶和学而思的难度，已经初步解释。</t>
        </is>
      </c>
      <c r="AL66" s="366" t="inlineStr">
        <is>
          <t>B</t>
        </is>
      </c>
      <c r="AM66" s="366" t="inlineStr">
        <is>
          <t>B</t>
        </is>
      </c>
      <c r="AN66" s="366" t="inlineStr">
        <is>
          <t>B</t>
        </is>
      </c>
      <c r="AO66" s="366" t="inlineStr">
        <is>
          <t>B</t>
        </is>
      </c>
      <c r="AP66" s="350" t="inlineStr">
        <is>
          <t>妈妈比较忙，没太多时间关注孩子，爸爸之前询问秋季课程的安排，应该是有秋季课程的规划，目前妈妈比较忙没时间沟通是卡点，以及对课程感知一般</t>
        </is>
      </c>
      <c r="AQ66" s="366" t="inlineStr">
        <is>
          <t>是</t>
        </is>
      </c>
      <c r="AR66" s="359" t="n"/>
      <c r="AS66" s="281">
        <f>COUNTIFS(H66,"零期",I66,"在读")+COUNTIFS(L66,"零期",M66,"在读")+COUNTIFS(P66,"零期",Q66,"在读")</f>
        <v/>
      </c>
      <c r="AT66" s="281">
        <f>AS66-AX66</f>
        <v/>
      </c>
      <c r="AU66" s="366">
        <f>VLOOKUP(B66,'UV台帐'!B:AL,19,0)</f>
        <v/>
      </c>
      <c r="AV66" s="366">
        <f>VLOOKUP(B66,'UV台帐'!B:AL,28,0)</f>
        <v/>
      </c>
      <c r="AW66" s="366">
        <f>VLOOKUP(B66,'UV台帐'!B:AL,37,0)</f>
        <v/>
      </c>
      <c r="AX66" s="281">
        <f>COUNTIFS(H66,"零期",AU66,"是")+COUNTIFS(L66,"零期",AV66,"是")+COUNTIFS(P66,"零期",AW66,"是")</f>
        <v/>
      </c>
      <c r="AZ66" s="350" t="inlineStr">
        <is>
          <t>B类</t>
        </is>
      </c>
      <c r="BA66" s="359" t="n"/>
    </row>
    <row r="67" ht="30" customFormat="1" customHeight="1" s="366">
      <c r="A67" s="281" t="inlineStr">
        <is>
          <t>新宝利</t>
        </is>
      </c>
      <c r="B67" s="281"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n"/>
      <c r="S67" s="281" t="inlineStr">
        <is>
          <t>是</t>
        </is>
      </c>
      <c r="T67" s="281" t="inlineStr">
        <is>
          <t>否</t>
        </is>
      </c>
      <c r="W67" s="281" t="n"/>
      <c r="X67" s="281" t="n"/>
      <c r="Y67" s="281" t="inlineStr">
        <is>
          <t>陈中帅</t>
        </is>
      </c>
      <c r="Z67" s="281" t="n"/>
      <c r="AA67" s="80" t="inlineStr">
        <is>
          <t>陈中帅</t>
        </is>
      </c>
      <c r="AB67" s="281" t="inlineStr">
        <is>
          <t>是</t>
        </is>
      </c>
      <c r="AC67" s="7" t="inlineStr">
        <is>
          <t>杨林</t>
        </is>
      </c>
      <c r="AD67" s="119" t="inlineStr">
        <is>
          <t>是</t>
        </is>
      </c>
      <c r="AE67" s="281" t="inlineStr">
        <is>
          <t>杨林33</t>
        </is>
      </c>
      <c r="AF67" s="281">
        <f>VLOOKUP(B67,'UV台帐'!B:G,6,0)</f>
        <v/>
      </c>
      <c r="AG67" s="281" t="inlineStr">
        <is>
          <t>三中</t>
        </is>
      </c>
      <c r="AH67" s="281" t="inlineStr">
        <is>
          <t>是</t>
        </is>
      </c>
      <c r="AI67" s="281" t="inlineStr">
        <is>
          <t>7.3日下午数学会冲突</t>
        </is>
      </c>
      <c r="AJ67" s="426" t="inlineStr">
        <is>
          <t>25分钟分层走班，英语在外面补习。语文数学有兴趣秋季，已经报过价格，语文想体验后再考虑，报名不着急，周日家长会邀约，妈妈明说已经在其他地方报了秋季课，这边学的好那边随时可以退的</t>
        </is>
      </c>
      <c r="AK67" s="426" t="inlineStr">
        <is>
          <t>25分钟分层走班，英语在外面补习。语文数学有兴趣秋季，已经报过价格，语文想体验后再考虑，报名不着急，周日家长会邀约，妈妈明说已经在其他地方报了秋季课，这边学的好那边随时可以退的</t>
        </is>
      </c>
      <c r="AL67" s="366" t="inlineStr">
        <is>
          <t>A</t>
        </is>
      </c>
      <c r="AM67" s="366" t="inlineStr">
        <is>
          <t>A</t>
        </is>
      </c>
      <c r="AN67" s="366" t="n"/>
      <c r="AO67" s="366" t="n"/>
      <c r="AP67" s="350" t="inlineStr">
        <is>
          <t>学的好会报，比较看重学习效果，卡点在于在其他机构已经安排了秋季的课程，妈妈的原话是学的好考虑这边，那边的课程随时可以退</t>
        </is>
      </c>
      <c r="AQ67" s="366" t="inlineStr">
        <is>
          <t>是</t>
        </is>
      </c>
      <c r="AR67" s="359" t="n"/>
      <c r="AS67" s="281">
        <f>COUNTIFS(H67,"零期",I67,"在读")+COUNTIFS(L67,"零期",M67,"在读")+COUNTIFS(P67,"零期",Q67,"在读")</f>
        <v/>
      </c>
      <c r="AT67" s="281">
        <f>AS67-AX67</f>
        <v/>
      </c>
      <c r="AU67" s="366">
        <f>VLOOKUP(B67,'UV台帐'!B:AL,19,0)</f>
        <v/>
      </c>
      <c r="AV67" s="366">
        <f>VLOOKUP(B67,'UV台帐'!B:AL,28,0)</f>
        <v/>
      </c>
      <c r="AW67" s="366">
        <f>VLOOKUP(B67,'UV台帐'!B:AL,37,0)</f>
        <v/>
      </c>
      <c r="AX67" s="281">
        <f>COUNTIFS(H67,"零期",AU67,"是")+COUNTIFS(L67,"零期",AV67,"是")+COUNTIFS(P67,"零期",AW67,"是")</f>
        <v/>
      </c>
      <c r="AZ67" s="350" t="inlineStr">
        <is>
          <t>A</t>
        </is>
      </c>
      <c r="BA67" s="359" t="n"/>
    </row>
    <row r="68" ht="30" customFormat="1" customHeight="1" s="366">
      <c r="A68" s="281" t="inlineStr">
        <is>
          <t>同创汇</t>
        </is>
      </c>
      <c r="B68" s="281"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n"/>
      <c r="S68" s="281" t="inlineStr">
        <is>
          <t>否</t>
        </is>
      </c>
      <c r="T68" s="281" t="inlineStr">
        <is>
          <t>否</t>
        </is>
      </c>
      <c r="U68" s="281" t="inlineStr">
        <is>
          <t>陈南05</t>
        </is>
      </c>
      <c r="V68" s="281" t="n"/>
      <c r="W68" s="281" t="n"/>
      <c r="X68" s="281" t="n"/>
      <c r="Y68" s="281" t="n"/>
      <c r="Z68" s="281" t="n"/>
      <c r="AA68" s="80" t="inlineStr">
        <is>
          <t>陈中帅</t>
        </is>
      </c>
      <c r="AB68" s="281" t="inlineStr">
        <is>
          <t>是</t>
        </is>
      </c>
      <c r="AC68" s="86" t="n"/>
      <c r="AD68" s="119" t="inlineStr">
        <is>
          <t>否</t>
        </is>
      </c>
      <c r="AE68" s="281" t="inlineStr">
        <is>
          <t>苏丽婷</t>
        </is>
      </c>
      <c r="AF68" s="281">
        <f>VLOOKUP(B68,'UV台帐'!B:G,6,0)</f>
        <v/>
      </c>
      <c r="AG68" s="281" t="inlineStr">
        <is>
          <t>白云铁一</t>
        </is>
      </c>
      <c r="AH68" s="281" t="inlineStr">
        <is>
          <t>是</t>
        </is>
      </c>
      <c r="AI68" s="281" t="inlineStr">
        <is>
          <t>妈妈表示校内有活动，但是校内会请假让孩子来我们这边上课，可正常来上课</t>
        </is>
      </c>
      <c r="AJ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6" t="inlineStr">
        <is>
          <t>A</t>
        </is>
      </c>
      <c r="AM68" s="366" t="inlineStr">
        <is>
          <t>B</t>
        </is>
      </c>
      <c r="AN68" s="366" t="inlineStr">
        <is>
          <t>B</t>
        </is>
      </c>
      <c r="AO68" s="366" t="inlineStr">
        <is>
          <t>B</t>
        </is>
      </c>
      <c r="AP68" s="551" t="inlineStr">
        <is>
          <t>中帅：判B，住白云嘉禾，距离远
陈南：
距离问题
刘希子：</t>
        </is>
      </c>
      <c r="AQ68" s="366" t="inlineStr">
        <is>
          <t>是</t>
        </is>
      </c>
      <c r="AR68" s="359" t="n"/>
      <c r="AS68" s="281">
        <f>COUNTIFS(H68,"零期",I68,"在读")+COUNTIFS(L68,"零期",M68,"在读")+COUNTIFS(P68,"零期",Q68,"在读")</f>
        <v/>
      </c>
      <c r="AT68" s="281">
        <f>AS68-AX68</f>
        <v/>
      </c>
      <c r="AU68" s="366">
        <f>VLOOKUP(B68,'UV台帐'!B:AL,19,0)</f>
        <v/>
      </c>
      <c r="AV68" s="366">
        <f>VLOOKUP(B68,'UV台帐'!B:AL,28,0)</f>
        <v/>
      </c>
      <c r="AW68" s="366">
        <f>VLOOKUP(B68,'UV台帐'!B:AL,37,0)</f>
        <v/>
      </c>
      <c r="AX68" s="281">
        <f>COUNTIFS(H68,"零期",AU68,"是")+COUNTIFS(L68,"零期",AV68,"是")+COUNTIFS(P68,"零期",AW68,"是")</f>
        <v/>
      </c>
      <c r="AZ68" s="350" t="inlineStr">
        <is>
          <t>嘉禾望岗；考虑新宝利；秋季填的大概率会报；</t>
        </is>
      </c>
      <c r="BA68" s="359" t="n"/>
    </row>
    <row r="69" ht="30" customFormat="1" customHeight="1" s="366">
      <c r="A69" s="281" t="inlineStr">
        <is>
          <t>新宝利</t>
        </is>
      </c>
      <c r="B69" s="281"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81" t="n"/>
      <c r="S69" s="281" t="inlineStr">
        <is>
          <t>是</t>
        </is>
      </c>
      <c r="T69" s="281" t="inlineStr">
        <is>
          <t>是</t>
        </is>
      </c>
      <c r="W69" s="281" t="n"/>
      <c r="X69" s="281" t="n"/>
      <c r="Y69" s="281" t="inlineStr">
        <is>
          <t>肖锐03</t>
        </is>
      </c>
      <c r="Z69" s="281" t="n"/>
      <c r="AA69" s="73" t="inlineStr">
        <is>
          <t>肖锐03</t>
        </is>
      </c>
      <c r="AB69" s="281" t="inlineStr">
        <is>
          <t>是</t>
        </is>
      </c>
      <c r="AC69" s="156" t="inlineStr">
        <is>
          <t>铭铭</t>
        </is>
      </c>
      <c r="AD69" s="315" t="inlineStr">
        <is>
          <t>是</t>
        </is>
      </c>
      <c r="AE69" s="281" t="inlineStr">
        <is>
          <t>杨林33</t>
        </is>
      </c>
      <c r="AF69" s="281">
        <f>VLOOKUP(B69,'UV台帐'!B:G,6,0)</f>
        <v/>
      </c>
      <c r="AG69" s="281" t="inlineStr">
        <is>
          <t>三中</t>
        </is>
      </c>
      <c r="AH69" s="281" t="inlineStr">
        <is>
          <t>是</t>
        </is>
      </c>
      <c r="AI69" s="281" t="inlineStr">
        <is>
          <t>时间目前无冲突</t>
        </is>
      </c>
      <c r="AJ69" s="426" t="inlineStr">
        <is>
          <t>孩子对三科老师很喜欢，孩子背诵完容易遗忘，在这边上课目前还是比较满意，摇号去了三中，比较关注分层考，秋季报了乐读，问妈妈秋季的打算，妈妈反馈上完对比之后再做决定</t>
        </is>
      </c>
      <c r="AK69" s="426" t="inlineStr">
        <is>
          <t>孩子对三科老师很喜欢，孩子背诵完容易遗忘，在这边上课目前还是比较满意，摇号去了三中，比较关注分层考，秋季报了乐读，问妈妈秋季的打算，妈妈反馈上完对比之后再做决定</t>
        </is>
      </c>
      <c r="AL69" s="366" t="inlineStr">
        <is>
          <t>C</t>
        </is>
      </c>
      <c r="AM69" s="366" t="inlineStr">
        <is>
          <t>C</t>
        </is>
      </c>
      <c r="AN69" s="366" t="inlineStr">
        <is>
          <t>C</t>
        </is>
      </c>
      <c r="AO69" s="366" t="inlineStr">
        <is>
          <t>C</t>
        </is>
      </c>
      <c r="AP69" s="350" t="inlineStr">
        <is>
          <t>认可课程服务，卡点在于乐读已经报乐秋季的课程，孩子之前没上过线下的课程， 都是线上的为主，后续会涉及到线上线下的课程对比</t>
        </is>
      </c>
      <c r="AQ69" s="366" t="inlineStr">
        <is>
          <t>是</t>
        </is>
      </c>
      <c r="AR69" s="359" t="n"/>
      <c r="AS69" s="281">
        <f>COUNTIFS(H69,"零期",I69,"在读")+COUNTIFS(L69,"零期",M69,"在读")+COUNTIFS(P69,"零期",Q69,"在读")</f>
        <v/>
      </c>
      <c r="AT69" s="281">
        <f>AS69-AX69</f>
        <v/>
      </c>
      <c r="AU69" s="366">
        <f>VLOOKUP(B69,'UV台帐'!B:AL,19,0)</f>
        <v/>
      </c>
      <c r="AV69" s="366">
        <f>VLOOKUP(B69,'UV台帐'!B:AL,28,0)</f>
        <v/>
      </c>
      <c r="AW69" s="366">
        <f>VLOOKUP(B69,'UV台帐'!B:AL,37,0)</f>
        <v/>
      </c>
      <c r="AX69" s="281">
        <f>COUNTIFS(H69,"零期",AU69,"是")+COUNTIFS(L69,"零期",AV69,"是")+COUNTIFS(P69,"零期",AW69,"是")</f>
        <v/>
      </c>
      <c r="AZ69" s="350" t="inlineStr">
        <is>
          <t>对比乐读，先了解，孩子满意。</t>
        </is>
      </c>
      <c r="BA69" s="359" t="n"/>
    </row>
    <row r="70" ht="30" customFormat="1" customHeight="1" s="366">
      <c r="A70" s="281" t="inlineStr">
        <is>
          <t>新宝利</t>
        </is>
      </c>
      <c r="B70" s="281"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inlineStr">
        <is>
          <t>否</t>
        </is>
      </c>
      <c r="T70" s="281" t="inlineStr">
        <is>
          <t>否</t>
        </is>
      </c>
      <c r="W70" s="281" t="inlineStr">
        <is>
          <t>田雨涵01,肖锐03</t>
        </is>
      </c>
      <c r="X70" s="281" t="n"/>
      <c r="Y70" s="281" t="n"/>
      <c r="Z70" s="281" t="n"/>
      <c r="AA70" s="73" t="inlineStr">
        <is>
          <t>田雨涵01</t>
        </is>
      </c>
      <c r="AB70" s="281" t="inlineStr">
        <is>
          <t>是</t>
        </is>
      </c>
      <c r="AC70" s="7" t="inlineStr">
        <is>
          <t>戎凯</t>
        </is>
      </c>
      <c r="AD70" s="315" t="inlineStr">
        <is>
          <t>否</t>
        </is>
      </c>
      <c r="AE70" s="281" t="inlineStr">
        <is>
          <t>王丽</t>
        </is>
      </c>
      <c r="AF70" s="281">
        <f>VLOOKUP(B70,'UV台帐'!B:G,6,0)</f>
        <v/>
      </c>
      <c r="AG70" s="281" t="inlineStr">
        <is>
          <t>等名德消息，初步先定去白省</t>
        </is>
      </c>
      <c r="AH70" s="281" t="inlineStr">
        <is>
          <t>是</t>
        </is>
      </c>
      <c r="AI70" s="281" t="inlineStr">
        <is>
          <t>7.9散学典礼，上午的语文开通回放</t>
        </is>
      </c>
      <c r="AJ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6" t="inlineStr">
        <is>
          <t>A</t>
        </is>
      </c>
      <c r="AM70" s="366" t="n"/>
      <c r="AN70" s="366" t="n"/>
      <c r="AO70" s="366" t="n"/>
      <c r="AP70" s="350" t="n"/>
      <c r="AR70" s="359" t="n"/>
      <c r="AS70" s="281">
        <f>COUNTIFS(H70,"零期",I70,"在读")+COUNTIFS(L70,"零期",M70,"在读")+COUNTIFS(P70,"零期",Q70,"在读")</f>
        <v/>
      </c>
      <c r="AT70" s="281">
        <f>AS70-AX70</f>
        <v/>
      </c>
      <c r="AU70" s="366">
        <f>VLOOKUP(B70,'UV台帐'!B:AL,19,0)</f>
        <v/>
      </c>
      <c r="AV70" s="366">
        <f>VLOOKUP(B70,'UV台帐'!B:AL,28,0)</f>
        <v/>
      </c>
      <c r="AW70" s="366">
        <f>VLOOKUP(B70,'UV台帐'!B:AL,37,0)</f>
        <v/>
      </c>
      <c r="AX70" s="281">
        <f>COUNTIFS(H70,"零期",AU70,"是")+COUNTIFS(L70,"零期",AV70,"是")+COUNTIFS(P70,"零期",AW70,"是")</f>
        <v/>
      </c>
      <c r="AZ70" s="350" t="n"/>
      <c r="BA70" s="359" t="n"/>
    </row>
    <row r="71" ht="30" customFormat="1" customHeight="1" s="366">
      <c r="A71" s="281" t="inlineStr">
        <is>
          <t>新宝利</t>
        </is>
      </c>
      <c r="B71" s="281"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81" t="n"/>
      <c r="S71" s="281" t="inlineStr">
        <is>
          <t>是</t>
        </is>
      </c>
      <c r="T71" s="281" t="inlineStr">
        <is>
          <t>是</t>
        </is>
      </c>
      <c r="W71" s="281" t="inlineStr">
        <is>
          <t>肖锐03</t>
        </is>
      </c>
      <c r="X71" s="281" t="n"/>
      <c r="Y71" s="281" t="n"/>
      <c r="Z71" s="281" t="n"/>
      <c r="AA71" s="73" t="inlineStr">
        <is>
          <t>黄铭怡</t>
        </is>
      </c>
      <c r="AB71" s="281" t="inlineStr">
        <is>
          <t>是</t>
        </is>
      </c>
      <c r="AC71" s="158" t="inlineStr">
        <is>
          <t>陈中帅</t>
        </is>
      </c>
      <c r="AD71" s="315" t="inlineStr">
        <is>
          <t>是</t>
        </is>
      </c>
      <c r="AE71" s="281" t="inlineStr">
        <is>
          <t>林志豪01</t>
        </is>
      </c>
      <c r="AF71" s="281">
        <f>VLOOKUP(B71,'UV台帐'!B:G,6,0)</f>
        <v/>
      </c>
      <c r="AG71" s="281" t="inlineStr">
        <is>
          <t>三中</t>
        </is>
      </c>
      <c r="AH71" s="281" t="inlineStr">
        <is>
          <t>是</t>
        </is>
      </c>
      <c r="AI71" s="281" t="n"/>
      <c r="AJ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6" t="inlineStr">
        <is>
          <t>A</t>
        </is>
      </c>
      <c r="AM71" s="366" t="inlineStr">
        <is>
          <t>A</t>
        </is>
      </c>
      <c r="AN71" s="366" t="inlineStr">
        <is>
          <t>B</t>
        </is>
      </c>
      <c r="AO71" s="366" t="inlineStr">
        <is>
          <t>C</t>
        </is>
      </c>
      <c r="AP71"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6" t="inlineStr">
        <is>
          <t>是</t>
        </is>
      </c>
      <c r="AR71" s="359" t="n"/>
      <c r="AS71" s="281">
        <f>COUNTIFS(H71,"零期",I71,"在读")+COUNTIFS(L71,"零期",M71,"在读")+COUNTIFS(P71,"零期",Q71,"在读")</f>
        <v/>
      </c>
      <c r="AT71" s="281">
        <f>AS71-AX71</f>
        <v/>
      </c>
      <c r="AU71" s="366">
        <f>VLOOKUP(B71,'UV台帐'!B:AL,19,0)</f>
        <v/>
      </c>
      <c r="AV71" s="366">
        <f>VLOOKUP(B71,'UV台帐'!B:AL,28,0)</f>
        <v/>
      </c>
      <c r="AW71" s="366">
        <f>VLOOKUP(B71,'UV台帐'!B:AL,37,0)</f>
        <v/>
      </c>
      <c r="AX71" s="281">
        <f>COUNTIFS(H71,"零期",AU71,"是")+COUNTIFS(L71,"零期",AV71,"是")+COUNTIFS(P71,"零期",AW71,"是")</f>
        <v/>
      </c>
      <c r="AZ71" s="350" t="inlineStr">
        <is>
          <t>着急走，没细聊，了解价格和报告，2-3分钟，价格敏感，孩子觉得语文英语好，妈妈想让他学数学，英语没戏。</t>
        </is>
      </c>
      <c r="BA71" s="359" t="n"/>
    </row>
    <row r="72" ht="30" customFormat="1" customHeight="1" s="366">
      <c r="A72" s="281" t="inlineStr">
        <is>
          <t>同创汇</t>
        </is>
      </c>
      <c r="B72" s="281"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n"/>
      <c r="S72" s="281" t="inlineStr">
        <is>
          <t>是</t>
        </is>
      </c>
      <c r="T72" s="281" t="inlineStr">
        <is>
          <t>是</t>
        </is>
      </c>
      <c r="W72" s="281" t="n"/>
      <c r="X72" s="281" t="n"/>
      <c r="Y72" s="281" t="inlineStr">
        <is>
          <t>刘希子,陈中帅</t>
        </is>
      </c>
      <c r="Z72" s="281" t="n"/>
      <c r="AA72" s="80" t="inlineStr">
        <is>
          <t>陈中帅</t>
        </is>
      </c>
      <c r="AB72" s="281" t="inlineStr">
        <is>
          <t>是</t>
        </is>
      </c>
      <c r="AC72" s="315" t="inlineStr">
        <is>
          <t>杨林</t>
        </is>
      </c>
      <c r="AD72" s="119" t="inlineStr">
        <is>
          <t>是</t>
        </is>
      </c>
      <c r="AE72" s="281" t="inlineStr">
        <is>
          <t>戎凯01</t>
        </is>
      </c>
      <c r="AF72" s="281">
        <f>VLOOKUP(B72,'UV台帐'!B:G,6,0)</f>
        <v/>
      </c>
      <c r="AG72" s="281" t="inlineStr">
        <is>
          <t>16中</t>
        </is>
      </c>
      <c r="AH72" s="281" t="inlineStr">
        <is>
          <t>是</t>
        </is>
      </c>
      <c r="AI72" s="281" t="inlineStr">
        <is>
          <t>29号下午参加毕业典礼，已经说了开回放</t>
        </is>
      </c>
      <c r="AJ72" s="426" t="inlineStr">
        <is>
          <t>希望在语文参加一下竞赛，增强一下自信心，小学没咋上过辅导班，孩子羡慕人家在冰心杯拿奖。希望在做一下分班（希望在难一点的班型）发价格做了解；</t>
        </is>
      </c>
      <c r="AK72" s="426" t="inlineStr">
        <is>
          <t>希望在语文参加一下竞赛，增强一下自信心，小学没咋上过辅导班，孩子羡慕人家在冰心杯拿奖。希望在做一下分班（希望在难一点的班型）发价格做了解；</t>
        </is>
      </c>
      <c r="AL72" s="366" t="inlineStr">
        <is>
          <t>S</t>
        </is>
      </c>
      <c r="AM72" s="366" t="inlineStr">
        <is>
          <t>A</t>
        </is>
      </c>
      <c r="AN72" s="366" t="inlineStr">
        <is>
          <t>A</t>
        </is>
      </c>
      <c r="AO72" s="366" t="inlineStr">
        <is>
          <t>A</t>
        </is>
      </c>
      <c r="AP72" s="350" t="n"/>
      <c r="AQ72" s="366" t="inlineStr">
        <is>
          <t>否</t>
        </is>
      </c>
      <c r="AR72" s="359" t="n"/>
      <c r="AS72" s="281">
        <f>COUNTIFS(H72,"零期",I72,"在读")+COUNTIFS(L72,"零期",M72,"在读")+COUNTIFS(P72,"零期",Q72,"在读")</f>
        <v/>
      </c>
      <c r="AT72" s="281">
        <f>AS72-AX72</f>
        <v/>
      </c>
      <c r="AU72" s="366">
        <f>VLOOKUP(B72,'UV台帐'!B:AL,19,0)</f>
        <v/>
      </c>
      <c r="AV72" s="366">
        <f>VLOOKUP(B72,'UV台帐'!B:AL,28,0)</f>
        <v/>
      </c>
      <c r="AW72" s="366">
        <f>VLOOKUP(B72,'UV台帐'!B:AL,37,0)</f>
        <v/>
      </c>
      <c r="AX72" s="281">
        <f>COUNTIFS(H72,"零期",AU72,"是")+COUNTIFS(L72,"零期",AV72,"是")+COUNTIFS(P72,"零期",AW72,"是")</f>
        <v/>
      </c>
      <c r="AZ72" s="350" t="inlineStr">
        <is>
          <t>妈妈意向三科，非决策人；妈妈不在各个VIP群里，爸爸在群里。目前妈妈对于课程和老师有兴趣，想学三科；但是要和爸爸沟通再做决定。建议跟爸爸沟通后大概率能续的。有支付能力；等爸爸给答复决策</t>
        </is>
      </c>
      <c r="BA72" s="359" t="n"/>
    </row>
    <row r="73" ht="30" customFormat="1" customHeight="1" s="366">
      <c r="A73" s="281" t="inlineStr">
        <is>
          <t>同创汇</t>
        </is>
      </c>
      <c r="B73" s="281"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inlineStr">
        <is>
          <t>是</t>
        </is>
      </c>
      <c r="T73" s="281" t="inlineStr">
        <is>
          <t>否</t>
        </is>
      </c>
      <c r="W73" s="281" t="n"/>
      <c r="X73" s="281" t="n"/>
      <c r="Y73" s="281" t="inlineStr">
        <is>
          <t>刘希子</t>
        </is>
      </c>
      <c r="Z73" s="281" t="n"/>
      <c r="AA73" s="73" t="inlineStr">
        <is>
          <t>刘希子</t>
        </is>
      </c>
      <c r="AB73" s="281" t="inlineStr">
        <is>
          <t>否</t>
        </is>
      </c>
      <c r="AC73" s="315" t="n"/>
      <c r="AD73" s="315" t="inlineStr">
        <is>
          <t>否</t>
        </is>
      </c>
      <c r="AE73" s="281" t="inlineStr">
        <is>
          <t>王丽</t>
        </is>
      </c>
      <c r="AF73" s="281">
        <f>VLOOKUP(B73,'UV台帐'!B:G,6,0)</f>
        <v/>
      </c>
      <c r="AG73" s="281" t="n"/>
      <c r="AH73" s="281" t="inlineStr">
        <is>
          <t>是</t>
        </is>
      </c>
      <c r="AI73" s="281" t="inlineStr">
        <is>
          <t>没问题，英语0期，数学语文1期上</t>
        </is>
      </c>
      <c r="AJ73" s="426" t="inlineStr">
        <is>
          <t>孩子第一节课请假了，第二节课感觉上的挺好挺开心的。之前春季想报名了，结果我们关班了，孩子有点不想上太多辅导课，妈妈是希望孩子学的，但是也需要孩子愿意，需要多上几节课看看</t>
        </is>
      </c>
      <c r="AK73" s="426" t="inlineStr">
        <is>
          <t>孩子第一节课请假了，第二节课感觉上的挺好挺开心的。之前春季想报名了，结果我们关班了，孩子有点不想上太多辅导课，妈妈是希望孩子学的，但是也需要孩子愿意，需要多上几节课看看</t>
        </is>
      </c>
      <c r="AL73" s="366" t="inlineStr">
        <is>
          <t>A</t>
        </is>
      </c>
      <c r="AM73" s="366" t="n"/>
      <c r="AN73" s="366" t="n"/>
      <c r="AO73" s="366" t="inlineStr">
        <is>
          <t>B</t>
        </is>
      </c>
      <c r="AP73" s="350" t="n"/>
      <c r="AR73" s="359" t="n"/>
      <c r="AS73" s="281">
        <f>COUNTIFS(H73,"零期",I73,"在读")+COUNTIFS(L73,"零期",M73,"在读")+COUNTIFS(P73,"零期",Q73,"在读")</f>
        <v/>
      </c>
      <c r="AT73" s="281">
        <f>AS73-AX73</f>
        <v/>
      </c>
      <c r="AU73" s="366">
        <f>VLOOKUP(B73,'UV台帐'!B:AL,19,0)</f>
        <v/>
      </c>
      <c r="AV73" s="366">
        <f>VLOOKUP(B73,'UV台帐'!B:AL,28,0)</f>
        <v/>
      </c>
      <c r="AW73" s="366">
        <f>VLOOKUP(B73,'UV台帐'!B:AL,37,0)</f>
        <v/>
      </c>
      <c r="AX73" s="281">
        <f>COUNTIFS(H73,"零期",AU73,"是")+COUNTIFS(L73,"零期",AV73,"是")+COUNTIFS(P73,"零期",AW73,"是")</f>
        <v/>
      </c>
      <c r="AZ73" s="350" t="inlineStr">
        <is>
          <t>去了新东方，弟弟也在新东方。新东方很难，不适应。有考虑我们</t>
        </is>
      </c>
      <c r="BA73" s="359" t="n"/>
    </row>
    <row r="74" ht="30" customFormat="1" customHeight="1" s="366">
      <c r="A74" s="281" t="inlineStr">
        <is>
          <t>新宝利</t>
        </is>
      </c>
      <c r="B74" s="281"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inlineStr">
        <is>
          <t>是</t>
        </is>
      </c>
      <c r="T74" s="281" t="inlineStr">
        <is>
          <t>否</t>
        </is>
      </c>
      <c r="W74" s="281" t="inlineStr">
        <is>
          <t>田雨涵01,肖锐03</t>
        </is>
      </c>
      <c r="X74" s="281" t="n"/>
      <c r="Y74" s="281" t="n"/>
      <c r="Z74" s="281" t="n"/>
      <c r="AA74" s="80" t="inlineStr">
        <is>
          <t>李润</t>
        </is>
      </c>
      <c r="AB74" s="281" t="inlineStr">
        <is>
          <t>是</t>
        </is>
      </c>
      <c r="AC74" s="7" t="inlineStr">
        <is>
          <t>裴剑锋</t>
        </is>
      </c>
      <c r="AD74" s="119" t="inlineStr">
        <is>
          <t>是</t>
        </is>
      </c>
      <c r="AE74" s="281" t="inlineStr">
        <is>
          <t>杨林33</t>
        </is>
      </c>
      <c r="AF74" s="281">
        <f>VLOOKUP(B74,'UV台帐'!B:G,6,0)</f>
        <v/>
      </c>
      <c r="AG74" s="281" t="inlineStr">
        <is>
          <t>十三中</t>
        </is>
      </c>
      <c r="AH74" s="281" t="inlineStr">
        <is>
          <t>是</t>
        </is>
      </c>
      <c r="AI74" s="281" t="inlineStr">
        <is>
          <t>时间无冲突，毕业典礼已经结束，有长期学习的想法，对新老师不去确定，需要老师重点关注</t>
        </is>
      </c>
      <c r="AJ74" s="426" t="inlineStr">
        <is>
          <t>孩子反馈整体课程还是不错，对课程服务是认可的，管理秋季的学习妈妈不着急，想看开学后校内的情况</t>
        </is>
      </c>
      <c r="AK74" s="426" t="inlineStr">
        <is>
          <t>孩子反馈整体课程还是不错，对课程服务是认可的，管理秋季的学习妈妈不着急，想看开学后校内的情况</t>
        </is>
      </c>
      <c r="AL74" s="366" t="inlineStr">
        <is>
          <t>B</t>
        </is>
      </c>
      <c r="AM74" s="366" t="inlineStr">
        <is>
          <t>B</t>
        </is>
      </c>
      <c r="AN74" s="366" t="inlineStr">
        <is>
          <t>B</t>
        </is>
      </c>
      <c r="AO74" s="366" t="inlineStr">
        <is>
          <t>B</t>
        </is>
      </c>
      <c r="AP74" s="350" t="inlineStr">
        <is>
          <t>妈妈对课程的认可还不错，有秋季安排的打算，目前卡点在于想等开学后根据学校情况再做决定</t>
        </is>
      </c>
      <c r="AQ74" s="366" t="inlineStr">
        <is>
          <t>是</t>
        </is>
      </c>
      <c r="AR74" s="359" t="n"/>
      <c r="AS74" s="281">
        <f>COUNTIFS(H74,"零期",I74,"在读")+COUNTIFS(L74,"零期",M74,"在读")+COUNTIFS(P74,"零期",Q74,"在读")</f>
        <v/>
      </c>
      <c r="AT74" s="281">
        <f>AS74-AX74</f>
        <v/>
      </c>
      <c r="AU74" s="366">
        <f>VLOOKUP(B74,'UV台帐'!B:AL,19,0)</f>
        <v/>
      </c>
      <c r="AV74" s="366">
        <f>VLOOKUP(B74,'UV台帐'!B:AL,28,0)</f>
        <v/>
      </c>
      <c r="AW74" s="366">
        <f>VLOOKUP(B74,'UV台帐'!B:AL,37,0)</f>
        <v/>
      </c>
      <c r="AX74" s="281">
        <f>COUNTIFS(H74,"零期",AU74,"是")+COUNTIFS(L74,"零期",AV74,"是")+COUNTIFS(P74,"零期",AW74,"是")</f>
        <v/>
      </c>
      <c r="AZ74" s="3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9" t="n"/>
    </row>
    <row r="75" ht="30" customFormat="1" customHeight="1" s="366">
      <c r="A75" s="281" t="inlineStr">
        <is>
          <t>同创汇</t>
        </is>
      </c>
      <c r="B75" s="281"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inlineStr">
        <is>
          <t>是</t>
        </is>
      </c>
      <c r="T75" s="281" t="inlineStr">
        <is>
          <t>是</t>
        </is>
      </c>
      <c r="U75" s="281" t="inlineStr">
        <is>
          <t>高心怡04</t>
        </is>
      </c>
      <c r="V75" s="281" t="n"/>
      <c r="W75" s="281" t="inlineStr">
        <is>
          <t>陈中帅</t>
        </is>
      </c>
      <c r="X75" s="281" t="n"/>
      <c r="Y75" s="281" t="n"/>
      <c r="Z75" s="281" t="n"/>
      <c r="AA75" s="73" t="inlineStr">
        <is>
          <t>高心怡04</t>
        </is>
      </c>
      <c r="AB75" s="281" t="inlineStr">
        <is>
          <t>否</t>
        </is>
      </c>
      <c r="AC75" s="315" t="inlineStr">
        <is>
          <t>王达</t>
        </is>
      </c>
      <c r="AD75" s="315" t="inlineStr">
        <is>
          <t>否</t>
        </is>
      </c>
      <c r="AE75" s="281" t="inlineStr">
        <is>
          <t>王达04</t>
        </is>
      </c>
      <c r="AF75" s="281">
        <f>VLOOKUP(B75,'UV台帐'!B:G,6,0)</f>
        <v/>
      </c>
      <c r="AG75" s="281" t="inlineStr">
        <is>
          <t>铁一</t>
        </is>
      </c>
      <c r="AH75" s="281" t="inlineStr">
        <is>
          <t>是</t>
        </is>
      </c>
      <c r="AI75" s="281" t="inlineStr">
        <is>
          <t>无问题，已建群</t>
        </is>
      </c>
      <c r="AJ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6" t="inlineStr">
        <is>
          <t>B</t>
        </is>
      </c>
      <c r="AM75" s="366" t="inlineStr">
        <is>
          <t>B</t>
        </is>
      </c>
      <c r="AN75" s="366" t="inlineStr">
        <is>
          <t>B</t>
        </is>
      </c>
      <c r="AO75" s="366" t="inlineStr">
        <is>
          <t>B</t>
        </is>
      </c>
      <c r="AP75" s="350" t="inlineStr">
        <is>
          <t>中帅：判A，孩子能力还不错，但是目前水平对比越秀学生还有差距，平时跟妈妈下一下危机，妈妈自知孩子从五年级天河到越秀有变化。</t>
        </is>
      </c>
      <c r="AQ75" s="366" t="inlineStr">
        <is>
          <t>是</t>
        </is>
      </c>
      <c r="AR75" s="359" t="inlineStr">
        <is>
          <t>家长满意度：还在犹豫，价格高</t>
        </is>
      </c>
      <c r="AS75" s="281">
        <f>COUNTIFS(H75,"零期",I75,"在读")+COUNTIFS(L75,"零期",M75,"在读")+COUNTIFS(P75,"零期",Q75,"在读")</f>
        <v/>
      </c>
      <c r="AT75" s="281">
        <f>AS75-AX75</f>
        <v/>
      </c>
      <c r="AU75" s="366">
        <f>VLOOKUP(B75,'UV台帐'!B:AL,19,0)</f>
        <v/>
      </c>
      <c r="AV75" s="366">
        <f>VLOOKUP(B75,'UV台帐'!B:AL,28,0)</f>
        <v/>
      </c>
      <c r="AW75" s="366">
        <f>VLOOKUP(B75,'UV台帐'!B:AL,37,0)</f>
        <v/>
      </c>
      <c r="AX75" s="281">
        <f>COUNTIFS(H75,"零期",AU75,"是")+COUNTIFS(L75,"零期",AV75,"是")+COUNTIFS(P75,"零期",AW75,"是")</f>
        <v/>
      </c>
      <c r="AZ75" s="350" t="inlineStr">
        <is>
          <t>价格敏感；约线下面谈，大帅老师。</t>
        </is>
      </c>
      <c r="BA75" s="359" t="n"/>
    </row>
    <row r="76" ht="30" customFormat="1" customHeight="1" s="366">
      <c r="A76" s="281" t="inlineStr">
        <is>
          <t>同创汇</t>
        </is>
      </c>
      <c r="B76" s="281"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81" t="n"/>
      <c r="S76" s="281" t="inlineStr">
        <is>
          <t>是</t>
        </is>
      </c>
      <c r="T76" s="281" t="inlineStr">
        <is>
          <t>是</t>
        </is>
      </c>
      <c r="W76" s="281" t="inlineStr">
        <is>
          <t>高心怡04</t>
        </is>
      </c>
      <c r="X76" s="281" t="n"/>
      <c r="Y76" s="281" t="n"/>
      <c r="Z76" s="281" t="n"/>
      <c r="AA76" s="73" t="inlineStr">
        <is>
          <t>高心怡04</t>
        </is>
      </c>
      <c r="AB76" s="281" t="inlineStr">
        <is>
          <t>是</t>
        </is>
      </c>
      <c r="AC76" s="315" t="inlineStr">
        <is>
          <t>/</t>
        </is>
      </c>
      <c r="AD76" s="315" t="inlineStr">
        <is>
          <t>是</t>
        </is>
      </c>
      <c r="AE76" s="281" t="inlineStr">
        <is>
          <t>戎凯01</t>
        </is>
      </c>
      <c r="AF76" s="281">
        <f>VLOOKUP(B76,'UV台帐'!B:G,6,0)</f>
        <v/>
      </c>
      <c r="AG76" s="281" t="n"/>
      <c r="AH76" s="281" t="inlineStr">
        <is>
          <t>是</t>
        </is>
      </c>
      <c r="AI76" s="281" t="inlineStr">
        <is>
          <t>7.8号下午回校</t>
        </is>
      </c>
      <c r="AJ76" s="426" t="inlineStr">
        <is>
          <t>老生已经续报暑秋</t>
        </is>
      </c>
      <c r="AK76" s="426" t="inlineStr">
        <is>
          <t>老生已经续报暑秋</t>
        </is>
      </c>
      <c r="AL76" s="366" t="n"/>
      <c r="AM76" s="366" t="n"/>
      <c r="AN76" s="366" t="n"/>
      <c r="AO76" s="366" t="n"/>
      <c r="AP76" s="350" t="n"/>
      <c r="AR76" s="359" t="n"/>
      <c r="AS76" s="281">
        <f>COUNTIFS(H76,"零期",I76,"在读")+COUNTIFS(L76,"零期",M76,"在读")+COUNTIFS(P76,"零期",Q76,"在读")</f>
        <v/>
      </c>
      <c r="AT76" s="281">
        <f>AS76-AX76</f>
        <v/>
      </c>
      <c r="AU76" s="366">
        <f>VLOOKUP(B76,'UV台帐'!B:AL,19,0)</f>
        <v/>
      </c>
      <c r="AV76" s="366">
        <f>VLOOKUP(B76,'UV台帐'!B:AL,28,0)</f>
        <v/>
      </c>
      <c r="AW76" s="366">
        <f>VLOOKUP(B76,'UV台帐'!B:AL,37,0)</f>
        <v/>
      </c>
      <c r="AX76" s="281">
        <f>COUNTIFS(H76,"零期",AU76,"是")+COUNTIFS(L76,"零期",AV76,"是")+COUNTIFS(P76,"零期",AW76,"是")</f>
        <v/>
      </c>
      <c r="AZ76" s="350" t="inlineStr">
        <is>
          <t>老生以转化</t>
        </is>
      </c>
      <c r="BA76" s="359" t="n"/>
    </row>
    <row r="77" ht="30" customFormat="1" customHeight="1" s="366">
      <c r="A77" s="281" t="inlineStr">
        <is>
          <t>新宝利</t>
        </is>
      </c>
      <c r="B77" s="281"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inlineStr">
        <is>
          <t>是</t>
        </is>
      </c>
      <c r="T77" s="281" t="inlineStr">
        <is>
          <t>是</t>
        </is>
      </c>
      <c r="W77" s="281" t="n"/>
      <c r="X77" s="281" t="n"/>
      <c r="Y77" s="281" t="n"/>
      <c r="Z77" s="281" t="n"/>
      <c r="AA77" s="73" t="inlineStr">
        <is>
          <t>李润</t>
        </is>
      </c>
      <c r="AB77" s="281" t="inlineStr">
        <is>
          <t>否</t>
        </is>
      </c>
      <c r="AC77" s="315" t="n"/>
      <c r="AD77" s="315" t="inlineStr">
        <is>
          <t>否</t>
        </is>
      </c>
      <c r="AE77" s="281" t="inlineStr">
        <is>
          <t>林志豪01</t>
        </is>
      </c>
      <c r="AF77" s="281">
        <f>VLOOKUP(B77,'UV台帐'!B:G,6,0)</f>
        <v/>
      </c>
      <c r="AG77" s="281" t="inlineStr">
        <is>
          <t>烧鸡</t>
        </is>
      </c>
      <c r="AH77" s="281" t="inlineStr">
        <is>
          <t>是</t>
        </is>
      </c>
      <c r="AI77" s="281" t="inlineStr">
        <is>
          <t>换师待沟通+时间有问题，</t>
        </is>
      </c>
      <c r="AJ77" s="426" t="inlineStr">
        <is>
          <t>妈咪啥都不知道的，张曦元家住，孩子上的挺开心的，成绩也还行，意向度一般</t>
        </is>
      </c>
      <c r="AK77" s="426" t="inlineStr">
        <is>
          <t>妈咪啥都不知道的，张曦元家住，孩子上的挺开心的，成绩也还行，意向度一般</t>
        </is>
      </c>
      <c r="AL77" s="366" t="inlineStr">
        <is>
          <t>B</t>
        </is>
      </c>
      <c r="AM77" s="366" t="inlineStr">
        <is>
          <t>B</t>
        </is>
      </c>
      <c r="AN77" s="366" t="inlineStr">
        <is>
          <t>B</t>
        </is>
      </c>
      <c r="AO77" s="366" t="inlineStr">
        <is>
          <t>B</t>
        </is>
      </c>
      <c r="AP77" s="350" t="inlineStr">
        <is>
          <t>妈咪啥都不知道的，张曦元家住，孩子上的挺开心的，成绩也还行，意向度一般，1、白云有距离问题，2、妈咪教育意识一般一问三不知，平时都是放养的</t>
        </is>
      </c>
      <c r="AR77" s="359" t="n"/>
      <c r="AS77" s="281">
        <f>COUNTIFS(H77,"零期",I77,"在读")+COUNTIFS(L77,"零期",M77,"在读")+COUNTIFS(P77,"零期",Q77,"在读")</f>
        <v/>
      </c>
      <c r="AT77" s="281">
        <f>AS77-AX77</f>
        <v/>
      </c>
      <c r="AU77" s="366">
        <f>VLOOKUP(B77,'UV台帐'!B:AL,19,0)</f>
        <v/>
      </c>
      <c r="AV77" s="366">
        <f>VLOOKUP(B77,'UV台帐'!B:AL,28,0)</f>
        <v/>
      </c>
      <c r="AW77" s="366">
        <f>VLOOKUP(B77,'UV台帐'!B:AL,37,0)</f>
        <v/>
      </c>
      <c r="AX77" s="281">
        <f>COUNTIFS(H77,"零期",AU77,"是")+COUNTIFS(L77,"零期",AV77,"是")+COUNTIFS(P77,"零期",AW77,"是")</f>
        <v/>
      </c>
      <c r="AZ77" s="350" t="n"/>
      <c r="BA77" s="359" t="n"/>
    </row>
    <row r="78" ht="30" customFormat="1" customHeight="1" s="366">
      <c r="A78" s="281" t="inlineStr">
        <is>
          <t>同创汇</t>
        </is>
      </c>
      <c r="B78" s="281"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n"/>
      <c r="S78" s="281" t="inlineStr">
        <is>
          <t>是</t>
        </is>
      </c>
      <c r="T78" s="281" t="inlineStr">
        <is>
          <t>是</t>
        </is>
      </c>
      <c r="W78" s="281" t="n"/>
      <c r="X78" s="281" t="n"/>
      <c r="Y78" s="281" t="inlineStr">
        <is>
          <t>陈中帅</t>
        </is>
      </c>
      <c r="Z78" s="281" t="n"/>
      <c r="AA78" s="73" t="inlineStr">
        <is>
          <t>陈中帅</t>
        </is>
      </c>
      <c r="AB78" s="281" t="inlineStr">
        <is>
          <t>否</t>
        </is>
      </c>
      <c r="AC78" s="315" t="inlineStr">
        <is>
          <t>/</t>
        </is>
      </c>
      <c r="AD78" s="315" t="inlineStr">
        <is>
          <t>否</t>
        </is>
      </c>
      <c r="AE78" s="281" t="inlineStr">
        <is>
          <t>王丽</t>
        </is>
      </c>
      <c r="AF78" s="281">
        <f>VLOOKUP(B78,'UV台帐'!B:G,6,0)</f>
        <v/>
      </c>
      <c r="AG78" s="281" t="inlineStr">
        <is>
          <t>还不知道</t>
        </is>
      </c>
      <c r="AH78" s="281" t="inlineStr">
        <is>
          <t>是</t>
        </is>
      </c>
      <c r="AI78" s="281" t="inlineStr">
        <is>
          <t>29号当天有毕业典礼，上午可以正常上课，下午可能上一半就需要走，开回放</t>
        </is>
      </c>
      <c r="AJ78" s="426" t="inlineStr">
        <is>
          <t>老生已经暑秋连报</t>
        </is>
      </c>
      <c r="AK78" s="426" t="inlineStr">
        <is>
          <t>老生已经暑秋连报</t>
        </is>
      </c>
      <c r="AL78" s="366" t="n"/>
      <c r="AM78" s="366" t="n"/>
      <c r="AN78" s="366" t="n"/>
      <c r="AO78" s="366" t="n"/>
      <c r="AP78" s="350" t="n"/>
      <c r="AR78" s="359" t="n"/>
      <c r="AS78" s="281">
        <f>COUNTIFS(H78,"零期",I78,"在读")+COUNTIFS(L78,"零期",M78,"在读")+COUNTIFS(P78,"零期",Q78,"在读")</f>
        <v/>
      </c>
      <c r="AT78" s="281">
        <f>AS78-AX78</f>
        <v/>
      </c>
      <c r="AU78" s="366">
        <f>VLOOKUP(B78,'UV台帐'!B:AL,19,0)</f>
        <v/>
      </c>
      <c r="AV78" s="366">
        <f>VLOOKUP(B78,'UV台帐'!B:AL,28,0)</f>
        <v/>
      </c>
      <c r="AW78" s="366">
        <f>VLOOKUP(B78,'UV台帐'!B:AL,37,0)</f>
        <v/>
      </c>
      <c r="AX78" s="281">
        <f>COUNTIFS(H78,"零期",AU78,"是")+COUNTIFS(L78,"零期",AV78,"是")+COUNTIFS(P78,"零期",AW78,"是")</f>
        <v/>
      </c>
      <c r="AZ78" s="350" t="n"/>
      <c r="BA78" s="359" t="n"/>
    </row>
    <row r="79" ht="30" customFormat="1" customHeight="1" s="366">
      <c r="A79" s="281" t="inlineStr">
        <is>
          <t>同创汇</t>
        </is>
      </c>
      <c r="B79" s="281"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inlineStr">
        <is>
          <t>否</t>
        </is>
      </c>
      <c r="T79" s="281" t="inlineStr">
        <is>
          <t>否</t>
        </is>
      </c>
      <c r="W79" s="281" t="n"/>
      <c r="X79" s="281" t="n"/>
      <c r="Y79" s="281" t="inlineStr">
        <is>
          <t>黄铭怡</t>
        </is>
      </c>
      <c r="Z79" s="281" t="n"/>
      <c r="AA79" s="80" t="inlineStr">
        <is>
          <t>陈中帅</t>
        </is>
      </c>
      <c r="AB79" s="281" t="inlineStr">
        <is>
          <t>是</t>
        </is>
      </c>
      <c r="AC79" s="315" t="inlineStr">
        <is>
          <t>沈思浩</t>
        </is>
      </c>
      <c r="AD79" s="119" t="inlineStr">
        <is>
          <t>是</t>
        </is>
      </c>
      <c r="AE79" s="281" t="inlineStr">
        <is>
          <t>沈思浩</t>
        </is>
      </c>
      <c r="AF79" s="281">
        <f>VLOOKUP(B79,'UV台帐'!B:G,6,0)</f>
        <v/>
      </c>
      <c r="AG79" s="281" t="inlineStr">
        <is>
          <t>广中</t>
        </is>
      </c>
      <c r="AH79" s="281" t="inlineStr">
        <is>
          <t>是</t>
        </is>
      </c>
      <c r="AI79" s="281" t="inlineStr">
        <is>
          <t>没问题照常安排就行</t>
        </is>
      </c>
      <c r="AJ79" s="426" t="inlineStr">
        <is>
          <t>英语没开课，语文和数学已续报</t>
        </is>
      </c>
      <c r="AK79" s="426" t="inlineStr">
        <is>
          <t>英语没开课，语文和数学已续报</t>
        </is>
      </c>
      <c r="AL79" s="366" t="n"/>
      <c r="AM79" s="366" t="n"/>
      <c r="AN79" s="366" t="n"/>
      <c r="AO79" s="366" t="n"/>
      <c r="AP79" s="350" t="n"/>
      <c r="AQ79" s="366" t="inlineStr">
        <is>
          <t>是</t>
        </is>
      </c>
      <c r="AR79" s="359" t="n"/>
      <c r="AS79" s="281">
        <f>COUNTIFS(H79,"零期",I79,"在读")+COUNTIFS(L79,"零期",M79,"在读")+COUNTIFS(P79,"零期",Q79,"在读")</f>
        <v/>
      </c>
      <c r="AT79" s="281">
        <f>AS79-AX79</f>
        <v/>
      </c>
      <c r="AU79" s="366">
        <f>VLOOKUP(B79,'UV台帐'!B:AL,19,0)</f>
        <v/>
      </c>
      <c r="AV79" s="366">
        <f>VLOOKUP(B79,'UV台帐'!B:AL,28,0)</f>
        <v/>
      </c>
      <c r="AW79" s="366">
        <f>VLOOKUP(B79,'UV台帐'!B:AL,37,0)</f>
        <v/>
      </c>
      <c r="AX79" s="281">
        <f>COUNTIFS(H79,"零期",AU79,"是")+COUNTIFS(L79,"零期",AV79,"是")+COUNTIFS(P79,"零期",AW79,"是")</f>
        <v/>
      </c>
      <c r="AZ79" s="350" t="n"/>
      <c r="BA79" s="359" t="n"/>
    </row>
    <row r="80" ht="30" customFormat="1" customHeight="1" s="366">
      <c r="A80" s="281" t="inlineStr">
        <is>
          <t>同创汇</t>
        </is>
      </c>
      <c r="B80" s="281"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inlineStr">
        <is>
          <t>是</t>
        </is>
      </c>
      <c r="T80" s="281" t="inlineStr">
        <is>
          <t>否</t>
        </is>
      </c>
      <c r="W80" s="281" t="n"/>
      <c r="X80" s="281" t="n"/>
      <c r="Y80" s="281" t="inlineStr">
        <is>
          <t>刘希子</t>
        </is>
      </c>
      <c r="Z80" s="281" t="n"/>
      <c r="AA80" s="73" t="inlineStr">
        <is>
          <t>刘希子</t>
        </is>
      </c>
      <c r="AB80" s="281" t="inlineStr">
        <is>
          <t>否</t>
        </is>
      </c>
      <c r="AC80" s="315" t="n"/>
      <c r="AD80" s="315" t="inlineStr">
        <is>
          <t>否</t>
        </is>
      </c>
      <c r="AE80" s="281" t="inlineStr">
        <is>
          <t>戎凯01</t>
        </is>
      </c>
      <c r="AF80" s="281">
        <f>VLOOKUP(B80,'UV台帐'!B:G,6,0)</f>
        <v/>
      </c>
      <c r="AG80" s="281" t="inlineStr">
        <is>
          <t>育才</t>
        </is>
      </c>
      <c r="AH80" s="281" t="inlineStr">
        <is>
          <t>是</t>
        </is>
      </c>
      <c r="AI80" s="281" t="inlineStr">
        <is>
          <t>可正常来上课</t>
        </is>
      </c>
      <c r="AJ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6" t="inlineStr">
        <is>
          <t>S</t>
        </is>
      </c>
      <c r="AM80" s="366" t="n"/>
      <c r="AN80" s="366" t="n"/>
      <c r="AO80" s="366" t="inlineStr">
        <is>
          <t>S</t>
        </is>
      </c>
      <c r="AP80" s="350" t="n"/>
      <c r="AR80" s="359" t="n"/>
      <c r="AS80" s="281">
        <f>COUNTIFS(H80,"零期",I80,"在读")+COUNTIFS(L80,"零期",M80,"在读")+COUNTIFS(P80,"零期",Q80,"在读")</f>
        <v/>
      </c>
      <c r="AT80" s="281">
        <f>AS80-AX80</f>
        <v/>
      </c>
      <c r="AU80" s="366">
        <f>VLOOKUP(B80,'UV台帐'!B:AL,19,0)</f>
        <v/>
      </c>
      <c r="AV80" s="366">
        <f>VLOOKUP(B80,'UV台帐'!B:AL,28,0)</f>
        <v/>
      </c>
      <c r="AW80" s="366">
        <f>VLOOKUP(B80,'UV台帐'!B:AL,37,0)</f>
        <v/>
      </c>
      <c r="AX80" s="281">
        <f>COUNTIFS(H80,"零期",AU80,"是")+COUNTIFS(L80,"零期",AV80,"是")+COUNTIFS(P80,"零期",AW80,"是")</f>
        <v/>
      </c>
      <c r="AZ80" s="350" t="inlineStr">
        <is>
          <t>英语；孩子挺好的。考虑约线下面谈；妈妈态度冷淡；需要戎凯沟通。</t>
        </is>
      </c>
      <c r="BA80" s="359" t="n"/>
    </row>
    <row r="81" ht="30" customFormat="1" customHeight="1" s="366">
      <c r="A81" s="281" t="inlineStr">
        <is>
          <t>新宝利</t>
        </is>
      </c>
      <c r="B81" s="281"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81" t="n"/>
      <c r="S81" s="281" t="inlineStr">
        <is>
          <t>是</t>
        </is>
      </c>
      <c r="T81" s="281" t="inlineStr">
        <is>
          <t>是</t>
        </is>
      </c>
      <c r="W81" s="281" t="n"/>
      <c r="X81" s="281" t="n"/>
      <c r="Y81" s="281" t="inlineStr">
        <is>
          <t>田雨涵01</t>
        </is>
      </c>
      <c r="Z81" s="281" t="n"/>
      <c r="AA81" s="73" t="inlineStr">
        <is>
          <t>黄铭怡</t>
        </is>
      </c>
      <c r="AB81" s="339" t="inlineStr">
        <is>
          <t>是</t>
        </is>
      </c>
      <c r="AC81" s="7" t="inlineStr">
        <is>
          <t>王丽</t>
        </is>
      </c>
      <c r="AD81" s="315" t="inlineStr">
        <is>
          <t>否</t>
        </is>
      </c>
      <c r="AE81" s="281" t="inlineStr">
        <is>
          <t>王丽</t>
        </is>
      </c>
      <c r="AF81" s="281">
        <f>VLOOKUP(B81,'UV台帐'!B:G,6,0)</f>
        <v/>
      </c>
      <c r="AG81" s="281" t="inlineStr">
        <is>
          <t>二中</t>
        </is>
      </c>
      <c r="AH81" s="281" t="inlineStr">
        <is>
          <t>是</t>
        </is>
      </c>
      <c r="AI81" s="281" t="inlineStr">
        <is>
          <t>没问题</t>
        </is>
      </c>
      <c r="AJ81" s="426" t="inlineStr">
        <is>
          <t>电话未接，妈妈比较关注孩子的状态，一天上三科比较疲惫，但孩子还是说可以坚持，得再观望下孩子适应程度。之前没有上过机构的，是上门家教，需要先上多几天看看</t>
        </is>
      </c>
      <c r="AK81" s="426" t="inlineStr">
        <is>
          <t>电话未接，妈妈比较关注孩子的状态，一天上三科比较疲惫，但孩子还是说可以坚持，得再观望下孩子适应程度。之前没有上过机构的，是上门家教，需要先上多几天看看</t>
        </is>
      </c>
      <c r="AL81" s="366" t="inlineStr">
        <is>
          <t>A</t>
        </is>
      </c>
      <c r="AM81" s="366" t="n"/>
      <c r="AN81" s="366" t="inlineStr">
        <is>
          <t>A</t>
        </is>
      </c>
      <c r="AO81" s="366" t="n"/>
      <c r="AP81" s="350" t="inlineStr">
        <is>
          <t>孩子上课专注，主动给老师送了漫画图，家长要看效果续报</t>
        </is>
      </c>
      <c r="AQ81" s="366" t="inlineStr">
        <is>
          <t>是</t>
        </is>
      </c>
      <c r="AR81" s="359" t="n"/>
      <c r="AS81" s="281">
        <f>COUNTIFS(H81,"零期",I81,"在读")+COUNTIFS(L81,"零期",M81,"在读")+COUNTIFS(P81,"零期",Q81,"在读")</f>
        <v/>
      </c>
      <c r="AT81" s="281">
        <f>AS81-AX81</f>
        <v/>
      </c>
      <c r="AU81" s="366">
        <f>VLOOKUP(B81,'UV台帐'!B:AL,19,0)</f>
        <v/>
      </c>
      <c r="AV81" s="366">
        <f>VLOOKUP(B81,'UV台帐'!B:AL,28,0)</f>
        <v/>
      </c>
      <c r="AW81" s="366">
        <f>VLOOKUP(B81,'UV台帐'!B:AL,37,0)</f>
        <v/>
      </c>
      <c r="AX81" s="281">
        <f>COUNTIFS(H81,"零期",AU81,"是")+COUNTIFS(L81,"零期",AV81,"是")+COUNTIFS(P81,"零期",AW81,"是")</f>
        <v/>
      </c>
      <c r="AZ81" s="350" t="n"/>
      <c r="BA81" s="359" t="n"/>
    </row>
    <row r="82" ht="30" customFormat="1" customHeight="1" s="366">
      <c r="A82" s="281" t="inlineStr">
        <is>
          <t>新宝利</t>
        </is>
      </c>
      <c r="B82" s="281"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inlineStr">
        <is>
          <t>否</t>
        </is>
      </c>
      <c r="T82" s="281" t="inlineStr">
        <is>
          <t>否</t>
        </is>
      </c>
      <c r="W82" s="281" t="inlineStr">
        <is>
          <t>肖锐03</t>
        </is>
      </c>
      <c r="X82" s="281" t="n"/>
      <c r="Y82" s="281" t="n"/>
      <c r="Z82" s="281" t="n"/>
      <c r="AA82" s="80" t="inlineStr">
        <is>
          <t>李润</t>
        </is>
      </c>
      <c r="AB82" s="281" t="inlineStr">
        <is>
          <t>是</t>
        </is>
      </c>
      <c r="AC82" s="119" t="inlineStr">
        <is>
          <t>沈思浩</t>
        </is>
      </c>
      <c r="AD82" s="119" t="inlineStr">
        <is>
          <t>是</t>
        </is>
      </c>
      <c r="AE82" s="281" t="inlineStr">
        <is>
          <t>林志豪01</t>
        </is>
      </c>
      <c r="AF82" s="281">
        <f>VLOOKUP(B82,'UV台帐'!B:G,6,0)</f>
        <v/>
      </c>
      <c r="AG82" s="281" t="inlineStr">
        <is>
          <t>西雅</t>
        </is>
      </c>
      <c r="AH82" s="281" t="inlineStr">
        <is>
          <t>是</t>
        </is>
      </c>
      <c r="AI82" s="281" t="n"/>
      <c r="AJ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6" t="inlineStr">
        <is>
          <t>A</t>
        </is>
      </c>
      <c r="AM82" s="366" t="inlineStr">
        <is>
          <t>C</t>
        </is>
      </c>
      <c r="AN82" s="366" t="inlineStr">
        <is>
          <t>A</t>
        </is>
      </c>
      <c r="AO82" s="366" t="inlineStr">
        <is>
          <t>C</t>
        </is>
      </c>
      <c r="AP82" s="350" t="inlineStr">
        <is>
          <t>1，偏简单他自己觉得，孩子之前数学英语都是线下上，语文是我们线上作业帮想了解线下的情况，看看要不要转线下。8月25那周分层，希望能提前学，考好点，卡点，有在别的机构学数学英语。</t>
        </is>
      </c>
      <c r="AR82" s="359" t="n"/>
      <c r="AS82" s="281">
        <f>COUNTIFS(H82,"零期",I82,"在读")+COUNTIFS(L82,"零期",M82,"在读")+COUNTIFS(P82,"零期",Q82,"在读")</f>
        <v/>
      </c>
      <c r="AT82" s="281">
        <f>AS82-AX82</f>
        <v/>
      </c>
      <c r="AU82" s="366">
        <f>VLOOKUP(B82,'UV台帐'!B:AL,19,0)</f>
        <v/>
      </c>
      <c r="AV82" s="366">
        <f>VLOOKUP(B82,'UV台帐'!B:AL,28,0)</f>
        <v/>
      </c>
      <c r="AW82" s="366">
        <f>VLOOKUP(B82,'UV台帐'!B:AL,37,0)</f>
        <v/>
      </c>
      <c r="AX82" s="281">
        <f>COUNTIFS(H82,"零期",AU82,"是")+COUNTIFS(L82,"零期",AV82,"是")+COUNTIFS(P82,"零期",AW82,"是")</f>
        <v/>
      </c>
      <c r="AZ82" s="3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9" t="n"/>
    </row>
    <row r="83" ht="30" customFormat="1" customHeight="1" s="366">
      <c r="A83" s="281" t="inlineStr">
        <is>
          <t>同创汇</t>
        </is>
      </c>
      <c r="B83" s="281"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81" t="n"/>
      <c r="S83" s="281" t="inlineStr">
        <is>
          <t>否</t>
        </is>
      </c>
      <c r="T83" s="281" t="inlineStr">
        <is>
          <t>否</t>
        </is>
      </c>
      <c r="U83" s="281" t="inlineStr">
        <is>
          <t>田雨涵01</t>
        </is>
      </c>
      <c r="V83" s="281" t="n"/>
      <c r="W83" s="281" t="inlineStr">
        <is>
          <t>田雨涵01,刘希子</t>
        </is>
      </c>
      <c r="X83" s="281" t="n"/>
      <c r="Y83" s="281" t="inlineStr">
        <is>
          <t>陈南05</t>
        </is>
      </c>
      <c r="Z83" s="281" t="n"/>
      <c r="AA83" s="73" t="inlineStr">
        <is>
          <t>陈南05</t>
        </is>
      </c>
      <c r="AB83" s="281" t="inlineStr">
        <is>
          <t>是</t>
        </is>
      </c>
      <c r="AC83" s="315" t="inlineStr">
        <is>
          <t>陈南</t>
        </is>
      </c>
      <c r="AD83" s="315" t="inlineStr">
        <is>
          <t>是</t>
        </is>
      </c>
      <c r="AE83" s="281" t="inlineStr">
        <is>
          <t>王丽</t>
        </is>
      </c>
      <c r="AF83" s="281">
        <f>VLOOKUP(B83,'UV台帐'!B:G,6,0)</f>
        <v/>
      </c>
      <c r="AG83" s="281" t="inlineStr">
        <is>
          <t>育才</t>
        </is>
      </c>
      <c r="AH83" s="281" t="inlineStr">
        <is>
          <t>是</t>
        </is>
      </c>
      <c r="AI83" s="281" t="inlineStr">
        <is>
          <t>10号上午要去拿成绩单，说了给孩子开回放</t>
        </is>
      </c>
      <c r="AJ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6" t="inlineStr">
        <is>
          <t>S</t>
        </is>
      </c>
      <c r="AM83" s="366" t="inlineStr">
        <is>
          <t>S</t>
        </is>
      </c>
      <c r="AN83" s="366" t="inlineStr">
        <is>
          <t>S</t>
        </is>
      </c>
      <c r="AO83" s="366" t="n"/>
      <c r="AP83" s="552" t="inlineStr">
        <is>
          <t>数学：孩子跟不上
语文：三科里面比较好的，上课还可以</t>
        </is>
      </c>
      <c r="AR83" s="359" t="n"/>
      <c r="AS83" s="281">
        <f>COUNTIFS(H83,"零期",I83,"在读")+COUNTIFS(L83,"零期",M83,"在读")+COUNTIFS(P83,"零期",Q83,"在读")</f>
        <v/>
      </c>
      <c r="AT83" s="281">
        <f>AS83-AX83</f>
        <v/>
      </c>
      <c r="AU83" s="366">
        <f>VLOOKUP(B83,'UV台帐'!B:AL,19,0)</f>
        <v/>
      </c>
      <c r="AV83" s="366">
        <f>VLOOKUP(B83,'UV台帐'!B:AL,28,0)</f>
        <v/>
      </c>
      <c r="AW83" s="366">
        <f>VLOOKUP(B83,'UV台帐'!B:AL,37,0)</f>
        <v/>
      </c>
      <c r="AX83" s="281">
        <f>COUNTIFS(H83,"零期",AU83,"是")+COUNTIFS(L83,"零期",AV83,"是")+COUNTIFS(P83,"零期",AW83,"是")</f>
        <v/>
      </c>
      <c r="AZ83" s="350" t="inlineStr">
        <is>
          <t>妈妈说明天来校区缴费，现金</t>
        </is>
      </c>
      <c r="BA83" s="359" t="n"/>
    </row>
    <row r="84" ht="30" customFormat="1" customHeight="1" s="366">
      <c r="A84" s="281" t="inlineStr">
        <is>
          <t>新宝利</t>
        </is>
      </c>
      <c r="B84" s="281"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81" t="n"/>
      <c r="S84" s="281" t="inlineStr">
        <is>
          <t>是</t>
        </is>
      </c>
      <c r="T84" s="281" t="inlineStr">
        <is>
          <t>是</t>
        </is>
      </c>
      <c r="W84" s="281" t="n"/>
      <c r="X84" s="281" t="n"/>
      <c r="AA84" s="73" t="inlineStr">
        <is>
          <t>肖锐03</t>
        </is>
      </c>
      <c r="AB84" s="281" t="inlineStr">
        <is>
          <t>是</t>
        </is>
      </c>
      <c r="AC84" s="421" t="inlineStr">
        <is>
          <t>汪汪</t>
        </is>
      </c>
      <c r="AD84" s="315" t="inlineStr">
        <is>
          <t>否</t>
        </is>
      </c>
      <c r="AE84" s="281" t="inlineStr">
        <is>
          <t>林志豪01</t>
        </is>
      </c>
      <c r="AF84" s="281">
        <f>VLOOKUP(B84,'UV台帐'!B:G,6,0)</f>
        <v/>
      </c>
      <c r="AG84" s="281" t="inlineStr">
        <is>
          <t>江外</t>
        </is>
      </c>
      <c r="AH84" s="281" t="inlineStr">
        <is>
          <t>是</t>
        </is>
      </c>
      <c r="AI84" s="281" t="n"/>
      <c r="AJ84" s="426" t="inlineStr">
        <is>
          <t>很满意我们的服务，特别大帅老师，孩子一直很喜欢，觉得老师很有威严，教的很好，多关注一下，他上久了会散，要多关注。孩子平时作业的比较多，秋季已报名数学，其他要看孩子愿意不</t>
        </is>
      </c>
      <c r="AK84" s="426" t="inlineStr">
        <is>
          <t>很满意我们的服务，特别大帅老师，孩子一直很喜欢，觉得老师很有威严，教的很好，多关注一下，他上久了会散，要多关注。孩子平时作业的比较多，秋季已报名数学，其他要看孩子愿意不</t>
        </is>
      </c>
      <c r="AL84" s="366" t="inlineStr">
        <is>
          <t>B</t>
        </is>
      </c>
      <c r="AM84" s="366" t="n"/>
      <c r="AN84" s="366" t="inlineStr">
        <is>
          <t>B</t>
        </is>
      </c>
      <c r="AO84" s="366" t="inlineStr">
        <is>
          <t>B</t>
        </is>
      </c>
      <c r="AP84" s="350" t="inlineStr">
        <is>
          <t>1、在读学员有加持2、但是觉得孩子会累压力大，3、看孩子意愿，愿意可以</t>
        </is>
      </c>
      <c r="AQ84" s="366" t="inlineStr">
        <is>
          <t>是</t>
        </is>
      </c>
      <c r="AR84" s="359" t="n"/>
      <c r="AS84" s="281">
        <f>COUNTIFS(H84,"零期",I84,"在读")+COUNTIFS(L84,"零期",M84,"在读")+COUNTIFS(P84,"零期",Q84,"在读")</f>
        <v/>
      </c>
      <c r="AT84" s="281">
        <f>AS84-AX84</f>
        <v/>
      </c>
      <c r="AU84" s="366">
        <f>VLOOKUP(B84,'UV台帐'!B:AL,19,0)</f>
        <v/>
      </c>
      <c r="AV84" s="366">
        <f>VLOOKUP(B84,'UV台帐'!B:AL,28,0)</f>
        <v/>
      </c>
      <c r="AW84" s="366">
        <f>VLOOKUP(B84,'UV台帐'!B:AL,37,0)</f>
        <v/>
      </c>
      <c r="AX84" s="281">
        <f>COUNTIFS(H84,"零期",AU84,"是")+COUNTIFS(L84,"零期",AV84,"是")+COUNTIFS(P84,"零期",AW84,"是")</f>
        <v/>
      </c>
      <c r="AZ84" s="350" t="n"/>
      <c r="BA84" s="359" t="n"/>
    </row>
    <row r="85" ht="30" customFormat="1" customHeight="1" s="366">
      <c r="A85" s="281" t="inlineStr">
        <is>
          <t>同创汇</t>
        </is>
      </c>
      <c r="B85" s="281"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n"/>
      <c r="S85" s="281" t="inlineStr">
        <is>
          <t>否</t>
        </is>
      </c>
      <c r="T85" s="281" t="inlineStr">
        <is>
          <t>否</t>
        </is>
      </c>
      <c r="W85" s="281" t="inlineStr">
        <is>
          <t>陈南05</t>
        </is>
      </c>
      <c r="X85" s="281" t="n"/>
      <c r="Y85" s="281" t="inlineStr">
        <is>
          <t>田雨涵01</t>
        </is>
      </c>
      <c r="Z85" s="281" t="n"/>
      <c r="AA85" s="73" t="inlineStr">
        <is>
          <t>陈南05</t>
        </is>
      </c>
      <c r="AB85" s="7" t="inlineStr">
        <is>
          <t>是</t>
        </is>
      </c>
      <c r="AC85" s="315" t="inlineStr">
        <is>
          <t>尚歆</t>
        </is>
      </c>
      <c r="AD85" s="315" t="inlineStr">
        <is>
          <t>是</t>
        </is>
      </c>
      <c r="AE85" s="281" t="inlineStr">
        <is>
          <t>戎凯01</t>
        </is>
      </c>
      <c r="AF85" s="281">
        <f>VLOOKUP(B85,'UV台帐'!B:G,6,0)</f>
        <v/>
      </c>
      <c r="AG85" s="281" t="inlineStr">
        <is>
          <t>培正</t>
        </is>
      </c>
      <c r="AH85" s="281" t="inlineStr">
        <is>
          <t>是</t>
        </is>
      </c>
      <c r="AI85" s="281" t="inlineStr">
        <is>
          <t>7.2号可能需要请假半天，需要补课</t>
        </is>
      </c>
      <c r="AJ85" s="426" t="inlineStr">
        <is>
          <t>可以考虑秋季，看孩子意愿，希望有好的出口，目前来说还挺满意，家长需要进行一次旁听，看一下我们老师的授课</t>
        </is>
      </c>
      <c r="AK85" s="426" t="inlineStr">
        <is>
          <t>可以考虑秋季，看孩子意愿，希望有好的出口，目前来说还挺满意，家长需要进行一次旁听，看一下我们老师的授课</t>
        </is>
      </c>
      <c r="AL85" s="366" t="inlineStr">
        <is>
          <t>A</t>
        </is>
      </c>
      <c r="AM85" s="366" t="n"/>
      <c r="AN85" s="366" t="n"/>
      <c r="AO85" s="366" t="n"/>
      <c r="AP85" s="350" t="n"/>
      <c r="AR85" s="359" t="n"/>
      <c r="AS85" s="281">
        <f>COUNTIFS(H85,"零期",I85,"在读")+COUNTIFS(L85,"零期",M85,"在读")+COUNTIFS(P85,"零期",Q85,"在读")</f>
        <v/>
      </c>
      <c r="AT85" s="281">
        <f>AS85-AX85</f>
        <v/>
      </c>
      <c r="AU85" s="366">
        <f>VLOOKUP(B85,'UV台帐'!B:AL,19,0)</f>
        <v/>
      </c>
      <c r="AV85" s="366">
        <f>VLOOKUP(B85,'UV台帐'!B:AL,28,0)</f>
        <v/>
      </c>
      <c r="AW85" s="366">
        <f>VLOOKUP(B85,'UV台帐'!B:AL,37,0)</f>
        <v/>
      </c>
      <c r="AX85" s="281">
        <f>COUNTIFS(H85,"零期",AU85,"是")+COUNTIFS(L85,"零期",AV85,"是")+COUNTIFS(P85,"零期",AW85,"是")</f>
        <v/>
      </c>
      <c r="AZ85" s="350" t="inlineStr">
        <is>
          <t>妈妈觉得是OK，可以上。孩子青春期，需要征求孩子的意见；家离新宝利比较近；也可能换校区，可以自己搭地铁过去上课；具体得解决孩子的意愿问题。</t>
        </is>
      </c>
      <c r="BA85" s="359" t="n"/>
    </row>
    <row r="86" ht="30" customFormat="1" customHeight="1" s="366">
      <c r="A86" s="281" t="inlineStr">
        <is>
          <t>新宝利</t>
        </is>
      </c>
      <c r="B86" s="281"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n"/>
      <c r="S86" s="281" t="inlineStr">
        <is>
          <t>是</t>
        </is>
      </c>
      <c r="T86" s="281" t="inlineStr">
        <is>
          <t>否</t>
        </is>
      </c>
      <c r="U86" s="281" t="inlineStr">
        <is>
          <t>田雨涵01</t>
        </is>
      </c>
      <c r="V86" s="281" t="n"/>
      <c r="W86" s="281" t="n"/>
      <c r="X86" s="281" t="n"/>
      <c r="Y86" s="119" t="n"/>
      <c r="Z86" s="119" t="n"/>
      <c r="AA86" s="73" t="inlineStr">
        <is>
          <t>肖锐03</t>
        </is>
      </c>
      <c r="AB86" s="281" t="inlineStr">
        <is>
          <t>否</t>
        </is>
      </c>
      <c r="AC86" s="281" t="n"/>
      <c r="AD86" s="315" t="inlineStr">
        <is>
          <t>否</t>
        </is>
      </c>
      <c r="AE86" s="281" t="inlineStr">
        <is>
          <t>林志豪01</t>
        </is>
      </c>
      <c r="AF86" s="281">
        <f>VLOOKUP(B86,'UV台帐'!B:G,6,0)</f>
        <v/>
      </c>
      <c r="AG86" s="281" t="inlineStr">
        <is>
          <t>姜中宏</t>
        </is>
      </c>
      <c r="AH86" s="281" t="inlineStr">
        <is>
          <t>是</t>
        </is>
      </c>
      <c r="AI86" s="281" t="n"/>
      <c r="AJ86" s="426" t="inlineStr">
        <is>
          <t>数学觉得简单，有提前学过，和尔然是朋友，意向度高，有在名师学过，想和尔然一起学的孩子很内向，没有朋友在很安静，多互动，觉得孩子确实数学要提升，危险点，目前孩子觉得简单，且内向</t>
        </is>
      </c>
      <c r="AK86" s="426" t="inlineStr">
        <is>
          <t>数学觉得简单，有提前学过，和尔然是朋友，意向度高，有在名师学过，想和尔然一起学的孩子很内向，没有朋友在很安静，多互动，觉得孩子确实数学要提升，危险点，目前孩子觉得简单，且内向</t>
        </is>
      </c>
      <c r="AL86" s="366" t="inlineStr">
        <is>
          <t>A</t>
        </is>
      </c>
      <c r="AM86" s="366" t="inlineStr">
        <is>
          <t>A</t>
        </is>
      </c>
      <c r="AN86" s="366" t="inlineStr">
        <is>
          <t>A</t>
        </is>
      </c>
      <c r="AO86" s="366" t="inlineStr">
        <is>
          <t>A</t>
        </is>
      </c>
      <c r="AP86" s="350" t="inlineStr">
        <is>
          <t>1、数学觉得简单，有提前学过，和尔然是朋友，意向度高，有在名师学过，2、孩子满意度可以，家长觉得不错3、和尔然是好朋友，尔然是学的很开心很喜欢我们这里有加持</t>
        </is>
      </c>
      <c r="AQ86" s="366" t="inlineStr">
        <is>
          <t>是</t>
        </is>
      </c>
      <c r="AR86" s="359" t="n"/>
      <c r="AS86" s="281">
        <f>COUNTIFS(H86,"零期",I86,"在读")+COUNTIFS(L86,"零期",M86,"在读")+COUNTIFS(P86,"零期",Q86,"在读")</f>
        <v/>
      </c>
      <c r="AT86" s="281">
        <f>AS86-AX86</f>
        <v/>
      </c>
      <c r="AU86" s="366">
        <f>VLOOKUP(B86,'UV台帐'!B:AL,19,0)</f>
        <v/>
      </c>
      <c r="AV86" s="366">
        <f>VLOOKUP(B86,'UV台帐'!B:AL,28,0)</f>
        <v/>
      </c>
      <c r="AW86" s="366">
        <f>VLOOKUP(B86,'UV台帐'!B:AL,37,0)</f>
        <v/>
      </c>
      <c r="AX86" s="281">
        <f>COUNTIFS(H86,"零期",AU86,"是")+COUNTIFS(L86,"零期",AV86,"是")+COUNTIFS(P86,"零期",AW86,"是")</f>
        <v/>
      </c>
      <c r="AZ86" s="350" t="n"/>
      <c r="BA86" s="359" t="n"/>
    </row>
    <row r="87" ht="30" customFormat="1" customHeight="1" s="366">
      <c r="A87" s="281" t="inlineStr">
        <is>
          <t>新宝利</t>
        </is>
      </c>
      <c r="B87" s="281"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n"/>
      <c r="S87" s="281" t="inlineStr">
        <is>
          <t>是</t>
        </is>
      </c>
      <c r="T87" s="281" t="inlineStr">
        <is>
          <t>是</t>
        </is>
      </c>
      <c r="W87" s="281" t="inlineStr">
        <is>
          <t>田雨涵01,肖锐03,李润</t>
        </is>
      </c>
      <c r="X87" s="281" t="n"/>
      <c r="Y87" s="281" t="n"/>
      <c r="Z87" s="281" t="n"/>
      <c r="AA87" s="73" t="inlineStr">
        <is>
          <t>田雨涵01</t>
        </is>
      </c>
      <c r="AB87" s="281" t="inlineStr">
        <is>
          <t>是</t>
        </is>
      </c>
      <c r="AC87" s="158" t="inlineStr">
        <is>
          <t>王博宁</t>
        </is>
      </c>
      <c r="AD87" s="315" t="inlineStr">
        <is>
          <t>是</t>
        </is>
      </c>
      <c r="AE87" s="281" t="inlineStr">
        <is>
          <t>林志豪01</t>
        </is>
      </c>
      <c r="AF87" s="281">
        <f>VLOOKUP(B87,'UV台帐'!B:G,6,0)</f>
        <v/>
      </c>
      <c r="AG87" s="281" t="inlineStr">
        <is>
          <t>知用</t>
        </is>
      </c>
      <c r="AH87" s="281" t="inlineStr">
        <is>
          <t>是</t>
        </is>
      </c>
      <c r="AI87" s="281" t="inlineStr">
        <is>
          <t>29号返校需要补课</t>
        </is>
      </c>
      <c r="AJ87" s="426" t="inlineStr">
        <is>
          <t>面谈，意向高，三个方面，1、对教学还是认可的，2、孩子程度高听得懂，目前感觉难度偏简单，3近，且到了知用妈咪说已知到做好补课准备了</t>
        </is>
      </c>
      <c r="AK87" s="426" t="inlineStr">
        <is>
          <t>面谈，意向高，三个方面，1、对教学还是认可的，2、孩子程度高听得懂，目前感觉难度偏简单，3近，且到了知用妈咪说已知到做好补课准备了</t>
        </is>
      </c>
      <c r="AL87" s="366" t="inlineStr">
        <is>
          <t>A</t>
        </is>
      </c>
      <c r="AM87" s="366" t="inlineStr">
        <is>
          <t>A</t>
        </is>
      </c>
      <c r="AN87" s="366" t="inlineStr">
        <is>
          <t>A</t>
        </is>
      </c>
      <c r="AO87" s="366" t="inlineStr">
        <is>
          <t>A</t>
        </is>
      </c>
      <c r="AP87" s="350" t="inlineStr">
        <is>
          <t>面谈，意向高，三个方面，1、对教学还是认可的，2、孩子程度高听得懂，目前感觉难度偏简单，3近，且到了知用妈咪说已知到做好补课准备了</t>
        </is>
      </c>
      <c r="AQ87" s="366" t="inlineStr">
        <is>
          <t>是</t>
        </is>
      </c>
      <c r="AR87" s="359" t="n"/>
      <c r="AS87" s="281">
        <f>COUNTIFS(H87,"零期",I87,"在读")+COUNTIFS(L87,"零期",M87,"在读")+COUNTIFS(P87,"零期",Q87,"在读")</f>
        <v/>
      </c>
      <c r="AT87" s="281">
        <f>AS87-AX87</f>
        <v/>
      </c>
      <c r="AU87" s="366">
        <f>VLOOKUP(B87,'UV台帐'!B:AL,19,0)</f>
        <v/>
      </c>
      <c r="AV87" s="366">
        <f>VLOOKUP(B87,'UV台帐'!B:AL,28,0)</f>
        <v/>
      </c>
      <c r="AW87" s="366">
        <f>VLOOKUP(B87,'UV台帐'!B:AL,37,0)</f>
        <v/>
      </c>
      <c r="AX87" s="281">
        <f>COUNTIFS(H87,"零期",AU87,"是")+COUNTIFS(L87,"零期",AV87,"是")+COUNTIFS(P87,"零期",AW87,"是")</f>
        <v/>
      </c>
      <c r="AZ87" s="350" t="inlineStr">
        <is>
          <t>2个孩子，调到启能班，知用前100，6号会报，</t>
        </is>
      </c>
      <c r="BA87" s="359" t="n"/>
    </row>
    <row r="88" ht="30" customFormat="1" customHeight="1" s="366">
      <c r="A88" s="281" t="inlineStr">
        <is>
          <t>同创汇</t>
        </is>
      </c>
      <c r="B88" s="281"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n"/>
      <c r="S88" s="281" t="inlineStr">
        <is>
          <t>是</t>
        </is>
      </c>
      <c r="T88" s="281" t="inlineStr">
        <is>
          <t>是</t>
        </is>
      </c>
      <c r="U88" s="281" t="n"/>
      <c r="V88" s="281" t="n"/>
      <c r="W88" s="281" t="inlineStr">
        <is>
          <t>陈南05</t>
        </is>
      </c>
      <c r="X88" s="281" t="n"/>
      <c r="Y88" s="281" t="inlineStr">
        <is>
          <t>田雨涵01,刘希子</t>
        </is>
      </c>
      <c r="Z88" s="281" t="n"/>
      <c r="AA88" s="73" t="inlineStr">
        <is>
          <t>陈南05</t>
        </is>
      </c>
      <c r="AB88" s="7" t="inlineStr">
        <is>
          <t>是</t>
        </is>
      </c>
      <c r="AC88" s="315" t="inlineStr">
        <is>
          <t>王达</t>
        </is>
      </c>
      <c r="AD88" s="315" t="inlineStr">
        <is>
          <t>是</t>
        </is>
      </c>
      <c r="AE88" s="281" t="inlineStr">
        <is>
          <t>王丽</t>
        </is>
      </c>
      <c r="AF88" s="281">
        <f>VLOOKUP(B88,'UV台帐'!B:G,6,0)</f>
        <v/>
      </c>
      <c r="AG88" s="281" t="inlineStr">
        <is>
          <t>省实越秀</t>
        </is>
      </c>
      <c r="AH88" s="281" t="inlineStr">
        <is>
          <t>是</t>
        </is>
      </c>
      <c r="AI88" s="281" t="inlineStr">
        <is>
          <t>6月29日语文可以听半节，英语需要请假，已经告知家长开通回放，其他的时间没有问题</t>
        </is>
      </c>
      <c r="AJ88" s="426" t="inlineStr">
        <is>
          <t>未接，微信留言。孩子妈妈觉得我们老师都很好，连教材都印刷的很好，还说要推荐朋友过来。之前孩子没有在线下补习过，觉得我们服务很好</t>
        </is>
      </c>
      <c r="AK88" s="426" t="inlineStr">
        <is>
          <t>未接，微信留言。孩子妈妈觉得我们老师都很好，连教材都印刷的很好，还说要推荐朋友过来。之前孩子没有在线下补习过，觉得我们服务很好</t>
        </is>
      </c>
      <c r="AL88" s="366" t="inlineStr">
        <is>
          <t>B</t>
        </is>
      </c>
      <c r="AM88" s="366" t="inlineStr">
        <is>
          <t>B</t>
        </is>
      </c>
      <c r="AN88" s="366" t="inlineStr">
        <is>
          <t>C</t>
        </is>
      </c>
      <c r="AO88" s="366" t="n"/>
      <c r="AP88" s="350" t="inlineStr">
        <is>
          <t>双胞胎，支付能力可能没那么好</t>
        </is>
      </c>
      <c r="AQ88" s="366" t="inlineStr">
        <is>
          <t>是</t>
        </is>
      </c>
      <c r="AR88" s="359" t="n"/>
      <c r="AS88" s="281">
        <f>COUNTIFS(H88,"零期",I88,"在读")+COUNTIFS(L88,"零期",M88,"在读")+COUNTIFS(P88,"零期",Q88,"在读")</f>
        <v/>
      </c>
      <c r="AT88" s="281">
        <f>AS88-AX88</f>
        <v/>
      </c>
      <c r="AU88" s="366">
        <f>VLOOKUP(B88,'UV台帐'!B:AL,19,0)</f>
        <v/>
      </c>
      <c r="AV88" s="366">
        <f>VLOOKUP(B88,'UV台帐'!B:AL,28,0)</f>
        <v/>
      </c>
      <c r="AW88" s="366">
        <f>VLOOKUP(B88,'UV台帐'!B:AL,37,0)</f>
        <v/>
      </c>
      <c r="AX88" s="281">
        <f>COUNTIFS(H88,"零期",AU88,"是")+COUNTIFS(L88,"零期",AV88,"是")+COUNTIFS(P88,"零期",AW88,"是")</f>
        <v/>
      </c>
      <c r="AY88" s="34" t="n"/>
      <c r="AZ88" s="381" t="inlineStr">
        <is>
          <t>孩子妈妈说不想给孩子压力，之前一直没报课，幼升小和小升初有衔接课就可以了，之前学校语文有下滑，自己跟孩子说孩子一个学期就是全校第一第二</t>
        </is>
      </c>
      <c r="BA88" s="359" t="n"/>
    </row>
    <row r="89" ht="30" customFormat="1" customHeight="1" s="366">
      <c r="A89" s="281" t="inlineStr">
        <is>
          <t>新宝利</t>
        </is>
      </c>
      <c r="B89" s="281"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inlineStr">
        <is>
          <t>否</t>
        </is>
      </c>
      <c r="T89" s="281" t="inlineStr">
        <is>
          <t>否</t>
        </is>
      </c>
      <c r="W89" s="281" t="n"/>
      <c r="X89" s="281" t="n"/>
      <c r="Y89" s="281" t="n"/>
      <c r="Z89" s="281" t="n"/>
      <c r="AA89" s="81" t="inlineStr">
        <is>
          <t>黄铭怡</t>
        </is>
      </c>
      <c r="AB89" s="339" t="inlineStr">
        <is>
          <t>否</t>
        </is>
      </c>
      <c r="AC89" s="281" t="n"/>
      <c r="AD89" s="315" t="inlineStr">
        <is>
          <t>否</t>
        </is>
      </c>
      <c r="AE89" s="281" t="inlineStr">
        <is>
          <t>林志豪01</t>
        </is>
      </c>
      <c r="AF89" s="281">
        <f>VLOOKUP(B89,'UV台帐'!B:G,6,0)</f>
        <v/>
      </c>
      <c r="AG89" s="281" t="inlineStr">
        <is>
          <t>知用</t>
        </is>
      </c>
      <c r="AH89" s="281" t="inlineStr">
        <is>
          <t>是</t>
        </is>
      </c>
      <c r="AI89" s="281" t="inlineStr">
        <is>
          <t>29号返校需要补课</t>
        </is>
      </c>
      <c r="AJ89" s="426" t="inlineStr">
        <is>
          <t>孩子之前上线上课，没有上过线下课，最近都没和孩子聊过，今晚回去问问感受，塑危知用，需要多加餐，</t>
        </is>
      </c>
      <c r="AK89" s="426" t="inlineStr">
        <is>
          <t>孩子之前上线上课，没有上过线下课，最近都没和孩子聊过，今晚回去问问感受，塑危知用，需要多加餐，</t>
        </is>
      </c>
      <c r="AL89" s="366" t="inlineStr">
        <is>
          <t>B</t>
        </is>
      </c>
      <c r="AM89" s="366" t="inlineStr">
        <is>
          <t>B</t>
        </is>
      </c>
      <c r="AN89" s="366" t="inlineStr">
        <is>
          <t>B</t>
        </is>
      </c>
      <c r="AO89" s="366" t="inlineStr">
        <is>
          <t>B</t>
        </is>
      </c>
      <c r="AP89" s="350" t="inlineStr">
        <is>
          <t>1、孩子主动性不够强2、家长之前之上线上课有价格对比3、满意度不错4、去了不好的学校有明显的危机感</t>
        </is>
      </c>
      <c r="AR89" s="359" t="n"/>
      <c r="AS89" s="281">
        <f>COUNTIFS(H89,"零期",I89,"在读")+COUNTIFS(L89,"零期",M89,"在读")+COUNTIFS(P89,"零期",Q89,"在读")</f>
        <v/>
      </c>
      <c r="AT89" s="281">
        <f>AS89-AX89</f>
        <v/>
      </c>
      <c r="AU89" s="366">
        <f>VLOOKUP(B89,'UV台帐'!B:AL,19,0)</f>
        <v/>
      </c>
      <c r="AV89" s="366">
        <f>VLOOKUP(B89,'UV台帐'!B:AL,28,0)</f>
        <v/>
      </c>
      <c r="AW89" s="366">
        <f>VLOOKUP(B89,'UV台帐'!B:AL,37,0)</f>
        <v/>
      </c>
      <c r="AX89" s="281">
        <f>COUNTIFS(H89,"零期",AU89,"是")+COUNTIFS(L89,"零期",AV89,"是")+COUNTIFS(P89,"零期",AW89,"是")</f>
        <v/>
      </c>
      <c r="AZ89" s="350" t="n"/>
      <c r="BA89" s="359" t="n"/>
    </row>
    <row r="90" ht="30" customFormat="1" customHeight="1" s="366">
      <c r="A90" s="281" t="inlineStr">
        <is>
          <t>同创汇</t>
        </is>
      </c>
      <c r="B90" s="281"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inlineStr">
        <is>
          <t>是</t>
        </is>
      </c>
      <c r="T90" s="281" t="inlineStr">
        <is>
          <t>否</t>
        </is>
      </c>
      <c r="W90" s="281" t="n"/>
      <c r="X90" s="281" t="n"/>
      <c r="Y90" s="281" t="inlineStr">
        <is>
          <t>刘希子</t>
        </is>
      </c>
      <c r="Z90" s="281" t="n"/>
      <c r="AA90" s="80" t="inlineStr">
        <is>
          <t>陈中帅</t>
        </is>
      </c>
      <c r="AB90" s="281" t="inlineStr">
        <is>
          <t>是</t>
        </is>
      </c>
      <c r="AC90" s="86" t="inlineStr">
        <is>
          <t>希子</t>
        </is>
      </c>
      <c r="AD90" s="119" t="inlineStr">
        <is>
          <t>是</t>
        </is>
      </c>
      <c r="AE90" s="281" t="inlineStr">
        <is>
          <t>戎凯01</t>
        </is>
      </c>
      <c r="AF90" s="281">
        <f>VLOOKUP(B90,'UV台帐'!B:G,6,0)</f>
        <v/>
      </c>
      <c r="AG90" s="281" t="n"/>
      <c r="AH90" s="281" t="inlineStr">
        <is>
          <t>是</t>
        </is>
      </c>
      <c r="AI90" s="281" t="inlineStr">
        <is>
          <t>5，10，都要返校，待定</t>
        </is>
      </c>
      <c r="AJ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6" t="inlineStr">
        <is>
          <t>S</t>
        </is>
      </c>
      <c r="AM90" s="366" t="n"/>
      <c r="AN90" s="366" t="n"/>
      <c r="AO90" s="366" t="inlineStr">
        <is>
          <t>A</t>
        </is>
      </c>
      <c r="AP90" s="350" t="n"/>
      <c r="AQ90" s="366" t="inlineStr">
        <is>
          <t>是</t>
        </is>
      </c>
      <c r="AR90" s="359" t="inlineStr">
        <is>
          <t>家长表示一定会报；学员数学已经续报；差英语1科。</t>
        </is>
      </c>
      <c r="AS90" s="281">
        <f>COUNTIFS(H90,"零期",I90,"在读")+COUNTIFS(L90,"零期",M90,"在读")+COUNTIFS(P90,"零期",Q90,"在读")</f>
        <v/>
      </c>
      <c r="AT90" s="281">
        <f>AS90-AX90</f>
        <v/>
      </c>
      <c r="AU90" s="366">
        <f>VLOOKUP(B90,'UV台帐'!B:AL,19,0)</f>
        <v/>
      </c>
      <c r="AV90" s="366">
        <f>VLOOKUP(B90,'UV台帐'!B:AL,28,0)</f>
        <v/>
      </c>
      <c r="AW90" s="366">
        <f>VLOOKUP(B90,'UV台帐'!B:AL,37,0)</f>
        <v/>
      </c>
      <c r="AX90" s="281">
        <f>COUNTIFS(H90,"零期",AU90,"是")+COUNTIFS(L90,"零期",AV90,"是")+COUNTIFS(P90,"零期",AW90,"是")</f>
        <v/>
      </c>
      <c r="AZ90" s="350" t="inlineStr">
        <is>
          <t>目前需要听英语老师的课，才最终确定；没有其他异议，表示非常了解我们的情况，指明 @戎凯01(戎凯)沟通</t>
        </is>
      </c>
      <c r="BA90" s="359" t="n"/>
    </row>
    <row r="91" ht="30" customFormat="1" customHeight="1" s="366">
      <c r="A91" s="281" t="inlineStr">
        <is>
          <t>同创汇</t>
        </is>
      </c>
      <c r="B91" s="281"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n"/>
      <c r="S91" s="281" t="inlineStr">
        <is>
          <t>否</t>
        </is>
      </c>
      <c r="T91" s="281" t="inlineStr">
        <is>
          <t>否</t>
        </is>
      </c>
      <c r="W91" s="281" t="inlineStr">
        <is>
          <t>陈南05</t>
        </is>
      </c>
      <c r="X91" s="281" t="n"/>
      <c r="Y91" s="281" t="n"/>
      <c r="Z91" s="281" t="n"/>
      <c r="AA91" s="73" t="inlineStr">
        <is>
          <t>刘希子</t>
        </is>
      </c>
      <c r="AB91" s="281" t="inlineStr">
        <is>
          <t>是</t>
        </is>
      </c>
      <c r="AC91" s="315" t="inlineStr">
        <is>
          <t>陈亮延</t>
        </is>
      </c>
      <c r="AD91" s="315" t="inlineStr">
        <is>
          <t>是</t>
        </is>
      </c>
      <c r="AE91" s="281" t="inlineStr">
        <is>
          <t>戎凯01</t>
        </is>
      </c>
      <c r="AF91" s="281">
        <f>VLOOKUP(B91,'UV台帐'!B:G,6,0)</f>
        <v/>
      </c>
      <c r="AG91" s="281" t="n"/>
      <c r="AH91" s="281" t="inlineStr">
        <is>
          <t>是</t>
        </is>
      </c>
      <c r="AI91" s="281" t="inlineStr">
        <is>
          <t>可正常来上课</t>
        </is>
      </c>
      <c r="AJ91" s="426" t="inlineStr">
        <is>
          <t>未接2</t>
        </is>
      </c>
      <c r="AK91" s="426" t="inlineStr">
        <is>
          <t>未接2</t>
        </is>
      </c>
      <c r="AL91" s="366" t="inlineStr">
        <is>
          <t>A</t>
        </is>
      </c>
      <c r="AM91" s="366" t="inlineStr">
        <is>
          <t>C</t>
        </is>
      </c>
      <c r="AN91" s="366" t="inlineStr">
        <is>
          <t>A</t>
        </is>
      </c>
      <c r="AO91" s="366" t="inlineStr">
        <is>
          <t>A</t>
        </is>
      </c>
      <c r="AP91" s="350" t="n"/>
      <c r="AR91" s="359" t="n"/>
      <c r="AS91" s="281">
        <f>COUNTIFS(H91,"零期",I91,"在读")+COUNTIFS(L91,"零期",M91,"在读")+COUNTIFS(P91,"零期",Q91,"在读")</f>
        <v/>
      </c>
      <c r="AT91" s="281">
        <f>AS91-AX91</f>
        <v/>
      </c>
      <c r="AU91" s="366">
        <f>VLOOKUP(B91,'UV台帐'!B:AL,19,0)</f>
        <v/>
      </c>
      <c r="AV91" s="366">
        <f>VLOOKUP(B91,'UV台帐'!B:AL,28,0)</f>
        <v/>
      </c>
      <c r="AW91" s="366">
        <f>VLOOKUP(B91,'UV台帐'!B:AL,37,0)</f>
        <v/>
      </c>
      <c r="AX91" s="281">
        <f>COUNTIFS(H91,"零期",AU91,"是")+COUNTIFS(L91,"零期",AV91,"是")+COUNTIFS(P91,"零期",AW91,"是")</f>
        <v/>
      </c>
      <c r="AZ91" s="350" t="inlineStr">
        <is>
          <t>孩子目前在其他机构学数学一对多（孩子及格边缘），妈妈考虑语文和英语，但是要回去和孩子和爸爸沟通，价格优惠和时间都知悉</t>
        </is>
      </c>
      <c r="BA91" s="359" t="n"/>
    </row>
    <row r="92" ht="30" customFormat="1" customHeight="1" s="366">
      <c r="A92" s="281" t="inlineStr">
        <is>
          <t>新宝利</t>
        </is>
      </c>
      <c r="B92" s="281"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n"/>
      <c r="S92" s="281" t="inlineStr">
        <is>
          <t>是</t>
        </is>
      </c>
      <c r="T92" s="281" t="inlineStr">
        <is>
          <t>是</t>
        </is>
      </c>
      <c r="W92" s="281" t="n"/>
      <c r="X92" s="281" t="n"/>
      <c r="Y92" s="366" t="inlineStr">
        <is>
          <t>黄铭怡</t>
        </is>
      </c>
      <c r="AA92" s="81" t="inlineStr">
        <is>
          <t>黄铭怡</t>
        </is>
      </c>
      <c r="AB92" s="281" t="inlineStr">
        <is>
          <t>是</t>
        </is>
      </c>
      <c r="AC92" s="7" t="inlineStr">
        <is>
          <t>王达</t>
        </is>
      </c>
      <c r="AD92" s="281" t="inlineStr">
        <is>
          <t>是</t>
        </is>
      </c>
      <c r="AE92" s="281" t="inlineStr">
        <is>
          <t>王达04</t>
        </is>
      </c>
      <c r="AF92" s="281">
        <f>VLOOKUP(B92,'UV台帐'!B:G,6,0)</f>
        <v/>
      </c>
      <c r="AG92" s="281" t="inlineStr">
        <is>
          <t>广大附</t>
        </is>
      </c>
      <c r="AH92" s="281" t="inlineStr">
        <is>
          <t>是</t>
        </is>
      </c>
      <c r="AI92" s="281" t="inlineStr">
        <is>
          <t>建群，6月29日英语课调到7月13日B段，</t>
        </is>
      </c>
      <c r="AJ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6" t="inlineStr">
        <is>
          <t>B</t>
        </is>
      </c>
      <c r="AM92" s="366" t="n"/>
      <c r="AN92" s="366" t="inlineStr">
        <is>
          <t>B</t>
        </is>
      </c>
      <c r="AO92" s="366" t="inlineStr">
        <is>
          <t>A</t>
        </is>
      </c>
      <c r="AP92" s="350" t="inlineStr">
        <is>
          <t>语文：老师判断A-，之前有上过系统课，孩子课堂表现也很不错，但会比较的安静:</t>
        </is>
      </c>
      <c r="AQ92" s="366" t="inlineStr">
        <is>
          <t>是</t>
        </is>
      </c>
      <c r="AR92" s="359" t="n"/>
      <c r="AS92" s="281">
        <f>COUNTIFS(H92,"零期",I92,"在读")+COUNTIFS(L92,"零期",M92,"在读")+COUNTIFS(P92,"零期",Q92,"在读")</f>
        <v/>
      </c>
      <c r="AT92" s="281">
        <f>AS92-AX92</f>
        <v/>
      </c>
      <c r="AU92" s="366">
        <f>VLOOKUP(B92,'UV台帐'!B:AL,19,0)</f>
        <v/>
      </c>
      <c r="AV92" s="366">
        <f>VLOOKUP(B92,'UV台帐'!B:AL,28,0)</f>
        <v/>
      </c>
      <c r="AW92" s="366">
        <f>VLOOKUP(B92,'UV台帐'!B:AL,37,0)</f>
        <v/>
      </c>
      <c r="AX92" s="281">
        <f>COUNTIFS(H92,"零期",AU92,"是")+COUNTIFS(L92,"零期",AV92,"是")+COUNTIFS(P92,"零期",AW92,"是")</f>
        <v/>
      </c>
      <c r="AZ92" s="350" t="inlineStr">
        <is>
          <t>语文变难了，关注度比较高，7号定下来，现场已经聊时间，语文能报，英语本身基础比较好，孩子有主见。</t>
        </is>
      </c>
      <c r="BA92" s="359" t="n"/>
    </row>
    <row r="93" ht="30" customFormat="1" customHeight="1" s="366">
      <c r="A93" s="281" t="inlineStr">
        <is>
          <t>新宝利</t>
        </is>
      </c>
      <c r="B93" s="281"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inlineStr">
        <is>
          <t>是</t>
        </is>
      </c>
      <c r="T93" s="281" t="inlineStr">
        <is>
          <t>是</t>
        </is>
      </c>
      <c r="W93" s="281" t="n"/>
      <c r="X93" s="281" t="n"/>
      <c r="Y93" s="366" t="inlineStr">
        <is>
          <t>田雨涵01,黄铭怡</t>
        </is>
      </c>
      <c r="AA93" s="81" t="inlineStr">
        <is>
          <t>黄铭怡</t>
        </is>
      </c>
      <c r="AB93" s="339" t="inlineStr">
        <is>
          <t>未回复</t>
        </is>
      </c>
      <c r="AC93" s="315" t="n"/>
      <c r="AD93" s="281" t="inlineStr">
        <is>
          <t>否</t>
        </is>
      </c>
      <c r="AE93" s="281" t="inlineStr">
        <is>
          <t>沈思浩</t>
        </is>
      </c>
      <c r="AF93" s="281">
        <f>VLOOKUP(B93,'UV台帐'!B:G,6,0)</f>
        <v/>
      </c>
      <c r="AG93" s="281" t="n"/>
      <c r="AH93" s="281" t="inlineStr">
        <is>
          <t>是</t>
        </is>
      </c>
      <c r="AI93" s="281" t="inlineStr">
        <is>
          <t>已通知</t>
        </is>
      </c>
      <c r="AJ93" s="426" t="inlineStr">
        <is>
          <t>第一轮未接老师已沟通，明天在进行回访，未接</t>
        </is>
      </c>
      <c r="AK93" s="426" t="inlineStr">
        <is>
          <t>第一轮未接老师已沟通，明天在进行回访，未接</t>
        </is>
      </c>
      <c r="AL93" s="366" t="inlineStr">
        <is>
          <t>A</t>
        </is>
      </c>
      <c r="AM93" s="366" t="inlineStr">
        <is>
          <t>A</t>
        </is>
      </c>
      <c r="AN93" s="366" t="inlineStr">
        <is>
          <t>A</t>
        </is>
      </c>
      <c r="AO93" s="366" t="inlineStr">
        <is>
          <t>A</t>
        </is>
      </c>
      <c r="AP93" s="350" t="inlineStr">
        <is>
          <t>无法和家长建联，在家长群上家长是有回复的，但是这两天换时段打电话都是接了就挂，发微信不回复</t>
        </is>
      </c>
      <c r="AR93" s="359" t="n"/>
      <c r="AS93" s="281">
        <f>COUNTIFS(H93,"零期",I93,"在读")+COUNTIFS(L93,"零期",M93,"在读")+COUNTIFS(P93,"零期",Q93,"在读")</f>
        <v/>
      </c>
      <c r="AT93" s="281">
        <f>AS93-AX93</f>
        <v/>
      </c>
      <c r="AU93" s="366">
        <f>VLOOKUP(B93,'UV台帐'!B:AL,19,0)</f>
        <v/>
      </c>
      <c r="AV93" s="366">
        <f>VLOOKUP(B93,'UV台帐'!B:AL,28,0)</f>
        <v/>
      </c>
      <c r="AW93" s="366">
        <f>VLOOKUP(B93,'UV台帐'!B:AL,37,0)</f>
        <v/>
      </c>
      <c r="AX93" s="281">
        <f>COUNTIFS(H93,"零期",AU93,"是")+COUNTIFS(L93,"零期",AV93,"是")+COUNTIFS(P93,"零期",AW93,"是")</f>
        <v/>
      </c>
      <c r="AZ93" s="350" t="n"/>
      <c r="BA93" s="359" t="n"/>
    </row>
    <row r="94" ht="30" customFormat="1" customHeight="1" s="366">
      <c r="A94" s="281" t="inlineStr">
        <is>
          <t>同创汇</t>
        </is>
      </c>
      <c r="B94" s="281"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81" t="n"/>
      <c r="S94" s="281" t="inlineStr">
        <is>
          <t>否</t>
        </is>
      </c>
      <c r="T94" s="281" t="inlineStr">
        <is>
          <t>否</t>
        </is>
      </c>
      <c r="U94" s="366" t="inlineStr">
        <is>
          <t>刘希子,黄铭怡</t>
        </is>
      </c>
      <c r="W94" s="281" t="n"/>
      <c r="X94" s="281" t="n"/>
      <c r="Y94" s="281" t="n"/>
      <c r="Z94" s="281" t="n"/>
      <c r="AA94" s="80" t="inlineStr">
        <is>
          <t>陈中帅</t>
        </is>
      </c>
      <c r="AB94" s="281" t="inlineStr">
        <is>
          <t>否</t>
        </is>
      </c>
      <c r="AC94" s="119" t="inlineStr">
        <is>
          <t>/</t>
        </is>
      </c>
      <c r="AD94" s="119" t="inlineStr">
        <is>
          <t>否</t>
        </is>
      </c>
      <c r="AE94" s="281" t="inlineStr">
        <is>
          <t>王丽</t>
        </is>
      </c>
      <c r="AF94" s="281">
        <f>VLOOKUP(B94,'UV台帐'!B:G,6,0)</f>
        <v/>
      </c>
      <c r="AG94" s="281" t="n"/>
      <c r="AH94" s="281" t="inlineStr">
        <is>
          <t>是</t>
        </is>
      </c>
      <c r="AI94" s="281" t="inlineStr">
        <is>
          <t>没问题</t>
        </is>
      </c>
      <c r="AJ94" s="426" t="inlineStr">
        <is>
          <t>老生已经暑秋连报</t>
        </is>
      </c>
      <c r="AK94" s="426" t="inlineStr">
        <is>
          <t>老生已经暑秋连报</t>
        </is>
      </c>
      <c r="AL94" s="366" t="n"/>
      <c r="AM94" s="366" t="n"/>
      <c r="AN94" s="366" t="n"/>
      <c r="AO94" s="366" t="n"/>
      <c r="AP94" s="350" t="n"/>
      <c r="AR94" s="359" t="n"/>
      <c r="AS94" s="281">
        <f>COUNTIFS(H94,"零期",I94,"在读")+COUNTIFS(L94,"零期",M94,"在读")+COUNTIFS(P94,"零期",Q94,"在读")</f>
        <v/>
      </c>
      <c r="AT94" s="281">
        <f>AS94-AX94</f>
        <v/>
      </c>
      <c r="AU94" s="366">
        <f>VLOOKUP(B94,'UV台帐'!B:AL,19,0)</f>
        <v/>
      </c>
      <c r="AV94" s="366">
        <f>VLOOKUP(B94,'UV台帐'!B:AL,28,0)</f>
        <v/>
      </c>
      <c r="AW94" s="366">
        <f>VLOOKUP(B94,'UV台帐'!B:AL,37,0)</f>
        <v/>
      </c>
      <c r="AX94" s="281">
        <f>COUNTIFS(H94,"零期",AU94,"是")+COUNTIFS(L94,"零期",AV94,"是")+COUNTIFS(P94,"零期",AW94,"是")</f>
        <v/>
      </c>
      <c r="AZ94" s="350" t="n"/>
      <c r="BA94" s="359" t="n"/>
    </row>
    <row r="95" ht="30" customFormat="1" customHeight="1" s="366">
      <c r="A95" s="281" t="inlineStr">
        <is>
          <t>同创汇</t>
        </is>
      </c>
      <c r="B95" s="281"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inlineStr">
        <is>
          <t>是</t>
        </is>
      </c>
      <c r="T95" s="281" t="inlineStr">
        <is>
          <t>是</t>
        </is>
      </c>
      <c r="W95" s="281" t="inlineStr">
        <is>
          <t>高心怡04</t>
        </is>
      </c>
      <c r="X95" s="281" t="n"/>
      <c r="Y95" s="119" t="inlineStr">
        <is>
          <t>李润</t>
        </is>
      </c>
      <c r="Z95" s="119" t="n"/>
      <c r="AA95" s="73" t="inlineStr">
        <is>
          <t>高心怡04</t>
        </is>
      </c>
      <c r="AB95" s="281" t="inlineStr">
        <is>
          <t>不确定</t>
        </is>
      </c>
      <c r="AC95" s="315" t="n"/>
      <c r="AD95" s="315" t="inlineStr">
        <is>
          <t>否</t>
        </is>
      </c>
      <c r="AE95" s="281" t="inlineStr">
        <is>
          <t>苏丽婷</t>
        </is>
      </c>
      <c r="AF95" s="281">
        <f>VLOOKUP(B95,'UV台帐'!B:G,6,0)</f>
        <v/>
      </c>
      <c r="AG95" s="281" t="inlineStr">
        <is>
          <t>石榴妹、白省</t>
        </is>
      </c>
      <c r="AH95" s="281" t="inlineStr">
        <is>
          <t>是</t>
        </is>
      </c>
      <c r="AI95" s="281" t="inlineStr">
        <is>
          <t>妈妈回复说30号回去拿录取通知书具体没说几点、7月8号全天典礼彩排+颁奖，换师没有异议</t>
        </is>
      </c>
      <c r="AJ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6" t="inlineStr">
        <is>
          <t>A</t>
        </is>
      </c>
      <c r="AM95" s="366" t="inlineStr">
        <is>
          <t>B</t>
        </is>
      </c>
      <c r="AN95" s="366" t="inlineStr">
        <is>
          <t>B</t>
        </is>
      </c>
      <c r="AO95" s="366" t="inlineStr">
        <is>
          <t>B</t>
        </is>
      </c>
      <c r="AP95" s="555" t="inlineStr">
        <is>
          <t>中帅：判B，有家里人的报课阻力，除妈妈外其他人不认可补习
心怡老师：判B，妈妈对孩子的学习有高需求，要分层教学，要加餐，孩子觉得简单
李润：</t>
        </is>
      </c>
      <c r="AR95" s="359" t="n"/>
      <c r="AS95" s="281">
        <f>COUNTIFS(H95,"零期",I95,"在读")+COUNTIFS(L95,"零期",M95,"在读")+COUNTIFS(P95,"零期",Q95,"在读")</f>
        <v/>
      </c>
      <c r="AT95" s="281">
        <f>AS95-AX95</f>
        <v/>
      </c>
      <c r="AU95" s="366">
        <f>VLOOKUP(B95,'UV台帐'!B:AL,19,0)</f>
        <v/>
      </c>
      <c r="AV95" s="366">
        <f>VLOOKUP(B95,'UV台帐'!B:AL,28,0)</f>
        <v/>
      </c>
      <c r="AW95" s="366">
        <f>VLOOKUP(B95,'UV台帐'!B:AL,37,0)</f>
        <v/>
      </c>
      <c r="AX95" s="281">
        <f>COUNTIFS(H95,"零期",AU95,"是")+COUNTIFS(L95,"零期",AV95,"是")+COUNTIFS(P95,"零期",AW95,"是")</f>
        <v/>
      </c>
      <c r="AZ95" s="350" t="inlineStr">
        <is>
          <t>家里人不给孩子报考；主要因为暑假便宜。数学&amp;英语要有分层，升班补充练习，阶段测满分。约线下面谈，解读一下报告，讲秋季规划。</t>
        </is>
      </c>
      <c r="BA95" s="359" t="n"/>
    </row>
    <row r="96" ht="30" customFormat="1" customHeight="1" s="366">
      <c r="A96" s="281" t="inlineStr">
        <is>
          <t>同创汇</t>
        </is>
      </c>
      <c r="B96" s="281"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81" t="n"/>
      <c r="S96" s="281" t="inlineStr">
        <is>
          <t>是</t>
        </is>
      </c>
      <c r="T96" s="281" t="inlineStr">
        <is>
          <t>是</t>
        </is>
      </c>
      <c r="U96" s="366" t="inlineStr">
        <is>
          <t>刘希子</t>
        </is>
      </c>
      <c r="W96" s="281" t="n"/>
      <c r="X96" s="281" t="n"/>
      <c r="Y96" s="366" t="inlineStr">
        <is>
          <t>黄铭怡</t>
        </is>
      </c>
      <c r="AA96" s="80" t="inlineStr">
        <is>
          <t>陈中帅</t>
        </is>
      </c>
      <c r="AB96" s="281" t="inlineStr">
        <is>
          <t>是</t>
        </is>
      </c>
      <c r="AC96" s="315" t="inlineStr">
        <is>
          <t>陈中帅</t>
        </is>
      </c>
      <c r="AD96" s="119" t="inlineStr">
        <is>
          <t>是</t>
        </is>
      </c>
      <c r="AE96" s="281" t="inlineStr">
        <is>
          <t>戎凯01</t>
        </is>
      </c>
      <c r="AF96" s="281">
        <f>VLOOKUP(B96,'UV台帐'!B:G,6,0)</f>
        <v/>
      </c>
      <c r="AG96" s="281" t="n"/>
      <c r="AH96" s="281" t="inlineStr">
        <is>
          <t>是</t>
        </is>
      </c>
      <c r="AI96" s="281" t="inlineStr">
        <is>
          <t>可正常来上课</t>
        </is>
      </c>
      <c r="AJ96" s="556" t="inlineStr">
        <is>
          <t>妈妈说得看孩子的想法，语文第一次补课，妈妈希望多一些运动，孩子很认真在学，培养学习习惯，担心一下子排太多的课，孩子会吃不消；
沈源建议：多盯孩子的笔记，1V1多Q；</t>
        </is>
      </c>
      <c r="AK96" s="557" t="inlineStr">
        <is>
          <t>妈妈说得看孩子的想法，语文第一次补课，妈妈希望多一些运动，孩子很认真在学，培养学习习惯，担心一下子排太多的课，孩子会吃不消；
沈源建议：多盯孩子的笔记，1V1多Q；</t>
        </is>
      </c>
      <c r="AL96" s="366" t="inlineStr">
        <is>
          <t>S</t>
        </is>
      </c>
      <c r="AM96" s="366" t="inlineStr">
        <is>
          <t>A</t>
        </is>
      </c>
      <c r="AN96" s="366" t="inlineStr">
        <is>
          <t>A</t>
        </is>
      </c>
      <c r="AO96" s="366" t="inlineStr">
        <is>
          <t>A</t>
        </is>
      </c>
      <c r="AP96" s="350" t="n"/>
      <c r="AQ96" s="366" t="inlineStr">
        <is>
          <t>是</t>
        </is>
      </c>
      <c r="AR96" s="359" t="n"/>
      <c r="AS96" s="281">
        <f>COUNTIFS(H96,"零期",I96,"在读")+COUNTIFS(L96,"零期",M96,"在读")+COUNTIFS(P96,"零期",Q96,"在读")</f>
        <v/>
      </c>
      <c r="AT96" s="281">
        <f>AS96-AX96</f>
        <v/>
      </c>
      <c r="AU96" s="366">
        <f>VLOOKUP(B96,'UV台帐'!B:AL,19,0)</f>
        <v/>
      </c>
      <c r="AV96" s="366">
        <f>VLOOKUP(B96,'UV台帐'!B:AL,28,0)</f>
        <v/>
      </c>
      <c r="AW96" s="366">
        <f>VLOOKUP(B96,'UV台帐'!B:AL,37,0)</f>
        <v/>
      </c>
      <c r="AX96" s="281">
        <f>COUNTIFS(H96,"零期",AU96,"是")+COUNTIFS(L96,"零期",AV96,"是")+COUNTIFS(P96,"零期",AW96,"是")</f>
        <v/>
      </c>
      <c r="AZ96" s="350" t="inlineStr">
        <is>
          <t>和孩子商量，爸爸没任何异议；时间价格都没问题，孩子愿意直接能报名</t>
        </is>
      </c>
      <c r="BA96" s="359" t="n"/>
    </row>
    <row r="97" ht="30" customFormat="1" customHeight="1" s="366">
      <c r="A97" s="281" t="inlineStr">
        <is>
          <t>新宝利</t>
        </is>
      </c>
      <c r="B97" s="281"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inlineStr">
        <is>
          <t>是</t>
        </is>
      </c>
      <c r="T97" s="281" t="inlineStr">
        <is>
          <t>否</t>
        </is>
      </c>
      <c r="W97" s="281" t="n"/>
      <c r="X97" s="281" t="n"/>
      <c r="Y97" s="281" t="n"/>
      <c r="Z97" s="281" t="n"/>
      <c r="AA97" s="73" t="inlineStr">
        <is>
          <t>肖锐03</t>
        </is>
      </c>
      <c r="AB97" s="281" t="inlineStr">
        <is>
          <t>是</t>
        </is>
      </c>
      <c r="AC97" s="156" t="inlineStr">
        <is>
          <t>林志豪</t>
        </is>
      </c>
      <c r="AD97" s="315" t="inlineStr">
        <is>
          <t>是</t>
        </is>
      </c>
      <c r="AE97" s="281" t="inlineStr">
        <is>
          <t>林志豪01</t>
        </is>
      </c>
      <c r="AF97" s="281">
        <f>VLOOKUP(B97,'UV台帐'!B:G,6,0)</f>
        <v/>
      </c>
      <c r="AG97" s="281" t="inlineStr">
        <is>
          <t>十中</t>
        </is>
      </c>
      <c r="AH97" s="281" t="inlineStr">
        <is>
          <t>是</t>
        </is>
      </c>
      <c r="AI97" s="281" t="inlineStr">
        <is>
          <t>已通知</t>
        </is>
      </c>
      <c r="AJ97" s="426" t="inlineStr">
        <is>
          <t>小学阶段英语一直上着别的机构，觉得还行，暑假转过来的，孩子认真，但是需要严格一些看他，妈咪经济没那么好，但是会给孩子尽可能的教学，沟通后还可以，满意度还不错，希望严格一些</t>
        </is>
      </c>
      <c r="AK97" s="426" t="inlineStr">
        <is>
          <t>小学阶段英语一直上着别的机构，觉得还行，暑假转过来的，孩子认真，但是需要严格一些看他，妈咪经济没那么好，但是会给孩子尽可能的教学，沟通后还可以，满意度还不错，希望严格一些</t>
        </is>
      </c>
      <c r="AL97" s="366" t="inlineStr">
        <is>
          <t>A</t>
        </is>
      </c>
      <c r="AM97" s="366" t="n"/>
      <c r="AN97" s="366" t="n"/>
      <c r="AO97" s="366" t="inlineStr">
        <is>
          <t>A</t>
        </is>
      </c>
      <c r="AP97" s="350" t="inlineStr">
        <is>
          <t>1、妹妹换师有不太好的反馈2、浩言很喜欢我们这里，3、妈咪教育意识不错，规划好是会考虑</t>
        </is>
      </c>
      <c r="AQ97" s="366" t="inlineStr">
        <is>
          <t>是</t>
        </is>
      </c>
      <c r="AR97" s="359" t="n"/>
      <c r="AS97" s="281">
        <f>COUNTIFS(H97,"零期",I97,"在读")+COUNTIFS(L97,"零期",M97,"在读")+COUNTIFS(P97,"零期",Q97,"在读")</f>
        <v/>
      </c>
      <c r="AT97" s="281">
        <f>AS97-AX97</f>
        <v/>
      </c>
      <c r="AU97" s="366">
        <f>VLOOKUP(B97,'UV台帐'!B:AL,19,0)</f>
        <v/>
      </c>
      <c r="AV97" s="366">
        <f>VLOOKUP(B97,'UV台帐'!B:AL,28,0)</f>
        <v/>
      </c>
      <c r="AW97" s="366">
        <f>VLOOKUP(B97,'UV台帐'!B:AL,37,0)</f>
        <v/>
      </c>
      <c r="AX97" s="281">
        <f>COUNTIFS(H97,"零期",AU97,"是")+COUNTIFS(L97,"零期",AV97,"是")+COUNTIFS(P97,"零期",AW97,"是")</f>
        <v/>
      </c>
      <c r="AZ97" s="350" t="inlineStr">
        <is>
          <t>已转</t>
        </is>
      </c>
      <c r="BA97" s="359" t="n"/>
    </row>
    <row r="98" ht="30" customFormat="1" customHeight="1" s="366">
      <c r="A98" s="281" t="inlineStr">
        <is>
          <t>新宝利</t>
        </is>
      </c>
      <c r="B98" s="281"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n"/>
      <c r="S98" s="281" t="inlineStr">
        <is>
          <t>是</t>
        </is>
      </c>
      <c r="T98" s="281" t="inlineStr">
        <is>
          <t>是</t>
        </is>
      </c>
      <c r="W98" s="281" t="n"/>
      <c r="X98" s="281" t="n"/>
      <c r="Y98" s="281" t="inlineStr">
        <is>
          <t>田雨涵01</t>
        </is>
      </c>
      <c r="Z98" s="281" t="n"/>
      <c r="AA98" s="73" t="inlineStr">
        <is>
          <t>田雨涵01</t>
        </is>
      </c>
      <c r="AB98" s="281" t="inlineStr">
        <is>
          <t>是</t>
        </is>
      </c>
      <c r="AC98" s="156" t="n"/>
      <c r="AD98" s="315" t="inlineStr">
        <is>
          <t>是</t>
        </is>
      </c>
      <c r="AE98" s="281" t="inlineStr">
        <is>
          <t>林志豪01</t>
        </is>
      </c>
      <c r="AF98" s="281">
        <f>VLOOKUP(B98,'UV台帐'!B:G,6,0)</f>
        <v/>
      </c>
      <c r="AG98" s="281" t="inlineStr">
        <is>
          <t>西雅大塘沙</t>
        </is>
      </c>
      <c r="AH98" s="281" t="inlineStr">
        <is>
          <t>是</t>
        </is>
      </c>
      <c r="AI98" s="281" t="n"/>
      <c r="AJ98" s="426" t="inlineStr">
        <is>
          <t>目前孩子没怎么和妈咪聊，但是觉得反馈不错，未来看看情况因为孩子后面上初中距离有点远了</t>
        </is>
      </c>
      <c r="AK98" s="426" t="inlineStr">
        <is>
          <t>目前孩子没怎么和妈咪聊，但是觉得反馈不错，未来看看情况因为孩子后面上初中距离有点远了</t>
        </is>
      </c>
      <c r="AL98" s="366" t="inlineStr">
        <is>
          <t>C</t>
        </is>
      </c>
      <c r="AM98" s="366" t="inlineStr">
        <is>
          <t>C</t>
        </is>
      </c>
      <c r="AN98" s="366" t="inlineStr">
        <is>
          <t>C</t>
        </is>
      </c>
      <c r="AO98" s="366" t="inlineStr">
        <is>
          <t>C</t>
        </is>
      </c>
      <c r="AP98" s="350" t="inlineStr">
        <is>
          <t>1、孩子还是比较喜欢，2、妈咪认可三个老师3、距离是硬伤</t>
        </is>
      </c>
      <c r="AQ98" s="366" t="inlineStr">
        <is>
          <t>是</t>
        </is>
      </c>
      <c r="AR98" s="359" t="n"/>
      <c r="AS98" s="281">
        <f>COUNTIFS(H98,"零期",I98,"在读")+COUNTIFS(L98,"零期",M98,"在读")+COUNTIFS(P98,"零期",Q98,"在读")</f>
        <v/>
      </c>
      <c r="AT98" s="281">
        <f>AS98-AX98</f>
        <v/>
      </c>
      <c r="AU98" s="366">
        <f>VLOOKUP(B98,'UV台帐'!B:AL,19,0)</f>
        <v/>
      </c>
      <c r="AV98" s="366">
        <f>VLOOKUP(B98,'UV台帐'!B:AL,28,0)</f>
        <v/>
      </c>
      <c r="AW98" s="366">
        <f>VLOOKUP(B98,'UV台帐'!B:AL,37,0)</f>
        <v/>
      </c>
      <c r="AX98" s="281">
        <f>COUNTIFS(H98,"零期",AU98,"是")+COUNTIFS(L98,"零期",AV98,"是")+COUNTIFS(P98,"零期",AW98,"是")</f>
        <v/>
      </c>
      <c r="AZ98" s="350" t="inlineStr">
        <is>
          <t>满意度调查确定不报；电话沟通也确认</t>
        </is>
      </c>
      <c r="BA98" s="359" t="n"/>
    </row>
    <row r="99" ht="41.66666666666666" customFormat="1" customHeight="1" s="366">
      <c r="A99" s="281" t="inlineStr">
        <is>
          <t>同创汇</t>
        </is>
      </c>
      <c r="B99" s="281"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81" t="n"/>
      <c r="S99" s="281" t="inlineStr">
        <is>
          <t>否</t>
        </is>
      </c>
      <c r="T99" s="281" t="inlineStr">
        <is>
          <t>否</t>
        </is>
      </c>
      <c r="U99" s="281" t="inlineStr">
        <is>
          <t>田雨涵01</t>
        </is>
      </c>
      <c r="V99" s="281" t="n"/>
      <c r="W99" s="281" t="n"/>
      <c r="X99" s="281" t="n"/>
      <c r="Y99" s="281" t="inlineStr">
        <is>
          <t>高心怡04</t>
        </is>
      </c>
      <c r="Z99" s="281" t="n"/>
      <c r="AA99" s="73" t="inlineStr">
        <is>
          <t>高心怡04</t>
        </is>
      </c>
      <c r="AB99" s="339" t="inlineStr">
        <is>
          <t>是</t>
        </is>
      </c>
      <c r="AC99" s="315" t="inlineStr">
        <is>
          <t>汪汪</t>
        </is>
      </c>
      <c r="AD99" s="315" t="inlineStr">
        <is>
          <t>是</t>
        </is>
      </c>
      <c r="AE99" s="281" t="inlineStr">
        <is>
          <t>王丽</t>
        </is>
      </c>
      <c r="AF99" s="281">
        <f>VLOOKUP(B99,'UV台帐'!B:G,6,0)</f>
        <v/>
      </c>
      <c r="AG99" s="281" t="inlineStr">
        <is>
          <t>培正</t>
        </is>
      </c>
      <c r="AH99" s="281" t="inlineStr">
        <is>
          <t>是</t>
        </is>
      </c>
      <c r="AI99" s="281" t="inlineStr">
        <is>
          <t>29号下午和10号要回学校，家长想要补课</t>
        </is>
      </c>
      <c r="AJ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6" t="inlineStr">
        <is>
          <t>A</t>
        </is>
      </c>
      <c r="AM99" s="366" t="n"/>
      <c r="AN99" s="366" t="n"/>
      <c r="AO99" s="366" t="inlineStr">
        <is>
          <t>A</t>
        </is>
      </c>
      <c r="AP99" s="350" t="inlineStr">
        <is>
          <t>英语：亲密度还可以，需要再关注错题部分，预备启能班</t>
        </is>
      </c>
      <c r="AR99" s="359" t="n"/>
      <c r="AS99" s="281">
        <f>COUNTIFS(H99,"零期",I99,"在读")+COUNTIFS(L99,"零期",M99,"在读")+COUNTIFS(P99,"零期",Q99,"在读")</f>
        <v/>
      </c>
      <c r="AT99" s="281">
        <f>AS99-AX99</f>
        <v/>
      </c>
      <c r="AU99" s="366">
        <f>VLOOKUP(B99,'UV台帐'!B:AL,19,0)</f>
        <v/>
      </c>
      <c r="AV99" s="366">
        <f>VLOOKUP(B99,'UV台帐'!B:AL,28,0)</f>
        <v/>
      </c>
      <c r="AW99" s="366">
        <f>VLOOKUP(B99,'UV台帐'!B:AL,37,0)</f>
        <v/>
      </c>
      <c r="AX99" s="281">
        <f>COUNTIFS(H99,"零期",AU99,"是")+COUNTIFS(L99,"零期",AV99,"是")+COUNTIFS(P99,"零期",AW99,"是")</f>
        <v/>
      </c>
      <c r="AZ99" s="558" t="inlineStr">
        <is>
          <t>1、孩子喜欢，但是基础没有那么好
2、初中培正，担心作业太多压力大，决定等后面在看
3、老师先沟通规划
培正作业多，担心作业写不完；需要 @高心怡04(高心怡)沟通；打APP练习记单词的点</t>
        </is>
      </c>
      <c r="BA99" s="359" t="n"/>
    </row>
    <row r="100" ht="30" customFormat="1" customHeight="1" s="366">
      <c r="A100" s="281" t="inlineStr">
        <is>
          <t>新宝利</t>
        </is>
      </c>
      <c r="B100" s="281"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inlineStr">
        <is>
          <t>是</t>
        </is>
      </c>
      <c r="T100" s="281" t="inlineStr">
        <is>
          <t>是</t>
        </is>
      </c>
      <c r="W100" s="281" t="inlineStr">
        <is>
          <t>田雨涵01,李润</t>
        </is>
      </c>
      <c r="X100" s="281" t="n"/>
      <c r="Y100" s="281" t="n"/>
      <c r="Z100" s="281" t="n"/>
      <c r="AA100" s="73" t="inlineStr">
        <is>
          <t>肖锐03</t>
        </is>
      </c>
      <c r="AB100" s="281" t="inlineStr">
        <is>
          <t>否</t>
        </is>
      </c>
      <c r="AC100" s="315" t="n"/>
      <c r="AD100" s="315" t="inlineStr">
        <is>
          <t>否</t>
        </is>
      </c>
      <c r="AE100" s="281" t="inlineStr">
        <is>
          <t>林志豪01</t>
        </is>
      </c>
      <c r="AF100" s="281">
        <f>VLOOKUP(B100,'UV台帐'!B:G,6,0)</f>
        <v/>
      </c>
      <c r="AG100" s="281" t="inlineStr">
        <is>
          <t>s'z</t>
        </is>
      </c>
      <c r="AH100" s="281" t="inlineStr">
        <is>
          <t>是</t>
        </is>
      </c>
      <c r="AI100" s="281" t="n"/>
      <c r="AJ100" s="426" t="inlineStr">
        <is>
          <t>面谈，意向度高，孩子很安静，安静到只要你不Q她，全程不说话，妈咪觉得孩子对学习的态度就是任务，希望妹妹有姐姐的冲劲，希望孩子能自发性学习补课，孩子愿意学，就可以</t>
        </is>
      </c>
      <c r="AK100" s="426" t="inlineStr">
        <is>
          <t>面谈，意向度高，孩子很安静，安静到只要你不Q她，全程不说话，妈咪觉得孩子对学习的态度就是任务，希望妹妹有姐姐的冲劲，希望孩子能自发性学习补课，孩子愿意学，就可以</t>
        </is>
      </c>
      <c r="AL100" s="366" t="inlineStr">
        <is>
          <t>A</t>
        </is>
      </c>
      <c r="AM100" s="366" t="inlineStr">
        <is>
          <t>A</t>
        </is>
      </c>
      <c r="AN100" s="366" t="inlineStr">
        <is>
          <t>A</t>
        </is>
      </c>
      <c r="AO100" s="366" t="inlineStr">
        <is>
          <t>A</t>
        </is>
      </c>
      <c r="AP100" s="350" t="inlineStr">
        <is>
          <t>1、妈咪教育意识是支持补课，妈咪也想仪璐自己真的想学2、孩子太内向且学习自驱力太低，觉得学习是任务3、在读老生的妹妹，价格课程体系都清楚</t>
        </is>
      </c>
      <c r="AR100" s="359" t="n"/>
      <c r="AS100" s="281">
        <f>COUNTIFS(H100,"零期",I100,"在读")+COUNTIFS(L100,"零期",M100,"在读")+COUNTIFS(P100,"零期",Q100,"在读")</f>
        <v/>
      </c>
      <c r="AT100" s="281">
        <f>AS100-AX100</f>
        <v/>
      </c>
      <c r="AU100" s="366">
        <f>VLOOKUP(B100,'UV台帐'!B:AL,19,0)</f>
        <v/>
      </c>
      <c r="AV100" s="366">
        <f>VLOOKUP(B100,'UV台帐'!B:AL,28,0)</f>
        <v/>
      </c>
      <c r="AW100" s="366">
        <f>VLOOKUP(B100,'UV台帐'!B:AL,37,0)</f>
        <v/>
      </c>
      <c r="AX100" s="281">
        <f>COUNTIFS(H100,"零期",AU100,"是")+COUNTIFS(L100,"零期",AV100,"是")+COUNTIFS(P100,"零期",AW100,"是")</f>
        <v/>
      </c>
      <c r="AZ100" s="350" t="n"/>
      <c r="BA100" s="359" t="n"/>
    </row>
    <row r="101" ht="30" customFormat="1" customHeight="1" s="366">
      <c r="A101" s="281" t="inlineStr">
        <is>
          <t>同创汇</t>
        </is>
      </c>
      <c r="B101" s="281"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81" t="n"/>
      <c r="S101" s="281" t="inlineStr">
        <is>
          <t>否</t>
        </is>
      </c>
      <c r="T101" s="281" t="inlineStr">
        <is>
          <t>否</t>
        </is>
      </c>
      <c r="W101" s="281" t="n"/>
      <c r="X101" s="281" t="n"/>
      <c r="Y101" s="281" t="n"/>
      <c r="Z101" s="281" t="n"/>
      <c r="AA101" s="73" t="inlineStr">
        <is>
          <t>田雨涵01</t>
        </is>
      </c>
      <c r="AB101" s="281" t="inlineStr">
        <is>
          <t>是</t>
        </is>
      </c>
      <c r="AC101" s="315" t="inlineStr">
        <is>
          <t>路涵</t>
        </is>
      </c>
      <c r="AD101" s="315" t="inlineStr">
        <is>
          <t>是</t>
        </is>
      </c>
      <c r="AE101" s="281" t="inlineStr">
        <is>
          <t>戎凯01</t>
        </is>
      </c>
      <c r="AF101" s="281">
        <f>VLOOKUP(B101,'UV台帐'!B:G,6,0)</f>
        <v/>
      </c>
      <c r="AG101" s="281" t="n"/>
      <c r="AH101" s="281" t="inlineStr">
        <is>
          <t>是</t>
        </is>
      </c>
      <c r="AI101" s="281" t="inlineStr">
        <is>
          <t>数学需要调整到和依一依一起上（原博宁班），语文英语退费</t>
        </is>
      </c>
      <c r="AJ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6" t="inlineStr">
        <is>
          <t>A</t>
        </is>
      </c>
      <c r="AM101" s="366" t="n"/>
      <c r="AN101" s="366" t="n"/>
      <c r="AO101" s="366" t="n"/>
      <c r="AP101" s="350" t="n"/>
      <c r="AR101" s="359" t="n"/>
      <c r="AS101" s="281">
        <f>COUNTIFS(H101,"零期",I101,"在读")+COUNTIFS(L101,"零期",M101,"在读")+COUNTIFS(P101,"零期",Q101,"在读")</f>
        <v/>
      </c>
      <c r="AT101" s="281">
        <f>AS101-AX101</f>
        <v/>
      </c>
      <c r="AU101" s="366">
        <f>VLOOKUP(B101,'UV台帐'!B:AL,19,0)</f>
        <v/>
      </c>
      <c r="AV101" s="366">
        <f>VLOOKUP(B101,'UV台帐'!B:AL,28,0)</f>
        <v/>
      </c>
      <c r="AW101" s="366">
        <f>VLOOKUP(B101,'UV台帐'!B:AL,37,0)</f>
        <v/>
      </c>
      <c r="AX101" s="281">
        <f>COUNTIFS(H101,"零期",AU101,"是")+COUNTIFS(L101,"零期",AV101,"是")+COUNTIFS(P101,"零期",AW101,"是")</f>
        <v/>
      </c>
      <c r="AZ101" s="350" t="inlineStr">
        <is>
          <t>主要看孩子的初中定在哪里，在附近的话报名肯定没问题，得7月16号之后才定夺</t>
        </is>
      </c>
      <c r="BA101" s="359" t="n"/>
    </row>
    <row r="102" ht="30" customFormat="1" customHeight="1" s="366">
      <c r="A102" s="281" t="inlineStr">
        <is>
          <t>同创汇</t>
        </is>
      </c>
      <c r="B102" s="281"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n"/>
      <c r="S102" s="281" t="inlineStr">
        <is>
          <t>是</t>
        </is>
      </c>
      <c r="T102" s="281" t="inlineStr">
        <is>
          <t>是</t>
        </is>
      </c>
      <c r="U102" s="281" t="n"/>
      <c r="V102" s="281" t="n"/>
      <c r="W102" s="281" t="inlineStr">
        <is>
          <t>陈南05</t>
        </is>
      </c>
      <c r="X102" s="281" t="n"/>
      <c r="Y102" s="281" t="inlineStr">
        <is>
          <t>田雨涵01,刘希子</t>
        </is>
      </c>
      <c r="Z102" s="281" t="n"/>
      <c r="AA102" s="73" t="inlineStr">
        <is>
          <t>陈南05</t>
        </is>
      </c>
      <c r="AB102" s="7" t="inlineStr">
        <is>
          <t>是</t>
        </is>
      </c>
      <c r="AC102" s="315" t="inlineStr">
        <is>
          <t>王达</t>
        </is>
      </c>
      <c r="AD102" s="315" t="inlineStr">
        <is>
          <t>是</t>
        </is>
      </c>
      <c r="AE102" s="281" t="inlineStr">
        <is>
          <t>王丽</t>
        </is>
      </c>
      <c r="AF102" s="281">
        <f>VLOOKUP(B102,'UV台帐'!B:G,6,0)</f>
        <v/>
      </c>
      <c r="AG102" s="281" t="inlineStr">
        <is>
          <t>省实越秀</t>
        </is>
      </c>
      <c r="AH102" s="281" t="inlineStr">
        <is>
          <t>是</t>
        </is>
      </c>
      <c r="AI102" s="281" t="inlineStr">
        <is>
          <t>6月29日语文可以听半节，英语需要请假，已经告知家长开通回放，其他的时间没有问题</t>
        </is>
      </c>
      <c r="AJ102" s="426" t="inlineStr">
        <is>
          <t>未接，微信留言。孩子妈妈觉得我们老师都很好，连教材都印刷的很好，还说要推荐朋友过来。之前孩子没有在线下补习过，觉得我们服务很好</t>
        </is>
      </c>
      <c r="AK102" s="426" t="inlineStr">
        <is>
          <t>未接，微信留言。孩子妈妈觉得我们老师都很好，连教材都印刷的很好，还说要推荐朋友过来。之前孩子没有在线下补习过，觉得我们服务很好</t>
        </is>
      </c>
      <c r="AL102" s="366" t="inlineStr">
        <is>
          <t>B</t>
        </is>
      </c>
      <c r="AM102" s="366" t="inlineStr">
        <is>
          <t>B</t>
        </is>
      </c>
      <c r="AN102" s="366" t="inlineStr">
        <is>
          <t>C</t>
        </is>
      </c>
      <c r="AO102" s="366" t="n"/>
      <c r="AP102" s="350" t="inlineStr">
        <is>
          <t>双胞胎，支付能力可能没那么好</t>
        </is>
      </c>
      <c r="AQ102" s="366" t="inlineStr">
        <is>
          <t>是</t>
        </is>
      </c>
      <c r="AR102" s="359" t="n"/>
      <c r="AS102" s="281">
        <f>COUNTIFS(H102,"零期",I102,"在读")+COUNTIFS(L102,"零期",M102,"在读")+COUNTIFS(P102,"零期",Q102,"在读")</f>
        <v/>
      </c>
      <c r="AT102" s="281">
        <f>AS102-AX102</f>
        <v/>
      </c>
      <c r="AU102" s="366">
        <f>VLOOKUP(B102,'UV台帐'!B:AL,19,0)</f>
        <v/>
      </c>
      <c r="AV102" s="366">
        <f>VLOOKUP(B102,'UV台帐'!B:AL,28,0)</f>
        <v/>
      </c>
      <c r="AW102" s="366">
        <f>VLOOKUP(B102,'UV台帐'!B:AL,37,0)</f>
        <v/>
      </c>
      <c r="AX102" s="281">
        <f>COUNTIFS(H102,"零期",AU102,"是")+COUNTIFS(L102,"零期",AV102,"是")+COUNTIFS(P102,"零期",AW102,"是")</f>
        <v/>
      </c>
      <c r="AZ102" s="381" t="inlineStr">
        <is>
          <t>孩子妈妈说不想给孩子压力，之前一直没报课，幼升小和小升初有衔接课就可以了，之前学校语文有下滑，自己跟孩子说孩子一个学期就是全校第一第二</t>
        </is>
      </c>
      <c r="BA102" s="359" t="n"/>
    </row>
    <row r="103" ht="30" customFormat="1" customHeight="1" s="366">
      <c r="A103" s="281" t="inlineStr">
        <is>
          <t>同创汇</t>
        </is>
      </c>
      <c r="B103" s="281"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n"/>
      <c r="S103" s="281" t="inlineStr">
        <is>
          <t>是</t>
        </is>
      </c>
      <c r="T103" s="281" t="inlineStr">
        <is>
          <t>是</t>
        </is>
      </c>
      <c r="W103" s="281" t="n"/>
      <c r="X103" s="281" t="n"/>
      <c r="Y103" s="281" t="inlineStr">
        <is>
          <t>高心怡04</t>
        </is>
      </c>
      <c r="Z103" s="281" t="n"/>
      <c r="AA103" s="73" t="inlineStr">
        <is>
          <t>高心怡04</t>
        </is>
      </c>
      <c r="AB103" s="281" t="inlineStr">
        <is>
          <t>是</t>
        </is>
      </c>
      <c r="AC103" s="315" t="inlineStr">
        <is>
          <t>苏丽婷</t>
        </is>
      </c>
      <c r="AD103" s="315" t="inlineStr">
        <is>
          <t>是</t>
        </is>
      </c>
      <c r="AE103" s="281" t="inlineStr">
        <is>
          <t>苏丽婷</t>
        </is>
      </c>
      <c r="AF103" s="281">
        <f>VLOOKUP(B103,'UV台帐'!B:G,6,0)</f>
        <v/>
      </c>
      <c r="AG103" s="281" t="inlineStr">
        <is>
          <t>十六中东华</t>
        </is>
      </c>
      <c r="AH103" s="281" t="inlineStr">
        <is>
          <t>是</t>
        </is>
      </c>
      <c r="AI103" s="281" t="inlineStr">
        <is>
          <t>学校通知29号和2号要回校，具体时间段正在收集</t>
        </is>
      </c>
      <c r="AJ103" s="426" t="inlineStr">
        <is>
          <t>家长希望晚上再致电，妈妈不在家，需要联系孩子爸爸，计划是面谈的群里Nalu老师也是计划今晚致电，之前面聊到孩子对于这边上课是很满意的，住小北的，距离还可以接受秋季还没规划</t>
        </is>
      </c>
      <c r="AK103" s="426" t="inlineStr">
        <is>
          <t>家长希望晚上再致电，妈妈不在家，需要联系孩子爸爸，计划是面谈的群里Nalu老师也是计划今晚致电，之前面聊到孩子对于这边上课是很满意的，住小北的，距离还可以接受秋季还没规划</t>
        </is>
      </c>
      <c r="AL103" s="366" t="inlineStr">
        <is>
          <t>A</t>
        </is>
      </c>
      <c r="AM103" s="366" t="inlineStr">
        <is>
          <t>B</t>
        </is>
      </c>
      <c r="AN103" s="366" t="inlineStr">
        <is>
          <t>B</t>
        </is>
      </c>
      <c r="AO103" s="366" t="inlineStr">
        <is>
          <t>B</t>
        </is>
      </c>
      <c r="AP103" s="559" t="inlineStr">
        <is>
          <t>"中帅：判B,孩子笔记做的还不错，课堂鼓励孩子也很多，但是爸妈都非常忙
心怡：判B，孩子课程互动需要推一把，性格腼腆"
李润：</t>
        </is>
      </c>
      <c r="AQ103" s="366" t="inlineStr">
        <is>
          <t>是</t>
        </is>
      </c>
      <c r="AR103" s="359" t="n"/>
      <c r="AS103" s="281">
        <f>COUNTIFS(H103,"零期",I103,"在读")+COUNTIFS(L103,"零期",M103,"在读")+COUNTIFS(P103,"零期",Q103,"在读")</f>
        <v/>
      </c>
      <c r="AT103" s="281">
        <f>AS103-AX103</f>
        <v/>
      </c>
      <c r="AU103" s="366">
        <f>VLOOKUP(B103,'UV台帐'!B:AL,19,0)</f>
        <v/>
      </c>
      <c r="AV103" s="366">
        <f>VLOOKUP(B103,'UV台帐'!B:AL,28,0)</f>
        <v/>
      </c>
      <c r="AW103" s="366">
        <f>VLOOKUP(B103,'UV台帐'!B:AL,37,0)</f>
        <v/>
      </c>
      <c r="AX103" s="281">
        <f>COUNTIFS(H103,"零期",AU103,"是")+COUNTIFS(L103,"零期",AV103,"是")+COUNTIFS(P103,"零期",AW103,"是")</f>
        <v/>
      </c>
      <c r="AZ103" s="350" t="inlineStr">
        <is>
          <t>孩子妈妈不了解学习情况，最近都是孩子爸爸管学习，爸爸没有来，英语语文已经报了其他机构，考虑我们的数学时间，需要找孩子了解学习秋季的意愿；</t>
        </is>
      </c>
      <c r="BA103" s="359" t="n"/>
    </row>
    <row r="104" ht="30" customFormat="1" customHeight="1" s="366">
      <c r="A104" s="281" t="inlineStr">
        <is>
          <t>新宝利</t>
        </is>
      </c>
      <c r="B104" s="281"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inlineStr">
        <is>
          <t>是</t>
        </is>
      </c>
      <c r="T104" s="281" t="inlineStr">
        <is>
          <t>是</t>
        </is>
      </c>
      <c r="W104" s="281" t="inlineStr">
        <is>
          <t>肖锐03</t>
        </is>
      </c>
      <c r="X104" s="281" t="n"/>
      <c r="Y104" s="281" t="n"/>
      <c r="Z104" s="281" t="n"/>
      <c r="AA104" s="73" t="inlineStr">
        <is>
          <t>肖锐03</t>
        </is>
      </c>
      <c r="AB104" s="281" t="inlineStr">
        <is>
          <t>是</t>
        </is>
      </c>
      <c r="AC104" s="156" t="inlineStr">
        <is>
          <t>戎凯</t>
        </is>
      </c>
      <c r="AD104" s="315" t="inlineStr">
        <is>
          <t>是</t>
        </is>
      </c>
      <c r="AE104" s="281" t="inlineStr">
        <is>
          <t>张敏烨</t>
        </is>
      </c>
      <c r="AF104" s="281">
        <f>VLOOKUP(B104,'UV台帐'!B:G,6,0)</f>
        <v/>
      </c>
      <c r="AG104" s="281" t="inlineStr">
        <is>
          <t>16中</t>
        </is>
      </c>
      <c r="AH104" s="281" t="inlineStr">
        <is>
          <t>是</t>
        </is>
      </c>
      <c r="AI104" s="281" t="inlineStr">
        <is>
          <t>没问题</t>
        </is>
      </c>
      <c r="AJ104" s="426" t="inlineStr">
        <is>
          <t>聊了10分钟，之前上的一对一或一对三，目前没有在上，孩子有点不习惯班课形式（觉得人有点多且进度比较慢）有长期学的想法，等暑假上完看看，孩子比较挑老师，家长缴费是比较墨迹的那种</t>
        </is>
      </c>
      <c r="AK104" s="426" t="inlineStr">
        <is>
          <t>聊了10分钟，之前上的一对一或一对三，目前没有在上，孩子有点不习惯班课形式（觉得人有点多且进度比较慢）有长期学的想法，等暑假上完看看，孩子比较挑老师，家长缴费是比较墨迹的那种</t>
        </is>
      </c>
      <c r="AL104" s="366" t="inlineStr">
        <is>
          <t>B</t>
        </is>
      </c>
      <c r="AM104" s="366" t="inlineStr">
        <is>
          <t>B</t>
        </is>
      </c>
      <c r="AN104" s="366" t="n"/>
      <c r="AO104" s="366" t="n"/>
      <c r="AP104" s="350" t="inlineStr">
        <is>
          <t>比较沉默的性格，卡点是家长缴费很慢，且比较谨慎，也比较在意秋季时间和人数方面</t>
        </is>
      </c>
      <c r="AQ104" s="366" t="inlineStr">
        <is>
          <t>是</t>
        </is>
      </c>
      <c r="AR104" s="359" t="inlineStr">
        <is>
          <t>家长暑假课觉得一般，时间会有冲突</t>
        </is>
      </c>
      <c r="AS104" s="281">
        <f>COUNTIFS(H104,"零期",I104,"在读")+COUNTIFS(L104,"零期",M104,"在读")+COUNTIFS(P104,"零期",Q104,"在读")</f>
        <v/>
      </c>
      <c r="AT104" s="281">
        <f>AS104-AX104</f>
        <v/>
      </c>
      <c r="AU104" s="366">
        <f>VLOOKUP(B104,'UV台帐'!B:AL,19,0)</f>
        <v/>
      </c>
      <c r="AV104" s="366">
        <f>VLOOKUP(B104,'UV台帐'!B:AL,28,0)</f>
        <v/>
      </c>
      <c r="AW104" s="366">
        <f>VLOOKUP(B104,'UV台帐'!B:AL,37,0)</f>
        <v/>
      </c>
      <c r="AX104" s="281">
        <f>COUNTIFS(H104,"零期",AU104,"是")+COUNTIFS(L104,"零期",AV104,"是")+COUNTIFS(P104,"零期",AW104,"是")</f>
        <v/>
      </c>
      <c r="AZ104" s="56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50" t="inlineStr">
        <is>
          <t>7.5晚上电联告知后续学习安排已经优惠截止时间，妈妈表示晚上孩子不在家，要等她回来沟通</t>
        </is>
      </c>
    </row>
    <row r="105" ht="30" customFormat="1" customHeight="1" s="366">
      <c r="A105" s="281" t="inlineStr">
        <is>
          <t>新宝利</t>
        </is>
      </c>
      <c r="B105" s="281"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81" t="n"/>
      <c r="S105" s="281" t="inlineStr">
        <is>
          <t>是</t>
        </is>
      </c>
      <c r="T105" s="281" t="inlineStr">
        <is>
          <t>是</t>
        </is>
      </c>
      <c r="W105" s="281" t="inlineStr">
        <is>
          <t>田雨涵01</t>
        </is>
      </c>
      <c r="X105" s="281" t="n"/>
      <c r="Y105" s="119" t="n"/>
      <c r="Z105" s="119" t="n"/>
      <c r="AA105" s="73" t="inlineStr">
        <is>
          <t>田雨涵01</t>
        </is>
      </c>
      <c r="AB105" s="281" t="inlineStr">
        <is>
          <t>是</t>
        </is>
      </c>
      <c r="AC105" s="156" t="inlineStr">
        <is>
          <t>王丽</t>
        </is>
      </c>
      <c r="AD105" s="315" t="inlineStr">
        <is>
          <t>是</t>
        </is>
      </c>
      <c r="AE105" s="281" t="inlineStr">
        <is>
          <t>王丽</t>
        </is>
      </c>
      <c r="AF105" s="281">
        <f>VLOOKUP(B105,'UV台帐'!B:G,6,0)</f>
        <v/>
      </c>
      <c r="AG105" s="281" t="inlineStr">
        <is>
          <t>七中</t>
        </is>
      </c>
      <c r="AH105" s="281" t="inlineStr">
        <is>
          <t>是</t>
        </is>
      </c>
      <c r="AI105" s="281" t="inlineStr">
        <is>
          <t>6.29下午拿录取通知书，7.10上午回学校参加散学典礼</t>
        </is>
      </c>
      <c r="AJ105" s="426" t="inlineStr">
        <is>
          <t>一天连着上三科，下午总有段时间犯困，课程难度挺适合的，不会太难，又能学到东西，后续再关注下孩子的上课情况</t>
        </is>
      </c>
      <c r="AK105" s="426" t="inlineStr">
        <is>
          <t>一天连着上三科，下午总有段时间犯困，课程难度挺适合的，不会太难，又能学到东西，后续再关注下孩子的上课情况</t>
        </is>
      </c>
      <c r="AL105" s="366" t="inlineStr">
        <is>
          <t>A</t>
        </is>
      </c>
      <c r="AM105" s="366" t="n"/>
      <c r="AN105" s="366" t="inlineStr">
        <is>
          <t>A</t>
        </is>
      </c>
      <c r="AO105" s="366" t="n"/>
      <c r="AP105" s="350" t="n"/>
      <c r="AR105" s="359" t="n"/>
      <c r="AS105" s="281">
        <f>COUNTIFS(H105,"零期",I105,"在读")+COUNTIFS(L105,"零期",M105,"在读")+COUNTIFS(P105,"零期",Q105,"在读")</f>
        <v/>
      </c>
      <c r="AT105" s="281">
        <f>AS105-AX105</f>
        <v/>
      </c>
      <c r="AU105" s="366">
        <f>VLOOKUP(B105,'UV台帐'!B:AL,19,0)</f>
        <v/>
      </c>
      <c r="AV105" s="366">
        <f>VLOOKUP(B105,'UV台帐'!B:AL,28,0)</f>
        <v/>
      </c>
      <c r="AW105" s="366">
        <f>VLOOKUP(B105,'UV台帐'!B:AL,37,0)</f>
        <v/>
      </c>
      <c r="AX105" s="281">
        <f>COUNTIFS(H105,"零期",AU105,"是")+COUNTIFS(L105,"零期",AV105,"是")+COUNTIFS(P105,"零期",AW105,"是")</f>
        <v/>
      </c>
      <c r="AZ105" s="350" t="inlineStr">
        <is>
          <t>孩子反馈比较少，三科一起上比较累，课程回家反馈比较少，过往没补习，会有价值，大概率一科语文。</t>
        </is>
      </c>
      <c r="BA105" s="359" t="n"/>
    </row>
    <row r="106" ht="30" customFormat="1" customHeight="1" s="366">
      <c r="A106" s="281" t="inlineStr">
        <is>
          <t>同创汇</t>
        </is>
      </c>
      <c r="B106" s="281"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81" t="n"/>
      <c r="S106" s="281" t="inlineStr">
        <is>
          <t>是</t>
        </is>
      </c>
      <c r="T106" s="281" t="inlineStr">
        <is>
          <t>是</t>
        </is>
      </c>
      <c r="W106" s="281" t="n"/>
      <c r="X106" s="281" t="n"/>
      <c r="Y106" s="281" t="inlineStr">
        <is>
          <t>陈中帅</t>
        </is>
      </c>
      <c r="Z106" s="281" t="n"/>
      <c r="AA106" s="80" t="inlineStr">
        <is>
          <t>陈中帅</t>
        </is>
      </c>
      <c r="AB106" s="281" t="inlineStr">
        <is>
          <t>是</t>
        </is>
      </c>
      <c r="AC106" s="315" t="inlineStr">
        <is>
          <t>张敏烨</t>
        </is>
      </c>
      <c r="AD106" s="119" t="inlineStr">
        <is>
          <t>是</t>
        </is>
      </c>
      <c r="AE106" s="281" t="inlineStr">
        <is>
          <t>戎凯01</t>
        </is>
      </c>
      <c r="AF106" s="281">
        <f>VLOOKUP(B106,'UV台帐'!B:G,6,0)</f>
        <v/>
      </c>
      <c r="AG106" s="281" t="inlineStr">
        <is>
          <t>未定</t>
        </is>
      </c>
      <c r="AH106" s="281" t="inlineStr">
        <is>
          <t>是</t>
        </is>
      </c>
      <c r="AI106" s="281" t="inlineStr">
        <is>
          <t>可正常来上课</t>
        </is>
      </c>
      <c r="AJ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6" t="inlineStr">
        <is>
          <t>B</t>
        </is>
      </c>
      <c r="AM106" s="366" t="inlineStr">
        <is>
          <t>B</t>
        </is>
      </c>
      <c r="AN106" s="366" t="inlineStr">
        <is>
          <t>B</t>
        </is>
      </c>
      <c r="AO106" s="366" t="inlineStr">
        <is>
          <t>B</t>
        </is>
      </c>
      <c r="AP106" s="350" t="inlineStr">
        <is>
          <t>目前家长得等择校规划确定，才能够考虑秋季报名的安排。</t>
        </is>
      </c>
      <c r="AQ106" s="366" t="inlineStr">
        <is>
          <t>是</t>
        </is>
      </c>
      <c r="AR106" s="359" t="n"/>
      <c r="AS106" s="281">
        <f>COUNTIFS(H106,"零期",I106,"在读")+COUNTIFS(L106,"零期",M106,"在读")+COUNTIFS(P106,"零期",Q106,"在读")</f>
        <v/>
      </c>
      <c r="AT106" s="281">
        <f>AS106-AX106</f>
        <v/>
      </c>
      <c r="AU106" s="366">
        <f>VLOOKUP(B106,'UV台帐'!B:AL,19,0)</f>
        <v/>
      </c>
      <c r="AV106" s="366">
        <f>VLOOKUP(B106,'UV台帐'!B:AL,28,0)</f>
        <v/>
      </c>
      <c r="AW106" s="366">
        <f>VLOOKUP(B106,'UV台帐'!B:AL,37,0)</f>
        <v/>
      </c>
      <c r="AX106" s="281">
        <f>COUNTIFS(H106,"零期",AU106,"是")+COUNTIFS(L106,"零期",AV106,"是")+COUNTIFS(P106,"零期",AW106,"是")</f>
        <v/>
      </c>
      <c r="AZ106" s="350" t="inlineStr">
        <is>
          <t>已转化</t>
        </is>
      </c>
      <c r="BA106" s="359" t="n"/>
    </row>
    <row r="107" ht="30" customFormat="1" customHeight="1" s="366">
      <c r="A107" s="281" t="inlineStr">
        <is>
          <t>同创汇</t>
        </is>
      </c>
      <c r="B107" s="281"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81" t="n"/>
      <c r="S107" s="281" t="inlineStr">
        <is>
          <t>是</t>
        </is>
      </c>
      <c r="T107" s="281" t="inlineStr">
        <is>
          <t>是</t>
        </is>
      </c>
      <c r="W107" s="281" t="inlineStr">
        <is>
          <t>陈中帅</t>
        </is>
      </c>
      <c r="X107" s="281" t="n"/>
      <c r="Y107" s="281" t="inlineStr">
        <is>
          <t>刘希子</t>
        </is>
      </c>
      <c r="Z107" s="281" t="n"/>
      <c r="AA107" s="73" t="inlineStr">
        <is>
          <t>黄铭怡</t>
        </is>
      </c>
      <c r="AB107" s="281" t="inlineStr">
        <is>
          <t>是</t>
        </is>
      </c>
      <c r="AC107" s="315" t="inlineStr">
        <is>
          <t>王博宁</t>
        </is>
      </c>
      <c r="AD107" s="315" t="inlineStr">
        <is>
          <t>是</t>
        </is>
      </c>
      <c r="AE107" s="281" t="inlineStr">
        <is>
          <t>王丽</t>
        </is>
      </c>
      <c r="AF107" s="281">
        <f>VLOOKUP(B107,'UV台帐'!B:G,6,0)</f>
        <v/>
      </c>
      <c r="AG107" s="281" t="inlineStr">
        <is>
          <t>16中</t>
        </is>
      </c>
      <c r="AH107" s="281" t="inlineStr">
        <is>
          <t>是</t>
        </is>
      </c>
      <c r="AI107" s="281" t="inlineStr">
        <is>
          <t>9号和10号上午有事情，调一期或者开通回放都可以，具体再看看学校安排</t>
        </is>
      </c>
      <c r="AJ107" s="426" t="inlineStr">
        <is>
          <t>孩子妈妈电话没接，孩子上课比较乖</t>
        </is>
      </c>
      <c r="AK107" s="426" t="inlineStr">
        <is>
          <t>孩子妈妈电话没接，孩子上课比较乖</t>
        </is>
      </c>
      <c r="AL107" s="366" t="n"/>
      <c r="AM107" s="366" t="n"/>
      <c r="AN107" s="366" t="n"/>
      <c r="AO107" s="366" t="n"/>
      <c r="AP107" s="350" t="inlineStr">
        <is>
          <t>语文：电话没接，孩子学习习惯很好</t>
        </is>
      </c>
      <c r="AR107" s="359" t="n"/>
      <c r="AS107" s="281">
        <f>COUNTIFS(H107,"零期",I107,"在读")+COUNTIFS(L107,"零期",M107,"在读")+COUNTIFS(P107,"零期",Q107,"在读")</f>
        <v/>
      </c>
      <c r="AT107" s="281">
        <f>AS107-AX107</f>
        <v/>
      </c>
      <c r="AU107" s="366">
        <f>VLOOKUP(B107,'UV台帐'!B:AL,19,0)</f>
        <v/>
      </c>
      <c r="AV107" s="366">
        <f>VLOOKUP(B107,'UV台帐'!B:AL,28,0)</f>
        <v/>
      </c>
      <c r="AW107" s="366">
        <f>VLOOKUP(B107,'UV台帐'!B:AL,37,0)</f>
        <v/>
      </c>
      <c r="AX107" s="281">
        <f>COUNTIFS(H107,"零期",AU107,"是")+COUNTIFS(L107,"零期",AV107,"是")+COUNTIFS(P107,"零期",AW107,"是")</f>
        <v/>
      </c>
      <c r="AZ107" s="350" t="inlineStr">
        <is>
          <t>已转化</t>
        </is>
      </c>
      <c r="BA107" s="359" t="n"/>
    </row>
    <row r="108" ht="30" customFormat="1" customHeight="1" s="366">
      <c r="A108" s="281" t="inlineStr">
        <is>
          <t>同创汇</t>
        </is>
      </c>
      <c r="B108" s="281"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inlineStr">
        <is>
          <t>是</t>
        </is>
      </c>
      <c r="T108" s="281" t="inlineStr">
        <is>
          <t>是</t>
        </is>
      </c>
      <c r="W108" s="281" t="n"/>
      <c r="X108" s="281" t="n"/>
      <c r="Y108" s="281" t="inlineStr">
        <is>
          <t>高心怡04,李润</t>
        </is>
      </c>
      <c r="Z108" s="281" t="n"/>
      <c r="AA108" s="73" t="inlineStr">
        <is>
          <t>高心怡04</t>
        </is>
      </c>
      <c r="AB108" s="281" t="inlineStr">
        <is>
          <t>是</t>
        </is>
      </c>
      <c r="AC108" s="315" t="inlineStr">
        <is>
          <t>王丽</t>
        </is>
      </c>
      <c r="AD108" s="315" t="inlineStr">
        <is>
          <t>是</t>
        </is>
      </c>
      <c r="AE108" s="281" t="inlineStr">
        <is>
          <t>王丽</t>
        </is>
      </c>
      <c r="AF108" s="281">
        <f>VLOOKUP(B108,'UV台帐'!B:G,6,0)</f>
        <v/>
      </c>
      <c r="AG108" s="281" t="n"/>
      <c r="AH108" s="281" t="inlineStr">
        <is>
          <t>是</t>
        </is>
      </c>
      <c r="AI108" s="281" t="inlineStr">
        <is>
          <t>没问题</t>
        </is>
      </c>
      <c r="AJ108" s="426" t="inlineStr">
        <is>
          <t>昨天下午发烧了，今天请假一天，明天没问题的话就过来上课，孩子积极性很高，课间休息的时候都在写作业，主动来办公室找老师批改，自觉性很高</t>
        </is>
      </c>
      <c r="AK108" s="426" t="inlineStr">
        <is>
          <t>昨天下午发烧了，今天请假一天，明天没问题的话就过来上课，孩子积极性很高，课间休息的时候都在写作业，主动来办公室找老师批改，自觉性很高</t>
        </is>
      </c>
      <c r="AL108" s="366" t="inlineStr">
        <is>
          <t>B</t>
        </is>
      </c>
      <c r="AM108" s="366" t="inlineStr">
        <is>
          <t>B</t>
        </is>
      </c>
      <c r="AN108" s="366" t="inlineStr">
        <is>
          <t>B</t>
        </is>
      </c>
      <c r="AO108" s="366" t="inlineStr">
        <is>
          <t>B</t>
        </is>
      </c>
      <c r="AP108" s="350" t="inlineStr">
        <is>
          <t>判断下支付能力和科目，英语最弱会畏难，学习习惯还可以</t>
        </is>
      </c>
      <c r="AR108" s="359" t="n"/>
      <c r="AS108" s="281">
        <f>COUNTIFS(H108,"零期",I108,"在读")+COUNTIFS(L108,"零期",M108,"在读")+COUNTIFS(P108,"零期",Q108,"在读")</f>
        <v/>
      </c>
      <c r="AT108" s="281">
        <f>AS108-AX108</f>
        <v/>
      </c>
      <c r="AU108" s="366">
        <f>VLOOKUP(B108,'UV台帐'!B:AL,19,0)</f>
        <v/>
      </c>
      <c r="AV108" s="366">
        <f>VLOOKUP(B108,'UV台帐'!B:AL,28,0)</f>
        <v/>
      </c>
      <c r="AW108" s="366">
        <f>VLOOKUP(B108,'UV台帐'!B:AL,37,0)</f>
        <v/>
      </c>
      <c r="AX108" s="281">
        <f>COUNTIFS(H108,"零期",AU108,"是")+COUNTIFS(L108,"零期",AV108,"是")+COUNTIFS(P108,"零期",AW108,"是")</f>
        <v/>
      </c>
      <c r="AZ108" s="350" t="inlineStr">
        <is>
          <t>孩子妈妈觉得孩子语文英语都不太好，但是排了很多课外班，还没有跟孩子去做沟通，得和孩子沟通后才能确认；课外课程和我们的课程做取舍；</t>
        </is>
      </c>
      <c r="BA108" s="359" t="n"/>
    </row>
    <row r="109" ht="30" customFormat="1" customHeight="1" s="366">
      <c r="A109" s="281" t="inlineStr">
        <is>
          <t>新宝利</t>
        </is>
      </c>
      <c r="B109" s="281"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81" t="n"/>
      <c r="S109" s="281" t="inlineStr">
        <is>
          <t>是</t>
        </is>
      </c>
      <c r="T109" s="281" t="inlineStr">
        <is>
          <t>否</t>
        </is>
      </c>
      <c r="W109" s="281" t="n"/>
      <c r="X109" s="281" t="n"/>
      <c r="Y109" s="281" t="n"/>
      <c r="Z109" s="281" t="n"/>
      <c r="AA109" s="73" t="inlineStr">
        <is>
          <t>陈中帅</t>
        </is>
      </c>
      <c r="AB109" s="281" t="inlineStr">
        <is>
          <t>否</t>
        </is>
      </c>
      <c r="AC109" s="315" t="n"/>
      <c r="AD109" s="315" t="inlineStr">
        <is>
          <t>否</t>
        </is>
      </c>
      <c r="AE109" s="281" t="inlineStr">
        <is>
          <t>杨林33</t>
        </is>
      </c>
      <c r="AF109" s="281">
        <f>VLOOKUP(B109,'UV台帐'!B:G,6,0)</f>
        <v/>
      </c>
      <c r="AG109" s="281" t="n"/>
      <c r="AH109" s="281" t="inlineStr">
        <is>
          <t>是</t>
        </is>
      </c>
      <c r="AI109" s="281" t="inlineStr">
        <is>
          <t>6.29-7.3没问题，7.6-7.10的课要调到一期上</t>
        </is>
      </c>
      <c r="AJ109" s="426" t="inlineStr">
        <is>
          <t>家长在忙拒接</t>
        </is>
      </c>
      <c r="AK109" s="426" t="inlineStr">
        <is>
          <t>家长在忙拒接</t>
        </is>
      </c>
      <c r="AL109" s="366" t="inlineStr">
        <is>
          <t>C</t>
        </is>
      </c>
      <c r="AM109" s="366" t="inlineStr">
        <is>
          <t>C</t>
        </is>
      </c>
      <c r="AN109" s="366" t="n"/>
      <c r="AO109" s="366" t="inlineStr">
        <is>
          <t>C</t>
        </is>
      </c>
      <c r="AP109" s="350" t="inlineStr">
        <is>
          <t>孩子要去香港上学，不打算续报</t>
        </is>
      </c>
      <c r="AR109" s="359" t="n"/>
      <c r="AS109" s="281">
        <f>COUNTIFS(H109,"零期",I109,"在读")+COUNTIFS(L109,"零期",M109,"在读")+COUNTIFS(P109,"零期",Q109,"在读")</f>
        <v/>
      </c>
      <c r="AT109" s="281">
        <f>AS109-AX109</f>
        <v/>
      </c>
      <c r="AU109" s="366">
        <f>VLOOKUP(B109,'UV台帐'!B:AL,19,0)</f>
        <v/>
      </c>
      <c r="AV109" s="366">
        <f>VLOOKUP(B109,'UV台帐'!B:AL,28,0)</f>
        <v/>
      </c>
      <c r="AW109" s="366">
        <f>VLOOKUP(B109,'UV台帐'!B:AL,37,0)</f>
        <v/>
      </c>
      <c r="AX109" s="281">
        <f>COUNTIFS(H109,"零期",AU109,"是")+COUNTIFS(L109,"零期",AV109,"是")+COUNTIFS(P109,"零期",AW109,"是")</f>
        <v/>
      </c>
      <c r="AZ109" s="350" t="n"/>
      <c r="BA109" s="359" t="n"/>
    </row>
    <row r="110" ht="30" customFormat="1" customHeight="1" s="366">
      <c r="A110" s="281" t="inlineStr">
        <is>
          <t>同创汇</t>
        </is>
      </c>
      <c r="B110" s="281"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81" t="n"/>
      <c r="S110" s="281" t="inlineStr">
        <is>
          <t>是</t>
        </is>
      </c>
      <c r="T110" s="281" t="inlineStr">
        <is>
          <t>是</t>
        </is>
      </c>
      <c r="W110" s="281" t="n"/>
      <c r="X110" s="281" t="n"/>
      <c r="Y110" s="281" t="n"/>
      <c r="Z110" s="281" t="n"/>
      <c r="AA110" s="73" t="inlineStr">
        <is>
          <t>陈南05</t>
        </is>
      </c>
      <c r="AB110" s="339" t="inlineStr">
        <is>
          <t>是</t>
        </is>
      </c>
      <c r="AC110" s="315" t="inlineStr">
        <is>
          <t>翠儿</t>
        </is>
      </c>
      <c r="AD110" s="315" t="inlineStr">
        <is>
          <t>是</t>
        </is>
      </c>
      <c r="AE110" s="281" t="inlineStr">
        <is>
          <t>王丽</t>
        </is>
      </c>
      <c r="AF110" s="281">
        <f>VLOOKUP(B110,'UV台帐'!B:G,6,0)</f>
        <v/>
      </c>
      <c r="AG110" s="281" t="inlineStr">
        <is>
          <t>育才实验</t>
        </is>
      </c>
      <c r="AH110" s="281" t="inlineStr">
        <is>
          <t>是</t>
        </is>
      </c>
      <c r="AI110" s="281" t="inlineStr">
        <is>
          <t>6月29号下午要去学校，其他时间没问题，家长担心第一节课不听孩子衔接不上...</t>
        </is>
      </c>
      <c r="AJ110" s="426" t="inlineStr">
        <is>
          <t>孩子感觉三科上起来有点累，性格相对内向些，但是课前测掌握的还可以，难度也适合，妈妈想跟孩子聊后续的课，孩子说刚报完这么多课，先别说后面的。妈妈说先让孩子上多几天看看</t>
        </is>
      </c>
      <c r="AK110" s="426" t="inlineStr">
        <is>
          <t>孩子感觉三科上起来有点累，性格相对内向些，但是课前测掌握的还可以，难度也适合，妈妈想跟孩子聊后续的课，孩子说刚报完这么多课，先别说后面的。妈妈说先让孩子上多几天看看</t>
        </is>
      </c>
      <c r="AL110" s="366" t="inlineStr">
        <is>
          <t>A</t>
        </is>
      </c>
      <c r="AM110" s="366" t="inlineStr">
        <is>
          <t>B</t>
        </is>
      </c>
      <c r="AN110" s="366" t="inlineStr">
        <is>
          <t>B</t>
        </is>
      </c>
      <c r="AO110" s="366" t="inlineStr">
        <is>
          <t>B</t>
        </is>
      </c>
      <c r="AP110" s="350" t="inlineStr">
        <is>
          <t>数学：课堂互动稍微好一些</t>
        </is>
      </c>
      <c r="AQ110" s="366" t="inlineStr">
        <is>
          <t>是</t>
        </is>
      </c>
      <c r="AR110" s="359" t="n"/>
      <c r="AS110" s="281">
        <f>COUNTIFS(H110,"零期",I110,"在读")+COUNTIFS(L110,"零期",M110,"在读")+COUNTIFS(P110,"零期",Q110,"在读")</f>
        <v/>
      </c>
      <c r="AT110" s="281">
        <f>AS110-AX110</f>
        <v/>
      </c>
      <c r="AU110" s="366">
        <f>VLOOKUP(B110,'UV台帐'!B:AL,19,0)</f>
        <v/>
      </c>
      <c r="AV110" s="366">
        <f>VLOOKUP(B110,'UV台帐'!B:AL,28,0)</f>
        <v/>
      </c>
      <c r="AW110" s="366">
        <f>VLOOKUP(B110,'UV台帐'!B:AL,37,0)</f>
        <v/>
      </c>
      <c r="AX110" s="281">
        <f>COUNTIFS(H110,"零期",AU110,"是")+COUNTIFS(L110,"零期",AV110,"是")+COUNTIFS(P110,"零期",AW110,"是")</f>
        <v/>
      </c>
      <c r="AZ110" s="350" t="inlineStr">
        <is>
          <t>爸爸就是被派来听讲座的，妈妈负责学习，本来说的8点结束，8点半才结束，还有事情，就先走了，需要再跟孩子妈妈沟通秋季课的事情，拍了价格发给妈妈。</t>
        </is>
      </c>
      <c r="BA110" s="359" t="n"/>
    </row>
    <row r="111" ht="30" customFormat="1" customHeight="1" s="366">
      <c r="A111" s="281" t="inlineStr">
        <is>
          <t>新宝利</t>
        </is>
      </c>
      <c r="B111" s="281"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81" t="n"/>
      <c r="S111" s="281" t="inlineStr">
        <is>
          <t>是</t>
        </is>
      </c>
      <c r="T111" s="281" t="inlineStr">
        <is>
          <t>是</t>
        </is>
      </c>
      <c r="W111" s="281" t="inlineStr">
        <is>
          <t>田雨涵01</t>
        </is>
      </c>
      <c r="X111" s="281" t="n"/>
      <c r="Y111" s="119" t="n"/>
      <c r="Z111" s="119" t="n"/>
      <c r="AA111" s="73" t="inlineStr">
        <is>
          <t>肖锐03</t>
        </is>
      </c>
      <c r="AB111" s="281" t="inlineStr">
        <is>
          <t>是</t>
        </is>
      </c>
      <c r="AC111" s="156" t="inlineStr">
        <is>
          <t>沈思浩</t>
        </is>
      </c>
      <c r="AD111" s="315" t="inlineStr">
        <is>
          <t>是</t>
        </is>
      </c>
      <c r="AE111" s="281" t="inlineStr">
        <is>
          <t>沈思浩</t>
        </is>
      </c>
      <c r="AF111" s="281">
        <f>VLOOKUP(B111,'UV台帐'!B:G,6,0)</f>
        <v/>
      </c>
      <c r="AG111" s="281" t="inlineStr">
        <is>
          <t>十七中</t>
        </is>
      </c>
      <c r="AH111" s="281" t="inlineStr">
        <is>
          <t>是</t>
        </is>
      </c>
      <c r="AI111" s="281" t="inlineStr">
        <is>
          <t>没问题照常安排就行</t>
        </is>
      </c>
      <c r="AJ111" s="426" t="n"/>
      <c r="AK111" s="426" t="n"/>
      <c r="AL111" s="366" t="inlineStr">
        <is>
          <t>S</t>
        </is>
      </c>
      <c r="AM111" s="366" t="inlineStr">
        <is>
          <t>B</t>
        </is>
      </c>
      <c r="AN111" s="366" t="inlineStr">
        <is>
          <t>S</t>
        </is>
      </c>
      <c r="AO111" s="366" t="inlineStr">
        <is>
          <t>S</t>
        </is>
      </c>
      <c r="AP111" s="3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6" t="inlineStr">
        <is>
          <t>是</t>
        </is>
      </c>
      <c r="AR111" s="359" t="n"/>
      <c r="AS111" s="281">
        <f>COUNTIFS(H111,"零期",I111,"在读")+COUNTIFS(L111,"零期",M111,"在读")+COUNTIFS(P111,"零期",Q111,"在读")</f>
        <v/>
      </c>
      <c r="AT111" s="281">
        <f>AS111-AX111</f>
        <v/>
      </c>
      <c r="AU111" s="366">
        <f>VLOOKUP(B111,'UV台帐'!B:AL,19,0)</f>
        <v/>
      </c>
      <c r="AV111" s="366">
        <f>VLOOKUP(B111,'UV台帐'!B:AL,28,0)</f>
        <v/>
      </c>
      <c r="AW111" s="366">
        <f>VLOOKUP(B111,'UV台帐'!B:AL,37,0)</f>
        <v/>
      </c>
      <c r="AX111" s="281">
        <f>COUNTIFS(H111,"零期",AU111,"是")+COUNTIFS(L111,"零期",AV111,"是")+COUNTIFS(P111,"零期",AW111,"是")</f>
        <v/>
      </c>
      <c r="AZ111" s="350" t="inlineStr">
        <is>
          <t>没来；</t>
        </is>
      </c>
      <c r="BA111" s="359" t="n"/>
    </row>
    <row r="112" ht="30" customFormat="1" customHeight="1" s="366">
      <c r="A112" s="281" t="inlineStr">
        <is>
          <t>新宝利</t>
        </is>
      </c>
      <c r="B112" s="281"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81" t="n"/>
      <c r="S112" s="281" t="inlineStr">
        <is>
          <t>是</t>
        </is>
      </c>
      <c r="T112" s="281" t="inlineStr">
        <is>
          <t>否</t>
        </is>
      </c>
      <c r="W112" s="281" t="n"/>
      <c r="X112" s="281" t="n"/>
      <c r="Y112" s="281" t="n"/>
      <c r="Z112" s="281" t="n"/>
      <c r="AA112" s="73" t="inlineStr">
        <is>
          <t>李润</t>
        </is>
      </c>
      <c r="AB112" s="281" t="inlineStr">
        <is>
          <t>是</t>
        </is>
      </c>
      <c r="AC112" s="156" t="inlineStr">
        <is>
          <t>王达</t>
        </is>
      </c>
      <c r="AD112" s="315" t="inlineStr">
        <is>
          <t>否</t>
        </is>
      </c>
      <c r="AE112" s="281" t="inlineStr">
        <is>
          <t>王达04</t>
        </is>
      </c>
      <c r="AF112" s="281">
        <f>VLOOKUP(B112,'UV台帐'!B:G,6,0)</f>
        <v/>
      </c>
      <c r="AG112" s="281" t="n"/>
      <c r="AH112" s="281" t="inlineStr">
        <is>
          <t>是</t>
        </is>
      </c>
      <c r="AI112" s="281" t="inlineStr">
        <is>
          <t>电话未接</t>
        </is>
      </c>
      <c r="AJ112" s="426" t="inlineStr">
        <is>
          <t>妈妈后面回复教学很不错，非常感谢老师，并且在家长满意度调查内详细填写大概率会报名</t>
        </is>
      </c>
      <c r="AK112" s="426" t="inlineStr">
        <is>
          <t>妈妈后面回复教学很不错，非常感谢老师，并且在家长满意度调查内详细填写大概率会报名</t>
        </is>
      </c>
      <c r="AL112" s="366" t="inlineStr">
        <is>
          <t>A</t>
        </is>
      </c>
      <c r="AM112" s="366" t="inlineStr">
        <is>
          <t>A</t>
        </is>
      </c>
      <c r="AN112" s="366" t="inlineStr">
        <is>
          <t>A</t>
        </is>
      </c>
      <c r="AO112" s="366" t="inlineStr">
        <is>
          <t>A</t>
        </is>
      </c>
      <c r="AP112" s="350" t="inlineStr">
        <is>
          <t>目前顾问及老师一对一反馈都联系不上 妈妈支付能力是比较弱的 孩子相对弱一点，纪律不太好。</t>
        </is>
      </c>
      <c r="AQ112" s="366" t="inlineStr">
        <is>
          <t>是</t>
        </is>
      </c>
      <c r="AR112" s="359" t="inlineStr">
        <is>
          <t>家长满意度：大概率会报，觉得孩子略有进步，卡点在价格方面。</t>
        </is>
      </c>
      <c r="AS112" s="281">
        <f>COUNTIFS(H112,"零期",I112,"在读")+COUNTIFS(L112,"零期",M112,"在读")+COUNTIFS(P112,"零期",Q112,"在读")</f>
        <v/>
      </c>
      <c r="AT112" s="281">
        <f>AS112-AX112</f>
        <v/>
      </c>
      <c r="AU112" s="366">
        <f>VLOOKUP(B112,'UV台帐'!B:AL,19,0)</f>
        <v/>
      </c>
      <c r="AV112" s="366">
        <f>VLOOKUP(B112,'UV台帐'!B:AL,28,0)</f>
        <v/>
      </c>
      <c r="AW112" s="366">
        <f>VLOOKUP(B112,'UV台帐'!B:AL,37,0)</f>
        <v/>
      </c>
      <c r="AX112" s="281">
        <f>COUNTIFS(H112,"零期",AU112,"是")+COUNTIFS(L112,"零期",AV112,"是")+COUNTIFS(P112,"零期",AW112,"是")</f>
        <v/>
      </c>
      <c r="AZ112" s="350" t="n"/>
      <c r="BA112" s="359" t="n"/>
    </row>
    <row r="113" ht="30" customFormat="1" customHeight="1" s="366">
      <c r="A113" s="281" t="inlineStr">
        <is>
          <t>同创汇</t>
        </is>
      </c>
      <c r="B113" s="281"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81" t="n"/>
      <c r="S113" s="281" t="inlineStr">
        <is>
          <t>是</t>
        </is>
      </c>
      <c r="T113" s="281" t="inlineStr">
        <is>
          <t>是</t>
        </is>
      </c>
      <c r="U113" s="366" t="inlineStr">
        <is>
          <t>刘希子</t>
        </is>
      </c>
      <c r="W113" s="281" t="inlineStr">
        <is>
          <t>陈南05</t>
        </is>
      </c>
      <c r="X113" s="281" t="n"/>
      <c r="Y113" s="281" t="n"/>
      <c r="Z113" s="281" t="n"/>
      <c r="AA113" s="73" t="inlineStr">
        <is>
          <t>刘希子</t>
        </is>
      </c>
      <c r="AB113" s="7" t="inlineStr">
        <is>
          <t>否</t>
        </is>
      </c>
      <c r="AC113" s="315" t="n"/>
      <c r="AD113" s="315" t="inlineStr">
        <is>
          <t>否</t>
        </is>
      </c>
      <c r="AE113" s="281" t="inlineStr">
        <is>
          <t>王丽</t>
        </is>
      </c>
      <c r="AF113" s="281">
        <f>VLOOKUP(B113,'UV台帐'!B:G,6,0)</f>
        <v/>
      </c>
      <c r="AG113" s="281" t="inlineStr">
        <is>
          <t>16中</t>
        </is>
      </c>
      <c r="AH113" s="281" t="inlineStr">
        <is>
          <t>是</t>
        </is>
      </c>
      <c r="AI113" s="281" t="inlineStr">
        <is>
          <t>对换师有点异议，10号上午数学需要调课，调到1期的7月24日15：50-18：00</t>
        </is>
      </c>
      <c r="AJ113" s="426" t="inlineStr">
        <is>
          <t>电话没有接，微信留言。面聊过，孩子性格比较外向，希望孩子可以跟着老师认真学，有问过后续正价课的费用。之前一直在学线上的，这次转到线下这边上课，因为有同学也在这边学</t>
        </is>
      </c>
      <c r="AK113" s="426" t="inlineStr">
        <is>
          <t>电话没有接，微信留言。面聊过，孩子性格比较外向，希望孩子可以跟着老师认真学，有问过后续正价课的费用。之前一直在学线上的，这次转到线下这边上课，因为有同学也在这边学</t>
        </is>
      </c>
      <c r="AL113" s="366" t="inlineStr">
        <is>
          <t>A</t>
        </is>
      </c>
      <c r="AM113" s="366" t="inlineStr">
        <is>
          <t>A</t>
        </is>
      </c>
      <c r="AN113" s="366" t="inlineStr">
        <is>
          <t>A</t>
        </is>
      </c>
      <c r="AO113" s="366" t="inlineStr">
        <is>
          <t>A</t>
        </is>
      </c>
      <c r="AP113" s="350" t="inlineStr">
        <is>
          <t>数学：家长主动有问升班的事情，要求分层</t>
        </is>
      </c>
      <c r="AR113" s="359" t="n"/>
      <c r="AS113" s="281">
        <f>COUNTIFS(H113,"零期",I113,"在读")+COUNTIFS(L113,"零期",M113,"在读")+COUNTIFS(P113,"零期",Q113,"在读")</f>
        <v/>
      </c>
      <c r="AT113" s="281">
        <f>AS113-AX113</f>
        <v/>
      </c>
      <c r="AU113" s="366">
        <f>VLOOKUP(B113,'UV台帐'!B:AL,19,0)</f>
        <v/>
      </c>
      <c r="AV113" s="366">
        <f>VLOOKUP(B113,'UV台帐'!B:AL,28,0)</f>
        <v/>
      </c>
      <c r="AW113" s="366">
        <f>VLOOKUP(B113,'UV台帐'!B:AL,37,0)</f>
        <v/>
      </c>
      <c r="AX113" s="281">
        <f>COUNTIFS(H113,"零期",AU113,"是")+COUNTIFS(L113,"零期",AV113,"是")+COUNTIFS(P113,"零期",AW113,"是")</f>
        <v/>
      </c>
      <c r="AZ113" s="350" t="inlineStr">
        <is>
          <t>三节课，发烧；妈妈明确表述觉得挺好，相互认可；</t>
        </is>
      </c>
      <c r="BA113" s="359" t="n"/>
    </row>
    <row r="114" ht="30" customFormat="1" customHeight="1" s="366">
      <c r="A114" s="281" t="inlineStr">
        <is>
          <t>同创汇</t>
        </is>
      </c>
      <c r="B114" s="281"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n"/>
      <c r="S114" s="281" t="inlineStr">
        <is>
          <t>否</t>
        </is>
      </c>
      <c r="T114" s="281" t="inlineStr">
        <is>
          <t>否</t>
        </is>
      </c>
      <c r="W114" s="281" t="n"/>
      <c r="X114" s="281" t="n"/>
      <c r="Y114" s="281" t="n"/>
      <c r="Z114" s="281" t="n"/>
      <c r="AA114" s="73" t="inlineStr">
        <is>
          <t>田雨涵01</t>
        </is>
      </c>
      <c r="AB114" s="7" t="inlineStr">
        <is>
          <t>是</t>
        </is>
      </c>
      <c r="AC114" s="315" t="inlineStr">
        <is>
          <t>路涵</t>
        </is>
      </c>
      <c r="AD114" s="315" t="inlineStr">
        <is>
          <t>是</t>
        </is>
      </c>
      <c r="AE114" s="281" t="inlineStr">
        <is>
          <t>戎凯01</t>
        </is>
      </c>
      <c r="AF114" s="281">
        <f>VLOOKUP(B114,'UV台帐'!B:G,6,0)</f>
        <v/>
      </c>
      <c r="AG114" s="281" t="inlineStr">
        <is>
          <t>省实越秀</t>
        </is>
      </c>
      <c r="AH114" s="281" t="inlineStr">
        <is>
          <t>是</t>
        </is>
      </c>
      <c r="AI114" s="281" t="inlineStr">
        <is>
          <t>数学可以上，语文英语退费</t>
        </is>
      </c>
      <c r="AJ114" s="426" t="inlineStr">
        <is>
          <t>加一下计算量，过往知识点容易忘，妈妈比较担心孩子时间上的安排，担心孩子会太累，语文在品读行就读，英语在喜学，有个朋友也在这学，学的三科，对于弟弟的换师担心姐姐的课程</t>
        </is>
      </c>
      <c r="AK114" s="426" t="inlineStr">
        <is>
          <t>加一下计算量，过往知识点容易忘，妈妈比较担心孩子时间上的安排，担心孩子会太累，语文在品读行就读，英语在喜学，有个朋友也在这学，学的三科，对于弟弟的换师担心姐姐的课程</t>
        </is>
      </c>
      <c r="AL114" s="366" t="inlineStr">
        <is>
          <t>A</t>
        </is>
      </c>
      <c r="AM114" s="366" t="inlineStr">
        <is>
          <t>A</t>
        </is>
      </c>
      <c r="AN114" s="366" t="n"/>
      <c r="AO114" s="366" t="n"/>
      <c r="AP114" s="350" t="n"/>
      <c r="AR114" s="359" t="n"/>
      <c r="AS114" s="281">
        <f>COUNTIFS(H114,"零期",I114,"在读")+COUNTIFS(L114,"零期",M114,"在读")+COUNTIFS(P114,"零期",Q114,"在读")</f>
        <v/>
      </c>
      <c r="AT114" s="281">
        <f>AS114-AX114</f>
        <v/>
      </c>
      <c r="AU114" s="366">
        <f>VLOOKUP(B114,'UV台帐'!B:AL,19,0)</f>
        <v/>
      </c>
      <c r="AV114" s="366">
        <f>VLOOKUP(B114,'UV台帐'!B:AL,28,0)</f>
        <v/>
      </c>
      <c r="AW114" s="366">
        <f>VLOOKUP(B114,'UV台帐'!B:AL,37,0)</f>
        <v/>
      </c>
      <c r="AX114" s="281">
        <f>COUNTIFS(H114,"零期",AU114,"是")+COUNTIFS(L114,"零期",AV114,"是")+COUNTIFS(P114,"零期",AW114,"是")</f>
        <v/>
      </c>
      <c r="AZ114" s="350" t="inlineStr">
        <is>
          <t>妈妈给孩子报了3个数学班，目前我们加上另一个对比之后选择我们，但是8月份还有一个机构需要对比；</t>
        </is>
      </c>
      <c r="BA114" s="359" t="n"/>
    </row>
    <row r="115" ht="30" customFormat="1" customHeight="1" s="366">
      <c r="A115" s="281" t="inlineStr">
        <is>
          <t>同创汇</t>
        </is>
      </c>
      <c r="B115" s="281"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inlineStr">
        <is>
          <t>是</t>
        </is>
      </c>
      <c r="T115" s="281" t="inlineStr">
        <is>
          <t>是</t>
        </is>
      </c>
      <c r="W115" s="281" t="n"/>
      <c r="X115" s="281" t="n"/>
      <c r="Y115" s="281" t="inlineStr">
        <is>
          <t>陈中帅</t>
        </is>
      </c>
      <c r="Z115" s="281" t="n"/>
      <c r="AA115" s="80" t="inlineStr">
        <is>
          <t>陈中帅</t>
        </is>
      </c>
      <c r="AB115" s="281" t="inlineStr">
        <is>
          <t>否</t>
        </is>
      </c>
      <c r="AC115" s="119" t="n"/>
      <c r="AD115" s="119" t="inlineStr">
        <is>
          <t>否</t>
        </is>
      </c>
      <c r="AE115" s="281" t="inlineStr">
        <is>
          <t>王丽</t>
        </is>
      </c>
      <c r="AF115" s="281">
        <f>VLOOKUP(B115,'UV台帐'!B:G,6,0)</f>
        <v/>
      </c>
      <c r="AG115" s="281" t="inlineStr">
        <is>
          <t>番禺直升的初中</t>
        </is>
      </c>
      <c r="AH115" s="281" t="inlineStr">
        <is>
          <t>是</t>
        </is>
      </c>
      <c r="AI115" s="281" t="inlineStr">
        <is>
          <t>需要调下时间，数学0期A，英语0期B，语文暂定1期</t>
        </is>
      </c>
      <c r="AJ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6" t="inlineStr">
        <is>
          <t>B</t>
        </is>
      </c>
      <c r="AM115" s="366" t="inlineStr">
        <is>
          <t>B</t>
        </is>
      </c>
      <c r="AN115" s="366" t="n"/>
      <c r="AO115" s="366" t="inlineStr">
        <is>
          <t>B</t>
        </is>
      </c>
      <c r="AP115" s="565" t="inlineStr">
        <is>
          <t>数学：番禺过来，距离远
英语：孩子掌握的不太好</t>
        </is>
      </c>
      <c r="AR115" s="359" t="n"/>
      <c r="AS115" s="281">
        <f>COUNTIFS(H115,"零期",I115,"在读")+COUNTIFS(L115,"零期",M115,"在读")+COUNTIFS(P115,"零期",Q115,"在读")</f>
        <v/>
      </c>
      <c r="AT115" s="281">
        <f>AS115-AX115</f>
        <v/>
      </c>
      <c r="AU115" s="366">
        <f>VLOOKUP(B115,'UV台帐'!B:AL,19,0)</f>
        <v/>
      </c>
      <c r="AV115" s="366">
        <f>VLOOKUP(B115,'UV台帐'!B:AL,28,0)</f>
        <v/>
      </c>
      <c r="AW115" s="366">
        <f>VLOOKUP(B115,'UV台帐'!B:AL,37,0)</f>
        <v/>
      </c>
      <c r="AX115" s="281">
        <f>COUNTIFS(H115,"零期",AU115,"是")+COUNTIFS(L115,"零期",AV115,"是")+COUNTIFS(P115,"零期",AW115,"是")</f>
        <v/>
      </c>
      <c r="AZ115" s="350" t="inlineStr">
        <is>
          <t>番禺，距离远。比较满意我们，觉得严格要求挺好的额。</t>
        </is>
      </c>
      <c r="BA115" s="359" t="n"/>
    </row>
    <row r="116" ht="30" customFormat="1" customHeight="1" s="366">
      <c r="A116" s="281" t="inlineStr">
        <is>
          <t>新宝利</t>
        </is>
      </c>
      <c r="B116" s="281"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inlineStr">
        <is>
          <t>是</t>
        </is>
      </c>
      <c r="T116" s="281" t="inlineStr">
        <is>
          <t>是</t>
        </is>
      </c>
      <c r="U116" s="366" t="inlineStr">
        <is>
          <t>李润</t>
        </is>
      </c>
      <c r="W116" s="281" t="n"/>
      <c r="X116" s="281" t="n"/>
      <c r="Y116" s="281" t="n"/>
      <c r="Z116" s="281" t="n"/>
      <c r="AA116" s="73" t="inlineStr">
        <is>
          <t>田雨涵01</t>
        </is>
      </c>
      <c r="AB116" s="7" t="inlineStr">
        <is>
          <t>不确定</t>
        </is>
      </c>
      <c r="AC116" s="315" t="n"/>
      <c r="AD116" s="315" t="inlineStr">
        <is>
          <t>否</t>
        </is>
      </c>
      <c r="AE116" s="281" t="inlineStr">
        <is>
          <t>杨林33</t>
        </is>
      </c>
      <c r="AF116" s="281">
        <f>VLOOKUP(B116,'UV台帐'!B:G,6,0)</f>
        <v/>
      </c>
      <c r="AG116" s="281" t="inlineStr">
        <is>
          <t>三中</t>
        </is>
      </c>
      <c r="AH116" s="281" t="inlineStr">
        <is>
          <t>是</t>
        </is>
      </c>
      <c r="AI116" s="281" t="n"/>
      <c r="AJ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6" t="inlineStr">
        <is>
          <t>A</t>
        </is>
      </c>
      <c r="AM116" s="366" t="inlineStr">
        <is>
          <t>A</t>
        </is>
      </c>
      <c r="AN116" s="366" t="inlineStr">
        <is>
          <t>A</t>
        </is>
      </c>
      <c r="AO116" s="366" t="inlineStr">
        <is>
          <t>A</t>
        </is>
      </c>
      <c r="AP116" s="350" t="inlineStr">
        <is>
          <t>孩子喜欢课堂，有支付能力，会尊重孩子的意愿，搞定孩子能够解决大部分问题，卡点在于孩子能否跟得上课堂的进度以及孩子是否愿意长期学习</t>
        </is>
      </c>
      <c r="AQ116" s="366" t="inlineStr">
        <is>
          <t>是</t>
        </is>
      </c>
      <c r="AR116" s="359" t="n"/>
      <c r="AS116" s="281">
        <f>COUNTIFS(H116,"零期",I116,"在读")+COUNTIFS(L116,"零期",M116,"在读")+COUNTIFS(P116,"零期",Q116,"在读")</f>
        <v/>
      </c>
      <c r="AT116" s="281">
        <f>AS116-AX116</f>
        <v/>
      </c>
      <c r="AU116" s="366">
        <f>VLOOKUP(B116,'UV台帐'!B:AL,19,0)</f>
        <v/>
      </c>
      <c r="AV116" s="366">
        <f>VLOOKUP(B116,'UV台帐'!B:AL,28,0)</f>
        <v/>
      </c>
      <c r="AW116" s="366">
        <f>VLOOKUP(B116,'UV台帐'!B:AL,37,0)</f>
        <v/>
      </c>
      <c r="AX116" s="281">
        <f>COUNTIFS(H116,"零期",AU116,"是")+COUNTIFS(L116,"零期",AV116,"是")+COUNTIFS(P116,"零期",AW116,"是")</f>
        <v/>
      </c>
      <c r="AZ116" s="350" t="n"/>
      <c r="BA116" s="359" t="n"/>
    </row>
    <row r="117" ht="30" customFormat="1" customHeight="1" s="366">
      <c r="A117" s="281" t="inlineStr">
        <is>
          <t>同创汇</t>
        </is>
      </c>
      <c r="B117" s="281"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inlineStr">
        <is>
          <t>否</t>
        </is>
      </c>
      <c r="T117" s="281" t="inlineStr">
        <is>
          <t>否</t>
        </is>
      </c>
      <c r="U117" s="281" t="inlineStr">
        <is>
          <t>田雨涵01</t>
        </is>
      </c>
      <c r="V117" s="281" t="n"/>
      <c r="W117" s="281" t="inlineStr">
        <is>
          <t>田雨涵01</t>
        </is>
      </c>
      <c r="X117" s="281" t="n"/>
      <c r="Y117" s="281" t="n"/>
      <c r="Z117" s="281" t="n"/>
      <c r="AA117" s="73" t="inlineStr">
        <is>
          <t>陈南05</t>
        </is>
      </c>
      <c r="AB117" s="339" t="inlineStr">
        <is>
          <t>是</t>
        </is>
      </c>
      <c r="AC117" s="315" t="n"/>
      <c r="AD117" s="315" t="inlineStr">
        <is>
          <t>否</t>
        </is>
      </c>
      <c r="AE117" s="281" t="inlineStr">
        <is>
          <t>王丽</t>
        </is>
      </c>
      <c r="AF117" s="281">
        <f>VLOOKUP(B117,'UV台帐'!B:G,6,0)</f>
        <v/>
      </c>
      <c r="AG117" s="281" t="n"/>
      <c r="AH117" s="281" t="inlineStr">
        <is>
          <t>是</t>
        </is>
      </c>
      <c r="AI117" s="281" t="inlineStr">
        <is>
          <t>没问题</t>
        </is>
      </c>
      <c r="AJ117" s="426" t="inlineStr">
        <is>
          <t>关机..微信留言</t>
        </is>
      </c>
      <c r="AK117" s="426" t="inlineStr">
        <is>
          <t>关机..微信留言</t>
        </is>
      </c>
      <c r="AL117" s="366" t="inlineStr">
        <is>
          <t>A</t>
        </is>
      </c>
      <c r="AM117" s="366" t="inlineStr">
        <is>
          <t>A</t>
        </is>
      </c>
      <c r="AN117" s="366" t="inlineStr">
        <is>
          <t>A</t>
        </is>
      </c>
      <c r="AO117" s="366" t="inlineStr">
        <is>
          <t>B</t>
        </is>
      </c>
      <c r="AP117" s="350" t="inlineStr">
        <is>
          <t>数学：孩子爸爸一直打击孩子，需要鼓励多一些</t>
        </is>
      </c>
      <c r="AR117" s="359" t="n"/>
      <c r="AS117" s="281">
        <f>COUNTIFS(H117,"零期",I117,"在读")+COUNTIFS(L117,"零期",M117,"在读")+COUNTIFS(P117,"零期",Q117,"在读")</f>
        <v/>
      </c>
      <c r="AT117" s="281">
        <f>AS117-AX117</f>
        <v/>
      </c>
      <c r="AU117" s="366">
        <f>VLOOKUP(B117,'UV台帐'!B:AL,19,0)</f>
        <v/>
      </c>
      <c r="AV117" s="366">
        <f>VLOOKUP(B117,'UV台帐'!B:AL,28,0)</f>
        <v/>
      </c>
      <c r="AW117" s="366">
        <f>VLOOKUP(B117,'UV台帐'!B:AL,37,0)</f>
        <v/>
      </c>
      <c r="AX117" s="281">
        <f>COUNTIFS(H117,"零期",AU117,"是")+COUNTIFS(L117,"零期",AV117,"是")+COUNTIFS(P117,"零期",AW117,"是")</f>
        <v/>
      </c>
      <c r="AZ117" s="350" t="inlineStr">
        <is>
          <t>家长不怎么管孩子，有同学一起读；群里互动挺多。英语意向最低，英语学到了初三，进度匹配度低；需要多表扬孩子，正向引导；</t>
        </is>
      </c>
      <c r="BA117" s="359" t="n"/>
    </row>
    <row r="118" ht="30" customFormat="1" customHeight="1" s="366">
      <c r="A118" s="366" t="inlineStr">
        <is>
          <t>同创汇</t>
        </is>
      </c>
      <c r="B118" s="366"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n"/>
      <c r="S118" s="281" t="inlineStr">
        <is>
          <t>是</t>
        </is>
      </c>
      <c r="T118" s="281" t="inlineStr">
        <is>
          <t>是</t>
        </is>
      </c>
      <c r="U118" s="281" t="inlineStr">
        <is>
          <t>高心怡04,李润</t>
        </is>
      </c>
      <c r="V118" s="281" t="n"/>
      <c r="W118" s="281" t="n"/>
      <c r="X118" s="281" t="n"/>
      <c r="Y118" s="119" t="n"/>
      <c r="Z118" s="119" t="n"/>
      <c r="AA118" s="73" t="inlineStr">
        <is>
          <t>陈中帅</t>
        </is>
      </c>
      <c r="AB118" s="366" t="inlineStr">
        <is>
          <t>否</t>
        </is>
      </c>
      <c r="AC118" s="315" t="n"/>
      <c r="AD118" s="315" t="inlineStr">
        <is>
          <t>否</t>
        </is>
      </c>
      <c r="AE118" s="281" t="inlineStr">
        <is>
          <t>王达04</t>
        </is>
      </c>
      <c r="AF118" s="281">
        <f>VLOOKUP(B118,'UV台帐'!B:G,6,0)</f>
        <v/>
      </c>
      <c r="AG118" s="281" t="inlineStr">
        <is>
          <t>七中东山</t>
        </is>
      </c>
      <c r="AH118" s="281" t="inlineStr">
        <is>
          <t>是</t>
        </is>
      </c>
      <c r="AI118" s="281" t="inlineStr">
        <is>
          <t>没问题，已建群，</t>
        </is>
      </c>
      <c r="AJ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6" t="inlineStr">
        <is>
          <t>A</t>
        </is>
      </c>
      <c r="AM118" s="366" t="inlineStr">
        <is>
          <t>A</t>
        </is>
      </c>
      <c r="AN118" s="366" t="inlineStr">
        <is>
          <t>B</t>
        </is>
      </c>
      <c r="AO118" s="366" t="inlineStr">
        <is>
          <t>A</t>
        </is>
      </c>
      <c r="AP118" s="350" t="inlineStr">
        <is>
          <t>心怡：判A孩子跟着老师的学习都很好，目前的欠缺的和接下来的学习规划都有铺垫</t>
        </is>
      </c>
      <c r="AQ118" s="366" t="inlineStr">
        <is>
          <t>是</t>
        </is>
      </c>
      <c r="AR118" s="359" t="n"/>
      <c r="AS118" s="281">
        <f>COUNTIFS(H118,"零期",I118,"在读")+COUNTIFS(L118,"零期",M118,"在读")+COUNTIFS(P118,"零期",Q118,"在读")</f>
        <v/>
      </c>
      <c r="AT118" s="281">
        <f>AS118-AX118</f>
        <v/>
      </c>
      <c r="AU118" s="366">
        <f>VLOOKUP(B118,'UV台帐'!B:AL,19,0)</f>
        <v/>
      </c>
      <c r="AV118" s="366">
        <f>VLOOKUP(B118,'UV台帐'!B:AL,28,0)</f>
        <v/>
      </c>
      <c r="AW118" s="366">
        <f>VLOOKUP(B118,'UV台帐'!B:AL,37,0)</f>
        <v/>
      </c>
      <c r="AX118" s="281">
        <f>COUNTIFS(H118,"零期",AU118,"是")+COUNTIFS(L118,"零期",AV118,"是")+COUNTIFS(P118,"零期",AW118,"是")</f>
        <v/>
      </c>
      <c r="AZ118" s="350" t="inlineStr">
        <is>
          <t>叶晓静；卡点价格；妈妈没来家长会。英语：小孩很认真，和家长沟通一般。孩子很喜欢；天河在读；约线下面聊。</t>
        </is>
      </c>
      <c r="BA118" s="359" t="n"/>
    </row>
    <row r="119" ht="30" customFormat="1" customHeight="1" s="366">
      <c r="A119" s="366" t="inlineStr">
        <is>
          <t>新宝利</t>
        </is>
      </c>
      <c r="B119" s="366"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81" t="n"/>
      <c r="S119" s="281" t="inlineStr">
        <is>
          <t>是</t>
        </is>
      </c>
      <c r="T119" s="281" t="inlineStr">
        <is>
          <t>是</t>
        </is>
      </c>
      <c r="W119" s="281" t="inlineStr">
        <is>
          <t>肖锐03</t>
        </is>
      </c>
      <c r="X119" s="281" t="n"/>
      <c r="Y119" s="281" t="n"/>
      <c r="Z119" s="281" t="n"/>
      <c r="AA119" s="73" t="inlineStr">
        <is>
          <t>黄铭怡</t>
        </is>
      </c>
      <c r="AB119" s="366" t="inlineStr">
        <is>
          <t>是</t>
        </is>
      </c>
      <c r="AC119" s="156" t="inlineStr">
        <is>
          <t>林志豪</t>
        </is>
      </c>
      <c r="AD119" s="315" t="inlineStr">
        <is>
          <t>否</t>
        </is>
      </c>
      <c r="AE119" s="281" t="inlineStr">
        <is>
          <t>林志豪01</t>
        </is>
      </c>
      <c r="AF119" s="281">
        <f>VLOOKUP(B119,'UV台帐'!B:G,6,0)</f>
        <v/>
      </c>
      <c r="AG119" s="281" t="inlineStr">
        <is>
          <t>16中东华</t>
        </is>
      </c>
      <c r="AH119" s="281" t="inlineStr">
        <is>
          <t>是</t>
        </is>
      </c>
      <c r="AI119" s="281" t="n"/>
      <c r="AJ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6" t="inlineStr">
        <is>
          <t>A</t>
        </is>
      </c>
      <c r="AM119" s="366" t="n"/>
      <c r="AN119" s="366" t="inlineStr">
        <is>
          <t>A</t>
        </is>
      </c>
      <c r="AO119" s="366" t="inlineStr">
        <is>
          <t>A</t>
        </is>
      </c>
      <c r="AP119" s="350" t="inlineStr">
        <is>
          <t>1、浩林主要语文阅读弱，有需求2、有知道卓越的价格，对价格有认知3、去到不是特别好的学校有危机感</t>
        </is>
      </c>
      <c r="AR119" s="359" t="n"/>
      <c r="AS119" s="281">
        <f>COUNTIFS(H119,"零期",I119,"在读")+COUNTIFS(L119,"零期",M119,"在读")+COUNTIFS(P119,"零期",Q119,"在读")</f>
        <v/>
      </c>
      <c r="AT119" s="281">
        <f>AS119-AX119</f>
        <v/>
      </c>
      <c r="AU119" s="366">
        <f>VLOOKUP(B119,'UV台帐'!B:AL,19,0)</f>
        <v/>
      </c>
      <c r="AV119" s="366">
        <f>VLOOKUP(B119,'UV台帐'!B:AL,28,0)</f>
        <v/>
      </c>
      <c r="AW119" s="366">
        <f>VLOOKUP(B119,'UV台帐'!B:AL,37,0)</f>
        <v/>
      </c>
      <c r="AX119" s="281">
        <f>COUNTIFS(H119,"零期",AU119,"是")+COUNTIFS(L119,"零期",AV119,"是")+COUNTIFS(P119,"零期",AW119,"是")</f>
        <v/>
      </c>
      <c r="AZ119" s="350" t="inlineStr">
        <is>
          <t>没来；意向偏高，语文英语；没有在读的补习机构；报过秋季价格，有朋友需要一起来学；</t>
        </is>
      </c>
      <c r="BA119" s="359" t="n"/>
    </row>
    <row r="120" ht="30" customFormat="1" customHeight="1" s="366">
      <c r="A120" s="281" t="inlineStr">
        <is>
          <t>同创汇</t>
        </is>
      </c>
      <c r="B120" s="281"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81" t="n"/>
      <c r="S120" s="281" t="inlineStr">
        <is>
          <t>是</t>
        </is>
      </c>
      <c r="T120" s="281" t="inlineStr">
        <is>
          <t>是</t>
        </is>
      </c>
      <c r="U120" s="359" t="n"/>
      <c r="V120" s="359" t="n"/>
      <c r="W120" s="359" t="n"/>
      <c r="X120" s="359" t="n"/>
      <c r="Y120" s="281" t="inlineStr">
        <is>
          <t>刘希子,陈南05</t>
        </is>
      </c>
      <c r="Z120" s="281" t="n"/>
      <c r="AA120" s="73" t="inlineStr">
        <is>
          <t>陈南05</t>
        </is>
      </c>
      <c r="AB120" s="281" t="inlineStr">
        <is>
          <t>是</t>
        </is>
      </c>
      <c r="AC120" s="315" t="inlineStr">
        <is>
          <t>王博宁</t>
        </is>
      </c>
      <c r="AD120" s="315" t="inlineStr">
        <is>
          <t>是</t>
        </is>
      </c>
      <c r="AE120" s="281" t="inlineStr">
        <is>
          <t>戎凯01</t>
        </is>
      </c>
      <c r="AF120" s="281">
        <f>VLOOKUP(B120,'UV台帐'!B:G,6,0)</f>
        <v/>
      </c>
      <c r="AG120" s="281" t="n"/>
      <c r="AH120" s="281" t="inlineStr">
        <is>
          <t>是</t>
        </is>
      </c>
      <c r="AI120" s="281" t="inlineStr">
        <is>
          <t>可正常来上课</t>
        </is>
      </c>
      <c r="AJ120" s="426" t="inlineStr">
        <is>
          <t>未接</t>
        </is>
      </c>
      <c r="AK120" s="426" t="inlineStr">
        <is>
          <t>未接</t>
        </is>
      </c>
      <c r="AL120" s="366" t="inlineStr">
        <is>
          <t>S</t>
        </is>
      </c>
      <c r="AM120" s="366" t="inlineStr">
        <is>
          <t>B</t>
        </is>
      </c>
      <c r="AN120" s="366" t="n"/>
      <c r="AO120" s="366" t="inlineStr">
        <is>
          <t>S</t>
        </is>
      </c>
      <c r="AP120" s="350" t="n"/>
      <c r="AR120" s="359" t="n"/>
      <c r="AS120" s="281">
        <f>COUNTIFS(H120,"零期",I120,"在读")+COUNTIFS(L120,"零期",M120,"在读")+COUNTIFS(P120,"零期",Q120,"在读")</f>
        <v/>
      </c>
      <c r="AT120" s="281">
        <f>AS120-AX120</f>
        <v/>
      </c>
      <c r="AU120" s="366">
        <f>VLOOKUP(B120,'UV台帐'!B:AL,19,0)</f>
        <v/>
      </c>
      <c r="AV120" s="366">
        <f>VLOOKUP(B120,'UV台帐'!B:AL,28,0)</f>
        <v/>
      </c>
      <c r="AW120" s="366">
        <f>VLOOKUP(B120,'UV台帐'!B:AL,37,0)</f>
        <v/>
      </c>
      <c r="AX120" s="281">
        <f>COUNTIFS(H120,"零期",AU120,"是")+COUNTIFS(L120,"零期",AV120,"是")+COUNTIFS(P120,"零期",AW120,"是")</f>
        <v/>
      </c>
      <c r="AZ120" s="350" t="inlineStr">
        <is>
          <t>爸爸第一次来，回去跟妈妈商量一下，未反馈有卡点或不合适，说是今晚可以报，需要顾问今晚再追一下 @戎凯01(戎凯)</t>
        </is>
      </c>
      <c r="BA120" s="359" t="n"/>
    </row>
    <row r="121" ht="30" customFormat="1" customHeight="1" s="366">
      <c r="A121" s="281" t="inlineStr">
        <is>
          <t>同创汇</t>
        </is>
      </c>
      <c r="B121" s="281"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81" t="n"/>
      <c r="S121" s="281" t="inlineStr">
        <is>
          <t>是</t>
        </is>
      </c>
      <c r="T121" s="281" t="inlineStr">
        <is>
          <t>是</t>
        </is>
      </c>
      <c r="U121" s="359" t="n"/>
      <c r="V121" s="359" t="n"/>
      <c r="W121" s="359" t="n"/>
      <c r="X121" s="359" t="n"/>
      <c r="Y121" s="281" t="inlineStr">
        <is>
          <t>刘希子,陈南05</t>
        </is>
      </c>
      <c r="Z121" s="281" t="n"/>
      <c r="AA121" s="73" t="inlineStr">
        <is>
          <t>陈南05</t>
        </is>
      </c>
      <c r="AB121" s="281" t="inlineStr">
        <is>
          <t>是</t>
        </is>
      </c>
      <c r="AC121" s="315" t="inlineStr">
        <is>
          <t>王博宁</t>
        </is>
      </c>
      <c r="AD121" s="315" t="inlineStr">
        <is>
          <t>是</t>
        </is>
      </c>
      <c r="AE121" s="281" t="inlineStr">
        <is>
          <t>戎凯01</t>
        </is>
      </c>
      <c r="AF121" s="281">
        <f>VLOOKUP(B121,'UV台帐'!B:G,6,0)</f>
        <v/>
      </c>
      <c r="AG121" s="281" t="n"/>
      <c r="AH121" s="281" t="inlineStr">
        <is>
          <t>是</t>
        </is>
      </c>
      <c r="AI121" s="281" t="inlineStr">
        <is>
          <t>可正常来上课</t>
        </is>
      </c>
      <c r="AJ121" s="426" t="inlineStr">
        <is>
          <t>未接</t>
        </is>
      </c>
      <c r="AK121" s="426" t="inlineStr">
        <is>
          <t>未接</t>
        </is>
      </c>
      <c r="AL121" s="366" t="inlineStr">
        <is>
          <t>S</t>
        </is>
      </c>
      <c r="AM121" s="366" t="inlineStr">
        <is>
          <t>B</t>
        </is>
      </c>
      <c r="AN121" s="366" t="n"/>
      <c r="AO121" s="366" t="inlineStr">
        <is>
          <t>S</t>
        </is>
      </c>
      <c r="AP121" s="350" t="n"/>
      <c r="AR121" s="359" t="n"/>
      <c r="AS121" s="281">
        <f>COUNTIFS(H121,"零期",I121,"在读")+COUNTIFS(L121,"零期",M121,"在读")+COUNTIFS(P121,"零期",Q121,"在读")</f>
        <v/>
      </c>
      <c r="AT121" s="281">
        <f>AS121-AX121</f>
        <v/>
      </c>
      <c r="AU121" s="366">
        <f>VLOOKUP(B121,'UV台帐'!B:AL,19,0)</f>
        <v/>
      </c>
      <c r="AV121" s="366">
        <f>VLOOKUP(B121,'UV台帐'!B:AL,28,0)</f>
        <v/>
      </c>
      <c r="AW121" s="366">
        <f>VLOOKUP(B121,'UV台帐'!B:AL,37,0)</f>
        <v/>
      </c>
      <c r="AX121" s="281">
        <f>COUNTIFS(H121,"零期",AU121,"是")+COUNTIFS(L121,"零期",AV121,"是")+COUNTIFS(P121,"零期",AW121,"是")</f>
        <v/>
      </c>
      <c r="AZ121" s="350" t="inlineStr">
        <is>
          <t>爸爸第一次来，回去跟妈妈商量一下，说是今晚可以报，未反馈有卡点或不合适，需要顾问今晚再追一下 @戎凯01(戎凯)</t>
        </is>
      </c>
      <c r="BA121" s="359" t="n"/>
    </row>
    <row r="122" ht="30" customHeight="1" s="1053">
      <c r="A122" s="359" t="inlineStr">
        <is>
          <t>新宝利</t>
        </is>
      </c>
      <c r="B122" s="281"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81" t="n"/>
      <c r="S122" s="281" t="inlineStr">
        <is>
          <t>是</t>
        </is>
      </c>
      <c r="T122" s="281" t="inlineStr">
        <is>
          <t>是</t>
        </is>
      </c>
      <c r="U122" s="359" t="n"/>
      <c r="V122" s="359" t="n"/>
      <c r="Y122" s="281" t="n"/>
      <c r="Z122" s="281" t="n"/>
      <c r="AA122" s="73" t="n"/>
      <c r="AB122" s="281" t="inlineStr">
        <is>
          <t>是</t>
        </is>
      </c>
      <c r="AC122" s="315" t="inlineStr">
        <is>
          <t>张敏烨</t>
        </is>
      </c>
      <c r="AD122" s="315" t="inlineStr">
        <is>
          <t>是</t>
        </is>
      </c>
      <c r="AE122" s="462" t="inlineStr">
        <is>
          <t>张敏烨</t>
        </is>
      </c>
      <c r="AF122" s="281" t="n"/>
      <c r="AG122" s="281" t="n"/>
      <c r="AH122" s="281" t="inlineStr">
        <is>
          <t>是</t>
        </is>
      </c>
      <c r="AI122" s="281" t="n"/>
      <c r="AL122" s="366" t="inlineStr">
        <is>
          <t>A</t>
        </is>
      </c>
      <c r="AM122" s="366" t="inlineStr">
        <is>
          <t>A</t>
        </is>
      </c>
      <c r="AN122" s="366" t="inlineStr">
        <is>
          <t>A</t>
        </is>
      </c>
      <c r="AO122" s="366" t="inlineStr">
        <is>
          <t>A</t>
        </is>
      </c>
      <c r="AQ122" s="366" t="inlineStr">
        <is>
          <t>是</t>
        </is>
      </c>
      <c r="AS122" s="281">
        <f>COUNTIFS(H122,"零期",I122,"在读")+COUNTIFS(L122,"零期",M122,"在读")+COUNTIFS(P122,"零期",Q122,"在读")</f>
        <v/>
      </c>
      <c r="AT122" s="281">
        <f>AS122-AX122</f>
        <v/>
      </c>
      <c r="AU122" s="366">
        <f>VLOOKUP(B122,'UV台帐'!B:AL,19,0)</f>
        <v/>
      </c>
      <c r="AV122" s="366">
        <f>VLOOKUP(B122,'UV台帐'!B:AL,28,0)</f>
        <v/>
      </c>
      <c r="AW122" s="366">
        <f>VLOOKUP(B122,'UV台帐'!B:AL,37,0)</f>
        <v/>
      </c>
      <c r="AX122" s="281">
        <f>COUNTIFS(H122,"零期",AU122,"是")+COUNTIFS(L122,"零期",AV122,"是")+COUNTIFS(P122,"零期",AW122,"是")</f>
        <v/>
      </c>
      <c r="AZ122" s="350" t="inlineStr">
        <is>
          <t>家长说，孩子喜欢数学；今晚明天给答复。英语新东方，数学学而思，课程停掉没读。英语习惯可以，知识上有偏差；语文课堂表现和互动还很不错，妈妈了解了孩子的情况，孩子是付出型但是收获不多。</t>
        </is>
      </c>
      <c r="BA122" s="350" t="inlineStr">
        <is>
          <t>7.5晚上电访表示要报只报数学，孩子很喜欢老师，家长也满意，但是要等到秋季看看孩子状态再报，已告知优惠截止，妈妈表示不在意</t>
        </is>
      </c>
    </row>
    <row r="123" ht="30" customHeight="1" s="1053">
      <c r="AC123" s="315" t="n"/>
      <c r="AF123" s="281" t="n"/>
      <c r="AP123" s="34" t="n"/>
      <c r="AS123" s="281" t="n"/>
      <c r="AT123" s="281" t="n"/>
      <c r="AX123" s="281" t="n"/>
    </row>
    <row r="124" ht="30" customHeight="1" s="1053">
      <c r="AC124" s="315" t="n"/>
      <c r="AF124" s="281" t="n"/>
      <c r="AP124" s="34" t="n"/>
      <c r="AS124" s="281" t="n"/>
      <c r="AT124" s="281" t="n"/>
      <c r="AX124" s="281" t="n"/>
    </row>
    <row r="125" ht="30" customHeight="1" s="1053">
      <c r="AC125" s="315" t="n"/>
      <c r="AF125" s="281" t="n"/>
      <c r="AP125" s="34" t="n"/>
      <c r="AS125" s="281" t="n"/>
      <c r="AT125" s="281" t="n"/>
      <c r="AX125" s="281" t="n"/>
    </row>
    <row r="126" ht="30" customHeight="1" s="1053">
      <c r="AC126" s="315" t="n"/>
      <c r="AF126" s="281" t="n"/>
      <c r="AP126" s="34" t="n"/>
      <c r="AS126" s="281" t="n"/>
      <c r="AT126" s="281" t="n"/>
      <c r="AX126" s="281" t="n"/>
    </row>
    <row r="127" ht="30" customHeight="1" s="1053">
      <c r="AC127" s="315" t="n"/>
      <c r="AF127" s="281" t="n"/>
      <c r="AP127" s="34" t="n"/>
      <c r="AS127" s="281" t="n"/>
      <c r="AT127" s="281" t="n"/>
      <c r="AX127" s="281" t="n"/>
    </row>
    <row r="128" ht="30" customHeight="1" s="1053">
      <c r="AC128" s="315" t="n"/>
      <c r="AF128" s="281" t="n"/>
      <c r="AP128" s="34" t="n"/>
      <c r="AS128" s="281" t="n"/>
      <c r="AT128" s="281" t="n"/>
      <c r="AX128" s="281" t="n"/>
    </row>
    <row r="129" ht="30" customHeight="1" s="1053">
      <c r="AC129" s="315" t="n"/>
      <c r="AP129" s="34" t="n"/>
    </row>
    <row r="130" ht="30" customHeight="1" s="1053">
      <c r="AC130" s="315" t="n"/>
      <c r="AP130" s="34" t="n"/>
    </row>
    <row r="131" ht="30" customHeight="1" s="1053">
      <c r="AC131" s="315" t="n"/>
      <c r="AP131" s="34" t="n"/>
    </row>
    <row r="132" ht="30" customHeight="1" s="1053">
      <c r="AC132" s="315" t="n"/>
      <c r="AP132" s="34" t="n"/>
    </row>
    <row r="133" ht="30" customHeight="1" s="1053">
      <c r="AC133" s="315" t="n"/>
      <c r="AP133" s="34" t="n"/>
    </row>
    <row r="134" ht="30" customHeight="1" s="1053">
      <c r="AC134" s="315" t="n"/>
      <c r="AP134" s="34" t="n"/>
    </row>
    <row r="135" ht="30" customHeight="1" s="1053">
      <c r="AC135" s="315" t="n"/>
      <c r="AP135" s="34" t="n"/>
    </row>
    <row r="136" ht="30" customHeight="1" s="1053">
      <c r="AC136" s="315" t="n"/>
      <c r="AP136" s="34" t="n"/>
    </row>
    <row r="137" ht="30" customHeight="1" s="1053">
      <c r="AC137" s="315" t="n"/>
      <c r="AP137" s="34" t="n"/>
    </row>
    <row r="138" ht="30" customHeight="1" s="1053">
      <c r="AC138" s="315" t="n"/>
      <c r="AP138" s="34" t="n"/>
    </row>
    <row r="139" ht="30" customHeight="1" s="1053">
      <c r="AC139" s="315" t="n"/>
      <c r="AP139" s="34" t="n"/>
    </row>
    <row r="140" ht="30" customHeight="1" s="1053">
      <c r="AC140" s="315" t="n"/>
      <c r="AP140" s="34" t="n"/>
    </row>
    <row r="141" ht="30" customHeight="1" s="1053">
      <c r="AC141" s="315" t="n"/>
      <c r="AP141" s="34" t="n"/>
    </row>
    <row r="142" ht="30" customHeight="1" s="1053">
      <c r="AC142" s="315" t="n"/>
      <c r="AP142" s="34" t="n"/>
    </row>
    <row r="143" ht="30" customHeight="1" s="1053">
      <c r="AC143" s="315" t="n"/>
      <c r="AP143" s="34" t="n"/>
    </row>
    <row r="144" ht="30" customHeight="1" s="1053">
      <c r="AC144" s="315" t="n"/>
      <c r="AP144" s="34" t="n"/>
    </row>
    <row r="145" ht="30" customHeight="1" s="1053">
      <c r="AC145" s="315" t="n"/>
      <c r="AP145" s="34" t="n"/>
    </row>
    <row r="146" ht="30" customHeight="1" s="1053">
      <c r="AC146" s="315" t="n"/>
      <c r="AP146" s="34" t="n"/>
    </row>
    <row r="147" ht="30" customHeight="1" s="1053">
      <c r="AC147" s="315" t="n"/>
      <c r="AP147" s="34" t="n"/>
    </row>
    <row r="148" ht="30" customHeight="1" s="1053">
      <c r="AC148" s="315" t="n"/>
      <c r="AP148" s="34" t="n"/>
    </row>
    <row r="149" ht="30" customHeight="1" s="1053">
      <c r="AC149" s="315" t="n"/>
      <c r="AP149" s="34" t="n"/>
    </row>
    <row r="150" ht="30" customHeight="1" s="1053">
      <c r="AC150" s="315" t="n"/>
      <c r="AP150" s="34" t="n"/>
    </row>
    <row r="151" ht="30" customHeight="1" s="1053">
      <c r="AC151" s="315" t="n"/>
      <c r="AP151" s="34" t="n"/>
    </row>
    <row r="152" ht="30" customHeight="1" s="1053">
      <c r="AC152" s="315" t="n"/>
      <c r="AP152" s="34" t="n"/>
    </row>
    <row r="153" ht="30" customHeight="1" s="1053">
      <c r="AC153" s="315" t="n"/>
      <c r="AP153" s="34" t="n"/>
    </row>
    <row r="154" ht="30" customHeight="1" s="1053">
      <c r="AC154" s="315" t="n"/>
      <c r="AP154" s="34" t="n"/>
    </row>
    <row r="155" ht="30" customHeight="1" s="1053">
      <c r="AC155" s="315" t="n"/>
      <c r="AP155" s="34" t="n"/>
    </row>
    <row r="156" ht="30" customHeight="1" s="1053">
      <c r="AC156" s="315" t="n"/>
      <c r="AP156" s="34" t="n"/>
    </row>
    <row r="157" ht="30" customHeight="1" s="1053">
      <c r="AC157" s="315" t="n"/>
      <c r="AP157" s="34" t="n"/>
    </row>
    <row r="158" ht="30" customHeight="1" s="1053">
      <c r="AC158" s="315" t="n"/>
      <c r="AP158" s="34" t="n"/>
    </row>
    <row r="159" ht="30" customHeight="1" s="1053">
      <c r="AC159" s="315" t="n"/>
      <c r="AP159" s="34" t="n"/>
    </row>
    <row r="160" ht="30" customHeight="1" s="1053">
      <c r="AC160" s="315" t="n"/>
      <c r="AP160" s="34" t="n"/>
    </row>
    <row r="161" ht="30" customHeight="1" s="1053">
      <c r="AC161" s="315" t="n"/>
      <c r="AP161" s="34" t="n"/>
    </row>
    <row r="162" ht="30" customHeight="1" s="1053">
      <c r="AC162" s="315" t="n"/>
      <c r="AP162" s="34" t="n"/>
    </row>
    <row r="163" ht="30" customHeight="1" s="1053">
      <c r="AC163" s="315" t="n"/>
      <c r="AP163" s="34" t="n"/>
    </row>
    <row r="164" ht="30" customHeight="1" s="1053">
      <c r="AC164" s="315" t="n"/>
      <c r="AP164" s="34" t="n"/>
    </row>
    <row r="165" ht="30" customHeight="1" s="1053">
      <c r="AC165" s="315" t="n"/>
      <c r="AP165" s="34" t="n"/>
    </row>
    <row r="166" ht="30" customHeight="1" s="1053">
      <c r="AC166" s="315" t="n"/>
      <c r="AP166" s="34" t="n"/>
    </row>
    <row r="167" ht="30" customHeight="1" s="1053">
      <c r="AC167" s="315" t="n"/>
      <c r="AP167" s="34" t="n"/>
    </row>
    <row r="168" ht="30" customHeight="1" s="1053">
      <c r="AC168" s="315" t="n"/>
      <c r="AP168" s="34" t="n"/>
    </row>
    <row r="169" ht="30" customHeight="1" s="1053">
      <c r="AC169" s="315" t="n"/>
      <c r="AP169" s="34" t="n"/>
    </row>
    <row r="170" ht="30" customHeight="1" s="1053">
      <c r="AC170" s="315" t="n"/>
      <c r="AP170" s="34" t="n"/>
    </row>
    <row r="171" ht="30" customHeight="1" s="1053">
      <c r="AC171" s="315" t="n"/>
      <c r="AP171" s="34" t="n"/>
    </row>
    <row r="172" ht="30" customHeight="1" s="1053">
      <c r="AC172" s="315" t="n"/>
      <c r="AP172" s="34" t="n"/>
    </row>
    <row r="173" ht="30" customHeight="1" s="1053">
      <c r="AC173" s="315" t="n"/>
    </row>
    <row r="174" ht="30" customHeight="1" s="1053">
      <c r="AC174" s="315" t="n"/>
    </row>
    <row r="175" ht="30" customHeight="1" s="1053">
      <c r="AC175" s="315" t="n"/>
    </row>
    <row r="176" ht="30" customHeight="1" s="1053">
      <c r="AC176" s="315" t="n"/>
    </row>
    <row r="177" ht="30" customHeight="1" s="1053">
      <c r="AC177" s="315" t="n"/>
    </row>
    <row r="178" ht="30" customHeight="1" s="1053">
      <c r="AC178" s="315" t="n"/>
    </row>
    <row r="179" ht="30" customHeight="1" s="1053">
      <c r="AC179" s="315" t="n"/>
    </row>
    <row r="180" ht="30" customHeight="1" s="1053">
      <c r="AC180" s="315" t="n"/>
    </row>
    <row r="181" ht="30" customHeight="1" s="1053">
      <c r="AC181" s="315" t="n"/>
    </row>
    <row r="182" ht="30" customHeight="1" s="1053">
      <c r="AC182" s="315" t="n"/>
    </row>
    <row r="183" ht="30" customHeight="1" s="1053">
      <c r="AC183" s="315" t="n"/>
    </row>
    <row r="184" ht="30" customHeight="1" s="1053">
      <c r="AC184" s="315" t="n"/>
    </row>
    <row r="185" ht="30" customHeight="1" s="1053">
      <c r="AC185" s="315" t="n"/>
    </row>
    <row r="186" ht="30" customHeight="1" s="1053">
      <c r="AC186" s="315" t="n"/>
    </row>
    <row r="187" ht="30" customHeight="1" s="1053">
      <c r="AC187" s="315" t="n"/>
    </row>
    <row r="188" ht="30" customHeight="1" s="1053">
      <c r="AC188" s="315" t="n"/>
    </row>
    <row r="189" ht="30" customHeight="1" s="1053">
      <c r="AC189" s="315" t="n"/>
    </row>
    <row r="190" ht="30" customHeight="1" s="1053">
      <c r="AC190" s="315" t="n"/>
    </row>
    <row r="191" ht="30" customHeight="1" s="1053">
      <c r="AC191" s="315" t="n"/>
    </row>
    <row r="192" ht="30" customHeight="1" s="1053">
      <c r="AC192" s="315" t="n"/>
    </row>
    <row r="193" ht="30" customHeight="1" s="1053">
      <c r="AC193" s="315" t="n"/>
    </row>
    <row r="194" ht="30" customHeight="1" s="1053">
      <c r="AC194" s="315" t="n"/>
    </row>
    <row r="195" ht="30" customHeight="1" s="1053">
      <c r="AC195" s="315" t="n"/>
    </row>
    <row r="196" ht="30" customHeight="1" s="1053">
      <c r="AC196" s="315" t="n"/>
    </row>
    <row r="197" ht="30" customHeight="1" s="1053">
      <c r="AC197" s="315" t="n"/>
    </row>
    <row r="198" ht="30" customHeight="1" s="1053">
      <c r="AC198" s="315" t="n"/>
    </row>
    <row r="199" ht="30" customHeight="1" s="1053">
      <c r="AC199" s="31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10" customWidth="1" style="148" min="1" max="1"/>
    <col width="7.5" customWidth="1" style="1053" min="5" max="5"/>
    <col width="8.4697265625" customWidth="1" style="1053" min="6" max="6"/>
    <col width="7.5" customWidth="1" style="1053" min="7" max="10"/>
    <col width="34.248046875" customWidth="1" style="1053" min="11" max="11"/>
    <col width="7.5" customWidth="1" style="1053" min="12" max="15"/>
    <col width="14.02734375" customWidth="1" style="1053" min="16" max="16"/>
    <col width="7.5" customWidth="1" style="1053" min="17" max="20"/>
    <col width="16.5263671875" customWidth="1" style="1053" min="21" max="21"/>
    <col width="10" customWidth="1" style="148" min="24" max="33"/>
    <col width="10" customWidth="1" style="148" min="36" max="37"/>
    <col width="10" customWidth="1" style="148" min="40" max="44"/>
  </cols>
  <sheetData>
    <row r="1" ht="27.75" customFormat="1" customHeight="1" s="225">
      <c r="A1" s="229" t="inlineStr">
        <is>
          <t>教学点</t>
        </is>
      </c>
      <c r="B1" s="230" t="inlineStr">
        <is>
          <t>学生uid</t>
        </is>
      </c>
      <c r="C1" s="230" t="inlineStr">
        <is>
          <t>学生姓名</t>
        </is>
      </c>
      <c r="D1" s="230" t="inlineStr">
        <is>
          <t>归属顾问</t>
        </is>
      </c>
      <c r="E1" s="240" t="inlineStr">
        <is>
          <t>顾问盘点</t>
        </is>
      </c>
      <c r="F1" s="215" t="inlineStr">
        <is>
          <t>家长会是否到</t>
        </is>
      </c>
      <c r="G1" s="241" t="inlineStr">
        <is>
          <t>数学主讲</t>
        </is>
      </c>
      <c r="H1" s="241" t="inlineStr">
        <is>
          <t>期次</t>
        </is>
      </c>
      <c r="I1" s="241" t="inlineStr">
        <is>
          <t>续报意愿</t>
        </is>
      </c>
      <c r="J1" s="241" t="inlineStr">
        <is>
          <t>是否已追</t>
        </is>
      </c>
      <c r="K1" s="241" t="inlineStr">
        <is>
          <t>跟进记录</t>
        </is>
      </c>
      <c r="L1" s="242" t="inlineStr">
        <is>
          <t>语文主讲</t>
        </is>
      </c>
      <c r="M1" s="242" t="inlineStr">
        <is>
          <t>期次</t>
        </is>
      </c>
      <c r="N1" s="242" t="inlineStr">
        <is>
          <t>是否续报</t>
        </is>
      </c>
      <c r="O1" s="242" t="inlineStr">
        <is>
          <t>是否已追</t>
        </is>
      </c>
      <c r="P1" s="242" t="inlineStr">
        <is>
          <t>跟进记录</t>
        </is>
      </c>
      <c r="Q1" s="243" t="inlineStr">
        <is>
          <t>英语主讲</t>
        </is>
      </c>
      <c r="R1" s="243" t="inlineStr">
        <is>
          <t>期次</t>
        </is>
      </c>
      <c r="S1" s="243" t="inlineStr">
        <is>
          <t>是否续报</t>
        </is>
      </c>
      <c r="T1" s="243" t="inlineStr">
        <is>
          <t>是否已追</t>
        </is>
      </c>
      <c r="U1" s="243" t="inlineStr">
        <is>
          <t>跟进记录</t>
        </is>
      </c>
      <c r="X1" s="224" t="inlineStr">
        <is>
          <t>主讲</t>
        </is>
      </c>
      <c r="Y1" s="224" t="inlineStr">
        <is>
          <t>在读</t>
        </is>
      </c>
      <c r="Z1" s="224" t="inlineStr">
        <is>
          <t>已续</t>
        </is>
      </c>
      <c r="AA1" s="224" t="inlineStr">
        <is>
          <t>续报率</t>
        </is>
      </c>
      <c r="AB1" s="224" t="inlineStr">
        <is>
          <t>A学员</t>
        </is>
      </c>
      <c r="AC1" s="224" t="inlineStr">
        <is>
          <t>占比</t>
        </is>
      </c>
      <c r="AD1" s="224" t="inlineStr">
        <is>
          <t>B学员</t>
        </is>
      </c>
      <c r="AE1" s="224" t="inlineStr">
        <is>
          <t>占比</t>
        </is>
      </c>
      <c r="AF1" s="224" t="inlineStr">
        <is>
          <t>C学员</t>
        </is>
      </c>
      <c r="AG1" s="224" t="inlineStr">
        <is>
          <t>占比</t>
        </is>
      </c>
      <c r="AJ1" s="168" t="n"/>
      <c r="AK1" s="168" t="n"/>
      <c r="AN1" s="168" t="n"/>
      <c r="AO1" s="168" t="n"/>
      <c r="AP1" s="168" t="n"/>
      <c r="AQ1" s="168" t="n"/>
      <c r="AR1" s="168" t="n"/>
    </row>
    <row r="2" ht="18" customHeight="1" s="1053">
      <c r="A2" s="228" t="inlineStr">
        <is>
          <t>同创汇</t>
        </is>
      </c>
      <c r="B2" s="228" t="n">
        <v>2270640709</v>
      </c>
      <c r="C2" s="228" t="inlineStr">
        <is>
          <t>米诺</t>
        </is>
      </c>
      <c r="D2" s="228"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4" t="inlineStr">
        <is>
          <t>陈中帅</t>
        </is>
      </c>
      <c r="Y2" s="224">
        <f>COUNTIFS(G:G,X2,H:H,"零期")</f>
        <v/>
      </c>
      <c r="Z2" s="224">
        <f>COUNTIFS(G:G,X2,I:I,"已续报")</f>
        <v/>
      </c>
      <c r="AA2" s="244">
        <f>Z2/Y2</f>
        <v/>
      </c>
      <c r="AB2" s="224">
        <f>COUNTIFS(G:G,X2,I:I,"A")</f>
        <v/>
      </c>
      <c r="AC2" s="244">
        <f>AB2/(Y2-Z2)</f>
        <v/>
      </c>
      <c r="AD2" s="224">
        <f>COUNTIFS(G:G,X2,I:I,"B")</f>
        <v/>
      </c>
      <c r="AE2" s="244">
        <f>AD2/(Y2-Z2)</f>
        <v/>
      </c>
      <c r="AF2" s="224">
        <f>COUNTIFS(G:G,X2,I:I,"C")</f>
        <v/>
      </c>
      <c r="AG2" s="244">
        <f>AF2/(Y2-Z2)</f>
        <v/>
      </c>
    </row>
    <row r="3" ht="18" customHeight="1" s="1053">
      <c r="A3" s="228" t="inlineStr">
        <is>
          <t>同创汇</t>
        </is>
      </c>
      <c r="B3" s="228" t="n">
        <v>4819955828</v>
      </c>
      <c r="C3" s="228" t="inlineStr">
        <is>
          <t>周芷帆</t>
        </is>
      </c>
      <c r="D3" s="228"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4" t="inlineStr">
        <is>
          <t>田雨涵01</t>
        </is>
      </c>
      <c r="Y3" s="224">
        <f>COUNTIFS(G:G,X3,H:H,"零期")</f>
        <v/>
      </c>
      <c r="Z3" s="224">
        <f>COUNTIFS(G:G,X3,I:I,"已续报")</f>
        <v/>
      </c>
      <c r="AA3" s="244">
        <f>Z3/Y3</f>
        <v/>
      </c>
      <c r="AB3" s="224">
        <f>COUNTIFS(G:G,X3,I:I,"A")</f>
        <v/>
      </c>
      <c r="AC3" s="244">
        <f>AB3/(Y3-Z3)</f>
        <v/>
      </c>
      <c r="AD3" s="224">
        <f>COUNTIFS(G:G,X3,I:I,"B")</f>
        <v/>
      </c>
      <c r="AE3" s="244">
        <f>AD3/(Y3-Z3)</f>
        <v/>
      </c>
      <c r="AF3" s="224">
        <f>COUNTIFS(G:G,X3,I:I,"C")</f>
        <v/>
      </c>
      <c r="AG3" s="244">
        <f>AF3/(Y3-Z3)</f>
        <v/>
      </c>
      <c r="AI3" s="222" t="n"/>
      <c r="AJ3" s="252" t="inlineStr">
        <is>
          <t>零期在读</t>
        </is>
      </c>
      <c r="AK3" s="255" t="inlineStr">
        <is>
          <t>已续</t>
        </is>
      </c>
      <c r="AL3" s="249" t="n">
        <v>0.25</v>
      </c>
      <c r="AM3" s="249" t="n">
        <v>0.3</v>
      </c>
      <c r="AN3" s="249" t="n">
        <v>0.35</v>
      </c>
      <c r="AO3" s="249" t="n">
        <v>0.4</v>
      </c>
      <c r="AP3" s="249" t="n">
        <v>0.45</v>
      </c>
      <c r="AQ3" s="249" t="n">
        <v>0.5</v>
      </c>
      <c r="AR3" s="249" t="n">
        <v>0.55</v>
      </c>
    </row>
    <row r="4" ht="18" customHeight="1" s="1053">
      <c r="A4" s="228" t="inlineStr">
        <is>
          <t>同创汇</t>
        </is>
      </c>
      <c r="B4" s="228" t="n">
        <v>2545862641</v>
      </c>
      <c r="C4" s="228" t="inlineStr">
        <is>
          <t>于彦臻</t>
        </is>
      </c>
      <c r="D4" s="228"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4" t="inlineStr">
        <is>
          <t>黄铭怡</t>
        </is>
      </c>
      <c r="Y4" s="224">
        <f>COUNTIFS(L:L,X4,M:M,"零期")</f>
        <v/>
      </c>
      <c r="Z4" s="224">
        <f>COUNTIFS(L:L,X4,N:N,"已续报")</f>
        <v/>
      </c>
      <c r="AA4" s="244">
        <f>Z4/Y4</f>
        <v/>
      </c>
      <c r="AB4" s="224">
        <f>COUNTIFS(L:L,X4,N:N,"A")</f>
        <v/>
      </c>
      <c r="AC4" s="244">
        <f>AB4/(Y4-Z4)</f>
        <v/>
      </c>
      <c r="AD4" s="224">
        <f>COUNTIFS(L:L,X4,N:N,"B")</f>
        <v/>
      </c>
      <c r="AE4" s="244">
        <f>AD4/(Y4-Z4)</f>
        <v/>
      </c>
      <c r="AF4" s="224">
        <f>COUNTIFS(L:L,X4,N:N,"C")</f>
        <v/>
      </c>
      <c r="AG4" s="244">
        <f>AF4/(Y4-Z4)</f>
        <v/>
      </c>
      <c r="AI4" s="222" t="n"/>
      <c r="AJ4" s="252" t="n">
        <v>298</v>
      </c>
      <c r="AK4" s="256" t="n">
        <v>70</v>
      </c>
      <c r="AL4" s="251">
        <f>AJ4*AL3</f>
        <v/>
      </c>
      <c r="AM4" s="251">
        <f>AJ4*AM3</f>
        <v/>
      </c>
      <c r="AN4" s="251">
        <f>AJ4*AN3</f>
        <v/>
      </c>
      <c r="AO4" s="251">
        <f>AJ4*AO3</f>
        <v/>
      </c>
      <c r="AP4" s="251">
        <f>AJ4*AP3</f>
        <v/>
      </c>
      <c r="AQ4" s="251">
        <f>AJ4*AQ3</f>
        <v/>
      </c>
      <c r="AR4" s="251">
        <f>AJ4*0.55</f>
        <v/>
      </c>
    </row>
    <row r="5" ht="18" customHeight="1" s="1053">
      <c r="A5" s="228" t="inlineStr">
        <is>
          <t>同创汇</t>
        </is>
      </c>
      <c r="B5" s="228" t="n">
        <v>4700610785</v>
      </c>
      <c r="C5" s="228" t="inlineStr">
        <is>
          <t>黄馨可</t>
        </is>
      </c>
      <c r="D5" s="228"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4" t="inlineStr">
        <is>
          <t>李润</t>
        </is>
      </c>
      <c r="Y5" s="224">
        <f>COUNTIFS(L:L,X5,M:M,"零期")</f>
        <v/>
      </c>
      <c r="Z5" s="224">
        <f>COUNTIFS(L:L,X5,N:N,"已续报")</f>
        <v/>
      </c>
      <c r="AA5" s="244">
        <f>Z5/Y5</f>
        <v/>
      </c>
      <c r="AB5" s="224">
        <f>COUNTIFS(L:L,X5,N:N,"A")</f>
        <v/>
      </c>
      <c r="AC5" s="244">
        <f>AB5/(Y5-Z5)</f>
        <v/>
      </c>
      <c r="AD5" s="224">
        <f>COUNTIFS(L:L,X5,N:N,"B")</f>
        <v/>
      </c>
      <c r="AE5" s="244">
        <f>AD5/(Y5-Z5)</f>
        <v/>
      </c>
      <c r="AF5" s="224">
        <f>COUNTIFS(L:L,X5,N:N,"C")</f>
        <v/>
      </c>
      <c r="AG5" s="244">
        <f>AF5/(Y5-Z5)</f>
        <v/>
      </c>
      <c r="AI5" s="245" t="inlineStr">
        <is>
          <t>陈中帅</t>
        </is>
      </c>
      <c r="AJ5" s="252" t="n">
        <v>57</v>
      </c>
      <c r="AK5" s="252" t="n">
        <v>25</v>
      </c>
      <c r="AL5" s="256">
        <f>AJ5*AL3</f>
        <v/>
      </c>
      <c r="AM5" s="256">
        <f>AJ5*0.3</f>
        <v/>
      </c>
      <c r="AN5" s="256">
        <f>AJ5*0.35</f>
        <v/>
      </c>
      <c r="AO5" s="256">
        <f>AJ5*0.4</f>
        <v/>
      </c>
      <c r="AP5" s="251">
        <f>AJ5*0.45</f>
        <v/>
      </c>
      <c r="AQ5" s="251">
        <f>AJ5*0.5</f>
        <v/>
      </c>
      <c r="AR5" s="251">
        <f>AJ5*0.55</f>
        <v/>
      </c>
    </row>
    <row r="6" ht="18" customHeight="1" s="1053">
      <c r="A6" s="136" t="inlineStr">
        <is>
          <t>同创汇</t>
        </is>
      </c>
      <c r="B6" s="136" t="n">
        <v>4149980338</v>
      </c>
      <c r="C6" s="228" t="inlineStr">
        <is>
          <t>郭芃泽</t>
        </is>
      </c>
      <c r="D6" s="228"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4" t="inlineStr">
        <is>
          <t>陈南05</t>
        </is>
      </c>
      <c r="Y6" s="224">
        <f>COUNTIFS(L:L,X6,M:M,"零期")</f>
        <v/>
      </c>
      <c r="Z6" s="224">
        <f>COUNTIFS(L:L,X6,N:N,"已续报")</f>
        <v/>
      </c>
      <c r="AA6" s="244">
        <f>Z6/Y6</f>
        <v/>
      </c>
      <c r="AB6" s="224">
        <f>COUNTIFS(L:L,X6,N:N,"A")</f>
        <v/>
      </c>
      <c r="AC6" s="244">
        <f>AB6/(Y6-Z6)</f>
        <v/>
      </c>
      <c r="AD6" s="224">
        <f>COUNTIFS(L:L,X6,N:N,"B")</f>
        <v/>
      </c>
      <c r="AE6" s="244">
        <f>AD6/(Y6-Z6)</f>
        <v/>
      </c>
      <c r="AF6" s="224">
        <f>COUNTIFS(L:L,X6,N:N,"C")</f>
        <v/>
      </c>
      <c r="AG6" s="244">
        <f>AF6/(Y6-Z6)</f>
        <v/>
      </c>
      <c r="AI6" s="245" t="inlineStr">
        <is>
          <t>田雨涵01</t>
        </is>
      </c>
      <c r="AJ6" s="252" t="n">
        <v>42</v>
      </c>
      <c r="AK6" s="252" t="n">
        <v>6</v>
      </c>
      <c r="AL6" s="251">
        <f>AJ6*AL3</f>
        <v/>
      </c>
      <c r="AM6" s="251">
        <f>AJ6*0.3</f>
        <v/>
      </c>
      <c r="AN6" s="251">
        <f>AJ6*0.35</f>
        <v/>
      </c>
      <c r="AO6" s="251">
        <f>AJ6*0.4</f>
        <v/>
      </c>
      <c r="AP6" s="251">
        <f>AJ6*0.45</f>
        <v/>
      </c>
      <c r="AQ6" s="251">
        <f>AJ6*0.5</f>
        <v/>
      </c>
      <c r="AR6" s="251">
        <f>AJ6*0.55</f>
        <v/>
      </c>
    </row>
    <row r="7" ht="18" customHeight="1" s="1053">
      <c r="A7" s="136" t="inlineStr">
        <is>
          <t>同创汇</t>
        </is>
      </c>
      <c r="B7" s="136" t="n">
        <v>4357593784</v>
      </c>
      <c r="C7" s="228" t="inlineStr">
        <is>
          <t>杨元博</t>
        </is>
      </c>
      <c r="D7" s="228"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4" t="inlineStr">
        <is>
          <t>刘希子</t>
        </is>
      </c>
      <c r="Y7" s="224">
        <f>COUNTIFS(Q:Q,X7,R:R,"零期")</f>
        <v/>
      </c>
      <c r="Z7" s="224">
        <f>COUNTIFS(Q:Q,X7,N:N,"已续报")</f>
        <v/>
      </c>
      <c r="AA7" s="244">
        <f>Z7/Y7</f>
        <v/>
      </c>
      <c r="AB7" s="224">
        <f>COUNTIFS(Q:Q,X7,N:N,"A")</f>
        <v/>
      </c>
      <c r="AC7" s="244">
        <f>AB7/(Y7-Z7)</f>
        <v/>
      </c>
      <c r="AD7" s="224">
        <f>COUNTIFS(Q:Q,X7,N:N,"B")</f>
        <v/>
      </c>
      <c r="AE7" s="244">
        <f>AD7/(Y7-Z7)</f>
        <v/>
      </c>
      <c r="AF7" s="224">
        <f>COUNTIFS(Q:Q,X7,N:N,"C")</f>
        <v/>
      </c>
      <c r="AG7" s="244">
        <f>AF7/(Y7-Z7)</f>
        <v/>
      </c>
      <c r="AI7" s="245" t="inlineStr">
        <is>
          <t>黄铭怡</t>
        </is>
      </c>
      <c r="AJ7" s="252" t="n">
        <v>39</v>
      </c>
      <c r="AK7" s="252" t="n">
        <v>16</v>
      </c>
      <c r="AL7" s="256">
        <f>AJ7*AL3</f>
        <v/>
      </c>
      <c r="AM7" s="256">
        <f>AJ7*0.3</f>
        <v/>
      </c>
      <c r="AN7" s="256">
        <f>AJ7*0.35</f>
        <v/>
      </c>
      <c r="AO7" s="256">
        <f>AJ7*0.4</f>
        <v/>
      </c>
      <c r="AP7" s="251">
        <f>AJ7*0.45</f>
        <v/>
      </c>
      <c r="AQ7" s="251">
        <f>AJ7*0.5</f>
        <v/>
      </c>
      <c r="AR7" s="251">
        <f>AJ7*0.55</f>
        <v/>
      </c>
    </row>
    <row r="8" ht="18" customHeight="1" s="1053">
      <c r="A8" s="136" t="inlineStr">
        <is>
          <t>同创汇</t>
        </is>
      </c>
      <c r="B8" s="136" t="n">
        <v>4279445279</v>
      </c>
      <c r="C8" s="228" t="inlineStr">
        <is>
          <t>黄佩仪</t>
        </is>
      </c>
      <c r="D8" s="228"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4" t="inlineStr">
        <is>
          <t>肖锐03</t>
        </is>
      </c>
      <c r="Y8" s="224">
        <f>COUNTIFS(Q:Q,X8,R:R,"零期")</f>
        <v/>
      </c>
      <c r="Z8" s="224">
        <f>COUNTIFS(Q:Q,X8,N:N,"已续报")</f>
        <v/>
      </c>
      <c r="AA8" s="244">
        <f>Z8/Y8</f>
        <v/>
      </c>
      <c r="AB8" s="224">
        <f>COUNTIFS(Q:Q,X8,N:N,"A")</f>
        <v/>
      </c>
      <c r="AC8" s="244">
        <f>AB8/(Y8-Z8)</f>
        <v/>
      </c>
      <c r="AD8" s="224">
        <f>COUNTIFS(Q:Q,X8,N:N,"B")</f>
        <v/>
      </c>
      <c r="AE8" s="244">
        <f>AD8/(Y8-Z8)</f>
        <v/>
      </c>
      <c r="AF8" s="224">
        <f>COUNTIFS(Q:Q,X8,N:N,"C")</f>
        <v/>
      </c>
      <c r="AG8" s="244">
        <f>AF8/(Y8-Z8)</f>
        <v/>
      </c>
      <c r="AI8" s="245" t="inlineStr">
        <is>
          <t>李润</t>
        </is>
      </c>
      <c r="AJ8" s="252" t="n">
        <v>42</v>
      </c>
      <c r="AK8" s="252" t="n">
        <v>2</v>
      </c>
      <c r="AL8" s="251">
        <f>AJ8*AL3</f>
        <v/>
      </c>
      <c r="AM8" s="251">
        <f>AJ8*0.3</f>
        <v/>
      </c>
      <c r="AN8" s="251">
        <f>AJ8*0.35</f>
        <v/>
      </c>
      <c r="AO8" s="251">
        <f>AJ8*0.4</f>
        <v/>
      </c>
      <c r="AP8" s="251">
        <f>AJ8*0.45</f>
        <v/>
      </c>
      <c r="AQ8" s="251">
        <f>AJ8*0.5</f>
        <v/>
      </c>
      <c r="AR8" s="251">
        <f>AJ8*0.55</f>
        <v/>
      </c>
    </row>
    <row r="9" ht="18" customHeight="1" s="1053">
      <c r="A9" s="136" t="inlineStr">
        <is>
          <t>同创汇</t>
        </is>
      </c>
      <c r="B9" s="136" t="n">
        <v>4628703443</v>
      </c>
      <c r="C9" s="228" t="inlineStr">
        <is>
          <t>林小逗</t>
        </is>
      </c>
      <c r="D9" s="228"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4" t="inlineStr">
        <is>
          <t>高心怡04</t>
        </is>
      </c>
      <c r="Y9" s="224">
        <f>COUNTIFS(Q:Q,X9,R:R,"零期")</f>
        <v/>
      </c>
      <c r="Z9" s="224">
        <f>COUNTIFS(Q:Q,X9,N:N,"已续报")</f>
        <v/>
      </c>
      <c r="AA9" s="244">
        <f>Z9/Y9</f>
        <v/>
      </c>
      <c r="AB9" s="224">
        <f>COUNTIFS(Q:Q,X9,N:N,"A")</f>
        <v/>
      </c>
      <c r="AC9" s="244">
        <f>AB9/(Y9-Z9)</f>
        <v/>
      </c>
      <c r="AD9" s="224">
        <f>COUNTIFS(Q:Q,X9,N:N,"B")</f>
        <v/>
      </c>
      <c r="AE9" s="244">
        <f>AD9/(Y9-Z9)</f>
        <v/>
      </c>
      <c r="AF9" s="224">
        <f>COUNTIFS(Q:Q,X9,N:N,"C")</f>
        <v/>
      </c>
      <c r="AG9" s="244">
        <f>AF9/(Y9-Z9)</f>
        <v/>
      </c>
      <c r="AI9" s="245" t="inlineStr">
        <is>
          <t>陈南05</t>
        </is>
      </c>
      <c r="AJ9" s="252" t="n">
        <v>15</v>
      </c>
      <c r="AK9" s="252" t="n">
        <v>2</v>
      </c>
      <c r="AL9" s="251">
        <f>AJ9*AL3</f>
        <v/>
      </c>
      <c r="AM9" s="251">
        <f>AJ9*0.3</f>
        <v/>
      </c>
      <c r="AN9" s="251">
        <f>AJ9*0.35</f>
        <v/>
      </c>
      <c r="AO9" s="251">
        <f>AJ9*0.4</f>
        <v/>
      </c>
      <c r="AP9" s="251">
        <f>AJ9*0.45</f>
        <v/>
      </c>
      <c r="AQ9" s="251">
        <f>AJ9*0.5</f>
        <v/>
      </c>
      <c r="AR9" s="251">
        <f>AJ9*0.55</f>
        <v/>
      </c>
    </row>
    <row r="10" ht="18" customHeight="1" s="1053">
      <c r="A10" s="136" t="inlineStr">
        <is>
          <t>同创汇</t>
        </is>
      </c>
      <c r="B10" s="136" t="n">
        <v>2488140963</v>
      </c>
      <c r="C10" s="228" t="inlineStr">
        <is>
          <t>张进桐</t>
        </is>
      </c>
      <c r="D10" s="228"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45" t="inlineStr">
        <is>
          <t>刘希子</t>
        </is>
      </c>
      <c r="AJ10" s="252" t="n">
        <v>37</v>
      </c>
      <c r="AK10" s="252" t="n">
        <v>7</v>
      </c>
      <c r="AL10" s="251">
        <f>AJ10*AL3</f>
        <v/>
      </c>
      <c r="AM10" s="251">
        <f>AJ10*0.3</f>
        <v/>
      </c>
      <c r="AN10" s="251">
        <f>AJ10*0.35</f>
        <v/>
      </c>
      <c r="AO10" s="251">
        <f>AJ10*0.4</f>
        <v/>
      </c>
      <c r="AP10" s="251">
        <f>AJ10*0.45</f>
        <v/>
      </c>
      <c r="AQ10" s="251">
        <f>AJ10*0.5</f>
        <v/>
      </c>
      <c r="AR10" s="251">
        <f>AJ10*0.55</f>
        <v/>
      </c>
    </row>
    <row r="11" ht="18" customHeight="1" s="1053">
      <c r="A11" s="136" t="inlineStr">
        <is>
          <t>同创汇</t>
        </is>
      </c>
      <c r="B11" s="136" t="n">
        <v>4762945633</v>
      </c>
      <c r="C11" s="228" t="inlineStr">
        <is>
          <t>张权</t>
        </is>
      </c>
      <c r="D11" s="228"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45" t="inlineStr">
        <is>
          <t>肖锐03</t>
        </is>
      </c>
      <c r="AJ11" s="252" t="n">
        <v>46</v>
      </c>
      <c r="AK11" s="252" t="n">
        <v>8</v>
      </c>
      <c r="AL11" s="251">
        <f>AJ11*AL3</f>
        <v/>
      </c>
      <c r="AM11" s="251">
        <f>AJ11*0.3</f>
        <v/>
      </c>
      <c r="AN11" s="251">
        <f>AJ11*0.35</f>
        <v/>
      </c>
      <c r="AO11" s="251">
        <f>AJ11*0.4</f>
        <v/>
      </c>
      <c r="AP11" s="251">
        <f>AJ11*0.45</f>
        <v/>
      </c>
      <c r="AQ11" s="251">
        <f>AJ11*0.5</f>
        <v/>
      </c>
      <c r="AR11" s="251">
        <f>AJ11*0.55</f>
        <v/>
      </c>
    </row>
    <row r="12" ht="18" customHeight="1" s="1053">
      <c r="A12" s="246" t="inlineStr">
        <is>
          <t>同创汇</t>
        </is>
      </c>
      <c r="B12" s="246" t="n">
        <v>2234603980</v>
      </c>
      <c r="C12" s="246" t="inlineStr">
        <is>
          <t>于耀杰</t>
        </is>
      </c>
      <c r="D12" s="246" t="inlineStr">
        <is>
          <t>戎凯01</t>
        </is>
      </c>
      <c r="E12" s="247" t="inlineStr">
        <is>
          <t>S</t>
        </is>
      </c>
      <c r="F12" s="247" t="inlineStr">
        <is>
          <t>是</t>
        </is>
      </c>
      <c r="G12" s="247" t="inlineStr">
        <is>
          <t>田雨涵01</t>
        </is>
      </c>
      <c r="H12" s="133">
        <f>VLOOKUP(B12,'零期·UV电访分配'!B:Q,7,0)</f>
        <v/>
      </c>
      <c r="I12" s="247" t="inlineStr">
        <is>
          <t>已续报</t>
        </is>
      </c>
      <c r="J12" s="247" t="n"/>
      <c r="K12" s="247" t="n"/>
      <c r="L12" s="247" t="inlineStr">
        <is>
          <t>陈南05</t>
        </is>
      </c>
      <c r="M12" s="133">
        <f>VLOOKUP(B12,'零期·UV电访分配'!B:Q,11,0)</f>
        <v/>
      </c>
      <c r="N12" s="247" t="inlineStr">
        <is>
          <t>已续报</t>
        </is>
      </c>
      <c r="O12" s="247" t="n"/>
      <c r="P12" s="247" t="n"/>
      <c r="Q12" s="247" t="inlineStr">
        <is>
          <t>刘希子</t>
        </is>
      </c>
      <c r="R12" s="133">
        <f>VLOOKUP(B12,'零期·UV电访分配'!B:Q,15,0)</f>
        <v/>
      </c>
      <c r="S12" s="247" t="n"/>
      <c r="T12" s="247" t="n"/>
      <c r="U12" s="247" t="n"/>
      <c r="AI12" s="245" t="inlineStr">
        <is>
          <t>高心怡04</t>
        </is>
      </c>
      <c r="AJ12" s="252" t="n">
        <v>20</v>
      </c>
      <c r="AK12" s="252" t="n">
        <v>4</v>
      </c>
      <c r="AL12" s="251">
        <f>AJ12*AL3</f>
        <v/>
      </c>
      <c r="AM12" s="251">
        <f>AJ12*0.3</f>
        <v/>
      </c>
      <c r="AN12" s="251">
        <f>AJ12*0.35</f>
        <v/>
      </c>
      <c r="AO12" s="251">
        <f>AJ12*0.4</f>
        <v/>
      </c>
      <c r="AP12" s="251">
        <f>AJ12*0.45</f>
        <v/>
      </c>
      <c r="AQ12" s="251">
        <f>AJ12*0.5</f>
        <v/>
      </c>
      <c r="AR12" s="251">
        <f>AJ12*0.55</f>
        <v/>
      </c>
    </row>
    <row r="13" ht="18" customHeight="1" s="1053">
      <c r="A13" s="248" t="inlineStr">
        <is>
          <t>同创汇</t>
        </is>
      </c>
      <c r="B13" s="248" t="n">
        <v>4247653400</v>
      </c>
      <c r="C13" s="246" t="inlineStr">
        <is>
          <t>温静仪</t>
        </is>
      </c>
      <c r="D13" s="246" t="inlineStr">
        <is>
          <t>王丽</t>
        </is>
      </c>
      <c r="E13" s="247" t="inlineStr">
        <is>
          <t>S</t>
        </is>
      </c>
      <c r="F13" s="247" t="inlineStr">
        <is>
          <t>否</t>
        </is>
      </c>
      <c r="G13" s="247" t="inlineStr">
        <is>
          <t>-</t>
        </is>
      </c>
      <c r="H13" s="133">
        <f>VLOOKUP(B13,'零期·UV电访分配'!B:Q,7,0)</f>
        <v/>
      </c>
      <c r="I13" s="247" t="inlineStr">
        <is>
          <t>已续报</t>
        </is>
      </c>
      <c r="J13" s="247" t="n"/>
      <c r="K13" s="247" t="n"/>
      <c r="L13" s="247" t="inlineStr">
        <is>
          <t>-</t>
        </is>
      </c>
      <c r="M13" s="133">
        <f>VLOOKUP(B13,'零期·UV电访分配'!B:Q,11,0)</f>
        <v/>
      </c>
      <c r="N13" s="247" t="inlineStr">
        <is>
          <t>已续报</t>
        </is>
      </c>
      <c r="O13" s="247" t="n"/>
      <c r="P13" s="247" t="n"/>
      <c r="Q13" s="247" t="inlineStr">
        <is>
          <t>刘希子</t>
        </is>
      </c>
      <c r="R13" s="133">
        <f>VLOOKUP(B13,'零期·UV电访分配'!B:Q,15,0)</f>
        <v/>
      </c>
      <c r="S13" s="247" t="inlineStr">
        <is>
          <t>C</t>
        </is>
      </c>
      <c r="T13" s="247" t="n"/>
      <c r="U13" s="247" t="n"/>
    </row>
    <row r="14" ht="18" customHeight="1" s="1053">
      <c r="A14" s="248" t="inlineStr">
        <is>
          <t>同创汇</t>
        </is>
      </c>
      <c r="B14" s="248" t="n">
        <v>2578637555</v>
      </c>
      <c r="C14" s="246" t="inlineStr">
        <is>
          <t>苏家颖</t>
        </is>
      </c>
      <c r="D14" s="246" t="inlineStr">
        <is>
          <t>林志豪01</t>
        </is>
      </c>
      <c r="E14" s="247" t="inlineStr">
        <is>
          <t>S</t>
        </is>
      </c>
      <c r="F14" s="247" t="inlineStr">
        <is>
          <t>是</t>
        </is>
      </c>
      <c r="G14" s="247" t="inlineStr">
        <is>
          <t>陈中帅</t>
        </is>
      </c>
      <c r="H14" s="133">
        <f>VLOOKUP(B14,'零期·UV电访分配'!B:Q,7,0)</f>
        <v/>
      </c>
      <c r="I14" s="247" t="inlineStr">
        <is>
          <t>已续报</t>
        </is>
      </c>
      <c r="J14" s="247" t="n"/>
      <c r="K14" s="247" t="n"/>
      <c r="L14" s="247" t="inlineStr">
        <is>
          <t>李润</t>
        </is>
      </c>
      <c r="M14" s="133">
        <f>VLOOKUP(B14,'零期·UV电访分配'!B:Q,11,0)</f>
        <v/>
      </c>
      <c r="N14" s="247" t="n"/>
      <c r="O14" s="247" t="n"/>
      <c r="P14" s="247" t="n"/>
      <c r="Q14" s="247" t="inlineStr">
        <is>
          <t>高心怡04</t>
        </is>
      </c>
      <c r="R14" s="133">
        <f>VLOOKUP(B14,'零期·UV电访分配'!B:Q,15,0)</f>
        <v/>
      </c>
      <c r="S14" s="247" t="n"/>
      <c r="T14" s="247" t="n"/>
      <c r="U14" s="247" t="n"/>
    </row>
    <row r="15" ht="18" customHeight="1" s="1053">
      <c r="A15" s="248" t="inlineStr">
        <is>
          <t>同创汇</t>
        </is>
      </c>
      <c r="B15" s="248" t="n">
        <v>2717412875</v>
      </c>
      <c r="C15" s="246" t="inlineStr">
        <is>
          <t>董昔予</t>
        </is>
      </c>
      <c r="D15" s="246" t="inlineStr">
        <is>
          <t>戎凯01</t>
        </is>
      </c>
      <c r="E15" s="247" t="inlineStr">
        <is>
          <t>S</t>
        </is>
      </c>
      <c r="F15" s="247" t="inlineStr">
        <is>
          <t>是</t>
        </is>
      </c>
      <c r="G15" s="247" t="inlineStr">
        <is>
          <t>陈中帅</t>
        </is>
      </c>
      <c r="H15" s="133">
        <f>VLOOKUP(B15,'零期·UV电访分配'!B:Q,7,0)</f>
        <v/>
      </c>
      <c r="I15" s="247" t="inlineStr">
        <is>
          <t>已续报</t>
        </is>
      </c>
      <c r="J15" s="247" t="n"/>
      <c r="K15" s="247" t="n"/>
      <c r="L15" s="247" t="inlineStr">
        <is>
          <t>李润</t>
        </is>
      </c>
      <c r="M15" s="133">
        <f>VLOOKUP(B15,'零期·UV电访分配'!B:Q,11,0)</f>
        <v/>
      </c>
      <c r="N15" s="247" t="n"/>
      <c r="O15" s="247" t="n"/>
      <c r="P15" s="247" t="n"/>
      <c r="Q15" s="247" t="inlineStr">
        <is>
          <t>高心怡04</t>
        </is>
      </c>
      <c r="R15" s="133">
        <f>VLOOKUP(B15,'零期·UV电访分配'!B:Q,15,0)</f>
        <v/>
      </c>
      <c r="S15" s="247" t="n"/>
      <c r="T15" s="247" t="n"/>
      <c r="U15" s="247" t="n"/>
    </row>
    <row r="16" ht="18" customHeight="1" s="1053">
      <c r="A16" s="198" t="inlineStr">
        <is>
          <t>同创汇</t>
        </is>
      </c>
      <c r="B16" s="198" t="n">
        <v>4443796286</v>
      </c>
      <c r="C16" s="247" t="inlineStr">
        <is>
          <t>马涌钛</t>
        </is>
      </c>
      <c r="D16" s="247" t="inlineStr">
        <is>
          <t>戎凯01</t>
        </is>
      </c>
      <c r="E16" s="247" t="inlineStr">
        <is>
          <t>S</t>
        </is>
      </c>
      <c r="F16" s="247" t="inlineStr">
        <is>
          <t>否</t>
        </is>
      </c>
      <c r="G16" s="247" t="inlineStr">
        <is>
          <t>-</t>
        </is>
      </c>
      <c r="H16" s="133">
        <f>VLOOKUP(B16,'零期·UV电访分配'!B:Q,7,0)</f>
        <v/>
      </c>
      <c r="I16" s="247" t="n"/>
      <c r="J16" s="247" t="n"/>
      <c r="K16" s="247" t="n"/>
      <c r="L16" s="247" t="inlineStr">
        <is>
          <t>-</t>
        </is>
      </c>
      <c r="M16" s="133">
        <f>VLOOKUP(B16,'零期·UV电访分配'!B:Q,11,0)</f>
        <v/>
      </c>
      <c r="N16" s="247" t="inlineStr">
        <is>
          <t>已续报</t>
        </is>
      </c>
      <c r="O16" s="247" t="n"/>
      <c r="P16" s="247" t="n"/>
      <c r="Q16" s="247" t="inlineStr">
        <is>
          <t>刘希子</t>
        </is>
      </c>
      <c r="R16" s="133">
        <f>VLOOKUP(B16,'零期·UV电访分配'!B:Q,15,0)</f>
        <v/>
      </c>
      <c r="S16" s="247" t="n"/>
      <c r="T16" s="247" t="n"/>
      <c r="U16" s="247" t="n"/>
    </row>
    <row r="17" ht="18" customHeight="1" s="1053">
      <c r="A17" s="246" t="inlineStr">
        <is>
          <t>同创汇</t>
        </is>
      </c>
      <c r="B17" s="246" t="n">
        <v>2163375170</v>
      </c>
      <c r="C17" s="246" t="inlineStr">
        <is>
          <t>邱兆臻</t>
        </is>
      </c>
      <c r="D17" s="246" t="inlineStr">
        <is>
          <t>王丽</t>
        </is>
      </c>
      <c r="E17" s="247" t="inlineStr">
        <is>
          <t>S</t>
        </is>
      </c>
      <c r="F17" s="247" t="inlineStr">
        <is>
          <t>是</t>
        </is>
      </c>
      <c r="G17" s="247" t="inlineStr">
        <is>
          <t>田雨涵01</t>
        </is>
      </c>
      <c r="H17" s="133">
        <f>VLOOKUP(B17,'零期·UV电访分配'!B:Q,7,0)</f>
        <v/>
      </c>
      <c r="I17" s="247" t="inlineStr">
        <is>
          <t>已续报</t>
        </is>
      </c>
      <c r="J17" s="247" t="n"/>
      <c r="K17" s="247" t="n"/>
      <c r="L17" s="247" t="inlineStr">
        <is>
          <t>黄铭怡</t>
        </is>
      </c>
      <c r="M17" s="133">
        <f>VLOOKUP(B17,'零期·UV电访分配'!B:Q,11,0)</f>
        <v/>
      </c>
      <c r="N17" s="247" t="inlineStr">
        <is>
          <t>已续报</t>
        </is>
      </c>
      <c r="O17" s="247" t="n"/>
      <c r="P17" s="247" t="n"/>
      <c r="Q17" s="247" t="inlineStr">
        <is>
          <t>高心怡04</t>
        </is>
      </c>
      <c r="R17" s="133">
        <f>VLOOKUP(B17,'零期·UV电访分配'!B:Q,15,0)</f>
        <v/>
      </c>
      <c r="S17" s="247" t="n"/>
      <c r="T17" s="247" t="n"/>
      <c r="U17" s="247" t="n"/>
    </row>
    <row r="18" ht="18" customHeight="1" s="1053">
      <c r="A18" s="248" t="inlineStr">
        <is>
          <t>同创汇</t>
        </is>
      </c>
      <c r="B18" s="248" t="n">
        <v>4373949634</v>
      </c>
      <c r="C18" s="246" t="inlineStr">
        <is>
          <t>郭蕴文</t>
        </is>
      </c>
      <c r="D18" s="246" t="inlineStr">
        <is>
          <t>沈思浩</t>
        </is>
      </c>
      <c r="E18" s="247" t="inlineStr">
        <is>
          <t>S</t>
        </is>
      </c>
      <c r="F18" s="247" t="inlineStr">
        <is>
          <t>是</t>
        </is>
      </c>
      <c r="G18" s="247" t="inlineStr">
        <is>
          <t>陈中帅</t>
        </is>
      </c>
      <c r="H18" s="133">
        <f>VLOOKUP(B18,'零期·UV电访分配'!B:Q,7,0)</f>
        <v/>
      </c>
      <c r="I18" s="247" t="inlineStr">
        <is>
          <t>已续报</t>
        </is>
      </c>
      <c r="J18" s="247" t="n"/>
      <c r="K18" s="247" t="n"/>
      <c r="L18" s="247" t="inlineStr">
        <is>
          <t>黄铭怡</t>
        </is>
      </c>
      <c r="M18" s="133">
        <f>VLOOKUP(B18,'零期·UV电访分配'!B:Q,11,0)</f>
        <v/>
      </c>
      <c r="N18" s="247" t="inlineStr">
        <is>
          <t>已续报</t>
        </is>
      </c>
      <c r="O18" s="247" t="n"/>
      <c r="P18" s="247" t="n"/>
      <c r="Q18" s="247" t="inlineStr">
        <is>
          <t>刘希子</t>
        </is>
      </c>
      <c r="R18" s="133">
        <f>VLOOKUP(B18,'零期·UV电访分配'!B:Q,15,0)</f>
        <v/>
      </c>
      <c r="S18" s="247" t="n"/>
      <c r="T18" s="247" t="n"/>
      <c r="U18" s="247" t="n"/>
    </row>
    <row r="19" ht="18" customHeight="1" s="1053">
      <c r="A19" s="248" t="inlineStr">
        <is>
          <t>同创汇</t>
        </is>
      </c>
      <c r="B19" s="248" t="n">
        <v>4521435533</v>
      </c>
      <c r="C19" s="246" t="inlineStr">
        <is>
          <t>曾泓皓</t>
        </is>
      </c>
      <c r="D19" s="246" t="inlineStr">
        <is>
          <t>王丽</t>
        </is>
      </c>
      <c r="E19" s="247" t="inlineStr">
        <is>
          <t>S</t>
        </is>
      </c>
      <c r="F19" s="247" t="inlineStr">
        <is>
          <t>是</t>
        </is>
      </c>
      <c r="G19" s="247" t="inlineStr">
        <is>
          <t>田雨涵01</t>
        </is>
      </c>
      <c r="H19" s="133">
        <f>VLOOKUP(B19,'零期·UV电访分配'!B:Q,7,0)</f>
        <v/>
      </c>
      <c r="I19" s="247" t="inlineStr">
        <is>
          <t>已续报</t>
        </is>
      </c>
      <c r="J19" s="247" t="n"/>
      <c r="K19" s="247" t="n"/>
      <c r="L19" s="247" t="inlineStr">
        <is>
          <t>陈南05</t>
        </is>
      </c>
      <c r="M19" s="133">
        <f>VLOOKUP(B19,'零期·UV电访分配'!B:Q,11,0)</f>
        <v/>
      </c>
      <c r="N19" s="247" t="inlineStr">
        <is>
          <t>已续报</t>
        </is>
      </c>
      <c r="O19" s="247" t="n"/>
      <c r="P19" s="247" t="n"/>
      <c r="Q19" s="247" t="inlineStr">
        <is>
          <t>刘希子</t>
        </is>
      </c>
      <c r="R19" s="133">
        <f>VLOOKUP(B19,'零期·UV电访分配'!B:Q,15,0)</f>
        <v/>
      </c>
      <c r="S19" s="247" t="n"/>
      <c r="T19" s="247" t="n"/>
      <c r="U19" s="247" t="n"/>
    </row>
    <row r="20" ht="18" customHeight="1" s="1053">
      <c r="A20" s="248" t="inlineStr">
        <is>
          <t>同创汇</t>
        </is>
      </c>
      <c r="B20" s="248" t="n">
        <v>2596648105</v>
      </c>
      <c r="C20" s="246" t="inlineStr">
        <is>
          <t>朱凯纶</t>
        </is>
      </c>
      <c r="D20" s="246" t="inlineStr">
        <is>
          <t>王丽</t>
        </is>
      </c>
      <c r="E20" s="247" t="inlineStr">
        <is>
          <t>A</t>
        </is>
      </c>
      <c r="F20" s="247" t="inlineStr">
        <is>
          <t>是</t>
        </is>
      </c>
      <c r="G20" s="247" t="inlineStr">
        <is>
          <t>陈中帅</t>
        </is>
      </c>
      <c r="H20" s="133">
        <f>VLOOKUP(B20,'零期·UV电访分配'!B:Q,7,0)</f>
        <v/>
      </c>
      <c r="I20" s="247" t="inlineStr">
        <is>
          <t>已续报</t>
        </is>
      </c>
      <c r="J20" s="247" t="n"/>
      <c r="K20" s="247" t="n"/>
      <c r="L20" s="247" t="inlineStr">
        <is>
          <t>李润</t>
        </is>
      </c>
      <c r="M20" s="133">
        <f>VLOOKUP(B20,'零期·UV电访分配'!B:Q,11,0)</f>
        <v/>
      </c>
      <c r="N20" s="247" t="n"/>
      <c r="O20" s="247" t="n"/>
      <c r="P20" s="247" t="n"/>
      <c r="Q20" s="247" t="inlineStr">
        <is>
          <t>高心怡04</t>
        </is>
      </c>
      <c r="R20" s="133">
        <f>VLOOKUP(B20,'零期·UV电访分配'!B:Q,15,0)</f>
        <v/>
      </c>
      <c r="S20" s="247" t="inlineStr">
        <is>
          <t>已续报</t>
        </is>
      </c>
      <c r="T20" s="247" t="n"/>
      <c r="U20" s="247" t="n"/>
    </row>
    <row r="21" ht="18" customHeight="1" s="1053">
      <c r="A21" s="248" t="inlineStr">
        <is>
          <t>同创汇</t>
        </is>
      </c>
      <c r="B21" s="248" t="n">
        <v>2564941289</v>
      </c>
      <c r="C21" s="246" t="inlineStr">
        <is>
          <t>李倬承</t>
        </is>
      </c>
      <c r="D21" s="246" t="inlineStr">
        <is>
          <t>王丽</t>
        </is>
      </c>
      <c r="E21" s="247" t="inlineStr">
        <is>
          <t>A</t>
        </is>
      </c>
      <c r="F21" s="247" t="inlineStr">
        <is>
          <t>否</t>
        </is>
      </c>
      <c r="G21" s="247" t="inlineStr">
        <is>
          <t>陈中帅</t>
        </is>
      </c>
      <c r="H21" s="133">
        <f>VLOOKUP(B21,'零期·UV电访分配'!B:Q,7,0)</f>
        <v/>
      </c>
      <c r="I21" s="247" t="inlineStr">
        <is>
          <t>已续报</t>
        </is>
      </c>
      <c r="J21" s="247" t="n"/>
      <c r="K21" s="247" t="n"/>
      <c r="L21" s="247" t="inlineStr">
        <is>
          <t>-</t>
        </is>
      </c>
      <c r="M21" s="133">
        <f>VLOOKUP(B21,'零期·UV电访分配'!B:Q,11,0)</f>
        <v/>
      </c>
      <c r="N21" s="247" t="n"/>
      <c r="O21" s="247" t="n"/>
      <c r="P21" s="247" t="n"/>
      <c r="Q21" s="247" t="inlineStr">
        <is>
          <t>高心怡04</t>
        </is>
      </c>
      <c r="R21" s="133">
        <f>VLOOKUP(B21,'零期·UV电访分配'!B:Q,15,0)</f>
        <v/>
      </c>
      <c r="S21" s="247" t="n"/>
      <c r="T21" s="247" t="n"/>
      <c r="U21" s="247" t="n"/>
    </row>
    <row r="22" ht="18" customHeight="1" s="1053">
      <c r="A22" s="198" t="inlineStr">
        <is>
          <t>同创汇</t>
        </is>
      </c>
      <c r="B22" s="198" t="n">
        <v>2429621505</v>
      </c>
      <c r="C22" s="247" t="inlineStr">
        <is>
          <t>邢婧萱</t>
        </is>
      </c>
      <c r="D22" s="247" t="inlineStr">
        <is>
          <t>苏丽婷</t>
        </is>
      </c>
      <c r="E22" s="247" t="inlineStr">
        <is>
          <t>A</t>
        </is>
      </c>
      <c r="F22" s="247" t="inlineStr">
        <is>
          <t>否</t>
        </is>
      </c>
      <c r="G22" s="247" t="inlineStr">
        <is>
          <t>田雨涵01</t>
        </is>
      </c>
      <c r="H22" s="133">
        <f>VLOOKUP(B22,'零期·UV电访分配'!B:Q,7,0)</f>
        <v/>
      </c>
      <c r="I22" s="247" t="inlineStr">
        <is>
          <t>B</t>
        </is>
      </c>
      <c r="J22" s="247" t="inlineStr">
        <is>
          <t>是</t>
        </is>
      </c>
      <c r="K22" s="247" t="inlineStr">
        <is>
          <t>电话没接，私发了</t>
        </is>
      </c>
      <c r="L22" s="247" t="inlineStr">
        <is>
          <t>黄铭怡</t>
        </is>
      </c>
      <c r="M22" s="133">
        <f>VLOOKUP(B22,'零期·UV电访分配'!B:Q,11,0)</f>
        <v/>
      </c>
      <c r="N22" s="247" t="inlineStr">
        <is>
          <t>已续报</t>
        </is>
      </c>
      <c r="O22" s="247" t="n"/>
      <c r="P22" s="247" t="n"/>
      <c r="Q22" s="247" t="inlineStr">
        <is>
          <t>刘希子</t>
        </is>
      </c>
      <c r="R22" s="133">
        <f>VLOOKUP(B22,'零期·UV电访分配'!B:Q,15,0)</f>
        <v/>
      </c>
      <c r="S22" s="247" t="n"/>
      <c r="T22" s="247" t="n"/>
      <c r="U22" s="247" t="n"/>
    </row>
    <row r="23" ht="18" customHeight="1" s="1053">
      <c r="A23" s="248" t="inlineStr">
        <is>
          <t>同创汇</t>
        </is>
      </c>
      <c r="B23" s="248" t="n">
        <v>4774287872</v>
      </c>
      <c r="C23" s="246" t="inlineStr">
        <is>
          <t>陈一依</t>
        </is>
      </c>
      <c r="D23" s="246" t="inlineStr">
        <is>
          <t>王丽</t>
        </is>
      </c>
      <c r="E23" s="247" t="inlineStr">
        <is>
          <t>A</t>
        </is>
      </c>
      <c r="F23" s="247" t="inlineStr">
        <is>
          <t>是</t>
        </is>
      </c>
      <c r="G23" s="247" t="inlineStr">
        <is>
          <t>田雨涵01</t>
        </is>
      </c>
      <c r="H23" s="133">
        <f>VLOOKUP(B23,'零期·UV电访分配'!B:Q,7,0)</f>
        <v/>
      </c>
      <c r="I23" s="247" t="inlineStr">
        <is>
          <t>已续报</t>
        </is>
      </c>
      <c r="J23" s="247" t="n"/>
      <c r="K23" s="247" t="n"/>
      <c r="L23" s="247" t="inlineStr">
        <is>
          <t>-</t>
        </is>
      </c>
      <c r="M23" s="133">
        <f>VLOOKUP(B23,'零期·UV电访分配'!B:Q,11,0)</f>
        <v/>
      </c>
      <c r="N23" s="247" t="n"/>
      <c r="O23" s="247" t="n"/>
      <c r="P23" s="247" t="n"/>
      <c r="Q23" s="247" t="inlineStr">
        <is>
          <t>高心怡04</t>
        </is>
      </c>
      <c r="R23" s="133">
        <f>VLOOKUP(B23,'零期·UV电访分配'!B:Q,15,0)</f>
        <v/>
      </c>
      <c r="S23" s="247" t="n"/>
      <c r="T23" s="247" t="n"/>
      <c r="U23" s="247" t="n"/>
    </row>
    <row r="24" ht="18" customHeight="1" s="1053">
      <c r="A24" s="248" t="inlineStr">
        <is>
          <t>同创汇</t>
        </is>
      </c>
      <c r="B24" s="248" t="n">
        <v>4816966506</v>
      </c>
      <c r="C24" s="246" t="inlineStr">
        <is>
          <t>李泓睿</t>
        </is>
      </c>
      <c r="D24" s="246" t="inlineStr">
        <is>
          <t>戎凯01</t>
        </is>
      </c>
      <c r="E24" s="247" t="inlineStr">
        <is>
          <t>B</t>
        </is>
      </c>
      <c r="F24" s="247" t="inlineStr">
        <is>
          <t>是</t>
        </is>
      </c>
      <c r="G24" s="247" t="inlineStr">
        <is>
          <t>陈中帅</t>
        </is>
      </c>
      <c r="H24" s="133">
        <f>VLOOKUP(B24,'零期·UV电访分配'!B:Q,7,0)</f>
        <v/>
      </c>
      <c r="I24" s="247" t="inlineStr">
        <is>
          <t>已续报</t>
        </is>
      </c>
      <c r="J24" s="247" t="n"/>
      <c r="K24" s="247" t="n"/>
      <c r="L24" s="247" t="inlineStr">
        <is>
          <t>黄铭怡</t>
        </is>
      </c>
      <c r="M24" s="133">
        <f>VLOOKUP(B24,'零期·UV电访分配'!B:Q,11,0)</f>
        <v/>
      </c>
      <c r="N24" s="247" t="n"/>
      <c r="O24" s="247" t="n"/>
      <c r="P24" s="247" t="n"/>
      <c r="Q24" s="247" t="inlineStr">
        <is>
          <t>刘希子</t>
        </is>
      </c>
      <c r="R24" s="133">
        <f>VLOOKUP(B24,'零期·UV电访分配'!B:Q,15,0)</f>
        <v/>
      </c>
      <c r="S24" s="247" t="inlineStr">
        <is>
          <t>已续报</t>
        </is>
      </c>
      <c r="T24" s="247" t="n"/>
      <c r="U24" s="247" t="n"/>
    </row>
    <row r="25" ht="18" customHeight="1" s="1053">
      <c r="A25" s="248" t="inlineStr">
        <is>
          <t>同创汇</t>
        </is>
      </c>
      <c r="B25" s="248" t="n">
        <v>4024784462</v>
      </c>
      <c r="C25" s="246" t="inlineStr">
        <is>
          <t>萌萌</t>
        </is>
      </c>
      <c r="D25" s="246" t="inlineStr">
        <is>
          <t>罗玉玲</t>
        </is>
      </c>
      <c r="E25" s="247" t="n"/>
      <c r="F25" s="247" t="inlineStr">
        <is>
          <t>是</t>
        </is>
      </c>
      <c r="G25" s="247" t="inlineStr">
        <is>
          <t>陈中帅</t>
        </is>
      </c>
      <c r="H25" s="133">
        <f>VLOOKUP(B25,'零期·UV电访分配'!B:Q,7,0)</f>
        <v/>
      </c>
      <c r="I25" s="247" t="inlineStr">
        <is>
          <t>已续报</t>
        </is>
      </c>
      <c r="J25" s="247" t="n"/>
      <c r="K25" s="247" t="n"/>
      <c r="L25" s="247" t="inlineStr">
        <is>
          <t>李润</t>
        </is>
      </c>
      <c r="M25" s="133">
        <f>VLOOKUP(B25,'零期·UV电访分配'!B:Q,11,0)</f>
        <v/>
      </c>
      <c r="N25" s="247" t="n"/>
      <c r="O25" s="247" t="n"/>
      <c r="P25" s="247" t="n"/>
      <c r="Q25" s="247" t="inlineStr">
        <is>
          <t>高心怡04</t>
        </is>
      </c>
      <c r="R25" s="133">
        <f>VLOOKUP(B25,'零期·UV电访分配'!B:Q,15,0)</f>
        <v/>
      </c>
      <c r="S25" s="247" t="inlineStr">
        <is>
          <t>已续报</t>
        </is>
      </c>
      <c r="T25" s="247" t="n"/>
      <c r="U25" s="247" t="n"/>
    </row>
    <row r="26" ht="71.25" customHeight="1" s="1053">
      <c r="A26" s="281" t="inlineStr">
        <is>
          <t>同创汇</t>
        </is>
      </c>
      <c r="B26" s="281" t="n">
        <v>4018505986</v>
      </c>
      <c r="C26" s="119" t="inlineStr">
        <is>
          <t>戴鸿杰</t>
        </is>
      </c>
      <c r="D26" s="119" t="inlineStr">
        <is>
          <t>苏丽婷</t>
        </is>
      </c>
      <c r="E26" s="258" t="inlineStr">
        <is>
          <t>S</t>
        </is>
      </c>
      <c r="F26" s="266" t="inlineStr">
        <is>
          <t>是</t>
        </is>
      </c>
      <c r="G26" s="266" t="inlineStr">
        <is>
          <t>田雨涵01</t>
        </is>
      </c>
      <c r="H26" s="133">
        <f>VLOOKUP(B26,'零期·UV电访分配'!B:Q,7,0)</f>
        <v/>
      </c>
      <c r="I26" s="266" t="inlineStr">
        <is>
          <t>A</t>
        </is>
      </c>
      <c r="J26" s="266" t="inlineStr">
        <is>
          <t>是</t>
        </is>
      </c>
      <c r="K26"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7" t="inlineStr">
        <is>
          <t>陈南05</t>
        </is>
      </c>
      <c r="M26" s="133">
        <f>VLOOKUP(B26,'零期·UV电访分配'!B:Q,11,0)</f>
        <v/>
      </c>
      <c r="N26" s="267" t="n"/>
      <c r="O26" s="267" t="n"/>
      <c r="P26" s="267" t="n"/>
      <c r="Q26" s="268" t="inlineStr">
        <is>
          <t>刘希子</t>
        </is>
      </c>
      <c r="R26" s="133">
        <f>VLOOKUP(B26,'零期·UV电访分配'!B:Q,15,0)</f>
        <v/>
      </c>
      <c r="S26" s="268" t="n"/>
      <c r="T26" s="268" t="n"/>
      <c r="U26" s="268" t="n"/>
    </row>
    <row r="27" ht="39" customHeight="1" s="1053">
      <c r="A27" s="269" t="inlineStr">
        <is>
          <t>同创汇</t>
        </is>
      </c>
      <c r="B27" s="269" t="n">
        <v>2566532002</v>
      </c>
      <c r="C27" s="258" t="inlineStr">
        <is>
          <t>兰美熙</t>
        </is>
      </c>
      <c r="D27" s="258" t="inlineStr">
        <is>
          <t>张敏烨</t>
        </is>
      </c>
      <c r="E27" s="258" t="inlineStr">
        <is>
          <t>B</t>
        </is>
      </c>
      <c r="F27" s="266" t="inlineStr">
        <is>
          <t>否</t>
        </is>
      </c>
      <c r="G27" s="266" t="inlineStr">
        <is>
          <t>田雨涵01</t>
        </is>
      </c>
      <c r="H27" s="133">
        <f>VLOOKUP(B27,'零期·UV电访分配'!B:Q,7,0)</f>
        <v/>
      </c>
      <c r="I27" s="266" t="inlineStr">
        <is>
          <t>A</t>
        </is>
      </c>
      <c r="J27" s="266" t="inlineStr">
        <is>
          <t>是</t>
        </is>
      </c>
      <c r="K27" s="266" t="inlineStr">
        <is>
          <t>距离太远，考虑到时间问题，会在新宝利上课，数学不换师，但是英语会换到jerry那里去 @肖锐03(Jerry)明天晚上给我答复</t>
        </is>
      </c>
      <c r="L27" s="267" t="inlineStr">
        <is>
          <t>陈南05</t>
        </is>
      </c>
      <c r="M27" s="133">
        <f>VLOOKUP(B27,'零期·UV电访分配'!B:Q,11,0)</f>
        <v/>
      </c>
      <c r="N27" s="267" t="n"/>
      <c r="O27" s="267" t="n"/>
      <c r="P27" s="267" t="n"/>
      <c r="Q27" s="268" t="inlineStr">
        <is>
          <t>刘希子</t>
        </is>
      </c>
      <c r="R27" s="133">
        <f>VLOOKUP(B27,'零期·UV电访分配'!B:Q,15,0)</f>
        <v/>
      </c>
      <c r="S27" s="268" t="n"/>
      <c r="T27" s="268" t="n"/>
      <c r="U27" s="268" t="n"/>
    </row>
    <row r="28" ht="18" customHeight="1" s="1053">
      <c r="A28" s="269" t="inlineStr">
        <is>
          <t>同创汇</t>
        </is>
      </c>
      <c r="B28" s="269" t="n">
        <v>2496864413</v>
      </c>
      <c r="C28" s="258" t="inlineStr">
        <is>
          <t>吴丹妮</t>
        </is>
      </c>
      <c r="D28" s="258" t="inlineStr">
        <is>
          <t>苏丽婷</t>
        </is>
      </c>
      <c r="E28" s="258" t="inlineStr">
        <is>
          <t>B</t>
        </is>
      </c>
      <c r="F28" s="266" t="inlineStr">
        <is>
          <t>否</t>
        </is>
      </c>
      <c r="G28" s="266" t="inlineStr">
        <is>
          <t>田雨涵01</t>
        </is>
      </c>
      <c r="H28" s="133">
        <f>VLOOKUP(B28,'零期·UV电访分配'!B:Q,7,0)</f>
        <v/>
      </c>
      <c r="I28" s="266" t="inlineStr">
        <is>
          <t>B</t>
        </is>
      </c>
      <c r="J28" s="266" t="inlineStr">
        <is>
          <t>是</t>
        </is>
      </c>
      <c r="K28" s="266" t="inlineStr">
        <is>
          <t>上完看效果再决定</t>
        </is>
      </c>
      <c r="L28" s="267" t="inlineStr">
        <is>
          <t>李润</t>
        </is>
      </c>
      <c r="M28" s="133">
        <f>VLOOKUP(B28,'零期·UV电访分配'!B:Q,11,0)</f>
        <v/>
      </c>
      <c r="N28" s="267" t="n"/>
      <c r="O28" s="267" t="n"/>
      <c r="P28" s="267" t="n"/>
      <c r="Q28" s="268" t="inlineStr">
        <is>
          <t>高心怡04</t>
        </is>
      </c>
      <c r="R28" s="133">
        <f>VLOOKUP(B28,'零期·UV电访分配'!B:Q,15,0)</f>
        <v/>
      </c>
      <c r="S28" s="268" t="n"/>
      <c r="T28" s="268" t="n"/>
      <c r="U28" s="268" t="n"/>
    </row>
    <row r="29" ht="26.25" customHeight="1" s="1053">
      <c r="A29" s="269" t="inlineStr">
        <is>
          <t>同创汇</t>
        </is>
      </c>
      <c r="B29" s="269" t="n">
        <v>4042838194</v>
      </c>
      <c r="C29" s="258" t="inlineStr">
        <is>
          <t>吴俊康</t>
        </is>
      </c>
      <c r="D29" s="258" t="inlineStr">
        <is>
          <t>戎凯01</t>
        </is>
      </c>
      <c r="E29" s="258" t="inlineStr">
        <is>
          <t>A</t>
        </is>
      </c>
      <c r="F29" s="266" t="inlineStr">
        <is>
          <t>否</t>
        </is>
      </c>
      <c r="G29" s="266" t="inlineStr">
        <is>
          <t>田雨涵01</t>
        </is>
      </c>
      <c r="H29" s="133">
        <f>VLOOKUP(B29,'零期·UV电访分配'!B:Q,7,0)</f>
        <v/>
      </c>
      <c r="I29" s="266" t="inlineStr">
        <is>
          <t>B</t>
        </is>
      </c>
      <c r="J29" s="266" t="inlineStr">
        <is>
          <t>是</t>
        </is>
      </c>
      <c r="K29" s="266" t="inlineStr">
        <is>
          <t>家长看孩子，三科老师问问孩子学习意愿，愿意就行 @陈南05(陈南) @刘希子</t>
        </is>
      </c>
      <c r="L29" s="267" t="inlineStr">
        <is>
          <t>陈南05</t>
        </is>
      </c>
      <c r="M29" s="133">
        <f>VLOOKUP(B29,'零期·UV电访分配'!B:Q,11,0)</f>
        <v/>
      </c>
      <c r="N29" s="267" t="n"/>
      <c r="O29" s="267" t="n"/>
      <c r="P29" s="267" t="n"/>
      <c r="Q29" s="268" t="inlineStr">
        <is>
          <t>刘希子</t>
        </is>
      </c>
      <c r="R29" s="133">
        <f>VLOOKUP(B29,'零期·UV电访分配'!B:Q,15,0)</f>
        <v/>
      </c>
      <c r="S29" s="268" t="n"/>
      <c r="T29" s="268" t="n"/>
      <c r="U29" s="268" t="n"/>
    </row>
    <row r="30" ht="39" customHeight="1" s="1053">
      <c r="A30" s="281" t="inlineStr">
        <is>
          <t>同创汇</t>
        </is>
      </c>
      <c r="B30" s="281" t="n">
        <v>2225312488</v>
      </c>
      <c r="C30" s="119" t="inlineStr">
        <is>
          <t>赖展辉</t>
        </is>
      </c>
      <c r="D30" s="119" t="inlineStr">
        <is>
          <t>王丽</t>
        </is>
      </c>
      <c r="E30" s="258" t="inlineStr">
        <is>
          <t>B</t>
        </is>
      </c>
      <c r="F30" s="266" t="inlineStr">
        <is>
          <t>是</t>
        </is>
      </c>
      <c r="G30" s="266" t="inlineStr">
        <is>
          <t>田雨涵01</t>
        </is>
      </c>
      <c r="H30" s="133">
        <f>VLOOKUP(B30,'零期·UV电访分配'!B:Q,7,0)</f>
        <v/>
      </c>
      <c r="I30" s="266" t="inlineStr">
        <is>
          <t>B</t>
        </is>
      </c>
      <c r="J30" s="266" t="inlineStr">
        <is>
          <t>是</t>
        </is>
      </c>
      <c r="K30" s="567" t="inlineStr">
        <is>
          <t>家长习惯只报寒暑，不报春秋
家里要看私立学校初中安排，时间紧就不会报，家里在白云区，单程90分钟</t>
        </is>
      </c>
      <c r="L30" s="267" t="inlineStr">
        <is>
          <t>陈南05</t>
        </is>
      </c>
      <c r="M30" s="133">
        <f>VLOOKUP(B30,'零期·UV电访分配'!B:Q,11,0)</f>
        <v/>
      </c>
      <c r="N30" s="267" t="n"/>
      <c r="O30" s="267" t="n"/>
      <c r="P30" s="267" t="n"/>
      <c r="Q30" s="268" t="inlineStr">
        <is>
          <t>刘希子</t>
        </is>
      </c>
      <c r="R30" s="133">
        <f>VLOOKUP(B30,'零期·UV电访分配'!B:Q,15,0)</f>
        <v/>
      </c>
      <c r="S30" s="268" t="n"/>
      <c r="T30" s="268" t="n"/>
      <c r="U30" s="268" t="n"/>
    </row>
    <row r="31" ht="18" customHeight="1" s="1053">
      <c r="A31" s="281" t="inlineStr">
        <is>
          <t>同创汇</t>
        </is>
      </c>
      <c r="B31" s="281" t="n">
        <v>4594246595</v>
      </c>
      <c r="C31" s="119" t="inlineStr">
        <is>
          <t>文文</t>
        </is>
      </c>
      <c r="D31" s="119" t="inlineStr">
        <is>
          <t>戎凯01</t>
        </is>
      </c>
      <c r="E31" s="258" t="inlineStr">
        <is>
          <t>A</t>
        </is>
      </c>
      <c r="F31" s="266" t="inlineStr">
        <is>
          <t>是</t>
        </is>
      </c>
      <c r="G31" s="266" t="inlineStr">
        <is>
          <t>田雨涵01</t>
        </is>
      </c>
      <c r="H31" s="133">
        <f>VLOOKUP(B31,'零期·UV电访分配'!B:Q,7,0)</f>
        <v/>
      </c>
      <c r="I31" s="266" t="inlineStr">
        <is>
          <t>B</t>
        </is>
      </c>
      <c r="J31" s="266" t="n"/>
      <c r="K31" s="266" t="inlineStr">
        <is>
          <t>今天电话聊，孩子有点学不懂</t>
        </is>
      </c>
      <c r="L31" s="267" t="inlineStr">
        <is>
          <t>陈南05</t>
        </is>
      </c>
      <c r="M31" s="133">
        <f>VLOOKUP(B31,'零期·UV电访分配'!B:Q,11,0)</f>
        <v/>
      </c>
      <c r="N31" s="267" t="n"/>
      <c r="O31" s="267" t="n"/>
      <c r="P31" s="267" t="n"/>
      <c r="Q31" s="268" t="inlineStr">
        <is>
          <t>刘希子</t>
        </is>
      </c>
      <c r="R31" s="133">
        <f>VLOOKUP(B31,'零期·UV电访分配'!B:Q,15,0)</f>
        <v/>
      </c>
      <c r="S31" s="268" t="n"/>
      <c r="T31" s="268" t="n"/>
      <c r="U31" s="268" t="n"/>
    </row>
    <row r="32" ht="26.25" customHeight="1" s="1053">
      <c r="A32" s="281" t="inlineStr">
        <is>
          <t>同创汇</t>
        </is>
      </c>
      <c r="B32" s="281" t="n">
        <v>4787927529</v>
      </c>
      <c r="C32" s="119" t="inlineStr">
        <is>
          <t>姚诗琳</t>
        </is>
      </c>
      <c r="D32" s="119" t="inlineStr">
        <is>
          <t>戎凯01</t>
        </is>
      </c>
      <c r="E32" s="258" t="inlineStr">
        <is>
          <t>A</t>
        </is>
      </c>
      <c r="F32" s="266" t="inlineStr">
        <is>
          <t>是</t>
        </is>
      </c>
      <c r="G32" s="266" t="inlineStr">
        <is>
          <t>田雨涵01</t>
        </is>
      </c>
      <c r="H32" s="133">
        <f>VLOOKUP(B32,'零期·UV电访分配'!B:Q,7,0)</f>
        <v/>
      </c>
      <c r="I32" s="266" t="inlineStr">
        <is>
          <t>B</t>
        </is>
      </c>
      <c r="J32" s="266" t="n"/>
      <c r="K32" s="120" t="inlineStr">
        <is>
          <t>卡点：学校选择上哪？去民办就需要搬家</t>
        </is>
      </c>
      <c r="L32" s="267" t="inlineStr">
        <is>
          <t>-</t>
        </is>
      </c>
      <c r="M32" s="133" t="inlineStr">
        <is>
          <t>-</t>
        </is>
      </c>
      <c r="N32" s="267" t="n"/>
      <c r="O32" s="267" t="n"/>
      <c r="P32" s="267" t="n"/>
      <c r="Q32" s="268" t="inlineStr">
        <is>
          <t>-</t>
        </is>
      </c>
      <c r="R32" s="133" t="inlineStr">
        <is>
          <t>-</t>
        </is>
      </c>
      <c r="S32" s="268" t="n"/>
      <c r="T32" s="268" t="n"/>
      <c r="U32" s="268" t="n"/>
    </row>
    <row r="33" ht="26.25" customHeight="1" s="1053">
      <c r="A33" s="258" t="inlineStr">
        <is>
          <t>同创汇</t>
        </is>
      </c>
      <c r="B33" s="258" t="n">
        <v>4827599311</v>
      </c>
      <c r="C33" s="258" t="inlineStr">
        <is>
          <t>汪泽烨</t>
        </is>
      </c>
      <c r="D33" s="258" t="inlineStr">
        <is>
          <t>王丽</t>
        </is>
      </c>
      <c r="E33" s="258" t="inlineStr">
        <is>
          <t>A</t>
        </is>
      </c>
      <c r="F33" s="266" t="inlineStr">
        <is>
          <t>是</t>
        </is>
      </c>
      <c r="G33" s="266" t="inlineStr">
        <is>
          <t>田雨涵01</t>
        </is>
      </c>
      <c r="H33" s="133">
        <f>VLOOKUP(B33,'零期·UV电访分配'!B:Q,7,0)</f>
        <v/>
      </c>
      <c r="I33" s="266" t="inlineStr">
        <is>
          <t>B</t>
        </is>
      </c>
      <c r="J33" s="266" t="n"/>
      <c r="K33" s="266" t="inlineStr">
        <is>
          <t>可能逼得有点急了？家长问到了价格和课程安排，最后又说晚上比较忙就不要再打电话沟通了</t>
        </is>
      </c>
      <c r="L33" s="267" t="inlineStr">
        <is>
          <t>陈南05</t>
        </is>
      </c>
      <c r="M33" s="133">
        <f>VLOOKUP(B33,'零期·UV电访分配'!B:Q,11,0)</f>
        <v/>
      </c>
      <c r="N33" s="267" t="n"/>
      <c r="O33" s="267" t="n"/>
      <c r="P33" s="267" t="n"/>
      <c r="Q33" s="268" t="inlineStr">
        <is>
          <t>刘希子</t>
        </is>
      </c>
      <c r="R33" s="133">
        <f>VLOOKUP(B33,'零期·UV电访分配'!B:Q,15,0)</f>
        <v/>
      </c>
      <c r="S33" s="268" t="n"/>
      <c r="T33" s="268" t="n"/>
      <c r="U33" s="268" t="n"/>
    </row>
    <row r="34" ht="18" customHeight="1" s="1053">
      <c r="A34" s="269" t="inlineStr">
        <is>
          <t>同创汇</t>
        </is>
      </c>
      <c r="B34" s="269" t="n">
        <v>4830601122</v>
      </c>
      <c r="C34" s="258" t="inlineStr">
        <is>
          <t>黄思睿</t>
        </is>
      </c>
      <c r="D34" s="258" t="inlineStr">
        <is>
          <t>戎凯01</t>
        </is>
      </c>
      <c r="E34" s="258" t="inlineStr">
        <is>
          <t>A</t>
        </is>
      </c>
      <c r="F34" s="266" t="inlineStr">
        <is>
          <t>是</t>
        </is>
      </c>
      <c r="G34" s="266" t="inlineStr">
        <is>
          <t>田雨涵01</t>
        </is>
      </c>
      <c r="H34" s="133">
        <f>VLOOKUP(B34,'零期·UV电访分配'!B:Q,7,0)</f>
        <v/>
      </c>
      <c r="I34" s="266" t="inlineStr">
        <is>
          <t>B</t>
        </is>
      </c>
      <c r="J34" s="266" t="n"/>
      <c r="K34" s="266" t="inlineStr">
        <is>
          <t>PK单：8月希望看对比</t>
        </is>
      </c>
      <c r="L34" s="267" t="inlineStr">
        <is>
          <t>-</t>
        </is>
      </c>
      <c r="M34" s="133" t="inlineStr">
        <is>
          <t>-</t>
        </is>
      </c>
      <c r="N34" s="267" t="n"/>
      <c r="O34" s="267" t="n"/>
      <c r="P34" s="267" t="n"/>
      <c r="Q34" s="268" t="inlineStr">
        <is>
          <t>-</t>
        </is>
      </c>
      <c r="R34" s="133" t="inlineStr">
        <is>
          <t>-</t>
        </is>
      </c>
      <c r="S34" s="268" t="n"/>
      <c r="T34" s="268" t="n"/>
      <c r="U34" s="268" t="n"/>
    </row>
    <row r="35" ht="18" customHeight="1" s="1053">
      <c r="A35" s="269" t="inlineStr">
        <is>
          <t>同创汇</t>
        </is>
      </c>
      <c r="B35" s="269" t="n">
        <v>4841600400</v>
      </c>
      <c r="C35" s="258" t="inlineStr">
        <is>
          <t>刘映彤</t>
        </is>
      </c>
      <c r="D35" s="258" t="inlineStr">
        <is>
          <t>王丽</t>
        </is>
      </c>
      <c r="E35" s="258" t="inlineStr">
        <is>
          <t>A</t>
        </is>
      </c>
      <c r="F35" s="266" t="inlineStr">
        <is>
          <t>否</t>
        </is>
      </c>
      <c r="G35" s="266" t="inlineStr">
        <is>
          <t>田雨涵01</t>
        </is>
      </c>
      <c r="H35" s="133">
        <f>VLOOKUP(B35,'零期·UV电访分配'!B:Q,7,0)</f>
        <v/>
      </c>
      <c r="I35" s="266" t="inlineStr">
        <is>
          <t>B</t>
        </is>
      </c>
      <c r="J35" s="266" t="inlineStr">
        <is>
          <t>是</t>
        </is>
      </c>
      <c r="K35" s="266" t="inlineStr">
        <is>
          <t>微信没接，微信留言</t>
        </is>
      </c>
      <c r="L35" s="267" t="inlineStr">
        <is>
          <t>陈南05</t>
        </is>
      </c>
      <c r="M35" s="133">
        <f>VLOOKUP(B35,'零期·UV电访分配'!B:Q,11,0)</f>
        <v/>
      </c>
      <c r="N35" s="267" t="n"/>
      <c r="O35" s="267" t="n"/>
      <c r="P35" s="267" t="n"/>
      <c r="Q35" s="268" t="inlineStr">
        <is>
          <t>刘希子</t>
        </is>
      </c>
      <c r="R35" s="133">
        <f>VLOOKUP(B35,'零期·UV电访分配'!B:Q,15,0)</f>
        <v/>
      </c>
      <c r="S35" s="268" t="n"/>
      <c r="T35" s="268" t="n"/>
      <c r="U35" s="268" t="n"/>
    </row>
    <row r="36" ht="26.25" customHeight="1" s="1053">
      <c r="A36" s="281" t="inlineStr">
        <is>
          <t>同创汇</t>
        </is>
      </c>
      <c r="B36" s="281" t="n">
        <v>4613866328</v>
      </c>
      <c r="C36" s="119" t="inlineStr">
        <is>
          <t>黎晶晶</t>
        </is>
      </c>
      <c r="D36" s="119" t="inlineStr">
        <is>
          <t>王丽</t>
        </is>
      </c>
      <c r="E36" s="258" t="inlineStr">
        <is>
          <t>B</t>
        </is>
      </c>
      <c r="F36" s="266" t="inlineStr">
        <is>
          <t>是</t>
        </is>
      </c>
      <c r="G36" s="266" t="inlineStr">
        <is>
          <t>田雨涵01</t>
        </is>
      </c>
      <c r="H36" s="133">
        <f>VLOOKUP(B36,'零期·UV电访分配'!B:Q,7,0)</f>
        <v/>
      </c>
      <c r="I36" s="266" t="inlineStr">
        <is>
          <t>C</t>
        </is>
      </c>
      <c r="J36" s="266" t="n"/>
      <c r="K36" s="266" t="inlineStr">
        <is>
          <t>家里支付能力，如果有机会也只能关单科</t>
        </is>
      </c>
      <c r="L36" s="267" t="inlineStr">
        <is>
          <t>陈南05</t>
        </is>
      </c>
      <c r="M36" s="133">
        <f>VLOOKUP(B36,'零期·UV电访分配'!B:Q,11,0)</f>
        <v/>
      </c>
      <c r="N36" s="267" t="n"/>
      <c r="O36" s="267" t="n"/>
      <c r="P36" s="267" t="n"/>
      <c r="Q36" s="268" t="inlineStr">
        <is>
          <t>刘希子</t>
        </is>
      </c>
      <c r="R36" s="133">
        <f>VLOOKUP(B36,'零期·UV电访分配'!B:Q,15,0)</f>
        <v/>
      </c>
      <c r="S36" s="268" t="n"/>
      <c r="T36" s="268" t="n"/>
      <c r="U36" s="268" t="n"/>
    </row>
    <row r="37" ht="26.25" customHeight="1" s="1053">
      <c r="A37" s="281" t="inlineStr">
        <is>
          <t>同创汇</t>
        </is>
      </c>
      <c r="B37" s="281" t="n">
        <v>4815418129</v>
      </c>
      <c r="C37" s="119" t="inlineStr">
        <is>
          <t>黎莹莹</t>
        </is>
      </c>
      <c r="D37" s="119" t="inlineStr">
        <is>
          <t>王丽</t>
        </is>
      </c>
      <c r="E37" s="258" t="inlineStr">
        <is>
          <t>B</t>
        </is>
      </c>
      <c r="F37" s="266" t="inlineStr">
        <is>
          <t>是</t>
        </is>
      </c>
      <c r="G37" s="266" t="inlineStr">
        <is>
          <t>田雨涵01</t>
        </is>
      </c>
      <c r="H37" s="133">
        <f>VLOOKUP(B37,'零期·UV电访分配'!B:Q,7,0)</f>
        <v/>
      </c>
      <c r="I37" s="266" t="inlineStr">
        <is>
          <t>C</t>
        </is>
      </c>
      <c r="J37" s="266" t="n"/>
      <c r="K37" s="266" t="inlineStr">
        <is>
          <t>家里支付能力，如果有机会也只能关单科</t>
        </is>
      </c>
      <c r="L37" s="267" t="inlineStr">
        <is>
          <t>陈南05</t>
        </is>
      </c>
      <c r="M37" s="133">
        <f>VLOOKUP(B37,'零期·UV电访分配'!B:Q,11,0)</f>
        <v/>
      </c>
      <c r="N37" s="267" t="n"/>
      <c r="O37" s="267" t="n"/>
      <c r="P37" s="267" t="n"/>
      <c r="Q37" s="268" t="inlineStr">
        <is>
          <t>刘希子</t>
        </is>
      </c>
      <c r="R37" s="133">
        <f>VLOOKUP(B37,'零期·UV电访分配'!B:Q,15,0)</f>
        <v/>
      </c>
      <c r="S37" s="268" t="n"/>
      <c r="T37" s="268" t="n"/>
      <c r="U37" s="268" t="n"/>
    </row>
    <row r="38" ht="18" customHeight="1" s="1053">
      <c r="A38" s="269" t="inlineStr">
        <is>
          <t>同创汇</t>
        </is>
      </c>
      <c r="B38" s="269" t="n">
        <v>2581075620</v>
      </c>
      <c r="C38" s="258" t="inlineStr">
        <is>
          <t>王勃昊</t>
        </is>
      </c>
      <c r="D38" s="258" t="inlineStr">
        <is>
          <t>王丽</t>
        </is>
      </c>
      <c r="E38" s="258" t="inlineStr">
        <is>
          <t>C</t>
        </is>
      </c>
      <c r="F38" s="266" t="inlineStr">
        <is>
          <t>否</t>
        </is>
      </c>
      <c r="G38" s="266" t="inlineStr">
        <is>
          <t>田雨涵01</t>
        </is>
      </c>
      <c r="H38" s="133">
        <f>VLOOKUP(B38,'零期·UV电访分配'!B:Q,7,0)</f>
        <v/>
      </c>
      <c r="I38" s="266" t="inlineStr">
        <is>
          <t>C</t>
        </is>
      </c>
      <c r="J38" s="266" t="inlineStr">
        <is>
          <t>是</t>
        </is>
      </c>
      <c r="K38" s="266" t="inlineStr">
        <is>
          <t>C，家长不在身边直接微信沟通</t>
        </is>
      </c>
      <c r="L38" s="267" t="inlineStr">
        <is>
          <t>-</t>
        </is>
      </c>
      <c r="M38" s="133">
        <f>VLOOKUP(B38,'零期·UV电访分配'!B:Q,11,0)</f>
        <v/>
      </c>
      <c r="N38" s="267" t="n"/>
      <c r="O38" s="267" t="n"/>
      <c r="P38" s="267" t="n"/>
      <c r="Q38" s="268" t="inlineStr">
        <is>
          <t>-</t>
        </is>
      </c>
      <c r="R38" s="133">
        <f>VLOOKUP(B38,'零期·UV电访分配'!B:Q,15,0)</f>
        <v/>
      </c>
      <c r="S38" s="268" t="n"/>
      <c r="T38" s="268" t="n"/>
      <c r="U38" s="268" t="n"/>
    </row>
    <row r="39" ht="18" customHeight="1" s="1053">
      <c r="A39" s="281" t="inlineStr">
        <is>
          <t>同创汇</t>
        </is>
      </c>
      <c r="B39" s="281" t="n">
        <v>4067487942</v>
      </c>
      <c r="C39" s="119" t="inlineStr">
        <is>
          <t>廖宇轩</t>
        </is>
      </c>
      <c r="D39" s="119" t="inlineStr">
        <is>
          <t>戎凯01</t>
        </is>
      </c>
      <c r="E39" s="258" t="inlineStr">
        <is>
          <t>S</t>
        </is>
      </c>
      <c r="F39" s="266" t="inlineStr">
        <is>
          <t>是</t>
        </is>
      </c>
      <c r="G39" s="266" t="inlineStr">
        <is>
          <t>陈中帅</t>
        </is>
      </c>
      <c r="H39" s="133">
        <f>VLOOKUP(B39,'零期·UV电访分配'!B:Q,7,0)</f>
        <v/>
      </c>
      <c r="I39" s="266" t="n"/>
      <c r="J39" s="266" t="n"/>
      <c r="K39" s="266" t="n"/>
      <c r="L39" s="267" t="inlineStr">
        <is>
          <t>李润</t>
        </is>
      </c>
      <c r="M39" s="133">
        <f>VLOOKUP(B39,'零期·UV电访分配'!B:Q,11,0)</f>
        <v/>
      </c>
      <c r="N39" s="267" t="n"/>
      <c r="O39" s="267" t="n"/>
      <c r="P39" s="267" t="n"/>
      <c r="Q39" s="268" t="inlineStr">
        <is>
          <t>高心怡04</t>
        </is>
      </c>
      <c r="R39" s="133">
        <f>VLOOKUP(B39,'零期·UV电访分配'!B:Q,15,0)</f>
        <v/>
      </c>
      <c r="S39" s="268" t="n"/>
      <c r="T39" s="268" t="n"/>
      <c r="U39" s="268" t="n"/>
    </row>
    <row r="40" ht="18" customHeight="1" s="1053">
      <c r="A40" s="281" t="inlineStr">
        <is>
          <t>同创汇</t>
        </is>
      </c>
      <c r="B40" s="281" t="n">
        <v>2418049678</v>
      </c>
      <c r="C40" s="119" t="inlineStr">
        <is>
          <t>伦铭聪</t>
        </is>
      </c>
      <c r="D40" s="119" t="inlineStr">
        <is>
          <t>沈思浩</t>
        </is>
      </c>
      <c r="E40" s="258" t="inlineStr">
        <is>
          <t>S</t>
        </is>
      </c>
      <c r="F40" s="266" t="inlineStr">
        <is>
          <t>是</t>
        </is>
      </c>
      <c r="G40" s="266" t="inlineStr">
        <is>
          <t>陈中帅</t>
        </is>
      </c>
      <c r="H40" s="133">
        <f>VLOOKUP(B40,'零期·UV电访分配'!B:Q,7,0)</f>
        <v/>
      </c>
      <c r="I40" s="266" t="n"/>
      <c r="J40" s="266" t="n"/>
      <c r="K40" s="266" t="n"/>
      <c r="L40" s="267" t="inlineStr">
        <is>
          <t>黄铭怡</t>
        </is>
      </c>
      <c r="M40" s="133">
        <f>VLOOKUP(B40,'零期·UV电访分配'!B:Q,11,0)</f>
        <v/>
      </c>
      <c r="N40" s="267" t="n"/>
      <c r="O40" s="267" t="n"/>
      <c r="P40" s="267" t="n"/>
      <c r="Q40" s="268" t="inlineStr">
        <is>
          <t>刘希子</t>
        </is>
      </c>
      <c r="R40" s="133">
        <f>VLOOKUP(B40,'零期·UV电访分配'!B:Q,15,0)</f>
        <v/>
      </c>
      <c r="S40" s="268" t="n"/>
      <c r="T40" s="268" t="n"/>
      <c r="U40" s="268" t="n"/>
    </row>
    <row r="41" ht="18" customHeight="1" s="1053">
      <c r="A41" s="281" t="inlineStr">
        <is>
          <t>同创汇</t>
        </is>
      </c>
      <c r="B41" s="281" t="n">
        <v>2930670841</v>
      </c>
      <c r="C41" s="119" t="inlineStr">
        <is>
          <t>梁流楷</t>
        </is>
      </c>
      <c r="D41" s="119" t="inlineStr">
        <is>
          <t>苏丽婷</t>
        </is>
      </c>
      <c r="E41" s="258" t="inlineStr">
        <is>
          <t>S</t>
        </is>
      </c>
      <c r="F41" s="266" t="inlineStr">
        <is>
          <t>是</t>
        </is>
      </c>
      <c r="G41" s="266" t="inlineStr">
        <is>
          <t>陈中帅</t>
        </is>
      </c>
      <c r="H41" s="133">
        <f>VLOOKUP(B41,'零期·UV电访分配'!B:Q,7,0)</f>
        <v/>
      </c>
      <c r="I41" s="266" t="n"/>
      <c r="J41" s="266" t="n"/>
      <c r="K41" s="266" t="n"/>
      <c r="L41" s="267" t="inlineStr">
        <is>
          <t>李润</t>
        </is>
      </c>
      <c r="M41" s="133">
        <f>VLOOKUP(B41,'零期·UV电访分配'!B:Q,11,0)</f>
        <v/>
      </c>
      <c r="N41" s="267" t="n"/>
      <c r="O41" s="267" t="n"/>
      <c r="P41" s="267" t="n"/>
      <c r="Q41" s="268" t="inlineStr">
        <is>
          <t>高心怡04</t>
        </is>
      </c>
      <c r="R41" s="133">
        <f>VLOOKUP(B41,'零期·UV电访分配'!B:Q,15,0)</f>
        <v/>
      </c>
      <c r="S41" s="268" t="n"/>
      <c r="T41" s="268" t="n"/>
      <c r="U41" s="268" t="n"/>
    </row>
    <row r="42" ht="18" customHeight="1" s="1053">
      <c r="A42" s="281" t="inlineStr">
        <is>
          <t>同创汇</t>
        </is>
      </c>
      <c r="B42" s="281" t="n">
        <v>4231131337</v>
      </c>
      <c r="C42" s="119" t="inlineStr">
        <is>
          <t>陈艺凡</t>
        </is>
      </c>
      <c r="D42" s="119" t="inlineStr">
        <is>
          <t>戎凯01</t>
        </is>
      </c>
      <c r="E42" s="258" t="inlineStr">
        <is>
          <t>S</t>
        </is>
      </c>
      <c r="F42" s="266" t="inlineStr">
        <is>
          <t>是</t>
        </is>
      </c>
      <c r="G42" s="266" t="inlineStr">
        <is>
          <t>陈中帅</t>
        </is>
      </c>
      <c r="H42" s="133">
        <f>VLOOKUP(B42,'零期·UV电访分配'!B:Q,7,0)</f>
        <v/>
      </c>
      <c r="I42" s="266" t="n"/>
      <c r="J42" s="266" t="n"/>
      <c r="K42" s="266" t="n"/>
      <c r="L42" s="267" t="inlineStr">
        <is>
          <t>黄铭怡</t>
        </is>
      </c>
      <c r="M42" s="133">
        <f>VLOOKUP(B42,'零期·UV电访分配'!B:Q,11,0)</f>
        <v/>
      </c>
      <c r="N42" s="267" t="n"/>
      <c r="O42" s="267" t="n"/>
      <c r="P42" s="267" t="n"/>
      <c r="Q42" s="268" t="inlineStr">
        <is>
          <t>刘希子</t>
        </is>
      </c>
      <c r="R42" s="133">
        <f>VLOOKUP(B42,'零期·UV电访分配'!B:Q,15,0)</f>
        <v/>
      </c>
      <c r="S42" s="268" t="n"/>
      <c r="T42" s="268" t="n"/>
      <c r="U42" s="268" t="n"/>
    </row>
    <row r="43" ht="18" customHeight="1" s="1053">
      <c r="A43" s="269" t="inlineStr">
        <is>
          <t>同创汇</t>
        </is>
      </c>
      <c r="B43" s="269" t="n">
        <v>4844205877</v>
      </c>
      <c r="C43" s="258" t="inlineStr">
        <is>
          <t>黄若桐</t>
        </is>
      </c>
      <c r="D43" s="258" t="inlineStr">
        <is>
          <t>戎凯01</t>
        </is>
      </c>
      <c r="E43" s="258" t="inlineStr">
        <is>
          <t>S</t>
        </is>
      </c>
      <c r="F43" s="266" t="inlineStr">
        <is>
          <t>是</t>
        </is>
      </c>
      <c r="G43" s="266" t="inlineStr">
        <is>
          <t>田雨涵01</t>
        </is>
      </c>
      <c r="H43" s="133">
        <f>VLOOKUP(B43,'零期·UV电访分配'!B:Q,7,0)</f>
        <v/>
      </c>
      <c r="I43" s="266" t="n"/>
      <c r="J43" s="266" t="n"/>
      <c r="K43" s="266" t="n"/>
      <c r="L43" s="267" t="inlineStr">
        <is>
          <t>陈南05</t>
        </is>
      </c>
      <c r="M43" s="133">
        <f>VLOOKUP(B43,'零期·UV电访分配'!B:Q,11,0)</f>
        <v/>
      </c>
      <c r="N43" s="267" t="n"/>
      <c r="O43" s="267" t="n"/>
      <c r="P43" s="267" t="n"/>
      <c r="Q43" s="268" t="inlineStr">
        <is>
          <t>刘希子</t>
        </is>
      </c>
      <c r="R43" s="133">
        <f>VLOOKUP(B43,'零期·UV电访分配'!B:Q,15,0)</f>
        <v/>
      </c>
      <c r="S43" s="268" t="n"/>
      <c r="T43" s="268" t="n"/>
      <c r="U43" s="268" t="n"/>
    </row>
    <row r="44" ht="18" customHeight="1" s="1053">
      <c r="A44" s="269" t="inlineStr">
        <is>
          <t>同创汇</t>
        </is>
      </c>
      <c r="B44" s="269" t="n">
        <v>2567690678</v>
      </c>
      <c r="C44" s="258" t="inlineStr">
        <is>
          <t>黄亦君</t>
        </is>
      </c>
      <c r="D44" s="258" t="inlineStr">
        <is>
          <t>戎凯01</t>
        </is>
      </c>
      <c r="E44" s="258" t="inlineStr">
        <is>
          <t>S</t>
        </is>
      </c>
      <c r="F44" s="266" t="inlineStr">
        <is>
          <t>是</t>
        </is>
      </c>
      <c r="G44" s="266" t="inlineStr">
        <is>
          <t>田雨涵01</t>
        </is>
      </c>
      <c r="H44" s="133">
        <f>VLOOKUP(B44,'零期·UV电访分配'!B:Q,7,0)</f>
        <v/>
      </c>
      <c r="I44" s="266" t="n"/>
      <c r="J44" s="266" t="n"/>
      <c r="K44" s="266" t="n"/>
      <c r="L44" s="267" t="inlineStr">
        <is>
          <t>陈南05</t>
        </is>
      </c>
      <c r="M44" s="133">
        <f>VLOOKUP(B44,'零期·UV电访分配'!B:Q,11,0)</f>
        <v/>
      </c>
      <c r="N44" s="267" t="n"/>
      <c r="O44" s="267" t="n"/>
      <c r="P44" s="267" t="n"/>
      <c r="Q44" s="268" t="inlineStr">
        <is>
          <t>刘希子</t>
        </is>
      </c>
      <c r="R44" s="133">
        <f>VLOOKUP(B44,'零期·UV电访分配'!B:Q,15,0)</f>
        <v/>
      </c>
      <c r="S44" s="268" t="n"/>
      <c r="T44" s="268" t="n"/>
      <c r="U44" s="268" t="n"/>
    </row>
    <row r="45" ht="18" customHeight="1" s="1053">
      <c r="A45" s="281" t="inlineStr">
        <is>
          <t>同创汇</t>
        </is>
      </c>
      <c r="B45" s="281" t="n">
        <v>2451166246</v>
      </c>
      <c r="C45" s="119" t="inlineStr">
        <is>
          <t>孟庆宇</t>
        </is>
      </c>
      <c r="D45" s="119" t="inlineStr">
        <is>
          <t>王丽</t>
        </is>
      </c>
      <c r="E45" s="258" t="inlineStr">
        <is>
          <t>A</t>
        </is>
      </c>
      <c r="F45" s="266" t="inlineStr">
        <is>
          <t>是</t>
        </is>
      </c>
      <c r="G45" s="266" t="inlineStr">
        <is>
          <t>陈中帅</t>
        </is>
      </c>
      <c r="H45" s="133">
        <f>VLOOKUP(B45,'零期·UV电访分配'!B:Q,7,0)</f>
        <v/>
      </c>
      <c r="I45" s="266" t="n"/>
      <c r="J45" s="266" t="n"/>
      <c r="K45" s="266" t="n"/>
      <c r="L45" s="267" t="inlineStr">
        <is>
          <t>李润</t>
        </is>
      </c>
      <c r="M45" s="133">
        <f>VLOOKUP(B45,'零期·UV电访分配'!B:Q,11,0)</f>
        <v/>
      </c>
      <c r="N45" s="267" t="n"/>
      <c r="O45" s="267" t="n"/>
      <c r="P45" s="267" t="n"/>
      <c r="Q45" s="268" t="inlineStr">
        <is>
          <t>刘希子</t>
        </is>
      </c>
      <c r="R45" s="133">
        <f>VLOOKUP(B45,'零期·UV电访分配'!B:Q,15,0)</f>
        <v/>
      </c>
      <c r="S45" s="268" t="n"/>
      <c r="T45" s="268" t="n"/>
      <c r="U45" s="268" t="n"/>
    </row>
    <row r="46" ht="18" customHeight="1" s="1053">
      <c r="A46" s="281" t="inlineStr">
        <is>
          <t>同创汇</t>
        </is>
      </c>
      <c r="B46" s="281" t="n">
        <v>2514322951</v>
      </c>
      <c r="C46" s="119" t="inlineStr">
        <is>
          <t>杨芊羽</t>
        </is>
      </c>
      <c r="D46" s="119" t="inlineStr">
        <is>
          <t>苏丽婷</t>
        </is>
      </c>
      <c r="E46" s="258" t="inlineStr">
        <is>
          <t>A</t>
        </is>
      </c>
      <c r="F46" s="266" t="inlineStr">
        <is>
          <t>是</t>
        </is>
      </c>
      <c r="G46" s="266" t="inlineStr">
        <is>
          <t>陈中帅</t>
        </is>
      </c>
      <c r="H46" s="133">
        <f>VLOOKUP(B46,'零期·UV电访分配'!B:Q,7,0)</f>
        <v/>
      </c>
      <c r="I46" s="266" t="n"/>
      <c r="J46" s="266" t="n"/>
      <c r="K46" s="266" t="n"/>
      <c r="L46" s="267" t="inlineStr">
        <is>
          <t>黄铭怡</t>
        </is>
      </c>
      <c r="M46" s="133">
        <f>VLOOKUP(B46,'零期·UV电访分配'!B:Q,11,0)</f>
        <v/>
      </c>
      <c r="N46" s="267" t="n"/>
      <c r="O46" s="267" t="n"/>
      <c r="P46" s="267" t="n"/>
      <c r="Q46" s="268" t="inlineStr">
        <is>
          <t>刘希子</t>
        </is>
      </c>
      <c r="R46" s="133">
        <f>VLOOKUP(B46,'零期·UV电访分配'!B:Q,15,0)</f>
        <v/>
      </c>
      <c r="S46" s="268" t="n"/>
      <c r="T46" s="268" t="n"/>
      <c r="U46" s="268" t="n"/>
    </row>
    <row r="47" ht="18" customHeight="1" s="1053">
      <c r="A47" s="281" t="inlineStr">
        <is>
          <t>同创汇</t>
        </is>
      </c>
      <c r="B47" s="281" t="n">
        <v>2717337139</v>
      </c>
      <c r="C47" s="119" t="inlineStr">
        <is>
          <t>李恩</t>
        </is>
      </c>
      <c r="D47" s="119" t="inlineStr">
        <is>
          <t>王丽</t>
        </is>
      </c>
      <c r="E47" s="258" t="inlineStr">
        <is>
          <t>A</t>
        </is>
      </c>
      <c r="F47" s="266" t="inlineStr">
        <is>
          <t>是</t>
        </is>
      </c>
      <c r="G47" s="266" t="inlineStr">
        <is>
          <t>陈中帅</t>
        </is>
      </c>
      <c r="H47" s="133">
        <f>VLOOKUP(B47,'零期·UV电访分配'!B:Q,7,0)</f>
        <v/>
      </c>
      <c r="I47" s="266" t="n"/>
      <c r="J47" s="266" t="n"/>
      <c r="K47" s="266" t="n"/>
      <c r="L47" s="267" t="inlineStr">
        <is>
          <t>黄铭怡</t>
        </is>
      </c>
      <c r="M47" s="133">
        <f>VLOOKUP(B47,'零期·UV电访分配'!B:Q,11,0)</f>
        <v/>
      </c>
      <c r="N47" s="267" t="n"/>
      <c r="O47" s="267" t="n"/>
      <c r="P47" s="267" t="n"/>
      <c r="Q47" s="268" t="inlineStr">
        <is>
          <t>刘希子</t>
        </is>
      </c>
      <c r="R47" s="133">
        <f>VLOOKUP(B47,'零期·UV电访分配'!B:Q,15,0)</f>
        <v/>
      </c>
      <c r="S47" s="268" t="n"/>
      <c r="T47" s="268" t="n"/>
      <c r="U47" s="268" t="n"/>
    </row>
    <row r="48" ht="18" customHeight="1" s="1053">
      <c r="A48" s="281" t="inlineStr">
        <is>
          <t>同创汇</t>
        </is>
      </c>
      <c r="B48" s="281" t="n">
        <v>4029496535</v>
      </c>
      <c r="C48" s="119" t="inlineStr">
        <is>
          <t>肖宸熙</t>
        </is>
      </c>
      <c r="D48" s="119" t="inlineStr">
        <is>
          <t>王丽</t>
        </is>
      </c>
      <c r="E48" s="258" t="inlineStr">
        <is>
          <t>A</t>
        </is>
      </c>
      <c r="F48" s="266" t="inlineStr">
        <is>
          <t>是</t>
        </is>
      </c>
      <c r="G48" s="266" t="inlineStr">
        <is>
          <t>陈中帅</t>
        </is>
      </c>
      <c r="H48" s="133">
        <f>VLOOKUP(B48,'零期·UV电访分配'!B:Q,7,0)</f>
        <v/>
      </c>
      <c r="I48" s="266" t="n"/>
      <c r="J48" s="266" t="n"/>
      <c r="K48" s="266" t="n"/>
      <c r="L48" s="267" t="inlineStr">
        <is>
          <t>黄铭怡</t>
        </is>
      </c>
      <c r="M48" s="133">
        <f>VLOOKUP(B48,'零期·UV电访分配'!B:Q,11,0)</f>
        <v/>
      </c>
      <c r="N48" s="267" t="n"/>
      <c r="O48" s="267" t="n"/>
      <c r="P48" s="267" t="n"/>
      <c r="Q48" s="268" t="inlineStr">
        <is>
          <t>刘希子</t>
        </is>
      </c>
      <c r="R48" s="133">
        <f>VLOOKUP(B48,'零期·UV电访分配'!B:Q,15,0)</f>
        <v/>
      </c>
      <c r="S48" s="268" t="n"/>
      <c r="T48" s="268" t="n"/>
      <c r="U48" s="268" t="n"/>
    </row>
    <row r="49" ht="18" customHeight="1" s="1053">
      <c r="A49" s="281" t="inlineStr">
        <is>
          <t>同创汇</t>
        </is>
      </c>
      <c r="B49" s="281" t="n">
        <v>4111183270</v>
      </c>
      <c r="C49" s="119" t="inlineStr">
        <is>
          <t>蒋沁原</t>
        </is>
      </c>
      <c r="D49" s="119" t="inlineStr">
        <is>
          <t>龙倩敏</t>
        </is>
      </c>
      <c r="E49" s="258" t="inlineStr">
        <is>
          <t>A</t>
        </is>
      </c>
      <c r="F49" s="266" t="inlineStr">
        <is>
          <t>是</t>
        </is>
      </c>
      <c r="G49" s="266" t="inlineStr">
        <is>
          <t>陈中帅</t>
        </is>
      </c>
      <c r="H49" s="133">
        <f>VLOOKUP(B49,'零期·UV电访分配'!B:Q,7,0)</f>
        <v/>
      </c>
      <c r="I49" s="266" t="n"/>
      <c r="J49" s="266" t="n"/>
      <c r="K49" s="266" t="n"/>
      <c r="L49" s="267" t="inlineStr">
        <is>
          <t>李润</t>
        </is>
      </c>
      <c r="M49" s="133">
        <f>VLOOKUP(B49,'零期·UV电访分配'!B:Q,11,0)</f>
        <v/>
      </c>
      <c r="N49" s="267" t="n"/>
      <c r="O49" s="267" t="n"/>
      <c r="P49" s="267" t="n"/>
      <c r="Q49" s="268" t="inlineStr">
        <is>
          <t>刘希子</t>
        </is>
      </c>
      <c r="R49" s="133">
        <f>VLOOKUP(B49,'零期·UV电访分配'!B:Q,15,0)</f>
        <v/>
      </c>
      <c r="S49" s="268" t="n"/>
      <c r="T49" s="268" t="n"/>
      <c r="U49" s="268" t="n"/>
    </row>
    <row r="50" ht="18" customHeight="1" s="1053">
      <c r="A50" s="281" t="inlineStr">
        <is>
          <t>同创汇</t>
        </is>
      </c>
      <c r="B50" s="281" t="n">
        <v>4815840303</v>
      </c>
      <c r="C50" s="119" t="inlineStr">
        <is>
          <t>雷斐然</t>
        </is>
      </c>
      <c r="D50" s="119" t="inlineStr">
        <is>
          <t>苏丽婷</t>
        </is>
      </c>
      <c r="E50" s="258" t="inlineStr">
        <is>
          <t>A</t>
        </is>
      </c>
      <c r="F50" s="266" t="inlineStr">
        <is>
          <t>是</t>
        </is>
      </c>
      <c r="G50" s="266" t="inlineStr">
        <is>
          <t>陈中帅</t>
        </is>
      </c>
      <c r="H50" s="133">
        <f>VLOOKUP(B50,'零期·UV电访分配'!B:Q,7,0)</f>
        <v/>
      </c>
      <c r="I50" s="266" t="n"/>
      <c r="J50" s="266" t="n"/>
      <c r="K50" s="266" t="n"/>
      <c r="L50" s="267" t="inlineStr">
        <is>
          <t>李润</t>
        </is>
      </c>
      <c r="M50" s="133">
        <f>VLOOKUP(B50,'零期·UV电访分配'!B:Q,11,0)</f>
        <v/>
      </c>
      <c r="N50" s="267" t="n"/>
      <c r="O50" s="267" t="n"/>
      <c r="P50" s="267" t="n"/>
      <c r="Q50" s="268" t="inlineStr">
        <is>
          <t>高心怡04</t>
        </is>
      </c>
      <c r="R50" s="133">
        <f>VLOOKUP(B50,'零期·UV电访分配'!B:Q,15,0)</f>
        <v/>
      </c>
      <c r="S50" s="268" t="n"/>
      <c r="T50" s="268" t="n"/>
      <c r="U50" s="268" t="n"/>
    </row>
    <row r="51" ht="18" customHeight="1" s="1053">
      <c r="A51" s="269" t="inlineStr">
        <is>
          <t>同创汇</t>
        </is>
      </c>
      <c r="B51" s="269" t="n">
        <v>4848923450</v>
      </c>
      <c r="C51" s="258" t="inlineStr">
        <is>
          <t>徐安琪</t>
        </is>
      </c>
      <c r="D51" s="258" t="inlineStr">
        <is>
          <t>龙倩敏</t>
        </is>
      </c>
      <c r="E51" s="258" t="inlineStr">
        <is>
          <t>A</t>
        </is>
      </c>
      <c r="F51" s="266" t="inlineStr">
        <is>
          <t>否</t>
        </is>
      </c>
      <c r="G51" s="266" t="inlineStr">
        <is>
          <t>陈中帅</t>
        </is>
      </c>
      <c r="H51" s="133">
        <f>VLOOKUP(B51,'零期·UV电访分配'!B:Q,7,0)</f>
        <v/>
      </c>
      <c r="I51" s="266" t="n"/>
      <c r="J51" s="266" t="n"/>
      <c r="K51" s="266" t="n"/>
      <c r="L51" s="267" t="inlineStr">
        <is>
          <t>李润</t>
        </is>
      </c>
      <c r="M51" s="133">
        <f>VLOOKUP(B51,'零期·UV电访分配'!B:Q,11,0)</f>
        <v/>
      </c>
      <c r="N51" s="267" t="n"/>
      <c r="O51" s="267" t="n"/>
      <c r="P51" s="267" t="n"/>
      <c r="Q51" s="268" t="inlineStr">
        <is>
          <t>高心怡04</t>
        </is>
      </c>
      <c r="R51" s="133">
        <f>VLOOKUP(B51,'零期·UV电访分配'!B:Q,15,0)</f>
        <v/>
      </c>
      <c r="S51" s="268" t="n"/>
      <c r="T51" s="268" t="n"/>
      <c r="U51" s="268" t="n"/>
    </row>
    <row r="52" ht="18" customHeight="1" s="1053">
      <c r="A52" s="269" t="inlineStr">
        <is>
          <t>同创汇</t>
        </is>
      </c>
      <c r="B52" s="269" t="n">
        <v>2520917908</v>
      </c>
      <c r="C52" s="258" t="inlineStr">
        <is>
          <t>王梓骏</t>
        </is>
      </c>
      <c r="D52" s="258" t="inlineStr">
        <is>
          <t>王丽</t>
        </is>
      </c>
      <c r="E52" s="258" t="inlineStr">
        <is>
          <t>A</t>
        </is>
      </c>
      <c r="F52" s="266" t="inlineStr">
        <is>
          <t>否</t>
        </is>
      </c>
      <c r="G52" s="266" t="inlineStr">
        <is>
          <t>陈中帅</t>
        </is>
      </c>
      <c r="H52" s="133">
        <f>VLOOKUP(B52,'零期·UV电访分配'!B:Q,7,0)</f>
        <v/>
      </c>
      <c r="I52" s="266" t="n"/>
      <c r="J52" s="266" t="n"/>
      <c r="K52" s="266" t="n"/>
      <c r="L52" s="267" t="inlineStr">
        <is>
          <t>李润</t>
        </is>
      </c>
      <c r="M52" s="133">
        <f>VLOOKUP(B52,'零期·UV电访分配'!B:Q,11,0)</f>
        <v/>
      </c>
      <c r="N52" s="267" t="n"/>
      <c r="O52" s="267" t="n"/>
      <c r="P52" s="267" t="n"/>
      <c r="Q52" s="268" t="inlineStr">
        <is>
          <t>高心怡04</t>
        </is>
      </c>
      <c r="R52" s="133">
        <f>VLOOKUP(B52,'零期·UV电访分配'!B:Q,15,0)</f>
        <v/>
      </c>
      <c r="S52" s="268" t="n"/>
      <c r="T52" s="268" t="n"/>
      <c r="U52" s="268" t="n"/>
    </row>
    <row r="53" ht="18" customHeight="1" s="1053">
      <c r="A53" s="269" t="inlineStr">
        <is>
          <t>同创汇</t>
        </is>
      </c>
      <c r="B53" s="269" t="n">
        <v>2531326234</v>
      </c>
      <c r="C53" s="258" t="inlineStr">
        <is>
          <t>译译</t>
        </is>
      </c>
      <c r="D53" s="258" t="inlineStr">
        <is>
          <t>王丽</t>
        </is>
      </c>
      <c r="E53" s="258" t="inlineStr">
        <is>
          <t>A</t>
        </is>
      </c>
      <c r="F53" s="266" t="inlineStr">
        <is>
          <t>否</t>
        </is>
      </c>
      <c r="G53" s="266" t="inlineStr">
        <is>
          <t>陈中帅</t>
        </is>
      </c>
      <c r="H53" s="133">
        <f>VLOOKUP(B53,'零期·UV电访分配'!B:Q,7,0)</f>
        <v/>
      </c>
      <c r="I53" s="266" t="n"/>
      <c r="J53" s="266" t="n"/>
      <c r="K53" s="266" t="n"/>
      <c r="L53" s="267" t="inlineStr">
        <is>
          <t>-</t>
        </is>
      </c>
      <c r="M53" s="133">
        <f>VLOOKUP(B53,'零期·UV电访分配'!B:Q,11,0)</f>
        <v/>
      </c>
      <c r="N53" s="267" t="n"/>
      <c r="O53" s="267" t="n"/>
      <c r="P53" s="267" t="n"/>
      <c r="Q53" s="268" t="inlineStr">
        <is>
          <t>高心怡04</t>
        </is>
      </c>
      <c r="R53" s="133">
        <f>VLOOKUP(B53,'零期·UV电访分配'!B:Q,15,0)</f>
        <v/>
      </c>
      <c r="S53" s="268" t="n"/>
      <c r="T53" s="268" t="n"/>
      <c r="U53" s="268" t="n"/>
    </row>
    <row r="54" ht="18" customHeight="1" s="1053">
      <c r="A54" s="269" t="inlineStr">
        <is>
          <t>同创汇</t>
        </is>
      </c>
      <c r="B54" s="269" t="n">
        <v>2577448328</v>
      </c>
      <c r="C54" s="258" t="inlineStr">
        <is>
          <t>尹思韬</t>
        </is>
      </c>
      <c r="D54" s="258" t="inlineStr">
        <is>
          <t>林志豪01</t>
        </is>
      </c>
      <c r="E54" s="258" t="inlineStr">
        <is>
          <t>A</t>
        </is>
      </c>
      <c r="F54" s="266" t="inlineStr">
        <is>
          <t>否</t>
        </is>
      </c>
      <c r="G54" s="266" t="inlineStr">
        <is>
          <t>陈中帅</t>
        </is>
      </c>
      <c r="H54" s="133">
        <f>VLOOKUP(B54,'零期·UV电访分配'!B:Q,7,0)</f>
        <v/>
      </c>
      <c r="I54" s="266" t="n"/>
      <c r="J54" s="266" t="n"/>
      <c r="K54" s="266" t="n"/>
      <c r="L54" s="267" t="inlineStr">
        <is>
          <t>李润</t>
        </is>
      </c>
      <c r="M54" s="133">
        <f>VLOOKUP(B54,'零期·UV电访分配'!B:Q,11,0)</f>
        <v/>
      </c>
      <c r="N54" s="267" t="n"/>
      <c r="O54" s="267" t="n"/>
      <c r="P54" s="267" t="n"/>
      <c r="Q54" s="268" t="inlineStr">
        <is>
          <t>高心怡04</t>
        </is>
      </c>
      <c r="R54" s="133">
        <f>VLOOKUP(B54,'零期·UV电访分配'!B:Q,15,0)</f>
        <v/>
      </c>
      <c r="S54" s="268" t="n"/>
      <c r="T54" s="268" t="n"/>
      <c r="U54" s="268" t="n"/>
    </row>
    <row r="55" ht="18" customHeight="1" s="1053">
      <c r="A55" s="269" t="inlineStr">
        <is>
          <t>同创汇</t>
        </is>
      </c>
      <c r="B55" s="269" t="n">
        <v>2948961140</v>
      </c>
      <c r="C55" s="258" t="inlineStr">
        <is>
          <t>果儿</t>
        </is>
      </c>
      <c r="D55" s="258" t="inlineStr">
        <is>
          <t>戎凯01</t>
        </is>
      </c>
      <c r="E55" s="258" t="inlineStr">
        <is>
          <t>A</t>
        </is>
      </c>
      <c r="F55" s="266" t="inlineStr">
        <is>
          <t>否</t>
        </is>
      </c>
      <c r="G55" s="266" t="inlineStr">
        <is>
          <t>陈中帅</t>
        </is>
      </c>
      <c r="H55" s="133">
        <f>VLOOKUP(B55,'零期·UV电访分配'!B:Q,7,0)</f>
        <v/>
      </c>
      <c r="I55" s="266" t="n"/>
      <c r="J55" s="266" t="n"/>
      <c r="K55" s="266" t="n"/>
      <c r="L55" s="267" t="inlineStr">
        <is>
          <t>黄铭怡</t>
        </is>
      </c>
      <c r="M55" s="133">
        <f>VLOOKUP(B55,'零期·UV电访分配'!B:Q,11,0)</f>
        <v/>
      </c>
      <c r="N55" s="267" t="n"/>
      <c r="O55" s="267" t="n"/>
      <c r="P55" s="267" t="n"/>
      <c r="Q55" s="268" t="inlineStr">
        <is>
          <t>刘希子</t>
        </is>
      </c>
      <c r="R55" s="133">
        <f>VLOOKUP(B55,'零期·UV电访分配'!B:Q,15,0)</f>
        <v/>
      </c>
      <c r="S55" s="268" t="n"/>
      <c r="T55" s="268" t="n"/>
      <c r="U55" s="268" t="n"/>
    </row>
    <row r="56" ht="18" customHeight="1" s="1053">
      <c r="A56" s="269" t="inlineStr">
        <is>
          <t>同创汇</t>
        </is>
      </c>
      <c r="B56" s="269" t="n">
        <v>4183729955</v>
      </c>
      <c r="C56" s="258" t="inlineStr">
        <is>
          <t>杨梓俊</t>
        </is>
      </c>
      <c r="D56" s="258" t="inlineStr">
        <is>
          <t>苏丽婷</t>
        </is>
      </c>
      <c r="E56" s="258" t="inlineStr">
        <is>
          <t>A</t>
        </is>
      </c>
      <c r="F56" s="266" t="inlineStr">
        <is>
          <t>否</t>
        </is>
      </c>
      <c r="G56" s="266" t="inlineStr">
        <is>
          <t>陈中帅</t>
        </is>
      </c>
      <c r="H56" s="133">
        <f>VLOOKUP(B56,'零期·UV电访分配'!B:Q,7,0)</f>
        <v/>
      </c>
      <c r="I56" s="266" t="n"/>
      <c r="J56" s="266" t="n"/>
      <c r="K56" s="266" t="n"/>
      <c r="L56" s="267" t="inlineStr">
        <is>
          <t>陈南05</t>
        </is>
      </c>
      <c r="M56" s="133">
        <f>VLOOKUP(B56,'零期·UV电访分配'!B:Q,11,0)</f>
        <v/>
      </c>
      <c r="N56" s="267" t="n"/>
      <c r="O56" s="267" t="n"/>
      <c r="P56" s="267" t="n"/>
      <c r="Q56" s="268" t="inlineStr">
        <is>
          <t>刘希子</t>
        </is>
      </c>
      <c r="R56" s="133">
        <f>VLOOKUP(B56,'零期·UV电访分配'!B:Q,15,0)</f>
        <v/>
      </c>
      <c r="S56" s="268" t="n"/>
      <c r="T56" s="268" t="n"/>
      <c r="U56" s="268" t="n"/>
    </row>
    <row r="57" ht="18" customHeight="1" s="1053">
      <c r="A57" s="269" t="inlineStr">
        <is>
          <t>同创汇</t>
        </is>
      </c>
      <c r="B57" s="269" t="n">
        <v>4744732648</v>
      </c>
      <c r="C57" s="258" t="inlineStr">
        <is>
          <t>李许晨</t>
        </is>
      </c>
      <c r="D57" s="258" t="inlineStr">
        <is>
          <t>苏丽婷</t>
        </is>
      </c>
      <c r="E57" s="258" t="inlineStr">
        <is>
          <t>A</t>
        </is>
      </c>
      <c r="F57" s="266" t="inlineStr">
        <is>
          <t>否</t>
        </is>
      </c>
      <c r="G57" s="266" t="inlineStr">
        <is>
          <t>陈中帅</t>
        </is>
      </c>
      <c r="H57" s="133">
        <f>VLOOKUP(B57,'零期·UV电访分配'!B:Q,7,0)</f>
        <v/>
      </c>
      <c r="I57" s="266" t="n"/>
      <c r="J57" s="266" t="n"/>
      <c r="K57" s="266" t="n"/>
      <c r="L57" s="267" t="inlineStr">
        <is>
          <t>李润</t>
        </is>
      </c>
      <c r="M57" s="133">
        <f>VLOOKUP(B57,'零期·UV电访分配'!B:Q,11,0)</f>
        <v/>
      </c>
      <c r="N57" s="267" t="n"/>
      <c r="O57" s="267" t="n"/>
      <c r="P57" s="267" t="n"/>
      <c r="Q57" s="268" t="inlineStr">
        <is>
          <t>高心怡04</t>
        </is>
      </c>
      <c r="R57" s="133">
        <f>VLOOKUP(B57,'零期·UV电访分配'!B:Q,15,0)</f>
        <v/>
      </c>
      <c r="S57" s="268" t="n"/>
      <c r="T57" s="268" t="n"/>
      <c r="U57" s="268" t="n"/>
    </row>
    <row r="58" ht="18" customHeight="1" s="1053">
      <c r="A58" s="269" t="inlineStr">
        <is>
          <t>同创汇</t>
        </is>
      </c>
      <c r="B58" s="269" t="n">
        <v>4267765050</v>
      </c>
      <c r="C58" s="258" t="inlineStr">
        <is>
          <t>叶晓静</t>
        </is>
      </c>
      <c r="D58" s="258" t="inlineStr">
        <is>
          <t>王达04</t>
        </is>
      </c>
      <c r="E58" s="258" t="inlineStr">
        <is>
          <t>B</t>
        </is>
      </c>
      <c r="F58" s="266" t="inlineStr">
        <is>
          <t>否</t>
        </is>
      </c>
      <c r="G58" s="266" t="inlineStr">
        <is>
          <t>陈中帅</t>
        </is>
      </c>
      <c r="H58" s="133">
        <f>VLOOKUP(B58,'零期·UV电访分配'!B:Q,7,0)</f>
        <v/>
      </c>
      <c r="I58" s="266" t="n"/>
      <c r="J58" s="266" t="n"/>
      <c r="K58" s="266" t="n"/>
      <c r="L58" s="267" t="inlineStr">
        <is>
          <t>李润</t>
        </is>
      </c>
      <c r="M58" s="133">
        <f>VLOOKUP(B58,'零期·UV电访分配'!B:Q,11,0)</f>
        <v/>
      </c>
      <c r="N58" s="267" t="n"/>
      <c r="O58" s="267" t="n"/>
      <c r="P58" s="267" t="n"/>
      <c r="Q58" s="268" t="inlineStr">
        <is>
          <t>高心怡04</t>
        </is>
      </c>
      <c r="R58" s="133">
        <f>VLOOKUP(B58,'零期·UV电访分配'!B:Q,15,0)</f>
        <v/>
      </c>
      <c r="S58" s="268" t="n"/>
      <c r="T58" s="268" t="n"/>
      <c r="U58" s="268" t="n"/>
    </row>
    <row r="59" ht="18" customHeight="1" s="1053">
      <c r="A59" s="258" t="inlineStr">
        <is>
          <t>同创汇</t>
        </is>
      </c>
      <c r="B59" s="258" t="n">
        <v>4823074947</v>
      </c>
      <c r="C59" s="258" t="inlineStr">
        <is>
          <t>黄泓宇</t>
        </is>
      </c>
      <c r="D59" s="258" t="inlineStr">
        <is>
          <t>王丽</t>
        </is>
      </c>
      <c r="E59" s="258" t="inlineStr">
        <is>
          <t>B</t>
        </is>
      </c>
      <c r="F59" s="266" t="inlineStr">
        <is>
          <t>是</t>
        </is>
      </c>
      <c r="G59" s="266" t="inlineStr">
        <is>
          <t>陈中帅</t>
        </is>
      </c>
      <c r="H59" s="133">
        <f>VLOOKUP(B59,'零期·UV电访分配'!B:Q,7,0)</f>
        <v/>
      </c>
      <c r="I59" s="266" t="n"/>
      <c r="J59" s="266" t="n"/>
      <c r="K59" s="266" t="n"/>
      <c r="L59" s="267" t="inlineStr">
        <is>
          <t>李润</t>
        </is>
      </c>
      <c r="M59" s="133">
        <f>VLOOKUP(B59,'零期·UV电访分配'!B:Q,11,0)</f>
        <v/>
      </c>
      <c r="N59" s="267" t="n"/>
      <c r="O59" s="267" t="n"/>
      <c r="P59" s="267" t="n"/>
      <c r="Q59" s="268" t="inlineStr">
        <is>
          <t>高心怡04</t>
        </is>
      </c>
      <c r="R59" s="133">
        <f>VLOOKUP(B59,'零期·UV电访分配'!B:Q,15,0)</f>
        <v/>
      </c>
      <c r="S59" s="268" t="n"/>
      <c r="T59" s="268" t="n"/>
      <c r="U59" s="268" t="n"/>
    </row>
    <row r="60" ht="18" customHeight="1" s="1053">
      <c r="A60" s="269" t="inlineStr">
        <is>
          <t>同创汇</t>
        </is>
      </c>
      <c r="B60" s="269" t="n">
        <v>4840530615</v>
      </c>
      <c r="C60" s="258" t="inlineStr">
        <is>
          <t>丘雅萱</t>
        </is>
      </c>
      <c r="D60" s="258" t="inlineStr">
        <is>
          <t>王丽</t>
        </is>
      </c>
      <c r="E60" s="258" t="inlineStr">
        <is>
          <t>B</t>
        </is>
      </c>
      <c r="F60" s="266" t="inlineStr">
        <is>
          <t>否</t>
        </is>
      </c>
      <c r="G60" s="266" t="inlineStr">
        <is>
          <t>陈中帅</t>
        </is>
      </c>
      <c r="H60" s="133">
        <f>VLOOKUP(B60,'零期·UV电访分配'!B:Q,7,0)</f>
        <v/>
      </c>
      <c r="I60" s="266" t="n"/>
      <c r="J60" s="266" t="n"/>
      <c r="K60" s="266" t="n"/>
      <c r="L60" s="267" t="inlineStr">
        <is>
          <t>-</t>
        </is>
      </c>
      <c r="M60" s="133">
        <f>VLOOKUP(B60,'零期·UV电访分配'!B:Q,11,0)</f>
        <v/>
      </c>
      <c r="N60" s="267" t="n"/>
      <c r="O60" s="267" t="n"/>
      <c r="P60" s="267" t="n"/>
      <c r="Q60" s="268" t="inlineStr">
        <is>
          <t>刘希子</t>
        </is>
      </c>
      <c r="R60" s="133">
        <f>VLOOKUP(B60,'零期·UV电访分配'!B:Q,15,0)</f>
        <v/>
      </c>
      <c r="S60" s="268" t="n"/>
      <c r="T60" s="268" t="n"/>
      <c r="U60" s="268" t="n"/>
    </row>
    <row r="61" ht="18" customHeight="1" s="1053">
      <c r="A61" s="281" t="inlineStr">
        <is>
          <t>同创汇</t>
        </is>
      </c>
      <c r="B61" s="281" t="n">
        <v>2721240331</v>
      </c>
      <c r="C61" s="119" t="inlineStr">
        <is>
          <t>何子越</t>
        </is>
      </c>
      <c r="D61" s="119" t="inlineStr">
        <is>
          <t>戎凯01</t>
        </is>
      </c>
      <c r="E61" s="258" t="inlineStr">
        <is>
          <t>B</t>
        </is>
      </c>
      <c r="F61" s="266" t="inlineStr">
        <is>
          <t>是</t>
        </is>
      </c>
      <c r="G61" s="266" t="inlineStr">
        <is>
          <t>陈中帅</t>
        </is>
      </c>
      <c r="H61" s="133">
        <f>VLOOKUP(B61,'零期·UV电访分配'!B:Q,7,0)</f>
        <v/>
      </c>
      <c r="I61" s="266" t="n"/>
      <c r="J61" s="266" t="n"/>
      <c r="K61" s="266" t="n"/>
      <c r="L61" s="267" t="inlineStr">
        <is>
          <t>李润</t>
        </is>
      </c>
      <c r="M61" s="133">
        <f>VLOOKUP(B61,'零期·UV电访分配'!B:Q,11,0)</f>
        <v/>
      </c>
      <c r="N61" s="267" t="n"/>
      <c r="O61" s="267" t="n"/>
      <c r="P61" s="267" t="n"/>
      <c r="Q61" s="268" t="inlineStr">
        <is>
          <t>高心怡04</t>
        </is>
      </c>
      <c r="R61" s="133">
        <f>VLOOKUP(B61,'零期·UV电访分配'!B:Q,15,0)</f>
        <v/>
      </c>
      <c r="S61" s="268" t="n"/>
      <c r="T61" s="268" t="n"/>
      <c r="U61" s="268" t="n"/>
    </row>
    <row r="62" ht="18" customFormat="1" customHeight="1" s="260">
      <c r="A62" s="261" t="inlineStr">
        <is>
          <t>同创汇</t>
        </is>
      </c>
      <c r="B62" s="261" t="n">
        <v>4050031794</v>
      </c>
      <c r="C62" s="262" t="inlineStr">
        <is>
          <t>陈秉谦</t>
        </is>
      </c>
      <c r="D62" s="262" t="inlineStr">
        <is>
          <t>戎凯01</t>
        </is>
      </c>
      <c r="E62" s="263" t="inlineStr">
        <is>
          <t>S</t>
        </is>
      </c>
      <c r="F62" s="263" t="inlineStr">
        <is>
          <t>是</t>
        </is>
      </c>
      <c r="G62" s="263" t="inlineStr">
        <is>
          <t>-</t>
        </is>
      </c>
      <c r="H62" s="263">
        <f>VLOOKUP(B62,'零期·UV电访分配'!B:Q,7,0)</f>
        <v/>
      </c>
      <c r="I62" s="263" t="n"/>
      <c r="J62" s="263" t="n"/>
      <c r="K62" s="263" t="n"/>
      <c r="L62" s="263" t="inlineStr">
        <is>
          <t>黄铭怡</t>
        </is>
      </c>
      <c r="M62" s="263">
        <f>VLOOKUP(B62,'零期·UV电访分配'!B:Q,11,0)</f>
        <v/>
      </c>
      <c r="N62" s="263" t="n"/>
      <c r="O62" s="263" t="n"/>
      <c r="P62" s="263" t="n"/>
      <c r="Q62" s="263" t="inlineStr">
        <is>
          <t>刘希子</t>
        </is>
      </c>
      <c r="R62" s="263">
        <f>VLOOKUP(B62,'零期·UV电访分配'!B:Q,15,0)</f>
        <v/>
      </c>
      <c r="S62" s="263" t="n"/>
      <c r="T62" s="263" t="n"/>
      <c r="U62" s="263" t="n"/>
      <c r="X62" s="264" t="n"/>
      <c r="Y62" s="264" t="n"/>
      <c r="Z62" s="264" t="n"/>
      <c r="AA62" s="264" t="n"/>
      <c r="AB62" s="264" t="n"/>
      <c r="AC62" s="264" t="n"/>
      <c r="AD62" s="264" t="n"/>
      <c r="AE62" s="264" t="n"/>
      <c r="AF62" s="264" t="n"/>
      <c r="AG62" s="264" t="n"/>
      <c r="AJ62" s="264" t="n"/>
      <c r="AK62" s="264" t="n"/>
      <c r="AN62" s="264" t="n"/>
      <c r="AO62" s="264" t="n"/>
      <c r="AP62" s="264" t="n"/>
      <c r="AQ62" s="264" t="n"/>
      <c r="AR62" s="264" t="n"/>
    </row>
    <row r="63" ht="18" customFormat="1" customHeight="1" s="260">
      <c r="A63" s="261" t="inlineStr">
        <is>
          <t>同创汇</t>
        </is>
      </c>
      <c r="B63" s="261" t="n">
        <v>4634094018</v>
      </c>
      <c r="C63" s="262" t="inlineStr">
        <is>
          <t>黄芷瑶</t>
        </is>
      </c>
      <c r="D63" s="262" t="inlineStr">
        <is>
          <t>戎凯01</t>
        </is>
      </c>
      <c r="E63" s="263" t="inlineStr">
        <is>
          <t>A</t>
        </is>
      </c>
      <c r="F63" s="263" t="inlineStr">
        <is>
          <t>是</t>
        </is>
      </c>
      <c r="G63" s="263" t="inlineStr">
        <is>
          <t>-</t>
        </is>
      </c>
      <c r="H63" s="263">
        <f>VLOOKUP(B63,'零期·UV电访分配'!B:Q,7,0)</f>
        <v/>
      </c>
      <c r="I63" s="263" t="n"/>
      <c r="J63" s="263" t="n"/>
      <c r="K63" s="263" t="n"/>
      <c r="L63" s="263" t="inlineStr">
        <is>
          <t>陈南05</t>
        </is>
      </c>
      <c r="M63" s="263">
        <f>VLOOKUP(B63,'零期·UV电访分配'!B:Q,11,0)</f>
        <v/>
      </c>
      <c r="N63" s="263" t="n"/>
      <c r="O63" s="263" t="n"/>
      <c r="P63" s="263" t="n"/>
      <c r="Q63" s="263" t="inlineStr">
        <is>
          <t>刘希子</t>
        </is>
      </c>
      <c r="R63" s="263">
        <f>VLOOKUP(B63,'零期·UV电访分配'!B:Q,15,0)</f>
        <v/>
      </c>
      <c r="S63" s="263" t="n"/>
      <c r="T63" s="263" t="n"/>
      <c r="U63" s="263" t="n"/>
      <c r="X63" s="264" t="n"/>
      <c r="Y63" s="264" t="n"/>
      <c r="Z63" s="264" t="n"/>
      <c r="AA63" s="264" t="n"/>
      <c r="AB63" s="264" t="n"/>
      <c r="AC63" s="264" t="n"/>
      <c r="AD63" s="264" t="n"/>
      <c r="AE63" s="264" t="n"/>
      <c r="AF63" s="264" t="n"/>
      <c r="AG63" s="264" t="n"/>
      <c r="AJ63" s="264" t="n"/>
      <c r="AK63" s="264" t="n"/>
      <c r="AN63" s="264" t="n"/>
      <c r="AO63" s="264" t="n"/>
      <c r="AP63" s="264" t="n"/>
      <c r="AQ63" s="264" t="n"/>
      <c r="AR63" s="264" t="n"/>
    </row>
    <row r="64" ht="18" customFormat="1" customHeight="1" s="260">
      <c r="A64" s="265" t="inlineStr">
        <is>
          <t>同创汇</t>
        </is>
      </c>
      <c r="B64" s="265" t="n">
        <v>4078699077</v>
      </c>
      <c r="C64" s="263" t="inlineStr">
        <is>
          <t>张善如</t>
        </is>
      </c>
      <c r="D64" s="263" t="inlineStr">
        <is>
          <t>王丽</t>
        </is>
      </c>
      <c r="E64" s="263" t="inlineStr">
        <is>
          <t>A</t>
        </is>
      </c>
      <c r="F64" s="263" t="inlineStr">
        <is>
          <t>否</t>
        </is>
      </c>
      <c r="G64" s="263" t="inlineStr">
        <is>
          <t>-</t>
        </is>
      </c>
      <c r="H64" s="263">
        <f>VLOOKUP(B64,'零期·UV电访分配'!B:Q,7,0)</f>
        <v/>
      </c>
      <c r="I64" s="263" t="n"/>
      <c r="J64" s="263" t="n"/>
      <c r="K64" s="263" t="n"/>
      <c r="L64" s="263" t="inlineStr">
        <is>
          <t>李润</t>
        </is>
      </c>
      <c r="M64" s="263">
        <f>VLOOKUP(B64,'零期·UV电访分配'!B:Q,11,0)</f>
        <v/>
      </c>
      <c r="N64" s="263" t="n"/>
      <c r="O64" s="263" t="n"/>
      <c r="P64" s="263" t="n"/>
      <c r="Q64" s="263" t="inlineStr">
        <is>
          <t>高心怡04</t>
        </is>
      </c>
      <c r="R64" s="263">
        <f>VLOOKUP(B64,'零期·UV电访分配'!B:Q,15,0)</f>
        <v/>
      </c>
      <c r="S64" s="263" t="n"/>
      <c r="T64" s="263" t="n"/>
      <c r="U64" s="263" t="n"/>
      <c r="X64" s="264" t="n"/>
      <c r="Y64" s="264" t="n"/>
      <c r="Z64" s="264" t="n"/>
      <c r="AA64" s="264" t="n"/>
      <c r="AB64" s="264" t="n"/>
      <c r="AC64" s="264" t="n"/>
      <c r="AD64" s="264" t="n"/>
      <c r="AE64" s="264" t="n"/>
      <c r="AF64" s="264" t="n"/>
      <c r="AG64" s="264" t="n"/>
      <c r="AJ64" s="264" t="n"/>
      <c r="AK64" s="264" t="n"/>
      <c r="AN64" s="264" t="n"/>
      <c r="AO64" s="264" t="n"/>
      <c r="AP64" s="264" t="n"/>
      <c r="AQ64" s="264" t="n"/>
      <c r="AR64" s="264" t="n"/>
    </row>
    <row r="65" ht="18" customFormat="1" customHeight="1" s="260">
      <c r="A65" s="265" t="inlineStr">
        <is>
          <t>同创汇</t>
        </is>
      </c>
      <c r="B65" s="265" t="n">
        <v>2472389311</v>
      </c>
      <c r="C65" s="263" t="inlineStr">
        <is>
          <t>李佳倩</t>
        </is>
      </c>
      <c r="D65" s="263" t="inlineStr">
        <is>
          <t>戎凯01</t>
        </is>
      </c>
      <c r="E65" s="263" t="inlineStr">
        <is>
          <t>A</t>
        </is>
      </c>
      <c r="F65" s="263" t="inlineStr">
        <is>
          <t>否</t>
        </is>
      </c>
      <c r="G65" s="263" t="inlineStr">
        <is>
          <t>-</t>
        </is>
      </c>
      <c r="H65" s="263">
        <f>VLOOKUP(B65,'零期·UV电访分配'!B:Q,7,0)</f>
        <v/>
      </c>
      <c r="I65" s="263" t="n"/>
      <c r="J65" s="263" t="n"/>
      <c r="K65" s="263" t="n"/>
      <c r="L65" s="263" t="inlineStr">
        <is>
          <t>李润</t>
        </is>
      </c>
      <c r="M65" s="263">
        <f>VLOOKUP(B65,'零期·UV电访分配'!B:Q,11,0)</f>
        <v/>
      </c>
      <c r="N65" s="263" t="n"/>
      <c r="O65" s="263" t="n"/>
      <c r="P65" s="263" t="n"/>
      <c r="Q65" s="263" t="inlineStr">
        <is>
          <t>-</t>
        </is>
      </c>
      <c r="R65" s="263">
        <f>VLOOKUP(B65,'零期·UV电访分配'!B:Q,15,0)</f>
        <v/>
      </c>
      <c r="S65" s="263" t="n"/>
      <c r="T65" s="263" t="n"/>
      <c r="U65" s="263" t="n"/>
      <c r="X65" s="264" t="n"/>
      <c r="Y65" s="264" t="n"/>
      <c r="Z65" s="264" t="n"/>
      <c r="AA65" s="264" t="n"/>
      <c r="AB65" s="264" t="n"/>
      <c r="AC65" s="264" t="n"/>
      <c r="AD65" s="264" t="n"/>
      <c r="AE65" s="264" t="n"/>
      <c r="AF65" s="264" t="n"/>
      <c r="AG65" s="264" t="n"/>
      <c r="AJ65" s="264" t="n"/>
      <c r="AK65" s="264" t="n"/>
      <c r="AN65" s="264" t="n"/>
      <c r="AO65" s="264" t="n"/>
      <c r="AP65" s="264" t="n"/>
      <c r="AQ65" s="264" t="n"/>
      <c r="AR65" s="264" t="n"/>
    </row>
    <row r="66" ht="18" customFormat="1" customHeight="1" s="260">
      <c r="A66" s="265" t="inlineStr">
        <is>
          <t>同创汇</t>
        </is>
      </c>
      <c r="B66" s="265" t="n">
        <v>4829563345</v>
      </c>
      <c r="C66" s="263" t="inlineStr">
        <is>
          <t>旻师</t>
        </is>
      </c>
      <c r="D66" s="263" t="inlineStr">
        <is>
          <t>王丽</t>
        </is>
      </c>
      <c r="E66" s="263" t="inlineStr">
        <is>
          <t>A</t>
        </is>
      </c>
      <c r="F66" s="263" t="inlineStr">
        <is>
          <t>否</t>
        </is>
      </c>
      <c r="G66" s="263" t="inlineStr">
        <is>
          <t>田雨涵01</t>
        </is>
      </c>
      <c r="H66" s="263" t="inlineStr">
        <is>
          <t>零期</t>
        </is>
      </c>
      <c r="I66" s="263" t="n"/>
      <c r="J66" s="263" t="n"/>
      <c r="K66" s="263" t="n"/>
      <c r="L66" s="263" t="inlineStr">
        <is>
          <t>-</t>
        </is>
      </c>
      <c r="M66" s="263">
        <f>VLOOKUP(B66,'零期·UV电访分配'!B:Q,11,0)</f>
        <v/>
      </c>
      <c r="N66" s="263" t="n"/>
      <c r="O66" s="263" t="n"/>
      <c r="P66" s="263" t="n"/>
      <c r="Q66" s="263" t="inlineStr">
        <is>
          <t>刘希子</t>
        </is>
      </c>
      <c r="R66" s="263">
        <f>VLOOKUP(B66,'零期·UV电访分配'!B:Q,15,0)</f>
        <v/>
      </c>
      <c r="S66" s="263" t="n"/>
      <c r="T66" s="263" t="n"/>
      <c r="U66" s="263" t="n"/>
      <c r="X66" s="264" t="n"/>
      <c r="Y66" s="264" t="n"/>
      <c r="Z66" s="264" t="n"/>
      <c r="AA66" s="264" t="n"/>
      <c r="AB66" s="264" t="n"/>
      <c r="AC66" s="264" t="n"/>
      <c r="AD66" s="264" t="n"/>
      <c r="AE66" s="264" t="n"/>
      <c r="AF66" s="264" t="n"/>
      <c r="AG66" s="264" t="n"/>
      <c r="AJ66" s="264" t="n"/>
      <c r="AK66" s="264" t="n"/>
      <c r="AN66" s="264" t="n"/>
      <c r="AO66" s="264" t="n"/>
      <c r="AP66" s="264" t="n"/>
      <c r="AQ66" s="264" t="n"/>
      <c r="AR66" s="264" t="n"/>
    </row>
    <row r="67" ht="18" customFormat="1" customHeight="1" s="260">
      <c r="A67" s="265" t="inlineStr">
        <is>
          <t>同创汇</t>
        </is>
      </c>
      <c r="B67" s="265" t="n">
        <v>2439586675</v>
      </c>
      <c r="C67" s="263" t="inlineStr">
        <is>
          <t>周名扬</t>
        </is>
      </c>
      <c r="D67" s="263" t="inlineStr">
        <is>
          <t>戎凯01</t>
        </is>
      </c>
      <c r="E67" s="263" t="inlineStr">
        <is>
          <t>B</t>
        </is>
      </c>
      <c r="F67" s="263" t="inlineStr">
        <is>
          <t>否</t>
        </is>
      </c>
      <c r="G67" s="263" t="inlineStr">
        <is>
          <t>-</t>
        </is>
      </c>
      <c r="H67" s="263">
        <f>VLOOKUP(B67,'零期·UV电访分配'!B:Q,7,0)</f>
        <v/>
      </c>
      <c r="I67" s="263" t="n"/>
      <c r="J67" s="263" t="n"/>
      <c r="K67" s="263" t="n"/>
      <c r="L67" s="263" t="inlineStr">
        <is>
          <t>黄铭怡</t>
        </is>
      </c>
      <c r="M67" s="263">
        <f>VLOOKUP(B67,'零期·UV电访分配'!B:Q,11,0)</f>
        <v/>
      </c>
      <c r="N67" s="263" t="n"/>
      <c r="O67" s="263" t="n"/>
      <c r="P67" s="263" t="n"/>
      <c r="Q67" s="263" t="inlineStr">
        <is>
          <t>刘希子</t>
        </is>
      </c>
      <c r="R67" s="263">
        <f>VLOOKUP(B67,'零期·UV电访分配'!B:Q,15,0)</f>
        <v/>
      </c>
      <c r="S67" s="263" t="n"/>
      <c r="T67" s="263" t="n"/>
      <c r="U67" s="263" t="n"/>
      <c r="X67" s="264" t="n"/>
      <c r="Y67" s="264" t="n"/>
      <c r="Z67" s="264" t="n"/>
      <c r="AA67" s="264" t="n"/>
      <c r="AB67" s="264" t="n"/>
      <c r="AC67" s="264" t="n"/>
      <c r="AD67" s="264" t="n"/>
      <c r="AE67" s="264" t="n"/>
      <c r="AF67" s="264" t="n"/>
      <c r="AG67" s="264" t="n"/>
      <c r="AJ67" s="264" t="n"/>
      <c r="AK67" s="264" t="n"/>
      <c r="AN67" s="264" t="n"/>
      <c r="AO67" s="264" t="n"/>
      <c r="AP67" s="264" t="n"/>
      <c r="AQ67" s="264" t="n"/>
      <c r="AR67" s="264" t="n"/>
    </row>
    <row r="68" ht="18" customFormat="1" customHeight="1" s="183">
      <c r="A68" s="228" t="inlineStr">
        <is>
          <t>新宝利</t>
        </is>
      </c>
      <c r="B68" s="228" t="n">
        <v>2305874638</v>
      </c>
      <c r="C68" s="228" t="inlineStr">
        <is>
          <t>叶湖萍</t>
        </is>
      </c>
      <c r="D68" s="228"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8" t="inlineStr">
        <is>
          <t>新宝利</t>
        </is>
      </c>
      <c r="B69" s="228" t="n">
        <v>2519098261</v>
      </c>
      <c r="C69" s="228" t="inlineStr">
        <is>
          <t>钟博睿</t>
        </is>
      </c>
      <c r="D69" s="228"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8" t="inlineStr">
        <is>
          <t>新宝利</t>
        </is>
      </c>
      <c r="B70" s="228" t="n">
        <v>2577771687</v>
      </c>
      <c r="C70" s="228" t="inlineStr">
        <is>
          <t>卿子蕙</t>
        </is>
      </c>
      <c r="D70" s="228"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8" t="inlineStr">
        <is>
          <t>新宝利</t>
        </is>
      </c>
      <c r="B71" s="228" t="n">
        <v>2748777690</v>
      </c>
      <c r="C71" s="228" t="inlineStr">
        <is>
          <t>傅梓轩</t>
        </is>
      </c>
      <c r="D71" s="228"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8" t="inlineStr">
        <is>
          <t>关浩言</t>
        </is>
      </c>
      <c r="D72" s="228"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8" t="inlineStr">
        <is>
          <t>曹腾烽</t>
        </is>
      </c>
      <c r="D73" s="228"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8" t="inlineStr">
        <is>
          <t>李玥宣</t>
        </is>
      </c>
      <c r="D74" s="228"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83">
      <c r="A75" s="223" t="inlineStr">
        <is>
          <t>新宝利</t>
        </is>
      </c>
      <c r="B75" s="136" t="n">
        <v>4635810658</v>
      </c>
      <c r="C75" s="228" t="inlineStr">
        <is>
          <t>陈衍信</t>
        </is>
      </c>
      <c r="D75" s="228" t="inlineStr">
        <is>
          <t>王达04</t>
        </is>
      </c>
      <c r="E75" s="133" t="inlineStr">
        <is>
          <t>B</t>
        </is>
      </c>
      <c r="F75" s="133" t="inlineStr">
        <is>
          <t>是</t>
        </is>
      </c>
      <c r="G75" s="133" t="inlineStr">
        <is>
          <t>何咏04</t>
        </is>
      </c>
      <c r="H75" s="133">
        <f>VLOOKUP(B75,'零期·UV电访分配'!B:Q,7,0)</f>
        <v/>
      </c>
      <c r="I75" s="133" t="inlineStr">
        <is>
          <t>已续报</t>
        </is>
      </c>
      <c r="J75" s="133" t="n"/>
      <c r="K75" s="133" t="n"/>
      <c r="L75" s="133" t="inlineStr">
        <is>
          <t>黄铭怡</t>
        </is>
      </c>
      <c r="M75" s="133">
        <f>VLOOKUP(B75,'零期·UV电访分配'!B:Q,11,0)</f>
        <v/>
      </c>
      <c r="N75" s="133" t="inlineStr">
        <is>
          <t>已续报</t>
        </is>
      </c>
      <c r="O75" s="133" t="n"/>
      <c r="P75" s="133" t="n"/>
      <c r="Q75" s="133" t="inlineStr">
        <is>
          <t>肖锐03</t>
        </is>
      </c>
      <c r="R75" s="133">
        <f>VLOOKUP(B75,'零期·UV电访分配'!B:Q,15,0)</f>
        <v/>
      </c>
      <c r="S75" s="133" t="inlineStr">
        <is>
          <t>已续报</t>
        </is>
      </c>
      <c r="T75" s="133" t="n"/>
      <c r="U75" s="133" t="n"/>
      <c r="X75" s="195" t="n"/>
      <c r="Y75" s="195" t="n"/>
      <c r="Z75" s="195" t="n"/>
      <c r="AA75" s="195" t="n"/>
      <c r="AB75" s="195" t="n"/>
      <c r="AC75" s="195" t="n"/>
      <c r="AD75" s="195" t="n"/>
      <c r="AE75" s="195" t="n"/>
      <c r="AF75" s="195" t="n"/>
      <c r="AG75" s="195" t="n"/>
      <c r="AJ75" s="195" t="n"/>
      <c r="AK75" s="195" t="n"/>
      <c r="AN75" s="195" t="n"/>
      <c r="AO75" s="195" t="n"/>
      <c r="AP75" s="195" t="n"/>
      <c r="AQ75" s="195" t="n"/>
      <c r="AR75" s="195" t="n"/>
    </row>
    <row r="76" ht="18" customFormat="1" customHeight="1" s="196">
      <c r="A76" s="248" t="inlineStr">
        <is>
          <t>新宝利</t>
        </is>
      </c>
      <c r="B76" s="248" t="n">
        <v>2271507248</v>
      </c>
      <c r="C76" s="246" t="inlineStr">
        <is>
          <t>沈锦涵</t>
        </is>
      </c>
      <c r="D76" s="246" t="inlineStr">
        <is>
          <t>王达04</t>
        </is>
      </c>
      <c r="E76" s="247" t="inlineStr">
        <is>
          <t>B</t>
        </is>
      </c>
      <c r="F76" s="247" t="inlineStr">
        <is>
          <t>是</t>
        </is>
      </c>
      <c r="G76" s="247" t="inlineStr">
        <is>
          <t>陈中帅</t>
        </is>
      </c>
      <c r="H76" s="133">
        <f>VLOOKUP(B76,'零期·UV电访分配'!B:Q,7,0)</f>
        <v/>
      </c>
      <c r="I76" s="247" t="inlineStr">
        <is>
          <t>已续报</t>
        </is>
      </c>
      <c r="J76" s="247" t="n"/>
      <c r="K76" s="247" t="n"/>
      <c r="L76" s="247" t="inlineStr">
        <is>
          <t>李润</t>
        </is>
      </c>
      <c r="M76" s="133">
        <f>VLOOKUP(B76,'零期·UV电访分配'!B:Q,11,0)</f>
        <v/>
      </c>
      <c r="N76" s="247" t="n"/>
      <c r="O76" s="247" t="n"/>
      <c r="P76" s="247" t="n"/>
      <c r="Q76" s="247" t="inlineStr">
        <is>
          <t>肖锐03</t>
        </is>
      </c>
      <c r="R76" s="133">
        <f>VLOOKUP(B76,'零期·UV电访分配'!B:Q,15,0)</f>
        <v/>
      </c>
      <c r="S76" s="247" t="inlineStr">
        <is>
          <t>已续报</t>
        </is>
      </c>
      <c r="T76" s="247" t="n"/>
      <c r="U76" s="247"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48" t="inlineStr">
        <is>
          <t>新宝利</t>
        </is>
      </c>
      <c r="B77" s="248" t="n">
        <v>2716091722</v>
      </c>
      <c r="C77" s="246" t="inlineStr">
        <is>
          <t>唐羽芯</t>
        </is>
      </c>
      <c r="D77" s="246" t="inlineStr">
        <is>
          <t>林志豪01</t>
        </is>
      </c>
      <c r="E77" s="247" t="inlineStr">
        <is>
          <t>A</t>
        </is>
      </c>
      <c r="F77" s="247" t="inlineStr">
        <is>
          <t>是</t>
        </is>
      </c>
      <c r="G77" s="247" t="inlineStr">
        <is>
          <t>田雨涵01</t>
        </is>
      </c>
      <c r="H77" s="133">
        <f>VLOOKUP(B77,'零期·UV电访分配'!B:Q,7,0)</f>
        <v/>
      </c>
      <c r="I77" s="247" t="inlineStr">
        <is>
          <t>B</t>
        </is>
      </c>
      <c r="J77" s="247" t="n"/>
      <c r="K77" s="247" t="n"/>
      <c r="L77" s="247" t="inlineStr">
        <is>
          <t>李润</t>
        </is>
      </c>
      <c r="M77" s="133">
        <f>VLOOKUP(B77,'零期·UV电访分配'!B:Q,11,0)</f>
        <v/>
      </c>
      <c r="N77" s="247" t="n"/>
      <c r="O77" s="247" t="n"/>
      <c r="P77" s="247" t="n"/>
      <c r="Q77" s="247" t="inlineStr">
        <is>
          <t>肖锐03</t>
        </is>
      </c>
      <c r="R77" s="133">
        <f>VLOOKUP(B77,'零期·UV电访分配'!B:Q,15,0)</f>
        <v/>
      </c>
      <c r="S77" s="247" t="inlineStr">
        <is>
          <t>已续报</t>
        </is>
      </c>
      <c r="T77" s="247" t="n"/>
      <c r="U77" s="247"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48" t="inlineStr">
        <is>
          <t>新宝利</t>
        </is>
      </c>
      <c r="B78" s="248" t="n">
        <v>2207027530</v>
      </c>
      <c r="C78" s="246" t="inlineStr">
        <is>
          <t>戴圆圆</t>
        </is>
      </c>
      <c r="D78" s="246" t="inlineStr">
        <is>
          <t>杨林33</t>
        </is>
      </c>
      <c r="E78" s="247" t="inlineStr">
        <is>
          <t>A</t>
        </is>
      </c>
      <c r="F78" s="247" t="inlineStr">
        <is>
          <t>是</t>
        </is>
      </c>
      <c r="G78" s="247" t="inlineStr">
        <is>
          <t>田雨涵01</t>
        </is>
      </c>
      <c r="H78" s="133">
        <f>VLOOKUP(B78,'零期·UV电访分配'!B:Q,7,0)</f>
        <v/>
      </c>
      <c r="I78" s="247" t="inlineStr">
        <is>
          <t>已续报</t>
        </is>
      </c>
      <c r="J78" s="247" t="n"/>
      <c r="K78" s="247" t="n"/>
      <c r="L78" s="247" t="inlineStr">
        <is>
          <t>李润</t>
        </is>
      </c>
      <c r="M78" s="133">
        <f>VLOOKUP(B78,'零期·UV电访分配'!B:Q,11,0)</f>
        <v/>
      </c>
      <c r="N78" s="247" t="n"/>
      <c r="O78" s="247" t="n"/>
      <c r="P78" s="247" t="n"/>
      <c r="Q78" s="247" t="inlineStr">
        <is>
          <t>肖锐03</t>
        </is>
      </c>
      <c r="R78" s="133">
        <f>VLOOKUP(B78,'零期·UV电访分配'!B:Q,15,0)</f>
        <v/>
      </c>
      <c r="S78" s="247" t="inlineStr">
        <is>
          <t>C</t>
        </is>
      </c>
      <c r="T78" s="247" t="n"/>
      <c r="U78" s="247"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48" t="inlineStr">
        <is>
          <t>新宝利</t>
        </is>
      </c>
      <c r="B79" s="248" t="n">
        <v>2466589641</v>
      </c>
      <c r="C79" s="246" t="inlineStr">
        <is>
          <t>赖奕鹏</t>
        </is>
      </c>
      <c r="D79" s="246" t="inlineStr">
        <is>
          <t>林志豪01</t>
        </is>
      </c>
      <c r="E79" s="247" t="inlineStr">
        <is>
          <t>A</t>
        </is>
      </c>
      <c r="F79" s="247" t="inlineStr">
        <is>
          <t>是</t>
        </is>
      </c>
      <c r="G79" s="247" t="inlineStr">
        <is>
          <t>田雨涵01</t>
        </is>
      </c>
      <c r="H79" s="133">
        <f>VLOOKUP(B79,'零期·UV电访分配'!B:Q,7,0)</f>
        <v/>
      </c>
      <c r="I79" s="247" t="inlineStr">
        <is>
          <t>已续报</t>
        </is>
      </c>
      <c r="J79" s="247" t="n"/>
      <c r="K79" s="247" t="n"/>
      <c r="L79" s="247" t="inlineStr">
        <is>
          <t>-</t>
        </is>
      </c>
      <c r="M79" s="133">
        <f>VLOOKUP(B79,'零期·UV电访分配'!B:Q,11,0)</f>
        <v/>
      </c>
      <c r="N79" s="247" t="n"/>
      <c r="O79" s="247" t="n"/>
      <c r="P79" s="247" t="n"/>
      <c r="Q79" s="247" t="inlineStr">
        <is>
          <t>肖锐03</t>
        </is>
      </c>
      <c r="R79" s="133">
        <f>VLOOKUP(B79,'零期·UV电访分配'!B:Q,15,0)</f>
        <v/>
      </c>
      <c r="S79" s="247" t="inlineStr">
        <is>
          <t>B</t>
        </is>
      </c>
      <c r="T79" s="247" t="n"/>
      <c r="U79" s="247"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26.25" customFormat="1" customHeight="1" s="196">
      <c r="A80" s="248" t="inlineStr">
        <is>
          <t>新宝利</t>
        </is>
      </c>
      <c r="B80" s="248" t="n">
        <v>2499809313</v>
      </c>
      <c r="C80" s="246" t="inlineStr">
        <is>
          <t>李尔然</t>
        </is>
      </c>
      <c r="D80" s="246" t="inlineStr">
        <is>
          <t>林志豪01</t>
        </is>
      </c>
      <c r="E80" s="247" t="inlineStr">
        <is>
          <t>B</t>
        </is>
      </c>
      <c r="F80" s="247" t="inlineStr">
        <is>
          <t>是</t>
        </is>
      </c>
      <c r="G80" s="247" t="inlineStr">
        <is>
          <t>陈中帅</t>
        </is>
      </c>
      <c r="H80" s="133">
        <f>VLOOKUP(B80,'零期·UV电访分配'!B:Q,7,0)</f>
        <v/>
      </c>
      <c r="I80" s="247" t="inlineStr">
        <is>
          <t>已续报</t>
        </is>
      </c>
      <c r="J80" s="247" t="n"/>
      <c r="K80" s="247" t="n"/>
      <c r="L80" s="247" t="inlineStr">
        <is>
          <t>李润</t>
        </is>
      </c>
      <c r="M80" s="133">
        <f>VLOOKUP(B80,'零期·UV电访分配'!B:Q,11,0)</f>
        <v/>
      </c>
      <c r="N80" s="247" t="n"/>
      <c r="O80" s="247" t="n"/>
      <c r="P80" s="247" t="n"/>
      <c r="Q80" s="247" t="inlineStr">
        <is>
          <t>肖锐03</t>
        </is>
      </c>
      <c r="R80" s="133">
        <f>VLOOKUP(B80,'零期·UV电访分配'!B:Q,15,0)</f>
        <v/>
      </c>
      <c r="S80" s="247" t="inlineStr">
        <is>
          <t>B</t>
        </is>
      </c>
      <c r="T80" s="247" t="inlineStr">
        <is>
          <t>是</t>
        </is>
      </c>
      <c r="U80" s="247" t="inlineStr">
        <is>
          <t>英语过了PET，暂时不报</t>
        </is>
      </c>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48" t="inlineStr">
        <is>
          <t>新宝利</t>
        </is>
      </c>
      <c r="B81" s="248" t="n">
        <v>4534492760</v>
      </c>
      <c r="C81" s="246" t="inlineStr">
        <is>
          <t>叶梓琳</t>
        </is>
      </c>
      <c r="D81" s="246" t="inlineStr">
        <is>
          <t>林志豪01</t>
        </is>
      </c>
      <c r="E81" s="247" t="inlineStr">
        <is>
          <t>B</t>
        </is>
      </c>
      <c r="F81" s="247" t="inlineStr">
        <is>
          <t>否</t>
        </is>
      </c>
      <c r="G81" s="247" t="inlineStr">
        <is>
          <t>陈中帅</t>
        </is>
      </c>
      <c r="H81" s="133">
        <f>VLOOKUP(B81,'零期·UV电访分配'!B:Q,7,0)</f>
        <v/>
      </c>
      <c r="I81" s="247" t="inlineStr">
        <is>
          <t>已续报</t>
        </is>
      </c>
      <c r="J81" s="247" t="n"/>
      <c r="K81" s="247" t="n"/>
      <c r="L81" s="247" t="inlineStr">
        <is>
          <t>黄铭怡</t>
        </is>
      </c>
      <c r="M81" s="133">
        <f>VLOOKUP(B81,'零期·UV电访分配'!B:Q,11,0)</f>
        <v/>
      </c>
      <c r="N81" s="247" t="n"/>
      <c r="O81" s="247" t="inlineStr">
        <is>
          <t>是</t>
        </is>
      </c>
      <c r="P81" s="247" t="inlineStr">
        <is>
          <t>未回复</t>
        </is>
      </c>
      <c r="Q81" s="247" t="inlineStr">
        <is>
          <t>肖锐03</t>
        </is>
      </c>
      <c r="R81" s="133">
        <f>VLOOKUP(B81,'零期·UV电访分配'!B:Q,15,0)</f>
        <v/>
      </c>
      <c r="S81" s="247" t="inlineStr">
        <is>
          <t>B</t>
        </is>
      </c>
      <c r="T81" s="247" t="inlineStr">
        <is>
          <t>是</t>
        </is>
      </c>
      <c r="U81" s="247"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26.25" customFormat="1" customHeight="1" s="196">
      <c r="A82" s="248" t="inlineStr">
        <is>
          <t>新宝利</t>
        </is>
      </c>
      <c r="B82" s="248" t="n">
        <v>2425704855</v>
      </c>
      <c r="C82" s="246" t="inlineStr">
        <is>
          <t>马佳音</t>
        </is>
      </c>
      <c r="D82" s="246" t="inlineStr">
        <is>
          <t>王达04</t>
        </is>
      </c>
      <c r="E82" s="247" t="inlineStr">
        <is>
          <t>B</t>
        </is>
      </c>
      <c r="F82" s="247" t="inlineStr">
        <is>
          <t>是</t>
        </is>
      </c>
      <c r="G82" s="247" t="inlineStr">
        <is>
          <t>陈中帅</t>
        </is>
      </c>
      <c r="H82" s="133">
        <f>VLOOKUP(B82,'零期·UV电访分配'!B:Q,7,0)</f>
        <v/>
      </c>
      <c r="I82" s="247" t="inlineStr">
        <is>
          <t>已续报</t>
        </is>
      </c>
      <c r="J82" s="247" t="n"/>
      <c r="K82" s="247" t="n"/>
      <c r="L82" s="247" t="inlineStr">
        <is>
          <t>黄铭怡</t>
        </is>
      </c>
      <c r="M82" s="133">
        <f>VLOOKUP(B82,'零期·UV电访分配'!B:Q,11,0)</f>
        <v/>
      </c>
      <c r="N82" s="247" t="n"/>
      <c r="O82" s="247" t="n"/>
      <c r="P82" s="247" t="n"/>
      <c r="Q82" s="247" t="inlineStr">
        <is>
          <t>肖锐03</t>
        </is>
      </c>
      <c r="R82" s="133">
        <f>VLOOKUP(B82,'零期·UV电访分配'!B:Q,15,0)</f>
        <v/>
      </c>
      <c r="S82" s="247" t="inlineStr">
        <is>
          <t>B</t>
        </is>
      </c>
      <c r="T82" s="247" t="inlineStr">
        <is>
          <t>是</t>
        </is>
      </c>
      <c r="U82" s="247" t="inlineStr">
        <is>
          <t>姐姐初三，重心在姐姐身上</t>
        </is>
      </c>
      <c r="X82" s="200" t="n"/>
      <c r="Y82" s="200" t="n"/>
      <c r="Z82" s="200" t="n"/>
      <c r="AA82" s="200" t="n"/>
      <c r="AB82" s="200" t="n"/>
      <c r="AC82" s="200" t="n"/>
      <c r="AD82" s="200" t="n"/>
      <c r="AE82" s="200" t="n"/>
      <c r="AF82" s="200" t="n"/>
      <c r="AG82" s="200" t="n"/>
      <c r="AJ82" s="200" t="n"/>
      <c r="AK82" s="200" t="n"/>
      <c r="AN82" s="200" t="n"/>
      <c r="AO82" s="200" t="n"/>
      <c r="AP82" s="200" t="n"/>
      <c r="AQ82" s="200" t="n"/>
      <c r="AR82" s="200" t="n"/>
    </row>
    <row r="83" ht="18" customHeight="1" s="1053">
      <c r="A83" s="281" t="inlineStr">
        <is>
          <t>新宝利</t>
        </is>
      </c>
      <c r="B83" s="281" t="n">
        <v>2752351775</v>
      </c>
      <c r="C83" s="119" t="inlineStr">
        <is>
          <t>徐浩轩</t>
        </is>
      </c>
      <c r="D83" s="119" t="inlineStr">
        <is>
          <t>林志豪01</t>
        </is>
      </c>
      <c r="E83" s="258" t="inlineStr">
        <is>
          <t>S</t>
        </is>
      </c>
      <c r="F83" s="266" t="inlineStr">
        <is>
          <t>是</t>
        </is>
      </c>
      <c r="G83" s="266" t="inlineStr">
        <is>
          <t>田雨涵01</t>
        </is>
      </c>
      <c r="H83" s="133">
        <f>VLOOKUP(B83,'零期·UV电访分配'!B:Q,7,0)</f>
        <v/>
      </c>
      <c r="I83" s="266" t="inlineStr">
        <is>
          <t>A</t>
        </is>
      </c>
      <c r="J83" s="266" t="n"/>
      <c r="K83" s="266" t="inlineStr">
        <is>
          <t>家长就是价格问题，先不追</t>
        </is>
      </c>
      <c r="L83" s="267" t="inlineStr">
        <is>
          <t>-</t>
        </is>
      </c>
      <c r="M83" s="133">
        <f>VLOOKUP(B83,'零期·UV电访分配'!B:Q,11,0)</f>
        <v/>
      </c>
      <c r="N83" s="267" t="n"/>
      <c r="O83" s="267" t="n"/>
      <c r="P83" s="267" t="n"/>
      <c r="Q83" s="268" t="inlineStr">
        <is>
          <t>肖锐03</t>
        </is>
      </c>
      <c r="R83" s="133">
        <f>VLOOKUP(B83,'零期·UV电访分配'!B:Q,15,0)</f>
        <v/>
      </c>
      <c r="S83" s="268" t="inlineStr">
        <is>
          <t>A</t>
        </is>
      </c>
      <c r="T83" s="268" t="n"/>
      <c r="U83" s="268" t="n"/>
    </row>
    <row r="84" ht="18" customHeight="1" s="1053">
      <c r="A84" s="281" t="inlineStr">
        <is>
          <t>新宝利</t>
        </is>
      </c>
      <c r="B84" s="281" t="n">
        <v>4827744612</v>
      </c>
      <c r="C84" s="119" t="inlineStr">
        <is>
          <t>刘芯妍</t>
        </is>
      </c>
      <c r="D84" s="258" t="inlineStr">
        <is>
          <t>沈思浩</t>
        </is>
      </c>
      <c r="E84" s="258" t="inlineStr">
        <is>
          <t>S</t>
        </is>
      </c>
      <c r="F84" s="266" t="inlineStr">
        <is>
          <t>否</t>
        </is>
      </c>
      <c r="G84" s="266" t="inlineStr">
        <is>
          <t>田雨涵01</t>
        </is>
      </c>
      <c r="H84" s="133">
        <f>VLOOKUP(B84,'零期·UV电访分配'!B:Q,7,0)</f>
        <v/>
      </c>
      <c r="I84" s="266" t="inlineStr">
        <is>
          <t>B</t>
        </is>
      </c>
      <c r="J84" s="266" t="inlineStr">
        <is>
          <t>是</t>
        </is>
      </c>
      <c r="K84" s="172" t="inlineStr">
        <is>
          <t>电话不接，微信反馈了</t>
        </is>
      </c>
      <c r="L84" s="267" t="inlineStr">
        <is>
          <t>李润</t>
        </is>
      </c>
      <c r="M84" s="133">
        <f>VLOOKUP(B84,'零期·UV电访分配'!B:Q,11,0)</f>
        <v/>
      </c>
      <c r="N84" s="267" t="n"/>
      <c r="O84" s="267" t="n"/>
      <c r="P84" s="267" t="n"/>
      <c r="Q84" s="268" t="inlineStr">
        <is>
          <t>肖锐03</t>
        </is>
      </c>
      <c r="R84" s="133">
        <f>VLOOKUP(B84,'零期·UV电访分配'!B:Q,15,0)</f>
        <v/>
      </c>
      <c r="S84" s="268" t="n"/>
      <c r="T84" s="268" t="n"/>
      <c r="U84" s="268" t="n"/>
    </row>
    <row r="85" ht="26.25" customHeight="1" s="1053">
      <c r="A85" s="269" t="inlineStr">
        <is>
          <t>新宝利</t>
        </is>
      </c>
      <c r="B85" s="269" t="n">
        <v>4828248928</v>
      </c>
      <c r="C85" s="258" t="inlineStr">
        <is>
          <t>朱哲辰</t>
        </is>
      </c>
      <c r="D85" s="258" t="inlineStr">
        <is>
          <t>王达04</t>
        </is>
      </c>
      <c r="E85" s="258" t="inlineStr">
        <is>
          <t>A</t>
        </is>
      </c>
      <c r="F85" s="266" t="inlineStr">
        <is>
          <t>否</t>
        </is>
      </c>
      <c r="G85" s="266" t="inlineStr">
        <is>
          <t>田雨涵01</t>
        </is>
      </c>
      <c r="H85" s="133">
        <f>VLOOKUP(B85,'零期·UV电访分配'!B:Q,7,0)</f>
        <v/>
      </c>
      <c r="I85" s="266" t="inlineStr">
        <is>
          <t>B</t>
        </is>
      </c>
      <c r="J85" s="266" t="inlineStr">
        <is>
          <t>是</t>
        </is>
      </c>
      <c r="K85" s="172" t="inlineStr">
        <is>
          <t>微信留言等回复再更新</t>
        </is>
      </c>
      <c r="L85" s="267" t="inlineStr">
        <is>
          <t>李润</t>
        </is>
      </c>
      <c r="M85" s="133">
        <f>VLOOKUP(B85,'零期·UV电访分配'!B:Q,11,0)</f>
        <v/>
      </c>
      <c r="N85" s="267" t="n"/>
      <c r="O85" s="267" t="n"/>
      <c r="P85" s="267" t="n"/>
      <c r="Q85" s="268" t="inlineStr">
        <is>
          <t>肖锐03</t>
        </is>
      </c>
      <c r="R85" s="133">
        <f>VLOOKUP(B85,'零期·UV电访分配'!B:Q,15,0)</f>
        <v/>
      </c>
      <c r="S85" s="268" t="n"/>
      <c r="T85" s="268" t="n"/>
      <c r="U85" s="268" t="n"/>
    </row>
    <row r="86" ht="39" customHeight="1" s="1053">
      <c r="A86" s="119" t="inlineStr">
        <is>
          <t>新宝利</t>
        </is>
      </c>
      <c r="B86" s="119" t="n">
        <v>4840889658</v>
      </c>
      <c r="C86" s="119" t="inlineStr">
        <is>
          <t>范熙宗</t>
        </is>
      </c>
      <c r="D86" s="258" t="inlineStr">
        <is>
          <t>杨林33</t>
        </is>
      </c>
      <c r="E86" s="258" t="inlineStr">
        <is>
          <t>A</t>
        </is>
      </c>
      <c r="F86" s="266" t="inlineStr">
        <is>
          <t>否</t>
        </is>
      </c>
      <c r="G86" s="266" t="inlineStr">
        <is>
          <t>田雨涵01</t>
        </is>
      </c>
      <c r="H86" s="133">
        <f>VLOOKUP(B86,'零期·UV电访分配'!B:Q,7,0)</f>
        <v/>
      </c>
      <c r="I86" s="266" t="inlineStr">
        <is>
          <t>B</t>
        </is>
      </c>
      <c r="J86" s="266" t="inlineStr">
        <is>
          <t>是</t>
        </is>
      </c>
      <c r="K86" s="266" t="inlineStr">
        <is>
          <t>带两个孩子经济压力有点大，孩子学的也不太好，家长表示最后一节课再看情况，危机已经告知，自然续费吧</t>
        </is>
      </c>
      <c r="L86" s="267" t="inlineStr">
        <is>
          <t>李润</t>
        </is>
      </c>
      <c r="M86" s="133">
        <f>VLOOKUP(B86,'零期·UV电访分配'!B:Q,11,0)</f>
        <v/>
      </c>
      <c r="N86" s="267" t="n"/>
      <c r="O86" s="267" t="n"/>
      <c r="P86" s="267" t="n"/>
      <c r="Q86" s="268" t="inlineStr">
        <is>
          <t>肖锐03</t>
        </is>
      </c>
      <c r="R86" s="133">
        <f>VLOOKUP(B86,'零期·UV电访分配'!B:Q,15,0)</f>
        <v/>
      </c>
      <c r="S86" s="268" t="n"/>
      <c r="T86" s="268" t="n"/>
      <c r="U86" s="268" t="n"/>
    </row>
    <row r="87" ht="26.25" customHeight="1" s="1053">
      <c r="A87" s="366" t="inlineStr">
        <is>
          <t>新宝利</t>
        </is>
      </c>
      <c r="B87" s="366" t="n">
        <v>4777253883</v>
      </c>
      <c r="C87" s="119" t="inlineStr">
        <is>
          <t>李仪璐</t>
        </is>
      </c>
      <c r="D87" s="258" t="inlineStr">
        <is>
          <t>林志豪01</t>
        </is>
      </c>
      <c r="E87" s="258" t="inlineStr">
        <is>
          <t>A</t>
        </is>
      </c>
      <c r="F87" s="266" t="inlineStr">
        <is>
          <t>否</t>
        </is>
      </c>
      <c r="G87" s="266" t="inlineStr">
        <is>
          <t>田雨涵01</t>
        </is>
      </c>
      <c r="H87" s="133">
        <f>VLOOKUP(B87,'零期·UV电访分配'!B:Q,7,0)</f>
        <v/>
      </c>
      <c r="I87" s="266" t="inlineStr">
        <is>
          <t>B</t>
        </is>
      </c>
      <c r="J87" s="266" t="inlineStr">
        <is>
          <t>是</t>
        </is>
      </c>
      <c r="K87" s="266" t="inlineStr">
        <is>
          <t>太晚打不了电话了，微信留言等回复再更新</t>
        </is>
      </c>
      <c r="L87" s="267" t="inlineStr">
        <is>
          <t>李润</t>
        </is>
      </c>
      <c r="M87" s="133">
        <f>VLOOKUP(B87,'零期·UV电访分配'!B:Q,11,0)</f>
        <v/>
      </c>
      <c r="N87" s="267" t="n"/>
      <c r="O87" s="267" t="n"/>
      <c r="P87" s="267" t="n"/>
      <c r="Q87" s="268" t="inlineStr">
        <is>
          <t>肖锐03</t>
        </is>
      </c>
      <c r="R87" s="133">
        <f>VLOOKUP(B87,'零期·UV电访分配'!B:Q,15,0)</f>
        <v/>
      </c>
      <c r="S87" s="268" t="inlineStr">
        <is>
          <t>B</t>
        </is>
      </c>
      <c r="T87" s="268" t="n"/>
      <c r="U87" s="268" t="n"/>
    </row>
    <row r="88" ht="26.25" customHeight="1" s="1053">
      <c r="A88" s="281" t="inlineStr">
        <is>
          <t>新宝利</t>
        </is>
      </c>
      <c r="B88" s="281" t="n">
        <v>4607796539</v>
      </c>
      <c r="C88" s="119" t="inlineStr">
        <is>
          <t>詹馨宁</t>
        </is>
      </c>
      <c r="D88" s="258" t="inlineStr">
        <is>
          <t>林志豪01</t>
        </is>
      </c>
      <c r="E88" s="258" t="inlineStr">
        <is>
          <t>A</t>
        </is>
      </c>
      <c r="F88" s="266" t="inlineStr">
        <is>
          <t>否</t>
        </is>
      </c>
      <c r="G88" s="266" t="inlineStr">
        <is>
          <t>田雨涵01</t>
        </is>
      </c>
      <c r="H88" s="133">
        <f>VLOOKUP(B88,'零期·UV电访分配'!B:Q,7,0)</f>
        <v/>
      </c>
      <c r="I88" s="266" t="inlineStr">
        <is>
          <t>B</t>
        </is>
      </c>
      <c r="J88" s="266" t="inlineStr">
        <is>
          <t>是</t>
        </is>
      </c>
      <c r="K88" s="266" t="inlineStr">
        <is>
          <t>太晚打不了电话了，微信留言等回复再更新</t>
        </is>
      </c>
      <c r="L88" s="267" t="inlineStr">
        <is>
          <t>李润</t>
        </is>
      </c>
      <c r="M88" s="133">
        <f>VLOOKUP(B88,'零期·UV电访分配'!B:Q,11,0)</f>
        <v/>
      </c>
      <c r="N88" s="267" t="n"/>
      <c r="O88" s="267" t="n"/>
      <c r="P88" s="267" t="n"/>
      <c r="Q88" s="268" t="inlineStr">
        <is>
          <t>肖锐03</t>
        </is>
      </c>
      <c r="R88" s="133">
        <f>VLOOKUP(B88,'零期·UV电访分配'!B:Q,15,0)</f>
        <v/>
      </c>
      <c r="S88" s="268" t="inlineStr">
        <is>
          <t>B</t>
        </is>
      </c>
      <c r="T88" s="268" t="n"/>
      <c r="U88" s="268" t="n"/>
    </row>
    <row r="89" ht="18" customHeight="1" s="1053">
      <c r="A89" s="269" t="inlineStr">
        <is>
          <t>新宝利</t>
        </is>
      </c>
      <c r="B89" s="269" t="n">
        <v>4816521213</v>
      </c>
      <c r="C89" s="258" t="inlineStr">
        <is>
          <t>姚一新</t>
        </is>
      </c>
      <c r="D89" s="258" t="inlineStr">
        <is>
          <t>王丽</t>
        </is>
      </c>
      <c r="E89" s="258" t="inlineStr">
        <is>
          <t>A</t>
        </is>
      </c>
      <c r="F89" s="266" t="inlineStr">
        <is>
          <t>是</t>
        </is>
      </c>
      <c r="G89" s="266" t="inlineStr">
        <is>
          <t>田雨涵01</t>
        </is>
      </c>
      <c r="H89" s="133">
        <f>VLOOKUP(B89,'零期·UV电访分配'!B:Q,7,0)</f>
        <v/>
      </c>
      <c r="I89" s="266" t="inlineStr">
        <is>
          <t>B</t>
        </is>
      </c>
      <c r="J89" s="266" t="n"/>
      <c r="K89" s="266" t="n"/>
      <c r="L89" s="267" t="inlineStr">
        <is>
          <t>李润</t>
        </is>
      </c>
      <c r="M89" s="133">
        <f>VLOOKUP(B89,'零期·UV电访分配'!B:Q,11,0)</f>
        <v/>
      </c>
      <c r="N89" s="267" t="n"/>
      <c r="O89" s="267" t="n"/>
      <c r="P89" s="267" t="n"/>
      <c r="Q89" s="268" t="inlineStr">
        <is>
          <t>肖锐03</t>
        </is>
      </c>
      <c r="R89" s="133">
        <f>VLOOKUP(B89,'零期·UV电访分配'!B:Q,15,0)</f>
        <v/>
      </c>
      <c r="S89" s="268" t="inlineStr">
        <is>
          <t>B</t>
        </is>
      </c>
      <c r="T89" s="268" t="n"/>
      <c r="U89" s="268" t="n"/>
    </row>
    <row r="90" ht="18" customHeight="1" s="1053">
      <c r="A90" s="269" t="inlineStr">
        <is>
          <t>新宝利</t>
        </is>
      </c>
      <c r="B90" s="269" t="n">
        <v>4835737630</v>
      </c>
      <c r="C90" s="258" t="inlineStr">
        <is>
          <t>马伊惠</t>
        </is>
      </c>
      <c r="D90" s="258" t="inlineStr">
        <is>
          <t>张敏烨</t>
        </is>
      </c>
      <c r="E90" s="258" t="inlineStr">
        <is>
          <t>A</t>
        </is>
      </c>
      <c r="F90" s="266" t="inlineStr">
        <is>
          <t>是</t>
        </is>
      </c>
      <c r="G90" s="266" t="inlineStr">
        <is>
          <t>田雨涵01</t>
        </is>
      </c>
      <c r="H90" s="133">
        <f>VLOOKUP(B90,'零期·UV电访分配'!B:Q,7,0)</f>
        <v/>
      </c>
      <c r="I90" s="266" t="inlineStr">
        <is>
          <t>B</t>
        </is>
      </c>
      <c r="J90" s="266" t="n"/>
      <c r="K90" s="266" t="inlineStr">
        <is>
          <t>今日尝试追：家长说要考虑</t>
        </is>
      </c>
      <c r="L90" s="267" t="inlineStr">
        <is>
          <t>李润</t>
        </is>
      </c>
      <c r="M90" s="133">
        <f>VLOOKUP(B90,'零期·UV电访分配'!B:Q,11,0)</f>
        <v/>
      </c>
      <c r="N90" s="267" t="n"/>
      <c r="O90" s="267" t="n"/>
      <c r="P90" s="267" t="n"/>
      <c r="Q90" s="268" t="inlineStr">
        <is>
          <t>肖锐03</t>
        </is>
      </c>
      <c r="R90" s="133">
        <f>VLOOKUP(B90,'零期·UV电访分配'!B:Q,15,0)</f>
        <v/>
      </c>
      <c r="S90" s="268" t="inlineStr">
        <is>
          <t>B</t>
        </is>
      </c>
      <c r="T90" s="268" t="n"/>
      <c r="U90" s="268" t="n"/>
    </row>
    <row r="91" ht="18" customHeight="1" s="1053">
      <c r="A91" s="281" t="inlineStr">
        <is>
          <t>新宝利</t>
        </is>
      </c>
      <c r="B91" s="281" t="n">
        <v>2658073609</v>
      </c>
      <c r="C91" s="119" t="inlineStr">
        <is>
          <t>陈滢西</t>
        </is>
      </c>
      <c r="D91" s="119" t="inlineStr">
        <is>
          <t>张敏烨</t>
        </is>
      </c>
      <c r="E91" s="258" t="inlineStr">
        <is>
          <t>A</t>
        </is>
      </c>
      <c r="F91" s="266" t="inlineStr">
        <is>
          <t>是</t>
        </is>
      </c>
      <c r="G91" s="266" t="inlineStr">
        <is>
          <t>田雨涵01</t>
        </is>
      </c>
      <c r="H91" s="133">
        <f>VLOOKUP(B91,'零期·UV电访分配'!B:Q,7,0)</f>
        <v/>
      </c>
      <c r="I91" s="266" t="inlineStr">
        <is>
          <t>B</t>
        </is>
      </c>
      <c r="J91" s="266" t="n"/>
      <c r="K91" s="266" t="inlineStr">
        <is>
          <t>今晚追追单，孩子程度稍弱</t>
        </is>
      </c>
      <c r="L91" s="267" t="inlineStr">
        <is>
          <t>李润</t>
        </is>
      </c>
      <c r="M91" s="133">
        <f>VLOOKUP(B91,'零期·UV电访分配'!B:Q,11,0)</f>
        <v/>
      </c>
      <c r="N91" s="267" t="n"/>
      <c r="O91" s="267" t="n"/>
      <c r="P91" s="267" t="n"/>
      <c r="Q91" s="268" t="inlineStr">
        <is>
          <t>肖锐03</t>
        </is>
      </c>
      <c r="R91" s="133">
        <f>VLOOKUP(B91,'零期·UV电访分配'!B:Q,15,0)</f>
        <v/>
      </c>
      <c r="S91" s="268" t="inlineStr">
        <is>
          <t>A</t>
        </is>
      </c>
      <c r="T91" s="268" t="n"/>
      <c r="U91" s="268" t="n"/>
    </row>
    <row r="92" ht="26.25" customHeight="1" s="1053">
      <c r="A92" s="281" t="inlineStr">
        <is>
          <t>新宝利</t>
        </is>
      </c>
      <c r="B92" s="281" t="n">
        <v>4055682554</v>
      </c>
      <c r="C92" s="119" t="inlineStr">
        <is>
          <t>穆邵瀚</t>
        </is>
      </c>
      <c r="D92" s="119" t="inlineStr">
        <is>
          <t>张敏烨</t>
        </is>
      </c>
      <c r="E92" s="258" t="inlineStr">
        <is>
          <t>A</t>
        </is>
      </c>
      <c r="F92" s="266" t="inlineStr">
        <is>
          <t>是</t>
        </is>
      </c>
      <c r="G92" s="266" t="inlineStr">
        <is>
          <t>田雨涵01</t>
        </is>
      </c>
      <c r="H92" s="133">
        <f>VLOOKUP(B92,'零期·UV电访分配'!B:Q,7,0)</f>
        <v/>
      </c>
      <c r="I92" s="266" t="inlineStr">
        <is>
          <t>B</t>
        </is>
      </c>
      <c r="J92" s="266" t="inlineStr">
        <is>
          <t>是</t>
        </is>
      </c>
      <c r="K92" s="120" t="inlineStr">
        <is>
          <t>孩子基础太差，孩子遗漏太多，家长要看效果，最后课次再看看吧</t>
        </is>
      </c>
      <c r="L92" s="267" t="inlineStr">
        <is>
          <t>李润</t>
        </is>
      </c>
      <c r="M92" s="133">
        <f>VLOOKUP(B92,'零期·UV电访分配'!B:Q,11,0)</f>
        <v/>
      </c>
      <c r="N92" s="267" t="n"/>
      <c r="O92" s="267" t="n"/>
      <c r="P92" s="267" t="n"/>
      <c r="Q92" s="268" t="inlineStr">
        <is>
          <t>肖锐03</t>
        </is>
      </c>
      <c r="R92" s="133">
        <f>VLOOKUP(B92,'零期·UV电访分配'!B:Q,15,0)</f>
        <v/>
      </c>
      <c r="S92" s="268" t="inlineStr">
        <is>
          <t>A</t>
        </is>
      </c>
      <c r="T92" s="268" t="n"/>
      <c r="U92" s="268" t="n"/>
    </row>
    <row r="93" ht="26.25" customHeight="1" s="1053">
      <c r="A93" s="269" t="inlineStr">
        <is>
          <t>新宝利</t>
        </is>
      </c>
      <c r="B93" s="269" t="n">
        <v>2356540819</v>
      </c>
      <c r="C93" s="258" t="inlineStr">
        <is>
          <t>黄歆越</t>
        </is>
      </c>
      <c r="D93" s="258" t="inlineStr">
        <is>
          <t>杨林33</t>
        </is>
      </c>
      <c r="E93" s="258" t="inlineStr">
        <is>
          <t>A</t>
        </is>
      </c>
      <c r="F93" s="266" t="inlineStr">
        <is>
          <t>否</t>
        </is>
      </c>
      <c r="G93" s="266" t="inlineStr">
        <is>
          <t>田雨涵01</t>
        </is>
      </c>
      <c r="H93" s="133">
        <f>VLOOKUP(B93,'零期·UV电访分配'!B:Q,7,0)</f>
        <v/>
      </c>
      <c r="I93" s="266" t="inlineStr">
        <is>
          <t>B</t>
        </is>
      </c>
      <c r="J93" s="266" t="inlineStr">
        <is>
          <t>是</t>
        </is>
      </c>
      <c r="K93" s="266" t="inlineStr">
        <is>
          <t>明天晚上7点打电话确认，主要是看课程的时间安排</t>
        </is>
      </c>
      <c r="L93" s="267" t="inlineStr">
        <is>
          <t>李润</t>
        </is>
      </c>
      <c r="M93" s="133">
        <f>VLOOKUP(B93,'零期·UV电访分配'!B:Q,11,0)</f>
        <v/>
      </c>
      <c r="N93" s="267" t="n"/>
      <c r="O93" s="267" t="n"/>
      <c r="P93" s="267" t="n"/>
      <c r="Q93" s="268" t="inlineStr">
        <is>
          <t>肖锐03</t>
        </is>
      </c>
      <c r="R93" s="133">
        <f>VLOOKUP(B93,'零期·UV电访分配'!B:Q,15,0)</f>
        <v/>
      </c>
      <c r="S93" s="268" t="inlineStr">
        <is>
          <t>A</t>
        </is>
      </c>
      <c r="T93" s="268" t="n"/>
      <c r="U93" s="268" t="n"/>
    </row>
    <row r="94" ht="26.25" customHeight="1" s="1053">
      <c r="A94" s="269" t="inlineStr">
        <is>
          <t>新宝利</t>
        </is>
      </c>
      <c r="B94" s="269" t="n">
        <v>4197197873</v>
      </c>
      <c r="C94" s="258" t="inlineStr">
        <is>
          <t>高若曦</t>
        </is>
      </c>
      <c r="D94" s="258" t="inlineStr">
        <is>
          <t>王丽</t>
        </is>
      </c>
      <c r="E94" s="258" t="inlineStr">
        <is>
          <t>A</t>
        </is>
      </c>
      <c r="F94" s="266" t="inlineStr">
        <is>
          <t>否</t>
        </is>
      </c>
      <c r="G94" s="266" t="inlineStr">
        <is>
          <t>田雨涵01</t>
        </is>
      </c>
      <c r="H94" s="133">
        <f>VLOOKUP(B94,'零期·UV电访分配'!B:Q,7,0)</f>
        <v/>
      </c>
      <c r="I94" s="266" t="inlineStr">
        <is>
          <t>B</t>
        </is>
      </c>
      <c r="J94" s="266" t="inlineStr">
        <is>
          <t>是</t>
        </is>
      </c>
      <c r="K94" s="266" t="inlineStr">
        <is>
          <t>太晚打不了电话了，微信留言等回复再更新</t>
        </is>
      </c>
      <c r="L94" s="267" t="inlineStr">
        <is>
          <t>李润</t>
        </is>
      </c>
      <c r="M94" s="133">
        <f>VLOOKUP(B94,'零期·UV电访分配'!B:Q,11,0)</f>
        <v/>
      </c>
      <c r="N94" s="267" t="n"/>
      <c r="O94" s="267" t="n"/>
      <c r="P94" s="267" t="n"/>
      <c r="Q94" s="268" t="inlineStr">
        <is>
          <t>肖锐03</t>
        </is>
      </c>
      <c r="R94" s="133">
        <f>VLOOKUP(B94,'零期·UV电访分配'!B:Q,15,0)</f>
        <v/>
      </c>
      <c r="S94" s="268" t="inlineStr">
        <is>
          <t>A</t>
        </is>
      </c>
      <c r="T94" s="268" t="n"/>
      <c r="U94" s="268" t="n"/>
    </row>
    <row r="95" ht="26.25" customHeight="1" s="1053">
      <c r="A95" s="269" t="inlineStr">
        <is>
          <t>新宝利</t>
        </is>
      </c>
      <c r="B95" s="269" t="n">
        <v>4459633645</v>
      </c>
      <c r="C95" s="258" t="inlineStr">
        <is>
          <t>李宸熙</t>
        </is>
      </c>
      <c r="D95" s="258" t="inlineStr">
        <is>
          <t>王丽</t>
        </is>
      </c>
      <c r="E95" s="258" t="inlineStr">
        <is>
          <t>A</t>
        </is>
      </c>
      <c r="F95" s="266" t="inlineStr">
        <is>
          <t>否</t>
        </is>
      </c>
      <c r="G95" s="266" t="inlineStr">
        <is>
          <t>田雨涵01</t>
        </is>
      </c>
      <c r="H95" s="133">
        <f>VLOOKUP(B95,'零期·UV电访分配'!B:Q,7,0)</f>
        <v/>
      </c>
      <c r="I95" s="266" t="inlineStr">
        <is>
          <t>B</t>
        </is>
      </c>
      <c r="J95" s="266" t="inlineStr">
        <is>
          <t>是</t>
        </is>
      </c>
      <c r="K95" s="266" t="inlineStr">
        <is>
          <t>太晚打不了电话了，微信留言等回复再更新</t>
        </is>
      </c>
      <c r="L95" s="267" t="inlineStr">
        <is>
          <t>黄铭怡</t>
        </is>
      </c>
      <c r="M95" s="133">
        <f>VLOOKUP(B95,'零期·UV电访分配'!B:Q,11,0)</f>
        <v/>
      </c>
      <c r="N95" s="267" t="n"/>
      <c r="O95" s="267" t="inlineStr">
        <is>
          <t>是</t>
        </is>
      </c>
      <c r="P95" s="267" t="inlineStr">
        <is>
          <t>未回复</t>
        </is>
      </c>
      <c r="Q95" s="268" t="inlineStr">
        <is>
          <t>肖锐03</t>
        </is>
      </c>
      <c r="R95" s="133">
        <f>VLOOKUP(B95,'零期·UV电访分配'!B:Q,15,0)</f>
        <v/>
      </c>
      <c r="S95" s="268" t="inlineStr">
        <is>
          <t>A</t>
        </is>
      </c>
      <c r="T95" s="268" t="n"/>
      <c r="U95" s="268" t="n"/>
    </row>
    <row r="96" ht="26.25" customHeight="1" s="1053">
      <c r="A96" s="269" t="inlineStr">
        <is>
          <t>新宝利</t>
        </is>
      </c>
      <c r="B96" s="269" t="n">
        <v>4638864572</v>
      </c>
      <c r="C96" s="258" t="inlineStr">
        <is>
          <t>马邦耀</t>
        </is>
      </c>
      <c r="D96" s="258" t="inlineStr">
        <is>
          <t>沈思浩</t>
        </is>
      </c>
      <c r="E96" s="258" t="inlineStr">
        <is>
          <t>A</t>
        </is>
      </c>
      <c r="F96" s="266" t="inlineStr">
        <is>
          <t>否</t>
        </is>
      </c>
      <c r="G96" s="266" t="inlineStr">
        <is>
          <t>田雨涵01</t>
        </is>
      </c>
      <c r="H96" s="133">
        <f>VLOOKUP(B96,'零期·UV电访分配'!B:Q,7,0)</f>
        <v/>
      </c>
      <c r="I96" s="266" t="inlineStr">
        <is>
          <t>A</t>
        </is>
      </c>
      <c r="J96" s="266" t="inlineStr">
        <is>
          <t>是</t>
        </is>
      </c>
      <c r="K96" s="172" t="inlineStr">
        <is>
          <t>明天晚上78点给我回复，大概率是没问题的</t>
        </is>
      </c>
      <c r="L96" s="267" t="inlineStr">
        <is>
          <t>黄铭怡</t>
        </is>
      </c>
      <c r="M96" s="133">
        <f>VLOOKUP(B96,'零期·UV电访分配'!B:Q,11,0)</f>
        <v/>
      </c>
      <c r="N96" s="267" t="n"/>
      <c r="O96" s="267" t="inlineStr">
        <is>
          <t>是</t>
        </is>
      </c>
      <c r="P96" s="267" t="inlineStr">
        <is>
          <t>未回复</t>
        </is>
      </c>
      <c r="Q96" s="268" t="inlineStr">
        <is>
          <t>肖锐03</t>
        </is>
      </c>
      <c r="R96" s="133">
        <f>VLOOKUP(B96,'零期·UV电访分配'!B:Q,15,0)</f>
        <v/>
      </c>
      <c r="S96" s="268" t="n"/>
      <c r="T96" s="268" t="n"/>
      <c r="U96" s="268" t="n"/>
    </row>
    <row r="97" ht="18" customHeight="1" s="1053">
      <c r="A97" s="281" t="inlineStr">
        <is>
          <t>新宝利</t>
        </is>
      </c>
      <c r="B97" s="281" t="n">
        <v>4613006507</v>
      </c>
      <c r="C97" s="119" t="inlineStr">
        <is>
          <t>张曦元</t>
        </is>
      </c>
      <c r="D97" s="119" t="inlineStr">
        <is>
          <t>林志豪01</t>
        </is>
      </c>
      <c r="E97" s="258" t="inlineStr">
        <is>
          <t>A</t>
        </is>
      </c>
      <c r="F97" s="266" t="inlineStr">
        <is>
          <t>是</t>
        </is>
      </c>
      <c r="G97" s="266" t="inlineStr">
        <is>
          <t>田雨涵01</t>
        </is>
      </c>
      <c r="H97" s="133">
        <f>VLOOKUP(B97,'零期·UV电访分配'!B:Q,7,0)</f>
        <v/>
      </c>
      <c r="I97" s="266" t="n"/>
      <c r="J97" s="266" t="n"/>
      <c r="K97" s="172" t="inlineStr">
        <is>
          <t>今天去大帅班上了启能</t>
        </is>
      </c>
      <c r="L97" s="267" t="inlineStr">
        <is>
          <t>李润</t>
        </is>
      </c>
      <c r="M97" s="133">
        <f>VLOOKUP(B97,'零期·UV电访分配'!B:Q,11,0)</f>
        <v/>
      </c>
      <c r="N97" s="267" t="n"/>
      <c r="O97" s="267" t="n"/>
      <c r="P97" s="267" t="n"/>
      <c r="Q97" s="268" t="inlineStr">
        <is>
          <t>肖锐03</t>
        </is>
      </c>
      <c r="R97" s="133">
        <f>VLOOKUP(B97,'零期·UV电访分配'!B:Q,15,0)</f>
        <v/>
      </c>
      <c r="S97" s="268" t="inlineStr">
        <is>
          <t>A</t>
        </is>
      </c>
      <c r="T97" s="268" t="n"/>
      <c r="U97" s="268" t="n"/>
    </row>
    <row r="98" ht="26.25" customHeight="1" s="1053">
      <c r="A98" s="281" t="inlineStr">
        <is>
          <t>新宝利</t>
        </is>
      </c>
      <c r="B98" s="281" t="n">
        <v>2463978823</v>
      </c>
      <c r="C98" s="119" t="inlineStr">
        <is>
          <t>可欣</t>
        </is>
      </c>
      <c r="D98" s="258" t="inlineStr">
        <is>
          <t>王达</t>
        </is>
      </c>
      <c r="E98" s="258" t="inlineStr">
        <is>
          <t>B</t>
        </is>
      </c>
      <c r="F98" s="266" t="inlineStr">
        <is>
          <t>否</t>
        </is>
      </c>
      <c r="G98" s="266" t="inlineStr">
        <is>
          <t>田雨涵01</t>
        </is>
      </c>
      <c r="H98" s="133">
        <f>VLOOKUP(B98,'零期·UV电访分配'!B:Q,7,0)</f>
        <v/>
      </c>
      <c r="I98" s="266" t="inlineStr">
        <is>
          <t>B</t>
        </is>
      </c>
      <c r="J98" s="266" t="inlineStr">
        <is>
          <t>是</t>
        </is>
      </c>
      <c r="K98" s="266" t="inlineStr">
        <is>
          <t>太晚打不了电话了，微信留言等回复再更新</t>
        </is>
      </c>
      <c r="L98" s="267" t="inlineStr">
        <is>
          <t>李润</t>
        </is>
      </c>
      <c r="M98" s="133">
        <f>VLOOKUP(B98,'零期·UV电访分配'!B:Q,11,0)</f>
        <v/>
      </c>
      <c r="N98" s="267" t="n"/>
      <c r="O98" s="267" t="n"/>
      <c r="P98" s="267" t="n"/>
      <c r="Q98" s="268" t="inlineStr">
        <is>
          <t>-</t>
        </is>
      </c>
      <c r="R98" s="133">
        <f>VLOOKUP(B98,'零期·UV电访分配'!B:Q,15,0)</f>
        <v/>
      </c>
      <c r="S98" s="268" t="n"/>
      <c r="T98" s="268" t="n"/>
      <c r="U98" s="268" t="n"/>
    </row>
    <row r="99" ht="18" customHeight="1" s="1053">
      <c r="A99" s="281" t="inlineStr">
        <is>
          <t>新宝利</t>
        </is>
      </c>
      <c r="B99" s="281" t="n">
        <v>2136468815</v>
      </c>
      <c r="C99" s="119" t="inlineStr">
        <is>
          <t>思宇</t>
        </is>
      </c>
      <c r="D99" s="119" t="inlineStr">
        <is>
          <t>王达04</t>
        </is>
      </c>
      <c r="E99" s="258" t="inlineStr">
        <is>
          <t>B</t>
        </is>
      </c>
      <c r="F99" s="266" t="inlineStr">
        <is>
          <t>是</t>
        </is>
      </c>
      <c r="G99" s="266" t="inlineStr">
        <is>
          <t>田雨涵01</t>
        </is>
      </c>
      <c r="H99" s="133">
        <f>VLOOKUP(B99,'零期·UV电访分配'!B:Q,7,0)</f>
        <v/>
      </c>
      <c r="I99" s="266" t="inlineStr">
        <is>
          <t>B</t>
        </is>
      </c>
      <c r="J99" s="266" t="n"/>
      <c r="K99" s="266" t="inlineStr">
        <is>
          <t>今晚反馈学情</t>
        </is>
      </c>
      <c r="L99" s="267" t="inlineStr">
        <is>
          <t>李润</t>
        </is>
      </c>
      <c r="M99" s="133">
        <f>VLOOKUP(B99,'零期·UV电访分配'!B:Q,11,0)</f>
        <v/>
      </c>
      <c r="N99" s="267" t="n"/>
      <c r="O99" s="267" t="n"/>
      <c r="P99" s="267" t="n"/>
      <c r="Q99" s="268" t="inlineStr">
        <is>
          <t>肖锐03</t>
        </is>
      </c>
      <c r="R99" s="133">
        <f>VLOOKUP(B99,'零期·UV电访分配'!B:Q,15,0)</f>
        <v/>
      </c>
      <c r="S99" s="268" t="inlineStr">
        <is>
          <t>A</t>
        </is>
      </c>
      <c r="T99" s="268" t="n"/>
      <c r="U99" s="268" t="n"/>
    </row>
    <row r="100" ht="18" customHeight="1" s="1053">
      <c r="A100" s="281" t="inlineStr">
        <is>
          <t>新宝利</t>
        </is>
      </c>
      <c r="B100" s="281" t="n">
        <v>4250803345</v>
      </c>
      <c r="C100" s="119" t="inlineStr">
        <is>
          <t>詹培琳</t>
        </is>
      </c>
      <c r="D100" s="119" t="inlineStr">
        <is>
          <t>杨林33</t>
        </is>
      </c>
      <c r="E100" s="258" t="inlineStr">
        <is>
          <t>B</t>
        </is>
      </c>
      <c r="F100" s="266" t="inlineStr">
        <is>
          <t>是</t>
        </is>
      </c>
      <c r="G100" s="266" t="inlineStr">
        <is>
          <t>田雨涵01</t>
        </is>
      </c>
      <c r="H100" s="133">
        <f>VLOOKUP(B100,'零期·UV电访分配'!B:Q,7,0)</f>
        <v/>
      </c>
      <c r="I100" s="266" t="inlineStr">
        <is>
          <t>B</t>
        </is>
      </c>
      <c r="J100" s="266" t="n"/>
      <c r="K100" s="266" t="n"/>
      <c r="L100" s="267" t="inlineStr">
        <is>
          <t>李润</t>
        </is>
      </c>
      <c r="M100" s="133">
        <f>VLOOKUP(B100,'零期·UV电访分配'!B:Q,11,0)</f>
        <v/>
      </c>
      <c r="N100" s="267" t="n"/>
      <c r="O100" s="267" t="n"/>
      <c r="P100" s="267" t="n"/>
      <c r="Q100" s="268" t="inlineStr">
        <is>
          <t>肖锐03</t>
        </is>
      </c>
      <c r="R100" s="133">
        <f>VLOOKUP(B100,'零期·UV电访分配'!B:Q,15,0)</f>
        <v/>
      </c>
      <c r="S100" s="268" t="inlineStr">
        <is>
          <t>B</t>
        </is>
      </c>
      <c r="T100" s="268" t="n"/>
      <c r="U100" s="268" t="n"/>
    </row>
    <row r="101" ht="26.25" customHeight="1" s="1053">
      <c r="A101" s="269" t="inlineStr">
        <is>
          <t>新宝利</t>
        </is>
      </c>
      <c r="B101" s="269" t="n">
        <v>2327899563</v>
      </c>
      <c r="C101" s="258" t="inlineStr">
        <is>
          <t>赖雨甜</t>
        </is>
      </c>
      <c r="D101" s="258" t="inlineStr">
        <is>
          <t>陈亮延</t>
        </is>
      </c>
      <c r="E101" s="258" t="inlineStr">
        <is>
          <t>B</t>
        </is>
      </c>
      <c r="F101" s="266" t="inlineStr">
        <is>
          <t>否</t>
        </is>
      </c>
      <c r="G101" s="266" t="inlineStr">
        <is>
          <t>田雨涵01</t>
        </is>
      </c>
      <c r="H101" s="133">
        <f>VLOOKUP(B101,'零期·UV电访分配'!B:Q,7,0)</f>
        <v/>
      </c>
      <c r="I101" s="266" t="inlineStr">
        <is>
          <t>B</t>
        </is>
      </c>
      <c r="J101" s="266" t="inlineStr">
        <is>
          <t>是</t>
        </is>
      </c>
      <c r="K101" s="266" t="inlineStr">
        <is>
          <t>看孩子的意愿，明天课上问孩子明天晚上电话给我回复</t>
        </is>
      </c>
      <c r="L101" s="267" t="inlineStr">
        <is>
          <t>李润</t>
        </is>
      </c>
      <c r="M101" s="133">
        <f>VLOOKUP(B101,'零期·UV电访分配'!B:Q,11,0)</f>
        <v/>
      </c>
      <c r="N101" s="267" t="n"/>
      <c r="O101" s="267" t="n"/>
      <c r="P101" s="267" t="n"/>
      <c r="Q101" s="268" t="inlineStr">
        <is>
          <t>肖锐03</t>
        </is>
      </c>
      <c r="R101" s="133">
        <f>VLOOKUP(B101,'零期·UV电访分配'!B:Q,15,0)</f>
        <v/>
      </c>
      <c r="S101" s="268" t="inlineStr">
        <is>
          <t>B</t>
        </is>
      </c>
      <c r="T101" s="268" t="n"/>
      <c r="U101" s="268" t="n"/>
    </row>
    <row r="102" ht="18" customHeight="1" s="1053">
      <c r="A102" s="269" t="inlineStr">
        <is>
          <t>新宝利</t>
        </is>
      </c>
      <c r="B102" s="269" t="n">
        <v>4773663119</v>
      </c>
      <c r="C102" s="258" t="inlineStr">
        <is>
          <t>陈家誉</t>
        </is>
      </c>
      <c r="D102" s="258" t="inlineStr">
        <is>
          <t>林志豪01</t>
        </is>
      </c>
      <c r="E102" s="258" t="inlineStr">
        <is>
          <t>C</t>
        </is>
      </c>
      <c r="F102" s="266" t="inlineStr">
        <is>
          <t>是</t>
        </is>
      </c>
      <c r="G102" s="266" t="inlineStr">
        <is>
          <t>田雨涵01</t>
        </is>
      </c>
      <c r="H102" s="133">
        <f>VLOOKUP(B102,'零期·UV电访分配'!B:Q,7,0)</f>
        <v/>
      </c>
      <c r="I102" s="266" t="inlineStr">
        <is>
          <t>C</t>
        </is>
      </c>
      <c r="J102" s="266" t="n"/>
      <c r="K102" s="266" t="inlineStr">
        <is>
          <t>第6讲请假</t>
        </is>
      </c>
      <c r="L102" s="267" t="inlineStr">
        <is>
          <t>李润</t>
        </is>
      </c>
      <c r="M102" s="133">
        <f>VLOOKUP(B102,'零期·UV电访分配'!B:Q,11,0)</f>
        <v/>
      </c>
      <c r="N102" s="267" t="n"/>
      <c r="O102" s="267" t="n"/>
      <c r="P102" s="267" t="n"/>
      <c r="Q102" s="268" t="inlineStr">
        <is>
          <t>肖锐03</t>
        </is>
      </c>
      <c r="R102" s="133">
        <f>VLOOKUP(B102,'零期·UV电访分配'!B:Q,15,0)</f>
        <v/>
      </c>
      <c r="S102" s="268" t="inlineStr">
        <is>
          <t>C</t>
        </is>
      </c>
      <c r="T102" s="268" t="n"/>
      <c r="U102" s="268" t="n"/>
    </row>
    <row r="103" ht="18" customHeight="1" s="1053">
      <c r="A103" s="281" t="inlineStr">
        <is>
          <t>新宝利</t>
        </is>
      </c>
      <c r="B103" s="281" t="n">
        <v>4155497428</v>
      </c>
      <c r="C103" s="119" t="inlineStr">
        <is>
          <t>陈力维</t>
        </is>
      </c>
      <c r="D103" s="119" t="inlineStr">
        <is>
          <t>杨林33</t>
        </is>
      </c>
      <c r="E103" s="258" t="inlineStr">
        <is>
          <t>S</t>
        </is>
      </c>
      <c r="F103" s="266" t="inlineStr">
        <is>
          <t>是</t>
        </is>
      </c>
      <c r="G103" s="266" t="inlineStr">
        <is>
          <t>陈中帅</t>
        </is>
      </c>
      <c r="H103" s="133">
        <f>VLOOKUP(B103,'零期·UV电访分配'!B:Q,7,0)</f>
        <v/>
      </c>
      <c r="I103" s="266" t="n"/>
      <c r="J103" s="266" t="n"/>
      <c r="K103" s="266" t="n"/>
      <c r="L103" s="267" t="inlineStr">
        <is>
          <t>李润</t>
        </is>
      </c>
      <c r="M103" s="133">
        <f>VLOOKUP(B103,'零期·UV电访分配'!B:Q,11,0)</f>
        <v/>
      </c>
      <c r="N103" s="267" t="n"/>
      <c r="O103" s="267" t="n"/>
      <c r="P103" s="267" t="n"/>
      <c r="Q103" s="268" t="inlineStr">
        <is>
          <t>高心怡04</t>
        </is>
      </c>
      <c r="R103" s="133">
        <f>VLOOKUP(B103,'零期·UV电访分配'!B:Q,15,0)</f>
        <v/>
      </c>
      <c r="S103" s="268" t="n"/>
      <c r="T103" s="268" t="n"/>
      <c r="U103" s="268" t="n"/>
    </row>
    <row r="104" ht="18" customHeight="1" s="1053">
      <c r="A104" s="281" t="inlineStr">
        <is>
          <t>新宝利</t>
        </is>
      </c>
      <c r="B104" s="281" t="n">
        <v>4199533248</v>
      </c>
      <c r="C104" s="119" t="inlineStr">
        <is>
          <t>陈君羡</t>
        </is>
      </c>
      <c r="D104" s="119" t="inlineStr">
        <is>
          <t>林志豪01</t>
        </is>
      </c>
      <c r="E104" s="258" t="inlineStr">
        <is>
          <t>A</t>
        </is>
      </c>
      <c r="F104" s="266" t="inlineStr">
        <is>
          <t>是</t>
        </is>
      </c>
      <c r="G104" s="266" t="inlineStr">
        <is>
          <t>陈中帅</t>
        </is>
      </c>
      <c r="H104" s="133">
        <f>VLOOKUP(B104,'零期·UV电访分配'!B:Q,7,0)</f>
        <v/>
      </c>
      <c r="I104" s="266" t="n"/>
      <c r="J104" s="266" t="n"/>
      <c r="K104" s="266" t="n"/>
      <c r="L104" s="267" t="inlineStr">
        <is>
          <t>黄铭怡</t>
        </is>
      </c>
      <c r="M104" s="133">
        <f>VLOOKUP(B104,'零期·UV电访分配'!B:Q,11,0)</f>
        <v/>
      </c>
      <c r="N104" s="267" t="n"/>
      <c r="O104" s="267" t="n"/>
      <c r="P104" s="267" t="n"/>
      <c r="Q104" s="268" t="inlineStr">
        <is>
          <t>肖锐03</t>
        </is>
      </c>
      <c r="R104" s="133">
        <f>VLOOKUP(B104,'零期·UV电访分配'!B:Q,15,0)</f>
        <v/>
      </c>
      <c r="S104" s="268" t="inlineStr">
        <is>
          <t>B</t>
        </is>
      </c>
      <c r="T104" s="268" t="n"/>
      <c r="U104" s="268" t="n"/>
    </row>
    <row r="105" ht="18" customHeight="1" s="1053">
      <c r="A105" s="269" t="inlineStr">
        <is>
          <t>新宝利</t>
        </is>
      </c>
      <c r="B105" s="269" t="n">
        <v>2515578569</v>
      </c>
      <c r="C105" s="258" t="inlineStr">
        <is>
          <t>陶鼎兴</t>
        </is>
      </c>
      <c r="D105" s="258" t="inlineStr">
        <is>
          <t>张敏烨</t>
        </is>
      </c>
      <c r="E105" s="258" t="inlineStr">
        <is>
          <t>A</t>
        </is>
      </c>
      <c r="F105" s="266" t="inlineStr">
        <is>
          <t>否</t>
        </is>
      </c>
      <c r="G105" s="266" t="inlineStr">
        <is>
          <t>陈中帅</t>
        </is>
      </c>
      <c r="H105" s="133">
        <f>VLOOKUP(B105,'零期·UV电访分配'!B:Q,7,0)</f>
        <v/>
      </c>
      <c r="I105" s="266" t="n"/>
      <c r="J105" s="266" t="n"/>
      <c r="K105" s="266" t="n"/>
      <c r="L105" s="267" t="inlineStr">
        <is>
          <t>-</t>
        </is>
      </c>
      <c r="M105" s="133">
        <f>VLOOKUP(B105,'零期·UV电访分配'!B:Q,11,0)</f>
        <v/>
      </c>
      <c r="N105" s="267" t="n"/>
      <c r="O105" s="267" t="n"/>
      <c r="P105" s="267" t="n"/>
      <c r="Q105" s="268" t="inlineStr">
        <is>
          <t>肖锐03</t>
        </is>
      </c>
      <c r="R105" s="133">
        <f>VLOOKUP(B105,'零期·UV电访分配'!B:Q,15,0)</f>
        <v/>
      </c>
      <c r="S105" s="268" t="inlineStr">
        <is>
          <t>B</t>
        </is>
      </c>
      <c r="T105" s="268" t="n"/>
      <c r="U105" s="268" t="n"/>
    </row>
    <row r="106" ht="18" customHeight="1" s="1053">
      <c r="A106" s="269" t="inlineStr">
        <is>
          <t>新宝利</t>
        </is>
      </c>
      <c r="B106" s="269" t="n">
        <v>2583024622</v>
      </c>
      <c r="C106" s="258" t="inlineStr">
        <is>
          <t>张宸</t>
        </is>
      </c>
      <c r="D106" s="258" t="inlineStr">
        <is>
          <t>沈思浩</t>
        </is>
      </c>
      <c r="E106" s="258" t="inlineStr">
        <is>
          <t>A</t>
        </is>
      </c>
      <c r="F106" s="266" t="inlineStr">
        <is>
          <t>否</t>
        </is>
      </c>
      <c r="G106" s="266" t="inlineStr">
        <is>
          <t>陈中帅</t>
        </is>
      </c>
      <c r="H106" s="133">
        <f>VLOOKUP(B106,'零期·UV电访分配'!B:Q,7,0)</f>
        <v/>
      </c>
      <c r="I106" s="266" t="n"/>
      <c r="J106" s="266" t="n"/>
      <c r="K106" s="266" t="n"/>
      <c r="L106" s="267" t="inlineStr">
        <is>
          <t>黄铭怡</t>
        </is>
      </c>
      <c r="M106" s="133">
        <f>VLOOKUP(B106,'零期·UV电访分配'!B:Q,11,0)</f>
        <v/>
      </c>
      <c r="N106" s="267" t="n"/>
      <c r="O106" s="267" t="inlineStr">
        <is>
          <t>是</t>
        </is>
      </c>
      <c r="P106" s="267" t="inlineStr">
        <is>
          <t>未回复</t>
        </is>
      </c>
      <c r="Q106" s="268" t="inlineStr">
        <is>
          <t>肖锐03</t>
        </is>
      </c>
      <c r="R106" s="133">
        <f>VLOOKUP(B106,'零期·UV电访分配'!B:Q,15,0)</f>
        <v/>
      </c>
      <c r="S106" s="268" t="inlineStr">
        <is>
          <t>B</t>
        </is>
      </c>
      <c r="T106" s="268" t="n"/>
      <c r="U106" s="268" t="n"/>
    </row>
    <row r="107" ht="18" customHeight="1" s="1053">
      <c r="A107" s="281" t="inlineStr">
        <is>
          <t>新宝利</t>
        </is>
      </c>
      <c r="B107" s="281" t="n">
        <v>4484241011</v>
      </c>
      <c r="C107" s="119" t="inlineStr">
        <is>
          <t>婧芸</t>
        </is>
      </c>
      <c r="D107" s="258" t="inlineStr">
        <is>
          <t>林志豪01</t>
        </is>
      </c>
      <c r="E107" s="258" t="inlineStr">
        <is>
          <t>A</t>
        </is>
      </c>
      <c r="F107" s="266" t="inlineStr">
        <is>
          <t>否</t>
        </is>
      </c>
      <c r="G107" s="266" t="inlineStr">
        <is>
          <t>陈中帅</t>
        </is>
      </c>
      <c r="H107" s="133">
        <f>VLOOKUP(B107,'零期·UV电访分配'!B:Q,7,0)</f>
        <v/>
      </c>
      <c r="I107" s="266" t="n"/>
      <c r="J107" s="266" t="n"/>
      <c r="K107" s="266" t="n"/>
      <c r="L107" s="267" t="inlineStr">
        <is>
          <t>李润</t>
        </is>
      </c>
      <c r="M107" s="133">
        <f>VLOOKUP(B107,'零期·UV电访分配'!B:Q,11,0)</f>
        <v/>
      </c>
      <c r="N107" s="267" t="n"/>
      <c r="O107" s="267" t="n"/>
      <c r="P107" s="267" t="n"/>
      <c r="Q107" s="268" t="inlineStr">
        <is>
          <t>肖锐03</t>
        </is>
      </c>
      <c r="R107" s="133">
        <f>VLOOKUP(B107,'零期·UV电访分配'!B:Q,15,0)</f>
        <v/>
      </c>
      <c r="S107" s="268" t="inlineStr">
        <is>
          <t>A</t>
        </is>
      </c>
      <c r="T107" s="268" t="n"/>
      <c r="U107" s="268" t="n"/>
    </row>
    <row r="108" ht="18" customHeight="1" s="1053">
      <c r="A108" s="281" t="inlineStr">
        <is>
          <t>新宝利</t>
        </is>
      </c>
      <c r="B108" s="281" t="n">
        <v>4151361146</v>
      </c>
      <c r="C108" s="119" t="inlineStr">
        <is>
          <t>施钰平</t>
        </is>
      </c>
      <c r="D108" s="119" t="inlineStr">
        <is>
          <t>杨林33</t>
        </is>
      </c>
      <c r="E108" s="258" t="inlineStr">
        <is>
          <t>B</t>
        </is>
      </c>
      <c r="F108" s="266" t="inlineStr">
        <is>
          <t>是</t>
        </is>
      </c>
      <c r="G108" s="266" t="inlineStr">
        <is>
          <t>陈中帅</t>
        </is>
      </c>
      <c r="H108" s="133">
        <f>VLOOKUP(B108,'零期·UV电访分配'!B:Q,7,0)</f>
        <v/>
      </c>
      <c r="I108" s="266" t="n"/>
      <c r="J108" s="266" t="n"/>
      <c r="K108" s="266" t="n"/>
      <c r="L108" s="267" t="inlineStr">
        <is>
          <t>黄铭怡</t>
        </is>
      </c>
      <c r="M108" s="133">
        <f>VLOOKUP(B108,'零期·UV电访分配'!B:Q,11,0)</f>
        <v/>
      </c>
      <c r="N108" s="267" t="n"/>
      <c r="O108" s="267" t="n"/>
      <c r="P108" s="267" t="n"/>
      <c r="Q108" s="268" t="inlineStr">
        <is>
          <t>肖锐03</t>
        </is>
      </c>
      <c r="R108" s="133">
        <f>VLOOKUP(B108,'零期·UV电访分配'!B:Q,15,0)</f>
        <v/>
      </c>
      <c r="S108" s="268" t="inlineStr">
        <is>
          <t>B</t>
        </is>
      </c>
      <c r="T108" s="268" t="n"/>
      <c r="U108" s="268" t="n"/>
    </row>
    <row r="109" ht="18" customHeight="1" s="1053">
      <c r="A109" s="281" t="inlineStr">
        <is>
          <t>新宝利</t>
        </is>
      </c>
      <c r="B109" s="281" t="n">
        <v>4190977864</v>
      </c>
      <c r="C109" s="119" t="inlineStr">
        <is>
          <t>许玮庭</t>
        </is>
      </c>
      <c r="D109" s="119" t="inlineStr">
        <is>
          <t>杨林33</t>
        </is>
      </c>
      <c r="E109" s="258" t="inlineStr">
        <is>
          <t>B</t>
        </is>
      </c>
      <c r="F109" s="266" t="inlineStr">
        <is>
          <t>是</t>
        </is>
      </c>
      <c r="G109" s="266" t="inlineStr">
        <is>
          <t>陈中帅</t>
        </is>
      </c>
      <c r="H109" s="133">
        <f>VLOOKUP(B109,'零期·UV电访分配'!B:Q,7,0)</f>
        <v/>
      </c>
      <c r="I109" s="266" t="n"/>
      <c r="J109" s="266" t="n"/>
      <c r="K109" s="266" t="n"/>
      <c r="L109" s="267" t="inlineStr">
        <is>
          <t>黄铭怡</t>
        </is>
      </c>
      <c r="M109" s="133">
        <f>VLOOKUP(B109,'零期·UV电访分配'!B:Q,11,0)</f>
        <v/>
      </c>
      <c r="N109" s="267" t="n"/>
      <c r="O109" s="267" t="n"/>
      <c r="P109" s="267" t="n"/>
      <c r="Q109" s="268" t="inlineStr">
        <is>
          <t>肖锐03</t>
        </is>
      </c>
      <c r="R109" s="133">
        <f>VLOOKUP(B109,'零期·UV电访分配'!B:Q,15,0)</f>
        <v/>
      </c>
      <c r="S109" s="268" t="inlineStr">
        <is>
          <t>B</t>
        </is>
      </c>
      <c r="T109" s="268" t="n"/>
      <c r="U109" s="268" t="n"/>
    </row>
    <row r="110" ht="18" customHeight="1" s="1053">
      <c r="A110" s="269" t="inlineStr">
        <is>
          <t>新宝利</t>
        </is>
      </c>
      <c r="B110" s="269" t="n">
        <v>4815971458</v>
      </c>
      <c r="C110" s="258" t="inlineStr">
        <is>
          <t>李奕萱</t>
        </is>
      </c>
      <c r="D110" s="258" t="inlineStr">
        <is>
          <t>张敏烨</t>
        </is>
      </c>
      <c r="E110" s="258" t="inlineStr">
        <is>
          <t>B</t>
        </is>
      </c>
      <c r="F110" s="266" t="inlineStr">
        <is>
          <t>是</t>
        </is>
      </c>
      <c r="G110" s="266" t="inlineStr">
        <is>
          <t>-</t>
        </is>
      </c>
      <c r="H110" s="133" t="inlineStr">
        <is>
          <t>-</t>
        </is>
      </c>
      <c r="I110" s="266" t="n"/>
      <c r="J110" s="266" t="n"/>
      <c r="K110" s="266" t="n"/>
      <c r="L110" s="267" t="inlineStr">
        <is>
          <t>-</t>
        </is>
      </c>
      <c r="M110" s="133" t="inlineStr">
        <is>
          <t>-</t>
        </is>
      </c>
      <c r="N110" s="267" t="n"/>
      <c r="O110" s="267" t="n"/>
      <c r="P110" s="267" t="n"/>
      <c r="Q110" s="268" t="inlineStr">
        <is>
          <t>肖锐03</t>
        </is>
      </c>
      <c r="R110" s="133">
        <f>VLOOKUP(B110,'零期·UV电访分配'!B:Q,15,0)</f>
        <v/>
      </c>
      <c r="S110" s="268" t="inlineStr">
        <is>
          <t>A</t>
        </is>
      </c>
      <c r="T110" s="268" t="n"/>
      <c r="U110" s="268" t="n"/>
    </row>
    <row r="111" ht="18" customHeight="1" s="1053">
      <c r="A111" s="269" t="inlineStr">
        <is>
          <t>新宝利</t>
        </is>
      </c>
      <c r="B111" s="269" t="n">
        <v>2578142359</v>
      </c>
      <c r="C111" s="258" t="inlineStr">
        <is>
          <t>郭艺霖</t>
        </is>
      </c>
      <c r="D111" s="258" t="inlineStr">
        <is>
          <t>杨林33</t>
        </is>
      </c>
      <c r="E111" s="258" t="inlineStr">
        <is>
          <t>B</t>
        </is>
      </c>
      <c r="F111" s="266" t="inlineStr">
        <is>
          <t>否</t>
        </is>
      </c>
      <c r="G111" s="266" t="inlineStr">
        <is>
          <t>陈中帅</t>
        </is>
      </c>
      <c r="H111" s="133">
        <f>VLOOKUP(B111,'零期·UV电访分配'!B:Q,7,0)</f>
        <v/>
      </c>
      <c r="I111" s="266" t="n"/>
      <c r="J111" s="266" t="n"/>
      <c r="K111" s="266" t="n"/>
      <c r="L111" s="267" t="inlineStr">
        <is>
          <t>黄铭怡</t>
        </is>
      </c>
      <c r="M111" s="133">
        <f>VLOOKUP(B111,'零期·UV电访分配'!B:Q,11,0)</f>
        <v/>
      </c>
      <c r="N111" s="267" t="n"/>
      <c r="O111" s="267" t="inlineStr">
        <is>
          <t>是</t>
        </is>
      </c>
      <c r="P111" s="267" t="inlineStr">
        <is>
          <t>未回复</t>
        </is>
      </c>
      <c r="Q111" s="268" t="inlineStr">
        <is>
          <t>肖锐03</t>
        </is>
      </c>
      <c r="R111" s="133">
        <f>VLOOKUP(B111,'零期·UV电访分配'!B:Q,15,0)</f>
        <v/>
      </c>
      <c r="S111" s="268" t="inlineStr">
        <is>
          <t>B</t>
        </is>
      </c>
      <c r="T111" s="268" t="n"/>
      <c r="U111" s="268" t="n"/>
    </row>
    <row r="112" ht="18" customHeight="1" s="1053">
      <c r="A112" s="281" t="inlineStr">
        <is>
          <t>新宝利</t>
        </is>
      </c>
      <c r="B112" s="281" t="n">
        <v>4000464385</v>
      </c>
      <c r="C112" s="119" t="inlineStr">
        <is>
          <t>刘子填</t>
        </is>
      </c>
      <c r="D112" s="258" t="inlineStr">
        <is>
          <t>林志豪01</t>
        </is>
      </c>
      <c r="E112" s="258" t="inlineStr">
        <is>
          <t>B</t>
        </is>
      </c>
      <c r="F112" s="266" t="inlineStr">
        <is>
          <t>否</t>
        </is>
      </c>
      <c r="G112" s="266" t="inlineStr">
        <is>
          <t>陈中帅</t>
        </is>
      </c>
      <c r="H112" s="133">
        <f>VLOOKUP(B112,'零期·UV电访分配'!B:Q,7,0)</f>
        <v/>
      </c>
      <c r="I112" s="266" t="n"/>
      <c r="J112" s="266" t="n"/>
      <c r="K112" s="266" t="n"/>
      <c r="L112" s="267" t="inlineStr">
        <is>
          <t>黄铭怡</t>
        </is>
      </c>
      <c r="M112" s="133">
        <f>VLOOKUP(B112,'零期·UV电访分配'!B:Q,11,0)</f>
        <v/>
      </c>
      <c r="N112" s="267" t="n"/>
      <c r="O112" s="267" t="n"/>
      <c r="P112" s="267" t="n"/>
      <c r="Q112" s="268" t="inlineStr">
        <is>
          <t>肖锐03</t>
        </is>
      </c>
      <c r="R112" s="133">
        <f>VLOOKUP(B112,'零期·UV电访分配'!B:Q,15,0)</f>
        <v/>
      </c>
      <c r="S112" s="268" t="inlineStr">
        <is>
          <t>B</t>
        </is>
      </c>
      <c r="T112" s="268" t="n"/>
      <c r="U112" s="268" t="n"/>
    </row>
    <row r="113" ht="18" customHeight="1" s="1053">
      <c r="A113" s="281" t="inlineStr">
        <is>
          <t>新宝利</t>
        </is>
      </c>
      <c r="B113" s="281" t="n">
        <v>4299356242</v>
      </c>
      <c r="C113" s="119" t="inlineStr">
        <is>
          <t>段雨芯</t>
        </is>
      </c>
      <c r="D113" s="258" t="inlineStr">
        <is>
          <t>林志豪01</t>
        </is>
      </c>
      <c r="E113" s="258" t="inlineStr">
        <is>
          <t>B</t>
        </is>
      </c>
      <c r="F113" s="266" t="inlineStr">
        <is>
          <t>否</t>
        </is>
      </c>
      <c r="G113" s="266" t="inlineStr">
        <is>
          <t>陈中帅</t>
        </is>
      </c>
      <c r="H113" s="133">
        <f>VLOOKUP(B113,'零期·UV电访分配'!B:Q,7,0)</f>
        <v/>
      </c>
      <c r="I113" s="266" t="n"/>
      <c r="J113" s="266" t="n"/>
      <c r="K113" s="266" t="n"/>
      <c r="L113" s="267" t="inlineStr">
        <is>
          <t>李润</t>
        </is>
      </c>
      <c r="M113" s="133">
        <f>VLOOKUP(B113,'零期·UV电访分配'!B:Q,11,0)</f>
        <v/>
      </c>
      <c r="N113" s="267" t="n"/>
      <c r="O113" s="267" t="n"/>
      <c r="P113" s="267" t="n"/>
      <c r="Q113" s="268" t="inlineStr">
        <is>
          <t>肖锐03</t>
        </is>
      </c>
      <c r="R113" s="133">
        <f>VLOOKUP(B113,'零期·UV电访分配'!B:Q,15,0)</f>
        <v/>
      </c>
      <c r="S113" s="268" t="inlineStr">
        <is>
          <t>B</t>
        </is>
      </c>
      <c r="T113" s="268" t="n"/>
      <c r="U113" s="268" t="n"/>
    </row>
    <row r="114" ht="18" customHeight="1" s="1053">
      <c r="A114" s="281" t="inlineStr">
        <is>
          <t>新宝利</t>
        </is>
      </c>
      <c r="B114" s="281" t="n">
        <v>4616206863</v>
      </c>
      <c r="C114" s="119" t="inlineStr">
        <is>
          <t>毕子媛</t>
        </is>
      </c>
      <c r="D114" s="258" t="inlineStr">
        <is>
          <t>林志豪01</t>
        </is>
      </c>
      <c r="E114" s="258" t="inlineStr">
        <is>
          <t>B</t>
        </is>
      </c>
      <c r="F114" s="266" t="inlineStr">
        <is>
          <t>否</t>
        </is>
      </c>
      <c r="G114" s="266" t="inlineStr">
        <is>
          <t>陈中帅</t>
        </is>
      </c>
      <c r="H114" s="133">
        <f>VLOOKUP(B114,'零期·UV电访分配'!B:Q,7,0)</f>
        <v/>
      </c>
      <c r="I114" s="266" t="n"/>
      <c r="J114" s="266" t="n"/>
      <c r="K114" s="266" t="n"/>
      <c r="L114" s="267" t="inlineStr">
        <is>
          <t>黄铭怡</t>
        </is>
      </c>
      <c r="M114" s="133">
        <f>VLOOKUP(B114,'零期·UV电访分配'!B:Q,11,0)</f>
        <v/>
      </c>
      <c r="N114" s="267" t="n"/>
      <c r="O114" s="267" t="n"/>
      <c r="P114" s="267" t="n"/>
      <c r="Q114" s="268" t="inlineStr">
        <is>
          <t>肖锐03</t>
        </is>
      </c>
      <c r="R114" s="133">
        <f>VLOOKUP(B114,'零期·UV电访分配'!B:Q,15,0)</f>
        <v/>
      </c>
      <c r="S114" s="268" t="inlineStr">
        <is>
          <t>B</t>
        </is>
      </c>
      <c r="T114" s="268" t="n"/>
      <c r="U114" s="268" t="n"/>
    </row>
    <row r="115" ht="18" customHeight="1" s="1053">
      <c r="A115" s="269" t="inlineStr">
        <is>
          <t>新宝利</t>
        </is>
      </c>
      <c r="B115" s="269" t="n">
        <v>4827301500</v>
      </c>
      <c r="C115" s="258" t="inlineStr">
        <is>
          <t>郑茹月</t>
        </is>
      </c>
      <c r="D115" s="258" t="inlineStr">
        <is>
          <t>杨林33</t>
        </is>
      </c>
      <c r="E115" s="258" t="inlineStr">
        <is>
          <t>C</t>
        </is>
      </c>
      <c r="F115" s="266" t="inlineStr">
        <is>
          <t>否</t>
        </is>
      </c>
      <c r="G115" s="266" t="inlineStr">
        <is>
          <t>陈中帅</t>
        </is>
      </c>
      <c r="H115" s="133">
        <f>VLOOKUP(B115,'零期·UV电访分配'!B:Q,7,0)</f>
        <v/>
      </c>
      <c r="I115" s="266" t="inlineStr">
        <is>
          <t>C</t>
        </is>
      </c>
      <c r="J115" s="266" t="n"/>
      <c r="K115" s="266" t="n"/>
      <c r="L115" s="267" t="inlineStr">
        <is>
          <t>-</t>
        </is>
      </c>
      <c r="M115" s="133">
        <f>VLOOKUP(B115,'零期·UV电访分配'!B:Q,11,0)</f>
        <v/>
      </c>
      <c r="N115" s="267" t="n"/>
      <c r="O115" s="267" t="n"/>
      <c r="P115" s="267" t="n"/>
      <c r="Q115" s="268" t="inlineStr">
        <is>
          <t>肖锐03</t>
        </is>
      </c>
      <c r="R115" s="133">
        <f>VLOOKUP(B115,'零期·UV电访分配'!B:Q,15,0)</f>
        <v/>
      </c>
      <c r="S115" s="268" t="inlineStr">
        <is>
          <t>C</t>
        </is>
      </c>
      <c r="T115" s="268" t="n"/>
      <c r="U115" s="268"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51.75"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inlineStr">
        <is>
          <t>是</t>
        </is>
      </c>
      <c r="U117" s="216" t="inlineStr">
        <is>
          <t>要问孩子情况。有其他班，两边都很好，那边250一次课，按次付费。</t>
        </is>
      </c>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3">
      <c r="A122" s="119" t="n"/>
      <c r="B122" s="119" t="n"/>
      <c r="C122" s="119" t="n"/>
      <c r="D122" s="258" t="n"/>
      <c r="E122" s="258" t="n"/>
      <c r="F122" s="258" t="n"/>
      <c r="G122" s="258" t="n"/>
      <c r="H122" s="133" t="n"/>
      <c r="I122" s="258" t="n"/>
      <c r="J122" s="258" t="n"/>
      <c r="K122" s="258" t="n"/>
      <c r="L122" s="258" t="n"/>
      <c r="M122" s="133" t="n"/>
      <c r="N122" s="258" t="n"/>
      <c r="O122" s="258" t="n"/>
      <c r="P122" s="258" t="n"/>
      <c r="Q122" s="258" t="n"/>
      <c r="R122" s="258" t="n"/>
      <c r="S122" s="258" t="n"/>
      <c r="T122" s="258" t="n"/>
      <c r="U122" s="258" t="n"/>
    </row>
    <row r="123" ht="16.5" customHeight="1" s="1053">
      <c r="A123" s="119" t="n"/>
      <c r="B123" s="119" t="n"/>
      <c r="C123" s="119" t="n"/>
      <c r="D123" s="258" t="n"/>
      <c r="E123" s="258" t="n"/>
      <c r="F123" s="258" t="n"/>
      <c r="G123" s="258" t="n"/>
      <c r="H123" s="133" t="n"/>
      <c r="I123" s="258" t="n"/>
      <c r="J123" s="258" t="n"/>
      <c r="K123" s="258" t="n"/>
      <c r="L123" s="258" t="n"/>
      <c r="M123" s="133" t="n"/>
      <c r="N123" s="258" t="n"/>
      <c r="O123" s="258" t="n"/>
      <c r="P123" s="258" t="n"/>
      <c r="Q123" s="258" t="n"/>
      <c r="R123" s="258" t="n"/>
      <c r="S123" s="258" t="n"/>
      <c r="T123" s="258" t="n"/>
      <c r="U123" s="258" t="n"/>
    </row>
    <row r="124" ht="16.5" customHeight="1" s="1053">
      <c r="A124" s="421" t="n"/>
      <c r="B124" s="34" t="n"/>
      <c r="C124" s="34" t="n"/>
      <c r="D124" s="258" t="n"/>
      <c r="E124" s="258" t="n"/>
      <c r="F124" s="258" t="n"/>
      <c r="G124" s="258" t="n"/>
      <c r="H124" s="133" t="n"/>
      <c r="I124" s="258" t="n"/>
      <c r="J124" s="258" t="n"/>
      <c r="K124" s="258" t="n"/>
      <c r="L124" s="258" t="n"/>
      <c r="M124" s="133" t="n"/>
      <c r="N124" s="258" t="n"/>
      <c r="O124" s="258" t="n"/>
      <c r="P124" s="258" t="n"/>
      <c r="Q124" s="258" t="n"/>
      <c r="R124" s="258" t="n"/>
      <c r="S124" s="258" t="n"/>
      <c r="T124" s="258" t="n"/>
      <c r="U124" s="258" t="n"/>
    </row>
    <row r="125" ht="16.5" customHeight="1" s="1053">
      <c r="A125" s="421" t="n"/>
      <c r="B125" s="34" t="n"/>
      <c r="C125" s="34" t="n"/>
      <c r="D125" s="258" t="n"/>
      <c r="E125" s="258" t="n"/>
      <c r="F125" s="258" t="n"/>
      <c r="G125" s="258" t="n"/>
      <c r="H125" s="133" t="n"/>
      <c r="I125" s="258" t="n"/>
      <c r="J125" s="258" t="n"/>
      <c r="K125" s="258" t="n"/>
      <c r="L125" s="258" t="n"/>
      <c r="M125" s="133" t="n"/>
      <c r="N125" s="258" t="n"/>
      <c r="O125" s="258" t="n"/>
      <c r="P125" s="258" t="n"/>
      <c r="Q125" s="258" t="n"/>
      <c r="R125" s="258" t="n"/>
      <c r="S125" s="258" t="n"/>
      <c r="T125" s="258" t="n"/>
      <c r="U125" s="258" t="n"/>
    </row>
    <row r="126" ht="16.5" customHeight="1" s="1053">
      <c r="A126" s="281" t="n"/>
      <c r="B126" s="281" t="n"/>
      <c r="C126" s="119" t="n"/>
      <c r="D126" s="258" t="n"/>
      <c r="E126" s="258" t="n"/>
      <c r="F126" s="258" t="n"/>
      <c r="G126" s="258" t="n"/>
      <c r="H126" s="133" t="n"/>
      <c r="I126" s="258" t="n"/>
      <c r="J126" s="258" t="n"/>
      <c r="K126" s="258" t="n"/>
      <c r="L126" s="258" t="n"/>
      <c r="M126" s="258" t="n"/>
      <c r="N126" s="258" t="n"/>
      <c r="O126" s="258" t="n"/>
      <c r="P126" s="258" t="n"/>
      <c r="Q126" s="258" t="n"/>
      <c r="R126" s="258" t="n"/>
      <c r="S126" s="258" t="n"/>
      <c r="T126" s="258" t="n"/>
      <c r="U126" s="258" t="n"/>
    </row>
    <row r="127" ht="16.5" customHeight="1" s="1053">
      <c r="A127" s="281" t="n"/>
      <c r="B127" s="281" t="n"/>
      <c r="C127" s="119" t="n"/>
      <c r="H127" s="133" t="n"/>
    </row>
    <row r="128" ht="16.5" customHeight="1" s="1053">
      <c r="A128" s="281" t="n"/>
      <c r="B128" s="281" t="n"/>
      <c r="C128" s="119" t="n"/>
      <c r="H128" s="133" t="n"/>
    </row>
    <row r="129" ht="16.5" customHeight="1" s="1053">
      <c r="A129" s="281" t="n"/>
      <c r="B129" s="281" t="n"/>
      <c r="C129" s="119" t="n"/>
      <c r="H129" s="133" t="n"/>
    </row>
    <row r="130" ht="16.5" customHeight="1" s="1053">
      <c r="A130" s="281" t="n"/>
      <c r="B130" s="281" t="n"/>
      <c r="C130" s="119" t="n"/>
      <c r="H130" s="133" t="n"/>
    </row>
    <row r="131" ht="16.5" customHeight="1" s="1053">
      <c r="A131" s="421" t="n"/>
      <c r="B131" s="34" t="n"/>
      <c r="C131" s="34" t="n"/>
      <c r="H131" s="133" t="n"/>
    </row>
    <row r="132" ht="16.5" customHeight="1" s="1053">
      <c r="A132" s="281" t="n"/>
      <c r="B132" s="281" t="n"/>
      <c r="C132" s="119" t="n"/>
    </row>
    <row r="133" ht="16.5" customHeight="1" s="1053">
      <c r="A133" s="281" t="n"/>
      <c r="B133" s="281" t="n"/>
      <c r="C133" s="119" t="n"/>
    </row>
    <row r="134" ht="16.5" customHeight="1" s="1053">
      <c r="A134" s="281" t="n"/>
      <c r="B134" s="281" t="n"/>
      <c r="C134" s="119" t="n"/>
    </row>
    <row r="135" ht="16.5" customHeight="1" s="1053">
      <c r="A135" s="281" t="n"/>
      <c r="B135" s="281" t="n"/>
      <c r="C135" s="119" t="n"/>
    </row>
    <row r="136" ht="16.5" customHeight="1" s="1053">
      <c r="A136" s="281" t="n"/>
      <c r="B136" s="281" t="n"/>
      <c r="C136" s="119" t="n"/>
    </row>
    <row r="137" ht="16.5" customHeight="1" s="1053">
      <c r="A137" s="281" t="n"/>
      <c r="B137" s="281" t="n"/>
      <c r="C137" s="119" t="n"/>
    </row>
    <row r="138" ht="16.5" customHeight="1" s="1053">
      <c r="A138" s="281" t="n"/>
      <c r="B138" s="281" t="n"/>
      <c r="C138" s="119" t="n"/>
    </row>
    <row r="139" ht="16.5" customHeight="1" s="1053">
      <c r="A139" s="281" t="n"/>
      <c r="B139" s="281" t="n"/>
      <c r="C139" s="119" t="n"/>
    </row>
    <row r="140" ht="16.5" customHeight="1" s="1053">
      <c r="A140" s="421" t="n"/>
      <c r="B140" s="34" t="n"/>
      <c r="C140" s="34" t="n"/>
    </row>
    <row r="141" ht="16.5" customHeight="1" s="1053">
      <c r="A141" s="281" t="n"/>
      <c r="B141" s="281" t="n"/>
      <c r="C141" s="119" t="n"/>
    </row>
    <row r="142" ht="16.5" customHeight="1" s="1053">
      <c r="A142" s="421" t="n"/>
      <c r="B142" s="34" t="n"/>
      <c r="C142" s="34" t="n"/>
    </row>
    <row r="143" ht="16.5" customHeight="1" s="1053">
      <c r="A143" s="421" t="n"/>
      <c r="B143" s="34" t="n"/>
      <c r="C143" s="34" t="n"/>
    </row>
    <row r="144" ht="16.5" customHeight="1" s="1053">
      <c r="A144" s="281" t="n"/>
      <c r="B144" s="281" t="n"/>
      <c r="C144" s="119" t="n"/>
    </row>
    <row r="145" ht="16.5" customHeight="1" s="1053">
      <c r="A145" s="281" t="n"/>
      <c r="B145" s="281" t="n"/>
      <c r="C145" s="119" t="n"/>
    </row>
    <row r="146" ht="16.5" customHeight="1" s="1053">
      <c r="A146" s="281" t="n"/>
      <c r="B146" s="281" t="n"/>
      <c r="C146" s="119" t="n"/>
    </row>
    <row r="147" ht="16.5" customHeight="1" s="1053">
      <c r="A147" s="281" t="n"/>
      <c r="B147" s="281" t="n"/>
      <c r="C147" s="119" t="n"/>
    </row>
    <row r="148" ht="16.5" customHeight="1" s="1053">
      <c r="A148" s="281" t="n"/>
      <c r="B148" s="281" t="n"/>
      <c r="C148" s="119" t="n"/>
    </row>
    <row r="149" ht="16.5" customHeight="1" s="1053">
      <c r="A149" s="281" t="n"/>
      <c r="B149" s="281" t="n"/>
      <c r="C149" s="119" t="n"/>
    </row>
    <row r="150" ht="16.5" customHeight="1" s="1053">
      <c r="A150" s="281" t="n"/>
      <c r="B150" s="281" t="n"/>
      <c r="C150" s="119" t="n"/>
    </row>
    <row r="151" ht="16.5" customHeight="1" s="1053">
      <c r="A151" s="421" t="n"/>
      <c r="B151" s="34" t="n"/>
      <c r="C151" s="34" t="n"/>
    </row>
    <row r="152" ht="16.5" customHeight="1" s="1053">
      <c r="A152" s="281" t="n"/>
      <c r="B152" s="281" t="n"/>
      <c r="C152" s="119" t="n"/>
    </row>
    <row r="153" ht="16.5" customHeight="1" s="1053">
      <c r="A153" s="281" t="n"/>
      <c r="B153" s="281" t="n"/>
      <c r="C153" s="119" t="n"/>
    </row>
    <row r="154" ht="16.5" customHeight="1" s="1053">
      <c r="A154" s="281" t="n"/>
      <c r="B154" s="281" t="n"/>
      <c r="C154" s="119" t="n"/>
    </row>
    <row r="155" ht="16.5" customHeight="1" s="1053">
      <c r="A155" s="421" t="n"/>
      <c r="B155" s="34" t="n"/>
      <c r="C155" s="34" t="n"/>
    </row>
    <row r="156" ht="16.5" customHeight="1" s="1053">
      <c r="A156" s="281" t="n"/>
      <c r="B156" s="281" t="n"/>
      <c r="C156" s="119" t="n"/>
    </row>
    <row r="157" ht="16.5" customHeight="1" s="1053">
      <c r="A157" s="421" t="n"/>
      <c r="B157" s="34" t="n"/>
      <c r="C157" s="34" t="n"/>
    </row>
    <row r="158" ht="16.5" customHeight="1" s="1053">
      <c r="A158" s="281" t="n"/>
      <c r="B158" s="281" t="n"/>
      <c r="C158" s="119" t="n"/>
    </row>
    <row r="159" ht="16.5" customHeight="1" s="1053">
      <c r="A159" s="281" t="n"/>
      <c r="B159" s="281" t="n"/>
      <c r="C159" s="119" t="n"/>
    </row>
    <row r="160" ht="16.5" customHeight="1" s="1053">
      <c r="A160" s="281" t="n"/>
      <c r="B160" s="281" t="n"/>
      <c r="C160" s="119" t="n"/>
    </row>
    <row r="161" ht="16.5" customHeight="1" s="1053">
      <c r="A161" s="281" t="n"/>
      <c r="B161" s="281" t="n"/>
      <c r="C161" s="119" t="n"/>
    </row>
    <row r="162" ht="16.5" customHeight="1" s="1053">
      <c r="A162" s="421" t="n"/>
      <c r="B162" s="34" t="n"/>
      <c r="C162" s="34" t="n"/>
    </row>
    <row r="163" ht="16.5" customHeight="1" s="1053">
      <c r="A163" s="281" t="n"/>
      <c r="B163" s="281" t="n"/>
      <c r="C163" s="119" t="n"/>
    </row>
    <row r="164" ht="16.5" customHeight="1" s="1053">
      <c r="A164" s="281" t="n"/>
      <c r="B164" s="281" t="n"/>
      <c r="C164" s="119" t="n"/>
    </row>
    <row r="165" ht="16.5" customHeight="1" s="1053">
      <c r="A165" s="281" t="n"/>
      <c r="B165" s="281" t="n"/>
      <c r="C165" s="119" t="n"/>
    </row>
    <row r="166" ht="16.5" customHeight="1" s="1053">
      <c r="A166" s="281" t="n"/>
      <c r="B166" s="281" t="n"/>
      <c r="C166" s="119" t="n"/>
    </row>
    <row r="167" ht="16.5" customHeight="1" s="1053">
      <c r="A167" s="281" t="n"/>
      <c r="B167" s="281" t="n"/>
      <c r="C167" s="119" t="n"/>
    </row>
    <row r="168" ht="16.5" customHeight="1" s="1053">
      <c r="A168" s="281" t="n"/>
      <c r="B168" s="281" t="n"/>
      <c r="C168" s="119" t="n"/>
    </row>
    <row r="169" ht="16.5" customHeight="1" s="1053">
      <c r="A169" s="421" t="n"/>
      <c r="B169" s="34" t="n"/>
      <c r="C169" s="34" t="n"/>
    </row>
    <row r="170" ht="16.5" customHeight="1" s="1053">
      <c r="A170" s="366" t="n"/>
      <c r="B170" s="281" t="n"/>
      <c r="C170" s="119" t="n"/>
    </row>
    <row r="171" ht="16.5" customHeight="1" s="1053"/>
  </sheetData>
  <autoFilter ref="A1:XFD1048576"/>
  <conditionalFormatting sqref="C1">
    <cfRule type="duplicateValues" priority="9" dxfId="0"/>
  </conditionalFormatting>
  <conditionalFormatting sqref="C84 C86:C88 C98 C107 C112:C114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3 C85:C86 C89:C97 C99:C111 C115 C118:C119 C12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21" min="1" max="3"/>
    <col hidden="1" width="10" customWidth="1" style="421" min="4" max="6"/>
    <col width="10" customWidth="1" style="421" min="7" max="8"/>
    <col width="14.1240234375" customWidth="1" style="421" min="9" max="9"/>
    <col width="10" customWidth="1" style="421" min="10" max="26"/>
    <col width="20.7333984375" customWidth="1" style="421" min="27" max="27"/>
    <col width="10" customWidth="1" style="421" min="28" max="30"/>
    <col width="19.3330078125" customWidth="1" style="421" min="31" max="31"/>
    <col width="30.375" customWidth="1" style="475" min="32" max="32"/>
  </cols>
  <sheetData>
    <row r="1" ht="16.5" customHeight="1" s="1053">
      <c r="A1" s="469" t="inlineStr"/>
      <c r="B1" s="469" t="inlineStr">
        <is>
          <t>提交答卷时间</t>
        </is>
      </c>
      <c r="C1" s="469" t="inlineStr">
        <is>
          <t>所用时间</t>
        </is>
      </c>
      <c r="D1" s="469" t="inlineStr">
        <is>
          <t>来源</t>
        </is>
      </c>
      <c r="E1" s="469" t="inlineStr">
        <is>
          <t>来源详情</t>
        </is>
      </c>
      <c r="F1" s="469" t="inlineStr">
        <is>
          <t>来自IP</t>
        </is>
      </c>
      <c r="G1" s="469" t="inlineStr">
        <is>
          <t>总分</t>
        </is>
      </c>
      <c r="H1" s="469" t="inlineStr">
        <is>
          <t>1、孩子的名字【后台隐藏】</t>
        </is>
      </c>
      <c r="I1" s="469" t="inlineStr">
        <is>
          <t>2、暑假在读科目</t>
        </is>
      </c>
      <c r="J1" s="469" t="inlineStr">
        <is>
          <t>3、数学老师—教学水平高，讲课清晰</t>
        </is>
      </c>
      <c r="K1" s="469" t="inlineStr">
        <is>
          <t>3、认真负责，耐心解答</t>
        </is>
      </c>
      <c r="L1" s="469" t="inlineStr">
        <is>
          <t>3、主动反馈学生学习情况</t>
        </is>
      </c>
      <c r="M1" s="469" t="inlineStr">
        <is>
          <t>3、孩子喜欢上老师的课</t>
        </is>
      </c>
      <c r="N1" s="469" t="inlineStr">
        <is>
          <t>3、数学老师的总体评价</t>
        </is>
      </c>
      <c r="O1" s="469" t="inlineStr">
        <is>
          <t>4、语文老师—教学水平高，讲课清晰</t>
        </is>
      </c>
      <c r="P1" s="469" t="inlineStr">
        <is>
          <t>4、认真负责，耐心解答</t>
        </is>
      </c>
      <c r="Q1" s="469" t="inlineStr">
        <is>
          <t>4、主动反馈学生学习情况</t>
        </is>
      </c>
      <c r="R1" s="469" t="inlineStr">
        <is>
          <t>4、孩子喜欢上老师的课</t>
        </is>
      </c>
      <c r="S1" s="469" t="inlineStr">
        <is>
          <t>4、语文老师的总体评价</t>
        </is>
      </c>
      <c r="T1" s="469" t="inlineStr">
        <is>
          <t>5、英语老师—教学水平高，讲课清晰</t>
        </is>
      </c>
      <c r="U1" s="469" t="inlineStr">
        <is>
          <t>5、认真负责，耐心解答</t>
        </is>
      </c>
      <c r="V1" s="469" t="inlineStr">
        <is>
          <t>5、主动反馈学生学习情况</t>
        </is>
      </c>
      <c r="W1" s="469" t="inlineStr">
        <is>
          <t>5、孩子喜欢上老师的课</t>
        </is>
      </c>
      <c r="X1" s="469" t="inlineStr">
        <is>
          <t>5、英语老师的总体评价</t>
        </is>
      </c>
      <c r="Y1" s="469" t="inlineStr">
        <is>
          <t>6、暑假课后，孩子最近的学习变化</t>
        </is>
      </c>
      <c r="Z1" s="469" t="inlineStr">
        <is>
          <t>7、孩子的学习兴趣有变化吗？</t>
        </is>
      </c>
      <c r="AA1" s="469" t="inlineStr">
        <is>
          <t>8、孩子有以下哪些方面的改变（多选题）</t>
        </is>
      </c>
      <c r="AB1" s="469" t="inlineStr">
        <is>
          <t>9、对于暑假课程综合满意度</t>
        </is>
      </c>
      <c r="AC1" s="469" t="inlineStr">
        <is>
          <t>10、如果秋季（16次），你觉得课程值多少？</t>
        </is>
      </c>
      <c r="AD1" s="469" t="inlineStr">
        <is>
          <t>11、下学期您是否愿意给孩子报名</t>
        </is>
      </c>
      <c r="AE1" s="469" t="inlineStr">
        <is>
          <t>12、你不打算续报或还在犹豫，主要原因</t>
        </is>
      </c>
      <c r="AF1" s="469" t="inlineStr">
        <is>
          <t>13、请您留下您宝贵的建议/意见</t>
        </is>
      </c>
    </row>
    <row r="2" ht="16.5" customHeight="1" s="1053">
      <c r="A2" s="470" t="inlineStr">
        <is>
          <t>1</t>
        </is>
      </c>
      <c r="B2" s="471" t="n">
        <v>46205.79353009259</v>
      </c>
      <c r="C2" s="469" t="inlineStr">
        <is>
          <t>61秒</t>
        </is>
      </c>
      <c r="D2" s="469" t="inlineStr">
        <is>
          <t>微信</t>
        </is>
      </c>
      <c r="E2" s="469" t="inlineStr">
        <is>
          <t>N/A</t>
        </is>
      </c>
      <c r="F2" s="469" t="inlineStr">
        <is>
          <t>14.31.160.117(广东-广州)</t>
        </is>
      </c>
      <c r="G2" s="470" t="inlineStr">
        <is>
          <t>75</t>
        </is>
      </c>
      <c r="H2" s="469" t="inlineStr">
        <is>
          <t>孟庆宇</t>
        </is>
      </c>
      <c r="I2" s="469" t="inlineStr">
        <is>
          <t>语文┋数学┋英语</t>
        </is>
      </c>
      <c r="J2" s="470" t="inlineStr">
        <is>
          <t>5</t>
        </is>
      </c>
      <c r="K2" s="470" t="inlineStr">
        <is>
          <t>5</t>
        </is>
      </c>
      <c r="L2" s="470" t="inlineStr">
        <is>
          <t>5</t>
        </is>
      </c>
      <c r="M2" s="470" t="inlineStr">
        <is>
          <t>5</t>
        </is>
      </c>
      <c r="N2" s="470" t="inlineStr">
        <is>
          <t>5</t>
        </is>
      </c>
      <c r="O2" s="470" t="inlineStr">
        <is>
          <t>5</t>
        </is>
      </c>
      <c r="P2" s="470" t="inlineStr">
        <is>
          <t>5</t>
        </is>
      </c>
      <c r="Q2" s="470" t="inlineStr">
        <is>
          <t>5</t>
        </is>
      </c>
      <c r="R2" s="470" t="inlineStr">
        <is>
          <t>5</t>
        </is>
      </c>
      <c r="S2" s="470" t="inlineStr">
        <is>
          <t>5</t>
        </is>
      </c>
      <c r="T2" s="470" t="inlineStr">
        <is>
          <t>5</t>
        </is>
      </c>
      <c r="U2" s="470" t="inlineStr">
        <is>
          <t>5</t>
        </is>
      </c>
      <c r="V2" s="470" t="inlineStr">
        <is>
          <t>5</t>
        </is>
      </c>
      <c r="W2" s="470" t="inlineStr">
        <is>
          <t>5</t>
        </is>
      </c>
      <c r="X2" s="470" t="inlineStr">
        <is>
          <t>5</t>
        </is>
      </c>
      <c r="Y2" s="469" t="inlineStr">
        <is>
          <t>略有进步</t>
        </is>
      </c>
      <c r="Z2" s="469" t="inlineStr">
        <is>
          <t>有所提高</t>
        </is>
      </c>
      <c r="AA2" s="469" t="inlineStr">
        <is>
          <t>主动完成作业，不用催┋做作业正确率提高了</t>
        </is>
      </c>
      <c r="AB2" s="469" t="inlineStr">
        <is>
          <t>满意</t>
        </is>
      </c>
      <c r="AC2" s="470" t="inlineStr">
        <is>
          <t>3800</t>
        </is>
      </c>
      <c r="AD2" s="469" t="inlineStr">
        <is>
          <t>还在犹豫</t>
        </is>
      </c>
      <c r="AE2" s="469" t="inlineStr">
        <is>
          <t>提前报了其他机构了</t>
        </is>
      </c>
      <c r="AF2" s="469" t="inlineStr">
        <is>
          <t>无</t>
        </is>
      </c>
    </row>
    <row r="3" ht="16.5" customHeight="1" s="1053">
      <c r="A3" s="470" t="inlineStr">
        <is>
          <t>2</t>
        </is>
      </c>
      <c r="B3" s="471" t="n">
        <v>46205.79409722222</v>
      </c>
      <c r="C3" s="469" t="inlineStr">
        <is>
          <t>63秒</t>
        </is>
      </c>
      <c r="D3" s="469" t="inlineStr">
        <is>
          <t>微信</t>
        </is>
      </c>
      <c r="E3" s="469" t="inlineStr">
        <is>
          <t>N/A</t>
        </is>
      </c>
      <c r="F3" s="469" t="inlineStr">
        <is>
          <t>223.104.80.157(广东-广州)</t>
        </is>
      </c>
      <c r="G3" s="470" t="inlineStr">
        <is>
          <t>73</t>
        </is>
      </c>
      <c r="H3" s="469" t="inlineStr">
        <is>
          <t>陈秉谦</t>
        </is>
      </c>
      <c r="I3" s="469" t="inlineStr">
        <is>
          <t>语文┋英语</t>
        </is>
      </c>
      <c r="J3" s="470" t="inlineStr">
        <is>
          <t>5</t>
        </is>
      </c>
      <c r="K3" s="470" t="inlineStr">
        <is>
          <t>5</t>
        </is>
      </c>
      <c r="L3" s="470" t="inlineStr">
        <is>
          <t>5</t>
        </is>
      </c>
      <c r="M3" s="470" t="inlineStr">
        <is>
          <t>5</t>
        </is>
      </c>
      <c r="N3" s="470" t="inlineStr">
        <is>
          <t>5</t>
        </is>
      </c>
      <c r="O3" s="470" t="inlineStr">
        <is>
          <t>5</t>
        </is>
      </c>
      <c r="P3" s="470" t="inlineStr">
        <is>
          <t>5</t>
        </is>
      </c>
      <c r="Q3" s="470" t="inlineStr">
        <is>
          <t>5</t>
        </is>
      </c>
      <c r="R3" s="470" t="inlineStr">
        <is>
          <t>5</t>
        </is>
      </c>
      <c r="S3" s="470" t="inlineStr">
        <is>
          <t>5</t>
        </is>
      </c>
      <c r="T3" s="470" t="inlineStr">
        <is>
          <t>5</t>
        </is>
      </c>
      <c r="U3" s="470" t="inlineStr">
        <is>
          <t>5</t>
        </is>
      </c>
      <c r="V3" s="470" t="inlineStr">
        <is>
          <t>5</t>
        </is>
      </c>
      <c r="W3" s="470" t="inlineStr">
        <is>
          <t>4</t>
        </is>
      </c>
      <c r="X3" s="470" t="inlineStr">
        <is>
          <t>4</t>
        </is>
      </c>
      <c r="Y3" s="469" t="inlineStr">
        <is>
          <t>略有进步</t>
        </is>
      </c>
      <c r="Z3" s="469" t="inlineStr">
        <is>
          <t>有所提高</t>
        </is>
      </c>
      <c r="AA3" s="469" t="inlineStr">
        <is>
          <t>做作业正确率提高了</t>
        </is>
      </c>
      <c r="AB3" s="469" t="inlineStr">
        <is>
          <t>满意</t>
        </is>
      </c>
      <c r="AC3" s="470" t="inlineStr">
        <is>
          <t>3800</t>
        </is>
      </c>
      <c r="AD3" s="469" t="inlineStr">
        <is>
          <t>还在犹豫</t>
        </is>
      </c>
      <c r="AE3" s="469" t="inlineStr">
        <is>
          <t>提前报了其他机构了</t>
        </is>
      </c>
      <c r="AF3" s="470" t="inlineStr">
        <is>
          <t>1</t>
        </is>
      </c>
    </row>
    <row r="4" ht="16.5" customHeight="1" s="1053">
      <c r="A4" s="470" t="inlineStr">
        <is>
          <t>3</t>
        </is>
      </c>
      <c r="B4" s="471" t="n">
        <v>46205.79503472222</v>
      </c>
      <c r="C4" s="469" t="inlineStr">
        <is>
          <t>163秒</t>
        </is>
      </c>
      <c r="D4" s="469" t="inlineStr">
        <is>
          <t>微信</t>
        </is>
      </c>
      <c r="E4" s="469" t="inlineStr">
        <is>
          <t>N/A</t>
        </is>
      </c>
      <c r="F4" s="469" t="inlineStr">
        <is>
          <t>58.20.71.47(湖南-长沙)</t>
        </is>
      </c>
      <c r="G4" s="470" t="inlineStr">
        <is>
          <t>75</t>
        </is>
      </c>
      <c r="H4" s="469" t="inlineStr">
        <is>
          <t>黎晶晶黎莹莹</t>
        </is>
      </c>
      <c r="I4" s="469" t="inlineStr">
        <is>
          <t>语文┋数学┋英语</t>
        </is>
      </c>
      <c r="J4" s="470" t="inlineStr">
        <is>
          <t>5</t>
        </is>
      </c>
      <c r="K4" s="470" t="inlineStr">
        <is>
          <t>5</t>
        </is>
      </c>
      <c r="L4" s="470" t="inlineStr">
        <is>
          <t>5</t>
        </is>
      </c>
      <c r="M4" s="470" t="inlineStr">
        <is>
          <t>5</t>
        </is>
      </c>
      <c r="N4" s="470" t="inlineStr">
        <is>
          <t>5</t>
        </is>
      </c>
      <c r="O4" s="470" t="inlineStr">
        <is>
          <t>5</t>
        </is>
      </c>
      <c r="P4" s="470" t="inlineStr">
        <is>
          <t>5</t>
        </is>
      </c>
      <c r="Q4" s="470" t="inlineStr">
        <is>
          <t>5</t>
        </is>
      </c>
      <c r="R4" s="470" t="inlineStr">
        <is>
          <t>5</t>
        </is>
      </c>
      <c r="S4" s="470" t="inlineStr">
        <is>
          <t>5</t>
        </is>
      </c>
      <c r="T4" s="470" t="inlineStr">
        <is>
          <t>5</t>
        </is>
      </c>
      <c r="U4" s="470" t="inlineStr">
        <is>
          <t>5</t>
        </is>
      </c>
      <c r="V4" s="470" t="inlineStr">
        <is>
          <t>5</t>
        </is>
      </c>
      <c r="W4" s="470" t="inlineStr">
        <is>
          <t>5</t>
        </is>
      </c>
      <c r="X4" s="470" t="inlineStr">
        <is>
          <t>5</t>
        </is>
      </c>
      <c r="Y4" s="469" t="inlineStr">
        <is>
          <t>明显进步</t>
        </is>
      </c>
      <c r="Z4" s="469" t="inlineStr">
        <is>
          <t>兴趣明显提高</t>
        </is>
      </c>
      <c r="AA4" s="469" t="inlineStr">
        <is>
          <t>主动完成作业，不用催</t>
        </is>
      </c>
      <c r="AB4" s="469" t="inlineStr">
        <is>
          <t>非常满意</t>
        </is>
      </c>
      <c r="AC4" s="470" t="inlineStr">
        <is>
          <t>3800</t>
        </is>
      </c>
      <c r="AD4" s="469" t="inlineStr">
        <is>
          <t>还在犹豫</t>
        </is>
      </c>
      <c r="AE4" s="469" t="inlineStr">
        <is>
          <t>时间安排冲突</t>
        </is>
      </c>
      <c r="AF4" s="469" t="inlineStr">
        <is>
          <t>老师们都很认真负责。</t>
        </is>
      </c>
    </row>
    <row r="5" ht="16.5" customHeight="1" s="1053">
      <c r="A5" s="470" t="inlineStr">
        <is>
          <t>4</t>
        </is>
      </c>
      <c r="B5" s="471" t="n">
        <v>46205.80024305556</v>
      </c>
      <c r="C5" s="469" t="inlineStr">
        <is>
          <t>615秒</t>
        </is>
      </c>
      <c r="D5" s="469" t="inlineStr">
        <is>
          <t>微信</t>
        </is>
      </c>
      <c r="E5" s="469" t="inlineStr">
        <is>
          <t>N/A</t>
        </is>
      </c>
      <c r="F5" s="469" t="inlineStr">
        <is>
          <t>223.73.56.152(广东-广州)</t>
        </is>
      </c>
      <c r="G5" s="470" t="inlineStr">
        <is>
          <t>75</t>
        </is>
      </c>
      <c r="H5" s="469" t="inlineStr">
        <is>
          <t>戴圆圆</t>
        </is>
      </c>
      <c r="I5" s="469" t="inlineStr">
        <is>
          <t>数学┋英语</t>
        </is>
      </c>
      <c r="J5" s="470" t="inlineStr">
        <is>
          <t>5</t>
        </is>
      </c>
      <c r="K5" s="470" t="inlineStr">
        <is>
          <t>5</t>
        </is>
      </c>
      <c r="L5" s="470" t="inlineStr">
        <is>
          <t>5</t>
        </is>
      </c>
      <c r="M5" s="470" t="inlineStr">
        <is>
          <t>5</t>
        </is>
      </c>
      <c r="N5" s="470" t="inlineStr">
        <is>
          <t>5</t>
        </is>
      </c>
      <c r="O5" s="470" t="inlineStr">
        <is>
          <t>5</t>
        </is>
      </c>
      <c r="P5" s="470" t="inlineStr">
        <is>
          <t>5</t>
        </is>
      </c>
      <c r="Q5" s="470" t="inlineStr">
        <is>
          <t>5</t>
        </is>
      </c>
      <c r="R5" s="470" t="inlineStr">
        <is>
          <t>5</t>
        </is>
      </c>
      <c r="S5" s="470" t="inlineStr">
        <is>
          <t>5</t>
        </is>
      </c>
      <c r="T5" s="470" t="inlineStr">
        <is>
          <t>5</t>
        </is>
      </c>
      <c r="U5" s="470" t="inlineStr">
        <is>
          <t>5</t>
        </is>
      </c>
      <c r="V5" s="470" t="inlineStr">
        <is>
          <t>5</t>
        </is>
      </c>
      <c r="W5" s="470" t="inlineStr">
        <is>
          <t>5</t>
        </is>
      </c>
      <c r="X5" s="470" t="inlineStr">
        <is>
          <t>5</t>
        </is>
      </c>
      <c r="Y5" s="469" t="inlineStr">
        <is>
          <t>上课不久，暂未体现</t>
        </is>
      </c>
      <c r="Z5" s="469" t="inlineStr">
        <is>
          <t>说不清楚</t>
        </is>
      </c>
      <c r="AA5" s="469" t="inlineStr">
        <is>
          <t>主动完成作业，不用催</t>
        </is>
      </c>
      <c r="AB5" s="469" t="inlineStr">
        <is>
          <t>非常满意</t>
        </is>
      </c>
      <c r="AC5" s="470" t="inlineStr">
        <is>
          <t>3800</t>
        </is>
      </c>
      <c r="AD5" s="469" t="inlineStr">
        <is>
          <t>还在犹豫</t>
        </is>
      </c>
      <c r="AE5" s="469" t="inlineStr">
        <is>
          <t>价格偏贵</t>
        </is>
      </c>
      <c r="AF5" s="469" t="inlineStr">
        <is>
          <t>希望价格便宜一点</t>
        </is>
      </c>
    </row>
    <row r="6" ht="16.5" customHeight="1" s="1053">
      <c r="A6" s="470" t="inlineStr">
        <is>
          <t>5</t>
        </is>
      </c>
      <c r="B6" s="471" t="n">
        <v>46205.80287037037</v>
      </c>
      <c r="C6" s="469" t="inlineStr">
        <is>
          <t>108秒</t>
        </is>
      </c>
      <c r="D6" s="469" t="inlineStr">
        <is>
          <t>微信</t>
        </is>
      </c>
      <c r="E6" s="469" t="inlineStr">
        <is>
          <t>N/A</t>
        </is>
      </c>
      <c r="F6" s="469" t="inlineStr">
        <is>
          <t>120.235.228.77(广东-广州)</t>
        </is>
      </c>
      <c r="G6" s="470" t="inlineStr">
        <is>
          <t>75</t>
        </is>
      </c>
      <c r="H6" s="469" t="inlineStr">
        <is>
          <t>李宸熙</t>
        </is>
      </c>
      <c r="I6" s="469" t="inlineStr">
        <is>
          <t>语文┋数学┋英语</t>
        </is>
      </c>
      <c r="J6" s="470" t="inlineStr">
        <is>
          <t>5</t>
        </is>
      </c>
      <c r="K6" s="470" t="inlineStr">
        <is>
          <t>5</t>
        </is>
      </c>
      <c r="L6" s="470" t="inlineStr">
        <is>
          <t>5</t>
        </is>
      </c>
      <c r="M6" s="470" t="inlineStr">
        <is>
          <t>5</t>
        </is>
      </c>
      <c r="N6" s="470" t="inlineStr">
        <is>
          <t>5</t>
        </is>
      </c>
      <c r="O6" s="470" t="inlineStr">
        <is>
          <t>5</t>
        </is>
      </c>
      <c r="P6" s="470" t="inlineStr">
        <is>
          <t>5</t>
        </is>
      </c>
      <c r="Q6" s="470" t="inlineStr">
        <is>
          <t>5</t>
        </is>
      </c>
      <c r="R6" s="470" t="inlineStr">
        <is>
          <t>5</t>
        </is>
      </c>
      <c r="S6" s="470" t="inlineStr">
        <is>
          <t>5</t>
        </is>
      </c>
      <c r="T6" s="470" t="inlineStr">
        <is>
          <t>5</t>
        </is>
      </c>
      <c r="U6" s="470" t="inlineStr">
        <is>
          <t>5</t>
        </is>
      </c>
      <c r="V6" s="470" t="inlineStr">
        <is>
          <t>5</t>
        </is>
      </c>
      <c r="W6" s="470" t="inlineStr">
        <is>
          <t>5</t>
        </is>
      </c>
      <c r="X6" s="470" t="inlineStr">
        <is>
          <t>5</t>
        </is>
      </c>
      <c r="Y6" s="469" t="inlineStr">
        <is>
          <t>略有进步</t>
        </is>
      </c>
      <c r="Z6" s="469" t="inlineStr">
        <is>
          <t>有所提高</t>
        </is>
      </c>
      <c r="AA6" s="469" t="inlineStr">
        <is>
          <t>写字/计算/单词/学习等学习基本习惯有进步</t>
        </is>
      </c>
      <c r="AB6" s="469" t="inlineStr">
        <is>
          <t>非常满意</t>
        </is>
      </c>
      <c r="AC6" s="470" t="inlineStr">
        <is>
          <t>3800</t>
        </is>
      </c>
      <c r="AD6" s="469" t="inlineStr">
        <is>
          <t>大概率会报</t>
        </is>
      </c>
      <c r="AE6" s="469" t="inlineStr">
        <is>
          <t>其他</t>
        </is>
      </c>
      <c r="AF6" s="469" t="inlineStr">
        <is>
          <t>无</t>
        </is>
      </c>
    </row>
    <row r="7" ht="16.5" customHeight="1" s="1053">
      <c r="A7" s="470" t="inlineStr">
        <is>
          <t>6</t>
        </is>
      </c>
      <c r="B7" s="471" t="n">
        <v>46205.80969907407</v>
      </c>
      <c r="C7" s="469" t="inlineStr">
        <is>
          <t>126秒</t>
        </is>
      </c>
      <c r="D7" s="469" t="inlineStr">
        <is>
          <t>微信</t>
        </is>
      </c>
      <c r="E7" s="469" t="inlineStr">
        <is>
          <t>N/A</t>
        </is>
      </c>
      <c r="F7" s="469" t="inlineStr">
        <is>
          <t>223.104.67.5(广东-广州)</t>
        </is>
      </c>
      <c r="G7" s="470" t="inlineStr">
        <is>
          <t>75</t>
        </is>
      </c>
      <c r="H7" s="469" t="inlineStr">
        <is>
          <t>李泓睿</t>
        </is>
      </c>
      <c r="I7" s="469" t="inlineStr">
        <is>
          <t>语文┋数学┋英语</t>
        </is>
      </c>
      <c r="J7" s="470" t="inlineStr">
        <is>
          <t>5</t>
        </is>
      </c>
      <c r="K7" s="470" t="inlineStr">
        <is>
          <t>5</t>
        </is>
      </c>
      <c r="L7" s="470" t="inlineStr">
        <is>
          <t>5</t>
        </is>
      </c>
      <c r="M7" s="470" t="inlineStr">
        <is>
          <t>5</t>
        </is>
      </c>
      <c r="N7" s="470" t="inlineStr">
        <is>
          <t>5</t>
        </is>
      </c>
      <c r="O7" s="470" t="inlineStr">
        <is>
          <t>5</t>
        </is>
      </c>
      <c r="P7" s="470" t="inlineStr">
        <is>
          <t>5</t>
        </is>
      </c>
      <c r="Q7" s="470" t="inlineStr">
        <is>
          <t>5</t>
        </is>
      </c>
      <c r="R7" s="470" t="inlineStr">
        <is>
          <t>5</t>
        </is>
      </c>
      <c r="S7" s="470" t="inlineStr">
        <is>
          <t>5</t>
        </is>
      </c>
      <c r="T7" s="470" t="inlineStr">
        <is>
          <t>5</t>
        </is>
      </c>
      <c r="U7" s="470" t="inlineStr">
        <is>
          <t>5</t>
        </is>
      </c>
      <c r="V7" s="470" t="inlineStr">
        <is>
          <t>5</t>
        </is>
      </c>
      <c r="W7" s="470" t="inlineStr">
        <is>
          <t>5</t>
        </is>
      </c>
      <c r="X7" s="470" t="inlineStr">
        <is>
          <t>5</t>
        </is>
      </c>
      <c r="Y7" s="469" t="inlineStr">
        <is>
          <t>明显进步</t>
        </is>
      </c>
      <c r="Z7" s="469" t="inlineStr">
        <is>
          <t>有所提高</t>
        </is>
      </c>
      <c r="AA7" s="469" t="inlineStr">
        <is>
          <t>主动完成作业，不用催┋做作业正确率提高了┋写字/计算/单词/学习等学习基本习惯有进步</t>
        </is>
      </c>
      <c r="AB7" s="469" t="inlineStr">
        <is>
          <t>非常满意</t>
        </is>
      </c>
      <c r="AC7" s="470" t="inlineStr">
        <is>
          <t>3800</t>
        </is>
      </c>
      <c r="AD7" s="469" t="inlineStr">
        <is>
          <t>大概率会报</t>
        </is>
      </c>
      <c r="AE7" s="469" t="inlineStr">
        <is>
          <t>其他</t>
        </is>
      </c>
      <c r="AF7" s="469" t="inlineStr">
        <is>
          <t>无</t>
        </is>
      </c>
    </row>
    <row r="8" ht="16.5" customHeight="1" s="1053">
      <c r="A8" s="470" t="inlineStr">
        <is>
          <t>7</t>
        </is>
      </c>
      <c r="B8" s="471" t="n">
        <v>46205.8249074074</v>
      </c>
      <c r="C8" s="469" t="inlineStr">
        <is>
          <t>347秒</t>
        </is>
      </c>
      <c r="D8" s="469" t="inlineStr">
        <is>
          <t>微信</t>
        </is>
      </c>
      <c r="E8" s="469" t="inlineStr">
        <is>
          <t>N/A</t>
        </is>
      </c>
      <c r="F8" s="469" t="inlineStr">
        <is>
          <t>112.94.167.111(广东-广州)</t>
        </is>
      </c>
      <c r="G8" s="470" t="inlineStr">
        <is>
          <t>74</t>
        </is>
      </c>
      <c r="H8" s="469" t="inlineStr">
        <is>
          <t>朱哲辰</t>
        </is>
      </c>
      <c r="I8" s="469" t="inlineStr">
        <is>
          <t>语文┋数学┋英语</t>
        </is>
      </c>
      <c r="J8" s="470" t="inlineStr">
        <is>
          <t>5</t>
        </is>
      </c>
      <c r="K8" s="470" t="inlineStr">
        <is>
          <t>5</t>
        </is>
      </c>
      <c r="L8" s="470" t="inlineStr">
        <is>
          <t>5</t>
        </is>
      </c>
      <c r="M8" s="470" t="inlineStr">
        <is>
          <t>5</t>
        </is>
      </c>
      <c r="N8" s="470" t="inlineStr">
        <is>
          <t>5</t>
        </is>
      </c>
      <c r="O8" s="470" t="inlineStr">
        <is>
          <t>5</t>
        </is>
      </c>
      <c r="P8" s="470" t="inlineStr">
        <is>
          <t>5</t>
        </is>
      </c>
      <c r="Q8" s="470" t="inlineStr">
        <is>
          <t>5</t>
        </is>
      </c>
      <c r="R8" s="470" t="inlineStr">
        <is>
          <t>4</t>
        </is>
      </c>
      <c r="S8" s="470" t="inlineStr">
        <is>
          <t>5</t>
        </is>
      </c>
      <c r="T8" s="470" t="inlineStr">
        <is>
          <t>5</t>
        </is>
      </c>
      <c r="U8" s="470" t="inlineStr">
        <is>
          <t>5</t>
        </is>
      </c>
      <c r="V8" s="470" t="inlineStr">
        <is>
          <t>5</t>
        </is>
      </c>
      <c r="W8" s="470" t="inlineStr">
        <is>
          <t>5</t>
        </is>
      </c>
      <c r="X8" s="470" t="inlineStr">
        <is>
          <t>5</t>
        </is>
      </c>
      <c r="Y8" s="469" t="inlineStr">
        <is>
          <t>略有进步</t>
        </is>
      </c>
      <c r="Z8" s="469" t="inlineStr">
        <is>
          <t>有所提高</t>
        </is>
      </c>
      <c r="AA8" s="469" t="inlineStr">
        <is>
          <t>会主动问问题，主动思考</t>
        </is>
      </c>
      <c r="AB8" s="469" t="inlineStr">
        <is>
          <t>满意</t>
        </is>
      </c>
      <c r="AC8" s="470" t="inlineStr">
        <is>
          <t>3800</t>
        </is>
      </c>
      <c r="AD8" s="469" t="inlineStr">
        <is>
          <t>大概率会报</t>
        </is>
      </c>
      <c r="AE8" s="469" t="inlineStr">
        <is>
          <t>价格偏贵</t>
        </is>
      </c>
      <c r="AF8" s="469" t="inlineStr">
        <is>
          <t>暂天意见</t>
        </is>
      </c>
    </row>
    <row r="9" ht="16.5" customHeight="1" s="1053">
      <c r="A9" s="470" t="inlineStr">
        <is>
          <t>8</t>
        </is>
      </c>
      <c r="B9" s="471" t="n">
        <v>46205.82678240741</v>
      </c>
      <c r="C9" s="469" t="inlineStr">
        <is>
          <t>128秒</t>
        </is>
      </c>
      <c r="D9" s="469" t="inlineStr">
        <is>
          <t>微信</t>
        </is>
      </c>
      <c r="E9" s="469" t="inlineStr">
        <is>
          <t>N/A</t>
        </is>
      </c>
      <c r="F9" s="469" t="inlineStr">
        <is>
          <t>223.73.67.54(广东-广州)</t>
        </is>
      </c>
      <c r="G9" s="470" t="inlineStr">
        <is>
          <t>75</t>
        </is>
      </c>
      <c r="H9" s="469" t="inlineStr">
        <is>
          <t>蒋沁原</t>
        </is>
      </c>
      <c r="I9" s="469" t="inlineStr">
        <is>
          <t>语文┋数学┋英语</t>
        </is>
      </c>
      <c r="J9" s="470" t="inlineStr">
        <is>
          <t>5</t>
        </is>
      </c>
      <c r="K9" s="470" t="inlineStr">
        <is>
          <t>5</t>
        </is>
      </c>
      <c r="L9" s="470" t="inlineStr">
        <is>
          <t>5</t>
        </is>
      </c>
      <c r="M9" s="470" t="inlineStr">
        <is>
          <t>5</t>
        </is>
      </c>
      <c r="N9" s="470" t="inlineStr">
        <is>
          <t>5</t>
        </is>
      </c>
      <c r="O9" s="470" t="inlineStr">
        <is>
          <t>5</t>
        </is>
      </c>
      <c r="P9" s="470" t="inlineStr">
        <is>
          <t>5</t>
        </is>
      </c>
      <c r="Q9" s="470" t="inlineStr">
        <is>
          <t>5</t>
        </is>
      </c>
      <c r="R9" s="470" t="inlineStr">
        <is>
          <t>5</t>
        </is>
      </c>
      <c r="S9" s="470" t="inlineStr">
        <is>
          <t>5</t>
        </is>
      </c>
      <c r="T9" s="470" t="inlineStr">
        <is>
          <t>5</t>
        </is>
      </c>
      <c r="U9" s="470" t="inlineStr">
        <is>
          <t>5</t>
        </is>
      </c>
      <c r="V9" s="470" t="inlineStr">
        <is>
          <t>5</t>
        </is>
      </c>
      <c r="W9" s="470" t="inlineStr">
        <is>
          <t>5</t>
        </is>
      </c>
      <c r="X9" s="470" t="inlineStr">
        <is>
          <t>5</t>
        </is>
      </c>
      <c r="Y9" s="469" t="inlineStr">
        <is>
          <t>略有进步</t>
        </is>
      </c>
      <c r="Z9" s="469" t="inlineStr">
        <is>
          <t>有所提高</t>
        </is>
      </c>
      <c r="AA9" s="469" t="inlineStr">
        <is>
          <t>做作业正确率提高了</t>
        </is>
      </c>
      <c r="AB9" s="469" t="inlineStr">
        <is>
          <t>非常满意</t>
        </is>
      </c>
      <c r="AC9" s="470" t="inlineStr">
        <is>
          <t>3800</t>
        </is>
      </c>
      <c r="AD9" s="469" t="inlineStr">
        <is>
          <t>还在犹豫</t>
        </is>
      </c>
      <c r="AE9" s="469" t="inlineStr">
        <is>
          <t>其他</t>
        </is>
      </c>
      <c r="AF9" s="469" t="inlineStr">
        <is>
          <t>价格因素，时间因素不确定</t>
        </is>
      </c>
    </row>
    <row r="10" ht="16.5" customHeight="1" s="1053">
      <c r="A10" s="470" t="inlineStr">
        <is>
          <t>9</t>
        </is>
      </c>
      <c r="B10" s="471" t="n">
        <v>46205.83226851852</v>
      </c>
      <c r="C10" s="469" t="inlineStr">
        <is>
          <t>95秒</t>
        </is>
      </c>
      <c r="D10" s="469" t="inlineStr">
        <is>
          <t>微信</t>
        </is>
      </c>
      <c r="E10" s="469" t="inlineStr">
        <is>
          <t>N/A</t>
        </is>
      </c>
      <c r="F10" s="469" t="inlineStr">
        <is>
          <t>59.42.39.26(广东-广州)</t>
        </is>
      </c>
      <c r="G10" s="470" t="inlineStr">
        <is>
          <t>75</t>
        </is>
      </c>
      <c r="H10" s="469" t="inlineStr">
        <is>
          <t>伦铭聪</t>
        </is>
      </c>
      <c r="I10" s="469" t="inlineStr">
        <is>
          <t>语文┋数学┋英语</t>
        </is>
      </c>
      <c r="J10" s="470" t="inlineStr">
        <is>
          <t>5</t>
        </is>
      </c>
      <c r="K10" s="470" t="inlineStr">
        <is>
          <t>5</t>
        </is>
      </c>
      <c r="L10" s="470" t="inlineStr">
        <is>
          <t>5</t>
        </is>
      </c>
      <c r="M10" s="470" t="inlineStr">
        <is>
          <t>5</t>
        </is>
      </c>
      <c r="N10" s="470" t="inlineStr">
        <is>
          <t>5</t>
        </is>
      </c>
      <c r="O10" s="470" t="inlineStr">
        <is>
          <t>5</t>
        </is>
      </c>
      <c r="P10" s="470" t="inlineStr">
        <is>
          <t>5</t>
        </is>
      </c>
      <c r="Q10" s="470" t="inlineStr">
        <is>
          <t>5</t>
        </is>
      </c>
      <c r="R10" s="470" t="inlineStr">
        <is>
          <t>5</t>
        </is>
      </c>
      <c r="S10" s="470" t="inlineStr">
        <is>
          <t>5</t>
        </is>
      </c>
      <c r="T10" s="470" t="inlineStr">
        <is>
          <t>5</t>
        </is>
      </c>
      <c r="U10" s="470" t="inlineStr">
        <is>
          <t>5</t>
        </is>
      </c>
      <c r="V10" s="470" t="inlineStr">
        <is>
          <t>5</t>
        </is>
      </c>
      <c r="W10" s="470" t="inlineStr">
        <is>
          <t>5</t>
        </is>
      </c>
      <c r="X10" s="470" t="inlineStr">
        <is>
          <t>5</t>
        </is>
      </c>
      <c r="Y10" s="469" t="inlineStr">
        <is>
          <t>略有进步</t>
        </is>
      </c>
      <c r="Z10" s="469" t="inlineStr">
        <is>
          <t>有所提高</t>
        </is>
      </c>
      <c r="AA10" s="469" t="inlineStr">
        <is>
          <t>做作业正确率提高了┋会主动问问题，主动思考</t>
        </is>
      </c>
      <c r="AB10" s="469" t="inlineStr">
        <is>
          <t>非常满意</t>
        </is>
      </c>
      <c r="AC10" s="470" t="inlineStr">
        <is>
          <t>3800</t>
        </is>
      </c>
      <c r="AD10" s="469" t="inlineStr">
        <is>
          <t>大概率会报</t>
        </is>
      </c>
      <c r="AE10" s="469" t="inlineStr">
        <is>
          <t>其他</t>
        </is>
      </c>
      <c r="AF10" s="469" t="inlineStr">
        <is>
          <t>希望孩子能继续系统性学习</t>
        </is>
      </c>
    </row>
    <row r="11" ht="16.5" customHeight="1" s="1053">
      <c r="A11" s="470" t="inlineStr">
        <is>
          <t>10</t>
        </is>
      </c>
      <c r="B11" s="471" t="n">
        <v>46205.83474537037</v>
      </c>
      <c r="C11" s="469" t="inlineStr">
        <is>
          <t>166秒</t>
        </is>
      </c>
      <c r="D11" s="469" t="inlineStr">
        <is>
          <t>微信</t>
        </is>
      </c>
      <c r="E11" s="469" t="inlineStr">
        <is>
          <t>N/A</t>
        </is>
      </c>
      <c r="F11" s="469" t="inlineStr">
        <is>
          <t>119.131.38.106(广东-广州)</t>
        </is>
      </c>
      <c r="G11" s="470" t="inlineStr">
        <is>
          <t>74</t>
        </is>
      </c>
      <c r="H11" s="469" t="inlineStr">
        <is>
          <t>陈滢西</t>
        </is>
      </c>
      <c r="I11" s="469" t="inlineStr">
        <is>
          <t>语文┋数学┋英语</t>
        </is>
      </c>
      <c r="J11" s="470" t="inlineStr">
        <is>
          <t>5</t>
        </is>
      </c>
      <c r="K11" s="470" t="inlineStr">
        <is>
          <t>5</t>
        </is>
      </c>
      <c r="L11" s="470" t="inlineStr">
        <is>
          <t>5</t>
        </is>
      </c>
      <c r="M11" s="470" t="inlineStr">
        <is>
          <t>4</t>
        </is>
      </c>
      <c r="N11" s="470" t="inlineStr">
        <is>
          <t>5</t>
        </is>
      </c>
      <c r="O11" s="470" t="inlineStr">
        <is>
          <t>5</t>
        </is>
      </c>
      <c r="P11" s="470" t="inlineStr">
        <is>
          <t>5</t>
        </is>
      </c>
      <c r="Q11" s="470" t="inlineStr">
        <is>
          <t>5</t>
        </is>
      </c>
      <c r="R11" s="470" t="inlineStr">
        <is>
          <t>5</t>
        </is>
      </c>
      <c r="S11" s="470" t="inlineStr">
        <is>
          <t>5</t>
        </is>
      </c>
      <c r="T11" s="470" t="inlineStr">
        <is>
          <t>5</t>
        </is>
      </c>
      <c r="U11" s="470" t="inlineStr">
        <is>
          <t>5</t>
        </is>
      </c>
      <c r="V11" s="470" t="inlineStr">
        <is>
          <t>5</t>
        </is>
      </c>
      <c r="W11" s="470" t="inlineStr">
        <is>
          <t>5</t>
        </is>
      </c>
      <c r="X11" s="470" t="inlineStr">
        <is>
          <t>5</t>
        </is>
      </c>
      <c r="Y11" s="469" t="inlineStr">
        <is>
          <t>略有进步</t>
        </is>
      </c>
      <c r="Z11" s="469" t="inlineStr">
        <is>
          <t>变化不大</t>
        </is>
      </c>
      <c r="AA11" s="469" t="inlineStr">
        <is>
          <t>主动完成作业，不用催┋写字/计算/单词/学习等学习基本习惯有进步</t>
        </is>
      </c>
      <c r="AB11" s="469" t="inlineStr">
        <is>
          <t>满意</t>
        </is>
      </c>
      <c r="AC11" s="470" t="inlineStr">
        <is>
          <t>3800</t>
        </is>
      </c>
      <c r="AD11" s="469" t="inlineStr">
        <is>
          <t>还在犹豫</t>
        </is>
      </c>
      <c r="AE11" s="469" t="inlineStr">
        <is>
          <t>价格偏贵</t>
        </is>
      </c>
      <c r="AF11" s="469" t="inlineStr">
        <is>
          <t>暂无</t>
        </is>
      </c>
    </row>
    <row r="12" ht="16.5" customHeight="1" s="1053">
      <c r="A12" s="470" t="inlineStr">
        <is>
          <t>11</t>
        </is>
      </c>
      <c r="B12" s="471" t="n">
        <v>46205.83872685185</v>
      </c>
      <c r="C12" s="469" t="inlineStr">
        <is>
          <t>378秒</t>
        </is>
      </c>
      <c r="D12" s="469" t="inlineStr">
        <is>
          <t>微信</t>
        </is>
      </c>
      <c r="E12" s="469" t="inlineStr">
        <is>
          <t>N/A</t>
        </is>
      </c>
      <c r="F12" s="469" t="inlineStr">
        <is>
          <t>112.94.103.243(广东-广州)</t>
        </is>
      </c>
      <c r="G12" s="470" t="inlineStr">
        <is>
          <t>63</t>
        </is>
      </c>
      <c r="H12" s="469" t="inlineStr">
        <is>
          <t>沈锦涵</t>
        </is>
      </c>
      <c r="I12" s="469" t="inlineStr">
        <is>
          <t>语文┋数学┋英语</t>
        </is>
      </c>
      <c r="J12" s="470" t="inlineStr">
        <is>
          <t>4</t>
        </is>
      </c>
      <c r="K12" s="470" t="inlineStr">
        <is>
          <t>4</t>
        </is>
      </c>
      <c r="L12" s="470" t="inlineStr">
        <is>
          <t>4</t>
        </is>
      </c>
      <c r="M12" s="470" t="inlineStr">
        <is>
          <t>4</t>
        </is>
      </c>
      <c r="N12" s="470" t="inlineStr">
        <is>
          <t>5</t>
        </is>
      </c>
      <c r="O12" s="470" t="inlineStr">
        <is>
          <t>4</t>
        </is>
      </c>
      <c r="P12" s="470" t="inlineStr">
        <is>
          <t>4</t>
        </is>
      </c>
      <c r="Q12" s="470" t="inlineStr">
        <is>
          <t>4</t>
        </is>
      </c>
      <c r="R12" s="470" t="inlineStr">
        <is>
          <t>4</t>
        </is>
      </c>
      <c r="S12" s="470" t="inlineStr">
        <is>
          <t>5</t>
        </is>
      </c>
      <c r="T12" s="470" t="inlineStr">
        <is>
          <t>4</t>
        </is>
      </c>
      <c r="U12" s="470" t="inlineStr">
        <is>
          <t>4</t>
        </is>
      </c>
      <c r="V12" s="470" t="inlineStr">
        <is>
          <t>4</t>
        </is>
      </c>
      <c r="W12" s="470" t="inlineStr">
        <is>
          <t>4</t>
        </is>
      </c>
      <c r="X12" s="470" t="inlineStr">
        <is>
          <t>5</t>
        </is>
      </c>
      <c r="Y12" s="469" t="inlineStr">
        <is>
          <t>上课不久，暂未体现</t>
        </is>
      </c>
      <c r="Z12" s="469" t="inlineStr">
        <is>
          <t>变化不大</t>
        </is>
      </c>
      <c r="AA12" s="469" t="inlineStr">
        <is>
          <t>以上均无</t>
        </is>
      </c>
      <c r="AB12" s="469" t="inlineStr">
        <is>
          <t>一般</t>
        </is>
      </c>
      <c r="AC12" s="470" t="inlineStr">
        <is>
          <t>3800</t>
        </is>
      </c>
      <c r="AD12" s="469" t="inlineStr">
        <is>
          <t>还在犹豫</t>
        </is>
      </c>
      <c r="AE12" s="469" t="inlineStr">
        <is>
          <t>其他</t>
        </is>
      </c>
      <c r="AF12" s="469" t="inlineStr">
        <is>
          <t>课程反馈有点草率，我想了解孩子学的题目熟悉到哪个程度，比如哪方面还欠佳的，在课堂上还没搞清楚的，要求家长在家做怎样的配合</t>
        </is>
      </c>
    </row>
    <row r="13" ht="16.5" customHeight="1" s="1053">
      <c r="A13" s="470" t="inlineStr">
        <is>
          <t>12</t>
        </is>
      </c>
      <c r="B13" s="471" t="n">
        <v>46205.84143518518</v>
      </c>
      <c r="C13" s="469" t="inlineStr">
        <is>
          <t>245秒</t>
        </is>
      </c>
      <c r="D13" s="469" t="inlineStr">
        <is>
          <t>微信</t>
        </is>
      </c>
      <c r="E13" s="469" t="inlineStr">
        <is>
          <t>N/A</t>
        </is>
      </c>
      <c r="F13" s="469" t="inlineStr">
        <is>
          <t>120.231.139.197(广东-广州)</t>
        </is>
      </c>
      <c r="G13" s="470" t="inlineStr">
        <is>
          <t>71</t>
        </is>
      </c>
      <c r="H13" s="469" t="inlineStr">
        <is>
          <t>穆邵瀚</t>
        </is>
      </c>
      <c r="I13" s="469" t="inlineStr">
        <is>
          <t>语文┋数学┋英语</t>
        </is>
      </c>
      <c r="J13" s="470" t="inlineStr">
        <is>
          <t>5</t>
        </is>
      </c>
      <c r="K13" s="470" t="inlineStr">
        <is>
          <t>5</t>
        </is>
      </c>
      <c r="L13" s="470" t="inlineStr">
        <is>
          <t>5</t>
        </is>
      </c>
      <c r="M13" s="470" t="inlineStr">
        <is>
          <t>4</t>
        </is>
      </c>
      <c r="N13" s="470" t="inlineStr">
        <is>
          <t>4</t>
        </is>
      </c>
      <c r="O13" s="470" t="inlineStr">
        <is>
          <t>5</t>
        </is>
      </c>
      <c r="P13" s="470" t="inlineStr">
        <is>
          <t>5</t>
        </is>
      </c>
      <c r="Q13" s="470" t="inlineStr">
        <is>
          <t>5</t>
        </is>
      </c>
      <c r="R13" s="470" t="inlineStr">
        <is>
          <t>5</t>
        </is>
      </c>
      <c r="S13" s="470" t="inlineStr">
        <is>
          <t>5</t>
        </is>
      </c>
      <c r="T13" s="470" t="inlineStr">
        <is>
          <t>5</t>
        </is>
      </c>
      <c r="U13" s="470" t="inlineStr">
        <is>
          <t>5</t>
        </is>
      </c>
      <c r="V13" s="470" t="inlineStr">
        <is>
          <t>4</t>
        </is>
      </c>
      <c r="W13" s="470" t="inlineStr">
        <is>
          <t>5</t>
        </is>
      </c>
      <c r="X13" s="470" t="inlineStr">
        <is>
          <t>4</t>
        </is>
      </c>
      <c r="Y13" s="469" t="inlineStr">
        <is>
          <t>略有进步</t>
        </is>
      </c>
      <c r="Z13" s="469" t="inlineStr">
        <is>
          <t>有所提高</t>
        </is>
      </c>
      <c r="AA13" s="469" t="inlineStr">
        <is>
          <t>主动完成作业，不用催</t>
        </is>
      </c>
      <c r="AB13" s="469" t="inlineStr">
        <is>
          <t>满意</t>
        </is>
      </c>
      <c r="AC13" s="470" t="inlineStr">
        <is>
          <t>3800</t>
        </is>
      </c>
      <c r="AD13" s="469" t="inlineStr">
        <is>
          <t>还在犹豫</t>
        </is>
      </c>
      <c r="AE13" s="469" t="inlineStr">
        <is>
          <t>其他</t>
        </is>
      </c>
      <c r="AF13" s="469" t="inlineStr">
        <is>
          <t>无</t>
        </is>
      </c>
    </row>
    <row r="14" ht="16.5" customHeight="1" s="1053">
      <c r="A14" s="470" t="inlineStr">
        <is>
          <t>13</t>
        </is>
      </c>
      <c r="B14" s="471" t="n">
        <v>46205.84450231482</v>
      </c>
      <c r="C14" s="469" t="inlineStr">
        <is>
          <t>138秒</t>
        </is>
      </c>
      <c r="D14" s="469" t="inlineStr">
        <is>
          <t>微信</t>
        </is>
      </c>
      <c r="E14" s="469" t="inlineStr">
        <is>
          <t>N/A</t>
        </is>
      </c>
      <c r="F14" s="469" t="inlineStr">
        <is>
          <t>120.235.16.127(广东-广州)</t>
        </is>
      </c>
      <c r="G14" s="470" t="inlineStr">
        <is>
          <t>75</t>
        </is>
      </c>
      <c r="H14" s="469" t="inlineStr">
        <is>
          <t>陈可欣</t>
        </is>
      </c>
      <c r="I14" s="469" t="inlineStr">
        <is>
          <t>语文┋数学</t>
        </is>
      </c>
      <c r="J14" s="470" t="inlineStr">
        <is>
          <t>5</t>
        </is>
      </c>
      <c r="K14" s="470" t="inlineStr">
        <is>
          <t>5</t>
        </is>
      </c>
      <c r="L14" s="470" t="inlineStr">
        <is>
          <t>5</t>
        </is>
      </c>
      <c r="M14" s="470" t="inlineStr">
        <is>
          <t>5</t>
        </is>
      </c>
      <c r="N14" s="470" t="inlineStr">
        <is>
          <t>5</t>
        </is>
      </c>
      <c r="O14" s="470" t="inlineStr">
        <is>
          <t>5</t>
        </is>
      </c>
      <c r="P14" s="470" t="inlineStr">
        <is>
          <t>5</t>
        </is>
      </c>
      <c r="Q14" s="470" t="inlineStr">
        <is>
          <t>5</t>
        </is>
      </c>
      <c r="R14" s="470" t="inlineStr">
        <is>
          <t>5</t>
        </is>
      </c>
      <c r="S14" s="470" t="inlineStr">
        <is>
          <t>5</t>
        </is>
      </c>
      <c r="T14" s="470" t="inlineStr">
        <is>
          <t>5</t>
        </is>
      </c>
      <c r="U14" s="470" t="inlineStr">
        <is>
          <t>5</t>
        </is>
      </c>
      <c r="V14" s="470" t="inlineStr">
        <is>
          <t>5</t>
        </is>
      </c>
      <c r="W14" s="470" t="inlineStr">
        <is>
          <t>5</t>
        </is>
      </c>
      <c r="X14" s="470" t="inlineStr">
        <is>
          <t>5</t>
        </is>
      </c>
      <c r="Y14" s="469" t="inlineStr">
        <is>
          <t>上课不久，暂未体现</t>
        </is>
      </c>
      <c r="Z14" s="469" t="inlineStr">
        <is>
          <t>有所提高</t>
        </is>
      </c>
      <c r="AA14" s="469" t="inlineStr">
        <is>
          <t>主动完成作业，不用催</t>
        </is>
      </c>
      <c r="AB14" s="469" t="inlineStr">
        <is>
          <t>满意</t>
        </is>
      </c>
      <c r="AC14" s="470" t="inlineStr">
        <is>
          <t>3800</t>
        </is>
      </c>
      <c r="AD14" s="469" t="inlineStr">
        <is>
          <t>还在犹豫</t>
        </is>
      </c>
      <c r="AE14" s="469" t="inlineStr">
        <is>
          <t>其他</t>
        </is>
      </c>
      <c r="AF14" s="469" t="inlineStr">
        <is>
          <t>暂无</t>
        </is>
      </c>
    </row>
    <row r="15" ht="16.5" customHeight="1" s="1053">
      <c r="A15" s="470" t="inlineStr">
        <is>
          <t>14</t>
        </is>
      </c>
      <c r="B15" s="471" t="n">
        <v>46205.84700231482</v>
      </c>
      <c r="C15" s="469" t="inlineStr">
        <is>
          <t>182秒</t>
        </is>
      </c>
      <c r="D15" s="469" t="inlineStr">
        <is>
          <t>微信</t>
        </is>
      </c>
      <c r="E15" s="469" t="inlineStr">
        <is>
          <t>N/A</t>
        </is>
      </c>
      <c r="F15" s="469" t="inlineStr">
        <is>
          <t>223.104.67.220(广东-广州)</t>
        </is>
      </c>
      <c r="G15" s="470" t="inlineStr">
        <is>
          <t>73</t>
        </is>
      </c>
      <c r="H15" s="469" t="inlineStr">
        <is>
          <t>兰美熙</t>
        </is>
      </c>
      <c r="I15" s="469" t="inlineStr">
        <is>
          <t>语文┋数学┋英语</t>
        </is>
      </c>
      <c r="J15" s="470" t="inlineStr">
        <is>
          <t>5</t>
        </is>
      </c>
      <c r="K15" s="470" t="inlineStr">
        <is>
          <t>5</t>
        </is>
      </c>
      <c r="L15" s="470" t="inlineStr">
        <is>
          <t>5</t>
        </is>
      </c>
      <c r="M15" s="470" t="inlineStr">
        <is>
          <t>5</t>
        </is>
      </c>
      <c r="N15" s="470" t="inlineStr">
        <is>
          <t>5</t>
        </is>
      </c>
      <c r="O15" s="470" t="inlineStr">
        <is>
          <t>5</t>
        </is>
      </c>
      <c r="P15" s="470" t="inlineStr">
        <is>
          <t>5</t>
        </is>
      </c>
      <c r="Q15" s="470" t="inlineStr">
        <is>
          <t>4</t>
        </is>
      </c>
      <c r="R15" s="470" t="inlineStr">
        <is>
          <t>5</t>
        </is>
      </c>
      <c r="S15" s="470" t="inlineStr">
        <is>
          <t>5</t>
        </is>
      </c>
      <c r="T15" s="470" t="inlineStr">
        <is>
          <t>4</t>
        </is>
      </c>
      <c r="U15" s="470" t="inlineStr">
        <is>
          <t>5</t>
        </is>
      </c>
      <c r="V15" s="470" t="inlineStr">
        <is>
          <t>5</t>
        </is>
      </c>
      <c r="W15" s="470" t="inlineStr">
        <is>
          <t>5</t>
        </is>
      </c>
      <c r="X15" s="470" t="inlineStr">
        <is>
          <t>5</t>
        </is>
      </c>
      <c r="Y15" s="469" t="inlineStr">
        <is>
          <t>略有进步</t>
        </is>
      </c>
      <c r="Z15" s="469" t="inlineStr">
        <is>
          <t>有所提高</t>
        </is>
      </c>
      <c r="AA15" s="469" t="inlineStr">
        <is>
          <t>主动完成作业，不用催┋做作业正确率提高了</t>
        </is>
      </c>
      <c r="AB15" s="469" t="inlineStr">
        <is>
          <t>满意</t>
        </is>
      </c>
      <c r="AC15" s="470" t="inlineStr">
        <is>
          <t>3800</t>
        </is>
      </c>
      <c r="AD15" s="469" t="inlineStr">
        <is>
          <t>还在犹豫</t>
        </is>
      </c>
      <c r="AE15" s="469" t="inlineStr">
        <is>
          <t>距离太远，接送不方便</t>
        </is>
      </c>
      <c r="AF15" s="469" t="inlineStr">
        <is>
          <t>目前还在看看</t>
        </is>
      </c>
    </row>
    <row r="16" ht="16.5" customHeight="1" s="1053">
      <c r="A16" s="470" t="inlineStr">
        <is>
          <t>15</t>
        </is>
      </c>
      <c r="B16" s="471" t="n">
        <v>46205.85412037037</v>
      </c>
      <c r="C16" s="469" t="inlineStr">
        <is>
          <t>219秒</t>
        </is>
      </c>
      <c r="D16" s="469" t="inlineStr">
        <is>
          <t>微信</t>
        </is>
      </c>
      <c r="E16" s="469" t="inlineStr">
        <is>
          <t>N/A</t>
        </is>
      </c>
      <c r="F16" s="469" t="inlineStr">
        <is>
          <t>120.230.110.217(广东-广州)</t>
        </is>
      </c>
      <c r="G16" s="470" t="inlineStr">
        <is>
          <t>75</t>
        </is>
      </c>
      <c r="H16" s="469" t="inlineStr">
        <is>
          <t>詹培琳</t>
        </is>
      </c>
      <c r="I16" s="469" t="inlineStr">
        <is>
          <t>语文┋数学┋英语</t>
        </is>
      </c>
      <c r="J16" s="470" t="inlineStr">
        <is>
          <t>5</t>
        </is>
      </c>
      <c r="K16" s="470" t="inlineStr">
        <is>
          <t>5</t>
        </is>
      </c>
      <c r="L16" s="470" t="inlineStr">
        <is>
          <t>5</t>
        </is>
      </c>
      <c r="M16" s="470" t="inlineStr">
        <is>
          <t>5</t>
        </is>
      </c>
      <c r="N16" s="470" t="inlineStr">
        <is>
          <t>5</t>
        </is>
      </c>
      <c r="O16" s="470" t="inlineStr">
        <is>
          <t>5</t>
        </is>
      </c>
      <c r="P16" s="470" t="inlineStr">
        <is>
          <t>5</t>
        </is>
      </c>
      <c r="Q16" s="470" t="inlineStr">
        <is>
          <t>5</t>
        </is>
      </c>
      <c r="R16" s="470" t="inlineStr">
        <is>
          <t>5</t>
        </is>
      </c>
      <c r="S16" s="470" t="inlineStr">
        <is>
          <t>5</t>
        </is>
      </c>
      <c r="T16" s="470" t="inlineStr">
        <is>
          <t>5</t>
        </is>
      </c>
      <c r="U16" s="470" t="inlineStr">
        <is>
          <t>5</t>
        </is>
      </c>
      <c r="V16" s="470" t="inlineStr">
        <is>
          <t>5</t>
        </is>
      </c>
      <c r="W16" s="470" t="inlineStr">
        <is>
          <t>5</t>
        </is>
      </c>
      <c r="X16" s="470" t="inlineStr">
        <is>
          <t>5</t>
        </is>
      </c>
      <c r="Y16" s="469" t="inlineStr">
        <is>
          <t>略有进步</t>
        </is>
      </c>
      <c r="Z16" s="469" t="inlineStr">
        <is>
          <t>变化不大</t>
        </is>
      </c>
      <c r="AA16" s="469" t="inlineStr">
        <is>
          <t>做作业正确率提高了</t>
        </is>
      </c>
      <c r="AB16" s="469" t="inlineStr">
        <is>
          <t>满意</t>
        </is>
      </c>
      <c r="AC16" s="470" t="inlineStr">
        <is>
          <t>3800</t>
        </is>
      </c>
      <c r="AD16" s="469" t="inlineStr">
        <is>
          <t>还在犹豫</t>
        </is>
      </c>
      <c r="AE16" s="469" t="inlineStr">
        <is>
          <t>其他</t>
        </is>
      </c>
      <c r="AF16" s="469" t="inlineStr">
        <is>
          <t>暂时没有</t>
        </is>
      </c>
    </row>
    <row r="17" ht="16.5" customHeight="1" s="1053">
      <c r="A17" s="470" t="inlineStr">
        <is>
          <t>16</t>
        </is>
      </c>
      <c r="B17" s="471" t="n">
        <v>46205.85541666667</v>
      </c>
      <c r="C17" s="469" t="inlineStr">
        <is>
          <t>277秒</t>
        </is>
      </c>
      <c r="D17" s="469" t="inlineStr">
        <is>
          <t>微信</t>
        </is>
      </c>
      <c r="E17" s="469" t="inlineStr">
        <is>
          <t>N/A</t>
        </is>
      </c>
      <c r="F17" s="469" t="inlineStr">
        <is>
          <t>120.231.139.154(广东-广州)</t>
        </is>
      </c>
      <c r="G17" s="470" t="inlineStr">
        <is>
          <t>75</t>
        </is>
      </c>
      <c r="H17" s="469" t="inlineStr">
        <is>
          <t>赖奕鹏</t>
        </is>
      </c>
      <c r="I17" s="469" t="inlineStr">
        <is>
          <t>数学┋英语</t>
        </is>
      </c>
      <c r="J17" s="470" t="inlineStr">
        <is>
          <t>5</t>
        </is>
      </c>
      <c r="K17" s="470" t="inlineStr">
        <is>
          <t>5</t>
        </is>
      </c>
      <c r="L17" s="470" t="inlineStr">
        <is>
          <t>5</t>
        </is>
      </c>
      <c r="M17" s="470" t="inlineStr">
        <is>
          <t>5</t>
        </is>
      </c>
      <c r="N17" s="470" t="inlineStr">
        <is>
          <t>5</t>
        </is>
      </c>
      <c r="O17" s="470" t="inlineStr">
        <is>
          <t>5</t>
        </is>
      </c>
      <c r="P17" s="470" t="inlineStr">
        <is>
          <t>5</t>
        </is>
      </c>
      <c r="Q17" s="470" t="inlineStr">
        <is>
          <t>5</t>
        </is>
      </c>
      <c r="R17" s="470" t="inlineStr">
        <is>
          <t>5</t>
        </is>
      </c>
      <c r="S17" s="470" t="inlineStr">
        <is>
          <t>5</t>
        </is>
      </c>
      <c r="T17" s="470" t="inlineStr">
        <is>
          <t>5</t>
        </is>
      </c>
      <c r="U17" s="470" t="inlineStr">
        <is>
          <t>5</t>
        </is>
      </c>
      <c r="V17" s="470" t="inlineStr">
        <is>
          <t>5</t>
        </is>
      </c>
      <c r="W17" s="470" t="inlineStr">
        <is>
          <t>5</t>
        </is>
      </c>
      <c r="X17" s="470" t="inlineStr">
        <is>
          <t>5</t>
        </is>
      </c>
      <c r="Y17" s="469" t="inlineStr">
        <is>
          <t>明显进步</t>
        </is>
      </c>
      <c r="Z17" s="469" t="inlineStr">
        <is>
          <t>有所提高</t>
        </is>
      </c>
      <c r="AA17" s="469" t="inlineStr">
        <is>
          <t>主动完成作业，不用催</t>
        </is>
      </c>
      <c r="AB17" s="469" t="inlineStr">
        <is>
          <t>非常满意</t>
        </is>
      </c>
      <c r="AC17" s="470" t="inlineStr">
        <is>
          <t>3800</t>
        </is>
      </c>
      <c r="AD17" s="469" t="inlineStr">
        <is>
          <t>大概率会报</t>
        </is>
      </c>
      <c r="AE17" s="469" t="inlineStr">
        <is>
          <t>提前报了其他机构了</t>
        </is>
      </c>
      <c r="AF17" s="469" t="inlineStr">
        <is>
          <t>无</t>
        </is>
      </c>
    </row>
    <row r="18" ht="16.5" customHeight="1" s="1053">
      <c r="A18" s="470" t="inlineStr">
        <is>
          <t>17</t>
        </is>
      </c>
      <c r="B18" s="471" t="n">
        <v>46205.85780092593</v>
      </c>
      <c r="C18" s="469" t="inlineStr">
        <is>
          <t>259秒</t>
        </is>
      </c>
      <c r="D18" s="469" t="inlineStr">
        <is>
          <t>微信</t>
        </is>
      </c>
      <c r="E18" s="469" t="inlineStr">
        <is>
          <t>N/A</t>
        </is>
      </c>
      <c r="F18" s="469" t="inlineStr">
        <is>
          <t>223.73.52.149(广东-广州)</t>
        </is>
      </c>
      <c r="G18" s="470" t="inlineStr">
        <is>
          <t>75</t>
        </is>
      </c>
      <c r="H18" s="469" t="inlineStr">
        <is>
          <t>陈家誉</t>
        </is>
      </c>
      <c r="I18" s="469" t="inlineStr">
        <is>
          <t>数学┋英语</t>
        </is>
      </c>
      <c r="J18" s="470" t="inlineStr">
        <is>
          <t>5</t>
        </is>
      </c>
      <c r="K18" s="470" t="inlineStr">
        <is>
          <t>5</t>
        </is>
      </c>
      <c r="L18" s="470" t="inlineStr">
        <is>
          <t>5</t>
        </is>
      </c>
      <c r="M18" s="470" t="inlineStr">
        <is>
          <t>5</t>
        </is>
      </c>
      <c r="N18" s="470" t="inlineStr">
        <is>
          <t>5</t>
        </is>
      </c>
      <c r="O18" s="470" t="inlineStr">
        <is>
          <t>5</t>
        </is>
      </c>
      <c r="P18" s="470" t="inlineStr">
        <is>
          <t>5</t>
        </is>
      </c>
      <c r="Q18" s="470" t="inlineStr">
        <is>
          <t>5</t>
        </is>
      </c>
      <c r="R18" s="470" t="inlineStr">
        <is>
          <t>5</t>
        </is>
      </c>
      <c r="S18" s="470" t="inlineStr">
        <is>
          <t>5</t>
        </is>
      </c>
      <c r="T18" s="470" t="inlineStr">
        <is>
          <t>5</t>
        </is>
      </c>
      <c r="U18" s="470" t="inlineStr">
        <is>
          <t>5</t>
        </is>
      </c>
      <c r="V18" s="470" t="inlineStr">
        <is>
          <t>5</t>
        </is>
      </c>
      <c r="W18" s="470" t="inlineStr">
        <is>
          <t>5</t>
        </is>
      </c>
      <c r="X18" s="470" t="inlineStr">
        <is>
          <t>5</t>
        </is>
      </c>
      <c r="Y18" s="469" t="inlineStr">
        <is>
          <t>略有进步</t>
        </is>
      </c>
      <c r="Z18" s="469" t="inlineStr">
        <is>
          <t>变化不大</t>
        </is>
      </c>
      <c r="AA18" s="469" t="inlineStr">
        <is>
          <t>做作业正确率提高了</t>
        </is>
      </c>
      <c r="AB18" s="469" t="inlineStr">
        <is>
          <t>满意</t>
        </is>
      </c>
      <c r="AC18" s="470" t="inlineStr">
        <is>
          <t>3800</t>
        </is>
      </c>
      <c r="AD18" s="469" t="inlineStr">
        <is>
          <t>确定不续报</t>
        </is>
      </c>
      <c r="AE18" s="469" t="inlineStr">
        <is>
          <t>时间安排冲突</t>
        </is>
      </c>
      <c r="AF18" s="469" t="inlineStr">
        <is>
          <t>无</t>
        </is>
      </c>
    </row>
    <row r="19" ht="16.5" customHeight="1" s="1053">
      <c r="A19" s="470" t="inlineStr">
        <is>
          <t>18</t>
        </is>
      </c>
      <c r="B19" s="471" t="n">
        <v>46205.86015046296</v>
      </c>
      <c r="C19" s="469" t="inlineStr">
        <is>
          <t>228秒</t>
        </is>
      </c>
      <c r="D19" s="469" t="inlineStr">
        <is>
          <t>微信</t>
        </is>
      </c>
      <c r="E19" s="469" t="inlineStr">
        <is>
          <t>N/A</t>
        </is>
      </c>
      <c r="F19" s="469" t="inlineStr">
        <is>
          <t>14.219.52.33(广东-东莞)</t>
        </is>
      </c>
      <c r="G19" s="470" t="inlineStr">
        <is>
          <t>75</t>
        </is>
      </c>
      <c r="H19" s="469" t="inlineStr">
        <is>
          <t>傅梓轩</t>
        </is>
      </c>
      <c r="I19" s="469" t="inlineStr">
        <is>
          <t>语文┋数学┋英语</t>
        </is>
      </c>
      <c r="J19" s="470" t="inlineStr">
        <is>
          <t>5</t>
        </is>
      </c>
      <c r="K19" s="470" t="inlineStr">
        <is>
          <t>5</t>
        </is>
      </c>
      <c r="L19" s="470" t="inlineStr">
        <is>
          <t>5</t>
        </is>
      </c>
      <c r="M19" s="470" t="inlineStr">
        <is>
          <t>5</t>
        </is>
      </c>
      <c r="N19" s="470" t="inlineStr">
        <is>
          <t>5</t>
        </is>
      </c>
      <c r="O19" s="470" t="inlineStr">
        <is>
          <t>5</t>
        </is>
      </c>
      <c r="P19" s="470" t="inlineStr">
        <is>
          <t>5</t>
        </is>
      </c>
      <c r="Q19" s="470" t="inlineStr">
        <is>
          <t>5</t>
        </is>
      </c>
      <c r="R19" s="470" t="inlineStr">
        <is>
          <t>5</t>
        </is>
      </c>
      <c r="S19" s="470" t="inlineStr">
        <is>
          <t>5</t>
        </is>
      </c>
      <c r="T19" s="470" t="inlineStr">
        <is>
          <t>5</t>
        </is>
      </c>
      <c r="U19" s="470" t="inlineStr">
        <is>
          <t>5</t>
        </is>
      </c>
      <c r="V19" s="470" t="inlineStr">
        <is>
          <t>5</t>
        </is>
      </c>
      <c r="W19" s="470" t="inlineStr">
        <is>
          <t>5</t>
        </is>
      </c>
      <c r="X19" s="470" t="inlineStr">
        <is>
          <t>5</t>
        </is>
      </c>
      <c r="Y19" s="469" t="inlineStr">
        <is>
          <t>略有进步</t>
        </is>
      </c>
      <c r="Z19" s="469" t="inlineStr">
        <is>
          <t>有所提高</t>
        </is>
      </c>
      <c r="AA19" s="469" t="inlineStr">
        <is>
          <t>主动完成作业，不用催┋做作业正确率提高了┋写字/计算/单词/学习等学习基本习惯有进步</t>
        </is>
      </c>
      <c r="AB19" s="469" t="inlineStr">
        <is>
          <t>满意</t>
        </is>
      </c>
      <c r="AC19" s="470" t="inlineStr">
        <is>
          <t>3800</t>
        </is>
      </c>
      <c r="AD19" s="469" t="inlineStr">
        <is>
          <t>大概率会报</t>
        </is>
      </c>
      <c r="AE19" s="469" t="inlineStr">
        <is>
          <t>其他</t>
        </is>
      </c>
      <c r="AF19" s="469" t="inlineStr">
        <is>
          <t>无</t>
        </is>
      </c>
    </row>
    <row r="20" ht="16.5" customHeight="1" s="1053">
      <c r="A20" s="470" t="inlineStr">
        <is>
          <t>19</t>
        </is>
      </c>
      <c r="B20" s="471" t="n">
        <v>46205.8609375</v>
      </c>
      <c r="C20" s="469" t="inlineStr">
        <is>
          <t>112秒</t>
        </is>
      </c>
      <c r="D20" s="469" t="inlineStr">
        <is>
          <t>微信</t>
        </is>
      </c>
      <c r="E20" s="469" t="inlineStr">
        <is>
          <t>N/A</t>
        </is>
      </c>
      <c r="F20" s="469" t="inlineStr">
        <is>
          <t>120.85.254.69(广东-广州)</t>
        </is>
      </c>
      <c r="G20" s="470" t="inlineStr">
        <is>
          <t>75</t>
        </is>
      </c>
      <c r="H20" s="469" t="inlineStr">
        <is>
          <t>梁流楷</t>
        </is>
      </c>
      <c r="I20" s="469" t="inlineStr">
        <is>
          <t>语文┋数学┋英语</t>
        </is>
      </c>
      <c r="J20" s="470" t="inlineStr">
        <is>
          <t>5</t>
        </is>
      </c>
      <c r="K20" s="470" t="inlineStr">
        <is>
          <t>5</t>
        </is>
      </c>
      <c r="L20" s="470" t="inlineStr">
        <is>
          <t>5</t>
        </is>
      </c>
      <c r="M20" s="470" t="inlineStr">
        <is>
          <t>5</t>
        </is>
      </c>
      <c r="N20" s="470" t="inlineStr">
        <is>
          <t>5</t>
        </is>
      </c>
      <c r="O20" s="470" t="inlineStr">
        <is>
          <t>5</t>
        </is>
      </c>
      <c r="P20" s="470" t="inlineStr">
        <is>
          <t>5</t>
        </is>
      </c>
      <c r="Q20" s="470" t="inlineStr">
        <is>
          <t>5</t>
        </is>
      </c>
      <c r="R20" s="470" t="inlineStr">
        <is>
          <t>5</t>
        </is>
      </c>
      <c r="S20" s="470" t="inlineStr">
        <is>
          <t>5</t>
        </is>
      </c>
      <c r="T20" s="470" t="inlineStr">
        <is>
          <t>5</t>
        </is>
      </c>
      <c r="U20" s="470" t="inlineStr">
        <is>
          <t>5</t>
        </is>
      </c>
      <c r="V20" s="470" t="inlineStr">
        <is>
          <t>5</t>
        </is>
      </c>
      <c r="W20" s="470" t="inlineStr">
        <is>
          <t>5</t>
        </is>
      </c>
      <c r="X20" s="470" t="inlineStr">
        <is>
          <t>5</t>
        </is>
      </c>
      <c r="Y20" s="469" t="inlineStr">
        <is>
          <t>上课不久，暂未体现</t>
        </is>
      </c>
      <c r="Z20" s="469" t="inlineStr">
        <is>
          <t>有所提高</t>
        </is>
      </c>
      <c r="AA20" s="469" t="inlineStr">
        <is>
          <t>主动完成作业，不用催</t>
        </is>
      </c>
      <c r="AB20" s="469" t="inlineStr">
        <is>
          <t>满意</t>
        </is>
      </c>
      <c r="AC20" s="470" t="inlineStr">
        <is>
          <t>3800</t>
        </is>
      </c>
      <c r="AD20" s="469" t="inlineStr">
        <is>
          <t>还在犹豫</t>
        </is>
      </c>
      <c r="AE20" s="469" t="inlineStr">
        <is>
          <t>其他</t>
        </is>
      </c>
      <c r="AF20" s="469" t="inlineStr">
        <is>
          <t>各方面蛮好的 后续看时间是否匹配</t>
        </is>
      </c>
    </row>
    <row r="21" ht="16.5" customHeight="1" s="1053">
      <c r="A21" s="470" t="inlineStr">
        <is>
          <t>20</t>
        </is>
      </c>
      <c r="B21" s="471" t="n">
        <v>46205.86192129629</v>
      </c>
      <c r="C21" s="469" t="inlineStr">
        <is>
          <t>243秒</t>
        </is>
      </c>
      <c r="D21" s="469" t="inlineStr">
        <is>
          <t>微信</t>
        </is>
      </c>
      <c r="E21" s="469" t="inlineStr">
        <is>
          <t>N/A</t>
        </is>
      </c>
      <c r="F21" s="469" t="inlineStr">
        <is>
          <t>121.33.146.9(广东-广州)</t>
        </is>
      </c>
      <c r="G21" s="470" t="inlineStr">
        <is>
          <t>75</t>
        </is>
      </c>
      <c r="H21" s="469" t="inlineStr">
        <is>
          <t>徐浩轩</t>
        </is>
      </c>
      <c r="I21" s="469" t="inlineStr">
        <is>
          <t>数学┋英语</t>
        </is>
      </c>
      <c r="J21" s="470" t="inlineStr">
        <is>
          <t>5</t>
        </is>
      </c>
      <c r="K21" s="470" t="inlineStr">
        <is>
          <t>5</t>
        </is>
      </c>
      <c r="L21" s="470" t="inlineStr">
        <is>
          <t>5</t>
        </is>
      </c>
      <c r="M21" s="470" t="inlineStr">
        <is>
          <t>5</t>
        </is>
      </c>
      <c r="N21" s="470" t="inlineStr">
        <is>
          <t>5</t>
        </is>
      </c>
      <c r="O21" s="470" t="inlineStr">
        <is>
          <t>5</t>
        </is>
      </c>
      <c r="P21" s="470" t="inlineStr">
        <is>
          <t>5</t>
        </is>
      </c>
      <c r="Q21" s="470" t="inlineStr">
        <is>
          <t>5</t>
        </is>
      </c>
      <c r="R21" s="470" t="inlineStr">
        <is>
          <t>5</t>
        </is>
      </c>
      <c r="S21" s="470" t="inlineStr">
        <is>
          <t>5</t>
        </is>
      </c>
      <c r="T21" s="470" t="inlineStr">
        <is>
          <t>5</t>
        </is>
      </c>
      <c r="U21" s="470" t="inlineStr">
        <is>
          <t>5</t>
        </is>
      </c>
      <c r="V21" s="470" t="inlineStr">
        <is>
          <t>5</t>
        </is>
      </c>
      <c r="W21" s="470" t="inlineStr">
        <is>
          <t>5</t>
        </is>
      </c>
      <c r="X21" s="470" t="inlineStr">
        <is>
          <t>5</t>
        </is>
      </c>
      <c r="Y21" s="469" t="inlineStr">
        <is>
          <t>略有进步</t>
        </is>
      </c>
      <c r="Z21" s="469" t="inlineStr">
        <is>
          <t>变化不大</t>
        </is>
      </c>
      <c r="AA21" s="469" t="inlineStr">
        <is>
          <t>主动完成作业，不用催</t>
        </is>
      </c>
      <c r="AB21" s="469" t="inlineStr">
        <is>
          <t>满意</t>
        </is>
      </c>
      <c r="AC21" s="470" t="inlineStr">
        <is>
          <t>3800</t>
        </is>
      </c>
      <c r="AD21" s="469" t="inlineStr">
        <is>
          <t>还在犹豫</t>
        </is>
      </c>
      <c r="AE21" s="469" t="inlineStr">
        <is>
          <t>价格偏贵</t>
        </is>
      </c>
      <c r="AF21" s="469" t="inlineStr">
        <is>
          <t>无</t>
        </is>
      </c>
    </row>
    <row r="22" ht="16.5" customHeight="1" s="1053">
      <c r="A22" s="470" t="inlineStr">
        <is>
          <t>21</t>
        </is>
      </c>
      <c r="B22" s="471" t="n">
        <v>46205.86472222222</v>
      </c>
      <c r="C22" s="469" t="inlineStr">
        <is>
          <t>581秒</t>
        </is>
      </c>
      <c r="D22" s="469" t="inlineStr">
        <is>
          <t>微信</t>
        </is>
      </c>
      <c r="E22" s="469" t="inlineStr">
        <is>
          <t>N/A</t>
        </is>
      </c>
      <c r="F22" s="469" t="inlineStr">
        <is>
          <t>112.44.84.111(四川-南充)</t>
        </is>
      </c>
      <c r="G22" s="470" t="inlineStr">
        <is>
          <t>75</t>
        </is>
      </c>
      <c r="H22" s="469" t="inlineStr">
        <is>
          <t>尹思韬</t>
        </is>
      </c>
      <c r="I22" s="469" t="inlineStr">
        <is>
          <t>语文┋数学┋英语</t>
        </is>
      </c>
      <c r="J22" s="470" t="inlineStr">
        <is>
          <t>5</t>
        </is>
      </c>
      <c r="K22" s="470" t="inlineStr">
        <is>
          <t>5</t>
        </is>
      </c>
      <c r="L22" s="470" t="inlineStr">
        <is>
          <t>5</t>
        </is>
      </c>
      <c r="M22" s="470" t="inlineStr">
        <is>
          <t>5</t>
        </is>
      </c>
      <c r="N22" s="470" t="inlineStr">
        <is>
          <t>5</t>
        </is>
      </c>
      <c r="O22" s="470" t="inlineStr">
        <is>
          <t>5</t>
        </is>
      </c>
      <c r="P22" s="470" t="inlineStr">
        <is>
          <t>5</t>
        </is>
      </c>
      <c r="Q22" s="470" t="inlineStr">
        <is>
          <t>5</t>
        </is>
      </c>
      <c r="R22" s="470" t="inlineStr">
        <is>
          <t>5</t>
        </is>
      </c>
      <c r="S22" s="470" t="inlineStr">
        <is>
          <t>5</t>
        </is>
      </c>
      <c r="T22" s="470" t="inlineStr">
        <is>
          <t>5</t>
        </is>
      </c>
      <c r="U22" s="470" t="inlineStr">
        <is>
          <t>5</t>
        </is>
      </c>
      <c r="V22" s="470" t="inlineStr">
        <is>
          <t>5</t>
        </is>
      </c>
      <c r="W22" s="470" t="inlineStr">
        <is>
          <t>5</t>
        </is>
      </c>
      <c r="X22" s="470" t="inlineStr">
        <is>
          <t>5</t>
        </is>
      </c>
      <c r="Y22" s="469" t="inlineStr">
        <is>
          <t>上课不久，暂未体现</t>
        </is>
      </c>
      <c r="Z22" s="469" t="inlineStr">
        <is>
          <t>有所提高</t>
        </is>
      </c>
      <c r="AA22" s="469" t="inlineStr">
        <is>
          <t>主动完成作业，不用催┋写字/计算/单词/学习等学习基本习惯有进步</t>
        </is>
      </c>
      <c r="AB22" s="469" t="inlineStr">
        <is>
          <t>满意</t>
        </is>
      </c>
      <c r="AC22" s="470" t="inlineStr">
        <is>
          <t>3800</t>
        </is>
      </c>
      <c r="AD22" s="469" t="inlineStr">
        <is>
          <t>还在犹豫</t>
        </is>
      </c>
      <c r="AE22" s="469" t="inlineStr">
        <is>
          <t>距离太远，接送不方便</t>
        </is>
      </c>
      <c r="AF22" s="469" t="inlineStr">
        <is>
          <t>因目前只上了几节课，给我的感受是老师们都很负责任，有责任心，有较好的职业素质，若能长久这样坚持下来，还是很挺满意的，</t>
        </is>
      </c>
    </row>
    <row r="23" ht="16.5" customHeight="1" s="1053">
      <c r="A23" s="470" t="inlineStr">
        <is>
          <t>22</t>
        </is>
      </c>
      <c r="B23" s="471" t="n">
        <v>46205.86511574074</v>
      </c>
      <c r="C23" s="469" t="inlineStr">
        <is>
          <t>101秒</t>
        </is>
      </c>
      <c r="D23" s="469" t="inlineStr">
        <is>
          <t>微信</t>
        </is>
      </c>
      <c r="E23" s="469" t="inlineStr">
        <is>
          <t>N/A</t>
        </is>
      </c>
      <c r="F23" s="469" t="inlineStr">
        <is>
          <t>14.146.45.191(广东-广州)</t>
        </is>
      </c>
      <c r="G23" s="470" t="inlineStr">
        <is>
          <t>35</t>
        </is>
      </c>
      <c r="H23" s="469" t="inlineStr">
        <is>
          <t>陈霖锋</t>
        </is>
      </c>
      <c r="I23" s="469" t="inlineStr">
        <is>
          <t>语文</t>
        </is>
      </c>
      <c r="J23" s="470" t="inlineStr">
        <is>
          <t>1</t>
        </is>
      </c>
      <c r="K23" s="470" t="inlineStr">
        <is>
          <t>1</t>
        </is>
      </c>
      <c r="L23" s="470" t="inlineStr">
        <is>
          <t>1</t>
        </is>
      </c>
      <c r="M23" s="470" t="inlineStr">
        <is>
          <t>1</t>
        </is>
      </c>
      <c r="N23" s="470" t="inlineStr">
        <is>
          <t>1</t>
        </is>
      </c>
      <c r="O23" s="470" t="inlineStr">
        <is>
          <t>5</t>
        </is>
      </c>
      <c r="P23" s="470" t="inlineStr">
        <is>
          <t>5</t>
        </is>
      </c>
      <c r="Q23" s="470" t="inlineStr">
        <is>
          <t>5</t>
        </is>
      </c>
      <c r="R23" s="470" t="inlineStr">
        <is>
          <t>5</t>
        </is>
      </c>
      <c r="S23" s="470" t="inlineStr">
        <is>
          <t>5</t>
        </is>
      </c>
      <c r="T23" s="470" t="inlineStr">
        <is>
          <t>1</t>
        </is>
      </c>
      <c r="U23" s="470" t="inlineStr">
        <is>
          <t>1</t>
        </is>
      </c>
      <c r="V23" s="470" t="inlineStr">
        <is>
          <t>1</t>
        </is>
      </c>
      <c r="W23" s="470" t="inlineStr">
        <is>
          <t>1</t>
        </is>
      </c>
      <c r="X23" s="470" t="inlineStr">
        <is>
          <t>1</t>
        </is>
      </c>
      <c r="Y23" s="469" t="inlineStr">
        <is>
          <t>略有进步</t>
        </is>
      </c>
      <c r="Z23" s="469" t="inlineStr">
        <is>
          <t>有所提高</t>
        </is>
      </c>
      <c r="AA23" s="469" t="inlineStr">
        <is>
          <t>主动完成作业，不用催</t>
        </is>
      </c>
      <c r="AB23" s="469" t="inlineStr">
        <is>
          <t>非常满意</t>
        </is>
      </c>
      <c r="AC23" s="470" t="inlineStr">
        <is>
          <t>3800</t>
        </is>
      </c>
      <c r="AD23" s="469" t="inlineStr">
        <is>
          <t>还在犹豫</t>
        </is>
      </c>
      <c r="AE23" s="469" t="inlineStr">
        <is>
          <t>价格偏贵</t>
        </is>
      </c>
      <c r="AF23" s="469" t="inlineStr">
        <is>
          <t>无</t>
        </is>
      </c>
    </row>
    <row r="24" ht="16.5" customHeight="1" s="1053">
      <c r="A24" s="470" t="inlineStr">
        <is>
          <t>23</t>
        </is>
      </c>
      <c r="B24" s="471" t="n">
        <v>46205.86737268518</v>
      </c>
      <c r="C24" s="469" t="inlineStr">
        <is>
          <t>173秒</t>
        </is>
      </c>
      <c r="D24" s="469" t="inlineStr">
        <is>
          <t>微信</t>
        </is>
      </c>
      <c r="E24" s="469" t="inlineStr">
        <is>
          <t>N/A</t>
        </is>
      </c>
      <c r="F24" s="469" t="inlineStr">
        <is>
          <t>124.240.86.149(广东-佛山)</t>
        </is>
      </c>
      <c r="G24" s="470" t="inlineStr">
        <is>
          <t>35</t>
        </is>
      </c>
      <c r="H24" s="469" t="inlineStr">
        <is>
          <t>奕萱</t>
        </is>
      </c>
      <c r="I24" s="469" t="inlineStr">
        <is>
          <t>英语</t>
        </is>
      </c>
      <c r="J24" s="470" t="inlineStr">
        <is>
          <t>1</t>
        </is>
      </c>
      <c r="K24" s="470" t="inlineStr">
        <is>
          <t>1</t>
        </is>
      </c>
      <c r="L24" s="470" t="inlineStr">
        <is>
          <t>1</t>
        </is>
      </c>
      <c r="M24" s="470" t="inlineStr">
        <is>
          <t>1</t>
        </is>
      </c>
      <c r="N24" s="470" t="inlineStr">
        <is>
          <t>1</t>
        </is>
      </c>
      <c r="O24" s="470" t="inlineStr">
        <is>
          <t>1</t>
        </is>
      </c>
      <c r="P24" s="470" t="inlineStr">
        <is>
          <t>1</t>
        </is>
      </c>
      <c r="Q24" s="470" t="inlineStr">
        <is>
          <t>1</t>
        </is>
      </c>
      <c r="R24" s="470" t="inlineStr">
        <is>
          <t>1</t>
        </is>
      </c>
      <c r="S24" s="470" t="inlineStr">
        <is>
          <t>1</t>
        </is>
      </c>
      <c r="T24" s="470" t="inlineStr">
        <is>
          <t>5</t>
        </is>
      </c>
      <c r="U24" s="470" t="inlineStr">
        <is>
          <t>5</t>
        </is>
      </c>
      <c r="V24" s="470" t="inlineStr">
        <is>
          <t>5</t>
        </is>
      </c>
      <c r="W24" s="470" t="inlineStr">
        <is>
          <t>5</t>
        </is>
      </c>
      <c r="X24" s="470" t="inlineStr">
        <is>
          <t>5</t>
        </is>
      </c>
      <c r="Y24" s="469" t="inlineStr">
        <is>
          <t>略有进步</t>
        </is>
      </c>
      <c r="Z24" s="469" t="inlineStr">
        <is>
          <t>有所提高</t>
        </is>
      </c>
      <c r="AA24" s="469" t="inlineStr">
        <is>
          <t>会主动问问题，主动思考</t>
        </is>
      </c>
      <c r="AB24" s="469" t="inlineStr">
        <is>
          <t>一般</t>
        </is>
      </c>
      <c r="AC24" s="470" t="inlineStr">
        <is>
          <t>3800</t>
        </is>
      </c>
      <c r="AD24" s="469" t="inlineStr">
        <is>
          <t>还在犹豫</t>
        </is>
      </c>
      <c r="AE24" s="469" t="inlineStr">
        <is>
          <t>时间安排冲突</t>
        </is>
      </c>
      <c r="AF24" s="469" t="inlineStr">
        <is>
          <t>暑假课程13:20的时间不适合我们，勉强跟着上😂</t>
        </is>
      </c>
    </row>
    <row r="25" ht="16.5" customHeight="1" s="1053">
      <c r="A25" s="470" t="inlineStr">
        <is>
          <t>24</t>
        </is>
      </c>
      <c r="B25" s="471" t="n">
        <v>46205.86900462963</v>
      </c>
      <c r="C25" s="469" t="inlineStr">
        <is>
          <t>464秒</t>
        </is>
      </c>
      <c r="D25" s="469" t="inlineStr">
        <is>
          <t>微信</t>
        </is>
      </c>
      <c r="E25" s="469" t="inlineStr">
        <is>
          <t>N/A</t>
        </is>
      </c>
      <c r="F25" s="469" t="inlineStr">
        <is>
          <t>58.63.136.233(广东-广州)</t>
        </is>
      </c>
      <c r="G25" s="470" t="inlineStr">
        <is>
          <t>74</t>
        </is>
      </c>
      <c r="H25" s="469" t="inlineStr">
        <is>
          <t>陈君羡</t>
        </is>
      </c>
      <c r="I25" s="469" t="inlineStr">
        <is>
          <t>语文┋数学┋英语</t>
        </is>
      </c>
      <c r="J25" s="470" t="inlineStr">
        <is>
          <t>4.5</t>
        </is>
      </c>
      <c r="K25" s="470" t="inlineStr">
        <is>
          <t>4.5</t>
        </is>
      </c>
      <c r="L25" s="470" t="inlineStr">
        <is>
          <t>5</t>
        </is>
      </c>
      <c r="M25" s="470" t="inlineStr">
        <is>
          <t>5</t>
        </is>
      </c>
      <c r="N25" s="470" t="inlineStr">
        <is>
          <t>5</t>
        </is>
      </c>
      <c r="O25" s="470" t="inlineStr">
        <is>
          <t>5</t>
        </is>
      </c>
      <c r="P25" s="470" t="inlineStr">
        <is>
          <t>5</t>
        </is>
      </c>
      <c r="Q25" s="470" t="inlineStr">
        <is>
          <t>5</t>
        </is>
      </c>
      <c r="R25" s="470" t="inlineStr">
        <is>
          <t>5</t>
        </is>
      </c>
      <c r="S25" s="470" t="inlineStr">
        <is>
          <t>5</t>
        </is>
      </c>
      <c r="T25" s="470" t="inlineStr">
        <is>
          <t>5</t>
        </is>
      </c>
      <c r="U25" s="470" t="inlineStr">
        <is>
          <t>5</t>
        </is>
      </c>
      <c r="V25" s="470" t="inlineStr">
        <is>
          <t>5</t>
        </is>
      </c>
      <c r="W25" s="470" t="inlineStr">
        <is>
          <t>5</t>
        </is>
      </c>
      <c r="X25" s="470" t="inlineStr">
        <is>
          <t>5</t>
        </is>
      </c>
      <c r="Y25" s="469" t="inlineStr">
        <is>
          <t>上课不久，暂未体现</t>
        </is>
      </c>
      <c r="Z25" s="469" t="inlineStr">
        <is>
          <t>有所提高</t>
        </is>
      </c>
      <c r="AA25" s="469" t="inlineStr">
        <is>
          <t>主动完成作业，不用催┋写字/计算/单词/学习等学习基本习惯有进步</t>
        </is>
      </c>
      <c r="AB25" s="469" t="inlineStr">
        <is>
          <t>满意</t>
        </is>
      </c>
      <c r="AC25" s="470" t="inlineStr">
        <is>
          <t>3800</t>
        </is>
      </c>
      <c r="AD25" s="469" t="inlineStr">
        <is>
          <t>还在犹豫</t>
        </is>
      </c>
      <c r="AE25" s="469" t="inlineStr">
        <is>
          <t>时间安排冲突</t>
        </is>
      </c>
      <c r="AF25" s="469" t="inlineStr">
        <is>
          <t>教学老师认真负责，希望提供对应年级教材，教学的新动向，</t>
        </is>
      </c>
    </row>
    <row r="26" ht="16.5" customHeight="1" s="1053">
      <c r="A26" s="470" t="inlineStr">
        <is>
          <t>25</t>
        </is>
      </c>
      <c r="B26" s="471" t="n">
        <v>46205.87017361111</v>
      </c>
      <c r="C26" s="469" t="inlineStr">
        <is>
          <t>78秒</t>
        </is>
      </c>
      <c r="D26" s="469" t="inlineStr">
        <is>
          <t>微信</t>
        </is>
      </c>
      <c r="E26" s="469" t="inlineStr">
        <is>
          <t>N/A</t>
        </is>
      </c>
      <c r="F26" s="469" t="inlineStr">
        <is>
          <t>113.65.44.240(广东-广州)</t>
        </is>
      </c>
      <c r="G26" s="470" t="inlineStr">
        <is>
          <t>75</t>
        </is>
      </c>
      <c r="H26" s="469" t="inlineStr">
        <is>
          <t>郭艺霖</t>
        </is>
      </c>
      <c r="I26" s="469" t="inlineStr">
        <is>
          <t>语文┋数学┋英语</t>
        </is>
      </c>
      <c r="J26" s="470" t="inlineStr">
        <is>
          <t>5</t>
        </is>
      </c>
      <c r="K26" s="470" t="inlineStr">
        <is>
          <t>5</t>
        </is>
      </c>
      <c r="L26" s="470" t="inlineStr">
        <is>
          <t>5</t>
        </is>
      </c>
      <c r="M26" s="470" t="inlineStr">
        <is>
          <t>5</t>
        </is>
      </c>
      <c r="N26" s="470" t="inlineStr">
        <is>
          <t>5</t>
        </is>
      </c>
      <c r="O26" s="470" t="inlineStr">
        <is>
          <t>5</t>
        </is>
      </c>
      <c r="P26" s="470" t="inlineStr">
        <is>
          <t>5</t>
        </is>
      </c>
      <c r="Q26" s="470" t="inlineStr">
        <is>
          <t>5</t>
        </is>
      </c>
      <c r="R26" s="470" t="inlineStr">
        <is>
          <t>5</t>
        </is>
      </c>
      <c r="S26" s="470" t="inlineStr">
        <is>
          <t>5</t>
        </is>
      </c>
      <c r="T26" s="470" t="inlineStr">
        <is>
          <t>5</t>
        </is>
      </c>
      <c r="U26" s="470" t="inlineStr">
        <is>
          <t>5</t>
        </is>
      </c>
      <c r="V26" s="470" t="inlineStr">
        <is>
          <t>5</t>
        </is>
      </c>
      <c r="W26" s="470" t="inlineStr">
        <is>
          <t>5</t>
        </is>
      </c>
      <c r="X26" s="470" t="inlineStr">
        <is>
          <t>5</t>
        </is>
      </c>
      <c r="Y26" s="469" t="inlineStr">
        <is>
          <t>略有进步</t>
        </is>
      </c>
      <c r="Z26" s="469" t="inlineStr">
        <is>
          <t>有所提高</t>
        </is>
      </c>
      <c r="AA26" s="469" t="inlineStr">
        <is>
          <t>主动完成作业，不用催</t>
        </is>
      </c>
      <c r="AB26" s="469" t="inlineStr">
        <is>
          <t>非常满意</t>
        </is>
      </c>
      <c r="AC26" s="470" t="inlineStr">
        <is>
          <t>3800</t>
        </is>
      </c>
      <c r="AD26" s="469" t="inlineStr">
        <is>
          <t>还在犹豫</t>
        </is>
      </c>
      <c r="AE26" s="469" t="inlineStr">
        <is>
          <t>价格偏贵</t>
        </is>
      </c>
      <c r="AF26" s="469" t="inlineStr">
        <is>
          <t>无</t>
        </is>
      </c>
    </row>
    <row r="27" ht="16.5" customHeight="1" s="1053">
      <c r="A27" s="470" t="inlineStr">
        <is>
          <t>26</t>
        </is>
      </c>
      <c r="B27" s="471" t="n">
        <v>46205.87173611111</v>
      </c>
      <c r="C27" s="469" t="inlineStr">
        <is>
          <t>139秒</t>
        </is>
      </c>
      <c r="D27" s="469" t="inlineStr">
        <is>
          <t>微信</t>
        </is>
      </c>
      <c r="E27" s="469" t="inlineStr">
        <is>
          <t>N/A</t>
        </is>
      </c>
      <c r="F27" s="469" t="inlineStr">
        <is>
          <t>124.240.83.147(广东-佛山)</t>
        </is>
      </c>
      <c r="G27" s="470" t="inlineStr">
        <is>
          <t>65</t>
        </is>
      </c>
      <c r="H27" s="469" t="inlineStr">
        <is>
          <t>衍信</t>
        </is>
      </c>
      <c r="I27" s="469" t="inlineStr">
        <is>
          <t>语文┋数学┋英语</t>
        </is>
      </c>
      <c r="J27" s="470" t="inlineStr">
        <is>
          <t>3</t>
        </is>
      </c>
      <c r="K27" s="470" t="inlineStr">
        <is>
          <t>3</t>
        </is>
      </c>
      <c r="L27" s="470" t="inlineStr">
        <is>
          <t>3</t>
        </is>
      </c>
      <c r="M27" s="470" t="inlineStr">
        <is>
          <t>3</t>
        </is>
      </c>
      <c r="N27" s="470" t="inlineStr">
        <is>
          <t>3</t>
        </is>
      </c>
      <c r="O27" s="470" t="inlineStr">
        <is>
          <t>5</t>
        </is>
      </c>
      <c r="P27" s="470" t="inlineStr">
        <is>
          <t>5</t>
        </is>
      </c>
      <c r="Q27" s="470" t="inlineStr">
        <is>
          <t>5</t>
        </is>
      </c>
      <c r="R27" s="470" t="inlineStr">
        <is>
          <t>5</t>
        </is>
      </c>
      <c r="S27" s="470" t="inlineStr">
        <is>
          <t>5</t>
        </is>
      </c>
      <c r="T27" s="470" t="inlineStr">
        <is>
          <t>5</t>
        </is>
      </c>
      <c r="U27" s="470" t="inlineStr">
        <is>
          <t>5</t>
        </is>
      </c>
      <c r="V27" s="470" t="inlineStr">
        <is>
          <t>5</t>
        </is>
      </c>
      <c r="W27" s="470" t="inlineStr">
        <is>
          <t>5</t>
        </is>
      </c>
      <c r="X27" s="470" t="inlineStr">
        <is>
          <t>5</t>
        </is>
      </c>
      <c r="Y27" s="469" t="inlineStr">
        <is>
          <t>明显进步</t>
        </is>
      </c>
      <c r="Z27" s="469" t="inlineStr">
        <is>
          <t>兴趣明显提高</t>
        </is>
      </c>
      <c r="AA27" s="469" t="inlineStr">
        <is>
          <t>主动完成作业，不用催┋做作业正确率提高了┋会主动问问题，主动思考</t>
        </is>
      </c>
      <c r="AB27" s="469" t="inlineStr">
        <is>
          <t>非常满意</t>
        </is>
      </c>
      <c r="AC27" s="470" t="inlineStr">
        <is>
          <t>3800</t>
        </is>
      </c>
      <c r="AD27" s="469" t="inlineStr">
        <is>
          <t>大概率会报</t>
        </is>
      </c>
      <c r="AE27" s="469" t="inlineStr">
        <is>
          <t>其他</t>
        </is>
      </c>
      <c r="AF27" s="469" t="inlineStr">
        <is>
          <t>暂无</t>
        </is>
      </c>
    </row>
    <row r="28" ht="16.5" customHeight="1" s="1053">
      <c r="A28" s="470" t="inlineStr">
        <is>
          <t>27</t>
        </is>
      </c>
      <c r="B28" s="471" t="n">
        <v>46205.87267361111</v>
      </c>
      <c r="C28" s="469" t="inlineStr">
        <is>
          <t>512秒</t>
        </is>
      </c>
      <c r="D28" s="469" t="inlineStr">
        <is>
          <t>微信</t>
        </is>
      </c>
      <c r="E28" s="469" t="inlineStr">
        <is>
          <t>N/A</t>
        </is>
      </c>
      <c r="F28" s="469" t="inlineStr">
        <is>
          <t>119.129.51.96(广东-广州)</t>
        </is>
      </c>
      <c r="G28" s="470" t="inlineStr">
        <is>
          <t>58</t>
        </is>
      </c>
      <c r="H28" s="469" t="inlineStr">
        <is>
          <t>郭芃泽</t>
        </is>
      </c>
      <c r="I28" s="469" t="inlineStr">
        <is>
          <t>语文┋数学</t>
        </is>
      </c>
      <c r="J28" s="470" t="inlineStr">
        <is>
          <t>5</t>
        </is>
      </c>
      <c r="K28" s="470" t="inlineStr">
        <is>
          <t>5</t>
        </is>
      </c>
      <c r="L28" s="470" t="inlineStr">
        <is>
          <t>4</t>
        </is>
      </c>
      <c r="M28" s="470" t="inlineStr">
        <is>
          <t>4.5</t>
        </is>
      </c>
      <c r="N28" s="470" t="inlineStr">
        <is>
          <t>4.5</t>
        </is>
      </c>
      <c r="O28" s="470" t="inlineStr">
        <is>
          <t>4</t>
        </is>
      </c>
      <c r="P28" s="470" t="inlineStr">
        <is>
          <t>4</t>
        </is>
      </c>
      <c r="Q28" s="470" t="inlineStr">
        <is>
          <t>4</t>
        </is>
      </c>
      <c r="R28" s="470" t="inlineStr">
        <is>
          <t>4</t>
        </is>
      </c>
      <c r="S28" s="470" t="inlineStr">
        <is>
          <t>4</t>
        </is>
      </c>
      <c r="T28" s="470" t="inlineStr">
        <is>
          <t>3</t>
        </is>
      </c>
      <c r="U28" s="470" t="inlineStr">
        <is>
          <t>3</t>
        </is>
      </c>
      <c r="V28" s="470" t="inlineStr">
        <is>
          <t>3</t>
        </is>
      </c>
      <c r="W28" s="470" t="inlineStr">
        <is>
          <t>3</t>
        </is>
      </c>
      <c r="X28" s="470" t="inlineStr">
        <is>
          <t>3</t>
        </is>
      </c>
      <c r="Y28" s="469" t="inlineStr">
        <is>
          <t>变化不大</t>
        </is>
      </c>
      <c r="Z28" s="469" t="inlineStr">
        <is>
          <t>有所提高</t>
        </is>
      </c>
      <c r="AA28" s="469" t="inlineStr">
        <is>
          <t>写字/计算/单词/学习等学习基本习惯有进步</t>
        </is>
      </c>
      <c r="AB28" s="469" t="inlineStr">
        <is>
          <t>满意</t>
        </is>
      </c>
      <c r="AC28" s="470" t="inlineStr">
        <is>
          <t>3800</t>
        </is>
      </c>
      <c r="AD28" s="469" t="inlineStr">
        <is>
          <t>大概率会报</t>
        </is>
      </c>
      <c r="AE28" s="469" t="inlineStr">
        <is>
          <t>成绩提升不明显</t>
        </is>
      </c>
      <c r="AF28" s="469" t="inlineStr">
        <is>
          <t>提升课堂教学效果</t>
        </is>
      </c>
    </row>
    <row r="29" ht="16.5" customHeight="1" s="1053">
      <c r="A29" s="470" t="inlineStr">
        <is>
          <t>28</t>
        </is>
      </c>
      <c r="B29" s="471" t="n">
        <v>46205.87270833334</v>
      </c>
      <c r="C29" s="469" t="inlineStr">
        <is>
          <t>64秒</t>
        </is>
      </c>
      <c r="D29" s="469" t="inlineStr">
        <is>
          <t>微信</t>
        </is>
      </c>
      <c r="E29" s="469" t="inlineStr">
        <is>
          <t>N/A</t>
        </is>
      </c>
      <c r="F29" s="469" t="inlineStr">
        <is>
          <t>120.235.176.22(广东-广州)</t>
        </is>
      </c>
      <c r="G29" s="470" t="inlineStr">
        <is>
          <t>75</t>
        </is>
      </c>
      <c r="H29" s="469" t="inlineStr">
        <is>
          <t>范熙宗</t>
        </is>
      </c>
      <c r="I29" s="469" t="inlineStr">
        <is>
          <t>语文┋数学┋英语</t>
        </is>
      </c>
      <c r="J29" s="470" t="inlineStr">
        <is>
          <t>5</t>
        </is>
      </c>
      <c r="K29" s="470" t="inlineStr">
        <is>
          <t>5</t>
        </is>
      </c>
      <c r="L29" s="470" t="inlineStr">
        <is>
          <t>5</t>
        </is>
      </c>
      <c r="M29" s="470" t="inlineStr">
        <is>
          <t>5</t>
        </is>
      </c>
      <c r="N29" s="470" t="inlineStr">
        <is>
          <t>5</t>
        </is>
      </c>
      <c r="O29" s="470" t="inlineStr">
        <is>
          <t>5</t>
        </is>
      </c>
      <c r="P29" s="470" t="inlineStr">
        <is>
          <t>5</t>
        </is>
      </c>
      <c r="Q29" s="470" t="inlineStr">
        <is>
          <t>5</t>
        </is>
      </c>
      <c r="R29" s="470" t="inlineStr">
        <is>
          <t>5</t>
        </is>
      </c>
      <c r="S29" s="470" t="inlineStr">
        <is>
          <t>5</t>
        </is>
      </c>
      <c r="T29" s="470" t="inlineStr">
        <is>
          <t>5</t>
        </is>
      </c>
      <c r="U29" s="470" t="inlineStr">
        <is>
          <t>5</t>
        </is>
      </c>
      <c r="V29" s="470" t="inlineStr">
        <is>
          <t>5</t>
        </is>
      </c>
      <c r="W29" s="470" t="inlineStr">
        <is>
          <t>5</t>
        </is>
      </c>
      <c r="X29" s="470" t="inlineStr">
        <is>
          <t>5</t>
        </is>
      </c>
      <c r="Y29" s="469" t="inlineStr">
        <is>
          <t>上课不久，暂未体现</t>
        </is>
      </c>
      <c r="Z29" s="469" t="inlineStr">
        <is>
          <t>有所提高</t>
        </is>
      </c>
      <c r="AA29" s="469" t="inlineStr">
        <is>
          <t>做作业正确率提高了┋会主动问问题，主动思考</t>
        </is>
      </c>
      <c r="AB29" s="469" t="inlineStr">
        <is>
          <t>满意</t>
        </is>
      </c>
      <c r="AC29" s="470" t="inlineStr">
        <is>
          <t>3800</t>
        </is>
      </c>
      <c r="AD29" s="469" t="inlineStr">
        <is>
          <t>还在犹豫</t>
        </is>
      </c>
      <c r="AE29" s="469" t="inlineStr">
        <is>
          <t>其他</t>
        </is>
      </c>
      <c r="AF29" s="469" t="inlineStr">
        <is>
          <t>无</t>
        </is>
      </c>
    </row>
    <row r="30" ht="16.5" customHeight="1" s="1053">
      <c r="A30" s="470" t="inlineStr">
        <is>
          <t>29</t>
        </is>
      </c>
      <c r="B30" s="471" t="n">
        <v>46205.87634259259</v>
      </c>
      <c r="C30" s="469" t="inlineStr">
        <is>
          <t>228秒</t>
        </is>
      </c>
      <c r="D30" s="469" t="inlineStr">
        <is>
          <t>微信</t>
        </is>
      </c>
      <c r="E30" s="469" t="inlineStr">
        <is>
          <t>N/A</t>
        </is>
      </c>
      <c r="F30" s="469" t="inlineStr">
        <is>
          <t>120.235.178.29(广东-广州)</t>
        </is>
      </c>
      <c r="G30" s="470" t="inlineStr">
        <is>
          <t>75</t>
        </is>
      </c>
      <c r="H30" s="469" t="inlineStr">
        <is>
          <t>郭蕴文</t>
        </is>
      </c>
      <c r="I30" s="469" t="inlineStr">
        <is>
          <t>语文┋数学</t>
        </is>
      </c>
      <c r="J30" s="470" t="inlineStr">
        <is>
          <t>5</t>
        </is>
      </c>
      <c r="K30" s="470" t="inlineStr">
        <is>
          <t>5</t>
        </is>
      </c>
      <c r="L30" s="470" t="inlineStr">
        <is>
          <t>5</t>
        </is>
      </c>
      <c r="M30" s="470" t="inlineStr">
        <is>
          <t>5</t>
        </is>
      </c>
      <c r="N30" s="470" t="inlineStr">
        <is>
          <t>5</t>
        </is>
      </c>
      <c r="O30" s="470" t="inlineStr">
        <is>
          <t>5</t>
        </is>
      </c>
      <c r="P30" s="470" t="inlineStr">
        <is>
          <t>5</t>
        </is>
      </c>
      <c r="Q30" s="470" t="inlineStr">
        <is>
          <t>5</t>
        </is>
      </c>
      <c r="R30" s="470" t="inlineStr">
        <is>
          <t>5</t>
        </is>
      </c>
      <c r="S30" s="470" t="inlineStr">
        <is>
          <t>5</t>
        </is>
      </c>
      <c r="T30" s="470" t="inlineStr">
        <is>
          <t>5</t>
        </is>
      </c>
      <c r="U30" s="470" t="inlineStr">
        <is>
          <t>5</t>
        </is>
      </c>
      <c r="V30" s="470" t="inlineStr">
        <is>
          <t>5</t>
        </is>
      </c>
      <c r="W30" s="470" t="inlineStr">
        <is>
          <t>5</t>
        </is>
      </c>
      <c r="X30" s="470" t="inlineStr">
        <is>
          <t>5</t>
        </is>
      </c>
      <c r="Y30" s="469" t="inlineStr">
        <is>
          <t>略有进步</t>
        </is>
      </c>
      <c r="Z30" s="469" t="inlineStr">
        <is>
          <t>有所提高</t>
        </is>
      </c>
      <c r="AA30" s="469" t="inlineStr">
        <is>
          <t>主动完成作业，不用催</t>
        </is>
      </c>
      <c r="AB30" s="469" t="inlineStr">
        <is>
          <t>满意</t>
        </is>
      </c>
      <c r="AC30" s="470" t="inlineStr">
        <is>
          <t>3800</t>
        </is>
      </c>
      <c r="AD30" s="469" t="inlineStr">
        <is>
          <t>大概率会报</t>
        </is>
      </c>
      <c r="AE30" s="469" t="inlineStr">
        <is>
          <t>距离太远，接送不方便</t>
        </is>
      </c>
      <c r="AF30" s="469" t="inlineStr">
        <is>
          <t>英语还没上，数学这次考得不理想</t>
        </is>
      </c>
    </row>
    <row r="31" ht="16.5" customHeight="1" s="1053">
      <c r="A31" s="470" t="inlineStr">
        <is>
          <t>30</t>
        </is>
      </c>
      <c r="B31" s="471" t="n">
        <v>46205.87827546296</v>
      </c>
      <c r="C31" s="469" t="inlineStr">
        <is>
          <t>487秒</t>
        </is>
      </c>
      <c r="D31" s="469" t="inlineStr">
        <is>
          <t>微信</t>
        </is>
      </c>
      <c r="E31" s="469" t="inlineStr">
        <is>
          <t>N/A</t>
        </is>
      </c>
      <c r="F31" s="469" t="inlineStr">
        <is>
          <t>113.119.85.164(广东-广州)</t>
        </is>
      </c>
      <c r="G31" s="470" t="inlineStr">
        <is>
          <t>75</t>
        </is>
      </c>
      <c r="H31" s="469" t="inlineStr">
        <is>
          <t>邱兆臻</t>
        </is>
      </c>
      <c r="I31" s="469" t="inlineStr">
        <is>
          <t>语文┋数学┋英语</t>
        </is>
      </c>
      <c r="J31" s="470" t="inlineStr">
        <is>
          <t>5</t>
        </is>
      </c>
      <c r="K31" s="470" t="inlineStr">
        <is>
          <t>5</t>
        </is>
      </c>
      <c r="L31" s="470" t="inlineStr">
        <is>
          <t>5</t>
        </is>
      </c>
      <c r="M31" s="470" t="inlineStr">
        <is>
          <t>5</t>
        </is>
      </c>
      <c r="N31" s="470" t="inlineStr">
        <is>
          <t>5</t>
        </is>
      </c>
      <c r="O31" s="470" t="inlineStr">
        <is>
          <t>5</t>
        </is>
      </c>
      <c r="P31" s="470" t="inlineStr">
        <is>
          <t>5</t>
        </is>
      </c>
      <c r="Q31" s="470" t="inlineStr">
        <is>
          <t>5</t>
        </is>
      </c>
      <c r="R31" s="470" t="inlineStr">
        <is>
          <t>5</t>
        </is>
      </c>
      <c r="S31" s="470" t="inlineStr">
        <is>
          <t>5</t>
        </is>
      </c>
      <c r="T31" s="470" t="inlineStr">
        <is>
          <t>5</t>
        </is>
      </c>
      <c r="U31" s="470" t="inlineStr">
        <is>
          <t>5</t>
        </is>
      </c>
      <c r="V31" s="470" t="inlineStr">
        <is>
          <t>5</t>
        </is>
      </c>
      <c r="W31" s="470" t="inlineStr">
        <is>
          <t>5</t>
        </is>
      </c>
      <c r="X31" s="470" t="inlineStr">
        <is>
          <t>5</t>
        </is>
      </c>
      <c r="Y31" s="469" t="inlineStr">
        <is>
          <t>明显进步</t>
        </is>
      </c>
      <c r="Z31" s="469" t="inlineStr">
        <is>
          <t>兴趣明显提高</t>
        </is>
      </c>
      <c r="AA31" s="469" t="inlineStr">
        <is>
          <t>主动完成作业，不用催┋做作业正确率提高了┋会主动问问题，主动思考┋写字/计算/单词/学习等学习基本习惯有进步</t>
        </is>
      </c>
      <c r="AB31" s="469" t="inlineStr">
        <is>
          <t>非常满意</t>
        </is>
      </c>
      <c r="AC31" s="470" t="inlineStr">
        <is>
          <t>3800</t>
        </is>
      </c>
      <c r="AD31" s="469" t="inlineStr">
        <is>
          <t>一定续报</t>
        </is>
      </c>
      <c r="AE31" s="469" t="inlineStr">
        <is>
          <t>时间安排冲突</t>
        </is>
      </c>
      <c r="AF31" s="469" t="inlineStr">
        <is>
          <t>助教配合主课老师效率不高，显得乱慢</t>
        </is>
      </c>
    </row>
    <row r="32" ht="16.5" customHeight="1" s="1053">
      <c r="A32" s="470" t="inlineStr">
        <is>
          <t>31</t>
        </is>
      </c>
      <c r="B32" s="471" t="n">
        <v>46205.87924768519</v>
      </c>
      <c r="C32" s="469" t="inlineStr">
        <is>
          <t>390秒</t>
        </is>
      </c>
      <c r="D32" s="469" t="inlineStr">
        <is>
          <t>微信</t>
        </is>
      </c>
      <c r="E32" s="469" t="inlineStr">
        <is>
          <t>N/A</t>
        </is>
      </c>
      <c r="F32" s="469" t="inlineStr">
        <is>
          <t>119.129.53.112(广东-广州)</t>
        </is>
      </c>
      <c r="G32" s="470" t="inlineStr">
        <is>
          <t>75</t>
        </is>
      </c>
      <c r="H32" s="469" t="inlineStr">
        <is>
          <t>叶晓静</t>
        </is>
      </c>
      <c r="I32" s="469" t="inlineStr">
        <is>
          <t>语文┋数学┋英语</t>
        </is>
      </c>
      <c r="J32" s="470" t="inlineStr">
        <is>
          <t>5</t>
        </is>
      </c>
      <c r="K32" s="470" t="inlineStr">
        <is>
          <t>5</t>
        </is>
      </c>
      <c r="L32" s="470" t="inlineStr">
        <is>
          <t>5</t>
        </is>
      </c>
      <c r="M32" s="470" t="inlineStr">
        <is>
          <t>5</t>
        </is>
      </c>
      <c r="N32" s="470" t="inlineStr">
        <is>
          <t>5</t>
        </is>
      </c>
      <c r="O32" s="470" t="inlineStr">
        <is>
          <t>5</t>
        </is>
      </c>
      <c r="P32" s="470" t="inlineStr">
        <is>
          <t>5</t>
        </is>
      </c>
      <c r="Q32" s="470" t="inlineStr">
        <is>
          <t>5</t>
        </is>
      </c>
      <c r="R32" s="470" t="inlineStr">
        <is>
          <t>5</t>
        </is>
      </c>
      <c r="S32" s="470" t="inlineStr">
        <is>
          <t>5</t>
        </is>
      </c>
      <c r="T32" s="470" t="inlineStr">
        <is>
          <t>5</t>
        </is>
      </c>
      <c r="U32" s="470" t="inlineStr">
        <is>
          <t>5</t>
        </is>
      </c>
      <c r="V32" s="470" t="inlineStr">
        <is>
          <t>5</t>
        </is>
      </c>
      <c r="W32" s="470" t="inlineStr">
        <is>
          <t>5</t>
        </is>
      </c>
      <c r="X32" s="470" t="inlineStr">
        <is>
          <t>5</t>
        </is>
      </c>
      <c r="Y32" s="469" t="inlineStr">
        <is>
          <t>略有进步</t>
        </is>
      </c>
      <c r="Z32" s="469" t="inlineStr">
        <is>
          <t>有所提高</t>
        </is>
      </c>
      <c r="AA32" s="469" t="inlineStr">
        <is>
          <t>写字/计算/单词/学习等学习基本习惯有进步</t>
        </is>
      </c>
      <c r="AB32" s="469" t="inlineStr">
        <is>
          <t>满意</t>
        </is>
      </c>
      <c r="AC32" s="470" t="inlineStr">
        <is>
          <t>3800</t>
        </is>
      </c>
      <c r="AD32" s="469" t="inlineStr">
        <is>
          <t>还在犹豫</t>
        </is>
      </c>
      <c r="AE32" s="469" t="inlineStr">
        <is>
          <t>价格偏贵</t>
        </is>
      </c>
      <c r="AF32" s="469" t="inlineStr">
        <is>
          <t>无</t>
        </is>
      </c>
    </row>
    <row r="33" ht="16.5" customHeight="1" s="1053">
      <c r="A33" s="470" t="inlineStr">
        <is>
          <t>32</t>
        </is>
      </c>
      <c r="B33" s="471" t="n">
        <v>46205.88447916666</v>
      </c>
      <c r="C33" s="469" t="inlineStr">
        <is>
          <t>188秒</t>
        </is>
      </c>
      <c r="D33" s="469" t="inlineStr">
        <is>
          <t>微信</t>
        </is>
      </c>
      <c r="E33" s="469" t="inlineStr">
        <is>
          <t>N/A</t>
        </is>
      </c>
      <c r="F33" s="469" t="inlineStr">
        <is>
          <t>183.42.37.137(广东-广州)</t>
        </is>
      </c>
      <c r="G33" s="470" t="inlineStr">
        <is>
          <t>73.5</t>
        </is>
      </c>
      <c r="H33" s="469" t="inlineStr">
        <is>
          <t>雷斐然</t>
        </is>
      </c>
      <c r="I33" s="469" t="inlineStr">
        <is>
          <t>语文┋数学┋英语</t>
        </is>
      </c>
      <c r="J33" s="470" t="inlineStr">
        <is>
          <t>5</t>
        </is>
      </c>
      <c r="K33" s="470" t="inlineStr">
        <is>
          <t>5</t>
        </is>
      </c>
      <c r="L33" s="470" t="inlineStr">
        <is>
          <t>4</t>
        </is>
      </c>
      <c r="M33" s="470" t="inlineStr">
        <is>
          <t>5</t>
        </is>
      </c>
      <c r="N33" s="470" t="inlineStr">
        <is>
          <t>5</t>
        </is>
      </c>
      <c r="O33" s="470" t="inlineStr">
        <is>
          <t>5</t>
        </is>
      </c>
      <c r="P33" s="470" t="inlineStr">
        <is>
          <t>5</t>
        </is>
      </c>
      <c r="Q33" s="470" t="inlineStr">
        <is>
          <t>5</t>
        </is>
      </c>
      <c r="R33" s="470" t="inlineStr">
        <is>
          <t>5</t>
        </is>
      </c>
      <c r="S33" s="470" t="inlineStr">
        <is>
          <t>5</t>
        </is>
      </c>
      <c r="T33" s="470" t="inlineStr">
        <is>
          <t>5</t>
        </is>
      </c>
      <c r="U33" s="470" t="inlineStr">
        <is>
          <t>5</t>
        </is>
      </c>
      <c r="V33" s="470" t="inlineStr">
        <is>
          <t>5</t>
        </is>
      </c>
      <c r="W33" s="470" t="inlineStr">
        <is>
          <t>4.5</t>
        </is>
      </c>
      <c r="X33" s="470" t="inlineStr">
        <is>
          <t>5</t>
        </is>
      </c>
      <c r="Y33" s="469" t="inlineStr">
        <is>
          <t>明显进步</t>
        </is>
      </c>
      <c r="Z33" s="469" t="inlineStr">
        <is>
          <t>有所提高</t>
        </is>
      </c>
      <c r="AA33" s="469" t="inlineStr">
        <is>
          <t>主动完成作业，不用催┋做作业正确率提高了┋写字/计算/单词/学习等学习基本习惯有进步</t>
        </is>
      </c>
      <c r="AB33" s="469" t="inlineStr">
        <is>
          <t>非常满意</t>
        </is>
      </c>
      <c r="AC33" s="470" t="inlineStr">
        <is>
          <t>4480</t>
        </is>
      </c>
      <c r="AD33" s="469" t="inlineStr">
        <is>
          <t>大概率会报</t>
        </is>
      </c>
      <c r="AE33" s="469" t="inlineStr">
        <is>
          <t>距离太远，接送不方便</t>
        </is>
      </c>
      <c r="AF33" s="469" t="inlineStr">
        <is>
          <t>无</t>
        </is>
      </c>
    </row>
    <row r="34" ht="16.5" customHeight="1" s="1053">
      <c r="A34" s="470" t="inlineStr">
        <is>
          <t>33</t>
        </is>
      </c>
      <c r="B34" s="471" t="n">
        <v>46205.88928240741</v>
      </c>
      <c r="C34" s="469" t="inlineStr">
        <is>
          <t>285秒</t>
        </is>
      </c>
      <c r="D34" s="469" t="inlineStr">
        <is>
          <t>微信</t>
        </is>
      </c>
      <c r="E34" s="469" t="inlineStr">
        <is>
          <t>N/A</t>
        </is>
      </c>
      <c r="F34" s="469" t="inlineStr">
        <is>
          <t>223.104.67.220(广东-广州)</t>
        </is>
      </c>
      <c r="G34" s="470" t="inlineStr">
        <is>
          <t>75</t>
        </is>
      </c>
      <c r="H34" s="469" t="inlineStr">
        <is>
          <t>赖雨甜</t>
        </is>
      </c>
      <c r="I34" s="469" t="inlineStr">
        <is>
          <t>语文┋数学┋英语</t>
        </is>
      </c>
      <c r="J34" s="470" t="inlineStr">
        <is>
          <t>5</t>
        </is>
      </c>
      <c r="K34" s="470" t="inlineStr">
        <is>
          <t>5</t>
        </is>
      </c>
      <c r="L34" s="470" t="inlineStr">
        <is>
          <t>5</t>
        </is>
      </c>
      <c r="M34" s="470" t="inlineStr">
        <is>
          <t>5</t>
        </is>
      </c>
      <c r="N34" s="470" t="inlineStr">
        <is>
          <t>5</t>
        </is>
      </c>
      <c r="O34" s="470" t="inlineStr">
        <is>
          <t>5</t>
        </is>
      </c>
      <c r="P34" s="470" t="inlineStr">
        <is>
          <t>5</t>
        </is>
      </c>
      <c r="Q34" s="470" t="inlineStr">
        <is>
          <t>5</t>
        </is>
      </c>
      <c r="R34" s="470" t="inlineStr">
        <is>
          <t>5</t>
        </is>
      </c>
      <c r="S34" s="470" t="inlineStr">
        <is>
          <t>5</t>
        </is>
      </c>
      <c r="T34" s="470" t="inlineStr">
        <is>
          <t>5</t>
        </is>
      </c>
      <c r="U34" s="470" t="inlineStr">
        <is>
          <t>5</t>
        </is>
      </c>
      <c r="V34" s="470" t="inlineStr">
        <is>
          <t>5</t>
        </is>
      </c>
      <c r="W34" s="470" t="inlineStr">
        <is>
          <t>5</t>
        </is>
      </c>
      <c r="X34" s="470" t="inlineStr">
        <is>
          <t>5</t>
        </is>
      </c>
      <c r="Y34" s="469" t="inlineStr">
        <is>
          <t>上课不久，暂未体现</t>
        </is>
      </c>
      <c r="Z34" s="469" t="inlineStr">
        <is>
          <t>变化不大</t>
        </is>
      </c>
      <c r="AA34" s="469" t="inlineStr">
        <is>
          <t>会主动问问题，主动思考</t>
        </is>
      </c>
      <c r="AB34" s="469" t="inlineStr">
        <is>
          <t>满意</t>
        </is>
      </c>
      <c r="AC34" s="470" t="inlineStr">
        <is>
          <t>3800</t>
        </is>
      </c>
      <c r="AD34" s="469" t="inlineStr">
        <is>
          <t>还在犹豫</t>
        </is>
      </c>
      <c r="AE34" s="469" t="inlineStr">
        <is>
          <t>其他</t>
        </is>
      </c>
      <c r="AF34" s="469" t="inlineStr">
        <is>
          <t>无</t>
        </is>
      </c>
    </row>
    <row r="35" ht="16.5" customHeight="1" s="1053">
      <c r="A35" s="470" t="inlineStr">
        <is>
          <t>34</t>
        </is>
      </c>
      <c r="B35" s="471" t="n">
        <v>46205.889375</v>
      </c>
      <c r="C35" s="469" t="inlineStr">
        <is>
          <t>203秒</t>
        </is>
      </c>
      <c r="D35" s="469" t="inlineStr">
        <is>
          <t>微信</t>
        </is>
      </c>
      <c r="E35" s="469" t="inlineStr">
        <is>
          <t>N/A</t>
        </is>
      </c>
      <c r="F35" s="469" t="inlineStr">
        <is>
          <t>120.235.228.37(广东-广州)</t>
        </is>
      </c>
      <c r="G35" s="470" t="inlineStr">
        <is>
          <t>75</t>
        </is>
      </c>
      <c r="H35" s="469" t="inlineStr">
        <is>
          <t>刘子填</t>
        </is>
      </c>
      <c r="I35" s="469" t="inlineStr">
        <is>
          <t>语文┋数学┋英语</t>
        </is>
      </c>
      <c r="J35" s="470" t="inlineStr">
        <is>
          <t>5</t>
        </is>
      </c>
      <c r="K35" s="470" t="inlineStr">
        <is>
          <t>5</t>
        </is>
      </c>
      <c r="L35" s="470" t="inlineStr">
        <is>
          <t>5</t>
        </is>
      </c>
      <c r="M35" s="470" t="inlineStr">
        <is>
          <t>5</t>
        </is>
      </c>
      <c r="N35" s="470" t="inlineStr">
        <is>
          <t>5</t>
        </is>
      </c>
      <c r="O35" s="470" t="inlineStr">
        <is>
          <t>5</t>
        </is>
      </c>
      <c r="P35" s="470" t="inlineStr">
        <is>
          <t>5</t>
        </is>
      </c>
      <c r="Q35" s="470" t="inlineStr">
        <is>
          <t>5</t>
        </is>
      </c>
      <c r="R35" s="470" t="inlineStr">
        <is>
          <t>5</t>
        </is>
      </c>
      <c r="S35" s="470" t="inlineStr">
        <is>
          <t>5</t>
        </is>
      </c>
      <c r="T35" s="470" t="inlineStr">
        <is>
          <t>5</t>
        </is>
      </c>
      <c r="U35" s="470" t="inlineStr">
        <is>
          <t>5</t>
        </is>
      </c>
      <c r="V35" s="470" t="inlineStr">
        <is>
          <t>5</t>
        </is>
      </c>
      <c r="W35" s="470" t="inlineStr">
        <is>
          <t>5</t>
        </is>
      </c>
      <c r="X35" s="470" t="inlineStr">
        <is>
          <t>5</t>
        </is>
      </c>
      <c r="Y35" s="469" t="inlineStr">
        <is>
          <t>上课不久，暂未体现</t>
        </is>
      </c>
      <c r="Z35" s="469" t="inlineStr">
        <is>
          <t>变化不大</t>
        </is>
      </c>
      <c r="AA35" s="469" t="inlineStr">
        <is>
          <t>会主动问问题，主动思考</t>
        </is>
      </c>
      <c r="AB35" s="469" t="inlineStr">
        <is>
          <t>满意</t>
        </is>
      </c>
      <c r="AC35" s="470" t="inlineStr">
        <is>
          <t>3800</t>
        </is>
      </c>
      <c r="AD35" s="469" t="inlineStr">
        <is>
          <t>还在犹豫</t>
        </is>
      </c>
      <c r="AE35" s="469" t="inlineStr">
        <is>
          <t>价格偏贵</t>
        </is>
      </c>
      <c r="AF35" s="469" t="inlineStr">
        <is>
          <t>希望英语有小程序可以练题和阅读</t>
        </is>
      </c>
    </row>
    <row r="36" ht="16.5" customHeight="1" s="1053">
      <c r="A36" s="470" t="inlineStr">
        <is>
          <t>35</t>
        </is>
      </c>
      <c r="B36" s="471" t="n">
        <v>46205.89068287037</v>
      </c>
      <c r="C36" s="469" t="inlineStr">
        <is>
          <t>108秒</t>
        </is>
      </c>
      <c r="D36" s="469" t="inlineStr">
        <is>
          <t>微信</t>
        </is>
      </c>
      <c r="E36" s="469" t="inlineStr">
        <is>
          <t>N/A</t>
        </is>
      </c>
      <c r="F36" s="469" t="inlineStr">
        <is>
          <t>120.231.139.45(广东-广州)</t>
        </is>
      </c>
      <c r="G36" s="470" t="inlineStr">
        <is>
          <t>75</t>
        </is>
      </c>
      <c r="H36" s="469" t="inlineStr">
        <is>
          <t>马伊惠</t>
        </is>
      </c>
      <c r="I36" s="469" t="inlineStr">
        <is>
          <t>语文┋数学┋英语</t>
        </is>
      </c>
      <c r="J36" s="470" t="inlineStr">
        <is>
          <t>5</t>
        </is>
      </c>
      <c r="K36" s="470" t="inlineStr">
        <is>
          <t>5</t>
        </is>
      </c>
      <c r="L36" s="470" t="inlineStr">
        <is>
          <t>5</t>
        </is>
      </c>
      <c r="M36" s="470" t="inlineStr">
        <is>
          <t>5</t>
        </is>
      </c>
      <c r="N36" s="470" t="inlineStr">
        <is>
          <t>5</t>
        </is>
      </c>
      <c r="O36" s="470" t="inlineStr">
        <is>
          <t>5</t>
        </is>
      </c>
      <c r="P36" s="470" t="inlineStr">
        <is>
          <t>5</t>
        </is>
      </c>
      <c r="Q36" s="470" t="inlineStr">
        <is>
          <t>5</t>
        </is>
      </c>
      <c r="R36" s="470" t="inlineStr">
        <is>
          <t>5</t>
        </is>
      </c>
      <c r="S36" s="470" t="inlineStr">
        <is>
          <t>5</t>
        </is>
      </c>
      <c r="T36" s="470" t="inlineStr">
        <is>
          <t>5</t>
        </is>
      </c>
      <c r="U36" s="470" t="inlineStr">
        <is>
          <t>5</t>
        </is>
      </c>
      <c r="V36" s="470" t="inlineStr">
        <is>
          <t>5</t>
        </is>
      </c>
      <c r="W36" s="470" t="inlineStr">
        <is>
          <t>5</t>
        </is>
      </c>
      <c r="X36" s="470" t="inlineStr">
        <is>
          <t>5</t>
        </is>
      </c>
      <c r="Y36" s="469" t="inlineStr">
        <is>
          <t>明显进步</t>
        </is>
      </c>
      <c r="Z36" s="469" t="inlineStr">
        <is>
          <t>兴趣明显提高</t>
        </is>
      </c>
      <c r="AA36" s="469" t="inlineStr">
        <is>
          <t>主动完成作业，不用催┋会主动问问题，主动思考┋写字/计算/单词/学习等学习基本习惯有进步</t>
        </is>
      </c>
      <c r="AB36" s="469" t="inlineStr">
        <is>
          <t>满意</t>
        </is>
      </c>
      <c r="AC36" s="470" t="inlineStr">
        <is>
          <t>4480</t>
        </is>
      </c>
      <c r="AD36" s="469" t="inlineStr">
        <is>
          <t>还在犹豫</t>
        </is>
      </c>
      <c r="AE36" s="469" t="inlineStr">
        <is>
          <t>其他</t>
        </is>
      </c>
      <c r="AF36" s="469" t="inlineStr">
        <is>
          <t>无</t>
        </is>
      </c>
    </row>
    <row r="37" ht="16.5" customHeight="1" s="1053">
      <c r="A37" s="470" t="inlineStr">
        <is>
          <t>36</t>
        </is>
      </c>
      <c r="B37" s="471" t="n">
        <v>46205.89274305556</v>
      </c>
      <c r="C37" s="469" t="inlineStr">
        <is>
          <t>123秒</t>
        </is>
      </c>
      <c r="D37" s="469" t="inlineStr">
        <is>
          <t>微信</t>
        </is>
      </c>
      <c r="E37" s="469" t="inlineStr">
        <is>
          <t>N/A</t>
        </is>
      </c>
      <c r="F37" s="469" t="inlineStr">
        <is>
          <t>119.130.152.183(广东-广州)</t>
        </is>
      </c>
      <c r="G37" s="470" t="inlineStr">
        <is>
          <t>75</t>
        </is>
      </c>
      <c r="H37" s="469" t="inlineStr">
        <is>
          <t>李倬承</t>
        </is>
      </c>
      <c r="I37" s="469" t="inlineStr">
        <is>
          <t>数学┋英语</t>
        </is>
      </c>
      <c r="J37" s="470" t="inlineStr">
        <is>
          <t>5</t>
        </is>
      </c>
      <c r="K37" s="470" t="inlineStr">
        <is>
          <t>5</t>
        </is>
      </c>
      <c r="L37" s="470" t="inlineStr">
        <is>
          <t>5</t>
        </is>
      </c>
      <c r="M37" s="470" t="inlineStr">
        <is>
          <t>5</t>
        </is>
      </c>
      <c r="N37" s="470" t="inlineStr">
        <is>
          <t>5</t>
        </is>
      </c>
      <c r="O37" s="470" t="inlineStr">
        <is>
          <t>5</t>
        </is>
      </c>
      <c r="P37" s="470" t="inlineStr">
        <is>
          <t>5</t>
        </is>
      </c>
      <c r="Q37" s="470" t="inlineStr">
        <is>
          <t>5</t>
        </is>
      </c>
      <c r="R37" s="470" t="inlineStr">
        <is>
          <t>5</t>
        </is>
      </c>
      <c r="S37" s="470" t="inlineStr">
        <is>
          <t>5</t>
        </is>
      </c>
      <c r="T37" s="470" t="inlineStr">
        <is>
          <t>5</t>
        </is>
      </c>
      <c r="U37" s="470" t="inlineStr">
        <is>
          <t>5</t>
        </is>
      </c>
      <c r="V37" s="470" t="inlineStr">
        <is>
          <t>5</t>
        </is>
      </c>
      <c r="W37" s="470" t="inlineStr">
        <is>
          <t>5</t>
        </is>
      </c>
      <c r="X37" s="470" t="inlineStr">
        <is>
          <t>5</t>
        </is>
      </c>
      <c r="Y37" s="469" t="inlineStr">
        <is>
          <t>明显进步</t>
        </is>
      </c>
      <c r="Z37" s="469" t="inlineStr">
        <is>
          <t>有所提高</t>
        </is>
      </c>
      <c r="AA37" s="469" t="inlineStr">
        <is>
          <t>主动完成作业，不用催┋做作业正确率提高了┋会主动问问题，主动思考┋写字/计算/单词/学习等学习基本习惯有进步</t>
        </is>
      </c>
      <c r="AB37" s="469" t="inlineStr">
        <is>
          <t>非常满意</t>
        </is>
      </c>
      <c r="AC37" s="470" t="inlineStr">
        <is>
          <t>3800</t>
        </is>
      </c>
      <c r="AD37" s="469" t="inlineStr">
        <is>
          <t>大概率会报</t>
        </is>
      </c>
      <c r="AE37" s="469" t="inlineStr">
        <is>
          <t>距离太远，接送不方便</t>
        </is>
      </c>
      <c r="AF37" s="469" t="inlineStr">
        <is>
          <t>挺好</t>
        </is>
      </c>
    </row>
    <row r="38" ht="16.5" customHeight="1" s="1053">
      <c r="A38" s="470" t="inlineStr">
        <is>
          <t>37</t>
        </is>
      </c>
      <c r="B38" s="471" t="n">
        <v>46205.89347222223</v>
      </c>
      <c r="C38" s="469" t="inlineStr">
        <is>
          <t>140秒</t>
        </is>
      </c>
      <c r="D38" s="469" t="inlineStr">
        <is>
          <t>微信</t>
        </is>
      </c>
      <c r="E38" s="469" t="inlineStr">
        <is>
          <t>N/A</t>
        </is>
      </c>
      <c r="F38" s="469" t="inlineStr">
        <is>
          <t>180.88.29.51(广东-广州)</t>
        </is>
      </c>
      <c r="G38" s="470" t="inlineStr">
        <is>
          <t>75</t>
        </is>
      </c>
      <c r="H38" s="469" t="inlineStr">
        <is>
          <t>卿子蕙</t>
        </is>
      </c>
      <c r="I38" s="469" t="inlineStr">
        <is>
          <t>语文┋数学┋英语</t>
        </is>
      </c>
      <c r="J38" s="470" t="inlineStr">
        <is>
          <t>5</t>
        </is>
      </c>
      <c r="K38" s="470" t="inlineStr">
        <is>
          <t>5</t>
        </is>
      </c>
      <c r="L38" s="470" t="inlineStr">
        <is>
          <t>5</t>
        </is>
      </c>
      <c r="M38" s="470" t="inlineStr">
        <is>
          <t>5</t>
        </is>
      </c>
      <c r="N38" s="470" t="inlineStr">
        <is>
          <t>5</t>
        </is>
      </c>
      <c r="O38" s="470" t="inlineStr">
        <is>
          <t>5</t>
        </is>
      </c>
      <c r="P38" s="470" t="inlineStr">
        <is>
          <t>5</t>
        </is>
      </c>
      <c r="Q38" s="470" t="inlineStr">
        <is>
          <t>5</t>
        </is>
      </c>
      <c r="R38" s="470" t="inlineStr">
        <is>
          <t>5</t>
        </is>
      </c>
      <c r="S38" s="470" t="inlineStr">
        <is>
          <t>5</t>
        </is>
      </c>
      <c r="T38" s="470" t="inlineStr">
        <is>
          <t>5</t>
        </is>
      </c>
      <c r="U38" s="470" t="inlineStr">
        <is>
          <t>5</t>
        </is>
      </c>
      <c r="V38" s="470" t="inlineStr">
        <is>
          <t>5</t>
        </is>
      </c>
      <c r="W38" s="470" t="inlineStr">
        <is>
          <t>5</t>
        </is>
      </c>
      <c r="X38" s="470" t="inlineStr">
        <is>
          <t>5</t>
        </is>
      </c>
      <c r="Y38" s="469" t="inlineStr">
        <is>
          <t>上课不久，暂未体现</t>
        </is>
      </c>
      <c r="Z38" s="469" t="inlineStr">
        <is>
          <t>有所提高</t>
        </is>
      </c>
      <c r="AA38" s="469" t="inlineStr">
        <is>
          <t>写字/计算/单词/学习等学习基本习惯有进步</t>
        </is>
      </c>
      <c r="AB38" s="469" t="inlineStr">
        <is>
          <t>满意</t>
        </is>
      </c>
      <c r="AC38" s="470" t="inlineStr">
        <is>
          <t>3800</t>
        </is>
      </c>
      <c r="AD38" s="469" t="inlineStr">
        <is>
          <t>大概率会报</t>
        </is>
      </c>
      <c r="AE38" s="469" t="inlineStr">
        <is>
          <t>成绩提升不明显</t>
        </is>
      </c>
      <c r="AF38" s="469" t="inlineStr">
        <is>
          <t>无</t>
        </is>
      </c>
    </row>
    <row r="39" ht="16.5" customHeight="1" s="1053">
      <c r="A39" s="470" t="inlineStr">
        <is>
          <t>38</t>
        </is>
      </c>
      <c r="B39" s="471" t="n">
        <v>46205.89756944445</v>
      </c>
      <c r="C39" s="469" t="inlineStr">
        <is>
          <t>87秒</t>
        </is>
      </c>
      <c r="D39" s="469" t="inlineStr">
        <is>
          <t>微信</t>
        </is>
      </c>
      <c r="E39" s="469" t="inlineStr">
        <is>
          <t>N/A</t>
        </is>
      </c>
      <c r="F39" s="469" t="inlineStr">
        <is>
          <t>116.23.171.228(广东-广州)</t>
        </is>
      </c>
      <c r="G39" s="470" t="inlineStr">
        <is>
          <t>70</t>
        </is>
      </c>
      <c r="H39" s="469" t="inlineStr">
        <is>
          <t>杨梓俊</t>
        </is>
      </c>
      <c r="I39" s="469" t="inlineStr">
        <is>
          <t>语文┋数学┋英语</t>
        </is>
      </c>
      <c r="J39" s="470" t="inlineStr">
        <is>
          <t>5</t>
        </is>
      </c>
      <c r="K39" s="470" t="inlineStr">
        <is>
          <t>5</t>
        </is>
      </c>
      <c r="L39" s="470" t="inlineStr">
        <is>
          <t>5</t>
        </is>
      </c>
      <c r="M39" s="470" t="inlineStr">
        <is>
          <t>5</t>
        </is>
      </c>
      <c r="N39" s="470" t="inlineStr">
        <is>
          <t>5</t>
        </is>
      </c>
      <c r="O39" s="470" t="inlineStr">
        <is>
          <t>5</t>
        </is>
      </c>
      <c r="P39" s="470" t="inlineStr">
        <is>
          <t>5</t>
        </is>
      </c>
      <c r="Q39" s="470" t="inlineStr">
        <is>
          <t>5</t>
        </is>
      </c>
      <c r="R39" s="470" t="inlineStr">
        <is>
          <t>5</t>
        </is>
      </c>
      <c r="S39" s="470" t="inlineStr">
        <is>
          <t>5</t>
        </is>
      </c>
      <c r="T39" s="470" t="inlineStr">
        <is>
          <t>4</t>
        </is>
      </c>
      <c r="U39" s="470" t="inlineStr">
        <is>
          <t>4</t>
        </is>
      </c>
      <c r="V39" s="470" t="inlineStr">
        <is>
          <t>4</t>
        </is>
      </c>
      <c r="W39" s="470" t="inlineStr">
        <is>
          <t>4</t>
        </is>
      </c>
      <c r="X39" s="470" t="inlineStr">
        <is>
          <t>4</t>
        </is>
      </c>
      <c r="Y39" s="469" t="inlineStr">
        <is>
          <t>略有进步</t>
        </is>
      </c>
      <c r="Z39" s="469" t="inlineStr">
        <is>
          <t>有所提高</t>
        </is>
      </c>
      <c r="AA39" s="469" t="inlineStr">
        <is>
          <t>写字/计算/单词/学习等学习基本习惯有进步</t>
        </is>
      </c>
      <c r="AB39" s="469" t="inlineStr">
        <is>
          <t>满意</t>
        </is>
      </c>
      <c r="AC39" s="470" t="inlineStr">
        <is>
          <t>3800</t>
        </is>
      </c>
      <c r="AD39" s="469" t="inlineStr">
        <is>
          <t>大概率会报</t>
        </is>
      </c>
      <c r="AE39" s="469" t="inlineStr">
        <is>
          <t>距离太远，接送不方便</t>
        </is>
      </c>
      <c r="AF39" s="469" t="inlineStr">
        <is>
          <t>无</t>
        </is>
      </c>
    </row>
    <row r="40" ht="16.5" customHeight="1" s="1053">
      <c r="A40" s="470" t="inlineStr">
        <is>
          <t>39</t>
        </is>
      </c>
      <c r="B40" s="471" t="n">
        <v>46205.90094907407</v>
      </c>
      <c r="C40" s="469" t="inlineStr">
        <is>
          <t>218秒</t>
        </is>
      </c>
      <c r="D40" s="469" t="inlineStr">
        <is>
          <t>微信</t>
        </is>
      </c>
      <c r="E40" s="469" t="inlineStr">
        <is>
          <t>N/A</t>
        </is>
      </c>
      <c r="F40" s="469" t="inlineStr">
        <is>
          <t>124.240.81.141(广东-佛山)</t>
        </is>
      </c>
      <c r="G40" s="470" t="inlineStr">
        <is>
          <t>74</t>
        </is>
      </c>
      <c r="H40" s="469" t="inlineStr">
        <is>
          <t>许玮庭</t>
        </is>
      </c>
      <c r="I40" s="469" t="inlineStr">
        <is>
          <t>语文┋数学┋英语</t>
        </is>
      </c>
      <c r="J40" s="470" t="inlineStr">
        <is>
          <t>5</t>
        </is>
      </c>
      <c r="K40" s="470" t="inlineStr">
        <is>
          <t>5</t>
        </is>
      </c>
      <c r="L40" s="470" t="inlineStr">
        <is>
          <t>5</t>
        </is>
      </c>
      <c r="M40" s="470" t="inlineStr">
        <is>
          <t>4</t>
        </is>
      </c>
      <c r="N40" s="470" t="inlineStr">
        <is>
          <t>5</t>
        </is>
      </c>
      <c r="O40" s="470" t="inlineStr">
        <is>
          <t>5</t>
        </is>
      </c>
      <c r="P40" s="470" t="inlineStr">
        <is>
          <t>5</t>
        </is>
      </c>
      <c r="Q40" s="470" t="inlineStr">
        <is>
          <t>5</t>
        </is>
      </c>
      <c r="R40" s="470" t="inlineStr">
        <is>
          <t>5</t>
        </is>
      </c>
      <c r="S40" s="470" t="inlineStr">
        <is>
          <t>5</t>
        </is>
      </c>
      <c r="T40" s="470" t="inlineStr">
        <is>
          <t>5</t>
        </is>
      </c>
      <c r="U40" s="470" t="inlineStr">
        <is>
          <t>5</t>
        </is>
      </c>
      <c r="V40" s="470" t="inlineStr">
        <is>
          <t>5</t>
        </is>
      </c>
      <c r="W40" s="470" t="inlineStr">
        <is>
          <t>5</t>
        </is>
      </c>
      <c r="X40" s="470" t="inlineStr">
        <is>
          <t>5</t>
        </is>
      </c>
      <c r="Y40" s="469" t="inlineStr">
        <is>
          <t>略有进步</t>
        </is>
      </c>
      <c r="Z40" s="469" t="inlineStr">
        <is>
          <t>有所提高</t>
        </is>
      </c>
      <c r="AA40" s="469" t="inlineStr">
        <is>
          <t>主动完成作业，不用催┋写字/计算/单词/学习等学习基本习惯有进步</t>
        </is>
      </c>
      <c r="AB40" s="469" t="inlineStr">
        <is>
          <t>满意</t>
        </is>
      </c>
      <c r="AC40" s="470" t="inlineStr">
        <is>
          <t>3800</t>
        </is>
      </c>
      <c r="AD40" s="469" t="inlineStr">
        <is>
          <t>确定不续报</t>
        </is>
      </c>
      <c r="AE40" s="469" t="inlineStr">
        <is>
          <t>距离太远，接送不方便</t>
        </is>
      </c>
      <c r="AF40" s="469" t="inlineStr">
        <is>
          <t>无</t>
        </is>
      </c>
    </row>
    <row r="41" ht="16.5" customHeight="1" s="1053">
      <c r="A41" s="470" t="inlineStr">
        <is>
          <t>40</t>
        </is>
      </c>
      <c r="B41" s="471" t="n">
        <v>46205.90172453703</v>
      </c>
      <c r="C41" s="469" t="inlineStr">
        <is>
          <t>217秒</t>
        </is>
      </c>
      <c r="D41" s="469" t="inlineStr">
        <is>
          <t>微信</t>
        </is>
      </c>
      <c r="E41" s="469" t="inlineStr">
        <is>
          <t>N/A</t>
        </is>
      </c>
      <c r="F41" s="469" t="inlineStr">
        <is>
          <t>14.21.180.137(广东-惠州)</t>
        </is>
      </c>
      <c r="G41" s="470" t="inlineStr">
        <is>
          <t>75</t>
        </is>
      </c>
      <c r="H41" s="469" t="inlineStr">
        <is>
          <t>叶梓琳</t>
        </is>
      </c>
      <c r="I41" s="469" t="inlineStr">
        <is>
          <t>语文┋数学┋英语</t>
        </is>
      </c>
      <c r="J41" s="470" t="inlineStr">
        <is>
          <t>5</t>
        </is>
      </c>
      <c r="K41" s="470" t="inlineStr">
        <is>
          <t>5</t>
        </is>
      </c>
      <c r="L41" s="470" t="inlineStr">
        <is>
          <t>5</t>
        </is>
      </c>
      <c r="M41" s="470" t="inlineStr">
        <is>
          <t>5</t>
        </is>
      </c>
      <c r="N41" s="470" t="inlineStr">
        <is>
          <t>5</t>
        </is>
      </c>
      <c r="O41" s="470" t="inlineStr">
        <is>
          <t>5</t>
        </is>
      </c>
      <c r="P41" s="470" t="inlineStr">
        <is>
          <t>5</t>
        </is>
      </c>
      <c r="Q41" s="470" t="inlineStr">
        <is>
          <t>5</t>
        </is>
      </c>
      <c r="R41" s="470" t="inlineStr">
        <is>
          <t>5</t>
        </is>
      </c>
      <c r="S41" s="470" t="inlineStr">
        <is>
          <t>5</t>
        </is>
      </c>
      <c r="T41" s="470" t="inlineStr">
        <is>
          <t>5</t>
        </is>
      </c>
      <c r="U41" s="470" t="inlineStr">
        <is>
          <t>5</t>
        </is>
      </c>
      <c r="V41" s="470" t="inlineStr">
        <is>
          <t>5</t>
        </is>
      </c>
      <c r="W41" s="470" t="inlineStr">
        <is>
          <t>5</t>
        </is>
      </c>
      <c r="X41" s="470" t="inlineStr">
        <is>
          <t>5</t>
        </is>
      </c>
      <c r="Y41" s="469" t="inlineStr">
        <is>
          <t>明显进步</t>
        </is>
      </c>
      <c r="Z41" s="469" t="inlineStr">
        <is>
          <t>有所提高</t>
        </is>
      </c>
      <c r="AA41" s="469" t="inlineStr">
        <is>
          <t>写字/计算/单词/学习等学习基本习惯有进步</t>
        </is>
      </c>
      <c r="AB41" s="469" t="inlineStr">
        <is>
          <t>非常满意</t>
        </is>
      </c>
      <c r="AC41" s="470" t="inlineStr">
        <is>
          <t>3800</t>
        </is>
      </c>
      <c r="AD41" s="469" t="inlineStr">
        <is>
          <t>还在犹豫</t>
        </is>
      </c>
      <c r="AE41" s="469" t="inlineStr">
        <is>
          <t>其他</t>
        </is>
      </c>
      <c r="AF41" s="469" t="inlineStr">
        <is>
          <t>暂无意见</t>
        </is>
      </c>
    </row>
    <row r="42" ht="16.5" customHeight="1" s="1053">
      <c r="A42" s="470" t="inlineStr">
        <is>
          <t>41</t>
        </is>
      </c>
      <c r="B42" s="471" t="n">
        <v>46205.9131712963</v>
      </c>
      <c r="C42" s="469" t="inlineStr">
        <is>
          <t>168秒</t>
        </is>
      </c>
      <c r="D42" s="469" t="inlineStr">
        <is>
          <t>微信</t>
        </is>
      </c>
      <c r="E42" s="469" t="inlineStr">
        <is>
          <t>N/A</t>
        </is>
      </c>
      <c r="F42" s="469" t="inlineStr">
        <is>
          <t>27.47.59.9(广东-广州)</t>
        </is>
      </c>
      <c r="G42" s="470" t="inlineStr">
        <is>
          <t>75</t>
        </is>
      </c>
      <c r="H42" s="469" t="inlineStr">
        <is>
          <t>陈力维</t>
        </is>
      </c>
      <c r="I42" s="469" t="inlineStr">
        <is>
          <t>数学</t>
        </is>
      </c>
      <c r="J42" s="470" t="inlineStr">
        <is>
          <t>5</t>
        </is>
      </c>
      <c r="K42" s="470" t="inlineStr">
        <is>
          <t>5</t>
        </is>
      </c>
      <c r="L42" s="470" t="inlineStr">
        <is>
          <t>5</t>
        </is>
      </c>
      <c r="M42" s="470" t="inlineStr">
        <is>
          <t>5</t>
        </is>
      </c>
      <c r="N42" s="470" t="inlineStr">
        <is>
          <t>5</t>
        </is>
      </c>
      <c r="O42" s="470" t="inlineStr">
        <is>
          <t>5</t>
        </is>
      </c>
      <c r="P42" s="470" t="inlineStr">
        <is>
          <t>5</t>
        </is>
      </c>
      <c r="Q42" s="470" t="inlineStr">
        <is>
          <t>5</t>
        </is>
      </c>
      <c r="R42" s="470" t="inlineStr">
        <is>
          <t>5</t>
        </is>
      </c>
      <c r="S42" s="470" t="inlineStr">
        <is>
          <t>5</t>
        </is>
      </c>
      <c r="T42" s="470" t="inlineStr">
        <is>
          <t>5</t>
        </is>
      </c>
      <c r="U42" s="470" t="inlineStr">
        <is>
          <t>5</t>
        </is>
      </c>
      <c r="V42" s="470" t="inlineStr">
        <is>
          <t>5</t>
        </is>
      </c>
      <c r="W42" s="470" t="inlineStr">
        <is>
          <t>5</t>
        </is>
      </c>
      <c r="X42" s="470" t="inlineStr">
        <is>
          <t>5</t>
        </is>
      </c>
      <c r="Y42" s="469" t="inlineStr">
        <is>
          <t>上课不久，暂未体现</t>
        </is>
      </c>
      <c r="Z42" s="469" t="inlineStr">
        <is>
          <t>有所提高</t>
        </is>
      </c>
      <c r="AA42" s="469" t="inlineStr">
        <is>
          <t>主动完成作业，不用催┋做作业正确率提高了</t>
        </is>
      </c>
      <c r="AB42" s="469" t="inlineStr">
        <is>
          <t>满意</t>
        </is>
      </c>
      <c r="AC42" s="470" t="inlineStr">
        <is>
          <t>3800</t>
        </is>
      </c>
      <c r="AD42" s="469" t="inlineStr">
        <is>
          <t>还在犹豫</t>
        </is>
      </c>
      <c r="AE42" s="469" t="inlineStr">
        <is>
          <t>提前报了其他机构了</t>
        </is>
      </c>
      <c r="AF42" s="469" t="inlineStr">
        <is>
          <t>无</t>
        </is>
      </c>
    </row>
    <row r="43" ht="16.5" customHeight="1" s="1053">
      <c r="A43" s="470" t="inlineStr">
        <is>
          <t>42</t>
        </is>
      </c>
      <c r="B43" s="471" t="n">
        <v>46205.92180555555</v>
      </c>
      <c r="C43" s="469" t="inlineStr">
        <is>
          <t>282秒</t>
        </is>
      </c>
      <c r="D43" s="469" t="inlineStr">
        <is>
          <t>微信</t>
        </is>
      </c>
      <c r="E43" s="469" t="inlineStr">
        <is>
          <t>N/A</t>
        </is>
      </c>
      <c r="F43" s="469" t="inlineStr">
        <is>
          <t>124.240.103.132(广东-佛山)</t>
        </is>
      </c>
      <c r="G43" s="470" t="inlineStr">
        <is>
          <t>75</t>
        </is>
      </c>
      <c r="H43" s="469" t="inlineStr">
        <is>
          <t>徐安琪</t>
        </is>
      </c>
      <c r="I43" s="469" t="inlineStr">
        <is>
          <t>语文┋数学┋英语</t>
        </is>
      </c>
      <c r="J43" s="470" t="inlineStr">
        <is>
          <t>5</t>
        </is>
      </c>
      <c r="K43" s="470" t="inlineStr">
        <is>
          <t>5</t>
        </is>
      </c>
      <c r="L43" s="470" t="inlineStr">
        <is>
          <t>5</t>
        </is>
      </c>
      <c r="M43" s="470" t="inlineStr">
        <is>
          <t>5</t>
        </is>
      </c>
      <c r="N43" s="470" t="inlineStr">
        <is>
          <t>5</t>
        </is>
      </c>
      <c r="O43" s="470" t="inlineStr">
        <is>
          <t>5</t>
        </is>
      </c>
      <c r="P43" s="470" t="inlineStr">
        <is>
          <t>5</t>
        </is>
      </c>
      <c r="Q43" s="470" t="inlineStr">
        <is>
          <t>5</t>
        </is>
      </c>
      <c r="R43" s="470" t="inlineStr">
        <is>
          <t>5</t>
        </is>
      </c>
      <c r="S43" s="470" t="inlineStr">
        <is>
          <t>5</t>
        </is>
      </c>
      <c r="T43" s="470" t="inlineStr">
        <is>
          <t>5</t>
        </is>
      </c>
      <c r="U43" s="470" t="inlineStr">
        <is>
          <t>5</t>
        </is>
      </c>
      <c r="V43" s="470" t="inlineStr">
        <is>
          <t>5</t>
        </is>
      </c>
      <c r="W43" s="470" t="inlineStr">
        <is>
          <t>5</t>
        </is>
      </c>
      <c r="X43" s="470" t="inlineStr">
        <is>
          <t>5</t>
        </is>
      </c>
      <c r="Y43" s="469" t="inlineStr">
        <is>
          <t>明显进步</t>
        </is>
      </c>
      <c r="Z43" s="469" t="inlineStr">
        <is>
          <t>有所提高</t>
        </is>
      </c>
      <c r="AA43" s="469" t="inlineStr">
        <is>
          <t>写字/计算/单词/学习等学习基本习惯有进步</t>
        </is>
      </c>
      <c r="AB43" s="469" t="inlineStr">
        <is>
          <t>非常满意</t>
        </is>
      </c>
      <c r="AC43" s="470" t="inlineStr">
        <is>
          <t>3800</t>
        </is>
      </c>
      <c r="AD43" s="469" t="inlineStr">
        <is>
          <t>还在犹豫</t>
        </is>
      </c>
      <c r="AE43" s="469" t="inlineStr">
        <is>
          <t>价格偏贵</t>
        </is>
      </c>
      <c r="AF43" s="469" t="inlineStr">
        <is>
          <t>秋季课价格在优惠些就更好了</t>
        </is>
      </c>
    </row>
    <row r="44" ht="16.5" customHeight="1" s="1053">
      <c r="A44" s="470" t="inlineStr">
        <is>
          <t>43</t>
        </is>
      </c>
      <c r="B44" s="471" t="n">
        <v>46205.92512731482</v>
      </c>
      <c r="C44" s="469" t="inlineStr">
        <is>
          <t>146秒</t>
        </is>
      </c>
      <c r="D44" s="469" t="inlineStr">
        <is>
          <t>微信</t>
        </is>
      </c>
      <c r="E44" s="469" t="inlineStr">
        <is>
          <t>N/A</t>
        </is>
      </c>
      <c r="F44" s="469" t="inlineStr">
        <is>
          <t>58.248.185.116(广东-广州)</t>
        </is>
      </c>
      <c r="G44" s="470" t="inlineStr">
        <is>
          <t>73.5</t>
        </is>
      </c>
      <c r="H44" s="469" t="inlineStr">
        <is>
          <t>刘芯妍</t>
        </is>
      </c>
      <c r="I44" s="469" t="inlineStr">
        <is>
          <t>语文┋数学┋英语</t>
        </is>
      </c>
      <c r="J44" s="470" t="inlineStr">
        <is>
          <t>5</t>
        </is>
      </c>
      <c r="K44" s="470" t="inlineStr">
        <is>
          <t>5</t>
        </is>
      </c>
      <c r="L44" s="470" t="inlineStr">
        <is>
          <t>5</t>
        </is>
      </c>
      <c r="M44" s="470" t="inlineStr">
        <is>
          <t>5</t>
        </is>
      </c>
      <c r="N44" s="470" t="inlineStr">
        <is>
          <t>5</t>
        </is>
      </c>
      <c r="O44" s="470" t="inlineStr">
        <is>
          <t>4.5</t>
        </is>
      </c>
      <c r="P44" s="470" t="inlineStr">
        <is>
          <t>5</t>
        </is>
      </c>
      <c r="Q44" s="470" t="inlineStr">
        <is>
          <t>4.5</t>
        </is>
      </c>
      <c r="R44" s="470" t="inlineStr">
        <is>
          <t>5</t>
        </is>
      </c>
      <c r="S44" s="470" t="inlineStr">
        <is>
          <t>4.5</t>
        </is>
      </c>
      <c r="T44" s="470" t="inlineStr">
        <is>
          <t>5</t>
        </is>
      </c>
      <c r="U44" s="470" t="inlineStr">
        <is>
          <t>5</t>
        </is>
      </c>
      <c r="V44" s="470" t="inlineStr">
        <is>
          <t>5</t>
        </is>
      </c>
      <c r="W44" s="470" t="inlineStr">
        <is>
          <t>5</t>
        </is>
      </c>
      <c r="X44" s="470" t="inlineStr">
        <is>
          <t>5</t>
        </is>
      </c>
      <c r="Y44" s="469" t="inlineStr">
        <is>
          <t>上课不久，暂未体现</t>
        </is>
      </c>
      <c r="Z44" s="469" t="inlineStr">
        <is>
          <t>变化不大</t>
        </is>
      </c>
      <c r="AA44" s="469" t="inlineStr">
        <is>
          <t>主动完成作业，不用催</t>
        </is>
      </c>
      <c r="AB44" s="469" t="inlineStr">
        <is>
          <t>满意</t>
        </is>
      </c>
      <c r="AC44" s="470" t="inlineStr">
        <is>
          <t>3800</t>
        </is>
      </c>
      <c r="AD44" s="469" t="inlineStr">
        <is>
          <t>还在犹豫</t>
        </is>
      </c>
      <c r="AE44" s="469" t="inlineStr">
        <is>
          <t>其他</t>
        </is>
      </c>
      <c r="AF44" s="469" t="inlineStr">
        <is>
          <t>在雪球上课时间短</t>
        </is>
      </c>
    </row>
    <row r="45" ht="16.5" customHeight="1" s="1053">
      <c r="A45" s="470" t="inlineStr">
        <is>
          <t>44</t>
        </is>
      </c>
      <c r="B45" s="471" t="n">
        <v>46205.92989583333</v>
      </c>
      <c r="C45" s="469" t="inlineStr">
        <is>
          <t>76秒</t>
        </is>
      </c>
      <c r="D45" s="469" t="inlineStr">
        <is>
          <t>微信</t>
        </is>
      </c>
      <c r="E45" s="469" t="inlineStr">
        <is>
          <t>N/A</t>
        </is>
      </c>
      <c r="F45" s="469" t="inlineStr">
        <is>
          <t>120.230.109.135(广东-广州)</t>
        </is>
      </c>
      <c r="G45" s="470" t="inlineStr">
        <is>
          <t>75</t>
        </is>
      </c>
      <c r="H45" s="469" t="inlineStr">
        <is>
          <t>张曦元</t>
        </is>
      </c>
      <c r="I45" s="469" t="inlineStr">
        <is>
          <t>语文┋数学┋英语</t>
        </is>
      </c>
      <c r="J45" s="470" t="inlineStr">
        <is>
          <t>5</t>
        </is>
      </c>
      <c r="K45" s="470" t="inlineStr">
        <is>
          <t>5</t>
        </is>
      </c>
      <c r="L45" s="470" t="inlineStr">
        <is>
          <t>5</t>
        </is>
      </c>
      <c r="M45" s="470" t="inlineStr">
        <is>
          <t>5</t>
        </is>
      </c>
      <c r="N45" s="470" t="inlineStr">
        <is>
          <t>5</t>
        </is>
      </c>
      <c r="O45" s="470" t="inlineStr">
        <is>
          <t>5</t>
        </is>
      </c>
      <c r="P45" s="470" t="inlineStr">
        <is>
          <t>5</t>
        </is>
      </c>
      <c r="Q45" s="470" t="inlineStr">
        <is>
          <t>5</t>
        </is>
      </c>
      <c r="R45" s="470" t="inlineStr">
        <is>
          <t>5</t>
        </is>
      </c>
      <c r="S45" s="470" t="inlineStr">
        <is>
          <t>5</t>
        </is>
      </c>
      <c r="T45" s="470" t="inlineStr">
        <is>
          <t>5</t>
        </is>
      </c>
      <c r="U45" s="470" t="inlineStr">
        <is>
          <t>5</t>
        </is>
      </c>
      <c r="V45" s="470" t="inlineStr">
        <is>
          <t>5</t>
        </is>
      </c>
      <c r="W45" s="470" t="inlineStr">
        <is>
          <t>5</t>
        </is>
      </c>
      <c r="X45" s="470" t="inlineStr">
        <is>
          <t>5</t>
        </is>
      </c>
      <c r="Y45" s="469" t="inlineStr">
        <is>
          <t>明显进步</t>
        </is>
      </c>
      <c r="Z45" s="469" t="inlineStr">
        <is>
          <t>兴趣明显提高</t>
        </is>
      </c>
      <c r="AA45" s="469" t="inlineStr">
        <is>
          <t>主动完成作业，不用催┋做作业正确率提高了</t>
        </is>
      </c>
      <c r="AB45" s="469" t="inlineStr">
        <is>
          <t>非常满意</t>
        </is>
      </c>
      <c r="AC45" s="470" t="inlineStr">
        <is>
          <t>3800</t>
        </is>
      </c>
      <c r="AD45" s="469" t="inlineStr">
        <is>
          <t>大概率会报</t>
        </is>
      </c>
      <c r="AE45" s="469" t="inlineStr">
        <is>
          <t>成绩提升不明显</t>
        </is>
      </c>
      <c r="AF45" s="469" t="inlineStr">
        <is>
          <t>没意见</t>
        </is>
      </c>
    </row>
    <row r="46" ht="16.5" customHeight="1" s="1053">
      <c r="A46" s="470" t="inlineStr">
        <is>
          <t>45</t>
        </is>
      </c>
      <c r="B46" s="471" t="n">
        <v>46205.93453703704</v>
      </c>
      <c r="C46" s="469" t="inlineStr">
        <is>
          <t>174秒</t>
        </is>
      </c>
      <c r="D46" s="469" t="inlineStr">
        <is>
          <t>微信</t>
        </is>
      </c>
      <c r="E46" s="469" t="inlineStr">
        <is>
          <t>N/A</t>
        </is>
      </c>
      <c r="F46" s="469" t="inlineStr">
        <is>
          <t>120.239.80.234(广东-广州)</t>
        </is>
      </c>
      <c r="G46" s="470" t="inlineStr">
        <is>
          <t>75</t>
        </is>
      </c>
      <c r="H46" s="469" t="inlineStr">
        <is>
          <t>邢婧萱</t>
        </is>
      </c>
      <c r="I46" s="469" t="inlineStr">
        <is>
          <t>语文┋数学┋英语</t>
        </is>
      </c>
      <c r="J46" s="470" t="inlineStr">
        <is>
          <t>5</t>
        </is>
      </c>
      <c r="K46" s="470" t="inlineStr">
        <is>
          <t>5</t>
        </is>
      </c>
      <c r="L46" s="470" t="inlineStr">
        <is>
          <t>5</t>
        </is>
      </c>
      <c r="M46" s="470" t="inlineStr">
        <is>
          <t>5</t>
        </is>
      </c>
      <c r="N46" s="470" t="inlineStr">
        <is>
          <t>5</t>
        </is>
      </c>
      <c r="O46" s="470" t="inlineStr">
        <is>
          <t>5</t>
        </is>
      </c>
      <c r="P46" s="470" t="inlineStr">
        <is>
          <t>5</t>
        </is>
      </c>
      <c r="Q46" s="470" t="inlineStr">
        <is>
          <t>5</t>
        </is>
      </c>
      <c r="R46" s="470" t="inlineStr">
        <is>
          <t>5</t>
        </is>
      </c>
      <c r="S46" s="470" t="inlineStr">
        <is>
          <t>5</t>
        </is>
      </c>
      <c r="T46" s="470" t="inlineStr">
        <is>
          <t>5</t>
        </is>
      </c>
      <c r="U46" s="470" t="inlineStr">
        <is>
          <t>5</t>
        </is>
      </c>
      <c r="V46" s="470" t="inlineStr">
        <is>
          <t>5</t>
        </is>
      </c>
      <c r="W46" s="470" t="inlineStr">
        <is>
          <t>5</t>
        </is>
      </c>
      <c r="X46" s="470" t="inlineStr">
        <is>
          <t>5</t>
        </is>
      </c>
      <c r="Y46" s="469" t="inlineStr">
        <is>
          <t>上课不久，暂未体现</t>
        </is>
      </c>
      <c r="Z46" s="469" t="inlineStr">
        <is>
          <t>说不清楚</t>
        </is>
      </c>
      <c r="AA46" s="469" t="inlineStr">
        <is>
          <t>以上均无</t>
        </is>
      </c>
      <c r="AB46" s="469" t="inlineStr">
        <is>
          <t>满意</t>
        </is>
      </c>
      <c r="AC46" s="470" t="inlineStr">
        <is>
          <t>3800</t>
        </is>
      </c>
      <c r="AD46" s="469" t="inlineStr">
        <is>
          <t>还在犹豫</t>
        </is>
      </c>
      <c r="AE46" s="469" t="inlineStr">
        <is>
          <t>成绩提升不明显</t>
        </is>
      </c>
      <c r="AF46" s="469" t="inlineStr">
        <is>
          <t>觉得老师都挺好的，但是孩子有点跟不上</t>
        </is>
      </c>
    </row>
    <row r="47" ht="16.5" customHeight="1" s="1053">
      <c r="A47" s="470" t="inlineStr">
        <is>
          <t>46</t>
        </is>
      </c>
      <c r="B47" s="471" t="n">
        <v>46205.94865740741</v>
      </c>
      <c r="C47" s="469" t="inlineStr">
        <is>
          <t>224秒</t>
        </is>
      </c>
      <c r="D47" s="469" t="inlineStr">
        <is>
          <t>微信</t>
        </is>
      </c>
      <c r="E47" s="469" t="inlineStr">
        <is>
          <t>N/A</t>
        </is>
      </c>
      <c r="F47" s="469" t="inlineStr">
        <is>
          <t>223.73.61.0(广东-广州)</t>
        </is>
      </c>
      <c r="G47" s="470" t="inlineStr">
        <is>
          <t>69</t>
        </is>
      </c>
      <c r="H47" s="469" t="inlineStr">
        <is>
          <t>陈</t>
        </is>
      </c>
      <c r="I47" s="469" t="inlineStr">
        <is>
          <t>语文┋数学┋英语</t>
        </is>
      </c>
      <c r="J47" s="470" t="inlineStr">
        <is>
          <t>5</t>
        </is>
      </c>
      <c r="K47" s="470" t="inlineStr">
        <is>
          <t>5</t>
        </is>
      </c>
      <c r="L47" s="470" t="inlineStr">
        <is>
          <t>5</t>
        </is>
      </c>
      <c r="M47" s="470" t="inlineStr">
        <is>
          <t>3</t>
        </is>
      </c>
      <c r="N47" s="470" t="inlineStr">
        <is>
          <t>5</t>
        </is>
      </c>
      <c r="O47" s="470" t="inlineStr">
        <is>
          <t>5</t>
        </is>
      </c>
      <c r="P47" s="470" t="inlineStr">
        <is>
          <t>5</t>
        </is>
      </c>
      <c r="Q47" s="470" t="inlineStr">
        <is>
          <t>5</t>
        </is>
      </c>
      <c r="R47" s="470" t="inlineStr">
        <is>
          <t>3</t>
        </is>
      </c>
      <c r="S47" s="470" t="inlineStr">
        <is>
          <t>5</t>
        </is>
      </c>
      <c r="T47" s="470" t="inlineStr">
        <is>
          <t>5</t>
        </is>
      </c>
      <c r="U47" s="470" t="inlineStr">
        <is>
          <t>5</t>
        </is>
      </c>
      <c r="V47" s="470" t="inlineStr">
        <is>
          <t>5</t>
        </is>
      </c>
      <c r="W47" s="470" t="inlineStr">
        <is>
          <t>3</t>
        </is>
      </c>
      <c r="X47" s="470" t="inlineStr">
        <is>
          <t>5</t>
        </is>
      </c>
      <c r="Y47" s="469" t="inlineStr">
        <is>
          <t>上课不久，暂未体现</t>
        </is>
      </c>
      <c r="Z47" s="469" t="inlineStr">
        <is>
          <t>说不清楚</t>
        </is>
      </c>
      <c r="AA47" s="469" t="inlineStr">
        <is>
          <t>以上均无</t>
        </is>
      </c>
      <c r="AB47" s="469" t="inlineStr">
        <is>
          <t>一般</t>
        </is>
      </c>
      <c r="AC47" s="470" t="inlineStr">
        <is>
          <t>3800</t>
        </is>
      </c>
      <c r="AD47" s="469" t="inlineStr">
        <is>
          <t>还在犹豫</t>
        </is>
      </c>
      <c r="AE47" s="469" t="inlineStr">
        <is>
          <t>其他</t>
        </is>
      </c>
      <c r="AF47" s="469" t="inlineStr">
        <is>
          <t>暂无</t>
        </is>
      </c>
    </row>
    <row r="48" ht="16.5" customHeight="1" s="1053">
      <c r="A48" s="470" t="inlineStr">
        <is>
          <t>47</t>
        </is>
      </c>
      <c r="B48" s="471" t="n">
        <v>46205.95016203704</v>
      </c>
      <c r="C48" s="469" t="inlineStr">
        <is>
          <t>215秒</t>
        </is>
      </c>
      <c r="D48" s="469" t="inlineStr">
        <is>
          <t>微信</t>
        </is>
      </c>
      <c r="E48" s="469" t="inlineStr">
        <is>
          <t>N/A</t>
        </is>
      </c>
      <c r="F48" s="469" t="inlineStr">
        <is>
          <t>14.146.0.123(广东-广州)</t>
        </is>
      </c>
      <c r="G48" s="470" t="inlineStr">
        <is>
          <t>75</t>
        </is>
      </c>
      <c r="H48" s="469" t="inlineStr">
        <is>
          <t>詹馨宁</t>
        </is>
      </c>
      <c r="I48" s="469" t="inlineStr">
        <is>
          <t>语文┋数学┋英语</t>
        </is>
      </c>
      <c r="J48" s="470" t="inlineStr">
        <is>
          <t>5</t>
        </is>
      </c>
      <c r="K48" s="470" t="inlineStr">
        <is>
          <t>5</t>
        </is>
      </c>
      <c r="L48" s="470" t="inlineStr">
        <is>
          <t>5</t>
        </is>
      </c>
      <c r="M48" s="470" t="inlineStr">
        <is>
          <t>5</t>
        </is>
      </c>
      <c r="N48" s="470" t="inlineStr">
        <is>
          <t>5</t>
        </is>
      </c>
      <c r="O48" s="470" t="inlineStr">
        <is>
          <t>5</t>
        </is>
      </c>
      <c r="P48" s="470" t="inlineStr">
        <is>
          <t>5</t>
        </is>
      </c>
      <c r="Q48" s="470" t="inlineStr">
        <is>
          <t>5</t>
        </is>
      </c>
      <c r="R48" s="470" t="inlineStr">
        <is>
          <t>5</t>
        </is>
      </c>
      <c r="S48" s="470" t="inlineStr">
        <is>
          <t>5</t>
        </is>
      </c>
      <c r="T48" s="470" t="inlineStr">
        <is>
          <t>5</t>
        </is>
      </c>
      <c r="U48" s="470" t="inlineStr">
        <is>
          <t>5</t>
        </is>
      </c>
      <c r="V48" s="470" t="inlineStr">
        <is>
          <t>5</t>
        </is>
      </c>
      <c r="W48" s="470" t="inlineStr">
        <is>
          <t>5</t>
        </is>
      </c>
      <c r="X48" s="470" t="inlineStr">
        <is>
          <t>5</t>
        </is>
      </c>
      <c r="Y48" s="469" t="inlineStr">
        <is>
          <t>略有进步</t>
        </is>
      </c>
      <c r="Z48" s="469" t="inlineStr">
        <is>
          <t>有所提高</t>
        </is>
      </c>
      <c r="AA48" s="469" t="inlineStr">
        <is>
          <t>主动完成作业，不用催┋会主动问问题，主动思考</t>
        </is>
      </c>
      <c r="AB48" s="469" t="inlineStr">
        <is>
          <t>满意</t>
        </is>
      </c>
      <c r="AC48" s="470" t="inlineStr">
        <is>
          <t>3800</t>
        </is>
      </c>
      <c r="AD48" s="469" t="inlineStr">
        <is>
          <t>还在犹豫</t>
        </is>
      </c>
      <c r="AE48" s="469" t="inlineStr">
        <is>
          <t>距离太远，接送不方便</t>
        </is>
      </c>
      <c r="AF48" s="469" t="inlineStr">
        <is>
          <t>大班课人数很多，没分层，价格比大机构贵的话还是会考虑</t>
        </is>
      </c>
    </row>
    <row r="49" ht="16.5" customHeight="1" s="1053">
      <c r="A49" s="470" t="inlineStr">
        <is>
          <t>48</t>
        </is>
      </c>
      <c r="B49" s="471" t="n">
        <v>46205.95103009259</v>
      </c>
      <c r="C49" s="469" t="inlineStr">
        <is>
          <t>219秒</t>
        </is>
      </c>
      <c r="D49" s="469" t="inlineStr">
        <is>
          <t>微信</t>
        </is>
      </c>
      <c r="E49" s="469" t="inlineStr">
        <is>
          <t>N/A</t>
        </is>
      </c>
      <c r="F49" s="469" t="inlineStr">
        <is>
          <t>120.235.228.102(广东-广州)</t>
        </is>
      </c>
      <c r="G49" s="470" t="inlineStr">
        <is>
          <t>75</t>
        </is>
      </c>
      <c r="H49" s="469" t="inlineStr">
        <is>
          <t>张进桐</t>
        </is>
      </c>
      <c r="I49" s="469" t="inlineStr">
        <is>
          <t>语文┋数学┋英语</t>
        </is>
      </c>
      <c r="J49" s="470" t="inlineStr">
        <is>
          <t>5</t>
        </is>
      </c>
      <c r="K49" s="470" t="inlineStr">
        <is>
          <t>5</t>
        </is>
      </c>
      <c r="L49" s="470" t="inlineStr">
        <is>
          <t>5</t>
        </is>
      </c>
      <c r="M49" s="470" t="inlineStr">
        <is>
          <t>5</t>
        </is>
      </c>
      <c r="N49" s="470" t="inlineStr">
        <is>
          <t>5</t>
        </is>
      </c>
      <c r="O49" s="470" t="inlineStr">
        <is>
          <t>5</t>
        </is>
      </c>
      <c r="P49" s="470" t="inlineStr">
        <is>
          <t>5</t>
        </is>
      </c>
      <c r="Q49" s="470" t="inlineStr">
        <is>
          <t>5</t>
        </is>
      </c>
      <c r="R49" s="470" t="inlineStr">
        <is>
          <t>5</t>
        </is>
      </c>
      <c r="S49" s="470" t="inlineStr">
        <is>
          <t>5</t>
        </is>
      </c>
      <c r="T49" s="470" t="inlineStr">
        <is>
          <t>5</t>
        </is>
      </c>
      <c r="U49" s="470" t="inlineStr">
        <is>
          <t>5</t>
        </is>
      </c>
      <c r="V49" s="470" t="inlineStr">
        <is>
          <t>5</t>
        </is>
      </c>
      <c r="W49" s="470" t="inlineStr">
        <is>
          <t>5</t>
        </is>
      </c>
      <c r="X49" s="470" t="inlineStr">
        <is>
          <t>5</t>
        </is>
      </c>
      <c r="Y49" s="469" t="inlineStr">
        <is>
          <t>略有进步</t>
        </is>
      </c>
      <c r="Z49" s="469" t="inlineStr">
        <is>
          <t>有所提高</t>
        </is>
      </c>
      <c r="AA49" s="469" t="inlineStr">
        <is>
          <t>做作业正确率提高了</t>
        </is>
      </c>
      <c r="AB49" s="469" t="inlineStr">
        <is>
          <t>满意</t>
        </is>
      </c>
      <c r="AC49" s="470" t="inlineStr">
        <is>
          <t>3800</t>
        </is>
      </c>
      <c r="AD49" s="469" t="inlineStr">
        <is>
          <t>大概率会报</t>
        </is>
      </c>
      <c r="AE49" s="469" t="inlineStr">
        <is>
          <t>其他</t>
        </is>
      </c>
      <c r="AF49" s="469" t="inlineStr">
        <is>
          <t>各科老师都很认真负责，及时的反馈孩子的学习情况，及后续的学习规划．很不错！</t>
        </is>
      </c>
    </row>
    <row r="50" ht="16.5" customHeight="1" s="1053">
      <c r="A50" s="470" t="inlineStr">
        <is>
          <t>49</t>
        </is>
      </c>
      <c r="B50" s="471" t="n">
        <v>46205.97791666666</v>
      </c>
      <c r="C50" s="469" t="inlineStr">
        <is>
          <t>161秒</t>
        </is>
      </c>
      <c r="D50" s="469" t="inlineStr">
        <is>
          <t>微信</t>
        </is>
      </c>
      <c r="E50" s="469" t="inlineStr">
        <is>
          <t>N/A</t>
        </is>
      </c>
      <c r="F50" s="469" t="inlineStr">
        <is>
          <t>223.73.219.69(广东-广州)</t>
        </is>
      </c>
      <c r="G50" s="470" t="inlineStr">
        <is>
          <t>75</t>
        </is>
      </c>
      <c r="H50" s="469" t="inlineStr">
        <is>
          <t>苏家颖</t>
        </is>
      </c>
      <c r="I50" s="469" t="inlineStr">
        <is>
          <t>语文┋数学┋英语</t>
        </is>
      </c>
      <c r="J50" s="470" t="inlineStr">
        <is>
          <t>5</t>
        </is>
      </c>
      <c r="K50" s="470" t="inlineStr">
        <is>
          <t>5</t>
        </is>
      </c>
      <c r="L50" s="470" t="inlineStr">
        <is>
          <t>5</t>
        </is>
      </c>
      <c r="M50" s="470" t="inlineStr">
        <is>
          <t>5</t>
        </is>
      </c>
      <c r="N50" s="470" t="inlineStr">
        <is>
          <t>5</t>
        </is>
      </c>
      <c r="O50" s="470" t="inlineStr">
        <is>
          <t>5</t>
        </is>
      </c>
      <c r="P50" s="470" t="inlineStr">
        <is>
          <t>5</t>
        </is>
      </c>
      <c r="Q50" s="470" t="inlineStr">
        <is>
          <t>5</t>
        </is>
      </c>
      <c r="R50" s="470" t="inlineStr">
        <is>
          <t>5</t>
        </is>
      </c>
      <c r="S50" s="470" t="inlineStr">
        <is>
          <t>5</t>
        </is>
      </c>
      <c r="T50" s="470" t="inlineStr">
        <is>
          <t>5</t>
        </is>
      </c>
      <c r="U50" s="470" t="inlineStr">
        <is>
          <t>5</t>
        </is>
      </c>
      <c r="V50" s="470" t="inlineStr">
        <is>
          <t>5</t>
        </is>
      </c>
      <c r="W50" s="470" t="inlineStr">
        <is>
          <t>5</t>
        </is>
      </c>
      <c r="X50" s="470" t="inlineStr">
        <is>
          <t>5</t>
        </is>
      </c>
      <c r="Y50" s="469" t="inlineStr">
        <is>
          <t>明显进步</t>
        </is>
      </c>
      <c r="Z50" s="469" t="inlineStr">
        <is>
          <t>兴趣明显提高</t>
        </is>
      </c>
      <c r="AA50" s="469" t="inlineStr">
        <is>
          <t>做作业正确率提高了┋会主动问问题，主动思考┋写字/计算/单词/学习等学习基本习惯有进步</t>
        </is>
      </c>
      <c r="AB50" s="469" t="inlineStr">
        <is>
          <t>非常满意</t>
        </is>
      </c>
      <c r="AC50" s="470" t="inlineStr">
        <is>
          <t>4480</t>
        </is>
      </c>
      <c r="AD50" s="469" t="inlineStr">
        <is>
          <t>大概率会报</t>
        </is>
      </c>
      <c r="AE50" s="469" t="inlineStr">
        <is>
          <t>距离太远，接送不方便</t>
        </is>
      </c>
      <c r="AF50" s="469" t="inlineStr">
        <is>
          <t>作业帮的老师都很负责任，也很严格要求小孩，服务也挺好的，谢谢！</t>
        </is>
      </c>
    </row>
    <row r="51" ht="16.5" customHeight="1" s="1053">
      <c r="A51" s="470" t="inlineStr">
        <is>
          <t>50</t>
        </is>
      </c>
      <c r="B51" s="471" t="n">
        <v>46206.37947916667</v>
      </c>
      <c r="C51" s="469" t="inlineStr">
        <is>
          <t>183秒</t>
        </is>
      </c>
      <c r="D51" s="469" t="inlineStr">
        <is>
          <t>微信</t>
        </is>
      </c>
      <c r="E51" s="469" t="inlineStr">
        <is>
          <t>N/A</t>
        </is>
      </c>
      <c r="F51" s="469" t="inlineStr">
        <is>
          <t>120.230.73.183(广东-广州)</t>
        </is>
      </c>
      <c r="G51" s="470" t="inlineStr">
        <is>
          <t>75</t>
        </is>
      </c>
      <c r="H51" s="469" t="inlineStr">
        <is>
          <t>施钰平</t>
        </is>
      </c>
      <c r="I51" s="469" t="inlineStr">
        <is>
          <t>语文┋数学┋英语</t>
        </is>
      </c>
      <c r="J51" s="470" t="inlineStr">
        <is>
          <t>5</t>
        </is>
      </c>
      <c r="K51" s="470" t="inlineStr">
        <is>
          <t>5</t>
        </is>
      </c>
      <c r="L51" s="470" t="inlineStr">
        <is>
          <t>5</t>
        </is>
      </c>
      <c r="M51" s="470" t="inlineStr">
        <is>
          <t>5</t>
        </is>
      </c>
      <c r="N51" s="470" t="inlineStr">
        <is>
          <t>5</t>
        </is>
      </c>
      <c r="O51" s="470" t="inlineStr">
        <is>
          <t>5</t>
        </is>
      </c>
      <c r="P51" s="470" t="inlineStr">
        <is>
          <t>5</t>
        </is>
      </c>
      <c r="Q51" s="470" t="inlineStr">
        <is>
          <t>5</t>
        </is>
      </c>
      <c r="R51" s="470" t="inlineStr">
        <is>
          <t>5</t>
        </is>
      </c>
      <c r="S51" s="470" t="inlineStr">
        <is>
          <t>5</t>
        </is>
      </c>
      <c r="T51" s="470" t="inlineStr">
        <is>
          <t>5</t>
        </is>
      </c>
      <c r="U51" s="470" t="inlineStr">
        <is>
          <t>5</t>
        </is>
      </c>
      <c r="V51" s="470" t="inlineStr">
        <is>
          <t>5</t>
        </is>
      </c>
      <c r="W51" s="470" t="inlineStr">
        <is>
          <t>5</t>
        </is>
      </c>
      <c r="X51" s="470" t="inlineStr">
        <is>
          <t>5</t>
        </is>
      </c>
      <c r="Y51" s="469" t="inlineStr">
        <is>
          <t>上课不久，暂未体现</t>
        </is>
      </c>
      <c r="Z51" s="469" t="inlineStr">
        <is>
          <t>变化不大</t>
        </is>
      </c>
      <c r="AA51" s="469" t="inlineStr">
        <is>
          <t>会主动问问题，主动思考</t>
        </is>
      </c>
      <c r="AB51" s="469" t="inlineStr">
        <is>
          <t>满意</t>
        </is>
      </c>
      <c r="AC51" s="470" t="inlineStr">
        <is>
          <t>3800</t>
        </is>
      </c>
      <c r="AD51" s="469" t="inlineStr">
        <is>
          <t>还在犹豫</t>
        </is>
      </c>
      <c r="AE51" s="469" t="inlineStr">
        <is>
          <t>其他</t>
        </is>
      </c>
      <c r="AF51" s="469" t="inlineStr">
        <is>
          <t>难度系数不大</t>
        </is>
      </c>
    </row>
    <row r="52" ht="16.5" customHeight="1" s="1053">
      <c r="A52" s="470" t="inlineStr">
        <is>
          <t>51</t>
        </is>
      </c>
      <c r="B52" s="471" t="n">
        <v>46206.52246527778</v>
      </c>
      <c r="C52" s="469" t="inlineStr">
        <is>
          <t>259秒</t>
        </is>
      </c>
      <c r="D52" s="469" t="inlineStr">
        <is>
          <t>微信</t>
        </is>
      </c>
      <c r="E52" s="469" t="inlineStr">
        <is>
          <t>N/A</t>
        </is>
      </c>
      <c r="F52" s="469" t="inlineStr">
        <is>
          <t>120.230.99.23(广东-广州)</t>
        </is>
      </c>
      <c r="G52" s="470" t="inlineStr">
        <is>
          <t>75</t>
        </is>
      </c>
      <c r="H52" s="469" t="inlineStr">
        <is>
          <t>叶湖萍</t>
        </is>
      </c>
      <c r="I52" s="469" t="inlineStr">
        <is>
          <t>语文┋数学┋英语</t>
        </is>
      </c>
      <c r="J52" s="470" t="inlineStr">
        <is>
          <t>5</t>
        </is>
      </c>
      <c r="K52" s="470" t="inlineStr">
        <is>
          <t>5</t>
        </is>
      </c>
      <c r="L52" s="470" t="inlineStr">
        <is>
          <t>5</t>
        </is>
      </c>
      <c r="M52" s="470" t="inlineStr">
        <is>
          <t>5</t>
        </is>
      </c>
      <c r="N52" s="470" t="inlineStr">
        <is>
          <t>5</t>
        </is>
      </c>
      <c r="O52" s="470" t="inlineStr">
        <is>
          <t>5</t>
        </is>
      </c>
      <c r="P52" s="470" t="inlineStr">
        <is>
          <t>5</t>
        </is>
      </c>
      <c r="Q52" s="470" t="inlineStr">
        <is>
          <t>5</t>
        </is>
      </c>
      <c r="R52" s="470" t="inlineStr">
        <is>
          <t>5</t>
        </is>
      </c>
      <c r="S52" s="470" t="inlineStr">
        <is>
          <t>5</t>
        </is>
      </c>
      <c r="T52" s="470" t="inlineStr">
        <is>
          <t>5</t>
        </is>
      </c>
      <c r="U52" s="470" t="inlineStr">
        <is>
          <t>5</t>
        </is>
      </c>
      <c r="V52" s="470" t="inlineStr">
        <is>
          <t>5</t>
        </is>
      </c>
      <c r="W52" s="470" t="inlineStr">
        <is>
          <t>5</t>
        </is>
      </c>
      <c r="X52" s="470" t="inlineStr">
        <is>
          <t>5</t>
        </is>
      </c>
      <c r="Y52" s="469" t="inlineStr">
        <is>
          <t>略有进步</t>
        </is>
      </c>
      <c r="Z52" s="469" t="inlineStr">
        <is>
          <t>兴趣明显提高</t>
        </is>
      </c>
      <c r="AA52" s="469" t="inlineStr">
        <is>
          <t>做作业正确率提高了┋会主动问问题，主动思考┋写字/计算/单词/学习等学习基本习惯有进步</t>
        </is>
      </c>
      <c r="AB52" s="469" t="inlineStr">
        <is>
          <t>非常满意</t>
        </is>
      </c>
      <c r="AC52" s="470" t="inlineStr">
        <is>
          <t>3800</t>
        </is>
      </c>
      <c r="AD52" s="469" t="inlineStr">
        <is>
          <t>大概率会报</t>
        </is>
      </c>
      <c r="AE52" s="469" t="inlineStr">
        <is>
          <t>其他</t>
        </is>
      </c>
      <c r="AF52" s="469" t="inlineStr">
        <is>
          <t>课桌上最好不要放喝的，课后去喝</t>
        </is>
      </c>
    </row>
    <row r="53" ht="16.5" customHeight="1" s="1053">
      <c r="A53" s="470" t="inlineStr">
        <is>
          <t>52</t>
        </is>
      </c>
      <c r="B53" s="471" t="n">
        <v>46206.61116898148</v>
      </c>
      <c r="C53" s="469" t="inlineStr">
        <is>
          <t>99秒</t>
        </is>
      </c>
      <c r="D53" s="469" t="inlineStr">
        <is>
          <t>微信</t>
        </is>
      </c>
      <c r="E53" s="469" t="inlineStr">
        <is>
          <t>N/A</t>
        </is>
      </c>
      <c r="F53" s="469" t="inlineStr">
        <is>
          <t>120.85.255.83(广东-广州)</t>
        </is>
      </c>
      <c r="G53" s="470" t="inlineStr">
        <is>
          <t>75</t>
        </is>
      </c>
      <c r="H53" s="469" t="inlineStr">
        <is>
          <t>林</t>
        </is>
      </c>
      <c r="I53" s="469" t="inlineStr">
        <is>
          <t>语文┋数学┋英语</t>
        </is>
      </c>
      <c r="J53" s="470" t="inlineStr">
        <is>
          <t>5</t>
        </is>
      </c>
      <c r="K53" s="470" t="inlineStr">
        <is>
          <t>5</t>
        </is>
      </c>
      <c r="L53" s="470" t="inlineStr">
        <is>
          <t>5</t>
        </is>
      </c>
      <c r="M53" s="470" t="inlineStr">
        <is>
          <t>5</t>
        </is>
      </c>
      <c r="N53" s="470" t="inlineStr">
        <is>
          <t>5</t>
        </is>
      </c>
      <c r="O53" s="470" t="inlineStr">
        <is>
          <t>5</t>
        </is>
      </c>
      <c r="P53" s="470" t="inlineStr">
        <is>
          <t>5</t>
        </is>
      </c>
      <c r="Q53" s="470" t="inlineStr">
        <is>
          <t>5</t>
        </is>
      </c>
      <c r="R53" s="470" t="inlineStr">
        <is>
          <t>5</t>
        </is>
      </c>
      <c r="S53" s="470" t="inlineStr">
        <is>
          <t>5</t>
        </is>
      </c>
      <c r="T53" s="470" t="inlineStr">
        <is>
          <t>5</t>
        </is>
      </c>
      <c r="U53" s="470" t="inlineStr">
        <is>
          <t>5</t>
        </is>
      </c>
      <c r="V53" s="470" t="inlineStr">
        <is>
          <t>5</t>
        </is>
      </c>
      <c r="W53" s="470" t="inlineStr">
        <is>
          <t>5</t>
        </is>
      </c>
      <c r="X53" s="470" t="inlineStr">
        <is>
          <t>5</t>
        </is>
      </c>
      <c r="Y53" s="469" t="inlineStr">
        <is>
          <t>有所下滑</t>
        </is>
      </c>
      <c r="Z53" s="469" t="inlineStr">
        <is>
          <t>变化不大</t>
        </is>
      </c>
      <c r="AA53" s="469" t="inlineStr">
        <is>
          <t>主动完成作业，不用催</t>
        </is>
      </c>
      <c r="AB53" s="469" t="inlineStr">
        <is>
          <t>满意</t>
        </is>
      </c>
      <c r="AC53" s="470" t="inlineStr">
        <is>
          <t>3800</t>
        </is>
      </c>
      <c r="AD53" s="469" t="inlineStr">
        <is>
          <t>一定续报</t>
        </is>
      </c>
      <c r="AE53" s="469" t="inlineStr">
        <is>
          <t>其他</t>
        </is>
      </c>
      <c r="AF53" s="469" t="inlineStr">
        <is>
          <t>很好</t>
        </is>
      </c>
    </row>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row r="199" ht="16.5" customHeight="1" s="1053"/>
    <row r="200" ht="16.5" customHeight="1" s="1053"/>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3" min="3" max="5"/>
    <col width="11.373046875" customWidth="1" style="1053" min="6" max="6"/>
    <col width="8.373046875" customWidth="1" style="1053" min="7" max="10"/>
    <col width="11.25" customWidth="1" style="1053" min="11" max="11"/>
    <col width="8.373046875" customWidth="1" style="1053" min="12" max="14"/>
    <col width="11.4990234375" customWidth="1" style="1053" min="15" max="15"/>
    <col width="8.373046875" customWidth="1" style="1053" min="16" max="17"/>
    <col width="11.44921875" customWidth="1" style="421" min="21" max="21"/>
    <col width="6.873046875" customWidth="1" style="421" min="22" max="22"/>
    <col width="10.951171875" customWidth="1" style="421" min="23" max="23"/>
    <col width="6.6240234375" customWidth="1" style="27" min="24" max="24"/>
    <col width="10.8251953125" customWidth="1" style="1053" min="25" max="25"/>
    <col width="6.75" customWidth="1" style="1053" min="26" max="26"/>
    <col width="13.201171875" customWidth="1" style="366" min="27" max="27"/>
    <col width="11.326171875" customWidth="1" style="366" min="28" max="28"/>
    <col width="11.326171875" customWidth="1" style="315" min="29" max="30"/>
    <col width="10" customWidth="1" style="359" min="31" max="33"/>
    <col width="10.998046875" customWidth="1" style="359" min="34" max="34"/>
    <col width="15.75" customWidth="1" style="359" min="35" max="35"/>
    <col width="15.75" customWidth="1" style="426" min="36" max="37"/>
    <col width="9.873046875" customWidth="1" style="366" min="38" max="38"/>
    <col width="6.498046875" customWidth="1" style="366" min="39" max="41"/>
    <col width="18.75" customWidth="1" style="350" min="42" max="42"/>
    <col width="17.25" customWidth="1" style="359" min="43" max="43"/>
    <col width="21.873046875" customWidth="1" style="359" min="44" max="44"/>
    <col width="6.41015625" customWidth="1" style="366" min="45" max="50"/>
    <col width="16.248046875" customWidth="1" style="366" min="51" max="51"/>
    <col width="16.248046875" customWidth="1" style="359" min="52" max="53"/>
  </cols>
  <sheetData>
    <row r="1" ht="26.25"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130" t="inlineStr">
        <is>
          <t>首课电联-老师（U1～U3）</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250"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26.25" customFormat="1" customHeight="1" s="298">
      <c r="A2" s="1057" t="n"/>
      <c r="B2" s="1057" t="n"/>
      <c r="C2" s="1057" t="n"/>
      <c r="D2" s="1057" t="n"/>
      <c r="E2" s="290" t="inlineStr">
        <is>
          <t>主讲</t>
        </is>
      </c>
      <c r="F2" s="290" t="inlineStr">
        <is>
          <t>上课时段</t>
        </is>
      </c>
      <c r="G2" s="147"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283"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285" t="inlineStr">
        <is>
          <t>（T6～T7）</t>
        </is>
      </c>
      <c r="BA2" s="285" t="inlineStr">
        <is>
          <t>（U8～U10）</t>
        </is>
      </c>
    </row>
    <row r="3" ht="26.25" customFormat="1" customHeight="1" s="366">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n"/>
      <c r="T3" s="281" t="n"/>
      <c r="U3" s="7" t="inlineStr">
        <is>
          <t>陈南05</t>
        </is>
      </c>
      <c r="V3" s="7" t="n"/>
      <c r="W3" s="7" t="inlineStr">
        <is>
          <t>田雨涵01</t>
        </is>
      </c>
      <c r="X3" s="127" t="n"/>
      <c r="Y3" s="119" t="inlineStr">
        <is>
          <t>高心怡04</t>
        </is>
      </c>
      <c r="Z3" s="119" t="n"/>
      <c r="AA3" s="315" t="n"/>
      <c r="AB3" s="311" t="n"/>
      <c r="AC3" s="315" t="n"/>
      <c r="AD3" s="315" t="n"/>
      <c r="AE3" s="281" t="inlineStr">
        <is>
          <t>戎凯01</t>
        </is>
      </c>
      <c r="AF3" s="281">
        <f>VLOOKUP(B3,'UV台帐'!B:G,6,0)</f>
        <v/>
      </c>
      <c r="AG3" s="281" t="n"/>
      <c r="AH3" s="281" t="n"/>
      <c r="AI3" s="281" t="n"/>
      <c r="AJ3" s="426" t="n"/>
      <c r="AK3" s="426" t="n"/>
      <c r="AL3" s="366" t="n"/>
      <c r="AM3" s="366" t="n"/>
      <c r="AN3" s="366" t="n"/>
      <c r="AO3" s="366" t="n"/>
      <c r="AP3" s="350" t="n"/>
      <c r="AQ3" s="359" t="n"/>
      <c r="AR3" s="359" t="n"/>
      <c r="AS3" s="281">
        <f>COUNTIFS(H3,"一期",I3,"在读")+COUNTIFS(L3,"一期",M3,"在读")+COUNTIFS(P3,"一期",Q3,"在读")</f>
        <v/>
      </c>
      <c r="AT3" s="281">
        <f>AS3-AX3</f>
        <v/>
      </c>
      <c r="AU3" s="366">
        <f>VLOOKUP(B3,'UV台帐'!B:AL,19,0)</f>
        <v/>
      </c>
      <c r="AV3" s="366">
        <f>VLOOKUP(B3,'UV台帐'!B:AL,28,0)</f>
        <v/>
      </c>
      <c r="AW3" s="366">
        <f>VLOOKUP(B3,'UV台帐'!B:AL,37,0)</f>
        <v/>
      </c>
      <c r="AX3" s="281">
        <f>COUNTIFS(H3,"一期",AU3,"是")+COUNTIFS(L3,"一期",AV3,"是")+COUNTIFS(P3,"一期",AW3,"是")</f>
        <v/>
      </c>
      <c r="AZ3" s="359" t="n"/>
      <c r="BA3" s="359" t="n"/>
    </row>
    <row r="4" ht="26.25" customFormat="1" customHeight="1" s="366">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n"/>
      <c r="T4" s="281" t="n"/>
      <c r="U4" s="119" t="inlineStr">
        <is>
          <t>陈南05</t>
        </is>
      </c>
      <c r="V4" s="7" t="n"/>
      <c r="W4" s="119" t="inlineStr">
        <is>
          <t>肖锐03</t>
        </is>
      </c>
      <c r="X4" s="119" t="n"/>
      <c r="Y4" s="119" t="inlineStr">
        <is>
          <t>-</t>
        </is>
      </c>
      <c r="Z4" s="119" t="n"/>
      <c r="AA4" s="315" t="n"/>
      <c r="AB4" s="311" t="n"/>
      <c r="AC4" s="315" t="n"/>
      <c r="AD4" s="315" t="n"/>
      <c r="AE4" s="281" t="inlineStr">
        <is>
          <t>杨林33</t>
        </is>
      </c>
      <c r="AF4" s="281">
        <f>VLOOKUP(B4,'UV台帐'!B:G,6,0)</f>
        <v/>
      </c>
      <c r="AG4" s="281" t="n"/>
      <c r="AH4" s="281" t="n"/>
      <c r="AI4" s="281" t="n"/>
      <c r="AJ4" s="426" t="n"/>
      <c r="AK4" s="426" t="n"/>
      <c r="AL4" s="366" t="n"/>
      <c r="AM4" s="366" t="n"/>
      <c r="AN4" s="366" t="n"/>
      <c r="AO4" s="366" t="n"/>
      <c r="AP4" s="350" t="n"/>
      <c r="AQ4" s="359" t="n"/>
      <c r="AR4" s="359" t="n"/>
      <c r="AS4" s="281">
        <f>COUNTIFS(H4,"一期",I4,"在读")+COUNTIFS(L4,"一期",M4,"在读")+COUNTIFS(P4,"一期",Q4,"在读")</f>
        <v/>
      </c>
      <c r="AT4" s="281">
        <f>AS4-AX4</f>
        <v/>
      </c>
      <c r="AU4" s="366">
        <f>VLOOKUP(B4,'UV台帐'!B:AL,19,0)</f>
        <v/>
      </c>
      <c r="AV4" s="366">
        <f>VLOOKUP(B4,'UV台帐'!B:AL,28,0)</f>
        <v/>
      </c>
      <c r="AW4" s="366">
        <f>VLOOKUP(B4,'UV台帐'!B:AL,37,0)</f>
        <v/>
      </c>
      <c r="AX4" s="281">
        <f>COUNTIFS(H4,"一期",AU4,"是")+COUNTIFS(L4,"一期",AV4,"是")+COUNTIFS(P4,"一期",AW4,"是")</f>
        <v/>
      </c>
      <c r="AZ4" s="359" t="n"/>
      <c r="BA4" s="359" t="n"/>
    </row>
    <row r="5" ht="26.25" customFormat="1" customHeight="1" s="366">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inlineStr">
        <is>
          <t>何咏04</t>
        </is>
      </c>
      <c r="S5" s="281" t="n"/>
      <c r="T5" s="281" t="n"/>
      <c r="U5" s="119" t="inlineStr">
        <is>
          <t>肖锐03</t>
        </is>
      </c>
      <c r="V5" s="7" t="n"/>
      <c r="W5" s="7" t="inlineStr">
        <is>
          <t>陈南05</t>
        </is>
      </c>
      <c r="X5" s="127" t="n"/>
      <c r="Y5" s="281" t="inlineStr">
        <is>
          <t>何咏04</t>
        </is>
      </c>
      <c r="Z5" s="7" t="n"/>
      <c r="AA5" s="315" t="n"/>
      <c r="AB5" s="311" t="n"/>
      <c r="AC5" s="315" t="n"/>
      <c r="AD5" s="315" t="n"/>
      <c r="AE5" s="281" t="inlineStr">
        <is>
          <t>林志豪01</t>
        </is>
      </c>
      <c r="AF5" s="281">
        <f>VLOOKUP(B5,'UV台帐'!B:G,6,0)</f>
        <v/>
      </c>
      <c r="AG5" s="281" t="n"/>
      <c r="AH5" s="281" t="n"/>
      <c r="AI5" s="281" t="n"/>
      <c r="AJ5" s="426" t="n"/>
      <c r="AK5" s="426" t="n"/>
      <c r="AL5" s="366" t="n"/>
      <c r="AM5" s="366" t="n"/>
      <c r="AN5" s="366" t="n"/>
      <c r="AO5" s="366" t="n"/>
      <c r="AP5" s="350" t="n"/>
      <c r="AQ5" s="359" t="n"/>
      <c r="AR5" s="359" t="n"/>
      <c r="AS5" s="281">
        <f>COUNTIFS(H5,"一期",I5,"在读")+COUNTIFS(L5,"一期",M5,"在读")+COUNTIFS(P5,"一期",Q5,"在读")</f>
        <v/>
      </c>
      <c r="AT5" s="281">
        <f>AS5-AX5</f>
        <v/>
      </c>
      <c r="AU5" s="366">
        <f>VLOOKUP(B5,'UV台帐'!B:AL,19,0)</f>
        <v/>
      </c>
      <c r="AV5" s="366">
        <f>VLOOKUP(B5,'UV台帐'!B:AL,28,0)</f>
        <v/>
      </c>
      <c r="AW5" s="366">
        <f>VLOOKUP(B5,'UV台帐'!B:AL,37,0)</f>
        <v/>
      </c>
      <c r="AX5" s="281">
        <f>COUNTIFS(H5,"一期",AU5,"是")+COUNTIFS(L5,"一期",AV5,"是")+COUNTIFS(P5,"一期",AW5,"是")</f>
        <v/>
      </c>
      <c r="AZ5" s="359" t="n"/>
      <c r="BA5" s="359" t="n"/>
    </row>
    <row r="6" ht="26.25" customFormat="1" customHeight="1" s="366">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inlineStr">
        <is>
          <t>何咏04</t>
        </is>
      </c>
      <c r="S6" s="281" t="n"/>
      <c r="T6" s="281" t="n"/>
      <c r="U6" s="119" t="inlineStr">
        <is>
          <t>肖锐03</t>
        </is>
      </c>
      <c r="V6" s="119" t="n"/>
      <c r="W6" s="7" t="inlineStr">
        <is>
          <t>陈南05</t>
        </is>
      </c>
      <c r="X6" s="127" t="n"/>
      <c r="Y6" s="281" t="inlineStr">
        <is>
          <t>何咏04</t>
        </is>
      </c>
      <c r="Z6" s="119" t="n"/>
      <c r="AA6" s="315" t="n"/>
      <c r="AB6" s="311" t="n"/>
      <c r="AC6" s="315" t="n"/>
      <c r="AD6" s="315" t="n"/>
      <c r="AE6" s="281" t="inlineStr">
        <is>
          <t>林志豪01</t>
        </is>
      </c>
      <c r="AF6" s="281">
        <f>VLOOKUP(B6,'UV台帐'!B:G,6,0)</f>
        <v/>
      </c>
      <c r="AG6" s="281" t="n"/>
      <c r="AH6" s="281" t="n"/>
      <c r="AI6" s="281" t="n"/>
      <c r="AJ6" s="426" t="n"/>
      <c r="AK6" s="426" t="n"/>
      <c r="AL6" s="366" t="n"/>
      <c r="AM6" s="366" t="n"/>
      <c r="AN6" s="366" t="n"/>
      <c r="AO6" s="366" t="n"/>
      <c r="AP6" s="350" t="n"/>
      <c r="AQ6" s="359" t="n"/>
      <c r="AR6" s="359" t="n"/>
      <c r="AS6" s="281">
        <f>COUNTIFS(H6,"一期",I6,"在读")+COUNTIFS(L6,"一期",M6,"在读")+COUNTIFS(P6,"一期",Q6,"在读")</f>
        <v/>
      </c>
      <c r="AT6" s="281">
        <f>AS6-AX6</f>
        <v/>
      </c>
      <c r="AU6" s="366">
        <f>VLOOKUP(B6,'UV台帐'!B:AL,19,0)</f>
        <v/>
      </c>
      <c r="AV6" s="366">
        <f>VLOOKUP(B6,'UV台帐'!B:AL,28,0)</f>
        <v/>
      </c>
      <c r="AW6" s="366">
        <f>VLOOKUP(B6,'UV台帐'!B:AL,37,0)</f>
        <v/>
      </c>
      <c r="AX6" s="281">
        <f>COUNTIFS(H6,"一期",AU6,"是")+COUNTIFS(L6,"一期",AV6,"是")+COUNTIFS(P6,"一期",AW6,"是")</f>
        <v/>
      </c>
      <c r="AZ6" s="359" t="n"/>
      <c r="BA6" s="359" t="n"/>
    </row>
    <row r="7" ht="26.25" customFormat="1" customHeight="1" s="366">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inlineStr">
        <is>
          <t>何咏04</t>
        </is>
      </c>
      <c r="S7" s="281" t="n"/>
      <c r="T7" s="281" t="n"/>
      <c r="U7" s="119" t="inlineStr">
        <is>
          <t>肖锐03</t>
        </is>
      </c>
      <c r="V7" s="7" t="n"/>
      <c r="W7" s="281" t="inlineStr">
        <is>
          <t>何咏04</t>
        </is>
      </c>
      <c r="X7" s="127" t="n"/>
      <c r="Y7" s="7" t="inlineStr">
        <is>
          <t>陈南05</t>
        </is>
      </c>
      <c r="Z7" s="7" t="n"/>
      <c r="AA7" s="315" t="n"/>
      <c r="AB7" s="311" t="n"/>
      <c r="AC7" s="315" t="n"/>
      <c r="AD7" s="315" t="n"/>
      <c r="AE7" s="281" t="inlineStr">
        <is>
          <t>杨林33</t>
        </is>
      </c>
      <c r="AF7" s="281">
        <f>VLOOKUP(B7,'UV台帐'!B:G,6,0)</f>
        <v/>
      </c>
      <c r="AG7" s="281" t="n"/>
      <c r="AH7" s="281" t="n"/>
      <c r="AI7" s="281" t="n"/>
      <c r="AJ7" s="426" t="n"/>
      <c r="AK7" s="426" t="n"/>
      <c r="AL7" s="366" t="n"/>
      <c r="AM7" s="366" t="n"/>
      <c r="AN7" s="366" t="n"/>
      <c r="AO7" s="366" t="n"/>
      <c r="AP7" s="350" t="n"/>
      <c r="AQ7" s="359" t="n"/>
      <c r="AR7" s="359" t="n"/>
      <c r="AS7" s="281">
        <f>COUNTIFS(H7,"一期",I7,"在读")+COUNTIFS(L7,"一期",M7,"在读")+COUNTIFS(P7,"一期",Q7,"在读")</f>
        <v/>
      </c>
      <c r="AT7" s="281">
        <f>AS7-AX7</f>
        <v/>
      </c>
      <c r="AU7" s="366">
        <f>VLOOKUP(B7,'UV台帐'!B:AL,19,0)</f>
        <v/>
      </c>
      <c r="AV7" s="366">
        <f>VLOOKUP(B7,'UV台帐'!B:AL,28,0)</f>
        <v/>
      </c>
      <c r="AW7" s="366">
        <f>VLOOKUP(B7,'UV台帐'!B:AL,37,0)</f>
        <v/>
      </c>
      <c r="AX7" s="281">
        <f>COUNTIFS(H7,"一期",AU7,"是")+COUNTIFS(L7,"一期",AV7,"是")+COUNTIFS(P7,"一期",AW7,"是")</f>
        <v/>
      </c>
      <c r="AZ7" s="359" t="n"/>
      <c r="BA7" s="359" t="n"/>
    </row>
    <row r="8" ht="26.25" customFormat="1" customHeight="1" s="366">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n"/>
      <c r="T8" s="281" t="n"/>
      <c r="U8" s="7" t="inlineStr">
        <is>
          <t>李润</t>
        </is>
      </c>
      <c r="V8" s="7" t="n"/>
      <c r="W8" s="7" t="inlineStr">
        <is>
          <t>刘希子</t>
        </is>
      </c>
      <c r="X8" s="127" t="n"/>
      <c r="Y8" s="7" t="inlineStr">
        <is>
          <t>-</t>
        </is>
      </c>
      <c r="Z8" s="7" t="n"/>
      <c r="AA8" s="315" t="n"/>
      <c r="AB8" s="311" t="n"/>
      <c r="AC8" s="315" t="n"/>
      <c r="AD8" s="315" t="n"/>
      <c r="AE8" s="281" t="inlineStr">
        <is>
          <t>沈思浩</t>
        </is>
      </c>
      <c r="AF8" s="281">
        <f>VLOOKUP(B8,'UV台帐'!B:G,6,0)</f>
        <v/>
      </c>
      <c r="AG8" s="281" t="n"/>
      <c r="AH8" s="281" t="n"/>
      <c r="AI8" s="281" t="n"/>
      <c r="AJ8" s="426" t="n"/>
      <c r="AK8" s="426" t="n"/>
      <c r="AL8" s="366" t="n"/>
      <c r="AM8" s="366" t="n"/>
      <c r="AN8" s="366" t="n"/>
      <c r="AO8" s="366" t="n"/>
      <c r="AP8" s="350" t="n"/>
      <c r="AQ8" s="359" t="n"/>
      <c r="AR8" s="359" t="n"/>
      <c r="AS8" s="281">
        <f>COUNTIFS(H8,"一期",I8,"在读")+COUNTIFS(L8,"一期",M8,"在读")+COUNTIFS(P8,"一期",Q8,"在读")</f>
        <v/>
      </c>
      <c r="AT8" s="281">
        <f>AS8-AX8</f>
        <v/>
      </c>
      <c r="AU8" s="366">
        <f>VLOOKUP(B8,'UV台帐'!B:AL,19,0)</f>
        <v/>
      </c>
      <c r="AV8" s="366">
        <f>VLOOKUP(B8,'UV台帐'!B:AL,28,0)</f>
        <v/>
      </c>
      <c r="AW8" s="366">
        <f>VLOOKUP(B8,'UV台帐'!B:AL,37,0)</f>
        <v/>
      </c>
      <c r="AX8" s="281">
        <f>COUNTIFS(H8,"一期",AU8,"是")+COUNTIFS(L8,"一期",AV8,"是")+COUNTIFS(P8,"一期",AW8,"是")</f>
        <v/>
      </c>
      <c r="AZ8" s="359" t="n"/>
      <c r="BA8" s="359" t="n"/>
    </row>
    <row r="9" ht="26.25" customFormat="1" customHeight="1" s="366">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81" t="inlineStr">
        <is>
          <t>何咏04</t>
        </is>
      </c>
      <c r="S9" s="281" t="n"/>
      <c r="T9" s="281" t="n"/>
      <c r="U9" s="7" t="inlineStr">
        <is>
          <t>何咏04</t>
        </is>
      </c>
      <c r="V9" s="7" t="n"/>
      <c r="W9" s="7" t="inlineStr">
        <is>
          <t>-</t>
        </is>
      </c>
      <c r="X9" s="127" t="n"/>
      <c r="Y9" s="7" t="inlineStr">
        <is>
          <t>-</t>
        </is>
      </c>
      <c r="Z9" s="7" t="n"/>
      <c r="AA9" s="315" t="n"/>
      <c r="AB9" s="311" t="n"/>
      <c r="AC9" s="315" t="n"/>
      <c r="AD9" s="315" t="n"/>
      <c r="AE9" s="281" t="inlineStr">
        <is>
          <t>林志豪01</t>
        </is>
      </c>
      <c r="AF9" s="281">
        <f>VLOOKUP(B9,'UV台帐'!B:G,6,0)</f>
        <v/>
      </c>
      <c r="AG9" s="281" t="n"/>
      <c r="AH9" s="281" t="n"/>
      <c r="AI9" s="281" t="n"/>
      <c r="AJ9" s="426" t="n"/>
      <c r="AK9" s="426" t="n"/>
      <c r="AL9" s="366" t="n"/>
      <c r="AM9" s="366" t="n"/>
      <c r="AN9" s="366" t="n"/>
      <c r="AO9" s="366" t="n"/>
      <c r="AP9" s="350" t="n"/>
      <c r="AQ9" s="359" t="n"/>
      <c r="AR9" s="359" t="n"/>
      <c r="AS9" s="281">
        <f>COUNTIFS(H9,"一期",I9,"在读")+COUNTIFS(L9,"一期",M9,"在读")+COUNTIFS(P9,"一期",Q9,"在读")</f>
        <v/>
      </c>
      <c r="AT9" s="281">
        <f>AS9-AX9</f>
        <v/>
      </c>
      <c r="AU9" s="366">
        <f>VLOOKUP(B9,'UV台帐'!B:AL,19,0)</f>
        <v/>
      </c>
      <c r="AV9" s="366">
        <f>VLOOKUP(B9,'UV台帐'!B:AL,28,0)</f>
        <v/>
      </c>
      <c r="AW9" s="366">
        <f>VLOOKUP(B9,'UV台帐'!B:AL,37,0)</f>
        <v/>
      </c>
      <c r="AX9" s="281">
        <f>COUNTIFS(H9,"一期",AU9,"是")+COUNTIFS(L9,"一期",AV9,"是")+COUNTIFS(P9,"一期",AW9,"是")</f>
        <v/>
      </c>
      <c r="AZ9" s="359" t="n"/>
      <c r="BA9" s="359" t="n"/>
    </row>
    <row r="10" ht="26.25" customFormat="1" customHeight="1" s="366">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n"/>
      <c r="T10" s="281" t="n"/>
      <c r="U10" s="7" t="inlineStr">
        <is>
          <t>陈南05</t>
        </is>
      </c>
      <c r="V10" s="7" t="n"/>
      <c r="W10" s="7" t="inlineStr">
        <is>
          <t>高心怡04</t>
        </is>
      </c>
      <c r="X10" s="127" t="n"/>
      <c r="Y10" s="7" t="inlineStr">
        <is>
          <t>-</t>
        </is>
      </c>
      <c r="Z10" s="7" t="n"/>
      <c r="AA10" s="119" t="n"/>
      <c r="AB10" s="311" t="n"/>
      <c r="AC10" s="119" t="n"/>
      <c r="AD10" s="119" t="n"/>
      <c r="AE10" s="281" t="inlineStr">
        <is>
          <t>王丽</t>
        </is>
      </c>
      <c r="AF10" s="281">
        <f>VLOOKUP(B10,'UV台帐'!B:G,6,0)</f>
        <v/>
      </c>
      <c r="AG10" s="281" t="n"/>
      <c r="AH10" s="281" t="n"/>
      <c r="AI10" s="281" t="n"/>
      <c r="AJ10" s="426" t="n"/>
      <c r="AK10" s="426" t="n"/>
      <c r="AL10" s="366" t="n"/>
      <c r="AM10" s="366" t="n"/>
      <c r="AN10" s="366" t="n"/>
      <c r="AO10" s="366" t="n"/>
      <c r="AP10" s="350" t="n"/>
      <c r="AQ10" s="359" t="n"/>
      <c r="AR10" s="359" t="n"/>
      <c r="AS10" s="281">
        <f>COUNTIFS(H10,"一期",I10,"在读")+COUNTIFS(L10,"一期",M10,"在读")+COUNTIFS(P10,"一期",Q10,"在读")</f>
        <v/>
      </c>
      <c r="AT10" s="281">
        <f>AS10-AX10</f>
        <v/>
      </c>
      <c r="AU10" s="366">
        <f>VLOOKUP(B10,'UV台帐'!B:AL,19,0)</f>
        <v/>
      </c>
      <c r="AV10" s="366">
        <f>VLOOKUP(B10,'UV台帐'!B:AL,28,0)</f>
        <v/>
      </c>
      <c r="AW10" s="366">
        <f>VLOOKUP(B10,'UV台帐'!B:AL,37,0)</f>
        <v/>
      </c>
      <c r="AX10" s="281">
        <f>COUNTIFS(H10,"一期",AU10,"是")+COUNTIFS(L10,"一期",AV10,"是")+COUNTIFS(P10,"一期",AW10,"是")</f>
        <v/>
      </c>
      <c r="AZ10" s="359" t="n"/>
      <c r="BA10" s="359" t="n"/>
    </row>
    <row r="11" ht="26.25" customFormat="1" customHeight="1" s="366">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n"/>
      <c r="T11" s="281" t="n"/>
      <c r="U11" s="7" t="inlineStr">
        <is>
          <t>田雨涵01</t>
        </is>
      </c>
      <c r="V11" s="7" t="n"/>
      <c r="W11" s="7" t="inlineStr">
        <is>
          <t>陈南05</t>
        </is>
      </c>
      <c r="X11" s="127" t="n"/>
      <c r="Y11" s="421" t="inlineStr">
        <is>
          <t>高心怡04</t>
        </is>
      </c>
      <c r="Z11" s="421" t="n"/>
      <c r="AA11" s="315" t="n"/>
      <c r="AB11" s="311" t="n"/>
      <c r="AC11" s="315" t="n"/>
      <c r="AD11" s="315" t="n"/>
      <c r="AE11" s="281" t="inlineStr">
        <is>
          <t>苏丽婷</t>
        </is>
      </c>
      <c r="AF11" s="281">
        <f>VLOOKUP(B11,'UV台帐'!B:G,6,0)</f>
        <v/>
      </c>
      <c r="AG11" s="281" t="n"/>
      <c r="AH11" s="281" t="n"/>
      <c r="AI11" s="281" t="n"/>
      <c r="AJ11" s="426" t="n"/>
      <c r="AK11" s="426" t="n"/>
      <c r="AL11" s="366" t="n"/>
      <c r="AM11" s="366" t="n"/>
      <c r="AN11" s="366" t="n"/>
      <c r="AO11" s="366" t="n"/>
      <c r="AP11" s="350" t="n"/>
      <c r="AQ11" s="359" t="n"/>
      <c r="AR11" s="359" t="n"/>
      <c r="AS11" s="281">
        <f>COUNTIFS(H11,"一期",I11,"在读")+COUNTIFS(L11,"一期",M11,"在读")+COUNTIFS(P11,"一期",Q11,"在读")</f>
        <v/>
      </c>
      <c r="AT11" s="281">
        <f>AS11-AX11</f>
        <v/>
      </c>
      <c r="AU11" s="366">
        <f>VLOOKUP(B11,'UV台帐'!B:AL,19,0)</f>
        <v/>
      </c>
      <c r="AV11" s="366">
        <f>VLOOKUP(B11,'UV台帐'!B:AL,28,0)</f>
        <v/>
      </c>
      <c r="AW11" s="366">
        <f>VLOOKUP(B11,'UV台帐'!B:AL,37,0)</f>
        <v/>
      </c>
      <c r="AX11" s="281">
        <f>COUNTIFS(H11,"一期",AU11,"是")+COUNTIFS(L11,"一期",AV11,"是")+COUNTIFS(P11,"一期",AW11,"是")</f>
        <v/>
      </c>
      <c r="AZ11" s="359" t="n"/>
      <c r="BA11" s="359" t="n"/>
    </row>
    <row r="12" ht="26.25" customFormat="1" customHeight="1" s="366">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n"/>
      <c r="T12" s="281" t="n"/>
      <c r="U12" s="7" t="inlineStr">
        <is>
          <t>田雨涵01</t>
        </is>
      </c>
      <c r="V12" s="7" t="n"/>
      <c r="W12" s="7" t="inlineStr">
        <is>
          <t>陈南05</t>
        </is>
      </c>
      <c r="X12" s="127" t="n"/>
      <c r="Y12" s="7" t="inlineStr">
        <is>
          <t>高心怡04</t>
        </is>
      </c>
      <c r="Z12" s="7" t="n"/>
      <c r="AA12" s="119" t="n"/>
      <c r="AB12" s="311" t="n"/>
      <c r="AC12" s="119" t="n"/>
      <c r="AD12" s="119" t="n"/>
      <c r="AE12" s="281" t="inlineStr">
        <is>
          <t>张敏烨</t>
        </is>
      </c>
      <c r="AF12" s="281">
        <f>VLOOKUP(B12,'UV台帐'!B:G,6,0)</f>
        <v/>
      </c>
      <c r="AG12" s="281" t="n"/>
      <c r="AH12" s="281" t="n"/>
      <c r="AI12" s="281" t="n"/>
      <c r="AJ12" s="426" t="n"/>
      <c r="AK12" s="426" t="n"/>
      <c r="AL12" s="366" t="n"/>
      <c r="AM12" s="366" t="n"/>
      <c r="AN12" s="366" t="n"/>
      <c r="AO12" s="366" t="n"/>
      <c r="AP12" s="350" t="n"/>
      <c r="AQ12" s="359" t="n"/>
      <c r="AR12" s="359" t="n"/>
      <c r="AS12" s="281">
        <f>COUNTIFS(H12,"一期",I12,"在读")+COUNTIFS(L12,"一期",M12,"在读")+COUNTIFS(P12,"一期",Q12,"在读")</f>
        <v/>
      </c>
      <c r="AT12" s="281">
        <f>AS12-AX12</f>
        <v/>
      </c>
      <c r="AU12" s="366">
        <f>VLOOKUP(B12,'UV台帐'!B:AL,19,0)</f>
        <v/>
      </c>
      <c r="AV12" s="366">
        <f>VLOOKUP(B12,'UV台帐'!B:AL,28,0)</f>
        <v/>
      </c>
      <c r="AW12" s="366">
        <f>VLOOKUP(B12,'UV台帐'!B:AL,37,0)</f>
        <v/>
      </c>
      <c r="AX12" s="281">
        <f>COUNTIFS(H12,"一期",AU12,"是")+COUNTIFS(L12,"一期",AV12,"是")+COUNTIFS(P12,"一期",AW12,"是")</f>
        <v/>
      </c>
      <c r="AZ12" s="359" t="n"/>
      <c r="BA12" s="359" t="n"/>
    </row>
    <row r="13" ht="26.25" customFormat="1" customHeight="1" s="366">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n"/>
      <c r="T13" s="281" t="n"/>
      <c r="U13" s="7" t="inlineStr">
        <is>
          <t>陈南05</t>
        </is>
      </c>
      <c r="V13" s="119" t="n"/>
      <c r="W13" s="7" t="inlineStr">
        <is>
          <t>田雨涵01</t>
        </is>
      </c>
      <c r="X13" s="127" t="n"/>
      <c r="Y13" s="119" t="inlineStr">
        <is>
          <t>高心怡04</t>
        </is>
      </c>
      <c r="Z13" s="119" t="n"/>
      <c r="AA13" s="119" t="n"/>
      <c r="AB13" s="311" t="n"/>
      <c r="AC13" s="119" t="n"/>
      <c r="AD13" s="119" t="n"/>
      <c r="AE13" s="281" t="inlineStr">
        <is>
          <t>戎凯01</t>
        </is>
      </c>
      <c r="AF13" s="281">
        <f>VLOOKUP(B13,'UV台帐'!B:G,6,0)</f>
        <v/>
      </c>
      <c r="AG13" s="281" t="n"/>
      <c r="AH13" s="281" t="n"/>
      <c r="AI13" s="281" t="n"/>
      <c r="AJ13" s="426" t="n"/>
      <c r="AK13" s="426" t="n"/>
      <c r="AL13" s="366" t="n"/>
      <c r="AM13" s="366" t="n"/>
      <c r="AN13" s="366" t="n"/>
      <c r="AO13" s="366" t="n"/>
      <c r="AP13" s="350" t="n"/>
      <c r="AQ13" s="359" t="n"/>
      <c r="AR13" s="359" t="n"/>
      <c r="AS13" s="281">
        <f>COUNTIFS(H13,"一期",I13,"在读")+COUNTIFS(L13,"一期",M13,"在读")+COUNTIFS(P13,"一期",Q13,"在读")</f>
        <v/>
      </c>
      <c r="AT13" s="281">
        <f>AS13-AX13</f>
        <v/>
      </c>
      <c r="AU13" s="366">
        <f>VLOOKUP(B13,'UV台帐'!B:AL,19,0)</f>
        <v/>
      </c>
      <c r="AV13" s="366">
        <f>VLOOKUP(B13,'UV台帐'!B:AL,28,0)</f>
        <v/>
      </c>
      <c r="AW13" s="366">
        <f>VLOOKUP(B13,'UV台帐'!B:AL,37,0)</f>
        <v/>
      </c>
      <c r="AX13" s="281">
        <f>COUNTIFS(H13,"一期",AU13,"是")+COUNTIFS(L13,"一期",AV13,"是")+COUNTIFS(P13,"一期",AW13,"是")</f>
        <v/>
      </c>
      <c r="AZ13" s="359" t="n"/>
      <c r="BA13" s="359" t="n"/>
    </row>
    <row r="14" ht="26.25" customFormat="1" customHeight="1" s="366">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inlineStr">
        <is>
          <t>何咏04</t>
        </is>
      </c>
      <c r="S14" s="281" t="n"/>
      <c r="T14" s="281" t="n"/>
      <c r="U14" s="119" t="inlineStr">
        <is>
          <t>肖锐03</t>
        </is>
      </c>
      <c r="V14" s="281" t="n"/>
      <c r="W14" s="7" t="inlineStr">
        <is>
          <t>陈南05</t>
        </is>
      </c>
      <c r="X14" s="127" t="n"/>
      <c r="Y14" s="281" t="inlineStr">
        <is>
          <t>何咏04</t>
        </is>
      </c>
      <c r="Z14" s="421" t="n"/>
      <c r="AA14" s="315" t="n"/>
      <c r="AB14" s="311" t="n"/>
      <c r="AC14" s="315" t="n"/>
      <c r="AD14" s="315" t="n"/>
      <c r="AE14" s="281" t="inlineStr">
        <is>
          <t>陈亮延</t>
        </is>
      </c>
      <c r="AF14" s="281">
        <f>VLOOKUP(B14,'UV台帐'!B:G,6,0)</f>
        <v/>
      </c>
      <c r="AG14" s="281" t="n"/>
      <c r="AH14" s="281" t="n"/>
      <c r="AI14" s="281" t="n"/>
      <c r="AJ14" s="426" t="n"/>
      <c r="AK14" s="426" t="n"/>
      <c r="AL14" s="366" t="n"/>
      <c r="AM14" s="366" t="n"/>
      <c r="AN14" s="366" t="n"/>
      <c r="AO14" s="366" t="n"/>
      <c r="AP14" s="350" t="n"/>
      <c r="AQ14" s="359" t="n"/>
      <c r="AR14" s="359" t="n"/>
      <c r="AS14" s="281">
        <f>COUNTIFS(H14,"一期",I14,"在读")+COUNTIFS(L14,"一期",M14,"在读")+COUNTIFS(P14,"一期",Q14,"在读")</f>
        <v/>
      </c>
      <c r="AT14" s="281">
        <f>AS14-AX14</f>
        <v/>
      </c>
      <c r="AU14" s="366">
        <f>VLOOKUP(B14,'UV台帐'!B:AL,19,0)</f>
        <v/>
      </c>
      <c r="AV14" s="366">
        <f>VLOOKUP(B14,'UV台帐'!B:AL,28,0)</f>
        <v/>
      </c>
      <c r="AW14" s="366">
        <f>VLOOKUP(B14,'UV台帐'!B:AL,37,0)</f>
        <v/>
      </c>
      <c r="AX14" s="281">
        <f>COUNTIFS(H14,"一期",AU14,"是")+COUNTIFS(L14,"一期",AV14,"是")+COUNTIFS(P14,"一期",AW14,"是")</f>
        <v/>
      </c>
      <c r="AZ14" s="359" t="n"/>
      <c r="BA14" s="359" t="n"/>
    </row>
    <row r="15" ht="26.25" customFormat="1" customHeight="1" s="366">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inlineStr">
        <is>
          <t>何咏04</t>
        </is>
      </c>
      <c r="S15" s="281" t="n"/>
      <c r="T15" s="281" t="n"/>
      <c r="U15" s="7" t="inlineStr">
        <is>
          <t>陈南05</t>
        </is>
      </c>
      <c r="V15" s="281" t="n"/>
      <c r="W15" s="119" t="inlineStr">
        <is>
          <t>肖锐03</t>
        </is>
      </c>
      <c r="X15" s="127" t="n"/>
      <c r="Y15" s="281" t="inlineStr">
        <is>
          <t>何咏04</t>
        </is>
      </c>
      <c r="Z15" s="7" t="n"/>
      <c r="AA15" s="119" t="n"/>
      <c r="AB15" s="311" t="n"/>
      <c r="AC15" s="119" t="n"/>
      <c r="AD15" s="119" t="n"/>
      <c r="AE15" s="281" t="inlineStr">
        <is>
          <t>张敏烨</t>
        </is>
      </c>
      <c r="AF15" s="281">
        <f>VLOOKUP(B15,'UV台帐'!B:G,6,0)</f>
        <v/>
      </c>
      <c r="AG15" s="281" t="n"/>
      <c r="AH15" s="281" t="n"/>
      <c r="AI15" s="281" t="n"/>
      <c r="AJ15" s="426" t="n"/>
      <c r="AK15" s="426" t="n"/>
      <c r="AL15" s="366" t="n"/>
      <c r="AM15" s="366" t="n"/>
      <c r="AN15" s="366" t="n"/>
      <c r="AO15" s="366" t="n"/>
      <c r="AP15" s="350" t="n"/>
      <c r="AQ15" s="359" t="n"/>
      <c r="AR15" s="359" t="n"/>
      <c r="AS15" s="281">
        <f>COUNTIFS(H15,"一期",I15,"在读")+COUNTIFS(L15,"一期",M15,"在读")+COUNTIFS(P15,"一期",Q15,"在读")</f>
        <v/>
      </c>
      <c r="AT15" s="281">
        <f>AS15-AX15</f>
        <v/>
      </c>
      <c r="AU15" s="366">
        <f>VLOOKUP(B15,'UV台帐'!B:AL,19,0)</f>
        <v/>
      </c>
      <c r="AV15" s="366">
        <f>VLOOKUP(B15,'UV台帐'!B:AL,28,0)</f>
        <v/>
      </c>
      <c r="AW15" s="366">
        <f>VLOOKUP(B15,'UV台帐'!B:AL,37,0)</f>
        <v/>
      </c>
      <c r="AX15" s="281">
        <f>COUNTIFS(H15,"一期",AU15,"是")+COUNTIFS(L15,"一期",AV15,"是")+COUNTIFS(P15,"一期",AW15,"是")</f>
        <v/>
      </c>
      <c r="AZ15" s="359" t="n"/>
      <c r="BA15" s="359" t="n"/>
    </row>
    <row r="16" ht="26.25" customFormat="1" customHeight="1" s="366">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81" t="inlineStr">
        <is>
          <t>何咏04</t>
        </is>
      </c>
      <c r="S16" s="281" t="n"/>
      <c r="T16" s="281" t="n"/>
      <c r="U16" s="7" t="inlineStr">
        <is>
          <t>陈南05</t>
        </is>
      </c>
      <c r="V16" s="281" t="n"/>
      <c r="W16" s="7" t="inlineStr">
        <is>
          <t>-</t>
        </is>
      </c>
      <c r="X16" s="127" t="n"/>
      <c r="Y16" s="7" t="inlineStr">
        <is>
          <t>-</t>
        </is>
      </c>
      <c r="Z16" s="7" t="n"/>
      <c r="AA16" s="315" t="n"/>
      <c r="AB16" s="311" t="n"/>
      <c r="AC16" s="315" t="n"/>
      <c r="AD16" s="315" t="n"/>
      <c r="AE16" s="281" t="inlineStr">
        <is>
          <t>张敏烨</t>
        </is>
      </c>
      <c r="AF16" s="281">
        <f>VLOOKUP(B16,'UV台帐'!B:G,6,0)</f>
        <v/>
      </c>
      <c r="AG16" s="281" t="n"/>
      <c r="AH16" s="281" t="n"/>
      <c r="AI16" s="281" t="n"/>
      <c r="AJ16" s="426" t="n"/>
      <c r="AK16" s="426" t="n"/>
      <c r="AL16" s="366" t="n"/>
      <c r="AM16" s="366" t="n"/>
      <c r="AN16" s="366" t="n"/>
      <c r="AO16" s="366" t="n"/>
      <c r="AP16" s="350" t="n"/>
      <c r="AQ16" s="359" t="n"/>
      <c r="AR16" s="359" t="n"/>
      <c r="AS16" s="281">
        <f>COUNTIFS(H16,"一期",I16,"在读")+COUNTIFS(L16,"一期",M16,"在读")+COUNTIFS(P16,"一期",Q16,"在读")</f>
        <v/>
      </c>
      <c r="AT16" s="281">
        <f>AS16-AX16</f>
        <v/>
      </c>
      <c r="AU16" s="366">
        <f>VLOOKUP(B16,'UV台帐'!B:AL,19,0)</f>
        <v/>
      </c>
      <c r="AV16" s="366">
        <f>VLOOKUP(B16,'UV台帐'!B:AL,28,0)</f>
        <v/>
      </c>
      <c r="AW16" s="366">
        <f>VLOOKUP(B16,'UV台帐'!B:AL,37,0)</f>
        <v/>
      </c>
      <c r="AX16" s="281">
        <f>COUNTIFS(H16,"一期",AU16,"是")+COUNTIFS(L16,"一期",AV16,"是")+COUNTIFS(P16,"一期",AW16,"是")</f>
        <v/>
      </c>
      <c r="AZ16" s="359" t="n"/>
      <c r="BA16" s="359" t="n"/>
    </row>
    <row r="17" ht="26.25" customFormat="1" customHeight="1" s="366">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n"/>
      <c r="T17" s="281" t="n"/>
      <c r="U17" s="7" t="inlineStr">
        <is>
          <t>陈南05</t>
        </is>
      </c>
      <c r="V17" s="281" t="n"/>
      <c r="W17" s="7" t="inlineStr">
        <is>
          <t>田雨涵01</t>
        </is>
      </c>
      <c r="X17" s="127" t="n"/>
      <c r="Y17" s="421" t="inlineStr">
        <is>
          <t>高心怡04</t>
        </is>
      </c>
      <c r="Z17" s="421" t="n"/>
      <c r="AA17" s="315" t="n"/>
      <c r="AB17" s="311" t="n"/>
      <c r="AC17" s="315" t="n"/>
      <c r="AD17" s="315" t="n"/>
      <c r="AE17" s="281" t="inlineStr">
        <is>
          <t>戎凯01</t>
        </is>
      </c>
      <c r="AF17" s="281">
        <f>VLOOKUP(B17,'UV台帐'!B:G,6,0)</f>
        <v/>
      </c>
      <c r="AG17" s="281" t="n"/>
      <c r="AH17" s="281" t="n"/>
      <c r="AI17" s="281" t="n"/>
      <c r="AJ17" s="426" t="n"/>
      <c r="AK17" s="426" t="n"/>
      <c r="AL17" s="366" t="n"/>
      <c r="AM17" s="366" t="n"/>
      <c r="AN17" s="366" t="n"/>
      <c r="AO17" s="366" t="n"/>
      <c r="AP17" s="350" t="n"/>
      <c r="AQ17" s="359" t="n"/>
      <c r="AR17" s="359" t="n"/>
      <c r="AS17" s="281">
        <f>COUNTIFS(H17,"一期",I17,"在读")+COUNTIFS(L17,"一期",M17,"在读")+COUNTIFS(P17,"一期",Q17,"在读")</f>
        <v/>
      </c>
      <c r="AT17" s="281">
        <f>AS17-AX17</f>
        <v/>
      </c>
      <c r="AU17" s="366">
        <f>VLOOKUP(B17,'UV台帐'!B:AL,19,0)</f>
        <v/>
      </c>
      <c r="AV17" s="366">
        <f>VLOOKUP(B17,'UV台帐'!B:AL,28,0)</f>
        <v/>
      </c>
      <c r="AW17" s="366">
        <f>VLOOKUP(B17,'UV台帐'!B:AL,37,0)</f>
        <v/>
      </c>
      <c r="AX17" s="281">
        <f>COUNTIFS(H17,"一期",AU17,"是")+COUNTIFS(L17,"一期",AV17,"是")+COUNTIFS(P17,"一期",AW17,"是")</f>
        <v/>
      </c>
      <c r="AZ17" s="359" t="n"/>
      <c r="BA17" s="359" t="n"/>
    </row>
    <row r="18" ht="26.25" customFormat="1" customHeight="1" s="366">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n"/>
      <c r="T18" s="281" t="n"/>
      <c r="U18" s="7" t="inlineStr">
        <is>
          <t>高心怡04</t>
        </is>
      </c>
      <c r="V18" s="281" t="n"/>
      <c r="W18" s="7" t="inlineStr">
        <is>
          <t>陈南05</t>
        </is>
      </c>
      <c r="X18" s="127" t="n"/>
      <c r="Y18" s="7" t="inlineStr">
        <is>
          <t>田雨涵01</t>
        </is>
      </c>
      <c r="Z18" s="7" t="n"/>
      <c r="AA18" s="315" t="n"/>
      <c r="AB18" s="311" t="n"/>
      <c r="AC18" s="315" t="n"/>
      <c r="AD18" s="315" t="n"/>
      <c r="AE18" s="281" t="inlineStr">
        <is>
          <t>苏丽婷</t>
        </is>
      </c>
      <c r="AF18" s="281">
        <f>VLOOKUP(B18,'UV台帐'!B:G,6,0)</f>
        <v/>
      </c>
      <c r="AG18" s="281" t="n"/>
      <c r="AH18" s="281" t="n"/>
      <c r="AI18" s="281" t="n"/>
      <c r="AJ18" s="426" t="n"/>
      <c r="AK18" s="426" t="n"/>
      <c r="AL18" s="366" t="n"/>
      <c r="AM18" s="366" t="n"/>
      <c r="AN18" s="366" t="n"/>
      <c r="AO18" s="366" t="n"/>
      <c r="AP18" s="350" t="n"/>
      <c r="AQ18" s="359" t="n"/>
      <c r="AR18" s="359" t="n"/>
      <c r="AS18" s="281">
        <f>COUNTIFS(H18,"一期",I18,"在读")+COUNTIFS(L18,"一期",M18,"在读")+COUNTIFS(P18,"一期",Q18,"在读")</f>
        <v/>
      </c>
      <c r="AT18" s="281">
        <f>AS18-AX18</f>
        <v/>
      </c>
      <c r="AU18" s="366">
        <f>VLOOKUP(B18,'UV台帐'!B:AL,19,0)</f>
        <v/>
      </c>
      <c r="AV18" s="366">
        <f>VLOOKUP(B18,'UV台帐'!B:AL,28,0)</f>
        <v/>
      </c>
      <c r="AW18" s="366">
        <f>VLOOKUP(B18,'UV台帐'!B:AL,37,0)</f>
        <v/>
      </c>
      <c r="AX18" s="281">
        <f>COUNTIFS(H18,"一期",AU18,"是")+COUNTIFS(L18,"一期",AV18,"是")+COUNTIFS(P18,"一期",AW18,"是")</f>
        <v/>
      </c>
      <c r="AZ18" s="359" t="n"/>
      <c r="BA18" s="359" t="n"/>
    </row>
    <row r="19" ht="26.25" customFormat="1" customHeight="1" s="366">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n"/>
      <c r="T19" s="281" t="n"/>
      <c r="U19" s="7" t="inlineStr">
        <is>
          <t>高心怡04</t>
        </is>
      </c>
      <c r="V19" s="281" t="n"/>
      <c r="W19" s="7" t="inlineStr">
        <is>
          <t>陈南05</t>
        </is>
      </c>
      <c r="X19" s="127" t="n"/>
      <c r="Y19" s="7" t="inlineStr">
        <is>
          <t>田雨涵01</t>
        </is>
      </c>
      <c r="Z19" s="7" t="n"/>
      <c r="AA19" s="315" t="n"/>
      <c r="AB19" s="311" t="n"/>
      <c r="AC19" s="315" t="n"/>
      <c r="AD19" s="315" t="n"/>
      <c r="AE19" s="281" t="inlineStr">
        <is>
          <t>苏丽婷</t>
        </is>
      </c>
      <c r="AF19" s="281">
        <f>VLOOKUP(B19,'UV台帐'!B:G,6,0)</f>
        <v/>
      </c>
      <c r="AG19" s="281" t="n"/>
      <c r="AH19" s="281" t="n"/>
      <c r="AI19" s="281" t="n"/>
      <c r="AJ19" s="426" t="n"/>
      <c r="AK19" s="426" t="n"/>
      <c r="AL19" s="366" t="n"/>
      <c r="AM19" s="366" t="n"/>
      <c r="AN19" s="366" t="n"/>
      <c r="AO19" s="366" t="n"/>
      <c r="AP19" s="350" t="n"/>
      <c r="AQ19" s="359" t="n"/>
      <c r="AR19" s="359" t="n"/>
      <c r="AS19" s="281">
        <f>COUNTIFS(H19,"一期",I19,"在读")+COUNTIFS(L19,"一期",M19,"在读")+COUNTIFS(P19,"一期",Q19,"在读")</f>
        <v/>
      </c>
      <c r="AT19" s="281">
        <f>AS19-AX19</f>
        <v/>
      </c>
      <c r="AU19" s="366">
        <f>VLOOKUP(B19,'UV台帐'!B:AL,19,0)</f>
        <v/>
      </c>
      <c r="AV19" s="366">
        <f>VLOOKUP(B19,'UV台帐'!B:AL,28,0)</f>
        <v/>
      </c>
      <c r="AW19" s="366">
        <f>VLOOKUP(B19,'UV台帐'!B:AL,37,0)</f>
        <v/>
      </c>
      <c r="AX19" s="281">
        <f>COUNTIFS(H19,"一期",AU19,"是")+COUNTIFS(L19,"一期",AV19,"是")+COUNTIFS(P19,"一期",AW19,"是")</f>
        <v/>
      </c>
      <c r="AZ19" s="359" t="n"/>
      <c r="BA19" s="359" t="n"/>
    </row>
    <row r="20" ht="26.25" customFormat="1" customHeight="1" s="366">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n"/>
      <c r="T20" s="281" t="n"/>
      <c r="U20" s="281" t="inlineStr">
        <is>
          <t>陈中帅</t>
        </is>
      </c>
      <c r="V20" s="281" t="n"/>
      <c r="W20" s="7" t="inlineStr">
        <is>
          <t>李润</t>
        </is>
      </c>
      <c r="X20" s="127" t="n"/>
      <c r="Y20" s="7" t="inlineStr">
        <is>
          <t>刘希子</t>
        </is>
      </c>
      <c r="Z20" s="7" t="n"/>
      <c r="AA20" s="315" t="n"/>
      <c r="AB20" s="311" t="n"/>
      <c r="AC20" s="315" t="n"/>
      <c r="AD20" s="315" t="n"/>
      <c r="AE20" s="281" t="inlineStr">
        <is>
          <t>沈思浩</t>
        </is>
      </c>
      <c r="AF20" s="281">
        <f>VLOOKUP(B20,'UV台帐'!B:G,6,0)</f>
        <v/>
      </c>
      <c r="AG20" s="281" t="n"/>
      <c r="AH20" s="281" t="n"/>
      <c r="AI20" s="281" t="n"/>
      <c r="AJ20" s="426" t="n"/>
      <c r="AK20" s="426" t="n"/>
      <c r="AL20" s="366" t="n"/>
      <c r="AM20" s="366" t="n"/>
      <c r="AN20" s="366" t="n"/>
      <c r="AO20" s="366" t="n"/>
      <c r="AP20" s="350" t="n"/>
      <c r="AQ20" s="359" t="n"/>
      <c r="AR20" s="359" t="n"/>
      <c r="AS20" s="281">
        <f>COUNTIFS(H20,"一期",I20,"在读")+COUNTIFS(L20,"一期",M20,"在读")+COUNTIFS(P20,"一期",Q20,"在读")</f>
        <v/>
      </c>
      <c r="AT20" s="281">
        <f>AS20-AX20</f>
        <v/>
      </c>
      <c r="AU20" s="366">
        <f>VLOOKUP(B20,'UV台帐'!B:AL,19,0)</f>
        <v/>
      </c>
      <c r="AV20" s="366">
        <f>VLOOKUP(B20,'UV台帐'!B:AL,28,0)</f>
        <v/>
      </c>
      <c r="AW20" s="366">
        <f>VLOOKUP(B20,'UV台帐'!B:AL,37,0)</f>
        <v/>
      </c>
      <c r="AX20" s="281">
        <f>COUNTIFS(H20,"一期",AU20,"是")+COUNTIFS(L20,"一期",AV20,"是")+COUNTIFS(P20,"一期",AW20,"是")</f>
        <v/>
      </c>
      <c r="AZ20" s="359" t="n"/>
      <c r="BA20" s="359" t="n"/>
    </row>
    <row r="21" ht="26.25" customFormat="1" customHeight="1" s="366">
      <c r="A21" s="281" t="inlineStr">
        <is>
          <t>新宝利</t>
        </is>
      </c>
      <c r="B21" s="281"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inlineStr">
        <is>
          <t>何咏04</t>
        </is>
      </c>
      <c r="S21" s="281" t="n"/>
      <c r="T21" s="281" t="n"/>
      <c r="U21" s="7" t="inlineStr">
        <is>
          <t>陈南05</t>
        </is>
      </c>
      <c r="V21" s="281" t="n"/>
      <c r="W21" s="119" t="inlineStr">
        <is>
          <t>肖锐03</t>
        </is>
      </c>
      <c r="X21" s="127" t="n"/>
      <c r="Y21" s="281" t="inlineStr">
        <is>
          <t>何咏04</t>
        </is>
      </c>
      <c r="Z21" s="7" t="n"/>
      <c r="AA21" s="315" t="n"/>
      <c r="AB21" s="311" t="n"/>
      <c r="AC21" s="315" t="n"/>
      <c r="AD21" s="315" t="n"/>
      <c r="AE21" s="281" t="inlineStr">
        <is>
          <t>林志豪01</t>
        </is>
      </c>
      <c r="AF21" s="281">
        <f>VLOOKUP(B21,'UV台帐'!B:G,6,0)</f>
        <v/>
      </c>
      <c r="AG21" s="281" t="n"/>
      <c r="AH21" s="281" t="n"/>
      <c r="AI21" s="281" t="n"/>
      <c r="AJ21" s="426" t="n"/>
      <c r="AK21" s="426" t="n"/>
      <c r="AL21" s="366" t="n"/>
      <c r="AM21" s="366" t="n"/>
      <c r="AN21" s="366" t="n"/>
      <c r="AO21" s="366" t="n"/>
      <c r="AP21" s="350" t="n"/>
      <c r="AQ21" s="359" t="n"/>
      <c r="AR21" s="359" t="n"/>
      <c r="AS21" s="281">
        <f>COUNTIFS(H21,"一期",I21,"在读")+COUNTIFS(L21,"一期",M21,"在读")+COUNTIFS(P21,"一期",Q21,"在读")</f>
        <v/>
      </c>
      <c r="AT21" s="281">
        <f>AS21-AX21</f>
        <v/>
      </c>
      <c r="AU21" s="366">
        <f>VLOOKUP(B21,'UV台帐'!B:AL,19,0)</f>
        <v/>
      </c>
      <c r="AV21" s="366">
        <f>VLOOKUP(B21,'UV台帐'!B:AL,28,0)</f>
        <v/>
      </c>
      <c r="AW21" s="366">
        <f>VLOOKUP(B21,'UV台帐'!B:AL,37,0)</f>
        <v/>
      </c>
      <c r="AX21" s="281">
        <f>COUNTIFS(H21,"一期",AU21,"是")+COUNTIFS(L21,"一期",AV21,"是")+COUNTIFS(P21,"一期",AW21,"是")</f>
        <v/>
      </c>
      <c r="AZ21" s="359" t="n"/>
      <c r="BA21" s="359" t="n"/>
    </row>
    <row r="22" ht="26.25" customFormat="1" customHeight="1" s="366">
      <c r="A22" s="281" t="inlineStr">
        <is>
          <t>同创汇</t>
        </is>
      </c>
      <c r="B22" s="281"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n"/>
      <c r="T22" s="281" t="n"/>
      <c r="U22" s="7" t="inlineStr">
        <is>
          <t>黄铭怡</t>
        </is>
      </c>
      <c r="V22" s="281" t="n"/>
      <c r="W22" s="7" t="inlineStr">
        <is>
          <t>高心怡04</t>
        </is>
      </c>
      <c r="X22" s="127" t="n"/>
      <c r="Y22" s="281" t="inlineStr">
        <is>
          <t>陈中帅</t>
        </is>
      </c>
      <c r="Z22" s="7" t="n"/>
      <c r="AA22" s="315" t="n"/>
      <c r="AB22" s="311" t="n"/>
      <c r="AC22" s="315" t="n"/>
      <c r="AD22" s="315" t="n"/>
      <c r="AE22" s="281" t="inlineStr">
        <is>
          <t>戎凯01</t>
        </is>
      </c>
      <c r="AF22" s="281">
        <f>VLOOKUP(B22,'UV台帐'!B:G,6,0)</f>
        <v/>
      </c>
      <c r="AG22" s="281" t="n"/>
      <c r="AH22" s="281" t="n"/>
      <c r="AI22" s="281" t="n"/>
      <c r="AJ22" s="426" t="n"/>
      <c r="AK22" s="426" t="n"/>
      <c r="AL22" s="366" t="n"/>
      <c r="AM22" s="366" t="n"/>
      <c r="AN22" s="366" t="n"/>
      <c r="AO22" s="366" t="n"/>
      <c r="AP22" s="350" t="n"/>
      <c r="AQ22" s="359" t="n"/>
      <c r="AR22" s="359" t="n"/>
      <c r="AS22" s="281">
        <f>COUNTIFS(H22,"一期",I22,"在读")+COUNTIFS(L22,"一期",M22,"在读")+COUNTIFS(P22,"一期",Q22,"在读")</f>
        <v/>
      </c>
      <c r="AT22" s="281">
        <f>AS22-AX22</f>
        <v/>
      </c>
      <c r="AU22" s="366">
        <f>VLOOKUP(B22,'UV台帐'!B:AL,19,0)</f>
        <v/>
      </c>
      <c r="AV22" s="366">
        <f>VLOOKUP(B22,'UV台帐'!B:AL,28,0)</f>
        <v/>
      </c>
      <c r="AW22" s="366">
        <f>VLOOKUP(B22,'UV台帐'!B:AL,37,0)</f>
        <v/>
      </c>
      <c r="AX22" s="281">
        <f>COUNTIFS(H22,"一期",AU22,"是")+COUNTIFS(L22,"一期",AV22,"是")+COUNTIFS(P22,"一期",AW22,"是")</f>
        <v/>
      </c>
      <c r="AZ22" s="359" t="n"/>
      <c r="BA22" s="359" t="n"/>
    </row>
    <row r="23" ht="26.25" customFormat="1" customHeight="1" s="366">
      <c r="A23" s="281" t="inlineStr">
        <is>
          <t>同创汇</t>
        </is>
      </c>
      <c r="B23" s="281"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n"/>
      <c r="T23" s="281" t="n"/>
      <c r="U23" s="7" t="inlineStr">
        <is>
          <t>黄铭怡</t>
        </is>
      </c>
      <c r="V23" s="281" t="n"/>
      <c r="W23" s="7" t="inlineStr">
        <is>
          <t>高心怡04</t>
        </is>
      </c>
      <c r="X23" s="127" t="n"/>
      <c r="Y23" s="281" t="inlineStr">
        <is>
          <t>陈中帅</t>
        </is>
      </c>
      <c r="Z23" s="7" t="n"/>
      <c r="AA23" s="315" t="n"/>
      <c r="AB23" s="311" t="n"/>
      <c r="AC23" s="315" t="n"/>
      <c r="AD23" s="315" t="n"/>
      <c r="AE23" s="281" t="inlineStr">
        <is>
          <t>戎凯01</t>
        </is>
      </c>
      <c r="AF23" s="281">
        <f>VLOOKUP(B23,'UV台帐'!B:G,6,0)</f>
        <v/>
      </c>
      <c r="AG23" s="281" t="n"/>
      <c r="AH23" s="281" t="n"/>
      <c r="AI23" s="281" t="n"/>
      <c r="AJ23" s="426" t="n"/>
      <c r="AK23" s="426" t="n"/>
      <c r="AL23" s="366" t="n"/>
      <c r="AM23" s="366" t="n"/>
      <c r="AN23" s="366" t="n"/>
      <c r="AO23" s="366" t="n"/>
      <c r="AP23" s="350" t="n"/>
      <c r="AQ23" s="359" t="n"/>
      <c r="AR23" s="359" t="n"/>
      <c r="AS23" s="281">
        <f>COUNTIFS(H23,"一期",I23,"在读")+COUNTIFS(L23,"一期",M23,"在读")+COUNTIFS(P23,"一期",Q23,"在读")</f>
        <v/>
      </c>
      <c r="AT23" s="281">
        <f>AS23-AX23</f>
        <v/>
      </c>
      <c r="AU23" s="366">
        <f>VLOOKUP(B23,'UV台帐'!B:AL,19,0)</f>
        <v/>
      </c>
      <c r="AV23" s="366">
        <f>VLOOKUP(B23,'UV台帐'!B:AL,28,0)</f>
        <v/>
      </c>
      <c r="AW23" s="366">
        <f>VLOOKUP(B23,'UV台帐'!B:AL,37,0)</f>
        <v/>
      </c>
      <c r="AX23" s="281">
        <f>COUNTIFS(H23,"一期",AU23,"是")+COUNTIFS(L23,"一期",AV23,"是")+COUNTIFS(P23,"一期",AW23,"是")</f>
        <v/>
      </c>
      <c r="AZ23" s="359" t="n"/>
      <c r="BA23" s="359" t="n"/>
    </row>
    <row r="24" ht="26.25" customFormat="1" customHeight="1" s="366">
      <c r="A24" s="281" t="inlineStr">
        <is>
          <t>同创汇</t>
        </is>
      </c>
      <c r="B24" s="281"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n"/>
      <c r="T24" s="281" t="n"/>
      <c r="U24" s="7" t="inlineStr">
        <is>
          <t>黄铭怡</t>
        </is>
      </c>
      <c r="V24" s="7" t="n"/>
      <c r="W24" s="7" t="inlineStr">
        <is>
          <t>高心怡04</t>
        </is>
      </c>
      <c r="X24" s="127" t="n"/>
      <c r="Y24" s="281" t="inlineStr">
        <is>
          <t>陈中帅</t>
        </is>
      </c>
      <c r="Z24" s="119" t="n"/>
      <c r="AA24" s="315" t="n"/>
      <c r="AB24" s="339" t="n"/>
      <c r="AC24" s="315" t="n"/>
      <c r="AD24" s="315" t="n"/>
      <c r="AE24" s="281" t="inlineStr">
        <is>
          <t>戎凯01</t>
        </is>
      </c>
      <c r="AF24" s="281">
        <f>VLOOKUP(B24,'UV台帐'!B:G,6,0)</f>
        <v/>
      </c>
      <c r="AG24" s="281" t="n"/>
      <c r="AH24" s="281" t="n"/>
      <c r="AI24" s="281" t="n"/>
      <c r="AJ24" s="426" t="n"/>
      <c r="AK24" s="426" t="n"/>
      <c r="AL24" s="366" t="n"/>
      <c r="AM24" s="366" t="n"/>
      <c r="AN24" s="366" t="n"/>
      <c r="AO24" s="366" t="n"/>
      <c r="AP24" s="350" t="n"/>
      <c r="AQ24" s="359" t="n"/>
      <c r="AR24" s="359" t="n"/>
      <c r="AS24" s="281">
        <f>COUNTIFS(H24,"一期",I24,"在读")+COUNTIFS(L24,"一期",M24,"在读")+COUNTIFS(P24,"一期",Q24,"在读")</f>
        <v/>
      </c>
      <c r="AT24" s="281">
        <f>AS24-AX24</f>
        <v/>
      </c>
      <c r="AU24" s="366">
        <f>VLOOKUP(B24,'UV台帐'!B:AL,19,0)</f>
        <v/>
      </c>
      <c r="AV24" s="366">
        <f>VLOOKUP(B24,'UV台帐'!B:AL,28,0)</f>
        <v/>
      </c>
      <c r="AW24" s="366">
        <f>VLOOKUP(B24,'UV台帐'!B:AL,37,0)</f>
        <v/>
      </c>
      <c r="AX24" s="281">
        <f>COUNTIFS(H24,"一期",AU24,"是")+COUNTIFS(L24,"一期",AV24,"是")+COUNTIFS(P24,"一期",AW24,"是")</f>
        <v/>
      </c>
      <c r="AZ24" s="359" t="n"/>
      <c r="BA24" s="359" t="n"/>
    </row>
    <row r="25" ht="26.25" customFormat="1" customHeight="1" s="366">
      <c r="A25" s="281" t="inlineStr">
        <is>
          <t>同创汇</t>
        </is>
      </c>
      <c r="B25" s="281"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81" t="n"/>
      <c r="S25" s="281" t="n"/>
      <c r="T25" s="281" t="n"/>
      <c r="U25" s="7" t="inlineStr">
        <is>
          <t>田雨涵01</t>
        </is>
      </c>
      <c r="V25" s="281" t="n"/>
      <c r="W25" s="7" t="inlineStr">
        <is>
          <t>高心怡04</t>
        </is>
      </c>
      <c r="X25" s="127" t="n"/>
      <c r="Y25" s="7" t="inlineStr">
        <is>
          <t>-</t>
        </is>
      </c>
      <c r="Z25" s="7" t="n"/>
      <c r="AA25" s="119" t="n"/>
      <c r="AB25" s="311" t="n"/>
      <c r="AC25" s="119" t="n"/>
      <c r="AD25" s="119" t="n"/>
      <c r="AE25" s="281" t="inlineStr">
        <is>
          <t>王丽</t>
        </is>
      </c>
      <c r="AF25" s="281">
        <f>VLOOKUP(B25,'UV台帐'!B:G,6,0)</f>
        <v/>
      </c>
      <c r="AG25" s="281" t="n"/>
      <c r="AH25" s="281" t="n"/>
      <c r="AI25" s="281" t="n"/>
      <c r="AJ25" s="426" t="n"/>
      <c r="AK25" s="426" t="n"/>
      <c r="AL25" s="366" t="n"/>
      <c r="AM25" s="366" t="n"/>
      <c r="AN25" s="366" t="n"/>
      <c r="AO25" s="366" t="n"/>
      <c r="AP25" s="350" t="n"/>
      <c r="AQ25" s="359" t="n"/>
      <c r="AR25" s="359" t="n"/>
      <c r="AS25" s="281">
        <f>COUNTIFS(H25,"一期",I25,"在读")+COUNTIFS(L25,"一期",M25,"在读")+COUNTIFS(P25,"一期",Q25,"在读")</f>
        <v/>
      </c>
      <c r="AT25" s="281">
        <f>AS25-AX25</f>
        <v/>
      </c>
      <c r="AU25" s="366">
        <f>VLOOKUP(B25,'UV台帐'!B:AL,19,0)</f>
        <v/>
      </c>
      <c r="AV25" s="366">
        <f>VLOOKUP(B25,'UV台帐'!B:AL,28,0)</f>
        <v/>
      </c>
      <c r="AW25" s="366">
        <f>VLOOKUP(B25,'UV台帐'!B:AL,37,0)</f>
        <v/>
      </c>
      <c r="AX25" s="281">
        <f>COUNTIFS(H25,"一期",AU25,"是")+COUNTIFS(L25,"一期",AV25,"是")+COUNTIFS(P25,"一期",AW25,"是")</f>
        <v/>
      </c>
      <c r="AZ25" s="359" t="n"/>
      <c r="BA25" s="359" t="n"/>
    </row>
    <row r="26" ht="26.25" customFormat="1" customHeight="1" s="366">
      <c r="A26" s="281" t="inlineStr">
        <is>
          <t>新宝利</t>
        </is>
      </c>
      <c r="B26" s="281"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inlineStr">
        <is>
          <t>何咏04</t>
        </is>
      </c>
      <c r="S26" s="281" t="n"/>
      <c r="T26" s="281" t="n"/>
      <c r="U26" s="119" t="inlineStr">
        <is>
          <t>肖锐03</t>
        </is>
      </c>
      <c r="V26" s="421" t="n"/>
      <c r="W26" s="7" t="inlineStr">
        <is>
          <t>陈南05</t>
        </is>
      </c>
      <c r="X26" s="127" t="n"/>
      <c r="Y26" s="281" t="inlineStr">
        <is>
          <t>何咏04</t>
        </is>
      </c>
      <c r="Z26" s="421" t="n"/>
      <c r="AA26" s="315" t="n"/>
      <c r="AB26" s="311" t="n"/>
      <c r="AC26" s="315" t="n"/>
      <c r="AD26" s="315" t="n"/>
      <c r="AE26" s="281" t="inlineStr">
        <is>
          <t>林志豪01</t>
        </is>
      </c>
      <c r="AF26" s="281">
        <f>VLOOKUP(B26,'UV台帐'!B:G,6,0)</f>
        <v/>
      </c>
      <c r="AG26" s="281" t="n"/>
      <c r="AH26" s="281" t="n"/>
      <c r="AI26" s="281" t="n"/>
      <c r="AJ26" s="426" t="n"/>
      <c r="AK26" s="426" t="n"/>
      <c r="AL26" s="366" t="n"/>
      <c r="AM26" s="366" t="n"/>
      <c r="AN26" s="366" t="n"/>
      <c r="AO26" s="366" t="n"/>
      <c r="AP26" s="350" t="n"/>
      <c r="AQ26" s="359" t="n"/>
      <c r="AR26" s="359" t="n"/>
      <c r="AS26" s="281">
        <f>COUNTIFS(H26,"一期",I26,"在读")+COUNTIFS(L26,"一期",M26,"在读")+COUNTIFS(P26,"一期",Q26,"在读")</f>
        <v/>
      </c>
      <c r="AT26" s="281">
        <f>AS26-AX26</f>
        <v/>
      </c>
      <c r="AU26" s="366">
        <f>VLOOKUP(B26,'UV台帐'!B:AL,19,0)</f>
        <v/>
      </c>
      <c r="AV26" s="366">
        <f>VLOOKUP(B26,'UV台帐'!B:AL,28,0)</f>
        <v/>
      </c>
      <c r="AW26" s="366">
        <f>VLOOKUP(B26,'UV台帐'!B:AL,37,0)</f>
        <v/>
      </c>
      <c r="AX26" s="281">
        <f>COUNTIFS(H26,"一期",AU26,"是")+COUNTIFS(L26,"一期",AV26,"是")+COUNTIFS(P26,"一期",AW26,"是")</f>
        <v/>
      </c>
      <c r="AZ26" s="359" t="n"/>
      <c r="BA26" s="359" t="n"/>
    </row>
    <row r="27" ht="26.25" customFormat="1" customHeight="1" s="366">
      <c r="A27" s="281" t="inlineStr">
        <is>
          <t>同创汇</t>
        </is>
      </c>
      <c r="B27" s="281"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n"/>
      <c r="T27" s="281" t="n"/>
      <c r="U27" s="7" t="inlineStr">
        <is>
          <t>田雨涵01</t>
        </is>
      </c>
      <c r="V27" s="421" t="n"/>
      <c r="W27" s="7" t="inlineStr">
        <is>
          <t>高心怡04</t>
        </is>
      </c>
      <c r="X27" s="127" t="n"/>
      <c r="Y27" s="7" t="inlineStr">
        <is>
          <t>陈南05</t>
        </is>
      </c>
      <c r="Z27" s="7" t="n"/>
      <c r="AA27" s="315" t="n"/>
      <c r="AB27" s="311" t="n"/>
      <c r="AC27" s="315" t="n"/>
      <c r="AD27" s="315" t="n"/>
      <c r="AE27" s="281" t="inlineStr">
        <is>
          <t>戎凯01</t>
        </is>
      </c>
      <c r="AF27" s="281">
        <f>VLOOKUP(B27,'UV台帐'!B:G,6,0)</f>
        <v/>
      </c>
      <c r="AG27" s="281" t="n"/>
      <c r="AH27" s="281" t="n"/>
      <c r="AI27" s="281" t="n"/>
      <c r="AJ27" s="426" t="n"/>
      <c r="AK27" s="426" t="n"/>
      <c r="AL27" s="366" t="n"/>
      <c r="AM27" s="366" t="n"/>
      <c r="AN27" s="366" t="n"/>
      <c r="AO27" s="366" t="n"/>
      <c r="AP27" s="350" t="n"/>
      <c r="AQ27" s="359" t="n"/>
      <c r="AR27" s="359" t="n"/>
      <c r="AS27" s="281">
        <f>COUNTIFS(H27,"一期",I27,"在读")+COUNTIFS(L27,"一期",M27,"在读")+COUNTIFS(P27,"一期",Q27,"在读")</f>
        <v/>
      </c>
      <c r="AT27" s="281">
        <f>AS27-AX27</f>
        <v/>
      </c>
      <c r="AU27" s="366">
        <f>VLOOKUP(B27,'UV台帐'!B:AL,19,0)</f>
        <v/>
      </c>
      <c r="AV27" s="366">
        <f>VLOOKUP(B27,'UV台帐'!B:AL,28,0)</f>
        <v/>
      </c>
      <c r="AW27" s="366">
        <f>VLOOKUP(B27,'UV台帐'!B:AL,37,0)</f>
        <v/>
      </c>
      <c r="AX27" s="281">
        <f>COUNTIFS(H27,"一期",AU27,"是")+COUNTIFS(L27,"一期",AV27,"是")+COUNTIFS(P27,"一期",AW27,"是")</f>
        <v/>
      </c>
      <c r="AZ27" s="359" t="n"/>
      <c r="BA27" s="359" t="n"/>
    </row>
    <row r="28" ht="26.25" customFormat="1" customHeight="1" s="366">
      <c r="A28" s="281" t="inlineStr">
        <is>
          <t>新宝利</t>
        </is>
      </c>
      <c r="B28" s="281"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inlineStr">
        <is>
          <t>何咏04</t>
        </is>
      </c>
      <c r="S28" s="281" t="n"/>
      <c r="T28" s="281" t="n"/>
      <c r="U28" s="119" t="inlineStr">
        <is>
          <t>肖锐03</t>
        </is>
      </c>
      <c r="V28" s="421" t="n"/>
      <c r="W28" s="119" t="inlineStr">
        <is>
          <t>陈南05</t>
        </is>
      </c>
      <c r="X28" s="127" t="n"/>
      <c r="Y28" s="281" t="inlineStr">
        <is>
          <t>何咏04</t>
        </is>
      </c>
      <c r="Z28" s="7" t="n"/>
      <c r="AA28" s="119" t="n"/>
      <c r="AB28" s="311" t="n"/>
      <c r="AC28" s="119" t="n"/>
      <c r="AD28" s="119" t="n"/>
      <c r="AE28" s="281" t="inlineStr">
        <is>
          <t>林志豪01</t>
        </is>
      </c>
      <c r="AF28" s="281">
        <f>VLOOKUP(B28,'UV台帐'!B:G,6,0)</f>
        <v/>
      </c>
      <c r="AG28" s="281" t="n"/>
      <c r="AH28" s="281" t="n"/>
      <c r="AI28" s="281" t="n"/>
      <c r="AJ28" s="426" t="n"/>
      <c r="AK28" s="426" t="n"/>
      <c r="AL28" s="366" t="n"/>
      <c r="AM28" s="366" t="n"/>
      <c r="AN28" s="366" t="n"/>
      <c r="AO28" s="366" t="n"/>
      <c r="AP28" s="350" t="n"/>
      <c r="AQ28" s="359" t="n"/>
      <c r="AR28" s="359" t="n"/>
      <c r="AS28" s="281">
        <f>COUNTIFS(H28,"一期",I28,"在读")+COUNTIFS(L28,"一期",M28,"在读")+COUNTIFS(P28,"一期",Q28,"在读")</f>
        <v/>
      </c>
      <c r="AT28" s="281">
        <f>AS28-AX28</f>
        <v/>
      </c>
      <c r="AU28" s="366">
        <f>VLOOKUP(B28,'UV台帐'!B:AL,19,0)</f>
        <v/>
      </c>
      <c r="AV28" s="366">
        <f>VLOOKUP(B28,'UV台帐'!B:AL,28,0)</f>
        <v/>
      </c>
      <c r="AW28" s="366">
        <f>VLOOKUP(B28,'UV台帐'!B:AL,37,0)</f>
        <v/>
      </c>
      <c r="AX28" s="281">
        <f>COUNTIFS(H28,"一期",AU28,"是")+COUNTIFS(L28,"一期",AV28,"是")+COUNTIFS(P28,"一期",AW28,"是")</f>
        <v/>
      </c>
      <c r="AZ28" s="359" t="n"/>
      <c r="BA28" s="359" t="n"/>
    </row>
    <row r="29" ht="26.25" customFormat="1" customHeight="1" s="366">
      <c r="A29" s="281" t="inlineStr">
        <is>
          <t>新宝利</t>
        </is>
      </c>
      <c r="B29" s="281"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81" t="n"/>
      <c r="S29" s="281" t="n"/>
      <c r="T29" s="281" t="n"/>
      <c r="U29" s="7" t="inlineStr">
        <is>
          <t>李润</t>
        </is>
      </c>
      <c r="V29" s="421" t="n"/>
      <c r="W29" s="7" t="inlineStr">
        <is>
          <t>-</t>
        </is>
      </c>
      <c r="X29" s="127" t="n"/>
      <c r="Y29" s="7" t="inlineStr">
        <is>
          <t>-</t>
        </is>
      </c>
      <c r="Z29" s="7" t="n"/>
      <c r="AA29" s="315" t="n"/>
      <c r="AB29" s="311" t="n"/>
      <c r="AC29" s="315" t="n"/>
      <c r="AD29" s="315" t="n"/>
      <c r="AE29" s="281" t="inlineStr">
        <is>
          <t>张敏烨</t>
        </is>
      </c>
      <c r="AF29" s="281">
        <f>VLOOKUP(B29,'UV台帐'!B:G,6,0)</f>
        <v/>
      </c>
      <c r="AG29" s="281" t="n"/>
      <c r="AH29" s="281" t="n"/>
      <c r="AI29" s="281" t="n"/>
      <c r="AJ29" s="426" t="n"/>
      <c r="AK29" s="426" t="n"/>
      <c r="AL29" s="366" t="n"/>
      <c r="AM29" s="366" t="n"/>
      <c r="AN29" s="366" t="n"/>
      <c r="AO29" s="366" t="n"/>
      <c r="AP29" s="350" t="n"/>
      <c r="AQ29" s="359" t="n"/>
      <c r="AR29" s="359" t="n"/>
      <c r="AS29" s="281">
        <f>COUNTIFS(H29,"一期",I29,"在读")+COUNTIFS(L29,"一期",M29,"在读")+COUNTIFS(P29,"一期",Q29,"在读")</f>
        <v/>
      </c>
      <c r="AT29" s="281">
        <f>AS29-AX29</f>
        <v/>
      </c>
      <c r="AU29" s="366">
        <f>VLOOKUP(B29,'UV台帐'!B:AL,19,0)</f>
        <v/>
      </c>
      <c r="AV29" s="366">
        <f>VLOOKUP(B29,'UV台帐'!B:AL,28,0)</f>
        <v/>
      </c>
      <c r="AW29" s="366">
        <f>VLOOKUP(B29,'UV台帐'!B:AL,37,0)</f>
        <v/>
      </c>
      <c r="AX29" s="281">
        <f>COUNTIFS(H29,"一期",AU29,"是")+COUNTIFS(L29,"一期",AV29,"是")+COUNTIFS(P29,"一期",AW29,"是")</f>
        <v/>
      </c>
      <c r="AZ29" s="359" t="n"/>
      <c r="BA29" s="359" t="n"/>
    </row>
    <row r="30" ht="26.25" customFormat="1" customHeight="1" s="366">
      <c r="A30" s="281" t="inlineStr">
        <is>
          <t>同创汇</t>
        </is>
      </c>
      <c r="B30" s="281"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n"/>
      <c r="T30" s="281" t="n"/>
      <c r="U30" s="7" t="inlineStr">
        <is>
          <t>田雨涵01</t>
        </is>
      </c>
      <c r="V30" s="7" t="n"/>
      <c r="W30" s="119" t="inlineStr">
        <is>
          <t>高心怡04</t>
        </is>
      </c>
      <c r="X30" s="127" t="n"/>
      <c r="Y30" s="7" t="inlineStr">
        <is>
          <t>陈南05</t>
        </is>
      </c>
      <c r="Z30" s="119" t="n"/>
      <c r="AA30" s="315" t="n"/>
      <c r="AB30" s="281" t="n"/>
      <c r="AC30" s="315" t="n"/>
      <c r="AD30" s="315" t="n"/>
      <c r="AE30" s="281" t="inlineStr">
        <is>
          <t>王丽</t>
        </is>
      </c>
      <c r="AF30" s="281">
        <f>VLOOKUP(B30,'UV台帐'!B:G,6,0)</f>
        <v/>
      </c>
      <c r="AG30" s="281" t="n"/>
      <c r="AH30" s="281" t="n"/>
      <c r="AI30" s="281" t="n"/>
      <c r="AJ30" s="426" t="n"/>
      <c r="AK30" s="426" t="n"/>
      <c r="AL30" s="366" t="n"/>
      <c r="AM30" s="366" t="n"/>
      <c r="AN30" s="366" t="n"/>
      <c r="AO30" s="366" t="n"/>
      <c r="AP30" s="350" t="n"/>
      <c r="AQ30" s="359" t="n"/>
      <c r="AR30" s="359" t="n"/>
      <c r="AS30" s="281">
        <f>COUNTIFS(H30,"一期",I30,"在读")+COUNTIFS(L30,"一期",M30,"在读")+COUNTIFS(P30,"一期",Q30,"在读")</f>
        <v/>
      </c>
      <c r="AT30" s="281">
        <f>AS30-AX30</f>
        <v/>
      </c>
      <c r="AU30" s="366">
        <f>VLOOKUP(B30,'UV台帐'!B:AL,19,0)</f>
        <v/>
      </c>
      <c r="AV30" s="366">
        <f>VLOOKUP(B30,'UV台帐'!B:AL,28,0)</f>
        <v/>
      </c>
      <c r="AW30" s="366">
        <f>VLOOKUP(B30,'UV台帐'!B:AL,37,0)</f>
        <v/>
      </c>
      <c r="AX30" s="281">
        <f>COUNTIFS(H30,"一期",AU30,"是")+COUNTIFS(L30,"一期",AV30,"是")+COUNTIFS(P30,"一期",AW30,"是")</f>
        <v/>
      </c>
      <c r="AZ30" s="359" t="n"/>
      <c r="BA30" s="359" t="n"/>
    </row>
    <row r="31" ht="26.25" customFormat="1" customHeight="1" s="366">
      <c r="A31" s="281" t="inlineStr">
        <is>
          <t>同创汇</t>
        </is>
      </c>
      <c r="B31" s="281"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81" t="n"/>
      <c r="S31" s="281" t="n"/>
      <c r="T31" s="281" t="n"/>
      <c r="U31" s="7" t="inlineStr">
        <is>
          <t>高心怡04</t>
        </is>
      </c>
      <c r="V31" s="421" t="n"/>
      <c r="W31" s="281" t="inlineStr">
        <is>
          <t>陈中帅</t>
        </is>
      </c>
      <c r="X31" s="127" t="n"/>
      <c r="Y31" s="7" t="inlineStr">
        <is>
          <t>-</t>
        </is>
      </c>
      <c r="Z31" s="7" t="n"/>
      <c r="AA31" s="315" t="n"/>
      <c r="AB31" s="281" t="n"/>
      <c r="AC31" s="315" t="n"/>
      <c r="AD31" s="315" t="n"/>
      <c r="AE31" s="281" t="inlineStr">
        <is>
          <t>苏丽婷</t>
        </is>
      </c>
      <c r="AF31" s="281">
        <f>VLOOKUP(B31,'UV台帐'!B:G,6,0)</f>
        <v/>
      </c>
      <c r="AG31" s="281" t="n"/>
      <c r="AH31" s="281" t="n"/>
      <c r="AI31" s="281" t="n"/>
      <c r="AJ31" s="426" t="n"/>
      <c r="AK31" s="426" t="n"/>
      <c r="AL31" s="366" t="n"/>
      <c r="AM31" s="366" t="n"/>
      <c r="AN31" s="366" t="n"/>
      <c r="AO31" s="366" t="n"/>
      <c r="AP31" s="350" t="n"/>
      <c r="AQ31" s="359" t="n"/>
      <c r="AR31" s="359" t="n"/>
      <c r="AS31" s="281">
        <f>COUNTIFS(H31,"一期",I31,"在读")+COUNTIFS(L31,"一期",M31,"在读")+COUNTIFS(P31,"一期",Q31,"在读")</f>
        <v/>
      </c>
      <c r="AT31" s="281">
        <f>AS31-AX31</f>
        <v/>
      </c>
      <c r="AU31" s="366">
        <f>VLOOKUP(B31,'UV台帐'!B:AL,19,0)</f>
        <v/>
      </c>
      <c r="AV31" s="366">
        <f>VLOOKUP(B31,'UV台帐'!B:AL,28,0)</f>
        <v/>
      </c>
      <c r="AW31" s="366">
        <f>VLOOKUP(B31,'UV台帐'!B:AL,37,0)</f>
        <v/>
      </c>
      <c r="AX31" s="281">
        <f>COUNTIFS(H31,"一期",AU31,"是")+COUNTIFS(L31,"一期",AV31,"是")+COUNTIFS(P31,"一期",AW31,"是")</f>
        <v/>
      </c>
      <c r="AZ31" s="359" t="n"/>
      <c r="BA31" s="359" t="n"/>
    </row>
    <row r="32" ht="26.25" customFormat="1" customHeight="1" s="366">
      <c r="A32" s="281" t="inlineStr">
        <is>
          <t>新宝利</t>
        </is>
      </c>
      <c r="B32" s="281"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81" t="inlineStr">
        <is>
          <t>何咏04</t>
        </is>
      </c>
      <c r="S32" s="281" t="n"/>
      <c r="T32" s="281" t="n"/>
      <c r="U32" s="281" t="inlineStr">
        <is>
          <t>何咏04</t>
        </is>
      </c>
      <c r="V32" s="421" t="n"/>
      <c r="W32" s="7" t="inlineStr">
        <is>
          <t>李润</t>
        </is>
      </c>
      <c r="X32" s="127" t="n"/>
      <c r="Y32" s="7" t="inlineStr">
        <is>
          <t>-</t>
        </is>
      </c>
      <c r="Z32" s="421" t="n"/>
      <c r="AA32" s="281" t="n"/>
      <c r="AB32" s="281" t="n"/>
      <c r="AC32" s="281" t="n"/>
      <c r="AD32" s="281" t="n"/>
      <c r="AE32" s="281" t="inlineStr">
        <is>
          <t>沈思浩</t>
        </is>
      </c>
      <c r="AF32" s="281">
        <f>VLOOKUP(B32,'UV台帐'!B:G,6,0)</f>
        <v/>
      </c>
      <c r="AG32" s="281" t="n"/>
      <c r="AH32" s="281" t="n"/>
      <c r="AI32" s="281" t="n"/>
      <c r="AJ32" s="426" t="n"/>
      <c r="AK32" s="426" t="n"/>
      <c r="AL32" s="366" t="n"/>
      <c r="AM32" s="366" t="n"/>
      <c r="AN32" s="366" t="n"/>
      <c r="AO32" s="366" t="n"/>
      <c r="AP32" s="350" t="n"/>
      <c r="AQ32" s="359" t="n"/>
      <c r="AR32" s="359" t="n"/>
      <c r="AS32" s="281">
        <f>COUNTIFS(H32,"一期",I32,"在读")+COUNTIFS(L32,"一期",M32,"在读")+COUNTIFS(P32,"一期",Q32,"在读")</f>
        <v/>
      </c>
      <c r="AT32" s="281">
        <f>AS32-AX32</f>
        <v/>
      </c>
      <c r="AU32" s="366">
        <f>VLOOKUP(B32,'UV台帐'!B:AL,19,0)</f>
        <v/>
      </c>
      <c r="AV32" s="366">
        <f>VLOOKUP(B32,'UV台帐'!B:AL,28,0)</f>
        <v/>
      </c>
      <c r="AW32" s="366">
        <f>VLOOKUP(B32,'UV台帐'!B:AL,37,0)</f>
        <v/>
      </c>
      <c r="AX32" s="281">
        <f>COUNTIFS(H32,"一期",AU32,"是")+COUNTIFS(L32,"一期",AV32,"是")+COUNTIFS(P32,"一期",AW32,"是")</f>
        <v/>
      </c>
      <c r="AZ32" s="359" t="n"/>
      <c r="BA32" s="359" t="n"/>
    </row>
    <row r="33" ht="26.25" customFormat="1" customHeight="1" s="366">
      <c r="A33" s="281" t="inlineStr">
        <is>
          <t>新宝利</t>
        </is>
      </c>
      <c r="B33" s="281"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81" t="n"/>
      <c r="S33" s="281" t="n"/>
      <c r="T33" s="281" t="n"/>
      <c r="U33" s="421" t="inlineStr">
        <is>
          <t>李润</t>
        </is>
      </c>
      <c r="V33" s="7" t="n"/>
      <c r="W33" s="7" t="inlineStr">
        <is>
          <t>-</t>
        </is>
      </c>
      <c r="X33" s="127" t="n"/>
      <c r="Y33" s="281" t="inlineStr">
        <is>
          <t>-</t>
        </is>
      </c>
      <c r="Z33" s="7" t="n"/>
      <c r="AA33" s="315" t="n"/>
      <c r="AB33" s="281" t="n"/>
      <c r="AC33" s="315" t="n"/>
      <c r="AD33" s="315" t="n"/>
      <c r="AE33" s="281" t="inlineStr">
        <is>
          <t>张敏烨</t>
        </is>
      </c>
      <c r="AF33" s="281">
        <f>VLOOKUP(B33,'UV台帐'!B:G,6,0)</f>
        <v/>
      </c>
      <c r="AG33" s="281" t="n"/>
      <c r="AH33" s="281" t="n"/>
      <c r="AI33" s="281" t="n"/>
      <c r="AJ33" s="426" t="n"/>
      <c r="AK33" s="426" t="n"/>
      <c r="AL33" s="366" t="n"/>
      <c r="AM33" s="366" t="n"/>
      <c r="AN33" s="366" t="n"/>
      <c r="AO33" s="366" t="n"/>
      <c r="AP33" s="350" t="n"/>
      <c r="AQ33" s="359" t="n"/>
      <c r="AR33" s="359" t="n"/>
      <c r="AS33" s="281">
        <f>COUNTIFS(H33,"一期",I33,"在读")+COUNTIFS(L33,"一期",M33,"在读")+COUNTIFS(P33,"一期",Q33,"在读")</f>
        <v/>
      </c>
      <c r="AT33" s="281">
        <f>AS33-AX33</f>
        <v/>
      </c>
      <c r="AU33" s="366">
        <f>VLOOKUP(B33,'UV台帐'!B:AL,19,0)</f>
        <v/>
      </c>
      <c r="AV33" s="366">
        <f>VLOOKUP(B33,'UV台帐'!B:AL,28,0)</f>
        <v/>
      </c>
      <c r="AW33" s="366">
        <f>VLOOKUP(B33,'UV台帐'!B:AL,37,0)</f>
        <v/>
      </c>
      <c r="AX33" s="281">
        <f>COUNTIFS(H33,"一期",AU33,"是")+COUNTIFS(L33,"一期",AV33,"是")+COUNTIFS(P33,"一期",AW33,"是")</f>
        <v/>
      </c>
      <c r="AZ33" s="359" t="n"/>
      <c r="BA33" s="359" t="n"/>
    </row>
    <row r="34" ht="26.25" customFormat="1" customHeight="1" s="366">
      <c r="A34" s="281" t="inlineStr">
        <is>
          <t>新宝利</t>
        </is>
      </c>
      <c r="B34" s="281"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81" t="n"/>
      <c r="S34" s="281" t="n"/>
      <c r="T34" s="281" t="n"/>
      <c r="U34" s="421" t="inlineStr">
        <is>
          <t>李润</t>
        </is>
      </c>
      <c r="V34" s="421" t="n"/>
      <c r="W34" s="7" t="inlineStr">
        <is>
          <t>-</t>
        </is>
      </c>
      <c r="X34" s="127" t="n"/>
      <c r="Y34" s="281" t="inlineStr">
        <is>
          <t>-</t>
        </is>
      </c>
      <c r="Z34" s="7" t="n"/>
      <c r="AA34" s="315" t="n"/>
      <c r="AB34" s="281" t="n"/>
      <c r="AC34" s="315" t="n"/>
      <c r="AD34" s="315" t="n"/>
      <c r="AE34" s="281" t="inlineStr">
        <is>
          <t>张敏烨</t>
        </is>
      </c>
      <c r="AF34" s="281">
        <f>VLOOKUP(B34,'UV台帐'!B:G,6,0)</f>
        <v/>
      </c>
      <c r="AG34" s="281" t="n"/>
      <c r="AH34" s="281" t="n"/>
      <c r="AI34" s="281" t="n"/>
      <c r="AJ34" s="426" t="n"/>
      <c r="AK34" s="426" t="n"/>
      <c r="AL34" s="366" t="n"/>
      <c r="AM34" s="366" t="n"/>
      <c r="AN34" s="366" t="n"/>
      <c r="AO34" s="366" t="n"/>
      <c r="AP34" s="350" t="n"/>
      <c r="AQ34" s="359" t="n"/>
      <c r="AR34" s="350" t="n"/>
      <c r="AS34" s="281">
        <f>COUNTIFS(H34,"一期",I34,"在读")+COUNTIFS(L34,"一期",M34,"在读")+COUNTIFS(P34,"一期",Q34,"在读")</f>
        <v/>
      </c>
      <c r="AT34" s="281">
        <f>AS34-AX34</f>
        <v/>
      </c>
      <c r="AU34" s="366">
        <f>VLOOKUP(B34,'UV台帐'!B:AL,19,0)</f>
        <v/>
      </c>
      <c r="AV34" s="366">
        <f>VLOOKUP(B34,'UV台帐'!B:AL,28,0)</f>
        <v/>
      </c>
      <c r="AW34" s="366">
        <f>VLOOKUP(B34,'UV台帐'!B:AL,37,0)</f>
        <v/>
      </c>
      <c r="AX34" s="281">
        <f>COUNTIFS(H34,"一期",AU34,"是")+COUNTIFS(L34,"一期",AV34,"是")+COUNTIFS(P34,"一期",AW34,"是")</f>
        <v/>
      </c>
      <c r="AZ34" s="359" t="n"/>
      <c r="BA34" s="359" t="n"/>
    </row>
    <row r="35" ht="26.25" customFormat="1" customHeight="1" s="366">
      <c r="A35" s="281" t="inlineStr">
        <is>
          <t>新宝利</t>
        </is>
      </c>
      <c r="B35" s="281"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81" t="n"/>
      <c r="S35" s="281" t="n"/>
      <c r="T35" s="281" t="n"/>
      <c r="U35" s="421" t="inlineStr">
        <is>
          <t>李润</t>
        </is>
      </c>
      <c r="V35" s="421" t="n"/>
      <c r="W35" s="7" t="inlineStr">
        <is>
          <t>-</t>
        </is>
      </c>
      <c r="X35" s="127" t="n"/>
      <c r="Y35" s="281" t="inlineStr">
        <is>
          <t>-</t>
        </is>
      </c>
      <c r="Z35" s="7" t="n"/>
      <c r="AA35" s="315" t="n"/>
      <c r="AB35" s="281" t="n"/>
      <c r="AC35" s="315" t="n"/>
      <c r="AD35" s="315" t="n"/>
      <c r="AE35" s="281" t="inlineStr">
        <is>
          <t>张敏烨</t>
        </is>
      </c>
      <c r="AF35" s="281">
        <f>VLOOKUP(B35,'UV台帐'!B:G,6,0)</f>
        <v/>
      </c>
      <c r="AG35" s="281" t="n"/>
      <c r="AH35" s="281" t="n"/>
      <c r="AI35" s="281" t="n"/>
      <c r="AJ35" s="426" t="n"/>
      <c r="AK35" s="426" t="n"/>
      <c r="AL35" s="366" t="n"/>
      <c r="AM35" s="366" t="n"/>
      <c r="AN35" s="366" t="n"/>
      <c r="AO35" s="366" t="n"/>
      <c r="AP35" s="350" t="n"/>
      <c r="AQ35" s="359" t="n"/>
      <c r="AR35" s="359" t="n"/>
      <c r="AS35" s="281">
        <f>COUNTIFS(H35,"一期",I35,"在读")+COUNTIFS(L35,"一期",M35,"在读")+COUNTIFS(P35,"一期",Q35,"在读")</f>
        <v/>
      </c>
      <c r="AT35" s="281">
        <f>AS35-AX35</f>
        <v/>
      </c>
      <c r="AU35" s="366">
        <f>VLOOKUP(B35,'UV台帐'!B:AL,19,0)</f>
        <v/>
      </c>
      <c r="AV35" s="366">
        <f>VLOOKUP(B35,'UV台帐'!B:AL,28,0)</f>
        <v/>
      </c>
      <c r="AW35" s="366">
        <f>VLOOKUP(B35,'UV台帐'!B:AL,37,0)</f>
        <v/>
      </c>
      <c r="AX35" s="281">
        <f>COUNTIFS(H35,"一期",AU35,"是")+COUNTIFS(L35,"一期",AV35,"是")+COUNTIFS(P35,"一期",AW35,"是")</f>
        <v/>
      </c>
      <c r="AZ35" s="359" t="n"/>
      <c r="BA35" s="359" t="n"/>
    </row>
    <row r="36" ht="26.25" customFormat="1" customHeight="1" s="366">
      <c r="A36" s="281" t="inlineStr">
        <is>
          <t>新宝利</t>
        </is>
      </c>
      <c r="B36" s="281"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81" t="n"/>
      <c r="S36" s="281" t="n"/>
      <c r="T36" s="281" t="n"/>
      <c r="U36" s="421" t="inlineStr">
        <is>
          <t>李润</t>
        </is>
      </c>
      <c r="V36" s="7" t="n"/>
      <c r="W36" s="7" t="inlineStr">
        <is>
          <t>-</t>
        </is>
      </c>
      <c r="X36" s="127" t="n"/>
      <c r="Y36" s="281" t="inlineStr">
        <is>
          <t>-</t>
        </is>
      </c>
      <c r="Z36" s="119" t="n"/>
      <c r="AA36" s="315" t="n"/>
      <c r="AB36" s="281" t="n"/>
      <c r="AC36" s="315" t="n"/>
      <c r="AD36" s="315" t="n"/>
      <c r="AE36" s="281" t="inlineStr">
        <is>
          <t>林志豪01</t>
        </is>
      </c>
      <c r="AF36" s="281">
        <f>VLOOKUP(B36,'UV台帐'!B:G,6,0)</f>
        <v/>
      </c>
      <c r="AG36" s="281" t="n"/>
      <c r="AH36" s="281" t="n"/>
      <c r="AI36" s="281" t="n"/>
      <c r="AJ36" s="426" t="n"/>
      <c r="AK36" s="426" t="n"/>
      <c r="AL36" s="366" t="n"/>
      <c r="AM36" s="366" t="n"/>
      <c r="AN36" s="366" t="n"/>
      <c r="AO36" s="366" t="n"/>
      <c r="AP36" s="350" t="n"/>
      <c r="AQ36" s="359" t="n"/>
      <c r="AR36" s="359" t="n"/>
      <c r="AS36" s="281">
        <f>COUNTIFS(H36,"一期",I36,"在读")+COUNTIFS(L36,"一期",M36,"在读")+COUNTIFS(P36,"一期",Q36,"在读")</f>
        <v/>
      </c>
      <c r="AT36" s="281">
        <f>AS36-AX36</f>
        <v/>
      </c>
      <c r="AU36" s="366">
        <f>VLOOKUP(B36,'UV台帐'!B:AL,19,0)</f>
        <v/>
      </c>
      <c r="AV36" s="366">
        <f>VLOOKUP(B36,'UV台帐'!B:AL,28,0)</f>
        <v/>
      </c>
      <c r="AW36" s="366">
        <f>VLOOKUP(B36,'UV台帐'!B:AL,37,0)</f>
        <v/>
      </c>
      <c r="AX36" s="281">
        <f>COUNTIFS(H36,"一期",AU36,"是")+COUNTIFS(L36,"一期",AV36,"是")+COUNTIFS(P36,"一期",AW36,"是")</f>
        <v/>
      </c>
      <c r="AZ36" s="359" t="n"/>
      <c r="BA36" s="359" t="n"/>
    </row>
    <row r="37" ht="26.25" customFormat="1" customHeight="1" s="366">
      <c r="A37" s="281" t="inlineStr">
        <is>
          <t>同创汇</t>
        </is>
      </c>
      <c r="B37" s="281"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81" t="n"/>
      <c r="S37" s="281" t="n"/>
      <c r="T37" s="281" t="n"/>
      <c r="U37" s="7" t="inlineStr">
        <is>
          <t>田雨涵01</t>
        </is>
      </c>
      <c r="V37" s="421" t="n"/>
      <c r="W37" s="7" t="inlineStr">
        <is>
          <t>陈南05</t>
        </is>
      </c>
      <c r="X37" s="127" t="n"/>
      <c r="Y37" s="7" t="inlineStr">
        <is>
          <t>-</t>
        </is>
      </c>
      <c r="Z37" s="7" t="n"/>
      <c r="AA37" s="315" t="n"/>
      <c r="AB37" s="281" t="n"/>
      <c r="AC37" s="315" t="n"/>
      <c r="AD37" s="315" t="n"/>
      <c r="AE37" s="281" t="inlineStr">
        <is>
          <t>苏丽婷</t>
        </is>
      </c>
      <c r="AF37" s="281">
        <f>VLOOKUP(B37,'UV台帐'!B:G,6,0)</f>
        <v/>
      </c>
      <c r="AG37" s="281" t="n"/>
      <c r="AH37" s="281" t="n"/>
      <c r="AI37" s="281" t="n"/>
      <c r="AJ37" s="426" t="n"/>
      <c r="AK37" s="426" t="n"/>
      <c r="AL37" s="366" t="n"/>
      <c r="AM37" s="366" t="n"/>
      <c r="AN37" s="366" t="n"/>
      <c r="AO37" s="366" t="n"/>
      <c r="AP37" s="350" t="n"/>
      <c r="AQ37" s="359" t="n"/>
      <c r="AR37" s="359" t="n"/>
      <c r="AS37" s="281">
        <f>COUNTIFS(H37,"一期",I37,"在读")+COUNTIFS(L37,"一期",M37,"在读")+COUNTIFS(P37,"一期",Q37,"在读")</f>
        <v/>
      </c>
      <c r="AT37" s="281">
        <f>AS37-AX37</f>
        <v/>
      </c>
      <c r="AU37" s="366">
        <f>VLOOKUP(B37,'UV台帐'!B:AL,19,0)</f>
        <v/>
      </c>
      <c r="AV37" s="366">
        <f>VLOOKUP(B37,'UV台帐'!B:AL,28,0)</f>
        <v/>
      </c>
      <c r="AW37" s="366">
        <f>VLOOKUP(B37,'UV台帐'!B:AL,37,0)</f>
        <v/>
      </c>
      <c r="AX37" s="281">
        <f>COUNTIFS(H37,"一期",AU37,"是")+COUNTIFS(L37,"一期",AV37,"是")+COUNTIFS(P37,"一期",AW37,"是")</f>
        <v/>
      </c>
      <c r="AZ37" s="359" t="n"/>
      <c r="BA37" s="359" t="n"/>
    </row>
    <row r="38" ht="26.25" customFormat="1" customHeight="1" s="366">
      <c r="A38" s="281" t="inlineStr">
        <is>
          <t>天成大厦</t>
        </is>
      </c>
      <c r="B38" s="281"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n"/>
      <c r="T38" s="281" t="n"/>
      <c r="U38" s="281" t="inlineStr">
        <is>
          <t>陈中帅</t>
        </is>
      </c>
      <c r="V38" s="421" t="n"/>
      <c r="W38" s="7" t="inlineStr">
        <is>
          <t>李润</t>
        </is>
      </c>
      <c r="X38" s="127" t="n"/>
      <c r="Y38" s="7" t="inlineStr">
        <is>
          <t>刘希子</t>
        </is>
      </c>
      <c r="Z38" s="7" t="n"/>
      <c r="AA38" s="281" t="n"/>
      <c r="AB38" s="281" t="n"/>
      <c r="AC38" s="281" t="n"/>
      <c r="AD38" s="281" t="n"/>
      <c r="AE38" s="281" t="inlineStr">
        <is>
          <t>陈亮延</t>
        </is>
      </c>
      <c r="AF38" s="281">
        <f>VLOOKUP(B38,'UV台帐'!B:G,6,0)</f>
        <v/>
      </c>
      <c r="AG38" s="281" t="n"/>
      <c r="AH38" s="281" t="n"/>
      <c r="AI38" s="281" t="n"/>
      <c r="AJ38" s="426" t="n"/>
      <c r="AK38" s="426" t="n"/>
      <c r="AL38" s="366" t="n"/>
      <c r="AM38" s="366" t="n"/>
      <c r="AN38" s="366" t="n"/>
      <c r="AO38" s="366" t="n"/>
      <c r="AP38" s="350" t="n"/>
      <c r="AQ38" s="359" t="n"/>
      <c r="AR38" s="359" t="n"/>
      <c r="AS38" s="281">
        <f>COUNTIFS(H38,"一期",I38,"在读")+COUNTIFS(L38,"一期",M38,"在读")+COUNTIFS(P38,"一期",Q38,"在读")</f>
        <v/>
      </c>
      <c r="AT38" s="281">
        <f>AS38-AX38</f>
        <v/>
      </c>
      <c r="AU38" s="366">
        <f>VLOOKUP(B38,'UV台帐'!B:AL,19,0)</f>
        <v/>
      </c>
      <c r="AV38" s="366">
        <f>VLOOKUP(B38,'UV台帐'!B:AL,28,0)</f>
        <v/>
      </c>
      <c r="AW38" s="366">
        <f>VLOOKUP(B38,'UV台帐'!B:AL,37,0)</f>
        <v/>
      </c>
      <c r="AX38" s="281">
        <f>COUNTIFS(H38,"一期",AU38,"是")+COUNTIFS(L38,"一期",AV38,"是")+COUNTIFS(P38,"一期",AW38,"是")</f>
        <v/>
      </c>
      <c r="AZ38" s="359" t="n"/>
      <c r="BA38" s="359" t="n"/>
    </row>
    <row r="39" ht="26.25" customFormat="1" customHeight="1" s="366">
      <c r="A39" s="281" t="inlineStr">
        <is>
          <t>同创汇</t>
        </is>
      </c>
      <c r="B39" s="281"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n"/>
      <c r="T39" s="281" t="n"/>
      <c r="U39" s="7" t="inlineStr">
        <is>
          <t>高心怡04</t>
        </is>
      </c>
      <c r="V39" s="421" t="n"/>
      <c r="W39" s="7" t="inlineStr">
        <is>
          <t>陈南05</t>
        </is>
      </c>
      <c r="X39" s="127" t="n"/>
      <c r="Y39" s="281" t="inlineStr">
        <is>
          <t>-</t>
        </is>
      </c>
      <c r="Z39" s="7" t="n"/>
      <c r="AA39" s="315" t="n"/>
      <c r="AB39" s="281" t="n"/>
      <c r="AC39" s="315" t="n"/>
      <c r="AD39" s="315" t="n"/>
      <c r="AE39" s="281" t="inlineStr">
        <is>
          <t>戎凯01</t>
        </is>
      </c>
      <c r="AF39" s="281">
        <f>VLOOKUP(B39,'UV台帐'!B:G,6,0)</f>
        <v/>
      </c>
      <c r="AG39" s="281" t="n"/>
      <c r="AH39" s="281" t="n"/>
      <c r="AI39" s="281" t="n"/>
      <c r="AJ39" s="426" t="n"/>
      <c r="AK39" s="426" t="n"/>
      <c r="AL39" s="366" t="n"/>
      <c r="AM39" s="366" t="n"/>
      <c r="AN39" s="366" t="n"/>
      <c r="AO39" s="366" t="n"/>
      <c r="AP39" s="350" t="n"/>
      <c r="AQ39" s="359" t="n"/>
      <c r="AR39" s="359" t="n"/>
      <c r="AS39" s="281">
        <f>COUNTIFS(H39,"一期",I39,"在读")+COUNTIFS(L39,"一期",M39,"在读")+COUNTIFS(P39,"一期",Q39,"在读")</f>
        <v/>
      </c>
      <c r="AT39" s="281">
        <f>AS39-AX39</f>
        <v/>
      </c>
      <c r="AU39" s="366">
        <f>VLOOKUP(B39,'UV台帐'!B:AL,19,0)</f>
        <v/>
      </c>
      <c r="AV39" s="366">
        <f>VLOOKUP(B39,'UV台帐'!B:AL,28,0)</f>
        <v/>
      </c>
      <c r="AW39" s="366">
        <f>VLOOKUP(B39,'UV台帐'!B:AL,37,0)</f>
        <v/>
      </c>
      <c r="AX39" s="281">
        <f>COUNTIFS(H39,"一期",AU39,"是")+COUNTIFS(L39,"一期",AV39,"是")+COUNTIFS(P39,"一期",AW39,"是")</f>
        <v/>
      </c>
      <c r="AZ39" s="359" t="n"/>
      <c r="BA39" s="359" t="n"/>
    </row>
    <row r="40" ht="26.25" customFormat="1" customHeight="1" s="366">
      <c r="A40" s="281" t="inlineStr">
        <is>
          <t>新宝利</t>
        </is>
      </c>
      <c r="B40" s="281"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inlineStr">
        <is>
          <t>何咏04</t>
        </is>
      </c>
      <c r="S40" s="281" t="n"/>
      <c r="T40" s="281" t="n"/>
      <c r="U40" s="7" t="inlineStr">
        <is>
          <t>肖锐03</t>
        </is>
      </c>
      <c r="V40" s="421" t="n"/>
      <c r="W40" s="119" t="inlineStr">
        <is>
          <t>陈南05</t>
        </is>
      </c>
      <c r="X40" s="127" t="n"/>
      <c r="Y40" s="281" t="inlineStr">
        <is>
          <t>何咏04</t>
        </is>
      </c>
      <c r="Z40" s="7" t="n"/>
      <c r="AA40" s="315" t="n"/>
      <c r="AB40" s="281" t="n"/>
      <c r="AC40" s="315" t="n"/>
      <c r="AD40" s="315" t="n"/>
      <c r="AE40" s="281" t="inlineStr">
        <is>
          <t>张敏烨</t>
        </is>
      </c>
      <c r="AF40" s="281">
        <f>VLOOKUP(B40,'UV台帐'!B:G,6,0)</f>
        <v/>
      </c>
      <c r="AG40" s="281" t="n"/>
      <c r="AH40" s="281" t="n"/>
      <c r="AI40" s="281" t="n"/>
      <c r="AJ40" s="426" t="n"/>
      <c r="AK40" s="426" t="n"/>
      <c r="AL40" s="366" t="n"/>
      <c r="AM40" s="366" t="n"/>
      <c r="AN40" s="366" t="n"/>
      <c r="AO40" s="366" t="n"/>
      <c r="AP40" s="350" t="n"/>
      <c r="AQ40" s="359" t="n"/>
      <c r="AR40" s="359" t="n"/>
      <c r="AS40" s="281">
        <f>COUNTIFS(H40,"一期",I40,"在读")+COUNTIFS(L40,"一期",M40,"在读")+COUNTIFS(P40,"一期",Q40,"在读")</f>
        <v/>
      </c>
      <c r="AT40" s="281">
        <f>AS40-AX40</f>
        <v/>
      </c>
      <c r="AU40" s="366">
        <f>VLOOKUP(B40,'UV台帐'!B:AL,19,0)</f>
        <v/>
      </c>
      <c r="AV40" s="366">
        <f>VLOOKUP(B40,'UV台帐'!B:AL,28,0)</f>
        <v/>
      </c>
      <c r="AW40" s="366">
        <f>VLOOKUP(B40,'UV台帐'!B:AL,37,0)</f>
        <v/>
      </c>
      <c r="AX40" s="281">
        <f>COUNTIFS(H40,"一期",AU40,"是")+COUNTIFS(L40,"一期",AV40,"是")+COUNTIFS(P40,"一期",AW40,"是")</f>
        <v/>
      </c>
      <c r="AZ40" s="359" t="n"/>
      <c r="BA40" s="359" t="n"/>
    </row>
    <row r="41" ht="26.25" customFormat="1" customHeight="1" s="366">
      <c r="A41" s="281" t="inlineStr">
        <is>
          <t>新宝利</t>
        </is>
      </c>
      <c r="B41" s="281"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81" t="n"/>
      <c r="S41" s="281" t="n"/>
      <c r="T41" s="281" t="n"/>
      <c r="U41" s="7" t="inlineStr">
        <is>
          <t>-</t>
        </is>
      </c>
      <c r="V41" s="421" t="n"/>
      <c r="W41" s="281" t="inlineStr">
        <is>
          <t>李润</t>
        </is>
      </c>
      <c r="X41" s="127" t="n"/>
      <c r="Y41" s="7" t="inlineStr">
        <is>
          <t>-</t>
        </is>
      </c>
      <c r="Z41" s="7" t="n"/>
      <c r="AA41" s="315" t="n"/>
      <c r="AB41" s="281" t="n"/>
      <c r="AC41" s="315" t="n"/>
      <c r="AD41" s="315" t="n"/>
      <c r="AE41" s="281" t="inlineStr">
        <is>
          <t>沈思浩</t>
        </is>
      </c>
      <c r="AF41" s="281">
        <f>VLOOKUP(B41,'UV台帐'!B:G,6,0)</f>
        <v/>
      </c>
      <c r="AG41" s="281" t="n"/>
      <c r="AH41" s="281" t="n"/>
      <c r="AI41" s="281" t="n"/>
      <c r="AJ41" s="426" t="n"/>
      <c r="AK41" s="426" t="n"/>
      <c r="AL41" s="366" t="n"/>
      <c r="AM41" s="366" t="n"/>
      <c r="AN41" s="366" t="n"/>
      <c r="AO41" s="366" t="n"/>
      <c r="AP41" s="350" t="n"/>
      <c r="AQ41" s="359" t="n"/>
      <c r="AR41" s="359" t="n"/>
      <c r="AS41" s="281">
        <f>COUNTIFS(H41,"一期",I41,"在读")+COUNTIFS(L41,"一期",M41,"在读")+COUNTIFS(P41,"一期",Q41,"在读")</f>
        <v/>
      </c>
      <c r="AT41" s="281">
        <f>AS41-AX41</f>
        <v/>
      </c>
      <c r="AU41" s="366">
        <f>VLOOKUP(B41,'UV台帐'!B:AL,19,0)</f>
        <v/>
      </c>
      <c r="AV41" s="366">
        <f>VLOOKUP(B41,'UV台帐'!B:AL,28,0)</f>
        <v/>
      </c>
      <c r="AW41" s="366">
        <f>VLOOKUP(B41,'UV台帐'!B:AL,37,0)</f>
        <v/>
      </c>
      <c r="AX41" s="281">
        <f>COUNTIFS(H41,"一期",AU41,"是")+COUNTIFS(L41,"一期",AV41,"是")+COUNTIFS(P41,"一期",AW41,"是")</f>
        <v/>
      </c>
      <c r="AZ41" s="359" t="n"/>
      <c r="BA41" s="359" t="n"/>
    </row>
    <row r="42" ht="26.25" customFormat="1" customHeight="1" s="366">
      <c r="A42" s="281" t="inlineStr">
        <is>
          <t>新宝利</t>
        </is>
      </c>
      <c r="B42" s="281"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inlineStr">
        <is>
          <t>何咏04</t>
        </is>
      </c>
      <c r="S42" s="281" t="n"/>
      <c r="T42" s="281" t="n"/>
      <c r="U42" s="7" t="inlineStr">
        <is>
          <t>肖锐03</t>
        </is>
      </c>
      <c r="V42" s="421" t="n"/>
      <c r="W42" s="7" t="inlineStr">
        <is>
          <t>李润</t>
        </is>
      </c>
      <c r="X42" s="127" t="n"/>
      <c r="Y42" s="281" t="inlineStr">
        <is>
          <t>何咏04</t>
        </is>
      </c>
      <c r="Z42" s="7" t="n"/>
      <c r="AA42" s="315" t="n"/>
      <c r="AB42" s="281" t="n"/>
      <c r="AC42" s="315" t="n"/>
      <c r="AD42" s="315" t="n"/>
      <c r="AE42" s="281" t="inlineStr">
        <is>
          <t>王丽</t>
        </is>
      </c>
      <c r="AF42" s="281">
        <f>VLOOKUP(B42,'UV台帐'!B:G,6,0)</f>
        <v/>
      </c>
      <c r="AG42" s="281" t="n"/>
      <c r="AH42" s="281" t="n"/>
      <c r="AI42" s="281" t="n"/>
      <c r="AJ42" s="426" t="n"/>
      <c r="AK42" s="426" t="n"/>
      <c r="AL42" s="366" t="n"/>
      <c r="AM42" s="366" t="n"/>
      <c r="AN42" s="366" t="n"/>
      <c r="AO42" s="366" t="n"/>
      <c r="AP42" s="350" t="n"/>
      <c r="AQ42" s="359" t="n"/>
      <c r="AR42" s="359" t="n"/>
      <c r="AS42" s="281">
        <f>COUNTIFS(H42,"一期",I42,"在读")+COUNTIFS(L42,"一期",M42,"在读")+COUNTIFS(P42,"一期",Q42,"在读")</f>
        <v/>
      </c>
      <c r="AT42" s="281">
        <f>AS42-AX42</f>
        <v/>
      </c>
      <c r="AU42" s="366">
        <f>VLOOKUP(B42,'UV台帐'!B:AL,19,0)</f>
        <v/>
      </c>
      <c r="AV42" s="366">
        <f>VLOOKUP(B42,'UV台帐'!B:AL,28,0)</f>
        <v/>
      </c>
      <c r="AW42" s="366">
        <f>VLOOKUP(B42,'UV台帐'!B:AL,37,0)</f>
        <v/>
      </c>
      <c r="AX42" s="281">
        <f>COUNTIFS(H42,"一期",AU42,"是")+COUNTIFS(L42,"一期",AV42,"是")+COUNTIFS(P42,"一期",AW42,"是")</f>
        <v/>
      </c>
      <c r="AZ42" s="359" t="n"/>
      <c r="BA42" s="359" t="n"/>
    </row>
    <row r="43" ht="26.25" customFormat="1" customHeight="1" s="366">
      <c r="A43" s="281" t="inlineStr">
        <is>
          <t>同创汇</t>
        </is>
      </c>
      <c r="B43" s="281"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n"/>
      <c r="T43" s="281" t="n"/>
      <c r="U43" s="281" t="inlineStr">
        <is>
          <t>陈中帅</t>
        </is>
      </c>
      <c r="V43" s="421" t="n"/>
      <c r="W43" s="7" t="inlineStr">
        <is>
          <t>黄铭怡</t>
        </is>
      </c>
      <c r="X43" s="127" t="n"/>
      <c r="Y43" s="119" t="inlineStr">
        <is>
          <t>高心怡04</t>
        </is>
      </c>
      <c r="Z43" s="119" t="n"/>
      <c r="AA43" s="315" t="n"/>
      <c r="AB43" s="281" t="n"/>
      <c r="AC43" s="315" t="n"/>
      <c r="AD43" s="315" t="n"/>
      <c r="AE43" s="281" t="inlineStr">
        <is>
          <t>戎凯01</t>
        </is>
      </c>
      <c r="AF43" s="281">
        <f>VLOOKUP(B43,'UV台帐'!B:G,6,0)</f>
        <v/>
      </c>
      <c r="AG43" s="281" t="n"/>
      <c r="AH43" s="281" t="n"/>
      <c r="AI43" s="281" t="n"/>
      <c r="AJ43" s="426" t="n"/>
      <c r="AK43" s="426" t="n"/>
      <c r="AL43" s="366" t="n"/>
      <c r="AM43" s="366" t="n"/>
      <c r="AN43" s="366" t="n"/>
      <c r="AO43" s="366" t="n"/>
      <c r="AP43" s="350" t="n"/>
      <c r="AQ43" s="359" t="n"/>
      <c r="AR43" s="359" t="n"/>
      <c r="AS43" s="281">
        <f>COUNTIFS(H43,"一期",I43,"在读")+COUNTIFS(L43,"一期",M43,"在读")+COUNTIFS(P43,"一期",Q43,"在读")</f>
        <v/>
      </c>
      <c r="AT43" s="281">
        <f>AS43-AX43</f>
        <v/>
      </c>
      <c r="AU43" s="366">
        <f>VLOOKUP(B43,'UV台帐'!B:AL,19,0)</f>
        <v/>
      </c>
      <c r="AV43" s="366">
        <f>VLOOKUP(B43,'UV台帐'!B:AL,28,0)</f>
        <v/>
      </c>
      <c r="AW43" s="366">
        <f>VLOOKUP(B43,'UV台帐'!B:AL,37,0)</f>
        <v/>
      </c>
      <c r="AX43" s="281">
        <f>COUNTIFS(H43,"一期",AU43,"是")+COUNTIFS(L43,"一期",AV43,"是")+COUNTIFS(P43,"一期",AW43,"是")</f>
        <v/>
      </c>
      <c r="AZ43" s="359" t="n"/>
      <c r="BA43" s="359" t="n"/>
    </row>
    <row r="44" ht="26.25" customFormat="1" customHeight="1" s="366">
      <c r="A44" s="281" t="inlineStr">
        <is>
          <t>天成大厦</t>
        </is>
      </c>
      <c r="B44" s="281"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81" t="n"/>
      <c r="S44" s="281" t="n"/>
      <c r="T44" s="281" t="n"/>
      <c r="U44" s="7" t="inlineStr">
        <is>
          <t>-</t>
        </is>
      </c>
      <c r="V44" s="421" t="n"/>
      <c r="W44" s="7" t="inlineStr">
        <is>
          <t>李润</t>
        </is>
      </c>
      <c r="X44" s="127" t="n"/>
      <c r="Y44" s="7" t="inlineStr">
        <is>
          <t>-</t>
        </is>
      </c>
      <c r="Z44" s="7" t="n"/>
      <c r="AA44" s="315" t="n"/>
      <c r="AB44" s="281" t="n"/>
      <c r="AC44" s="315" t="n"/>
      <c r="AD44" s="315" t="n"/>
      <c r="AE44" s="281" t="inlineStr">
        <is>
          <t>陈亮延</t>
        </is>
      </c>
      <c r="AF44" s="281">
        <f>VLOOKUP(B44,'UV台帐'!B:G,6,0)</f>
        <v/>
      </c>
      <c r="AG44" s="281" t="n"/>
      <c r="AH44" s="281" t="n"/>
      <c r="AI44" s="281" t="n"/>
      <c r="AJ44" s="426" t="n"/>
      <c r="AK44" s="426" t="n"/>
      <c r="AL44" s="366" t="n"/>
      <c r="AM44" s="366" t="n"/>
      <c r="AN44" s="366" t="n"/>
      <c r="AO44" s="366" t="n"/>
      <c r="AP44" s="350" t="n"/>
      <c r="AQ44" s="359" t="n"/>
      <c r="AR44" s="359" t="n"/>
      <c r="AS44" s="281">
        <f>COUNTIFS(H44,"一期",I44,"在读")+COUNTIFS(L44,"一期",M44,"在读")+COUNTIFS(P44,"一期",Q44,"在读")</f>
        <v/>
      </c>
      <c r="AT44" s="281">
        <f>AS44-AX44</f>
        <v/>
      </c>
      <c r="AU44" s="366">
        <f>VLOOKUP(B44,'UV台帐'!B:AL,19,0)</f>
        <v/>
      </c>
      <c r="AV44" s="366">
        <f>VLOOKUP(B44,'UV台帐'!B:AL,28,0)</f>
        <v/>
      </c>
      <c r="AW44" s="366">
        <f>VLOOKUP(B44,'UV台帐'!B:AL,37,0)</f>
        <v/>
      </c>
      <c r="AX44" s="281">
        <f>COUNTIFS(H44,"一期",AU44,"是")+COUNTIFS(L44,"一期",AV44,"是")+COUNTIFS(P44,"一期",AW44,"是")</f>
        <v/>
      </c>
      <c r="AZ44" s="359" t="n"/>
      <c r="BA44" s="359" t="n"/>
    </row>
    <row r="45" ht="26.25" customFormat="1" customHeight="1" s="366">
      <c r="A45" s="281" t="inlineStr">
        <is>
          <t>天成大厦</t>
        </is>
      </c>
      <c r="B45" s="281"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n"/>
      <c r="T45" s="281" t="n"/>
      <c r="U45" s="7" t="inlineStr">
        <is>
          <t>刘希子</t>
        </is>
      </c>
      <c r="V45" s="421" t="n"/>
      <c r="W45" s="7" t="inlineStr">
        <is>
          <t>李润</t>
        </is>
      </c>
      <c r="X45" s="127" t="n"/>
      <c r="Y45" s="7" t="inlineStr">
        <is>
          <t>-</t>
        </is>
      </c>
      <c r="Z45" s="7" t="n"/>
      <c r="AA45" s="315" t="n"/>
      <c r="AB45" s="281" t="n"/>
      <c r="AC45" s="315" t="n"/>
      <c r="AD45" s="315" t="n"/>
      <c r="AE45" s="281" t="inlineStr">
        <is>
          <t>沈思浩</t>
        </is>
      </c>
      <c r="AF45" s="281">
        <f>VLOOKUP(B45,'UV台帐'!B:G,6,0)</f>
        <v/>
      </c>
      <c r="AG45" s="281" t="n"/>
      <c r="AH45" s="281" t="n"/>
      <c r="AI45" s="281" t="n"/>
      <c r="AJ45" s="426" t="n"/>
      <c r="AK45" s="426" t="n"/>
      <c r="AL45" s="366" t="n"/>
      <c r="AM45" s="366" t="n"/>
      <c r="AN45" s="366" t="n"/>
      <c r="AO45" s="366" t="n"/>
      <c r="AP45" s="350" t="n"/>
      <c r="AQ45" s="359" t="n"/>
      <c r="AR45" s="359" t="n"/>
      <c r="AS45" s="281">
        <f>COUNTIFS(H45,"一期",I45,"在读")+COUNTIFS(L45,"一期",M45,"在读")+COUNTIFS(P45,"一期",Q45,"在读")</f>
        <v/>
      </c>
      <c r="AT45" s="281">
        <f>AS45-AX45</f>
        <v/>
      </c>
      <c r="AU45" s="366">
        <f>VLOOKUP(B45,'UV台帐'!B:AL,19,0)</f>
        <v/>
      </c>
      <c r="AV45" s="366">
        <f>VLOOKUP(B45,'UV台帐'!B:AL,28,0)</f>
        <v/>
      </c>
      <c r="AW45" s="366">
        <f>VLOOKUP(B45,'UV台帐'!B:AL,37,0)</f>
        <v/>
      </c>
      <c r="AX45" s="281">
        <f>COUNTIFS(H45,"一期",AU45,"是")+COUNTIFS(L45,"一期",AV45,"是")+COUNTIFS(P45,"一期",AW45,"是")</f>
        <v/>
      </c>
      <c r="AZ45" s="359" t="n"/>
      <c r="BA45" s="359" t="n"/>
    </row>
    <row r="46" ht="26.25" customFormat="1" customHeight="1" s="366">
      <c r="A46" s="281" t="inlineStr">
        <is>
          <t>同创汇</t>
        </is>
      </c>
      <c r="B46" s="281"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81" t="n"/>
      <c r="S46" s="281" t="n"/>
      <c r="T46" s="281" t="n"/>
      <c r="U46" s="7" t="inlineStr">
        <is>
          <t>陈南05</t>
        </is>
      </c>
      <c r="V46" s="421" t="n"/>
      <c r="W46" s="7" t="inlineStr">
        <is>
          <t>-</t>
        </is>
      </c>
      <c r="X46" s="127" t="n"/>
      <c r="Y46" s="7" t="inlineStr">
        <is>
          <t>-</t>
        </is>
      </c>
      <c r="Z46" s="7" t="n"/>
      <c r="AA46" s="315" t="n"/>
      <c r="AB46" s="281" t="n"/>
      <c r="AC46" s="315" t="n"/>
      <c r="AD46" s="315" t="n"/>
      <c r="AE46" s="281" t="inlineStr">
        <is>
          <t>王丽</t>
        </is>
      </c>
      <c r="AF46" s="281">
        <f>VLOOKUP(B46,'UV台帐'!B:G,6,0)</f>
        <v/>
      </c>
      <c r="AG46" s="281" t="n"/>
      <c r="AH46" s="281" t="n"/>
      <c r="AI46" s="281" t="n"/>
      <c r="AJ46" s="426" t="n"/>
      <c r="AK46" s="426" t="n"/>
      <c r="AL46" s="366" t="n"/>
      <c r="AM46" s="366" t="n"/>
      <c r="AN46" s="366" t="n"/>
      <c r="AO46" s="366" t="n"/>
      <c r="AP46" s="350" t="n"/>
      <c r="AQ46" s="359" t="n"/>
      <c r="AR46" s="359" t="n"/>
      <c r="AS46" s="281">
        <f>COUNTIFS(H46,"一期",I46,"在读")+COUNTIFS(L46,"一期",M46,"在读")+COUNTIFS(P46,"一期",Q46,"在读")</f>
        <v/>
      </c>
      <c r="AT46" s="281">
        <f>AS46-AX46</f>
        <v/>
      </c>
      <c r="AU46" s="366">
        <f>VLOOKUP(B46,'UV台帐'!B:AL,19,0)</f>
        <v/>
      </c>
      <c r="AV46" s="366">
        <f>VLOOKUP(B46,'UV台帐'!B:AL,28,0)</f>
        <v/>
      </c>
      <c r="AW46" s="366">
        <f>VLOOKUP(B46,'UV台帐'!B:AL,37,0)</f>
        <v/>
      </c>
      <c r="AX46" s="281">
        <f>COUNTIFS(H46,"一期",AU46,"是")+COUNTIFS(L46,"一期",AV46,"是")+COUNTIFS(P46,"一期",AW46,"是")</f>
        <v/>
      </c>
      <c r="AZ46" s="359" t="n"/>
      <c r="BA46" s="359" t="n"/>
    </row>
    <row r="47" ht="26.25" customFormat="1" customHeight="1" s="366">
      <c r="A47" s="281" t="inlineStr">
        <is>
          <t>新宝利</t>
        </is>
      </c>
      <c r="B47" s="281"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inlineStr">
        <is>
          <t>何咏04</t>
        </is>
      </c>
      <c r="S47" s="281" t="n"/>
      <c r="T47" s="281" t="n"/>
      <c r="U47" s="7" t="inlineStr">
        <is>
          <t>肖锐03</t>
        </is>
      </c>
      <c r="V47" s="421" t="n"/>
      <c r="W47" s="119" t="inlineStr">
        <is>
          <t>陈南05</t>
        </is>
      </c>
      <c r="X47" s="127" t="n"/>
      <c r="Y47" s="281" t="inlineStr">
        <is>
          <t>何咏04</t>
        </is>
      </c>
      <c r="Z47" s="421" t="n"/>
      <c r="AA47" s="315" t="n"/>
      <c r="AB47" s="281" t="n"/>
      <c r="AC47" s="315" t="n"/>
      <c r="AD47" s="315" t="n"/>
      <c r="AE47" s="281" t="inlineStr">
        <is>
          <t>杨林33</t>
        </is>
      </c>
      <c r="AF47" s="281">
        <f>VLOOKUP(B47,'UV台帐'!B:G,6,0)</f>
        <v/>
      </c>
      <c r="AG47" s="281" t="n"/>
      <c r="AH47" s="281" t="n"/>
      <c r="AI47" s="281" t="n"/>
      <c r="AJ47" s="426" t="n"/>
      <c r="AK47" s="426" t="n"/>
      <c r="AL47" s="366" t="n"/>
      <c r="AM47" s="366" t="n"/>
      <c r="AN47" s="366" t="n"/>
      <c r="AO47" s="366" t="n"/>
      <c r="AP47" s="350" t="n"/>
      <c r="AQ47" s="359" t="n"/>
      <c r="AR47" s="359" t="n"/>
      <c r="AS47" s="281">
        <f>COUNTIFS(H47,"一期",I47,"在读")+COUNTIFS(L47,"一期",M47,"在读")+COUNTIFS(P47,"一期",Q47,"在读")</f>
        <v/>
      </c>
      <c r="AT47" s="281">
        <f>AS47-AX47</f>
        <v/>
      </c>
      <c r="AU47" s="366">
        <f>VLOOKUP(B47,'UV台帐'!B:AL,19,0)</f>
        <v/>
      </c>
      <c r="AV47" s="366">
        <f>VLOOKUP(B47,'UV台帐'!B:AL,28,0)</f>
        <v/>
      </c>
      <c r="AW47" s="366">
        <f>VLOOKUP(B47,'UV台帐'!B:AL,37,0)</f>
        <v/>
      </c>
      <c r="AX47" s="281">
        <f>COUNTIFS(H47,"一期",AU47,"是")+COUNTIFS(L47,"一期",AV47,"是")+COUNTIFS(P47,"一期",AW47,"是")</f>
        <v/>
      </c>
      <c r="AZ47" s="359" t="n"/>
      <c r="BA47" s="359" t="n"/>
    </row>
    <row r="48" ht="26.25" customFormat="1" customHeight="1" s="366">
      <c r="A48" s="281" t="inlineStr">
        <is>
          <t>新宝利</t>
        </is>
      </c>
      <c r="B48" s="281"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81" t="inlineStr">
        <is>
          <t>何咏04</t>
        </is>
      </c>
      <c r="S48" s="281" t="n"/>
      <c r="T48" s="281" t="n"/>
      <c r="U48" s="7" t="inlineStr">
        <is>
          <t>何咏04</t>
        </is>
      </c>
      <c r="V48" s="421" t="n"/>
      <c r="W48" s="7" t="inlineStr">
        <is>
          <t>-</t>
        </is>
      </c>
      <c r="X48" s="127" t="n"/>
      <c r="Y48" s="119" t="inlineStr">
        <is>
          <t>-</t>
        </is>
      </c>
      <c r="Z48" s="119" t="n"/>
      <c r="AA48" s="315" t="n"/>
      <c r="AB48" s="281" t="n"/>
      <c r="AC48" s="315" t="n"/>
      <c r="AD48" s="315" t="n"/>
      <c r="AE48" s="281" t="inlineStr">
        <is>
          <t>陈亮延</t>
        </is>
      </c>
      <c r="AF48" s="281">
        <f>VLOOKUP(B48,'UV台帐'!B:G,6,0)</f>
        <v/>
      </c>
      <c r="AG48" s="281" t="n"/>
      <c r="AH48" s="281" t="n"/>
      <c r="AI48" s="281" t="n"/>
      <c r="AJ48" s="426" t="n"/>
      <c r="AK48" s="426" t="n"/>
      <c r="AL48" s="366" t="n"/>
      <c r="AM48" s="366" t="n"/>
      <c r="AN48" s="366" t="n"/>
      <c r="AO48" s="366" t="n"/>
      <c r="AP48" s="350" t="n"/>
      <c r="AQ48" s="359" t="n"/>
      <c r="AR48" s="359" t="n"/>
      <c r="AS48" s="281">
        <f>COUNTIFS(H48,"一期",I48,"在读")+COUNTIFS(L48,"一期",M48,"在读")+COUNTIFS(P48,"一期",Q48,"在读")</f>
        <v/>
      </c>
      <c r="AT48" s="281">
        <f>AS48-AX48</f>
        <v/>
      </c>
      <c r="AU48" s="366">
        <f>VLOOKUP(B48,'UV台帐'!B:AL,19,0)</f>
        <v/>
      </c>
      <c r="AV48" s="366">
        <f>VLOOKUP(B48,'UV台帐'!B:AL,28,0)</f>
        <v/>
      </c>
      <c r="AW48" s="366">
        <f>VLOOKUP(B48,'UV台帐'!B:AL,37,0)</f>
        <v/>
      </c>
      <c r="AX48" s="281">
        <f>COUNTIFS(H48,"一期",AU48,"是")+COUNTIFS(L48,"一期",AV48,"是")+COUNTIFS(P48,"一期",AW48,"是")</f>
        <v/>
      </c>
      <c r="AZ48" s="359" t="n"/>
      <c r="BA48" s="359" t="n"/>
    </row>
    <row r="49" ht="26.25" customFormat="1" customHeight="1" s="366">
      <c r="A49" s="281" t="inlineStr">
        <is>
          <t>天成大厦</t>
        </is>
      </c>
      <c r="B49" s="281"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81" t="n"/>
      <c r="S49" s="281" t="n"/>
      <c r="T49" s="281" t="n"/>
      <c r="U49" s="7" t="inlineStr">
        <is>
          <t>-</t>
        </is>
      </c>
      <c r="V49" s="421" t="n"/>
      <c r="W49" s="7" t="inlineStr">
        <is>
          <t>李润</t>
        </is>
      </c>
      <c r="X49" s="127" t="n"/>
      <c r="Y49" s="7" t="inlineStr">
        <is>
          <t>-</t>
        </is>
      </c>
      <c r="Z49" s="7" t="n"/>
      <c r="AA49" s="315" t="n"/>
      <c r="AB49" s="281" t="n"/>
      <c r="AC49" s="315" t="n"/>
      <c r="AD49" s="315" t="n"/>
      <c r="AE49" s="281" t="inlineStr">
        <is>
          <t>陈亮延</t>
        </is>
      </c>
      <c r="AF49" s="281">
        <f>VLOOKUP(B49,'UV台帐'!B:G,6,0)</f>
        <v/>
      </c>
      <c r="AG49" s="281" t="n"/>
      <c r="AH49" s="281" t="n"/>
      <c r="AI49" s="281" t="n"/>
      <c r="AJ49" s="426" t="n"/>
      <c r="AK49" s="426" t="n"/>
      <c r="AL49" s="366" t="n"/>
      <c r="AM49" s="366" t="n"/>
      <c r="AN49" s="366" t="n"/>
      <c r="AO49" s="366" t="n"/>
      <c r="AP49" s="350" t="n"/>
      <c r="AQ49" s="359" t="n"/>
      <c r="AR49" s="359" t="n"/>
      <c r="AS49" s="281">
        <f>COUNTIFS(H49,"一期",I49,"在读")+COUNTIFS(L49,"一期",M49,"在读")+COUNTIFS(P49,"一期",Q49,"在读")</f>
        <v/>
      </c>
      <c r="AT49" s="281">
        <f>AS49-AX49</f>
        <v/>
      </c>
      <c r="AU49" s="366">
        <f>VLOOKUP(B49,'UV台帐'!B:AL,19,0)</f>
        <v/>
      </c>
      <c r="AV49" s="366">
        <f>VLOOKUP(B49,'UV台帐'!B:AL,28,0)</f>
        <v/>
      </c>
      <c r="AW49" s="366">
        <f>VLOOKUP(B49,'UV台帐'!B:AL,37,0)</f>
        <v/>
      </c>
      <c r="AX49" s="281">
        <f>COUNTIFS(H49,"一期",AU49,"是")+COUNTIFS(L49,"一期",AV49,"是")+COUNTIFS(P49,"一期",AW49,"是")</f>
        <v/>
      </c>
      <c r="AZ49" s="359" t="n"/>
      <c r="BA49" s="359" t="n"/>
    </row>
    <row r="50" ht="26.25" customFormat="1" customHeight="1" s="366">
      <c r="A50" s="281" t="inlineStr">
        <is>
          <t>新宝利</t>
        </is>
      </c>
      <c r="B50" s="281"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81" t="inlineStr">
        <is>
          <t>何咏04</t>
        </is>
      </c>
      <c r="S50" s="281" t="n"/>
      <c r="T50" s="281" t="n"/>
      <c r="U50" s="7" t="inlineStr">
        <is>
          <t>何咏04</t>
        </is>
      </c>
      <c r="V50" s="421" t="n"/>
      <c r="W50" s="7" t="inlineStr">
        <is>
          <t>-</t>
        </is>
      </c>
      <c r="X50" s="127" t="n"/>
      <c r="Y50" s="7" t="inlineStr">
        <is>
          <t>-</t>
        </is>
      </c>
      <c r="Z50" s="7" t="n"/>
      <c r="AA50" s="315" t="n"/>
      <c r="AB50" s="281" t="n"/>
      <c r="AC50" s="315" t="n"/>
      <c r="AD50" s="315" t="n"/>
      <c r="AE50" s="281" t="inlineStr">
        <is>
          <t>张敏烨</t>
        </is>
      </c>
      <c r="AF50" s="281">
        <f>VLOOKUP(B50,'UV台帐'!B:G,6,0)</f>
        <v/>
      </c>
      <c r="AG50" s="281" t="n"/>
      <c r="AH50" s="281" t="n"/>
      <c r="AI50" s="281" t="n"/>
      <c r="AJ50" s="426" t="n"/>
      <c r="AK50" s="426" t="n"/>
      <c r="AL50" s="366" t="n"/>
      <c r="AM50" s="366" t="n"/>
      <c r="AN50" s="366" t="n"/>
      <c r="AO50" s="366" t="n"/>
      <c r="AP50" s="350" t="n"/>
      <c r="AQ50" s="359" t="n"/>
      <c r="AR50" s="359" t="n"/>
      <c r="AS50" s="281">
        <f>COUNTIFS(H50,"一期",I50,"在读")+COUNTIFS(L50,"一期",M50,"在读")+COUNTIFS(P50,"一期",Q50,"在读")</f>
        <v/>
      </c>
      <c r="AT50" s="281">
        <f>AS50-AX50</f>
        <v/>
      </c>
      <c r="AU50" s="366">
        <f>VLOOKUP(B50,'UV台帐'!B:AL,19,0)</f>
        <v/>
      </c>
      <c r="AV50" s="366">
        <f>VLOOKUP(B50,'UV台帐'!B:AL,28,0)</f>
        <v/>
      </c>
      <c r="AW50" s="366">
        <f>VLOOKUP(B50,'UV台帐'!B:AL,37,0)</f>
        <v/>
      </c>
      <c r="AX50" s="281">
        <f>COUNTIFS(H50,"一期",AU50,"是")+COUNTIFS(L50,"一期",AV50,"是")+COUNTIFS(P50,"一期",AW50,"是")</f>
        <v/>
      </c>
      <c r="AZ50" s="359" t="n"/>
      <c r="BA50" s="359" t="n"/>
    </row>
    <row r="51" ht="26.25" customFormat="1" customHeight="1" s="366">
      <c r="A51" s="281" t="inlineStr">
        <is>
          <t>新宝利</t>
        </is>
      </c>
      <c r="B51" s="281"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inlineStr">
        <is>
          <t>何咏04</t>
        </is>
      </c>
      <c r="S51" s="281" t="n"/>
      <c r="T51" s="281" t="n"/>
      <c r="U51" s="7" t="inlineStr">
        <is>
          <t>肖锐03</t>
        </is>
      </c>
      <c r="V51" s="421" t="n"/>
      <c r="W51" s="119" t="inlineStr">
        <is>
          <t>陈南05</t>
        </is>
      </c>
      <c r="X51" s="127" t="n"/>
      <c r="Y51" s="281" t="inlineStr">
        <is>
          <t>何咏04</t>
        </is>
      </c>
      <c r="Z51" s="119" t="n"/>
      <c r="AA51" s="315" t="n"/>
      <c r="AB51" s="281" t="n"/>
      <c r="AC51" s="315" t="n"/>
      <c r="AD51" s="315" t="n"/>
      <c r="AE51" s="281" t="inlineStr">
        <is>
          <t>张敏烨</t>
        </is>
      </c>
      <c r="AF51" s="281">
        <f>VLOOKUP(B51,'UV台帐'!B:G,6,0)</f>
        <v/>
      </c>
      <c r="AG51" s="281" t="n"/>
      <c r="AH51" s="281" t="n"/>
      <c r="AI51" s="281" t="n"/>
      <c r="AJ51" s="426" t="n"/>
      <c r="AK51" s="426" t="n"/>
      <c r="AL51" s="366" t="n"/>
      <c r="AM51" s="366" t="n"/>
      <c r="AN51" s="366" t="n"/>
      <c r="AO51" s="366" t="n"/>
      <c r="AP51" s="350" t="n"/>
      <c r="AQ51" s="359" t="n"/>
      <c r="AR51" s="359" t="n"/>
      <c r="AS51" s="281">
        <f>COUNTIFS(H51,"一期",I51,"在读")+COUNTIFS(L51,"一期",M51,"在读")+COUNTIFS(P51,"一期",Q51,"在读")</f>
        <v/>
      </c>
      <c r="AT51" s="281">
        <f>AS51-AX51</f>
        <v/>
      </c>
      <c r="AU51" s="366">
        <f>VLOOKUP(B51,'UV台帐'!B:AL,19,0)</f>
        <v/>
      </c>
      <c r="AV51" s="366">
        <f>VLOOKUP(B51,'UV台帐'!B:AL,28,0)</f>
        <v/>
      </c>
      <c r="AW51" s="366">
        <f>VLOOKUP(B51,'UV台帐'!B:AL,37,0)</f>
        <v/>
      </c>
      <c r="AX51" s="281">
        <f>COUNTIFS(H51,"一期",AU51,"是")+COUNTIFS(L51,"一期",AV51,"是")+COUNTIFS(P51,"一期",AW51,"是")</f>
        <v/>
      </c>
      <c r="AZ51" s="359" t="n"/>
      <c r="BA51" s="359" t="n"/>
    </row>
    <row r="52" ht="26.25" customFormat="1" customHeight="1" s="366">
      <c r="A52" s="281" t="inlineStr">
        <is>
          <t>新宝利</t>
        </is>
      </c>
      <c r="B52" s="281"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81" t="n"/>
      <c r="S52" s="281" t="n"/>
      <c r="T52" s="281" t="n"/>
      <c r="U52" s="7" t="inlineStr">
        <is>
          <t>田雨涵01</t>
        </is>
      </c>
      <c r="V52" s="421" t="n"/>
      <c r="W52" s="7" t="inlineStr">
        <is>
          <t>李润</t>
        </is>
      </c>
      <c r="X52" s="127" t="n"/>
      <c r="Y52" s="7" t="inlineStr">
        <is>
          <t>-</t>
        </is>
      </c>
      <c r="Z52" s="7" t="n"/>
      <c r="AA52" s="315" t="n"/>
      <c r="AB52" s="281" t="n"/>
      <c r="AC52" s="315" t="n"/>
      <c r="AD52" s="315" t="n"/>
      <c r="AE52" s="281" t="inlineStr">
        <is>
          <t>林志豪01</t>
        </is>
      </c>
      <c r="AF52" s="281">
        <f>VLOOKUP(B52,'UV台帐'!B:G,6,0)</f>
        <v/>
      </c>
      <c r="AG52" s="281" t="n"/>
      <c r="AH52" s="281" t="n"/>
      <c r="AI52" s="281" t="n"/>
      <c r="AJ52" s="426" t="n"/>
      <c r="AK52" s="426" t="n"/>
      <c r="AL52" s="366" t="n"/>
      <c r="AM52" s="366" t="n"/>
      <c r="AN52" s="366" t="n"/>
      <c r="AO52" s="366" t="n"/>
      <c r="AP52" s="350" t="n"/>
      <c r="AQ52" s="359" t="n"/>
      <c r="AR52" s="359" t="n"/>
      <c r="AS52" s="281">
        <f>COUNTIFS(H52,"一期",I52,"在读")+COUNTIFS(L52,"一期",M52,"在读")+COUNTIFS(P52,"一期",Q52,"在读")</f>
        <v/>
      </c>
      <c r="AT52" s="281">
        <f>AS52-AX52</f>
        <v/>
      </c>
      <c r="AU52" s="366">
        <f>VLOOKUP(B52,'UV台帐'!B:AL,19,0)</f>
        <v/>
      </c>
      <c r="AV52" s="366">
        <f>VLOOKUP(B52,'UV台帐'!B:AL,28,0)</f>
        <v/>
      </c>
      <c r="AW52" s="366">
        <f>VLOOKUP(B52,'UV台帐'!B:AL,37,0)</f>
        <v/>
      </c>
      <c r="AX52" s="281">
        <f>COUNTIFS(H52,"一期",AU52,"是")+COUNTIFS(L52,"一期",AV52,"是")+COUNTIFS(P52,"一期",AW52,"是")</f>
        <v/>
      </c>
      <c r="AZ52" s="359" t="n"/>
      <c r="BA52" s="359" t="n"/>
    </row>
    <row r="53" ht="26.25" customFormat="1" customHeight="1" s="366">
      <c r="A53" s="281" t="inlineStr">
        <is>
          <t>新宝利</t>
        </is>
      </c>
      <c r="B53" s="281"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inlineStr">
        <is>
          <t>何咏04</t>
        </is>
      </c>
      <c r="S53" s="281" t="n"/>
      <c r="T53" s="281" t="n"/>
      <c r="U53" s="421" t="inlineStr">
        <is>
          <t>肖锐03</t>
        </is>
      </c>
      <c r="V53" s="421" t="n"/>
      <c r="W53" s="7" t="inlineStr">
        <is>
          <t>李润</t>
        </is>
      </c>
      <c r="X53" s="127" t="n"/>
      <c r="Y53" s="281" t="inlineStr">
        <is>
          <t>何咏04</t>
        </is>
      </c>
      <c r="Z53" s="421" t="n"/>
      <c r="AA53" s="281" t="n"/>
      <c r="AB53" s="281" t="n"/>
      <c r="AC53" s="281" t="n"/>
      <c r="AD53" s="281" t="n"/>
      <c r="AE53" s="281" t="inlineStr">
        <is>
          <t>杨林33</t>
        </is>
      </c>
      <c r="AF53" s="281">
        <f>VLOOKUP(B53,'UV台帐'!B:G,6,0)</f>
        <v/>
      </c>
      <c r="AG53" s="281" t="n"/>
      <c r="AH53" s="281" t="n"/>
      <c r="AI53" s="281" t="n"/>
      <c r="AJ53" s="426" t="n"/>
      <c r="AK53" s="426" t="n"/>
      <c r="AL53" s="366" t="n"/>
      <c r="AM53" s="366" t="n"/>
      <c r="AN53" s="366" t="n"/>
      <c r="AO53" s="366" t="n"/>
      <c r="AP53" s="350" t="n"/>
      <c r="AQ53" s="359" t="n"/>
      <c r="AR53" s="359" t="n"/>
      <c r="AS53" s="281">
        <f>COUNTIFS(H53,"一期",I53,"在读")+COUNTIFS(L53,"一期",M53,"在读")+COUNTIFS(P53,"一期",Q53,"在读")</f>
        <v/>
      </c>
      <c r="AT53" s="281">
        <f>AS53-AX53</f>
        <v/>
      </c>
      <c r="AU53" s="366">
        <f>VLOOKUP(B53,'UV台帐'!B:AL,19,0)</f>
        <v/>
      </c>
      <c r="AV53" s="366">
        <f>VLOOKUP(B53,'UV台帐'!B:AL,28,0)</f>
        <v/>
      </c>
      <c r="AW53" s="366">
        <f>VLOOKUP(B53,'UV台帐'!B:AL,37,0)</f>
        <v/>
      </c>
      <c r="AX53" s="281">
        <f>COUNTIFS(H53,"一期",AU53,"是")+COUNTIFS(L53,"一期",AV53,"是")+COUNTIFS(P53,"一期",AW53,"是")</f>
        <v/>
      </c>
      <c r="AZ53" s="359" t="n"/>
      <c r="BA53" s="359" t="n"/>
    </row>
    <row r="54" ht="26.25" customFormat="1" customHeight="1" s="366">
      <c r="A54" s="281" t="inlineStr">
        <is>
          <t>天成大厦</t>
        </is>
      </c>
      <c r="B54" s="281"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n"/>
      <c r="T54" s="281" t="n"/>
      <c r="U54" s="7" t="inlineStr">
        <is>
          <t>刘希子</t>
        </is>
      </c>
      <c r="V54" s="421" t="n"/>
      <c r="W54" s="7" t="inlineStr">
        <is>
          <t>李润</t>
        </is>
      </c>
      <c r="X54" s="127" t="n"/>
      <c r="Y54" s="281" t="inlineStr">
        <is>
          <t>陈中帅</t>
        </is>
      </c>
      <c r="Z54" s="7" t="n"/>
      <c r="AA54" s="315" t="n"/>
      <c r="AB54" s="281" t="n"/>
      <c r="AC54" s="315" t="n"/>
      <c r="AD54" s="315" t="n"/>
      <c r="AE54" s="281" t="inlineStr">
        <is>
          <t>沈思浩</t>
        </is>
      </c>
      <c r="AF54" s="281">
        <f>VLOOKUP(B54,'UV台帐'!B:G,6,0)</f>
        <v/>
      </c>
      <c r="AG54" s="281" t="n"/>
      <c r="AH54" s="281" t="n"/>
      <c r="AI54" s="281" t="n"/>
      <c r="AJ54" s="426" t="n"/>
      <c r="AK54" s="426" t="n"/>
      <c r="AL54" s="366" t="n"/>
      <c r="AM54" s="366" t="n"/>
      <c r="AN54" s="366" t="n"/>
      <c r="AO54" s="366" t="n"/>
      <c r="AP54" s="350" t="n"/>
      <c r="AQ54" s="359" t="n"/>
      <c r="AR54" s="359" t="n"/>
      <c r="AS54" s="281">
        <f>COUNTIFS(H54,"一期",I54,"在读")+COUNTIFS(L54,"一期",M54,"在读")+COUNTIFS(P54,"一期",Q54,"在读")</f>
        <v/>
      </c>
      <c r="AT54" s="281">
        <f>AS54-AX54</f>
        <v/>
      </c>
      <c r="AU54" s="366">
        <f>VLOOKUP(B54,'UV台帐'!B:AL,19,0)</f>
        <v/>
      </c>
      <c r="AV54" s="366">
        <f>VLOOKUP(B54,'UV台帐'!B:AL,28,0)</f>
        <v/>
      </c>
      <c r="AW54" s="366">
        <f>VLOOKUP(B54,'UV台帐'!B:AL,37,0)</f>
        <v/>
      </c>
      <c r="AX54" s="281">
        <f>COUNTIFS(H54,"一期",AU54,"是")+COUNTIFS(L54,"一期",AV54,"是")+COUNTIFS(P54,"一期",AW54,"是")</f>
        <v/>
      </c>
      <c r="AZ54" s="359" t="n"/>
      <c r="BA54" s="359" t="n"/>
    </row>
    <row r="55" ht="26.25" customFormat="1" customHeight="1" s="366">
      <c r="A55" s="281" t="inlineStr">
        <is>
          <t>新宝利</t>
        </is>
      </c>
      <c r="B55" s="281"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inlineStr">
        <is>
          <t>何咏04</t>
        </is>
      </c>
      <c r="S55" s="281" t="n"/>
      <c r="T55" s="281" t="n"/>
      <c r="U55" s="7" t="inlineStr">
        <is>
          <t>何咏04</t>
        </is>
      </c>
      <c r="V55" s="7" t="n"/>
      <c r="W55" s="7" t="inlineStr">
        <is>
          <t>肖锐03</t>
        </is>
      </c>
      <c r="X55" s="127" t="n"/>
      <c r="Y55" s="7" t="inlineStr">
        <is>
          <t>李润</t>
        </is>
      </c>
      <c r="Z55" s="7" t="n"/>
      <c r="AA55" s="315" t="n"/>
      <c r="AB55" s="281" t="n"/>
      <c r="AC55" s="315" t="n"/>
      <c r="AD55" s="315" t="n"/>
      <c r="AE55" s="281" t="inlineStr">
        <is>
          <t>张敏烨</t>
        </is>
      </c>
      <c r="AF55" s="281">
        <f>VLOOKUP(B55,'UV台帐'!B:G,6,0)</f>
        <v/>
      </c>
      <c r="AG55" s="281" t="n"/>
      <c r="AH55" s="281" t="n"/>
      <c r="AI55" s="281" t="n"/>
      <c r="AJ55" s="426" t="n"/>
      <c r="AK55" s="426" t="n"/>
      <c r="AL55" s="366" t="n"/>
      <c r="AM55" s="366" t="n"/>
      <c r="AN55" s="366" t="n"/>
      <c r="AO55" s="366" t="n"/>
      <c r="AP55" s="350" t="n"/>
      <c r="AQ55" s="359" t="n"/>
      <c r="AR55" s="359" t="n"/>
      <c r="AS55" s="281">
        <f>COUNTIFS(H55,"一期",I55,"在读")+COUNTIFS(L55,"一期",M55,"在读")+COUNTIFS(P55,"一期",Q55,"在读")</f>
        <v/>
      </c>
      <c r="AT55" s="281">
        <f>AS55-AX55</f>
        <v/>
      </c>
      <c r="AU55" s="366">
        <f>VLOOKUP(B55,'UV台帐'!B:AL,19,0)</f>
        <v/>
      </c>
      <c r="AV55" s="366">
        <f>VLOOKUP(B55,'UV台帐'!B:AL,28,0)</f>
        <v/>
      </c>
      <c r="AW55" s="366">
        <f>VLOOKUP(B55,'UV台帐'!B:AL,37,0)</f>
        <v/>
      </c>
      <c r="AX55" s="281">
        <f>COUNTIFS(H55,"一期",AU55,"是")+COUNTIFS(L55,"一期",AV55,"是")+COUNTIFS(P55,"一期",AW55,"是")</f>
        <v/>
      </c>
      <c r="AZ55" s="359" t="n"/>
      <c r="BA55" s="359" t="n"/>
    </row>
    <row r="56" ht="26.25" customFormat="1" customHeight="1" s="366">
      <c r="A56" s="281" t="inlineStr">
        <is>
          <t>新宝利</t>
        </is>
      </c>
      <c r="B56" s="281"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inlineStr">
        <is>
          <t>何咏04</t>
        </is>
      </c>
      <c r="S56" s="281" t="n"/>
      <c r="T56" s="281" t="n"/>
      <c r="U56" s="7" t="inlineStr">
        <is>
          <t>何咏04</t>
        </is>
      </c>
      <c r="V56" s="421" t="n"/>
      <c r="W56" s="119" t="inlineStr">
        <is>
          <t>陈南05</t>
        </is>
      </c>
      <c r="X56" s="127" t="n"/>
      <c r="Y56" s="7" t="inlineStr">
        <is>
          <t>肖锐03</t>
        </is>
      </c>
      <c r="Z56" s="421" t="n"/>
      <c r="AA56" s="119" t="n"/>
      <c r="AB56" s="281" t="n"/>
      <c r="AC56" s="119" t="n"/>
      <c r="AD56" s="119" t="n"/>
      <c r="AE56" s="281" t="inlineStr">
        <is>
          <t>杨林33</t>
        </is>
      </c>
      <c r="AF56" s="281">
        <f>VLOOKUP(B56,'UV台帐'!B:G,6,0)</f>
        <v/>
      </c>
      <c r="AG56" s="281" t="n"/>
      <c r="AH56" s="281" t="n"/>
      <c r="AI56" s="281" t="n"/>
      <c r="AJ56" s="426" t="n"/>
      <c r="AK56" s="426" t="n"/>
      <c r="AL56" s="366" t="n"/>
      <c r="AM56" s="366" t="n"/>
      <c r="AN56" s="366" t="n"/>
      <c r="AO56" s="366" t="n"/>
      <c r="AP56" s="350" t="n"/>
      <c r="AQ56" s="359" t="n"/>
      <c r="AR56" s="359" t="n"/>
      <c r="AS56" s="281">
        <f>COUNTIFS(H56,"一期",I56,"在读")+COUNTIFS(L56,"一期",M56,"在读")+COUNTIFS(P56,"一期",Q56,"在读")</f>
        <v/>
      </c>
      <c r="AT56" s="281">
        <f>AS56-AX56</f>
        <v/>
      </c>
      <c r="AU56" s="366">
        <f>VLOOKUP(B56,'UV台帐'!B:AL,19,0)</f>
        <v/>
      </c>
      <c r="AV56" s="366">
        <f>VLOOKUP(B56,'UV台帐'!B:AL,28,0)</f>
        <v/>
      </c>
      <c r="AW56" s="366">
        <f>VLOOKUP(B56,'UV台帐'!B:AL,37,0)</f>
        <v/>
      </c>
      <c r="AX56" s="281">
        <f>COUNTIFS(H56,"一期",AU56,"是")+COUNTIFS(L56,"一期",AV56,"是")+COUNTIFS(P56,"一期",AW56,"是")</f>
        <v/>
      </c>
      <c r="AZ56" s="359" t="n"/>
      <c r="BA56" s="359" t="n"/>
    </row>
    <row r="57" ht="26.25" customFormat="1" customHeight="1" s="366">
      <c r="A57" s="281" t="inlineStr">
        <is>
          <t>新宝利</t>
        </is>
      </c>
      <c r="B57" s="281"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81" t="inlineStr">
        <is>
          <t>何咏04</t>
        </is>
      </c>
      <c r="S57" s="281" t="n"/>
      <c r="T57" s="281" t="n"/>
      <c r="U57" s="7" t="inlineStr">
        <is>
          <t>何咏04</t>
        </is>
      </c>
      <c r="V57" s="421" t="n"/>
      <c r="W57" s="7" t="inlineStr">
        <is>
          <t>-</t>
        </is>
      </c>
      <c r="X57" s="127" t="n"/>
      <c r="Y57" s="7" t="inlineStr">
        <is>
          <t>-</t>
        </is>
      </c>
      <c r="Z57" s="7" t="n"/>
      <c r="AA57" s="315" t="n"/>
      <c r="AB57" s="281" t="n"/>
      <c r="AC57" s="315" t="n"/>
      <c r="AD57" s="315" t="n"/>
      <c r="AE57" s="281" t="inlineStr">
        <is>
          <t>杨林33</t>
        </is>
      </c>
      <c r="AF57" s="281">
        <f>VLOOKUP(B57,'UV台帐'!B:G,6,0)</f>
        <v/>
      </c>
      <c r="AG57" s="281" t="n"/>
      <c r="AH57" s="281" t="n"/>
      <c r="AI57" s="281" t="n"/>
      <c r="AJ57" s="426" t="n"/>
      <c r="AK57" s="426" t="n"/>
      <c r="AL57" s="366" t="n"/>
      <c r="AM57" s="366" t="n"/>
      <c r="AN57" s="366" t="n"/>
      <c r="AO57" s="366" t="n"/>
      <c r="AP57" s="350" t="n"/>
      <c r="AQ57" s="359" t="n"/>
      <c r="AR57" s="359" t="n"/>
      <c r="AS57" s="281">
        <f>COUNTIFS(H57,"一期",I57,"在读")+COUNTIFS(L57,"一期",M57,"在读")+COUNTIFS(P57,"一期",Q57,"在读")</f>
        <v/>
      </c>
      <c r="AT57" s="281">
        <f>AS57-AX57</f>
        <v/>
      </c>
      <c r="AU57" s="366">
        <f>VLOOKUP(B57,'UV台帐'!B:AL,19,0)</f>
        <v/>
      </c>
      <c r="AV57" s="366">
        <f>VLOOKUP(B57,'UV台帐'!B:AL,28,0)</f>
        <v/>
      </c>
      <c r="AW57" s="366">
        <f>VLOOKUP(B57,'UV台帐'!B:AL,37,0)</f>
        <v/>
      </c>
      <c r="AX57" s="281">
        <f>COUNTIFS(H57,"一期",AU57,"是")+COUNTIFS(L57,"一期",AV57,"是")+COUNTIFS(P57,"一期",AW57,"是")</f>
        <v/>
      </c>
      <c r="AZ57" s="359" t="n"/>
      <c r="BA57" s="359" t="n"/>
    </row>
    <row r="58" ht="26.25" customFormat="1" customHeight="1" s="366">
      <c r="A58" s="281" t="inlineStr">
        <is>
          <t>新宝利</t>
        </is>
      </c>
      <c r="B58" s="281"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inlineStr">
        <is>
          <t>何咏04</t>
        </is>
      </c>
      <c r="S58" s="281" t="n"/>
      <c r="T58" s="281" t="n"/>
      <c r="U58" s="7" t="inlineStr">
        <is>
          <t>李润</t>
        </is>
      </c>
      <c r="V58" s="421" t="n"/>
      <c r="W58" s="7" t="inlineStr">
        <is>
          <t>何咏04</t>
        </is>
      </c>
      <c r="X58" s="127" t="n"/>
      <c r="Y58" s="421" t="inlineStr">
        <is>
          <t>肖锐03</t>
        </is>
      </c>
      <c r="Z58" s="421" t="n"/>
      <c r="AA58" s="315" t="n"/>
      <c r="AB58" s="281" t="n"/>
      <c r="AC58" s="315" t="n"/>
      <c r="AD58" s="315" t="n"/>
      <c r="AE58" s="281" t="inlineStr">
        <is>
          <t>杨林33</t>
        </is>
      </c>
      <c r="AF58" s="281">
        <f>VLOOKUP(B58,'UV台帐'!B:G,6,0)</f>
        <v/>
      </c>
      <c r="AG58" s="281" t="n"/>
      <c r="AH58" s="281" t="n"/>
      <c r="AI58" s="281" t="n"/>
      <c r="AJ58" s="426" t="n"/>
      <c r="AK58" s="426" t="n"/>
      <c r="AL58" s="366" t="n"/>
      <c r="AM58" s="366" t="n"/>
      <c r="AN58" s="366" t="n"/>
      <c r="AO58" s="366" t="n"/>
      <c r="AP58" s="350" t="n"/>
      <c r="AQ58" s="359" t="n"/>
      <c r="AR58" s="359" t="n"/>
      <c r="AS58" s="281">
        <f>COUNTIFS(H58,"一期",I58,"在读")+COUNTIFS(L58,"一期",M58,"在读")+COUNTIFS(P58,"一期",Q58,"在读")</f>
        <v/>
      </c>
      <c r="AT58" s="281">
        <f>AS58-AX58</f>
        <v/>
      </c>
      <c r="AU58" s="366">
        <f>VLOOKUP(B58,'UV台帐'!B:AL,19,0)</f>
        <v/>
      </c>
      <c r="AV58" s="366">
        <f>VLOOKUP(B58,'UV台帐'!B:AL,28,0)</f>
        <v/>
      </c>
      <c r="AW58" s="366">
        <f>VLOOKUP(B58,'UV台帐'!B:AL,37,0)</f>
        <v/>
      </c>
      <c r="AX58" s="281">
        <f>COUNTIFS(H58,"一期",AU58,"是")+COUNTIFS(L58,"一期",AV58,"是")+COUNTIFS(P58,"一期",AW58,"是")</f>
        <v/>
      </c>
      <c r="AZ58" s="359" t="n"/>
      <c r="BA58" s="359" t="n"/>
    </row>
    <row r="59" ht="26.25" customFormat="1" customHeight="1" s="366">
      <c r="A59" s="281" t="inlineStr">
        <is>
          <t>天成大厦</t>
        </is>
      </c>
      <c r="B59" s="281"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n"/>
      <c r="T59" s="281" t="n"/>
      <c r="U59" s="7" t="inlineStr">
        <is>
          <t>刘希子</t>
        </is>
      </c>
      <c r="V59" s="421" t="n"/>
      <c r="W59" s="7" t="inlineStr">
        <is>
          <t>李润</t>
        </is>
      </c>
      <c r="X59" s="127" t="n"/>
      <c r="Y59" s="281" t="inlineStr">
        <is>
          <t>陈中帅</t>
        </is>
      </c>
      <c r="Z59" s="7" t="n"/>
      <c r="AA59" s="119" t="n"/>
      <c r="AB59" s="281" t="n"/>
      <c r="AC59" s="119" t="n"/>
      <c r="AD59" s="119" t="n"/>
      <c r="AE59" s="281" t="inlineStr">
        <is>
          <t>陈亮延</t>
        </is>
      </c>
      <c r="AF59" s="281">
        <f>VLOOKUP(B59,'UV台帐'!B:G,6,0)</f>
        <v/>
      </c>
      <c r="AG59" s="281" t="n"/>
      <c r="AH59" s="281" t="n"/>
      <c r="AI59" s="281" t="n"/>
      <c r="AJ59" s="426" t="n"/>
      <c r="AK59" s="426" t="n"/>
      <c r="AL59" s="366" t="n"/>
      <c r="AM59" s="366" t="n"/>
      <c r="AN59" s="366" t="n"/>
      <c r="AO59" s="366" t="n"/>
      <c r="AP59" s="350" t="n"/>
      <c r="AQ59" s="359" t="n"/>
      <c r="AR59" s="359" t="n"/>
      <c r="AS59" s="281">
        <f>COUNTIFS(H59,"一期",I59,"在读")+COUNTIFS(L59,"一期",M59,"在读")+COUNTIFS(P59,"一期",Q59,"在读")</f>
        <v/>
      </c>
      <c r="AT59" s="281">
        <f>AS59-AX59</f>
        <v/>
      </c>
      <c r="AU59" s="366">
        <f>VLOOKUP(B59,'UV台帐'!B:AL,19,0)</f>
        <v/>
      </c>
      <c r="AV59" s="366">
        <f>VLOOKUP(B59,'UV台帐'!B:AL,28,0)</f>
        <v/>
      </c>
      <c r="AW59" s="366">
        <f>VLOOKUP(B59,'UV台帐'!B:AL,37,0)</f>
        <v/>
      </c>
      <c r="AX59" s="281">
        <f>COUNTIFS(H59,"一期",AU59,"是")+COUNTIFS(L59,"一期",AV59,"是")+COUNTIFS(P59,"一期",AW59,"是")</f>
        <v/>
      </c>
      <c r="AZ59" s="359" t="n"/>
      <c r="BA59" s="359" t="n"/>
    </row>
    <row r="60" ht="26.25" customFormat="1" customHeight="1" s="366">
      <c r="A60" s="281" t="inlineStr">
        <is>
          <t>新宝利</t>
        </is>
      </c>
      <c r="B60" s="281"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81" t="n"/>
      <c r="S60" s="281" t="n"/>
      <c r="T60" s="281" t="n"/>
      <c r="U60" s="7" t="inlineStr">
        <is>
          <t>-</t>
        </is>
      </c>
      <c r="V60" s="421" t="n"/>
      <c r="W60" s="281" t="inlineStr">
        <is>
          <t>李润</t>
        </is>
      </c>
      <c r="X60" s="127" t="n"/>
      <c r="Y60" s="7" t="inlineStr">
        <is>
          <t>-</t>
        </is>
      </c>
      <c r="Z60" s="119" t="n"/>
      <c r="AA60" s="315" t="n"/>
      <c r="AB60" s="281" t="n"/>
      <c r="AC60" s="315" t="n"/>
      <c r="AD60" s="315" t="n"/>
      <c r="AE60" s="281" t="inlineStr">
        <is>
          <t>沈思浩</t>
        </is>
      </c>
      <c r="AF60" s="281">
        <f>VLOOKUP(B60,'UV台帐'!B:G,6,0)</f>
        <v/>
      </c>
      <c r="AG60" s="281" t="n"/>
      <c r="AH60" s="281" t="n"/>
      <c r="AI60" s="281" t="n"/>
      <c r="AJ60" s="426" t="n"/>
      <c r="AK60" s="426" t="n"/>
      <c r="AL60" s="366" t="n"/>
      <c r="AM60" s="366" t="n"/>
      <c r="AN60" s="366" t="n"/>
      <c r="AO60" s="366" t="n"/>
      <c r="AP60" s="350" t="n"/>
      <c r="AQ60" s="359" t="n"/>
      <c r="AR60" s="359" t="n"/>
      <c r="AS60" s="281">
        <f>COUNTIFS(H60,"一期",I60,"在读")+COUNTIFS(L60,"一期",M60,"在读")+COUNTIFS(P60,"一期",Q60,"在读")</f>
        <v/>
      </c>
      <c r="AT60" s="281">
        <f>AS60-AX60</f>
        <v/>
      </c>
      <c r="AU60" s="366">
        <f>VLOOKUP(B60,'UV台帐'!B:AL,19,0)</f>
        <v/>
      </c>
      <c r="AV60" s="366">
        <f>VLOOKUP(B60,'UV台帐'!B:AL,28,0)</f>
        <v/>
      </c>
      <c r="AW60" s="366">
        <f>VLOOKUP(B60,'UV台帐'!B:AL,37,0)</f>
        <v/>
      </c>
      <c r="AX60" s="281">
        <f>COUNTIFS(H60,"一期",AU60,"是")+COUNTIFS(L60,"一期",AV60,"是")+COUNTIFS(P60,"一期",AW60,"是")</f>
        <v/>
      </c>
      <c r="AZ60" s="359" t="n"/>
      <c r="BA60" s="359" t="n"/>
    </row>
    <row r="61" ht="26.25" customFormat="1" customHeight="1" s="366">
      <c r="A61" s="281" t="inlineStr">
        <is>
          <t>新宝利</t>
        </is>
      </c>
      <c r="B61" s="281"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inlineStr">
        <is>
          <t>何咏04</t>
        </is>
      </c>
      <c r="S61" s="281" t="n"/>
      <c r="T61" s="281" t="n"/>
      <c r="U61" s="7" t="inlineStr">
        <is>
          <t>李润</t>
        </is>
      </c>
      <c r="V61" s="421" t="n"/>
      <c r="W61" s="7" t="inlineStr">
        <is>
          <t>何咏04</t>
        </is>
      </c>
      <c r="X61" s="127" t="n"/>
      <c r="Y61" s="421" t="inlineStr">
        <is>
          <t>肖锐03</t>
        </is>
      </c>
      <c r="Z61" s="421" t="n"/>
      <c r="AA61" s="281" t="n"/>
      <c r="AB61" s="281" t="n"/>
      <c r="AC61" s="281" t="n"/>
      <c r="AD61" s="281" t="n"/>
      <c r="AE61" s="281" t="inlineStr">
        <is>
          <t>张敏烨</t>
        </is>
      </c>
      <c r="AF61" s="281">
        <f>VLOOKUP(B61,'UV台帐'!B:G,6,0)</f>
        <v/>
      </c>
      <c r="AG61" s="281" t="n"/>
      <c r="AH61" s="281" t="n"/>
      <c r="AI61" s="281" t="n"/>
      <c r="AJ61" s="426" t="n"/>
      <c r="AK61" s="426" t="n"/>
      <c r="AL61" s="366" t="n"/>
      <c r="AM61" s="366" t="n"/>
      <c r="AN61" s="366" t="n"/>
      <c r="AO61" s="366" t="n"/>
      <c r="AP61" s="350" t="n"/>
      <c r="AQ61" s="359" t="n"/>
      <c r="AR61" s="359" t="n"/>
      <c r="AS61" s="281">
        <f>COUNTIFS(H61,"一期",I61,"在读")+COUNTIFS(L61,"一期",M61,"在读")+COUNTIFS(P61,"一期",Q61,"在读")</f>
        <v/>
      </c>
      <c r="AT61" s="281">
        <f>AS61-AX61</f>
        <v/>
      </c>
      <c r="AU61" s="366">
        <f>VLOOKUP(B61,'UV台帐'!B:AL,19,0)</f>
        <v/>
      </c>
      <c r="AV61" s="366">
        <f>VLOOKUP(B61,'UV台帐'!B:AL,28,0)</f>
        <v/>
      </c>
      <c r="AW61" s="366">
        <f>VLOOKUP(B61,'UV台帐'!B:AL,37,0)</f>
        <v/>
      </c>
      <c r="AX61" s="281">
        <f>COUNTIFS(H61,"一期",AU61,"是")+COUNTIFS(L61,"一期",AV61,"是")+COUNTIFS(P61,"一期",AW61,"是")</f>
        <v/>
      </c>
      <c r="AZ61" s="359" t="n"/>
      <c r="BA61" s="359" t="n"/>
    </row>
    <row r="62" ht="26.25" customFormat="1" customHeight="1" s="366">
      <c r="A62" s="281" t="inlineStr">
        <is>
          <t>新宝利</t>
        </is>
      </c>
      <c r="B62" s="281"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inlineStr">
        <is>
          <t>何咏04</t>
        </is>
      </c>
      <c r="S62" s="281" t="n"/>
      <c r="T62" s="281" t="n"/>
      <c r="U62" s="7" t="inlineStr">
        <is>
          <t>李润</t>
        </is>
      </c>
      <c r="V62" s="421" t="n"/>
      <c r="W62" s="7" t="inlineStr">
        <is>
          <t>何咏04</t>
        </is>
      </c>
      <c r="X62" s="127" t="n"/>
      <c r="Y62" s="7" t="inlineStr">
        <is>
          <t>肖锐03</t>
        </is>
      </c>
      <c r="Z62" s="7" t="n"/>
      <c r="AA62" s="315" t="n"/>
      <c r="AB62" s="281" t="n"/>
      <c r="AC62" s="315" t="n"/>
      <c r="AD62" s="315" t="n"/>
      <c r="AE62" s="281" t="inlineStr">
        <is>
          <t>张敏烨</t>
        </is>
      </c>
      <c r="AF62" s="281">
        <f>VLOOKUP(B62,'UV台帐'!B:G,6,0)</f>
        <v/>
      </c>
      <c r="AG62" s="281" t="n"/>
      <c r="AH62" s="281" t="n"/>
      <c r="AI62" s="281" t="n"/>
      <c r="AJ62" s="426" t="n"/>
      <c r="AK62" s="426" t="n"/>
      <c r="AL62" s="366" t="n"/>
      <c r="AM62" s="366" t="n"/>
      <c r="AN62" s="366" t="n"/>
      <c r="AO62" s="366" t="n"/>
      <c r="AP62" s="350" t="n"/>
      <c r="AQ62" s="359" t="n"/>
      <c r="AR62" s="359" t="n"/>
      <c r="AS62" s="281">
        <f>COUNTIFS(H62,"一期",I62,"在读")+COUNTIFS(L62,"一期",M62,"在读")+COUNTIFS(P62,"一期",Q62,"在读")</f>
        <v/>
      </c>
      <c r="AT62" s="281">
        <f>AS62-AX62</f>
        <v/>
      </c>
      <c r="AU62" s="366">
        <f>VLOOKUP(B62,'UV台帐'!B:AL,19,0)</f>
        <v/>
      </c>
      <c r="AV62" s="366">
        <f>VLOOKUP(B62,'UV台帐'!B:AL,28,0)</f>
        <v/>
      </c>
      <c r="AW62" s="366">
        <f>VLOOKUP(B62,'UV台帐'!B:AL,37,0)</f>
        <v/>
      </c>
      <c r="AX62" s="281">
        <f>COUNTIFS(H62,"一期",AU62,"是")+COUNTIFS(L62,"一期",AV62,"是")+COUNTIFS(P62,"一期",AW62,"是")</f>
        <v/>
      </c>
      <c r="AZ62" s="359" t="n"/>
      <c r="BA62" s="359" t="n"/>
    </row>
    <row r="63" ht="26.25" customFormat="1" customHeight="1" s="366">
      <c r="A63" s="281" t="inlineStr">
        <is>
          <t>新宝利</t>
        </is>
      </c>
      <c r="B63" s="281"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81" t="inlineStr">
        <is>
          <t>何咏04</t>
        </is>
      </c>
      <c r="S63" s="281" t="n"/>
      <c r="T63" s="281" t="n"/>
      <c r="U63" s="7" t="inlineStr">
        <is>
          <t>李润</t>
        </is>
      </c>
      <c r="V63" s="421" t="n"/>
      <c r="W63" s="7" t="inlineStr">
        <is>
          <t>何咏04</t>
        </is>
      </c>
      <c r="X63" s="127" t="n"/>
      <c r="Y63" s="7" t="inlineStr">
        <is>
          <t>-</t>
        </is>
      </c>
      <c r="Z63" s="7" t="n"/>
      <c r="AA63" s="119" t="n"/>
      <c r="AB63" s="281" t="n"/>
      <c r="AC63" s="119" t="n"/>
      <c r="AD63" s="119" t="n"/>
      <c r="AE63" s="281" t="inlineStr">
        <is>
          <t>林志豪01</t>
        </is>
      </c>
      <c r="AF63" s="281">
        <f>VLOOKUP(B63,'UV台帐'!B:G,6,0)</f>
        <v/>
      </c>
      <c r="AG63" s="281" t="n"/>
      <c r="AH63" s="281" t="n"/>
      <c r="AI63" s="281" t="n"/>
      <c r="AJ63" s="426" t="n"/>
      <c r="AK63" s="426" t="n"/>
      <c r="AL63" s="366" t="n"/>
      <c r="AM63" s="366" t="n"/>
      <c r="AN63" s="366" t="n"/>
      <c r="AO63" s="366" t="n"/>
      <c r="AP63" s="350" t="n"/>
      <c r="AQ63" s="359" t="n"/>
      <c r="AR63" s="359" t="n"/>
      <c r="AS63" s="281">
        <f>COUNTIFS(H63,"一期",I63,"在读")+COUNTIFS(L63,"一期",M63,"在读")+COUNTIFS(P63,"一期",Q63,"在读")</f>
        <v/>
      </c>
      <c r="AT63" s="281">
        <f>AS63-AX63</f>
        <v/>
      </c>
      <c r="AU63" s="366">
        <f>VLOOKUP(B63,'UV台帐'!B:AL,19,0)</f>
        <v/>
      </c>
      <c r="AV63" s="366">
        <f>VLOOKUP(B63,'UV台帐'!B:AL,28,0)</f>
        <v/>
      </c>
      <c r="AW63" s="366">
        <f>VLOOKUP(B63,'UV台帐'!B:AL,37,0)</f>
        <v/>
      </c>
      <c r="AX63" s="281">
        <f>COUNTIFS(H63,"一期",AU63,"是")+COUNTIFS(L63,"一期",AV63,"是")+COUNTIFS(P63,"一期",AW63,"是")</f>
        <v/>
      </c>
      <c r="AZ63" s="359" t="n"/>
      <c r="BA63" s="359" t="n"/>
    </row>
    <row r="64" ht="26.25" customFormat="1" customHeight="1" s="366">
      <c r="A64" s="281" t="inlineStr">
        <is>
          <t>同创汇</t>
        </is>
      </c>
      <c r="B64" s="281"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n"/>
      <c r="T64" s="281" t="n"/>
      <c r="U64" s="281" t="inlineStr">
        <is>
          <t>陈中帅</t>
        </is>
      </c>
      <c r="V64" s="421" t="n"/>
      <c r="W64" s="7" t="inlineStr">
        <is>
          <t>黄铭怡</t>
        </is>
      </c>
      <c r="X64" s="127" t="n"/>
      <c r="Y64" s="119" t="inlineStr">
        <is>
          <t>高心怡04</t>
        </is>
      </c>
      <c r="Z64" s="119" t="n"/>
      <c r="AA64" s="315" t="n"/>
      <c r="AB64" s="281" t="n"/>
      <c r="AC64" s="315" t="n"/>
      <c r="AD64" s="315" t="n"/>
      <c r="AE64" s="281" t="inlineStr">
        <is>
          <t>戎凯01</t>
        </is>
      </c>
      <c r="AF64" s="281">
        <f>VLOOKUP(B64,'UV台帐'!B:G,6,0)</f>
        <v/>
      </c>
      <c r="AG64" s="281" t="n"/>
      <c r="AH64" s="281" t="n"/>
      <c r="AI64" s="281" t="n"/>
      <c r="AJ64" s="426" t="n"/>
      <c r="AK64" s="426" t="n"/>
      <c r="AL64" s="366" t="n"/>
      <c r="AM64" s="366" t="n"/>
      <c r="AN64" s="366" t="n"/>
      <c r="AO64" s="366" t="n"/>
      <c r="AP64" s="350" t="n"/>
      <c r="AQ64" s="359" t="n"/>
      <c r="AR64" s="359" t="n"/>
      <c r="AS64" s="281">
        <f>COUNTIFS(H64,"一期",I64,"在读")+COUNTIFS(L64,"一期",M64,"在读")+COUNTIFS(P64,"一期",Q64,"在读")</f>
        <v/>
      </c>
      <c r="AT64" s="281">
        <f>AS64-AX64</f>
        <v/>
      </c>
      <c r="AU64" s="366">
        <f>VLOOKUP(B64,'UV台帐'!B:AL,19,0)</f>
        <v/>
      </c>
      <c r="AV64" s="366">
        <f>VLOOKUP(B64,'UV台帐'!B:AL,28,0)</f>
        <v/>
      </c>
      <c r="AW64" s="366">
        <f>VLOOKUP(B64,'UV台帐'!B:AL,37,0)</f>
        <v/>
      </c>
      <c r="AX64" s="281">
        <f>COUNTIFS(H64,"一期",AU64,"是")+COUNTIFS(L64,"一期",AV64,"是")+COUNTIFS(P64,"一期",AW64,"是")</f>
        <v/>
      </c>
      <c r="AZ64" s="359" t="n"/>
      <c r="BA64" s="359" t="n"/>
    </row>
    <row r="65" ht="26.25" customFormat="1" customHeight="1" s="366">
      <c r="A65" s="281" t="inlineStr">
        <is>
          <t>新宝利</t>
        </is>
      </c>
      <c r="B65" s="281"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inlineStr">
        <is>
          <t>何咏04</t>
        </is>
      </c>
      <c r="S65" s="281" t="n"/>
      <c r="T65" s="281" t="n"/>
      <c r="U65" s="7" t="inlineStr">
        <is>
          <t>李润</t>
        </is>
      </c>
      <c r="V65" s="421" t="n"/>
      <c r="W65" s="7" t="inlineStr">
        <is>
          <t>何咏04</t>
        </is>
      </c>
      <c r="X65" s="127" t="n"/>
      <c r="Y65" s="7" t="inlineStr">
        <is>
          <t>肖锐03</t>
        </is>
      </c>
      <c r="Z65" s="7" t="n"/>
      <c r="AA65" s="315" t="n"/>
      <c r="AB65" s="281" t="n"/>
      <c r="AC65" s="315" t="n"/>
      <c r="AD65" s="315" t="n"/>
      <c r="AE65" s="281" t="inlineStr">
        <is>
          <t>林志豪01</t>
        </is>
      </c>
      <c r="AF65" s="281">
        <f>VLOOKUP(B65,'UV台帐'!B:G,6,0)</f>
        <v/>
      </c>
      <c r="AG65" s="281" t="n"/>
      <c r="AH65" s="281" t="n"/>
      <c r="AI65" s="281" t="n"/>
      <c r="AJ65" s="426" t="n"/>
      <c r="AK65" s="426" t="n"/>
      <c r="AL65" s="366" t="n"/>
      <c r="AM65" s="366" t="n"/>
      <c r="AN65" s="366" t="n"/>
      <c r="AO65" s="366" t="n"/>
      <c r="AP65" s="350" t="n"/>
      <c r="AQ65" s="359" t="n"/>
      <c r="AR65" s="359" t="n"/>
      <c r="AS65" s="281">
        <f>COUNTIFS(H65,"一期",I65,"在读")+COUNTIFS(L65,"一期",M65,"在读")+COUNTIFS(P65,"一期",Q65,"在读")</f>
        <v/>
      </c>
      <c r="AT65" s="281">
        <f>AS65-AX65</f>
        <v/>
      </c>
      <c r="AU65" s="366">
        <f>VLOOKUP(B65,'UV台帐'!B:AL,19,0)</f>
        <v/>
      </c>
      <c r="AV65" s="366">
        <f>VLOOKUP(B65,'UV台帐'!B:AL,28,0)</f>
        <v/>
      </c>
      <c r="AW65" s="366">
        <f>VLOOKUP(B65,'UV台帐'!B:AL,37,0)</f>
        <v/>
      </c>
      <c r="AX65" s="281">
        <f>COUNTIFS(H65,"一期",AU65,"是")+COUNTIFS(L65,"一期",AV65,"是")+COUNTIFS(P65,"一期",AW65,"是")</f>
        <v/>
      </c>
      <c r="AZ65" s="359" t="n"/>
      <c r="BA65" s="359" t="n"/>
    </row>
    <row r="66" ht="26.25" customFormat="1" customHeight="1" s="366">
      <c r="A66" s="281" t="inlineStr">
        <is>
          <t>新宝利</t>
        </is>
      </c>
      <c r="B66" s="281"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81" t="inlineStr">
        <is>
          <t>何咏04</t>
        </is>
      </c>
      <c r="S66" s="281" t="n"/>
      <c r="T66" s="281" t="n"/>
      <c r="U66" s="7" t="inlineStr">
        <is>
          <t>何咏04</t>
        </is>
      </c>
      <c r="V66" s="421" t="n"/>
      <c r="W66" s="7" t="inlineStr">
        <is>
          <t>-</t>
        </is>
      </c>
      <c r="X66" s="127" t="n"/>
      <c r="Y66" s="7" t="inlineStr">
        <is>
          <t>-</t>
        </is>
      </c>
      <c r="Z66" s="7" t="n"/>
      <c r="AA66" s="281" t="n"/>
      <c r="AB66" s="281" t="n"/>
      <c r="AC66" s="281" t="n"/>
      <c r="AD66" s="281" t="n"/>
      <c r="AE66" s="281" t="inlineStr">
        <is>
          <t>陈亮延</t>
        </is>
      </c>
      <c r="AF66" s="281">
        <f>VLOOKUP(B66,'UV台帐'!B:G,6,0)</f>
        <v/>
      </c>
      <c r="AG66" s="281" t="n"/>
      <c r="AH66" s="281" t="n"/>
      <c r="AI66" s="281" t="n"/>
      <c r="AJ66" s="426" t="n"/>
      <c r="AK66" s="426" t="n"/>
      <c r="AL66" s="366" t="n"/>
      <c r="AM66" s="366" t="n"/>
      <c r="AN66" s="366" t="n"/>
      <c r="AO66" s="366" t="n"/>
      <c r="AP66" s="350" t="n"/>
      <c r="AQ66" s="359" t="n"/>
      <c r="AR66" s="359" t="n"/>
      <c r="AS66" s="281">
        <f>COUNTIFS(H66,"一期",I66,"在读")+COUNTIFS(L66,"一期",M66,"在读")+COUNTIFS(P66,"一期",Q66,"在读")</f>
        <v/>
      </c>
      <c r="AT66" s="281">
        <f>AS66-AX66</f>
        <v/>
      </c>
      <c r="AU66" s="366">
        <f>VLOOKUP(B66,'UV台帐'!B:AL,19,0)</f>
        <v/>
      </c>
      <c r="AV66" s="366">
        <f>VLOOKUP(B66,'UV台帐'!B:AL,28,0)</f>
        <v/>
      </c>
      <c r="AW66" s="366">
        <f>VLOOKUP(B66,'UV台帐'!B:AL,37,0)</f>
        <v/>
      </c>
      <c r="AX66" s="281">
        <f>COUNTIFS(H66,"一期",AU66,"是")+COUNTIFS(L66,"一期",AV66,"是")+COUNTIFS(P66,"一期",AW66,"是")</f>
        <v/>
      </c>
      <c r="AZ66" s="359" t="n"/>
      <c r="BA66" s="359" t="n"/>
    </row>
    <row r="67" ht="26.25" customFormat="1" customHeight="1" s="366">
      <c r="A67" s="281" t="inlineStr">
        <is>
          <t>新宝利</t>
        </is>
      </c>
      <c r="B67" s="281"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inlineStr">
        <is>
          <t>何咏04</t>
        </is>
      </c>
      <c r="S67" s="281" t="n"/>
      <c r="T67" s="281" t="n"/>
      <c r="U67" s="7" t="inlineStr">
        <is>
          <t>何咏04</t>
        </is>
      </c>
      <c r="V67" s="421" t="n"/>
      <c r="W67" s="119" t="inlineStr">
        <is>
          <t>陈南05</t>
        </is>
      </c>
      <c r="X67" s="127" t="n"/>
      <c r="Y67" s="7" t="inlineStr">
        <is>
          <t>肖锐03</t>
        </is>
      </c>
      <c r="Z67" s="7" t="n"/>
      <c r="AA67" s="119" t="n"/>
      <c r="AB67" s="281" t="n"/>
      <c r="AC67" s="119" t="n"/>
      <c r="AD67" s="119" t="n"/>
      <c r="AE67" s="281" t="inlineStr">
        <is>
          <t>沈思浩</t>
        </is>
      </c>
      <c r="AF67" s="281">
        <f>VLOOKUP(B67,'UV台帐'!B:G,6,0)</f>
        <v/>
      </c>
      <c r="AG67" s="281" t="n"/>
      <c r="AH67" s="281" t="n"/>
      <c r="AI67" s="281" t="n"/>
      <c r="AJ67" s="426" t="n"/>
      <c r="AK67" s="426" t="n"/>
      <c r="AL67" s="366" t="n"/>
      <c r="AM67" s="366" t="n"/>
      <c r="AN67" s="366" t="n"/>
      <c r="AO67" s="366" t="n"/>
      <c r="AP67" s="350" t="n"/>
      <c r="AQ67" s="359" t="n"/>
      <c r="AR67" s="359" t="n"/>
      <c r="AS67" s="281">
        <f>COUNTIFS(H67,"一期",I67,"在读")+COUNTIFS(L67,"一期",M67,"在读")+COUNTIFS(P67,"一期",Q67,"在读")</f>
        <v/>
      </c>
      <c r="AT67" s="281">
        <f>AS67-AX67</f>
        <v/>
      </c>
      <c r="AU67" s="366">
        <f>VLOOKUP(B67,'UV台帐'!B:AL,19,0)</f>
        <v/>
      </c>
      <c r="AV67" s="366">
        <f>VLOOKUP(B67,'UV台帐'!B:AL,28,0)</f>
        <v/>
      </c>
      <c r="AW67" s="366">
        <f>VLOOKUP(B67,'UV台帐'!B:AL,37,0)</f>
        <v/>
      </c>
      <c r="AX67" s="281">
        <f>COUNTIFS(H67,"一期",AU67,"是")+COUNTIFS(L67,"一期",AV67,"是")+COUNTIFS(P67,"一期",AW67,"是")</f>
        <v/>
      </c>
      <c r="AZ67" s="359" t="n"/>
      <c r="BA67" s="359" t="n"/>
    </row>
    <row r="68" ht="26.25" customFormat="1" customHeight="1" s="366">
      <c r="A68" s="281" t="inlineStr">
        <is>
          <t>新宝利</t>
        </is>
      </c>
      <c r="B68" s="281"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inlineStr">
        <is>
          <t>何咏04</t>
        </is>
      </c>
      <c r="S68" s="281" t="n"/>
      <c r="T68" s="281" t="n"/>
      <c r="U68" s="7" t="inlineStr">
        <is>
          <t>李润</t>
        </is>
      </c>
      <c r="V68" s="7" t="n"/>
      <c r="W68" s="7" t="inlineStr">
        <is>
          <t>肖锐03</t>
        </is>
      </c>
      <c r="X68" s="127" t="n"/>
      <c r="Y68" s="7" t="inlineStr">
        <is>
          <t>何咏04</t>
        </is>
      </c>
      <c r="Z68" s="7" t="n"/>
      <c r="AA68" s="119" t="n"/>
      <c r="AB68" s="281" t="n"/>
      <c r="AC68" s="119" t="n"/>
      <c r="AD68" s="119" t="n"/>
      <c r="AE68" s="281" t="inlineStr">
        <is>
          <t>王达04</t>
        </is>
      </c>
      <c r="AF68" s="281">
        <f>VLOOKUP(B68,'UV台帐'!B:G,6,0)</f>
        <v/>
      </c>
      <c r="AG68" s="281" t="n"/>
      <c r="AH68" s="281" t="n"/>
      <c r="AI68" s="281" t="n"/>
      <c r="AJ68" s="426" t="n"/>
      <c r="AK68" s="426" t="n"/>
      <c r="AL68" s="366" t="n"/>
      <c r="AM68" s="366" t="n"/>
      <c r="AN68" s="366" t="n"/>
      <c r="AO68" s="366" t="n"/>
      <c r="AP68" s="350" t="n"/>
      <c r="AQ68" s="359" t="n"/>
      <c r="AR68" s="359" t="n"/>
      <c r="AS68" s="281">
        <f>COUNTIFS(H68,"一期",I68,"在读")+COUNTIFS(L68,"一期",M68,"在读")+COUNTIFS(P68,"一期",Q68,"在读")</f>
        <v/>
      </c>
      <c r="AT68" s="281">
        <f>AS68-AX68</f>
        <v/>
      </c>
      <c r="AU68" s="366">
        <f>VLOOKUP(B68,'UV台帐'!B:AL,19,0)</f>
        <v/>
      </c>
      <c r="AV68" s="366">
        <f>VLOOKUP(B68,'UV台帐'!B:AL,28,0)</f>
        <v/>
      </c>
      <c r="AW68" s="366">
        <f>VLOOKUP(B68,'UV台帐'!B:AL,37,0)</f>
        <v/>
      </c>
      <c r="AX68" s="281">
        <f>COUNTIFS(H68,"一期",AU68,"是")+COUNTIFS(L68,"一期",AV68,"是")+COUNTIFS(P68,"一期",AW68,"是")</f>
        <v/>
      </c>
      <c r="AZ68" s="359" t="n"/>
      <c r="BA68" s="359" t="n"/>
    </row>
    <row r="69" ht="26.25" customFormat="1" customHeight="1" s="366">
      <c r="A69" s="281" t="inlineStr">
        <is>
          <t>同创汇</t>
        </is>
      </c>
      <c r="B69" s="281"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81" t="n"/>
      <c r="S69" s="281" t="n"/>
      <c r="T69" s="281" t="n"/>
      <c r="U69" s="7" t="inlineStr">
        <is>
          <t>高心怡04</t>
        </is>
      </c>
      <c r="V69" s="421" t="n"/>
      <c r="W69" s="281" t="inlineStr">
        <is>
          <t>陈中帅</t>
        </is>
      </c>
      <c r="X69" s="127" t="n"/>
      <c r="Y69" s="7" t="inlineStr">
        <is>
          <t>-</t>
        </is>
      </c>
      <c r="Z69" s="7" t="n"/>
      <c r="AA69" s="315" t="n"/>
      <c r="AB69" s="281" t="n"/>
      <c r="AC69" s="315" t="n"/>
      <c r="AD69" s="315" t="n"/>
      <c r="AE69" s="281" t="inlineStr">
        <is>
          <t>戎凯01</t>
        </is>
      </c>
      <c r="AF69" s="281">
        <f>VLOOKUP(B69,'UV台帐'!B:G,6,0)</f>
        <v/>
      </c>
      <c r="AG69" s="281" t="n"/>
      <c r="AH69" s="281" t="n"/>
      <c r="AI69" s="281" t="n"/>
      <c r="AJ69" s="426" t="n"/>
      <c r="AK69" s="426" t="n"/>
      <c r="AL69" s="366" t="n"/>
      <c r="AM69" s="366" t="n"/>
      <c r="AN69" s="366" t="n"/>
      <c r="AO69" s="366" t="n"/>
      <c r="AP69" s="350" t="n"/>
      <c r="AQ69" s="359" t="n"/>
      <c r="AR69" s="359" t="n"/>
      <c r="AS69" s="281">
        <f>COUNTIFS(H69,"一期",I69,"在读")+COUNTIFS(L69,"一期",M69,"在读")+COUNTIFS(P69,"一期",Q69,"在读")</f>
        <v/>
      </c>
      <c r="AT69" s="281">
        <f>AS69-AX69</f>
        <v/>
      </c>
      <c r="AU69" s="366">
        <f>VLOOKUP(B69,'UV台帐'!B:AL,19,0)</f>
        <v/>
      </c>
      <c r="AV69" s="366">
        <f>VLOOKUP(B69,'UV台帐'!B:AL,28,0)</f>
        <v/>
      </c>
      <c r="AW69" s="366">
        <f>VLOOKUP(B69,'UV台帐'!B:AL,37,0)</f>
        <v/>
      </c>
      <c r="AX69" s="281">
        <f>COUNTIFS(H69,"一期",AU69,"是")+COUNTIFS(L69,"一期",AV69,"是")+COUNTIFS(P69,"一期",AW69,"是")</f>
        <v/>
      </c>
      <c r="AZ69" s="359" t="n"/>
      <c r="BA69" s="359" t="n"/>
    </row>
    <row r="70" ht="26.25" customFormat="1" customHeight="1" s="366">
      <c r="A70" s="281" t="inlineStr">
        <is>
          <t>新宝利</t>
        </is>
      </c>
      <c r="B70" s="281"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n"/>
      <c r="T70" s="281" t="n"/>
      <c r="U70" s="7" t="inlineStr">
        <is>
          <t>肖锐03</t>
        </is>
      </c>
      <c r="V70" s="421" t="n"/>
      <c r="W70" s="281" t="inlineStr">
        <is>
          <t>李润</t>
        </is>
      </c>
      <c r="X70" s="127" t="n"/>
      <c r="Y70" s="7" t="inlineStr">
        <is>
          <t>-</t>
        </is>
      </c>
      <c r="Z70" s="7" t="n"/>
      <c r="AA70" s="315" t="n"/>
      <c r="AB70" s="281" t="n"/>
      <c r="AC70" s="315" t="n"/>
      <c r="AD70" s="315" t="n"/>
      <c r="AE70" s="281" t="inlineStr">
        <is>
          <t>林志豪01</t>
        </is>
      </c>
      <c r="AF70" s="281">
        <f>VLOOKUP(B70,'UV台帐'!B:G,6,0)</f>
        <v/>
      </c>
      <c r="AG70" s="281" t="n"/>
      <c r="AH70" s="281" t="n"/>
      <c r="AI70" s="281" t="n"/>
      <c r="AJ70" s="426" t="n"/>
      <c r="AK70" s="426" t="n"/>
      <c r="AL70" s="366" t="n"/>
      <c r="AM70" s="366" t="n"/>
      <c r="AN70" s="366" t="n"/>
      <c r="AO70" s="366" t="n"/>
      <c r="AP70" s="350" t="n"/>
      <c r="AQ70" s="359" t="n"/>
      <c r="AR70" s="359" t="n"/>
      <c r="AS70" s="281">
        <f>COUNTIFS(H70,"一期",I70,"在读")+COUNTIFS(L70,"一期",M70,"在读")+COUNTIFS(P70,"一期",Q70,"在读")</f>
        <v/>
      </c>
      <c r="AT70" s="281">
        <f>AS70-AX70</f>
        <v/>
      </c>
      <c r="AU70" s="366">
        <f>VLOOKUP(B70,'UV台帐'!B:AL,19,0)</f>
        <v/>
      </c>
      <c r="AV70" s="366">
        <f>VLOOKUP(B70,'UV台帐'!B:AL,28,0)</f>
        <v/>
      </c>
      <c r="AW70" s="366">
        <f>VLOOKUP(B70,'UV台帐'!B:AL,37,0)</f>
        <v/>
      </c>
      <c r="AX70" s="281">
        <f>COUNTIFS(H70,"一期",AU70,"是")+COUNTIFS(L70,"一期",AV70,"是")+COUNTIFS(P70,"一期",AW70,"是")</f>
        <v/>
      </c>
      <c r="AZ70" s="359" t="n"/>
      <c r="BA70" s="359" t="n"/>
    </row>
    <row r="71" ht="26.25" customFormat="1" customHeight="1" s="366">
      <c r="A71" s="281" t="inlineStr">
        <is>
          <t>同创汇</t>
        </is>
      </c>
      <c r="B71" s="281"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81" t="n"/>
      <c r="S71" s="281" t="n"/>
      <c r="T71" s="281" t="n"/>
      <c r="U71" s="7" t="inlineStr">
        <is>
          <t>田雨涵01</t>
        </is>
      </c>
      <c r="V71" s="421" t="n"/>
      <c r="W71" s="7" t="inlineStr">
        <is>
          <t>陈南05</t>
        </is>
      </c>
      <c r="X71" s="127" t="n"/>
      <c r="Y71" s="7" t="inlineStr">
        <is>
          <t>-</t>
        </is>
      </c>
      <c r="Z71" s="7" t="n"/>
      <c r="AA71" s="315" t="n"/>
      <c r="AB71" s="281" t="n"/>
      <c r="AC71" s="315" t="n"/>
      <c r="AD71" s="315" t="n"/>
      <c r="AE71" s="281" t="inlineStr">
        <is>
          <t>王丽</t>
        </is>
      </c>
      <c r="AF71" s="281">
        <f>VLOOKUP(B71,'UV台帐'!B:G,6,0)</f>
        <v/>
      </c>
      <c r="AG71" s="281" t="n"/>
      <c r="AH71" s="281" t="n"/>
      <c r="AI71" s="281" t="n"/>
      <c r="AJ71" s="426" t="n"/>
      <c r="AK71" s="426" t="n"/>
      <c r="AL71" s="366" t="n"/>
      <c r="AM71" s="366" t="n"/>
      <c r="AN71" s="366" t="n"/>
      <c r="AO71" s="366" t="n"/>
      <c r="AP71" s="350" t="n"/>
      <c r="AQ71" s="359" t="n"/>
      <c r="AR71" s="359" t="n"/>
      <c r="AS71" s="281">
        <f>COUNTIFS(H71,"一期",I71,"在读")+COUNTIFS(L71,"一期",M71,"在读")+COUNTIFS(P71,"一期",Q71,"在读")</f>
        <v/>
      </c>
      <c r="AT71" s="281">
        <f>AS71-AX71</f>
        <v/>
      </c>
      <c r="AU71" s="366">
        <f>VLOOKUP(B71,'UV台帐'!B:AL,19,0)</f>
        <v/>
      </c>
      <c r="AV71" s="366">
        <f>VLOOKUP(B71,'UV台帐'!B:AL,28,0)</f>
        <v/>
      </c>
      <c r="AW71" s="366">
        <f>VLOOKUP(B71,'UV台帐'!B:AL,37,0)</f>
        <v/>
      </c>
      <c r="AX71" s="281">
        <f>COUNTIFS(H71,"一期",AU71,"是")+COUNTIFS(L71,"一期",AV71,"是")+COUNTIFS(P71,"一期",AW71,"是")</f>
        <v/>
      </c>
      <c r="AZ71" s="359" t="n"/>
      <c r="BA71" s="359" t="n"/>
    </row>
    <row r="72" ht="26.25" customFormat="1" customHeight="1" s="366">
      <c r="A72" s="281" t="inlineStr">
        <is>
          <t>新宝利</t>
        </is>
      </c>
      <c r="B72" s="281"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inlineStr">
        <is>
          <t>何咏04</t>
        </is>
      </c>
      <c r="S72" s="281" t="n"/>
      <c r="T72" s="281" t="n"/>
      <c r="U72" s="7" t="inlineStr">
        <is>
          <t>李润</t>
        </is>
      </c>
      <c r="V72" s="421" t="n"/>
      <c r="W72" s="7" t="inlineStr">
        <is>
          <t>肖锐03</t>
        </is>
      </c>
      <c r="X72" s="127" t="n"/>
      <c r="Y72" s="7" t="inlineStr">
        <is>
          <t>何咏04</t>
        </is>
      </c>
      <c r="Z72" s="7" t="n"/>
      <c r="AA72" s="119" t="n"/>
      <c r="AB72" s="281" t="n"/>
      <c r="AC72" s="119" t="n"/>
      <c r="AD72" s="119" t="n"/>
      <c r="AE72" s="281" t="inlineStr">
        <is>
          <t>张敏烨</t>
        </is>
      </c>
      <c r="AF72" s="281">
        <f>VLOOKUP(B72,'UV台帐'!B:G,6,0)</f>
        <v/>
      </c>
      <c r="AG72" s="281" t="n"/>
      <c r="AH72" s="281" t="n"/>
      <c r="AI72" s="281" t="n"/>
      <c r="AJ72" s="426" t="n"/>
      <c r="AK72" s="426" t="n"/>
      <c r="AL72" s="366" t="n"/>
      <c r="AM72" s="366" t="n"/>
      <c r="AN72" s="366" t="n"/>
      <c r="AO72" s="366" t="n"/>
      <c r="AP72" s="350" t="n"/>
      <c r="AQ72" s="359" t="n"/>
      <c r="AR72" s="359" t="n"/>
      <c r="AS72" s="281">
        <f>COUNTIFS(H72,"一期",I72,"在读")+COUNTIFS(L72,"一期",M72,"在读")+COUNTIFS(P72,"一期",Q72,"在读")</f>
        <v/>
      </c>
      <c r="AT72" s="281">
        <f>AS72-AX72</f>
        <v/>
      </c>
      <c r="AU72" s="366">
        <f>VLOOKUP(B72,'UV台帐'!B:AL,19,0)</f>
        <v/>
      </c>
      <c r="AV72" s="366">
        <f>VLOOKUP(B72,'UV台帐'!B:AL,28,0)</f>
        <v/>
      </c>
      <c r="AW72" s="366">
        <f>VLOOKUP(B72,'UV台帐'!B:AL,37,0)</f>
        <v/>
      </c>
      <c r="AX72" s="281">
        <f>COUNTIFS(H72,"一期",AU72,"是")+COUNTIFS(L72,"一期",AV72,"是")+COUNTIFS(P72,"一期",AW72,"是")</f>
        <v/>
      </c>
      <c r="AZ72" s="359" t="n"/>
      <c r="BA72" s="359" t="n"/>
    </row>
    <row r="73" ht="26.25" customFormat="1" customHeight="1" s="366">
      <c r="A73" s="281" t="inlineStr">
        <is>
          <t>天成大厦</t>
        </is>
      </c>
      <c r="B73" s="281"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n"/>
      <c r="T73" s="281" t="n"/>
      <c r="U73" s="281" t="inlineStr">
        <is>
          <t>陈中帅</t>
        </is>
      </c>
      <c r="V73" s="421" t="n"/>
      <c r="W73" s="7" t="inlineStr">
        <is>
          <t>李润</t>
        </is>
      </c>
      <c r="X73" s="127" t="n"/>
      <c r="Y73" s="7" t="inlineStr">
        <is>
          <t>刘希子</t>
        </is>
      </c>
      <c r="Z73" s="7" t="n"/>
      <c r="AA73" s="315" t="n"/>
      <c r="AB73" s="281" t="n"/>
      <c r="AC73" s="315" t="n"/>
      <c r="AD73" s="315" t="n"/>
      <c r="AE73" s="281" t="inlineStr">
        <is>
          <t>沈思浩</t>
        </is>
      </c>
      <c r="AF73" s="281">
        <f>VLOOKUP(B73,'UV台帐'!B:G,6,0)</f>
        <v/>
      </c>
      <c r="AG73" s="281" t="n"/>
      <c r="AH73" s="281" t="n"/>
      <c r="AI73" s="281" t="n"/>
      <c r="AJ73" s="426" t="n"/>
      <c r="AK73" s="426" t="n"/>
      <c r="AL73" s="366" t="n"/>
      <c r="AM73" s="366" t="n"/>
      <c r="AN73" s="366" t="n"/>
      <c r="AO73" s="366" t="n"/>
      <c r="AP73" s="350" t="n"/>
      <c r="AQ73" s="359" t="n"/>
      <c r="AR73" s="359" t="n"/>
      <c r="AS73" s="281">
        <f>COUNTIFS(H73,"一期",I73,"在读")+COUNTIFS(L73,"一期",M73,"在读")+COUNTIFS(P73,"一期",Q73,"在读")</f>
        <v/>
      </c>
      <c r="AT73" s="281">
        <f>AS73-AX73</f>
        <v/>
      </c>
      <c r="AU73" s="366">
        <f>VLOOKUP(B73,'UV台帐'!B:AL,19,0)</f>
        <v/>
      </c>
      <c r="AV73" s="366">
        <f>VLOOKUP(B73,'UV台帐'!B:AL,28,0)</f>
        <v/>
      </c>
      <c r="AW73" s="366">
        <f>VLOOKUP(B73,'UV台帐'!B:AL,37,0)</f>
        <v/>
      </c>
      <c r="AX73" s="281">
        <f>COUNTIFS(H73,"一期",AU73,"是")+COUNTIFS(L73,"一期",AV73,"是")+COUNTIFS(P73,"一期",AW73,"是")</f>
        <v/>
      </c>
      <c r="AZ73" s="359" t="n"/>
      <c r="BA73" s="359" t="n"/>
    </row>
    <row r="74" ht="26.25" customFormat="1" customHeight="1" s="366">
      <c r="A74" s="281" t="inlineStr">
        <is>
          <t>天成大厦</t>
        </is>
      </c>
      <c r="B74" s="281"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n"/>
      <c r="T74" s="281" t="n"/>
      <c r="U74" s="7" t="inlineStr">
        <is>
          <t>李润</t>
        </is>
      </c>
      <c r="V74" s="421" t="n"/>
      <c r="W74" s="281" t="inlineStr">
        <is>
          <t>陈中帅</t>
        </is>
      </c>
      <c r="X74" s="127" t="n"/>
      <c r="Y74" s="7" t="inlineStr">
        <is>
          <t>刘希子</t>
        </is>
      </c>
      <c r="Z74" s="7" t="n"/>
      <c r="AA74" s="119" t="n"/>
      <c r="AB74" s="281" t="n"/>
      <c r="AC74" s="119" t="n"/>
      <c r="AD74" s="119" t="n"/>
      <c r="AE74" s="281" t="inlineStr">
        <is>
          <t>沈思浩</t>
        </is>
      </c>
      <c r="AF74" s="281">
        <f>VLOOKUP(B74,'UV台帐'!B:G,6,0)</f>
        <v/>
      </c>
      <c r="AG74" s="281" t="n"/>
      <c r="AH74" s="281" t="n"/>
      <c r="AI74" s="281" t="n"/>
      <c r="AJ74" s="426" t="n"/>
      <c r="AK74" s="426" t="n"/>
      <c r="AL74" s="366" t="n"/>
      <c r="AM74" s="366" t="n"/>
      <c r="AN74" s="366" t="n"/>
      <c r="AO74" s="366" t="n"/>
      <c r="AP74" s="350" t="n"/>
      <c r="AQ74" s="359" t="n"/>
      <c r="AR74" s="359" t="n"/>
      <c r="AS74" s="281">
        <f>COUNTIFS(H74,"一期",I74,"在读")+COUNTIFS(L74,"一期",M74,"在读")+COUNTIFS(P74,"一期",Q74,"在读")</f>
        <v/>
      </c>
      <c r="AT74" s="281">
        <f>AS74-AX74</f>
        <v/>
      </c>
      <c r="AU74" s="366">
        <f>VLOOKUP(B74,'UV台帐'!B:AL,19,0)</f>
        <v/>
      </c>
      <c r="AV74" s="366">
        <f>VLOOKUP(B74,'UV台帐'!B:AL,28,0)</f>
        <v/>
      </c>
      <c r="AW74" s="366">
        <f>VLOOKUP(B74,'UV台帐'!B:AL,37,0)</f>
        <v/>
      </c>
      <c r="AX74" s="281">
        <f>COUNTIFS(H74,"一期",AU74,"是")+COUNTIFS(L74,"一期",AV74,"是")+COUNTIFS(P74,"一期",AW74,"是")</f>
        <v/>
      </c>
      <c r="AZ74" s="359" t="n"/>
      <c r="BA74" s="359" t="n"/>
    </row>
    <row r="75" ht="26.25" customFormat="1" customHeight="1" s="366">
      <c r="A75" s="281" t="inlineStr">
        <is>
          <t>天成大厦</t>
        </is>
      </c>
      <c r="B75" s="281"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n"/>
      <c r="T75" s="281" t="n"/>
      <c r="U75" s="7" t="inlineStr">
        <is>
          <t>李润</t>
        </is>
      </c>
      <c r="V75" s="7" t="n"/>
      <c r="W75" s="281" t="inlineStr">
        <is>
          <t>陈中帅</t>
        </is>
      </c>
      <c r="X75" s="127" t="n"/>
      <c r="Y75" s="7" t="inlineStr">
        <is>
          <t>刘希子</t>
        </is>
      </c>
      <c r="Z75" s="7" t="n"/>
      <c r="AA75" s="315" t="n"/>
      <c r="AB75" s="281" t="n"/>
      <c r="AC75" s="315" t="n"/>
      <c r="AD75" s="315" t="n"/>
      <c r="AE75" s="281" t="inlineStr">
        <is>
          <t>沈思浩</t>
        </is>
      </c>
      <c r="AF75" s="281">
        <f>VLOOKUP(B75,'UV台帐'!B:G,6,0)</f>
        <v/>
      </c>
      <c r="AG75" s="281" t="n"/>
      <c r="AH75" s="281" t="n"/>
      <c r="AI75" s="281" t="n"/>
      <c r="AJ75" s="426" t="n"/>
      <c r="AK75" s="426" t="n"/>
      <c r="AL75" s="366" t="n"/>
      <c r="AM75" s="366" t="n"/>
      <c r="AN75" s="366" t="n"/>
      <c r="AO75" s="366" t="n"/>
      <c r="AP75" s="350" t="n"/>
      <c r="AQ75" s="359" t="n"/>
      <c r="AR75" s="359" t="n"/>
      <c r="AS75" s="281">
        <f>COUNTIFS(H75,"一期",I75,"在读")+COUNTIFS(L75,"一期",M75,"在读")+COUNTIFS(P75,"一期",Q75,"在读")</f>
        <v/>
      </c>
      <c r="AT75" s="281">
        <f>AS75-AX75</f>
        <v/>
      </c>
      <c r="AU75" s="366">
        <f>VLOOKUP(B75,'UV台帐'!B:AL,19,0)</f>
        <v/>
      </c>
      <c r="AV75" s="366">
        <f>VLOOKUP(B75,'UV台帐'!B:AL,28,0)</f>
        <v/>
      </c>
      <c r="AW75" s="366">
        <f>VLOOKUP(B75,'UV台帐'!B:AL,37,0)</f>
        <v/>
      </c>
      <c r="AX75" s="281">
        <f>COUNTIFS(H75,"一期",AU75,"是")+COUNTIFS(L75,"一期",AV75,"是")+COUNTIFS(P75,"一期",AW75,"是")</f>
        <v/>
      </c>
      <c r="AZ75" s="359" t="n"/>
      <c r="BA75" s="359" t="n"/>
    </row>
    <row r="76" ht="26.25" customFormat="1" customHeight="1" s="366">
      <c r="A76" s="281" t="inlineStr">
        <is>
          <t>天成大厦</t>
        </is>
      </c>
      <c r="B76" s="281"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81" t="n"/>
      <c r="S76" s="281" t="n"/>
      <c r="T76" s="281" t="n"/>
      <c r="U76" s="7" t="inlineStr">
        <is>
          <t>刘希子</t>
        </is>
      </c>
      <c r="V76" s="421" t="n"/>
      <c r="W76" s="281" t="inlineStr">
        <is>
          <t>-</t>
        </is>
      </c>
      <c r="X76" s="127" t="n"/>
      <c r="Y76" s="7" t="inlineStr">
        <is>
          <t>-</t>
        </is>
      </c>
      <c r="Z76" s="7" t="n"/>
      <c r="AA76" s="315" t="n"/>
      <c r="AB76" s="281" t="n"/>
      <c r="AC76" s="315" t="n"/>
      <c r="AD76" s="315" t="n"/>
      <c r="AE76" s="281" t="inlineStr">
        <is>
          <t>沈思浩</t>
        </is>
      </c>
      <c r="AF76" s="281">
        <f>VLOOKUP(B76,'UV台帐'!B:G,6,0)</f>
        <v/>
      </c>
      <c r="AG76" s="281" t="n"/>
      <c r="AH76" s="281" t="n"/>
      <c r="AI76" s="281" t="n"/>
      <c r="AJ76" s="426" t="n"/>
      <c r="AK76" s="426" t="n"/>
      <c r="AL76" s="366" t="n"/>
      <c r="AM76" s="366" t="n"/>
      <c r="AN76" s="366" t="n"/>
      <c r="AO76" s="366" t="n"/>
      <c r="AP76" s="350" t="n"/>
      <c r="AQ76" s="359" t="n"/>
      <c r="AR76" s="359" t="n"/>
      <c r="AS76" s="281">
        <f>COUNTIFS(H76,"一期",I76,"在读")+COUNTIFS(L76,"一期",M76,"在读")+COUNTIFS(P76,"一期",Q76,"在读")</f>
        <v/>
      </c>
      <c r="AT76" s="281">
        <f>AS76-AX76</f>
        <v/>
      </c>
      <c r="AU76" s="366">
        <f>VLOOKUP(B76,'UV台帐'!B:AL,19,0)</f>
        <v/>
      </c>
      <c r="AV76" s="366">
        <f>VLOOKUP(B76,'UV台帐'!B:AL,28,0)</f>
        <v/>
      </c>
      <c r="AW76" s="366">
        <f>VLOOKUP(B76,'UV台帐'!B:AL,37,0)</f>
        <v/>
      </c>
      <c r="AX76" s="281">
        <f>COUNTIFS(H76,"一期",AU76,"是")+COUNTIFS(L76,"一期",AV76,"是")+COUNTIFS(P76,"一期",AW76,"是")</f>
        <v/>
      </c>
      <c r="AZ76" s="359" t="n"/>
      <c r="BA76" s="359" t="n"/>
    </row>
    <row r="77" ht="26.25" customFormat="1" customHeight="1" s="366">
      <c r="A77" s="281" t="inlineStr">
        <is>
          <t>天成大厦</t>
        </is>
      </c>
      <c r="B77" s="281"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n"/>
      <c r="T77" s="281" t="n"/>
      <c r="U77" s="281" t="inlineStr">
        <is>
          <t>陈中帅</t>
        </is>
      </c>
      <c r="V77" s="421" t="n"/>
      <c r="W77" s="7" t="inlineStr">
        <is>
          <t>李润</t>
        </is>
      </c>
      <c r="X77" s="127" t="n"/>
      <c r="Y77" s="7" t="inlineStr">
        <is>
          <t>刘希子</t>
        </is>
      </c>
      <c r="Z77" s="7" t="n"/>
      <c r="AA77" s="315" t="n"/>
      <c r="AB77" s="281" t="n"/>
      <c r="AC77" s="315" t="n"/>
      <c r="AD77" s="315" t="n"/>
      <c r="AE77" s="281" t="inlineStr">
        <is>
          <t>沈思浩</t>
        </is>
      </c>
      <c r="AF77" s="281">
        <f>VLOOKUP(B77,'UV台帐'!B:G,6,0)</f>
        <v/>
      </c>
      <c r="AG77" s="281" t="n"/>
      <c r="AH77" s="281" t="n"/>
      <c r="AI77" s="281" t="n"/>
      <c r="AJ77" s="426" t="n"/>
      <c r="AK77" s="426" t="n"/>
      <c r="AL77" s="366" t="n"/>
      <c r="AM77" s="366" t="n"/>
      <c r="AN77" s="366" t="n"/>
      <c r="AO77" s="366" t="n"/>
      <c r="AP77" s="350" t="n"/>
      <c r="AQ77" s="359" t="n"/>
      <c r="AR77" s="359" t="n"/>
      <c r="AS77" s="281">
        <f>COUNTIFS(H77,"一期",I77,"在读")+COUNTIFS(L77,"一期",M77,"在读")+COUNTIFS(P77,"一期",Q77,"在读")</f>
        <v/>
      </c>
      <c r="AT77" s="281">
        <f>AS77-AX77</f>
        <v/>
      </c>
      <c r="AU77" s="366">
        <f>VLOOKUP(B77,'UV台帐'!B:AL,19,0)</f>
        <v/>
      </c>
      <c r="AV77" s="366">
        <f>VLOOKUP(B77,'UV台帐'!B:AL,28,0)</f>
        <v/>
      </c>
      <c r="AW77" s="366">
        <f>VLOOKUP(B77,'UV台帐'!B:AL,37,0)</f>
        <v/>
      </c>
      <c r="AX77" s="281">
        <f>COUNTIFS(H77,"一期",AU77,"是")+COUNTIFS(L77,"一期",AV77,"是")+COUNTIFS(P77,"一期",AW77,"是")</f>
        <v/>
      </c>
      <c r="AZ77" s="359" t="n"/>
      <c r="BA77" s="359" t="n"/>
    </row>
    <row r="78" ht="26.25" customFormat="1" customHeight="1" s="366">
      <c r="A78" s="281" t="inlineStr">
        <is>
          <t>新宝利</t>
        </is>
      </c>
      <c r="B78" s="281"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inlineStr">
        <is>
          <t>何咏04</t>
        </is>
      </c>
      <c r="S78" s="281" t="n"/>
      <c r="T78" s="281" t="n"/>
      <c r="U78" s="7" t="inlineStr">
        <is>
          <t>李润</t>
        </is>
      </c>
      <c r="V78" s="421" t="n"/>
      <c r="W78" s="7" t="inlineStr">
        <is>
          <t>肖锐03</t>
        </is>
      </c>
      <c r="X78" s="127" t="n"/>
      <c r="Y78" s="7" t="inlineStr">
        <is>
          <t>何咏04</t>
        </is>
      </c>
      <c r="Z78" s="7" t="n"/>
      <c r="AA78" s="315" t="n"/>
      <c r="AB78" s="281" t="n"/>
      <c r="AC78" s="315" t="n"/>
      <c r="AD78" s="315" t="n"/>
      <c r="AE78" s="281" t="inlineStr">
        <is>
          <t>杨林33</t>
        </is>
      </c>
      <c r="AF78" s="281">
        <f>VLOOKUP(B78,'UV台帐'!B:G,6,0)</f>
        <v/>
      </c>
      <c r="AG78" s="281" t="n"/>
      <c r="AH78" s="281" t="n"/>
      <c r="AI78" s="281" t="n"/>
      <c r="AJ78" s="426" t="n"/>
      <c r="AK78" s="426" t="n"/>
      <c r="AL78" s="366" t="n"/>
      <c r="AM78" s="366" t="n"/>
      <c r="AN78" s="366" t="n"/>
      <c r="AO78" s="366" t="n"/>
      <c r="AP78" s="350" t="n"/>
      <c r="AQ78" s="359" t="n"/>
      <c r="AR78" s="359" t="n"/>
      <c r="AS78" s="281">
        <f>COUNTIFS(H78,"一期",I78,"在读")+COUNTIFS(L78,"一期",M78,"在读")+COUNTIFS(P78,"一期",Q78,"在读")</f>
        <v/>
      </c>
      <c r="AT78" s="281">
        <f>AS78-AX78</f>
        <v/>
      </c>
      <c r="AU78" s="366">
        <f>VLOOKUP(B78,'UV台帐'!B:AL,19,0)</f>
        <v/>
      </c>
      <c r="AV78" s="366">
        <f>VLOOKUP(B78,'UV台帐'!B:AL,28,0)</f>
        <v/>
      </c>
      <c r="AW78" s="366">
        <f>VLOOKUP(B78,'UV台帐'!B:AL,37,0)</f>
        <v/>
      </c>
      <c r="AX78" s="281">
        <f>COUNTIFS(H78,"一期",AU78,"是")+COUNTIFS(L78,"一期",AV78,"是")+COUNTIFS(P78,"一期",AW78,"是")</f>
        <v/>
      </c>
      <c r="AZ78" s="359" t="n"/>
      <c r="BA78" s="359" t="n"/>
    </row>
    <row r="79" ht="26.25" customFormat="1" customHeight="1" s="366">
      <c r="A79" s="281" t="inlineStr">
        <is>
          <t>同创汇</t>
        </is>
      </c>
      <c r="B79" s="281"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n"/>
      <c r="T79" s="281" t="n"/>
      <c r="U79" s="7" t="inlineStr">
        <is>
          <t>高心怡04</t>
        </is>
      </c>
      <c r="V79" s="421" t="n"/>
      <c r="W79" s="7" t="inlineStr">
        <is>
          <t>黄铭怡</t>
        </is>
      </c>
      <c r="X79" s="127" t="n"/>
      <c r="Y79" s="281" t="inlineStr">
        <is>
          <t>陈中帅</t>
        </is>
      </c>
      <c r="Z79" s="7" t="n"/>
      <c r="AA79" s="119" t="n"/>
      <c r="AB79" s="281" t="n"/>
      <c r="AC79" s="119" t="n"/>
      <c r="AD79" s="119" t="n"/>
      <c r="AE79" s="281" t="inlineStr">
        <is>
          <t>王丽</t>
        </is>
      </c>
      <c r="AF79" s="281">
        <f>VLOOKUP(B79,'UV台帐'!B:G,6,0)</f>
        <v/>
      </c>
      <c r="AG79" s="281" t="n"/>
      <c r="AH79" s="281" t="n"/>
      <c r="AI79" s="281" t="n"/>
      <c r="AJ79" s="426" t="n"/>
      <c r="AK79" s="426" t="n"/>
      <c r="AL79" s="366" t="n"/>
      <c r="AM79" s="366" t="n"/>
      <c r="AN79" s="366" t="n"/>
      <c r="AO79" s="366" t="n"/>
      <c r="AP79" s="350" t="n"/>
      <c r="AQ79" s="359" t="n"/>
      <c r="AR79" s="359" t="n"/>
      <c r="AS79" s="281">
        <f>COUNTIFS(H79,"一期",I79,"在读")+COUNTIFS(L79,"一期",M79,"在读")+COUNTIFS(P79,"一期",Q79,"在读")</f>
        <v/>
      </c>
      <c r="AT79" s="281">
        <f>AS79-AX79</f>
        <v/>
      </c>
      <c r="AU79" s="366">
        <f>VLOOKUP(B79,'UV台帐'!B:AL,19,0)</f>
        <v/>
      </c>
      <c r="AV79" s="366">
        <f>VLOOKUP(B79,'UV台帐'!B:AL,28,0)</f>
        <v/>
      </c>
      <c r="AW79" s="366">
        <f>VLOOKUP(B79,'UV台帐'!B:AL,37,0)</f>
        <v/>
      </c>
      <c r="AX79" s="281">
        <f>COUNTIFS(H79,"一期",AU79,"是")+COUNTIFS(L79,"一期",AV79,"是")+COUNTIFS(P79,"一期",AW79,"是")</f>
        <v/>
      </c>
      <c r="AZ79" s="359" t="n"/>
      <c r="BA79" s="359" t="n"/>
    </row>
    <row r="80" ht="26.25" customFormat="1" customHeight="1" s="366">
      <c r="A80" s="281" t="inlineStr">
        <is>
          <t>同创汇</t>
        </is>
      </c>
      <c r="B80" s="281"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n"/>
      <c r="T80" s="281" t="n"/>
      <c r="U80" s="7" t="inlineStr">
        <is>
          <t>高心怡04</t>
        </is>
      </c>
      <c r="V80" s="421" t="n"/>
      <c r="W80" s="7" t="inlineStr">
        <is>
          <t>黄铭怡</t>
        </is>
      </c>
      <c r="X80" s="127" t="n"/>
      <c r="Y80" s="281" t="inlineStr">
        <is>
          <t>陈中帅</t>
        </is>
      </c>
      <c r="Z80" s="7" t="n"/>
      <c r="AA80" s="315" t="n"/>
      <c r="AB80" s="281" t="n"/>
      <c r="AC80" s="315" t="n"/>
      <c r="AD80" s="315" t="n"/>
      <c r="AE80" s="281" t="inlineStr">
        <is>
          <t>王丽</t>
        </is>
      </c>
      <c r="AF80" s="281">
        <f>VLOOKUP(B80,'UV台帐'!B:G,6,0)</f>
        <v/>
      </c>
      <c r="AG80" s="281" t="n"/>
      <c r="AH80" s="281" t="n"/>
      <c r="AI80" s="281" t="n"/>
      <c r="AJ80" s="426" t="n"/>
      <c r="AK80" s="426" t="n"/>
      <c r="AL80" s="366" t="n"/>
      <c r="AM80" s="366" t="n"/>
      <c r="AN80" s="366" t="n"/>
      <c r="AO80" s="366" t="n"/>
      <c r="AP80" s="350" t="n"/>
      <c r="AQ80" s="359" t="n"/>
      <c r="AR80" s="359" t="n"/>
      <c r="AS80" s="281">
        <f>COUNTIFS(H80,"一期",I80,"在读")+COUNTIFS(L80,"一期",M80,"在读")+COUNTIFS(P80,"一期",Q80,"在读")</f>
        <v/>
      </c>
      <c r="AT80" s="281">
        <f>AS80-AX80</f>
        <v/>
      </c>
      <c r="AU80" s="366">
        <f>VLOOKUP(B80,'UV台帐'!B:AL,19,0)</f>
        <v/>
      </c>
      <c r="AV80" s="366">
        <f>VLOOKUP(B80,'UV台帐'!B:AL,28,0)</f>
        <v/>
      </c>
      <c r="AW80" s="366">
        <f>VLOOKUP(B80,'UV台帐'!B:AL,37,0)</f>
        <v/>
      </c>
      <c r="AX80" s="281">
        <f>COUNTIFS(H80,"一期",AU80,"是")+COUNTIFS(L80,"一期",AV80,"是")+COUNTIFS(P80,"一期",AW80,"是")</f>
        <v/>
      </c>
      <c r="AZ80" s="359" t="n"/>
      <c r="BA80" s="359" t="n"/>
    </row>
    <row r="81" ht="26.25" customFormat="1" customHeight="1" s="366">
      <c r="A81" s="281" t="inlineStr">
        <is>
          <t>同创汇</t>
        </is>
      </c>
      <c r="B81" s="281"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81" t="n"/>
      <c r="S81" s="281" t="n"/>
      <c r="T81" s="281" t="n"/>
      <c r="U81" s="7" t="inlineStr">
        <is>
          <t>-</t>
        </is>
      </c>
      <c r="V81" s="421" t="n"/>
      <c r="W81" s="7" t="inlineStr">
        <is>
          <t>黄铭怡</t>
        </is>
      </c>
      <c r="X81" s="127" t="n"/>
      <c r="Y81" s="7" t="inlineStr">
        <is>
          <t>-</t>
        </is>
      </c>
      <c r="Z81" s="7" t="n"/>
      <c r="AA81" s="315" t="n"/>
      <c r="AB81" s="281" t="n"/>
      <c r="AC81" s="315" t="n"/>
      <c r="AD81" s="315" t="n"/>
      <c r="AE81" s="281" t="inlineStr">
        <is>
          <t>戎凯01</t>
        </is>
      </c>
      <c r="AF81" s="281">
        <f>VLOOKUP(B81,'UV台帐'!B:G,6,0)</f>
        <v/>
      </c>
      <c r="AG81" s="281" t="n"/>
      <c r="AH81" s="281" t="n"/>
      <c r="AI81" s="281" t="n"/>
      <c r="AJ81" s="426" t="n"/>
      <c r="AK81" s="426" t="n"/>
      <c r="AL81" s="366" t="n"/>
      <c r="AM81" s="366" t="n"/>
      <c r="AN81" s="366" t="n"/>
      <c r="AO81" s="366" t="n"/>
      <c r="AP81" s="350" t="n"/>
      <c r="AQ81" s="359" t="n"/>
      <c r="AR81" s="359" t="n"/>
      <c r="AS81" s="281">
        <f>COUNTIFS(H81,"一期",I81,"在读")+COUNTIFS(L81,"一期",M81,"在读")+COUNTIFS(P81,"一期",Q81,"在读")</f>
        <v/>
      </c>
      <c r="AT81" s="281">
        <f>AS81-AX81</f>
        <v/>
      </c>
      <c r="AU81" s="366">
        <f>VLOOKUP(B81,'UV台帐'!B:AL,19,0)</f>
        <v/>
      </c>
      <c r="AV81" s="366">
        <f>VLOOKUP(B81,'UV台帐'!B:AL,28,0)</f>
        <v/>
      </c>
      <c r="AW81" s="366">
        <f>VLOOKUP(B81,'UV台帐'!B:AL,37,0)</f>
        <v/>
      </c>
      <c r="AX81" s="281">
        <f>COUNTIFS(H81,"一期",AU81,"是")+COUNTIFS(L81,"一期",AV81,"是")+COUNTIFS(P81,"一期",AW81,"是")</f>
        <v/>
      </c>
      <c r="AZ81" s="359" t="n"/>
      <c r="BA81" s="359" t="n"/>
    </row>
    <row r="82" ht="26.25" customFormat="1" customHeight="1" s="366">
      <c r="A82" s="281" t="inlineStr">
        <is>
          <t>同创汇</t>
        </is>
      </c>
      <c r="B82" s="281"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n"/>
      <c r="T82" s="281" t="n"/>
      <c r="U82" s="7" t="inlineStr">
        <is>
          <t>黄铭怡</t>
        </is>
      </c>
      <c r="V82" s="421" t="n"/>
      <c r="W82" s="119" t="inlineStr">
        <is>
          <t>高心怡04</t>
        </is>
      </c>
      <c r="X82" s="127" t="n"/>
      <c r="Y82" s="281" t="inlineStr">
        <is>
          <t>陈中帅</t>
        </is>
      </c>
      <c r="Z82" s="7" t="n"/>
      <c r="AA82" s="119" t="n"/>
      <c r="AB82" s="281" t="n"/>
      <c r="AC82" s="119" t="n"/>
      <c r="AD82" s="119" t="n"/>
      <c r="AE82" s="281" t="inlineStr">
        <is>
          <t>戎凯01</t>
        </is>
      </c>
      <c r="AF82" s="281">
        <f>VLOOKUP(B82,'UV台帐'!B:G,6,0)</f>
        <v/>
      </c>
      <c r="AG82" s="281" t="n"/>
      <c r="AH82" s="281" t="n"/>
      <c r="AI82" s="281" t="n"/>
      <c r="AJ82" s="426" t="n"/>
      <c r="AK82" s="426" t="n"/>
      <c r="AL82" s="366" t="n"/>
      <c r="AM82" s="366" t="n"/>
      <c r="AN82" s="366" t="n"/>
      <c r="AO82" s="366" t="n"/>
      <c r="AP82" s="350" t="n"/>
      <c r="AQ82" s="359" t="n"/>
      <c r="AR82" s="359" t="n"/>
      <c r="AS82" s="281">
        <f>COUNTIFS(H82,"一期",I82,"在读")+COUNTIFS(L82,"一期",M82,"在读")+COUNTIFS(P82,"一期",Q82,"在读")</f>
        <v/>
      </c>
      <c r="AT82" s="281">
        <f>AS82-AX82</f>
        <v/>
      </c>
      <c r="AU82" s="366">
        <f>VLOOKUP(B82,'UV台帐'!B:AL,19,0)</f>
        <v/>
      </c>
      <c r="AV82" s="366">
        <f>VLOOKUP(B82,'UV台帐'!B:AL,28,0)</f>
        <v/>
      </c>
      <c r="AW82" s="366">
        <f>VLOOKUP(B82,'UV台帐'!B:AL,37,0)</f>
        <v/>
      </c>
      <c r="AX82" s="281">
        <f>COUNTIFS(H82,"一期",AU82,"是")+COUNTIFS(L82,"一期",AV82,"是")+COUNTIFS(P82,"一期",AW82,"是")</f>
        <v/>
      </c>
      <c r="AZ82" s="359" t="n"/>
      <c r="BA82" s="359" t="n"/>
    </row>
    <row r="83" ht="26.25" customFormat="1" customHeight="1" s="366">
      <c r="A83" s="281" t="inlineStr">
        <is>
          <t>天成大厦</t>
        </is>
      </c>
      <c r="B83" s="281"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81" t="n"/>
      <c r="S83" s="281" t="n"/>
      <c r="T83" s="281" t="n"/>
      <c r="U83" s="281" t="inlineStr">
        <is>
          <t>陈中帅</t>
        </is>
      </c>
      <c r="V83" s="7" t="n"/>
      <c r="W83" s="7" t="inlineStr">
        <is>
          <t>-</t>
        </is>
      </c>
      <c r="X83" s="127" t="n"/>
      <c r="Y83" s="7" t="inlineStr">
        <is>
          <t>-</t>
        </is>
      </c>
      <c r="Z83" s="7" t="n"/>
      <c r="AA83" s="315" t="n"/>
      <c r="AB83" s="281" t="n"/>
      <c r="AC83" s="315" t="n"/>
      <c r="AD83" s="315" t="n"/>
      <c r="AE83" s="281" t="inlineStr">
        <is>
          <t>陈亮延</t>
        </is>
      </c>
      <c r="AF83" s="281">
        <f>VLOOKUP(B83,'UV台帐'!B:G,6,0)</f>
        <v/>
      </c>
      <c r="AG83" s="281" t="n"/>
      <c r="AH83" s="281" t="n"/>
      <c r="AI83" s="281" t="n"/>
      <c r="AJ83" s="426" t="n"/>
      <c r="AK83" s="426" t="n"/>
      <c r="AL83" s="366" t="n"/>
      <c r="AM83" s="366" t="n"/>
      <c r="AN83" s="366" t="n"/>
      <c r="AO83" s="366" t="n"/>
      <c r="AP83" s="350" t="n"/>
      <c r="AQ83" s="359" t="n"/>
      <c r="AR83" s="359" t="n"/>
      <c r="AS83" s="281">
        <f>COUNTIFS(H83,"一期",I83,"在读")+COUNTIFS(L83,"一期",M83,"在读")+COUNTIFS(P83,"一期",Q83,"在读")</f>
        <v/>
      </c>
      <c r="AT83" s="281">
        <f>AS83-AX83</f>
        <v/>
      </c>
      <c r="AU83" s="366">
        <f>VLOOKUP(B83,'UV台帐'!B:AL,19,0)</f>
        <v/>
      </c>
      <c r="AV83" s="366">
        <f>VLOOKUP(B83,'UV台帐'!B:AL,28,0)</f>
        <v/>
      </c>
      <c r="AW83" s="366">
        <f>VLOOKUP(B83,'UV台帐'!B:AL,37,0)</f>
        <v/>
      </c>
      <c r="AX83" s="281">
        <f>COUNTIFS(H83,"一期",AU83,"是")+COUNTIFS(L83,"一期",AV83,"是")+COUNTIFS(P83,"一期",AW83,"是")</f>
        <v/>
      </c>
      <c r="AZ83" s="359" t="n"/>
      <c r="BA83" s="359" t="n"/>
    </row>
    <row r="84" ht="26.25" customFormat="1" customHeight="1" s="366">
      <c r="A84" s="281" t="inlineStr">
        <is>
          <t>新宝利</t>
        </is>
      </c>
      <c r="B84" s="281"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81" t="inlineStr">
        <is>
          <t>何咏04</t>
        </is>
      </c>
      <c r="S84" s="281" t="n"/>
      <c r="T84" s="281" t="n"/>
      <c r="U84" s="7" t="inlineStr">
        <is>
          <t>何咏04</t>
        </is>
      </c>
      <c r="V84" s="421" t="n"/>
      <c r="W84" s="7" t="inlineStr">
        <is>
          <t>-</t>
        </is>
      </c>
      <c r="X84" s="127" t="n"/>
      <c r="Y84" s="7" t="inlineStr">
        <is>
          <t>-</t>
        </is>
      </c>
      <c r="Z84" s="421" t="n"/>
      <c r="AA84" s="315" t="n"/>
      <c r="AB84" s="281" t="n"/>
      <c r="AC84" s="315" t="n"/>
      <c r="AD84" s="315" t="n"/>
      <c r="AE84" s="281" t="inlineStr">
        <is>
          <t>张敏烨</t>
        </is>
      </c>
      <c r="AF84" s="281">
        <f>VLOOKUP(B84,'UV台帐'!B:G,6,0)</f>
        <v/>
      </c>
      <c r="AG84" s="281" t="n"/>
      <c r="AH84" s="281" t="n"/>
      <c r="AI84" s="281" t="n"/>
      <c r="AJ84" s="426" t="n"/>
      <c r="AK84" s="426" t="n"/>
      <c r="AL84" s="366" t="n"/>
      <c r="AM84" s="366" t="n"/>
      <c r="AN84" s="366" t="n"/>
      <c r="AO84" s="366" t="n"/>
      <c r="AP84" s="350" t="n"/>
      <c r="AQ84" s="359" t="n"/>
      <c r="AR84" s="359" t="n"/>
      <c r="AS84" s="281">
        <f>COUNTIFS(H84,"一期",I84,"在读")+COUNTIFS(L84,"一期",M84,"在读")+COUNTIFS(P84,"一期",Q84,"在读")</f>
        <v/>
      </c>
      <c r="AT84" s="281">
        <f>AS84-AX84</f>
        <v/>
      </c>
      <c r="AU84" s="366">
        <f>VLOOKUP(B84,'UV台帐'!B:AL,19,0)</f>
        <v/>
      </c>
      <c r="AV84" s="366">
        <f>VLOOKUP(B84,'UV台帐'!B:AL,28,0)</f>
        <v/>
      </c>
      <c r="AW84" s="366">
        <f>VLOOKUP(B84,'UV台帐'!B:AL,37,0)</f>
        <v/>
      </c>
      <c r="AX84" s="281">
        <f>COUNTIFS(H84,"一期",AU84,"是")+COUNTIFS(L84,"一期",AV84,"是")+COUNTIFS(P84,"一期",AW84,"是")</f>
        <v/>
      </c>
      <c r="AZ84" s="359" t="n"/>
      <c r="BA84" s="359" t="n"/>
    </row>
    <row r="85" ht="26.25" customFormat="1" customHeight="1" s="366">
      <c r="A85" s="281" t="inlineStr">
        <is>
          <t>新宝利</t>
        </is>
      </c>
      <c r="B85" s="281"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inlineStr">
        <is>
          <t>何咏04</t>
        </is>
      </c>
      <c r="S85" s="281" t="n"/>
      <c r="T85" s="281" t="n"/>
      <c r="U85" s="119" t="inlineStr">
        <is>
          <t>陈南05</t>
        </is>
      </c>
      <c r="V85" s="421" t="n"/>
      <c r="W85" s="7" t="inlineStr">
        <is>
          <t>何咏04</t>
        </is>
      </c>
      <c r="X85" s="127" t="n"/>
      <c r="Y85" s="7" t="inlineStr">
        <is>
          <t>肖锐03</t>
        </is>
      </c>
      <c r="Z85" s="7" t="n"/>
      <c r="AA85" s="315" t="n"/>
      <c r="AB85" s="281" t="n"/>
      <c r="AC85" s="315" t="n"/>
      <c r="AD85" s="315" t="n"/>
      <c r="AE85" s="281" t="inlineStr">
        <is>
          <t>沈思浩</t>
        </is>
      </c>
      <c r="AF85" s="281">
        <f>VLOOKUP(B85,'UV台帐'!B:G,6,0)</f>
        <v/>
      </c>
      <c r="AG85" s="281" t="n"/>
      <c r="AH85" s="281" t="n"/>
      <c r="AI85" s="281" t="n"/>
      <c r="AJ85" s="426" t="n"/>
      <c r="AK85" s="426" t="n"/>
      <c r="AL85" s="366" t="n"/>
      <c r="AM85" s="366" t="n"/>
      <c r="AN85" s="366" t="n"/>
      <c r="AO85" s="366" t="n"/>
      <c r="AP85" s="350" t="n"/>
      <c r="AQ85" s="359" t="n"/>
      <c r="AR85" s="359" t="n"/>
      <c r="AS85" s="281">
        <f>COUNTIFS(H85,"一期",I85,"在读")+COUNTIFS(L85,"一期",M85,"在读")+COUNTIFS(P85,"一期",Q85,"在读")</f>
        <v/>
      </c>
      <c r="AT85" s="281">
        <f>AS85-AX85</f>
        <v/>
      </c>
      <c r="AU85" s="366">
        <f>VLOOKUP(B85,'UV台帐'!B:AL,19,0)</f>
        <v/>
      </c>
      <c r="AV85" s="366">
        <f>VLOOKUP(B85,'UV台帐'!B:AL,28,0)</f>
        <v/>
      </c>
      <c r="AW85" s="366">
        <f>VLOOKUP(B85,'UV台帐'!B:AL,37,0)</f>
        <v/>
      </c>
      <c r="AX85" s="281">
        <f>COUNTIFS(H85,"一期",AU85,"是")+COUNTIFS(L85,"一期",AV85,"是")+COUNTIFS(P85,"一期",AW85,"是")</f>
        <v/>
      </c>
      <c r="AZ85" s="359" t="n"/>
      <c r="BA85" s="359" t="n"/>
    </row>
    <row r="86" ht="26.25" customFormat="1" customHeight="1" s="366">
      <c r="A86" s="281" t="inlineStr">
        <is>
          <t>新宝利</t>
        </is>
      </c>
      <c r="B86" s="281"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inlineStr">
        <is>
          <t>何咏04</t>
        </is>
      </c>
      <c r="S86" s="281" t="n"/>
      <c r="T86" s="281" t="n"/>
      <c r="U86" s="119" t="inlineStr">
        <is>
          <t>陈南05</t>
        </is>
      </c>
      <c r="V86" s="7" t="n"/>
      <c r="W86" s="7" t="inlineStr">
        <is>
          <t>何咏04</t>
        </is>
      </c>
      <c r="X86" s="127" t="n"/>
      <c r="Y86" s="7" t="inlineStr">
        <is>
          <t>肖锐03</t>
        </is>
      </c>
      <c r="Z86" s="119" t="n"/>
      <c r="AA86" s="315" t="n"/>
      <c r="AB86" s="281" t="n"/>
      <c r="AC86" s="315" t="n"/>
      <c r="AD86" s="315" t="n"/>
      <c r="AE86" s="281" t="inlineStr">
        <is>
          <t>陈亮延</t>
        </is>
      </c>
      <c r="AF86" s="281">
        <f>VLOOKUP(B86,'UV台帐'!B:G,6,0)</f>
        <v/>
      </c>
      <c r="AG86" s="281" t="n"/>
      <c r="AH86" s="281" t="n"/>
      <c r="AI86" s="281" t="n"/>
      <c r="AJ86" s="426" t="n"/>
      <c r="AK86" s="426" t="n"/>
      <c r="AL86" s="366" t="n"/>
      <c r="AM86" s="366" t="n"/>
      <c r="AN86" s="366" t="n"/>
      <c r="AO86" s="366" t="n"/>
      <c r="AP86" s="350" t="n"/>
      <c r="AQ86" s="359" t="n"/>
      <c r="AR86" s="359" t="n"/>
      <c r="AS86" s="281">
        <f>COUNTIFS(H86,"一期",I86,"在读")+COUNTIFS(L86,"一期",M86,"在读")+COUNTIFS(P86,"一期",Q86,"在读")</f>
        <v/>
      </c>
      <c r="AT86" s="281">
        <f>AS86-AX86</f>
        <v/>
      </c>
      <c r="AU86" s="366">
        <f>VLOOKUP(B86,'UV台帐'!B:AL,19,0)</f>
        <v/>
      </c>
      <c r="AV86" s="366">
        <f>VLOOKUP(B86,'UV台帐'!B:AL,28,0)</f>
        <v/>
      </c>
      <c r="AW86" s="366">
        <f>VLOOKUP(B86,'UV台帐'!B:AL,37,0)</f>
        <v/>
      </c>
      <c r="AX86" s="281">
        <f>COUNTIFS(H86,"一期",AU86,"是")+COUNTIFS(L86,"一期",AV86,"是")+COUNTIFS(P86,"一期",AW86,"是")</f>
        <v/>
      </c>
      <c r="AZ86" s="359" t="n"/>
      <c r="BA86" s="359" t="n"/>
    </row>
    <row r="87" ht="26.25" customFormat="1" customHeight="1" s="366">
      <c r="A87" s="281" t="inlineStr">
        <is>
          <t>新宝利</t>
        </is>
      </c>
      <c r="B87" s="281"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inlineStr">
        <is>
          <t>何咏04</t>
        </is>
      </c>
      <c r="S87" s="281" t="n"/>
      <c r="T87" s="281" t="n"/>
      <c r="U87" s="119" t="inlineStr">
        <is>
          <t>陈南05</t>
        </is>
      </c>
      <c r="V87" s="421" t="n"/>
      <c r="W87" s="7" t="inlineStr">
        <is>
          <t>何咏04</t>
        </is>
      </c>
      <c r="X87" s="127" t="n"/>
      <c r="Y87" s="7" t="inlineStr">
        <is>
          <t>肖锐03</t>
        </is>
      </c>
      <c r="Z87" s="7" t="n"/>
      <c r="AA87" s="315" t="n"/>
      <c r="AB87" s="281" t="n"/>
      <c r="AC87" s="315" t="n"/>
      <c r="AD87" s="315" t="n"/>
      <c r="AE87" s="281" t="inlineStr">
        <is>
          <t>王达04</t>
        </is>
      </c>
      <c r="AF87" s="281">
        <f>VLOOKUP(B87,'UV台帐'!B:G,6,0)</f>
        <v/>
      </c>
      <c r="AG87" s="281" t="n"/>
      <c r="AH87" s="281" t="n"/>
      <c r="AI87" s="281" t="n"/>
      <c r="AJ87" s="426" t="n"/>
      <c r="AK87" s="426" t="n"/>
      <c r="AL87" s="366" t="n"/>
      <c r="AM87" s="366" t="n"/>
      <c r="AN87" s="366" t="n"/>
      <c r="AO87" s="366" t="n"/>
      <c r="AP87" s="350" t="n"/>
      <c r="AQ87" s="359" t="n"/>
      <c r="AR87" s="359" t="n"/>
      <c r="AS87" s="281">
        <f>COUNTIFS(H87,"一期",I87,"在读")+COUNTIFS(L87,"一期",M87,"在读")+COUNTIFS(P87,"一期",Q87,"在读")</f>
        <v/>
      </c>
      <c r="AT87" s="281">
        <f>AS87-AX87</f>
        <v/>
      </c>
      <c r="AU87" s="366">
        <f>VLOOKUP(B87,'UV台帐'!B:AL,19,0)</f>
        <v/>
      </c>
      <c r="AV87" s="366">
        <f>VLOOKUP(B87,'UV台帐'!B:AL,28,0)</f>
        <v/>
      </c>
      <c r="AW87" s="366">
        <f>VLOOKUP(B87,'UV台帐'!B:AL,37,0)</f>
        <v/>
      </c>
      <c r="AX87" s="281">
        <f>COUNTIFS(H87,"一期",AU87,"是")+COUNTIFS(L87,"一期",AV87,"是")+COUNTIFS(P87,"一期",AW87,"是")</f>
        <v/>
      </c>
      <c r="AZ87" s="359" t="n"/>
      <c r="BA87" s="359" t="n"/>
    </row>
    <row r="88" ht="26.25" customFormat="1" customHeight="1" s="366">
      <c r="A88" s="281" t="inlineStr">
        <is>
          <t>新宝利</t>
        </is>
      </c>
      <c r="B88" s="281"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inlineStr">
        <is>
          <t>何咏04</t>
        </is>
      </c>
      <c r="S88" s="281" t="n"/>
      <c r="T88" s="281" t="n"/>
      <c r="U88" s="7" t="inlineStr">
        <is>
          <t>何咏04</t>
        </is>
      </c>
      <c r="V88" s="7" t="n"/>
      <c r="W88" s="7" t="inlineStr">
        <is>
          <t>肖锐03</t>
        </is>
      </c>
      <c r="X88" s="127" t="n"/>
      <c r="Y88" s="7" t="inlineStr">
        <is>
          <t>李润</t>
        </is>
      </c>
      <c r="Z88" s="7" t="n"/>
      <c r="AA88" s="315" t="n"/>
      <c r="AB88" s="281" t="n"/>
      <c r="AC88" s="315" t="n"/>
      <c r="AD88" s="315" t="n"/>
      <c r="AE88" s="281" t="inlineStr">
        <is>
          <t>张敏烨</t>
        </is>
      </c>
      <c r="AF88" s="281">
        <f>VLOOKUP(B88,'UV台帐'!B:G,6,0)</f>
        <v/>
      </c>
      <c r="AG88" s="281" t="n"/>
      <c r="AH88" s="281" t="n"/>
      <c r="AI88" s="281" t="n"/>
      <c r="AJ88" s="426" t="n"/>
      <c r="AK88" s="426" t="n"/>
      <c r="AL88" s="366" t="n"/>
      <c r="AM88" s="366" t="n"/>
      <c r="AN88" s="366" t="n"/>
      <c r="AO88" s="366" t="n"/>
      <c r="AP88" s="350" t="n"/>
      <c r="AQ88" s="359" t="n"/>
      <c r="AR88" s="359" t="n"/>
      <c r="AS88" s="281">
        <f>COUNTIFS(H88,"一期",I88,"在读")+COUNTIFS(L88,"一期",M88,"在读")+COUNTIFS(P88,"一期",Q88,"在读")</f>
        <v/>
      </c>
      <c r="AT88" s="281">
        <f>AS88-AX88</f>
        <v/>
      </c>
      <c r="AU88" s="366">
        <f>VLOOKUP(B88,'UV台帐'!B:AL,19,0)</f>
        <v/>
      </c>
      <c r="AV88" s="366">
        <f>VLOOKUP(B88,'UV台帐'!B:AL,28,0)</f>
        <v/>
      </c>
      <c r="AW88" s="366">
        <f>VLOOKUP(B88,'UV台帐'!B:AL,37,0)</f>
        <v/>
      </c>
      <c r="AX88" s="281">
        <f>COUNTIFS(H88,"一期",AU88,"是")+COUNTIFS(L88,"一期",AV88,"是")+COUNTIFS(P88,"一期",AW88,"是")</f>
        <v/>
      </c>
      <c r="AZ88" s="359" t="n"/>
      <c r="BA88" s="359" t="n"/>
    </row>
    <row r="89" ht="26.25" customFormat="1" customHeight="1" s="366">
      <c r="A89" s="281" t="inlineStr">
        <is>
          <t>同创汇</t>
        </is>
      </c>
      <c r="B89" s="281"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n"/>
      <c r="T89" s="281" t="n"/>
      <c r="U89" s="7" t="inlineStr">
        <is>
          <t>高心怡04</t>
        </is>
      </c>
      <c r="V89" s="421" t="n"/>
      <c r="W89" s="7" t="inlineStr">
        <is>
          <t>黄铭怡</t>
        </is>
      </c>
      <c r="X89" s="127" t="n"/>
      <c r="Y89" s="7" t="inlineStr">
        <is>
          <t>-</t>
        </is>
      </c>
      <c r="Z89" s="7" t="n"/>
      <c r="AA89" s="281" t="n"/>
      <c r="AB89" s="281" t="n"/>
      <c r="AC89" s="281" t="n"/>
      <c r="AD89" s="281" t="n"/>
      <c r="AE89" s="281" t="inlineStr">
        <is>
          <t>戎凯01</t>
        </is>
      </c>
      <c r="AF89" s="281">
        <f>VLOOKUP(B89,'UV台帐'!B:G,6,0)</f>
        <v/>
      </c>
      <c r="AG89" s="281" t="n"/>
      <c r="AH89" s="281" t="n"/>
      <c r="AI89" s="281" t="n"/>
      <c r="AJ89" s="426" t="n"/>
      <c r="AK89" s="426" t="n"/>
      <c r="AL89" s="366" t="n"/>
      <c r="AM89" s="366" t="n"/>
      <c r="AN89" s="366" t="n"/>
      <c r="AO89" s="366" t="n"/>
      <c r="AP89" s="350" t="n"/>
      <c r="AQ89" s="359" t="n"/>
      <c r="AR89" s="359" t="n"/>
      <c r="AS89" s="281">
        <f>COUNTIFS(H89,"一期",I89,"在读")+COUNTIFS(L89,"一期",M89,"在读")+COUNTIFS(P89,"一期",Q89,"在读")</f>
        <v/>
      </c>
      <c r="AT89" s="281">
        <f>AS89-AX89</f>
        <v/>
      </c>
      <c r="AU89" s="366">
        <f>VLOOKUP(B89,'UV台帐'!B:AL,19,0)</f>
        <v/>
      </c>
      <c r="AV89" s="366">
        <f>VLOOKUP(B89,'UV台帐'!B:AL,28,0)</f>
        <v/>
      </c>
      <c r="AW89" s="366">
        <f>VLOOKUP(B89,'UV台帐'!B:AL,37,0)</f>
        <v/>
      </c>
      <c r="AX89" s="281">
        <f>COUNTIFS(H89,"一期",AU89,"是")+COUNTIFS(L89,"一期",AV89,"是")+COUNTIFS(P89,"一期",AW89,"是")</f>
        <v/>
      </c>
      <c r="AZ89" s="359" t="n"/>
      <c r="BA89" s="359" t="n"/>
    </row>
    <row r="90" ht="26.25" customFormat="1" customHeight="1" s="366">
      <c r="A90" s="281" t="inlineStr">
        <is>
          <t>同创汇</t>
        </is>
      </c>
      <c r="B90" s="281"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n"/>
      <c r="T90" s="281" t="n"/>
      <c r="U90" s="7" t="inlineStr">
        <is>
          <t>黄铭怡</t>
        </is>
      </c>
      <c r="V90" s="421" t="n"/>
      <c r="W90" s="119" t="inlineStr">
        <is>
          <t>高心怡04</t>
        </is>
      </c>
      <c r="X90" s="127" t="n"/>
      <c r="Y90" s="281" t="inlineStr">
        <is>
          <t>陈中帅</t>
        </is>
      </c>
      <c r="Z90" s="7" t="n"/>
      <c r="AA90" s="119" t="n"/>
      <c r="AB90" s="281" t="n"/>
      <c r="AC90" s="119" t="n"/>
      <c r="AD90" s="119" t="n"/>
      <c r="AE90" s="281" t="inlineStr">
        <is>
          <t>戎凯01</t>
        </is>
      </c>
      <c r="AF90" s="281">
        <f>VLOOKUP(B90,'UV台帐'!B:G,6,0)</f>
        <v/>
      </c>
      <c r="AG90" s="281" t="n"/>
      <c r="AH90" s="281" t="n"/>
      <c r="AI90" s="281" t="n"/>
      <c r="AJ90" s="426" t="n"/>
      <c r="AK90" s="426" t="n"/>
      <c r="AL90" s="366" t="n"/>
      <c r="AM90" s="366" t="n"/>
      <c r="AN90" s="366" t="n"/>
      <c r="AO90" s="366" t="n"/>
      <c r="AP90" s="350" t="n"/>
      <c r="AQ90" s="359" t="n"/>
      <c r="AR90" s="359" t="n"/>
      <c r="AS90" s="281">
        <f>COUNTIFS(H90,"一期",I90,"在读")+COUNTIFS(L90,"一期",M90,"在读")+COUNTIFS(P90,"一期",Q90,"在读")</f>
        <v/>
      </c>
      <c r="AT90" s="281">
        <f>AS90-AX90</f>
        <v/>
      </c>
      <c r="AU90" s="366">
        <f>VLOOKUP(B90,'UV台帐'!B:AL,19,0)</f>
        <v/>
      </c>
      <c r="AV90" s="366">
        <f>VLOOKUP(B90,'UV台帐'!B:AL,28,0)</f>
        <v/>
      </c>
      <c r="AW90" s="366">
        <f>VLOOKUP(B90,'UV台帐'!B:AL,37,0)</f>
        <v/>
      </c>
      <c r="AX90" s="281">
        <f>COUNTIFS(H90,"一期",AU90,"是")+COUNTIFS(L90,"一期",AV90,"是")+COUNTIFS(P90,"一期",AW90,"是")</f>
        <v/>
      </c>
      <c r="AZ90" s="359" t="n"/>
      <c r="BA90" s="359" t="n"/>
    </row>
    <row r="91" ht="26.25" customFormat="1" customHeight="1" s="366">
      <c r="A91" s="281" t="inlineStr">
        <is>
          <t>新宝利</t>
        </is>
      </c>
      <c r="B91" s="281"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inlineStr">
        <is>
          <t>何咏04</t>
        </is>
      </c>
      <c r="S91" s="281" t="n"/>
      <c r="T91" s="281" t="n"/>
      <c r="U91" s="7" t="inlineStr">
        <is>
          <t>何咏04</t>
        </is>
      </c>
      <c r="V91" s="421" t="n"/>
      <c r="W91" s="7" t="inlineStr">
        <is>
          <t>肖锐03</t>
        </is>
      </c>
      <c r="X91" s="127" t="n"/>
      <c r="Y91" s="7" t="inlineStr">
        <is>
          <t>李润</t>
        </is>
      </c>
      <c r="Z91" s="7" t="n"/>
      <c r="AA91" s="315" t="n"/>
      <c r="AB91" s="281" t="n"/>
      <c r="AC91" s="315" t="n"/>
      <c r="AD91" s="315" t="n"/>
      <c r="AE91" s="281" t="inlineStr">
        <is>
          <t>张敏烨</t>
        </is>
      </c>
      <c r="AF91" s="281">
        <f>VLOOKUP(B91,'UV台帐'!B:G,6,0)</f>
        <v/>
      </c>
      <c r="AG91" s="281" t="n"/>
      <c r="AH91" s="281" t="n"/>
      <c r="AI91" s="281" t="n"/>
      <c r="AJ91" s="426" t="n"/>
      <c r="AK91" s="426" t="n"/>
      <c r="AL91" s="366" t="n"/>
      <c r="AM91" s="366" t="n"/>
      <c r="AN91" s="366" t="n"/>
      <c r="AO91" s="366" t="n"/>
      <c r="AP91" s="350" t="n"/>
      <c r="AQ91" s="359" t="n"/>
      <c r="AR91" s="359" t="n"/>
      <c r="AS91" s="281">
        <f>COUNTIFS(H91,"一期",I91,"在读")+COUNTIFS(L91,"一期",M91,"在读")+COUNTIFS(P91,"一期",Q91,"在读")</f>
        <v/>
      </c>
      <c r="AT91" s="281">
        <f>AS91-AX91</f>
        <v/>
      </c>
      <c r="AU91" s="366">
        <f>VLOOKUP(B91,'UV台帐'!B:AL,19,0)</f>
        <v/>
      </c>
      <c r="AV91" s="366">
        <f>VLOOKUP(B91,'UV台帐'!B:AL,28,0)</f>
        <v/>
      </c>
      <c r="AW91" s="366">
        <f>VLOOKUP(B91,'UV台帐'!B:AL,37,0)</f>
        <v/>
      </c>
      <c r="AX91" s="281">
        <f>COUNTIFS(H91,"一期",AU91,"是")+COUNTIFS(L91,"一期",AV91,"是")+COUNTIFS(P91,"一期",AW91,"是")</f>
        <v/>
      </c>
      <c r="AZ91" s="359" t="n"/>
      <c r="BA91" s="359" t="n"/>
    </row>
    <row r="92" ht="26.25" customFormat="1" customHeight="1" s="366">
      <c r="A92" s="281" t="inlineStr">
        <is>
          <t>新宝利</t>
        </is>
      </c>
      <c r="B92" s="281"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inlineStr">
        <is>
          <t>何咏04</t>
        </is>
      </c>
      <c r="S92" s="281" t="n"/>
      <c r="T92" s="281" t="n"/>
      <c r="U92" s="7" t="inlineStr">
        <is>
          <t>何咏04</t>
        </is>
      </c>
      <c r="V92" s="421" t="n"/>
      <c r="W92" s="7" t="inlineStr">
        <is>
          <t>肖锐03</t>
        </is>
      </c>
      <c r="X92" s="127" t="n"/>
      <c r="Y92" s="7" t="inlineStr">
        <is>
          <t>李润</t>
        </is>
      </c>
      <c r="Z92" s="421" t="n"/>
      <c r="AA92" s="281" t="n"/>
      <c r="AB92" s="281" t="n"/>
      <c r="AC92" s="281" t="n"/>
      <c r="AD92" s="281" t="n"/>
      <c r="AE92" s="281" t="inlineStr">
        <is>
          <t>王丽</t>
        </is>
      </c>
      <c r="AF92" s="281">
        <f>VLOOKUP(B92,'UV台帐'!B:G,6,0)</f>
        <v/>
      </c>
      <c r="AG92" s="281" t="n"/>
      <c r="AH92" s="281" t="n"/>
      <c r="AI92" s="281" t="n"/>
      <c r="AJ92" s="426" t="n"/>
      <c r="AK92" s="426" t="n"/>
      <c r="AL92" s="366" t="n"/>
      <c r="AM92" s="366" t="n"/>
      <c r="AN92" s="366" t="n"/>
      <c r="AO92" s="366" t="n"/>
      <c r="AP92" s="350" t="n"/>
      <c r="AQ92" s="359" t="n"/>
      <c r="AR92" s="359" t="n"/>
      <c r="AS92" s="281">
        <f>COUNTIFS(H92,"一期",I92,"在读")+COUNTIFS(L92,"一期",M92,"在读")+COUNTIFS(P92,"一期",Q92,"在读")</f>
        <v/>
      </c>
      <c r="AT92" s="281">
        <f>AS92-AX92</f>
        <v/>
      </c>
      <c r="AU92" s="366">
        <f>VLOOKUP(B92,'UV台帐'!B:AL,19,0)</f>
        <v/>
      </c>
      <c r="AV92" s="366">
        <f>VLOOKUP(B92,'UV台帐'!B:AL,28,0)</f>
        <v/>
      </c>
      <c r="AW92" s="366">
        <f>VLOOKUP(B92,'UV台帐'!B:AL,37,0)</f>
        <v/>
      </c>
      <c r="AX92" s="281">
        <f>COUNTIFS(H92,"一期",AU92,"是")+COUNTIFS(L92,"一期",AV92,"是")+COUNTIFS(P92,"一期",AW92,"是")</f>
        <v/>
      </c>
      <c r="AZ92" s="359" t="n"/>
      <c r="BA92" s="359" t="n"/>
    </row>
    <row r="93" ht="26.25" customFormat="1" customHeight="1" s="366">
      <c r="A93" s="281" t="inlineStr">
        <is>
          <t>同创汇</t>
        </is>
      </c>
      <c r="B93" s="281"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n"/>
      <c r="T93" s="281" t="n"/>
      <c r="U93" s="7" t="inlineStr">
        <is>
          <t>黄铭怡</t>
        </is>
      </c>
      <c r="V93" s="421" t="n"/>
      <c r="W93" s="281" t="inlineStr">
        <is>
          <t>陈中帅</t>
        </is>
      </c>
      <c r="X93" s="127" t="n"/>
      <c r="Y93" s="421" t="inlineStr">
        <is>
          <t>高心怡04</t>
        </is>
      </c>
      <c r="Z93" s="421" t="n"/>
      <c r="AA93" s="281" t="n"/>
      <c r="AB93" s="281" t="n"/>
      <c r="AC93" s="281" t="n"/>
      <c r="AD93" s="281" t="n"/>
      <c r="AE93" s="281" t="inlineStr">
        <is>
          <t>王丽</t>
        </is>
      </c>
      <c r="AF93" s="281">
        <f>VLOOKUP(B93,'UV台帐'!B:G,6,0)</f>
        <v/>
      </c>
      <c r="AG93" s="281" t="n"/>
      <c r="AH93" s="281" t="n"/>
      <c r="AI93" s="281" t="n"/>
      <c r="AJ93" s="426" t="n"/>
      <c r="AK93" s="426" t="n"/>
      <c r="AL93" s="366" t="n"/>
      <c r="AM93" s="366" t="n"/>
      <c r="AN93" s="366" t="n"/>
      <c r="AO93" s="366" t="n"/>
      <c r="AP93" s="350" t="n"/>
      <c r="AQ93" s="359" t="n"/>
      <c r="AR93" s="359" t="n"/>
      <c r="AS93" s="281">
        <f>COUNTIFS(H93,"一期",I93,"在读")+COUNTIFS(L93,"一期",M93,"在读")+COUNTIFS(P93,"一期",Q93,"在读")</f>
        <v/>
      </c>
      <c r="AT93" s="281">
        <f>AS93-AX93</f>
        <v/>
      </c>
      <c r="AU93" s="366">
        <f>VLOOKUP(B93,'UV台帐'!B:AL,19,0)</f>
        <v/>
      </c>
      <c r="AV93" s="366">
        <f>VLOOKUP(B93,'UV台帐'!B:AL,28,0)</f>
        <v/>
      </c>
      <c r="AW93" s="366">
        <f>VLOOKUP(B93,'UV台帐'!B:AL,37,0)</f>
        <v/>
      </c>
      <c r="AX93" s="281">
        <f>COUNTIFS(H93,"一期",AU93,"是")+COUNTIFS(L93,"一期",AV93,"是")+COUNTIFS(P93,"一期",AW93,"是")</f>
        <v/>
      </c>
      <c r="AZ93" s="359" t="n"/>
      <c r="BA93" s="359" t="n"/>
    </row>
    <row r="94" ht="26.25" customFormat="1" customHeight="1" s="366">
      <c r="A94" s="281" t="inlineStr">
        <is>
          <t>新宝利</t>
        </is>
      </c>
      <c r="B94" s="281"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81" t="inlineStr">
        <is>
          <t>何咏04</t>
        </is>
      </c>
      <c r="S94" s="281" t="n"/>
      <c r="T94" s="281" t="n"/>
      <c r="U94" s="7" t="inlineStr">
        <is>
          <t>何咏04</t>
        </is>
      </c>
      <c r="V94" s="421" t="n"/>
      <c r="W94" s="7" t="inlineStr">
        <is>
          <t>-</t>
        </is>
      </c>
      <c r="X94" s="127" t="n"/>
      <c r="Y94" s="7" t="inlineStr">
        <is>
          <t>-</t>
        </is>
      </c>
      <c r="Z94" s="7" t="n"/>
      <c r="AA94" s="119" t="n"/>
      <c r="AB94" s="281" t="n"/>
      <c r="AC94" s="119" t="n"/>
      <c r="AD94" s="119" t="n"/>
      <c r="AE94" s="281" t="inlineStr">
        <is>
          <t>林志豪01</t>
        </is>
      </c>
      <c r="AF94" s="281">
        <f>VLOOKUP(B94,'UV台帐'!B:G,6,0)</f>
        <v/>
      </c>
      <c r="AG94" s="281" t="n"/>
      <c r="AH94" s="281" t="n"/>
      <c r="AI94" s="281" t="n"/>
      <c r="AJ94" s="426" t="n"/>
      <c r="AK94" s="426" t="n"/>
      <c r="AL94" s="366" t="n"/>
      <c r="AM94" s="366" t="n"/>
      <c r="AN94" s="366" t="n"/>
      <c r="AO94" s="366" t="n"/>
      <c r="AP94" s="350" t="n"/>
      <c r="AQ94" s="359" t="n"/>
      <c r="AR94" s="359" t="n"/>
      <c r="AS94" s="281">
        <f>COUNTIFS(H94,"一期",I94,"在读")+COUNTIFS(L94,"一期",M94,"在读")+COUNTIFS(P94,"一期",Q94,"在读")</f>
        <v/>
      </c>
      <c r="AT94" s="281">
        <f>AS94-AX94</f>
        <v/>
      </c>
      <c r="AU94" s="366">
        <f>VLOOKUP(B94,'UV台帐'!B:AL,19,0)</f>
        <v/>
      </c>
      <c r="AV94" s="366">
        <f>VLOOKUP(B94,'UV台帐'!B:AL,28,0)</f>
        <v/>
      </c>
      <c r="AW94" s="366">
        <f>VLOOKUP(B94,'UV台帐'!B:AL,37,0)</f>
        <v/>
      </c>
      <c r="AX94" s="281">
        <f>COUNTIFS(H94,"一期",AU94,"是")+COUNTIFS(L94,"一期",AV94,"是")+COUNTIFS(P94,"一期",AW94,"是")</f>
        <v/>
      </c>
      <c r="AZ94" s="359" t="n"/>
      <c r="BA94" s="359" t="n"/>
    </row>
    <row r="95" ht="26.25" customFormat="1" customHeight="1" s="366">
      <c r="A95" s="281" t="inlineStr">
        <is>
          <t>天成大厦</t>
        </is>
      </c>
      <c r="B95" s="281"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n"/>
      <c r="T95" s="281" t="n"/>
      <c r="U95" s="7" t="inlineStr">
        <is>
          <t>李润</t>
        </is>
      </c>
      <c r="V95" s="421" t="n"/>
      <c r="W95" s="119" t="inlineStr">
        <is>
          <t>刘希子</t>
        </is>
      </c>
      <c r="X95" s="127" t="n"/>
      <c r="Y95" s="281" t="inlineStr">
        <is>
          <t>陈中帅</t>
        </is>
      </c>
      <c r="Z95" s="281" t="n"/>
      <c r="AA95" s="315" t="n"/>
      <c r="AB95" s="281" t="n"/>
      <c r="AC95" s="315" t="n"/>
      <c r="AD95" s="315" t="n"/>
      <c r="AE95" s="281" t="inlineStr">
        <is>
          <t>陈亮延</t>
        </is>
      </c>
      <c r="AF95" s="281">
        <f>VLOOKUP(B95,'UV台帐'!B:G,6,0)</f>
        <v/>
      </c>
      <c r="AG95" s="281" t="n"/>
      <c r="AH95" s="281" t="n"/>
      <c r="AI95" s="281" t="n"/>
      <c r="AJ95" s="426" t="n"/>
      <c r="AK95" s="426" t="n"/>
      <c r="AL95" s="366" t="n"/>
      <c r="AM95" s="366" t="n"/>
      <c r="AN95" s="366" t="n"/>
      <c r="AO95" s="366" t="n"/>
      <c r="AP95" s="350" t="n"/>
      <c r="AQ95" s="359" t="n"/>
      <c r="AR95" s="359" t="n"/>
      <c r="AS95" s="281">
        <f>COUNTIFS(H95,"一期",I95,"在读")+COUNTIFS(L95,"一期",M95,"在读")+COUNTIFS(P95,"一期",Q95,"在读")</f>
        <v/>
      </c>
      <c r="AT95" s="281">
        <f>AS95-AX95</f>
        <v/>
      </c>
      <c r="AU95" s="366">
        <f>VLOOKUP(B95,'UV台帐'!B:AL,19,0)</f>
        <v/>
      </c>
      <c r="AV95" s="366">
        <f>VLOOKUP(B95,'UV台帐'!B:AL,28,0)</f>
        <v/>
      </c>
      <c r="AW95" s="366">
        <f>VLOOKUP(B95,'UV台帐'!B:AL,37,0)</f>
        <v/>
      </c>
      <c r="AX95" s="281">
        <f>COUNTIFS(H95,"一期",AU95,"是")+COUNTIFS(L95,"一期",AV95,"是")+COUNTIFS(P95,"一期",AW95,"是")</f>
        <v/>
      </c>
      <c r="AZ95" s="359" t="n"/>
      <c r="BA95" s="359" t="n"/>
    </row>
    <row r="96" ht="26.25" customFormat="1" customHeight="1" s="366">
      <c r="A96" s="281" t="inlineStr">
        <is>
          <t>新宝利</t>
        </is>
      </c>
      <c r="B96" s="281"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81" t="inlineStr">
        <is>
          <t>何咏04</t>
        </is>
      </c>
      <c r="S96" s="281" t="n"/>
      <c r="T96" s="281" t="n"/>
      <c r="U96" s="7" t="inlineStr">
        <is>
          <t>何咏04</t>
        </is>
      </c>
      <c r="V96" s="421" t="n"/>
      <c r="W96" s="119" t="inlineStr">
        <is>
          <t>陈南05</t>
        </is>
      </c>
      <c r="X96" s="127" t="n"/>
      <c r="Y96" s="7" t="inlineStr">
        <is>
          <t>-</t>
        </is>
      </c>
      <c r="Z96" s="421" t="n"/>
      <c r="AA96" s="119" t="n"/>
      <c r="AB96" s="281" t="n"/>
      <c r="AC96" s="119" t="n"/>
      <c r="AD96" s="119" t="n"/>
      <c r="AE96" s="281" t="inlineStr">
        <is>
          <t>张敏烨</t>
        </is>
      </c>
      <c r="AF96" s="281">
        <f>VLOOKUP(B96,'UV台帐'!B:G,6,0)</f>
        <v/>
      </c>
      <c r="AG96" s="281" t="n"/>
      <c r="AH96" s="281" t="n"/>
      <c r="AI96" s="281" t="n"/>
      <c r="AJ96" s="426" t="n"/>
      <c r="AK96" s="426" t="n"/>
      <c r="AL96" s="366" t="n"/>
      <c r="AM96" s="366" t="n"/>
      <c r="AN96" s="366" t="n"/>
      <c r="AO96" s="366" t="n"/>
      <c r="AP96" s="350" t="n"/>
      <c r="AQ96" s="359" t="n"/>
      <c r="AR96" s="359" t="n"/>
      <c r="AS96" s="281">
        <f>COUNTIFS(H96,"一期",I96,"在读")+COUNTIFS(L96,"一期",M96,"在读")+COUNTIFS(P96,"一期",Q96,"在读")</f>
        <v/>
      </c>
      <c r="AT96" s="281">
        <f>AS96-AX96</f>
        <v/>
      </c>
      <c r="AU96" s="366">
        <f>VLOOKUP(B96,'UV台帐'!B:AL,19,0)</f>
        <v/>
      </c>
      <c r="AV96" s="366">
        <f>VLOOKUP(B96,'UV台帐'!B:AL,28,0)</f>
        <v/>
      </c>
      <c r="AW96" s="366">
        <f>VLOOKUP(B96,'UV台帐'!B:AL,37,0)</f>
        <v/>
      </c>
      <c r="AX96" s="281">
        <f>COUNTIFS(H96,"一期",AU96,"是")+COUNTIFS(L96,"一期",AV96,"是")+COUNTIFS(P96,"一期",AW96,"是")</f>
        <v/>
      </c>
      <c r="AZ96" s="359" t="n"/>
      <c r="BA96" s="359" t="n"/>
    </row>
    <row r="97" ht="26.25" customFormat="1" customHeight="1" s="366">
      <c r="A97" s="281" t="inlineStr">
        <is>
          <t>天成大厦</t>
        </is>
      </c>
      <c r="B97" s="281"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n"/>
      <c r="T97" s="281" t="n"/>
      <c r="U97" s="7" t="inlineStr">
        <is>
          <t>李润</t>
        </is>
      </c>
      <c r="V97" s="421" t="n"/>
      <c r="W97" s="7" t="inlineStr">
        <is>
          <t>刘希子</t>
        </is>
      </c>
      <c r="X97" s="127" t="n"/>
      <c r="Y97" s="281" t="inlineStr">
        <is>
          <t>陈中帅</t>
        </is>
      </c>
      <c r="Z97" s="7" t="n"/>
      <c r="AA97" s="315" t="n"/>
      <c r="AB97" s="281" t="n"/>
      <c r="AC97" s="315" t="n"/>
      <c r="AD97" s="315" t="n"/>
      <c r="AE97" s="281" t="inlineStr">
        <is>
          <t>张敏烨</t>
        </is>
      </c>
      <c r="AF97" s="281">
        <f>VLOOKUP(B97,'UV台帐'!B:G,6,0)</f>
        <v/>
      </c>
      <c r="AG97" s="281" t="n"/>
      <c r="AH97" s="281" t="n"/>
      <c r="AI97" s="281" t="n"/>
      <c r="AJ97" s="426" t="n"/>
      <c r="AK97" s="426" t="n"/>
      <c r="AL97" s="366" t="n"/>
      <c r="AM97" s="366" t="n"/>
      <c r="AN97" s="366" t="n"/>
      <c r="AO97" s="366" t="n"/>
      <c r="AP97" s="350" t="n"/>
      <c r="AQ97" s="359" t="n"/>
      <c r="AR97" s="359" t="n"/>
      <c r="AS97" s="281">
        <f>COUNTIFS(H97,"一期",I97,"在读")+COUNTIFS(L97,"一期",M97,"在读")+COUNTIFS(P97,"一期",Q97,"在读")</f>
        <v/>
      </c>
      <c r="AT97" s="281">
        <f>AS97-AX97</f>
        <v/>
      </c>
      <c r="AU97" s="366">
        <f>VLOOKUP(B97,'UV台帐'!B:AL,19,0)</f>
        <v/>
      </c>
      <c r="AV97" s="366">
        <f>VLOOKUP(B97,'UV台帐'!B:AL,28,0)</f>
        <v/>
      </c>
      <c r="AW97" s="366">
        <f>VLOOKUP(B97,'UV台帐'!B:AL,37,0)</f>
        <v/>
      </c>
      <c r="AX97" s="281">
        <f>COUNTIFS(H97,"一期",AU97,"是")+COUNTIFS(L97,"一期",AV97,"是")+COUNTIFS(P97,"一期",AW97,"是")</f>
        <v/>
      </c>
      <c r="AZ97" s="359" t="n"/>
      <c r="BA97" s="359" t="n"/>
    </row>
    <row r="98" ht="26.25" customFormat="1" customHeight="1" s="366">
      <c r="A98" s="281" t="inlineStr">
        <is>
          <t>新宝利</t>
        </is>
      </c>
      <c r="B98" s="281"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inlineStr">
        <is>
          <t>何咏04</t>
        </is>
      </c>
      <c r="S98" s="281" t="n"/>
      <c r="T98" s="281" t="n"/>
      <c r="U98" s="119" t="inlineStr">
        <is>
          <t>陈南05</t>
        </is>
      </c>
      <c r="V98" s="421" t="n"/>
      <c r="W98" s="119" t="inlineStr">
        <is>
          <t>陈南05</t>
        </is>
      </c>
      <c r="X98" s="127" t="n"/>
      <c r="Y98" s="7" t="inlineStr">
        <is>
          <t>肖锐03</t>
        </is>
      </c>
      <c r="Z98" s="7" t="n"/>
      <c r="AA98" s="315" t="n"/>
      <c r="AB98" s="281" t="n"/>
      <c r="AC98" s="315" t="n"/>
      <c r="AD98" s="315" t="n"/>
      <c r="AE98" s="281" t="inlineStr">
        <is>
          <t>杨林33</t>
        </is>
      </c>
      <c r="AF98" s="281">
        <f>VLOOKUP(B98,'UV台帐'!B:G,6,0)</f>
        <v/>
      </c>
      <c r="AG98" s="281" t="n"/>
      <c r="AH98" s="281" t="n"/>
      <c r="AI98" s="281" t="n"/>
      <c r="AJ98" s="426" t="n"/>
      <c r="AK98" s="426" t="n"/>
      <c r="AL98" s="366" t="n"/>
      <c r="AM98" s="366" t="n"/>
      <c r="AN98" s="366" t="n"/>
      <c r="AO98" s="366" t="n"/>
      <c r="AP98" s="350" t="n"/>
      <c r="AQ98" s="359" t="n"/>
      <c r="AR98" s="359" t="n"/>
      <c r="AS98" s="281">
        <f>COUNTIFS(H98,"一期",I98,"在读")+COUNTIFS(L98,"一期",M98,"在读")+COUNTIFS(P98,"一期",Q98,"在读")</f>
        <v/>
      </c>
      <c r="AT98" s="281">
        <f>AS98-AX98</f>
        <v/>
      </c>
      <c r="AU98" s="366">
        <f>VLOOKUP(B98,'UV台帐'!B:AL,19,0)</f>
        <v/>
      </c>
      <c r="AV98" s="366">
        <f>VLOOKUP(B98,'UV台帐'!B:AL,28,0)</f>
        <v/>
      </c>
      <c r="AW98" s="366">
        <f>VLOOKUP(B98,'UV台帐'!B:AL,37,0)</f>
        <v/>
      </c>
      <c r="AX98" s="281">
        <f>COUNTIFS(H98,"一期",AU98,"是")+COUNTIFS(L98,"一期",AV98,"是")+COUNTIFS(P98,"一期",AW98,"是")</f>
        <v/>
      </c>
      <c r="AZ98" s="359" t="n"/>
      <c r="BA98" s="359" t="n"/>
    </row>
    <row r="99" ht="26.25" customFormat="1" customHeight="1" s="366">
      <c r="A99" s="281" t="inlineStr">
        <is>
          <t>天成大厦</t>
        </is>
      </c>
      <c r="B99" s="281"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81" t="n"/>
      <c r="S99" s="281" t="n"/>
      <c r="T99" s="281" t="n"/>
      <c r="U99" s="7" t="inlineStr">
        <is>
          <t>刘希子</t>
        </is>
      </c>
      <c r="V99" s="7" t="n"/>
      <c r="W99" s="281" t="inlineStr">
        <is>
          <t>陈中帅</t>
        </is>
      </c>
      <c r="X99" s="127" t="n"/>
      <c r="Y99" s="7" t="inlineStr">
        <is>
          <t>-</t>
        </is>
      </c>
      <c r="Z99" s="7" t="n"/>
      <c r="AA99" s="315" t="n"/>
      <c r="AB99" s="281" t="n"/>
      <c r="AC99" s="315" t="n"/>
      <c r="AD99" s="315" t="n"/>
      <c r="AE99" s="281" t="inlineStr">
        <is>
          <t>陈亮延</t>
        </is>
      </c>
      <c r="AF99" s="281">
        <f>VLOOKUP(B99,'UV台帐'!B:G,6,0)</f>
        <v/>
      </c>
      <c r="AG99" s="281" t="n"/>
      <c r="AH99" s="281" t="n"/>
      <c r="AI99" s="281" t="n"/>
      <c r="AJ99" s="426" t="n"/>
      <c r="AK99" s="426" t="n"/>
      <c r="AL99" s="366" t="n"/>
      <c r="AM99" s="366" t="n"/>
      <c r="AN99" s="366" t="n"/>
      <c r="AO99" s="366" t="n"/>
      <c r="AP99" s="350" t="n"/>
      <c r="AQ99" s="359" t="n"/>
      <c r="AR99" s="359" t="n"/>
      <c r="AS99" s="281">
        <f>COUNTIFS(H99,"一期",I99,"在读")+COUNTIFS(L99,"一期",M99,"在读")+COUNTIFS(P99,"一期",Q99,"在读")</f>
        <v/>
      </c>
      <c r="AT99" s="281">
        <f>AS99-AX99</f>
        <v/>
      </c>
      <c r="AU99" s="366">
        <f>VLOOKUP(B99,'UV台帐'!B:AL,19,0)</f>
        <v/>
      </c>
      <c r="AV99" s="366">
        <f>VLOOKUP(B99,'UV台帐'!B:AL,28,0)</f>
        <v/>
      </c>
      <c r="AW99" s="366">
        <f>VLOOKUP(B99,'UV台帐'!B:AL,37,0)</f>
        <v/>
      </c>
      <c r="AX99" s="281">
        <f>COUNTIFS(H99,"一期",AU99,"是")+COUNTIFS(L99,"一期",AV99,"是")+COUNTIFS(P99,"一期",AW99,"是")</f>
        <v/>
      </c>
      <c r="AZ99" s="359" t="n"/>
      <c r="BA99" s="359" t="n"/>
    </row>
    <row r="100" ht="26.25" customFormat="1" customHeight="1" s="366">
      <c r="A100" s="281" t="inlineStr">
        <is>
          <t>天成大厦</t>
        </is>
      </c>
      <c r="B100" s="281"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n"/>
      <c r="T100" s="281" t="n"/>
      <c r="U100" s="7" t="inlineStr">
        <is>
          <t>李润</t>
        </is>
      </c>
      <c r="V100" s="421" t="n"/>
      <c r="W100" s="7" t="inlineStr">
        <is>
          <t>刘希子</t>
        </is>
      </c>
      <c r="X100" s="127" t="n"/>
      <c r="Y100" s="281" t="inlineStr">
        <is>
          <t>陈中帅</t>
        </is>
      </c>
      <c r="Z100" s="7" t="n"/>
      <c r="AA100" s="315" t="n"/>
      <c r="AB100" s="281" t="n"/>
      <c r="AC100" s="315" t="n"/>
      <c r="AD100" s="315" t="n"/>
      <c r="AE100" s="281" t="inlineStr">
        <is>
          <t>王达04</t>
        </is>
      </c>
      <c r="AF100" s="281">
        <f>VLOOKUP(B100,'UV台帐'!B:G,6,0)</f>
        <v/>
      </c>
      <c r="AG100" s="281" t="n"/>
      <c r="AH100" s="281" t="n"/>
      <c r="AI100" s="281" t="n"/>
      <c r="AJ100" s="426" t="n"/>
      <c r="AK100" s="426" t="n"/>
      <c r="AL100" s="366" t="n"/>
      <c r="AM100" s="366" t="n"/>
      <c r="AN100" s="366" t="n"/>
      <c r="AO100" s="366" t="n"/>
      <c r="AP100" s="350" t="n"/>
      <c r="AQ100" s="359" t="n"/>
      <c r="AR100" s="359" t="n"/>
      <c r="AS100" s="281">
        <f>COUNTIFS(H100,"一期",I100,"在读")+COUNTIFS(L100,"一期",M100,"在读")+COUNTIFS(P100,"一期",Q100,"在读")</f>
        <v/>
      </c>
      <c r="AT100" s="281">
        <f>AS100-AX100</f>
        <v/>
      </c>
      <c r="AU100" s="366">
        <f>VLOOKUP(B100,'UV台帐'!B:AL,19,0)</f>
        <v/>
      </c>
      <c r="AV100" s="366">
        <f>VLOOKUP(B100,'UV台帐'!B:AL,28,0)</f>
        <v/>
      </c>
      <c r="AW100" s="366">
        <f>VLOOKUP(B100,'UV台帐'!B:AL,37,0)</f>
        <v/>
      </c>
      <c r="AX100" s="281">
        <f>COUNTIFS(H100,"一期",AU100,"是")+COUNTIFS(L100,"一期",AV100,"是")+COUNTIFS(P100,"一期",AW100,"是")</f>
        <v/>
      </c>
      <c r="AZ100" s="359" t="n"/>
      <c r="BA100" s="359" t="n"/>
    </row>
    <row r="101" ht="26.25" customFormat="1" customHeight="1" s="366">
      <c r="A101" s="281" t="inlineStr">
        <is>
          <t>新宝利</t>
        </is>
      </c>
      <c r="B101" s="281"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81" t="inlineStr">
        <is>
          <t>何咏04</t>
        </is>
      </c>
      <c r="S101" s="281" t="n"/>
      <c r="T101" s="281" t="n"/>
      <c r="U101" s="7" t="inlineStr">
        <is>
          <t>何咏04</t>
        </is>
      </c>
      <c r="V101" s="421" t="n"/>
      <c r="W101" s="7" t="inlineStr">
        <is>
          <t>-</t>
        </is>
      </c>
      <c r="X101" s="127" t="n"/>
      <c r="Y101" s="7" t="inlineStr">
        <is>
          <t>-</t>
        </is>
      </c>
      <c r="Z101" s="7" t="n"/>
      <c r="AA101" s="315" t="n"/>
      <c r="AB101" s="281" t="n"/>
      <c r="AC101" s="315" t="n"/>
      <c r="AD101" s="315" t="n"/>
      <c r="AE101" s="281" t="inlineStr">
        <is>
          <t>王达04</t>
        </is>
      </c>
      <c r="AF101" s="281">
        <f>VLOOKUP(B101,'UV台帐'!B:G,6,0)</f>
        <v/>
      </c>
      <c r="AG101" s="281" t="n"/>
      <c r="AH101" s="281" t="n"/>
      <c r="AI101" s="281" t="n"/>
      <c r="AJ101" s="426" t="n"/>
      <c r="AK101" s="426" t="n"/>
      <c r="AL101" s="366" t="n"/>
      <c r="AM101" s="366" t="n"/>
      <c r="AN101" s="366" t="n"/>
      <c r="AO101" s="366" t="n"/>
      <c r="AP101" s="350" t="n"/>
      <c r="AQ101" s="359" t="n"/>
      <c r="AR101" s="359" t="n"/>
      <c r="AS101" s="281">
        <f>COUNTIFS(H101,"一期",I101,"在读")+COUNTIFS(L101,"一期",M101,"在读")+COUNTIFS(P101,"一期",Q101,"在读")</f>
        <v/>
      </c>
      <c r="AT101" s="281">
        <f>AS101-AX101</f>
        <v/>
      </c>
      <c r="AU101" s="366">
        <f>VLOOKUP(B101,'UV台帐'!B:AL,19,0)</f>
        <v/>
      </c>
      <c r="AV101" s="366">
        <f>VLOOKUP(B101,'UV台帐'!B:AL,28,0)</f>
        <v/>
      </c>
      <c r="AW101" s="366">
        <f>VLOOKUP(B101,'UV台帐'!B:AL,37,0)</f>
        <v/>
      </c>
      <c r="AX101" s="281">
        <f>COUNTIFS(H101,"一期",AU101,"是")+COUNTIFS(L101,"一期",AV101,"是")+COUNTIFS(P101,"一期",AW101,"是")</f>
        <v/>
      </c>
      <c r="AZ101" s="359" t="n"/>
      <c r="BA101" s="359" t="n"/>
    </row>
    <row r="102" ht="26.25" customFormat="1" customHeight="1" s="366">
      <c r="A102" s="281" t="inlineStr">
        <is>
          <t>新宝利</t>
        </is>
      </c>
      <c r="B102" s="281"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inlineStr">
        <is>
          <t>何咏04</t>
        </is>
      </c>
      <c r="S102" s="281" t="n"/>
      <c r="T102" s="281" t="n"/>
      <c r="U102" s="7" t="inlineStr">
        <is>
          <t>何咏04</t>
        </is>
      </c>
      <c r="V102" s="7" t="n"/>
      <c r="W102" s="7" t="inlineStr">
        <is>
          <t>肖锐03</t>
        </is>
      </c>
      <c r="X102" s="127" t="n"/>
      <c r="Y102" s="7" t="inlineStr">
        <is>
          <t>李润</t>
        </is>
      </c>
      <c r="Z102" s="7" t="n"/>
      <c r="AA102" s="315" t="n"/>
      <c r="AB102" s="281" t="n"/>
      <c r="AC102" s="315" t="n"/>
      <c r="AD102" s="315" t="n"/>
      <c r="AE102" s="281" t="inlineStr">
        <is>
          <t>沈思浩</t>
        </is>
      </c>
      <c r="AF102" s="281">
        <f>VLOOKUP(B102,'UV台帐'!B:G,6,0)</f>
        <v/>
      </c>
      <c r="AG102" s="281" t="n"/>
      <c r="AH102" s="281" t="n"/>
      <c r="AI102" s="281" t="n"/>
      <c r="AJ102" s="426" t="n"/>
      <c r="AK102" s="426" t="n"/>
      <c r="AL102" s="366" t="n"/>
      <c r="AM102" s="366" t="n"/>
      <c r="AN102" s="366" t="n"/>
      <c r="AO102" s="366" t="n"/>
      <c r="AP102" s="350" t="n"/>
      <c r="AQ102" s="359" t="n"/>
      <c r="AR102" s="359" t="n"/>
      <c r="AS102" s="281">
        <f>COUNTIFS(H102,"一期",I102,"在读")+COUNTIFS(L102,"一期",M102,"在读")+COUNTIFS(P102,"一期",Q102,"在读")</f>
        <v/>
      </c>
      <c r="AT102" s="281">
        <f>AS102-AX102</f>
        <v/>
      </c>
      <c r="AU102" s="366">
        <f>VLOOKUP(B102,'UV台帐'!B:AL,19,0)</f>
        <v/>
      </c>
      <c r="AV102" s="366">
        <f>VLOOKUP(B102,'UV台帐'!B:AL,28,0)</f>
        <v/>
      </c>
      <c r="AW102" s="366">
        <f>VLOOKUP(B102,'UV台帐'!B:AL,37,0)</f>
        <v/>
      </c>
      <c r="AX102" s="281">
        <f>COUNTIFS(H102,"一期",AU102,"是")+COUNTIFS(L102,"一期",AV102,"是")+COUNTIFS(P102,"一期",AW102,"是")</f>
        <v/>
      </c>
      <c r="AZ102" s="359" t="n"/>
      <c r="BA102" s="359" t="n"/>
    </row>
    <row r="103" ht="26.25" customFormat="1" customHeight="1" s="366">
      <c r="A103" s="281" t="inlineStr">
        <is>
          <t>新宝利</t>
        </is>
      </c>
      <c r="B103" s="281"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inlineStr">
        <is>
          <t>何咏04</t>
        </is>
      </c>
      <c r="S103" s="281" t="n"/>
      <c r="T103" s="281" t="n"/>
      <c r="U103" s="119" t="inlineStr">
        <is>
          <t>陈南05</t>
        </is>
      </c>
      <c r="V103" s="421" t="n"/>
      <c r="W103" s="7" t="inlineStr">
        <is>
          <t>何咏04</t>
        </is>
      </c>
      <c r="X103" s="127" t="n"/>
      <c r="Y103" s="7" t="inlineStr">
        <is>
          <t>肖锐03</t>
        </is>
      </c>
      <c r="Z103" s="7" t="n"/>
      <c r="AA103" s="315" t="n"/>
      <c r="AB103" s="281" t="n"/>
      <c r="AC103" s="315" t="n"/>
      <c r="AD103" s="315" t="n"/>
      <c r="AE103" s="281" t="inlineStr">
        <is>
          <t>陈亮延</t>
        </is>
      </c>
      <c r="AF103" s="281">
        <f>VLOOKUP(B103,'UV台帐'!B:G,6,0)</f>
        <v/>
      </c>
      <c r="AG103" s="281" t="n"/>
      <c r="AH103" s="281" t="n"/>
      <c r="AI103" s="281" t="n"/>
      <c r="AJ103" s="426" t="n"/>
      <c r="AK103" s="426" t="n"/>
      <c r="AL103" s="366" t="n"/>
      <c r="AM103" s="366" t="n"/>
      <c r="AN103" s="366" t="n"/>
      <c r="AO103" s="366" t="n"/>
      <c r="AP103" s="350" t="n"/>
      <c r="AQ103" s="359" t="n"/>
      <c r="AR103" s="359" t="n"/>
      <c r="AS103" s="281">
        <f>COUNTIFS(H103,"一期",I103,"在读")+COUNTIFS(L103,"一期",M103,"在读")+COUNTIFS(P103,"一期",Q103,"在读")</f>
        <v/>
      </c>
      <c r="AT103" s="281">
        <f>AS103-AX103</f>
        <v/>
      </c>
      <c r="AU103" s="366">
        <f>VLOOKUP(B103,'UV台帐'!B:AL,19,0)</f>
        <v/>
      </c>
      <c r="AV103" s="366">
        <f>VLOOKUP(B103,'UV台帐'!B:AL,28,0)</f>
        <v/>
      </c>
      <c r="AW103" s="366">
        <f>VLOOKUP(B103,'UV台帐'!B:AL,37,0)</f>
        <v/>
      </c>
      <c r="AX103" s="281">
        <f>COUNTIFS(H103,"一期",AU103,"是")+COUNTIFS(L103,"一期",AV103,"是")+COUNTIFS(P103,"一期",AW103,"是")</f>
        <v/>
      </c>
      <c r="AZ103" s="359" t="n"/>
      <c r="BA103" s="359" t="n"/>
    </row>
    <row r="104" ht="26.25" customFormat="1" customHeight="1" s="366">
      <c r="A104" s="281" t="inlineStr">
        <is>
          <t>新宝利</t>
        </is>
      </c>
      <c r="B104" s="281"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n"/>
      <c r="T104" s="281" t="n"/>
      <c r="U104" s="7" t="inlineStr">
        <is>
          <t>肖锐03</t>
        </is>
      </c>
      <c r="V104" s="421" t="n"/>
      <c r="W104" s="7" t="inlineStr">
        <is>
          <t>李润</t>
        </is>
      </c>
      <c r="X104" s="127" t="n"/>
      <c r="Y104" s="7" t="inlineStr">
        <is>
          <t>-</t>
        </is>
      </c>
      <c r="Z104" s="7" t="n"/>
      <c r="AA104" s="315" t="n"/>
      <c r="AB104" s="281" t="n"/>
      <c r="AC104" s="315" t="n"/>
      <c r="AD104" s="315" t="n"/>
      <c r="AE104" s="281" t="inlineStr">
        <is>
          <t>王达04</t>
        </is>
      </c>
      <c r="AF104" s="281">
        <f>VLOOKUP(B104,'UV台帐'!B:G,6,0)</f>
        <v/>
      </c>
      <c r="AG104" s="281" t="n"/>
      <c r="AH104" s="281" t="n"/>
      <c r="AI104" s="281" t="n"/>
      <c r="AJ104" s="426" t="n"/>
      <c r="AK104" s="426" t="n"/>
      <c r="AL104" s="366" t="n"/>
      <c r="AM104" s="366" t="n"/>
      <c r="AN104" s="366" t="n"/>
      <c r="AO104" s="366" t="n"/>
      <c r="AP104" s="350" t="n"/>
      <c r="AQ104" s="359" t="n"/>
      <c r="AR104" s="350" t="n"/>
      <c r="AS104" s="281">
        <f>COUNTIFS(H104,"一期",I104,"在读")+COUNTIFS(L104,"一期",M104,"在读")+COUNTIFS(P104,"一期",Q104,"在读")</f>
        <v/>
      </c>
      <c r="AT104" s="281">
        <f>AS104-AX104</f>
        <v/>
      </c>
      <c r="AU104" s="366">
        <f>VLOOKUP(B104,'UV台帐'!B:AL,19,0)</f>
        <v/>
      </c>
      <c r="AV104" s="366">
        <f>VLOOKUP(B104,'UV台帐'!B:AL,28,0)</f>
        <v/>
      </c>
      <c r="AW104" s="366">
        <f>VLOOKUP(B104,'UV台帐'!B:AL,37,0)</f>
        <v/>
      </c>
      <c r="AX104" s="281">
        <f>COUNTIFS(H104,"一期",AU104,"是")+COUNTIFS(L104,"一期",AV104,"是")+COUNTIFS(P104,"一期",AW104,"是")</f>
        <v/>
      </c>
      <c r="AZ104" s="359" t="n"/>
      <c r="BA104" s="359" t="n"/>
    </row>
    <row r="105" ht="26.25" customFormat="1" customHeight="1" s="366">
      <c r="A105" s="281" t="inlineStr">
        <is>
          <t>同创汇</t>
        </is>
      </c>
      <c r="B105" s="281"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81" t="n"/>
      <c r="S105" s="281" t="n"/>
      <c r="T105" s="281" t="n"/>
      <c r="U105" s="7" t="inlineStr">
        <is>
          <t>田雨涵01</t>
        </is>
      </c>
      <c r="V105" s="421" t="n"/>
      <c r="W105" s="119" t="inlineStr">
        <is>
          <t>高心怡04</t>
        </is>
      </c>
      <c r="X105" s="127" t="n"/>
      <c r="Y105" s="7" t="inlineStr">
        <is>
          <t>-</t>
        </is>
      </c>
      <c r="Z105" s="119" t="n"/>
      <c r="AA105" s="315" t="n"/>
      <c r="AB105" s="281" t="n"/>
      <c r="AC105" s="315" t="n"/>
      <c r="AD105" s="315" t="n"/>
      <c r="AE105" s="281" t="inlineStr">
        <is>
          <t>王丽</t>
        </is>
      </c>
      <c r="AF105" s="281">
        <f>VLOOKUP(B105,'UV台帐'!B:G,6,0)</f>
        <v/>
      </c>
      <c r="AG105" s="281" t="n"/>
      <c r="AH105" s="281" t="n"/>
      <c r="AI105" s="281" t="n"/>
      <c r="AJ105" s="426" t="n"/>
      <c r="AK105" s="426" t="n"/>
      <c r="AL105" s="366" t="n"/>
      <c r="AM105" s="366" t="n"/>
      <c r="AN105" s="366" t="n"/>
      <c r="AO105" s="366" t="n"/>
      <c r="AP105" s="350" t="n"/>
      <c r="AQ105" s="359" t="n"/>
      <c r="AR105" s="359" t="n"/>
      <c r="AS105" s="281">
        <f>COUNTIFS(H105,"一期",I105,"在读")+COUNTIFS(L105,"一期",M105,"在读")+COUNTIFS(P105,"一期",Q105,"在读")</f>
        <v/>
      </c>
      <c r="AT105" s="281">
        <f>AS105-AX105</f>
        <v/>
      </c>
      <c r="AU105" s="366">
        <f>VLOOKUP(B105,'UV台帐'!B:AL,19,0)</f>
        <v/>
      </c>
      <c r="AV105" s="366">
        <f>VLOOKUP(B105,'UV台帐'!B:AL,28,0)</f>
        <v/>
      </c>
      <c r="AW105" s="366">
        <f>VLOOKUP(B105,'UV台帐'!B:AL,37,0)</f>
        <v/>
      </c>
      <c r="AX105" s="281">
        <f>COUNTIFS(H105,"一期",AU105,"是")+COUNTIFS(L105,"一期",AV105,"是")+COUNTIFS(P105,"一期",AW105,"是")</f>
        <v/>
      </c>
      <c r="AZ105" s="359" t="n"/>
      <c r="BA105" s="359" t="n"/>
    </row>
    <row r="106" ht="26.25" customFormat="1" customHeight="1" s="366">
      <c r="A106" s="281" t="inlineStr">
        <is>
          <t>天成大厦</t>
        </is>
      </c>
      <c r="B106" s="281"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81" t="n"/>
      <c r="S106" s="281" t="n"/>
      <c r="T106" s="281" t="n"/>
      <c r="U106" s="7" t="inlineStr">
        <is>
          <t>刘希子</t>
        </is>
      </c>
      <c r="V106" s="421" t="n"/>
      <c r="W106" s="281" t="inlineStr">
        <is>
          <t>陈中帅</t>
        </is>
      </c>
      <c r="X106" s="127" t="n"/>
      <c r="Y106" s="7" t="inlineStr">
        <is>
          <t>-</t>
        </is>
      </c>
      <c r="Z106" s="7" t="n"/>
      <c r="AA106" s="119" t="n"/>
      <c r="AB106" s="281" t="n"/>
      <c r="AC106" s="119" t="n"/>
      <c r="AD106" s="119" t="n"/>
      <c r="AE106" s="281" t="inlineStr">
        <is>
          <t>陈亮延</t>
        </is>
      </c>
      <c r="AF106" s="281">
        <f>VLOOKUP(B106,'UV台帐'!B:G,6,0)</f>
        <v/>
      </c>
      <c r="AG106" s="281" t="n"/>
      <c r="AH106" s="281" t="n"/>
      <c r="AI106" s="281" t="n"/>
      <c r="AJ106" s="426" t="n"/>
      <c r="AK106" s="426" t="n"/>
      <c r="AL106" s="366" t="n"/>
      <c r="AM106" s="366" t="n"/>
      <c r="AN106" s="366" t="n"/>
      <c r="AO106" s="366" t="n"/>
      <c r="AP106" s="350" t="n"/>
      <c r="AQ106" s="359" t="n"/>
      <c r="AR106" s="359" t="n"/>
      <c r="AS106" s="281">
        <f>COUNTIFS(H106,"一期",I106,"在读")+COUNTIFS(L106,"一期",M106,"在读")+COUNTIFS(P106,"一期",Q106,"在读")</f>
        <v/>
      </c>
      <c r="AT106" s="281">
        <f>AS106-AX106</f>
        <v/>
      </c>
      <c r="AU106" s="366">
        <f>VLOOKUP(B106,'UV台帐'!B:AL,19,0)</f>
        <v/>
      </c>
      <c r="AV106" s="366">
        <f>VLOOKUP(B106,'UV台帐'!B:AL,28,0)</f>
        <v/>
      </c>
      <c r="AW106" s="366">
        <f>VLOOKUP(B106,'UV台帐'!B:AL,37,0)</f>
        <v/>
      </c>
      <c r="AX106" s="281">
        <f>COUNTIFS(H106,"一期",AU106,"是")+COUNTIFS(L106,"一期",AV106,"是")+COUNTIFS(P106,"一期",AW106,"是")</f>
        <v/>
      </c>
      <c r="AZ106" s="359" t="n"/>
      <c r="BA106" s="359" t="n"/>
    </row>
    <row r="107" ht="26.25" customFormat="1" customHeight="1" s="366">
      <c r="A107" s="281" t="inlineStr">
        <is>
          <t>天成大厦</t>
        </is>
      </c>
      <c r="B107" s="281"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81" t="n"/>
      <c r="S107" s="281" t="n"/>
      <c r="T107" s="281" t="n"/>
      <c r="U107" s="281" t="inlineStr">
        <is>
          <t>陈中帅</t>
        </is>
      </c>
      <c r="V107" s="421" t="n"/>
      <c r="W107" s="7" t="inlineStr">
        <is>
          <t>-</t>
        </is>
      </c>
      <c r="X107" s="127" t="n"/>
      <c r="Y107" s="7" t="inlineStr">
        <is>
          <t>-</t>
        </is>
      </c>
      <c r="Z107" s="7" t="n"/>
      <c r="AA107" s="315" t="n"/>
      <c r="AB107" s="281" t="n"/>
      <c r="AC107" s="315" t="n"/>
      <c r="AD107" s="315" t="n"/>
      <c r="AE107" s="281" t="inlineStr">
        <is>
          <t>陈亮延</t>
        </is>
      </c>
      <c r="AF107" s="281">
        <f>VLOOKUP(B107,'UV台帐'!B:G,6,0)</f>
        <v/>
      </c>
      <c r="AG107" s="281" t="n"/>
      <c r="AH107" s="281" t="n"/>
      <c r="AI107" s="281" t="n"/>
      <c r="AJ107" s="426" t="n"/>
      <c r="AK107" s="426" t="n"/>
      <c r="AL107" s="366" t="n"/>
      <c r="AM107" s="366" t="n"/>
      <c r="AN107" s="366" t="n"/>
      <c r="AO107" s="366" t="n"/>
      <c r="AP107" s="350" t="n"/>
      <c r="AQ107" s="359" t="n"/>
      <c r="AR107" s="359" t="n"/>
      <c r="AS107" s="281">
        <f>COUNTIFS(H107,"一期",I107,"在读")+COUNTIFS(L107,"一期",M107,"在读")+COUNTIFS(P107,"一期",Q107,"在读")</f>
        <v/>
      </c>
      <c r="AT107" s="281">
        <f>AS107-AX107</f>
        <v/>
      </c>
      <c r="AU107" s="366">
        <f>VLOOKUP(B107,'UV台帐'!B:AL,19,0)</f>
        <v/>
      </c>
      <c r="AV107" s="366">
        <f>VLOOKUP(B107,'UV台帐'!B:AL,28,0)</f>
        <v/>
      </c>
      <c r="AW107" s="366">
        <f>VLOOKUP(B107,'UV台帐'!B:AL,37,0)</f>
        <v/>
      </c>
      <c r="AX107" s="281">
        <f>COUNTIFS(H107,"一期",AU107,"是")+COUNTIFS(L107,"一期",AV107,"是")+COUNTIFS(P107,"一期",AW107,"是")</f>
        <v/>
      </c>
      <c r="AZ107" s="359" t="n"/>
      <c r="BA107" s="359" t="n"/>
    </row>
    <row r="108" ht="26.25" customFormat="1" customHeight="1" s="366">
      <c r="A108" s="281" t="inlineStr">
        <is>
          <t>同创汇</t>
        </is>
      </c>
      <c r="B108" s="281"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n"/>
      <c r="T108" s="281" t="n"/>
      <c r="U108" s="281" t="inlineStr">
        <is>
          <t>陈中帅</t>
        </is>
      </c>
      <c r="V108" s="421" t="n"/>
      <c r="W108" s="7" t="inlineStr">
        <is>
          <t>高心怡04</t>
        </is>
      </c>
      <c r="X108" s="127" t="n"/>
      <c r="Y108" s="7" t="inlineStr">
        <is>
          <t>陈南05</t>
        </is>
      </c>
      <c r="Z108" s="7" t="n"/>
      <c r="AA108" s="315" t="n"/>
      <c r="AB108" s="281" t="n"/>
      <c r="AC108" s="315" t="n"/>
      <c r="AD108" s="315" t="n"/>
      <c r="AE108" s="281" t="inlineStr">
        <is>
          <t>苏丽婷</t>
        </is>
      </c>
      <c r="AF108" s="281">
        <f>VLOOKUP(B108,'UV台帐'!B:G,6,0)</f>
        <v/>
      </c>
      <c r="AG108" s="281" t="n"/>
      <c r="AH108" s="281" t="n"/>
      <c r="AI108" s="281" t="n"/>
      <c r="AJ108" s="426" t="n"/>
      <c r="AK108" s="426" t="n"/>
      <c r="AL108" s="366" t="n"/>
      <c r="AM108" s="366" t="n"/>
      <c r="AN108" s="366" t="n"/>
      <c r="AO108" s="366" t="n"/>
      <c r="AP108" s="350" t="n"/>
      <c r="AQ108" s="359" t="n"/>
      <c r="AR108" s="359" t="n"/>
      <c r="AS108" s="281">
        <f>COUNTIFS(H108,"一期",I108,"在读")+COUNTIFS(L108,"一期",M108,"在读")+COUNTIFS(P108,"一期",Q108,"在读")</f>
        <v/>
      </c>
      <c r="AT108" s="281">
        <f>AS108-AX108</f>
        <v/>
      </c>
      <c r="AU108" s="366">
        <f>VLOOKUP(B108,'UV台帐'!B:AL,19,0)</f>
        <v/>
      </c>
      <c r="AV108" s="366">
        <f>VLOOKUP(B108,'UV台帐'!B:AL,28,0)</f>
        <v/>
      </c>
      <c r="AW108" s="366">
        <f>VLOOKUP(B108,'UV台帐'!B:AL,37,0)</f>
        <v/>
      </c>
      <c r="AX108" s="281">
        <f>COUNTIFS(H108,"一期",AU108,"是")+COUNTIFS(L108,"一期",AV108,"是")+COUNTIFS(P108,"一期",AW108,"是")</f>
        <v/>
      </c>
      <c r="AZ108" s="359" t="n"/>
      <c r="BA108" s="359" t="n"/>
    </row>
    <row r="109" ht="26.25" customFormat="1" customHeight="1" s="366">
      <c r="A109" s="281" t="inlineStr">
        <is>
          <t>新宝利</t>
        </is>
      </c>
      <c r="B109" s="281"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81" t="n"/>
      <c r="S109" s="281" t="n"/>
      <c r="T109" s="281" t="n"/>
      <c r="U109" s="281" t="inlineStr">
        <is>
          <t>陈中帅</t>
        </is>
      </c>
      <c r="V109" s="421" t="n"/>
      <c r="W109" s="281" t="inlineStr">
        <is>
          <t>李润</t>
        </is>
      </c>
      <c r="X109" s="127" t="n"/>
      <c r="Y109" s="7" t="inlineStr">
        <is>
          <t>-</t>
        </is>
      </c>
      <c r="Z109" s="7" t="n"/>
      <c r="AA109" s="315" t="n"/>
      <c r="AB109" s="281" t="n"/>
      <c r="AC109" s="315" t="n"/>
      <c r="AD109" s="315" t="n"/>
      <c r="AE109" s="281" t="inlineStr">
        <is>
          <t>张敏烨</t>
        </is>
      </c>
      <c r="AF109" s="281">
        <f>VLOOKUP(B109,'UV台帐'!B:G,6,0)</f>
        <v/>
      </c>
      <c r="AG109" s="281" t="n"/>
      <c r="AH109" s="281" t="n"/>
      <c r="AI109" s="281" t="n"/>
      <c r="AJ109" s="426" t="n"/>
      <c r="AK109" s="426" t="n"/>
      <c r="AL109" s="366" t="n"/>
      <c r="AM109" s="366" t="n"/>
      <c r="AN109" s="366" t="n"/>
      <c r="AO109" s="366" t="n"/>
      <c r="AP109" s="350" t="n"/>
      <c r="AQ109" s="359" t="n"/>
      <c r="AR109" s="359" t="n"/>
      <c r="AS109" s="281">
        <f>COUNTIFS(H109,"一期",I109,"在读")+COUNTIFS(L109,"一期",M109,"在读")+COUNTIFS(P109,"一期",Q109,"在读")</f>
        <v/>
      </c>
      <c r="AT109" s="281">
        <f>AS109-AX109</f>
        <v/>
      </c>
      <c r="AU109" s="366">
        <f>VLOOKUP(B109,'UV台帐'!B:AL,19,0)</f>
        <v/>
      </c>
      <c r="AV109" s="366">
        <f>VLOOKUP(B109,'UV台帐'!B:AL,28,0)</f>
        <v/>
      </c>
      <c r="AW109" s="366">
        <f>VLOOKUP(B109,'UV台帐'!B:AL,37,0)</f>
        <v/>
      </c>
      <c r="AX109" s="281">
        <f>COUNTIFS(H109,"一期",AU109,"是")+COUNTIFS(L109,"一期",AV109,"是")+COUNTIFS(P109,"一期",AW109,"是")</f>
        <v/>
      </c>
      <c r="AZ109" s="359" t="n"/>
      <c r="BA109" s="359" t="n"/>
    </row>
    <row r="110" ht="26.25" customFormat="1" customHeight="1" s="366">
      <c r="A110" s="281" t="inlineStr">
        <is>
          <t>同创汇</t>
        </is>
      </c>
      <c r="B110" s="281"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81" t="n"/>
      <c r="S110" s="281" t="n"/>
      <c r="T110" s="281" t="n"/>
      <c r="U110" s="281" t="inlineStr">
        <is>
          <t>陈中帅</t>
        </is>
      </c>
      <c r="V110" s="421" t="n"/>
      <c r="W110" s="7" t="inlineStr">
        <is>
          <t>-</t>
        </is>
      </c>
      <c r="X110" s="127" t="n"/>
      <c r="Y110" s="7" t="inlineStr">
        <is>
          <t>-</t>
        </is>
      </c>
      <c r="Z110" s="7" t="n"/>
      <c r="AA110" s="315" t="n"/>
      <c r="AB110" s="281" t="n"/>
      <c r="AC110" s="315" t="n"/>
      <c r="AD110" s="315" t="n"/>
      <c r="AE110" s="281" t="inlineStr">
        <is>
          <t>王丽</t>
        </is>
      </c>
      <c r="AF110" s="281">
        <f>VLOOKUP(B110,'UV台帐'!B:G,6,0)</f>
        <v/>
      </c>
      <c r="AG110" s="281" t="n"/>
      <c r="AH110" s="281" t="n"/>
      <c r="AI110" s="281" t="n"/>
      <c r="AJ110" s="426" t="n"/>
      <c r="AK110" s="426" t="n"/>
      <c r="AL110" s="366" t="n"/>
      <c r="AM110" s="366" t="n"/>
      <c r="AN110" s="366" t="n"/>
      <c r="AO110" s="366" t="n"/>
      <c r="AP110" s="350" t="n"/>
      <c r="AQ110" s="359" t="n"/>
      <c r="AR110" s="359" t="n"/>
      <c r="AS110" s="281">
        <f>COUNTIFS(H110,"一期",I110,"在读")+COUNTIFS(L110,"一期",M110,"在读")+COUNTIFS(P110,"一期",Q110,"在读")</f>
        <v/>
      </c>
      <c r="AT110" s="281">
        <f>AS110-AX110</f>
        <v/>
      </c>
      <c r="AU110" s="366">
        <f>VLOOKUP(B110,'UV台帐'!B:AL,19,0)</f>
        <v/>
      </c>
      <c r="AV110" s="366">
        <f>VLOOKUP(B110,'UV台帐'!B:AL,28,0)</f>
        <v/>
      </c>
      <c r="AW110" s="366">
        <f>VLOOKUP(B110,'UV台帐'!B:AL,37,0)</f>
        <v/>
      </c>
      <c r="AX110" s="281">
        <f>COUNTIFS(H110,"一期",AU110,"是")+COUNTIFS(L110,"一期",AV110,"是")+COUNTIFS(P110,"一期",AW110,"是")</f>
        <v/>
      </c>
      <c r="AZ110" s="359" t="n"/>
      <c r="BA110" s="359" t="n"/>
    </row>
    <row r="111" ht="26.25" customFormat="1" customHeight="1" s="366">
      <c r="A111" s="281" t="inlineStr">
        <is>
          <t>天成大厦</t>
        </is>
      </c>
      <c r="B111" s="281"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81" t="n"/>
      <c r="S111" s="281" t="n"/>
      <c r="T111" s="281" t="n"/>
      <c r="U111" s="7" t="inlineStr">
        <is>
          <t>刘希子</t>
        </is>
      </c>
      <c r="V111" s="421" t="n"/>
      <c r="W111" s="281" t="inlineStr">
        <is>
          <t>陈中帅</t>
        </is>
      </c>
      <c r="X111" s="127" t="n"/>
      <c r="Y111" s="119" t="inlineStr">
        <is>
          <t>-</t>
        </is>
      </c>
      <c r="Z111" s="119" t="n"/>
      <c r="AA111" s="315" t="n"/>
      <c r="AB111" s="281" t="n"/>
      <c r="AC111" s="315" t="n"/>
      <c r="AD111" s="315" t="n"/>
      <c r="AE111" s="281" t="inlineStr">
        <is>
          <t>王达04</t>
        </is>
      </c>
      <c r="AF111" s="281">
        <f>VLOOKUP(B111,'UV台帐'!B:G,6,0)</f>
        <v/>
      </c>
      <c r="AG111" s="281" t="n"/>
      <c r="AH111" s="281" t="n"/>
      <c r="AI111" s="281" t="n"/>
      <c r="AJ111" s="426" t="n"/>
      <c r="AK111" s="426" t="n"/>
      <c r="AL111" s="366" t="n"/>
      <c r="AM111" s="366" t="n"/>
      <c r="AN111" s="366" t="n"/>
      <c r="AO111" s="366" t="n"/>
      <c r="AP111" s="350" t="n"/>
      <c r="AQ111" s="359" t="n"/>
      <c r="AR111" s="359" t="n"/>
      <c r="AS111" s="281">
        <f>COUNTIFS(H111,"一期",I111,"在读")+COUNTIFS(L111,"一期",M111,"在读")+COUNTIFS(P111,"一期",Q111,"在读")</f>
        <v/>
      </c>
      <c r="AT111" s="281">
        <f>AS111-AX111</f>
        <v/>
      </c>
      <c r="AU111" s="366">
        <f>VLOOKUP(B111,'UV台帐'!B:AL,19,0)</f>
        <v/>
      </c>
      <c r="AV111" s="366">
        <f>VLOOKUP(B111,'UV台帐'!B:AL,28,0)</f>
        <v/>
      </c>
      <c r="AW111" s="366">
        <f>VLOOKUP(B111,'UV台帐'!B:AL,37,0)</f>
        <v/>
      </c>
      <c r="AX111" s="281">
        <f>COUNTIFS(H111,"一期",AU111,"是")+COUNTIFS(L111,"一期",AV111,"是")+COUNTIFS(P111,"一期",AW111,"是")</f>
        <v/>
      </c>
      <c r="AZ111" s="359" t="n"/>
      <c r="BA111" s="359" t="n"/>
    </row>
    <row r="112" ht="26.25" customFormat="1" customHeight="1" s="366">
      <c r="A112" s="281" t="inlineStr">
        <is>
          <t>新宝利</t>
        </is>
      </c>
      <c r="B112" s="281"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81" t="inlineStr">
        <is>
          <t>何咏04</t>
        </is>
      </c>
      <c r="S112" s="281" t="n"/>
      <c r="T112" s="281" t="n"/>
      <c r="U112" s="7" t="inlineStr">
        <is>
          <t>肖锐03</t>
        </is>
      </c>
      <c r="V112" s="421" t="n"/>
      <c r="W112" s="7" t="inlineStr">
        <is>
          <t>何咏04</t>
        </is>
      </c>
      <c r="X112" s="127" t="n"/>
      <c r="Y112" s="7" t="inlineStr">
        <is>
          <t>-</t>
        </is>
      </c>
      <c r="Z112" s="7" t="n"/>
      <c r="AA112" s="315" t="n"/>
      <c r="AB112" s="281" t="n"/>
      <c r="AC112" s="315" t="n"/>
      <c r="AD112" s="315" t="n"/>
      <c r="AE112" s="281" t="inlineStr">
        <is>
          <t>杨林33</t>
        </is>
      </c>
      <c r="AF112" s="281">
        <f>VLOOKUP(B112,'UV台帐'!B:G,6,0)</f>
        <v/>
      </c>
      <c r="AG112" s="281" t="n"/>
      <c r="AH112" s="281" t="n"/>
      <c r="AI112" s="281" t="n"/>
      <c r="AJ112" s="426" t="n"/>
      <c r="AK112" s="426" t="n"/>
      <c r="AL112" s="366" t="n"/>
      <c r="AM112" s="366" t="n"/>
      <c r="AN112" s="366" t="n"/>
      <c r="AO112" s="366" t="n"/>
      <c r="AP112" s="350" t="n"/>
      <c r="AQ112" s="359" t="n"/>
      <c r="AR112" s="359" t="n"/>
      <c r="AS112" s="281">
        <f>COUNTIFS(H112,"一期",I112,"在读")+COUNTIFS(L112,"一期",M112,"在读")+COUNTIFS(P112,"一期",Q112,"在读")</f>
        <v/>
      </c>
      <c r="AT112" s="281">
        <f>AS112-AX112</f>
        <v/>
      </c>
      <c r="AU112" s="366">
        <f>VLOOKUP(B112,'UV台帐'!B:AL,19,0)</f>
        <v/>
      </c>
      <c r="AV112" s="366">
        <f>VLOOKUP(B112,'UV台帐'!B:AL,28,0)</f>
        <v/>
      </c>
      <c r="AW112" s="366">
        <f>VLOOKUP(B112,'UV台帐'!B:AL,37,0)</f>
        <v/>
      </c>
      <c r="AX112" s="281">
        <f>COUNTIFS(H112,"一期",AU112,"是")+COUNTIFS(L112,"一期",AV112,"是")+COUNTIFS(P112,"一期",AW112,"是")</f>
        <v/>
      </c>
      <c r="AZ112" s="359" t="n"/>
      <c r="BA112" s="359" t="n"/>
    </row>
    <row r="113" ht="26.25" customFormat="1" customHeight="1" s="366">
      <c r="A113" s="281" t="inlineStr">
        <is>
          <t>天成大厦</t>
        </is>
      </c>
      <c r="B113" s="281"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81" t="n"/>
      <c r="S113" s="281" t="n"/>
      <c r="T113" s="281" t="n"/>
      <c r="U113" s="281" t="inlineStr">
        <is>
          <t>陈中帅</t>
        </is>
      </c>
      <c r="V113" s="421" t="n"/>
      <c r="W113" s="7" t="inlineStr">
        <is>
          <t>-</t>
        </is>
      </c>
      <c r="X113" s="127" t="n"/>
      <c r="Y113" s="7" t="inlineStr">
        <is>
          <t>-</t>
        </is>
      </c>
      <c r="Z113" s="7" t="n"/>
      <c r="AA113" s="315" t="n"/>
      <c r="AB113" s="281" t="n"/>
      <c r="AC113" s="315" t="n"/>
      <c r="AD113" s="315" t="n"/>
      <c r="AE113" s="281" t="inlineStr">
        <is>
          <t>王达04</t>
        </is>
      </c>
      <c r="AF113" s="281">
        <f>VLOOKUP(B113,'UV台帐'!B:G,6,0)</f>
        <v/>
      </c>
      <c r="AG113" s="281" t="n"/>
      <c r="AH113" s="281" t="n"/>
      <c r="AI113" s="281" t="n"/>
      <c r="AJ113" s="426" t="n"/>
      <c r="AK113" s="426" t="n"/>
      <c r="AL113" s="366" t="n"/>
      <c r="AM113" s="366" t="n"/>
      <c r="AN113" s="366" t="n"/>
      <c r="AO113" s="366" t="n"/>
      <c r="AP113" s="350" t="n"/>
      <c r="AQ113" s="359" t="n"/>
      <c r="AR113" s="359" t="n"/>
      <c r="AS113" s="281">
        <f>COUNTIFS(H113,"一期",I113,"在读")+COUNTIFS(L113,"一期",M113,"在读")+COUNTIFS(P113,"一期",Q113,"在读")</f>
        <v/>
      </c>
      <c r="AT113" s="281">
        <f>AS113-AX113</f>
        <v/>
      </c>
      <c r="AU113" s="366">
        <f>VLOOKUP(B113,'UV台帐'!B:AL,19,0)</f>
        <v/>
      </c>
      <c r="AV113" s="366">
        <f>VLOOKUP(B113,'UV台帐'!B:AL,28,0)</f>
        <v/>
      </c>
      <c r="AW113" s="366">
        <f>VLOOKUP(B113,'UV台帐'!B:AL,37,0)</f>
        <v/>
      </c>
      <c r="AX113" s="281">
        <f>COUNTIFS(H113,"一期",AU113,"是")+COUNTIFS(L113,"一期",AV113,"是")+COUNTIFS(P113,"一期",AW113,"是")</f>
        <v/>
      </c>
      <c r="AZ113" s="359" t="n"/>
      <c r="BA113" s="359" t="n"/>
    </row>
    <row r="114" ht="26.25" customFormat="1" customHeight="1" s="366">
      <c r="A114" s="281" t="inlineStr">
        <is>
          <t>新宝利</t>
        </is>
      </c>
      <c r="B114" s="281"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inlineStr">
        <is>
          <t>何咏04</t>
        </is>
      </c>
      <c r="S114" s="281" t="n"/>
      <c r="T114" s="281" t="n"/>
      <c r="U114" s="7" t="inlineStr">
        <is>
          <t>陈南05</t>
        </is>
      </c>
      <c r="V114" s="421" t="n"/>
      <c r="W114" s="7" t="inlineStr">
        <is>
          <t>何咏04</t>
        </is>
      </c>
      <c r="X114" s="127" t="n"/>
      <c r="Y114" s="7" t="inlineStr">
        <is>
          <t>肖锐03</t>
        </is>
      </c>
      <c r="Z114" s="7" t="n"/>
      <c r="AA114" s="315" t="n"/>
      <c r="AB114" s="281" t="n"/>
      <c r="AC114" s="315" t="n"/>
      <c r="AD114" s="315" t="n"/>
      <c r="AE114" s="281" t="inlineStr">
        <is>
          <t>林志豪01</t>
        </is>
      </c>
      <c r="AF114" s="281">
        <f>VLOOKUP(B114,'UV台帐'!B:G,6,0)</f>
        <v/>
      </c>
      <c r="AG114" s="281" t="n"/>
      <c r="AH114" s="281" t="n"/>
      <c r="AI114" s="281" t="n"/>
      <c r="AJ114" s="426" t="n"/>
      <c r="AK114" s="426" t="n"/>
      <c r="AL114" s="366" t="n"/>
      <c r="AM114" s="366" t="n"/>
      <c r="AN114" s="366" t="n"/>
      <c r="AO114" s="366" t="n"/>
      <c r="AP114" s="350" t="n"/>
      <c r="AQ114" s="359" t="n"/>
      <c r="AR114" s="359" t="n"/>
      <c r="AS114" s="281">
        <f>COUNTIFS(H114,"一期",I114,"在读")+COUNTIFS(L114,"一期",M114,"在读")+COUNTIFS(P114,"一期",Q114,"在读")</f>
        <v/>
      </c>
      <c r="AT114" s="281">
        <f>AS114-AX114</f>
        <v/>
      </c>
      <c r="AU114" s="366">
        <f>VLOOKUP(B114,'UV台帐'!B:AL,19,0)</f>
        <v/>
      </c>
      <c r="AV114" s="366">
        <f>VLOOKUP(B114,'UV台帐'!B:AL,28,0)</f>
        <v/>
      </c>
      <c r="AW114" s="366">
        <f>VLOOKUP(B114,'UV台帐'!B:AL,37,0)</f>
        <v/>
      </c>
      <c r="AX114" s="281">
        <f>COUNTIFS(H114,"一期",AU114,"是")+COUNTIFS(L114,"一期",AV114,"是")+COUNTIFS(P114,"一期",AW114,"是")</f>
        <v/>
      </c>
      <c r="AZ114" s="359" t="n"/>
      <c r="BA114" s="359" t="n"/>
    </row>
    <row r="115" ht="26.25" customFormat="1" customHeight="1" s="366">
      <c r="A115" s="281" t="inlineStr">
        <is>
          <t>同创汇</t>
        </is>
      </c>
      <c r="B115" s="281"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n"/>
      <c r="T115" s="281" t="n"/>
      <c r="U115" s="7" t="inlineStr">
        <is>
          <t>高心怡04</t>
        </is>
      </c>
      <c r="V115" s="421" t="n"/>
      <c r="W115" s="7" t="inlineStr">
        <is>
          <t>黄铭怡</t>
        </is>
      </c>
      <c r="X115" s="127" t="n"/>
      <c r="Y115" s="281" t="inlineStr">
        <is>
          <t>陈中帅</t>
        </is>
      </c>
      <c r="Z115" s="7" t="n"/>
      <c r="AA115" s="119" t="n"/>
      <c r="AB115" s="281" t="n"/>
      <c r="AC115" s="119" t="n"/>
      <c r="AD115" s="119" t="n"/>
      <c r="AE115" s="281" t="inlineStr">
        <is>
          <t>戎凯01</t>
        </is>
      </c>
      <c r="AF115" s="281">
        <f>VLOOKUP(B115,'UV台帐'!B:G,6,0)</f>
        <v/>
      </c>
      <c r="AG115" s="281" t="n"/>
      <c r="AH115" s="281" t="n"/>
      <c r="AI115" s="281" t="n"/>
      <c r="AJ115" s="426" t="n"/>
      <c r="AK115" s="426" t="n"/>
      <c r="AL115" s="366" t="n"/>
      <c r="AM115" s="366" t="n"/>
      <c r="AN115" s="366" t="n"/>
      <c r="AO115" s="366" t="n"/>
      <c r="AP115" s="350" t="n"/>
      <c r="AQ115" s="359" t="n"/>
      <c r="AR115" s="359" t="n"/>
      <c r="AS115" s="281">
        <f>COUNTIFS(H115,"一期",I115,"在读")+COUNTIFS(L115,"一期",M115,"在读")+COUNTIFS(P115,"一期",Q115,"在读")</f>
        <v/>
      </c>
      <c r="AT115" s="281">
        <f>AS115-AX115</f>
        <v/>
      </c>
      <c r="AU115" s="366">
        <f>VLOOKUP(B115,'UV台帐'!B:AL,19,0)</f>
        <v/>
      </c>
      <c r="AV115" s="366">
        <f>VLOOKUP(B115,'UV台帐'!B:AL,28,0)</f>
        <v/>
      </c>
      <c r="AW115" s="366">
        <f>VLOOKUP(B115,'UV台帐'!B:AL,37,0)</f>
        <v/>
      </c>
      <c r="AX115" s="281">
        <f>COUNTIFS(H115,"一期",AU115,"是")+COUNTIFS(L115,"一期",AV115,"是")+COUNTIFS(P115,"一期",AW115,"是")</f>
        <v/>
      </c>
      <c r="AZ115" s="359" t="n"/>
      <c r="BA115" s="359" t="n"/>
    </row>
    <row r="116" ht="26.25" customFormat="1" customHeight="1" s="366">
      <c r="A116" s="281" t="inlineStr">
        <is>
          <t>同创汇</t>
        </is>
      </c>
      <c r="B116" s="281"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n"/>
      <c r="T116" s="281" t="n"/>
      <c r="U116" s="7" t="inlineStr">
        <is>
          <t>高心怡04</t>
        </is>
      </c>
      <c r="V116" s="421" t="n"/>
      <c r="W116" s="7" t="inlineStr">
        <is>
          <t>黄铭怡</t>
        </is>
      </c>
      <c r="X116" s="127" t="n"/>
      <c r="Y116" s="281" t="inlineStr">
        <is>
          <t>陈中帅</t>
        </is>
      </c>
      <c r="Z116" s="7" t="n"/>
      <c r="AA116" s="315" t="n"/>
      <c r="AB116" s="281" t="n"/>
      <c r="AC116" s="315" t="n"/>
      <c r="AD116" s="315" t="n"/>
      <c r="AE116" s="281" t="inlineStr">
        <is>
          <t>戎凯01</t>
        </is>
      </c>
      <c r="AF116" s="281">
        <f>VLOOKUP(B116,'UV台帐'!B:G,6,0)</f>
        <v/>
      </c>
      <c r="AG116" s="281" t="n"/>
      <c r="AH116" s="281" t="n"/>
      <c r="AI116" s="281" t="n"/>
      <c r="AJ116" s="426" t="n"/>
      <c r="AK116" s="426" t="n"/>
      <c r="AL116" s="366" t="n"/>
      <c r="AM116" s="366" t="n"/>
      <c r="AN116" s="366" t="n"/>
      <c r="AO116" s="366" t="n"/>
      <c r="AP116" s="350" t="n"/>
      <c r="AQ116" s="359" t="n"/>
      <c r="AR116" s="359" t="n"/>
      <c r="AS116" s="281">
        <f>COUNTIFS(H116,"一期",I116,"在读")+COUNTIFS(L116,"一期",M116,"在读")+COUNTIFS(P116,"一期",Q116,"在读")</f>
        <v/>
      </c>
      <c r="AT116" s="281">
        <f>AS116-AX116</f>
        <v/>
      </c>
      <c r="AU116" s="366">
        <f>VLOOKUP(B116,'UV台帐'!B:AL,19,0)</f>
        <v/>
      </c>
      <c r="AV116" s="366">
        <f>VLOOKUP(B116,'UV台帐'!B:AL,28,0)</f>
        <v/>
      </c>
      <c r="AW116" s="366">
        <f>VLOOKUP(B116,'UV台帐'!B:AL,37,0)</f>
        <v/>
      </c>
      <c r="AX116" s="281">
        <f>COUNTIFS(H116,"一期",AU116,"是")+COUNTIFS(L116,"一期",AV116,"是")+COUNTIFS(P116,"一期",AW116,"是")</f>
        <v/>
      </c>
      <c r="AZ116" s="359" t="n"/>
      <c r="BA116" s="359" t="n"/>
    </row>
    <row r="117" ht="26.25" customFormat="1" customHeight="1" s="366">
      <c r="A117" s="281" t="inlineStr">
        <is>
          <t>同创汇</t>
        </is>
      </c>
      <c r="B117" s="281"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n"/>
      <c r="T117" s="281" t="n"/>
      <c r="U117" s="7" t="inlineStr">
        <is>
          <t>高心怡04</t>
        </is>
      </c>
      <c r="V117" s="7" t="n"/>
      <c r="W117" s="7" t="inlineStr">
        <is>
          <t>黄铭怡</t>
        </is>
      </c>
      <c r="X117" s="127" t="n"/>
      <c r="Y117" s="281" t="inlineStr">
        <is>
          <t>陈中帅</t>
        </is>
      </c>
      <c r="Z117" s="7" t="n"/>
      <c r="AA117" s="315" t="n"/>
      <c r="AB117" s="281" t="n"/>
      <c r="AC117" s="315" t="n"/>
      <c r="AD117" s="315" t="n"/>
      <c r="AE117" s="281" t="inlineStr">
        <is>
          <t>戎凯01</t>
        </is>
      </c>
      <c r="AF117" s="281">
        <f>VLOOKUP(B117,'UV台帐'!B:G,6,0)</f>
        <v/>
      </c>
      <c r="AG117" s="281" t="n"/>
      <c r="AH117" s="281" t="n"/>
      <c r="AI117" s="281" t="n"/>
      <c r="AJ117" s="426" t="n"/>
      <c r="AK117" s="426" t="n"/>
      <c r="AL117" s="366" t="n"/>
      <c r="AM117" s="366" t="n"/>
      <c r="AN117" s="366" t="n"/>
      <c r="AO117" s="366" t="n"/>
      <c r="AP117" s="350" t="n"/>
      <c r="AQ117" s="359" t="n"/>
      <c r="AR117" s="359" t="n"/>
      <c r="AS117" s="281">
        <f>COUNTIFS(H117,"一期",I117,"在读")+COUNTIFS(L117,"一期",M117,"在读")+COUNTIFS(P117,"一期",Q117,"在读")</f>
        <v/>
      </c>
      <c r="AT117" s="281">
        <f>AS117-AX117</f>
        <v/>
      </c>
      <c r="AU117" s="366">
        <f>VLOOKUP(B117,'UV台帐'!B:AL,19,0)</f>
        <v/>
      </c>
      <c r="AV117" s="366">
        <f>VLOOKUP(B117,'UV台帐'!B:AL,28,0)</f>
        <v/>
      </c>
      <c r="AW117" s="366">
        <f>VLOOKUP(B117,'UV台帐'!B:AL,37,0)</f>
        <v/>
      </c>
      <c r="AX117" s="281">
        <f>COUNTIFS(H117,"一期",AU117,"是")+COUNTIFS(L117,"一期",AV117,"是")+COUNTIFS(P117,"一期",AW117,"是")</f>
        <v/>
      </c>
      <c r="AZ117" s="359" t="n"/>
      <c r="BA117" s="359" t="n"/>
    </row>
    <row r="118" ht="26.25" customFormat="1" customHeight="1" s="366">
      <c r="A118" s="281" t="inlineStr">
        <is>
          <t>新宝利</t>
        </is>
      </c>
      <c r="B118" s="281"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inlineStr">
        <is>
          <t>何咏04</t>
        </is>
      </c>
      <c r="S118" s="281" t="n"/>
      <c r="T118" s="281" t="n"/>
      <c r="U118" s="7" t="inlineStr">
        <is>
          <t>陈南05</t>
        </is>
      </c>
      <c r="V118" s="7" t="n"/>
      <c r="W118" s="7" t="inlineStr">
        <is>
          <t>何咏04</t>
        </is>
      </c>
      <c r="X118" s="127" t="n"/>
      <c r="Y118" s="119" t="inlineStr">
        <is>
          <t>肖锐03</t>
        </is>
      </c>
      <c r="Z118" s="119" t="n"/>
      <c r="AA118" s="315" t="n"/>
      <c r="AC118" s="315" t="n"/>
      <c r="AD118" s="315" t="n"/>
      <c r="AE118" s="281" t="inlineStr">
        <is>
          <t>林志豪01</t>
        </is>
      </c>
      <c r="AF118" s="281">
        <f>VLOOKUP(B118,'UV台帐'!B:G,6,0)</f>
        <v/>
      </c>
      <c r="AG118" s="281" t="n"/>
      <c r="AH118" s="281" t="n"/>
      <c r="AI118" s="281" t="n"/>
      <c r="AJ118" s="426" t="n"/>
      <c r="AK118" s="426" t="n"/>
      <c r="AL118" s="366" t="n"/>
      <c r="AM118" s="366" t="n"/>
      <c r="AN118" s="366" t="n"/>
      <c r="AO118" s="366" t="n"/>
      <c r="AP118" s="350" t="n"/>
      <c r="AQ118" s="359" t="n"/>
      <c r="AR118" s="359" t="n"/>
      <c r="AS118" s="281">
        <f>COUNTIFS(H118,"一期",I118,"在读")+COUNTIFS(L118,"一期",M118,"在读")+COUNTIFS(P118,"一期",Q118,"在读")</f>
        <v/>
      </c>
      <c r="AT118" s="281">
        <f>AS118-AX118</f>
        <v/>
      </c>
      <c r="AU118" s="366">
        <f>VLOOKUP(B118,'UV台帐'!B:AL,19,0)</f>
        <v/>
      </c>
      <c r="AV118" s="366">
        <f>VLOOKUP(B118,'UV台帐'!B:AL,28,0)</f>
        <v/>
      </c>
      <c r="AW118" s="366">
        <f>VLOOKUP(B118,'UV台帐'!B:AL,37,0)</f>
        <v/>
      </c>
      <c r="AX118" s="281">
        <f>COUNTIFS(H118,"一期",AU118,"是")+COUNTIFS(L118,"一期",AV118,"是")+COUNTIFS(P118,"一期",AW118,"是")</f>
        <v/>
      </c>
      <c r="AZ118" s="359" t="n"/>
      <c r="BA118" s="359" t="n"/>
    </row>
    <row r="119" ht="26.25" customFormat="1" customHeight="1" s="366">
      <c r="A119" s="281" t="inlineStr">
        <is>
          <t>同创汇</t>
        </is>
      </c>
      <c r="B119" s="281"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81" t="n"/>
      <c r="S119" s="281" t="n"/>
      <c r="T119" s="281" t="n"/>
      <c r="U119" s="7" t="inlineStr">
        <is>
          <t>黄铭怡</t>
        </is>
      </c>
      <c r="V119" s="421" t="n"/>
      <c r="W119" s="281" t="inlineStr">
        <is>
          <t>陈中帅</t>
        </is>
      </c>
      <c r="X119" s="127" t="n"/>
      <c r="Y119" s="7" t="inlineStr">
        <is>
          <t>-</t>
        </is>
      </c>
      <c r="Z119" s="7" t="n"/>
      <c r="AA119" s="315" t="n"/>
      <c r="AC119" s="315" t="n"/>
      <c r="AD119" s="315" t="n"/>
      <c r="AE119" s="281" t="inlineStr">
        <is>
          <t>王丽</t>
        </is>
      </c>
      <c r="AF119" s="281">
        <f>VLOOKUP(B119,'UV台帐'!B:G,6,0)</f>
        <v/>
      </c>
      <c r="AG119" s="281" t="n"/>
      <c r="AH119" s="281" t="n"/>
      <c r="AI119" s="281" t="n"/>
      <c r="AJ119" s="426" t="n"/>
      <c r="AK119" s="426" t="n"/>
      <c r="AL119" s="366" t="n"/>
      <c r="AM119" s="366" t="n"/>
      <c r="AN119" s="366" t="n"/>
      <c r="AO119" s="366" t="n"/>
      <c r="AP119" s="350" t="n"/>
      <c r="AQ119" s="359" t="n"/>
      <c r="AR119" s="359" t="n"/>
      <c r="AS119" s="281">
        <f>COUNTIFS(H119,"一期",I119,"在读")+COUNTIFS(L119,"一期",M119,"在读")+COUNTIFS(P119,"一期",Q119,"在读")</f>
        <v/>
      </c>
      <c r="AT119" s="281">
        <f>AS119-AX119</f>
        <v/>
      </c>
      <c r="AU119" s="366">
        <f>VLOOKUP(B119,'UV台帐'!B:AL,19,0)</f>
        <v/>
      </c>
      <c r="AV119" s="366">
        <f>VLOOKUP(B119,'UV台帐'!B:AL,28,0)</f>
        <v/>
      </c>
      <c r="AW119" s="366">
        <f>VLOOKUP(B119,'UV台帐'!B:AL,37,0)</f>
        <v/>
      </c>
      <c r="AX119" s="281">
        <f>COUNTIFS(H119,"一期",AU119,"是")+COUNTIFS(L119,"一期",AV119,"是")+COUNTIFS(P119,"一期",AW119,"是")</f>
        <v/>
      </c>
      <c r="AZ119" s="359" t="n"/>
      <c r="BA119" s="359" t="n"/>
    </row>
    <row r="120" ht="26.25" customFormat="1" customHeight="1" s="366">
      <c r="A120" s="281" t="inlineStr">
        <is>
          <t>同创汇</t>
        </is>
      </c>
      <c r="B120" s="281"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81" t="n"/>
      <c r="S120" s="281" t="n"/>
      <c r="T120" s="281" t="n"/>
      <c r="U120" s="7" t="inlineStr">
        <is>
          <t>-</t>
        </is>
      </c>
      <c r="V120" s="34" t="n"/>
      <c r="W120" s="421" t="inlineStr">
        <is>
          <t>黄铭怡</t>
        </is>
      </c>
      <c r="X120" s="27" t="n"/>
      <c r="Y120" s="7" t="inlineStr">
        <is>
          <t>-</t>
        </is>
      </c>
      <c r="Z120" s="7" t="n"/>
      <c r="AA120" s="315" t="n"/>
      <c r="AB120" s="281" t="n"/>
      <c r="AC120" s="315" t="n"/>
      <c r="AD120" s="315" t="n"/>
      <c r="AE120" s="281" t="inlineStr">
        <is>
          <t>戎凯01</t>
        </is>
      </c>
      <c r="AF120" s="281">
        <f>VLOOKUP(B120,'UV台帐'!B:G,6,0)</f>
        <v/>
      </c>
      <c r="AG120" s="281" t="n"/>
      <c r="AH120" s="281" t="n"/>
      <c r="AI120" s="281" t="n"/>
      <c r="AJ120" s="426" t="n"/>
      <c r="AK120" s="426" t="n"/>
      <c r="AL120" s="366" t="n"/>
      <c r="AM120" s="366" t="n"/>
      <c r="AN120" s="366" t="n"/>
      <c r="AO120" s="366" t="n"/>
      <c r="AP120" s="350" t="n"/>
      <c r="AQ120" s="359" t="n"/>
      <c r="AR120" s="359" t="n"/>
      <c r="AS120" s="281">
        <f>COUNTIFS(H120,"一期",I120,"在读")+COUNTIFS(L120,"一期",M120,"在读")+COUNTIFS(P120,"一期",Q120,"在读")</f>
        <v/>
      </c>
      <c r="AT120" s="281">
        <f>AS120-AX120</f>
        <v/>
      </c>
      <c r="AU120" s="366">
        <f>VLOOKUP(B120,'UV台帐'!B:AL,19,0)</f>
        <v/>
      </c>
      <c r="AV120" s="366">
        <f>VLOOKUP(B120,'UV台帐'!B:AL,28,0)</f>
        <v/>
      </c>
      <c r="AW120" s="366">
        <f>VLOOKUP(B120,'UV台帐'!B:AL,37,0)</f>
        <v/>
      </c>
      <c r="AX120" s="281">
        <f>COUNTIFS(H120,"一期",AU120,"是")+COUNTIFS(L120,"一期",AV120,"是")+COUNTIFS(P120,"一期",AW120,"是")</f>
        <v/>
      </c>
      <c r="AZ120" s="359" t="n"/>
      <c r="BA120" s="359" t="n"/>
    </row>
    <row r="121" ht="26.25" customFormat="1" customHeight="1" s="366">
      <c r="A121" s="281" t="inlineStr">
        <is>
          <t>同创汇</t>
        </is>
      </c>
      <c r="B121" s="281"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81" t="n"/>
      <c r="S121" s="281" t="n"/>
      <c r="T121" s="281" t="n"/>
      <c r="U121" s="7" t="inlineStr">
        <is>
          <t>高心怡04</t>
        </is>
      </c>
      <c r="V121" s="34" t="n"/>
      <c r="W121" s="281" t="inlineStr">
        <is>
          <t>-</t>
        </is>
      </c>
      <c r="X121" s="27" t="n"/>
      <c r="Y121" s="7" t="inlineStr">
        <is>
          <t>-</t>
        </is>
      </c>
      <c r="Z121" s="7" t="n"/>
      <c r="AA121" s="315" t="n"/>
      <c r="AB121" s="281" t="n"/>
      <c r="AC121" s="315" t="n"/>
      <c r="AD121" s="315" t="n"/>
      <c r="AE121" s="281" t="inlineStr">
        <is>
          <t>戎凯01</t>
        </is>
      </c>
      <c r="AF121" s="281">
        <f>VLOOKUP(B121,'UV台帐'!B:G,6,0)</f>
        <v/>
      </c>
      <c r="AG121" s="281" t="n"/>
      <c r="AH121" s="281" t="n"/>
      <c r="AI121" s="281" t="n"/>
      <c r="AJ121" s="426" t="n"/>
      <c r="AK121" s="426" t="n"/>
      <c r="AL121" s="366" t="n"/>
      <c r="AM121" s="366" t="n"/>
      <c r="AN121" s="366" t="n"/>
      <c r="AO121" s="366" t="n"/>
      <c r="AP121" s="350" t="n"/>
      <c r="AQ121" s="359" t="n"/>
      <c r="AR121" s="359" t="n"/>
      <c r="AS121" s="281">
        <f>COUNTIFS(H121,"一期",I121,"在读")+COUNTIFS(L121,"一期",M121,"在读")+COUNTIFS(P121,"一期",Q121,"在读")</f>
        <v/>
      </c>
      <c r="AT121" s="281">
        <f>AS121-AX121</f>
        <v/>
      </c>
      <c r="AU121" s="366">
        <f>VLOOKUP(B121,'UV台帐'!B:AL,19,0)</f>
        <v/>
      </c>
      <c r="AV121" s="366">
        <f>VLOOKUP(B121,'UV台帐'!B:AL,28,0)</f>
        <v/>
      </c>
      <c r="AW121" s="366">
        <f>VLOOKUP(B121,'UV台帐'!B:AL,37,0)</f>
        <v/>
      </c>
      <c r="AX121" s="281">
        <f>COUNTIFS(H121,"一期",AU121,"是")+COUNTIFS(L121,"一期",AV121,"是")+COUNTIFS(P121,"一期",AW121,"是")</f>
        <v/>
      </c>
      <c r="AZ121" s="359" t="n"/>
      <c r="BA121" s="359" t="n"/>
    </row>
    <row r="122" ht="26.25" customHeight="1" s="1053">
      <c r="A122" s="281" t="inlineStr">
        <is>
          <t>同创汇</t>
        </is>
      </c>
      <c r="B122" s="281"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81" t="inlineStr">
        <is>
          <t>陈中帅</t>
        </is>
      </c>
      <c r="W122" s="421" t="inlineStr">
        <is>
          <t>黄铭怡</t>
        </is>
      </c>
      <c r="Y122" s="421" t="inlineStr">
        <is>
          <t>高心怡04</t>
        </is>
      </c>
      <c r="AE122" s="281" t="inlineStr">
        <is>
          <t>苏丽婷</t>
        </is>
      </c>
      <c r="AF122" s="281" t="n"/>
      <c r="AS122" s="281">
        <f>COUNTIFS(H122,"一期",I122,"在读")+COUNTIFS(L122,"一期",M122,"在读")+COUNTIFS(P122,"一期",Q122,"在读")</f>
        <v/>
      </c>
      <c r="AT122" s="281">
        <f>AS122-AX122</f>
        <v/>
      </c>
      <c r="AU122" s="366">
        <f>VLOOKUP(B122,'UV台帐'!B:AL,19,0)</f>
        <v/>
      </c>
      <c r="AV122" s="366">
        <f>VLOOKUP(B122,'UV台帐'!B:AL,28,0)</f>
        <v/>
      </c>
      <c r="AW122" s="366">
        <f>VLOOKUP(B122,'UV台帐'!B:AL,37,0)</f>
        <v/>
      </c>
      <c r="AX122" s="281">
        <f>COUNTIFS(H122,"一期",AU122,"是")+COUNTIFS(L122,"一期",AV122,"是")+COUNTIFS(P122,"一期",AW122,"是")</f>
        <v/>
      </c>
    </row>
    <row r="123" ht="26.25" customHeight="1" s="1053">
      <c r="A123" s="281" t="inlineStr">
        <is>
          <t>新宝利</t>
        </is>
      </c>
      <c r="B123" s="281"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1" t="inlineStr">
        <is>
          <t>肖锐03</t>
        </is>
      </c>
      <c r="AE123" s="281" t="inlineStr">
        <is>
          <t>杨林33</t>
        </is>
      </c>
      <c r="AF123" s="281" t="n"/>
      <c r="AS123" s="281">
        <f>COUNTIFS(H123,"一期",I123,"在读")+COUNTIFS(L123,"一期",M123,"在读")+COUNTIFS(P123,"一期",Q123,"在读")</f>
        <v/>
      </c>
      <c r="AT123" s="281">
        <f>AS123-AX123</f>
        <v/>
      </c>
      <c r="AU123" s="366">
        <f>VLOOKUP(B123,'UV台帐'!B:AL,19,0)</f>
        <v/>
      </c>
      <c r="AV123" s="366">
        <f>VLOOKUP(B123,'UV台帐'!B:AL,28,0)</f>
        <v/>
      </c>
      <c r="AW123" s="366">
        <f>VLOOKUP(B123,'UV台帐'!B:AL,37,0)</f>
        <v/>
      </c>
      <c r="AX123" s="281">
        <f>COUNTIFS(H123,"一期",AU123,"是")+COUNTIFS(L123,"一期",AV123,"是")+COUNTIFS(P123,"一期",AW123,"是")</f>
        <v/>
      </c>
    </row>
    <row r="124" ht="26.25" customHeight="1" s="1053">
      <c r="A124" s="281" t="inlineStr">
        <is>
          <t>新宝利</t>
        </is>
      </c>
      <c r="B124" s="281"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81" t="inlineStr">
        <is>
          <t>王达04</t>
        </is>
      </c>
      <c r="AF124" s="281" t="n"/>
      <c r="AS124" s="281">
        <f>COUNTIFS(H124,"一期",I124,"在读")+COUNTIFS(L124,"一期",M124,"在读")+COUNTIFS(P124,"一期",Q124,"在读")</f>
        <v/>
      </c>
      <c r="AT124" s="281">
        <f>AS124-AX124</f>
        <v/>
      </c>
      <c r="AU124" s="366">
        <f>VLOOKUP(B124,'UV台帐'!B:AL,19,0)</f>
        <v/>
      </c>
      <c r="AV124" s="366">
        <f>VLOOKUP(B124,'UV台帐'!B:AL,28,0)</f>
        <v/>
      </c>
      <c r="AW124" s="366">
        <f>VLOOKUP(B124,'UV台帐'!B:AL,37,0)</f>
        <v/>
      </c>
      <c r="AX124" s="281">
        <f>COUNTIFS(H124,"一期",AU124,"是")+COUNTIFS(L124,"一期",AV124,"是")+COUNTIFS(P124,"一期",AW124,"是")</f>
        <v/>
      </c>
    </row>
    <row r="125" ht="26.25" customHeight="1" s="1053">
      <c r="A125" s="281" t="inlineStr">
        <is>
          <t>天成大厦</t>
        </is>
      </c>
      <c r="B125" s="281"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81" t="inlineStr">
        <is>
          <t>陈中帅</t>
        </is>
      </c>
      <c r="Y125" s="421" t="inlineStr">
        <is>
          <t>李润</t>
        </is>
      </c>
      <c r="AE125" s="281" t="inlineStr">
        <is>
          <t>沈思浩</t>
        </is>
      </c>
      <c r="AF125" s="281" t="n"/>
      <c r="AS125" s="281">
        <f>COUNTIFS(H125,"一期",I125,"在读")+COUNTIFS(L125,"一期",M125,"在读")+COUNTIFS(P125,"一期",Q125,"在读")</f>
        <v/>
      </c>
      <c r="AT125" s="281">
        <f>AS125-AX125</f>
        <v/>
      </c>
      <c r="AU125" s="366">
        <f>VLOOKUP(B125,'UV台帐'!B:AL,19,0)</f>
        <v/>
      </c>
      <c r="AV125" s="366">
        <f>VLOOKUP(B125,'UV台帐'!B:AL,28,0)</f>
        <v/>
      </c>
      <c r="AW125" s="366">
        <f>VLOOKUP(B125,'UV台帐'!B:AL,37,0)</f>
        <v/>
      </c>
      <c r="AX125" s="281">
        <f>COUNTIFS(H125,"一期",AU125,"是")+COUNTIFS(L125,"一期",AV125,"是")+COUNTIFS(P125,"一期",AW125,"是")</f>
        <v/>
      </c>
    </row>
    <row r="126" ht="26.25" customHeight="1" s="1053">
      <c r="A126" s="281" t="inlineStr">
        <is>
          <t>天成大厦</t>
        </is>
      </c>
      <c r="B126" s="281"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81" t="inlineStr">
        <is>
          <t>陈中帅</t>
        </is>
      </c>
      <c r="W126" s="7" t="inlineStr">
        <is>
          <t>-</t>
        </is>
      </c>
      <c r="Y126" s="421" t="inlineStr">
        <is>
          <t>-</t>
        </is>
      </c>
      <c r="AE126" s="281" t="inlineStr">
        <is>
          <t>陈亮延</t>
        </is>
      </c>
      <c r="AF126" s="281" t="n"/>
      <c r="AS126" s="281">
        <f>COUNTIFS(H126,"一期",I126,"在读")+COUNTIFS(L126,"一期",M126,"在读")+COUNTIFS(P126,"一期",Q126,"在读")</f>
        <v/>
      </c>
      <c r="AT126" s="281">
        <f>AS126-AX126</f>
        <v/>
      </c>
      <c r="AU126" s="366">
        <f>VLOOKUP(B126,'UV台帐'!B:AL,19,0)</f>
        <v/>
      </c>
      <c r="AV126" s="366">
        <f>VLOOKUP(B126,'UV台帐'!B:AL,28,0)</f>
        <v/>
      </c>
      <c r="AW126" s="366">
        <f>VLOOKUP(B126,'UV台帐'!B:AL,37,0)</f>
        <v/>
      </c>
      <c r="AX126" s="281">
        <f>COUNTIFS(H126,"一期",AU126,"是")+COUNTIFS(L126,"一期",AV126,"是")+COUNTIFS(P126,"一期",AW126,"是")</f>
        <v/>
      </c>
    </row>
    <row r="127" ht="26.25" customHeight="1" s="1053">
      <c r="A127" s="281" t="inlineStr">
        <is>
          <t>同创汇</t>
        </is>
      </c>
      <c r="B127" s="281"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81" t="inlineStr">
        <is>
          <t>陈中帅</t>
        </is>
      </c>
      <c r="W127" s="281" t="inlineStr">
        <is>
          <t>-</t>
        </is>
      </c>
      <c r="Y127" s="7" t="inlineStr">
        <is>
          <t>-</t>
        </is>
      </c>
      <c r="AE127" s="281" t="inlineStr">
        <is>
          <t>王丽</t>
        </is>
      </c>
      <c r="AF127" s="281" t="n"/>
      <c r="AS127" s="281">
        <f>COUNTIFS(H127,"一期",I127,"在读")+COUNTIFS(L127,"一期",M127,"在读")+COUNTIFS(P127,"一期",Q127,"在读")</f>
        <v/>
      </c>
      <c r="AT127" s="281">
        <f>AS127-AX127</f>
        <v/>
      </c>
      <c r="AU127" s="366">
        <f>VLOOKUP(B127,'UV台帐'!B:AL,19,0)</f>
        <v/>
      </c>
      <c r="AV127" s="366">
        <f>VLOOKUP(B127,'UV台帐'!B:AL,28,0)</f>
        <v/>
      </c>
      <c r="AW127" s="366">
        <f>VLOOKUP(B127,'UV台帐'!B:AL,37,0)</f>
        <v/>
      </c>
      <c r="AX127" s="281">
        <f>COUNTIFS(H127,"一期",AU127,"是")+COUNTIFS(L127,"一期",AV127,"是")+COUNTIFS(P127,"一期",AW127,"是")</f>
        <v/>
      </c>
    </row>
    <row r="128" ht="26.25" customHeight="1" s="1053">
      <c r="A128" s="281" t="inlineStr">
        <is>
          <t>同创汇</t>
        </is>
      </c>
      <c r="B128" s="281"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81" t="inlineStr">
        <is>
          <t>陈中帅</t>
        </is>
      </c>
      <c r="W128" s="421" t="inlineStr">
        <is>
          <t>黄铭怡</t>
        </is>
      </c>
      <c r="Y128" s="421" t="inlineStr">
        <is>
          <t>高心怡04</t>
        </is>
      </c>
      <c r="AE128" s="281" t="inlineStr">
        <is>
          <t>戎凯01</t>
        </is>
      </c>
      <c r="AF128" s="281" t="n"/>
      <c r="AS128" s="281">
        <f>COUNTIFS(H128,"一期",I128,"在读")+COUNTIFS(L128,"一期",M128,"在读")+COUNTIFS(P128,"一期",Q128,"在读")</f>
        <v/>
      </c>
      <c r="AT128" s="281">
        <f>AS128-AX128</f>
        <v/>
      </c>
      <c r="AU128" s="366">
        <f>VLOOKUP(B128,'UV台帐'!B:AL,19,0)</f>
        <v/>
      </c>
      <c r="AV128" s="366">
        <f>VLOOKUP(B128,'UV台帐'!B:AL,28,0)</f>
        <v/>
      </c>
      <c r="AW128" s="366">
        <f>VLOOKUP(B128,'UV台帐'!B:AL,37,0)</f>
        <v/>
      </c>
      <c r="AX128" s="281">
        <f>COUNTIFS(H128,"一期",AU128,"是")+COUNTIFS(L128,"一期",AV128,"是")+COUNTIFS(P128,"一期",AW128,"是")</f>
        <v/>
      </c>
    </row>
    <row r="129" ht="26.25" customHeight="1" s="1053">
      <c r="A129" s="281" t="inlineStr">
        <is>
          <t>同创汇</t>
        </is>
      </c>
      <c r="B129" s="281"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1" t="inlineStr">
        <is>
          <t>高心怡04</t>
        </is>
      </c>
      <c r="Y129" s="7" t="inlineStr">
        <is>
          <t>陈南05</t>
        </is>
      </c>
      <c r="AE129" s="281" t="inlineStr">
        <is>
          <t>王丽</t>
        </is>
      </c>
      <c r="AF129" s="281" t="n"/>
      <c r="AS129" s="281">
        <f>COUNTIFS(H129,"一期",I129,"在读")+COUNTIFS(L129,"一期",M129,"在读")+COUNTIFS(P129,"一期",Q129,"在读")</f>
        <v/>
      </c>
      <c r="AT129" s="281">
        <f>AS129-AX129</f>
        <v/>
      </c>
      <c r="AU129" s="366">
        <f>VLOOKUP(B129,'UV台帐'!B:AL,19,0)</f>
        <v/>
      </c>
      <c r="AV129" s="366">
        <f>VLOOKUP(B129,'UV台帐'!B:AL,28,0)</f>
        <v/>
      </c>
      <c r="AW129" s="366">
        <f>VLOOKUP(B129,'UV台帐'!B:AL,37,0)</f>
        <v/>
      </c>
      <c r="AX129" s="281">
        <f>COUNTIFS(H129,"一期",AU129,"是")+COUNTIFS(L129,"一期",AV129,"是")+COUNTIFS(P129,"一期",AW129,"是")</f>
        <v/>
      </c>
    </row>
    <row r="130" ht="26.25" customHeight="1" s="1053">
      <c r="A130" s="366" t="inlineStr">
        <is>
          <t>天成大厦</t>
        </is>
      </c>
      <c r="B130" s="366"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81" t="inlineStr">
        <is>
          <t>陈中帅</t>
        </is>
      </c>
      <c r="Y130" s="421" t="inlineStr">
        <is>
          <t>李润</t>
        </is>
      </c>
      <c r="AE130" s="281" t="inlineStr">
        <is>
          <t>沈思浩</t>
        </is>
      </c>
      <c r="AF130" s="281" t="n"/>
      <c r="AS130" s="281">
        <f>COUNTIFS(H130,"一期",I130,"在读")+COUNTIFS(L130,"一期",M130,"在读")+COUNTIFS(P130,"一期",Q130,"在读")</f>
        <v/>
      </c>
      <c r="AT130" s="281">
        <f>AS130-AX130</f>
        <v/>
      </c>
      <c r="AU130" s="366">
        <f>VLOOKUP(B130,'UV台帐'!B:AL,19,0)</f>
        <v/>
      </c>
      <c r="AV130" s="366">
        <f>VLOOKUP(B130,'UV台帐'!B:AL,28,0)</f>
        <v/>
      </c>
      <c r="AW130" s="366">
        <f>VLOOKUP(B130,'UV台帐'!B:AL,37,0)</f>
        <v/>
      </c>
      <c r="AX130" s="281">
        <f>COUNTIFS(H130,"一期",AU130,"是")+COUNTIFS(L130,"一期",AV130,"是")+COUNTIFS(P130,"一期",AW130,"是")</f>
        <v/>
      </c>
    </row>
    <row r="131" ht="26.25" customHeight="1" s="1053">
      <c r="A131" s="366" t="inlineStr">
        <is>
          <t>同创汇</t>
        </is>
      </c>
      <c r="B131" s="366"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21" t="inlineStr">
        <is>
          <t>黄铭怡</t>
        </is>
      </c>
      <c r="W131" s="7" t="inlineStr">
        <is>
          <t>-</t>
        </is>
      </c>
      <c r="Y131" s="7" t="inlineStr">
        <is>
          <t>-</t>
        </is>
      </c>
      <c r="AE131" s="281" t="inlineStr">
        <is>
          <t>戎凯01</t>
        </is>
      </c>
      <c r="AF131" s="281" t="n"/>
      <c r="AS131" s="281">
        <f>COUNTIFS(H131,"一期",I131,"在读")+COUNTIFS(L131,"一期",M131,"在读")+COUNTIFS(P131,"一期",Q131,"在读")</f>
        <v/>
      </c>
      <c r="AT131" s="281">
        <f>AS131-AX131</f>
        <v/>
      </c>
      <c r="AU131" s="366">
        <f>VLOOKUP(B131,'UV台帐'!B:AL,19,0)</f>
        <v/>
      </c>
      <c r="AV131" s="366">
        <f>VLOOKUP(B131,'UV台帐'!B:AL,28,0)</f>
        <v/>
      </c>
      <c r="AW131" s="366">
        <f>VLOOKUP(B131,'UV台帐'!B:AL,37,0)</f>
        <v/>
      </c>
      <c r="AX131" s="281">
        <f>COUNTIFS(H131,"一期",AU131,"是")+COUNTIFS(L131,"一期",AV131,"是")+COUNTIFS(P131,"一期",AW131,"是")</f>
        <v/>
      </c>
    </row>
    <row r="132" ht="26.25" customHeight="1" s="1053">
      <c r="A132" s="366" t="inlineStr">
        <is>
          <t>同创汇</t>
        </is>
      </c>
      <c r="B132" s="366"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1" t="inlineStr">
        <is>
          <t>高心怡04</t>
        </is>
      </c>
      <c r="Y132" s="7" t="inlineStr">
        <is>
          <t>陈南05</t>
        </is>
      </c>
      <c r="AE132" s="281" t="inlineStr">
        <is>
          <t>沈思浩</t>
        </is>
      </c>
      <c r="AF132" s="281" t="n"/>
      <c r="AS132" s="281">
        <f>COUNTIFS(H132,"一期",I132,"在读")+COUNTIFS(L132,"一期",M132,"在读")+COUNTIFS(P132,"一期",Q132,"在读")</f>
        <v/>
      </c>
      <c r="AT132" s="281">
        <f>AS132-AX132</f>
        <v/>
      </c>
      <c r="AU132" s="366">
        <f>VLOOKUP(B132,'UV台帐'!B:AL,19,0)</f>
        <v/>
      </c>
      <c r="AV132" s="366">
        <f>VLOOKUP(B132,'UV台帐'!B:AL,28,0)</f>
        <v/>
      </c>
      <c r="AW132" s="366">
        <f>VLOOKUP(B132,'UV台帐'!B:AL,37,0)</f>
        <v/>
      </c>
      <c r="AX132" s="281">
        <f>COUNTIFS(H132,"一期",AU132,"是")+COUNTIFS(L132,"一期",AV132,"是")+COUNTIFS(P132,"一期",AW132,"是")</f>
        <v/>
      </c>
    </row>
    <row r="133" ht="26.25" customHeight="1" s="1053">
      <c r="A133" s="366" t="inlineStr">
        <is>
          <t>天成大厦</t>
        </is>
      </c>
      <c r="B133" s="366"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81" t="inlineStr">
        <is>
          <t>陈中帅</t>
        </is>
      </c>
      <c r="W133" s="7" t="inlineStr">
        <is>
          <t>-</t>
        </is>
      </c>
      <c r="Y133" s="421" t="inlineStr">
        <is>
          <t>-</t>
        </is>
      </c>
      <c r="AE133" s="281" t="inlineStr">
        <is>
          <t>王达04</t>
        </is>
      </c>
      <c r="AF133" s="281" t="n"/>
      <c r="AS133" s="281">
        <f>COUNTIFS(H133,"一期",I133,"在读")+COUNTIFS(L133,"一期",M133,"在读")+COUNTIFS(P133,"一期",Q133,"在读")</f>
        <v/>
      </c>
      <c r="AT133" s="281">
        <f>AS133-AX133</f>
        <v/>
      </c>
      <c r="AU133" s="366">
        <f>VLOOKUP(B133,'UV台帐'!B:AL,19,0)</f>
        <v/>
      </c>
      <c r="AV133" s="366">
        <f>VLOOKUP(B133,'UV台帐'!B:AL,28,0)</f>
        <v/>
      </c>
      <c r="AW133" s="366">
        <f>VLOOKUP(B133,'UV台帐'!B:AL,37,0)</f>
        <v/>
      </c>
      <c r="AX133" s="281">
        <f>COUNTIFS(H133,"一期",AU133,"是")+COUNTIFS(L133,"一期",AV133,"是")+COUNTIFS(P133,"一期",AW133,"是")</f>
        <v/>
      </c>
    </row>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Height="1" s="1053"/>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3" min="11" max="11"/>
    <col width="11.625" customWidth="1" style="1053" min="12" max="12"/>
    <col width="29.1240234375" customWidth="1" style="1053" min="13" max="13"/>
    <col width="20.373046875" customWidth="1" style="1053" min="14" max="14"/>
    <col width="27.123046875" customWidth="1" style="284" min="15" max="15"/>
    <col width="14.625" customWidth="1" style="1053" min="31" max="31"/>
    <col width="33.123046875" customWidth="1" style="1053" min="33" max="33"/>
    <col width="10" customWidth="1" style="421" min="35" max="35"/>
    <col width="10" customWidth="1" style="34" min="36" max="39"/>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8"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9" t="inlineStr">
        <is>
          <t>学员分层
（主讲）</t>
        </is>
      </c>
      <c r="AE2" s="174" t="inlineStr">
        <is>
          <t>主讲判定依据</t>
        </is>
      </c>
      <c r="AF2" s="570" t="inlineStr">
        <is>
          <t>学员分层
（顾问）</t>
        </is>
      </c>
      <c r="AG2" s="174" t="inlineStr">
        <is>
          <t>顾问判定依据</t>
        </is>
      </c>
      <c r="AH2" s="1080" t="n"/>
      <c r="AI2" s="56" t="inlineStr">
        <is>
          <t>是否电联</t>
        </is>
      </c>
      <c r="AJ2" s="56" t="inlineStr">
        <is>
          <t>学情备注</t>
        </is>
      </c>
    </row>
    <row r="3" ht="26.25" customHeight="1" s="1053">
      <c r="A3" s="339" t="inlineStr">
        <is>
          <t>新宝利</t>
        </is>
      </c>
      <c r="B3" s="339" t="inlineStr">
        <is>
          <t>零期</t>
        </is>
      </c>
      <c r="C3" s="339"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571" t="inlineStr">
        <is>
          <t>学习态度：认真听讲，希望被关注认可
学习习惯：比较认真
性格：孤僻</t>
        </is>
      </c>
      <c r="N3" s="572" t="inlineStr">
        <is>
          <t>短期：分班考
长期：成绩进步</t>
        </is>
      </c>
      <c r="O3" s="339" t="inlineStr">
        <is>
          <t>妈妈管学习</t>
        </is>
      </c>
      <c r="P3" s="339" t="inlineStr">
        <is>
          <t>95以上</t>
        </is>
      </c>
      <c r="Q3" s="339" t="n">
        <v>90</v>
      </c>
      <c r="R3" s="339" t="n"/>
      <c r="S3" s="339" t="n"/>
      <c r="T3" s="339" t="inlineStr">
        <is>
          <t>是</t>
        </is>
      </c>
      <c r="U3" s="339" t="inlineStr">
        <is>
          <t>是</t>
        </is>
      </c>
      <c r="V3" s="339" t="inlineStr">
        <is>
          <t>是</t>
        </is>
      </c>
      <c r="W3" s="339" t="inlineStr">
        <is>
          <t>是</t>
        </is>
      </c>
      <c r="X3" s="339" t="inlineStr">
        <is>
          <t>是</t>
        </is>
      </c>
      <c r="Y3" s="339" t="inlineStr">
        <is>
          <t>是</t>
        </is>
      </c>
      <c r="Z3" s="339" t="inlineStr">
        <is>
          <t>是</t>
        </is>
      </c>
      <c r="AA3" s="339" t="inlineStr">
        <is>
          <t>是</t>
        </is>
      </c>
      <c r="AB3" s="339" t="n"/>
      <c r="AC3" s="339" t="n"/>
      <c r="AD3" s="339" t="inlineStr">
        <is>
          <t>S</t>
        </is>
      </c>
      <c r="AE3" s="339" t="inlineStr">
        <is>
          <t>春季在读</t>
        </is>
      </c>
      <c r="AF3" s="339" t="n"/>
      <c r="AG3" s="339" t="n"/>
      <c r="AH3" s="339" t="inlineStr">
        <is>
          <t>是</t>
        </is>
      </c>
    </row>
    <row r="4" ht="26.25" customFormat="1" customHeight="1" s="327">
      <c r="A4" s="339" t="inlineStr">
        <is>
          <t>新宝利</t>
        </is>
      </c>
      <c r="B4" s="339" t="inlineStr">
        <is>
          <t>三期</t>
        </is>
      </c>
      <c r="C4" s="281" t="n">
        <v>3132902</v>
      </c>
      <c r="D4" s="281" t="inlineStr">
        <is>
          <t>13:20-15:30</t>
        </is>
      </c>
      <c r="E4" s="281"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573" t="inlineStr">
        <is>
          <t>妈妈管学习
不稳定</t>
        </is>
      </c>
      <c r="P4" s="339" t="n">
        <v>90</v>
      </c>
      <c r="Q4" s="339" t="n">
        <v>70</v>
      </c>
      <c r="R4" s="339" t="n"/>
      <c r="S4" s="339" t="n"/>
      <c r="T4" s="339" t="inlineStr">
        <is>
          <t>是</t>
        </is>
      </c>
      <c r="U4" s="339" t="inlineStr">
        <is>
          <t>是</t>
        </is>
      </c>
      <c r="V4" s="339" t="inlineStr">
        <is>
          <t>是</t>
        </is>
      </c>
      <c r="W4" s="339" t="inlineStr">
        <is>
          <t>是</t>
        </is>
      </c>
      <c r="X4" s="339" t="inlineStr">
        <is>
          <t>是</t>
        </is>
      </c>
      <c r="Y4" s="339" t="inlineStr">
        <is>
          <t>是</t>
        </is>
      </c>
      <c r="Z4" s="339" t="n"/>
      <c r="AA4" s="339" t="n"/>
      <c r="AB4" s="339" t="n"/>
      <c r="AC4" s="339" t="n"/>
      <c r="AD4" s="339" t="inlineStr">
        <is>
          <t>S</t>
        </is>
      </c>
      <c r="AE4" s="339" t="inlineStr">
        <is>
          <t>春季在读</t>
        </is>
      </c>
      <c r="AF4" s="339" t="n"/>
      <c r="AG4" s="339" t="n"/>
      <c r="AH4" s="339" t="inlineStr">
        <is>
          <t>是</t>
        </is>
      </c>
      <c r="AJ4" s="119" t="n"/>
    </row>
    <row r="5" ht="26.25" customHeight="1" s="1053">
      <c r="A5" s="339" t="inlineStr">
        <is>
          <t>新宝利</t>
        </is>
      </c>
      <c r="B5" s="339" t="inlineStr">
        <is>
          <t>零期</t>
        </is>
      </c>
      <c r="C5" s="339"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K5" s="339" t="n"/>
      <c r="L5" s="339" t="inlineStr">
        <is>
          <t>三中</t>
        </is>
      </c>
      <c r="M5" s="574" t="inlineStr">
        <is>
          <t>学习态度：能自学
学习习惯：比较认真
性格：腼腆</t>
        </is>
      </c>
      <c r="N5" s="575" t="inlineStr">
        <is>
          <t>短期：分班考
小初衔接</t>
        </is>
      </c>
      <c r="O5" s="576" t="inlineStr">
        <is>
          <t>自学到多项式
妈妈管学习</t>
        </is>
      </c>
      <c r="P5" s="339" t="inlineStr">
        <is>
          <t>95以上</t>
        </is>
      </c>
      <c r="Q5" s="339" t="n"/>
      <c r="R5" s="339" t="n"/>
      <c r="S5" s="339" t="n"/>
      <c r="T5" s="339" t="inlineStr">
        <is>
          <t>是</t>
        </is>
      </c>
      <c r="U5" s="339" t="inlineStr">
        <is>
          <t>是</t>
        </is>
      </c>
      <c r="V5" s="339" t="inlineStr">
        <is>
          <t>是</t>
        </is>
      </c>
      <c r="W5" s="339" t="inlineStr">
        <is>
          <t>是</t>
        </is>
      </c>
      <c r="X5" s="339" t="inlineStr">
        <is>
          <t>否</t>
        </is>
      </c>
      <c r="Y5" s="339" t="inlineStr">
        <is>
          <t>否</t>
        </is>
      </c>
      <c r="Z5" s="339" t="inlineStr">
        <is>
          <t>是</t>
        </is>
      </c>
      <c r="AA5" s="339" t="inlineStr">
        <is>
          <t>是</t>
        </is>
      </c>
      <c r="AB5" s="339" t="n"/>
      <c r="AC5" s="339" t="n"/>
      <c r="AD5" s="339" t="n"/>
      <c r="AE5" s="339" t="n"/>
      <c r="AF5" s="339" t="n"/>
      <c r="AG5" s="339" t="n"/>
      <c r="AH5" s="339" t="n"/>
      <c r="AI5" s="421" t="inlineStr">
        <is>
          <t>是</t>
        </is>
      </c>
    </row>
    <row r="6" ht="26.25" customHeight="1" s="1053">
      <c r="A6" s="339" t="inlineStr">
        <is>
          <t>新宝利</t>
        </is>
      </c>
      <c r="B6" s="339" t="inlineStr">
        <is>
          <t>零期</t>
        </is>
      </c>
      <c r="C6" s="339"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577" t="inlineStr">
        <is>
          <t>广州市海珠区
外国语实验中学
附属小学</t>
        </is>
      </c>
      <c r="L6" s="339" t="inlineStr">
        <is>
          <t>摇号等结果</t>
        </is>
      </c>
      <c r="M6" s="578" t="inlineStr">
        <is>
          <t>学习态度：认真，会独立完成作业，但是拖拉
学习习惯：认真、工整
性格：比较安静</t>
        </is>
      </c>
      <c r="N6" s="579" t="inlineStr">
        <is>
          <t>短期：分班考
长期：成绩进步</t>
        </is>
      </c>
      <c r="O6" s="339" t="inlineStr">
        <is>
          <t>妈妈管学习</t>
        </is>
      </c>
      <c r="P6" s="339" t="inlineStr">
        <is>
          <t>95以上</t>
        </is>
      </c>
      <c r="Q6" s="339" t="n">
        <v>75</v>
      </c>
      <c r="R6" s="339" t="n"/>
      <c r="S6" s="339" t="n"/>
      <c r="T6" s="339" t="inlineStr">
        <is>
          <t>是</t>
        </is>
      </c>
      <c r="U6" s="339" t="inlineStr">
        <is>
          <t>是</t>
        </is>
      </c>
      <c r="V6" s="339" t="inlineStr">
        <is>
          <t>是</t>
        </is>
      </c>
      <c r="W6" s="339" t="inlineStr">
        <is>
          <t>是</t>
        </is>
      </c>
      <c r="X6" s="339" t="inlineStr">
        <is>
          <t>是</t>
        </is>
      </c>
      <c r="Y6" s="339" t="inlineStr">
        <is>
          <t>是</t>
        </is>
      </c>
      <c r="Z6" s="339" t="inlineStr">
        <is>
          <t>是</t>
        </is>
      </c>
      <c r="AA6" s="339" t="inlineStr">
        <is>
          <t>是</t>
        </is>
      </c>
      <c r="AB6" s="339" t="n"/>
      <c r="AC6" s="339" t="n"/>
      <c r="AD6" s="339" t="inlineStr">
        <is>
          <t>S</t>
        </is>
      </c>
      <c r="AE6" s="339" t="inlineStr">
        <is>
          <t>春季在读</t>
        </is>
      </c>
      <c r="AF6" s="339" t="n"/>
      <c r="AG6" s="339" t="n"/>
      <c r="AH6" s="339" t="inlineStr">
        <is>
          <t>是</t>
        </is>
      </c>
    </row>
    <row r="7" ht="26.25" customHeight="1" s="1053">
      <c r="A7" s="339" t="inlineStr">
        <is>
          <t>新宝利</t>
        </is>
      </c>
      <c r="B7" s="339" t="inlineStr">
        <is>
          <t>零期</t>
        </is>
      </c>
      <c r="C7" s="339"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580" t="inlineStr">
        <is>
          <t>学习态度：认真
学习习惯：不错
性格：调皮</t>
        </is>
      </c>
      <c r="N7" s="581" t="inlineStr">
        <is>
          <t>短期：分班考
长期：成绩进步</t>
        </is>
      </c>
      <c r="O7" s="339" t="inlineStr">
        <is>
          <t>妈妈管学习</t>
        </is>
      </c>
      <c r="P7" s="339" t="inlineStr">
        <is>
          <t>95以上</t>
        </is>
      </c>
      <c r="Q7" s="339" t="n">
        <v>80</v>
      </c>
      <c r="R7" s="339" t="n"/>
      <c r="S7" s="339" t="n"/>
      <c r="T7" s="339" t="inlineStr">
        <is>
          <t>是</t>
        </is>
      </c>
      <c r="U7" s="339" t="inlineStr">
        <is>
          <t>是</t>
        </is>
      </c>
      <c r="V7" s="339" t="inlineStr">
        <is>
          <t>是</t>
        </is>
      </c>
      <c r="W7" s="339" t="inlineStr">
        <is>
          <t>是</t>
        </is>
      </c>
      <c r="X7" s="339" t="inlineStr">
        <is>
          <t>是</t>
        </is>
      </c>
      <c r="Y7" s="339" t="inlineStr">
        <is>
          <t>是</t>
        </is>
      </c>
      <c r="Z7" s="339" t="inlineStr">
        <is>
          <t>是</t>
        </is>
      </c>
      <c r="AA7" s="339" t="inlineStr">
        <is>
          <t>是</t>
        </is>
      </c>
      <c r="AB7" s="339" t="n"/>
      <c r="AC7" s="339" t="n"/>
      <c r="AD7" s="339" t="inlineStr">
        <is>
          <t>S</t>
        </is>
      </c>
      <c r="AE7" s="339" t="inlineStr">
        <is>
          <t>春季在读</t>
        </is>
      </c>
      <c r="AF7" s="339" t="n"/>
      <c r="AG7" s="339" t="n"/>
      <c r="AH7" s="339" t="inlineStr">
        <is>
          <t>是</t>
        </is>
      </c>
    </row>
    <row r="8" ht="26.25" customHeight="1" s="1053">
      <c r="A8" s="339" t="inlineStr">
        <is>
          <t>新宝利</t>
        </is>
      </c>
      <c r="B8" s="339" t="inlineStr">
        <is>
          <t>零期</t>
        </is>
      </c>
      <c r="C8" s="339"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582" t="inlineStr">
        <is>
          <t>短期：分班考
长期：成绩进步</t>
        </is>
      </c>
      <c r="O8" s="339" t="inlineStr">
        <is>
          <t>爸爸管学习</t>
        </is>
      </c>
      <c r="P8" s="339" t="n">
        <v>95</v>
      </c>
      <c r="Q8" s="339" t="n">
        <v>80</v>
      </c>
      <c r="R8" s="339" t="n"/>
      <c r="S8" s="339" t="n"/>
      <c r="T8" s="339" t="inlineStr">
        <is>
          <t>是</t>
        </is>
      </c>
      <c r="U8" s="339" t="inlineStr">
        <is>
          <t>是</t>
        </is>
      </c>
      <c r="V8" s="339" t="inlineStr">
        <is>
          <t>是</t>
        </is>
      </c>
      <c r="W8" s="339" t="inlineStr">
        <is>
          <t>是</t>
        </is>
      </c>
      <c r="X8" s="339" t="inlineStr">
        <is>
          <t>是</t>
        </is>
      </c>
      <c r="Y8" s="339" t="inlineStr">
        <is>
          <t>否</t>
        </is>
      </c>
      <c r="Z8" s="339" t="inlineStr">
        <is>
          <t>是</t>
        </is>
      </c>
      <c r="AA8" s="339" t="n"/>
      <c r="AB8" s="339" t="n"/>
      <c r="AC8" s="339" t="n"/>
      <c r="AD8" s="339" t="inlineStr">
        <is>
          <t>S</t>
        </is>
      </c>
      <c r="AE8" s="339" t="inlineStr">
        <is>
          <t>已报名秋季</t>
        </is>
      </c>
      <c r="AF8" s="339" t="n"/>
      <c r="AG8" s="339" t="n"/>
      <c r="AH8" s="339" t="inlineStr">
        <is>
          <t>是</t>
        </is>
      </c>
    </row>
    <row r="9" ht="36.75" customHeight="1" s="1053">
      <c r="A9" s="339" t="inlineStr">
        <is>
          <t>新宝利</t>
        </is>
      </c>
      <c r="B9" s="339" t="inlineStr">
        <is>
          <t>零期</t>
        </is>
      </c>
      <c r="C9" s="339"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583" t="inlineStr">
        <is>
          <t>学习习惯不错
学习习惯认真对待
性格：正常</t>
        </is>
      </c>
      <c r="N9" s="584" t="inlineStr">
        <is>
          <t>短期：分层测；
长期：成绩进步。</t>
        </is>
      </c>
      <c r="O9" s="585" t="inlineStr">
        <is>
          <t>作业班线上学习
妈妈管学习</t>
        </is>
      </c>
      <c r="P9" s="339" t="inlineStr">
        <is>
          <t>95以上</t>
        </is>
      </c>
      <c r="Q9" s="339" t="n">
        <v>100</v>
      </c>
      <c r="R9" s="339" t="n"/>
      <c r="S9" s="339" t="n"/>
      <c r="T9" s="339" t="inlineStr">
        <is>
          <t>是</t>
        </is>
      </c>
      <c r="U9" s="339" t="inlineStr">
        <is>
          <t>是</t>
        </is>
      </c>
      <c r="V9" s="339" t="inlineStr">
        <is>
          <t>是</t>
        </is>
      </c>
      <c r="W9" s="339" t="inlineStr">
        <is>
          <t>是</t>
        </is>
      </c>
      <c r="X9" s="339" t="inlineStr">
        <is>
          <t>是</t>
        </is>
      </c>
      <c r="Y9" s="339" t="inlineStr">
        <is>
          <t>是</t>
        </is>
      </c>
      <c r="Z9" s="339" t="inlineStr">
        <is>
          <t>是</t>
        </is>
      </c>
      <c r="AA9" s="339" t="n"/>
      <c r="AB9" s="339" t="n"/>
      <c r="AC9" s="339" t="n"/>
      <c r="AD9" s="339" t="n"/>
      <c r="AE9" s="339" t="n"/>
      <c r="AF9" s="339" t="n"/>
      <c r="AG9" s="339" t="n"/>
      <c r="AH9" s="339" t="n"/>
      <c r="AI9" s="421" t="inlineStr">
        <is>
          <t>否</t>
        </is>
      </c>
    </row>
    <row r="10" ht="26.25" customHeight="1" s="1053">
      <c r="A10" s="339" t="inlineStr">
        <is>
          <t>新宝利</t>
        </is>
      </c>
      <c r="B10" s="339" t="inlineStr">
        <is>
          <t>零期</t>
        </is>
      </c>
      <c r="C10" s="339"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436" t="inlineStr">
        <is>
          <t>拒接，直接上课</t>
        </is>
      </c>
      <c r="P10" s="339" t="n">
        <v>88</v>
      </c>
      <c r="Q10" s="339" t="n"/>
      <c r="R10" s="339" t="n"/>
      <c r="S10" s="339" t="n"/>
      <c r="T10" s="339" t="inlineStr">
        <is>
          <t>是</t>
        </is>
      </c>
      <c r="U10" s="339" t="inlineStr">
        <is>
          <t>否</t>
        </is>
      </c>
      <c r="V10" s="339" t="inlineStr">
        <is>
          <t>是</t>
        </is>
      </c>
      <c r="W10" s="339" t="inlineStr">
        <is>
          <t>是</t>
        </is>
      </c>
      <c r="X10" s="339" t="inlineStr">
        <is>
          <t>是</t>
        </is>
      </c>
      <c r="Y10" s="339" t="inlineStr">
        <is>
          <t>否</t>
        </is>
      </c>
      <c r="Z10" s="339" t="n"/>
      <c r="AA10" s="339" t="n"/>
      <c r="AB10" s="339" t="n"/>
      <c r="AC10" s="339" t="n"/>
      <c r="AD10" s="339" t="n"/>
      <c r="AE10" s="339" t="n"/>
      <c r="AF10" s="339" t="n"/>
      <c r="AG10" s="339" t="n"/>
      <c r="AH10" s="339" t="n"/>
      <c r="AI10" s="421" t="inlineStr">
        <is>
          <t>否</t>
        </is>
      </c>
    </row>
    <row r="11" ht="39" customHeight="1" s="1053">
      <c r="A11" s="339" t="inlineStr">
        <is>
          <t>新宝利</t>
        </is>
      </c>
      <c r="B11" s="339" t="inlineStr">
        <is>
          <t>零期</t>
        </is>
      </c>
      <c r="C11" s="339"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586" t="inlineStr">
        <is>
          <t>学习态度：认真
学习习惯：很好
性格：乖巧</t>
        </is>
      </c>
      <c r="N11" s="587" t="inlineStr">
        <is>
          <t>短期：分班考
长期：成绩进步</t>
        </is>
      </c>
      <c r="O11" s="339" t="inlineStr">
        <is>
          <t>妈妈管学习，爸爸家委会</t>
        </is>
      </c>
      <c r="P11" s="339" t="n">
        <v>95</v>
      </c>
      <c r="Q11" s="339" t="n">
        <v>75</v>
      </c>
      <c r="R11" s="339" t="n"/>
      <c r="S11" s="339" t="n"/>
      <c r="T11" s="339" t="inlineStr">
        <is>
          <t>是</t>
        </is>
      </c>
      <c r="U11" s="339" t="inlineStr">
        <is>
          <t>是</t>
        </is>
      </c>
      <c r="V11" s="339" t="inlineStr">
        <is>
          <t>是</t>
        </is>
      </c>
      <c r="W11" s="339" t="inlineStr">
        <is>
          <t>是</t>
        </is>
      </c>
      <c r="X11" s="339" t="inlineStr">
        <is>
          <t>是</t>
        </is>
      </c>
      <c r="Y11" s="339" t="inlineStr">
        <is>
          <t>是</t>
        </is>
      </c>
      <c r="Z11" s="339" t="inlineStr">
        <is>
          <t>是</t>
        </is>
      </c>
      <c r="AA11" s="339" t="inlineStr">
        <is>
          <t>是</t>
        </is>
      </c>
      <c r="AB11" s="339" t="n"/>
      <c r="AC11" s="339" t="n"/>
      <c r="AD11" s="339" t="inlineStr">
        <is>
          <t>S</t>
        </is>
      </c>
      <c r="AE11" s="339" t="inlineStr">
        <is>
          <t>春季在读</t>
        </is>
      </c>
      <c r="AF11" s="339" t="n"/>
      <c r="AG11" s="339" t="n"/>
      <c r="AH11" s="339" t="inlineStr">
        <is>
          <t>是</t>
        </is>
      </c>
    </row>
    <row r="12" ht="36.75" customHeight="1" s="1053">
      <c r="A12" s="339" t="inlineStr">
        <is>
          <t>新宝利</t>
        </is>
      </c>
      <c r="B12" s="339" t="inlineStr">
        <is>
          <t>零期</t>
        </is>
      </c>
      <c r="C12" s="339"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588" t="inlineStr">
        <is>
          <t>学习习惯：不能独立完成作业
学习态度：比较抗拒学习
性格：外向</t>
        </is>
      </c>
      <c r="N12" s="339" t="inlineStr">
        <is>
          <t>兴趣、计算</t>
        </is>
      </c>
      <c r="O12" s="589" t="inlineStr">
        <is>
          <t>和张馨元一起
妈妈管学习
1个小时通勤</t>
        </is>
      </c>
      <c r="P12" s="339" t="n">
        <v>86</v>
      </c>
      <c r="Q12" s="339" t="n"/>
      <c r="R12" s="339" t="n"/>
      <c r="S12" s="339" t="n"/>
      <c r="T12" s="339" t="inlineStr">
        <is>
          <t>是</t>
        </is>
      </c>
      <c r="U12" s="339" t="inlineStr">
        <is>
          <t>是</t>
        </is>
      </c>
      <c r="V12" s="339" t="inlineStr">
        <is>
          <t>是</t>
        </is>
      </c>
      <c r="W12" s="339" t="inlineStr">
        <is>
          <t>是</t>
        </is>
      </c>
      <c r="X12" s="339" t="inlineStr">
        <is>
          <t>否</t>
        </is>
      </c>
      <c r="Y12" s="339" t="inlineStr">
        <is>
          <t>否</t>
        </is>
      </c>
      <c r="Z12" s="339" t="inlineStr">
        <is>
          <t>是</t>
        </is>
      </c>
      <c r="AA12" s="339" t="inlineStr">
        <is>
          <t>是</t>
        </is>
      </c>
      <c r="AB12" s="339" t="n"/>
      <c r="AC12" s="339" t="n"/>
      <c r="AD12" s="339" t="n"/>
      <c r="AE12" s="339" t="n"/>
      <c r="AF12" s="339" t="n"/>
      <c r="AG12" s="339" t="n"/>
      <c r="AH12" s="339" t="n"/>
      <c r="AI12" s="421" t="inlineStr">
        <is>
          <t>否</t>
        </is>
      </c>
    </row>
    <row r="13" ht="26.25" customHeight="1" s="1053">
      <c r="A13" s="339" t="inlineStr">
        <is>
          <t>新宝利</t>
        </is>
      </c>
      <c r="B13" s="339" t="inlineStr">
        <is>
          <t>零期</t>
        </is>
      </c>
      <c r="C13" s="339"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M13" s="339" t="n"/>
      <c r="N13" s="339" t="inlineStr">
        <is>
          <t>小初衔接</t>
        </is>
      </c>
      <c r="O13" s="444" t="inlineStr">
        <is>
          <t>拒接，直接上课</t>
        </is>
      </c>
      <c r="P13" s="339" t="n"/>
      <c r="Q13" s="339" t="n">
        <v>110</v>
      </c>
      <c r="R13" s="339" t="n"/>
      <c r="S13" s="339" t="n"/>
      <c r="T13" s="339" t="inlineStr">
        <is>
          <t>是</t>
        </is>
      </c>
      <c r="U13" s="339" t="inlineStr">
        <is>
          <t>否</t>
        </is>
      </c>
      <c r="V13" s="339" t="inlineStr">
        <is>
          <t>是</t>
        </is>
      </c>
      <c r="W13" s="339" t="inlineStr">
        <is>
          <t>是</t>
        </is>
      </c>
      <c r="X13" s="339" t="inlineStr">
        <is>
          <t>是</t>
        </is>
      </c>
      <c r="Y13" s="339" t="inlineStr">
        <is>
          <t>是</t>
        </is>
      </c>
      <c r="Z13" s="339" t="n"/>
      <c r="AA13" s="339" t="n"/>
      <c r="AB13" s="339" t="n"/>
      <c r="AC13" s="339" t="n"/>
      <c r="AD13" s="339" t="n"/>
      <c r="AE13" s="339" t="n"/>
      <c r="AF13" s="339" t="n"/>
      <c r="AG13" s="339" t="n"/>
      <c r="AH13" s="339" t="n"/>
      <c r="AI13" s="421" t="inlineStr">
        <is>
          <t>否</t>
        </is>
      </c>
    </row>
    <row r="14" ht="60.75" customFormat="1" customHeight="1" s="328">
      <c r="A14" s="339" t="inlineStr">
        <is>
          <t>新宝利</t>
        </is>
      </c>
      <c r="B14" s="339" t="inlineStr">
        <is>
          <t>零期</t>
        </is>
      </c>
      <c r="C14" s="339"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590" t="inlineStr">
        <is>
          <t>学习习惯：
学习意愿：能独立完成
性格：外向</t>
        </is>
      </c>
      <c r="N14" s="339" t="inlineStr">
        <is>
          <t>提升计算准确率</t>
        </is>
      </c>
      <c r="O14" s="591" t="inlineStr">
        <is>
          <t>妈妈管学习
第一次补课
30分钟路途
线上作业帮跟着
后续看孩子学习状态</t>
        </is>
      </c>
      <c r="P14" s="339" t="inlineStr">
        <is>
          <t>95左右</t>
        </is>
      </c>
      <c r="Q14" s="339" t="n"/>
      <c r="R14" s="339" t="n"/>
      <c r="S14" s="339" t="n"/>
      <c r="T14" s="339" t="inlineStr">
        <is>
          <t>是</t>
        </is>
      </c>
      <c r="U14" s="339" t="inlineStr">
        <is>
          <t>是</t>
        </is>
      </c>
      <c r="V14" s="339" t="inlineStr">
        <is>
          <t>是</t>
        </is>
      </c>
      <c r="W14" s="339" t="inlineStr">
        <is>
          <t>是</t>
        </is>
      </c>
      <c r="X14" s="339" t="inlineStr">
        <is>
          <t>否</t>
        </is>
      </c>
      <c r="Y14" s="339" t="inlineStr">
        <is>
          <t>否</t>
        </is>
      </c>
      <c r="Z14" s="339" t="inlineStr">
        <is>
          <t>是</t>
        </is>
      </c>
      <c r="AA14" s="339" t="inlineStr">
        <is>
          <t>是</t>
        </is>
      </c>
      <c r="AB14" s="339" t="n"/>
      <c r="AC14" s="339" t="n"/>
      <c r="AD14" s="339" t="inlineStr">
        <is>
          <t>B</t>
        </is>
      </c>
      <c r="AE14" s="339" t="n"/>
      <c r="AF14" s="339" t="n"/>
      <c r="AG14" s="339" t="n"/>
      <c r="AH14" s="339" t="n"/>
      <c r="AI14" s="421" t="inlineStr">
        <is>
          <t>是</t>
        </is>
      </c>
      <c r="AJ14" s="34" t="n"/>
      <c r="AK14" s="34" t="n"/>
      <c r="AL14" s="34" t="n"/>
      <c r="AM14" s="34" t="n"/>
    </row>
    <row r="15" ht="26.25" customHeight="1" s="1053">
      <c r="A15" s="339" t="inlineStr">
        <is>
          <t>新宝利</t>
        </is>
      </c>
      <c r="B15" s="339" t="inlineStr">
        <is>
          <t>零期</t>
        </is>
      </c>
      <c r="C15" s="339"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592" t="inlineStr">
        <is>
          <t>快点做完。不会划关注，偶尔抽查的
性格：内向</t>
        </is>
      </c>
      <c r="N15" s="339" t="inlineStr">
        <is>
          <t>分层测</t>
        </is>
      </c>
      <c r="O15" s="593" t="inlineStr">
        <is>
          <t>有自己的想法
多鼓励、过关注</t>
        </is>
      </c>
      <c r="P15" s="339" t="n">
        <v>95</v>
      </c>
      <c r="Q15" s="339" t="n">
        <v>95</v>
      </c>
      <c r="R15" s="339" t="n"/>
      <c r="S15" s="339" t="n"/>
      <c r="T15" s="339" t="inlineStr">
        <is>
          <t>是</t>
        </is>
      </c>
      <c r="U15" s="339" t="inlineStr">
        <is>
          <t>是</t>
        </is>
      </c>
      <c r="V15" s="339" t="inlineStr">
        <is>
          <t>是</t>
        </is>
      </c>
      <c r="W15" s="339" t="inlineStr">
        <is>
          <t>是</t>
        </is>
      </c>
      <c r="X15" s="339" t="inlineStr">
        <is>
          <t>是</t>
        </is>
      </c>
      <c r="Y15" s="339" t="inlineStr">
        <is>
          <t>是</t>
        </is>
      </c>
      <c r="Z15" s="339" t="inlineStr">
        <is>
          <t>是</t>
        </is>
      </c>
      <c r="AA15" s="339" t="inlineStr">
        <is>
          <t>是</t>
        </is>
      </c>
      <c r="AB15" s="339" t="n"/>
      <c r="AC15" s="339" t="n"/>
      <c r="AD15" s="339" t="inlineStr">
        <is>
          <t>B</t>
        </is>
      </c>
      <c r="AE15" s="339" t="inlineStr">
        <is>
          <t>秋季看学习效果</t>
        </is>
      </c>
      <c r="AF15" s="339" t="n"/>
      <c r="AG15" s="339" t="inlineStr">
        <is>
          <t>新东方长期在读，退了新东方报的咱们这边，重点看暑假学习情况做对比，支付能力OK，学的好大概率会报</t>
        </is>
      </c>
      <c r="AH15" s="339" t="n"/>
      <c r="AI15" s="421" t="inlineStr">
        <is>
          <t>否</t>
        </is>
      </c>
    </row>
    <row r="16" ht="26.25" customFormat="1" customHeight="1" s="327">
      <c r="A16" s="339" t="inlineStr">
        <is>
          <t>新宝利</t>
        </is>
      </c>
      <c r="B16" s="339" t="inlineStr">
        <is>
          <t>零期</t>
        </is>
      </c>
      <c r="C16" s="339" t="n">
        <v>3132880</v>
      </c>
      <c r="D16" s="339" t="inlineStr">
        <is>
          <t>15:50-18:00</t>
        </is>
      </c>
      <c r="E16" s="339" t="inlineStr">
        <is>
          <t>启能班</t>
        </is>
      </c>
      <c r="F16" s="339" t="inlineStr">
        <is>
          <t>郑茹月</t>
        </is>
      </c>
      <c r="G16" s="339" t="inlineStr">
        <is>
          <t>陈中帅</t>
        </is>
      </c>
      <c r="H16" s="339" t="n"/>
      <c r="I16" s="339" t="inlineStr">
        <is>
          <t>肖锐03</t>
        </is>
      </c>
      <c r="J16" s="339" t="inlineStr">
        <is>
          <t>杨林33</t>
        </is>
      </c>
      <c r="K16" s="339" t="n"/>
      <c r="L16" s="339" t="inlineStr">
        <is>
          <t>回香港读书</t>
        </is>
      </c>
      <c r="M16" s="594" t="inlineStr">
        <is>
          <t>学习习惯：还好
学习意愿：畏难
性格：腼腆</t>
        </is>
      </c>
      <c r="N16" s="339" t="inlineStr">
        <is>
          <t>分层测</t>
        </is>
      </c>
      <c r="O16" s="595" t="inlineStr">
        <is>
          <t>妈妈管学习
希望效率高</t>
        </is>
      </c>
      <c r="P16" s="339" t="n">
        <v>90</v>
      </c>
      <c r="Q16" s="339" t="n"/>
      <c r="R16" s="339" t="n"/>
      <c r="S16" s="339" t="n"/>
      <c r="T16" s="339" t="inlineStr">
        <is>
          <t>是</t>
        </is>
      </c>
      <c r="U16" s="339" t="inlineStr">
        <is>
          <t>是</t>
        </is>
      </c>
      <c r="V16" s="339" t="inlineStr">
        <is>
          <t>是</t>
        </is>
      </c>
      <c r="W16" s="339" t="inlineStr">
        <is>
          <t>是</t>
        </is>
      </c>
      <c r="X16" s="339" t="inlineStr">
        <is>
          <t>否</t>
        </is>
      </c>
      <c r="Y16" s="339" t="inlineStr">
        <is>
          <t>否</t>
        </is>
      </c>
      <c r="Z16" s="339" t="n"/>
      <c r="AA16" s="339" t="n"/>
      <c r="AB16" s="339" t="n"/>
      <c r="AC16" s="339" t="n"/>
      <c r="AD16" s="339" t="inlineStr">
        <is>
          <t>B</t>
        </is>
      </c>
      <c r="AE16" s="596" t="inlineStr">
        <is>
          <t>秋季肯定不上
要回香港</t>
        </is>
      </c>
      <c r="AF16" s="339" t="n"/>
      <c r="AG16" s="339" t="n"/>
      <c r="AH16" s="339" t="n"/>
      <c r="AI16" s="421" t="inlineStr">
        <is>
          <t>否</t>
        </is>
      </c>
      <c r="AJ16" s="34" t="n"/>
      <c r="AK16" s="34" t="n"/>
      <c r="AL16" s="34" t="n"/>
      <c r="AM16" s="34" t="n"/>
    </row>
    <row r="17" ht="26.25" customHeight="1" s="1053">
      <c r="A17" s="339" t="inlineStr">
        <is>
          <t>新宝利</t>
        </is>
      </c>
      <c r="B17" s="339" t="inlineStr">
        <is>
          <t>零期</t>
        </is>
      </c>
      <c r="C17" s="339"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K17" s="339" t="n"/>
      <c r="L17" s="597" t="inlineStr">
        <is>
          <t>荔广实验
次重点班</t>
        </is>
      </c>
      <c r="M17" s="598" t="inlineStr">
        <is>
          <t>学习习惯：圈关键词；
学习意愿：一般
性格：活泼</t>
        </is>
      </c>
      <c r="N17" s="339" t="inlineStr">
        <is>
          <t>摸底测</t>
        </is>
      </c>
      <c r="O17" s="599" t="inlineStr">
        <is>
          <t>卓越上两三节小升初衔接
语文英语比较差
周六来不了家长会，初中摸底测</t>
        </is>
      </c>
      <c r="P17" s="339" t="n">
        <v>98</v>
      </c>
      <c r="Q17" s="339" t="n"/>
      <c r="R17" s="339" t="n"/>
      <c r="S17" s="339" t="n"/>
      <c r="T17" s="339" t="inlineStr">
        <is>
          <t>是</t>
        </is>
      </c>
      <c r="U17" s="339" t="inlineStr">
        <is>
          <t>是</t>
        </is>
      </c>
      <c r="V17" s="339" t="inlineStr">
        <is>
          <t>是</t>
        </is>
      </c>
      <c r="W17" s="339" t="inlineStr">
        <is>
          <t>是</t>
        </is>
      </c>
      <c r="X17" s="339" t="inlineStr">
        <is>
          <t>否</t>
        </is>
      </c>
      <c r="Y17" s="339" t="inlineStr">
        <is>
          <t>是</t>
        </is>
      </c>
      <c r="Z17" s="339" t="n"/>
      <c r="AA17" s="339" t="n"/>
      <c r="AB17" s="339" t="n"/>
      <c r="AC17" s="339" t="n"/>
      <c r="AD17" s="339" t="n"/>
      <c r="AE17" s="339" t="n"/>
      <c r="AF17" s="339" t="n"/>
      <c r="AG17" s="339" t="inlineStr">
        <is>
          <t>支付能力还可以，之前在其他机构有读过，价格应该不算敏感</t>
        </is>
      </c>
      <c r="AH17" s="339" t="n"/>
      <c r="AI17" s="421" t="inlineStr">
        <is>
          <t>否</t>
        </is>
      </c>
    </row>
    <row r="18" ht="18" customHeight="1" s="1053">
      <c r="A18" s="339" t="inlineStr">
        <is>
          <t>新宝利</t>
        </is>
      </c>
      <c r="B18" s="339" t="inlineStr">
        <is>
          <t>零期</t>
        </is>
      </c>
      <c r="C18" s="339" t="n">
        <v>3132880</v>
      </c>
      <c r="D18" s="339" t="inlineStr">
        <is>
          <t>15:50-18:00</t>
        </is>
      </c>
      <c r="E18" s="339" t="inlineStr">
        <is>
          <t>启能班</t>
        </is>
      </c>
      <c r="F18" s="339" t="inlineStr">
        <is>
          <t>陈力维</t>
        </is>
      </c>
      <c r="G18" s="339" t="inlineStr">
        <is>
          <t>陈中帅</t>
        </is>
      </c>
      <c r="H18" s="339" t="n"/>
      <c r="I18" s="339" t="n"/>
      <c r="J18" s="339" t="inlineStr">
        <is>
          <t>杨林33</t>
        </is>
      </c>
      <c r="K18" s="339" t="inlineStr">
        <is>
          <t>署前路小学</t>
        </is>
      </c>
      <c r="L18" s="339" t="inlineStr">
        <is>
          <t>三中</t>
        </is>
      </c>
      <c r="M18" s="339" t="n"/>
      <c r="N18" s="339" t="n"/>
      <c r="O18" s="339" t="inlineStr">
        <is>
          <t>符钧豪转介绍</t>
        </is>
      </c>
      <c r="P18" s="339" t="n">
        <v>90</v>
      </c>
      <c r="Q18" s="339" t="n"/>
      <c r="R18" s="339" t="n"/>
      <c r="S18" s="339" t="n"/>
      <c r="T18" s="339" t="inlineStr">
        <is>
          <t>是</t>
        </is>
      </c>
      <c r="U18" s="339" t="inlineStr">
        <is>
          <t>是</t>
        </is>
      </c>
      <c r="V18" s="339" t="inlineStr">
        <is>
          <t>是</t>
        </is>
      </c>
      <c r="W18" s="339" t="inlineStr">
        <is>
          <t>是</t>
        </is>
      </c>
      <c r="X18" s="339" t="inlineStr">
        <is>
          <t>否</t>
        </is>
      </c>
      <c r="Y18" s="339" t="inlineStr">
        <is>
          <t>是</t>
        </is>
      </c>
      <c r="Z18" s="339" t="inlineStr">
        <is>
          <t>是</t>
        </is>
      </c>
      <c r="AA18" s="339" t="n"/>
      <c r="AB18" s="339" t="n"/>
      <c r="AC18" s="339" t="n"/>
      <c r="AD18" s="339" t="n"/>
      <c r="AE18" s="339" t="n"/>
      <c r="AF18" s="339" t="n"/>
      <c r="AG18" s="339" t="inlineStr">
        <is>
          <t>钧豪转介绍，意向度还可以，报名比较爽快，家长教育理念不错。</t>
        </is>
      </c>
      <c r="AH18" s="339" t="n"/>
      <c r="AI18" s="421" t="inlineStr">
        <is>
          <t>是</t>
        </is>
      </c>
    </row>
    <row r="19" ht="26.25" customHeight="1" s="1053">
      <c r="A19" s="339" t="inlineStr">
        <is>
          <t>新宝利</t>
        </is>
      </c>
      <c r="B19" s="339" t="inlineStr">
        <is>
          <t>零期</t>
        </is>
      </c>
      <c r="C19" s="339"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K19" s="339" t="n"/>
      <c r="L19" s="339" t="inlineStr">
        <is>
          <t>三中</t>
        </is>
      </c>
      <c r="M19" s="600" t="inlineStr">
        <is>
          <t>学习习惯：计算
学习意愿：需要多关注
性格：活泼</t>
        </is>
      </c>
      <c r="N19" s="339" t="inlineStr">
        <is>
          <t>搞定计算</t>
        </is>
      </c>
      <c r="O19" s="601" t="inlineStr">
        <is>
          <t>关浩言转介绍
妈妈管学习</t>
        </is>
      </c>
      <c r="P19" s="339" t="n">
        <v>90</v>
      </c>
      <c r="Q19" s="339" t="n">
        <v>80</v>
      </c>
      <c r="R19" s="339" t="n"/>
      <c r="S19" s="339" t="n"/>
      <c r="T19" s="339" t="inlineStr">
        <is>
          <t>是</t>
        </is>
      </c>
      <c r="U19" s="339" t="inlineStr">
        <is>
          <t>是</t>
        </is>
      </c>
      <c r="V19" s="339" t="inlineStr">
        <is>
          <t>是</t>
        </is>
      </c>
      <c r="W19" s="339" t="inlineStr">
        <is>
          <t>是</t>
        </is>
      </c>
      <c r="X19" s="339" t="inlineStr">
        <is>
          <t>是</t>
        </is>
      </c>
      <c r="Y19" s="339" t="inlineStr">
        <is>
          <t>是</t>
        </is>
      </c>
      <c r="Z19" s="339" t="inlineStr">
        <is>
          <t>是</t>
        </is>
      </c>
      <c r="AA19" s="339" t="inlineStr">
        <is>
          <t>是</t>
        </is>
      </c>
      <c r="AB19" s="339" t="n"/>
      <c r="AC19" s="339" t="n"/>
      <c r="AD19" s="339" t="n"/>
      <c r="AE19" s="339" t="n"/>
      <c r="AF19" s="339" t="n"/>
      <c r="AG19" s="339" t="inlineStr">
        <is>
          <t>转介绍，之前没报过培训机构，这次是和朋友一起咨询，只聊了暑假，秋没过多沟通</t>
        </is>
      </c>
      <c r="AH19" s="339" t="n"/>
      <c r="AI19" s="421" t="inlineStr">
        <is>
          <t>否</t>
        </is>
      </c>
    </row>
    <row r="20" ht="26.25" customHeight="1" s="1053">
      <c r="A20" s="339" t="inlineStr">
        <is>
          <t>新宝利</t>
        </is>
      </c>
      <c r="B20" s="339" t="inlineStr">
        <is>
          <t>零期</t>
        </is>
      </c>
      <c r="C20" s="339"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L20" s="339" t="n"/>
      <c r="M20" s="339" t="inlineStr">
        <is>
          <t>自觉，要监督一下。</t>
        </is>
      </c>
      <c r="N20" s="339" t="n"/>
      <c r="O20" s="339" t="n"/>
      <c r="P20" s="339" t="n">
        <v>88</v>
      </c>
      <c r="Q20" s="339" t="n"/>
      <c r="R20" s="339" t="n"/>
      <c r="S20" s="339" t="n"/>
      <c r="T20" s="339" t="inlineStr">
        <is>
          <t>是</t>
        </is>
      </c>
      <c r="U20" s="339" t="inlineStr">
        <is>
          <t>是</t>
        </is>
      </c>
      <c r="V20" s="339" t="inlineStr">
        <is>
          <t>是</t>
        </is>
      </c>
      <c r="W20" s="339" t="inlineStr">
        <is>
          <t>是</t>
        </is>
      </c>
      <c r="X20" s="339" t="inlineStr">
        <is>
          <t>否</t>
        </is>
      </c>
      <c r="Y20" s="339" t="inlineStr">
        <is>
          <t>是</t>
        </is>
      </c>
      <c r="Z20" s="339" t="n"/>
      <c r="AA20" s="339" t="n"/>
      <c r="AB20" s="339" t="n"/>
      <c r="AC20" s="339" t="n"/>
      <c r="AD20" s="339" t="n"/>
      <c r="AE20" s="339" t="n"/>
      <c r="AF20" s="339" t="n"/>
      <c r="AG20" s="339" t="n"/>
      <c r="AH20" s="339" t="n"/>
      <c r="AI20" s="421" t="inlineStr">
        <is>
          <t>否</t>
        </is>
      </c>
    </row>
    <row r="21" ht="26.25" customHeight="1" s="1053">
      <c r="A21" s="339" t="inlineStr">
        <is>
          <t>新宝利</t>
        </is>
      </c>
      <c r="B21" s="339" t="inlineStr">
        <is>
          <t>零期</t>
        </is>
      </c>
      <c r="C21" s="339"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437" t="inlineStr">
        <is>
          <t>三中</t>
        </is>
      </c>
      <c r="M21" s="437" t="inlineStr">
        <is>
          <t>要监督一下</t>
        </is>
      </c>
      <c r="N21" s="437" t="inlineStr">
        <is>
          <t>小初衔接</t>
        </is>
      </c>
      <c r="O21" s="602" t="inlineStr">
        <is>
          <t>妈妈经常不在家
姐姐也会管学习</t>
        </is>
      </c>
      <c r="P21" s="339" t="n"/>
      <c r="Q21" s="339" t="n">
        <v>80</v>
      </c>
      <c r="R21" s="339" t="n"/>
      <c r="S21" s="339" t="n"/>
      <c r="T21" s="339" t="inlineStr">
        <is>
          <t>是</t>
        </is>
      </c>
      <c r="U21" s="339" t="inlineStr">
        <is>
          <t>是</t>
        </is>
      </c>
      <c r="V21" s="339" t="inlineStr">
        <is>
          <t>是</t>
        </is>
      </c>
      <c r="W21" s="339" t="inlineStr">
        <is>
          <t>是</t>
        </is>
      </c>
      <c r="X21" s="339" t="inlineStr">
        <is>
          <t>是</t>
        </is>
      </c>
      <c r="Y21" s="339" t="inlineStr">
        <is>
          <t>否</t>
        </is>
      </c>
      <c r="Z21" s="339" t="n"/>
      <c r="AA21" s="339" t="n"/>
      <c r="AB21" s="339" t="n"/>
      <c r="AC21" s="339" t="n"/>
      <c r="AD21" s="339" t="n"/>
      <c r="AE21" s="339" t="n"/>
      <c r="AF21" s="339" t="n"/>
      <c r="AG21" s="339" t="n"/>
      <c r="AH21" s="339" t="n"/>
      <c r="AI21" s="421" t="inlineStr">
        <is>
          <t>否</t>
        </is>
      </c>
    </row>
    <row r="22" ht="26.25" customHeight="1" s="1053">
      <c r="A22" s="339" t="inlineStr">
        <is>
          <t>新宝利</t>
        </is>
      </c>
      <c r="B22" s="339" t="inlineStr">
        <is>
          <t>零期</t>
        </is>
      </c>
      <c r="C22" s="339"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O22" s="339" t="n"/>
      <c r="P22" s="339" t="n">
        <v>99.5</v>
      </c>
      <c r="Q22" s="339" t="n">
        <v>85</v>
      </c>
      <c r="R22" s="339" t="n"/>
      <c r="S22" s="339" t="n"/>
      <c r="T22" s="339" t="inlineStr">
        <is>
          <t>是</t>
        </is>
      </c>
      <c r="U22" s="339" t="inlineStr">
        <is>
          <t>是</t>
        </is>
      </c>
      <c r="V22" s="339" t="inlineStr">
        <is>
          <t>是</t>
        </is>
      </c>
      <c r="W22" s="339" t="inlineStr">
        <is>
          <t>是</t>
        </is>
      </c>
      <c r="X22" s="339" t="inlineStr">
        <is>
          <t>是</t>
        </is>
      </c>
      <c r="Y22" s="339" t="inlineStr">
        <is>
          <t>是</t>
        </is>
      </c>
      <c r="Z22" s="339" t="inlineStr">
        <is>
          <t>是</t>
        </is>
      </c>
      <c r="AA22" s="339" t="inlineStr">
        <is>
          <t>是</t>
        </is>
      </c>
      <c r="AB22" s="339" t="n"/>
      <c r="AC22" s="339" t="n"/>
      <c r="AD22" s="339" t="n"/>
      <c r="AE22" s="339" t="n"/>
      <c r="AF22" s="339" t="n"/>
      <c r="AG22" s="339" t="inlineStr">
        <is>
          <t>回民，妈妈有意识需要让孩子衔接</t>
        </is>
      </c>
      <c r="AH22" s="339" t="n"/>
      <c r="AI22" s="421" t="inlineStr">
        <is>
          <t>否</t>
        </is>
      </c>
    </row>
    <row r="23" ht="26.25" customHeight="1" s="1053">
      <c r="A23" s="339" t="inlineStr">
        <is>
          <t>同创汇</t>
        </is>
      </c>
      <c r="B23" s="339" t="inlineStr">
        <is>
          <t>零期</t>
        </is>
      </c>
      <c r="C23" s="339"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K23" s="339" t="n"/>
      <c r="L23" s="339" t="inlineStr">
        <is>
          <t>13中</t>
        </is>
      </c>
      <c r="M23" s="339" t="inlineStr">
        <is>
          <t>学习态度：非常认真，程度很好</t>
        </is>
      </c>
      <c r="N23" s="603" t="inlineStr">
        <is>
          <t>短期：分班考
长期：中考体系</t>
        </is>
      </c>
      <c r="O23" s="339" t="inlineStr">
        <is>
          <t>已经开始学新初一</t>
        </is>
      </c>
      <c r="P23" s="339" t="inlineStr">
        <is>
          <t>95以上</t>
        </is>
      </c>
      <c r="Q23" s="339" t="n">
        <v>66.5</v>
      </c>
      <c r="R23" s="339" t="n"/>
      <c r="S23" s="339" t="n"/>
      <c r="T23" s="339" t="inlineStr">
        <is>
          <t>是</t>
        </is>
      </c>
      <c r="U23" s="339" t="inlineStr">
        <is>
          <t>是</t>
        </is>
      </c>
      <c r="V23" s="339" t="inlineStr">
        <is>
          <t>是</t>
        </is>
      </c>
      <c r="W23" s="339" t="inlineStr">
        <is>
          <t>是</t>
        </is>
      </c>
      <c r="X23" s="339" t="inlineStr">
        <is>
          <t>是</t>
        </is>
      </c>
      <c r="Y23" s="339" t="inlineStr">
        <is>
          <t>否</t>
        </is>
      </c>
      <c r="Z23" s="339" t="inlineStr">
        <is>
          <t>是</t>
        </is>
      </c>
      <c r="AA23" s="339" t="inlineStr">
        <is>
          <t>是</t>
        </is>
      </c>
      <c r="AB23" s="339" t="n"/>
      <c r="AC23" s="339" t="n"/>
      <c r="AD23" s="339" t="n"/>
      <c r="AE23" s="339" t="n"/>
      <c r="AF23" s="339" t="n"/>
      <c r="AG23" s="339" t="inlineStr">
        <is>
          <t>讲座推优转化，比较看重效果</t>
        </is>
      </c>
      <c r="AH23" s="339" t="n"/>
      <c r="AI23" s="421" t="inlineStr">
        <is>
          <t>是</t>
        </is>
      </c>
    </row>
    <row r="24" ht="51.75" customHeight="1" s="1053">
      <c r="A24" s="339" t="inlineStr">
        <is>
          <t>同创汇</t>
        </is>
      </c>
      <c r="B24" s="339" t="inlineStr">
        <is>
          <t>零期</t>
        </is>
      </c>
      <c r="C24" s="339"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604" t="inlineStr">
        <is>
          <t>学习态度：听话
学习习惯：比较认真
性格：慢热型</t>
        </is>
      </c>
      <c r="N24" s="605" t="inlineStr">
        <is>
          <t>短期：分班考
长期：中考体系</t>
        </is>
      </c>
      <c r="O24" s="606" t="inlineStr">
        <is>
          <t>成绩不稳定，没有拓展，从来没上过补课班
看效果
转介绍徐安琪（七中东山）
妈妈管学习</t>
        </is>
      </c>
      <c r="P24" s="339" t="inlineStr">
        <is>
          <t>95以上</t>
        </is>
      </c>
      <c r="Q24" s="339" t="n">
        <v>95</v>
      </c>
      <c r="R24" s="339" t="n"/>
      <c r="S24" s="339" t="n"/>
      <c r="T24" s="339" t="inlineStr">
        <is>
          <t>是</t>
        </is>
      </c>
      <c r="U24" s="339" t="inlineStr">
        <is>
          <t>是</t>
        </is>
      </c>
      <c r="V24" s="339" t="inlineStr">
        <is>
          <t>是</t>
        </is>
      </c>
      <c r="W24" s="339" t="inlineStr">
        <is>
          <t>是</t>
        </is>
      </c>
      <c r="X24" s="339" t="inlineStr">
        <is>
          <t>是</t>
        </is>
      </c>
      <c r="Y24" s="339" t="inlineStr">
        <is>
          <t>否</t>
        </is>
      </c>
      <c r="Z24" s="339" t="inlineStr">
        <is>
          <t>是</t>
        </is>
      </c>
      <c r="AA24" s="339" t="inlineStr">
        <is>
          <t>是</t>
        </is>
      </c>
      <c r="AB24" s="339" t="n"/>
      <c r="AC24" s="339" t="n"/>
      <c r="AD24" s="339" t="inlineStr">
        <is>
          <t>A</t>
        </is>
      </c>
      <c r="AE24" s="339" t="inlineStr">
        <is>
          <t>家长有规划</t>
        </is>
      </c>
      <c r="AF24" s="339" t="n"/>
      <c r="AG24" s="339" t="n"/>
      <c r="AH24" s="339" t="n"/>
      <c r="AI24" s="421" t="inlineStr">
        <is>
          <t>是</t>
        </is>
      </c>
    </row>
    <row r="25" ht="36.75" customHeight="1" s="1053">
      <c r="A25" s="339" t="inlineStr">
        <is>
          <t>同创汇</t>
        </is>
      </c>
      <c r="B25" s="339" t="inlineStr">
        <is>
          <t>零期</t>
        </is>
      </c>
      <c r="C25" s="339"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K25" s="339" t="n"/>
      <c r="L25" s="607" t="inlineStr">
        <is>
          <t>培文
重点班</t>
        </is>
      </c>
      <c r="M25" s="608" t="inlineStr">
        <is>
          <t>学习态度：认真、听话；
学习习惯：比较良好
性格：外向</t>
        </is>
      </c>
      <c r="N25" s="339" t="inlineStr">
        <is>
          <t>小初衔接</t>
        </is>
      </c>
      <c r="O25" s="339" t="inlineStr">
        <is>
          <t>妈妈管学习</t>
        </is>
      </c>
      <c r="P25" s="339" t="n">
        <v>88</v>
      </c>
      <c r="Q25" s="339" t="n"/>
      <c r="R25" s="339" t="n"/>
      <c r="S25" s="339" t="n"/>
      <c r="T25" s="339" t="inlineStr">
        <is>
          <t>是</t>
        </is>
      </c>
      <c r="U25" s="339" t="inlineStr">
        <is>
          <t>是</t>
        </is>
      </c>
      <c r="V25" s="339" t="inlineStr">
        <is>
          <t>是</t>
        </is>
      </c>
      <c r="W25" s="339" t="inlineStr">
        <is>
          <t>是</t>
        </is>
      </c>
      <c r="X25" s="339" t="inlineStr">
        <is>
          <t>否</t>
        </is>
      </c>
      <c r="Y25" s="339" t="inlineStr">
        <is>
          <t>否</t>
        </is>
      </c>
      <c r="Z25" s="339" t="inlineStr">
        <is>
          <t>是</t>
        </is>
      </c>
      <c r="AA25" s="339" t="inlineStr">
        <is>
          <t>是</t>
        </is>
      </c>
      <c r="AB25" s="339" t="n"/>
      <c r="AC25" s="339" t="n"/>
      <c r="AD25" s="339" t="n"/>
      <c r="AE25" s="339" t="n"/>
      <c r="AF25" s="339" t="n"/>
      <c r="AG25" s="339" t="n"/>
      <c r="AH25" s="339" t="n"/>
      <c r="AI25" s="421" t="inlineStr">
        <is>
          <t>否</t>
        </is>
      </c>
    </row>
    <row r="26" ht="48.75" customFormat="1" customHeight="1" s="327">
      <c r="A26" s="437" t="inlineStr">
        <is>
          <t>同创汇</t>
        </is>
      </c>
      <c r="B26" s="437" t="inlineStr">
        <is>
          <t>零期</t>
        </is>
      </c>
      <c r="C26" s="437" t="n">
        <v>3132897</v>
      </c>
      <c r="D26" s="437" t="inlineStr">
        <is>
          <t>10:20-12:30</t>
        </is>
      </c>
      <c r="E26" s="437" t="inlineStr">
        <is>
          <t>潜能班</t>
        </is>
      </c>
      <c r="F26" s="437" t="inlineStr">
        <is>
          <t>徐安琪</t>
        </is>
      </c>
      <c r="G26" s="437" t="inlineStr">
        <is>
          <t>陈中帅</t>
        </is>
      </c>
      <c r="H26" s="437" t="inlineStr">
        <is>
          <t>李润</t>
        </is>
      </c>
      <c r="I26" s="437" t="inlineStr">
        <is>
          <t>高心怡04</t>
        </is>
      </c>
      <c r="J26" s="437" t="inlineStr">
        <is>
          <t>王达04</t>
        </is>
      </c>
      <c r="K26" s="437" t="n"/>
      <c r="L26" s="437" t="inlineStr">
        <is>
          <t>7中东山</t>
        </is>
      </c>
      <c r="M26" s="609" t="inlineStr">
        <is>
          <t>学习习惯：不怎么认真
学习意愿：有点儿畏难
性格：外向</t>
        </is>
      </c>
      <c r="N26" s="437" t="inlineStr">
        <is>
          <t>提升计算准确率</t>
        </is>
      </c>
      <c r="O26" s="610" t="inlineStr">
        <is>
          <t>妈妈管学习
学习兴趣不积极
没有上过拓展课
叶晓静转介绍</t>
        </is>
      </c>
      <c r="P26" s="437" t="inlineStr">
        <is>
          <t>90左右</t>
        </is>
      </c>
      <c r="Q26" s="437" t="n"/>
      <c r="R26" s="437" t="n"/>
      <c r="S26" s="437" t="n"/>
      <c r="T26" s="437" t="inlineStr">
        <is>
          <t>是</t>
        </is>
      </c>
      <c r="U26" s="437" t="inlineStr">
        <is>
          <t>是</t>
        </is>
      </c>
      <c r="V26" s="437" t="inlineStr">
        <is>
          <t>是</t>
        </is>
      </c>
      <c r="W26" s="437" t="inlineStr">
        <is>
          <t>是</t>
        </is>
      </c>
      <c r="X26" s="437" t="inlineStr">
        <is>
          <t>否</t>
        </is>
      </c>
      <c r="Y26" s="437" t="inlineStr">
        <is>
          <t>否</t>
        </is>
      </c>
      <c r="Z26" s="339" t="inlineStr">
        <is>
          <t>是</t>
        </is>
      </c>
      <c r="AA26" s="339" t="inlineStr">
        <is>
          <t>是</t>
        </is>
      </c>
      <c r="AB26" s="437" t="n"/>
      <c r="AC26" s="437" t="n"/>
      <c r="AD26" s="437" t="n"/>
      <c r="AE26" s="437" t="n"/>
      <c r="AF26" s="437" t="n"/>
      <c r="AG26" s="437" t="n"/>
      <c r="AH26" s="437" t="n"/>
      <c r="AI26" s="421" t="inlineStr">
        <is>
          <t>否</t>
        </is>
      </c>
      <c r="AJ26" s="34" t="n"/>
      <c r="AK26" s="34" t="n"/>
      <c r="AL26" s="34" t="n"/>
      <c r="AM26" s="34" t="n"/>
    </row>
    <row r="27" ht="26.25" customHeight="1" s="1053">
      <c r="A27" s="339" t="inlineStr">
        <is>
          <t>同创汇</t>
        </is>
      </c>
      <c r="B27" s="339" t="inlineStr">
        <is>
          <t>零期</t>
        </is>
      </c>
      <c r="C27" s="339"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611" t="inlineStr">
        <is>
          <t>学习态度：认真、听话
学习习惯：反应有点慢
性格特点：腼腆内向</t>
        </is>
      </c>
      <c r="N27" s="612" t="inlineStr">
        <is>
          <t>短期：分班考
长期：成绩进步</t>
        </is>
      </c>
      <c r="O27" s="339" t="inlineStr">
        <is>
          <t>妈妈管学习，余米诺转介绍</t>
        </is>
      </c>
      <c r="P27" s="339" t="inlineStr">
        <is>
          <t>90以上</t>
        </is>
      </c>
      <c r="Q27" s="339" t="n"/>
      <c r="R27" s="339" t="n"/>
      <c r="S27" s="339" t="n"/>
      <c r="T27" s="339" t="inlineStr">
        <is>
          <t>是</t>
        </is>
      </c>
      <c r="U27" s="339" t="inlineStr">
        <is>
          <t>是</t>
        </is>
      </c>
      <c r="V27" s="339" t="inlineStr">
        <is>
          <t>是</t>
        </is>
      </c>
      <c r="W27" s="339" t="inlineStr">
        <is>
          <t>是</t>
        </is>
      </c>
      <c r="X27" s="339" t="inlineStr">
        <is>
          <t>否</t>
        </is>
      </c>
      <c r="Y27" s="339" t="inlineStr">
        <is>
          <t>是</t>
        </is>
      </c>
      <c r="Z27" s="339" t="inlineStr">
        <is>
          <t>是</t>
        </is>
      </c>
      <c r="AA27" s="339" t="inlineStr">
        <is>
          <t>是</t>
        </is>
      </c>
      <c r="AB27" s="339" t="n"/>
      <c r="AC27" s="339" t="n"/>
      <c r="AD27" s="339" t="inlineStr">
        <is>
          <t>S</t>
        </is>
      </c>
      <c r="AE27" s="339" t="inlineStr">
        <is>
          <t>已报名秋季</t>
        </is>
      </c>
      <c r="AF27" s="339" t="n"/>
      <c r="AG27" s="339" t="n"/>
      <c r="AH27" s="339" t="inlineStr">
        <is>
          <t>是</t>
        </is>
      </c>
    </row>
    <row r="28" ht="39" customHeight="1" s="1053">
      <c r="A28" s="339" t="inlineStr">
        <is>
          <t>同创汇</t>
        </is>
      </c>
      <c r="B28" s="339" t="inlineStr">
        <is>
          <t>零期</t>
        </is>
      </c>
      <c r="C28" s="339" t="n">
        <v>3132897</v>
      </c>
      <c r="D28" s="339" t="inlineStr">
        <is>
          <t>10:20-12:30</t>
        </is>
      </c>
      <c r="E28" s="339" t="inlineStr">
        <is>
          <t>潜能班</t>
        </is>
      </c>
      <c r="F28" s="339" t="inlineStr">
        <is>
          <t>李倬承</t>
        </is>
      </c>
      <c r="G28" s="339" t="inlineStr">
        <is>
          <t>陈中帅</t>
        </is>
      </c>
      <c r="H28" s="339" t="n"/>
      <c r="I28" s="339" t="inlineStr">
        <is>
          <t>高心怡04</t>
        </is>
      </c>
      <c r="J28" s="339" t="inlineStr">
        <is>
          <t>王丽</t>
        </is>
      </c>
      <c r="K28" s="339" t="inlineStr">
        <is>
          <t>水荫路小学</t>
        </is>
      </c>
      <c r="L28" s="339" t="inlineStr">
        <is>
          <t>16中</t>
        </is>
      </c>
      <c r="M28" s="613" t="inlineStr">
        <is>
          <t>学习态度：作业会认真对待，上课爱说
学习习惯：比较认真
性格：顽皮</t>
        </is>
      </c>
      <c r="N28" s="614" t="inlineStr">
        <is>
          <t>短期：分班考
长期：成绩进步</t>
        </is>
      </c>
      <c r="O28" s="339" t="inlineStr">
        <is>
          <t>妈妈管学习</t>
        </is>
      </c>
      <c r="P28" s="339" t="inlineStr">
        <is>
          <t>95以上</t>
        </is>
      </c>
      <c r="Q28" s="339" t="n">
        <v>85</v>
      </c>
      <c r="R28" s="339" t="n"/>
      <c r="S28" s="339" t="n"/>
      <c r="T28" s="339" t="inlineStr">
        <is>
          <t>是</t>
        </is>
      </c>
      <c r="U28" s="339" t="inlineStr">
        <is>
          <t>是</t>
        </is>
      </c>
      <c r="V28" s="339" t="inlineStr">
        <is>
          <t>是</t>
        </is>
      </c>
      <c r="W28" s="339" t="inlineStr">
        <is>
          <t>是</t>
        </is>
      </c>
      <c r="X28" s="339" t="inlineStr">
        <is>
          <t>是</t>
        </is>
      </c>
      <c r="Y28" s="339" t="inlineStr">
        <is>
          <t>是</t>
        </is>
      </c>
      <c r="Z28" s="339" t="inlineStr">
        <is>
          <t>是</t>
        </is>
      </c>
      <c r="AA28" s="339" t="n"/>
      <c r="AB28" s="339" t="n"/>
      <c r="AC28" s="339" t="n"/>
      <c r="AD28" s="339" t="inlineStr">
        <is>
          <t>S</t>
        </is>
      </c>
      <c r="AE28" s="339" t="inlineStr">
        <is>
          <t>春季在读</t>
        </is>
      </c>
      <c r="AF28" s="339" t="n"/>
      <c r="AG28" s="339" t="n"/>
      <c r="AH28" s="339" t="inlineStr">
        <is>
          <t>是</t>
        </is>
      </c>
    </row>
    <row r="29" ht="26.25" customHeight="1" s="1053">
      <c r="A29" s="339" t="inlineStr">
        <is>
          <t>同创汇</t>
        </is>
      </c>
      <c r="B29" s="339" t="inlineStr">
        <is>
          <t>零期</t>
        </is>
      </c>
      <c r="C29" s="339"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615" t="inlineStr">
        <is>
          <t>七中东山
红星班</t>
        </is>
      </c>
      <c r="M29" s="616" t="inlineStr">
        <is>
          <t>学习习惯：很好
学习意愿：很强
性格：腼腆</t>
        </is>
      </c>
      <c r="N29" s="617" t="inlineStr">
        <is>
          <t>短期：分层测
长期：中考</t>
        </is>
      </c>
      <c r="O29" s="618" t="inlineStr">
        <is>
          <t>学霸
妈妈管学习</t>
        </is>
      </c>
      <c r="P29" s="339" t="n">
        <v>298.5</v>
      </c>
      <c r="Q29" s="339" t="n">
        <v>75</v>
      </c>
      <c r="R29" s="339" t="n"/>
      <c r="S29" s="339" t="n"/>
      <c r="T29" s="339" t="inlineStr">
        <is>
          <t>是</t>
        </is>
      </c>
      <c r="U29" s="339" t="inlineStr">
        <is>
          <t>是</t>
        </is>
      </c>
      <c r="V29" s="339" t="inlineStr">
        <is>
          <t>是</t>
        </is>
      </c>
      <c r="W29" s="339" t="inlineStr">
        <is>
          <t>是</t>
        </is>
      </c>
      <c r="X29" s="339" t="inlineStr">
        <is>
          <t>是</t>
        </is>
      </c>
      <c r="Y29" s="339" t="inlineStr">
        <is>
          <t>是</t>
        </is>
      </c>
      <c r="Z29" s="339" t="inlineStr">
        <is>
          <t>是</t>
        </is>
      </c>
      <c r="AA29" s="339" t="inlineStr">
        <is>
          <t>是</t>
        </is>
      </c>
      <c r="AB29" s="339" t="n"/>
      <c r="AC29" s="339" t="n"/>
      <c r="AD29" s="339" t="inlineStr">
        <is>
          <t>A</t>
        </is>
      </c>
      <c r="AE29" s="339" t="inlineStr">
        <is>
          <t>孩子程度好</t>
        </is>
      </c>
      <c r="AF29" s="339" t="n"/>
      <c r="AG29" s="339" t="n"/>
      <c r="AH29" s="339" t="n"/>
      <c r="AI29" s="421" t="inlineStr">
        <is>
          <t>是</t>
        </is>
      </c>
    </row>
    <row r="30" ht="26.25" customHeight="1" s="1053">
      <c r="A30" s="339" t="inlineStr">
        <is>
          <t>同创汇</t>
        </is>
      </c>
      <c r="B30" s="339" t="inlineStr">
        <is>
          <t>零期</t>
        </is>
      </c>
      <c r="C30" s="339" t="n">
        <v>3132897</v>
      </c>
      <c r="D30" s="339" t="inlineStr">
        <is>
          <t>10:20-12:30</t>
        </is>
      </c>
      <c r="E30" s="339" t="inlineStr">
        <is>
          <t>潜能班</t>
        </is>
      </c>
      <c r="F30" s="445" t="inlineStr">
        <is>
          <t>杨梓俊</t>
        </is>
      </c>
      <c r="G30" s="339" t="inlineStr">
        <is>
          <t>陈中帅</t>
        </is>
      </c>
      <c r="H30" s="339" t="inlineStr">
        <is>
          <t>陈南05</t>
        </is>
      </c>
      <c r="I30" s="339" t="inlineStr">
        <is>
          <t>刘希子</t>
        </is>
      </c>
      <c r="J30" s="339" t="inlineStr">
        <is>
          <t>苏丽婷</t>
        </is>
      </c>
      <c r="K30" s="339" t="n"/>
      <c r="L30" s="339" t="inlineStr">
        <is>
          <t>白云铁一</t>
        </is>
      </c>
      <c r="M30" s="339" t="n"/>
      <c r="N30" s="339" t="n"/>
      <c r="O30" s="339" t="n"/>
      <c r="P30" s="339" t="n">
        <v>72</v>
      </c>
      <c r="Q30" s="339" t="n"/>
      <c r="R30" s="339" t="n"/>
      <c r="S30" s="339" t="n"/>
      <c r="T30" s="339" t="inlineStr">
        <is>
          <t>是</t>
        </is>
      </c>
      <c r="U30" s="339" t="inlineStr">
        <is>
          <t>是</t>
        </is>
      </c>
      <c r="V30" s="339" t="inlineStr">
        <is>
          <t>是</t>
        </is>
      </c>
      <c r="W30" s="339" t="inlineStr">
        <is>
          <t>是</t>
        </is>
      </c>
      <c r="X30" s="339" t="inlineStr">
        <is>
          <t>否</t>
        </is>
      </c>
      <c r="Y30" s="339" t="inlineStr">
        <is>
          <t>是</t>
        </is>
      </c>
      <c r="Z30" s="339" t="inlineStr">
        <is>
          <t>是</t>
        </is>
      </c>
      <c r="AA30" s="339" t="n"/>
      <c r="AB30" s="339" t="n"/>
      <c r="AC30" s="339" t="n"/>
      <c r="AD30" s="339" t="inlineStr">
        <is>
          <t>B</t>
        </is>
      </c>
      <c r="AE30" s="339" t="inlineStr">
        <is>
          <t>距离比较远，不方便</t>
        </is>
      </c>
      <c r="AF30" s="339" t="n"/>
      <c r="AG30" s="339" t="n"/>
      <c r="AH30" s="339" t="n"/>
      <c r="AI30" s="421" t="inlineStr">
        <is>
          <t>否</t>
        </is>
      </c>
    </row>
    <row r="31" ht="26.25" customFormat="1" customHeight="1" s="442">
      <c r="A31" s="443" t="inlineStr">
        <is>
          <t>同创汇</t>
        </is>
      </c>
      <c r="B31" s="443" t="inlineStr">
        <is>
          <t>零期</t>
        </is>
      </c>
      <c r="C31" s="443" t="n">
        <v>3132897</v>
      </c>
      <c r="D31" s="443" t="inlineStr">
        <is>
          <t>10:20-12:30</t>
        </is>
      </c>
      <c r="E31" s="443" t="inlineStr">
        <is>
          <t>潜能班</t>
        </is>
      </c>
      <c r="F31" s="443" t="inlineStr">
        <is>
          <t>梁流楷</t>
        </is>
      </c>
      <c r="G31" s="443" t="inlineStr">
        <is>
          <t>陈中帅</t>
        </is>
      </c>
      <c r="H31" s="443" t="inlineStr">
        <is>
          <t>李润</t>
        </is>
      </c>
      <c r="I31" s="443" t="inlineStr">
        <is>
          <t>高心怡04</t>
        </is>
      </c>
      <c r="J31" s="443" t="inlineStr">
        <is>
          <t>苏丽婷</t>
        </is>
      </c>
      <c r="K31" s="443" t="n"/>
      <c r="L31" s="443" t="inlineStr">
        <is>
          <t>16中东华</t>
        </is>
      </c>
      <c r="M31" s="443" t="n"/>
      <c r="N31" s="443" t="inlineStr">
        <is>
          <t>FBK</t>
        </is>
      </c>
      <c r="O31" s="443" t="n"/>
      <c r="P31" s="443" t="n">
        <v>72</v>
      </c>
      <c r="Q31" s="443" t="n"/>
      <c r="R31" s="443" t="n"/>
      <c r="S31" s="443" t="n"/>
      <c r="T31" s="443" t="inlineStr">
        <is>
          <t>是</t>
        </is>
      </c>
      <c r="U31" s="443" t="inlineStr">
        <is>
          <t>是</t>
        </is>
      </c>
      <c r="V31" s="443" t="inlineStr">
        <is>
          <t>是</t>
        </is>
      </c>
      <c r="W31" s="443" t="inlineStr">
        <is>
          <t>是</t>
        </is>
      </c>
      <c r="X31" s="443" t="inlineStr">
        <is>
          <t>否</t>
        </is>
      </c>
      <c r="Y31" s="443" t="inlineStr">
        <is>
          <t>否</t>
        </is>
      </c>
      <c r="Z31" s="443" t="n"/>
      <c r="AA31" s="443" t="n"/>
      <c r="AB31" s="443" t="n"/>
      <c r="AC31" s="443" t="n"/>
      <c r="AD31" s="443" t="n"/>
      <c r="AE31" s="443" t="n"/>
      <c r="AF31" s="443" t="n"/>
      <c r="AG31" s="443" t="n"/>
      <c r="AH31" s="443" t="n"/>
      <c r="AI31" s="421" t="inlineStr">
        <is>
          <t>是</t>
        </is>
      </c>
      <c r="AJ31" s="34" t="n"/>
      <c r="AK31" s="34" t="n"/>
      <c r="AL31" s="34" t="n"/>
      <c r="AM31" s="34" t="n"/>
    </row>
    <row r="32" ht="26.25" customHeight="1" s="1053">
      <c r="A32" s="339" t="inlineStr">
        <is>
          <t>同创汇</t>
        </is>
      </c>
      <c r="B32" s="339" t="inlineStr">
        <is>
          <t>零期</t>
        </is>
      </c>
      <c r="C32" s="339" t="n">
        <v>3132897</v>
      </c>
      <c r="D32" s="339" t="inlineStr">
        <is>
          <t>10:20-12:30</t>
        </is>
      </c>
      <c r="E32" s="339" t="inlineStr">
        <is>
          <t>潜能班</t>
        </is>
      </c>
      <c r="F32" s="339" t="inlineStr">
        <is>
          <t>王梓骏</t>
        </is>
      </c>
      <c r="G32" s="339" t="inlineStr">
        <is>
          <t>陈中帅</t>
        </is>
      </c>
      <c r="H32" s="339" t="inlineStr">
        <is>
          <t>李润</t>
        </is>
      </c>
      <c r="I32" s="339" t="inlineStr">
        <is>
          <t>高心怡04</t>
        </is>
      </c>
      <c r="J32" s="339" t="inlineStr">
        <is>
          <t>王丽</t>
        </is>
      </c>
      <c r="K32" s="339" t="inlineStr">
        <is>
          <t>先烈中路小学</t>
        </is>
      </c>
      <c r="L32" s="339" t="inlineStr">
        <is>
          <t>16中实验</t>
        </is>
      </c>
      <c r="M32" s="619" t="inlineStr">
        <is>
          <t>学习习惯：会自主完成作业
学习态度：比较认真
性格：调皮</t>
        </is>
      </c>
      <c r="N32" s="339" t="inlineStr">
        <is>
          <t>短期：分层测，小初衔接</t>
        </is>
      </c>
      <c r="O32" s="620" t="inlineStr">
        <is>
          <t>成绩不稳定，解决计算问题
妈妈管学习</t>
        </is>
      </c>
      <c r="P32" s="339" t="inlineStr">
        <is>
          <t>B</t>
        </is>
      </c>
      <c r="Q32" s="339" t="n">
        <v>75</v>
      </c>
      <c r="R32" s="339" t="n"/>
      <c r="S32" s="339" t="n"/>
      <c r="T32" s="339" t="inlineStr">
        <is>
          <t>是</t>
        </is>
      </c>
      <c r="U32" s="339" t="inlineStr">
        <is>
          <t>是</t>
        </is>
      </c>
      <c r="V32" s="339" t="inlineStr">
        <is>
          <t>是</t>
        </is>
      </c>
      <c r="W32" s="339" t="inlineStr">
        <is>
          <t>是</t>
        </is>
      </c>
      <c r="X32" s="339" t="inlineStr">
        <is>
          <t>是</t>
        </is>
      </c>
      <c r="Y32" s="339" t="inlineStr">
        <is>
          <t>是</t>
        </is>
      </c>
      <c r="Z32" s="339" t="n"/>
      <c r="AA32" s="339" t="n"/>
      <c r="AB32" s="339" t="n"/>
      <c r="AC32" s="339" t="n"/>
      <c r="AD32" s="339" t="inlineStr">
        <is>
          <t>B</t>
        </is>
      </c>
      <c r="AE32" s="339" t="inlineStr">
        <is>
          <t>孩子程度比较差</t>
        </is>
      </c>
      <c r="AF32" s="339" t="n"/>
      <c r="AG32" s="339" t="n"/>
      <c r="AH32" s="339" t="n"/>
      <c r="AI32" s="421" t="inlineStr">
        <is>
          <t>否</t>
        </is>
      </c>
    </row>
    <row r="33" ht="26.25" customHeight="1" s="1053">
      <c r="A33" s="339" t="inlineStr">
        <is>
          <t>同创汇</t>
        </is>
      </c>
      <c r="B33" s="339" t="inlineStr">
        <is>
          <t>零期</t>
        </is>
      </c>
      <c r="C33" s="339" t="n">
        <v>3132897</v>
      </c>
      <c r="D33" s="339" t="inlineStr">
        <is>
          <t>10:20-12:30</t>
        </is>
      </c>
      <c r="E33" s="339" t="inlineStr">
        <is>
          <t>潜能班</t>
        </is>
      </c>
      <c r="F33" s="339" t="inlineStr">
        <is>
          <t>米诺</t>
        </is>
      </c>
      <c r="G33" s="339" t="inlineStr">
        <is>
          <t>陈中帅</t>
        </is>
      </c>
      <c r="H33" s="339" t="inlineStr">
        <is>
          <t>李润</t>
        </is>
      </c>
      <c r="I33" s="339" t="inlineStr">
        <is>
          <t>高心怡04</t>
        </is>
      </c>
      <c r="J33" s="339" t="inlineStr">
        <is>
          <t>戎凯01</t>
        </is>
      </c>
      <c r="K33" s="339" t="inlineStr">
        <is>
          <t>育才小学</t>
        </is>
      </c>
      <c r="L33" s="339" t="inlineStr">
        <is>
          <t>育才实验中学</t>
        </is>
      </c>
      <c r="M33" s="621" t="inlineStr">
        <is>
          <t>学习态度：比较认真
学习习惯：喜欢不听课写题
性格：大姐大</t>
        </is>
      </c>
      <c r="N33" s="622" t="inlineStr">
        <is>
          <t>短期：分班考
长期：成绩进步</t>
        </is>
      </c>
      <c r="O33" s="339" t="inlineStr">
        <is>
          <t>妈妈管学习，妈妈家委会</t>
        </is>
      </c>
      <c r="P33" s="339" t="inlineStr">
        <is>
          <t>95以上</t>
        </is>
      </c>
      <c r="Q33" s="339" t="n">
        <v>75</v>
      </c>
      <c r="R33" s="339" t="n"/>
      <c r="S33" s="339" t="n"/>
      <c r="T33" s="339" t="inlineStr">
        <is>
          <t>是</t>
        </is>
      </c>
      <c r="U33" s="339" t="inlineStr">
        <is>
          <t>是</t>
        </is>
      </c>
      <c r="V33" s="339" t="inlineStr">
        <is>
          <t>是</t>
        </is>
      </c>
      <c r="W33" s="339" t="inlineStr">
        <is>
          <t>是</t>
        </is>
      </c>
      <c r="X33" s="339" t="inlineStr">
        <is>
          <t>是</t>
        </is>
      </c>
      <c r="Y33" s="339" t="inlineStr">
        <is>
          <t>是</t>
        </is>
      </c>
      <c r="Z33" s="339" t="inlineStr">
        <is>
          <t>是</t>
        </is>
      </c>
      <c r="AA33" s="339" t="inlineStr">
        <is>
          <t>是</t>
        </is>
      </c>
      <c r="AB33" s="339" t="n"/>
      <c r="AC33" s="339" t="n"/>
      <c r="AD33" s="339" t="inlineStr">
        <is>
          <t>S</t>
        </is>
      </c>
      <c r="AE33" s="339" t="inlineStr">
        <is>
          <t>春季在读</t>
        </is>
      </c>
      <c r="AF33" s="339" t="n"/>
      <c r="AG33" s="339" t="n"/>
      <c r="AH33" s="339" t="inlineStr">
        <is>
          <t>是</t>
        </is>
      </c>
    </row>
    <row r="34" ht="26.25" customHeight="1" s="1053">
      <c r="A34" s="339" t="inlineStr">
        <is>
          <t>同创汇</t>
        </is>
      </c>
      <c r="B34" s="339" t="inlineStr">
        <is>
          <t>零期</t>
        </is>
      </c>
      <c r="C34" s="339" t="n">
        <v>3132897</v>
      </c>
      <c r="D34" s="339" t="inlineStr">
        <is>
          <t>10:20-12:30</t>
        </is>
      </c>
      <c r="E34" s="339" t="inlineStr">
        <is>
          <t>潜能班</t>
        </is>
      </c>
      <c r="F34" s="339" t="inlineStr">
        <is>
          <t>苏家颖</t>
        </is>
      </c>
      <c r="G34" s="339" t="inlineStr">
        <is>
          <t>陈中帅</t>
        </is>
      </c>
      <c r="H34" s="339" t="inlineStr">
        <is>
          <t>李润</t>
        </is>
      </c>
      <c r="I34" s="339" t="inlineStr">
        <is>
          <t>高心怡04</t>
        </is>
      </c>
      <c r="J34" s="339" t="inlineStr">
        <is>
          <t>林志豪01</t>
        </is>
      </c>
      <c r="K34" s="623" t="inlineStr">
        <is>
          <t>广州市海珠区
外国语实验中学
附属小学</t>
        </is>
      </c>
      <c r="L34" s="339" t="inlineStr">
        <is>
          <t>摇号等结果</t>
        </is>
      </c>
      <c r="M34" s="624" t="inlineStr">
        <is>
          <t>学习态度：比较认真
学习习惯：反应有点儿慢
性格：腼腆</t>
        </is>
      </c>
      <c r="N34" s="339" t="inlineStr">
        <is>
          <t>小初衔接</t>
        </is>
      </c>
      <c r="O34" s="339" t="inlineStr">
        <is>
          <t>妈妈管学习，卿子蕙转介绍</t>
        </is>
      </c>
      <c r="P34" s="339" t="inlineStr">
        <is>
          <t>85以上</t>
        </is>
      </c>
      <c r="Q34" s="339" t="n">
        <v>75</v>
      </c>
      <c r="R34" s="339" t="n"/>
      <c r="S34" s="339" t="n"/>
      <c r="T34" s="339" t="inlineStr">
        <is>
          <t>是</t>
        </is>
      </c>
      <c r="U34" s="339" t="inlineStr">
        <is>
          <t>是</t>
        </is>
      </c>
      <c r="V34" s="339" t="inlineStr">
        <is>
          <t>是</t>
        </is>
      </c>
      <c r="W34" s="339" t="inlineStr">
        <is>
          <t>是</t>
        </is>
      </c>
      <c r="X34" s="339" t="inlineStr">
        <is>
          <t>是</t>
        </is>
      </c>
      <c r="Y34" s="339" t="inlineStr">
        <is>
          <t>是</t>
        </is>
      </c>
      <c r="Z34" s="339" t="inlineStr">
        <is>
          <t>是</t>
        </is>
      </c>
      <c r="AA34" s="339" t="inlineStr">
        <is>
          <t>是</t>
        </is>
      </c>
      <c r="AB34" s="339" t="n"/>
      <c r="AC34" s="339" t="n"/>
      <c r="AD34" s="339" t="inlineStr">
        <is>
          <t>S</t>
        </is>
      </c>
      <c r="AE34" s="339" t="inlineStr">
        <is>
          <t>已报名秋季</t>
        </is>
      </c>
      <c r="AF34" s="339" t="n"/>
      <c r="AG34" s="339" t="n"/>
      <c r="AH34" s="339" t="inlineStr">
        <is>
          <t>是</t>
        </is>
      </c>
    </row>
    <row r="35" ht="26.25" customHeight="1" s="1053">
      <c r="A35" s="339" t="inlineStr">
        <is>
          <t>同创汇</t>
        </is>
      </c>
      <c r="B35" s="339" t="inlineStr">
        <is>
          <t>零期</t>
        </is>
      </c>
      <c r="C35" s="339" t="n">
        <v>3132897</v>
      </c>
      <c r="D35" s="339" t="inlineStr">
        <is>
          <t>10:20-12:30</t>
        </is>
      </c>
      <c r="E35" s="339" t="inlineStr">
        <is>
          <t>潜能班</t>
        </is>
      </c>
      <c r="F35" s="339" t="inlineStr">
        <is>
          <t>萌萌</t>
        </is>
      </c>
      <c r="G35" s="339" t="inlineStr">
        <is>
          <t>陈中帅</t>
        </is>
      </c>
      <c r="H35" s="339" t="inlineStr">
        <is>
          <t>李润</t>
        </is>
      </c>
      <c r="I35" s="339" t="inlineStr">
        <is>
          <t>高心怡04</t>
        </is>
      </c>
      <c r="J35" s="339" t="inlineStr">
        <is>
          <t>罗玉玲</t>
        </is>
      </c>
      <c r="K35" s="339" t="n"/>
      <c r="L35" s="339" t="inlineStr">
        <is>
          <t>二中</t>
        </is>
      </c>
      <c r="M35" s="625" t="inlineStr">
        <is>
          <t>学习态度：比较认真
学习习惯：字迹缭乱
性格：正常</t>
        </is>
      </c>
      <c r="N35" s="626" t="inlineStr">
        <is>
          <t>短期：分班考
长期：成绩进步</t>
        </is>
      </c>
      <c r="O35" s="339" t="inlineStr">
        <is>
          <t>妈妈管学习</t>
        </is>
      </c>
      <c r="P35" s="339" t="inlineStr">
        <is>
          <t>90以上</t>
        </is>
      </c>
      <c r="Q35" s="339" t="n">
        <v>70</v>
      </c>
      <c r="R35" s="339" t="n"/>
      <c r="S35" s="339" t="n"/>
      <c r="T35" s="339" t="inlineStr">
        <is>
          <t>是</t>
        </is>
      </c>
      <c r="U35" s="339" t="inlineStr">
        <is>
          <t>是</t>
        </is>
      </c>
      <c r="V35" s="339" t="inlineStr">
        <is>
          <t>是</t>
        </is>
      </c>
      <c r="W35" s="339" t="inlineStr">
        <is>
          <t>是</t>
        </is>
      </c>
      <c r="X35" s="339" t="inlineStr">
        <is>
          <t>是</t>
        </is>
      </c>
      <c r="Y35" s="339" t="inlineStr">
        <is>
          <t>是</t>
        </is>
      </c>
      <c r="Z35" s="339" t="inlineStr">
        <is>
          <t>是</t>
        </is>
      </c>
      <c r="AA35" s="339" t="n"/>
      <c r="AB35" s="339" t="n"/>
      <c r="AC35" s="339" t="n"/>
      <c r="AD35" s="339" t="inlineStr">
        <is>
          <t>S</t>
        </is>
      </c>
      <c r="AE35" s="339" t="inlineStr">
        <is>
          <t>已报名秋季</t>
        </is>
      </c>
      <c r="AF35" s="339" t="n"/>
      <c r="AG35" s="339" t="n"/>
      <c r="AH35" s="339" t="inlineStr">
        <is>
          <t>是</t>
        </is>
      </c>
    </row>
    <row r="36" ht="26.25" customHeight="1" s="1053">
      <c r="A36" s="339" t="inlineStr">
        <is>
          <t>同创汇</t>
        </is>
      </c>
      <c r="B36" s="339" t="inlineStr">
        <is>
          <t>零期</t>
        </is>
      </c>
      <c r="C36" s="339" t="n">
        <v>3132897</v>
      </c>
      <c r="D36" s="339" t="inlineStr">
        <is>
          <t>10:20-12:30</t>
        </is>
      </c>
      <c r="E36" s="339" t="inlineStr">
        <is>
          <t>潜能班</t>
        </is>
      </c>
      <c r="F36" s="339" t="inlineStr">
        <is>
          <t>董昔予</t>
        </is>
      </c>
      <c r="G36" s="339" t="inlineStr">
        <is>
          <t>陈中帅</t>
        </is>
      </c>
      <c r="H36" s="339" t="inlineStr">
        <is>
          <t>李润</t>
        </is>
      </c>
      <c r="I36" s="339" t="inlineStr">
        <is>
          <t>高心怡04</t>
        </is>
      </c>
      <c r="J36" s="339" t="inlineStr">
        <is>
          <t>戎凯01</t>
        </is>
      </c>
      <c r="K36" s="339" t="inlineStr">
        <is>
          <t>育才小学</t>
        </is>
      </c>
      <c r="L36" s="339" t="inlineStr">
        <is>
          <t>16中</t>
        </is>
      </c>
      <c r="M36" s="627" t="inlineStr">
        <is>
          <t>学习态度：比较认真
学习习惯：容易走神
性格：小跟班</t>
        </is>
      </c>
      <c r="N36" s="628" t="inlineStr">
        <is>
          <t>短期：分班考
长期：成绩进步</t>
        </is>
      </c>
      <c r="O36" s="629" t="inlineStr">
        <is>
          <t>妈妈管学习
余米诺转介绍</t>
        </is>
      </c>
      <c r="P36" s="339" t="inlineStr">
        <is>
          <t>90以上</t>
        </is>
      </c>
      <c r="Q36" s="339" t="n">
        <v>68</v>
      </c>
      <c r="R36" s="339" t="n"/>
      <c r="S36" s="339" t="n"/>
      <c r="T36" s="339" t="inlineStr">
        <is>
          <t>是</t>
        </is>
      </c>
      <c r="U36" s="339" t="inlineStr">
        <is>
          <t>是</t>
        </is>
      </c>
      <c r="V36" s="339" t="inlineStr">
        <is>
          <t>是</t>
        </is>
      </c>
      <c r="W36" s="339" t="inlineStr">
        <is>
          <t>是</t>
        </is>
      </c>
      <c r="X36" s="339" t="inlineStr">
        <is>
          <t>是</t>
        </is>
      </c>
      <c r="Y36" s="339" t="inlineStr">
        <is>
          <t>是</t>
        </is>
      </c>
      <c r="Z36" s="339" t="n"/>
      <c r="AA36" s="339" t="n"/>
      <c r="AB36" s="339" t="n"/>
      <c r="AC36" s="339" t="n"/>
      <c r="AD36" s="339" t="inlineStr">
        <is>
          <t>S</t>
        </is>
      </c>
      <c r="AE36" s="339" t="inlineStr">
        <is>
          <t>已报名秋季</t>
        </is>
      </c>
      <c r="AF36" s="339" t="n"/>
      <c r="AG36" s="339" t="n"/>
      <c r="AH36" s="339" t="inlineStr">
        <is>
          <t>是</t>
        </is>
      </c>
    </row>
    <row r="37" ht="26.25" customHeight="1" s="1053">
      <c r="A37" s="339" t="inlineStr">
        <is>
          <t>同创汇</t>
        </is>
      </c>
      <c r="B37" s="339" t="inlineStr">
        <is>
          <t>零期</t>
        </is>
      </c>
      <c r="C37" s="339" t="n">
        <v>3132897</v>
      </c>
      <c r="D37" s="339" t="inlineStr">
        <is>
          <t>10:20-12:30</t>
        </is>
      </c>
      <c r="E37" s="339" t="inlineStr">
        <is>
          <t>潜能班</t>
        </is>
      </c>
      <c r="F37" s="339" t="inlineStr">
        <is>
          <t>译译</t>
        </is>
      </c>
      <c r="G37" s="339" t="inlineStr">
        <is>
          <t>陈中帅</t>
        </is>
      </c>
      <c r="H37" s="339" t="inlineStr">
        <is>
          <t>李润</t>
        </is>
      </c>
      <c r="I37" s="339" t="inlineStr">
        <is>
          <t>高心怡04</t>
        </is>
      </c>
      <c r="J37" s="339" t="inlineStr">
        <is>
          <t>王丽</t>
        </is>
      </c>
      <c r="K37" s="339" t="inlineStr">
        <is>
          <t>水荫路小学</t>
        </is>
      </c>
      <c r="L37" s="339" t="n"/>
      <c r="M37" s="630" t="inlineStr">
        <is>
          <t>学习习惯：一般，比较差
性格：调皮</t>
        </is>
      </c>
      <c r="N37" s="339" t="inlineStr">
        <is>
          <t>衔接</t>
        </is>
      </c>
      <c r="O37" s="631" t="inlineStr">
        <is>
          <t>笔记字体潦草
三年级上过一个学期家附近的线下课
真名：译译（谢译毅）</t>
        </is>
      </c>
      <c r="P37" s="339" t="n">
        <v>64</v>
      </c>
      <c r="Q37" s="339" t="n"/>
      <c r="R37" s="339" t="n"/>
      <c r="S37" s="339" t="n"/>
      <c r="T37" s="339" t="inlineStr">
        <is>
          <t>是</t>
        </is>
      </c>
      <c r="U37" s="339" t="inlineStr">
        <is>
          <t>是</t>
        </is>
      </c>
      <c r="V37" s="339" t="inlineStr">
        <is>
          <t>是</t>
        </is>
      </c>
      <c r="W37" s="339" t="inlineStr">
        <is>
          <t>是</t>
        </is>
      </c>
      <c r="X37" s="339" t="inlineStr">
        <is>
          <t>否</t>
        </is>
      </c>
      <c r="Y37" s="339" t="inlineStr">
        <is>
          <t>是</t>
        </is>
      </c>
      <c r="Z37" s="339" t="inlineStr">
        <is>
          <t>是</t>
        </is>
      </c>
      <c r="AA37" s="339" t="n"/>
      <c r="AB37" s="339" t="n"/>
      <c r="AC37" s="339" t="n"/>
      <c r="AD37" s="339" t="inlineStr">
        <is>
          <t>B</t>
        </is>
      </c>
      <c r="AE37" s="632" t="inlineStr">
        <is>
          <t>家长回消息很及时
孩子程度比较差</t>
        </is>
      </c>
      <c r="AF37" s="339" t="n"/>
      <c r="AG37" s="339" t="n"/>
      <c r="AH37" s="339" t="n"/>
      <c r="AI37" s="421" t="inlineStr">
        <is>
          <t>是</t>
        </is>
      </c>
    </row>
    <row r="38" ht="26.25" customFormat="1" customHeight="1" s="328">
      <c r="A38" s="339" t="inlineStr">
        <is>
          <t>天成大厦</t>
        </is>
      </c>
      <c r="B38" s="339" t="inlineStr">
        <is>
          <t>零期</t>
        </is>
      </c>
      <c r="C38" s="339" t="n">
        <v>3132897</v>
      </c>
      <c r="D38" s="339" t="inlineStr">
        <is>
          <t>10:20-12:30</t>
        </is>
      </c>
      <c r="E38" s="339" t="inlineStr">
        <is>
          <t>潜能班</t>
        </is>
      </c>
      <c r="F38" s="339" t="inlineStr">
        <is>
          <t>郭蕴文</t>
        </is>
      </c>
      <c r="G38" s="339" t="inlineStr">
        <is>
          <t>陈中帅</t>
        </is>
      </c>
      <c r="H38" s="339" t="inlineStr">
        <is>
          <t>黄铭怡</t>
        </is>
      </c>
      <c r="I38" s="339" t="inlineStr">
        <is>
          <t>刘希子</t>
        </is>
      </c>
      <c r="J38" s="339" t="inlineStr">
        <is>
          <t>沈思浩</t>
        </is>
      </c>
      <c r="K38" s="339" t="inlineStr">
        <is>
          <t>龙口西小学</t>
        </is>
      </c>
      <c r="L38" s="339" t="inlineStr">
        <is>
          <t>直升广州中学</t>
        </is>
      </c>
      <c r="M38" s="633" t="inlineStr">
        <is>
          <t>学习态度：督促完成作业，会迟到，不抗拒
学习习惯：做题习惯一般，喜欢跳步
性格：有点儿癫</t>
        </is>
      </c>
      <c r="N38" s="339" t="inlineStr">
        <is>
          <t>小初衔接</t>
        </is>
      </c>
      <c r="O38" s="339" t="inlineStr">
        <is>
          <t>妈妈管学习，有点儿事多</t>
        </is>
      </c>
      <c r="P38" s="339" t="inlineStr">
        <is>
          <t>85以上</t>
        </is>
      </c>
      <c r="Q38" s="339" t="n">
        <v>70</v>
      </c>
      <c r="R38" s="339" t="n"/>
      <c r="S38" s="339" t="n"/>
      <c r="T38" s="339" t="inlineStr">
        <is>
          <t>是</t>
        </is>
      </c>
      <c r="U38" s="339" t="inlineStr">
        <is>
          <t>是</t>
        </is>
      </c>
      <c r="V38" s="339" t="inlineStr">
        <is>
          <t>是</t>
        </is>
      </c>
      <c r="W38" s="339" t="inlineStr">
        <is>
          <t>是</t>
        </is>
      </c>
      <c r="X38" s="339" t="inlineStr">
        <is>
          <t>是</t>
        </is>
      </c>
      <c r="Y38" s="339" t="inlineStr">
        <is>
          <t>是</t>
        </is>
      </c>
      <c r="Z38" s="339" t="n"/>
      <c r="AA38" s="339" t="n"/>
      <c r="AB38" s="339" t="n"/>
      <c r="AC38" s="339" t="n"/>
      <c r="AD38" s="339" t="inlineStr">
        <is>
          <t>S</t>
        </is>
      </c>
      <c r="AE38" s="339" t="inlineStr">
        <is>
          <t>春季在读</t>
        </is>
      </c>
      <c r="AF38" s="339" t="n"/>
      <c r="AG38" s="339" t="n"/>
      <c r="AH38" s="339" t="inlineStr">
        <is>
          <t>是</t>
        </is>
      </c>
      <c r="AI38" s="421" t="n"/>
      <c r="AJ38" s="34" t="n"/>
      <c r="AK38" s="34" t="n"/>
      <c r="AL38" s="34" t="n"/>
      <c r="AM38" s="34" t="n"/>
    </row>
    <row r="39" ht="26.25" customHeight="1" s="1053">
      <c r="A39" s="339" t="inlineStr">
        <is>
          <t>同创汇</t>
        </is>
      </c>
      <c r="B39" s="339" t="inlineStr">
        <is>
          <t>零期</t>
        </is>
      </c>
      <c r="C39" s="339" t="n">
        <v>3132897</v>
      </c>
      <c r="D39" s="339" t="inlineStr">
        <is>
          <t>10:20-12:30</t>
        </is>
      </c>
      <c r="E39" s="339" t="inlineStr">
        <is>
          <t>潜能班</t>
        </is>
      </c>
      <c r="F39" s="445" t="inlineStr">
        <is>
          <t>雷斐然</t>
        </is>
      </c>
      <c r="G39" s="339" t="inlineStr">
        <is>
          <t>陈中帅</t>
        </is>
      </c>
      <c r="H39" s="339" t="inlineStr">
        <is>
          <t>李润</t>
        </is>
      </c>
      <c r="I39" s="339" t="inlineStr">
        <is>
          <t>高心怡04</t>
        </is>
      </c>
      <c r="J39" s="339" t="inlineStr">
        <is>
          <t>苏丽婷</t>
        </is>
      </c>
      <c r="K39" s="339" t="n"/>
      <c r="L39" s="339" t="inlineStr">
        <is>
          <t>40中</t>
        </is>
      </c>
      <c r="M39" s="339" t="n"/>
      <c r="N39" s="339" t="n"/>
      <c r="O39" s="339" t="n"/>
      <c r="P39" s="339" t="n"/>
      <c r="Q39" s="339" t="n">
        <v>60</v>
      </c>
      <c r="R39" s="339" t="n"/>
      <c r="S39" s="339" t="n"/>
      <c r="T39" s="339" t="inlineStr">
        <is>
          <t>是</t>
        </is>
      </c>
      <c r="U39" s="339" t="inlineStr">
        <is>
          <t>是</t>
        </is>
      </c>
      <c r="V39" s="339" t="inlineStr">
        <is>
          <t>是</t>
        </is>
      </c>
      <c r="W39" s="339" t="inlineStr">
        <is>
          <t>是</t>
        </is>
      </c>
      <c r="X39" s="339" t="inlineStr">
        <is>
          <t>是</t>
        </is>
      </c>
      <c r="Y39" s="339" t="inlineStr">
        <is>
          <t>否</t>
        </is>
      </c>
      <c r="Z39" s="339" t="inlineStr">
        <is>
          <t>是</t>
        </is>
      </c>
      <c r="AA39" s="339" t="inlineStr">
        <is>
          <t>是</t>
        </is>
      </c>
      <c r="AB39" s="339" t="n"/>
      <c r="AC39" s="339" t="n"/>
      <c r="AD39" s="339" t="n"/>
      <c r="AE39" s="339" t="n"/>
      <c r="AF39" s="339" t="n"/>
      <c r="AG39" s="339" t="n"/>
      <c r="AH39" s="339" t="n"/>
      <c r="AI39" s="421" t="inlineStr">
        <is>
          <t>否</t>
        </is>
      </c>
    </row>
    <row r="40" ht="26.25" customFormat="1" customHeight="1" s="328">
      <c r="A40" s="339" t="inlineStr">
        <is>
          <t>同创汇</t>
        </is>
      </c>
      <c r="B40" s="339" t="inlineStr">
        <is>
          <t>零期</t>
        </is>
      </c>
      <c r="C40" s="339" t="n">
        <v>3132897</v>
      </c>
      <c r="D40" s="339" t="inlineStr">
        <is>
          <t>10:20-12:30</t>
        </is>
      </c>
      <c r="E40" s="339" t="inlineStr">
        <is>
          <t>潜能班</t>
        </is>
      </c>
      <c r="F40" s="339" t="inlineStr">
        <is>
          <t>黄佩仪</t>
        </is>
      </c>
      <c r="G40" s="339" t="inlineStr">
        <is>
          <t>陈中帅</t>
        </is>
      </c>
      <c r="H40" s="339" t="n"/>
      <c r="I40" s="339" t="inlineStr">
        <is>
          <t>高心怡04</t>
        </is>
      </c>
      <c r="J40" s="339" t="inlineStr">
        <is>
          <t>戎凯01</t>
        </is>
      </c>
      <c r="K40" s="339" t="inlineStr">
        <is>
          <t>中星小学</t>
        </is>
      </c>
      <c r="L40" s="339" t="inlineStr">
        <is>
          <t>17中</t>
        </is>
      </c>
      <c r="M40" s="634" t="inlineStr">
        <is>
          <t>学习态度：不抗拒，按时完成作业
学习习惯：字迹潦草
性格：有点儿癫</t>
        </is>
      </c>
      <c r="N40" s="635" t="inlineStr">
        <is>
          <t>短期：分班考
长期：成绩进步</t>
        </is>
      </c>
      <c r="O40" s="339" t="inlineStr">
        <is>
          <t>爸爸中星小学计算机老师，负责平时的数学</t>
        </is>
      </c>
      <c r="P40" s="339" t="inlineStr">
        <is>
          <t>90以上</t>
        </is>
      </c>
      <c r="Q40" s="339" t="n">
        <v>59</v>
      </c>
      <c r="R40" s="339" t="n"/>
      <c r="S40" s="339" t="n"/>
      <c r="T40" s="339" t="inlineStr">
        <is>
          <t>是</t>
        </is>
      </c>
      <c r="U40" s="339" t="inlineStr">
        <is>
          <t>是</t>
        </is>
      </c>
      <c r="V40" s="339" t="inlineStr">
        <is>
          <t>是</t>
        </is>
      </c>
      <c r="W40" s="339" t="inlineStr">
        <is>
          <t>是</t>
        </is>
      </c>
      <c r="X40" s="339" t="inlineStr">
        <is>
          <t>是</t>
        </is>
      </c>
      <c r="Y40" s="339" t="inlineStr">
        <is>
          <t>是</t>
        </is>
      </c>
      <c r="Z40" s="339" t="inlineStr">
        <is>
          <t>是</t>
        </is>
      </c>
      <c r="AA40" s="339" t="inlineStr">
        <is>
          <t>是</t>
        </is>
      </c>
      <c r="AB40" s="339" t="n"/>
      <c r="AC40" s="339" t="n"/>
      <c r="AD40" s="339" t="inlineStr">
        <is>
          <t>S</t>
        </is>
      </c>
      <c r="AE40" s="339" t="inlineStr">
        <is>
          <t>春季在读</t>
        </is>
      </c>
      <c r="AF40" s="339" t="n"/>
      <c r="AG40" s="339" t="n"/>
      <c r="AH40" s="339" t="inlineStr">
        <is>
          <t>是</t>
        </is>
      </c>
      <c r="AI40" s="421" t="n"/>
      <c r="AJ40" s="34" t="n"/>
      <c r="AK40" s="34" t="n"/>
      <c r="AL40" s="34" t="n"/>
      <c r="AM40" s="34" t="n"/>
    </row>
    <row r="41" ht="26.25" customHeight="1" s="1053">
      <c r="A41" s="339" t="inlineStr">
        <is>
          <t>同创汇</t>
        </is>
      </c>
      <c r="B41" s="339" t="inlineStr">
        <is>
          <t>零期</t>
        </is>
      </c>
      <c r="C41" s="339" t="n">
        <v>3132897</v>
      </c>
      <c r="D41" s="339" t="inlineStr">
        <is>
          <t>10:20-12:30</t>
        </is>
      </c>
      <c r="E41" s="339" t="inlineStr">
        <is>
          <t>潜能班</t>
        </is>
      </c>
      <c r="F41" s="339" t="inlineStr">
        <is>
          <t>黄泓宇</t>
        </is>
      </c>
      <c r="G41" s="339" t="inlineStr">
        <is>
          <t>陈中帅</t>
        </is>
      </c>
      <c r="H41" s="339" t="inlineStr">
        <is>
          <t>李润</t>
        </is>
      </c>
      <c r="I41" s="339" t="inlineStr">
        <is>
          <t>高心怡04</t>
        </is>
      </c>
      <c r="J41" s="339" t="inlineStr">
        <is>
          <t>王丽</t>
        </is>
      </c>
      <c r="K41" s="339" t="inlineStr">
        <is>
          <t>铁一小学</t>
        </is>
      </c>
      <c r="L41" s="339" t="inlineStr">
        <is>
          <t>名德中学</t>
        </is>
      </c>
      <c r="M41" s="636" t="inlineStr">
        <is>
          <t>学习态度：非常认真
性格：稳定</t>
        </is>
      </c>
      <c r="N41" s="339" t="n"/>
      <c r="O41" s="339" t="inlineStr">
        <is>
          <t>妈妈管学习</t>
        </is>
      </c>
      <c r="P41" s="339" t="inlineStr">
        <is>
          <t>90以上</t>
        </is>
      </c>
      <c r="Q41" s="339" t="n"/>
      <c r="R41" s="339" t="n"/>
      <c r="S41" s="339" t="n"/>
      <c r="T41" s="339" t="inlineStr">
        <is>
          <t>是</t>
        </is>
      </c>
      <c r="U41" s="339" t="inlineStr">
        <is>
          <t>是</t>
        </is>
      </c>
      <c r="V41" s="339" t="inlineStr">
        <is>
          <t>是</t>
        </is>
      </c>
      <c r="W41" s="339" t="inlineStr">
        <is>
          <t>是</t>
        </is>
      </c>
      <c r="X41" s="339" t="inlineStr">
        <is>
          <t>否</t>
        </is>
      </c>
      <c r="Y41" s="339" t="inlineStr">
        <is>
          <t>是</t>
        </is>
      </c>
      <c r="Z41" s="339" t="inlineStr">
        <is>
          <t>是</t>
        </is>
      </c>
      <c r="AA41" s="339" t="inlineStr">
        <is>
          <t>是</t>
        </is>
      </c>
      <c r="AB41" s="339" t="n"/>
      <c r="AC41" s="339" t="n"/>
      <c r="AD41" s="339" t="n"/>
      <c r="AE41" s="339" t="n"/>
      <c r="AF41" s="339" t="n"/>
      <c r="AG41" s="339" t="n"/>
      <c r="AH41" s="339" t="n"/>
      <c r="AI41" s="421" t="inlineStr">
        <is>
          <t>否</t>
        </is>
      </c>
    </row>
    <row r="42" ht="26.25" customHeight="1" s="1053">
      <c r="A42" s="339" t="inlineStr">
        <is>
          <t>同创汇</t>
        </is>
      </c>
      <c r="B42" s="339" t="inlineStr">
        <is>
          <t>零期</t>
        </is>
      </c>
      <c r="C42" s="339" t="n">
        <v>3132897</v>
      </c>
      <c r="D42" s="339" t="inlineStr">
        <is>
          <t>10:20-12:30</t>
        </is>
      </c>
      <c r="E42" s="339" t="inlineStr">
        <is>
          <t>潜能班</t>
        </is>
      </c>
      <c r="F42" s="339" t="inlineStr">
        <is>
          <t>廖宇轩</t>
        </is>
      </c>
      <c r="G42" s="339" t="inlineStr">
        <is>
          <t>陈中帅</t>
        </is>
      </c>
      <c r="H42" s="339" t="inlineStr">
        <is>
          <t>李润</t>
        </is>
      </c>
      <c r="I42" s="339" t="inlineStr">
        <is>
          <t>高心怡04</t>
        </is>
      </c>
      <c r="J42" s="339" t="inlineStr">
        <is>
          <t>戎凯01</t>
        </is>
      </c>
      <c r="K42" s="339" t="n"/>
      <c r="L42" s="339" t="n"/>
      <c r="M42" s="339" t="n"/>
      <c r="N42" s="339" t="n"/>
      <c r="O42" s="637" t="inlineStr">
        <is>
          <t>妈妈管学习
张权转介绍</t>
        </is>
      </c>
      <c r="P42" s="339" t="inlineStr">
        <is>
          <t>90以上</t>
        </is>
      </c>
      <c r="Q42" s="339" t="n"/>
      <c r="R42" s="339" t="n"/>
      <c r="S42" s="339" t="n"/>
      <c r="T42" s="339" t="inlineStr">
        <is>
          <t>是</t>
        </is>
      </c>
      <c r="U42" s="339" t="n"/>
      <c r="V42" s="339" t="inlineStr">
        <is>
          <t>是</t>
        </is>
      </c>
      <c r="W42" s="339" t="inlineStr">
        <is>
          <t>是</t>
        </is>
      </c>
      <c r="X42" s="339" t="inlineStr">
        <is>
          <t>否</t>
        </is>
      </c>
      <c r="Y42" s="339" t="inlineStr">
        <is>
          <t>否</t>
        </is>
      </c>
      <c r="Z42" s="339" t="inlineStr">
        <is>
          <t>否</t>
        </is>
      </c>
      <c r="AA42" s="339" t="n"/>
      <c r="AB42" s="339" t="n"/>
      <c r="AC42" s="339" t="n"/>
      <c r="AD42" s="339" t="inlineStr">
        <is>
          <t>A</t>
        </is>
      </c>
      <c r="AE42" s="638" t="inlineStr">
        <is>
          <t>老生转介绍
很主动，支付能力ok</t>
        </is>
      </c>
      <c r="AF42" s="339" t="n"/>
      <c r="AG42" s="339" t="n"/>
      <c r="AH42" s="339" t="n"/>
      <c r="AI42" s="421" t="inlineStr">
        <is>
          <t>是</t>
        </is>
      </c>
    </row>
    <row r="43" ht="26.25" customHeight="1" s="1053">
      <c r="A43" s="339" t="inlineStr">
        <is>
          <t>新宝利</t>
        </is>
      </c>
      <c r="B43" s="339" t="inlineStr">
        <is>
          <t>三期</t>
        </is>
      </c>
      <c r="C43" s="339" t="n">
        <v>3132902</v>
      </c>
      <c r="D43" s="339" t="inlineStr">
        <is>
          <t>13:20-15:30</t>
        </is>
      </c>
      <c r="E43" s="339" t="inlineStr">
        <is>
          <t>潜能班</t>
        </is>
      </c>
      <c r="F43" s="339" t="inlineStr">
        <is>
          <t>任熙旋</t>
        </is>
      </c>
      <c r="G43" s="339" t="inlineStr">
        <is>
          <t>陈中帅</t>
        </is>
      </c>
      <c r="H43" s="339" t="inlineStr">
        <is>
          <t>陈南05</t>
        </is>
      </c>
      <c r="I43" s="339" t="inlineStr">
        <is>
          <t>肖锐03</t>
        </is>
      </c>
      <c r="J43" s="339" t="inlineStr">
        <is>
          <t>张敏烨</t>
        </is>
      </c>
      <c r="K43" s="339" t="n"/>
      <c r="L43" s="339" t="n"/>
      <c r="M43" s="339" t="n"/>
      <c r="N43" s="339" t="n"/>
      <c r="O43" s="339" t="n"/>
      <c r="P43" s="339" t="n"/>
      <c r="Q43" s="339" t="n">
        <v>61</v>
      </c>
      <c r="R43" s="339" t="n"/>
      <c r="S43" s="339" t="n"/>
      <c r="T43" s="339" t="inlineStr">
        <is>
          <t>是</t>
        </is>
      </c>
      <c r="U43" s="339" t="n"/>
      <c r="V43" s="339" t="n"/>
      <c r="W43" s="339" t="n"/>
      <c r="X43" s="339" t="n"/>
      <c r="Y43" s="339" t="n"/>
      <c r="Z43" s="339" t="n"/>
      <c r="AA43" s="339" t="n"/>
      <c r="AB43" s="339" t="n"/>
      <c r="AC43" s="339" t="n"/>
      <c r="AD43" s="339" t="n"/>
      <c r="AE43" s="339" t="n"/>
      <c r="AF43" s="339" t="n"/>
      <c r="AG43" s="339" t="n"/>
      <c r="AH43" s="339" t="n"/>
      <c r="AI43" s="359" t="n"/>
      <c r="AJ43" s="359" t="n"/>
      <c r="AK43" s="359" t="n"/>
      <c r="AL43" s="359" t="n"/>
      <c r="AM43" s="359" t="n"/>
    </row>
    <row r="44" ht="26.25" customFormat="1" customHeight="1" s="329">
      <c r="A44" s="339" t="inlineStr">
        <is>
          <t>新宝利</t>
        </is>
      </c>
      <c r="B44" s="339" t="inlineStr">
        <is>
          <t>三期</t>
        </is>
      </c>
      <c r="C44" s="339" t="n">
        <v>3132902</v>
      </c>
      <c r="D44" s="339" t="inlineStr">
        <is>
          <t>13:20-15:30</t>
        </is>
      </c>
      <c r="E44" s="339" t="inlineStr">
        <is>
          <t>潜能班</t>
        </is>
      </c>
      <c r="F44" s="339" t="inlineStr">
        <is>
          <t>倪嘉儿</t>
        </is>
      </c>
      <c r="G44" s="339" t="inlineStr">
        <is>
          <t>陈中帅</t>
        </is>
      </c>
      <c r="H44" s="339" t="inlineStr">
        <is>
          <t>陈南05</t>
        </is>
      </c>
      <c r="I44" s="339" t="inlineStr">
        <is>
          <t>肖锐03</t>
        </is>
      </c>
      <c r="J44" s="339" t="inlineStr">
        <is>
          <t>王丽</t>
        </is>
      </c>
      <c r="K44" s="339" t="n"/>
      <c r="L44" s="339" t="n"/>
      <c r="M44" s="339" t="n"/>
      <c r="N44" s="339" t="n"/>
      <c r="O44" s="339" t="n"/>
      <c r="P44" s="339" t="n">
        <v>72</v>
      </c>
      <c r="Q44" s="339" t="n"/>
      <c r="R44" s="339" t="n"/>
      <c r="S44" s="339" t="n"/>
      <c r="T44" s="339" t="inlineStr">
        <is>
          <t>是</t>
        </is>
      </c>
      <c r="U44" s="339" t="n"/>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三期</t>
        </is>
      </c>
      <c r="C45" s="339" t="n">
        <v>3132902</v>
      </c>
      <c r="D45" s="339" t="inlineStr">
        <is>
          <t>13:20-15:30</t>
        </is>
      </c>
      <c r="E45" s="339" t="inlineStr">
        <is>
          <t>潜能班</t>
        </is>
      </c>
      <c r="F45" s="339" t="inlineStr">
        <is>
          <t>关雅致</t>
        </is>
      </c>
      <c r="G45" s="339" t="inlineStr">
        <is>
          <t>陈中帅</t>
        </is>
      </c>
      <c r="H45" s="339" t="inlineStr">
        <is>
          <t>黄铭怡</t>
        </is>
      </c>
      <c r="I45" s="339" t="inlineStr">
        <is>
          <t>高心怡04</t>
        </is>
      </c>
      <c r="J45" s="339" t="inlineStr">
        <is>
          <t>张敏烨</t>
        </is>
      </c>
      <c r="K45" s="339" t="n"/>
      <c r="L45" s="339" t="n"/>
      <c r="M45" s="339" t="n"/>
      <c r="N45" s="339" t="n"/>
      <c r="O45" s="339" t="n"/>
      <c r="P45" s="339" t="n"/>
      <c r="Q45" s="339" t="n">
        <v>43</v>
      </c>
      <c r="R45" s="339" t="n"/>
      <c r="S45" s="339" t="n"/>
      <c r="T45" s="339" t="inlineStr">
        <is>
          <t>是</t>
        </is>
      </c>
      <c r="U45" s="339" t="n"/>
      <c r="V45" s="339" t="n"/>
      <c r="W45" s="339" t="n"/>
      <c r="X45" s="339" t="n"/>
      <c r="Y45" s="339" t="n"/>
      <c r="Z45" s="339" t="n"/>
      <c r="AA45" s="339" t="n"/>
      <c r="AB45" s="339" t="n"/>
      <c r="AC45" s="339" t="n"/>
      <c r="AD45" s="339" t="n"/>
      <c r="AE45" s="339" t="n"/>
      <c r="AF45" s="339" t="n"/>
      <c r="AG45" s="339" t="n"/>
      <c r="AH45" s="339" t="n"/>
      <c r="AI45" s="359" t="n"/>
      <c r="AJ45" s="359" t="n"/>
      <c r="AK45" s="359" t="n"/>
      <c r="AL45" s="359" t="n"/>
      <c r="AM45" s="359" t="n"/>
    </row>
    <row r="46" ht="26.25" customHeight="1" s="1053">
      <c r="A46" s="339" t="inlineStr">
        <is>
          <t>新宝利</t>
        </is>
      </c>
      <c r="B46" s="339" t="inlineStr">
        <is>
          <t>三期</t>
        </is>
      </c>
      <c r="C46" s="339" t="n">
        <v>3132902</v>
      </c>
      <c r="D46" s="339" t="inlineStr">
        <is>
          <t>13:20-15:30</t>
        </is>
      </c>
      <c r="E46" s="339" t="inlineStr">
        <is>
          <t>潜能班</t>
        </is>
      </c>
      <c r="F46" s="339" t="inlineStr">
        <is>
          <t>刘梦可</t>
        </is>
      </c>
      <c r="G46" s="339" t="inlineStr">
        <is>
          <t>陈中帅</t>
        </is>
      </c>
      <c r="H46" s="339" t="inlineStr">
        <is>
          <t>陈南05</t>
        </is>
      </c>
      <c r="I46" s="339" t="inlineStr">
        <is>
          <t>肖锐03</t>
        </is>
      </c>
      <c r="J46" s="339" t="inlineStr">
        <is>
          <t>张敏烨</t>
        </is>
      </c>
      <c r="K46" s="339" t="n"/>
      <c r="L46" s="339" t="n"/>
      <c r="M46" s="339" t="n"/>
      <c r="N46" s="339" t="n"/>
      <c r="O46" s="339" t="n"/>
      <c r="P46" s="339" t="n"/>
      <c r="Q46" s="339" t="n">
        <v>70</v>
      </c>
      <c r="R46" s="339" t="n"/>
      <c r="S46" s="339" t="n"/>
      <c r="T46" s="339" t="inlineStr">
        <is>
          <t>是</t>
        </is>
      </c>
      <c r="U46" s="339" t="n"/>
      <c r="V46" s="339" t="n"/>
      <c r="W46" s="339" t="n"/>
      <c r="X46" s="339" t="n"/>
      <c r="Y46" s="339" t="n"/>
      <c r="Z46" s="339" t="n"/>
      <c r="AA46" s="339" t="n"/>
      <c r="AB46" s="339" t="n"/>
      <c r="AC46" s="339" t="n"/>
      <c r="AD46" s="339" t="n"/>
      <c r="AE46" s="339" t="n"/>
      <c r="AF46" s="339" t="n"/>
      <c r="AG46" s="339" t="n"/>
      <c r="AH46" s="339" t="n"/>
      <c r="AI46" s="359" t="n"/>
      <c r="AJ46" s="359" t="n"/>
      <c r="AK46" s="359" t="n"/>
      <c r="AL46" s="359" t="n"/>
      <c r="AM46" s="359" t="n"/>
    </row>
    <row r="47" ht="26.25" customHeight="1" s="1053">
      <c r="A47" s="339" t="inlineStr">
        <is>
          <t>新宝利</t>
        </is>
      </c>
      <c r="B47" s="339" t="inlineStr">
        <is>
          <t>三期</t>
        </is>
      </c>
      <c r="C47" s="339" t="n">
        <v>3132902</v>
      </c>
      <c r="D47" s="339" t="inlineStr">
        <is>
          <t>13:20-15:30</t>
        </is>
      </c>
      <c r="E47" s="339" t="inlineStr">
        <is>
          <t>潜能班</t>
        </is>
      </c>
      <c r="F47" s="339" t="inlineStr">
        <is>
          <t>千惠</t>
        </is>
      </c>
      <c r="G47" s="339" t="inlineStr">
        <is>
          <t>陈中帅</t>
        </is>
      </c>
      <c r="H47" s="339" t="inlineStr">
        <is>
          <t>陈南05</t>
        </is>
      </c>
      <c r="I47" s="339" t="inlineStr">
        <is>
          <t>肖锐03</t>
        </is>
      </c>
      <c r="J47" s="339" t="inlineStr">
        <is>
          <t>张敏烨</t>
        </is>
      </c>
      <c r="K47" s="339" t="n"/>
      <c r="L47" s="339" t="n"/>
      <c r="M47" s="339" t="n"/>
      <c r="N47" s="339" t="n"/>
      <c r="O47" s="339" t="n"/>
      <c r="P47" s="339" t="n"/>
      <c r="Q47" s="339" t="n">
        <v>60</v>
      </c>
      <c r="R47" s="339" t="n"/>
      <c r="S47" s="339" t="n"/>
      <c r="T47" s="339" t="inlineStr">
        <is>
          <t>是</t>
        </is>
      </c>
      <c r="U47" s="339" t="n"/>
      <c r="V47" s="339" t="n"/>
      <c r="W47" s="339" t="n"/>
      <c r="X47" s="339" t="n"/>
      <c r="Y47" s="339" t="n"/>
      <c r="Z47" s="339" t="n"/>
      <c r="AA47" s="339" t="n"/>
      <c r="AB47" s="339" t="n"/>
      <c r="AC47" s="339" t="n"/>
      <c r="AD47" s="339" t="n"/>
      <c r="AE47" s="339" t="n"/>
      <c r="AF47" s="339" t="n"/>
      <c r="AG47" s="339" t="n"/>
      <c r="AH47" s="339" t="n"/>
      <c r="AI47" s="359" t="n"/>
      <c r="AJ47" s="359" t="n"/>
      <c r="AK47" s="359" t="n"/>
      <c r="AL47" s="359" t="n"/>
      <c r="AM47" s="359" t="n"/>
    </row>
    <row r="48" ht="26.25" customHeight="1" s="1053">
      <c r="A48" s="339" t="inlineStr">
        <is>
          <t>新宝利</t>
        </is>
      </c>
      <c r="B48" s="339" t="inlineStr">
        <is>
          <t>三期</t>
        </is>
      </c>
      <c r="C48" s="339" t="n">
        <v>3132902</v>
      </c>
      <c r="D48" s="339" t="inlineStr">
        <is>
          <t>13:20-15:30</t>
        </is>
      </c>
      <c r="E48" s="339" t="inlineStr">
        <is>
          <t>潜能班</t>
        </is>
      </c>
      <c r="F48" s="339" t="inlineStr">
        <is>
          <t>叶羽宸</t>
        </is>
      </c>
      <c r="G48" s="339" t="inlineStr">
        <is>
          <t>陈中帅</t>
        </is>
      </c>
      <c r="H48" s="339" t="inlineStr">
        <is>
          <t>陈南05</t>
        </is>
      </c>
      <c r="I48" s="339" t="inlineStr">
        <is>
          <t>肖锐03</t>
        </is>
      </c>
      <c r="J48" s="339" t="inlineStr">
        <is>
          <t>杨林33</t>
        </is>
      </c>
      <c r="K48" s="339" t="n"/>
      <c r="L48" s="339" t="n"/>
      <c r="M48" s="339" t="n"/>
      <c r="N48" s="339" t="n"/>
      <c r="O48" s="339" t="inlineStr">
        <is>
          <t>成绩极差，曾被劝退。且现场中帅有告知明确不收</t>
        </is>
      </c>
      <c r="P48" s="339" t="n"/>
      <c r="Q48" s="339" t="n">
        <v>40</v>
      </c>
      <c r="R48" s="339" t="n"/>
      <c r="S48" s="339" t="n"/>
      <c r="T48" s="339" t="inlineStr">
        <is>
          <t>是</t>
        </is>
      </c>
      <c r="U48" s="339" t="n"/>
      <c r="V48" s="339" t="n"/>
      <c r="W48" s="339" t="n"/>
      <c r="X48" s="339" t="n"/>
      <c r="Y48" s="339" t="n"/>
      <c r="Z48" s="339" t="n"/>
      <c r="AA48" s="339" t="n"/>
      <c r="AB48" s="339" t="n"/>
      <c r="AC48" s="339" t="n"/>
      <c r="AD48" s="339" t="n"/>
      <c r="AE48" s="339" t="n"/>
      <c r="AF48" s="339" t="n"/>
      <c r="AG48" s="339" t="n"/>
      <c r="AH48" s="339" t="n"/>
      <c r="AI48" s="359" t="n"/>
      <c r="AJ48" s="359" t="n"/>
      <c r="AK48" s="359" t="n"/>
      <c r="AL48" s="359" t="n"/>
      <c r="AM48" s="359" t="n"/>
    </row>
    <row r="49" ht="26.25" customHeight="1" s="1053">
      <c r="A49" s="339" t="inlineStr">
        <is>
          <t>新宝利</t>
        </is>
      </c>
      <c r="B49" s="339" t="inlineStr">
        <is>
          <t>三期</t>
        </is>
      </c>
      <c r="C49" s="339" t="n">
        <v>3132902</v>
      </c>
      <c r="D49" s="339" t="inlineStr">
        <is>
          <t>13:20-15:30</t>
        </is>
      </c>
      <c r="E49" s="339" t="inlineStr">
        <is>
          <t>潜能班</t>
        </is>
      </c>
      <c r="F49" s="339" t="inlineStr">
        <is>
          <t>圣鑫</t>
        </is>
      </c>
      <c r="G49" s="339" t="inlineStr">
        <is>
          <t>陈中帅</t>
        </is>
      </c>
      <c r="H49" s="339" t="inlineStr">
        <is>
          <t>陈南05</t>
        </is>
      </c>
      <c r="I49" s="339" t="inlineStr">
        <is>
          <t>肖锐03</t>
        </is>
      </c>
      <c r="J49" s="339" t="inlineStr">
        <is>
          <t>林志豪01</t>
        </is>
      </c>
      <c r="K49" s="339" t="n"/>
      <c r="L49" s="339" t="n"/>
      <c r="M49" s="339" t="n"/>
      <c r="N49" s="339" t="inlineStr">
        <is>
          <t>薅羊毛</t>
        </is>
      </c>
      <c r="O49" s="339" t="inlineStr">
        <is>
          <t>换手机号、换UID报名，原名梁圣鑫。成绩奇差，自然流失。</t>
        </is>
      </c>
      <c r="P49" s="339" t="n"/>
      <c r="Q49" s="339" t="n">
        <v>19</v>
      </c>
      <c r="R49" s="339" t="n"/>
      <c r="S49" s="339" t="n"/>
      <c r="T49" s="339" t="inlineStr">
        <is>
          <t>是</t>
        </is>
      </c>
      <c r="U49" s="339" t="n"/>
      <c r="V49" s="339" t="n"/>
      <c r="W49" s="339" t="n"/>
      <c r="X49" s="339" t="n"/>
      <c r="Y49" s="339" t="n"/>
      <c r="Z49" s="339" t="n"/>
      <c r="AA49" s="339" t="n"/>
      <c r="AB49" s="339" t="n"/>
      <c r="AC49" s="339" t="n"/>
      <c r="AD49" s="339" t="n"/>
      <c r="AE49" s="339" t="n"/>
      <c r="AF49" s="339" t="n"/>
      <c r="AG49" s="339" t="n"/>
      <c r="AH49" s="339" t="n"/>
      <c r="AI49" s="359" t="n"/>
      <c r="AJ49" s="359" t="n"/>
      <c r="AK49" s="359" t="n"/>
      <c r="AL49" s="359" t="n"/>
      <c r="AM49" s="359" t="n"/>
    </row>
    <row r="50" ht="26.25" customHeight="1" s="1053">
      <c r="A50" s="339" t="inlineStr">
        <is>
          <t>新宝利</t>
        </is>
      </c>
      <c r="B50" s="339" t="inlineStr">
        <is>
          <t>三期</t>
        </is>
      </c>
      <c r="C50" s="339" t="n">
        <v>3132902</v>
      </c>
      <c r="D50" s="339" t="inlineStr">
        <is>
          <t>13:20-15:30</t>
        </is>
      </c>
      <c r="E50" s="339" t="inlineStr">
        <is>
          <t>潜能班</t>
        </is>
      </c>
      <c r="F50" s="339" t="inlineStr">
        <is>
          <t>奇锋</t>
        </is>
      </c>
      <c r="G50" s="339" t="inlineStr">
        <is>
          <t>陈中帅</t>
        </is>
      </c>
      <c r="H50" s="339" t="inlineStr">
        <is>
          <t>陈南05</t>
        </is>
      </c>
      <c r="I50" s="339" t="inlineStr">
        <is>
          <t>肖锐03</t>
        </is>
      </c>
      <c r="J50" s="339" t="inlineStr">
        <is>
          <t>杨林33</t>
        </is>
      </c>
      <c r="K50" s="339" t="n"/>
      <c r="L50" s="339" t="n"/>
      <c r="M50" s="339" t="n"/>
      <c r="N50" s="339" t="inlineStr">
        <is>
          <t>薅羊毛</t>
        </is>
      </c>
      <c r="O50" s="339" t="inlineStr">
        <is>
          <t>新宝利第一批特惠学员，未转化</t>
        </is>
      </c>
      <c r="P50" s="339" t="n">
        <v>60</v>
      </c>
      <c r="Q50" s="339" t="n"/>
      <c r="R50" s="339" t="n"/>
      <c r="S50" s="339" t="n"/>
      <c r="T50" s="339" t="inlineStr">
        <is>
          <t>是</t>
        </is>
      </c>
      <c r="U50" s="339" t="n"/>
      <c r="V50" s="339" t="n"/>
      <c r="W50" s="339" t="n"/>
      <c r="X50" s="339" t="n"/>
      <c r="Y50" s="339" t="n"/>
      <c r="Z50" s="339" t="n"/>
      <c r="AA50" s="339" t="n"/>
      <c r="AB50" s="339" t="n"/>
      <c r="AC50" s="339" t="n"/>
      <c r="AD50" s="339" t="n"/>
      <c r="AE50" s="339" t="n"/>
      <c r="AF50" s="339" t="n"/>
      <c r="AG50" s="339" t="n"/>
      <c r="AH50" s="339" t="n"/>
      <c r="AI50" s="359" t="n"/>
      <c r="AJ50" s="359" t="n"/>
      <c r="AK50" s="359" t="n"/>
      <c r="AL50" s="359" t="n"/>
      <c r="AM50" s="359" t="n"/>
    </row>
    <row r="51" ht="26.25" customHeight="1" s="1053">
      <c r="A51" s="339" t="inlineStr">
        <is>
          <t>新宝利</t>
        </is>
      </c>
      <c r="B51" s="339" t="inlineStr">
        <is>
          <t>三期</t>
        </is>
      </c>
      <c r="C51" s="339" t="n">
        <v>3132902</v>
      </c>
      <c r="D51" s="339" t="inlineStr">
        <is>
          <t>13:20-15:30</t>
        </is>
      </c>
      <c r="E51" s="339" t="inlineStr">
        <is>
          <t>潜能班</t>
        </is>
      </c>
      <c r="F51" s="339" t="inlineStr">
        <is>
          <t>宸郗</t>
        </is>
      </c>
      <c r="G51" s="339" t="inlineStr">
        <is>
          <t>陈中帅</t>
        </is>
      </c>
      <c r="H51" s="339" t="inlineStr">
        <is>
          <t>陈南05</t>
        </is>
      </c>
      <c r="I51" s="339" t="inlineStr">
        <is>
          <t>肖锐03</t>
        </is>
      </c>
      <c r="J51" s="339" t="inlineStr">
        <is>
          <t>陈亮延</t>
        </is>
      </c>
      <c r="K51" s="339" t="n"/>
      <c r="L51" s="339" t="n"/>
      <c r="M51" s="339" t="n"/>
      <c r="N51" s="339" t="n"/>
      <c r="O51" s="339" t="n"/>
      <c r="P51" s="339" t="n"/>
      <c r="Q51" s="339" t="n">
        <v>57</v>
      </c>
      <c r="R51" s="339" t="n"/>
      <c r="S51" s="339" t="n"/>
      <c r="T51" s="339" t="inlineStr">
        <is>
          <t>是</t>
        </is>
      </c>
      <c r="U51" s="339" t="n"/>
      <c r="V51" s="339" t="n"/>
      <c r="W51" s="339" t="n"/>
      <c r="X51" s="339" t="n"/>
      <c r="Y51" s="339" t="n"/>
      <c r="Z51" s="339" t="n"/>
      <c r="AA51" s="339" t="n"/>
      <c r="AB51" s="339" t="n"/>
      <c r="AC51" s="339" t="n"/>
      <c r="AD51" s="339" t="n"/>
      <c r="AE51" s="339" t="n"/>
      <c r="AF51" s="339" t="n"/>
      <c r="AG51" s="339" t="n"/>
      <c r="AH51" s="339" t="n"/>
      <c r="AI51" s="359" t="n"/>
      <c r="AJ51" s="359" t="n"/>
      <c r="AK51" s="359" t="n"/>
      <c r="AL51" s="359" t="n"/>
      <c r="AM51" s="359" t="n"/>
    </row>
    <row r="52" ht="26.25" customHeight="1" s="1053">
      <c r="A52" s="339" t="inlineStr">
        <is>
          <t>新宝利</t>
        </is>
      </c>
      <c r="B52" s="339" t="inlineStr">
        <is>
          <t>三期</t>
        </is>
      </c>
      <c r="C52" s="339" t="n">
        <v>3132902</v>
      </c>
      <c r="D52" s="339" t="inlineStr">
        <is>
          <t>13:20-15:30</t>
        </is>
      </c>
      <c r="E52" s="339" t="inlineStr">
        <is>
          <t>潜能班</t>
        </is>
      </c>
      <c r="F52" s="339" t="inlineStr">
        <is>
          <t>张思宇</t>
        </is>
      </c>
      <c r="G52" s="339" t="inlineStr">
        <is>
          <t>陈中帅</t>
        </is>
      </c>
      <c r="H52" s="339" t="inlineStr">
        <is>
          <t>陈南05</t>
        </is>
      </c>
      <c r="I52" s="339" t="inlineStr">
        <is>
          <t>肖锐03</t>
        </is>
      </c>
      <c r="J52" s="339" t="inlineStr">
        <is>
          <t>王达04</t>
        </is>
      </c>
      <c r="K52" s="339" t="n"/>
      <c r="L52" s="339" t="n"/>
      <c r="M52" s="339" t="n"/>
      <c r="N52" s="339" t="n"/>
      <c r="O52" s="339" t="n"/>
      <c r="P52" s="339" t="n"/>
      <c r="Q52" s="339" t="n">
        <v>80</v>
      </c>
      <c r="R52" s="339" t="n"/>
      <c r="S52" s="339" t="n"/>
      <c r="T52" s="339" t="inlineStr">
        <is>
          <t>是</t>
        </is>
      </c>
      <c r="U52" s="339" t="n"/>
      <c r="V52" s="339" t="n"/>
      <c r="W52" s="339" t="n"/>
      <c r="X52" s="339" t="n"/>
      <c r="Y52" s="339" t="n"/>
      <c r="Z52" s="339" t="n"/>
      <c r="AA52" s="339" t="n"/>
      <c r="AB52" s="339" t="n"/>
      <c r="AC52" s="339" t="n"/>
      <c r="AD52" s="339" t="n"/>
      <c r="AE52" s="339" t="n"/>
      <c r="AF52" s="339" t="n"/>
      <c r="AG52" s="339" t="n"/>
      <c r="AH52" s="339" t="n"/>
      <c r="AI52" s="359" t="n"/>
      <c r="AJ52" s="359" t="n"/>
      <c r="AK52" s="359" t="n"/>
      <c r="AL52" s="359" t="n"/>
      <c r="AM52" s="359" t="n"/>
    </row>
    <row r="53" ht="26.25" customHeight="1" s="1053">
      <c r="A53" s="339" t="inlineStr">
        <is>
          <t>新宝利</t>
        </is>
      </c>
      <c r="B53" s="339" t="inlineStr">
        <is>
          <t>三期</t>
        </is>
      </c>
      <c r="C53" s="339" t="n">
        <v>3132902</v>
      </c>
      <c r="D53" s="339" t="inlineStr">
        <is>
          <t>13:20-15:30</t>
        </is>
      </c>
      <c r="E53" s="339" t="inlineStr">
        <is>
          <t>潜能班</t>
        </is>
      </c>
      <c r="F53" s="339" t="inlineStr">
        <is>
          <t>张翊昕</t>
        </is>
      </c>
      <c r="G53" s="339" t="inlineStr">
        <is>
          <t>陈中帅</t>
        </is>
      </c>
      <c r="H53" s="339" t="inlineStr">
        <is>
          <t>黄铭怡</t>
        </is>
      </c>
      <c r="I53" s="339" t="inlineStr">
        <is>
          <t>高心怡04</t>
        </is>
      </c>
      <c r="J53" s="339" t="inlineStr">
        <is>
          <t>张敏烨</t>
        </is>
      </c>
      <c r="K53" s="339" t="n"/>
      <c r="L53" s="339" t="n"/>
      <c r="M53" s="339" t="n"/>
      <c r="N53" s="339" t="n"/>
      <c r="O53" s="339" t="inlineStr">
        <is>
          <t>关雅致转介绍</t>
        </is>
      </c>
      <c r="P53" s="339" t="n"/>
      <c r="Q53" s="339" t="n">
        <v>43</v>
      </c>
      <c r="R53" s="339" t="n"/>
      <c r="S53" s="339" t="n"/>
      <c r="T53" s="339" t="inlineStr">
        <is>
          <t>是</t>
        </is>
      </c>
      <c r="U53" s="339" t="n"/>
      <c r="V53" s="339" t="n"/>
      <c r="W53" s="339" t="n"/>
      <c r="X53" s="339" t="n"/>
      <c r="Y53" s="339" t="n"/>
      <c r="Z53" s="339" t="n"/>
      <c r="AA53" s="339" t="n"/>
      <c r="AB53" s="339" t="n"/>
      <c r="AC53" s="339" t="n"/>
      <c r="AD53" s="339" t="n"/>
      <c r="AE53" s="339" t="n"/>
      <c r="AF53" s="339" t="n"/>
      <c r="AG53" s="339" t="n"/>
      <c r="AH53" s="339" t="n"/>
      <c r="AI53" s="359" t="n"/>
      <c r="AJ53" s="359" t="n"/>
      <c r="AK53" s="359" t="n"/>
      <c r="AL53" s="359" t="n"/>
      <c r="AM53" s="359" t="n"/>
    </row>
    <row r="54" ht="26.25" customHeight="1" s="1053">
      <c r="A54" s="339" t="inlineStr">
        <is>
          <t>新宝利</t>
        </is>
      </c>
      <c r="B54" s="339" t="inlineStr">
        <is>
          <t>三期</t>
        </is>
      </c>
      <c r="C54" s="339" t="n">
        <v>3132902</v>
      </c>
      <c r="D54" s="339" t="inlineStr">
        <is>
          <t>13:20-15:30</t>
        </is>
      </c>
      <c r="E54" s="339" t="inlineStr">
        <is>
          <t>潜能班</t>
        </is>
      </c>
      <c r="F54" s="339" t="inlineStr">
        <is>
          <t>方一鸣</t>
        </is>
      </c>
      <c r="G54" s="339" t="inlineStr">
        <is>
          <t>陈中帅</t>
        </is>
      </c>
      <c r="H54" s="339" t="inlineStr">
        <is>
          <t>陈南05</t>
        </is>
      </c>
      <c r="I54" s="339" t="inlineStr">
        <is>
          <t>肖锐03</t>
        </is>
      </c>
      <c r="J54" s="339" t="inlineStr">
        <is>
          <t>张敏烨</t>
        </is>
      </c>
      <c r="K54" s="339" t="n"/>
      <c r="L54" s="339" t="n"/>
      <c r="M54" s="339" t="n"/>
      <c r="N54" s="339" t="n"/>
      <c r="O54" s="339" t="n"/>
      <c r="P54" s="339" t="n"/>
      <c r="Q54" s="339" t="n">
        <v>43</v>
      </c>
      <c r="R54" s="339" t="n"/>
      <c r="S54" s="339" t="n"/>
      <c r="T54" s="339" t="inlineStr">
        <is>
          <t>是</t>
        </is>
      </c>
      <c r="U54" s="339" t="n"/>
      <c r="V54" s="339" t="n"/>
      <c r="W54" s="339" t="n"/>
      <c r="X54" s="339" t="n"/>
      <c r="Y54" s="339" t="n"/>
      <c r="Z54" s="339" t="n"/>
      <c r="AA54" s="339" t="n"/>
      <c r="AB54" s="339" t="n"/>
      <c r="AC54" s="339" t="n"/>
      <c r="AD54" s="339" t="n"/>
      <c r="AE54" s="339" t="n"/>
      <c r="AF54" s="339" t="n"/>
      <c r="AG54" s="339" t="n"/>
      <c r="AH54" s="339" t="n"/>
      <c r="AI54" s="359" t="n"/>
      <c r="AJ54" s="359" t="n"/>
      <c r="AK54" s="359" t="n"/>
      <c r="AL54" s="359" t="n"/>
      <c r="AM54" s="359" t="n"/>
    </row>
    <row r="55" ht="26.25" customHeight="1" s="1053">
      <c r="A55" s="339" t="inlineStr">
        <is>
          <t>新宝利</t>
        </is>
      </c>
      <c r="B55" s="339" t="inlineStr">
        <is>
          <t>三期</t>
        </is>
      </c>
      <c r="C55" s="339" t="n">
        <v>3132902</v>
      </c>
      <c r="D55" s="339" t="inlineStr">
        <is>
          <t>13:20-15:30</t>
        </is>
      </c>
      <c r="E55" s="339" t="inlineStr">
        <is>
          <t>潜能班</t>
        </is>
      </c>
      <c r="F55" s="339" t="inlineStr">
        <is>
          <t>李佩颖</t>
        </is>
      </c>
      <c r="G55" s="339" t="inlineStr">
        <is>
          <t>陈中帅</t>
        </is>
      </c>
      <c r="H55" s="339" t="inlineStr">
        <is>
          <t>李润</t>
        </is>
      </c>
      <c r="I55" s="339" t="inlineStr">
        <is>
          <t>肖锐03</t>
        </is>
      </c>
      <c r="J55" s="339" t="inlineStr">
        <is>
          <t>杨林33</t>
        </is>
      </c>
      <c r="K55" s="339" t="n"/>
      <c r="L55" s="339" t="n"/>
      <c r="M55" s="339" t="n"/>
      <c r="N55" s="339" t="n"/>
      <c r="O55" s="339" t="n"/>
      <c r="P55" s="339" t="n"/>
      <c r="Q55" s="339" t="n">
        <v>45</v>
      </c>
      <c r="R55" s="339" t="n"/>
      <c r="S55" s="339" t="n"/>
      <c r="T55" s="339" t="inlineStr">
        <is>
          <t>是</t>
        </is>
      </c>
      <c r="U55" s="339" t="n"/>
      <c r="V55" s="339" t="n"/>
      <c r="W55" s="339" t="n"/>
      <c r="X55" s="339" t="n"/>
      <c r="Y55" s="339" t="n"/>
      <c r="Z55" s="339" t="n"/>
      <c r="AA55" s="339" t="n"/>
      <c r="AB55" s="339" t="n"/>
      <c r="AC55" s="339" t="n"/>
      <c r="AD55" s="339" t="n"/>
      <c r="AE55" s="339" t="n"/>
      <c r="AF55" s="339" t="n"/>
      <c r="AG55" s="339" t="n"/>
      <c r="AH55" s="339" t="n"/>
      <c r="AI55" s="359" t="n"/>
      <c r="AJ55" s="359" t="n"/>
      <c r="AK55" s="359" t="n"/>
      <c r="AL55" s="359" t="n"/>
      <c r="AM55" s="359" t="n"/>
    </row>
    <row r="56" ht="26.25" customHeight="1" s="1053">
      <c r="A56" s="339" t="inlineStr">
        <is>
          <t>新宝利</t>
        </is>
      </c>
      <c r="B56" s="339" t="inlineStr">
        <is>
          <t>三期</t>
        </is>
      </c>
      <c r="C56" s="339" t="n">
        <v>3132902</v>
      </c>
      <c r="D56" s="339" t="inlineStr">
        <is>
          <t>13:20-15:30</t>
        </is>
      </c>
      <c r="E56" s="339" t="inlineStr">
        <is>
          <t>潜能班</t>
        </is>
      </c>
      <c r="F56" s="339" t="inlineStr">
        <is>
          <t>杨婧茹</t>
        </is>
      </c>
      <c r="G56" s="339" t="inlineStr">
        <is>
          <t>陈中帅</t>
        </is>
      </c>
      <c r="H56" s="339" t="inlineStr">
        <is>
          <t>陈南05</t>
        </is>
      </c>
      <c r="I56" s="339" t="inlineStr">
        <is>
          <t>肖锐03</t>
        </is>
      </c>
      <c r="J56" s="339" t="inlineStr">
        <is>
          <t>林志豪01</t>
        </is>
      </c>
      <c r="K56" s="339" t="n"/>
      <c r="L56" s="339" t="n"/>
      <c r="M56" s="339" t="n"/>
      <c r="N56" s="339" t="n"/>
      <c r="O56" s="339" t="n"/>
      <c r="P56" s="339" t="n">
        <v>64</v>
      </c>
      <c r="Q56" s="339" t="n"/>
      <c r="R56" s="339" t="n"/>
      <c r="S56" s="339" t="n"/>
      <c r="T56" s="339" t="inlineStr">
        <is>
          <t>是</t>
        </is>
      </c>
      <c r="U56" s="339" t="n"/>
      <c r="V56" s="339" t="n"/>
      <c r="W56" s="339" t="n"/>
      <c r="X56" s="339" t="n"/>
      <c r="Y56" s="339" t="n"/>
      <c r="Z56" s="339" t="n"/>
      <c r="AA56" s="339" t="n"/>
      <c r="AB56" s="339" t="n"/>
      <c r="AC56" s="339" t="n"/>
      <c r="AD56" s="339" t="n"/>
      <c r="AE56" s="339" t="n"/>
      <c r="AF56" s="339" t="n"/>
      <c r="AG56" s="339" t="n"/>
      <c r="AH56" s="339" t="n"/>
      <c r="AI56" s="359" t="n"/>
      <c r="AJ56" s="359" t="n"/>
      <c r="AK56" s="359" t="n"/>
      <c r="AL56" s="359" t="n"/>
      <c r="AM56" s="359" t="n"/>
    </row>
    <row r="57" ht="26.25" customFormat="1" customHeight="1" s="327">
      <c r="A57" s="339" t="inlineStr">
        <is>
          <t>新宝利</t>
        </is>
      </c>
      <c r="B57" s="339" t="inlineStr">
        <is>
          <t>三期</t>
        </is>
      </c>
      <c r="C57" s="339" t="n">
        <v>3132902</v>
      </c>
      <c r="D57" s="339" t="inlineStr">
        <is>
          <t>13:20-15:30</t>
        </is>
      </c>
      <c r="E57" s="339" t="inlineStr">
        <is>
          <t>潜能班</t>
        </is>
      </c>
      <c r="F57" s="339" t="inlineStr">
        <is>
          <t>林彦辰</t>
        </is>
      </c>
      <c r="G57" s="339" t="inlineStr">
        <is>
          <t>陈中帅</t>
        </is>
      </c>
      <c r="H57" s="339" t="inlineStr">
        <is>
          <t>陈南05</t>
        </is>
      </c>
      <c r="I57" s="339" t="inlineStr">
        <is>
          <t>肖锐03</t>
        </is>
      </c>
      <c r="J57" s="339" t="inlineStr">
        <is>
          <t>林志豪01</t>
        </is>
      </c>
      <c r="K57" s="339" t="n"/>
      <c r="L57" s="339" t="n"/>
      <c r="M57" s="339" t="n"/>
      <c r="N57" s="339" t="n"/>
      <c r="O57" s="339" t="n"/>
      <c r="P57" s="339" t="n">
        <v>60</v>
      </c>
      <c r="Q57" s="339" t="n"/>
      <c r="R57" s="339" t="n"/>
      <c r="S57" s="339" t="n"/>
      <c r="T57" s="339" t="inlineStr">
        <is>
          <t>是</t>
        </is>
      </c>
      <c r="U57" s="339" t="n"/>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三期</t>
        </is>
      </c>
      <c r="C58" s="339" t="n">
        <v>3132902</v>
      </c>
      <c r="D58" s="339" t="inlineStr">
        <is>
          <t>13:20-15:30</t>
        </is>
      </c>
      <c r="E58" s="339" t="inlineStr">
        <is>
          <t>潜能班</t>
        </is>
      </c>
      <c r="F58" s="339" t="inlineStr">
        <is>
          <t>林怿霖</t>
        </is>
      </c>
      <c r="G58" s="339" t="inlineStr">
        <is>
          <t>陈中帅</t>
        </is>
      </c>
      <c r="H58" s="339" t="inlineStr">
        <is>
          <t>陈南05</t>
        </is>
      </c>
      <c r="I58" s="339" t="inlineStr">
        <is>
          <t>肖锐03</t>
        </is>
      </c>
      <c r="J58" s="339" t="inlineStr">
        <is>
          <t>林志豪01</t>
        </is>
      </c>
      <c r="K58" s="339" t="n"/>
      <c r="L58" s="339" t="n"/>
      <c r="M58" s="339" t="n"/>
      <c r="N58" s="339" t="n"/>
      <c r="O58" s="339" t="n"/>
      <c r="P58" s="339" t="n">
        <v>62</v>
      </c>
      <c r="Q58" s="339" t="n"/>
      <c r="R58" s="339" t="n"/>
      <c r="S58" s="339" t="n"/>
      <c r="T58" s="339" t="inlineStr">
        <is>
          <t>是</t>
        </is>
      </c>
      <c r="U58" s="339" t="n"/>
      <c r="V58" s="339" t="n"/>
      <c r="W58" s="339" t="n"/>
      <c r="X58" s="339" t="n"/>
      <c r="Y58" s="339" t="n"/>
      <c r="Z58" s="339" t="n"/>
      <c r="AA58" s="339" t="n"/>
      <c r="AB58" s="339" t="n"/>
      <c r="AC58" s="339" t="n"/>
      <c r="AD58" s="339" t="n"/>
      <c r="AE58" s="339" t="n"/>
      <c r="AF58" s="339" t="n"/>
      <c r="AG58" s="339" t="n"/>
      <c r="AH58" s="339" t="n"/>
      <c r="AI58" s="359" t="n"/>
      <c r="AJ58" s="359" t="n"/>
      <c r="AK58" s="359" t="n"/>
      <c r="AL58" s="359" t="n"/>
      <c r="AM58" s="359" t="n"/>
    </row>
    <row r="59" ht="26.25" customHeight="1" s="1053">
      <c r="A59" s="339" t="inlineStr">
        <is>
          <t>新宝利</t>
        </is>
      </c>
      <c r="B59" s="339" t="inlineStr">
        <is>
          <t>三期</t>
        </is>
      </c>
      <c r="C59" s="339" t="n">
        <v>3132902</v>
      </c>
      <c r="D59" s="339" t="inlineStr">
        <is>
          <t>13:20-15:30</t>
        </is>
      </c>
      <c r="E59" s="339" t="inlineStr">
        <is>
          <t>潜能班</t>
        </is>
      </c>
      <c r="F59" s="339" t="inlineStr">
        <is>
          <t>梁懿楠</t>
        </is>
      </c>
      <c r="G59" s="339" t="inlineStr">
        <is>
          <t>陈中帅</t>
        </is>
      </c>
      <c r="H59" s="339" t="inlineStr">
        <is>
          <t>李润</t>
        </is>
      </c>
      <c r="I59" s="339" t="inlineStr">
        <is>
          <t>肖锐03</t>
        </is>
      </c>
      <c r="J59" s="339" t="inlineStr">
        <is>
          <t>林志豪01</t>
        </is>
      </c>
      <c r="K59" s="339" t="n"/>
      <c r="L59" s="339" t="n"/>
      <c r="M59" s="339" t="n"/>
      <c r="N59" s="339" t="n"/>
      <c r="O59" s="339" t="n"/>
      <c r="P59" s="339" t="n">
        <v>72</v>
      </c>
      <c r="Q59" s="339" t="n"/>
      <c r="R59" s="339" t="n"/>
      <c r="S59" s="339" t="n"/>
      <c r="T59" s="339" t="inlineStr">
        <is>
          <t>是</t>
        </is>
      </c>
      <c r="U59" s="339" t="n"/>
      <c r="V59" s="339" t="n"/>
      <c r="W59" s="339" t="n"/>
      <c r="X59" s="339" t="n"/>
      <c r="Y59" s="339" t="n"/>
      <c r="Z59" s="339" t="n"/>
      <c r="AA59" s="339" t="n"/>
      <c r="AB59" s="339" t="n"/>
      <c r="AC59" s="339" t="n"/>
      <c r="AD59" s="339" t="n"/>
      <c r="AE59" s="339" t="n"/>
      <c r="AF59" s="339" t="n"/>
      <c r="AG59" s="339" t="n"/>
      <c r="AH59" s="339" t="n"/>
      <c r="AI59" s="359" t="n"/>
      <c r="AJ59" s="359" t="n"/>
      <c r="AK59" s="359" t="n"/>
      <c r="AL59" s="359" t="n"/>
      <c r="AM59" s="359" t="n"/>
    </row>
    <row r="60" ht="26.25" customHeight="1" s="1053">
      <c r="A60" s="339" t="inlineStr">
        <is>
          <t>新宝利</t>
        </is>
      </c>
      <c r="B60" s="339" t="inlineStr">
        <is>
          <t>三期</t>
        </is>
      </c>
      <c r="C60" s="339" t="n">
        <v>3132902</v>
      </c>
      <c r="D60" s="339" t="inlineStr">
        <is>
          <t>13:20-15:30</t>
        </is>
      </c>
      <c r="E60" s="339" t="inlineStr">
        <is>
          <t>潜能班</t>
        </is>
      </c>
      <c r="F60" s="339" t="inlineStr">
        <is>
          <t>梁韶轩</t>
        </is>
      </c>
      <c r="G60" s="339" t="inlineStr">
        <is>
          <t>陈中帅</t>
        </is>
      </c>
      <c r="H60" s="339" t="inlineStr">
        <is>
          <t>陈南05</t>
        </is>
      </c>
      <c r="I60" s="339" t="inlineStr">
        <is>
          <t>肖锐03</t>
        </is>
      </c>
      <c r="J60" s="339" t="inlineStr">
        <is>
          <t>杨林33</t>
        </is>
      </c>
      <c r="K60" s="339" t="n"/>
      <c r="L60" s="339" t="n"/>
      <c r="M60" s="339" t="n"/>
      <c r="N60" s="339" t="n"/>
      <c r="O60" s="339" t="n"/>
      <c r="P60" s="339" t="n">
        <v>64</v>
      </c>
      <c r="Q60" s="339" t="n"/>
      <c r="R60" s="339" t="n"/>
      <c r="S60" s="339" t="n"/>
      <c r="T60" s="339" t="inlineStr">
        <is>
          <t>是</t>
        </is>
      </c>
      <c r="U60" s="339" t="n"/>
      <c r="V60" s="339" t="n"/>
      <c r="W60" s="339" t="n"/>
      <c r="X60" s="339" t="n"/>
      <c r="Y60" s="339" t="n"/>
      <c r="Z60" s="339" t="n"/>
      <c r="AA60" s="339" t="n"/>
      <c r="AB60" s="339" t="n"/>
      <c r="AC60" s="339" t="n"/>
      <c r="AD60" s="339" t="n"/>
      <c r="AE60" s="339" t="n"/>
      <c r="AF60" s="339" t="n"/>
      <c r="AG60" s="339" t="n"/>
      <c r="AH60" s="339" t="n"/>
      <c r="AI60" s="359" t="n"/>
      <c r="AJ60" s="359" t="n"/>
      <c r="AK60" s="359" t="n"/>
      <c r="AL60" s="359" t="n"/>
      <c r="AM60" s="359" t="n"/>
    </row>
    <row r="61" ht="26.25" customHeight="1" s="1053">
      <c r="A61" s="339" t="inlineStr">
        <is>
          <t>新宝利</t>
        </is>
      </c>
      <c r="B61" s="339" t="inlineStr">
        <is>
          <t>三期</t>
        </is>
      </c>
      <c r="C61" s="339" t="n">
        <v>3132902</v>
      </c>
      <c r="D61" s="339" t="inlineStr">
        <is>
          <t>13:20-15:30</t>
        </is>
      </c>
      <c r="E61" s="339" t="inlineStr">
        <is>
          <t>潜能班</t>
        </is>
      </c>
      <c r="F61" s="339" t="inlineStr">
        <is>
          <t>白锦泽</t>
        </is>
      </c>
      <c r="G61" s="339" t="inlineStr">
        <is>
          <t>陈中帅</t>
        </is>
      </c>
      <c r="H61" s="339" t="inlineStr">
        <is>
          <t>陈南05</t>
        </is>
      </c>
      <c r="I61" s="339" t="inlineStr">
        <is>
          <t>肖锐03</t>
        </is>
      </c>
      <c r="J61" s="339" t="inlineStr">
        <is>
          <t>张敏烨</t>
        </is>
      </c>
      <c r="K61" s="339" t="n"/>
      <c r="L61" s="339" t="n"/>
      <c r="M61" s="339" t="n"/>
      <c r="N61" s="339" t="n"/>
      <c r="O61" s="339" t="inlineStr">
        <is>
          <t>顾玉瑶转介绍</t>
        </is>
      </c>
      <c r="P61" s="339" t="n">
        <v>65</v>
      </c>
      <c r="Q61" s="339" t="n"/>
      <c r="R61" s="339" t="n"/>
      <c r="S61" s="339" t="n"/>
      <c r="T61" s="339" t="inlineStr">
        <is>
          <t>是</t>
        </is>
      </c>
      <c r="U61" s="339" t="n"/>
      <c r="V61" s="339" t="n"/>
      <c r="W61" s="339" t="n"/>
      <c r="X61" s="339" t="n"/>
      <c r="Y61" s="339" t="n"/>
      <c r="Z61" s="339" t="n"/>
      <c r="AA61" s="339" t="n"/>
      <c r="AB61" s="339" t="n"/>
      <c r="AC61" s="339" t="n"/>
      <c r="AD61" s="339" t="n"/>
      <c r="AE61" s="339" t="n"/>
      <c r="AF61" s="339" t="n"/>
      <c r="AG61" s="339" t="n"/>
      <c r="AH61" s="339" t="n"/>
      <c r="AI61" s="359" t="n"/>
      <c r="AJ61" s="359" t="n"/>
      <c r="AK61" s="359" t="n"/>
      <c r="AL61" s="359" t="n"/>
      <c r="AM61" s="359" t="n"/>
    </row>
    <row r="62" ht="26.25" customHeight="1" s="1053">
      <c r="A62" s="339" t="inlineStr">
        <is>
          <t>新宝利</t>
        </is>
      </c>
      <c r="B62" s="339" t="inlineStr">
        <is>
          <t>三期</t>
        </is>
      </c>
      <c r="C62" s="339" t="n">
        <v>3132902</v>
      </c>
      <c r="D62" s="339" t="inlineStr">
        <is>
          <t>13:20-15:30</t>
        </is>
      </c>
      <c r="E62" s="339" t="inlineStr">
        <is>
          <t>潜能班</t>
        </is>
      </c>
      <c r="F62" s="339" t="inlineStr">
        <is>
          <t>符钧豪</t>
        </is>
      </c>
      <c r="G62" s="339" t="inlineStr">
        <is>
          <t>陈中帅</t>
        </is>
      </c>
      <c r="H62" s="339" t="inlineStr">
        <is>
          <t>陈南05</t>
        </is>
      </c>
      <c r="I62" s="339" t="inlineStr">
        <is>
          <t>肖锐03</t>
        </is>
      </c>
      <c r="J62" s="339" t="inlineStr">
        <is>
          <t>杨林33</t>
        </is>
      </c>
      <c r="K62" s="339" t="n"/>
      <c r="L62" s="339" t="n"/>
      <c r="M62" s="339" t="n"/>
      <c r="N62" s="339" t="n"/>
      <c r="O62" s="339" t="n"/>
      <c r="P62" s="339" t="n"/>
      <c r="Q62" s="339" t="n">
        <v>60</v>
      </c>
      <c r="R62" s="339" t="n"/>
      <c r="S62" s="339" t="n"/>
      <c r="T62" s="339" t="inlineStr">
        <is>
          <t>是</t>
        </is>
      </c>
      <c r="U62" s="339" t="n"/>
      <c r="V62" s="339" t="n"/>
      <c r="W62" s="339" t="n"/>
      <c r="X62" s="339" t="n"/>
      <c r="Y62" s="339" t="n"/>
      <c r="Z62" s="339" t="n"/>
      <c r="AA62" s="339" t="n"/>
      <c r="AB62" s="339" t="n"/>
      <c r="AC62" s="339" t="n"/>
      <c r="AD62" s="339" t="n"/>
      <c r="AE62" s="339" t="n"/>
      <c r="AF62" s="339" t="n"/>
      <c r="AG62" s="339" t="n"/>
      <c r="AH62" s="339" t="n"/>
      <c r="AI62" s="359" t="n"/>
      <c r="AJ62" s="359" t="n"/>
      <c r="AK62" s="359" t="n"/>
      <c r="AL62" s="359" t="n"/>
      <c r="AM62" s="359" t="n"/>
    </row>
    <row r="63" ht="26.25" customHeight="1" s="1053">
      <c r="A63" s="339" t="inlineStr">
        <is>
          <t>新宝利</t>
        </is>
      </c>
      <c r="B63" s="339" t="inlineStr">
        <is>
          <t>三期</t>
        </is>
      </c>
      <c r="C63" s="339" t="n">
        <v>3132902</v>
      </c>
      <c r="D63" s="339" t="inlineStr">
        <is>
          <t>13:20-15:30</t>
        </is>
      </c>
      <c r="E63" s="339" t="inlineStr">
        <is>
          <t>潜能班</t>
        </is>
      </c>
      <c r="F63" s="339" t="inlineStr">
        <is>
          <t>莫琳珊</t>
        </is>
      </c>
      <c r="G63" s="339" t="inlineStr">
        <is>
          <t>陈中帅</t>
        </is>
      </c>
      <c r="H63" s="339" t="inlineStr">
        <is>
          <t>陈南05</t>
        </is>
      </c>
      <c r="I63" s="339" t="inlineStr">
        <is>
          <t>肖锐03</t>
        </is>
      </c>
      <c r="J63" s="339" t="inlineStr">
        <is>
          <t>杨林33</t>
        </is>
      </c>
      <c r="K63" s="339" t="n"/>
      <c r="L63" s="339" t="n"/>
      <c r="M63" s="339" t="n"/>
      <c r="N63" s="339" t="n"/>
      <c r="O63" s="339" t="inlineStr">
        <is>
          <t>曾被劝退学员</t>
        </is>
      </c>
      <c r="P63" s="339" t="n"/>
      <c r="Q63" s="339" t="n">
        <v>70</v>
      </c>
      <c r="R63" s="339" t="n"/>
      <c r="S63" s="339" t="n"/>
      <c r="T63" s="339" t="inlineStr">
        <is>
          <t>是</t>
        </is>
      </c>
      <c r="U63" s="339" t="n"/>
      <c r="V63" s="339" t="n"/>
      <c r="W63" s="339" t="n"/>
      <c r="X63" s="339" t="n"/>
      <c r="Y63" s="339" t="n"/>
      <c r="Z63" s="339" t="n"/>
      <c r="AA63" s="339" t="n"/>
      <c r="AB63" s="339" t="n"/>
      <c r="AC63" s="339" t="n"/>
      <c r="AD63" s="339" t="n"/>
      <c r="AE63" s="339" t="n"/>
      <c r="AF63" s="339" t="n"/>
      <c r="AG63" s="339" t="n"/>
      <c r="AH63" s="339" t="n"/>
      <c r="AI63" s="359" t="n"/>
      <c r="AJ63" s="359" t="n"/>
      <c r="AK63" s="359" t="n"/>
      <c r="AL63" s="359" t="n"/>
      <c r="AM63" s="359" t="n"/>
    </row>
    <row r="64" ht="26.25" customHeight="1" s="1053">
      <c r="A64" s="339" t="inlineStr">
        <is>
          <t>新宝利</t>
        </is>
      </c>
      <c r="B64" s="339" t="inlineStr">
        <is>
          <t>三期</t>
        </is>
      </c>
      <c r="C64" s="339" t="n">
        <v>3132902</v>
      </c>
      <c r="D64" s="339" t="inlineStr">
        <is>
          <t>13:20-15:30</t>
        </is>
      </c>
      <c r="E64" s="339" t="inlineStr">
        <is>
          <t>潜能班</t>
        </is>
      </c>
      <c r="F64" s="339" t="inlineStr">
        <is>
          <t>钟瑞佑</t>
        </is>
      </c>
      <c r="G64" s="339" t="inlineStr">
        <is>
          <t>陈中帅</t>
        </is>
      </c>
      <c r="H64" s="339" t="inlineStr">
        <is>
          <t>陈南05</t>
        </is>
      </c>
      <c r="I64" s="339" t="inlineStr">
        <is>
          <t>肖锐03</t>
        </is>
      </c>
      <c r="J64" s="339" t="inlineStr">
        <is>
          <t>林志豪01</t>
        </is>
      </c>
      <c r="K64" s="339" t="n"/>
      <c r="L64" s="339" t="n"/>
      <c r="M64" s="339" t="n"/>
      <c r="N64" s="339" t="n"/>
      <c r="O64" s="339" t="n"/>
      <c r="P64" s="339" t="n">
        <v>64</v>
      </c>
      <c r="Q64" s="339" t="n"/>
      <c r="R64" s="339" t="n"/>
      <c r="S64" s="339" t="n"/>
      <c r="T64" s="339" t="inlineStr">
        <is>
          <t>否</t>
        </is>
      </c>
      <c r="U64" s="339" t="n"/>
      <c r="V64" s="339" t="n"/>
      <c r="W64" s="339" t="n"/>
      <c r="X64" s="339" t="n"/>
      <c r="Y64" s="339" t="n"/>
      <c r="Z64" s="339" t="n"/>
      <c r="AA64" s="339" t="n"/>
      <c r="AB64" s="339" t="n"/>
      <c r="AC64" s="339" t="n"/>
      <c r="AD64" s="339" t="n"/>
      <c r="AE64" s="339" t="n"/>
      <c r="AF64" s="339" t="n"/>
      <c r="AG64" s="339" t="n"/>
      <c r="AH64" s="339" t="n"/>
      <c r="AI64" s="359" t="n"/>
      <c r="AJ64" s="359" t="n"/>
      <c r="AK64" s="359" t="n"/>
      <c r="AL64" s="359" t="n"/>
      <c r="AM64" s="359" t="n"/>
    </row>
    <row r="65" ht="26.25" customHeight="1" s="1053">
      <c r="A65" s="339" t="inlineStr">
        <is>
          <t>新宝利</t>
        </is>
      </c>
      <c r="B65" s="339" t="inlineStr">
        <is>
          <t>三期</t>
        </is>
      </c>
      <c r="C65" s="339" t="n">
        <v>3132902</v>
      </c>
      <c r="D65" s="339" t="inlineStr">
        <is>
          <t>13:20-15:30</t>
        </is>
      </c>
      <c r="E65" s="339" t="inlineStr">
        <is>
          <t>潜能班</t>
        </is>
      </c>
      <c r="F65" s="339" t="inlineStr">
        <is>
          <t>陈淽宜</t>
        </is>
      </c>
      <c r="G65" s="339" t="inlineStr">
        <is>
          <t>陈中帅</t>
        </is>
      </c>
      <c r="H65" s="339" t="inlineStr">
        <is>
          <t>陈南05</t>
        </is>
      </c>
      <c r="I65" s="339" t="inlineStr">
        <is>
          <t>肖锐03</t>
        </is>
      </c>
      <c r="J65" s="339" t="inlineStr">
        <is>
          <t>张敏烨</t>
        </is>
      </c>
      <c r="K65" s="339" t="n"/>
      <c r="L65" s="339" t="n"/>
      <c r="M65" s="339" t="n"/>
      <c r="N65" s="339" t="n"/>
      <c r="O65" s="339" t="n"/>
      <c r="P65" s="339" t="n">
        <v>62</v>
      </c>
      <c r="Q65" s="339" t="n"/>
      <c r="R65" s="339" t="n"/>
      <c r="S65" s="339" t="n"/>
      <c r="T65" s="339" t="inlineStr">
        <is>
          <t>是</t>
        </is>
      </c>
      <c r="U65" s="339" t="n"/>
      <c r="V65" s="339" t="n"/>
      <c r="W65" s="339" t="n"/>
      <c r="X65" s="339" t="n"/>
      <c r="Y65" s="339" t="n"/>
      <c r="Z65" s="339" t="n"/>
      <c r="AA65" s="339" t="n"/>
      <c r="AB65" s="339" t="n"/>
      <c r="AC65" s="339" t="n"/>
      <c r="AD65" s="339" t="n"/>
      <c r="AE65" s="339" t="n"/>
      <c r="AF65" s="339" t="n"/>
      <c r="AG65" s="339" t="n"/>
      <c r="AH65" s="339" t="n"/>
      <c r="AI65" s="359" t="n"/>
      <c r="AJ65" s="359" t="n"/>
      <c r="AK65" s="359" t="n"/>
      <c r="AL65" s="359" t="n"/>
      <c r="AM65" s="359" t="n"/>
    </row>
    <row r="66" ht="26.25" customHeight="1" s="1053">
      <c r="A66" s="339" t="inlineStr">
        <is>
          <t>新宝利</t>
        </is>
      </c>
      <c r="B66" s="339" t="inlineStr">
        <is>
          <t>三期</t>
        </is>
      </c>
      <c r="C66" s="339" t="n">
        <v>3132902</v>
      </c>
      <c r="D66" s="339" t="inlineStr">
        <is>
          <t>13:20-15:30</t>
        </is>
      </c>
      <c r="E66" s="339" t="inlineStr">
        <is>
          <t>潜能班</t>
        </is>
      </c>
      <c r="F66" s="339" t="inlineStr">
        <is>
          <t>黄俊皓</t>
        </is>
      </c>
      <c r="G66" s="339" t="inlineStr">
        <is>
          <t>陈中帅</t>
        </is>
      </c>
      <c r="H66" s="339" t="inlineStr">
        <is>
          <t>陈南05</t>
        </is>
      </c>
      <c r="I66" s="339" t="inlineStr">
        <is>
          <t>肖锐03</t>
        </is>
      </c>
      <c r="J66" s="339" t="inlineStr">
        <is>
          <t>杨林33</t>
        </is>
      </c>
      <c r="K66" s="339" t="n"/>
      <c r="L66" s="339" t="n"/>
      <c r="M66" s="339" t="n"/>
      <c r="N66" s="339" t="n"/>
      <c r="O66" s="339" t="n"/>
      <c r="P66" s="339" t="n">
        <v>72</v>
      </c>
      <c r="Q66" s="339" t="n"/>
      <c r="R66" s="339" t="n"/>
      <c r="S66" s="339" t="n"/>
      <c r="T66" s="339" t="inlineStr">
        <is>
          <t>是</t>
        </is>
      </c>
      <c r="U66" s="339" t="n"/>
      <c r="V66" s="339" t="n"/>
      <c r="W66" s="339" t="n"/>
      <c r="X66" s="339" t="n"/>
      <c r="Y66" s="339" t="n"/>
      <c r="Z66" s="339" t="n"/>
      <c r="AA66" s="339" t="n"/>
      <c r="AB66" s="339" t="n"/>
      <c r="AC66" s="339" t="n"/>
      <c r="AD66" s="339" t="n"/>
      <c r="AE66" s="339" t="n"/>
      <c r="AF66" s="339" t="n"/>
      <c r="AG66" s="339" t="n"/>
      <c r="AH66" s="339" t="n"/>
      <c r="AI66" s="359" t="n"/>
      <c r="AJ66" s="359" t="n"/>
      <c r="AK66" s="359" t="n"/>
      <c r="AL66" s="359" t="n"/>
      <c r="AM66" s="359" t="n"/>
    </row>
    <row r="67" ht="26.25" customHeight="1" s="1053">
      <c r="A67" s="339" t="inlineStr">
        <is>
          <t>新宝利</t>
        </is>
      </c>
      <c r="B67" s="339" t="inlineStr">
        <is>
          <t>三期</t>
        </is>
      </c>
      <c r="C67" s="339" t="n">
        <v>3132902</v>
      </c>
      <c r="D67" s="339" t="inlineStr">
        <is>
          <t>13:20-15:30</t>
        </is>
      </c>
      <c r="E67" s="339" t="inlineStr">
        <is>
          <t>潜能班</t>
        </is>
      </c>
      <c r="F67" s="339" t="inlineStr">
        <is>
          <t>黄嘉琳</t>
        </is>
      </c>
      <c r="G67" s="339" t="inlineStr">
        <is>
          <t>陈中帅</t>
        </is>
      </c>
      <c r="H67" s="339" t="inlineStr">
        <is>
          <t>陈南05</t>
        </is>
      </c>
      <c r="I67" s="339" t="inlineStr">
        <is>
          <t>肖锐03</t>
        </is>
      </c>
      <c r="J67" s="339" t="inlineStr">
        <is>
          <t>张敏烨</t>
        </is>
      </c>
      <c r="K67" s="339" t="n"/>
      <c r="L67" s="339" t="n"/>
      <c r="M67" s="339" t="n"/>
      <c r="N67" s="339" t="n"/>
      <c r="O67" s="339" t="n"/>
      <c r="P67" s="339" t="n">
        <v>72</v>
      </c>
      <c r="Q67" s="339" t="n"/>
      <c r="R67" s="339" t="n"/>
      <c r="S67" s="339" t="n"/>
      <c r="T67" s="339" t="inlineStr">
        <is>
          <t>是</t>
        </is>
      </c>
      <c r="U67" s="339" t="n"/>
      <c r="V67" s="339" t="n"/>
      <c r="W67" s="339" t="n"/>
      <c r="X67" s="339" t="n"/>
      <c r="Y67" s="339" t="n"/>
      <c r="Z67" s="339" t="n"/>
      <c r="AA67" s="339" t="n"/>
      <c r="AB67" s="339" t="n"/>
      <c r="AC67" s="339" t="n"/>
      <c r="AD67" s="339" t="n"/>
      <c r="AE67" s="339" t="n"/>
      <c r="AF67" s="339" t="n"/>
      <c r="AG67" s="339" t="n"/>
      <c r="AH67" s="339" t="n"/>
      <c r="AI67" s="359" t="n"/>
      <c r="AJ67" s="359" t="n"/>
      <c r="AK67" s="359" t="n"/>
      <c r="AL67" s="359" t="n"/>
      <c r="AM67" s="359" t="n"/>
    </row>
    <row r="68" ht="26.25" customHeight="1" s="1053">
      <c r="A68" s="339" t="inlineStr">
        <is>
          <t>新宝利</t>
        </is>
      </c>
      <c r="B68" s="339" t="inlineStr">
        <is>
          <t>二期</t>
        </is>
      </c>
      <c r="C68" s="339" t="n">
        <v>4513341</v>
      </c>
      <c r="D68" s="339" t="inlineStr">
        <is>
          <t>15:50-18:00</t>
        </is>
      </c>
      <c r="E68" s="339" t="inlineStr">
        <is>
          <t>启能班</t>
        </is>
      </c>
      <c r="F68" s="339" t="inlineStr">
        <is>
          <t>何施乐</t>
        </is>
      </c>
      <c r="G68" s="339" t="inlineStr">
        <is>
          <t>陈中帅</t>
        </is>
      </c>
      <c r="H68" s="339" t="inlineStr">
        <is>
          <t>黄铭怡</t>
        </is>
      </c>
      <c r="I68" s="339" t="inlineStr">
        <is>
          <t>高心怡04</t>
        </is>
      </c>
      <c r="J68" s="339" t="inlineStr">
        <is>
          <t>张敏烨</t>
        </is>
      </c>
      <c r="K68" s="339" t="inlineStr">
        <is>
          <t>东风西路小学</t>
        </is>
      </c>
      <c r="L68" s="639" t="inlineStr">
        <is>
          <t>摇号等结果
名德八星票</t>
        </is>
      </c>
      <c r="M68" s="339" t="n"/>
      <c r="N68" s="339" t="inlineStr">
        <is>
          <t>冲名德重点班</t>
        </is>
      </c>
      <c r="O68" s="339" t="inlineStr">
        <is>
          <t>新宝利第一批特惠学员，未转化</t>
        </is>
      </c>
      <c r="P68" s="339" t="n"/>
      <c r="Q68" s="339" t="n">
        <v>95</v>
      </c>
      <c r="R68" s="339" t="n"/>
      <c r="S68" s="339" t="n"/>
      <c r="T68" s="339" t="inlineStr">
        <is>
          <t>是</t>
        </is>
      </c>
      <c r="U68" s="339" t="n"/>
      <c r="V68" s="339" t="n"/>
      <c r="W68" s="339" t="n"/>
      <c r="X68" s="339" t="n"/>
      <c r="Y68" s="339" t="n"/>
      <c r="Z68" s="339" t="n"/>
      <c r="AA68" s="339" t="n"/>
      <c r="AB68" s="339" t="n"/>
      <c r="AC68" s="339" t="n"/>
      <c r="AD68" s="339" t="n"/>
      <c r="AE68" s="339" t="n"/>
      <c r="AF68" s="339" t="n"/>
      <c r="AG68" s="339" t="n"/>
      <c r="AH68" s="339" t="n"/>
      <c r="AI68" s="359" t="n"/>
      <c r="AJ68" s="359" t="n"/>
      <c r="AK68" s="359" t="n"/>
      <c r="AL68" s="359" t="n"/>
      <c r="AM68" s="359" t="n"/>
    </row>
    <row r="69" ht="26.25" customHeight="1" s="1053">
      <c r="A69" s="339" t="inlineStr">
        <is>
          <t>新宝利</t>
        </is>
      </c>
      <c r="B69" s="339" t="inlineStr">
        <is>
          <t>二期</t>
        </is>
      </c>
      <c r="C69" s="339" t="n">
        <v>4513341</v>
      </c>
      <c r="D69" s="339" t="inlineStr">
        <is>
          <t>15:50-18:00</t>
        </is>
      </c>
      <c r="E69" s="339" t="inlineStr">
        <is>
          <t>启能班</t>
        </is>
      </c>
      <c r="F69" s="339" t="inlineStr">
        <is>
          <t>吴季礼</t>
        </is>
      </c>
      <c r="G69" s="339" t="inlineStr">
        <is>
          <t>陈中帅</t>
        </is>
      </c>
      <c r="H69" s="339" t="inlineStr">
        <is>
          <t>黄铭怡</t>
        </is>
      </c>
      <c r="I69" s="339" t="inlineStr">
        <is>
          <t>高心怡04</t>
        </is>
      </c>
      <c r="J69" s="339" t="inlineStr">
        <is>
          <t>张敏烨</t>
        </is>
      </c>
      <c r="K69" s="339" t="n"/>
      <c r="L69" s="339" t="n"/>
      <c r="M69" s="339" t="n"/>
      <c r="N69" s="339" t="n"/>
      <c r="O69" s="339" t="n"/>
      <c r="P69" s="339" t="n"/>
      <c r="Q69" s="339" t="n">
        <v>86</v>
      </c>
      <c r="R69" s="339" t="n"/>
      <c r="S69" s="339" t="n"/>
      <c r="T69" s="339" t="inlineStr">
        <is>
          <t>是</t>
        </is>
      </c>
      <c r="U69" s="339" t="n"/>
      <c r="V69" s="339" t="n"/>
      <c r="W69" s="339" t="n"/>
      <c r="X69" s="339" t="n"/>
      <c r="Y69" s="339" t="n"/>
      <c r="Z69" s="339" t="n"/>
      <c r="AA69" s="339" t="n"/>
      <c r="AB69" s="339" t="n"/>
      <c r="AC69" s="339" t="n"/>
      <c r="AD69" s="339" t="n"/>
      <c r="AE69" s="339" t="n"/>
      <c r="AF69" s="339" t="n"/>
      <c r="AG69" s="339" t="n"/>
      <c r="AH69" s="339" t="n"/>
      <c r="AI69" s="359" t="n"/>
      <c r="AJ69" s="359" t="n"/>
      <c r="AK69" s="359" t="n"/>
      <c r="AL69" s="359" t="n"/>
      <c r="AM69" s="359" t="n"/>
    </row>
    <row r="70" ht="26.25" customHeight="1" s="1053">
      <c r="A70" s="339" t="inlineStr">
        <is>
          <t>新宝利</t>
        </is>
      </c>
      <c r="B70" s="339" t="inlineStr">
        <is>
          <t>二期</t>
        </is>
      </c>
      <c r="C70" s="339" t="n">
        <v>4513341</v>
      </c>
      <c r="D70" s="339" t="inlineStr">
        <is>
          <t>15:50-18:00</t>
        </is>
      </c>
      <c r="E70" s="339" t="inlineStr">
        <is>
          <t>启能班</t>
        </is>
      </c>
      <c r="F70" s="339" t="inlineStr">
        <is>
          <t>吴皓霖</t>
        </is>
      </c>
      <c r="G70" s="339" t="inlineStr">
        <is>
          <t>陈中帅</t>
        </is>
      </c>
      <c r="H70" s="339" t="n"/>
      <c r="I70" s="339" t="inlineStr">
        <is>
          <t>高心怡04</t>
        </is>
      </c>
      <c r="J70" s="339" t="inlineStr">
        <is>
          <t>杨林33</t>
        </is>
      </c>
      <c r="K70" s="339" t="n"/>
      <c r="L70" s="339" t="n"/>
      <c r="M70" s="339" t="n"/>
      <c r="N70" s="339" t="n"/>
      <c r="O70" s="339" t="n"/>
      <c r="P70" s="339" t="n"/>
      <c r="Q70" s="339" t="n">
        <v>65</v>
      </c>
      <c r="R70" s="339" t="n"/>
      <c r="S70" s="339" t="n"/>
      <c r="T70" s="339" t="inlineStr">
        <is>
          <t>是</t>
        </is>
      </c>
      <c r="U70" s="339" t="n"/>
      <c r="V70" s="339" t="n"/>
      <c r="W70" s="339" t="n"/>
      <c r="X70" s="339" t="n"/>
      <c r="Y70" s="339" t="n"/>
      <c r="Z70" s="339" t="n"/>
      <c r="AA70" s="339" t="n"/>
      <c r="AB70" s="339" t="n"/>
      <c r="AC70" s="339" t="n"/>
      <c r="AD70" s="339" t="n"/>
      <c r="AE70" s="339" t="n"/>
      <c r="AF70" s="339" t="n"/>
      <c r="AG70" s="339" t="n"/>
      <c r="AH70" s="339" t="inlineStr">
        <is>
          <t>是</t>
        </is>
      </c>
      <c r="AI70" s="359" t="n"/>
      <c r="AJ70" s="359" t="n"/>
      <c r="AK70" s="359" t="n"/>
      <c r="AL70" s="359" t="n"/>
      <c r="AM70" s="359" t="n"/>
    </row>
    <row r="71" ht="26.25" customHeight="1" s="1053">
      <c r="A71" s="339" t="inlineStr">
        <is>
          <t>新宝利</t>
        </is>
      </c>
      <c r="B71" s="339" t="inlineStr">
        <is>
          <t>二期</t>
        </is>
      </c>
      <c r="C71" s="339" t="n">
        <v>4513341</v>
      </c>
      <c r="D71" s="339" t="inlineStr">
        <is>
          <t>15:50-18:00</t>
        </is>
      </c>
      <c r="E71" s="339" t="inlineStr">
        <is>
          <t>启能班</t>
        </is>
      </c>
      <c r="F71" s="339" t="inlineStr">
        <is>
          <t>周炜婷</t>
        </is>
      </c>
      <c r="G71" s="339" t="inlineStr">
        <is>
          <t>陈中帅</t>
        </is>
      </c>
      <c r="H71" s="339" t="inlineStr">
        <is>
          <t>黄铭怡</t>
        </is>
      </c>
      <c r="I71" s="339" t="inlineStr">
        <is>
          <t>高心怡04</t>
        </is>
      </c>
      <c r="J71" s="339" t="inlineStr">
        <is>
          <t>张敏烨</t>
        </is>
      </c>
      <c r="K71" s="339" t="n"/>
      <c r="L71" s="339" t="inlineStr">
        <is>
          <t>南武附中</t>
        </is>
      </c>
      <c r="M71" s="339" t="n"/>
      <c r="N71" s="339" t="n"/>
      <c r="O71" s="339" t="n"/>
      <c r="P71" s="339" t="n"/>
      <c r="Q71" s="339" t="n">
        <v>70</v>
      </c>
      <c r="R71" s="339" t="n"/>
      <c r="S71" s="339" t="n"/>
      <c r="T71" s="339" t="inlineStr">
        <is>
          <t>是</t>
        </is>
      </c>
      <c r="U71" s="339" t="n"/>
      <c r="V71" s="339" t="n"/>
      <c r="W71" s="339" t="n"/>
      <c r="X71" s="339" t="n"/>
      <c r="Y71" s="339" t="n"/>
      <c r="Z71" s="339" t="n"/>
      <c r="AA71" s="339" t="n"/>
      <c r="AB71" s="339" t="n"/>
      <c r="AC71" s="339" t="n"/>
      <c r="AD71" s="339" t="n"/>
      <c r="AE71" s="339" t="n"/>
      <c r="AF71" s="339" t="n"/>
      <c r="AG71" s="339" t="n"/>
      <c r="AH71" s="339" t="n"/>
      <c r="AI71" s="359" t="n"/>
      <c r="AJ71" s="359" t="n"/>
      <c r="AK71" s="359" t="n"/>
      <c r="AL71" s="359" t="n"/>
      <c r="AM71" s="359" t="n"/>
    </row>
    <row r="72" ht="26.25" customHeight="1" s="1053">
      <c r="A72" s="339" t="inlineStr">
        <is>
          <t>新宝利</t>
        </is>
      </c>
      <c r="B72" s="339" t="inlineStr">
        <is>
          <t>二期</t>
        </is>
      </c>
      <c r="C72" s="339" t="n">
        <v>4513341</v>
      </c>
      <c r="D72" s="339" t="inlineStr">
        <is>
          <t>15:50-18:00</t>
        </is>
      </c>
      <c r="E72" s="339" t="inlineStr">
        <is>
          <t>启能班</t>
        </is>
      </c>
      <c r="F72" s="339" t="inlineStr">
        <is>
          <t>周芷萱</t>
        </is>
      </c>
      <c r="G72" s="339" t="inlineStr">
        <is>
          <t>陈中帅</t>
        </is>
      </c>
      <c r="H72" s="339" t="inlineStr">
        <is>
          <t>黄铭怡</t>
        </is>
      </c>
      <c r="I72" s="339" t="inlineStr">
        <is>
          <t>高心怡04</t>
        </is>
      </c>
      <c r="J72" s="339" t="inlineStr">
        <is>
          <t>尚歆01</t>
        </is>
      </c>
      <c r="K72" s="339" t="n"/>
      <c r="L72" s="339" t="n"/>
      <c r="M72" s="339" t="n"/>
      <c r="N72" s="339" t="n"/>
      <c r="O72" s="339" t="n"/>
      <c r="P72" s="339" t="n"/>
      <c r="Q72" s="339" t="n">
        <v>85</v>
      </c>
      <c r="R72" s="339" t="n"/>
      <c r="S72" s="339" t="n"/>
      <c r="T72" s="339" t="inlineStr">
        <is>
          <t>是</t>
        </is>
      </c>
      <c r="U72" s="339" t="n"/>
      <c r="V72" s="339" t="n"/>
      <c r="W72" s="339" t="n"/>
      <c r="X72" s="339" t="n"/>
      <c r="Y72" s="339" t="n"/>
      <c r="Z72" s="339" t="n"/>
      <c r="AA72" s="339" t="n"/>
      <c r="AB72" s="339" t="n"/>
      <c r="AC72" s="339" t="n"/>
      <c r="AD72" s="339" t="n"/>
      <c r="AE72" s="339" t="n"/>
      <c r="AF72" s="339" t="n"/>
      <c r="AG72" s="339" t="n"/>
      <c r="AH72" s="339" t="n"/>
      <c r="AI72" s="359" t="n"/>
      <c r="AJ72" s="359" t="n"/>
      <c r="AK72" s="359" t="n"/>
      <c r="AL72" s="359" t="n"/>
      <c r="AM72" s="359" t="n"/>
    </row>
    <row r="73" ht="26.25" customHeight="1" s="1053">
      <c r="A73" s="339" t="inlineStr">
        <is>
          <t>新宝利</t>
        </is>
      </c>
      <c r="B73" s="339" t="inlineStr">
        <is>
          <t>二期</t>
        </is>
      </c>
      <c r="C73" s="339" t="n">
        <v>4513341</v>
      </c>
      <c r="D73" s="339" t="inlineStr">
        <is>
          <t>15:50-18:00</t>
        </is>
      </c>
      <c r="E73" s="339" t="inlineStr">
        <is>
          <t>启能班</t>
        </is>
      </c>
      <c r="F73" s="339" t="inlineStr">
        <is>
          <t>岑宝锐</t>
        </is>
      </c>
      <c r="G73" s="339" t="inlineStr">
        <is>
          <t>陈中帅</t>
        </is>
      </c>
      <c r="H73" s="339" t="inlineStr">
        <is>
          <t>黄铭怡</t>
        </is>
      </c>
      <c r="I73" s="339" t="inlineStr">
        <is>
          <t>高心怡04</t>
        </is>
      </c>
      <c r="J73" s="339" t="inlineStr">
        <is>
          <t>张敏烨</t>
        </is>
      </c>
      <c r="K73" s="339" t="n"/>
      <c r="L73" s="339" t="n"/>
      <c r="M73" s="339" t="n"/>
      <c r="N73" s="339" t="n"/>
      <c r="O73" s="339" t="n"/>
      <c r="P73" s="339" t="n"/>
      <c r="Q73" s="339" t="n">
        <v>65</v>
      </c>
      <c r="R73" s="339" t="n"/>
      <c r="S73" s="339" t="n"/>
      <c r="T73" s="339" t="inlineStr">
        <is>
          <t>是</t>
        </is>
      </c>
      <c r="U73" s="339" t="n"/>
      <c r="V73" s="339" t="n"/>
      <c r="W73" s="339" t="n"/>
      <c r="X73" s="339" t="n"/>
      <c r="Y73" s="339" t="n"/>
      <c r="Z73" s="339" t="n"/>
      <c r="AA73" s="339" t="n"/>
      <c r="AB73" s="339" t="n"/>
      <c r="AC73" s="339" t="n"/>
      <c r="AD73" s="339" t="n"/>
      <c r="AE73" s="339" t="n"/>
      <c r="AF73" s="339" t="n"/>
      <c r="AG73" s="339" t="n"/>
      <c r="AH73" s="339" t="inlineStr">
        <is>
          <t>是</t>
        </is>
      </c>
      <c r="AI73" s="359" t="n"/>
      <c r="AJ73" s="359" t="n"/>
      <c r="AK73" s="359" t="n"/>
      <c r="AL73" s="359" t="n"/>
      <c r="AM73" s="359" t="n"/>
    </row>
    <row r="74" ht="26.25" customHeight="1" s="1053">
      <c r="A74" s="339" t="inlineStr">
        <is>
          <t>新宝利</t>
        </is>
      </c>
      <c r="B74" s="339" t="inlineStr">
        <is>
          <t>二期</t>
        </is>
      </c>
      <c r="C74" s="339" t="n">
        <v>4513341</v>
      </c>
      <c r="D74" s="339" t="inlineStr">
        <is>
          <t>15:50-18:00</t>
        </is>
      </c>
      <c r="E74" s="339" t="inlineStr">
        <is>
          <t>启能班</t>
        </is>
      </c>
      <c r="F74" s="339" t="inlineStr">
        <is>
          <t>庄梓轩</t>
        </is>
      </c>
      <c r="G74" s="339" t="inlineStr">
        <is>
          <t>陈中帅</t>
        </is>
      </c>
      <c r="H74" s="339" t="inlineStr">
        <is>
          <t>黄铭怡</t>
        </is>
      </c>
      <c r="I74" s="339" t="inlineStr">
        <is>
          <t>高心怡04</t>
        </is>
      </c>
      <c r="J74" s="339" t="inlineStr">
        <is>
          <t>苏丽婷</t>
        </is>
      </c>
      <c r="K74" s="339" t="n"/>
      <c r="L74" s="339" t="n"/>
      <c r="M74" s="339" t="n"/>
      <c r="N74" s="339" t="n"/>
      <c r="O74" s="339" t="n"/>
      <c r="P74" s="339" t="n">
        <v>87</v>
      </c>
      <c r="Q74" s="339" t="n"/>
      <c r="R74" s="339" t="n"/>
      <c r="S74" s="339" t="n"/>
      <c r="T74" s="339" t="inlineStr">
        <is>
          <t>是</t>
        </is>
      </c>
      <c r="U74" s="339" t="n"/>
      <c r="V74" s="339" t="n"/>
      <c r="W74" s="339" t="n"/>
      <c r="X74" s="339" t="n"/>
      <c r="Y74" s="339" t="n"/>
      <c r="Z74" s="339" t="n"/>
      <c r="AA74" s="339" t="n"/>
      <c r="AB74" s="339" t="n"/>
      <c r="AC74" s="339" t="n"/>
      <c r="AD74" s="339" t="n"/>
      <c r="AE74" s="339" t="n"/>
      <c r="AF74" s="339" t="n"/>
      <c r="AG74" s="339" t="n"/>
      <c r="AH74" s="339" t="n"/>
      <c r="AI74" s="359" t="n"/>
      <c r="AJ74" s="359" t="n"/>
      <c r="AK74" s="359" t="n"/>
      <c r="AL74" s="359" t="n"/>
      <c r="AM74" s="359" t="n"/>
    </row>
    <row r="75" ht="26.25" customHeight="1" s="1053">
      <c r="A75" s="339" t="inlineStr">
        <is>
          <t>新宝利</t>
        </is>
      </c>
      <c r="B75" s="339" t="inlineStr">
        <is>
          <t>二期</t>
        </is>
      </c>
      <c r="C75" s="339" t="n">
        <v>4513341</v>
      </c>
      <c r="D75" s="339" t="inlineStr">
        <is>
          <t>15:50-18:00</t>
        </is>
      </c>
      <c r="E75" s="339" t="inlineStr">
        <is>
          <t>启能班</t>
        </is>
      </c>
      <c r="F75" s="339" t="inlineStr">
        <is>
          <t>张樽昊</t>
        </is>
      </c>
      <c r="G75" s="339" t="inlineStr">
        <is>
          <t>陈中帅</t>
        </is>
      </c>
      <c r="H75" s="339" t="inlineStr">
        <is>
          <t>黄铭怡</t>
        </is>
      </c>
      <c r="I75" s="339" t="inlineStr">
        <is>
          <t>高心怡04</t>
        </is>
      </c>
      <c r="J75" s="339" t="inlineStr">
        <is>
          <t>沈思浩</t>
        </is>
      </c>
      <c r="K75" s="339" t="n"/>
      <c r="L75" s="339" t="n"/>
      <c r="M75" s="339" t="n"/>
      <c r="N75" s="339" t="n"/>
      <c r="O75" s="339" t="n"/>
      <c r="P75" s="339" t="n"/>
      <c r="Q75" s="339" t="n">
        <v>85</v>
      </c>
      <c r="R75" s="339" t="n"/>
      <c r="S75" s="339" t="n"/>
      <c r="T75" s="339" t="inlineStr">
        <is>
          <t>是</t>
        </is>
      </c>
      <c r="U75" s="339" t="n"/>
      <c r="V75" s="339" t="n"/>
      <c r="W75" s="339" t="n"/>
      <c r="X75" s="339" t="n"/>
      <c r="Y75" s="339" t="n"/>
      <c r="Z75" s="339" t="n"/>
      <c r="AA75" s="339" t="n"/>
      <c r="AB75" s="339" t="n"/>
      <c r="AC75" s="339" t="n"/>
      <c r="AD75" s="339" t="n"/>
      <c r="AE75" s="339" t="n"/>
      <c r="AF75" s="339" t="n"/>
      <c r="AG75" s="339" t="n"/>
      <c r="AH75" s="339" t="n"/>
      <c r="AI75" s="359" t="n"/>
      <c r="AJ75" s="359" t="n"/>
      <c r="AK75" s="359" t="n"/>
      <c r="AL75" s="359" t="n"/>
      <c r="AM75" s="359" t="n"/>
    </row>
    <row r="76" ht="26.25" customHeight="1" s="1053">
      <c r="A76" s="339" t="inlineStr">
        <is>
          <t>新宝利</t>
        </is>
      </c>
      <c r="B76" s="339" t="inlineStr">
        <is>
          <t>二期</t>
        </is>
      </c>
      <c r="C76" s="339" t="n">
        <v>4513341</v>
      </c>
      <c r="D76" s="339" t="inlineStr">
        <is>
          <t>15:50-18:00</t>
        </is>
      </c>
      <c r="E76" s="339" t="inlineStr">
        <is>
          <t>启能班</t>
        </is>
      </c>
      <c r="F76" s="339" t="inlineStr">
        <is>
          <t>张瑞桐</t>
        </is>
      </c>
      <c r="G76" s="339" t="inlineStr">
        <is>
          <t>陈中帅</t>
        </is>
      </c>
      <c r="H76" s="339" t="inlineStr">
        <is>
          <t>黄铭怡</t>
        </is>
      </c>
      <c r="I76" s="339" t="inlineStr">
        <is>
          <t>高心怡04</t>
        </is>
      </c>
      <c r="J76" s="339" t="inlineStr">
        <is>
          <t>张敏烨</t>
        </is>
      </c>
      <c r="K76" s="339" t="n"/>
      <c r="L76" s="339" t="n"/>
      <c r="M76" s="339" t="n"/>
      <c r="N76" s="339" t="n"/>
      <c r="O76" s="339" t="n"/>
      <c r="P76" s="339" t="n"/>
      <c r="Q76" s="339" t="n">
        <v>92</v>
      </c>
      <c r="R76" s="339" t="n"/>
      <c r="S76" s="339" t="n"/>
      <c r="T76" s="339" t="inlineStr">
        <is>
          <t>是</t>
        </is>
      </c>
      <c r="U76" s="339" t="n"/>
      <c r="V76" s="339" t="n"/>
      <c r="W76" s="339" t="n"/>
      <c r="X76" s="339" t="n"/>
      <c r="Y76" s="339" t="n"/>
      <c r="Z76" s="339" t="n"/>
      <c r="AA76" s="339" t="n"/>
      <c r="AB76" s="339" t="n"/>
      <c r="AC76" s="339" t="n"/>
      <c r="AD76" s="339" t="n"/>
      <c r="AE76" s="339" t="n"/>
      <c r="AF76" s="339" t="n"/>
      <c r="AG76" s="339" t="n"/>
      <c r="AH76" s="339" t="n"/>
      <c r="AI76" s="359" t="n"/>
      <c r="AJ76" s="359" t="n"/>
      <c r="AK76" s="359" t="n"/>
      <c r="AL76" s="359" t="n"/>
      <c r="AM76" s="359" t="n"/>
    </row>
    <row r="77" ht="26.25" customHeight="1" s="1053">
      <c r="A77" s="339" t="inlineStr">
        <is>
          <t>新宝利</t>
        </is>
      </c>
      <c r="B77" s="339" t="inlineStr">
        <is>
          <t>二期</t>
        </is>
      </c>
      <c r="C77" s="339" t="n">
        <v>4513341</v>
      </c>
      <c r="D77" s="339" t="inlineStr">
        <is>
          <t>15:50-18:00</t>
        </is>
      </c>
      <c r="E77" s="339" t="inlineStr">
        <is>
          <t>启能班</t>
        </is>
      </c>
      <c r="F77" s="339" t="inlineStr">
        <is>
          <t>文犀</t>
        </is>
      </c>
      <c r="G77" s="339" t="inlineStr">
        <is>
          <t>陈中帅</t>
        </is>
      </c>
      <c r="H77" s="339" t="n"/>
      <c r="I77" s="339" t="n"/>
      <c r="J77" s="339" t="inlineStr">
        <is>
          <t>张敏烨</t>
        </is>
      </c>
      <c r="K77" s="339" t="n"/>
      <c r="L77" s="339" t="n"/>
      <c r="M77" s="339" t="n"/>
      <c r="N77" s="339" t="n"/>
      <c r="O77" s="339" t="n"/>
      <c r="P77" s="339" t="n"/>
      <c r="Q77" s="339" t="n">
        <v>94</v>
      </c>
      <c r="R77" s="339" t="n"/>
      <c r="S77" s="339" t="n"/>
      <c r="T77" s="339" t="inlineStr">
        <is>
          <t>是</t>
        </is>
      </c>
      <c r="U77" s="339" t="n"/>
      <c r="V77" s="339" t="n"/>
      <c r="W77" s="339" t="n"/>
      <c r="X77" s="339" t="n"/>
      <c r="Y77" s="339" t="n"/>
      <c r="Z77" s="339" t="n"/>
      <c r="AA77" s="339" t="n"/>
      <c r="AB77" s="339" t="n"/>
      <c r="AC77" s="339" t="n"/>
      <c r="AD77" s="339" t="n"/>
      <c r="AE77" s="339" t="n"/>
      <c r="AF77" s="339" t="n"/>
      <c r="AG77" s="339" t="n"/>
      <c r="AH77" s="339" t="inlineStr">
        <is>
          <t>是</t>
        </is>
      </c>
      <c r="AI77" s="359" t="n"/>
      <c r="AJ77" s="359" t="n"/>
      <c r="AK77" s="359" t="n"/>
      <c r="AL77" s="359" t="n"/>
      <c r="AM77" s="359" t="n"/>
    </row>
    <row r="78" ht="26.25" customHeight="1" s="1053">
      <c r="A78" s="339" t="inlineStr">
        <is>
          <t>新宝利</t>
        </is>
      </c>
      <c r="B78" s="339" t="inlineStr">
        <is>
          <t>二期</t>
        </is>
      </c>
      <c r="C78" s="339" t="n">
        <v>4513341</v>
      </c>
      <c r="D78" s="339" t="inlineStr">
        <is>
          <t>15:50-18:00</t>
        </is>
      </c>
      <c r="E78" s="339" t="inlineStr">
        <is>
          <t>启能班</t>
        </is>
      </c>
      <c r="F78" s="339" t="inlineStr">
        <is>
          <t>曹梓晴</t>
        </is>
      </c>
      <c r="G78" s="339" t="inlineStr">
        <is>
          <t>陈中帅</t>
        </is>
      </c>
      <c r="H78" s="339" t="inlineStr">
        <is>
          <t>黄铭怡</t>
        </is>
      </c>
      <c r="I78" s="339" t="inlineStr">
        <is>
          <t>高心怡04</t>
        </is>
      </c>
      <c r="J78" s="339" t="inlineStr">
        <is>
          <t>张敏烨</t>
        </is>
      </c>
      <c r="K78" s="339" t="n"/>
      <c r="L78" s="339" t="n"/>
      <c r="M78" s="339" t="n"/>
      <c r="N78" s="339" t="n"/>
      <c r="O78" s="339" t="n"/>
      <c r="P78" s="339" t="n"/>
      <c r="Q78" s="339" t="n">
        <v>82</v>
      </c>
      <c r="R78" s="339" t="n"/>
      <c r="S78" s="339" t="n"/>
      <c r="T78" s="339" t="inlineStr">
        <is>
          <t>是</t>
        </is>
      </c>
      <c r="U78" s="339" t="n"/>
      <c r="V78" s="339" t="n"/>
      <c r="W78" s="339" t="n"/>
      <c r="X78" s="339" t="n"/>
      <c r="Y78" s="339" t="n"/>
      <c r="Z78" s="339" t="n"/>
      <c r="AA78" s="339" t="n"/>
      <c r="AB78" s="339" t="n"/>
      <c r="AC78" s="339" t="n"/>
      <c r="AD78" s="339" t="n"/>
      <c r="AE78" s="339" t="n"/>
      <c r="AF78" s="339" t="n"/>
      <c r="AG78" s="339" t="n"/>
      <c r="AH78" s="339" t="n"/>
      <c r="AI78" s="359" t="n"/>
      <c r="AJ78" s="359" t="n"/>
      <c r="AK78" s="359" t="n"/>
      <c r="AL78" s="359" t="n"/>
      <c r="AM78" s="359" t="n"/>
    </row>
    <row r="79" ht="26.25" customHeight="1" s="1053">
      <c r="A79" s="339" t="inlineStr">
        <is>
          <t>新宝利</t>
        </is>
      </c>
      <c r="B79" s="339" t="inlineStr">
        <is>
          <t>二期</t>
        </is>
      </c>
      <c r="C79" s="339" t="n">
        <v>4513341</v>
      </c>
      <c r="D79" s="339" t="inlineStr">
        <is>
          <t>15:50-18:00</t>
        </is>
      </c>
      <c r="E79" s="339" t="inlineStr">
        <is>
          <t>启能班</t>
        </is>
      </c>
      <c r="F79" s="339" t="inlineStr">
        <is>
          <t>李奕翔</t>
        </is>
      </c>
      <c r="G79" s="339" t="inlineStr">
        <is>
          <t>陈中帅</t>
        </is>
      </c>
      <c r="H79" s="339" t="inlineStr">
        <is>
          <t>黄铭怡</t>
        </is>
      </c>
      <c r="I79" s="339" t="inlineStr">
        <is>
          <t>高心怡04</t>
        </is>
      </c>
      <c r="J79" s="339" t="inlineStr">
        <is>
          <t>杨林33</t>
        </is>
      </c>
      <c r="K79" s="339" t="n"/>
      <c r="L79" s="339" t="n"/>
      <c r="M79" s="339" t="n"/>
      <c r="N79" s="339" t="n"/>
      <c r="O79" s="339" t="n"/>
      <c r="P79" s="339" t="n"/>
      <c r="Q79" s="339" t="n">
        <v>74</v>
      </c>
      <c r="R79" s="339" t="n"/>
      <c r="S79" s="339" t="n"/>
      <c r="T79" s="339" t="inlineStr">
        <is>
          <t>是</t>
        </is>
      </c>
      <c r="U79" s="339" t="n"/>
      <c r="V79" s="339" t="n"/>
      <c r="W79" s="339" t="n"/>
      <c r="X79" s="339" t="n"/>
      <c r="Y79" s="339" t="n"/>
      <c r="Z79" s="339" t="n"/>
      <c r="AA79" s="339" t="n"/>
      <c r="AB79" s="339" t="n"/>
      <c r="AC79" s="339" t="n"/>
      <c r="AD79" s="339" t="n"/>
      <c r="AE79" s="339" t="n"/>
      <c r="AF79" s="339" t="n"/>
      <c r="AG79" s="339" t="n"/>
      <c r="AH79" s="339" t="n"/>
      <c r="AI79" s="359" t="n"/>
      <c r="AJ79" s="359" t="n"/>
      <c r="AK79" s="359" t="n"/>
      <c r="AL79" s="359" t="n"/>
      <c r="AM79" s="359" t="n"/>
    </row>
    <row r="80" ht="26.25" customHeight="1" s="1053">
      <c r="A80" s="339" t="inlineStr">
        <is>
          <t>新宝利</t>
        </is>
      </c>
      <c r="B80" s="339" t="inlineStr">
        <is>
          <t>二期</t>
        </is>
      </c>
      <c r="C80" s="339" t="n">
        <v>4513341</v>
      </c>
      <c r="D80" s="339" t="inlineStr">
        <is>
          <t>15:50-18:00</t>
        </is>
      </c>
      <c r="E80" s="339" t="inlineStr">
        <is>
          <t>启能班</t>
        </is>
      </c>
      <c r="F80" s="339" t="inlineStr">
        <is>
          <t>李晴曦</t>
        </is>
      </c>
      <c r="G80" s="339" t="inlineStr">
        <is>
          <t>陈中帅</t>
        </is>
      </c>
      <c r="H80" s="339" t="n"/>
      <c r="I80" s="339" t="n"/>
      <c r="J80" s="339" t="n"/>
      <c r="K80" s="339" t="n"/>
      <c r="L80" s="339" t="n"/>
      <c r="M80" s="339" t="n"/>
      <c r="N80" s="339" t="n"/>
      <c r="O80" s="339" t="n"/>
      <c r="P80" s="339" t="n"/>
      <c r="Q80" s="339" t="n">
        <v>60</v>
      </c>
      <c r="R80" s="339" t="n"/>
      <c r="S80" s="339" t="n"/>
      <c r="T80" s="339" t="inlineStr">
        <is>
          <t>是</t>
        </is>
      </c>
      <c r="U80" s="339" t="n"/>
      <c r="V80" s="339" t="n"/>
      <c r="W80" s="339" t="n"/>
      <c r="X80" s="339" t="n"/>
      <c r="Y80" s="339" t="n"/>
      <c r="Z80" s="339" t="n"/>
      <c r="AA80" s="339" t="n"/>
      <c r="AB80" s="339" t="n"/>
      <c r="AC80" s="339" t="n"/>
      <c r="AD80" s="339" t="n"/>
      <c r="AE80" s="339" t="n"/>
      <c r="AF80" s="339" t="n"/>
      <c r="AG80" s="339" t="n"/>
      <c r="AH80" s="339" t="inlineStr">
        <is>
          <t>是</t>
        </is>
      </c>
      <c r="AI80" s="359" t="n"/>
      <c r="AJ80" s="359" t="n"/>
      <c r="AK80" s="359" t="n"/>
      <c r="AL80" s="359" t="n"/>
      <c r="AM80" s="359" t="n"/>
    </row>
    <row r="81" ht="26.25" customHeight="1" s="1053">
      <c r="A81" s="339" t="inlineStr">
        <is>
          <t>新宝利</t>
        </is>
      </c>
      <c r="B81" s="339" t="inlineStr">
        <is>
          <t>二期</t>
        </is>
      </c>
      <c r="C81" s="339" t="n">
        <v>4513341</v>
      </c>
      <c r="D81" s="339" t="inlineStr">
        <is>
          <t>15:50-18:00</t>
        </is>
      </c>
      <c r="E81" s="339" t="inlineStr">
        <is>
          <t>启能班</t>
        </is>
      </c>
      <c r="F81" s="339" t="inlineStr">
        <is>
          <t>梁悦轩</t>
        </is>
      </c>
      <c r="G81" s="339" t="inlineStr">
        <is>
          <t>陈中帅</t>
        </is>
      </c>
      <c r="H81" s="339" t="inlineStr">
        <is>
          <t>黄铭怡</t>
        </is>
      </c>
      <c r="I81" s="339" t="inlineStr">
        <is>
          <t>高心怡04</t>
        </is>
      </c>
      <c r="J81" s="339" t="inlineStr">
        <is>
          <t>林志豪01</t>
        </is>
      </c>
      <c r="K81" s="339" t="n"/>
      <c r="L81" s="339" t="n"/>
      <c r="M81" s="339" t="n"/>
      <c r="N81" s="339" t="n"/>
      <c r="O81" s="339" t="inlineStr">
        <is>
          <t>关浩言转介绍</t>
        </is>
      </c>
      <c r="P81" s="339" t="n"/>
      <c r="Q81" s="339" t="n">
        <v>86</v>
      </c>
      <c r="R81" s="339" t="n"/>
      <c r="S81" s="339" t="n"/>
      <c r="T81" s="339" t="inlineStr">
        <is>
          <t>是</t>
        </is>
      </c>
      <c r="U81" s="339" t="n"/>
      <c r="V81" s="339" t="n"/>
      <c r="W81" s="339" t="n"/>
      <c r="X81" s="339" t="n"/>
      <c r="Y81" s="339" t="n"/>
      <c r="Z81" s="339" t="n"/>
      <c r="AA81" s="339" t="n"/>
      <c r="AB81" s="339" t="n"/>
      <c r="AC81" s="339" t="n"/>
      <c r="AD81" s="339" t="n"/>
      <c r="AE81" s="339" t="n"/>
      <c r="AF81" s="339" t="n"/>
      <c r="AG81" s="339" t="n"/>
      <c r="AH81" s="339" t="n"/>
      <c r="AI81" s="359" t="n"/>
      <c r="AJ81" s="359" t="n"/>
      <c r="AK81" s="359" t="n"/>
      <c r="AL81" s="359" t="n"/>
      <c r="AM81" s="359" t="n"/>
    </row>
    <row r="82" ht="26.25" customHeight="1" s="1053">
      <c r="A82" s="340" t="inlineStr">
        <is>
          <t>新宝利</t>
        </is>
      </c>
      <c r="B82" s="340" t="inlineStr">
        <is>
          <t>二期</t>
        </is>
      </c>
      <c r="C82" s="340" t="n">
        <v>4513341</v>
      </c>
      <c r="D82" s="340" t="inlineStr">
        <is>
          <t>15:50-18:00</t>
        </is>
      </c>
      <c r="E82" s="340" t="inlineStr">
        <is>
          <t>启能班</t>
        </is>
      </c>
      <c r="F82" s="340" t="inlineStr">
        <is>
          <t>梁雅茹</t>
        </is>
      </c>
      <c r="G82" s="340" t="inlineStr">
        <is>
          <t>陈中帅</t>
        </is>
      </c>
      <c r="H82" s="340" t="n"/>
      <c r="I82" s="340" t="n"/>
      <c r="J82" s="340" t="inlineStr">
        <is>
          <t>林志豪01</t>
        </is>
      </c>
      <c r="K82" s="340" t="n"/>
      <c r="L82" s="340" t="n"/>
      <c r="M82" s="340" t="n"/>
      <c r="N82" s="340" t="n"/>
      <c r="O82" s="340" t="n"/>
      <c r="P82" s="340" t="n"/>
      <c r="Q82" s="340" t="n"/>
      <c r="R82" s="340" t="n"/>
      <c r="S82" s="340" t="n"/>
      <c r="T82" s="340" t="n"/>
      <c r="U82" s="340" t="n"/>
      <c r="V82" s="340" t="n"/>
      <c r="W82" s="340" t="n"/>
      <c r="X82" s="340" t="n"/>
      <c r="Y82" s="340" t="n"/>
      <c r="Z82" s="340" t="n"/>
      <c r="AA82" s="340" t="n"/>
      <c r="AB82" s="340" t="n"/>
      <c r="AC82" s="340" t="n"/>
      <c r="AD82" s="340" t="n"/>
      <c r="AE82" s="340" t="n"/>
      <c r="AF82" s="340" t="n"/>
      <c r="AG82" s="340" t="n"/>
      <c r="AH82" s="340" t="n"/>
      <c r="AI82" s="359" t="n"/>
      <c r="AJ82" s="359" t="n"/>
      <c r="AK82" s="359" t="n"/>
      <c r="AL82" s="359" t="n"/>
      <c r="AM82" s="359" t="n"/>
    </row>
    <row r="83" ht="26.25" customHeight="1" s="1053">
      <c r="A83" s="340" t="inlineStr">
        <is>
          <t>新宝利</t>
        </is>
      </c>
      <c r="B83" s="340" t="inlineStr">
        <is>
          <t>二期</t>
        </is>
      </c>
      <c r="C83" s="340" t="n">
        <v>4513341</v>
      </c>
      <c r="D83" s="340" t="inlineStr">
        <is>
          <t>15:50-18:00</t>
        </is>
      </c>
      <c r="E83" s="340" t="inlineStr">
        <is>
          <t>启能班</t>
        </is>
      </c>
      <c r="F83" s="340" t="inlineStr">
        <is>
          <t>温培烨</t>
        </is>
      </c>
      <c r="G83" s="340" t="inlineStr">
        <is>
          <t>陈中帅</t>
        </is>
      </c>
      <c r="H83" s="340" t="n"/>
      <c r="I83" s="340" t="n"/>
      <c r="J83" s="340" t="inlineStr">
        <is>
          <t>张敏烨</t>
        </is>
      </c>
      <c r="K83" s="340" t="n"/>
      <c r="L83" s="340" t="n"/>
      <c r="M83" s="340" t="n"/>
      <c r="N83" s="340" t="n"/>
      <c r="O83" s="340" t="n"/>
      <c r="P83" s="340" t="n"/>
      <c r="Q83" s="340" t="n"/>
      <c r="R83" s="340" t="n"/>
      <c r="S83" s="340" t="n"/>
      <c r="T83" s="340" t="n"/>
      <c r="U83" s="340" t="n"/>
      <c r="V83" s="340" t="n"/>
      <c r="W83" s="340" t="n"/>
      <c r="X83" s="340" t="n"/>
      <c r="Y83" s="340" t="n"/>
      <c r="Z83" s="340" t="n"/>
      <c r="AA83" s="340" t="n"/>
      <c r="AB83" s="340" t="n"/>
      <c r="AC83" s="340" t="n"/>
      <c r="AD83" s="340" t="n"/>
      <c r="AE83" s="340" t="n"/>
      <c r="AF83" s="340" t="n"/>
      <c r="AG83" s="340" t="n"/>
      <c r="AH83" s="340" t="n"/>
      <c r="AI83" s="359" t="n"/>
      <c r="AJ83" s="359" t="n"/>
      <c r="AK83" s="359" t="n"/>
      <c r="AL83" s="359" t="n"/>
      <c r="AM83" s="359" t="n"/>
    </row>
    <row r="84" ht="26.25" customHeight="1" s="1053">
      <c r="A84" s="340" t="inlineStr">
        <is>
          <t>新宝利</t>
        </is>
      </c>
      <c r="B84" s="340" t="inlineStr">
        <is>
          <t>二期</t>
        </is>
      </c>
      <c r="C84" s="340" t="n">
        <v>4513341</v>
      </c>
      <c r="D84" s="340" t="inlineStr">
        <is>
          <t>15:50-18:00</t>
        </is>
      </c>
      <c r="E84" s="340" t="inlineStr">
        <is>
          <t>启能班</t>
        </is>
      </c>
      <c r="F84" s="340" t="inlineStr">
        <is>
          <t>肖尧</t>
        </is>
      </c>
      <c r="G84" s="340" t="inlineStr">
        <is>
          <t>陈中帅</t>
        </is>
      </c>
      <c r="H84" s="340" t="n"/>
      <c r="I84" s="340" t="n"/>
      <c r="J84" s="340" t="inlineStr">
        <is>
          <t>张敏烨</t>
        </is>
      </c>
      <c r="K84" s="340" t="n"/>
      <c r="L84" s="340" t="n"/>
      <c r="M84" s="340" t="n"/>
      <c r="N84" s="340" t="n"/>
      <c r="O84" s="340" t="n"/>
      <c r="P84" s="340" t="n"/>
      <c r="Q84" s="340" t="n"/>
      <c r="R84" s="340" t="n"/>
      <c r="S84" s="340" t="n"/>
      <c r="T84" s="340" t="n"/>
      <c r="U84" s="340" t="n"/>
      <c r="V84" s="340" t="n"/>
      <c r="W84" s="340" t="n"/>
      <c r="X84" s="340" t="n"/>
      <c r="Y84" s="340" t="n"/>
      <c r="Z84" s="340" t="n"/>
      <c r="AA84" s="340" t="n"/>
      <c r="AB84" s="340" t="n"/>
      <c r="AC84" s="340" t="n"/>
      <c r="AD84" s="340" t="n"/>
      <c r="AE84" s="340" t="n"/>
      <c r="AF84" s="340" t="n"/>
      <c r="AG84" s="340" t="n"/>
      <c r="AH84" s="340" t="n"/>
      <c r="AI84" s="359" t="n"/>
      <c r="AJ84" s="359" t="n"/>
      <c r="AK84" s="359" t="n"/>
      <c r="AL84" s="359" t="n"/>
      <c r="AM84" s="359" t="n"/>
    </row>
    <row r="85" ht="26.25" customHeight="1" s="1053">
      <c r="A85" s="339" t="inlineStr">
        <is>
          <t>同创汇</t>
        </is>
      </c>
      <c r="B85" s="339" t="inlineStr">
        <is>
          <t>二期</t>
        </is>
      </c>
      <c r="C85" s="339" t="n">
        <v>4513341</v>
      </c>
      <c r="D85" s="339" t="inlineStr">
        <is>
          <t>15:50-18:00</t>
        </is>
      </c>
      <c r="E85" s="339" t="inlineStr">
        <is>
          <t>启能班</t>
        </is>
      </c>
      <c r="F85" s="339" t="inlineStr">
        <is>
          <t>邱子轩</t>
        </is>
      </c>
      <c r="G85" s="339" t="inlineStr">
        <is>
          <t>陈中帅</t>
        </is>
      </c>
      <c r="H85" s="339" t="inlineStr">
        <is>
          <t>黄铭怡</t>
        </is>
      </c>
      <c r="I85" s="339" t="inlineStr">
        <is>
          <t>高心怡04</t>
        </is>
      </c>
      <c r="J85" s="339" t="inlineStr">
        <is>
          <t>戎凯01</t>
        </is>
      </c>
      <c r="K85" s="339" t="n"/>
      <c r="L85" s="339" t="n"/>
      <c r="M85" s="339" t="n"/>
      <c r="N85" s="339" t="n"/>
      <c r="O85" s="339" t="n"/>
      <c r="P85" s="339" t="n"/>
      <c r="Q85" s="339" t="n">
        <v>80</v>
      </c>
      <c r="R85" s="339" t="n"/>
      <c r="S85" s="339" t="n"/>
      <c r="T85" s="339" t="inlineStr">
        <is>
          <t>是</t>
        </is>
      </c>
      <c r="U85" s="339" t="n"/>
      <c r="V85" s="339" t="n"/>
      <c r="W85" s="339" t="n"/>
      <c r="X85" s="339" t="n"/>
      <c r="Y85" s="339" t="n"/>
      <c r="Z85" s="339" t="n"/>
      <c r="AA85" s="339" t="n"/>
      <c r="AB85" s="339" t="n"/>
      <c r="AC85" s="339" t="n"/>
      <c r="AD85" s="339" t="n"/>
      <c r="AE85" s="339" t="n"/>
      <c r="AF85" s="339" t="n"/>
      <c r="AG85" s="339" t="n"/>
      <c r="AH85" s="339" t="inlineStr">
        <is>
          <t>是</t>
        </is>
      </c>
      <c r="AI85" s="359" t="n"/>
      <c r="AJ85" s="359" t="n"/>
      <c r="AK85" s="359" t="n"/>
      <c r="AL85" s="359" t="n"/>
      <c r="AM85" s="359" t="n"/>
    </row>
    <row r="86" ht="26.25" customHeight="1" s="1053">
      <c r="A86" s="339" t="inlineStr">
        <is>
          <t>新宝利</t>
        </is>
      </c>
      <c r="B86" s="339" t="inlineStr">
        <is>
          <t>二期</t>
        </is>
      </c>
      <c r="C86" s="339" t="n">
        <v>4513341</v>
      </c>
      <c r="D86" s="339" t="inlineStr">
        <is>
          <t>15:50-18:00</t>
        </is>
      </c>
      <c r="E86" s="339" t="inlineStr">
        <is>
          <t>启能班</t>
        </is>
      </c>
      <c r="F86" s="339" t="inlineStr">
        <is>
          <t>邹子慧</t>
        </is>
      </c>
      <c r="G86" s="339" t="inlineStr">
        <is>
          <t>陈中帅</t>
        </is>
      </c>
      <c r="H86" s="339" t="inlineStr">
        <is>
          <t>李润</t>
        </is>
      </c>
      <c r="I86" s="339" t="inlineStr">
        <is>
          <t>高心怡04</t>
        </is>
      </c>
      <c r="J86" s="339" t="inlineStr">
        <is>
          <t>沈思浩</t>
        </is>
      </c>
      <c r="K86" s="339" t="n"/>
      <c r="L86" s="339" t="n"/>
      <c r="M86" s="339" t="n"/>
      <c r="N86" s="339" t="n"/>
      <c r="O86" s="339" t="n"/>
      <c r="P86" s="339" t="n">
        <v>72</v>
      </c>
      <c r="Q86" s="339" t="n"/>
      <c r="R86" s="339" t="n"/>
      <c r="S86" s="339" t="n"/>
      <c r="T86" s="339" t="inlineStr">
        <is>
          <t>是</t>
        </is>
      </c>
      <c r="U86" s="339" t="n"/>
      <c r="V86" s="339" t="n"/>
      <c r="W86" s="339" t="n"/>
      <c r="X86" s="339" t="n"/>
      <c r="Y86" s="339" t="n"/>
      <c r="Z86" s="339" t="n"/>
      <c r="AA86" s="339" t="n"/>
      <c r="AB86" s="339" t="n"/>
      <c r="AC86" s="339" t="n"/>
      <c r="AD86" s="339" t="n"/>
      <c r="AE86" s="339" t="n"/>
      <c r="AF86" s="339" t="n"/>
      <c r="AG86" s="339" t="n"/>
      <c r="AH86" s="339" t="n"/>
      <c r="AI86" s="359" t="n"/>
      <c r="AJ86" s="359" t="n"/>
      <c r="AK86" s="359" t="n"/>
      <c r="AL86" s="359" t="n"/>
      <c r="AM86" s="359" t="n"/>
    </row>
    <row r="87" ht="26.25" customHeight="1" s="1053">
      <c r="A87" s="339" t="inlineStr">
        <is>
          <t>新宝利</t>
        </is>
      </c>
      <c r="B87" s="339" t="inlineStr">
        <is>
          <t>二期</t>
        </is>
      </c>
      <c r="C87" s="339" t="n">
        <v>4513341</v>
      </c>
      <c r="D87" s="339" t="inlineStr">
        <is>
          <t>15:50-18:00</t>
        </is>
      </c>
      <c r="E87" s="339" t="inlineStr">
        <is>
          <t>启能班</t>
        </is>
      </c>
      <c r="F87" s="339" t="inlineStr">
        <is>
          <t>郑本熙</t>
        </is>
      </c>
      <c r="G87" s="339" t="inlineStr">
        <is>
          <t>陈中帅</t>
        </is>
      </c>
      <c r="H87" s="339" t="inlineStr">
        <is>
          <t>黄铭怡</t>
        </is>
      </c>
      <c r="I87" s="339" t="inlineStr">
        <is>
          <t>高心怡04</t>
        </is>
      </c>
      <c r="J87" s="339" t="inlineStr">
        <is>
          <t>沈思浩</t>
        </is>
      </c>
      <c r="K87" s="339" t="inlineStr">
        <is>
          <t>东风西路小学</t>
        </is>
      </c>
      <c r="L87" s="339" t="inlineStr">
        <is>
          <t>17中学</t>
        </is>
      </c>
      <c r="M87" s="339" t="n"/>
      <c r="N87" s="339" t="n"/>
      <c r="O87" s="339" t="n"/>
      <c r="P87" s="339" t="n"/>
      <c r="Q87" s="339" t="n">
        <v>64</v>
      </c>
      <c r="R87" s="339" t="n"/>
      <c r="S87" s="339" t="n"/>
      <c r="T87" s="339" t="inlineStr">
        <is>
          <t>是</t>
        </is>
      </c>
      <c r="U87" s="339" t="n"/>
      <c r="V87" s="339" t="n"/>
      <c r="W87" s="339" t="n"/>
      <c r="X87" s="339" t="n"/>
      <c r="Y87" s="339" t="n"/>
      <c r="Z87" s="339" t="n"/>
      <c r="AA87" s="339" t="n"/>
      <c r="AB87" s="339" t="n"/>
      <c r="AC87" s="339" t="n"/>
      <c r="AD87" s="339" t="n"/>
      <c r="AE87" s="339" t="n"/>
      <c r="AF87" s="339" t="n"/>
      <c r="AG87" s="339" t="n"/>
      <c r="AH87" s="339" t="inlineStr">
        <is>
          <t>是</t>
        </is>
      </c>
      <c r="AI87" s="359" t="n"/>
      <c r="AJ87" s="359" t="n"/>
      <c r="AK87" s="359" t="n"/>
      <c r="AL87" s="359" t="n"/>
      <c r="AM87" s="359" t="n"/>
    </row>
    <row r="88" ht="26.25" customHeight="1" s="1053">
      <c r="A88" s="339" t="inlineStr">
        <is>
          <t>新宝利</t>
        </is>
      </c>
      <c r="B88" s="339" t="inlineStr">
        <is>
          <t>二期</t>
        </is>
      </c>
      <c r="C88" s="339" t="n">
        <v>4513341</v>
      </c>
      <c r="D88" s="339" t="inlineStr">
        <is>
          <t>15:50-18:00</t>
        </is>
      </c>
      <c r="E88" s="339" t="inlineStr">
        <is>
          <t>启能班</t>
        </is>
      </c>
      <c r="F88" s="339" t="inlineStr">
        <is>
          <t>麦紫蕊</t>
        </is>
      </c>
      <c r="G88" s="339" t="inlineStr">
        <is>
          <t>陈中帅</t>
        </is>
      </c>
      <c r="H88" s="339" t="inlineStr">
        <is>
          <t>黄铭怡</t>
        </is>
      </c>
      <c r="I88" s="339" t="inlineStr">
        <is>
          <t>高心怡04</t>
        </is>
      </c>
      <c r="J88" s="339" t="inlineStr">
        <is>
          <t>张敏烨</t>
        </is>
      </c>
      <c r="K88" s="339" t="n"/>
      <c r="L88" s="339" t="n"/>
      <c r="M88" s="339" t="n"/>
      <c r="N88" s="339" t="n"/>
      <c r="O88" s="339" t="n"/>
      <c r="P88" s="339" t="n">
        <v>89</v>
      </c>
      <c r="Q88" s="339" t="n"/>
      <c r="R88" s="339" t="n"/>
      <c r="S88" s="339" t="n"/>
      <c r="T88" s="339" t="inlineStr">
        <is>
          <t>是</t>
        </is>
      </c>
      <c r="U88" s="339" t="n"/>
      <c r="V88" s="339" t="n"/>
      <c r="W88" s="339" t="n"/>
      <c r="X88" s="339" t="n"/>
      <c r="Y88" s="339" t="n"/>
      <c r="Z88" s="339" t="n"/>
      <c r="AA88" s="339" t="n"/>
      <c r="AB88" s="339" t="n"/>
      <c r="AC88" s="339" t="n"/>
      <c r="AD88" s="339" t="n"/>
      <c r="AE88" s="339" t="n"/>
      <c r="AF88" s="339" t="n"/>
      <c r="AG88" s="339" t="n"/>
      <c r="AH88" s="339" t="n"/>
      <c r="AI88" s="359" t="n"/>
      <c r="AJ88" s="359" t="n"/>
      <c r="AK88" s="359" t="n"/>
      <c r="AL88" s="359" t="n"/>
      <c r="AM88" s="359" t="n"/>
    </row>
    <row r="89" ht="26.25" customHeight="1" s="1053">
      <c r="A89" s="339" t="inlineStr">
        <is>
          <t>新宝利</t>
        </is>
      </c>
      <c r="B89" s="339" t="inlineStr">
        <is>
          <t>二期</t>
        </is>
      </c>
      <c r="C89" s="339" t="n">
        <v>4513341</v>
      </c>
      <c r="D89" s="339" t="inlineStr">
        <is>
          <t>15:50-18:00</t>
        </is>
      </c>
      <c r="E89" s="339" t="inlineStr">
        <is>
          <t>启能班</t>
        </is>
      </c>
      <c r="F89" s="339" t="inlineStr">
        <is>
          <t>黄偌桐</t>
        </is>
      </c>
      <c r="G89" s="339" t="inlineStr">
        <is>
          <t>陈中帅</t>
        </is>
      </c>
      <c r="H89" s="339" t="inlineStr">
        <is>
          <t>李润</t>
        </is>
      </c>
      <c r="I89" s="339" t="inlineStr">
        <is>
          <t>肖锐03</t>
        </is>
      </c>
      <c r="J89" s="339" t="inlineStr">
        <is>
          <t>林志豪01</t>
        </is>
      </c>
      <c r="K89" s="339" t="n"/>
      <c r="L89" s="339" t="n"/>
      <c r="M89" s="339" t="n"/>
      <c r="N89" s="339" t="n"/>
      <c r="O89" s="339" t="n"/>
      <c r="P89" s="339" t="n"/>
      <c r="Q89" s="339" t="n">
        <v>60</v>
      </c>
      <c r="R89" s="339" t="n"/>
      <c r="S89" s="339" t="n"/>
      <c r="T89" s="339" t="inlineStr">
        <is>
          <t>是</t>
        </is>
      </c>
      <c r="U89" s="339" t="n"/>
      <c r="V89" s="339" t="n"/>
      <c r="W89" s="339" t="n"/>
      <c r="X89" s="339" t="n"/>
      <c r="Y89" s="339" t="n"/>
      <c r="Z89" s="339" t="n"/>
      <c r="AA89" s="339" t="n"/>
      <c r="AB89" s="339" t="n"/>
      <c r="AC89" s="339" t="n"/>
      <c r="AD89" s="339" t="n"/>
      <c r="AE89" s="339" t="n"/>
      <c r="AF89" s="339" t="n"/>
      <c r="AG89" s="339" t="n"/>
      <c r="AH89" s="339" t="inlineStr">
        <is>
          <t>是</t>
        </is>
      </c>
      <c r="AI89" s="359" t="n"/>
      <c r="AJ89" s="359" t="n"/>
      <c r="AK89" s="359" t="n"/>
      <c r="AL89" s="359" t="n"/>
      <c r="AM89" s="359" t="n"/>
    </row>
    <row r="90" ht="26.25" customHeight="1" s="1053">
      <c r="A90" s="339" t="inlineStr">
        <is>
          <t>新宝利</t>
        </is>
      </c>
      <c r="B90" s="339" t="inlineStr">
        <is>
          <t>二期</t>
        </is>
      </c>
      <c r="C90" s="339" t="n">
        <v>4513341</v>
      </c>
      <c r="D90" s="339" t="inlineStr">
        <is>
          <t>15:50-18:00</t>
        </is>
      </c>
      <c r="E90" s="339" t="inlineStr">
        <is>
          <t>启能班</t>
        </is>
      </c>
      <c r="F90" s="339" t="inlineStr">
        <is>
          <t>黄宝莹</t>
        </is>
      </c>
      <c r="G90" s="339" t="inlineStr">
        <is>
          <t>陈中帅</t>
        </is>
      </c>
      <c r="H90" s="339" t="inlineStr">
        <is>
          <t>李润</t>
        </is>
      </c>
      <c r="I90" s="339" t="inlineStr">
        <is>
          <t>高心怡04</t>
        </is>
      </c>
      <c r="J90" s="339" t="inlineStr">
        <is>
          <t>沈思浩</t>
        </is>
      </c>
      <c r="K90" s="339" t="n"/>
      <c r="L90" s="339" t="n"/>
      <c r="M90" s="339" t="n"/>
      <c r="N90" s="339" t="n"/>
      <c r="O90" s="339" t="n"/>
      <c r="P90" s="339" t="n">
        <v>75</v>
      </c>
      <c r="Q90" s="339" t="n"/>
      <c r="R90" s="339" t="n"/>
      <c r="S90" s="339" t="n"/>
      <c r="T90" s="339" t="inlineStr">
        <is>
          <t>是</t>
        </is>
      </c>
      <c r="U90" s="339" t="n"/>
      <c r="V90" s="339" t="n"/>
      <c r="W90" s="339" t="n"/>
      <c r="X90" s="339" t="n"/>
      <c r="Y90" s="339" t="n"/>
      <c r="Z90" s="339" t="n"/>
      <c r="AA90" s="339" t="n"/>
      <c r="AB90" s="339" t="n"/>
      <c r="AC90" s="339" t="n"/>
      <c r="AD90" s="339" t="n"/>
      <c r="AE90" s="339" t="n"/>
      <c r="AF90" s="339" t="n"/>
      <c r="AG90" s="339" t="n"/>
      <c r="AH90" s="339" t="n"/>
      <c r="AI90" s="359" t="n"/>
      <c r="AJ90" s="359" t="n"/>
      <c r="AK90" s="359" t="n"/>
      <c r="AL90" s="359" t="n"/>
      <c r="AM90" s="359" t="n"/>
    </row>
    <row r="91" ht="26.25" customHeight="1" s="1053">
      <c r="A91" s="339" t="inlineStr">
        <is>
          <t>新宝利</t>
        </is>
      </c>
      <c r="B91" s="339" t="inlineStr">
        <is>
          <t>二期</t>
        </is>
      </c>
      <c r="C91" s="339" t="n">
        <v>4513341</v>
      </c>
      <c r="D91" s="339" t="inlineStr">
        <is>
          <t>15:50-18:00</t>
        </is>
      </c>
      <c r="E91" s="339" t="inlineStr">
        <is>
          <t>启能班</t>
        </is>
      </c>
      <c r="F91" s="339" t="inlineStr">
        <is>
          <t>黄雨桐</t>
        </is>
      </c>
      <c r="G91" s="339" t="inlineStr">
        <is>
          <t>陈中帅</t>
        </is>
      </c>
      <c r="H91" s="339" t="inlineStr">
        <is>
          <t>黄铭怡</t>
        </is>
      </c>
      <c r="I91" s="339" t="inlineStr">
        <is>
          <t>高心怡04</t>
        </is>
      </c>
      <c r="J91" s="339" t="inlineStr">
        <is>
          <t>林志豪01</t>
        </is>
      </c>
      <c r="K91" s="339" t="n"/>
      <c r="L91" s="339" t="n"/>
      <c r="M91" s="339" t="n"/>
      <c r="N91" s="339" t="n"/>
      <c r="O91" s="339" t="n"/>
      <c r="P91" s="339" t="n"/>
      <c r="Q91" s="339" t="n">
        <v>70</v>
      </c>
      <c r="R91" s="339" t="n"/>
      <c r="S91" s="339" t="n"/>
      <c r="T91" s="339" t="inlineStr">
        <is>
          <t>是</t>
        </is>
      </c>
      <c r="U91" s="339" t="n"/>
      <c r="V91" s="339" t="n"/>
      <c r="W91" s="339" t="n"/>
      <c r="X91" s="339" t="n"/>
      <c r="Y91" s="339" t="n"/>
      <c r="Z91" s="339" t="n"/>
      <c r="AA91" s="339" t="n"/>
      <c r="AB91" s="339" t="n"/>
      <c r="AC91" s="339" t="n"/>
      <c r="AD91" s="339" t="n"/>
      <c r="AE91" s="339" t="n"/>
      <c r="AF91" s="339" t="n"/>
      <c r="AG91" s="339" t="n"/>
      <c r="AH91" s="339" t="n"/>
      <c r="AI91" s="359" t="n"/>
      <c r="AJ91" s="359" t="n"/>
      <c r="AK91" s="359" t="n"/>
      <c r="AL91" s="359" t="n"/>
      <c r="AM91" s="359" t="n"/>
    </row>
    <row r="92" ht="26.25" customHeight="1" s="1053">
      <c r="A92" s="339" t="inlineStr">
        <is>
          <t>同创汇</t>
        </is>
      </c>
      <c r="B92" s="339" t="inlineStr">
        <is>
          <t>一期</t>
        </is>
      </c>
      <c r="C92" s="339" t="n">
        <v>5230719</v>
      </c>
      <c r="D92" s="339" t="inlineStr">
        <is>
          <t>13:20-15:30</t>
        </is>
      </c>
      <c r="E92" s="339" t="inlineStr">
        <is>
          <t>启能班</t>
        </is>
      </c>
      <c r="F92" s="339" t="inlineStr">
        <is>
          <t>冯晨茵</t>
        </is>
      </c>
      <c r="G92" s="339" t="inlineStr">
        <is>
          <t>陈中帅</t>
        </is>
      </c>
      <c r="H92" s="339" t="n"/>
      <c r="I92" s="339" t="n"/>
      <c r="J92" s="339" t="inlineStr">
        <is>
          <t>王丽</t>
        </is>
      </c>
      <c r="K92" s="339" t="n"/>
      <c r="L92" s="339" t="n"/>
      <c r="M92" s="339" t="n"/>
      <c r="N92" s="339" t="n"/>
      <c r="O92" s="339" t="n"/>
      <c r="P92" s="339" t="n"/>
      <c r="Q92" s="339" t="n">
        <v>103</v>
      </c>
      <c r="R92" s="339" t="n"/>
      <c r="S92" s="339" t="n"/>
      <c r="T92" s="339" t="inlineStr">
        <is>
          <t>是</t>
        </is>
      </c>
      <c r="U92" s="339" t="n"/>
      <c r="V92" s="339" t="n"/>
      <c r="W92" s="339" t="n"/>
      <c r="X92" s="339" t="n"/>
      <c r="Y92" s="339" t="n"/>
      <c r="Z92" s="339" t="n"/>
      <c r="AA92" s="339" t="n"/>
      <c r="AB92" s="339" t="n"/>
      <c r="AC92" s="339" t="n"/>
      <c r="AD92" s="339" t="n"/>
      <c r="AE92" s="339" t="n"/>
      <c r="AF92" s="339" t="n"/>
      <c r="AG92" s="339" t="n"/>
      <c r="AH92" s="339" t="n"/>
      <c r="AI92" s="359" t="n"/>
      <c r="AJ92" s="359" t="n"/>
      <c r="AK92" s="359" t="n"/>
      <c r="AL92" s="359" t="n"/>
      <c r="AM92" s="359" t="n"/>
    </row>
    <row r="93" ht="26.25" customHeight="1" s="1053">
      <c r="A93" s="339" t="inlineStr">
        <is>
          <t>同创汇</t>
        </is>
      </c>
      <c r="B93" s="339" t="inlineStr">
        <is>
          <t>一期</t>
        </is>
      </c>
      <c r="C93" s="339" t="n">
        <v>5230719</v>
      </c>
      <c r="D93" s="339" t="inlineStr">
        <is>
          <t>13:20-15:30</t>
        </is>
      </c>
      <c r="E93" s="339" t="inlineStr">
        <is>
          <t>启能班</t>
        </is>
      </c>
      <c r="F93" s="339" t="inlineStr">
        <is>
          <t>刘亦馨</t>
        </is>
      </c>
      <c r="G93" s="339" t="inlineStr">
        <is>
          <t>陈中帅</t>
        </is>
      </c>
      <c r="H93" s="339" t="inlineStr">
        <is>
          <t>黄铭怡</t>
        </is>
      </c>
      <c r="I93" s="339" t="inlineStr">
        <is>
          <t>高心怡04</t>
        </is>
      </c>
      <c r="J93" s="339" t="inlineStr">
        <is>
          <t>戎凯01</t>
        </is>
      </c>
      <c r="K93" s="339" t="n"/>
      <c r="L93" s="339" t="n"/>
      <c r="M93" s="339" t="n"/>
      <c r="N93" s="339" t="n"/>
      <c r="O93" s="339" t="n"/>
      <c r="P93" s="339" t="n">
        <v>88</v>
      </c>
      <c r="Q93" s="339" t="n"/>
      <c r="R93" s="339" t="n"/>
      <c r="S93" s="339" t="n"/>
      <c r="T93" s="339" t="inlineStr">
        <is>
          <t>是</t>
        </is>
      </c>
      <c r="U93" s="339" t="n"/>
      <c r="V93" s="339" t="n"/>
      <c r="W93" s="339" t="n"/>
      <c r="X93" s="339" t="n"/>
      <c r="Y93" s="339" t="n"/>
      <c r="Z93" s="339" t="n"/>
      <c r="AA93" s="339" t="n"/>
      <c r="AB93" s="339" t="n"/>
      <c r="AC93" s="339" t="n"/>
      <c r="AD93" s="339" t="n"/>
      <c r="AE93" s="339" t="n"/>
      <c r="AF93" s="339" t="n"/>
      <c r="AG93" s="339" t="n"/>
      <c r="AH93" s="339" t="n"/>
      <c r="AI93" s="359" t="n"/>
      <c r="AJ93" s="359" t="n"/>
      <c r="AK93" s="359" t="n"/>
      <c r="AL93" s="359" t="n"/>
      <c r="AM93" s="359" t="n"/>
    </row>
    <row r="94" ht="26.25" customHeight="1" s="1053">
      <c r="A94" s="339" t="inlineStr">
        <is>
          <t>同创汇</t>
        </is>
      </c>
      <c r="B94" s="339" t="inlineStr">
        <is>
          <t>一期</t>
        </is>
      </c>
      <c r="C94" s="339" t="n">
        <v>5230719</v>
      </c>
      <c r="D94" s="339" t="inlineStr">
        <is>
          <t>13:20-15:30</t>
        </is>
      </c>
      <c r="E94" s="339" t="inlineStr">
        <is>
          <t>启能班</t>
        </is>
      </c>
      <c r="F94" s="339" t="inlineStr">
        <is>
          <t>刘庭玮</t>
        </is>
      </c>
      <c r="G94" s="339" t="inlineStr">
        <is>
          <t>陈中帅</t>
        </is>
      </c>
      <c r="H94" s="339" t="inlineStr">
        <is>
          <t>黄铭怡</t>
        </is>
      </c>
      <c r="I94" s="339" t="inlineStr">
        <is>
          <t>高心怡04</t>
        </is>
      </c>
      <c r="J94" s="339" t="inlineStr">
        <is>
          <t>戎凯01</t>
        </is>
      </c>
      <c r="K94" s="339" t="inlineStr">
        <is>
          <t>秉正小学</t>
        </is>
      </c>
      <c r="L94" s="640" t="inlineStr">
        <is>
          <t>摇号等结果
明德八星</t>
        </is>
      </c>
      <c r="M94" s="339" t="n"/>
      <c r="N94" s="339" t="inlineStr">
        <is>
          <t>中考自招</t>
        </is>
      </c>
      <c r="O94" s="339" t="n"/>
      <c r="P94" s="339" t="n"/>
      <c r="Q94" s="339" t="n">
        <v>120</v>
      </c>
      <c r="R94" s="339" t="n"/>
      <c r="S94" s="339" t="n"/>
      <c r="T94" s="339" t="inlineStr">
        <is>
          <t>是</t>
        </is>
      </c>
      <c r="U94" s="339" t="n"/>
      <c r="V94" s="339" t="n"/>
      <c r="W94" s="339" t="n"/>
      <c r="X94" s="339" t="n"/>
      <c r="Y94" s="339" t="n"/>
      <c r="Z94" s="339" t="n"/>
      <c r="AA94" s="339" t="n"/>
      <c r="AB94" s="339" t="n"/>
      <c r="AC94" s="339" t="n"/>
      <c r="AD94" s="339" t="n"/>
      <c r="AE94" s="339" t="n"/>
      <c r="AF94" s="339" t="n"/>
      <c r="AG94" s="339" t="n"/>
      <c r="AH94" s="339" t="n"/>
      <c r="AI94" s="359" t="n"/>
      <c r="AJ94" s="359" t="n"/>
      <c r="AK94" s="359" t="n"/>
      <c r="AL94" s="359" t="n"/>
      <c r="AM94" s="359" t="n"/>
    </row>
    <row r="95" ht="26.25" customHeight="1" s="1053">
      <c r="A95" s="339" t="inlineStr">
        <is>
          <t>同创汇</t>
        </is>
      </c>
      <c r="B95" s="339" t="inlineStr">
        <is>
          <t>一期</t>
        </is>
      </c>
      <c r="C95" s="339" t="n">
        <v>5230719</v>
      </c>
      <c r="D95" s="339" t="inlineStr">
        <is>
          <t>13:20-15:30</t>
        </is>
      </c>
      <c r="E95" s="339" t="inlineStr">
        <is>
          <t>启能班</t>
        </is>
      </c>
      <c r="F95" s="339" t="inlineStr">
        <is>
          <t>刘玺君</t>
        </is>
      </c>
      <c r="G95" s="339" t="inlineStr">
        <is>
          <t>陈中帅</t>
        </is>
      </c>
      <c r="H95" s="339" t="inlineStr">
        <is>
          <t>黄铭怡</t>
        </is>
      </c>
      <c r="I95" s="339" t="inlineStr">
        <is>
          <t>高心怡04</t>
        </is>
      </c>
      <c r="J95" s="339" t="inlineStr">
        <is>
          <t>熊天宝01</t>
        </is>
      </c>
      <c r="K95" s="339" t="n"/>
      <c r="L95" s="339" t="n"/>
      <c r="M95" s="339" t="n"/>
      <c r="N95" s="339" t="n"/>
      <c r="O95" s="339" t="n"/>
      <c r="P95" s="339" t="n"/>
      <c r="Q95" s="339" t="n"/>
      <c r="R95" s="339" t="n"/>
      <c r="S95" s="339" t="n"/>
      <c r="T95" s="339" t="inlineStr">
        <is>
          <t>是</t>
        </is>
      </c>
      <c r="U95" s="339" t="n"/>
      <c r="V95" s="339" t="n"/>
      <c r="W95" s="339" t="n"/>
      <c r="X95" s="339" t="n"/>
      <c r="Y95" s="339" t="n"/>
      <c r="Z95" s="339" t="n"/>
      <c r="AA95" s="339" t="n"/>
      <c r="AB95" s="339" t="n"/>
      <c r="AC95" s="339" t="n"/>
      <c r="AD95" s="339" t="n"/>
      <c r="AE95" s="339" t="n"/>
      <c r="AF95" s="339" t="n"/>
      <c r="AG95" s="339" t="n"/>
      <c r="AH95" s="339" t="n"/>
      <c r="AI95" s="359" t="n"/>
      <c r="AJ95" s="359" t="n"/>
      <c r="AK95" s="359" t="n"/>
      <c r="AL95" s="359" t="n"/>
      <c r="AM95" s="359" t="n"/>
    </row>
    <row r="96" ht="26.25" customHeight="1" s="1053">
      <c r="A96" s="339" t="inlineStr">
        <is>
          <t>同创汇</t>
        </is>
      </c>
      <c r="B96" s="339" t="inlineStr">
        <is>
          <t>一期</t>
        </is>
      </c>
      <c r="C96" s="339" t="n">
        <v>5230719</v>
      </c>
      <c r="D96" s="339" t="inlineStr">
        <is>
          <t>13:20-15:30</t>
        </is>
      </c>
      <c r="E96" s="339" t="inlineStr">
        <is>
          <t>启能班</t>
        </is>
      </c>
      <c r="F96" s="339" t="inlineStr">
        <is>
          <t>叶蓉臻</t>
        </is>
      </c>
      <c r="G96" s="339" t="inlineStr">
        <is>
          <t>陈中帅</t>
        </is>
      </c>
      <c r="H96" s="339" t="inlineStr">
        <is>
          <t>黄铭怡</t>
        </is>
      </c>
      <c r="I96" s="339" t="inlineStr">
        <is>
          <t>高心怡04</t>
        </is>
      </c>
      <c r="J96" s="339" t="inlineStr">
        <is>
          <t>戎凯01</t>
        </is>
      </c>
      <c r="K96" s="339" t="n"/>
      <c r="L96" s="339" t="n"/>
      <c r="M96" s="339" t="n"/>
      <c r="N96" s="339" t="n"/>
      <c r="O96" s="339" t="n"/>
      <c r="P96" s="339" t="n"/>
      <c r="Q96" s="339" t="n">
        <v>85</v>
      </c>
      <c r="R96" s="339" t="n"/>
      <c r="S96" s="339" t="n"/>
      <c r="T96" s="339" t="inlineStr">
        <is>
          <t>是</t>
        </is>
      </c>
      <c r="U96" s="339" t="n"/>
      <c r="V96" s="339" t="n"/>
      <c r="W96" s="339" t="n"/>
      <c r="X96" s="339" t="n"/>
      <c r="Y96" s="339" t="n"/>
      <c r="Z96" s="339" t="n"/>
      <c r="AA96" s="339" t="n"/>
      <c r="AB96" s="339" t="n"/>
      <c r="AC96" s="339" t="n"/>
      <c r="AD96" s="339" t="n"/>
      <c r="AE96" s="339" t="n"/>
      <c r="AF96" s="339" t="n"/>
      <c r="AG96" s="339" t="n"/>
      <c r="AH96" s="339" t="inlineStr">
        <is>
          <t>是</t>
        </is>
      </c>
      <c r="AI96" s="359" t="n"/>
      <c r="AJ96" s="359" t="n"/>
      <c r="AK96" s="359" t="n"/>
      <c r="AL96" s="359" t="n"/>
      <c r="AM96" s="359" t="n"/>
    </row>
    <row r="97" ht="26.25" customHeight="1" s="1053">
      <c r="A97" s="339" t="inlineStr">
        <is>
          <t>同创汇</t>
        </is>
      </c>
      <c r="B97" s="339" t="inlineStr">
        <is>
          <t>一期</t>
        </is>
      </c>
      <c r="C97" s="339" t="n">
        <v>5230719</v>
      </c>
      <c r="D97" s="339" t="inlineStr">
        <is>
          <t>13:20-15:30</t>
        </is>
      </c>
      <c r="E97" s="339" t="inlineStr">
        <is>
          <t>启能班</t>
        </is>
      </c>
      <c r="F97" s="339" t="inlineStr">
        <is>
          <t>吴钦霖</t>
        </is>
      </c>
      <c r="G97" s="339" t="inlineStr">
        <is>
          <t>陈中帅</t>
        </is>
      </c>
      <c r="H97" s="339" t="inlineStr">
        <is>
          <t>黄铭怡</t>
        </is>
      </c>
      <c r="I97" s="339" t="inlineStr">
        <is>
          <t>刘希子</t>
        </is>
      </c>
      <c r="J97" s="339" t="inlineStr">
        <is>
          <t>苏丽婷</t>
        </is>
      </c>
      <c r="K97" s="339" t="inlineStr">
        <is>
          <t>铁一小学</t>
        </is>
      </c>
      <c r="L97" s="339" t="n"/>
      <c r="M97" s="339" t="n"/>
      <c r="N97" s="339" t="n"/>
      <c r="O97" s="339" t="n"/>
      <c r="P97" s="339" t="inlineStr">
        <is>
          <t>95以上</t>
        </is>
      </c>
      <c r="Q97" s="339" t="n">
        <v>95</v>
      </c>
      <c r="R97" s="339" t="n"/>
      <c r="S97" s="339" t="n"/>
      <c r="T97" s="339" t="inlineStr">
        <is>
          <t>是</t>
        </is>
      </c>
      <c r="U97" s="339" t="inlineStr">
        <is>
          <t>是</t>
        </is>
      </c>
      <c r="V97" s="339" t="inlineStr">
        <is>
          <t>是</t>
        </is>
      </c>
      <c r="W97" s="339" t="inlineStr">
        <is>
          <t>是</t>
        </is>
      </c>
      <c r="X97" s="339" t="inlineStr">
        <is>
          <t>是</t>
        </is>
      </c>
      <c r="Y97" s="339" t="inlineStr">
        <is>
          <t>否</t>
        </is>
      </c>
      <c r="Z97" s="339" t="n"/>
      <c r="AA97" s="339" t="n"/>
      <c r="AB97" s="339" t="n"/>
      <c r="AC97" s="339" t="n"/>
      <c r="AD97" s="339" t="n"/>
      <c r="AE97" s="339" t="n"/>
      <c r="AF97" s="339" t="n"/>
      <c r="AG97" s="339" t="n"/>
      <c r="AH97" s="339" t="n"/>
      <c r="AI97" s="359" t="n"/>
      <c r="AJ97" s="359" t="n"/>
      <c r="AK97" s="359" t="n"/>
      <c r="AL97" s="359" t="n"/>
      <c r="AM97" s="359" t="n"/>
    </row>
    <row r="98" ht="26.25" customHeight="1" s="1053">
      <c r="A98" s="339" t="inlineStr">
        <is>
          <t>同创汇</t>
        </is>
      </c>
      <c r="B98" s="339" t="inlineStr">
        <is>
          <t>一期</t>
        </is>
      </c>
      <c r="C98" s="339" t="n">
        <v>5230719</v>
      </c>
      <c r="D98" s="339" t="inlineStr">
        <is>
          <t>13:20-15:30</t>
        </is>
      </c>
      <c r="E98" s="339" t="inlineStr">
        <is>
          <t>启能班</t>
        </is>
      </c>
      <c r="F98" s="339" t="inlineStr">
        <is>
          <t>周芷羽</t>
        </is>
      </c>
      <c r="G98" s="339" t="inlineStr">
        <is>
          <t>陈中帅</t>
        </is>
      </c>
      <c r="H98" s="339" t="inlineStr">
        <is>
          <t>黄铭怡</t>
        </is>
      </c>
      <c r="I98" s="339" t="inlineStr">
        <is>
          <t>高心怡04</t>
        </is>
      </c>
      <c r="J98" s="339" t="inlineStr">
        <is>
          <t>戎凯01</t>
        </is>
      </c>
      <c r="K98" s="339" t="n"/>
      <c r="L98" s="339" t="n"/>
      <c r="M98" s="339" t="n"/>
      <c r="N98" s="339" t="n"/>
      <c r="O98" s="339" t="n"/>
      <c r="P98" s="339" t="n"/>
      <c r="Q98" s="339" t="n">
        <v>70</v>
      </c>
      <c r="R98" s="339" t="n"/>
      <c r="S98" s="339" t="n"/>
      <c r="T98" s="339" t="inlineStr">
        <is>
          <t>是</t>
        </is>
      </c>
      <c r="U98" s="339" t="n"/>
      <c r="V98" s="339" t="n"/>
      <c r="W98" s="339" t="n"/>
      <c r="X98" s="339" t="n"/>
      <c r="Y98" s="339" t="n"/>
      <c r="Z98" s="339" t="n"/>
      <c r="AA98" s="339" t="n"/>
      <c r="AB98" s="339" t="n"/>
      <c r="AC98" s="339" t="n"/>
      <c r="AD98" s="339" t="n"/>
      <c r="AE98" s="339" t="n"/>
      <c r="AF98" s="339" t="n"/>
      <c r="AG98" s="339" t="n"/>
      <c r="AH98" s="339" t="inlineStr">
        <is>
          <t>是</t>
        </is>
      </c>
      <c r="AI98" s="359" t="n"/>
      <c r="AJ98" s="359" t="n"/>
      <c r="AK98" s="359" t="n"/>
      <c r="AL98" s="359" t="n"/>
      <c r="AM98" s="359" t="n"/>
    </row>
    <row r="99" ht="26.25" customHeight="1" s="1053">
      <c r="A99" s="339" t="inlineStr">
        <is>
          <t>同创汇</t>
        </is>
      </c>
      <c r="B99" s="339" t="inlineStr">
        <is>
          <t>一期</t>
        </is>
      </c>
      <c r="C99" s="339" t="n">
        <v>5230719</v>
      </c>
      <c r="D99" s="339" t="inlineStr">
        <is>
          <t>13:20-15:30</t>
        </is>
      </c>
      <c r="E99" s="339" t="inlineStr">
        <is>
          <t>启能班</t>
        </is>
      </c>
      <c r="F99" s="339" t="inlineStr">
        <is>
          <t>张善如</t>
        </is>
      </c>
      <c r="G99" s="339" t="inlineStr">
        <is>
          <t>陈中帅</t>
        </is>
      </c>
      <c r="H99" s="339" t="inlineStr">
        <is>
          <t>李润</t>
        </is>
      </c>
      <c r="I99" s="339" t="inlineStr">
        <is>
          <t>高心怡04</t>
        </is>
      </c>
      <c r="J99" s="339" t="inlineStr">
        <is>
          <t>王丽</t>
        </is>
      </c>
      <c r="K99" s="339" t="n"/>
      <c r="L99" s="339" t="n"/>
      <c r="M99" s="339" t="n"/>
      <c r="N99" s="339" t="n"/>
      <c r="O99" s="339" t="n"/>
      <c r="P99" s="339" t="n">
        <v>72</v>
      </c>
      <c r="Q99" s="339" t="n"/>
      <c r="R99" s="339" t="n"/>
      <c r="S99" s="339" t="n"/>
      <c r="T99" s="339" t="inlineStr">
        <is>
          <t>是</t>
        </is>
      </c>
      <c r="U99" s="339" t="n"/>
      <c r="V99" s="339" t="n"/>
      <c r="W99" s="339" t="n"/>
      <c r="X99" s="339" t="n"/>
      <c r="Y99" s="339" t="n"/>
      <c r="Z99" s="339" t="n"/>
      <c r="AA99" s="339" t="n"/>
      <c r="AB99" s="339" t="n"/>
      <c r="AC99" s="339" t="n"/>
      <c r="AD99" s="339" t="n"/>
      <c r="AE99" s="339" t="n"/>
      <c r="AF99" s="339" t="n"/>
      <c r="AG99" s="339" t="n"/>
      <c r="AH99" s="339" t="n"/>
      <c r="AI99" s="359" t="n"/>
      <c r="AJ99" s="359" t="n"/>
      <c r="AK99" s="359" t="n"/>
      <c r="AL99" s="359" t="n"/>
      <c r="AM99" s="359" t="n"/>
    </row>
    <row r="100" ht="26.25" customHeight="1" s="1053">
      <c r="A100" s="339" t="inlineStr">
        <is>
          <t>同创汇</t>
        </is>
      </c>
      <c r="B100" s="339" t="inlineStr">
        <is>
          <t>一期</t>
        </is>
      </c>
      <c r="C100" s="339" t="n">
        <v>5230719</v>
      </c>
      <c r="D100" s="339" t="inlineStr">
        <is>
          <t>13:20-15:30</t>
        </is>
      </c>
      <c r="E100" s="339" t="inlineStr">
        <is>
          <t>启能班</t>
        </is>
      </c>
      <c r="F100" s="339" t="inlineStr">
        <is>
          <t>张睿沂</t>
        </is>
      </c>
      <c r="G100" s="339" t="inlineStr">
        <is>
          <t>陈中帅</t>
        </is>
      </c>
      <c r="H100" s="339" t="inlineStr">
        <is>
          <t>黄铭怡</t>
        </is>
      </c>
      <c r="I100" s="339" t="inlineStr">
        <is>
          <t>高心怡04</t>
        </is>
      </c>
      <c r="J100" s="339" t="inlineStr">
        <is>
          <t>王丽</t>
        </is>
      </c>
      <c r="K100" s="339" t="n"/>
      <c r="L100" s="339" t="n"/>
      <c r="M100" s="339" t="n"/>
      <c r="N100" s="339" t="n"/>
      <c r="O100" s="339" t="n"/>
      <c r="P100" s="339" t="n"/>
      <c r="Q100" s="339" t="n">
        <v>70</v>
      </c>
      <c r="R100" s="339" t="n"/>
      <c r="S100" s="339" t="n"/>
      <c r="T100" s="339" t="inlineStr">
        <is>
          <t>是</t>
        </is>
      </c>
      <c r="U100" s="339" t="n"/>
      <c r="V100" s="339" t="n"/>
      <c r="W100" s="339" t="n"/>
      <c r="X100" s="339" t="n"/>
      <c r="Y100" s="339" t="n"/>
      <c r="Z100" s="339" t="n"/>
      <c r="AA100" s="339" t="n"/>
      <c r="AB100" s="339" t="n"/>
      <c r="AC100" s="339" t="n"/>
      <c r="AD100" s="339" t="n"/>
      <c r="AE100" s="339" t="n"/>
      <c r="AF100" s="339" t="n"/>
      <c r="AG100" s="339" t="n"/>
      <c r="AH100" s="339" t="inlineStr">
        <is>
          <t>是</t>
        </is>
      </c>
      <c r="AI100" s="359" t="n"/>
      <c r="AJ100" s="359" t="n"/>
      <c r="AK100" s="359" t="n"/>
      <c r="AL100" s="359" t="n"/>
      <c r="AM100" s="359" t="n"/>
    </row>
    <row r="101" ht="26.25" customHeight="1" s="1053">
      <c r="A101" s="339" t="inlineStr">
        <is>
          <t>同创汇</t>
        </is>
      </c>
      <c r="B101" s="339" t="inlineStr">
        <is>
          <t>一期</t>
        </is>
      </c>
      <c r="C101" s="339" t="n">
        <v>5230719</v>
      </c>
      <c r="D101" s="339" t="inlineStr">
        <is>
          <t>13:20-15:30</t>
        </is>
      </c>
      <c r="E101" s="339" t="inlineStr">
        <is>
          <t>启能班</t>
        </is>
      </c>
      <c r="F101" s="339" t="inlineStr">
        <is>
          <t>李佳倩</t>
        </is>
      </c>
      <c r="G101" s="339" t="inlineStr">
        <is>
          <t>陈中帅</t>
        </is>
      </c>
      <c r="H101" s="339" t="inlineStr">
        <is>
          <t>李润</t>
        </is>
      </c>
      <c r="I101" s="339" t="inlineStr">
        <is>
          <t>高心怡04</t>
        </is>
      </c>
      <c r="J101" s="339" t="inlineStr">
        <is>
          <t>戎凯01</t>
        </is>
      </c>
      <c r="K101" s="339" t="n"/>
      <c r="L101" s="339" t="n"/>
      <c r="M101" s="339" t="n"/>
      <c r="N101" s="339" t="n"/>
      <c r="O101" s="339" t="n"/>
      <c r="P101" s="339" t="n"/>
      <c r="Q101" s="339" t="n">
        <v>87</v>
      </c>
      <c r="R101" s="339" t="n"/>
      <c r="S101" s="339" t="n"/>
      <c r="T101" s="339" t="inlineStr">
        <is>
          <t>是</t>
        </is>
      </c>
      <c r="U101" s="339" t="n"/>
      <c r="V101" s="339" t="n"/>
      <c r="W101" s="339" t="n"/>
      <c r="X101" s="339" t="n"/>
      <c r="Y101" s="339" t="n"/>
      <c r="Z101" s="339" t="n"/>
      <c r="AA101" s="339" t="n"/>
      <c r="AB101" s="339" t="n"/>
      <c r="AC101" s="339" t="n"/>
      <c r="AD101" s="339" t="n"/>
      <c r="AE101" s="339" t="n"/>
      <c r="AF101" s="339" t="n"/>
      <c r="AG101" s="339" t="n"/>
      <c r="AH101" s="339" t="n"/>
      <c r="AI101" s="359" t="n"/>
      <c r="AJ101" s="359" t="n"/>
      <c r="AK101" s="359" t="n"/>
      <c r="AL101" s="359" t="n"/>
      <c r="AM101" s="359" t="n"/>
    </row>
    <row r="102" ht="26.25" customHeight="1" s="1053">
      <c r="A102" s="339" t="inlineStr">
        <is>
          <t>同创汇</t>
        </is>
      </c>
      <c r="B102" s="339" t="inlineStr">
        <is>
          <t>一期</t>
        </is>
      </c>
      <c r="C102" s="339" t="n">
        <v>5230719</v>
      </c>
      <c r="D102" s="339" t="inlineStr">
        <is>
          <t>13:20-15:30</t>
        </is>
      </c>
      <c r="E102" s="339" t="inlineStr">
        <is>
          <t>启能班</t>
        </is>
      </c>
      <c r="F102" s="339" t="inlineStr">
        <is>
          <t>李子骞</t>
        </is>
      </c>
      <c r="G102" s="339" t="inlineStr">
        <is>
          <t>陈中帅</t>
        </is>
      </c>
      <c r="H102" s="339" t="inlineStr">
        <is>
          <t>黄铭怡</t>
        </is>
      </c>
      <c r="I102" s="339" t="inlineStr">
        <is>
          <t>高心怡04</t>
        </is>
      </c>
      <c r="J102" s="339" t="inlineStr">
        <is>
          <t>王丽</t>
        </is>
      </c>
      <c r="K102" s="339" t="inlineStr">
        <is>
          <t>华阳小学</t>
        </is>
      </c>
      <c r="L102" s="339" t="n"/>
      <c r="M102" s="339" t="n"/>
      <c r="N102" s="339" t="n"/>
      <c r="O102" s="339" t="inlineStr">
        <is>
          <t>25年暑假短期班，未转化</t>
        </is>
      </c>
      <c r="P102" s="339" t="n"/>
      <c r="Q102" s="339" t="n">
        <v>98</v>
      </c>
      <c r="R102" s="339" t="n"/>
      <c r="S102" s="339" t="n"/>
      <c r="T102" s="339" t="inlineStr">
        <is>
          <t>是</t>
        </is>
      </c>
      <c r="U102" s="339" t="n"/>
      <c r="V102" s="339" t="n"/>
      <c r="W102" s="339" t="n"/>
      <c r="X102" s="339" t="n"/>
      <c r="Y102" s="339" t="n"/>
      <c r="Z102" s="339" t="n"/>
      <c r="AA102" s="339" t="n"/>
      <c r="AB102" s="339" t="n"/>
      <c r="AC102" s="339" t="n"/>
      <c r="AD102" s="339" t="n"/>
      <c r="AE102" s="339" t="n"/>
      <c r="AF102" s="339" t="n"/>
      <c r="AG102" s="339" t="n"/>
      <c r="AH102" s="339" t="n"/>
      <c r="AI102" s="359" t="n"/>
      <c r="AJ102" s="359" t="n"/>
      <c r="AK102" s="359" t="n"/>
      <c r="AL102" s="359" t="n"/>
      <c r="AM102" s="359" t="n"/>
    </row>
    <row r="103" ht="26.25" customHeight="1" s="1053">
      <c r="A103" s="339" t="inlineStr">
        <is>
          <t>同创汇</t>
        </is>
      </c>
      <c r="B103" s="339" t="inlineStr">
        <is>
          <t>一期</t>
        </is>
      </c>
      <c r="C103" s="339" t="n">
        <v>5230719</v>
      </c>
      <c r="D103" s="339" t="inlineStr">
        <is>
          <t>13:20-15:30</t>
        </is>
      </c>
      <c r="E103" s="339" t="inlineStr">
        <is>
          <t>启能班</t>
        </is>
      </c>
      <c r="F103" s="339" t="inlineStr">
        <is>
          <t>林烨</t>
        </is>
      </c>
      <c r="G103" s="339" t="inlineStr">
        <is>
          <t>陈中帅</t>
        </is>
      </c>
      <c r="H103" s="339" t="inlineStr">
        <is>
          <t>黄铭怡</t>
        </is>
      </c>
      <c r="I103" s="339" t="inlineStr">
        <is>
          <t>高心怡04</t>
        </is>
      </c>
      <c r="J103" s="339" t="inlineStr">
        <is>
          <t>戎凯01</t>
        </is>
      </c>
      <c r="K103" s="339" t="n"/>
      <c r="L103" s="339" t="n"/>
      <c r="M103" s="339" t="n"/>
      <c r="N103" s="339" t="n"/>
      <c r="O103" s="339" t="inlineStr">
        <is>
          <t>25春、25暑多次特惠未转化</t>
        </is>
      </c>
      <c r="P103" s="339" t="n">
        <v>72</v>
      </c>
      <c r="Q103" s="339" t="n"/>
      <c r="R103" s="339" t="n"/>
      <c r="S103" s="339" t="n"/>
      <c r="T103" s="339" t="inlineStr">
        <is>
          <t>是</t>
        </is>
      </c>
      <c r="U103" s="339" t="n"/>
      <c r="V103" s="339" t="n"/>
      <c r="W103" s="339" t="n"/>
      <c r="X103" s="339" t="n"/>
      <c r="Y103" s="339" t="n"/>
      <c r="Z103" s="339" t="n"/>
      <c r="AA103" s="339" t="n"/>
      <c r="AB103" s="339" t="n"/>
      <c r="AC103" s="339" t="n"/>
      <c r="AD103" s="339" t="n"/>
      <c r="AE103" s="339" t="n"/>
      <c r="AF103" s="339" t="n"/>
      <c r="AG103" s="339" t="n"/>
      <c r="AH103" s="339" t="n"/>
      <c r="AI103" s="359" t="n"/>
      <c r="AJ103" s="359" t="n"/>
      <c r="AK103" s="359" t="n"/>
      <c r="AL103" s="359" t="n"/>
      <c r="AM103" s="359" t="n"/>
    </row>
    <row r="104" ht="26.25" customHeight="1" s="1053">
      <c r="A104" s="339" t="inlineStr">
        <is>
          <t>同创汇</t>
        </is>
      </c>
      <c r="B104" s="339" t="inlineStr">
        <is>
          <t>一期</t>
        </is>
      </c>
      <c r="C104" s="339" t="n">
        <v>5230719</v>
      </c>
      <c r="D104" s="339" t="inlineStr">
        <is>
          <t>13:20-15:30</t>
        </is>
      </c>
      <c r="E104" s="339" t="inlineStr">
        <is>
          <t>启能班</t>
        </is>
      </c>
      <c r="F104" s="339" t="inlineStr">
        <is>
          <t>梁靖晓</t>
        </is>
      </c>
      <c r="G104" s="339" t="inlineStr">
        <is>
          <t>陈中帅</t>
        </is>
      </c>
      <c r="H104" s="339" t="inlineStr">
        <is>
          <t>黄铭怡</t>
        </is>
      </c>
      <c r="I104" s="339" t="inlineStr">
        <is>
          <t>高心怡04</t>
        </is>
      </c>
      <c r="J104" s="339" t="inlineStr">
        <is>
          <t>戎凯01</t>
        </is>
      </c>
      <c r="K104" s="339" t="n"/>
      <c r="L104" s="339" t="n"/>
      <c r="M104" s="339" t="n"/>
      <c r="N104" s="339" t="n"/>
      <c r="O104" s="339" t="n"/>
      <c r="P104" s="339" t="n"/>
      <c r="Q104" s="339" t="n">
        <v>90</v>
      </c>
      <c r="R104" s="339" t="n"/>
      <c r="S104" s="339" t="n"/>
      <c r="T104" s="339" t="inlineStr">
        <is>
          <t>是</t>
        </is>
      </c>
      <c r="U104" s="339" t="n"/>
      <c r="V104" s="339" t="n"/>
      <c r="W104" s="339" t="n"/>
      <c r="X104" s="339" t="n"/>
      <c r="Y104" s="339" t="n"/>
      <c r="Z104" s="339" t="n"/>
      <c r="AA104" s="339" t="n"/>
      <c r="AB104" s="339" t="n"/>
      <c r="AC104" s="339" t="n"/>
      <c r="AD104" s="339" t="n"/>
      <c r="AE104" s="339" t="n"/>
      <c r="AF104" s="339" t="n"/>
      <c r="AG104" s="339" t="n"/>
      <c r="AH104" s="339" t="n"/>
      <c r="AI104" s="359" t="n"/>
      <c r="AJ104" s="359" t="n"/>
      <c r="AK104" s="359" t="n"/>
      <c r="AL104" s="359" t="n"/>
      <c r="AM104" s="359" t="n"/>
    </row>
    <row r="105" ht="26.25" customHeight="1" s="1053">
      <c r="A105" s="339" t="inlineStr">
        <is>
          <t>同创汇</t>
        </is>
      </c>
      <c r="B105" s="339" t="inlineStr">
        <is>
          <t>一期</t>
        </is>
      </c>
      <c r="C105" s="339" t="n">
        <v>5230719</v>
      </c>
      <c r="D105" s="339" t="inlineStr">
        <is>
          <t>13:20-15:30</t>
        </is>
      </c>
      <c r="E105" s="339" t="inlineStr">
        <is>
          <t>启能班</t>
        </is>
      </c>
      <c r="F105" s="339" t="inlineStr">
        <is>
          <t>海洋</t>
        </is>
      </c>
      <c r="G105" s="339" t="inlineStr">
        <is>
          <t>陈中帅</t>
        </is>
      </c>
      <c r="H105" s="339" t="inlineStr">
        <is>
          <t>黄铭怡</t>
        </is>
      </c>
      <c r="I105" s="339" t="inlineStr">
        <is>
          <t>高心怡04</t>
        </is>
      </c>
      <c r="J105" s="339" t="inlineStr">
        <is>
          <t>戎凯01</t>
        </is>
      </c>
      <c r="K105" s="339" t="n"/>
      <c r="L105" s="339" t="n"/>
      <c r="M105" s="339" t="n"/>
      <c r="N105" s="339" t="n"/>
      <c r="O105" s="339" t="n"/>
      <c r="P105" s="339" t="n"/>
      <c r="Q105" s="339" t="n"/>
      <c r="R105" s="339" t="n"/>
      <c r="S105" s="339" t="n"/>
      <c r="T105" s="339" t="inlineStr">
        <is>
          <t>否</t>
        </is>
      </c>
      <c r="U105" s="339" t="n"/>
      <c r="V105" s="339" t="n"/>
      <c r="W105" s="339" t="n"/>
      <c r="X105" s="339" t="n"/>
      <c r="Y105" s="339" t="n"/>
      <c r="Z105" s="339" t="n"/>
      <c r="AA105" s="339" t="n"/>
      <c r="AB105" s="339" t="n"/>
      <c r="AC105" s="339" t="n"/>
      <c r="AD105" s="339" t="n"/>
      <c r="AE105" s="339" t="n"/>
      <c r="AF105" s="339" t="n"/>
      <c r="AG105" s="339" t="n"/>
      <c r="AH105" s="339" t="n"/>
      <c r="AI105" s="359" t="n"/>
      <c r="AJ105" s="359" t="n"/>
      <c r="AK105" s="359" t="n"/>
      <c r="AL105" s="359" t="n"/>
      <c r="AM105" s="359" t="n"/>
    </row>
    <row r="106" ht="26.25" customHeight="1" s="1053">
      <c r="A106" s="339" t="inlineStr">
        <is>
          <t>同创汇</t>
        </is>
      </c>
      <c r="B106" s="339" t="inlineStr">
        <is>
          <t>一期</t>
        </is>
      </c>
      <c r="C106" s="339" t="n">
        <v>5230719</v>
      </c>
      <c r="D106" s="339" t="inlineStr">
        <is>
          <t>13:20-15:30</t>
        </is>
      </c>
      <c r="E106" s="339" t="inlineStr">
        <is>
          <t>启能班</t>
        </is>
      </c>
      <c r="F106" s="339" t="inlineStr">
        <is>
          <t>温静仪</t>
        </is>
      </c>
      <c r="G106" s="339" t="inlineStr">
        <is>
          <t>陈中帅</t>
        </is>
      </c>
      <c r="H106" s="339" t="inlineStr">
        <is>
          <t>黄铭怡</t>
        </is>
      </c>
      <c r="I106" s="339" t="inlineStr">
        <is>
          <t>刘希子</t>
        </is>
      </c>
      <c r="J106" s="339" t="inlineStr">
        <is>
          <t>王丽</t>
        </is>
      </c>
      <c r="K106" s="339" t="n"/>
      <c r="L106" s="339" t="n"/>
      <c r="M106" s="339" t="n"/>
      <c r="N106" s="339" t="n"/>
      <c r="O106" s="339" t="n"/>
      <c r="P106" s="339" t="n"/>
      <c r="Q106" s="339" t="n">
        <v>65</v>
      </c>
      <c r="R106" s="339" t="n"/>
      <c r="S106" s="339" t="n"/>
      <c r="T106" s="339" t="inlineStr">
        <is>
          <t>是</t>
        </is>
      </c>
      <c r="U106" s="339" t="n"/>
      <c r="V106" s="339" t="n"/>
      <c r="W106" s="339" t="n"/>
      <c r="X106" s="339" t="n"/>
      <c r="Y106" s="339" t="n"/>
      <c r="Z106" s="339" t="n"/>
      <c r="AA106" s="339" t="n"/>
      <c r="AB106" s="339" t="n"/>
      <c r="AC106" s="339" t="n"/>
      <c r="AD106" s="339" t="n"/>
      <c r="AE106" s="339" t="n"/>
      <c r="AF106" s="339" t="n"/>
      <c r="AG106" s="339" t="n"/>
      <c r="AH106" s="339" t="inlineStr">
        <is>
          <t>是</t>
        </is>
      </c>
      <c r="AI106" s="359" t="n"/>
      <c r="AJ106" s="359" t="n"/>
      <c r="AK106" s="359" t="n"/>
      <c r="AL106" s="359" t="n"/>
      <c r="AM106" s="359" t="n"/>
    </row>
    <row r="107" ht="26.25" customHeight="1" s="1053">
      <c r="A107" s="339" t="inlineStr">
        <is>
          <t>同创汇</t>
        </is>
      </c>
      <c r="B107" s="339" t="inlineStr">
        <is>
          <t>一期</t>
        </is>
      </c>
      <c r="C107" s="339" t="n">
        <v>5230719</v>
      </c>
      <c r="D107" s="339" t="inlineStr">
        <is>
          <t>13:20-15:30</t>
        </is>
      </c>
      <c r="E107" s="339" t="inlineStr">
        <is>
          <t>启能班</t>
        </is>
      </c>
      <c r="F107" s="339" t="inlineStr">
        <is>
          <t>陈骏骁</t>
        </is>
      </c>
      <c r="G107" s="339" t="inlineStr">
        <is>
          <t>陈中帅</t>
        </is>
      </c>
      <c r="H107" s="339" t="inlineStr">
        <is>
          <t>黄铭怡</t>
        </is>
      </c>
      <c r="I107" s="339" t="inlineStr">
        <is>
          <t>高心怡04</t>
        </is>
      </c>
      <c r="J107" s="339" t="inlineStr">
        <is>
          <t>熊天宝01</t>
        </is>
      </c>
      <c r="K107" s="339" t="n"/>
      <c r="L107" s="339" t="n"/>
      <c r="M107" s="339" t="n"/>
      <c r="N107" s="339" t="n"/>
      <c r="O107" s="339" t="n"/>
      <c r="P107" s="339" t="n">
        <v>72</v>
      </c>
      <c r="Q107" s="339" t="n"/>
      <c r="R107" s="339" t="n"/>
      <c r="S107" s="339" t="n"/>
      <c r="T107" s="339" t="inlineStr">
        <is>
          <t>否</t>
        </is>
      </c>
      <c r="U107" s="339" t="n"/>
      <c r="V107" s="339" t="n"/>
      <c r="W107" s="339" t="n"/>
      <c r="X107" s="339" t="n"/>
      <c r="Y107" s="339" t="n"/>
      <c r="Z107" s="339" t="n"/>
      <c r="AA107" s="339" t="n"/>
      <c r="AB107" s="339" t="n"/>
      <c r="AC107" s="339" t="n"/>
      <c r="AD107" s="339" t="n"/>
      <c r="AE107" s="339" t="n"/>
      <c r="AF107" s="339" t="n"/>
      <c r="AG107" s="339" t="n"/>
      <c r="AH107" s="339" t="n"/>
      <c r="AI107" s="359" t="n"/>
      <c r="AJ107" s="359" t="n"/>
      <c r="AK107" s="359" t="n"/>
      <c r="AL107" s="359" t="n"/>
      <c r="AM107" s="359" t="n"/>
    </row>
    <row r="108" ht="26.25" customHeight="1" s="1053">
      <c r="A108" s="339" t="inlineStr">
        <is>
          <t>同创汇</t>
        </is>
      </c>
      <c r="B108" s="339" t="inlineStr">
        <is>
          <t>一期</t>
        </is>
      </c>
      <c r="C108" s="339" t="n">
        <v>5230719</v>
      </c>
      <c r="D108" s="339" t="inlineStr">
        <is>
          <t>13:20-15:30</t>
        </is>
      </c>
      <c r="E108" s="339" t="inlineStr">
        <is>
          <t>启能班</t>
        </is>
      </c>
      <c r="F108" s="339" t="inlineStr">
        <is>
          <t>顾浩轩</t>
        </is>
      </c>
      <c r="G108" s="339" t="inlineStr">
        <is>
          <t>陈中帅</t>
        </is>
      </c>
      <c r="H108" s="339" t="inlineStr">
        <is>
          <t>黄铭怡</t>
        </is>
      </c>
      <c r="I108" s="339" t="inlineStr">
        <is>
          <t>高心怡04</t>
        </is>
      </c>
      <c r="J108" s="339" t="inlineStr">
        <is>
          <t>王丽</t>
        </is>
      </c>
      <c r="K108" s="339" t="n"/>
      <c r="L108" s="339" t="n"/>
      <c r="M108" s="339" t="n"/>
      <c r="N108" s="339" t="n"/>
      <c r="O108" s="339" t="n"/>
      <c r="P108" s="339" t="n"/>
      <c r="Q108" s="339" t="n">
        <v>100</v>
      </c>
      <c r="R108" s="339" t="n"/>
      <c r="S108" s="339" t="n"/>
      <c r="T108" s="339" t="inlineStr">
        <is>
          <t>是</t>
        </is>
      </c>
      <c r="U108" s="339" t="n"/>
      <c r="V108" s="339" t="n"/>
      <c r="W108" s="339" t="n"/>
      <c r="X108" s="339" t="n"/>
      <c r="Y108" s="339" t="n"/>
      <c r="Z108" s="339" t="n"/>
      <c r="AA108" s="339" t="n"/>
      <c r="AB108" s="339" t="n"/>
      <c r="AC108" s="339" t="n"/>
      <c r="AD108" s="339" t="n"/>
      <c r="AE108" s="339" t="n"/>
      <c r="AF108" s="339" t="n"/>
      <c r="AG108" s="339" t="n"/>
      <c r="AH108" s="339" t="n"/>
      <c r="AI108" s="359" t="n"/>
      <c r="AJ108" s="359" t="n"/>
      <c r="AK108" s="359" t="n"/>
      <c r="AL108" s="359" t="n"/>
      <c r="AM108" s="359" t="n"/>
    </row>
    <row r="109" ht="26.25" customHeight="1" s="1053">
      <c r="A109" s="339" t="inlineStr">
        <is>
          <t>同创汇</t>
        </is>
      </c>
      <c r="B109" s="339" t="inlineStr">
        <is>
          <t>一期</t>
        </is>
      </c>
      <c r="C109" s="339" t="n">
        <v>5230719</v>
      </c>
      <c r="D109" s="339" t="inlineStr">
        <is>
          <t>13:20-15:30</t>
        </is>
      </c>
      <c r="E109" s="339" t="inlineStr">
        <is>
          <t>启能班</t>
        </is>
      </c>
      <c r="F109" s="339" t="inlineStr">
        <is>
          <t>马若涵</t>
        </is>
      </c>
      <c r="G109" s="339" t="inlineStr">
        <is>
          <t>陈中帅</t>
        </is>
      </c>
      <c r="H109" s="339" t="inlineStr">
        <is>
          <t>黄铭怡</t>
        </is>
      </c>
      <c r="I109" s="339" t="inlineStr">
        <is>
          <t>高心怡04</t>
        </is>
      </c>
      <c r="J109" s="339" t="inlineStr">
        <is>
          <t>戎凯01</t>
        </is>
      </c>
      <c r="K109" s="339" t="n"/>
      <c r="L109" s="339" t="n"/>
      <c r="M109" s="339" t="n"/>
      <c r="N109" s="339" t="n"/>
      <c r="O109" s="339" t="n"/>
      <c r="P109" s="339" t="n"/>
      <c r="Q109" s="339" t="n">
        <v>80</v>
      </c>
      <c r="R109" s="339" t="n"/>
      <c r="S109" s="339" t="n"/>
      <c r="T109" s="339" t="inlineStr">
        <is>
          <t>是</t>
        </is>
      </c>
      <c r="U109" s="339" t="n"/>
      <c r="V109" s="339" t="n"/>
      <c r="W109" s="339" t="n"/>
      <c r="X109" s="339" t="n"/>
      <c r="Y109" s="339" t="n"/>
      <c r="Z109" s="339" t="n"/>
      <c r="AA109" s="339" t="n"/>
      <c r="AB109" s="339" t="n"/>
      <c r="AC109" s="339" t="n"/>
      <c r="AD109" s="339" t="n"/>
      <c r="AE109" s="339" t="n"/>
      <c r="AF109" s="339" t="n"/>
      <c r="AG109" s="339" t="n"/>
      <c r="AH109" s="339" t="n"/>
      <c r="AI109" s="359" t="n"/>
      <c r="AJ109" s="359" t="n"/>
      <c r="AK109" s="359" t="n"/>
      <c r="AL109" s="359" t="n"/>
      <c r="AM109" s="359" t="n"/>
    </row>
    <row r="110" ht="26.25" customHeight="1" s="1053">
      <c r="A110" s="339" t="inlineStr">
        <is>
          <t>同创汇</t>
        </is>
      </c>
      <c r="B110" s="339" t="inlineStr">
        <is>
          <t>一期</t>
        </is>
      </c>
      <c r="C110" s="339" t="n">
        <v>5230719</v>
      </c>
      <c r="D110" s="339" t="inlineStr">
        <is>
          <t>13:20-15:30</t>
        </is>
      </c>
      <c r="E110" s="339" t="inlineStr">
        <is>
          <t>启能班</t>
        </is>
      </c>
      <c r="F110" s="339" t="inlineStr">
        <is>
          <t>黄心悦</t>
        </is>
      </c>
      <c r="G110" s="339" t="inlineStr">
        <is>
          <t>陈中帅</t>
        </is>
      </c>
      <c r="H110" s="339" t="inlineStr">
        <is>
          <t>陈南05</t>
        </is>
      </c>
      <c r="I110" s="339" t="inlineStr">
        <is>
          <t>高心怡04</t>
        </is>
      </c>
      <c r="J110" s="339" t="inlineStr">
        <is>
          <t>苏丽婷</t>
        </is>
      </c>
      <c r="K110" s="339" t="inlineStr">
        <is>
          <t>铁一</t>
        </is>
      </c>
      <c r="L110" s="339" t="inlineStr">
        <is>
          <t>等摇号结果</t>
        </is>
      </c>
      <c r="M110" s="339" t="inlineStr">
        <is>
          <t>自觉</t>
        </is>
      </c>
      <c r="N110" s="339" t="n"/>
      <c r="O110" s="339" t="n"/>
      <c r="P110" s="339" t="n"/>
      <c r="Q110" s="339" t="n"/>
      <c r="R110" s="339" t="n"/>
      <c r="S110" s="339" t="n"/>
      <c r="T110" s="339" t="inlineStr">
        <is>
          <t>是</t>
        </is>
      </c>
      <c r="U110" s="339" t="n"/>
      <c r="V110" s="339" t="inlineStr">
        <is>
          <t>否</t>
        </is>
      </c>
      <c r="W110" s="339" t="n"/>
      <c r="X110" s="339" t="inlineStr">
        <is>
          <t>是</t>
        </is>
      </c>
      <c r="Y110" s="339" t="inlineStr">
        <is>
          <t>是</t>
        </is>
      </c>
      <c r="Z110" s="339" t="n"/>
      <c r="AA110" s="339" t="n"/>
      <c r="AB110" s="339" t="n"/>
      <c r="AC110" s="339" t="n"/>
      <c r="AD110" s="339" t="n"/>
      <c r="AE110" s="339" t="n"/>
      <c r="AF110" s="339" t="n"/>
      <c r="AG110" s="339" t="n"/>
      <c r="AH110" s="339" t="n"/>
      <c r="AI110" s="359" t="n"/>
      <c r="AJ110" s="359" t="n"/>
      <c r="AK110" s="359" t="n"/>
      <c r="AL110" s="359" t="n"/>
      <c r="AM110" s="359" t="n"/>
    </row>
    <row r="111" ht="26.25" customHeight="1" s="1053">
      <c r="A111" s="339" t="inlineStr">
        <is>
          <t>同创汇</t>
        </is>
      </c>
      <c r="B111" s="339" t="inlineStr">
        <is>
          <t>一期</t>
        </is>
      </c>
      <c r="C111" s="339" t="n">
        <v>5230719</v>
      </c>
      <c r="D111" s="339" t="inlineStr">
        <is>
          <t>13:20-15:30</t>
        </is>
      </c>
      <c r="E111" s="339" t="inlineStr">
        <is>
          <t>启能班</t>
        </is>
      </c>
      <c r="F111" s="339" t="inlineStr">
        <is>
          <t>黄靖柔</t>
        </is>
      </c>
      <c r="G111" s="339" t="inlineStr">
        <is>
          <t>陈中帅</t>
        </is>
      </c>
      <c r="H111" s="339" t="inlineStr">
        <is>
          <t>黄铭怡</t>
        </is>
      </c>
      <c r="I111" s="339" t="inlineStr">
        <is>
          <t>高心怡04</t>
        </is>
      </c>
      <c r="J111" s="339" t="inlineStr">
        <is>
          <t>戎凯01</t>
        </is>
      </c>
      <c r="K111" s="339" t="n"/>
      <c r="L111" s="339" t="n"/>
      <c r="M111" s="339" t="n"/>
      <c r="N111" s="339" t="n"/>
      <c r="O111" s="339" t="inlineStr">
        <is>
          <t>转介绍梁靖晓</t>
        </is>
      </c>
      <c r="P111" s="339" t="n"/>
      <c r="Q111" s="339" t="n">
        <v>75</v>
      </c>
      <c r="R111" s="339" t="n"/>
      <c r="S111" s="339" t="n"/>
      <c r="T111" s="339" t="inlineStr">
        <is>
          <t>是</t>
        </is>
      </c>
      <c r="U111" s="339" t="inlineStr">
        <is>
          <t>是</t>
        </is>
      </c>
      <c r="V111" s="339" t="inlineStr">
        <is>
          <t>否</t>
        </is>
      </c>
      <c r="W111" s="339" t="n"/>
      <c r="X111" s="339" t="inlineStr">
        <is>
          <t>是</t>
        </is>
      </c>
      <c r="Y111" s="339" t="inlineStr">
        <is>
          <t>是</t>
        </is>
      </c>
      <c r="Z111" s="339" t="n"/>
      <c r="AA111" s="339" t="n"/>
      <c r="AB111" s="339" t="n"/>
      <c r="AC111" s="339" t="n"/>
      <c r="AD111" s="339" t="n"/>
      <c r="AE111" s="339" t="n"/>
      <c r="AF111" s="339" t="n"/>
      <c r="AG111" s="339" t="n"/>
      <c r="AH111" s="339" t="n"/>
      <c r="AI111" s="359" t="n"/>
      <c r="AJ111" s="359" t="n"/>
      <c r="AK111" s="359" t="n"/>
      <c r="AL111" s="359" t="n"/>
      <c r="AM111" s="359" t="n"/>
    </row>
    <row r="112" ht="26.25" customHeight="1" s="1053">
      <c r="A112" s="339" t="inlineStr">
        <is>
          <t>同创汇</t>
        </is>
      </c>
      <c r="B112" s="339" t="inlineStr">
        <is>
          <t>一期</t>
        </is>
      </c>
      <c r="C112" s="339" t="n">
        <v>5230719</v>
      </c>
      <c r="D112" s="339" t="inlineStr">
        <is>
          <t>13:20-15:30</t>
        </is>
      </c>
      <c r="E112" s="339" t="inlineStr">
        <is>
          <t>启能班</t>
        </is>
      </c>
      <c r="F112" s="339" t="inlineStr">
        <is>
          <t>黎迅宁</t>
        </is>
      </c>
      <c r="G112" s="339" t="inlineStr">
        <is>
          <t>陈中帅</t>
        </is>
      </c>
      <c r="H112" s="339" t="inlineStr">
        <is>
          <t>李润</t>
        </is>
      </c>
      <c r="I112" s="339" t="inlineStr">
        <is>
          <t>高心怡04</t>
        </is>
      </c>
      <c r="J112" s="339" t="inlineStr">
        <is>
          <t>苏丽婷</t>
        </is>
      </c>
      <c r="K112" s="339" t="n"/>
      <c r="L112" s="339" t="n"/>
      <c r="M112" s="339" t="n"/>
      <c r="N112" s="339" t="n"/>
      <c r="O112" s="339" t="n"/>
      <c r="P112" s="339" t="n"/>
      <c r="Q112" s="339" t="n">
        <v>85</v>
      </c>
      <c r="R112" s="339" t="n"/>
      <c r="S112" s="339" t="n"/>
      <c r="T112" s="339" t="inlineStr">
        <is>
          <t>是</t>
        </is>
      </c>
      <c r="U112" s="339" t="n"/>
      <c r="V112" s="339" t="n"/>
      <c r="W112" s="339" t="n"/>
      <c r="X112" s="339" t="n"/>
      <c r="Y112" s="339" t="n"/>
      <c r="Z112" s="339" t="n"/>
      <c r="AA112" s="339" t="n"/>
      <c r="AB112" s="339" t="n"/>
      <c r="AC112" s="339" t="n"/>
      <c r="AD112" s="339" t="n"/>
      <c r="AE112" s="339" t="n"/>
      <c r="AF112" s="339" t="n"/>
      <c r="AG112" s="339" t="n"/>
      <c r="AH112" s="339" t="n"/>
      <c r="AI112" s="359" t="n"/>
      <c r="AJ112" s="359" t="n"/>
      <c r="AK112" s="359" t="n"/>
      <c r="AL112" s="359" t="n"/>
      <c r="AM112" s="359" t="n"/>
    </row>
    <row r="113" ht="26.25" customHeight="1" s="1053">
      <c r="A113" s="339" t="inlineStr">
        <is>
          <t>天成大厦</t>
        </is>
      </c>
      <c r="B113" s="339" t="inlineStr">
        <is>
          <t>一期</t>
        </is>
      </c>
      <c r="C113" s="339" t="n">
        <v>5230775</v>
      </c>
      <c r="D113" s="339" t="inlineStr">
        <is>
          <t>10:20-12:30</t>
        </is>
      </c>
      <c r="E113" s="339" t="inlineStr">
        <is>
          <t>潜能班</t>
        </is>
      </c>
      <c r="F113" s="339" t="inlineStr">
        <is>
          <t>Apple</t>
        </is>
      </c>
      <c r="G113" s="339" t="inlineStr">
        <is>
          <t>陈中帅</t>
        </is>
      </c>
      <c r="H113" s="339" t="inlineStr">
        <is>
          <t>李润</t>
        </is>
      </c>
      <c r="I113" s="339" t="inlineStr">
        <is>
          <t>刘希子</t>
        </is>
      </c>
      <c r="J113" s="339" t="inlineStr">
        <is>
          <t>沈思浩</t>
        </is>
      </c>
      <c r="K113" s="339" t="n"/>
      <c r="L113" s="339" t="n"/>
      <c r="M113" s="339" t="n"/>
      <c r="N113" s="339" t="inlineStr">
        <is>
          <t>薅羊毛</t>
        </is>
      </c>
      <c r="O113" s="339" t="inlineStr">
        <is>
          <t>换手机号、换UID报名，还有Mango、沐沐。家里3个孩子只报特惠，从不续费</t>
        </is>
      </c>
      <c r="P113" s="339" t="n">
        <v>88</v>
      </c>
      <c r="Q113" s="339" t="n"/>
      <c r="R113" s="339" t="n"/>
      <c r="S113" s="339" t="n"/>
      <c r="T113" s="339" t="inlineStr">
        <is>
          <t>是</t>
        </is>
      </c>
      <c r="U113" s="339" t="n"/>
      <c r="V113" s="339" t="n"/>
      <c r="W113" s="339" t="n"/>
      <c r="X113" s="339" t="n"/>
      <c r="Y113" s="339" t="n"/>
      <c r="Z113" s="339" t="n"/>
      <c r="AA113" s="339" t="n"/>
      <c r="AB113" s="339" t="n"/>
      <c r="AC113" s="339" t="n"/>
      <c r="AD113" s="339" t="n"/>
      <c r="AE113" s="339" t="n"/>
      <c r="AF113" s="339" t="n"/>
      <c r="AG113" s="339" t="n"/>
      <c r="AH113" s="339" t="n"/>
      <c r="AI113" s="359" t="n"/>
      <c r="AJ113" s="359" t="n"/>
      <c r="AK113" s="359" t="n"/>
      <c r="AL113" s="359" t="n"/>
      <c r="AM113" s="359" t="n"/>
    </row>
    <row r="114" ht="26.25" customHeight="1" s="1053">
      <c r="A114" s="340" t="inlineStr">
        <is>
          <t>天成大厦</t>
        </is>
      </c>
      <c r="B114" s="340" t="inlineStr">
        <is>
          <t>一期</t>
        </is>
      </c>
      <c r="C114" s="340" t="n">
        <v>5230775</v>
      </c>
      <c r="D114" s="340" t="inlineStr">
        <is>
          <t>10:20-12:30</t>
        </is>
      </c>
      <c r="E114" s="340" t="inlineStr">
        <is>
          <t>潜能班</t>
        </is>
      </c>
      <c r="F114" s="340" t="inlineStr">
        <is>
          <t>严健天</t>
        </is>
      </c>
      <c r="G114" s="340" t="inlineStr">
        <is>
          <t>陈中帅</t>
        </is>
      </c>
      <c r="H114" s="340" t="n"/>
      <c r="I114" s="340" t="n"/>
      <c r="J114" s="340" t="inlineStr">
        <is>
          <t>沈思浩</t>
        </is>
      </c>
      <c r="K114" s="340" t="n"/>
      <c r="L114" s="340" t="n"/>
      <c r="M114" s="340" t="n"/>
      <c r="N114" s="340" t="n"/>
      <c r="O114" s="340" t="n"/>
      <c r="P114" s="340" t="n"/>
      <c r="Q114" s="340" t="n"/>
      <c r="R114" s="340" t="n"/>
      <c r="S114" s="340" t="n"/>
      <c r="T114" s="340" t="n"/>
      <c r="U114" s="340" t="n"/>
      <c r="V114" s="340" t="n"/>
      <c r="W114" s="340" t="n"/>
      <c r="X114" s="340" t="n"/>
      <c r="Y114" s="340" t="n"/>
      <c r="Z114" s="340" t="n"/>
      <c r="AA114" s="340" t="n"/>
      <c r="AB114" s="340" t="n"/>
      <c r="AC114" s="340" t="n"/>
      <c r="AD114" s="340" t="n"/>
      <c r="AE114" s="340" t="n"/>
      <c r="AF114" s="340" t="n"/>
      <c r="AG114" s="340" t="n"/>
      <c r="AH114" s="340" t="n"/>
      <c r="AI114" s="359" t="n"/>
      <c r="AJ114" s="359" t="n"/>
      <c r="AK114" s="359" t="n"/>
      <c r="AL114" s="359" t="n"/>
      <c r="AM114" s="359" t="n"/>
    </row>
    <row r="115" ht="26.25" customHeight="1" s="1053">
      <c r="A115" s="339" t="inlineStr">
        <is>
          <t>天成大厦</t>
        </is>
      </c>
      <c r="B115" s="339" t="inlineStr">
        <is>
          <t>一期</t>
        </is>
      </c>
      <c r="C115" s="339" t="n">
        <v>5230775</v>
      </c>
      <c r="D115" s="339" t="inlineStr">
        <is>
          <t>10:20-12:30</t>
        </is>
      </c>
      <c r="E115" s="339" t="inlineStr">
        <is>
          <t>潜能班</t>
        </is>
      </c>
      <c r="F115" s="339" t="inlineStr">
        <is>
          <t>刘丛歌</t>
        </is>
      </c>
      <c r="G115" s="339" t="inlineStr">
        <is>
          <t>陈中帅</t>
        </is>
      </c>
      <c r="H115" s="339" t="inlineStr">
        <is>
          <t>李润</t>
        </is>
      </c>
      <c r="I115" s="339" t="inlineStr">
        <is>
          <t>刘希子</t>
        </is>
      </c>
      <c r="J115" s="339" t="inlineStr">
        <is>
          <t>陈亮延</t>
        </is>
      </c>
      <c r="K115" s="339" t="n"/>
      <c r="L115" s="339" t="n"/>
      <c r="M115" s="339" t="n"/>
      <c r="N115" s="339" t="n"/>
      <c r="O115" s="339" t="n"/>
      <c r="P115" s="339" t="n"/>
      <c r="Q115" s="339" t="n">
        <v>100</v>
      </c>
      <c r="R115" s="339" t="n"/>
      <c r="S115" s="339" t="n"/>
      <c r="T115" s="339" t="inlineStr">
        <is>
          <t>是</t>
        </is>
      </c>
      <c r="U115" s="339" t="n"/>
      <c r="V115" s="339" t="n"/>
      <c r="W115" s="339" t="n"/>
      <c r="X115" s="339" t="n"/>
      <c r="Y115" s="339" t="n"/>
      <c r="Z115" s="339" t="n"/>
      <c r="AA115" s="339" t="n"/>
      <c r="AB115" s="339" t="n"/>
      <c r="AC115" s="339" t="n"/>
      <c r="AD115" s="339" t="n"/>
      <c r="AE115" s="339" t="n"/>
      <c r="AF115" s="339" t="n"/>
      <c r="AG115" s="339" t="n"/>
      <c r="AH115" s="339" t="n"/>
      <c r="AI115" s="359" t="n"/>
      <c r="AJ115" s="359" t="n"/>
      <c r="AK115" s="359" t="n"/>
      <c r="AL115" s="359" t="n"/>
      <c r="AM115" s="359" t="n"/>
    </row>
    <row r="116" ht="26.25" customHeight="1" s="1053">
      <c r="A116" s="339" t="inlineStr">
        <is>
          <t>天成大厦</t>
        </is>
      </c>
      <c r="B116" s="339" t="inlineStr">
        <is>
          <t>一期</t>
        </is>
      </c>
      <c r="C116" s="339" t="n">
        <v>5230775</v>
      </c>
      <c r="D116" s="339" t="inlineStr">
        <is>
          <t>10:20-12:30</t>
        </is>
      </c>
      <c r="E116" s="339" t="inlineStr">
        <is>
          <t>潜能班</t>
        </is>
      </c>
      <c r="F116" s="339" t="inlineStr">
        <is>
          <t>周德容</t>
        </is>
      </c>
      <c r="G116" s="339" t="inlineStr">
        <is>
          <t>陈中帅</t>
        </is>
      </c>
      <c r="H116" s="339" t="n"/>
      <c r="I116" s="339" t="n"/>
      <c r="J116" s="339" t="n"/>
      <c r="K116" s="339" t="n"/>
      <c r="L116" s="339" t="n"/>
      <c r="M116" s="339" t="n"/>
      <c r="N116" s="339" t="n"/>
      <c r="O116" s="339" t="n"/>
      <c r="P116" s="339" t="n"/>
      <c r="Q116" s="339" t="n">
        <v>80</v>
      </c>
      <c r="R116" s="339" t="n"/>
      <c r="S116" s="339" t="n"/>
      <c r="T116" s="339" t="inlineStr">
        <is>
          <t>是</t>
        </is>
      </c>
      <c r="U116" s="339" t="n"/>
      <c r="V116" s="339" t="n"/>
      <c r="W116" s="339" t="n"/>
      <c r="X116" s="339" t="n"/>
      <c r="Y116" s="339" t="n"/>
      <c r="Z116" s="339" t="n"/>
      <c r="AA116" s="339" t="n"/>
      <c r="AB116" s="339" t="n"/>
      <c r="AC116" s="339" t="n"/>
      <c r="AD116" s="339" t="n"/>
      <c r="AE116" s="339" t="n"/>
      <c r="AF116" s="339" t="n"/>
      <c r="AG116" s="339" t="n"/>
      <c r="AH116" s="339" t="inlineStr">
        <is>
          <t>是</t>
        </is>
      </c>
      <c r="AI116" s="359" t="n"/>
      <c r="AJ116" s="359" t="n"/>
      <c r="AK116" s="359" t="n"/>
      <c r="AL116" s="359" t="n"/>
      <c r="AM116" s="359" t="n"/>
    </row>
    <row r="117" ht="26.25" customHeight="1" s="1053">
      <c r="A117" s="339" t="inlineStr">
        <is>
          <t>天成大厦</t>
        </is>
      </c>
      <c r="B117" s="339" t="inlineStr">
        <is>
          <t>一期</t>
        </is>
      </c>
      <c r="C117" s="339" t="n">
        <v>5230775</v>
      </c>
      <c r="D117" s="339" t="inlineStr">
        <is>
          <t>10:20-12:30</t>
        </is>
      </c>
      <c r="E117" s="339" t="inlineStr">
        <is>
          <t>潜能班</t>
        </is>
      </c>
      <c r="F117" s="339" t="inlineStr">
        <is>
          <t>唐瑜蔓</t>
        </is>
      </c>
      <c r="G117" s="339" t="inlineStr">
        <is>
          <t>陈中帅</t>
        </is>
      </c>
      <c r="H117" s="339" t="inlineStr">
        <is>
          <t>李润</t>
        </is>
      </c>
      <c r="I117" s="339" t="inlineStr">
        <is>
          <t>刘希子</t>
        </is>
      </c>
      <c r="J117" s="339" t="inlineStr">
        <is>
          <t>沈思浩</t>
        </is>
      </c>
      <c r="K117" s="339" t="n"/>
      <c r="L117" s="339" t="n"/>
      <c r="M117" s="339" t="n"/>
      <c r="N117" s="339" t="n"/>
      <c r="O117" s="339" t="n"/>
      <c r="P117" s="339" t="n">
        <v>87</v>
      </c>
      <c r="Q117" s="339" t="n"/>
      <c r="R117" s="339" t="n"/>
      <c r="S117" s="339" t="n"/>
      <c r="T117" s="339" t="inlineStr">
        <is>
          <t>是</t>
        </is>
      </c>
      <c r="U117" s="339" t="n"/>
      <c r="V117" s="339" t="n"/>
      <c r="W117" s="339" t="n"/>
      <c r="X117" s="339" t="n"/>
      <c r="Y117" s="339" t="n"/>
      <c r="Z117" s="339" t="n"/>
      <c r="AA117" s="339" t="n"/>
      <c r="AB117" s="339" t="n"/>
      <c r="AC117" s="339" t="n"/>
      <c r="AD117" s="339" t="n"/>
      <c r="AE117" s="339" t="n"/>
      <c r="AF117" s="339" t="n"/>
      <c r="AG117" s="339" t="n"/>
      <c r="AH117" s="339" t="n"/>
      <c r="AI117" s="359" t="n"/>
      <c r="AJ117" s="359" t="n"/>
      <c r="AK117" s="359" t="n"/>
      <c r="AL117" s="359" t="n"/>
      <c r="AM117" s="359" t="n"/>
    </row>
    <row r="118" ht="26.25" customHeight="1" s="1053">
      <c r="A118" s="339" t="inlineStr">
        <is>
          <t>天成大厦</t>
        </is>
      </c>
      <c r="B118" s="339" t="inlineStr">
        <is>
          <t>一期</t>
        </is>
      </c>
      <c r="C118" s="339" t="n">
        <v>5230775</v>
      </c>
      <c r="D118" s="339" t="inlineStr">
        <is>
          <t>10:20-12:30</t>
        </is>
      </c>
      <c r="E118" s="339" t="inlineStr">
        <is>
          <t>潜能班</t>
        </is>
      </c>
      <c r="F118" s="339" t="inlineStr">
        <is>
          <t>大栗同学888</t>
        </is>
      </c>
      <c r="G118" s="339" t="inlineStr">
        <is>
          <t>陈中帅</t>
        </is>
      </c>
      <c r="H118" s="339" t="inlineStr">
        <is>
          <t>李润</t>
        </is>
      </c>
      <c r="I118" s="339" t="inlineStr">
        <is>
          <t>刘希子</t>
        </is>
      </c>
      <c r="J118" s="339" t="inlineStr">
        <is>
          <t>张敏烨</t>
        </is>
      </c>
      <c r="K118" s="339" t="n"/>
      <c r="L118" s="339" t="n"/>
      <c r="M118" s="339" t="n"/>
      <c r="N118" s="339" t="n"/>
      <c r="O118" s="339" t="inlineStr">
        <is>
          <t>ID异常，疑似换手机号报名</t>
        </is>
      </c>
      <c r="P118" s="339" t="n">
        <v>64</v>
      </c>
      <c r="Q118" s="339" t="n"/>
      <c r="R118" s="339" t="n"/>
      <c r="S118" s="339" t="n"/>
      <c r="T118" s="339" t="inlineStr">
        <is>
          <t>是</t>
        </is>
      </c>
      <c r="U118" s="339" t="n"/>
      <c r="V118" s="339" t="n"/>
      <c r="W118" s="339" t="n"/>
      <c r="X118" s="339" t="n"/>
      <c r="Y118" s="339" t="n"/>
      <c r="Z118" s="339" t="n"/>
      <c r="AA118" s="339" t="n"/>
      <c r="AB118" s="339" t="n"/>
      <c r="AC118" s="339" t="n"/>
      <c r="AD118" s="339" t="n"/>
      <c r="AE118" s="339" t="n"/>
      <c r="AF118" s="339" t="n"/>
      <c r="AG118" s="339" t="n"/>
      <c r="AH118" s="339" t="n"/>
      <c r="AI118" s="359" t="n"/>
      <c r="AJ118" s="359" t="n"/>
      <c r="AK118" s="359" t="n"/>
      <c r="AL118" s="359" t="n"/>
      <c r="AM118" s="359" t="n"/>
    </row>
    <row r="119" ht="26.25" customHeight="1" s="1053">
      <c r="A119" s="339" t="inlineStr">
        <is>
          <t>天成大厦</t>
        </is>
      </c>
      <c r="B119" s="339" t="inlineStr">
        <is>
          <t>一期</t>
        </is>
      </c>
      <c r="C119" s="339" t="n">
        <v>5230775</v>
      </c>
      <c r="D119" s="339" t="inlineStr">
        <is>
          <t>10:20-12:30</t>
        </is>
      </c>
      <c r="E119" s="339" t="inlineStr">
        <is>
          <t>潜能班</t>
        </is>
      </c>
      <c r="F119" s="339" t="inlineStr">
        <is>
          <t>庞靖怡</t>
        </is>
      </c>
      <c r="G119" s="339" t="inlineStr">
        <is>
          <t>陈中帅</t>
        </is>
      </c>
      <c r="H119" s="339" t="inlineStr">
        <is>
          <t>李润</t>
        </is>
      </c>
      <c r="I119" s="339" t="inlineStr">
        <is>
          <t>刘希子</t>
        </is>
      </c>
      <c r="J119" s="339" t="inlineStr">
        <is>
          <t>沈思浩</t>
        </is>
      </c>
      <c r="K119" s="339" t="n"/>
      <c r="L119" s="339" t="n"/>
      <c r="M119" s="339" t="n"/>
      <c r="N119" s="339" t="n"/>
      <c r="O119" s="339" t="n"/>
      <c r="P119" s="339" t="n"/>
      <c r="Q119" s="339" t="n">
        <v>70</v>
      </c>
      <c r="R119" s="339" t="n"/>
      <c r="S119" s="339" t="n"/>
      <c r="T119" s="339" t="inlineStr">
        <is>
          <t>是</t>
        </is>
      </c>
      <c r="U119" s="339" t="n"/>
      <c r="V119" s="339" t="n"/>
      <c r="W119" s="339" t="n"/>
      <c r="X119" s="339" t="n"/>
      <c r="Y119" s="339" t="n"/>
      <c r="Z119" s="339" t="n"/>
      <c r="AA119" s="339" t="n"/>
      <c r="AB119" s="339" t="n"/>
      <c r="AC119" s="339" t="n"/>
      <c r="AD119" s="339" t="n"/>
      <c r="AE119" s="339" t="n"/>
      <c r="AF119" s="339" t="n"/>
      <c r="AG119" s="339" t="n"/>
      <c r="AH119" s="339" t="n"/>
      <c r="AI119" s="359" t="n"/>
      <c r="AJ119" s="359" t="n"/>
      <c r="AK119" s="359" t="n"/>
      <c r="AL119" s="359" t="n"/>
      <c r="AM119" s="359" t="n"/>
    </row>
    <row r="120" ht="26.25" customHeight="1" s="1053">
      <c r="A120" s="339" t="inlineStr">
        <is>
          <t>天成大厦</t>
        </is>
      </c>
      <c r="B120" s="339" t="inlineStr">
        <is>
          <t>一期</t>
        </is>
      </c>
      <c r="C120" s="339" t="n">
        <v>5230775</v>
      </c>
      <c r="D120" s="339" t="inlineStr">
        <is>
          <t>10:20-12:30</t>
        </is>
      </c>
      <c r="E120" s="339" t="inlineStr">
        <is>
          <t>潜能班</t>
        </is>
      </c>
      <c r="F120" s="339" t="inlineStr">
        <is>
          <t>张桓</t>
        </is>
      </c>
      <c r="G120" s="339" t="inlineStr">
        <is>
          <t>陈中帅</t>
        </is>
      </c>
      <c r="H120" s="339" t="inlineStr">
        <is>
          <t>李润</t>
        </is>
      </c>
      <c r="I120" s="339" t="inlineStr">
        <is>
          <t>刘希子</t>
        </is>
      </c>
      <c r="J120" s="339" t="inlineStr">
        <is>
          <t>陈亮延</t>
        </is>
      </c>
      <c r="K120" s="339" t="n"/>
      <c r="L120" s="339" t="n"/>
      <c r="M120" s="339" t="n"/>
      <c r="N120" s="339" t="n"/>
      <c r="O120" s="339" t="inlineStr">
        <is>
          <t>魔丸，自然流失未做续费动作</t>
        </is>
      </c>
      <c r="P120" s="339" t="n"/>
      <c r="Q120" s="339" t="n">
        <v>85</v>
      </c>
      <c r="R120" s="339" t="n"/>
      <c r="S120" s="339" t="n"/>
      <c r="T120" s="339" t="inlineStr">
        <is>
          <t>是</t>
        </is>
      </c>
      <c r="U120" s="339" t="n"/>
      <c r="V120" s="339" t="n"/>
      <c r="W120" s="339" t="n"/>
      <c r="X120" s="339" t="n"/>
      <c r="Y120" s="339" t="n"/>
      <c r="Z120" s="339" t="n"/>
      <c r="AA120" s="339" t="n"/>
      <c r="AB120" s="339" t="n"/>
      <c r="AC120" s="339" t="n"/>
      <c r="AD120" s="339" t="n"/>
      <c r="AE120" s="339" t="n"/>
      <c r="AF120" s="339" t="n"/>
      <c r="AG120" s="339" t="n"/>
      <c r="AH120" s="339" t="n"/>
      <c r="AI120" s="359" t="n"/>
      <c r="AJ120" s="359" t="n"/>
      <c r="AK120" s="359" t="n"/>
      <c r="AL120" s="359" t="n"/>
      <c r="AM120" s="359" t="n"/>
    </row>
    <row r="121" ht="26.25" customHeight="1" s="1053">
      <c r="A121" s="339" t="inlineStr">
        <is>
          <t>天成大厦</t>
        </is>
      </c>
      <c r="B121" s="339" t="inlineStr">
        <is>
          <t>一期</t>
        </is>
      </c>
      <c r="C121" s="339" t="n">
        <v>5230775</v>
      </c>
      <c r="D121" s="339" t="inlineStr">
        <is>
          <t>10:20-12:30</t>
        </is>
      </c>
      <c r="E121" s="339" t="inlineStr">
        <is>
          <t>潜能班</t>
        </is>
      </c>
      <c r="F121" s="339" t="inlineStr">
        <is>
          <t>李施锐</t>
        </is>
      </c>
      <c r="G121" s="339" t="inlineStr">
        <is>
          <t>陈中帅</t>
        </is>
      </c>
      <c r="H121" s="339" t="inlineStr">
        <is>
          <t>李润</t>
        </is>
      </c>
      <c r="I121" s="339" t="inlineStr">
        <is>
          <t>刘希子</t>
        </is>
      </c>
      <c r="J121" s="339" t="inlineStr">
        <is>
          <t>陈亮延</t>
        </is>
      </c>
      <c r="K121" s="339" t="n"/>
      <c r="L121" s="339" t="n"/>
      <c r="M121" s="339" t="n"/>
      <c r="N121" s="339" t="n"/>
      <c r="O121" s="339" t="n"/>
      <c r="P121" s="339" t="n">
        <v>72</v>
      </c>
      <c r="Q121" s="339" t="n"/>
      <c r="R121" s="339" t="n"/>
      <c r="S121" s="339" t="n"/>
      <c r="T121" s="339" t="inlineStr">
        <is>
          <t>是</t>
        </is>
      </c>
      <c r="U121" s="339" t="n"/>
      <c r="V121" s="339" t="n"/>
      <c r="W121" s="339" t="n"/>
      <c r="X121" s="339" t="n"/>
      <c r="Y121" s="339" t="n"/>
      <c r="Z121" s="339" t="n"/>
      <c r="AA121" s="339" t="n"/>
      <c r="AB121" s="339" t="n"/>
      <c r="AC121" s="339" t="n"/>
      <c r="AD121" s="339" t="n"/>
      <c r="AE121" s="339" t="n"/>
      <c r="AF121" s="339" t="n"/>
      <c r="AG121" s="339" t="n"/>
      <c r="AH121" s="339" t="n"/>
      <c r="AI121" s="359" t="n"/>
      <c r="AJ121" s="359" t="n"/>
      <c r="AK121" s="359" t="n"/>
      <c r="AL121" s="359" t="n"/>
      <c r="AM121" s="359" t="n"/>
    </row>
    <row r="122" ht="26.25" customHeight="1" s="1053">
      <c r="A122" s="339" t="inlineStr">
        <is>
          <t>天成大厦</t>
        </is>
      </c>
      <c r="B122" s="339" t="inlineStr">
        <is>
          <t>一期</t>
        </is>
      </c>
      <c r="C122" s="339" t="n">
        <v>5230775</v>
      </c>
      <c r="D122" s="339" t="inlineStr">
        <is>
          <t>10:20-12:30</t>
        </is>
      </c>
      <c r="E122" s="339" t="inlineStr">
        <is>
          <t>潜能班</t>
        </is>
      </c>
      <c r="F122" s="339" t="inlineStr">
        <is>
          <t>杜小雨</t>
        </is>
      </c>
      <c r="G122" s="339" t="inlineStr">
        <is>
          <t>陈中帅</t>
        </is>
      </c>
      <c r="H122" s="339" t="n"/>
      <c r="I122" s="339" t="n"/>
      <c r="J122" s="339" t="inlineStr">
        <is>
          <t>王达04</t>
        </is>
      </c>
      <c r="K122" s="339" t="n"/>
      <c r="L122" s="339" t="n"/>
      <c r="M122" s="339" t="n"/>
      <c r="N122" s="339" t="n"/>
      <c r="O122" s="339" t="n"/>
      <c r="P122" s="339" t="n"/>
      <c r="Q122" s="339" t="n">
        <v>93</v>
      </c>
      <c r="R122" s="339" t="n"/>
      <c r="S122" s="339" t="n"/>
      <c r="T122" s="339" t="inlineStr">
        <is>
          <t>是</t>
        </is>
      </c>
      <c r="U122" s="339" t="n"/>
      <c r="V122" s="339" t="n"/>
      <c r="W122" s="339" t="n"/>
      <c r="X122" s="339" t="n"/>
      <c r="Y122" s="339" t="n"/>
      <c r="Z122" s="339" t="n"/>
      <c r="AA122" s="339" t="n"/>
      <c r="AB122" s="339" t="n"/>
      <c r="AC122" s="339" t="n"/>
      <c r="AD122" s="339" t="n"/>
      <c r="AE122" s="339" t="n"/>
      <c r="AF122" s="339" t="n"/>
      <c r="AG122" s="339" t="n"/>
      <c r="AH122" s="339" t="n"/>
      <c r="AI122" s="359" t="n"/>
      <c r="AJ122" s="359" t="n"/>
      <c r="AK122" s="359" t="n"/>
      <c r="AL122" s="359" t="n"/>
      <c r="AM122" s="359" t="n"/>
    </row>
    <row r="123" ht="26.25" customHeight="1" s="1053">
      <c r="A123" s="339" t="inlineStr">
        <is>
          <t>天成大厦</t>
        </is>
      </c>
      <c r="B123" s="339" t="inlineStr">
        <is>
          <t>一期</t>
        </is>
      </c>
      <c r="C123" s="339" t="n">
        <v>5230775</v>
      </c>
      <c r="D123" s="339" t="inlineStr">
        <is>
          <t>10:20-12:30</t>
        </is>
      </c>
      <c r="E123" s="339" t="inlineStr">
        <is>
          <t>潜能班</t>
        </is>
      </c>
      <c r="F123" s="339" t="inlineStr">
        <is>
          <t>杜昱茗</t>
        </is>
      </c>
      <c r="G123" s="339" t="inlineStr">
        <is>
          <t>陈中帅</t>
        </is>
      </c>
      <c r="H123" s="339" t="inlineStr">
        <is>
          <t>李润</t>
        </is>
      </c>
      <c r="I123" s="339" t="inlineStr">
        <is>
          <t>刘希子</t>
        </is>
      </c>
      <c r="J123" s="339" t="inlineStr">
        <is>
          <t>沈思浩</t>
        </is>
      </c>
      <c r="K123" s="339" t="n"/>
      <c r="L123" s="339" t="n"/>
      <c r="M123" s="339" t="n"/>
      <c r="N123" s="339" t="n"/>
      <c r="O123" s="339" t="inlineStr">
        <is>
          <t>双胞胎-杜昱萱，已续秋季</t>
        </is>
      </c>
      <c r="P123" s="339" t="n">
        <v>89</v>
      </c>
      <c r="Q123" s="339" t="n"/>
      <c r="R123" s="339" t="n"/>
      <c r="S123" s="339" t="n"/>
      <c r="T123" s="339" t="inlineStr">
        <is>
          <t>是</t>
        </is>
      </c>
      <c r="U123" s="339" t="n"/>
      <c r="V123" s="339" t="n"/>
      <c r="W123" s="339" t="n"/>
      <c r="X123" s="339" t="n"/>
      <c r="Y123" s="339" t="n"/>
      <c r="Z123" s="339" t="n"/>
      <c r="AA123" s="339" t="n"/>
      <c r="AB123" s="339" t="n"/>
      <c r="AC123" s="339" t="n"/>
      <c r="AD123" s="339" t="n"/>
      <c r="AE123" s="339" t="n"/>
      <c r="AF123" s="339" t="n"/>
      <c r="AG123" s="339" t="n"/>
      <c r="AH123" s="339" t="inlineStr">
        <is>
          <t>是</t>
        </is>
      </c>
      <c r="AI123" s="359" t="n"/>
      <c r="AJ123" s="359" t="n"/>
      <c r="AK123" s="359" t="n"/>
      <c r="AL123" s="359" t="n"/>
      <c r="AM123" s="359" t="n"/>
    </row>
    <row r="124" ht="26.25" customHeight="1" s="1053">
      <c r="A124" s="339" t="inlineStr">
        <is>
          <t>天成大厦</t>
        </is>
      </c>
      <c r="B124" s="339" t="inlineStr">
        <is>
          <t>一期</t>
        </is>
      </c>
      <c r="C124" s="339" t="n">
        <v>5230775</v>
      </c>
      <c r="D124" s="339" t="inlineStr">
        <is>
          <t>10:20-12:30</t>
        </is>
      </c>
      <c r="E124" s="339" t="inlineStr">
        <is>
          <t>潜能班</t>
        </is>
      </c>
      <c r="F124" s="339" t="inlineStr">
        <is>
          <t>杜昱萱</t>
        </is>
      </c>
      <c r="G124" s="339" t="inlineStr">
        <is>
          <t>陈中帅</t>
        </is>
      </c>
      <c r="H124" s="339" t="inlineStr">
        <is>
          <t>李润</t>
        </is>
      </c>
      <c r="I124" s="339" t="inlineStr">
        <is>
          <t>刘希子</t>
        </is>
      </c>
      <c r="J124" s="339" t="inlineStr">
        <is>
          <t>沈思浩</t>
        </is>
      </c>
      <c r="K124" s="339" t="n"/>
      <c r="L124" s="339" t="n"/>
      <c r="M124" s="339" t="n"/>
      <c r="N124" s="339" t="n"/>
      <c r="O124" s="339" t="inlineStr">
        <is>
          <t>双胞胎-杜昱茗，已续秋季</t>
        </is>
      </c>
      <c r="P124" s="339" t="n">
        <v>88</v>
      </c>
      <c r="Q124" s="339" t="n"/>
      <c r="R124" s="339" t="n"/>
      <c r="S124" s="339" t="n"/>
      <c r="T124" s="339" t="inlineStr">
        <is>
          <t>是</t>
        </is>
      </c>
      <c r="U124" s="339" t="n"/>
      <c r="V124" s="339" t="n"/>
      <c r="W124" s="339" t="n"/>
      <c r="X124" s="339" t="n"/>
      <c r="Y124" s="339" t="n"/>
      <c r="Z124" s="339" t="n"/>
      <c r="AA124" s="339" t="n"/>
      <c r="AB124" s="339" t="n"/>
      <c r="AC124" s="339" t="n"/>
      <c r="AD124" s="339" t="n"/>
      <c r="AE124" s="339" t="n"/>
      <c r="AF124" s="339" t="n"/>
      <c r="AG124" s="339" t="n"/>
      <c r="AH124" s="339" t="inlineStr">
        <is>
          <t>是</t>
        </is>
      </c>
      <c r="AI124" s="359" t="n"/>
      <c r="AJ124" s="359" t="n"/>
      <c r="AK124" s="359" t="n"/>
      <c r="AL124" s="359" t="n"/>
      <c r="AM124" s="359" t="n"/>
    </row>
    <row r="125" ht="26.25" customHeight="1" s="1053">
      <c r="A125" s="339" t="inlineStr">
        <is>
          <t>天成大厦</t>
        </is>
      </c>
      <c r="B125" s="339" t="inlineStr">
        <is>
          <t>一期</t>
        </is>
      </c>
      <c r="C125" s="339" t="n">
        <v>5230775</v>
      </c>
      <c r="D125" s="339" t="inlineStr">
        <is>
          <t>10:20-12:30</t>
        </is>
      </c>
      <c r="E125" s="339" t="inlineStr">
        <is>
          <t>潜能班</t>
        </is>
      </c>
      <c r="F125" s="339" t="inlineStr">
        <is>
          <t>江逸飞</t>
        </is>
      </c>
      <c r="G125" s="339" t="inlineStr">
        <is>
          <t>陈中帅</t>
        </is>
      </c>
      <c r="H125" s="339" t="inlineStr">
        <is>
          <t>李润</t>
        </is>
      </c>
      <c r="I125" s="339" t="inlineStr">
        <is>
          <t>刘希子</t>
        </is>
      </c>
      <c r="J125" s="339" t="inlineStr">
        <is>
          <t>沈思浩</t>
        </is>
      </c>
      <c r="K125" s="339" t="n"/>
      <c r="L125" s="339" t="n"/>
      <c r="M125" s="339" t="n"/>
      <c r="N125" s="339" t="n"/>
      <c r="O125" s="339" t="n"/>
      <c r="P125" s="339" t="n"/>
      <c r="Q125" s="339" t="n">
        <v>60</v>
      </c>
      <c r="R125" s="339" t="n"/>
      <c r="S125" s="339" t="n"/>
      <c r="T125" s="339" t="inlineStr">
        <is>
          <t>是</t>
        </is>
      </c>
      <c r="U125" s="339" t="n"/>
      <c r="V125" s="339" t="n"/>
      <c r="W125" s="339" t="n"/>
      <c r="X125" s="339" t="n"/>
      <c r="Y125" s="339" t="n"/>
      <c r="Z125" s="339" t="n"/>
      <c r="AA125" s="339" t="n"/>
      <c r="AB125" s="339" t="n"/>
      <c r="AC125" s="339" t="n"/>
      <c r="AD125" s="339" t="n"/>
      <c r="AE125" s="339" t="n"/>
      <c r="AF125" s="339" t="n"/>
      <c r="AG125" s="339" t="n"/>
      <c r="AH125" s="339" t="inlineStr">
        <is>
          <t>是</t>
        </is>
      </c>
      <c r="AI125" s="359" t="n"/>
      <c r="AJ125" s="359" t="n"/>
      <c r="AK125" s="359" t="n"/>
      <c r="AL125" s="359" t="n"/>
      <c r="AM125" s="359" t="n"/>
    </row>
    <row r="126" ht="26.25" customHeight="1" s="1053">
      <c r="A126" s="339" t="inlineStr">
        <is>
          <t>天成大厦</t>
        </is>
      </c>
      <c r="B126" s="339" t="inlineStr">
        <is>
          <t>一期</t>
        </is>
      </c>
      <c r="C126" s="339" t="n">
        <v>5230775</v>
      </c>
      <c r="D126" s="339" t="inlineStr">
        <is>
          <t>10:20-12:30</t>
        </is>
      </c>
      <c r="E126" s="339" t="inlineStr">
        <is>
          <t>潜能班</t>
        </is>
      </c>
      <c r="F126" s="339" t="inlineStr">
        <is>
          <t>王喆奎</t>
        </is>
      </c>
      <c r="G126" s="339" t="inlineStr">
        <is>
          <t>陈中帅</t>
        </is>
      </c>
      <c r="H126" s="339" t="inlineStr">
        <is>
          <t>李润</t>
        </is>
      </c>
      <c r="I126" s="339" t="inlineStr">
        <is>
          <t>刘希子</t>
        </is>
      </c>
      <c r="J126" s="339" t="inlineStr">
        <is>
          <t>沈思浩</t>
        </is>
      </c>
      <c r="K126" s="339" t="n"/>
      <c r="L126" s="339" t="n"/>
      <c r="M126" s="339" t="n"/>
      <c r="N126" s="339" t="n"/>
      <c r="O126" s="339" t="n"/>
      <c r="P126" s="339" t="n">
        <v>85</v>
      </c>
      <c r="Q126" s="339" t="n"/>
      <c r="R126" s="339" t="n"/>
      <c r="S126" s="339" t="n"/>
      <c r="T126" s="339" t="inlineStr">
        <is>
          <t>是</t>
        </is>
      </c>
      <c r="U126" s="339" t="n"/>
      <c r="V126" s="339" t="n"/>
      <c r="W126" s="339" t="n"/>
      <c r="X126" s="339" t="n"/>
      <c r="Y126" s="339" t="n"/>
      <c r="Z126" s="339" t="n"/>
      <c r="AA126" s="339" t="n"/>
      <c r="AB126" s="339" t="n"/>
      <c r="AC126" s="339" t="n"/>
      <c r="AD126" s="339" t="n"/>
      <c r="AE126" s="339" t="n"/>
      <c r="AF126" s="339" t="n"/>
      <c r="AG126" s="339" t="n"/>
      <c r="AH126" s="339" t="n"/>
      <c r="AI126" s="359" t="n"/>
      <c r="AJ126" s="359" t="n"/>
      <c r="AK126" s="359" t="n"/>
      <c r="AL126" s="359" t="n"/>
      <c r="AM126" s="359" t="n"/>
    </row>
    <row r="127" ht="26.25" customHeight="1" s="1053">
      <c r="A127" s="339" t="inlineStr">
        <is>
          <t>天成大厦</t>
        </is>
      </c>
      <c r="B127" s="339" t="inlineStr">
        <is>
          <t>一期</t>
        </is>
      </c>
      <c r="C127" s="339" t="n">
        <v>5230775</v>
      </c>
      <c r="D127" s="339" t="inlineStr">
        <is>
          <t>10:20-12:30</t>
        </is>
      </c>
      <c r="E127" s="339" t="inlineStr">
        <is>
          <t>潜能班</t>
        </is>
      </c>
      <c r="F127" s="339" t="inlineStr">
        <is>
          <t>玮倩</t>
        </is>
      </c>
      <c r="G127" s="339" t="inlineStr">
        <is>
          <t>陈中帅</t>
        </is>
      </c>
      <c r="H127" s="339" t="inlineStr">
        <is>
          <t>李润</t>
        </is>
      </c>
      <c r="I127" s="339" t="inlineStr">
        <is>
          <t>刘希子</t>
        </is>
      </c>
      <c r="J127" s="339" t="inlineStr">
        <is>
          <t>王达04</t>
        </is>
      </c>
      <c r="K127" s="339" t="n"/>
      <c r="L127" s="339" t="n"/>
      <c r="M127" s="339" t="n"/>
      <c r="N127" s="339" t="n"/>
      <c r="O127" s="339" t="n"/>
      <c r="P127" s="339" t="n"/>
      <c r="Q127" s="339" t="n">
        <v>59</v>
      </c>
      <c r="R127" s="339" t="n"/>
      <c r="S127" s="339" t="n"/>
      <c r="T127" s="339" t="inlineStr">
        <is>
          <t>是</t>
        </is>
      </c>
      <c r="U127" s="339" t="n"/>
      <c r="V127" s="339" t="n"/>
      <c r="W127" s="339" t="n"/>
      <c r="X127" s="339" t="n"/>
      <c r="Y127" s="339" t="n"/>
      <c r="Z127" s="339" t="n"/>
      <c r="AA127" s="339" t="n"/>
      <c r="AB127" s="339" t="n"/>
      <c r="AC127" s="339" t="n"/>
      <c r="AD127" s="339" t="n"/>
      <c r="AE127" s="339" t="n"/>
      <c r="AF127" s="339" t="n"/>
      <c r="AG127" s="339" t="n"/>
      <c r="AH127" s="339" t="n"/>
      <c r="AI127" s="359" t="n"/>
      <c r="AJ127" s="359" t="n"/>
      <c r="AK127" s="359" t="n"/>
      <c r="AL127" s="359" t="n"/>
      <c r="AM127" s="359" t="n"/>
    </row>
    <row r="128" ht="26.25" customFormat="1" customHeight="1" s="328">
      <c r="A128" s="339" t="inlineStr">
        <is>
          <t>天成大厦</t>
        </is>
      </c>
      <c r="B128" s="339" t="inlineStr">
        <is>
          <t>一期</t>
        </is>
      </c>
      <c r="C128" s="339" t="n">
        <v>5230775</v>
      </c>
      <c r="D128" s="339" t="inlineStr">
        <is>
          <t>10:20-12:30</t>
        </is>
      </c>
      <c r="E128" s="339" t="inlineStr">
        <is>
          <t>潜能班</t>
        </is>
      </c>
      <c r="F128" s="339" t="inlineStr">
        <is>
          <t>程芷仪</t>
        </is>
      </c>
      <c r="G128" s="339" t="inlineStr">
        <is>
          <t>陈中帅</t>
        </is>
      </c>
      <c r="H128" s="339" t="n"/>
      <c r="I128" s="339" t="n"/>
      <c r="J128" s="339" t="n"/>
      <c r="K128" s="339" t="n"/>
      <c r="L128" s="339" t="n"/>
      <c r="M128" s="339" t="n"/>
      <c r="N128" s="339" t="n"/>
      <c r="O128" s="339" t="n"/>
      <c r="P128" s="339" t="n"/>
      <c r="Q128" s="339" t="n">
        <v>65</v>
      </c>
      <c r="R128" s="339" t="n"/>
      <c r="S128" s="339" t="n"/>
      <c r="T128" s="339" t="inlineStr">
        <is>
          <t>是</t>
        </is>
      </c>
      <c r="U128" s="339" t="n"/>
      <c r="V128" s="339" t="n"/>
      <c r="W128" s="339" t="n"/>
      <c r="X128" s="339" t="n"/>
      <c r="Y128" s="339" t="n"/>
      <c r="Z128" s="339" t="n"/>
      <c r="AA128" s="339" t="n"/>
      <c r="AB128" s="339" t="n"/>
      <c r="AC128" s="339" t="n"/>
      <c r="AD128" s="339" t="n"/>
      <c r="AE128" s="339" t="n"/>
      <c r="AF128" s="339" t="n"/>
      <c r="AG128" s="339" t="n"/>
      <c r="AH128" s="339" t="inlineStr">
        <is>
          <t>是</t>
        </is>
      </c>
    </row>
    <row r="129" ht="26.25" customHeight="1" s="1053">
      <c r="A129" s="339" t="inlineStr">
        <is>
          <t>天成大厦</t>
        </is>
      </c>
      <c r="B129" s="339" t="inlineStr">
        <is>
          <t>一期</t>
        </is>
      </c>
      <c r="C129" s="339" t="n">
        <v>5230775</v>
      </c>
      <c r="D129" s="339" t="inlineStr">
        <is>
          <t>10:20-12:30</t>
        </is>
      </c>
      <c r="E129" s="339" t="inlineStr">
        <is>
          <t>潜能班</t>
        </is>
      </c>
      <c r="F129" s="339" t="inlineStr">
        <is>
          <t>翁圣翔</t>
        </is>
      </c>
      <c r="G129" s="339" t="inlineStr">
        <is>
          <t>陈中帅</t>
        </is>
      </c>
      <c r="H129" s="339" t="n"/>
      <c r="I129" s="339" t="inlineStr">
        <is>
          <t>刘希子</t>
        </is>
      </c>
      <c r="J129" s="339" t="inlineStr">
        <is>
          <t>陈亮延</t>
        </is>
      </c>
      <c r="K129" s="339" t="n"/>
      <c r="L129" s="339" t="n"/>
      <c r="M129" s="339" t="n"/>
      <c r="N129" s="339" t="n"/>
      <c r="O129" s="339" t="n"/>
      <c r="P129" s="339" t="n"/>
      <c r="Q129" s="339" t="n">
        <v>60</v>
      </c>
      <c r="R129" s="339" t="n"/>
      <c r="S129" s="339" t="n"/>
      <c r="T129" s="339" t="inlineStr">
        <is>
          <t>是</t>
        </is>
      </c>
      <c r="U129" s="339" t="n"/>
      <c r="V129" s="339" t="n"/>
      <c r="W129" s="339" t="n"/>
      <c r="X129" s="339" t="n"/>
      <c r="Y129" s="339" t="n"/>
      <c r="Z129" s="339" t="n"/>
      <c r="AA129" s="339" t="n"/>
      <c r="AB129" s="339" t="n"/>
      <c r="AC129" s="339" t="n"/>
      <c r="AD129" s="339" t="n"/>
      <c r="AE129" s="339" t="n"/>
      <c r="AF129" s="339" t="n"/>
      <c r="AG129" s="339" t="n"/>
      <c r="AH129" s="339" t="inlineStr">
        <is>
          <t>是</t>
        </is>
      </c>
      <c r="AI129" s="359" t="n"/>
      <c r="AJ129" s="359" t="n"/>
      <c r="AK129" s="359" t="n"/>
      <c r="AL129" s="359" t="n"/>
      <c r="AM129" s="359" t="n"/>
    </row>
    <row r="130" ht="26.25" customFormat="1" customHeight="1" s="328">
      <c r="A130" s="339" t="inlineStr">
        <is>
          <t>天成大厦</t>
        </is>
      </c>
      <c r="B130" s="339" t="inlineStr">
        <is>
          <t>一期</t>
        </is>
      </c>
      <c r="C130" s="339" t="n">
        <v>5230775</v>
      </c>
      <c r="D130" s="339" t="inlineStr">
        <is>
          <t>10:20-12:30</t>
        </is>
      </c>
      <c r="E130" s="339" t="inlineStr">
        <is>
          <t>潜能班</t>
        </is>
      </c>
      <c r="F130" s="339" t="inlineStr">
        <is>
          <t>蔡可馨</t>
        </is>
      </c>
      <c r="G130" s="339" t="inlineStr">
        <is>
          <t>陈中帅</t>
        </is>
      </c>
      <c r="H130" s="339" t="n"/>
      <c r="I130" s="339" t="n"/>
      <c r="J130" s="339" t="inlineStr">
        <is>
          <t>王达04</t>
        </is>
      </c>
      <c r="K130" s="339" t="n"/>
      <c r="L130" s="339" t="n"/>
      <c r="M130" s="339" t="n"/>
      <c r="N130" s="339" t="n"/>
      <c r="O130" s="339" t="n"/>
      <c r="P130" s="339" t="n"/>
      <c r="Q130" s="339" t="n">
        <v>90</v>
      </c>
      <c r="R130" s="339" t="n"/>
      <c r="S130" s="339" t="n"/>
      <c r="T130" s="339" t="inlineStr">
        <is>
          <t>是</t>
        </is>
      </c>
      <c r="U130" s="339" t="n"/>
      <c r="V130" s="339" t="n"/>
      <c r="W130" s="339" t="n"/>
      <c r="X130" s="339" t="n"/>
      <c r="Y130" s="339" t="n"/>
      <c r="Z130" s="339" t="n"/>
      <c r="AA130" s="339" t="n"/>
      <c r="AB130" s="339" t="n"/>
      <c r="AC130" s="339" t="n"/>
      <c r="AD130" s="339" t="n"/>
      <c r="AE130" s="339" t="n"/>
      <c r="AF130" s="339" t="n"/>
      <c r="AG130" s="339" t="n"/>
      <c r="AH130" s="339" t="inlineStr">
        <is>
          <t>是</t>
        </is>
      </c>
    </row>
    <row r="131" ht="26.25" customHeight="1" s="1053">
      <c r="A131" s="339" t="inlineStr">
        <is>
          <t>天成大厦</t>
        </is>
      </c>
      <c r="B131" s="339" t="inlineStr">
        <is>
          <t>一期</t>
        </is>
      </c>
      <c r="C131" s="339" t="n">
        <v>5230775</v>
      </c>
      <c r="D131" s="339" t="inlineStr">
        <is>
          <t>10:20-12:30</t>
        </is>
      </c>
      <c r="E131" s="339" t="inlineStr">
        <is>
          <t>潜能班</t>
        </is>
      </c>
      <c r="F131" s="339" t="inlineStr">
        <is>
          <t>郑皓</t>
        </is>
      </c>
      <c r="G131" s="339" t="inlineStr">
        <is>
          <t>陈中帅</t>
        </is>
      </c>
      <c r="H131" s="339" t="n"/>
      <c r="I131" s="339" t="inlineStr">
        <is>
          <t>刘希子</t>
        </is>
      </c>
      <c r="J131" s="339" t="inlineStr">
        <is>
          <t>王达04</t>
        </is>
      </c>
      <c r="K131" s="339" t="n"/>
      <c r="L131" s="339" t="n"/>
      <c r="M131" s="339" t="n"/>
      <c r="N131" s="339" t="n"/>
      <c r="O131" s="339" t="n"/>
      <c r="P131" s="339" t="n"/>
      <c r="Q131" s="339" t="n">
        <v>60</v>
      </c>
      <c r="R131" s="339" t="n"/>
      <c r="S131" s="339" t="n"/>
      <c r="T131" s="339" t="inlineStr">
        <is>
          <t>是</t>
        </is>
      </c>
      <c r="U131" s="339" t="n"/>
      <c r="V131" s="339" t="n"/>
      <c r="W131" s="339" t="n"/>
      <c r="X131" s="339" t="n"/>
      <c r="Y131" s="339" t="n"/>
      <c r="Z131" s="339" t="n"/>
      <c r="AA131" s="339" t="n"/>
      <c r="AB131" s="339" t="n"/>
      <c r="AC131" s="339" t="n"/>
      <c r="AD131" s="339" t="n"/>
      <c r="AE131" s="339" t="n"/>
      <c r="AF131" s="339" t="n"/>
      <c r="AG131" s="339" t="n"/>
      <c r="AH131" s="339" t="inlineStr">
        <is>
          <t>是</t>
        </is>
      </c>
      <c r="AI131" s="359" t="n"/>
      <c r="AJ131" s="359" t="n"/>
      <c r="AK131" s="359" t="n"/>
      <c r="AL131" s="359" t="n"/>
      <c r="AM131" s="359" t="n"/>
    </row>
    <row r="132" outlineLevel="1" ht="26.25" customHeight="1" s="1053">
      <c r="A132" s="339" t="inlineStr">
        <is>
          <t>天成大厦</t>
        </is>
      </c>
      <c r="B132" s="339" t="inlineStr">
        <is>
          <t>一期</t>
        </is>
      </c>
      <c r="C132" s="339" t="n">
        <v>5230775</v>
      </c>
      <c r="D132" s="339" t="inlineStr">
        <is>
          <t>10:20-12:30</t>
        </is>
      </c>
      <c r="E132" s="339" t="inlineStr">
        <is>
          <t>潜能班</t>
        </is>
      </c>
      <c r="F132" s="339" t="inlineStr">
        <is>
          <t>陈梓萱</t>
        </is>
      </c>
      <c r="G132" s="339" t="inlineStr">
        <is>
          <t>陈中帅</t>
        </is>
      </c>
      <c r="H132" s="339" t="n"/>
      <c r="I132" s="339" t="n"/>
      <c r="J132" s="339" t="n"/>
      <c r="K132" s="339" t="n"/>
      <c r="L132" s="339" t="n"/>
      <c r="M132" s="339" t="n"/>
      <c r="N132" s="339" t="n"/>
      <c r="O132" s="339" t="n"/>
      <c r="P132" s="339" t="n"/>
      <c r="Q132" s="339" t="n">
        <v>50</v>
      </c>
      <c r="R132" s="339" t="n"/>
      <c r="S132" s="339" t="n"/>
      <c r="T132" s="339" t="inlineStr">
        <is>
          <t>是</t>
        </is>
      </c>
      <c r="U132" s="339" t="n"/>
      <c r="V132" s="339" t="n"/>
      <c r="W132" s="339" t="n"/>
      <c r="X132" s="339" t="n"/>
      <c r="Y132" s="339" t="n"/>
      <c r="Z132" s="339" t="n"/>
      <c r="AA132" s="339" t="n"/>
      <c r="AB132" s="339" t="n"/>
      <c r="AC132" s="339" t="n"/>
      <c r="AD132" s="339" t="n"/>
      <c r="AE132" s="339" t="n"/>
      <c r="AF132" s="339" t="n"/>
      <c r="AG132" s="339" t="n"/>
      <c r="AH132" s="339" t="inlineStr">
        <is>
          <t>是</t>
        </is>
      </c>
      <c r="AI132" s="359" t="n"/>
      <c r="AJ132" s="359" t="n"/>
      <c r="AK132" s="359" t="n"/>
      <c r="AL132" s="359" t="n"/>
      <c r="AM132" s="359" t="n"/>
    </row>
    <row r="133" ht="26.25" customHeight="1" s="1053">
      <c r="A133" s="339" t="inlineStr">
        <is>
          <t>同创汇</t>
        </is>
      </c>
      <c r="B133" s="339" t="inlineStr">
        <is>
          <t>零期</t>
        </is>
      </c>
      <c r="C133" s="339" t="n">
        <v>5230814</v>
      </c>
      <c r="D133" s="339" t="inlineStr">
        <is>
          <t>07:50-10:00</t>
        </is>
      </c>
      <c r="E133" s="339" t="inlineStr">
        <is>
          <t>启能班</t>
        </is>
      </c>
      <c r="F133" s="437" t="inlineStr">
        <is>
          <t>丘雅萱</t>
        </is>
      </c>
      <c r="G133" s="339" t="inlineStr">
        <is>
          <t>陈中帅</t>
        </is>
      </c>
      <c r="H133" s="339" t="inlineStr">
        <is>
          <t>陈南05</t>
        </is>
      </c>
      <c r="I133" s="339" t="inlineStr">
        <is>
          <t>刘希子</t>
        </is>
      </c>
      <c r="J133" s="339" t="inlineStr">
        <is>
          <t>王丽</t>
        </is>
      </c>
      <c r="K133" s="339" t="n"/>
      <c r="L133" s="339" t="inlineStr">
        <is>
          <t>二十中学</t>
        </is>
      </c>
      <c r="M133" s="339" t="inlineStr">
        <is>
          <t>学习习惯：一般，需要多关注</t>
        </is>
      </c>
      <c r="N133" s="339" t="inlineStr">
        <is>
          <t>小初衔接</t>
        </is>
      </c>
      <c r="O133" s="339" t="inlineStr">
        <is>
          <t>家有点儿远，番禺附近</t>
        </is>
      </c>
      <c r="P133" s="339" t="n">
        <v>75</v>
      </c>
      <c r="Q133" s="339" t="n"/>
      <c r="R133" s="339" t="n"/>
      <c r="S133" s="339" t="n"/>
      <c r="T133" s="339" t="inlineStr">
        <is>
          <t>是</t>
        </is>
      </c>
      <c r="U133" s="339" t="inlineStr">
        <is>
          <t>是</t>
        </is>
      </c>
      <c r="V133" s="339" t="inlineStr">
        <is>
          <t>是</t>
        </is>
      </c>
      <c r="W133" s="339" t="inlineStr">
        <is>
          <t>是</t>
        </is>
      </c>
      <c r="X133" s="339" t="inlineStr">
        <is>
          <t>否</t>
        </is>
      </c>
      <c r="Y133" s="339" t="inlineStr">
        <is>
          <t>是</t>
        </is>
      </c>
      <c r="Z133" s="339" t="inlineStr">
        <is>
          <t>是</t>
        </is>
      </c>
      <c r="AA133" s="339" t="inlineStr">
        <is>
          <t>是</t>
        </is>
      </c>
      <c r="AB133" s="339" t="n"/>
      <c r="AC133" s="339" t="n"/>
      <c r="AD133" s="339" t="n"/>
      <c r="AE133" s="339" t="n"/>
      <c r="AF133" s="339" t="n"/>
      <c r="AG133" s="339" t="n"/>
      <c r="AH133" s="339" t="n"/>
      <c r="AI133" s="421" t="inlineStr">
        <is>
          <t>是</t>
        </is>
      </c>
    </row>
    <row r="134" ht="26.25" customHeight="1" s="1053">
      <c r="A134" s="339" t="inlineStr">
        <is>
          <t>同创汇</t>
        </is>
      </c>
      <c r="B134" s="339" t="inlineStr">
        <is>
          <t>零期</t>
        </is>
      </c>
      <c r="C134" s="339" t="n">
        <v>5230814</v>
      </c>
      <c r="D134" s="339" t="inlineStr">
        <is>
          <t>07:50-10:00</t>
        </is>
      </c>
      <c r="E134" s="339" t="inlineStr">
        <is>
          <t>启能班</t>
        </is>
      </c>
      <c r="F134" s="437" t="inlineStr">
        <is>
          <t>于彦臻</t>
        </is>
      </c>
      <c r="G134" s="339" t="inlineStr">
        <is>
          <t>陈中帅</t>
        </is>
      </c>
      <c r="H134" s="339" t="inlineStr">
        <is>
          <t>黄铭怡</t>
        </is>
      </c>
      <c r="I134" s="339" t="inlineStr">
        <is>
          <t>刘希子</t>
        </is>
      </c>
      <c r="J134" s="339" t="inlineStr">
        <is>
          <t>王丽</t>
        </is>
      </c>
      <c r="K134" s="339" t="n"/>
      <c r="L134" s="339" t="inlineStr">
        <is>
          <t>铁一小学</t>
        </is>
      </c>
      <c r="M134" s="641" t="inlineStr">
        <is>
          <t>学习态度：比较认真
学习习惯：按时完成作业
性格：正常</t>
        </is>
      </c>
      <c r="N134" s="339" t="inlineStr">
        <is>
          <t>小初衔接</t>
        </is>
      </c>
      <c r="O134" s="339" t="inlineStr">
        <is>
          <t>妈妈管学习</t>
        </is>
      </c>
      <c r="P134" s="339" t="inlineStr">
        <is>
          <t>接近满分</t>
        </is>
      </c>
      <c r="Q134" s="339" t="n">
        <v>80</v>
      </c>
      <c r="R134" s="339" t="n"/>
      <c r="S134" s="339" t="n"/>
      <c r="T134" s="339" t="inlineStr">
        <is>
          <t>是</t>
        </is>
      </c>
      <c r="U134" s="339" t="inlineStr">
        <is>
          <t>是</t>
        </is>
      </c>
      <c r="V134" s="339" t="inlineStr">
        <is>
          <t>是</t>
        </is>
      </c>
      <c r="W134" s="339" t="inlineStr">
        <is>
          <t>是</t>
        </is>
      </c>
      <c r="X134" s="339" t="inlineStr">
        <is>
          <t>是</t>
        </is>
      </c>
      <c r="Y134" s="339" t="inlineStr">
        <is>
          <t>是</t>
        </is>
      </c>
      <c r="Z134" s="339" t="inlineStr">
        <is>
          <t>是</t>
        </is>
      </c>
      <c r="AA134" s="339" t="inlineStr">
        <is>
          <t>是</t>
        </is>
      </c>
      <c r="AB134" s="339" t="n"/>
      <c r="AC134" s="339" t="n"/>
      <c r="AD134" s="339" t="inlineStr">
        <is>
          <t>S</t>
        </is>
      </c>
      <c r="AE134" s="339" t="inlineStr">
        <is>
          <t>春季在读</t>
        </is>
      </c>
      <c r="AF134" s="339" t="n"/>
      <c r="AG134" s="339" t="n"/>
      <c r="AH134" s="339" t="inlineStr">
        <is>
          <t>是</t>
        </is>
      </c>
    </row>
    <row r="135" ht="26.25" customHeight="1" s="1053">
      <c r="A135" s="339" t="inlineStr">
        <is>
          <t>同创汇</t>
        </is>
      </c>
      <c r="B135" s="339" t="inlineStr">
        <is>
          <t>零期</t>
        </is>
      </c>
      <c r="C135" s="339" t="n">
        <v>5230814</v>
      </c>
      <c r="D135" s="339" t="inlineStr">
        <is>
          <t>07:50-10:00</t>
        </is>
      </c>
      <c r="E135" s="339" t="inlineStr">
        <is>
          <t>启能班</t>
        </is>
      </c>
      <c r="F135" s="437" t="inlineStr">
        <is>
          <t>伦铭聪</t>
        </is>
      </c>
      <c r="G135" s="339" t="inlineStr">
        <is>
          <t>陈中帅</t>
        </is>
      </c>
      <c r="H135" s="339" t="inlineStr">
        <is>
          <t>黄铭怡</t>
        </is>
      </c>
      <c r="I135" s="339" t="inlineStr">
        <is>
          <t>刘希子</t>
        </is>
      </c>
      <c r="J135" s="339" t="inlineStr">
        <is>
          <t>沈思浩</t>
        </is>
      </c>
      <c r="K135" s="339" t="inlineStr">
        <is>
          <t>环市路小学</t>
        </is>
      </c>
      <c r="L135" s="339" t="inlineStr">
        <is>
          <t>执信中学</t>
        </is>
      </c>
      <c r="M135" s="642" t="inlineStr">
        <is>
          <t>学习习惯：比较听老实话
学习意愿：不主动
性格：腼腆，慢热</t>
        </is>
      </c>
      <c r="N135" s="643" t="inlineStr">
        <is>
          <t>补基础
短期：分层测试</t>
        </is>
      </c>
      <c r="O135" s="644" t="inlineStr">
        <is>
          <t>身体原因休学一年
杜加尉转介绍</t>
        </is>
      </c>
      <c r="P135" s="339" t="n"/>
      <c r="Q135" s="339" t="n">
        <v>118</v>
      </c>
      <c r="R135" s="339" t="n"/>
      <c r="S135" s="339" t="n"/>
      <c r="T135" s="339" t="inlineStr">
        <is>
          <t>是</t>
        </is>
      </c>
      <c r="U135" s="339" t="inlineStr">
        <is>
          <t>是</t>
        </is>
      </c>
      <c r="V135" s="339" t="inlineStr">
        <is>
          <t>是</t>
        </is>
      </c>
      <c r="W135" s="339" t="inlineStr">
        <is>
          <t>是</t>
        </is>
      </c>
      <c r="X135" s="339" t="inlineStr">
        <is>
          <t>是</t>
        </is>
      </c>
      <c r="Y135" s="339" t="inlineStr">
        <is>
          <t>是</t>
        </is>
      </c>
      <c r="Z135" s="339" t="inlineStr">
        <is>
          <t>是</t>
        </is>
      </c>
      <c r="AA135" s="339" t="n"/>
      <c r="AB135" s="339" t="n"/>
      <c r="AC135" s="339" t="n"/>
      <c r="AD135" s="339" t="inlineStr">
        <is>
          <t>A</t>
        </is>
      </c>
      <c r="AE135" s="339" t="inlineStr">
        <is>
          <t>家长很主动</t>
        </is>
      </c>
      <c r="AF135" s="339" t="n"/>
      <c r="AG135" s="339" t="n"/>
      <c r="AH135" s="339" t="n"/>
      <c r="AI135" s="421" t="inlineStr">
        <is>
          <t>否</t>
        </is>
      </c>
    </row>
    <row r="136" ht="26.25" customHeight="1" s="1053">
      <c r="A136" s="339" t="inlineStr">
        <is>
          <t>同创汇</t>
        </is>
      </c>
      <c r="B136" s="339" t="inlineStr">
        <is>
          <t>零期</t>
        </is>
      </c>
      <c r="C136" s="339" t="n">
        <v>5230814</v>
      </c>
      <c r="D136" s="339" t="inlineStr">
        <is>
          <t>07:50-10:00</t>
        </is>
      </c>
      <c r="E136" s="339" t="inlineStr">
        <is>
          <t>启能班</t>
        </is>
      </c>
      <c r="F136" s="437" t="inlineStr">
        <is>
          <t>周芷帆</t>
        </is>
      </c>
      <c r="G136" s="339" t="inlineStr">
        <is>
          <t>陈中帅</t>
        </is>
      </c>
      <c r="H136" s="339" t="inlineStr">
        <is>
          <t>黄铭怡</t>
        </is>
      </c>
      <c r="I136" s="339" t="inlineStr">
        <is>
          <t>刘希子</t>
        </is>
      </c>
      <c r="J136" s="339" t="inlineStr">
        <is>
          <t>王丽</t>
        </is>
      </c>
      <c r="K136" s="339" t="inlineStr">
        <is>
          <t>育才小学</t>
        </is>
      </c>
      <c r="L136" s="339" t="inlineStr">
        <is>
          <t>16中</t>
        </is>
      </c>
      <c r="M136" s="645" t="inlineStr">
        <is>
          <t>学习习惯：很好
学习意愿：逻辑感很强</t>
        </is>
      </c>
      <c r="N136" s="646" t="inlineStr">
        <is>
          <t>短期：分层测；
长期：中考拓展</t>
        </is>
      </c>
      <c r="O136" s="339" t="inlineStr">
        <is>
          <t>妈妈管学习</t>
        </is>
      </c>
      <c r="P136" s="339" t="inlineStr">
        <is>
          <t>95以上</t>
        </is>
      </c>
      <c r="Q136" s="339" t="n">
        <v>91</v>
      </c>
      <c r="R136" s="339" t="n"/>
      <c r="S136" s="339" t="n"/>
      <c r="T136" s="339" t="inlineStr">
        <is>
          <t>是</t>
        </is>
      </c>
      <c r="U136" s="339" t="inlineStr">
        <is>
          <t>是</t>
        </is>
      </c>
      <c r="V136" s="339" t="inlineStr">
        <is>
          <t>是</t>
        </is>
      </c>
      <c r="W136" s="339" t="inlineStr">
        <is>
          <t>是</t>
        </is>
      </c>
      <c r="X136" s="339" t="inlineStr">
        <is>
          <t>是</t>
        </is>
      </c>
      <c r="Y136" s="339" t="inlineStr">
        <is>
          <t>是</t>
        </is>
      </c>
      <c r="Z136" s="339" t="inlineStr">
        <is>
          <t>是</t>
        </is>
      </c>
      <c r="AA136" s="339" t="inlineStr">
        <is>
          <t>是</t>
        </is>
      </c>
      <c r="AB136" s="339" t="n"/>
      <c r="AC136" s="339" t="n"/>
      <c r="AD136" s="339" t="inlineStr">
        <is>
          <t>A</t>
        </is>
      </c>
      <c r="AE136" s="647" t="inlineStr">
        <is>
          <t>孩子程度好
家长重视学习</t>
        </is>
      </c>
      <c r="AF136" s="339" t="n"/>
      <c r="AG136" s="339" t="n"/>
      <c r="AH136" s="339" t="n"/>
      <c r="AI136" s="421" t="inlineStr">
        <is>
          <t>是</t>
        </is>
      </c>
    </row>
    <row r="137" ht="36.75" customHeight="1" s="1053">
      <c r="A137" s="339" t="inlineStr">
        <is>
          <t>同创汇</t>
        </is>
      </c>
      <c r="B137" s="339" t="inlineStr">
        <is>
          <t>零期</t>
        </is>
      </c>
      <c r="C137" s="339" t="n">
        <v>5230814</v>
      </c>
      <c r="D137" s="339" t="inlineStr">
        <is>
          <t>07:50-10:00</t>
        </is>
      </c>
      <c r="E137" s="339" t="inlineStr">
        <is>
          <t>启能班</t>
        </is>
      </c>
      <c r="F137" s="437" t="inlineStr">
        <is>
          <t>孟庆宇</t>
        </is>
      </c>
      <c r="G137" s="339" t="inlineStr">
        <is>
          <t>陈中帅</t>
        </is>
      </c>
      <c r="H137" s="339" t="inlineStr">
        <is>
          <t>李润</t>
        </is>
      </c>
      <c r="I137" s="339" t="inlineStr">
        <is>
          <t>刘希子</t>
        </is>
      </c>
      <c r="J137" s="339" t="inlineStr">
        <is>
          <t>王丽</t>
        </is>
      </c>
      <c r="K137" s="339" t="n"/>
      <c r="L137" s="648" t="inlineStr">
        <is>
          <t>7中
点招重点班</t>
        </is>
      </c>
      <c r="M137" s="649" t="inlineStr">
        <is>
          <t>学习习惯：没啥大毛病；
学习意愿：会认真学习；
性格：外向</t>
        </is>
      </c>
      <c r="N137" s="650" t="inlineStr">
        <is>
          <t>短期：分层测；
长期：中考拓展</t>
        </is>
      </c>
      <c r="O137" s="339" t="inlineStr">
        <is>
          <t>有一个哥哥，不太好，妈妈很重视老二的教育</t>
        </is>
      </c>
      <c r="P137" s="339" t="inlineStr">
        <is>
          <t>95以上</t>
        </is>
      </c>
      <c r="Q137" s="339" t="n"/>
      <c r="R137" s="339" t="n"/>
      <c r="S137" s="339" t="n"/>
      <c r="T137" s="339" t="inlineStr">
        <is>
          <t>是</t>
        </is>
      </c>
      <c r="U137" s="339" t="inlineStr">
        <is>
          <t>是</t>
        </is>
      </c>
      <c r="V137" s="339" t="inlineStr">
        <is>
          <t>是</t>
        </is>
      </c>
      <c r="W137" s="339" t="inlineStr">
        <is>
          <t>是</t>
        </is>
      </c>
      <c r="X137" s="339" t="inlineStr">
        <is>
          <t>否</t>
        </is>
      </c>
      <c r="Y137" s="339" t="inlineStr">
        <is>
          <t>是</t>
        </is>
      </c>
      <c r="Z137" s="339" t="inlineStr">
        <is>
          <t>是</t>
        </is>
      </c>
      <c r="AA137" s="339" t="inlineStr">
        <is>
          <t>是</t>
        </is>
      </c>
      <c r="AB137" s="339" t="n"/>
      <c r="AC137" s="339" t="n"/>
      <c r="AD137" s="339" t="inlineStr">
        <is>
          <t>A</t>
        </is>
      </c>
      <c r="AE137" s="339" t="inlineStr">
        <is>
          <t>家长有规划</t>
        </is>
      </c>
      <c r="AF137" s="339" t="n"/>
      <c r="AG137" s="339" t="n"/>
      <c r="AH137" s="339" t="n"/>
      <c r="AI137" s="421" t="inlineStr">
        <is>
          <t>是</t>
        </is>
      </c>
    </row>
    <row r="138" ht="26.25" customHeight="1" s="1053">
      <c r="A138" s="339" t="inlineStr">
        <is>
          <t>同创汇</t>
        </is>
      </c>
      <c r="B138" s="339" t="inlineStr">
        <is>
          <t>零期</t>
        </is>
      </c>
      <c r="C138" s="339" t="n">
        <v>5230814</v>
      </c>
      <c r="D138" s="339" t="inlineStr">
        <is>
          <t>07:50-10:00</t>
        </is>
      </c>
      <c r="E138" s="339" t="inlineStr">
        <is>
          <t>启能班</t>
        </is>
      </c>
      <c r="F138" s="437" t="inlineStr">
        <is>
          <t>张宸</t>
        </is>
      </c>
      <c r="G138" s="339" t="inlineStr">
        <is>
          <t>陈中帅</t>
        </is>
      </c>
      <c r="H138" s="339" t="inlineStr">
        <is>
          <t>黄铭怡</t>
        </is>
      </c>
      <c r="I138" s="339" t="inlineStr">
        <is>
          <t>刘希子</t>
        </is>
      </c>
      <c r="J138" s="339" t="inlineStr">
        <is>
          <t>沈思浩</t>
        </is>
      </c>
      <c r="K138" s="339" t="inlineStr">
        <is>
          <t>小北路小学</t>
        </is>
      </c>
      <c r="L138" s="339" t="inlineStr">
        <is>
          <t>十六中实验</t>
        </is>
      </c>
      <c r="M138" s="651" t="inlineStr">
        <is>
          <t>学习态度：容易受人影响
学习习惯：不注意细节
性格：正常，受人影响</t>
        </is>
      </c>
      <c r="N138" s="339" t="inlineStr">
        <is>
          <t>中考压轴</t>
        </is>
      </c>
      <c r="O138" s="652" t="inlineStr">
        <is>
          <t>妈妈管学习，妈妈家委会；
容易受人影响，没怎么上过数学补课班，英语KP；
有续秋意向；</t>
        </is>
      </c>
      <c r="P138" s="339" t="inlineStr">
        <is>
          <t>95以上</t>
        </is>
      </c>
      <c r="Q138" s="339" t="n">
        <v>100</v>
      </c>
      <c r="R138" s="339" t="n"/>
      <c r="S138" s="339" t="n"/>
      <c r="T138" s="339" t="inlineStr">
        <is>
          <t>是</t>
        </is>
      </c>
      <c r="U138" s="339" t="inlineStr">
        <is>
          <t>是</t>
        </is>
      </c>
      <c r="V138" s="339" t="inlineStr">
        <is>
          <t>是</t>
        </is>
      </c>
      <c r="W138" s="339" t="inlineStr">
        <is>
          <t>是</t>
        </is>
      </c>
      <c r="X138" s="339" t="inlineStr">
        <is>
          <t>是</t>
        </is>
      </c>
      <c r="Y138" s="339" t="inlineStr">
        <is>
          <t>是</t>
        </is>
      </c>
      <c r="Z138" s="339" t="inlineStr">
        <is>
          <t>是</t>
        </is>
      </c>
      <c r="AA138" s="339" t="inlineStr">
        <is>
          <t>是</t>
        </is>
      </c>
      <c r="AB138" s="339" t="n"/>
      <c r="AC138" s="339" t="n"/>
      <c r="AD138" s="339" t="inlineStr">
        <is>
          <t>A</t>
        </is>
      </c>
      <c r="AE138" s="339" t="inlineStr">
        <is>
          <t>家长有规划</t>
        </is>
      </c>
      <c r="AF138" s="339" t="n"/>
      <c r="AG138" s="339" t="n"/>
      <c r="AH138" s="339" t="n"/>
      <c r="AI138" s="421" t="inlineStr">
        <is>
          <t>是</t>
        </is>
      </c>
    </row>
    <row r="139" ht="26.25" customHeight="1" s="1053">
      <c r="A139" s="339" t="inlineStr">
        <is>
          <t>同创汇</t>
        </is>
      </c>
      <c r="B139" s="339" t="inlineStr">
        <is>
          <t>零期</t>
        </is>
      </c>
      <c r="C139" s="339" t="n">
        <v>5230814</v>
      </c>
      <c r="D139" s="339" t="inlineStr">
        <is>
          <t>07:50-10:00</t>
        </is>
      </c>
      <c r="E139" s="339" t="inlineStr">
        <is>
          <t>启能班</t>
        </is>
      </c>
      <c r="F139" s="437" t="inlineStr">
        <is>
          <t>张权</t>
        </is>
      </c>
      <c r="G139" s="339" t="inlineStr">
        <is>
          <t>陈中帅</t>
        </is>
      </c>
      <c r="H139" s="339" t="inlineStr">
        <is>
          <t>黄铭怡</t>
        </is>
      </c>
      <c r="I139" s="339" t="inlineStr">
        <is>
          <t>刘希子</t>
        </is>
      </c>
      <c r="J139" s="339" t="inlineStr">
        <is>
          <t>戎凯01</t>
        </is>
      </c>
      <c r="K139" s="339" t="inlineStr">
        <is>
          <t>育才小学</t>
        </is>
      </c>
      <c r="L139" s="339" t="inlineStr">
        <is>
          <t>育才中学</t>
        </is>
      </c>
      <c r="M139" s="653" t="inlineStr">
        <is>
          <t>学习态度：男孩子中少有字迹工整；
学习习惯：认真，会自我思考；
性格：正常</t>
        </is>
      </c>
      <c r="N139" s="339" t="inlineStr">
        <is>
          <t>小初衔接+重点班</t>
        </is>
      </c>
      <c r="O139" s="654" t="inlineStr">
        <is>
          <t>妈妈管学习
没拓展</t>
        </is>
      </c>
      <c r="P139" s="339" t="inlineStr">
        <is>
          <t>接近满分</t>
        </is>
      </c>
      <c r="Q139" s="339" t="n">
        <v>100</v>
      </c>
      <c r="R139" s="339" t="n"/>
      <c r="S139" s="339" t="n"/>
      <c r="T139" s="339" t="inlineStr">
        <is>
          <t>是</t>
        </is>
      </c>
      <c r="U139" s="339" t="inlineStr">
        <is>
          <t>是</t>
        </is>
      </c>
      <c r="V139" s="339" t="inlineStr">
        <is>
          <t>是</t>
        </is>
      </c>
      <c r="W139" s="339" t="inlineStr">
        <is>
          <t>是</t>
        </is>
      </c>
      <c r="X139" s="339" t="inlineStr">
        <is>
          <t>是</t>
        </is>
      </c>
      <c r="Y139" s="339" t="inlineStr">
        <is>
          <t>是</t>
        </is>
      </c>
      <c r="Z139" s="339" t="inlineStr">
        <is>
          <t>是</t>
        </is>
      </c>
      <c r="AA139" s="339" t="inlineStr">
        <is>
          <t>是</t>
        </is>
      </c>
      <c r="AB139" s="339" t="n"/>
      <c r="AC139" s="339" t="n"/>
      <c r="AD139" s="339" t="inlineStr">
        <is>
          <t>A</t>
        </is>
      </c>
      <c r="AE139" s="339" t="inlineStr">
        <is>
          <t>春季在读</t>
        </is>
      </c>
      <c r="AF139" s="339" t="n"/>
      <c r="AG139" s="339" t="n"/>
      <c r="AH139" s="339" t="n"/>
      <c r="AI139" s="421" t="inlineStr">
        <is>
          <t>否</t>
        </is>
      </c>
    </row>
    <row r="140" ht="26.25" customHeight="1" s="1053">
      <c r="A140" s="339" t="inlineStr">
        <is>
          <t>同创汇</t>
        </is>
      </c>
      <c r="B140" s="339" t="inlineStr">
        <is>
          <t>零期</t>
        </is>
      </c>
      <c r="C140" s="339" t="n">
        <v>5230814</v>
      </c>
      <c r="D140" s="339" t="inlineStr">
        <is>
          <t>07:50-10:00</t>
        </is>
      </c>
      <c r="E140" s="339" t="inlineStr">
        <is>
          <t>启能班</t>
        </is>
      </c>
      <c r="F140" s="437" t="inlineStr">
        <is>
          <t>张进桐</t>
        </is>
      </c>
      <c r="G140" s="339" t="inlineStr">
        <is>
          <t>陈中帅</t>
        </is>
      </c>
      <c r="H140" s="339" t="inlineStr">
        <is>
          <t>黄铭怡</t>
        </is>
      </c>
      <c r="I140" s="339" t="inlineStr">
        <is>
          <t>刘希子</t>
        </is>
      </c>
      <c r="J140" s="339" t="inlineStr">
        <is>
          <t>戎凯01</t>
        </is>
      </c>
      <c r="K140" s="339" t="inlineStr">
        <is>
          <t>八一实验小学</t>
        </is>
      </c>
      <c r="L140" s="339" t="inlineStr">
        <is>
          <t>八一实验中学</t>
        </is>
      </c>
      <c r="M140" s="655" t="inlineStr">
        <is>
          <t>学习态度：会听课
学习习惯：聪明，最近学习有点儿松懈
性格：有点儿颠儿</t>
        </is>
      </c>
      <c r="N140" s="656" t="inlineStr">
        <is>
          <t>短期：分班考
长期：成绩进步</t>
        </is>
      </c>
      <c r="O140" s="339" t="inlineStr">
        <is>
          <t>妈妈负责学习，爷爷比较溺爱孩子，会给孩子手机，沉溺手机</t>
        </is>
      </c>
      <c r="P140" s="339" t="inlineStr">
        <is>
          <t>接近满分</t>
        </is>
      </c>
      <c r="Q140" s="339" t="n">
        <v>90</v>
      </c>
      <c r="R140" s="339" t="n"/>
      <c r="S140" s="339" t="n"/>
      <c r="T140" s="339" t="inlineStr">
        <is>
          <t>是</t>
        </is>
      </c>
      <c r="U140" s="339" t="inlineStr">
        <is>
          <t>是</t>
        </is>
      </c>
      <c r="V140" s="339" t="inlineStr">
        <is>
          <t>是</t>
        </is>
      </c>
      <c r="W140" s="339" t="inlineStr">
        <is>
          <t>是</t>
        </is>
      </c>
      <c r="X140" s="339" t="inlineStr">
        <is>
          <t>是</t>
        </is>
      </c>
      <c r="Y140" s="339" t="inlineStr">
        <is>
          <t>是</t>
        </is>
      </c>
      <c r="Z140" s="339" t="inlineStr">
        <is>
          <t>是</t>
        </is>
      </c>
      <c r="AA140" s="339" t="inlineStr">
        <is>
          <t>是</t>
        </is>
      </c>
      <c r="AB140" s="339" t="n"/>
      <c r="AC140" s="339" t="n"/>
      <c r="AD140" s="339" t="inlineStr">
        <is>
          <t>S</t>
        </is>
      </c>
      <c r="AE140" s="339" t="inlineStr">
        <is>
          <t>春季在读</t>
        </is>
      </c>
      <c r="AF140" s="339" t="n"/>
      <c r="AG140" s="339" t="n"/>
      <c r="AH140" s="339" t="inlineStr">
        <is>
          <t>是</t>
        </is>
      </c>
    </row>
    <row r="141" ht="26.25" customHeight="1" s="1053">
      <c r="A141" s="339" t="inlineStr">
        <is>
          <t>同创汇</t>
        </is>
      </c>
      <c r="B141" s="339" t="inlineStr">
        <is>
          <t>零期</t>
        </is>
      </c>
      <c r="C141" s="339" t="n">
        <v>5230814</v>
      </c>
      <c r="D141" s="339" t="inlineStr">
        <is>
          <t>07:50-10:00</t>
        </is>
      </c>
      <c r="E141" s="339" t="inlineStr">
        <is>
          <t>启能班</t>
        </is>
      </c>
      <c r="F141" s="437" t="inlineStr">
        <is>
          <t>李恩</t>
        </is>
      </c>
      <c r="G141" s="339" t="inlineStr">
        <is>
          <t>陈中帅</t>
        </is>
      </c>
      <c r="H141" s="339" t="inlineStr">
        <is>
          <t>黄铭怡</t>
        </is>
      </c>
      <c r="I141" s="339" t="inlineStr">
        <is>
          <t>刘希子</t>
        </is>
      </c>
      <c r="J141" s="339" t="inlineStr">
        <is>
          <t>王丽</t>
        </is>
      </c>
      <c r="K141" s="339" t="inlineStr">
        <is>
          <t>中山二路小学</t>
        </is>
      </c>
      <c r="L141" s="657" t="inlineStr">
        <is>
          <t>摇号等结果
明德八星</t>
        </is>
      </c>
      <c r="M141" s="658" t="inlineStr">
        <is>
          <t>学习习惯：很扎实，认真；
学习意愿：不用特别管控；
性格：腼腆，慢热</t>
        </is>
      </c>
      <c r="N141" s="339" t="inlineStr">
        <is>
          <t>小初衔接+重点班</t>
        </is>
      </c>
      <c r="O141" s="659" t="inlineStr">
        <is>
          <t>学而思学过两年
妈妈管学习</t>
        </is>
      </c>
      <c r="P141" s="339" t="inlineStr">
        <is>
          <t>95以上</t>
        </is>
      </c>
      <c r="Q141" s="339" t="n">
        <v>95</v>
      </c>
      <c r="R141" s="339" t="n"/>
      <c r="S141" s="339" t="n"/>
      <c r="T141" s="339" t="inlineStr">
        <is>
          <t>是</t>
        </is>
      </c>
      <c r="U141" s="339" t="inlineStr">
        <is>
          <t>是</t>
        </is>
      </c>
      <c r="V141" s="339" t="inlineStr">
        <is>
          <t>是</t>
        </is>
      </c>
      <c r="W141" s="339" t="inlineStr">
        <is>
          <t>是</t>
        </is>
      </c>
      <c r="X141" s="339" t="inlineStr">
        <is>
          <t>是</t>
        </is>
      </c>
      <c r="Y141" s="339" t="inlineStr">
        <is>
          <t>是</t>
        </is>
      </c>
      <c r="Z141" s="339" t="inlineStr">
        <is>
          <t>是</t>
        </is>
      </c>
      <c r="AA141" s="339" t="inlineStr">
        <is>
          <t>是</t>
        </is>
      </c>
      <c r="AB141" s="339" t="n"/>
      <c r="AC141" s="339" t="n"/>
      <c r="AD141" s="339" t="inlineStr">
        <is>
          <t>A</t>
        </is>
      </c>
      <c r="AE141" s="660" t="inlineStr">
        <is>
          <t>转介绍
孩子程度比较好</t>
        </is>
      </c>
      <c r="AF141" s="339" t="n"/>
      <c r="AG141" s="339" t="n"/>
      <c r="AH141" s="339" t="n"/>
      <c r="AI141" s="421" t="inlineStr">
        <is>
          <t>否</t>
        </is>
      </c>
    </row>
    <row r="142" ht="45.25000000000001" customHeight="1" s="1053">
      <c r="A142" s="339" t="inlineStr">
        <is>
          <t>同创汇</t>
        </is>
      </c>
      <c r="B142" s="339" t="inlineStr">
        <is>
          <t>零期</t>
        </is>
      </c>
      <c r="C142" s="339" t="n">
        <v>5230814</v>
      </c>
      <c r="D142" s="339" t="inlineStr">
        <is>
          <t>07:50-10:00</t>
        </is>
      </c>
      <c r="E142" s="339" t="inlineStr">
        <is>
          <t>启能班</t>
        </is>
      </c>
      <c r="F142" s="437" t="inlineStr">
        <is>
          <t>李泓睿</t>
        </is>
      </c>
      <c r="G142" s="339" t="inlineStr">
        <is>
          <t>陈中帅</t>
        </is>
      </c>
      <c r="H142" s="339" t="inlineStr">
        <is>
          <t>黄铭怡</t>
        </is>
      </c>
      <c r="I142" s="339" t="inlineStr">
        <is>
          <t>刘希子</t>
        </is>
      </c>
      <c r="J142" s="339" t="inlineStr">
        <is>
          <t>戎凯01</t>
        </is>
      </c>
      <c r="K142" s="339" t="inlineStr">
        <is>
          <t>育才小学</t>
        </is>
      </c>
      <c r="L142" s="339" t="inlineStr">
        <is>
          <t>东风实验</t>
        </is>
      </c>
      <c r="M142" s="661" t="inlineStr">
        <is>
          <t>学习习惯：不喜欢复习
学习意愿：还可以
性格：活泼、外向</t>
        </is>
      </c>
      <c r="N142" s="339" t="inlineStr">
        <is>
          <t>短期：分层测</t>
        </is>
      </c>
      <c r="O142" s="662" t="inlineStr">
        <is>
          <t>学而思A+班在读
有上小初衔接课</t>
        </is>
      </c>
      <c r="P142" s="339" t="inlineStr">
        <is>
          <t>90以上</t>
        </is>
      </c>
      <c r="Q142" s="339" t="n">
        <v>93</v>
      </c>
      <c r="R142" s="339" t="n"/>
      <c r="S142" s="339" t="n"/>
      <c r="T142" s="339" t="inlineStr">
        <is>
          <t>是</t>
        </is>
      </c>
      <c r="U142" s="339" t="inlineStr">
        <is>
          <t>是</t>
        </is>
      </c>
      <c r="V142" s="339" t="inlineStr">
        <is>
          <t>是</t>
        </is>
      </c>
      <c r="W142" s="339" t="inlineStr">
        <is>
          <t>是</t>
        </is>
      </c>
      <c r="X142" s="339" t="inlineStr">
        <is>
          <t>是</t>
        </is>
      </c>
      <c r="Y142" s="339" t="inlineStr">
        <is>
          <t>是</t>
        </is>
      </c>
      <c r="Z142" s="339" t="inlineStr">
        <is>
          <t>是</t>
        </is>
      </c>
      <c r="AA142" s="339" t="inlineStr">
        <is>
          <t>是</t>
        </is>
      </c>
      <c r="AB142" s="339" t="n"/>
      <c r="AC142" s="339" t="n"/>
      <c r="AD142" s="339" t="inlineStr">
        <is>
          <t>B</t>
        </is>
      </c>
      <c r="AE142" s="339" t="inlineStr">
        <is>
          <t>来这边上复习课</t>
        </is>
      </c>
      <c r="AF142" s="339" t="n"/>
      <c r="AG142" s="339" t="n"/>
      <c r="AH142" s="339" t="inlineStr">
        <is>
          <t>是</t>
        </is>
      </c>
      <c r="AI142" s="421" t="inlineStr">
        <is>
          <t>是</t>
        </is>
      </c>
    </row>
    <row r="143" ht="36.75" customHeight="1" s="1053">
      <c r="A143" s="339" t="inlineStr">
        <is>
          <t>同创汇</t>
        </is>
      </c>
      <c r="B143" s="339" t="inlineStr">
        <is>
          <t>零期</t>
        </is>
      </c>
      <c r="C143" s="339" t="n">
        <v>5230814</v>
      </c>
      <c r="D143" s="339" t="inlineStr">
        <is>
          <t>07:50-10:00</t>
        </is>
      </c>
      <c r="E143" s="339" t="inlineStr">
        <is>
          <t>启能班</t>
        </is>
      </c>
      <c r="F143" s="437" t="inlineStr">
        <is>
          <t>杨元博</t>
        </is>
      </c>
      <c r="G143" s="339" t="inlineStr">
        <is>
          <t>陈中帅</t>
        </is>
      </c>
      <c r="H143" s="339" t="inlineStr">
        <is>
          <t>黄铭怡</t>
        </is>
      </c>
      <c r="I143" s="339" t="n"/>
      <c r="J143" s="339" t="inlineStr">
        <is>
          <t>王丽</t>
        </is>
      </c>
      <c r="K143" s="339" t="inlineStr">
        <is>
          <t>文德路小学</t>
        </is>
      </c>
      <c r="L143" s="339" t="inlineStr">
        <is>
          <t>摇号等结果</t>
        </is>
      </c>
      <c r="M143" s="663" t="inlineStr">
        <is>
          <t>学习态度：比较认真、愿意学
学习习惯：不错
性格：听话</t>
        </is>
      </c>
      <c r="N143" s="664" t="inlineStr">
        <is>
          <t>短期：分班考
长期：成绩进步</t>
        </is>
      </c>
      <c r="O143" s="665" t="inlineStr">
        <is>
          <t>姥姥管学习
姥姥姥爷是广州中学教授</t>
        </is>
      </c>
      <c r="P143" s="339" t="inlineStr">
        <is>
          <t>95以上</t>
        </is>
      </c>
      <c r="Q143" s="339" t="n">
        <v>90</v>
      </c>
      <c r="R143" s="339" t="n"/>
      <c r="S143" s="339" t="n"/>
      <c r="T143" s="339" t="inlineStr">
        <is>
          <t>是</t>
        </is>
      </c>
      <c r="U143" s="339" t="inlineStr">
        <is>
          <t>是</t>
        </is>
      </c>
      <c r="V143" s="339" t="inlineStr">
        <is>
          <t>是</t>
        </is>
      </c>
      <c r="W143" s="339" t="inlineStr">
        <is>
          <t>是</t>
        </is>
      </c>
      <c r="X143" s="339" t="inlineStr">
        <is>
          <t>是</t>
        </is>
      </c>
      <c r="Y143" s="339" t="inlineStr">
        <is>
          <t>是</t>
        </is>
      </c>
      <c r="Z143" s="339" t="inlineStr">
        <is>
          <t>是</t>
        </is>
      </c>
      <c r="AA143" s="339" t="inlineStr">
        <is>
          <t>是</t>
        </is>
      </c>
      <c r="AB143" s="339" t="n"/>
      <c r="AC143" s="339" t="n"/>
      <c r="AD143" s="339" t="inlineStr">
        <is>
          <t>S</t>
        </is>
      </c>
      <c r="AE143" s="339" t="inlineStr">
        <is>
          <t>春季在读</t>
        </is>
      </c>
      <c r="AF143" s="339" t="n"/>
      <c r="AG143" s="339" t="n"/>
      <c r="AH143" s="339" t="inlineStr">
        <is>
          <t>是</t>
        </is>
      </c>
    </row>
    <row r="144" ht="26.25" customHeight="1" s="1053">
      <c r="A144" s="339" t="inlineStr">
        <is>
          <t>同创汇</t>
        </is>
      </c>
      <c r="B144" s="339" t="inlineStr">
        <is>
          <t>零期</t>
        </is>
      </c>
      <c r="C144" s="339" t="n">
        <v>5230814</v>
      </c>
      <c r="D144" s="339" t="inlineStr">
        <is>
          <t>07:50-10:00</t>
        </is>
      </c>
      <c r="E144" s="339" t="inlineStr">
        <is>
          <t>启能班</t>
        </is>
      </c>
      <c r="F144" s="437" t="inlineStr">
        <is>
          <t>杨芊羽</t>
        </is>
      </c>
      <c r="G144" s="339" t="inlineStr">
        <is>
          <t>陈中帅</t>
        </is>
      </c>
      <c r="H144" s="339" t="inlineStr">
        <is>
          <t>黄铭怡</t>
        </is>
      </c>
      <c r="I144" s="339" t="inlineStr">
        <is>
          <t>刘希子</t>
        </is>
      </c>
      <c r="J144" s="339" t="inlineStr">
        <is>
          <t>苏丽婷</t>
        </is>
      </c>
      <c r="K144" s="339" t="inlineStr">
        <is>
          <t>水荫路小学</t>
        </is>
      </c>
      <c r="L144" s="339" t="inlineStr">
        <is>
          <t>摇号等结果</t>
        </is>
      </c>
      <c r="M144" s="666" t="inlineStr">
        <is>
          <t>学习态度：很聪明，喜欢做题；
学习习惯：做题格式比较吃亏</t>
        </is>
      </c>
      <c r="N144" s="339" t="inlineStr">
        <is>
          <t>小初衔接+重点班</t>
        </is>
      </c>
      <c r="O144" s="667" t="inlineStr">
        <is>
          <t>妈妈管学习
比较介意体系是否超前</t>
        </is>
      </c>
      <c r="P144" s="339" t="inlineStr">
        <is>
          <t>接近满分</t>
        </is>
      </c>
      <c r="Q144" s="339" t="n">
        <v>95</v>
      </c>
      <c r="R144" s="339" t="n"/>
      <c r="S144" s="339" t="n"/>
      <c r="T144" s="339" t="inlineStr">
        <is>
          <t>是</t>
        </is>
      </c>
      <c r="U144" s="339" t="inlineStr">
        <is>
          <t>是</t>
        </is>
      </c>
      <c r="V144" s="339" t="inlineStr">
        <is>
          <t>是</t>
        </is>
      </c>
      <c r="W144" s="339" t="inlineStr">
        <is>
          <t>是</t>
        </is>
      </c>
      <c r="X144" s="339" t="inlineStr">
        <is>
          <t>是</t>
        </is>
      </c>
      <c r="Y144" s="339" t="inlineStr">
        <is>
          <t>是</t>
        </is>
      </c>
      <c r="Z144" s="339" t="inlineStr">
        <is>
          <t>是</t>
        </is>
      </c>
      <c r="AA144" s="339" t="inlineStr">
        <is>
          <t>是</t>
        </is>
      </c>
      <c r="AB144" s="339" t="n"/>
      <c r="AC144" s="339" t="n"/>
      <c r="AD144" s="339" t="inlineStr">
        <is>
          <t>B</t>
        </is>
      </c>
      <c r="AE144" s="339" t="inlineStr">
        <is>
          <t>对内容有要求</t>
        </is>
      </c>
      <c r="AF144" s="339" t="n"/>
      <c r="AG144" s="339" t="n"/>
      <c r="AH144" s="339" t="n"/>
      <c r="AI144" s="421" t="inlineStr">
        <is>
          <t>否</t>
        </is>
      </c>
    </row>
    <row r="145" ht="26.25" customHeight="1" s="1053">
      <c r="A145" s="339" t="inlineStr">
        <is>
          <t>同创汇</t>
        </is>
      </c>
      <c r="B145" s="339" t="inlineStr">
        <is>
          <t>零期</t>
        </is>
      </c>
      <c r="C145" s="339" t="n">
        <v>5230814</v>
      </c>
      <c r="D145" s="339" t="inlineStr">
        <is>
          <t>07:50-10:00</t>
        </is>
      </c>
      <c r="E145" s="339" t="inlineStr">
        <is>
          <t>启能班</t>
        </is>
      </c>
      <c r="F145" s="437" t="inlineStr">
        <is>
          <t>林小逗</t>
        </is>
      </c>
      <c r="G145" s="339" t="inlineStr">
        <is>
          <t>陈中帅</t>
        </is>
      </c>
      <c r="H145" s="339" t="n"/>
      <c r="I145" s="339" t="inlineStr">
        <is>
          <t>刘希子</t>
        </is>
      </c>
      <c r="J145" s="339" t="inlineStr">
        <is>
          <t>戎凯01</t>
        </is>
      </c>
      <c r="K145" s="339" t="inlineStr">
        <is>
          <t>小北路小学</t>
        </is>
      </c>
      <c r="L145" s="339" t="inlineStr">
        <is>
          <t>摇号等结果</t>
        </is>
      </c>
      <c r="M145" s="668" t="inlineStr">
        <is>
          <t>学习态度：认真
学习习惯：不错，好孩子
性格：正常，有点儿腼腆</t>
        </is>
      </c>
      <c r="N145" s="669" t="inlineStr">
        <is>
          <t>短期：分班考
长期：成绩进步</t>
        </is>
      </c>
      <c r="O145" s="339" t="inlineStr">
        <is>
          <t>妈妈管学习</t>
        </is>
      </c>
      <c r="P145" s="339" t="inlineStr">
        <is>
          <t>95以上</t>
        </is>
      </c>
      <c r="Q145" s="339" t="n">
        <v>90</v>
      </c>
      <c r="R145" s="339" t="n"/>
      <c r="S145" s="339" t="n"/>
      <c r="T145" s="339" t="inlineStr">
        <is>
          <t>是</t>
        </is>
      </c>
      <c r="U145" s="339" t="inlineStr">
        <is>
          <t>是</t>
        </is>
      </c>
      <c r="V145" s="339" t="inlineStr">
        <is>
          <t>是</t>
        </is>
      </c>
      <c r="W145" s="339" t="inlineStr">
        <is>
          <t>是</t>
        </is>
      </c>
      <c r="X145" s="339" t="inlineStr">
        <is>
          <t>是</t>
        </is>
      </c>
      <c r="Y145" s="339" t="inlineStr">
        <is>
          <t>否</t>
        </is>
      </c>
      <c r="Z145" s="339" t="inlineStr">
        <is>
          <t>是</t>
        </is>
      </c>
      <c r="AA145" s="339" t="n"/>
      <c r="AB145" s="339" t="n"/>
      <c r="AC145" s="339" t="n"/>
      <c r="AD145" s="339" t="inlineStr">
        <is>
          <t>S</t>
        </is>
      </c>
      <c r="AE145" s="339" t="inlineStr">
        <is>
          <t>春季在读</t>
        </is>
      </c>
      <c r="AF145" s="339" t="n"/>
      <c r="AG145" s="339" t="n"/>
      <c r="AH145" s="339" t="inlineStr">
        <is>
          <t>是</t>
        </is>
      </c>
    </row>
    <row r="146" ht="26.25" customHeight="1" s="1053">
      <c r="A146" s="339" t="inlineStr">
        <is>
          <t>同创汇</t>
        </is>
      </c>
      <c r="B146" s="339" t="inlineStr">
        <is>
          <t>零期</t>
        </is>
      </c>
      <c r="C146" s="339" t="n">
        <v>5230814</v>
      </c>
      <c r="D146" s="339" t="inlineStr">
        <is>
          <t>07:50-10:00</t>
        </is>
      </c>
      <c r="E146" s="339" t="inlineStr">
        <is>
          <t>启能班</t>
        </is>
      </c>
      <c r="F146" s="437" t="inlineStr">
        <is>
          <t>果儿</t>
        </is>
      </c>
      <c r="G146" s="339" t="inlineStr">
        <is>
          <t>陈中帅</t>
        </is>
      </c>
      <c r="H146" s="339" t="inlineStr">
        <is>
          <t>黄铭怡</t>
        </is>
      </c>
      <c r="I146" s="339" t="inlineStr">
        <is>
          <t>刘希子</t>
        </is>
      </c>
      <c r="J146" s="339" t="inlineStr">
        <is>
          <t>戎凯01</t>
        </is>
      </c>
      <c r="K146" s="339" t="inlineStr">
        <is>
          <t>培正小学</t>
        </is>
      </c>
      <c r="L146" s="339" t="inlineStr">
        <is>
          <t>培正中学</t>
        </is>
      </c>
      <c r="M146" s="670" t="inlineStr">
        <is>
          <t>学习态度：非常认真，程度很好
学习习惯：非常不错
性格：安静</t>
        </is>
      </c>
      <c r="N146" s="671" t="inlineStr">
        <is>
          <t>短期：分班考
长期：成绩进步</t>
        </is>
      </c>
      <c r="O146" s="339" t="inlineStr">
        <is>
          <t>妈妈管学习</t>
        </is>
      </c>
      <c r="P146" s="339" t="inlineStr">
        <is>
          <t>95以上</t>
        </is>
      </c>
      <c r="Q146" s="339" t="n">
        <v>82</v>
      </c>
      <c r="R146" s="339" t="n"/>
      <c r="S146" s="339" t="n"/>
      <c r="T146" s="339" t="inlineStr">
        <is>
          <t>是</t>
        </is>
      </c>
      <c r="U146" s="339" t="inlineStr">
        <is>
          <t>是</t>
        </is>
      </c>
      <c r="V146" s="339" t="inlineStr">
        <is>
          <t>是</t>
        </is>
      </c>
      <c r="W146" s="339" t="inlineStr">
        <is>
          <t>是</t>
        </is>
      </c>
      <c r="X146" s="339" t="inlineStr">
        <is>
          <t>是</t>
        </is>
      </c>
      <c r="Y146" s="339" t="inlineStr">
        <is>
          <t>是</t>
        </is>
      </c>
      <c r="Z146" s="339" t="n"/>
      <c r="AA146" s="339" t="n"/>
      <c r="AB146" s="339" t="n"/>
      <c r="AC146" s="339" t="n"/>
      <c r="AD146" s="339" t="inlineStr">
        <is>
          <t>A</t>
        </is>
      </c>
      <c r="AE146" s="339" t="inlineStr">
        <is>
          <t>春季在读</t>
        </is>
      </c>
      <c r="AF146" s="339" t="n"/>
      <c r="AG146" s="339" t="n"/>
      <c r="AH146" s="339" t="n"/>
      <c r="AI146" s="421" t="inlineStr">
        <is>
          <t>否</t>
        </is>
      </c>
    </row>
    <row r="147" ht="26.25" customHeight="1" s="1053">
      <c r="A147" s="339" t="inlineStr">
        <is>
          <t>同创汇</t>
        </is>
      </c>
      <c r="B147" s="339" t="inlineStr">
        <is>
          <t>零期</t>
        </is>
      </c>
      <c r="C147" s="339" t="n">
        <v>5230814</v>
      </c>
      <c r="D147" s="339" t="inlineStr">
        <is>
          <t>07:50-10:00</t>
        </is>
      </c>
      <c r="E147" s="339" t="inlineStr">
        <is>
          <t>启能班</t>
        </is>
      </c>
      <c r="F147" s="437" t="inlineStr">
        <is>
          <t>肖宸熙</t>
        </is>
      </c>
      <c r="G147" s="339" t="inlineStr">
        <is>
          <t>陈中帅</t>
        </is>
      </c>
      <c r="H147" s="339" t="inlineStr">
        <is>
          <t>黄铭怡</t>
        </is>
      </c>
      <c r="I147" s="339" t="inlineStr">
        <is>
          <t>刘希子</t>
        </is>
      </c>
      <c r="J147" s="339" t="inlineStr">
        <is>
          <t>王丽</t>
        </is>
      </c>
      <c r="K147" s="339" t="inlineStr">
        <is>
          <t>执信南路小学</t>
        </is>
      </c>
      <c r="L147" s="339" t="inlineStr">
        <is>
          <t>等摇号结果</t>
        </is>
      </c>
      <c r="M147" s="672" t="inlineStr">
        <is>
          <t>学习习惯：程度不错，老用户；
学习习惯：非常认真</t>
        </is>
      </c>
      <c r="N147" s="673" t="inlineStr">
        <is>
          <t>短期：分层测；
长期：成绩进步</t>
        </is>
      </c>
      <c r="O147" s="370" t="inlineStr">
        <is>
          <t>妈妈管学习</t>
        </is>
      </c>
      <c r="P147" s="339" t="inlineStr">
        <is>
          <t>95以上</t>
        </is>
      </c>
      <c r="Q147" s="339" t="n">
        <v>109</v>
      </c>
      <c r="R147" s="339" t="n"/>
      <c r="S147" s="339" t="n"/>
      <c r="T147" s="339" t="inlineStr">
        <is>
          <t>是</t>
        </is>
      </c>
      <c r="U147" s="339" t="inlineStr">
        <is>
          <t>是</t>
        </is>
      </c>
      <c r="V147" s="339" t="inlineStr">
        <is>
          <t>是</t>
        </is>
      </c>
      <c r="W147" s="339" t="inlineStr">
        <is>
          <t>是</t>
        </is>
      </c>
      <c r="X147" s="339" t="inlineStr">
        <is>
          <t>是</t>
        </is>
      </c>
      <c r="Y147" s="339" t="inlineStr">
        <is>
          <t>否</t>
        </is>
      </c>
      <c r="Z147" s="339" t="inlineStr">
        <is>
          <t>是</t>
        </is>
      </c>
      <c r="AA147" s="339" t="inlineStr">
        <is>
          <t>是</t>
        </is>
      </c>
      <c r="AB147" s="339" t="n"/>
      <c r="AC147" s="339" t="n"/>
      <c r="AD147" s="339" t="inlineStr">
        <is>
          <t>A</t>
        </is>
      </c>
      <c r="AE147" s="339" t="inlineStr">
        <is>
          <t>曾经报名过正价</t>
        </is>
      </c>
      <c r="AF147" s="339" t="n"/>
      <c r="AG147" s="339" t="n"/>
      <c r="AH147" s="339" t="n"/>
      <c r="AI147" s="421" t="inlineStr">
        <is>
          <t>否</t>
        </is>
      </c>
    </row>
    <row r="148" ht="26.25" customHeight="1" s="1053">
      <c r="A148" s="339" t="inlineStr">
        <is>
          <t>同创汇</t>
        </is>
      </c>
      <c r="B148" s="339" t="inlineStr">
        <is>
          <t>零期</t>
        </is>
      </c>
      <c r="C148" s="339" t="n">
        <v>5230814</v>
      </c>
      <c r="D148" s="339" t="inlineStr">
        <is>
          <t>07:50-10:00</t>
        </is>
      </c>
      <c r="E148" s="339" t="inlineStr">
        <is>
          <t>启能班</t>
        </is>
      </c>
      <c r="F148" s="339" t="inlineStr">
        <is>
          <t>蒋沁原</t>
        </is>
      </c>
      <c r="G148" s="339" t="inlineStr">
        <is>
          <t>陈中帅</t>
        </is>
      </c>
      <c r="H148" s="339" t="inlineStr">
        <is>
          <t>李润</t>
        </is>
      </c>
      <c r="I148" s="339" t="inlineStr">
        <is>
          <t>刘希子</t>
        </is>
      </c>
      <c r="J148" s="339" t="inlineStr">
        <is>
          <t>龙倩敏</t>
        </is>
      </c>
      <c r="K148" s="339" t="inlineStr">
        <is>
          <t>育才小学</t>
        </is>
      </c>
      <c r="L148" s="674" t="inlineStr">
        <is>
          <t>育才中学
重点班</t>
        </is>
      </c>
      <c r="M148" s="675" t="inlineStr">
        <is>
          <t>学习习惯：很不错
学习态度：认真；
性格：腼腆</t>
        </is>
      </c>
      <c r="N148" s="339" t="inlineStr">
        <is>
          <t>短期：分层测</t>
        </is>
      </c>
      <c r="O148" s="370" t="inlineStr">
        <is>
          <t>妈妈管学习</t>
        </is>
      </c>
      <c r="P148" s="339" t="inlineStr">
        <is>
          <t>95以上</t>
        </is>
      </c>
      <c r="Q148" s="339" t="n">
        <v>74</v>
      </c>
      <c r="R148" s="339" t="n"/>
      <c r="S148" s="339" t="n"/>
      <c r="T148" s="339" t="inlineStr">
        <is>
          <t>是</t>
        </is>
      </c>
      <c r="U148" s="339" t="inlineStr">
        <is>
          <t>是</t>
        </is>
      </c>
      <c r="V148" s="339" t="inlineStr">
        <is>
          <t>是</t>
        </is>
      </c>
      <c r="W148" s="339" t="inlineStr">
        <is>
          <t>是</t>
        </is>
      </c>
      <c r="X148" s="339" t="inlineStr">
        <is>
          <t>是</t>
        </is>
      </c>
      <c r="Y148" s="339" t="inlineStr">
        <is>
          <t>否</t>
        </is>
      </c>
      <c r="Z148" s="339" t="inlineStr">
        <is>
          <t>是</t>
        </is>
      </c>
      <c r="AA148" s="339" t="inlineStr">
        <is>
          <t>是</t>
        </is>
      </c>
      <c r="AB148" s="339" t="n"/>
      <c r="AC148" s="339" t="n"/>
      <c r="AD148" s="339" t="n"/>
      <c r="AE148" s="339" t="n"/>
      <c r="AF148" s="339" t="n"/>
      <c r="AG148" s="339" t="n"/>
      <c r="AH148" s="339" t="n"/>
      <c r="AI148" s="421" t="inlineStr">
        <is>
          <t>是</t>
        </is>
      </c>
    </row>
    <row r="149" ht="26.25" customHeight="1" s="1053">
      <c r="A149" s="339" t="inlineStr">
        <is>
          <t>同创汇</t>
        </is>
      </c>
      <c r="B149" s="339" t="inlineStr">
        <is>
          <t>零期</t>
        </is>
      </c>
      <c r="C149" s="339" t="n">
        <v>5230814</v>
      </c>
      <c r="D149" s="339" t="inlineStr">
        <is>
          <t>07:50-10:00</t>
        </is>
      </c>
      <c r="E149" s="339" t="inlineStr">
        <is>
          <t>启能班</t>
        </is>
      </c>
      <c r="F149" s="437" t="inlineStr">
        <is>
          <t>郭芃泽</t>
        </is>
      </c>
      <c r="G149" s="339" t="inlineStr">
        <is>
          <t>陈中帅</t>
        </is>
      </c>
      <c r="H149" s="339" t="inlineStr">
        <is>
          <t>黄铭怡</t>
        </is>
      </c>
      <c r="I149" s="339" t="n"/>
      <c r="J149" s="339" t="inlineStr">
        <is>
          <t>王丽</t>
        </is>
      </c>
      <c r="K149" s="339" t="inlineStr">
        <is>
          <t>水荫路小学</t>
        </is>
      </c>
      <c r="L149" s="339" t="inlineStr">
        <is>
          <t>东风实验中学</t>
        </is>
      </c>
      <c r="M149" s="676" t="inlineStr">
        <is>
          <t>学习态度：比较认真
学习习惯：会认真完成作业
性格：顽皮</t>
        </is>
      </c>
      <c r="N149" s="677" t="inlineStr">
        <is>
          <t>短期：分班考
长期：成绩进步</t>
        </is>
      </c>
      <c r="O149" s="339" t="inlineStr">
        <is>
          <t>爸爸管学习，部队大院的</t>
        </is>
      </c>
      <c r="P149" s="339" t="inlineStr">
        <is>
          <t>95以上</t>
        </is>
      </c>
      <c r="Q149" s="339" t="n">
        <v>90</v>
      </c>
      <c r="R149" s="339" t="n"/>
      <c r="S149" s="339" t="n"/>
      <c r="T149" s="339" t="inlineStr">
        <is>
          <t>是</t>
        </is>
      </c>
      <c r="U149" s="339" t="inlineStr">
        <is>
          <t>是</t>
        </is>
      </c>
      <c r="V149" s="339" t="inlineStr">
        <is>
          <t>是</t>
        </is>
      </c>
      <c r="W149" s="339" t="inlineStr">
        <is>
          <t>是</t>
        </is>
      </c>
      <c r="X149" s="339" t="inlineStr">
        <is>
          <t>是</t>
        </is>
      </c>
      <c r="Y149" s="339" t="inlineStr">
        <is>
          <t>是</t>
        </is>
      </c>
      <c r="Z149" s="339" t="inlineStr">
        <is>
          <t>是</t>
        </is>
      </c>
      <c r="AA149" s="339" t="inlineStr">
        <is>
          <t>是</t>
        </is>
      </c>
      <c r="AB149" s="339" t="n"/>
      <c r="AC149" s="339" t="n"/>
      <c r="AD149" s="339" t="inlineStr">
        <is>
          <t>S</t>
        </is>
      </c>
      <c r="AE149" s="339" t="inlineStr">
        <is>
          <t>春季在读</t>
        </is>
      </c>
      <c r="AF149" s="339" t="n"/>
      <c r="AG149" s="339" t="n"/>
      <c r="AH149" s="339" t="inlineStr">
        <is>
          <t>是</t>
        </is>
      </c>
    </row>
    <row r="150" ht="26.25" customHeight="1" s="1053">
      <c r="A150" s="339" t="inlineStr">
        <is>
          <t>同创汇</t>
        </is>
      </c>
      <c r="B150" s="339" t="inlineStr">
        <is>
          <t>零期</t>
        </is>
      </c>
      <c r="C150" s="339" t="n">
        <v>5230814</v>
      </c>
      <c r="D150" s="339" t="inlineStr">
        <is>
          <t>07:50-10:00</t>
        </is>
      </c>
      <c r="E150" s="339" t="inlineStr">
        <is>
          <t>启能班</t>
        </is>
      </c>
      <c r="F150" s="437" t="inlineStr">
        <is>
          <t>陈艺凡</t>
        </is>
      </c>
      <c r="G150" s="339" t="inlineStr">
        <is>
          <t>陈中帅</t>
        </is>
      </c>
      <c r="H150" s="339" t="inlineStr">
        <is>
          <t>黄铭怡</t>
        </is>
      </c>
      <c r="I150" s="339" t="inlineStr">
        <is>
          <t>刘希子</t>
        </is>
      </c>
      <c r="J150" s="339" t="inlineStr">
        <is>
          <t>戎凯01</t>
        </is>
      </c>
      <c r="K150" s="339" t="n"/>
      <c r="L150" s="315" t="inlineStr">
        <is>
          <t>16中</t>
        </is>
      </c>
      <c r="M150" s="339" t="n"/>
      <c r="N150" s="339" t="inlineStr">
        <is>
          <t>兴趣、培养</t>
        </is>
      </c>
      <c r="O150" s="339" t="inlineStr">
        <is>
          <t>家长比较开明，全面发展</t>
        </is>
      </c>
      <c r="P150" s="339" t="inlineStr">
        <is>
          <t>95以上</t>
        </is>
      </c>
      <c r="Q150" s="339" t="n">
        <v>90</v>
      </c>
      <c r="R150" s="339" t="n"/>
      <c r="S150" s="339" t="n"/>
      <c r="T150" s="339" t="inlineStr">
        <is>
          <t>是</t>
        </is>
      </c>
      <c r="U150" s="339" t="inlineStr">
        <is>
          <t>是</t>
        </is>
      </c>
      <c r="V150" s="339" t="inlineStr">
        <is>
          <t>是</t>
        </is>
      </c>
      <c r="W150" s="339" t="inlineStr">
        <is>
          <t>是</t>
        </is>
      </c>
      <c r="X150" s="339" t="inlineStr">
        <is>
          <t>是</t>
        </is>
      </c>
      <c r="Y150" s="339" t="inlineStr">
        <is>
          <t>否</t>
        </is>
      </c>
      <c r="Z150" s="339" t="inlineStr">
        <is>
          <t>是</t>
        </is>
      </c>
      <c r="AA150" s="339" t="inlineStr">
        <is>
          <t>是</t>
        </is>
      </c>
      <c r="AB150" s="339" t="n"/>
      <c r="AC150" s="339" t="n"/>
      <c r="AD150" s="339" t="n"/>
      <c r="AE150" s="339" t="n"/>
      <c r="AF150" s="339" t="n"/>
      <c r="AG150" s="339" t="n"/>
      <c r="AH150" s="339" t="n"/>
      <c r="AI150" s="421" t="inlineStr">
        <is>
          <t>是</t>
        </is>
      </c>
    </row>
    <row r="151" ht="26.25" customHeight="1" s="1053">
      <c r="A151" s="339" t="inlineStr">
        <is>
          <t>同创汇</t>
        </is>
      </c>
      <c r="B151" s="339" t="inlineStr">
        <is>
          <t>零期</t>
        </is>
      </c>
      <c r="C151" s="339" t="n">
        <v>5230814</v>
      </c>
      <c r="D151" s="339" t="inlineStr">
        <is>
          <t>07:50-10:00</t>
        </is>
      </c>
      <c r="E151" s="339" t="inlineStr">
        <is>
          <t>启能班</t>
        </is>
      </c>
      <c r="F151" s="437" t="inlineStr">
        <is>
          <t>黄馨可</t>
        </is>
      </c>
      <c r="G151" s="339" t="inlineStr">
        <is>
          <t>陈中帅</t>
        </is>
      </c>
      <c r="H151" s="339" t="inlineStr">
        <is>
          <t>黄铭怡</t>
        </is>
      </c>
      <c r="I151" s="339" t="inlineStr">
        <is>
          <t>刘希子</t>
        </is>
      </c>
      <c r="J151" s="339" t="inlineStr">
        <is>
          <t>王丽</t>
        </is>
      </c>
      <c r="K151" s="339" t="inlineStr">
        <is>
          <t>水荫路小学</t>
        </is>
      </c>
      <c r="L151" s="339" t="inlineStr">
        <is>
          <t>七中东山</t>
        </is>
      </c>
      <c r="M151" s="678" t="inlineStr">
        <is>
          <t>学习态度：强督促，反应快
学习习惯：字迹潦草，很聪明
性格：顽皮</t>
        </is>
      </c>
      <c r="N151" s="679" t="inlineStr">
        <is>
          <t>短期：分班考
长期：成绩进步</t>
        </is>
      </c>
      <c r="O151" s="339" t="inlineStr">
        <is>
          <t>妈妈管学习</t>
        </is>
      </c>
      <c r="P151" s="339" t="inlineStr">
        <is>
          <t>95以上</t>
        </is>
      </c>
      <c r="Q151" s="339" t="n">
        <v>90</v>
      </c>
      <c r="R151" s="339" t="n"/>
      <c r="S151" s="339" t="n"/>
      <c r="T151" s="339" t="inlineStr">
        <is>
          <t>是</t>
        </is>
      </c>
      <c r="U151" s="339" t="inlineStr">
        <is>
          <t>是</t>
        </is>
      </c>
      <c r="V151" s="339" t="inlineStr">
        <is>
          <t>是</t>
        </is>
      </c>
      <c r="W151" s="339" t="inlineStr">
        <is>
          <t>是</t>
        </is>
      </c>
      <c r="X151" s="339" t="inlineStr">
        <is>
          <t>是</t>
        </is>
      </c>
      <c r="Y151" s="339" t="inlineStr">
        <is>
          <t>否</t>
        </is>
      </c>
      <c r="Z151" s="339" t="n"/>
      <c r="AA151" s="339" t="n"/>
      <c r="AB151" s="339" t="n"/>
      <c r="AC151" s="339" t="n"/>
      <c r="AD151" s="339" t="inlineStr">
        <is>
          <t>S</t>
        </is>
      </c>
      <c r="AE151" s="339" t="inlineStr">
        <is>
          <t>春季在读</t>
        </is>
      </c>
      <c r="AF151" s="339" t="n"/>
      <c r="AG151" s="339" t="n"/>
      <c r="AH151" s="339" t="inlineStr">
        <is>
          <t>是</t>
        </is>
      </c>
    </row>
    <row r="152" ht="48.75" customFormat="1" customHeight="1" s="418">
      <c r="A152" s="418" t="inlineStr">
        <is>
          <t>新宝利</t>
        </is>
      </c>
      <c r="B152" s="418" t="inlineStr">
        <is>
          <t>零期</t>
        </is>
      </c>
      <c r="C152" s="418" t="n">
        <v>3132884</v>
      </c>
      <c r="D152" s="418" t="inlineStr">
        <is>
          <t>13:20-15:30</t>
        </is>
      </c>
      <c r="E152" s="418" t="inlineStr">
        <is>
          <t>潜能班</t>
        </is>
      </c>
      <c r="F152" s="413" t="inlineStr">
        <is>
          <t>钟博睿</t>
        </is>
      </c>
      <c r="G152" s="418" t="inlineStr">
        <is>
          <t>田雨涵01</t>
        </is>
      </c>
      <c r="H152" s="418" t="inlineStr">
        <is>
          <t>李润</t>
        </is>
      </c>
      <c r="I152" s="418" t="inlineStr">
        <is>
          <t>肖锐03</t>
        </is>
      </c>
      <c r="J152" s="418" t="inlineStr">
        <is>
          <t>陈亮延</t>
        </is>
      </c>
      <c r="K152" s="418" t="inlineStr">
        <is>
          <t>回民</t>
        </is>
      </c>
      <c r="L152" s="418" t="inlineStr">
        <is>
          <t>三中</t>
        </is>
      </c>
      <c r="M152" s="412" t="inlineStr">
        <is>
          <t>尚可</t>
        </is>
      </c>
      <c r="N152" s="412" t="inlineStr">
        <is>
          <t>语文相对弱</t>
        </is>
      </c>
      <c r="O152" s="412" t="inlineStr">
        <is>
          <t>校内五下3A,六上290，ymo二等奖，wmo二等奖，英语ket，冰心杯全国金牌，妈妈负责学习</t>
        </is>
      </c>
      <c r="Q152" s="418" t="n">
        <v>68</v>
      </c>
      <c r="T152" s="418" t="inlineStr">
        <is>
          <t>是</t>
        </is>
      </c>
      <c r="V152" s="418" t="inlineStr">
        <is>
          <t>是</t>
        </is>
      </c>
      <c r="W152" s="418" t="inlineStr">
        <is>
          <t>是</t>
        </is>
      </c>
      <c r="X152" s="418" t="inlineStr">
        <is>
          <t>是</t>
        </is>
      </c>
      <c r="Y152" s="418" t="inlineStr">
        <is>
          <t>是</t>
        </is>
      </c>
      <c r="AA152" s="418" t="inlineStr">
        <is>
          <t>否</t>
        </is>
      </c>
      <c r="AH152" s="22" t="n"/>
      <c r="AI152" s="377" t="inlineStr">
        <is>
          <t>否</t>
        </is>
      </c>
      <c r="AK152" s="122" t="n"/>
      <c r="AL152" s="124" t="n"/>
      <c r="AM152" s="24" t="n"/>
    </row>
    <row r="153" ht="26.25" customHeight="1" s="1053">
      <c r="O153" s="359" t="n"/>
      <c r="AI153" s="359" t="n"/>
      <c r="AJ153" s="359" t="n"/>
      <c r="AK153" s="359" t="n"/>
      <c r="AL153" s="359" t="n"/>
      <c r="AM153" s="359" t="n"/>
    </row>
    <row r="154" ht="26.25" customHeight="1" s="1053">
      <c r="O154" s="359" t="n"/>
      <c r="AI154" s="359" t="n"/>
      <c r="AJ154" s="359" t="n"/>
      <c r="AK154" s="359" t="n"/>
      <c r="AL154" s="359" t="n"/>
      <c r="AM154" s="359" t="n"/>
    </row>
    <row r="155" ht="26.25" customHeight="1" s="1053">
      <c r="O155" s="359" t="n"/>
      <c r="AI155" s="359" t="n"/>
      <c r="AJ155" s="359" t="n"/>
      <c r="AK155" s="359" t="n"/>
      <c r="AL155" s="359" t="n"/>
      <c r="AM155" s="359" t="n"/>
    </row>
    <row r="156" ht="26.25" customHeight="1" s="1053">
      <c r="O156" s="359" t="n"/>
      <c r="AI156" s="359" t="n"/>
      <c r="AJ156" s="359" t="n"/>
      <c r="AK156" s="359" t="n"/>
      <c r="AL156" s="359" t="n"/>
      <c r="AM156" s="359" t="n"/>
    </row>
    <row r="157" ht="26.25" customHeight="1" s="1053">
      <c r="O157" s="359" t="n"/>
      <c r="AI157" s="359" t="n"/>
      <c r="AJ157" s="359" t="n"/>
      <c r="AK157" s="359" t="n"/>
      <c r="AL157" s="359" t="n"/>
      <c r="AM157" s="359" t="n"/>
    </row>
    <row r="158" ht="26.25" customHeight="1" s="1053">
      <c r="O158" s="359" t="n"/>
      <c r="AI158" s="359" t="n"/>
      <c r="AJ158" s="359" t="n"/>
      <c r="AK158" s="359" t="n"/>
      <c r="AL158" s="359" t="n"/>
      <c r="AM158" s="359" t="n"/>
    </row>
    <row r="159" ht="26.25" customHeight="1" s="1053">
      <c r="O159" s="359" t="n"/>
      <c r="AI159" s="359" t="n"/>
      <c r="AJ159" s="359" t="n"/>
      <c r="AK159" s="359" t="n"/>
      <c r="AL159" s="359" t="n"/>
      <c r="AM159" s="359" t="n"/>
    </row>
    <row r="160" ht="26.25" customHeight="1" s="1053">
      <c r="O160" s="359" t="n"/>
      <c r="AI160" s="359" t="n"/>
      <c r="AJ160" s="359" t="n"/>
      <c r="AK160" s="359" t="n"/>
      <c r="AL160" s="359" t="n"/>
      <c r="AM160" s="359" t="n"/>
    </row>
    <row r="161" ht="26.25" customHeight="1" s="1053">
      <c r="O161" s="359" t="n"/>
      <c r="AI161" s="359" t="n"/>
      <c r="AJ161" s="359" t="n"/>
      <c r="AK161" s="359" t="n"/>
      <c r="AL161" s="359" t="n"/>
      <c r="AM161" s="359" t="n"/>
    </row>
    <row r="162" ht="26.25" customHeight="1" s="1053">
      <c r="O162" s="359" t="n"/>
      <c r="AI162" s="359" t="n"/>
      <c r="AJ162" s="359" t="n"/>
      <c r="AK162" s="359" t="n"/>
      <c r="AL162" s="359" t="n"/>
      <c r="AM162" s="359" t="n"/>
    </row>
    <row r="163" ht="26.25" customHeight="1" s="1053">
      <c r="O163" s="359" t="n"/>
      <c r="AI163" s="359" t="n"/>
      <c r="AJ163" s="359" t="n"/>
      <c r="AK163" s="359" t="n"/>
      <c r="AL163" s="359" t="n"/>
      <c r="AM163" s="359" t="n"/>
    </row>
    <row r="164" ht="26.25" customHeight="1" s="1053">
      <c r="O164" s="359" t="n"/>
      <c r="AI164" s="359" t="n"/>
      <c r="AJ164" s="359" t="n"/>
      <c r="AK164" s="359" t="n"/>
      <c r="AL164" s="359" t="n"/>
      <c r="AM164" s="359" t="n"/>
    </row>
    <row r="165" ht="26.25" customHeight="1" s="1053">
      <c r="O165" s="359" t="n"/>
      <c r="AI165" s="359" t="n"/>
      <c r="AJ165" s="359" t="n"/>
      <c r="AK165" s="359" t="n"/>
      <c r="AL165" s="359" t="n"/>
      <c r="AM165" s="359" t="n"/>
    </row>
    <row r="166" ht="26.25" customHeight="1" s="1053">
      <c r="O166" s="359" t="n"/>
      <c r="AI166" s="359" t="n"/>
      <c r="AJ166" s="359" t="n"/>
      <c r="AK166" s="359" t="n"/>
      <c r="AL166" s="359" t="n"/>
      <c r="AM166" s="359" t="n"/>
    </row>
    <row r="167" ht="26.25" customHeight="1" s="1053">
      <c r="O167" s="359" t="n"/>
      <c r="AI167" s="359" t="n"/>
      <c r="AJ167" s="359" t="n"/>
      <c r="AK167" s="359" t="n"/>
      <c r="AL167" s="359" t="n"/>
      <c r="AM167" s="359" t="n"/>
    </row>
    <row r="168" ht="26.25" customHeight="1" s="1053">
      <c r="O168" s="359" t="n"/>
      <c r="AI168" s="359" t="n"/>
      <c r="AJ168" s="359" t="n"/>
      <c r="AK168" s="359" t="n"/>
      <c r="AL168" s="359" t="n"/>
      <c r="AM168" s="359" t="n"/>
    </row>
    <row r="169" ht="26.25" customHeight="1" s="1053">
      <c r="O169" s="359" t="n"/>
      <c r="AI169" s="359" t="n"/>
      <c r="AJ169" s="359" t="n"/>
      <c r="AK169" s="359" t="n"/>
      <c r="AL169" s="359" t="n"/>
      <c r="AM169" s="359" t="n"/>
    </row>
    <row r="170" ht="26.25" customHeight="1" s="1053">
      <c r="O170" s="359" t="n"/>
      <c r="AI170" s="359" t="n"/>
      <c r="AJ170" s="359" t="n"/>
      <c r="AK170" s="359" t="n"/>
      <c r="AL170" s="359" t="n"/>
      <c r="AM170" s="359" t="n"/>
    </row>
    <row r="171" ht="26.25" customHeight="1" s="1053">
      <c r="O171" s="359" t="n"/>
      <c r="AI171" s="359" t="n"/>
      <c r="AJ171" s="359" t="n"/>
      <c r="AK171" s="359" t="n"/>
      <c r="AL171" s="359" t="n"/>
      <c r="AM171" s="359" t="n"/>
    </row>
    <row r="172" ht="26.25" customHeight="1" s="1053">
      <c r="O172" s="359" t="n"/>
      <c r="AI172" s="359" t="n"/>
      <c r="AJ172" s="359" t="n"/>
      <c r="AK172" s="359" t="n"/>
      <c r="AL172" s="359" t="n"/>
      <c r="AM172" s="359" t="n"/>
    </row>
    <row r="173" ht="26.25" customHeight="1" s="1053">
      <c r="O173" s="359" t="n"/>
      <c r="AI173" s="359" t="n"/>
      <c r="AJ173" s="359" t="n"/>
      <c r="AK173" s="359" t="n"/>
      <c r="AL173" s="359" t="n"/>
      <c r="AM173" s="359" t="n"/>
    </row>
    <row r="174" ht="26.25" customHeight="1" s="1053">
      <c r="O174" s="359" t="n"/>
      <c r="AI174" s="359" t="n"/>
      <c r="AJ174" s="359" t="n"/>
      <c r="AK174" s="359" t="n"/>
      <c r="AL174" s="359" t="n"/>
      <c r="AM174" s="359" t="n"/>
    </row>
    <row r="175" ht="26.25" customHeight="1" s="1053">
      <c r="O175" s="359" t="n"/>
      <c r="AI175" s="359" t="n"/>
      <c r="AJ175" s="359" t="n"/>
      <c r="AK175" s="359" t="n"/>
      <c r="AL175" s="359" t="n"/>
      <c r="AM175" s="359" t="n"/>
    </row>
    <row r="176" ht="26.25" customHeight="1" s="1053">
      <c r="O176" s="359" t="n"/>
      <c r="AI176" s="359" t="n"/>
      <c r="AJ176" s="359" t="n"/>
      <c r="AK176" s="359" t="n"/>
      <c r="AL176" s="359" t="n"/>
      <c r="AM176" s="359" t="n"/>
    </row>
    <row r="177" ht="26.25" customHeight="1" s="1053">
      <c r="O177" s="359" t="n"/>
      <c r="AI177" s="359" t="n"/>
      <c r="AJ177" s="359" t="n"/>
      <c r="AK177" s="359" t="n"/>
      <c r="AL177" s="359" t="n"/>
      <c r="AM177" s="359" t="n"/>
    </row>
    <row r="178" ht="26.25" customHeight="1" s="1053">
      <c r="O178" s="359" t="n"/>
      <c r="AI178" s="359" t="n"/>
      <c r="AJ178" s="359" t="n"/>
      <c r="AK178" s="359" t="n"/>
      <c r="AL178" s="359" t="n"/>
      <c r="AM178" s="359" t="n"/>
    </row>
    <row r="179" ht="26.25" customHeight="1" s="1053">
      <c r="O179" s="359" t="n"/>
      <c r="AI179" s="359" t="n"/>
      <c r="AJ179" s="359" t="n"/>
      <c r="AK179" s="359" t="n"/>
      <c r="AL179" s="359" t="n"/>
      <c r="AM179" s="359" t="n"/>
    </row>
    <row r="180" ht="26.25" customHeight="1" s="1053">
      <c r="O180" s="359" t="n"/>
      <c r="AI180" s="359" t="n"/>
      <c r="AJ180" s="359" t="n"/>
      <c r="AK180" s="359" t="n"/>
      <c r="AL180" s="359" t="n"/>
      <c r="AM180" s="359" t="n"/>
    </row>
    <row r="181" ht="26.25" customHeight="1" s="1053">
      <c r="O181" s="359" t="n"/>
      <c r="AI181" s="359" t="n"/>
      <c r="AJ181" s="359" t="n"/>
      <c r="AK181" s="359" t="n"/>
      <c r="AL181" s="359" t="n"/>
      <c r="AM181" s="359" t="n"/>
    </row>
    <row r="182" ht="26.25" customHeight="1" s="1053">
      <c r="O182" s="359" t="n"/>
      <c r="AI182" s="359" t="n"/>
      <c r="AJ182" s="359" t="n"/>
      <c r="AK182" s="359" t="n"/>
      <c r="AL182" s="359" t="n"/>
      <c r="AM182" s="359" t="n"/>
    </row>
    <row r="183" ht="26.25" customHeight="1" s="1053">
      <c r="O183" s="359" t="n"/>
      <c r="AI183" s="359" t="n"/>
      <c r="AJ183" s="359" t="n"/>
      <c r="AK183" s="359" t="n"/>
      <c r="AL183" s="359" t="n"/>
      <c r="AM183" s="359" t="n"/>
    </row>
    <row r="184" ht="26.25" customHeight="1" s="1053">
      <c r="O184" s="359" t="n"/>
      <c r="AI184" s="359" t="n"/>
      <c r="AJ184" s="359" t="n"/>
      <c r="AK184" s="359" t="n"/>
      <c r="AL184" s="359" t="n"/>
      <c r="AM184" s="359" t="n"/>
    </row>
    <row r="185" ht="26.25" customHeight="1" s="1053">
      <c r="O185" s="359" t="n"/>
      <c r="AI185" s="359" t="n"/>
      <c r="AJ185" s="359" t="n"/>
      <c r="AK185" s="359" t="n"/>
      <c r="AL185" s="359" t="n"/>
      <c r="AM185" s="359" t="n"/>
    </row>
    <row r="186" ht="26.25" customHeight="1" s="1053">
      <c r="O186" s="359" t="n"/>
      <c r="AI186" s="359" t="n"/>
      <c r="AJ186" s="359" t="n"/>
      <c r="AK186" s="359" t="n"/>
      <c r="AL186" s="359" t="n"/>
      <c r="AM186" s="359" t="n"/>
    </row>
    <row r="187" ht="26.25" customHeight="1" s="1053">
      <c r="O187" s="359" t="n"/>
      <c r="AI187" s="359" t="n"/>
      <c r="AJ187" s="359" t="n"/>
      <c r="AK187" s="359" t="n"/>
      <c r="AL187" s="359" t="n"/>
      <c r="AM187" s="359" t="n"/>
    </row>
    <row r="188" ht="26.25" customHeight="1" s="1053">
      <c r="O188" s="359" t="n"/>
      <c r="AI188" s="359" t="n"/>
      <c r="AJ188" s="359" t="n"/>
      <c r="AK188" s="359" t="n"/>
      <c r="AL188" s="359" t="n"/>
      <c r="AM188" s="359" t="n"/>
    </row>
    <row r="189" ht="26.25" customHeight="1" s="1053">
      <c r="O189" s="359" t="n"/>
      <c r="AI189" s="359" t="n"/>
      <c r="AJ189" s="359" t="n"/>
      <c r="AK189" s="359" t="n"/>
      <c r="AL189" s="359" t="n"/>
      <c r="AM189" s="359" t="n"/>
    </row>
    <row r="190" ht="26.25" customHeight="1" s="1053">
      <c r="O190" s="359" t="n"/>
      <c r="AI190" s="359" t="n"/>
      <c r="AJ190" s="359" t="n"/>
      <c r="AK190" s="359" t="n"/>
      <c r="AL190" s="359" t="n"/>
      <c r="AM190" s="359" t="n"/>
    </row>
    <row r="191" ht="26.25" customHeight="1" s="1053">
      <c r="O191" s="359" t="n"/>
      <c r="AI191" s="359" t="n"/>
      <c r="AJ191" s="359" t="n"/>
      <c r="AK191" s="359" t="n"/>
      <c r="AL191" s="359" t="n"/>
      <c r="AM191" s="359" t="n"/>
    </row>
    <row r="192" ht="26.25" customHeight="1" s="1053">
      <c r="O192" s="359" t="n"/>
      <c r="AI192" s="359" t="n"/>
      <c r="AJ192" s="359" t="n"/>
      <c r="AK192" s="359" t="n"/>
      <c r="AL192" s="359" t="n"/>
      <c r="AM192" s="359" t="n"/>
    </row>
    <row r="193" ht="26.25" customHeight="1" s="1053">
      <c r="O193" s="359" t="n"/>
      <c r="AI193" s="359" t="n"/>
      <c r="AJ193" s="359" t="n"/>
      <c r="AK193" s="359" t="n"/>
      <c r="AL193" s="359" t="n"/>
      <c r="AM193" s="359" t="n"/>
    </row>
    <row r="194" ht="26.25" customHeight="1" s="1053">
      <c r="O194" s="359" t="n"/>
      <c r="AI194" s="359" t="n"/>
      <c r="AJ194" s="359" t="n"/>
      <c r="AK194" s="359" t="n"/>
      <c r="AL194" s="359" t="n"/>
      <c r="AM194" s="359" t="n"/>
    </row>
    <row r="195" ht="26.25" customHeight="1" s="1053">
      <c r="O195" s="359" t="n"/>
      <c r="AI195" s="359" t="n"/>
      <c r="AJ195" s="359" t="n"/>
      <c r="AK195" s="359" t="n"/>
      <c r="AL195" s="359" t="n"/>
      <c r="AM195" s="359" t="n"/>
    </row>
    <row r="196" ht="26.25" customHeight="1" s="1053">
      <c r="O196" s="359" t="n"/>
      <c r="AI196" s="359" t="n"/>
      <c r="AJ196" s="359" t="n"/>
      <c r="AK196" s="359" t="n"/>
      <c r="AL196" s="359" t="n"/>
      <c r="AM196" s="359" t="n"/>
    </row>
    <row r="197" ht="16.5" customHeight="1" s="1053">
      <c r="AI197" s="359" t="n"/>
      <c r="AJ197" s="281" t="n"/>
      <c r="AK197" s="359" t="n"/>
      <c r="AL197" s="359" t="n"/>
      <c r="AM197" s="359" t="n"/>
    </row>
    <row r="198" ht="16.5" customHeight="1" s="1053">
      <c r="AI198" s="359" t="n"/>
      <c r="AJ198" s="281" t="n"/>
      <c r="AK198" s="359" t="n"/>
      <c r="AL198" s="359" t="n"/>
      <c r="AM198" s="359" t="n"/>
    </row>
    <row r="199" ht="16.5" customHeight="1" s="1053">
      <c r="AI199" s="359" t="n"/>
      <c r="AJ199" s="281" t="n"/>
      <c r="AK199" s="359" t="n"/>
      <c r="AL199" s="359" t="n"/>
      <c r="AM199" s="359" t="n"/>
    </row>
    <row r="200" ht="16.5" customHeight="1" s="1053">
      <c r="AI200" s="359" t="n"/>
      <c r="AJ200" s="281" t="n"/>
      <c r="AK200" s="359" t="n"/>
      <c r="AL200" s="359" t="n"/>
      <c r="AM200" s="359" t="n"/>
    </row>
    <row r="201" ht="16.5" customHeight="1" s="1053">
      <c r="AI201" s="359" t="n"/>
      <c r="AJ201" s="281" t="n"/>
      <c r="AK201" s="359" t="n"/>
      <c r="AL201" s="359" t="n"/>
      <c r="AM201" s="359" t="n"/>
    </row>
    <row r="202" ht="16.5" customHeight="1" s="1053">
      <c r="AI202" s="359" t="n"/>
      <c r="AJ202" s="281" t="n"/>
      <c r="AK202" s="359" t="n"/>
      <c r="AL202" s="359" t="n"/>
      <c r="AM202" s="359" t="n"/>
    </row>
    <row r="203" ht="16.5" customHeight="1" s="1053">
      <c r="AI203" s="359" t="n"/>
      <c r="AJ203" s="366" t="n"/>
      <c r="AK203" s="359" t="n"/>
      <c r="AL203" s="359" t="n"/>
      <c r="AM203" s="359" t="n"/>
    </row>
    <row r="204" ht="16.5" customHeight="1" s="1053">
      <c r="AI204" s="359" t="n"/>
      <c r="AJ204" s="366" t="n"/>
      <c r="AK204" s="359" t="n"/>
      <c r="AL204" s="359" t="n"/>
      <c r="AM204" s="359" t="n"/>
    </row>
    <row r="205" ht="16.5" customHeight="1" s="1053">
      <c r="AI205" s="34" t="n"/>
    </row>
    <row r="206" ht="16.5" customHeight="1" s="1053">
      <c r="AI206" s="34" t="n"/>
    </row>
    <row r="207" ht="16.5" customHeight="1" s="1053">
      <c r="AI207" s="34" t="n"/>
    </row>
    <row r="208" ht="16.5" customHeight="1" s="1053">
      <c r="AI208" s="34" t="n"/>
    </row>
    <row r="209" ht="16.5" customHeight="1" s="1053">
      <c r="AI209" s="34" t="n"/>
    </row>
    <row r="210" ht="16.5" customHeight="1" s="1053">
      <c r="AI210" s="34" t="n"/>
    </row>
    <row r="211" ht="16.5" customHeight="1" s="1053">
      <c r="AI211" s="34" t="n"/>
    </row>
    <row r="212" ht="16.5" customHeight="1" s="1053">
      <c r="AI212" s="34" t="n"/>
    </row>
    <row r="213" ht="16.5" customHeight="1" s="1053">
      <c r="AI213" s="34" t="n"/>
    </row>
    <row r="214" ht="16.5" customHeight="1" s="1053">
      <c r="AI214" s="34" t="n"/>
    </row>
    <row r="215" ht="16.5" customHeight="1" s="1053">
      <c r="AI215" s="34" t="n"/>
    </row>
    <row r="216" ht="16.5" customHeight="1" s="1053">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3" min="1" max="1"/>
    <col width="9.123046875" customWidth="1" style="1053" min="2" max="2"/>
    <col hidden="1" width="11.0654296875" customWidth="1" style="1053" min="3" max="3"/>
    <col width="9.123046875" customWidth="1" style="1053" min="4" max="4"/>
    <col width="15.6240234375" customWidth="1" style="1053" min="5" max="5"/>
    <col width="13.3740234375" customWidth="1" style="1053" min="6" max="6"/>
    <col width="10.7490234375" customWidth="1" style="1053" min="7" max="7"/>
    <col width="13.4033203125" customWidth="1" style="1053" min="8" max="9"/>
    <col width="13.4033203125" customWidth="1" style="421" min="10" max="11"/>
    <col width="14.625" customWidth="1" style="1053" min="12" max="12"/>
  </cols>
  <sheetData>
    <row r="1" ht="18.75" customHeight="1" s="1053">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1" t="n"/>
    </row>
    <row r="2" ht="18.75" customHeight="1" s="1053">
      <c r="A2" s="283" t="n">
        <v>1</v>
      </c>
      <c r="B2" s="48" t="inlineStr">
        <is>
          <t>戴圆圆</t>
        </is>
      </c>
      <c r="C2" s="48" t="n">
        <v>13422057011</v>
      </c>
      <c r="D2" s="37" t="inlineStr">
        <is>
          <t>六年级</t>
        </is>
      </c>
      <c r="E2" s="37" t="inlineStr">
        <is>
          <t>新宝利大厦教学点</t>
        </is>
      </c>
      <c r="F2" s="245" t="inlineStr">
        <is>
          <t>博宁老生</t>
        </is>
      </c>
      <c r="G2" s="283" t="inlineStr">
        <is>
          <t>是</t>
        </is>
      </c>
      <c r="H2" s="283" t="inlineStr">
        <is>
          <t>是</t>
        </is>
      </c>
      <c r="I2" s="490" t="inlineStr">
        <is>
          <t>是</t>
        </is>
      </c>
      <c r="J2" s="283" t="inlineStr">
        <is>
          <t>是</t>
        </is>
      </c>
      <c r="K2" s="283" t="inlineStr">
        <is>
          <t>是</t>
        </is>
      </c>
      <c r="L2" s="421" t="n"/>
    </row>
    <row r="3" ht="18.75" customHeight="1" s="1053">
      <c r="A3" s="283" t="n">
        <v>2</v>
      </c>
      <c r="B3" s="48" t="inlineStr">
        <is>
          <t>程雅涵</t>
        </is>
      </c>
      <c r="C3" s="48" t="n">
        <v>15626018703</v>
      </c>
      <c r="D3" s="37" t="inlineStr">
        <is>
          <t>六年级</t>
        </is>
      </c>
      <c r="E3" s="37" t="inlineStr">
        <is>
          <t>新宝利大厦教学点</t>
        </is>
      </c>
      <c r="F3" s="245" t="inlineStr">
        <is>
          <t>老生</t>
        </is>
      </c>
      <c r="G3" s="283" t="inlineStr">
        <is>
          <t>是</t>
        </is>
      </c>
      <c r="H3" s="283" t="inlineStr">
        <is>
          <t>是</t>
        </is>
      </c>
      <c r="I3" s="490" t="inlineStr">
        <is>
          <t>是</t>
        </is>
      </c>
      <c r="J3" s="283" t="inlineStr">
        <is>
          <t>是</t>
        </is>
      </c>
      <c r="K3" s="283" t="inlineStr">
        <is>
          <t>是</t>
        </is>
      </c>
      <c r="L3" s="421" t="n"/>
    </row>
    <row r="4" ht="18.75" customHeight="1" s="1053">
      <c r="A4" s="48" t="n">
        <v>3</v>
      </c>
      <c r="B4" s="48" t="inlineStr">
        <is>
          <t>郑本熙</t>
        </is>
      </c>
      <c r="C4" s="48" t="n">
        <v>13570452078</v>
      </c>
      <c r="D4" s="37" t="inlineStr">
        <is>
          <t>六年级</t>
        </is>
      </c>
      <c r="E4" s="37" t="inlineStr">
        <is>
          <t>新宝利大厦教学点</t>
        </is>
      </c>
      <c r="F4" s="245" t="inlineStr">
        <is>
          <t>老生</t>
        </is>
      </c>
      <c r="G4" s="283" t="inlineStr">
        <is>
          <t>是</t>
        </is>
      </c>
      <c r="H4" s="283" t="inlineStr">
        <is>
          <t>是</t>
        </is>
      </c>
      <c r="I4" s="490" t="inlineStr">
        <is>
          <t>是</t>
        </is>
      </c>
      <c r="J4" s="283" t="inlineStr">
        <is>
          <t>是</t>
        </is>
      </c>
      <c r="K4" s="283" t="inlineStr">
        <is>
          <t>是</t>
        </is>
      </c>
      <c r="L4" s="421" t="n"/>
    </row>
    <row r="5" ht="18.75" customHeight="1" s="1053">
      <c r="A5" s="283" t="n">
        <v>4</v>
      </c>
      <c r="B5" s="48" t="inlineStr">
        <is>
          <t>何施乐</t>
        </is>
      </c>
      <c r="C5" s="48" t="n">
        <v>15876549373</v>
      </c>
      <c r="D5" s="37" t="inlineStr">
        <is>
          <t>六年级</t>
        </is>
      </c>
      <c r="E5" s="37" t="inlineStr">
        <is>
          <t>新宝利大厦教学点</t>
        </is>
      </c>
      <c r="F5" s="245" t="inlineStr">
        <is>
          <t>老生</t>
        </is>
      </c>
      <c r="G5" s="283" t="inlineStr">
        <is>
          <t>是</t>
        </is>
      </c>
      <c r="H5" s="283" t="inlineStr">
        <is>
          <t>否</t>
        </is>
      </c>
      <c r="I5" s="490" t="inlineStr">
        <is>
          <t>是</t>
        </is>
      </c>
      <c r="J5" s="283" t="inlineStr">
        <is>
          <t>否</t>
        </is>
      </c>
      <c r="K5" s="283" t="inlineStr">
        <is>
          <t>是</t>
        </is>
      </c>
      <c r="L5" s="421" t="n"/>
    </row>
    <row r="6" ht="18.75" customHeight="1" s="1053">
      <c r="A6" s="283" t="n">
        <v>5</v>
      </c>
      <c r="B6" s="48" t="inlineStr">
        <is>
          <t>赖奕鹏</t>
        </is>
      </c>
      <c r="C6" s="48" t="n">
        <v>13710800828</v>
      </c>
      <c r="D6" s="37" t="inlineStr">
        <is>
          <t>六年级</t>
        </is>
      </c>
      <c r="E6" s="37" t="inlineStr">
        <is>
          <t>新宝利大厦教学点</t>
        </is>
      </c>
      <c r="F6" s="245" t="inlineStr">
        <is>
          <t>博宁老生</t>
        </is>
      </c>
      <c r="G6" s="283" t="inlineStr">
        <is>
          <t>是</t>
        </is>
      </c>
      <c r="H6" s="283" t="inlineStr">
        <is>
          <t>否</t>
        </is>
      </c>
      <c r="I6" s="490" t="inlineStr">
        <is>
          <t>否</t>
        </is>
      </c>
      <c r="J6" s="283" t="inlineStr">
        <is>
          <t>否</t>
        </is>
      </c>
      <c r="K6" s="283" t="inlineStr">
        <is>
          <t>否</t>
        </is>
      </c>
      <c r="L6" s="421" t="n"/>
    </row>
    <row r="7" ht="18.75" customHeight="1" s="1053">
      <c r="A7" s="283" t="n">
        <v>6</v>
      </c>
      <c r="B7" s="48" t="inlineStr">
        <is>
          <t>詹培琳</t>
        </is>
      </c>
      <c r="C7" s="283" t="n">
        <v>13682720313</v>
      </c>
      <c r="D7" s="37" t="inlineStr">
        <is>
          <t>六年级</t>
        </is>
      </c>
      <c r="E7" s="37" t="inlineStr">
        <is>
          <t>新宝利大厦教学点</t>
        </is>
      </c>
      <c r="F7" s="245" t="inlineStr">
        <is>
          <t>博宁老生</t>
        </is>
      </c>
      <c r="G7" s="283" t="inlineStr">
        <is>
          <t>是</t>
        </is>
      </c>
      <c r="H7" s="283" t="inlineStr">
        <is>
          <t>是</t>
        </is>
      </c>
      <c r="I7" s="490" t="inlineStr">
        <is>
          <t>是</t>
        </is>
      </c>
      <c r="J7" s="283" t="inlineStr">
        <is>
          <t>是</t>
        </is>
      </c>
      <c r="K7" s="283" t="inlineStr">
        <is>
          <t>是</t>
        </is>
      </c>
      <c r="L7" s="421" t="n"/>
    </row>
    <row r="8" ht="18.75" customHeight="1" s="1053">
      <c r="A8" s="48" t="n">
        <v>7</v>
      </c>
      <c r="B8" s="48" t="inlineStr">
        <is>
          <t>郑茹月</t>
        </is>
      </c>
      <c r="C8" s="283" t="n">
        <v>13710345569</v>
      </c>
      <c r="D8" s="37" t="inlineStr">
        <is>
          <t>六年级</t>
        </is>
      </c>
      <c r="E8" s="37" t="inlineStr">
        <is>
          <t>新宝利大厦教学点</t>
        </is>
      </c>
      <c r="F8" s="245" t="inlineStr">
        <is>
          <t>博宁老生</t>
        </is>
      </c>
      <c r="G8" s="283" t="inlineStr">
        <is>
          <t>是</t>
        </is>
      </c>
      <c r="H8" s="283" t="inlineStr">
        <is>
          <t>是</t>
        </is>
      </c>
      <c r="I8" s="490" t="inlineStr">
        <is>
          <t>否</t>
        </is>
      </c>
      <c r="J8" s="283" t="inlineStr">
        <is>
          <t>是</t>
        </is>
      </c>
      <c r="K8" s="283" t="inlineStr">
        <is>
          <t>是</t>
        </is>
      </c>
      <c r="L8" s="421" t="n"/>
    </row>
    <row r="9" ht="18.75" customHeight="1" s="1053">
      <c r="A9" s="283" t="n">
        <v>8</v>
      </c>
      <c r="B9" s="48" t="inlineStr">
        <is>
          <t>彤彤</t>
        </is>
      </c>
      <c r="C9" s="48" t="n">
        <v>13428888960</v>
      </c>
      <c r="D9" s="37" t="inlineStr">
        <is>
          <t>六年级</t>
        </is>
      </c>
      <c r="E9" s="37" t="inlineStr">
        <is>
          <t>同创汇教学点</t>
        </is>
      </c>
      <c r="F9" s="245" t="inlineStr">
        <is>
          <t>新生</t>
        </is>
      </c>
      <c r="G9" s="283" t="inlineStr">
        <is>
          <t>否</t>
        </is>
      </c>
      <c r="H9" s="283" t="inlineStr">
        <is>
          <t>否</t>
        </is>
      </c>
      <c r="I9" s="490" t="inlineStr">
        <is>
          <t>否</t>
        </is>
      </c>
      <c r="J9" s="283" t="inlineStr">
        <is>
          <t>否</t>
        </is>
      </c>
      <c r="K9" s="283" t="inlineStr">
        <is>
          <t>否</t>
        </is>
      </c>
      <c r="L9" s="421" t="inlineStr">
        <is>
          <t>黑名单，退费中</t>
        </is>
      </c>
    </row>
    <row r="10" ht="18.75" customHeight="1" s="1053">
      <c r="A10" s="283" t="n">
        <v>9</v>
      </c>
      <c r="B10" s="48" t="inlineStr">
        <is>
          <t>李梓墨</t>
        </is>
      </c>
      <c r="C10" s="48" t="n">
        <v>15989061923</v>
      </c>
      <c r="D10" s="37" t="inlineStr">
        <is>
          <t>六年级</t>
        </is>
      </c>
      <c r="E10" s="37" t="inlineStr">
        <is>
          <t>同创汇教学点</t>
        </is>
      </c>
      <c r="F10" s="245" t="inlineStr">
        <is>
          <t>新生</t>
        </is>
      </c>
      <c r="G10" s="283" t="inlineStr">
        <is>
          <t>否</t>
        </is>
      </c>
      <c r="H10" s="283" t="inlineStr">
        <is>
          <t>否</t>
        </is>
      </c>
      <c r="I10" s="490" t="inlineStr">
        <is>
          <t>否</t>
        </is>
      </c>
      <c r="J10" s="283" t="inlineStr">
        <is>
          <t>否</t>
        </is>
      </c>
      <c r="K10" s="283" t="inlineStr">
        <is>
          <t>否</t>
        </is>
      </c>
      <c r="L10" s="421" t="inlineStr">
        <is>
          <t>电话不接</t>
        </is>
      </c>
    </row>
    <row r="11" ht="18.75" customHeight="1" s="1053">
      <c r="A11" s="283" t="n">
        <v>10</v>
      </c>
      <c r="B11" s="48" t="inlineStr">
        <is>
          <t>顾浩轩</t>
        </is>
      </c>
      <c r="C11" s="48" t="n">
        <v>15920103852</v>
      </c>
      <c r="D11" s="37" t="inlineStr">
        <is>
          <t>六年级</t>
        </is>
      </c>
      <c r="E11" s="37" t="inlineStr">
        <is>
          <t>同创汇教学点</t>
        </is>
      </c>
      <c r="F11" s="245" t="inlineStr">
        <is>
          <t>老生</t>
        </is>
      </c>
      <c r="G11" s="283" t="inlineStr">
        <is>
          <t>是</t>
        </is>
      </c>
      <c r="H11" s="283" t="inlineStr">
        <is>
          <t>是</t>
        </is>
      </c>
      <c r="I11" s="490" t="inlineStr">
        <is>
          <t>是</t>
        </is>
      </c>
      <c r="J11" s="283" t="inlineStr">
        <is>
          <t>是</t>
        </is>
      </c>
      <c r="K11" s="283" t="inlineStr">
        <is>
          <t>是</t>
        </is>
      </c>
      <c r="L11" s="421" t="n"/>
    </row>
    <row r="12" ht="18.75" customHeight="1" s="1053">
      <c r="A12" s="48" t="n">
        <v>11</v>
      </c>
      <c r="B12" s="48" t="inlineStr">
        <is>
          <t>黄靖柔</t>
        </is>
      </c>
      <c r="C12" s="48" t="n">
        <v>13719434040</v>
      </c>
      <c r="D12" s="37" t="inlineStr">
        <is>
          <t>六年级</t>
        </is>
      </c>
      <c r="E12" s="37" t="inlineStr">
        <is>
          <t>同创汇教学点</t>
        </is>
      </c>
      <c r="F12" s="245" t="inlineStr">
        <is>
          <t>老生</t>
        </is>
      </c>
      <c r="G12" s="283" t="inlineStr">
        <is>
          <t>是</t>
        </is>
      </c>
      <c r="H12" s="283" t="inlineStr">
        <is>
          <t>是</t>
        </is>
      </c>
      <c r="I12" s="490" t="inlineStr">
        <is>
          <t>是</t>
        </is>
      </c>
      <c r="J12" s="283" t="inlineStr">
        <is>
          <t>是</t>
        </is>
      </c>
      <c r="K12" s="283" t="inlineStr">
        <is>
          <t>是</t>
        </is>
      </c>
      <c r="L12" s="421" t="n"/>
    </row>
    <row r="13" ht="18.75" customHeight="1" s="1053">
      <c r="A13" s="283" t="n">
        <v>12</v>
      </c>
      <c r="B13" s="48" t="inlineStr">
        <is>
          <t>郭芃泽</t>
        </is>
      </c>
      <c r="C13" s="48" t="n">
        <v>13889900796</v>
      </c>
      <c r="D13" s="37" t="inlineStr">
        <is>
          <t>六年级</t>
        </is>
      </c>
      <c r="E13" s="37" t="inlineStr">
        <is>
          <t>同创汇教学点</t>
        </is>
      </c>
      <c r="F13" s="245" t="inlineStr">
        <is>
          <t>老生</t>
        </is>
      </c>
      <c r="G13" s="283" t="inlineStr">
        <is>
          <t>是</t>
        </is>
      </c>
      <c r="H13" s="283" t="inlineStr">
        <is>
          <t>是</t>
        </is>
      </c>
      <c r="I13" s="490" t="inlineStr">
        <is>
          <t>是</t>
        </is>
      </c>
      <c r="J13" s="283" t="inlineStr">
        <is>
          <t>是</t>
        </is>
      </c>
      <c r="K13" s="283" t="inlineStr">
        <is>
          <t>是</t>
        </is>
      </c>
      <c r="L13" s="421" t="n"/>
    </row>
    <row r="14" ht="18.75" customHeight="1" s="1053">
      <c r="A14" s="283" t="n">
        <v>13</v>
      </c>
      <c r="B14" s="48" t="inlineStr">
        <is>
          <t>李许晨</t>
        </is>
      </c>
      <c r="C14" s="48" t="n">
        <v>18922765106</v>
      </c>
      <c r="D14" s="37" t="inlineStr">
        <is>
          <t>六年级</t>
        </is>
      </c>
      <c r="E14" s="37" t="inlineStr">
        <is>
          <t>同创汇教学点</t>
        </is>
      </c>
      <c r="F14" s="245" t="inlineStr">
        <is>
          <t>老生</t>
        </is>
      </c>
      <c r="G14" s="283" t="inlineStr">
        <is>
          <t>是</t>
        </is>
      </c>
      <c r="H14" s="283" t="inlineStr">
        <is>
          <t>否</t>
        </is>
      </c>
      <c r="I14" s="490" t="inlineStr">
        <is>
          <t>否</t>
        </is>
      </c>
      <c r="J14" s="283" t="inlineStr">
        <is>
          <t>否</t>
        </is>
      </c>
      <c r="K14" s="283" t="inlineStr">
        <is>
          <t>否</t>
        </is>
      </c>
      <c r="L14" s="421" t="n"/>
    </row>
    <row r="15" ht="18.75" customHeight="1" s="1053">
      <c r="A15" s="283" t="n">
        <v>14</v>
      </c>
      <c r="B15" s="48" t="inlineStr">
        <is>
          <t>苏家颖</t>
        </is>
      </c>
      <c r="C15" s="48" t="n">
        <v>18022392462</v>
      </c>
      <c r="D15" s="37" t="inlineStr">
        <is>
          <t>六年级</t>
        </is>
      </c>
      <c r="E15" s="37" t="inlineStr">
        <is>
          <t>同创汇教学点</t>
        </is>
      </c>
      <c r="F15" s="245" t="inlineStr">
        <is>
          <t>老生</t>
        </is>
      </c>
      <c r="G15" s="283" t="inlineStr">
        <is>
          <t>是</t>
        </is>
      </c>
      <c r="H15" s="283" t="inlineStr">
        <is>
          <t>否</t>
        </is>
      </c>
      <c r="I15" s="490" t="inlineStr">
        <is>
          <t>否</t>
        </is>
      </c>
      <c r="J15" s="283" t="inlineStr">
        <is>
          <t>否</t>
        </is>
      </c>
      <c r="K15" s="283" t="inlineStr">
        <is>
          <t>否</t>
        </is>
      </c>
      <c r="L15" s="421" t="n"/>
    </row>
    <row r="16" ht="18.75" customHeight="1" s="1053">
      <c r="A16" s="48" t="n">
        <v>15</v>
      </c>
      <c r="B16" s="48" t="inlineStr">
        <is>
          <t>杨芊羽</t>
        </is>
      </c>
      <c r="C16" s="48" t="n">
        <v>18102758130</v>
      </c>
      <c r="D16" s="37" t="inlineStr">
        <is>
          <t>六年级</t>
        </is>
      </c>
      <c r="E16" s="37" t="inlineStr">
        <is>
          <t>同创汇教学点</t>
        </is>
      </c>
      <c r="F16" s="245" t="inlineStr">
        <is>
          <t>老生</t>
        </is>
      </c>
      <c r="G16" s="283" t="inlineStr">
        <is>
          <t>是</t>
        </is>
      </c>
      <c r="H16" s="283" t="inlineStr">
        <is>
          <t>是</t>
        </is>
      </c>
      <c r="I16" s="490" t="inlineStr">
        <is>
          <t>是</t>
        </is>
      </c>
      <c r="J16" s="283" t="inlineStr">
        <is>
          <t>是</t>
        </is>
      </c>
      <c r="K16" s="283" t="inlineStr">
        <is>
          <t>是</t>
        </is>
      </c>
      <c r="L16" s="421" t="n"/>
    </row>
    <row r="17" ht="18.75" customHeight="1" s="1053">
      <c r="A17" s="283" t="n">
        <v>17</v>
      </c>
      <c r="B17" s="48" t="inlineStr">
        <is>
          <t>谢希羲</t>
        </is>
      </c>
      <c r="C17" s="48" t="n">
        <v>18676620258</v>
      </c>
      <c r="D17" s="37" t="inlineStr">
        <is>
          <t>六年级</t>
        </is>
      </c>
      <c r="E17" s="37" t="inlineStr">
        <is>
          <t>天成大厦教学点</t>
        </is>
      </c>
      <c r="F17" s="245" t="inlineStr">
        <is>
          <t>老生</t>
        </is>
      </c>
      <c r="G17" s="283" t="inlineStr">
        <is>
          <t>是</t>
        </is>
      </c>
      <c r="H17" s="283" t="inlineStr">
        <is>
          <t>是</t>
        </is>
      </c>
      <c r="I17" s="490" t="inlineStr">
        <is>
          <t>否</t>
        </is>
      </c>
      <c r="J17" s="283" t="inlineStr">
        <is>
          <t>是</t>
        </is>
      </c>
      <c r="K17" s="283" t="inlineStr">
        <is>
          <t>是</t>
        </is>
      </c>
      <c r="L17" s="421" t="n"/>
    </row>
    <row r="18" ht="18.75" customHeight="1" s="1053">
      <c r="A18" s="283" t="n">
        <v>18</v>
      </c>
      <c r="B18" s="48" t="inlineStr">
        <is>
          <t>周梓俊</t>
        </is>
      </c>
      <c r="C18" s="283" t="n">
        <v>17324313225</v>
      </c>
      <c r="D18" s="37" t="inlineStr">
        <is>
          <t>六年级</t>
        </is>
      </c>
      <c r="E18" s="37" t="inlineStr">
        <is>
          <t>同创汇教学点</t>
        </is>
      </c>
      <c r="F18" s="245" t="inlineStr">
        <is>
          <t>新生</t>
        </is>
      </c>
      <c r="G18" s="283" t="inlineStr">
        <is>
          <t>否</t>
        </is>
      </c>
      <c r="H18" s="283" t="inlineStr">
        <is>
          <t>否</t>
        </is>
      </c>
      <c r="I18" s="490" t="inlineStr">
        <is>
          <t>否</t>
        </is>
      </c>
      <c r="J18" s="283" t="inlineStr">
        <is>
          <t>否</t>
        </is>
      </c>
      <c r="K18" s="283" t="inlineStr">
        <is>
          <t>否</t>
        </is>
      </c>
      <c r="L18" s="421" t="inlineStr">
        <is>
          <t>电话不接</t>
        </is>
      </c>
    </row>
    <row r="19" ht="18.75" customHeight="1" s="1053">
      <c r="A19" s="283" t="n">
        <v>19</v>
      </c>
      <c r="B19" s="48" t="inlineStr">
        <is>
          <t>赖雨甜</t>
        </is>
      </c>
      <c r="C19" s="283" t="n"/>
      <c r="D19" s="37" t="inlineStr">
        <is>
          <t>六年级</t>
        </is>
      </c>
      <c r="E19" s="37" t="inlineStr">
        <is>
          <t>新宝利大厦教学点</t>
        </is>
      </c>
      <c r="F19" s="245" t="inlineStr">
        <is>
          <t>何咏老生</t>
        </is>
      </c>
      <c r="G19" s="283" t="inlineStr">
        <is>
          <t>是</t>
        </is>
      </c>
      <c r="H19" s="283" t="inlineStr">
        <is>
          <t>是</t>
        </is>
      </c>
      <c r="I19" s="490" t="inlineStr">
        <is>
          <t>是</t>
        </is>
      </c>
      <c r="J19" s="283" t="inlineStr">
        <is>
          <t>是</t>
        </is>
      </c>
      <c r="K19" s="283" t="inlineStr">
        <is>
          <t>是</t>
        </is>
      </c>
      <c r="L19" s="421" t="n"/>
    </row>
    <row r="20" ht="18.75" customHeight="1" s="1053">
      <c r="A20" s="283" t="n">
        <v>20</v>
      </c>
      <c r="B20" s="48" t="inlineStr">
        <is>
          <t>黎晓慧</t>
        </is>
      </c>
      <c r="C20" s="283" t="n"/>
      <c r="D20" s="37" t="inlineStr">
        <is>
          <t>六年级</t>
        </is>
      </c>
      <c r="E20" s="37" t="inlineStr">
        <is>
          <t>新宝利大厦教学点</t>
        </is>
      </c>
      <c r="F20" s="245" t="inlineStr">
        <is>
          <t>老生</t>
        </is>
      </c>
      <c r="G20" s="283" t="inlineStr">
        <is>
          <t>是</t>
        </is>
      </c>
      <c r="H20" s="283" t="inlineStr">
        <is>
          <t>是</t>
        </is>
      </c>
      <c r="I20" s="490" t="inlineStr">
        <is>
          <t>是</t>
        </is>
      </c>
      <c r="J20" s="283" t="inlineStr">
        <is>
          <t>是</t>
        </is>
      </c>
      <c r="K20" s="283" t="inlineStr">
        <is>
          <t>是</t>
        </is>
      </c>
      <c r="L20" s="421" t="n"/>
    </row>
    <row r="21" ht="18.75" customHeight="1" s="1053">
      <c r="A21" s="283" t="n">
        <v>21</v>
      </c>
      <c r="B21" s="108" t="inlineStr">
        <is>
          <t>孙同学</t>
        </is>
      </c>
      <c r="C21" s="283" t="n"/>
      <c r="D21" s="37" t="inlineStr">
        <is>
          <t>六年级</t>
        </is>
      </c>
      <c r="E21" s="37" t="inlineStr">
        <is>
          <t>新宝利大厦教学点</t>
        </is>
      </c>
      <c r="F21" s="245" t="inlineStr">
        <is>
          <t>何咏老生</t>
        </is>
      </c>
      <c r="G21" s="100" t="inlineStr">
        <is>
          <t>否</t>
        </is>
      </c>
      <c r="H21" s="100" t="inlineStr">
        <is>
          <t>否</t>
        </is>
      </c>
      <c r="I21" s="118" t="inlineStr">
        <is>
          <t>否</t>
        </is>
      </c>
      <c r="J21" s="283" t="inlineStr">
        <is>
          <t>否</t>
        </is>
      </c>
      <c r="K21" s="283" t="inlineStr">
        <is>
          <t>否</t>
        </is>
      </c>
      <c r="L21" s="421" t="inlineStr">
        <is>
          <t>联系不上</t>
        </is>
      </c>
    </row>
    <row r="22" ht="18" customHeight="1" s="1053">
      <c r="A22" s="490" t="n">
        <v>22</v>
      </c>
      <c r="B22" s="283" t="inlineStr">
        <is>
          <t>朱哲辰</t>
        </is>
      </c>
      <c r="D22" s="37" t="inlineStr">
        <is>
          <t>六年级</t>
        </is>
      </c>
      <c r="E22" s="37" t="inlineStr">
        <is>
          <t>新宝利大厦教学点</t>
        </is>
      </c>
      <c r="F22" s="106" t="inlineStr">
        <is>
          <t>博宁老生</t>
        </is>
      </c>
      <c r="G22" s="283" t="inlineStr">
        <is>
          <t>否</t>
        </is>
      </c>
      <c r="H22" s="283" t="inlineStr">
        <is>
          <t>否</t>
        </is>
      </c>
      <c r="I22" s="490" t="inlineStr">
        <is>
          <t>否</t>
        </is>
      </c>
      <c r="J22" s="283" t="inlineStr">
        <is>
          <t>是</t>
        </is>
      </c>
      <c r="K22" s="283" t="inlineStr">
        <is>
          <t>否</t>
        </is>
      </c>
    </row>
    <row r="23" ht="18" customHeight="1" s="1053">
      <c r="A23" s="118" t="n">
        <v>23</v>
      </c>
      <c r="B23" s="100" t="inlineStr">
        <is>
          <t>姚一新</t>
        </is>
      </c>
      <c r="D23" s="37" t="inlineStr">
        <is>
          <t>六年级</t>
        </is>
      </c>
      <c r="E23" s="37" t="inlineStr">
        <is>
          <t>新宝利大厦教学点</t>
        </is>
      </c>
      <c r="F23" s="106" t="inlineStr">
        <is>
          <t>博宁老生</t>
        </is>
      </c>
      <c r="G23" s="283" t="inlineStr">
        <is>
          <t>否</t>
        </is>
      </c>
      <c r="H23" s="283" t="inlineStr">
        <is>
          <t>否</t>
        </is>
      </c>
      <c r="I23" s="490" t="inlineStr">
        <is>
          <t>否</t>
        </is>
      </c>
      <c r="J23" s="283" t="inlineStr">
        <is>
          <t>是</t>
        </is>
      </c>
      <c r="K23" s="283" t="inlineStr">
        <is>
          <t>否</t>
        </is>
      </c>
    </row>
    <row r="24" ht="18" customHeight="1" s="1053">
      <c r="A24" s="283" t="n">
        <v>24</v>
      </c>
      <c r="B24" s="283" t="inlineStr">
        <is>
          <t>黄思睿</t>
        </is>
      </c>
      <c r="D24" s="37" t="inlineStr">
        <is>
          <t>六年级</t>
        </is>
      </c>
      <c r="E24" s="37" t="inlineStr">
        <is>
          <t>同创汇教学点</t>
        </is>
      </c>
      <c r="F24" s="106" t="inlineStr">
        <is>
          <t>博宁老生</t>
        </is>
      </c>
      <c r="G24" s="283" t="inlineStr">
        <is>
          <t>否</t>
        </is>
      </c>
      <c r="H24" s="283" t="inlineStr">
        <is>
          <t>否</t>
        </is>
      </c>
      <c r="I24" s="490" t="inlineStr">
        <is>
          <t>否</t>
        </is>
      </c>
      <c r="J24" s="283" t="inlineStr">
        <is>
          <t>是</t>
        </is>
      </c>
      <c r="K24" s="283" t="inlineStr">
        <is>
          <t>否</t>
        </is>
      </c>
    </row>
    <row r="25" ht="18" customHeight="1" s="1053">
      <c r="A25" s="283" t="n">
        <v>26</v>
      </c>
      <c r="B25" s="283" t="inlineStr">
        <is>
          <t>陈可欣</t>
        </is>
      </c>
      <c r="D25" s="37" t="inlineStr">
        <is>
          <t>六年级</t>
        </is>
      </c>
      <c r="E25" s="37" t="inlineStr">
        <is>
          <t>新宝利大厦教学点</t>
        </is>
      </c>
      <c r="F25" s="106" t="inlineStr">
        <is>
          <t>博宁老生</t>
        </is>
      </c>
      <c r="G25" s="283" t="inlineStr">
        <is>
          <t>否</t>
        </is>
      </c>
      <c r="H25" s="283" t="inlineStr">
        <is>
          <t>否</t>
        </is>
      </c>
      <c r="I25" s="490" t="inlineStr">
        <is>
          <t>否</t>
        </is>
      </c>
      <c r="J25" s="283" t="inlineStr">
        <is>
          <t>是</t>
        </is>
      </c>
      <c r="K25" s="283" t="inlineStr">
        <is>
          <t>否</t>
        </is>
      </c>
    </row>
    <row r="26" ht="18" customHeight="1" s="1053">
      <c r="A26" s="283" t="n">
        <v>27</v>
      </c>
      <c r="B26" s="283" t="inlineStr">
        <is>
          <t>黄若桐</t>
        </is>
      </c>
      <c r="D26" s="37" t="inlineStr">
        <is>
          <t>六年级</t>
        </is>
      </c>
      <c r="E26" s="37" t="inlineStr">
        <is>
          <t>新宝利大厦教学点</t>
        </is>
      </c>
      <c r="F26" s="106" t="inlineStr">
        <is>
          <t>博宁老生</t>
        </is>
      </c>
      <c r="G26" s="283" t="inlineStr">
        <is>
          <t>否</t>
        </is>
      </c>
      <c r="H26" s="283" t="inlineStr">
        <is>
          <t>否</t>
        </is>
      </c>
      <c r="I26" s="490" t="inlineStr">
        <is>
          <t>否</t>
        </is>
      </c>
      <c r="J26" s="283" t="inlineStr">
        <is>
          <t>是</t>
        </is>
      </c>
      <c r="K26" s="283" t="inlineStr">
        <is>
          <t>否</t>
        </is>
      </c>
    </row>
    <row r="27" ht="18" customHeight="1" s="1053">
      <c r="A27" s="283" t="n">
        <v>28</v>
      </c>
      <c r="B27" s="283" t="inlineStr">
        <is>
          <t>吴俊希</t>
        </is>
      </c>
      <c r="D27" s="37" t="inlineStr">
        <is>
          <t>六年级</t>
        </is>
      </c>
      <c r="E27" s="37" t="inlineStr">
        <is>
          <t>新宝利大厦教学点</t>
        </is>
      </c>
      <c r="F27" s="245" t="inlineStr">
        <is>
          <t>新生</t>
        </is>
      </c>
      <c r="G27" s="283" t="inlineStr">
        <is>
          <t>否</t>
        </is>
      </c>
      <c r="H27" s="283" t="inlineStr">
        <is>
          <t>否</t>
        </is>
      </c>
      <c r="I27" s="490" t="inlineStr">
        <is>
          <t>否</t>
        </is>
      </c>
      <c r="J27" s="283" t="inlineStr">
        <is>
          <t>是</t>
        </is>
      </c>
      <c r="K27" s="283" t="inlineStr">
        <is>
          <t>否</t>
        </is>
      </c>
    </row>
    <row r="28" ht="18" customHeight="1" s="1053">
      <c r="A28" s="283" t="n">
        <v>29</v>
      </c>
      <c r="B28" s="283" t="inlineStr">
        <is>
          <t>萧嘉骏</t>
        </is>
      </c>
      <c r="D28" s="37" t="inlineStr">
        <is>
          <t>六年级</t>
        </is>
      </c>
      <c r="E28" s="37" t="inlineStr">
        <is>
          <t>新宝利大厦教学点</t>
        </is>
      </c>
      <c r="F28" s="106" t="inlineStr">
        <is>
          <t>博宁老生</t>
        </is>
      </c>
      <c r="G28" s="283" t="inlineStr">
        <is>
          <t>否</t>
        </is>
      </c>
      <c r="H28" s="283" t="inlineStr">
        <is>
          <t>否</t>
        </is>
      </c>
      <c r="I28" s="490" t="inlineStr">
        <is>
          <t>否</t>
        </is>
      </c>
      <c r="J28" s="283" t="inlineStr">
        <is>
          <t>是</t>
        </is>
      </c>
      <c r="K28" s="283" t="inlineStr">
        <is>
          <t>否</t>
        </is>
      </c>
    </row>
    <row r="29" ht="16.5" customHeight="1" s="1053"/>
    <row r="30" ht="16.5" customHeight="1" s="1053"/>
    <row r="31" ht="16.5" customHeight="1" s="1053"/>
    <row r="32" ht="16.5" customHeight="1" s="1053"/>
    <row r="33" ht="16.5" customHeight="1" s="1053"/>
    <row r="34" ht="16.5" customHeight="1" s="1053"/>
    <row r="35" ht="16.5" customHeight="1" s="1053"/>
    <row r="36" ht="16.5" customHeight="1" s="1053"/>
    <row r="37" ht="16.5" customHeight="1" s="1053"/>
    <row r="38" ht="16.5" customHeight="1" s="1053"/>
    <row r="39" ht="16.5" customHeight="1" s="1053"/>
    <row r="40" ht="16.5" customHeight="1" s="1053"/>
    <row r="41" ht="16.5" customHeight="1" s="1053"/>
    <row r="42" ht="16.5" customHeight="1" s="1053"/>
    <row r="43" ht="16.5" customHeight="1" s="1053"/>
    <row r="44" ht="16.5" customHeight="1" s="1053"/>
    <row r="45" ht="16.5" customHeight="1" s="1053"/>
    <row r="46" ht="16.5" customHeight="1" s="1053"/>
    <row r="47" ht="16.5" customHeight="1" s="1053"/>
    <row r="48" ht="16.5" customHeight="1" s="1053"/>
    <row r="49" ht="16.5" customHeight="1" s="1053"/>
    <row r="50" ht="16.5" customHeight="1" s="1053"/>
    <row r="51" ht="16.5" customHeight="1" s="1053"/>
    <row r="52" ht="16.5" customHeight="1" s="1053"/>
    <row r="53" ht="16.5" customHeight="1" s="1053"/>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3" min="15" max="15"/>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搭班英语</t>
        </is>
      </c>
      <c r="J2" s="226" t="inlineStr">
        <is>
          <t>顾问老师</t>
        </is>
      </c>
      <c r="K2" s="226" t="inlineStr">
        <is>
          <t>就读小学</t>
        </is>
      </c>
      <c r="L2" s="226" t="inlineStr">
        <is>
          <t>就读初中</t>
        </is>
      </c>
      <c r="M2" s="680" t="inlineStr">
        <is>
          <t>学习习惯
学习意愿</t>
        </is>
      </c>
      <c r="N2" s="226" t="inlineStr">
        <is>
          <t>补课核心诉求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681" t="inlineStr">
        <is>
          <t>学员分层
（主讲）</t>
        </is>
      </c>
      <c r="AE2" s="226" t="inlineStr">
        <is>
          <t>主讲判定依据</t>
        </is>
      </c>
      <c r="AF2" s="682" t="inlineStr">
        <is>
          <t>学员分层
（顾问）</t>
        </is>
      </c>
      <c r="AG2" s="226" t="inlineStr">
        <is>
          <t>顾问判定依据</t>
        </is>
      </c>
      <c r="AI2" s="56" t="inlineStr">
        <is>
          <t>是否电联</t>
        </is>
      </c>
      <c r="AJ2" s="56" t="inlineStr">
        <is>
          <t>学情备注</t>
        </is>
      </c>
    </row>
    <row r="3" ht="26.25" customHeight="1" s="1053">
      <c r="A3" s="339" t="inlineStr">
        <is>
          <t>同创汇</t>
        </is>
      </c>
      <c r="B3" s="339" t="inlineStr">
        <is>
          <t>二期</t>
        </is>
      </c>
      <c r="C3" s="339" t="n">
        <v>3132872</v>
      </c>
      <c r="D3" s="339" t="inlineStr">
        <is>
          <t>13:20-15:30</t>
        </is>
      </c>
      <c r="E3" s="339" t="inlineStr">
        <is>
          <t>潜能班</t>
        </is>
      </c>
      <c r="F3" s="339" t="inlineStr">
        <is>
          <t>叶家荣</t>
        </is>
      </c>
      <c r="G3" s="339" t="inlineStr">
        <is>
          <t>何咏04</t>
        </is>
      </c>
      <c r="H3" s="339" t="inlineStr">
        <is>
          <t>李润</t>
        </is>
      </c>
      <c r="I3" s="339" t="inlineStr">
        <is>
          <t>刘希子</t>
        </is>
      </c>
      <c r="J3" s="339" t="inlineStr">
        <is>
          <t>王丽</t>
        </is>
      </c>
      <c r="K3" s="421" t="inlineStr">
        <is>
          <t>东山实验小学</t>
        </is>
      </c>
      <c r="L3" s="421" t="inlineStr">
        <is>
          <t>等摇号结果</t>
        </is>
      </c>
      <c r="M3" s="421" t="inlineStr">
        <is>
          <t>自己搞定作业，家长检查</t>
        </is>
      </c>
      <c r="N3" s="683" t="inlineStr">
        <is>
          <t>不看题目
小升初衔接</t>
        </is>
      </c>
      <c r="O3" s="403" t="inlineStr">
        <is>
          <t>一直在上mk班</t>
        </is>
      </c>
      <c r="P3" s="404" t="inlineStr">
        <is>
          <t>90分</t>
        </is>
      </c>
      <c r="Q3" s="339" t="n"/>
      <c r="R3" s="339" t="n"/>
      <c r="S3" s="339" t="n"/>
      <c r="T3" s="339" t="inlineStr">
        <is>
          <t>是</t>
        </is>
      </c>
      <c r="U3" s="339" t="inlineStr">
        <is>
          <t>是</t>
        </is>
      </c>
      <c r="V3" s="339" t="n"/>
      <c r="W3" s="339" t="n"/>
      <c r="X3" s="339" t="n"/>
      <c r="Y3" s="339" t="n"/>
      <c r="Z3" s="339" t="n"/>
      <c r="AA3" s="339" t="n"/>
      <c r="AB3" s="339" t="n"/>
      <c r="AC3" s="339" t="n"/>
      <c r="AD3" s="339" t="n"/>
      <c r="AE3" s="339" t="n"/>
      <c r="AF3" s="339" t="n"/>
      <c r="AG3" s="339" t="n"/>
      <c r="AH3" s="339" t="n"/>
    </row>
    <row r="4" ht="26.25" customHeight="1" s="1053">
      <c r="A4" s="340" t="inlineStr">
        <is>
          <t>同创汇</t>
        </is>
      </c>
      <c r="B4" s="340" t="inlineStr">
        <is>
          <t>二期</t>
        </is>
      </c>
      <c r="C4" s="340" t="n">
        <v>3132872</v>
      </c>
      <c r="D4" s="340" t="inlineStr">
        <is>
          <t>13:20-15:30</t>
        </is>
      </c>
      <c r="E4" s="340" t="inlineStr">
        <is>
          <t>潜能班</t>
        </is>
      </c>
      <c r="F4" s="340" t="inlineStr">
        <is>
          <t>周名扬</t>
        </is>
      </c>
      <c r="G4" s="340" t="inlineStr">
        <is>
          <t>何咏04</t>
        </is>
      </c>
      <c r="H4" s="340" t="inlineStr">
        <is>
          <t>黄铭怡</t>
        </is>
      </c>
      <c r="I4" s="340" t="inlineStr">
        <is>
          <t>刘希子</t>
        </is>
      </c>
      <c r="J4" s="340" t="inlineStr">
        <is>
          <t>戎凯01</t>
        </is>
      </c>
      <c r="K4" s="340" t="inlineStr">
        <is>
          <t>东风东</t>
        </is>
      </c>
      <c r="L4" s="340" t="inlineStr">
        <is>
          <t>育才</t>
        </is>
      </c>
      <c r="M4" s="684" t="inlineStr">
        <is>
          <t>自觉
他自己找的作业</t>
        </is>
      </c>
      <c r="N4" s="685" t="inlineStr">
        <is>
          <t>不了解孩子
衔接</t>
        </is>
      </c>
      <c r="O4" s="686" t="inlineStr">
        <is>
          <t>习惯班课
书房（小机构）</t>
        </is>
      </c>
      <c r="P4" s="340" t="inlineStr">
        <is>
          <t>70-80分，波动</t>
        </is>
      </c>
      <c r="Q4" s="340" t="n">
        <v>85</v>
      </c>
      <c r="R4" s="340" t="n"/>
      <c r="S4" s="340" t="n"/>
      <c r="T4" s="340" t="inlineStr">
        <is>
          <t>是</t>
        </is>
      </c>
      <c r="U4" s="340" t="inlineStr">
        <is>
          <t>是</t>
        </is>
      </c>
      <c r="V4" s="340" t="n"/>
      <c r="W4" s="340" t="n"/>
      <c r="X4" s="340" t="n"/>
      <c r="Y4" s="340" t="n"/>
      <c r="Z4" s="340" t="n"/>
      <c r="AA4" s="340" t="n"/>
      <c r="AB4" s="340" t="n"/>
      <c r="AC4" s="340" t="n"/>
      <c r="AD4" s="340" t="n"/>
      <c r="AE4" s="340" t="n"/>
      <c r="AF4" s="340" t="n"/>
      <c r="AG4" s="340" t="n"/>
      <c r="AH4" s="340" t="n"/>
    </row>
    <row r="5" ht="26.25" customHeight="1" s="1053">
      <c r="A5" s="340" t="inlineStr">
        <is>
          <t>同创汇</t>
        </is>
      </c>
      <c r="B5" s="340" t="inlineStr">
        <is>
          <t>二期</t>
        </is>
      </c>
      <c r="C5" s="340" t="n">
        <v>3132872</v>
      </c>
      <c r="D5" s="340" t="inlineStr">
        <is>
          <t>13:20-15:30</t>
        </is>
      </c>
      <c r="E5" s="340" t="inlineStr">
        <is>
          <t>潜能班</t>
        </is>
      </c>
      <c r="F5" s="340" t="inlineStr">
        <is>
          <t>安安</t>
        </is>
      </c>
      <c r="G5" s="340" t="inlineStr">
        <is>
          <t>何咏04</t>
        </is>
      </c>
      <c r="H5" s="340" t="n"/>
      <c r="I5" s="340" t="n"/>
      <c r="J5" s="340" t="inlineStr">
        <is>
          <t>王丽</t>
        </is>
      </c>
      <c r="K5" s="340" t="n"/>
      <c r="L5" s="340" t="n"/>
      <c r="M5" s="340" t="n"/>
      <c r="N5" s="340" t="n"/>
      <c r="O5" s="340" t="inlineStr">
        <is>
          <t>添加不上</t>
        </is>
      </c>
      <c r="P5" s="340" t="n"/>
      <c r="Q5" s="340" t="n"/>
      <c r="R5" s="340" t="n"/>
      <c r="S5" s="340" t="n"/>
      <c r="T5" s="340" t="inlineStr">
        <is>
          <t>否</t>
        </is>
      </c>
      <c r="U5" s="340" t="n"/>
      <c r="V5" s="340" t="n"/>
      <c r="W5" s="340" t="n"/>
      <c r="X5" s="340" t="n"/>
      <c r="Y5" s="340" t="n"/>
      <c r="Z5" s="340" t="n"/>
      <c r="AA5" s="340" t="n"/>
      <c r="AB5" s="340" t="n"/>
      <c r="AC5" s="340" t="n"/>
      <c r="AD5" s="340" t="n"/>
      <c r="AE5" s="340" t="n"/>
      <c r="AF5" s="340" t="n"/>
      <c r="AG5" s="340" t="n"/>
      <c r="AH5" s="340" t="n"/>
    </row>
    <row r="6" ht="26.25" customHeight="1" s="1053">
      <c r="A6" s="339" t="inlineStr">
        <is>
          <t>同创汇</t>
        </is>
      </c>
      <c r="B6" s="339" t="inlineStr">
        <is>
          <t>二期</t>
        </is>
      </c>
      <c r="C6" s="339" t="n">
        <v>3132872</v>
      </c>
      <c r="D6" s="339" t="inlineStr">
        <is>
          <t>13:20-15:30</t>
        </is>
      </c>
      <c r="E6" s="339" t="inlineStr">
        <is>
          <t>潜能班</t>
        </is>
      </c>
      <c r="F6" s="339" t="inlineStr">
        <is>
          <t>曲睿希</t>
        </is>
      </c>
      <c r="G6" s="339" t="inlineStr">
        <is>
          <t>何咏04</t>
        </is>
      </c>
      <c r="H6" s="339" t="inlineStr">
        <is>
          <t>李润</t>
        </is>
      </c>
      <c r="I6" s="339" t="inlineStr">
        <is>
          <t>刘希子</t>
        </is>
      </c>
      <c r="J6" s="339" t="inlineStr">
        <is>
          <t>王丽</t>
        </is>
      </c>
      <c r="K6" s="421" t="inlineStr">
        <is>
          <t>水荫</t>
        </is>
      </c>
      <c r="L6" s="421" t="inlineStr">
        <is>
          <t>摇号</t>
        </is>
      </c>
      <c r="M6" s="687" t="inlineStr">
        <is>
          <t>不自觉
会关注分数</t>
        </is>
      </c>
      <c r="N6" s="688" t="inlineStr">
        <is>
          <t>计算粗心和慢
小升初衔接</t>
        </is>
      </c>
      <c r="O6" s="689" t="inlineStr">
        <is>
          <t>未接听
托管+数学</t>
        </is>
      </c>
      <c r="P6" s="421" t="inlineStr">
        <is>
          <t>70多</t>
        </is>
      </c>
      <c r="Q6" s="339" t="n"/>
      <c r="R6" s="339" t="n"/>
      <c r="S6" s="339" t="n"/>
      <c r="T6" s="339" t="inlineStr">
        <is>
          <t>是</t>
        </is>
      </c>
      <c r="U6" s="339" t="inlineStr">
        <is>
          <t>是</t>
        </is>
      </c>
      <c r="V6" s="339" t="n"/>
      <c r="W6" s="339" t="n"/>
      <c r="X6" s="339" t="n"/>
      <c r="Y6" s="339" t="n"/>
      <c r="Z6" s="339" t="n"/>
      <c r="AA6" s="339" t="n"/>
      <c r="AB6" s="339" t="n"/>
      <c r="AC6" s="339" t="n"/>
      <c r="AD6" s="339" t="n"/>
      <c r="AE6" s="339" t="n"/>
      <c r="AF6" s="339" t="n"/>
      <c r="AG6" s="339" t="n"/>
      <c r="AH6" s="339" t="n"/>
    </row>
    <row r="7" ht="26.25" customHeight="1" s="1053">
      <c r="A7" s="339" t="inlineStr">
        <is>
          <t>同创汇</t>
        </is>
      </c>
      <c r="B7" s="339" t="inlineStr">
        <is>
          <t>二期</t>
        </is>
      </c>
      <c r="C7" s="339" t="n">
        <v>3132872</v>
      </c>
      <c r="D7" s="339" t="inlineStr">
        <is>
          <t>13:20-15:30</t>
        </is>
      </c>
      <c r="E7" s="339" t="inlineStr">
        <is>
          <t>潜能班</t>
        </is>
      </c>
      <c r="F7" s="339" t="inlineStr">
        <is>
          <t>李思锊</t>
        </is>
      </c>
      <c r="G7" s="339" t="inlineStr">
        <is>
          <t>何咏04</t>
        </is>
      </c>
      <c r="H7" s="339" t="inlineStr">
        <is>
          <t>李润</t>
        </is>
      </c>
      <c r="I7" s="339" t="inlineStr">
        <is>
          <t>刘希子</t>
        </is>
      </c>
      <c r="J7" s="339" t="inlineStr">
        <is>
          <t>戎凯01</t>
        </is>
      </c>
      <c r="K7" s="339" t="n"/>
      <c r="L7" s="339" t="n"/>
      <c r="M7" s="339" t="n"/>
      <c r="N7" s="339" t="n"/>
      <c r="O7" s="690" t="inlineStr">
        <is>
          <t>忙，挂断电话
微信不回复</t>
        </is>
      </c>
      <c r="P7" s="339" t="n"/>
      <c r="Q7" s="339" t="n">
        <v>86</v>
      </c>
      <c r="R7" s="339" t="n"/>
      <c r="S7" s="339" t="n"/>
      <c r="T7" s="339" t="inlineStr">
        <is>
          <t>是</t>
        </is>
      </c>
      <c r="U7" s="339" t="inlineStr">
        <is>
          <t>是</t>
        </is>
      </c>
      <c r="V7" s="339" t="n"/>
      <c r="W7" s="339" t="n"/>
      <c r="X7" s="339" t="n"/>
      <c r="Y7" s="339" t="n"/>
      <c r="Z7" s="339" t="n"/>
      <c r="AA7" s="339" t="n"/>
      <c r="AB7" s="339" t="n"/>
      <c r="AC7" s="339" t="n"/>
      <c r="AD7" s="339" t="n"/>
      <c r="AE7" s="339" t="n"/>
      <c r="AF7" s="339" t="n"/>
      <c r="AG7" s="339" t="n"/>
      <c r="AH7" s="339" t="n"/>
    </row>
    <row r="8" ht="26.25" customHeight="1" s="1053">
      <c r="A8" s="339" t="inlineStr">
        <is>
          <t>同创汇</t>
        </is>
      </c>
      <c r="B8" s="339" t="inlineStr">
        <is>
          <t>二期</t>
        </is>
      </c>
      <c r="C8" s="339" t="n">
        <v>3132872</v>
      </c>
      <c r="D8" s="339" t="inlineStr">
        <is>
          <t>13:20-15:30</t>
        </is>
      </c>
      <c r="E8" s="339" t="inlineStr">
        <is>
          <t>潜能班</t>
        </is>
      </c>
      <c r="F8" s="339" t="inlineStr">
        <is>
          <t>杨恩桐</t>
        </is>
      </c>
      <c r="G8" s="339" t="inlineStr">
        <is>
          <t>何咏04</t>
        </is>
      </c>
      <c r="H8" s="339" t="inlineStr">
        <is>
          <t>李润</t>
        </is>
      </c>
      <c r="I8" s="339" t="inlineStr">
        <is>
          <t>刘希子</t>
        </is>
      </c>
      <c r="J8" s="339" t="inlineStr">
        <is>
          <t>王丽</t>
        </is>
      </c>
      <c r="K8" s="404" t="inlineStr">
        <is>
          <t>天河区新蕾五星学校民办小学</t>
        </is>
      </c>
      <c r="L8" s="404" t="n"/>
      <c r="M8" s="339" t="n"/>
      <c r="N8" s="339" t="n"/>
      <c r="O8" s="691" t="inlineStr">
        <is>
          <t>电话意外挂断
微信沟通</t>
        </is>
      </c>
      <c r="P8" s="404" t="inlineStr">
        <is>
          <t>90上下</t>
        </is>
      </c>
      <c r="Q8" s="339" t="n"/>
      <c r="R8" s="339" t="n"/>
      <c r="S8" s="339" t="n"/>
      <c r="T8" s="339" t="inlineStr">
        <is>
          <t>是</t>
        </is>
      </c>
      <c r="U8" s="339" t="inlineStr">
        <is>
          <t>是</t>
        </is>
      </c>
      <c r="V8" s="339" t="n"/>
      <c r="W8" s="339" t="n"/>
      <c r="X8" s="339" t="n"/>
      <c r="Y8" s="339" t="n"/>
      <c r="Z8" s="339" t="n"/>
      <c r="AA8" s="339" t="n"/>
      <c r="AB8" s="339" t="n"/>
      <c r="AC8" s="339" t="n"/>
      <c r="AD8" s="339" t="n"/>
      <c r="AE8" s="339" t="n"/>
      <c r="AF8" s="339" t="n"/>
      <c r="AG8" s="339" t="n"/>
      <c r="AH8" s="339" t="n"/>
    </row>
    <row r="9" ht="26.25" customHeight="1" s="1053">
      <c r="A9" s="339" t="inlineStr">
        <is>
          <t>同创汇</t>
        </is>
      </c>
      <c r="B9" s="339" t="inlineStr">
        <is>
          <t>二期</t>
        </is>
      </c>
      <c r="C9" s="339" t="n">
        <v>3132872</v>
      </c>
      <c r="D9" s="339" t="inlineStr">
        <is>
          <t>13:20-15:30</t>
        </is>
      </c>
      <c r="E9" s="339" t="inlineStr">
        <is>
          <t>潜能班</t>
        </is>
      </c>
      <c r="F9" s="339" t="inlineStr">
        <is>
          <t>梁思雅</t>
        </is>
      </c>
      <c r="G9" s="339" t="inlineStr">
        <is>
          <t>何咏04</t>
        </is>
      </c>
      <c r="H9" s="339" t="inlineStr">
        <is>
          <t>李润</t>
        </is>
      </c>
      <c r="I9" s="339" t="inlineStr">
        <is>
          <t>刘希子</t>
        </is>
      </c>
      <c r="J9" s="339" t="inlineStr">
        <is>
          <t>戎凯01</t>
        </is>
      </c>
      <c r="K9" s="421" t="inlineStr">
        <is>
          <t>杨箕</t>
        </is>
      </c>
      <c r="L9" s="421" t="inlineStr">
        <is>
          <t>摇号，七号</t>
        </is>
      </c>
      <c r="M9" s="692" t="inlineStr">
        <is>
          <t>个人不自觉，会完成作业
不看作业</t>
        </is>
      </c>
      <c r="N9" s="693" t="inlineStr">
        <is>
          <t>个人不自觉，会完成作业
不看作业</t>
        </is>
      </c>
      <c r="O9" s="694" t="inlineStr">
        <is>
          <t>个人不自觉，会完成作业
不看作业</t>
        </is>
      </c>
      <c r="P9" s="421" t="inlineStr">
        <is>
          <t>90多</t>
        </is>
      </c>
      <c r="Q9" s="339" t="n"/>
      <c r="R9" s="339" t="n"/>
      <c r="S9" s="339" t="n"/>
      <c r="T9" s="339" t="inlineStr">
        <is>
          <t>是</t>
        </is>
      </c>
      <c r="U9" s="339" t="inlineStr">
        <is>
          <t>是</t>
        </is>
      </c>
      <c r="V9" s="339" t="n"/>
      <c r="W9" s="339" t="n"/>
      <c r="X9" s="339" t="n"/>
      <c r="Y9" s="339" t="n"/>
      <c r="Z9" s="339" t="n"/>
      <c r="AA9" s="339" t="n"/>
      <c r="AB9" s="339" t="n"/>
      <c r="AC9" s="339" t="n"/>
      <c r="AD9" s="339" t="n"/>
      <c r="AE9" s="339" t="n"/>
      <c r="AF9" s="339" t="n"/>
      <c r="AG9" s="339" t="n"/>
      <c r="AH9" s="339" t="n"/>
    </row>
    <row r="10" ht="26.25" customHeight="1" s="1053">
      <c r="A10" s="339" t="inlineStr">
        <is>
          <t>同创汇</t>
        </is>
      </c>
      <c r="B10" s="339" t="inlineStr">
        <is>
          <t>二期</t>
        </is>
      </c>
      <c r="C10" s="339" t="n">
        <v>3132872</v>
      </c>
      <c r="D10" s="339" t="inlineStr">
        <is>
          <t>13:20-15:30</t>
        </is>
      </c>
      <c r="E10" s="339" t="inlineStr">
        <is>
          <t>潜能班</t>
        </is>
      </c>
      <c r="F10" s="339" t="inlineStr">
        <is>
          <t>牛然希</t>
        </is>
      </c>
      <c r="G10" s="339" t="inlineStr">
        <is>
          <t>何咏04</t>
        </is>
      </c>
      <c r="H10" s="339" t="inlineStr">
        <is>
          <t>李润</t>
        </is>
      </c>
      <c r="I10" s="339" t="inlineStr">
        <is>
          <t>刘希子</t>
        </is>
      </c>
      <c r="J10" s="339" t="inlineStr">
        <is>
          <t>苏丽婷</t>
        </is>
      </c>
      <c r="K10" s="421" t="inlineStr">
        <is>
          <t>大沙头</t>
        </is>
      </c>
      <c r="L10" s="421" t="inlineStr">
        <is>
          <t>摇号</t>
        </is>
      </c>
      <c r="M10" s="695" t="inlineStr">
        <is>
          <t>自觉不强，作业比较赶
不监督</t>
        </is>
      </c>
      <c r="N10" s="696" t="inlineStr">
        <is>
          <t>思维是有
没耐心，都会有点错
小升初衔接</t>
        </is>
      </c>
      <c r="O10" s="697" t="inlineStr">
        <is>
          <t>家教三年级到六年级
不想学</t>
        </is>
      </c>
      <c r="P10" s="421" t="inlineStr">
        <is>
          <t>70-95波动</t>
        </is>
      </c>
      <c r="Q10" s="339" t="n"/>
      <c r="R10" s="339" t="n"/>
      <c r="S10" s="339" t="n"/>
      <c r="T10" s="339" t="inlineStr">
        <is>
          <t>是</t>
        </is>
      </c>
      <c r="U10" s="339" t="inlineStr">
        <is>
          <t>是</t>
        </is>
      </c>
      <c r="V10" s="339" t="n"/>
      <c r="W10" s="339" t="n"/>
      <c r="X10" s="339" t="n"/>
      <c r="Y10" s="339" t="n"/>
      <c r="Z10" s="339" t="n"/>
      <c r="AA10" s="339" t="n"/>
      <c r="AB10" s="339" t="n"/>
      <c r="AC10" s="339" t="n"/>
      <c r="AD10" s="339" t="n"/>
      <c r="AE10" s="339" t="n"/>
      <c r="AF10" s="339" t="n"/>
      <c r="AG10" s="339" t="n"/>
      <c r="AH10" s="339" t="n"/>
    </row>
    <row r="11" ht="26.25" customHeight="1" s="1053">
      <c r="A11" s="339" t="inlineStr">
        <is>
          <t>同创汇</t>
        </is>
      </c>
      <c r="B11" s="339" t="inlineStr">
        <is>
          <t>二期</t>
        </is>
      </c>
      <c r="C11" s="339" t="n">
        <v>3132872</v>
      </c>
      <c r="D11" s="339" t="inlineStr">
        <is>
          <t>13:20-15:30</t>
        </is>
      </c>
      <c r="E11" s="339" t="inlineStr">
        <is>
          <t>潜能班</t>
        </is>
      </c>
      <c r="F11" s="339" t="inlineStr">
        <is>
          <t>魏汀瑶</t>
        </is>
      </c>
      <c r="G11" s="339" t="inlineStr">
        <is>
          <t>何咏04</t>
        </is>
      </c>
      <c r="H11" s="339" t="inlineStr">
        <is>
          <t>李润</t>
        </is>
      </c>
      <c r="I11" s="339" t="inlineStr">
        <is>
          <t>刘希子</t>
        </is>
      </c>
      <c r="J11" s="339" t="inlineStr">
        <is>
          <t>龙倩敏</t>
        </is>
      </c>
      <c r="K11" s="404" t="inlineStr">
        <is>
          <t>天河</t>
        </is>
      </c>
      <c r="L11" s="421" t="inlineStr">
        <is>
          <t>民办，摇号</t>
        </is>
      </c>
      <c r="M11" s="698" t="inlineStr">
        <is>
          <t>作业不用盯，偶尔问一下
自主性不强，偶尔监督</t>
        </is>
      </c>
      <c r="N11" s="699" t="inlineStr">
        <is>
          <t>暑假衔接
六年级没关注过薄弱，一直成绩都OK</t>
        </is>
      </c>
      <c r="O11" s="403" t="inlineStr">
        <is>
          <t>数学没上机构</t>
        </is>
      </c>
      <c r="P11" s="404" t="inlineStr">
        <is>
          <t>90多</t>
        </is>
      </c>
      <c r="Q11" s="339" t="n">
        <v>70</v>
      </c>
      <c r="R11" s="339" t="n"/>
      <c r="S11" s="339" t="n"/>
      <c r="T11" s="339" t="inlineStr">
        <is>
          <t>是</t>
        </is>
      </c>
      <c r="U11" s="339" t="inlineStr">
        <is>
          <t>是</t>
        </is>
      </c>
      <c r="V11" s="339" t="n"/>
      <c r="W11" s="339" t="n"/>
      <c r="X11" s="339" t="n"/>
      <c r="Y11" s="339" t="n"/>
      <c r="Z11" s="339" t="n"/>
      <c r="AA11" s="339" t="n"/>
      <c r="AB11" s="339" t="n"/>
      <c r="AC11" s="339" t="n"/>
      <c r="AD11" s="339" t="n"/>
      <c r="AE11" s="339" t="n"/>
      <c r="AF11" s="339" t="n"/>
      <c r="AG11" s="339" t="n"/>
      <c r="AH11" s="339" t="n"/>
    </row>
    <row r="12" ht="26.25" customHeight="1" s="1053">
      <c r="A12" s="339" t="inlineStr">
        <is>
          <t>新宝利</t>
        </is>
      </c>
      <c r="B12" s="339" t="inlineStr">
        <is>
          <t>三期</t>
        </is>
      </c>
      <c r="C12" s="339" t="n">
        <v>5111035</v>
      </c>
      <c r="D12" s="339" t="inlineStr">
        <is>
          <t>15:50-18:00</t>
        </is>
      </c>
      <c r="E12" s="339" t="inlineStr">
        <is>
          <t>启能班</t>
        </is>
      </c>
      <c r="F12" s="339" t="inlineStr">
        <is>
          <t>冯晴昕</t>
        </is>
      </c>
      <c r="G12" s="339" t="inlineStr">
        <is>
          <t>何咏04</t>
        </is>
      </c>
      <c r="H12" s="339" t="inlineStr">
        <is>
          <t>李润</t>
        </is>
      </c>
      <c r="I12" s="339" t="inlineStr">
        <is>
          <t>肖锐03</t>
        </is>
      </c>
      <c r="J12" s="339" t="inlineStr">
        <is>
          <t>张敏烨</t>
        </is>
      </c>
      <c r="K12" s="421" t="n"/>
      <c r="L12" s="421" t="inlineStr">
        <is>
          <t>四中</t>
        </is>
      </c>
      <c r="M12" s="339" t="n"/>
      <c r="N12" s="339" t="n"/>
      <c r="O12" s="339" t="n"/>
      <c r="P12" s="421" t="inlineStr">
        <is>
          <t>90左右</t>
        </is>
      </c>
      <c r="Q12" s="339" t="n"/>
      <c r="R12" s="339" t="n"/>
      <c r="S12" s="339" t="n"/>
      <c r="T12" s="339" t="inlineStr">
        <is>
          <t>是</t>
        </is>
      </c>
      <c r="U12" s="339" t="inlineStr">
        <is>
          <t>是</t>
        </is>
      </c>
      <c r="V12" s="339" t="n"/>
      <c r="W12" s="339" t="n"/>
      <c r="X12" s="339" t="n"/>
      <c r="Y12" s="339" t="n"/>
      <c r="Z12" s="339" t="n"/>
      <c r="AA12" s="339" t="n"/>
      <c r="AB12" s="339" t="n"/>
      <c r="AC12" s="339" t="n"/>
      <c r="AD12" s="339" t="n"/>
      <c r="AE12" s="339" t="n"/>
      <c r="AF12" s="339" t="n"/>
      <c r="AG12" s="339" t="n"/>
      <c r="AH12" s="339" t="n"/>
    </row>
    <row r="13" ht="26.25" customHeight="1" s="1053">
      <c r="A13" s="339" t="inlineStr">
        <is>
          <t>新宝利</t>
        </is>
      </c>
      <c r="B13" s="339" t="inlineStr">
        <is>
          <t>三期</t>
        </is>
      </c>
      <c r="C13" s="339" t="n">
        <v>5111035</v>
      </c>
      <c r="D13" s="339" t="inlineStr">
        <is>
          <t>15:50-18:00</t>
        </is>
      </c>
      <c r="E13" s="339" t="inlineStr">
        <is>
          <t>启能班</t>
        </is>
      </c>
      <c r="F13" s="339" t="inlineStr">
        <is>
          <t>刘永承</t>
        </is>
      </c>
      <c r="G13" s="339" t="inlineStr">
        <is>
          <t>何咏04</t>
        </is>
      </c>
      <c r="H13" s="339" t="inlineStr">
        <is>
          <t>李润</t>
        </is>
      </c>
      <c r="I13" s="339" t="inlineStr">
        <is>
          <t>肖锐03</t>
        </is>
      </c>
      <c r="J13" s="339" t="inlineStr">
        <is>
          <t>杨林33</t>
        </is>
      </c>
      <c r="K13" s="421" t="inlineStr">
        <is>
          <t>旧步前小学</t>
        </is>
      </c>
      <c r="L13" s="421" t="n"/>
      <c r="M13" s="700" t="inlineStr">
        <is>
          <t>一般主动
不监督，只看完成</t>
        </is>
      </c>
      <c r="N13" s="701" t="inlineStr">
        <is>
          <t>算式算不对
七年级暑假衔接</t>
        </is>
      </c>
      <c r="O13" s="702" t="inlineStr">
        <is>
          <t>未接通
课后练习，在博宁老师班上
希望老师多关注一下孩子（合理范围）</t>
        </is>
      </c>
      <c r="P13" s="421" t="inlineStr">
        <is>
          <t>A（89-90）</t>
        </is>
      </c>
      <c r="Q13" s="339" t="n"/>
      <c r="R13" s="339" t="n"/>
      <c r="S13" s="339" t="n"/>
      <c r="T13" s="339" t="inlineStr">
        <is>
          <t>是</t>
        </is>
      </c>
      <c r="U13" s="339" t="inlineStr">
        <is>
          <t>是</t>
        </is>
      </c>
      <c r="V13" s="339" t="n"/>
      <c r="W13" s="339" t="n"/>
      <c r="X13" s="339" t="n"/>
      <c r="Y13" s="339" t="n"/>
      <c r="Z13" s="339" t="n"/>
      <c r="AA13" s="339" t="n"/>
      <c r="AB13" s="339" t="n"/>
      <c r="AC13" s="339" t="n"/>
      <c r="AD13" s="339" t="n"/>
      <c r="AE13" s="339" t="n"/>
      <c r="AF13" s="339" t="n"/>
      <c r="AG13" s="339" t="n"/>
      <c r="AH13" s="339" t="n"/>
    </row>
    <row r="14" ht="26.25" customHeight="1" s="1053">
      <c r="A14" s="339" t="inlineStr">
        <is>
          <t>新宝利</t>
        </is>
      </c>
      <c r="B14" s="339" t="inlineStr">
        <is>
          <t>三期</t>
        </is>
      </c>
      <c r="C14" s="339" t="n">
        <v>5111035</v>
      </c>
      <c r="D14" s="339" t="inlineStr">
        <is>
          <t>15:50-18:00</t>
        </is>
      </c>
      <c r="E14" s="339" t="inlineStr">
        <is>
          <t>启能班</t>
        </is>
      </c>
      <c r="F14" s="339" t="inlineStr">
        <is>
          <t>卢章沺</t>
        </is>
      </c>
      <c r="G14" s="339" t="inlineStr">
        <is>
          <t>何咏04</t>
        </is>
      </c>
      <c r="H14" s="339" t="inlineStr">
        <is>
          <t>李润</t>
        </is>
      </c>
      <c r="I14" s="339" t="inlineStr">
        <is>
          <t>肖锐03</t>
        </is>
      </c>
      <c r="J14" s="339" t="inlineStr">
        <is>
          <t>张敏烨</t>
        </is>
      </c>
      <c r="K14" s="339" t="inlineStr">
        <is>
          <t>知用小学</t>
        </is>
      </c>
      <c r="L14" s="339" t="inlineStr">
        <is>
          <t>积分入学</t>
        </is>
      </c>
      <c r="M14" s="339" t="n"/>
      <c r="N14" s="339" t="inlineStr">
        <is>
          <t>小初衔接</t>
        </is>
      </c>
      <c r="O14" s="703" t="inlineStr">
        <is>
          <t>海清机构
"没拓展
两边考虑，看小孩喜欢"</t>
        </is>
      </c>
      <c r="P14" s="420" t="inlineStr">
        <is>
          <t>数学：95以上</t>
        </is>
      </c>
      <c r="Q14" s="339" t="n">
        <v>100</v>
      </c>
      <c r="R14" s="339" t="n"/>
      <c r="S14" s="339" t="n"/>
      <c r="T14" s="339" t="inlineStr">
        <is>
          <t>是</t>
        </is>
      </c>
      <c r="U14" s="339" t="inlineStr">
        <is>
          <t>是</t>
        </is>
      </c>
      <c r="V14" s="339" t="n"/>
      <c r="W14" s="339" t="n"/>
      <c r="X14" s="339" t="n"/>
      <c r="Y14" s="339" t="n"/>
      <c r="Z14" s="339" t="n"/>
      <c r="AA14" s="339" t="n"/>
      <c r="AB14" s="339" t="n"/>
      <c r="AC14" s="339" t="n"/>
      <c r="AD14" s="339" t="n"/>
      <c r="AE14" s="339" t="n"/>
      <c r="AF14" s="339" t="n"/>
      <c r="AG14" s="339" t="n"/>
      <c r="AH14" s="339" t="n"/>
    </row>
    <row r="15" ht="26.25" customHeight="1" s="1053">
      <c r="A15" s="339" t="inlineStr">
        <is>
          <t>新宝利</t>
        </is>
      </c>
      <c r="B15" s="339" t="inlineStr">
        <is>
          <t>三期</t>
        </is>
      </c>
      <c r="C15" s="339" t="n">
        <v>5111035</v>
      </c>
      <c r="D15" s="339" t="inlineStr">
        <is>
          <t>15:50-18:00</t>
        </is>
      </c>
      <c r="E15" s="339" t="inlineStr">
        <is>
          <t>启能班</t>
        </is>
      </c>
      <c r="F15" s="339" t="inlineStr">
        <is>
          <t>周梓琳</t>
        </is>
      </c>
      <c r="G15" s="339" t="inlineStr">
        <is>
          <t>何咏04</t>
        </is>
      </c>
      <c r="H15" s="339" t="inlineStr">
        <is>
          <t>李润</t>
        </is>
      </c>
      <c r="I15" s="339" t="inlineStr">
        <is>
          <t>肖锐03</t>
        </is>
      </c>
      <c r="J15" s="339" t="inlineStr">
        <is>
          <t>张敏烨</t>
        </is>
      </c>
      <c r="K15" s="421" t="inlineStr">
        <is>
          <t>知用</t>
        </is>
      </c>
      <c r="L15" s="421" t="inlineStr">
        <is>
          <t>知用</t>
        </is>
      </c>
      <c r="M15" s="704" t="inlineStr">
        <is>
          <t>自觉还可以
不监督</t>
        </is>
      </c>
      <c r="N15" s="705" t="inlineStr">
        <is>
          <t>六年级下薄弱
衔接，计算同步完成</t>
        </is>
      </c>
      <c r="O15" s="706" t="inlineStr">
        <is>
          <t>课后联系
英语xdf，数学网课</t>
        </is>
      </c>
      <c r="P15" s="339" t="n">
        <v>85</v>
      </c>
      <c r="Q15" s="339" t="n"/>
      <c r="R15" s="339" t="n"/>
      <c r="S15" s="339" t="n"/>
      <c r="T15" s="339" t="inlineStr">
        <is>
          <t>是</t>
        </is>
      </c>
      <c r="U15" s="339" t="inlineStr">
        <is>
          <t>是</t>
        </is>
      </c>
      <c r="V15" s="339" t="n"/>
      <c r="W15" s="339" t="n"/>
      <c r="X15" s="339" t="n"/>
      <c r="Y15" s="339" t="n"/>
      <c r="Z15" s="339" t="n"/>
      <c r="AA15" s="339" t="n"/>
      <c r="AB15" s="339" t="n"/>
      <c r="AC15" s="339" t="n"/>
      <c r="AD15" s="339" t="n"/>
      <c r="AE15" s="339" t="n"/>
      <c r="AF15" s="339" t="n"/>
      <c r="AG15" s="339" t="n"/>
      <c r="AH15" s="339" t="n"/>
    </row>
    <row r="16" ht="26.25" customHeight="1" s="1053">
      <c r="A16" s="339" t="inlineStr">
        <is>
          <t>新宝利</t>
        </is>
      </c>
      <c r="B16" s="339" t="inlineStr">
        <is>
          <t>三期</t>
        </is>
      </c>
      <c r="C16" s="339" t="n">
        <v>5111035</v>
      </c>
      <c r="D16" s="339" t="inlineStr">
        <is>
          <t>15:50-18:00</t>
        </is>
      </c>
      <c r="E16" s="339" t="inlineStr">
        <is>
          <t>启能班</t>
        </is>
      </c>
      <c r="F16" s="339" t="inlineStr">
        <is>
          <t>家谊</t>
        </is>
      </c>
      <c r="G16" s="339" t="inlineStr">
        <is>
          <t>何咏04</t>
        </is>
      </c>
      <c r="H16" s="339" t="inlineStr">
        <is>
          <t>李润</t>
        </is>
      </c>
      <c r="I16" s="339" t="inlineStr">
        <is>
          <t>肖锐03</t>
        </is>
      </c>
      <c r="J16" s="339" t="inlineStr">
        <is>
          <t>张敏烨</t>
        </is>
      </c>
      <c r="K16" s="421" t="inlineStr">
        <is>
          <t>知用</t>
        </is>
      </c>
      <c r="L16" s="421" t="inlineStr">
        <is>
          <t>知用</t>
        </is>
      </c>
      <c r="M16" s="707" t="inlineStr">
        <is>
          <t>主动性一般
监督</t>
        </is>
      </c>
      <c r="N16" s="421" t="inlineStr">
        <is>
          <t>计算薄弱，没练过</t>
        </is>
      </c>
      <c r="O16" s="708" t="inlineStr">
        <is>
          <t>课后联系
卓越数学，达不到理想</t>
        </is>
      </c>
      <c r="P16" s="421" t="inlineStr">
        <is>
          <t>70-80</t>
        </is>
      </c>
      <c r="Q16" s="339" t="n"/>
      <c r="R16" s="339" t="n"/>
      <c r="S16" s="339" t="n"/>
      <c r="T16" s="339" t="inlineStr">
        <is>
          <t>是</t>
        </is>
      </c>
      <c r="U16" s="339" t="inlineStr">
        <is>
          <t>是</t>
        </is>
      </c>
      <c r="V16" s="339" t="n"/>
      <c r="W16" s="339" t="n"/>
      <c r="X16" s="339" t="n"/>
      <c r="Y16" s="339" t="n"/>
      <c r="Z16" s="339" t="n"/>
      <c r="AA16" s="339" t="n"/>
      <c r="AB16" s="339" t="n"/>
      <c r="AC16" s="339" t="n"/>
      <c r="AD16" s="339" t="n"/>
      <c r="AE16" s="339" t="n"/>
      <c r="AF16" s="339" t="n"/>
      <c r="AG16" s="339" t="n"/>
      <c r="AH16" s="339" t="n"/>
    </row>
    <row r="17" ht="26.25" customHeight="1" s="1053">
      <c r="A17" s="339" t="inlineStr">
        <is>
          <t>新宝利</t>
        </is>
      </c>
      <c r="B17" s="339" t="inlineStr">
        <is>
          <t>三期</t>
        </is>
      </c>
      <c r="C17" s="339" t="n">
        <v>5111035</v>
      </c>
      <c r="D17" s="339" t="inlineStr">
        <is>
          <t>15:50-18:00</t>
        </is>
      </c>
      <c r="E17" s="339" t="inlineStr">
        <is>
          <t>启能班</t>
        </is>
      </c>
      <c r="F17" s="339" t="inlineStr">
        <is>
          <t>张垲承</t>
        </is>
      </c>
      <c r="G17" s="339" t="inlineStr">
        <is>
          <t>何咏04</t>
        </is>
      </c>
      <c r="H17" s="339" t="inlineStr">
        <is>
          <t>李润</t>
        </is>
      </c>
      <c r="I17" s="339" t="inlineStr">
        <is>
          <t>肖锐03</t>
        </is>
      </c>
      <c r="J17" s="339" t="inlineStr">
        <is>
          <t>张敏烨</t>
        </is>
      </c>
      <c r="K17" s="421" t="inlineStr">
        <is>
          <t>荔湾</t>
        </is>
      </c>
      <c r="L17" s="421" t="n"/>
      <c r="M17" s="421" t="inlineStr">
        <is>
          <t>一般自觉</t>
        </is>
      </c>
      <c r="N17" s="709" t="inlineStr">
        <is>
          <t>易错点薄弱
知识点了解不错</t>
        </is>
      </c>
      <c r="O17" s="710" t="inlineStr">
        <is>
          <t>外向
线上作业帮</t>
        </is>
      </c>
      <c r="P17" s="421" t="inlineStr">
        <is>
          <t>中上，85-95</t>
        </is>
      </c>
      <c r="Q17" s="339" t="n"/>
      <c r="R17" s="339" t="n"/>
      <c r="S17" s="339" t="n"/>
      <c r="T17" s="339" t="inlineStr">
        <is>
          <t>是</t>
        </is>
      </c>
      <c r="U17" s="339" t="inlineStr">
        <is>
          <t>是</t>
        </is>
      </c>
      <c r="V17" s="339" t="n"/>
      <c r="W17" s="339" t="n"/>
      <c r="X17" s="339" t="n"/>
      <c r="Y17" s="339" t="n"/>
      <c r="Z17" s="339" t="n"/>
      <c r="AA17" s="339" t="n"/>
      <c r="AB17" s="339" t="n"/>
      <c r="AC17" s="339" t="n"/>
      <c r="AD17" s="339" t="n"/>
      <c r="AE17" s="339" t="n"/>
      <c r="AF17" s="339" t="n"/>
      <c r="AG17" s="339" t="n"/>
      <c r="AH17" s="339" t="n"/>
    </row>
    <row r="18" ht="26.25" customHeight="1" s="1053">
      <c r="A18" s="339" t="inlineStr">
        <is>
          <t>新宝利</t>
        </is>
      </c>
      <c r="B18" s="339" t="inlineStr">
        <is>
          <t>三期</t>
        </is>
      </c>
      <c r="C18" s="339" t="n">
        <v>5111035</v>
      </c>
      <c r="D18" s="339" t="inlineStr">
        <is>
          <t>15:50-18:00</t>
        </is>
      </c>
      <c r="E18" s="339" t="inlineStr">
        <is>
          <t>启能班</t>
        </is>
      </c>
      <c r="F18" s="339" t="inlineStr">
        <is>
          <t>李柏贤</t>
        </is>
      </c>
      <c r="G18" s="339" t="inlineStr">
        <is>
          <t>何咏04</t>
        </is>
      </c>
      <c r="H18" s="339" t="inlineStr">
        <is>
          <t>李润</t>
        </is>
      </c>
      <c r="I18" s="339" t="inlineStr">
        <is>
          <t>肖锐03</t>
        </is>
      </c>
      <c r="J18" s="339" t="inlineStr">
        <is>
          <t>杨林33</t>
        </is>
      </c>
      <c r="K18" s="421" t="inlineStr">
        <is>
          <t>小北路小学</t>
        </is>
      </c>
      <c r="L18" s="421" t="n"/>
      <c r="M18" s="421" t="inlineStr">
        <is>
          <t>提问自主性差</t>
        </is>
      </c>
      <c r="N18" s="421" t="inlineStr">
        <is>
          <t>计算差（家长重视计算）</t>
        </is>
      </c>
      <c r="O18" s="711" t="inlineStr">
        <is>
          <t>课后联系
线下单独聊过</t>
        </is>
      </c>
      <c r="P18" s="339" t="n">
        <v>86</v>
      </c>
      <c r="Q18" s="339" t="n"/>
      <c r="R18" s="339" t="n"/>
      <c r="S18" s="339" t="n"/>
      <c r="T18" s="339" t="inlineStr">
        <is>
          <t>是</t>
        </is>
      </c>
      <c r="U18" s="339" t="inlineStr">
        <is>
          <t>是</t>
        </is>
      </c>
      <c r="V18" s="339" t="n"/>
      <c r="W18" s="339" t="n"/>
      <c r="X18" s="339" t="n"/>
      <c r="Y18" s="339" t="n"/>
      <c r="Z18" s="339" t="n"/>
      <c r="AA18" s="339" t="n"/>
      <c r="AB18" s="339" t="n"/>
      <c r="AC18" s="339" t="n"/>
      <c r="AD18" s="339" t="n"/>
      <c r="AE18" s="339" t="n"/>
      <c r="AF18" s="339" t="n"/>
      <c r="AG18" s="339" t="n"/>
      <c r="AH18" s="339" t="n"/>
    </row>
    <row r="19" ht="26.25" customHeight="1" s="1053">
      <c r="A19" s="339" t="inlineStr">
        <is>
          <t>新宝利</t>
        </is>
      </c>
      <c r="B19" s="339" t="inlineStr">
        <is>
          <t>三期</t>
        </is>
      </c>
      <c r="C19" s="339" t="n">
        <v>5111035</v>
      </c>
      <c r="D19" s="339" t="inlineStr">
        <is>
          <t>15:50-18:00</t>
        </is>
      </c>
      <c r="E19" s="339" t="inlineStr">
        <is>
          <t>启能班</t>
        </is>
      </c>
      <c r="F19" s="339" t="inlineStr">
        <is>
          <t>李梵煊</t>
        </is>
      </c>
      <c r="G19" s="339" t="inlineStr">
        <is>
          <t>何咏04</t>
        </is>
      </c>
      <c r="H19" s="339" t="inlineStr">
        <is>
          <t>李润</t>
        </is>
      </c>
      <c r="I19" s="339" t="inlineStr">
        <is>
          <t>肖锐03</t>
        </is>
      </c>
      <c r="J19" s="339" t="inlineStr">
        <is>
          <t>杨林33</t>
        </is>
      </c>
      <c r="K19" s="339" t="inlineStr">
        <is>
          <t>登峰小学</t>
        </is>
      </c>
      <c r="L19" s="712" t="inlineStr">
        <is>
          <t>摇号等结果
明德七星票</t>
        </is>
      </c>
      <c r="M19" s="420" t="inlineStr">
        <is>
          <t>看孩子喜欢和效果</t>
        </is>
      </c>
      <c r="N19" s="421" t="inlineStr">
        <is>
          <t>小初衔接</t>
        </is>
      </c>
      <c r="O19" s="713" t="inlineStr">
        <is>
          <t>京誉：一对一（冲MK）
微信联系失败
课后联系</t>
        </is>
      </c>
      <c r="P19" s="339" t="n">
        <v>85</v>
      </c>
      <c r="Q19" s="339" t="n"/>
      <c r="R19" s="339" t="n"/>
      <c r="S19" s="339" t="n"/>
      <c r="T19" s="339" t="inlineStr">
        <is>
          <t>是</t>
        </is>
      </c>
      <c r="U19" s="339" t="inlineStr">
        <is>
          <t>是</t>
        </is>
      </c>
      <c r="V19" s="339" t="n"/>
      <c r="W19" s="339" t="n"/>
      <c r="X19" s="339" t="n"/>
      <c r="Y19" s="339" t="n"/>
      <c r="Z19" s="339" t="n"/>
      <c r="AA19" s="339" t="n"/>
      <c r="AB19" s="339" t="n"/>
      <c r="AC19" s="339" t="n"/>
      <c r="AD19" s="339" t="n"/>
      <c r="AE19" s="339" t="n"/>
      <c r="AF19" s="339" t="n"/>
      <c r="AG19" s="339" t="n"/>
      <c r="AH19" s="339" t="n"/>
    </row>
    <row r="20" ht="26.25" customHeight="1" s="1053">
      <c r="A20" s="339" t="inlineStr">
        <is>
          <t>新宝利</t>
        </is>
      </c>
      <c r="B20" s="339" t="inlineStr">
        <is>
          <t>三期</t>
        </is>
      </c>
      <c r="C20" s="339" t="n">
        <v>5111035</v>
      </c>
      <c r="D20" s="339" t="inlineStr">
        <is>
          <t>15:50-18:00</t>
        </is>
      </c>
      <c r="E20" s="339" t="inlineStr">
        <is>
          <t>启能班</t>
        </is>
      </c>
      <c r="F20" s="339" t="inlineStr">
        <is>
          <t>潘安生</t>
        </is>
      </c>
      <c r="G20" s="339" t="inlineStr">
        <is>
          <t>何咏04</t>
        </is>
      </c>
      <c r="H20" s="339" t="inlineStr">
        <is>
          <t>李润</t>
        </is>
      </c>
      <c r="I20" s="339" t="inlineStr">
        <is>
          <t>肖锐03</t>
        </is>
      </c>
      <c r="J20" s="339" t="inlineStr">
        <is>
          <t>王达04</t>
        </is>
      </c>
      <c r="K20" s="421" t="n"/>
      <c r="L20" s="421" t="inlineStr">
        <is>
          <t>省实越秀</t>
        </is>
      </c>
      <c r="M20" s="421" t="inlineStr">
        <is>
          <t>欠缺拓展</t>
        </is>
      </c>
      <c r="N20" s="421" t="inlineStr">
        <is>
          <t>没做过拓展</t>
        </is>
      </c>
      <c r="O20" s="714" t="inlineStr">
        <is>
          <t>周末两天外出
电话没联系上</t>
        </is>
      </c>
      <c r="P20" s="339" t="inlineStr">
        <is>
          <t>A（90-95）</t>
        </is>
      </c>
      <c r="Q20" s="339" t="n">
        <v>80</v>
      </c>
      <c r="R20" s="339" t="n"/>
      <c r="S20" s="339" t="n"/>
      <c r="T20" s="339" t="inlineStr">
        <is>
          <t>是</t>
        </is>
      </c>
      <c r="U20" s="339" t="inlineStr">
        <is>
          <t>是</t>
        </is>
      </c>
      <c r="V20" s="339" t="n"/>
      <c r="W20" s="339" t="n"/>
      <c r="X20" s="339" t="n"/>
      <c r="Y20" s="339" t="n"/>
      <c r="Z20" s="339" t="n"/>
      <c r="AA20" s="339" t="n"/>
      <c r="AB20" s="339" t="n"/>
      <c r="AC20" s="339" t="n"/>
      <c r="AD20" s="339" t="n"/>
      <c r="AE20" s="339" t="n"/>
      <c r="AF20" s="339" t="n"/>
      <c r="AG20" s="339" t="n"/>
      <c r="AH20" s="339" t="n"/>
    </row>
    <row r="21" ht="26.25" customHeight="1" s="1053">
      <c r="A21" s="339" t="inlineStr">
        <is>
          <t>新宝利</t>
        </is>
      </c>
      <c r="B21" s="339" t="inlineStr">
        <is>
          <t>三期</t>
        </is>
      </c>
      <c r="C21" s="339" t="n">
        <v>5111035</v>
      </c>
      <c r="D21" s="339" t="inlineStr">
        <is>
          <t>15:50-18:00</t>
        </is>
      </c>
      <c r="E21" s="339" t="inlineStr">
        <is>
          <t>启能班</t>
        </is>
      </c>
      <c r="F21" s="339" t="inlineStr">
        <is>
          <t>罗雅茵</t>
        </is>
      </c>
      <c r="G21" s="339" t="inlineStr">
        <is>
          <t>何咏04</t>
        </is>
      </c>
      <c r="H21" s="339" t="inlineStr">
        <is>
          <t>李润</t>
        </is>
      </c>
      <c r="I21" s="339" t="inlineStr">
        <is>
          <t>肖锐03</t>
        </is>
      </c>
      <c r="J21" s="339" t="inlineStr">
        <is>
          <t>林志豪01</t>
        </is>
      </c>
      <c r="K21" s="339" t="inlineStr">
        <is>
          <t>回民小学</t>
        </is>
      </c>
      <c r="L21" s="339" t="inlineStr">
        <is>
          <t>摇号等结果</t>
        </is>
      </c>
      <c r="M21" s="339" t="n"/>
      <c r="N21" s="715" t="inlineStr">
        <is>
          <t>小初衔接过渡；
住在白云区，比较远</t>
        </is>
      </c>
      <c r="O21" s="339" t="n"/>
      <c r="P21" s="339" t="n">
        <v>86</v>
      </c>
      <c r="Q21" s="339" t="n"/>
      <c r="R21" s="339" t="n"/>
      <c r="S21" s="339" t="n"/>
      <c r="T21" s="339" t="inlineStr">
        <is>
          <t>是</t>
        </is>
      </c>
      <c r="U21" s="339" t="inlineStr">
        <is>
          <t>是</t>
        </is>
      </c>
      <c r="V21" s="339" t="n"/>
      <c r="W21" s="339" t="n"/>
      <c r="X21" s="339" t="n"/>
      <c r="Y21" s="339" t="n"/>
      <c r="Z21" s="339" t="n"/>
      <c r="AA21" s="339" t="n"/>
      <c r="AB21" s="339" t="n"/>
      <c r="AC21" s="339" t="n"/>
      <c r="AD21" s="339" t="n"/>
      <c r="AE21" s="339" t="n"/>
      <c r="AF21" s="339" t="n"/>
      <c r="AG21" s="339" t="n"/>
      <c r="AH21" s="339" t="n"/>
    </row>
    <row r="22" ht="26.25" customHeight="1" s="1053">
      <c r="A22" s="340" t="inlineStr">
        <is>
          <t>新宝利</t>
        </is>
      </c>
      <c r="B22" s="340" t="inlineStr">
        <is>
          <t>三期</t>
        </is>
      </c>
      <c r="C22" s="340" t="n">
        <v>5111035</v>
      </c>
      <c r="D22" s="340" t="inlineStr">
        <is>
          <t>15:50-18:00</t>
        </is>
      </c>
      <c r="E22" s="340" t="inlineStr">
        <is>
          <t>启能班</t>
        </is>
      </c>
      <c r="F22" s="445" t="inlineStr">
        <is>
          <t>胡力扬</t>
        </is>
      </c>
      <c r="G22" s="340" t="inlineStr">
        <is>
          <t>何咏04</t>
        </is>
      </c>
      <c r="H22" s="340" t="inlineStr">
        <is>
          <t>李润</t>
        </is>
      </c>
      <c r="I22" s="340" t="inlineStr">
        <is>
          <t>肖锐03</t>
        </is>
      </c>
      <c r="J22" s="340" t="inlineStr">
        <is>
          <t>林志豪01</t>
        </is>
      </c>
      <c r="K22" s="340" t="n"/>
      <c r="L22" s="340" t="inlineStr">
        <is>
          <t>一中姜中宏</t>
        </is>
      </c>
      <c r="M22" s="716" t="inlineStr">
        <is>
          <t>不自觉
不需要监督</t>
        </is>
      </c>
      <c r="N22" s="340" t="inlineStr">
        <is>
          <t>拓展的图形</t>
        </is>
      </c>
      <c r="O22" s="435" t="inlineStr">
        <is>
          <t>有投诉经历，电话无法拨通</t>
        </is>
      </c>
      <c r="P22" s="340" t="inlineStr">
        <is>
          <t>六上100</t>
        </is>
      </c>
      <c r="Q22" s="340" t="n"/>
      <c r="R22" s="340" t="n"/>
      <c r="S22" s="340" t="n"/>
      <c r="T22" s="340" t="inlineStr">
        <is>
          <t>是</t>
        </is>
      </c>
      <c r="U22" s="340" t="inlineStr">
        <is>
          <t>是</t>
        </is>
      </c>
      <c r="V22" s="340" t="n"/>
      <c r="W22" s="340" t="n"/>
      <c r="X22" s="340" t="n"/>
      <c r="Y22" s="340" t="n"/>
      <c r="Z22" s="340" t="n"/>
      <c r="AA22" s="340" t="n"/>
      <c r="AB22" s="340" t="n"/>
      <c r="AC22" s="340" t="n"/>
      <c r="AD22" s="340" t="n"/>
      <c r="AE22" s="340" t="n"/>
      <c r="AF22" s="340" t="n"/>
      <c r="AG22" s="340" t="n"/>
      <c r="AH22" s="340" t="n"/>
    </row>
    <row r="23" ht="26.25" customHeight="1" s="1053">
      <c r="A23" s="339" t="inlineStr">
        <is>
          <t>新宝利</t>
        </is>
      </c>
      <c r="B23" s="339" t="inlineStr">
        <is>
          <t>三期</t>
        </is>
      </c>
      <c r="C23" s="339" t="n">
        <v>5111035</v>
      </c>
      <c r="D23" s="339" t="inlineStr">
        <is>
          <t>15:50-18:00</t>
        </is>
      </c>
      <c r="E23" s="339" t="inlineStr">
        <is>
          <t>启能班</t>
        </is>
      </c>
      <c r="F23" s="339" t="inlineStr">
        <is>
          <t>郑睿雯</t>
        </is>
      </c>
      <c r="G23" s="339" t="inlineStr">
        <is>
          <t>何咏04</t>
        </is>
      </c>
      <c r="H23" s="339" t="inlineStr">
        <is>
          <t>李润</t>
        </is>
      </c>
      <c r="I23" s="339" t="inlineStr">
        <is>
          <t>肖锐03</t>
        </is>
      </c>
      <c r="J23" s="339" t="inlineStr">
        <is>
          <t>龙倩敏</t>
        </is>
      </c>
      <c r="K23" s="339" t="inlineStr">
        <is>
          <t>体育西小学</t>
        </is>
      </c>
      <c r="L23" s="339" t="inlineStr">
        <is>
          <t>天河外国语</t>
        </is>
      </c>
      <c r="M23" s="339" t="n"/>
      <c r="N23" s="339" t="inlineStr">
        <is>
          <t>粗心，集中力不够，计算和思维能力都不行</t>
        </is>
      </c>
      <c r="O23" s="339" t="n"/>
      <c r="P23" s="339" t="inlineStr">
        <is>
          <t>85分以上</t>
        </is>
      </c>
      <c r="Q23" s="339" t="n">
        <v>85</v>
      </c>
      <c r="R23" s="339" t="n"/>
      <c r="S23" s="339" t="n"/>
      <c r="T23" s="339" t="inlineStr">
        <is>
          <t>是</t>
        </is>
      </c>
      <c r="U23" s="339" t="inlineStr">
        <is>
          <t>是</t>
        </is>
      </c>
      <c r="V23" s="339" t="n"/>
      <c r="W23" s="339" t="n"/>
      <c r="X23" s="339" t="n"/>
      <c r="Y23" s="339" t="n"/>
      <c r="Z23" s="339" t="n"/>
      <c r="AA23" s="339" t="n"/>
      <c r="AB23" s="339" t="n"/>
      <c r="AC23" s="339" t="n"/>
      <c r="AD23" s="339" t="n"/>
      <c r="AE23" s="339" t="n"/>
      <c r="AF23" s="339" t="n"/>
      <c r="AG23" s="339" t="n"/>
      <c r="AH23" s="339" t="n"/>
    </row>
    <row r="24" ht="26.25" customHeight="1" s="1053">
      <c r="A24" s="339" t="inlineStr">
        <is>
          <t>新宝利</t>
        </is>
      </c>
      <c r="B24" s="339" t="inlineStr">
        <is>
          <t>三期</t>
        </is>
      </c>
      <c r="C24" s="339" t="n">
        <v>5111035</v>
      </c>
      <c r="D24" s="339" t="inlineStr">
        <is>
          <t>15:50-18:00</t>
        </is>
      </c>
      <c r="E24" s="339" t="inlineStr">
        <is>
          <t>启能班</t>
        </is>
      </c>
      <c r="F24" s="339" t="inlineStr">
        <is>
          <t>钱芮汐</t>
        </is>
      </c>
      <c r="G24" s="339" t="inlineStr">
        <is>
          <t>何咏04</t>
        </is>
      </c>
      <c r="H24" s="339" t="inlineStr">
        <is>
          <t>李润</t>
        </is>
      </c>
      <c r="I24" s="339" t="inlineStr">
        <is>
          <t>肖锐03</t>
        </is>
      </c>
      <c r="J24" s="339" t="inlineStr">
        <is>
          <t>张敏烨</t>
        </is>
      </c>
      <c r="K24" s="421" t="inlineStr">
        <is>
          <t>知用</t>
        </is>
      </c>
      <c r="L24" s="421" t="inlineStr">
        <is>
          <t>知用</t>
        </is>
      </c>
      <c r="M24" s="717" t="inlineStr">
        <is>
          <t>上心
自觉</t>
        </is>
      </c>
      <c r="N24" s="421" t="inlineStr">
        <is>
          <t>粗心，六下圆锥，百分比</t>
        </is>
      </c>
      <c r="O24" s="718" t="inlineStr">
        <is>
          <t>xdf学数学，班课
xdf学过初中了
孩子对课程阈值超级超级高</t>
        </is>
      </c>
      <c r="P24" s="421" t="inlineStr">
        <is>
          <t>A</t>
        </is>
      </c>
      <c r="Q24" s="339" t="n"/>
      <c r="R24" s="339" t="n"/>
      <c r="S24" s="339" t="n"/>
      <c r="T24" s="339" t="inlineStr">
        <is>
          <t>是</t>
        </is>
      </c>
      <c r="U24" s="339" t="inlineStr">
        <is>
          <t>是</t>
        </is>
      </c>
      <c r="V24" s="339" t="n"/>
      <c r="W24" s="339" t="n"/>
      <c r="X24" s="339" t="n"/>
      <c r="Y24" s="339" t="n"/>
      <c r="Z24" s="339" t="n"/>
      <c r="AA24" s="339" t="n"/>
      <c r="AB24" s="339" t="n"/>
      <c r="AC24" s="339" t="n"/>
      <c r="AD24" s="339" t="n"/>
      <c r="AE24" s="339" t="n"/>
      <c r="AF24" s="339" t="n"/>
      <c r="AG24" s="339" t="n"/>
      <c r="AH24" s="339" t="n"/>
    </row>
    <row r="25" ht="26.25" customHeight="1" s="1053">
      <c r="A25" s="339" t="inlineStr">
        <is>
          <t>新宝利</t>
        </is>
      </c>
      <c r="B25" s="339" t="inlineStr">
        <is>
          <t>三期</t>
        </is>
      </c>
      <c r="C25" s="339" t="n">
        <v>5111035</v>
      </c>
      <c r="D25" s="339" t="inlineStr">
        <is>
          <t>15:50-18:00</t>
        </is>
      </c>
      <c r="E25" s="339" t="inlineStr">
        <is>
          <t>启能班</t>
        </is>
      </c>
      <c r="F25" s="339" t="inlineStr">
        <is>
          <t>陈语希</t>
        </is>
      </c>
      <c r="G25" s="339" t="inlineStr">
        <is>
          <t>何咏04</t>
        </is>
      </c>
      <c r="H25" s="339" t="inlineStr">
        <is>
          <t>李润</t>
        </is>
      </c>
      <c r="I25" s="339" t="inlineStr">
        <is>
          <t>肖锐03</t>
        </is>
      </c>
      <c r="J25" s="339" t="inlineStr">
        <is>
          <t>杨林33</t>
        </is>
      </c>
      <c r="K25" s="421" t="inlineStr">
        <is>
          <t>八一希望</t>
        </is>
      </c>
      <c r="L25" s="421" t="inlineStr">
        <is>
          <t>摇号</t>
        </is>
      </c>
      <c r="M25" s="719" t="inlineStr">
        <is>
          <t>做作业不自觉
不检查作业</t>
        </is>
      </c>
      <c r="N25" s="720" t="inlineStr">
        <is>
          <t xml:space="preserve">思维不够，懒惰不爱思考
</t>
        </is>
      </c>
      <c r="O25" s="721" t="inlineStr">
        <is>
          <t>微信联系失败
托管
服务要求多
电话打一半，说忙</t>
        </is>
      </c>
      <c r="P25" s="421" t="inlineStr">
        <is>
          <t>90以上</t>
        </is>
      </c>
      <c r="Q25" s="339" t="n"/>
      <c r="R25" s="339" t="n"/>
      <c r="S25" s="339" t="n"/>
      <c r="T25" s="339" t="inlineStr">
        <is>
          <t>是</t>
        </is>
      </c>
      <c r="U25" s="339" t="inlineStr">
        <is>
          <t>是</t>
        </is>
      </c>
      <c r="V25" s="339" t="n"/>
      <c r="W25" s="339" t="n"/>
      <c r="X25" s="339" t="n"/>
      <c r="Y25" s="339" t="n"/>
      <c r="Z25" s="339" t="n"/>
      <c r="AA25" s="339" t="n"/>
      <c r="AB25" s="339" t="n"/>
      <c r="AC25" s="339" t="n"/>
      <c r="AD25" s="339" t="n"/>
      <c r="AE25" s="339" t="n"/>
      <c r="AF25" s="339" t="n"/>
      <c r="AG25" s="339" t="n"/>
      <c r="AH25" s="339" t="n"/>
    </row>
    <row r="26" ht="26.25" customHeight="1" s="1053">
      <c r="A26" s="339" t="inlineStr">
        <is>
          <t>新宝利</t>
        </is>
      </c>
      <c r="B26" s="339" t="inlineStr">
        <is>
          <t>三期</t>
        </is>
      </c>
      <c r="C26" s="339" t="n">
        <v>5111035</v>
      </c>
      <c r="D26" s="339" t="inlineStr">
        <is>
          <t>15:50-18:00</t>
        </is>
      </c>
      <c r="E26" s="339" t="inlineStr">
        <is>
          <t>启能班</t>
        </is>
      </c>
      <c r="F26" s="339" t="inlineStr">
        <is>
          <t>韦凯晴</t>
        </is>
      </c>
      <c r="G26" s="339" t="inlineStr">
        <is>
          <t>何咏04</t>
        </is>
      </c>
      <c r="H26" s="339" t="inlineStr">
        <is>
          <t>李润</t>
        </is>
      </c>
      <c r="I26" s="339" t="inlineStr">
        <is>
          <t>肖锐03</t>
        </is>
      </c>
      <c r="J26" s="339" t="inlineStr">
        <is>
          <t>杨林33</t>
        </is>
      </c>
      <c r="K26" s="421" t="inlineStr">
        <is>
          <t>海珠中小学</t>
        </is>
      </c>
      <c r="L26" s="421" t="n"/>
      <c r="M26" s="722" t="inlineStr">
        <is>
          <t>自觉
不监督</t>
        </is>
      </c>
      <c r="N26" s="421" t="inlineStr">
        <is>
          <t>易错点薄弱</t>
        </is>
      </c>
      <c r="O26" s="209" t="inlineStr">
        <is>
          <t>直接挂断，拒绝沟通</t>
        </is>
      </c>
      <c r="P26" s="421" t="inlineStr">
        <is>
          <t>B</t>
        </is>
      </c>
      <c r="Q26" s="339" t="n"/>
      <c r="R26" s="339" t="n"/>
      <c r="S26" s="339" t="n"/>
      <c r="T26" s="339" t="inlineStr">
        <is>
          <t>是</t>
        </is>
      </c>
      <c r="U26" s="339" t="inlineStr">
        <is>
          <t>是</t>
        </is>
      </c>
      <c r="V26" s="339" t="n"/>
      <c r="W26" s="339" t="n"/>
      <c r="X26" s="339" t="n"/>
      <c r="Y26" s="339" t="n"/>
      <c r="Z26" s="339" t="n"/>
      <c r="AA26" s="339" t="n"/>
      <c r="AB26" s="339" t="n"/>
      <c r="AC26" s="339" t="n"/>
      <c r="AD26" s="339" t="n"/>
      <c r="AE26" s="339" t="n"/>
      <c r="AF26" s="339" t="n"/>
      <c r="AG26" s="339" t="n"/>
      <c r="AH26" s="339" t="n"/>
    </row>
    <row r="27" ht="26.25" customHeight="1" s="1053">
      <c r="A27" s="339" t="inlineStr">
        <is>
          <t>新宝利</t>
        </is>
      </c>
      <c r="B27" s="339" t="inlineStr">
        <is>
          <t>三期</t>
        </is>
      </c>
      <c r="C27" s="339" t="n">
        <v>5111035</v>
      </c>
      <c r="D27" s="339" t="inlineStr">
        <is>
          <t>15:50-18:00</t>
        </is>
      </c>
      <c r="E27" s="339" t="inlineStr">
        <is>
          <t>启能班</t>
        </is>
      </c>
      <c r="F27" s="339" t="inlineStr">
        <is>
          <t>顾玉瑶</t>
        </is>
      </c>
      <c r="G27" s="339" t="inlineStr">
        <is>
          <t>何咏04</t>
        </is>
      </c>
      <c r="H27" s="339" t="inlineStr">
        <is>
          <t>李润</t>
        </is>
      </c>
      <c r="I27" s="339" t="inlineStr">
        <is>
          <t>肖锐03</t>
        </is>
      </c>
      <c r="J27" s="339" t="inlineStr">
        <is>
          <t>张敏烨</t>
        </is>
      </c>
      <c r="K27" s="339" t="inlineStr">
        <is>
          <t>回民小学</t>
        </is>
      </c>
      <c r="L27" s="723" t="inlineStr">
        <is>
          <t>摇号等结果
名德八星票</t>
        </is>
      </c>
      <c r="M27" s="339" t="n"/>
      <c r="N27" s="339" t="inlineStr">
        <is>
          <t>小初衔接/分班测</t>
        </is>
      </c>
      <c r="O27" s="724" t="inlineStr">
        <is>
          <t>"一对五
200元/节"
"和白锦泽，罗雅茵一起的
住白云，有点儿远"</t>
        </is>
      </c>
      <c r="P27" s="420" t="inlineStr">
        <is>
          <t>数学：95左右</t>
        </is>
      </c>
      <c r="Q27" s="339" t="n">
        <v>95</v>
      </c>
      <c r="R27" s="339" t="n"/>
      <c r="S27" s="339" t="n"/>
      <c r="T27" s="339" t="inlineStr">
        <is>
          <t>是</t>
        </is>
      </c>
      <c r="U27" s="339" t="inlineStr">
        <is>
          <t>是</t>
        </is>
      </c>
      <c r="V27" s="339" t="n"/>
      <c r="W27" s="339" t="n"/>
      <c r="X27" s="339" t="n"/>
      <c r="Y27" s="339" t="n"/>
      <c r="Z27" s="339" t="n"/>
      <c r="AA27" s="339" t="n"/>
      <c r="AB27" s="339" t="n"/>
      <c r="AC27" s="339" t="n"/>
      <c r="AD27" s="339" t="n"/>
      <c r="AE27" s="339" t="n"/>
      <c r="AF27" s="339" t="n"/>
      <c r="AG27" s="339" t="n"/>
      <c r="AH27" s="339" t="n"/>
    </row>
    <row r="28" ht="26.25" customHeight="1" s="1053">
      <c r="A28" s="339" t="inlineStr">
        <is>
          <t>新宝利</t>
        </is>
      </c>
      <c r="B28" s="339" t="inlineStr">
        <is>
          <t>三期</t>
        </is>
      </c>
      <c r="C28" s="339" t="n">
        <v>5111035</v>
      </c>
      <c r="D28" s="339" t="inlineStr">
        <is>
          <t>15:50-18:00</t>
        </is>
      </c>
      <c r="E28" s="339" t="inlineStr">
        <is>
          <t>启能班</t>
        </is>
      </c>
      <c r="F28" s="339" t="inlineStr">
        <is>
          <t>马宇成</t>
        </is>
      </c>
      <c r="G28" s="339" t="inlineStr">
        <is>
          <t>何咏04</t>
        </is>
      </c>
      <c r="H28" s="339" t="inlineStr">
        <is>
          <t>李润</t>
        </is>
      </c>
      <c r="I28" s="339" t="inlineStr">
        <is>
          <t>肖锐03</t>
        </is>
      </c>
      <c r="J28" s="339" t="inlineStr">
        <is>
          <t>杨林33</t>
        </is>
      </c>
      <c r="K28" s="420" t="inlineStr">
        <is>
          <t>数学：95左右</t>
        </is>
      </c>
      <c r="L28" s="420" t="inlineStr">
        <is>
          <t>数学：95左右</t>
        </is>
      </c>
      <c r="M28" s="725" t="inlineStr">
        <is>
          <t>校内作业完成积极
不监督学习</t>
        </is>
      </c>
      <c r="N28" s="726" t="inlineStr">
        <is>
          <t>计算运算技巧薄弱，圆柱圆锥差
衔接</t>
        </is>
      </c>
      <c r="O28" s="727" t="inlineStr">
        <is>
          <t>关浩言转介绍
课后联系
没联系上</t>
        </is>
      </c>
      <c r="P28" s="339" t="n"/>
      <c r="Q28" s="339" t="n">
        <v>84</v>
      </c>
      <c r="R28" s="339" t="n"/>
      <c r="S28" s="339" t="n"/>
      <c r="T28" s="339" t="inlineStr">
        <is>
          <t>是</t>
        </is>
      </c>
      <c r="U28" s="339" t="inlineStr">
        <is>
          <t>是</t>
        </is>
      </c>
      <c r="V28" s="339" t="n"/>
      <c r="W28" s="339" t="n"/>
      <c r="X28" s="339" t="n"/>
      <c r="Y28" s="339" t="n"/>
      <c r="Z28" s="339" t="n"/>
      <c r="AA28" s="339" t="n"/>
      <c r="AB28" s="339" t="n"/>
      <c r="AC28" s="339" t="n"/>
      <c r="AD28" s="339" t="n"/>
      <c r="AE28" s="339" t="n"/>
      <c r="AF28" s="339" t="n"/>
      <c r="AG28" s="339" t="n"/>
      <c r="AH28" s="339" t="n"/>
    </row>
    <row r="29" ht="26.25" customHeight="1" s="1053">
      <c r="A29" s="339" t="inlineStr">
        <is>
          <t>新宝利</t>
        </is>
      </c>
      <c r="B29" s="339" t="inlineStr">
        <is>
          <t>三期</t>
        </is>
      </c>
      <c r="C29" s="339" t="n">
        <v>5111035</v>
      </c>
      <c r="D29" s="339" t="inlineStr">
        <is>
          <t>15:50-18:00</t>
        </is>
      </c>
      <c r="E29" s="339" t="inlineStr">
        <is>
          <t>启能班</t>
        </is>
      </c>
      <c r="F29" s="339" t="inlineStr">
        <is>
          <t>马悦雯</t>
        </is>
      </c>
      <c r="G29" s="339" t="inlineStr">
        <is>
          <t>何咏04</t>
        </is>
      </c>
      <c r="H29" s="339" t="inlineStr">
        <is>
          <t>李润</t>
        </is>
      </c>
      <c r="I29" s="339" t="inlineStr">
        <is>
          <t>肖锐03</t>
        </is>
      </c>
      <c r="J29" s="339" t="inlineStr">
        <is>
          <t>张敏烨</t>
        </is>
      </c>
      <c r="K29" s="421" t="inlineStr">
        <is>
          <t>知用</t>
        </is>
      </c>
      <c r="L29" s="421" t="inlineStr">
        <is>
          <t>直升</t>
        </is>
      </c>
      <c r="M29" s="421" t="inlineStr">
        <is>
          <t>作业都做完</t>
        </is>
      </c>
      <c r="N29" s="421" t="inlineStr">
        <is>
          <t>多关注，家里老人带</t>
        </is>
      </c>
      <c r="O29" s="728" t="inlineStr">
        <is>
          <t>托管
一般内向</t>
        </is>
      </c>
      <c r="P29" s="421" t="inlineStr">
        <is>
          <t>A</t>
        </is>
      </c>
      <c r="Q29" s="339" t="n"/>
      <c r="R29" s="339" t="n"/>
      <c r="S29" s="339" t="n"/>
      <c r="T29" s="339" t="inlineStr">
        <is>
          <t>是</t>
        </is>
      </c>
      <c r="U29" s="339" t="inlineStr">
        <is>
          <t>是</t>
        </is>
      </c>
      <c r="V29" s="339" t="n"/>
      <c r="W29" s="339" t="n"/>
      <c r="X29" s="339" t="n"/>
      <c r="Y29" s="339" t="n"/>
      <c r="Z29" s="339" t="n"/>
      <c r="AA29" s="339" t="n"/>
      <c r="AB29" s="339" t="n"/>
      <c r="AC29" s="339" t="n"/>
      <c r="AD29" s="339" t="n"/>
      <c r="AE29" s="339" t="n"/>
      <c r="AF29" s="339" t="n"/>
      <c r="AG29" s="339" t="n"/>
      <c r="AH29" s="339" t="n"/>
    </row>
    <row r="30" ht="26.25" customHeight="1" s="1053">
      <c r="A30" s="339" t="inlineStr">
        <is>
          <t>新宝利</t>
        </is>
      </c>
      <c r="B30" s="339" t="inlineStr">
        <is>
          <t>三期</t>
        </is>
      </c>
      <c r="C30" s="339" t="n">
        <v>5111035</v>
      </c>
      <c r="D30" s="339" t="inlineStr">
        <is>
          <t>15:50-18:00</t>
        </is>
      </c>
      <c r="E30" s="339" t="inlineStr">
        <is>
          <t>启能班</t>
        </is>
      </c>
      <c r="F30" s="339" t="inlineStr">
        <is>
          <t>黄俊熙</t>
        </is>
      </c>
      <c r="G30" s="339" t="inlineStr">
        <is>
          <t>何咏04</t>
        </is>
      </c>
      <c r="H30" s="339" t="inlineStr">
        <is>
          <t>李润</t>
        </is>
      </c>
      <c r="I30" s="339" t="inlineStr">
        <is>
          <t>肖锐03</t>
        </is>
      </c>
      <c r="J30" s="339" t="inlineStr">
        <is>
          <t>张敏烨</t>
        </is>
      </c>
      <c r="K30" s="339" t="inlineStr">
        <is>
          <t>回民小学</t>
        </is>
      </c>
      <c r="L30" s="339" t="inlineStr">
        <is>
          <t>摇号等结果</t>
        </is>
      </c>
      <c r="M30" s="339" t="n"/>
      <c r="N30" s="339" t="inlineStr">
        <is>
          <t>小升初过渡</t>
        </is>
      </c>
      <c r="O30" s="729" t="inlineStr">
        <is>
          <t>没上过机构
没拓展，认识千惠</t>
        </is>
      </c>
      <c r="P30" s="446" t="inlineStr">
        <is>
          <t>校内接近满分</t>
        </is>
      </c>
      <c r="Q30" s="339" t="n">
        <v>95</v>
      </c>
      <c r="R30" s="339" t="n"/>
      <c r="S30" s="339" t="n"/>
      <c r="T30" s="339" t="inlineStr">
        <is>
          <t>是</t>
        </is>
      </c>
      <c r="U30" s="339" t="inlineStr">
        <is>
          <t>是</t>
        </is>
      </c>
      <c r="V30" s="339" t="n"/>
      <c r="W30" s="339" t="n"/>
      <c r="X30" s="339" t="n"/>
      <c r="Y30" s="339" t="n"/>
      <c r="Z30" s="339" t="n"/>
      <c r="AA30" s="339" t="n"/>
      <c r="AB30" s="339" t="n"/>
      <c r="AC30" s="339" t="n"/>
      <c r="AD30" s="339" t="n"/>
      <c r="AE30" s="339" t="n"/>
      <c r="AF30" s="339" t="n"/>
      <c r="AG30" s="339" t="n"/>
      <c r="AH30" s="339" t="n"/>
    </row>
    <row r="31" ht="26.25" customHeight="1" s="1053">
      <c r="A31" s="339" t="inlineStr">
        <is>
          <t>新宝利</t>
        </is>
      </c>
      <c r="B31" s="339" t="inlineStr">
        <is>
          <t>三期</t>
        </is>
      </c>
      <c r="C31" s="339" t="n">
        <v>5111035</v>
      </c>
      <c r="D31" s="339" t="inlineStr">
        <is>
          <t>15:50-18:00</t>
        </is>
      </c>
      <c r="E31" s="339" t="inlineStr">
        <is>
          <t>启能班</t>
        </is>
      </c>
      <c r="F31" s="339" t="inlineStr">
        <is>
          <t>黄天朗</t>
        </is>
      </c>
      <c r="G31" s="339" t="inlineStr">
        <is>
          <t>何咏04</t>
        </is>
      </c>
      <c r="H31" s="339" t="inlineStr">
        <is>
          <t>李润</t>
        </is>
      </c>
      <c r="I31" s="339" t="inlineStr">
        <is>
          <t>肖锐03</t>
        </is>
      </c>
      <c r="J31" s="339" t="inlineStr">
        <is>
          <t>张敏烨</t>
        </is>
      </c>
      <c r="K31" s="339" t="n"/>
      <c r="L31" s="339" t="n"/>
      <c r="M31" s="339" t="n"/>
      <c r="N31" s="339" t="n"/>
      <c r="O31" s="730" t="inlineStr">
        <is>
          <t>邀约拒绝
三次邀约全部拒绝</t>
        </is>
      </c>
      <c r="P31" s="339" t="n">
        <v>64</v>
      </c>
      <c r="Q31" s="339" t="n"/>
      <c r="R31" s="339" t="n"/>
      <c r="S31" s="339" t="n"/>
      <c r="T31" s="339" t="inlineStr">
        <is>
          <t>是</t>
        </is>
      </c>
      <c r="U31" s="339" t="inlineStr">
        <is>
          <t>是</t>
        </is>
      </c>
      <c r="V31" s="339" t="n"/>
      <c r="W31" s="339" t="n"/>
      <c r="X31" s="339" t="n"/>
      <c r="Y31" s="339" t="n"/>
      <c r="Z31" s="339" t="n"/>
      <c r="AA31" s="339" t="n"/>
      <c r="AB31" s="339" t="n"/>
      <c r="AC31" s="339" t="n"/>
      <c r="AD31" s="339" t="n"/>
      <c r="AE31" s="339" t="n"/>
      <c r="AF31" s="339" t="n"/>
      <c r="AG31" s="339" t="n"/>
      <c r="AH31" s="339" t="n"/>
    </row>
    <row r="32" ht="26.25" customHeight="1" s="1053">
      <c r="A32" s="339" t="inlineStr">
        <is>
          <t>新宝利</t>
        </is>
      </c>
      <c r="B32" s="339" t="inlineStr">
        <is>
          <t>三期</t>
        </is>
      </c>
      <c r="C32" s="339" t="n">
        <v>5111035</v>
      </c>
      <c r="D32" s="339" t="inlineStr">
        <is>
          <t>15:50-18:00</t>
        </is>
      </c>
      <c r="E32" s="339" t="inlineStr">
        <is>
          <t>启能班</t>
        </is>
      </c>
      <c r="F32" s="339" t="inlineStr">
        <is>
          <t>黄彦超</t>
        </is>
      </c>
      <c r="G32" s="339" t="inlineStr">
        <is>
          <t>何咏04</t>
        </is>
      </c>
      <c r="H32" s="339" t="inlineStr">
        <is>
          <t>李润</t>
        </is>
      </c>
      <c r="I32" s="339" t="inlineStr">
        <is>
          <t>肖锐03</t>
        </is>
      </c>
      <c r="J32" s="339" t="inlineStr">
        <is>
          <t>张敏烨</t>
        </is>
      </c>
      <c r="K32" s="421" t="inlineStr">
        <is>
          <t>八一希望</t>
        </is>
      </c>
      <c r="L32" s="421" t="inlineStr">
        <is>
          <t>真光</t>
        </is>
      </c>
      <c r="M32" s="731" t="inlineStr">
        <is>
          <t>学校就能做完
上心</t>
        </is>
      </c>
      <c r="N32" s="732" t="inlineStr">
        <is>
          <t>字写得丑，解题快，没仔细读题
介绍了课程安排</t>
        </is>
      </c>
      <c r="O32" s="733" t="inlineStr">
        <is>
          <t>六年级下学期1v1
德普小机构mk
换机构是为了分数稳住高
和两位同学一起来的</t>
        </is>
      </c>
      <c r="P32" s="421" t="inlineStr">
        <is>
          <t>95分</t>
        </is>
      </c>
      <c r="Q32" s="339" t="n"/>
      <c r="R32" s="339" t="n"/>
      <c r="S32" s="339" t="n"/>
      <c r="T32" s="339" t="inlineStr">
        <is>
          <t>是</t>
        </is>
      </c>
      <c r="U32" s="339" t="inlineStr">
        <is>
          <t>是</t>
        </is>
      </c>
      <c r="V32" s="339" t="n"/>
      <c r="W32" s="339" t="n"/>
      <c r="X32" s="339" t="n"/>
      <c r="Y32" s="339" t="n"/>
      <c r="Z32" s="339" t="n"/>
      <c r="AA32" s="339" t="n"/>
      <c r="AB32" s="339" t="n"/>
      <c r="AC32" s="339" t="n"/>
      <c r="AD32" s="339" t="n"/>
      <c r="AE32" s="339" t="n"/>
      <c r="AF32" s="339" t="n"/>
      <c r="AG32" s="339" t="n"/>
      <c r="AH32" s="339" t="n"/>
    </row>
    <row r="33" ht="26.25" customHeight="1" s="1053">
      <c r="A33" s="339" t="inlineStr">
        <is>
          <t>新宝利</t>
        </is>
      </c>
      <c r="B33" s="339" t="inlineStr">
        <is>
          <t>三期</t>
        </is>
      </c>
      <c r="C33" s="339" t="n">
        <v>5111035</v>
      </c>
      <c r="D33" s="339" t="inlineStr">
        <is>
          <t>15:50-18:00</t>
        </is>
      </c>
      <c r="E33" s="339" t="inlineStr">
        <is>
          <t>启能班</t>
        </is>
      </c>
      <c r="F33" s="339" t="inlineStr">
        <is>
          <t>黄钰淇</t>
        </is>
      </c>
      <c r="G33" s="339" t="inlineStr">
        <is>
          <t>何咏04</t>
        </is>
      </c>
      <c r="H33" s="339" t="inlineStr">
        <is>
          <t>李润</t>
        </is>
      </c>
      <c r="I33" s="339" t="inlineStr">
        <is>
          <t>肖锐03</t>
        </is>
      </c>
      <c r="J33" s="339" t="inlineStr">
        <is>
          <t>张敏烨</t>
        </is>
      </c>
      <c r="K33" s="421" t="inlineStr">
        <is>
          <t>知用</t>
        </is>
      </c>
      <c r="L33" s="421" t="inlineStr">
        <is>
          <t>直升</t>
        </is>
      </c>
      <c r="M33" s="421" t="inlineStr">
        <is>
          <t>自觉，不做拓展</t>
        </is>
      </c>
      <c r="N33" s="421" t="inlineStr">
        <is>
          <t>拓展，解决计算问题</t>
        </is>
      </c>
      <c r="O33" s="209" t="inlineStr">
        <is>
          <t>电话没接通，微信上沟通</t>
        </is>
      </c>
      <c r="P33" s="34" t="inlineStr">
        <is>
          <t>90+，最近期末考A</t>
        </is>
      </c>
      <c r="Q33" s="339" t="n"/>
      <c r="R33" s="339" t="n"/>
      <c r="S33" s="339" t="n"/>
      <c r="T33" s="339" t="inlineStr">
        <is>
          <t>是</t>
        </is>
      </c>
      <c r="U33" s="339" t="inlineStr">
        <is>
          <t>是</t>
        </is>
      </c>
      <c r="V33" s="339" t="n"/>
      <c r="W33" s="339" t="n"/>
      <c r="X33" s="339" t="n"/>
      <c r="Y33" s="339" t="n"/>
      <c r="Z33" s="339" t="n"/>
      <c r="AA33" s="339" t="n"/>
      <c r="AB33" s="339" t="n"/>
      <c r="AC33" s="339" t="n"/>
      <c r="AD33" s="339" t="n"/>
      <c r="AE33" s="339" t="n"/>
      <c r="AF33" s="339" t="n"/>
      <c r="AG33" s="339" t="n"/>
      <c r="AH33" s="339" t="n"/>
    </row>
    <row r="34" ht="26.25" customHeight="1" s="1053">
      <c r="A34" s="339" t="inlineStr">
        <is>
          <t>新宝利</t>
        </is>
      </c>
      <c r="B34" s="339" t="inlineStr">
        <is>
          <t>三期</t>
        </is>
      </c>
      <c r="C34" s="339" t="n">
        <v>5111035</v>
      </c>
      <c r="D34" s="339" t="inlineStr">
        <is>
          <t>15:50-18:00</t>
        </is>
      </c>
      <c r="E34" s="339" t="inlineStr">
        <is>
          <t>启能班</t>
        </is>
      </c>
      <c r="F34" s="339" t="inlineStr">
        <is>
          <t>黎睿蓓</t>
        </is>
      </c>
      <c r="G34" s="339" t="inlineStr">
        <is>
          <t>何咏04</t>
        </is>
      </c>
      <c r="H34" s="339" t="inlineStr">
        <is>
          <t>李润</t>
        </is>
      </c>
      <c r="I34" s="339" t="inlineStr">
        <is>
          <t>肖锐03</t>
        </is>
      </c>
      <c r="J34" s="339" t="inlineStr">
        <is>
          <t>张敏烨</t>
        </is>
      </c>
      <c r="K34" s="421" t="inlineStr">
        <is>
          <t>知用</t>
        </is>
      </c>
      <c r="L34" s="421" t="inlineStr">
        <is>
          <t>直升</t>
        </is>
      </c>
      <c r="M34" s="734" t="inlineStr">
        <is>
          <t>一般
会监督</t>
        </is>
      </c>
      <c r="N34" s="735" t="inlineStr">
        <is>
          <t>文字多应用题弱
小升初衔接</t>
        </is>
      </c>
      <c r="O34" s="736" t="inlineStr">
        <is>
          <t>希望练习一些
卓越和学而思，跟不上</t>
        </is>
      </c>
      <c r="P34" s="421" t="inlineStr">
        <is>
          <t>A</t>
        </is>
      </c>
      <c r="Q34" s="339" t="n"/>
      <c r="R34" s="339" t="n"/>
      <c r="S34" s="339" t="n"/>
      <c r="T34" s="339" t="inlineStr">
        <is>
          <t>是</t>
        </is>
      </c>
      <c r="U34" s="339" t="inlineStr">
        <is>
          <t>是</t>
        </is>
      </c>
      <c r="V34" s="339" t="n"/>
      <c r="W34" s="339" t="n"/>
      <c r="X34" s="339" t="n"/>
      <c r="Y34" s="339" t="n"/>
      <c r="Z34" s="339" t="n"/>
      <c r="AA34" s="339" t="n"/>
      <c r="AB34" s="339" t="n"/>
      <c r="AC34" s="339" t="n"/>
      <c r="AD34" s="339" t="n"/>
      <c r="AE34" s="339" t="n"/>
      <c r="AF34" s="339" t="n"/>
      <c r="AG34" s="339" t="n"/>
      <c r="AH34" s="339" t="n"/>
    </row>
    <row r="35" ht="26.25" customHeight="1" s="1053">
      <c r="A35" s="339" t="inlineStr">
        <is>
          <t>新宝利</t>
        </is>
      </c>
      <c r="B35" s="339" t="inlineStr">
        <is>
          <t>一期</t>
        </is>
      </c>
      <c r="C35" s="339" t="n">
        <v>5230732</v>
      </c>
      <c r="D35" s="339" t="inlineStr">
        <is>
          <t>10:30-12:40</t>
        </is>
      </c>
      <c r="E35" s="339" t="inlineStr">
        <is>
          <t>启能班</t>
        </is>
      </c>
      <c r="F35" s="339" t="inlineStr">
        <is>
          <t>冯芊诺</t>
        </is>
      </c>
      <c r="G35" s="339" t="inlineStr">
        <is>
          <t>何咏04</t>
        </is>
      </c>
      <c r="H35" s="339" t="inlineStr">
        <is>
          <t>李润</t>
        </is>
      </c>
      <c r="I35" s="339" t="inlineStr">
        <is>
          <t>肖锐03</t>
        </is>
      </c>
      <c r="J35" s="339" t="inlineStr">
        <is>
          <t>林志豪01</t>
        </is>
      </c>
      <c r="K35" s="339" t="n"/>
      <c r="L35" s="339" t="n"/>
      <c r="M35" s="339" t="n"/>
      <c r="N35" s="339" t="inlineStr">
        <is>
          <t>薅羊毛</t>
        </is>
      </c>
      <c r="O35" s="737" t="inlineStr">
        <is>
          <t>换手机号、换UID报名，原新宝利首批特惠学员，未转化。原UID：2572060809
"薅羊毛
打电话，忙"
微信不回复</t>
        </is>
      </c>
      <c r="P35" s="339" t="n"/>
      <c r="Q35" s="339" t="n">
        <v>100</v>
      </c>
      <c r="R35" s="339" t="n"/>
      <c r="S35" s="339" t="n"/>
      <c r="T35" s="339" t="inlineStr">
        <is>
          <t>是</t>
        </is>
      </c>
      <c r="U35" s="339" t="inlineStr">
        <is>
          <t>是</t>
        </is>
      </c>
      <c r="V35" s="339" t="n"/>
      <c r="W35" s="339" t="n"/>
      <c r="X35" s="339" t="n"/>
      <c r="Y35" s="339" t="n"/>
      <c r="Z35" s="339" t="n"/>
      <c r="AA35" s="339" t="n"/>
      <c r="AB35" s="339" t="n"/>
      <c r="AC35" s="339" t="n"/>
      <c r="AD35" s="339" t="n"/>
      <c r="AE35" s="339" t="n"/>
      <c r="AF35" s="339" t="n"/>
      <c r="AG35" s="339" t="n"/>
      <c r="AH35" s="339" t="n"/>
    </row>
    <row r="36" ht="26.25" customHeight="1" s="1053">
      <c r="A36" s="339" t="inlineStr">
        <is>
          <t>新宝利</t>
        </is>
      </c>
      <c r="B36" s="339" t="inlineStr">
        <is>
          <t>一期</t>
        </is>
      </c>
      <c r="C36" s="339" t="n">
        <v>5230732</v>
      </c>
      <c r="D36" s="339" t="inlineStr">
        <is>
          <t>10:30-12:40</t>
        </is>
      </c>
      <c r="E36" s="339" t="inlineStr">
        <is>
          <t>启能班</t>
        </is>
      </c>
      <c r="F36" s="339" t="inlineStr">
        <is>
          <t>刘达谦</t>
        </is>
      </c>
      <c r="G36" s="339" t="inlineStr">
        <is>
          <t>何咏04</t>
        </is>
      </c>
      <c r="H36" s="339" t="inlineStr">
        <is>
          <t>李润</t>
        </is>
      </c>
      <c r="I36" s="339" t="inlineStr">
        <is>
          <t>肖锐03</t>
        </is>
      </c>
      <c r="J36" s="339" t="inlineStr">
        <is>
          <t>杨林33</t>
        </is>
      </c>
      <c r="K36" s="404" t="inlineStr">
        <is>
          <t>秉正小学</t>
        </is>
      </c>
      <c r="L36" s="404" t="inlineStr">
        <is>
          <t>摇号</t>
        </is>
      </c>
      <c r="M36" s="738" t="inlineStr">
        <is>
          <t>不监督
自觉</t>
        </is>
      </c>
      <c r="N36" s="404" t="inlineStr">
        <is>
          <t>初中衔接</t>
        </is>
      </c>
      <c r="O36" s="739" t="inlineStr">
        <is>
          <t>xdf一直上
三次联系才联系上，家长沟通意愿不强
免费课程比较心动</t>
        </is>
      </c>
      <c r="P36" s="404" t="inlineStr">
        <is>
          <t>90分</t>
        </is>
      </c>
      <c r="Q36" s="339" t="n"/>
      <c r="R36" s="339" t="n"/>
      <c r="S36" s="339" t="n"/>
      <c r="T36" s="339" t="inlineStr">
        <is>
          <t>是</t>
        </is>
      </c>
      <c r="U36" s="339" t="inlineStr">
        <is>
          <t>是</t>
        </is>
      </c>
      <c r="V36" s="339" t="n"/>
      <c r="W36" s="339" t="n"/>
      <c r="X36" s="339" t="n"/>
      <c r="Y36" s="339" t="n"/>
      <c r="Z36" s="339" t="n"/>
      <c r="AA36" s="339" t="n"/>
      <c r="AB36" s="339" t="n"/>
      <c r="AC36" s="339" t="n"/>
      <c r="AD36" s="339" t="n"/>
      <c r="AE36" s="339" t="n"/>
      <c r="AF36" s="339" t="n"/>
      <c r="AG36" s="339" t="n"/>
      <c r="AH36" s="339" t="n"/>
    </row>
    <row r="37" ht="26.25" customHeight="1" s="1053">
      <c r="A37" s="339" t="inlineStr">
        <is>
          <t>新宝利</t>
        </is>
      </c>
      <c r="B37" s="339" t="inlineStr">
        <is>
          <t>一期</t>
        </is>
      </c>
      <c r="C37" s="339" t="n">
        <v>5230732</v>
      </c>
      <c r="D37" s="339" t="inlineStr">
        <is>
          <t>10:30-12:40</t>
        </is>
      </c>
      <c r="E37" s="339" t="inlineStr">
        <is>
          <t>启能班</t>
        </is>
      </c>
      <c r="F37" s="339" t="inlineStr">
        <is>
          <t>吴俊希</t>
        </is>
      </c>
      <c r="G37" s="339" t="inlineStr">
        <is>
          <t>何咏04</t>
        </is>
      </c>
      <c r="H37" s="339" t="inlineStr">
        <is>
          <t>李润</t>
        </is>
      </c>
      <c r="I37" s="339" t="inlineStr">
        <is>
          <t>肖锐03</t>
        </is>
      </c>
      <c r="J37" s="339" t="inlineStr">
        <is>
          <t>张敏烨</t>
        </is>
      </c>
      <c r="K37" s="339" t="n"/>
      <c r="L37" s="339" t="n"/>
      <c r="M37" s="339" t="n"/>
      <c r="N37" s="339" t="n"/>
      <c r="O37" s="740" t="inlineStr">
        <is>
          <t>课后联系
联系不上</t>
        </is>
      </c>
      <c r="P37" s="339" t="n"/>
      <c r="Q37" s="339" t="n">
        <v>99</v>
      </c>
      <c r="R37" s="339" t="n"/>
      <c r="S37" s="339" t="n"/>
      <c r="T37" s="339" t="inlineStr">
        <is>
          <t>是</t>
        </is>
      </c>
      <c r="U37" s="339" t="inlineStr">
        <is>
          <t>是</t>
        </is>
      </c>
      <c r="V37" s="339" t="n"/>
      <c r="W37" s="339" t="n"/>
      <c r="X37" s="339" t="n"/>
      <c r="Y37" s="339" t="n"/>
      <c r="Z37" s="339" t="n"/>
      <c r="AA37" s="339" t="n"/>
      <c r="AB37" s="339" t="n"/>
      <c r="AC37" s="339" t="n"/>
      <c r="AD37" s="339" t="n"/>
      <c r="AE37" s="339" t="n"/>
      <c r="AF37" s="339" t="n"/>
      <c r="AG37" s="339" t="n"/>
      <c r="AH37" s="339" t="n"/>
    </row>
    <row r="38" ht="26.25" customHeight="1" s="1053">
      <c r="A38" s="339" t="inlineStr">
        <is>
          <t>新宝利</t>
        </is>
      </c>
      <c r="B38" s="339" t="inlineStr">
        <is>
          <t>一期</t>
        </is>
      </c>
      <c r="C38" s="339" t="n">
        <v>5230732</v>
      </c>
      <c r="D38" s="339" t="inlineStr">
        <is>
          <t>10:30-12:40</t>
        </is>
      </c>
      <c r="E38" s="339" t="inlineStr">
        <is>
          <t>启能班</t>
        </is>
      </c>
      <c r="F38" s="339" t="inlineStr">
        <is>
          <t>孙同学</t>
        </is>
      </c>
      <c r="G38" s="339" t="inlineStr">
        <is>
          <t>何咏04</t>
        </is>
      </c>
      <c r="H38" s="339" t="inlineStr">
        <is>
          <t>李润</t>
        </is>
      </c>
      <c r="I38" s="339" t="n"/>
      <c r="J38" s="339" t="inlineStr">
        <is>
          <t>林志豪01</t>
        </is>
      </c>
      <c r="K38" s="339" t="n"/>
      <c r="L38" s="339" t="n"/>
      <c r="M38" s="339" t="n"/>
      <c r="N38" s="339" t="n"/>
      <c r="O38" s="741" t="inlineStr">
        <is>
          <t>电话不在服务区，打不通
之前报名短期课，一节不上，全旷课
加班，电话拒绝沟通
妈妈加班严重！回复消息非常不及时</t>
        </is>
      </c>
      <c r="P38" s="34" t="n"/>
      <c r="Q38" s="339" t="n"/>
      <c r="R38" s="339" t="n"/>
      <c r="S38" s="339" t="n"/>
      <c r="T38" s="339" t="inlineStr">
        <is>
          <t>是</t>
        </is>
      </c>
      <c r="U38" s="339" t="inlineStr">
        <is>
          <t>是</t>
        </is>
      </c>
      <c r="V38" s="339" t="n"/>
      <c r="W38" s="339" t="n"/>
      <c r="X38" s="339" t="n"/>
      <c r="Y38" s="339" t="n"/>
      <c r="Z38" s="339" t="n"/>
      <c r="AA38" s="339" t="n"/>
      <c r="AB38" s="339" t="n"/>
      <c r="AC38" s="339" t="n"/>
      <c r="AD38" s="339" t="n"/>
      <c r="AE38" s="339" t="n"/>
      <c r="AF38" s="339" t="n"/>
      <c r="AG38" s="339" t="n"/>
      <c r="AH38" s="339" t="n"/>
    </row>
    <row r="39" ht="26.25" customHeight="1" s="1053">
      <c r="A39" s="339" t="inlineStr">
        <is>
          <t>新宝利</t>
        </is>
      </c>
      <c r="B39" s="339" t="inlineStr">
        <is>
          <t>一期</t>
        </is>
      </c>
      <c r="C39" s="339" t="n">
        <v>5230732</v>
      </c>
      <c r="D39" s="339" t="inlineStr">
        <is>
          <t>10:30-12:40</t>
        </is>
      </c>
      <c r="E39" s="339" t="inlineStr">
        <is>
          <t>启能班</t>
        </is>
      </c>
      <c r="F39" s="339" t="inlineStr">
        <is>
          <t>李伟国</t>
        </is>
      </c>
      <c r="G39" s="339" t="inlineStr">
        <is>
          <t>何咏04</t>
        </is>
      </c>
      <c r="H39" s="339" t="inlineStr">
        <is>
          <t>李润</t>
        </is>
      </c>
      <c r="I39" s="339" t="inlineStr">
        <is>
          <t>肖锐03</t>
        </is>
      </c>
      <c r="J39" s="339" t="inlineStr">
        <is>
          <t>张敏烨</t>
        </is>
      </c>
      <c r="K39" s="404" t="inlineStr">
        <is>
          <t>红润（番禺）</t>
        </is>
      </c>
      <c r="L39" s="404" t="inlineStr">
        <is>
          <t>直升</t>
        </is>
      </c>
      <c r="M39" s="742" t="inlineStr">
        <is>
          <t>住宿，以前托管
不认真</t>
        </is>
      </c>
      <c r="N39" s="743" t="inlineStr">
        <is>
          <t>不专注，写作业不认真
不想在家闲着</t>
        </is>
      </c>
      <c r="O39" s="403" t="inlineStr">
        <is>
          <t>英语在xdf</t>
        </is>
      </c>
      <c r="P39" s="404" t="inlineStr">
        <is>
          <t>90分</t>
        </is>
      </c>
      <c r="Q39" s="339" t="n"/>
      <c r="R39" s="339" t="n"/>
      <c r="S39" s="339" t="n"/>
      <c r="T39" s="339" t="inlineStr">
        <is>
          <t>是</t>
        </is>
      </c>
      <c r="U39" s="339" t="inlineStr">
        <is>
          <t>是</t>
        </is>
      </c>
      <c r="V39" s="339" t="n"/>
      <c r="W39" s="339" t="n"/>
      <c r="X39" s="339" t="n"/>
      <c r="Y39" s="339" t="n"/>
      <c r="Z39" s="339" t="n"/>
      <c r="AA39" s="339" t="n"/>
      <c r="AB39" s="339" t="n"/>
      <c r="AC39" s="339" t="n"/>
      <c r="AD39" s="339" t="n"/>
      <c r="AE39" s="339" t="n"/>
      <c r="AF39" s="339" t="n"/>
      <c r="AG39" s="339" t="n"/>
      <c r="AH39" s="339" t="n"/>
    </row>
    <row r="40" ht="26.25" customHeight="1" s="1053">
      <c r="A40" s="339" t="inlineStr">
        <is>
          <t>新宝利</t>
        </is>
      </c>
      <c r="B40" s="339" t="inlineStr">
        <is>
          <t>一期</t>
        </is>
      </c>
      <c r="C40" s="339" t="n">
        <v>5230732</v>
      </c>
      <c r="D40" s="339" t="inlineStr">
        <is>
          <t>10:30-12:40</t>
        </is>
      </c>
      <c r="E40" s="339" t="inlineStr">
        <is>
          <t>启能班</t>
        </is>
      </c>
      <c r="F40" s="339" t="inlineStr">
        <is>
          <t>杨雅涵</t>
        </is>
      </c>
      <c r="G40" s="339" t="inlineStr">
        <is>
          <t>何咏04</t>
        </is>
      </c>
      <c r="H40" s="339" t="inlineStr">
        <is>
          <t>李润</t>
        </is>
      </c>
      <c r="I40" s="339" t="inlineStr">
        <is>
          <t>高心怡04</t>
        </is>
      </c>
      <c r="J40" s="339" t="inlineStr">
        <is>
          <t>沈思浩</t>
        </is>
      </c>
      <c r="K40" s="421" t="inlineStr">
        <is>
          <t>满族</t>
        </is>
      </c>
      <c r="L40" s="421" t="inlineStr">
        <is>
          <t>真光</t>
        </is>
      </c>
      <c r="M40" s="744" t="inlineStr">
        <is>
          <t>自觉还行
作业没那么集中</t>
        </is>
      </c>
      <c r="N40" s="745" t="inlineStr">
        <is>
          <t>粗心
先衔接</t>
        </is>
      </c>
      <c r="O40" s="209" t="inlineStr">
        <is>
          <t>多鼓励，多关注，内向和外向之间</t>
        </is>
      </c>
      <c r="P40" s="421" t="inlineStr">
        <is>
          <t>90多</t>
        </is>
      </c>
      <c r="Q40" s="339" t="n"/>
      <c r="R40" s="339" t="n"/>
      <c r="S40" s="339" t="n"/>
      <c r="T40" s="339" t="inlineStr">
        <is>
          <t>是</t>
        </is>
      </c>
      <c r="U40" s="339" t="inlineStr">
        <is>
          <t>是</t>
        </is>
      </c>
      <c r="V40" s="339" t="n"/>
      <c r="W40" s="339" t="n"/>
      <c r="X40" s="339" t="n"/>
      <c r="Y40" s="339" t="n"/>
      <c r="Z40" s="339" t="n"/>
      <c r="AA40" s="339" t="n"/>
      <c r="AB40" s="339" t="n"/>
      <c r="AC40" s="339" t="n"/>
      <c r="AD40" s="339" t="n"/>
      <c r="AE40" s="339" t="n"/>
      <c r="AF40" s="339" t="n"/>
      <c r="AG40" s="339" t="n"/>
      <c r="AH40" s="339" t="n"/>
    </row>
    <row r="41" ht="26.25" customHeight="1" s="1053">
      <c r="A41" s="339" t="inlineStr">
        <is>
          <t>新宝利</t>
        </is>
      </c>
      <c r="B41" s="339" t="inlineStr">
        <is>
          <t>一期</t>
        </is>
      </c>
      <c r="C41" s="339" t="n">
        <v>5230732</v>
      </c>
      <c r="D41" s="339" t="inlineStr">
        <is>
          <t>10:30-12:40</t>
        </is>
      </c>
      <c r="E41" s="339" t="inlineStr">
        <is>
          <t>启能班</t>
        </is>
      </c>
      <c r="F41" s="339" t="inlineStr">
        <is>
          <t>洛天</t>
        </is>
      </c>
      <c r="G41" s="339" t="inlineStr">
        <is>
          <t>何咏04</t>
        </is>
      </c>
      <c r="H41" s="339" t="inlineStr">
        <is>
          <t>李润</t>
        </is>
      </c>
      <c r="I41" s="339" t="inlineStr">
        <is>
          <t>肖锐03</t>
        </is>
      </c>
      <c r="J41" s="339" t="inlineStr">
        <is>
          <t>王丽</t>
        </is>
      </c>
      <c r="K41" s="421" t="n"/>
      <c r="L41" s="421" t="inlineStr">
        <is>
          <t>摇号</t>
        </is>
      </c>
      <c r="M41" s="746" t="inlineStr">
        <is>
          <t>基础薄弱
孩子第一次见比较内向</t>
        </is>
      </c>
      <c r="N41" s="747" t="inlineStr">
        <is>
          <t>没有拓展基础
小升初衔接</t>
        </is>
      </c>
      <c r="O41" s="209" t="inlineStr">
        <is>
          <t>老师主动介绍过秋季课程，不抵触</t>
        </is>
      </c>
      <c r="P41" s="339" t="n">
        <v>74</v>
      </c>
      <c r="Q41" s="339" t="n"/>
      <c r="R41" s="339" t="n"/>
      <c r="S41" s="339" t="n"/>
      <c r="T41" s="339" t="inlineStr">
        <is>
          <t>是</t>
        </is>
      </c>
      <c r="U41" s="339" t="inlineStr">
        <is>
          <t>是</t>
        </is>
      </c>
      <c r="V41" s="339" t="n"/>
      <c r="W41" s="339" t="n"/>
      <c r="X41" s="339" t="n"/>
      <c r="Y41" s="339" t="n"/>
      <c r="Z41" s="339" t="n"/>
      <c r="AA41" s="339" t="n"/>
      <c r="AB41" s="339" t="n"/>
      <c r="AC41" s="339" t="n"/>
      <c r="AD41" s="339" t="n"/>
      <c r="AE41" s="339" t="n"/>
      <c r="AF41" s="339" t="n"/>
      <c r="AG41" s="339" t="n"/>
      <c r="AH41" s="339" t="n"/>
    </row>
    <row r="42" ht="26.25" customHeight="1" s="1053">
      <c r="A42" s="339" t="inlineStr">
        <is>
          <t>新宝利</t>
        </is>
      </c>
      <c r="B42" s="339" t="inlineStr">
        <is>
          <t>一期</t>
        </is>
      </c>
      <c r="C42" s="339" t="n">
        <v>5230732</v>
      </c>
      <c r="D42" s="339" t="inlineStr">
        <is>
          <t>10:30-12:40</t>
        </is>
      </c>
      <c r="E42" s="339" t="inlineStr">
        <is>
          <t>启能班</t>
        </is>
      </c>
      <c r="F42" s="339" t="inlineStr">
        <is>
          <t>王柏驎</t>
        </is>
      </c>
      <c r="G42" s="339" t="inlineStr">
        <is>
          <t>何咏04</t>
        </is>
      </c>
      <c r="H42" s="339" t="inlineStr">
        <is>
          <t>李润</t>
        </is>
      </c>
      <c r="I42" s="339" t="inlineStr">
        <is>
          <t>肖锐03</t>
        </is>
      </c>
      <c r="J42" s="339" t="inlineStr">
        <is>
          <t>杨林33</t>
        </is>
      </c>
      <c r="K42" s="339" t="inlineStr">
        <is>
          <t>詹天佑小学</t>
        </is>
      </c>
      <c r="L42" s="748" t="inlineStr">
        <is>
          <t>想摇号一中。
摇号不成功，民办无票</t>
        </is>
      </c>
      <c r="M42" s="339" t="n"/>
      <c r="N42" s="339" t="inlineStr">
        <is>
          <t>整体基础可以，自律性差，督促，希望校内完成。托管完成</t>
        </is>
      </c>
      <c r="O42" s="339" t="n"/>
      <c r="P42" s="420" t="inlineStr">
        <is>
          <t>语数英90，95以上，英语波动比较大</t>
        </is>
      </c>
      <c r="Q42" s="339" t="n"/>
      <c r="R42" s="339" t="n"/>
      <c r="S42" s="339" t="n"/>
      <c r="T42" s="339" t="inlineStr">
        <is>
          <t>是</t>
        </is>
      </c>
      <c r="U42" s="339" t="inlineStr">
        <is>
          <t>是</t>
        </is>
      </c>
      <c r="V42" s="339" t="n"/>
      <c r="W42" s="339" t="n"/>
      <c r="X42" s="339" t="n"/>
      <c r="Y42" s="339" t="n"/>
      <c r="Z42" s="339" t="n"/>
      <c r="AA42" s="339" t="n"/>
      <c r="AB42" s="339" t="n"/>
      <c r="AC42" s="339" t="n"/>
      <c r="AD42" s="339" t="n"/>
      <c r="AE42" s="339" t="n"/>
      <c r="AF42" s="339" t="n"/>
      <c r="AG42" s="339" t="n"/>
      <c r="AH42" s="339" t="n"/>
    </row>
    <row r="43" ht="26.25" customHeight="1" s="1053">
      <c r="A43" s="339" t="inlineStr">
        <is>
          <t>新宝利</t>
        </is>
      </c>
      <c r="B43" s="339" t="inlineStr">
        <is>
          <t>一期</t>
        </is>
      </c>
      <c r="C43" s="339" t="n">
        <v>5230732</v>
      </c>
      <c r="D43" s="339" t="inlineStr">
        <is>
          <t>10:30-12:40</t>
        </is>
      </c>
      <c r="E43" s="339" t="inlineStr">
        <is>
          <t>启能班</t>
        </is>
      </c>
      <c r="F43" s="339" t="inlineStr">
        <is>
          <t>罗梓林</t>
        </is>
      </c>
      <c r="G43" s="339" t="inlineStr">
        <is>
          <t>何咏04</t>
        </is>
      </c>
      <c r="H43" s="339" t="inlineStr">
        <is>
          <t>李润</t>
        </is>
      </c>
      <c r="I43" s="339" t="inlineStr">
        <is>
          <t>肖锐03</t>
        </is>
      </c>
      <c r="J43" s="339" t="inlineStr">
        <is>
          <t>王丽</t>
        </is>
      </c>
      <c r="K43" s="404" t="inlineStr">
        <is>
          <t>建设马路</t>
        </is>
      </c>
      <c r="L43" s="404" t="n"/>
      <c r="M43" s="749" t="inlineStr">
        <is>
          <t>书写不好
不自觉，不管</t>
        </is>
      </c>
      <c r="N43" s="750" t="inlineStr">
        <is>
          <t>书写不好
不自觉，不管</t>
        </is>
      </c>
      <c r="O43" s="751" t="inlineStr">
        <is>
          <t>书写不好
不自觉，不管</t>
        </is>
      </c>
      <c r="P43" s="404" t="inlineStr">
        <is>
          <t>A和B</t>
        </is>
      </c>
      <c r="Q43" s="339" t="n"/>
      <c r="R43" s="339" t="n"/>
      <c r="S43" s="339" t="n"/>
      <c r="T43" s="339" t="inlineStr">
        <is>
          <t>是</t>
        </is>
      </c>
      <c r="U43" s="339" t="inlineStr">
        <is>
          <t>是</t>
        </is>
      </c>
      <c r="V43" s="339" t="n"/>
      <c r="W43" s="339" t="n"/>
      <c r="X43" s="339" t="n"/>
      <c r="Y43" s="339" t="n"/>
      <c r="Z43" s="339" t="n"/>
      <c r="AA43" s="339" t="n"/>
      <c r="AB43" s="339" t="n"/>
      <c r="AC43" s="339" t="n"/>
      <c r="AD43" s="339" t="n"/>
      <c r="AE43" s="339" t="n"/>
      <c r="AF43" s="339" t="n"/>
      <c r="AG43" s="339" t="n"/>
      <c r="AH43" s="339" t="n"/>
    </row>
    <row r="44" ht="26.25" customHeight="1" s="1053">
      <c r="A44" s="339" t="inlineStr">
        <is>
          <t>新宝利</t>
        </is>
      </c>
      <c r="B44" s="339" t="inlineStr">
        <is>
          <t>一期</t>
        </is>
      </c>
      <c r="C44" s="339" t="n">
        <v>5230732</v>
      </c>
      <c r="D44" s="339" t="inlineStr">
        <is>
          <t>10:30-12:40</t>
        </is>
      </c>
      <c r="E44" s="339" t="inlineStr">
        <is>
          <t>启能班</t>
        </is>
      </c>
      <c r="F44" s="339" t="inlineStr">
        <is>
          <t>郭诗颖</t>
        </is>
      </c>
      <c r="G44" s="339" t="inlineStr">
        <is>
          <t>何咏04</t>
        </is>
      </c>
      <c r="H44" s="339" t="inlineStr">
        <is>
          <t>李润</t>
        </is>
      </c>
      <c r="I44" s="339" t="inlineStr">
        <is>
          <t>肖锐03</t>
        </is>
      </c>
      <c r="J44" s="339" t="inlineStr">
        <is>
          <t>张敏烨</t>
        </is>
      </c>
      <c r="K44" s="404" t="inlineStr">
        <is>
          <t>玖富田</t>
        </is>
      </c>
      <c r="L44" s="404" t="inlineStr">
        <is>
          <t>摇号（明德八星）</t>
        </is>
      </c>
      <c r="M44" s="404" t="inlineStr">
        <is>
          <t>校内没什么问题</t>
        </is>
      </c>
      <c r="N44" s="752" t="inlineStr">
        <is>
          <t>没什么问题
秋季课看暑假的情况</t>
        </is>
      </c>
      <c r="O44" s="753" t="inlineStr">
        <is>
          <t>没上机构
和林钰琪</t>
        </is>
      </c>
      <c r="P44" s="404" t="inlineStr">
        <is>
          <t>290多，98分</t>
        </is>
      </c>
      <c r="Q44" s="339" t="n">
        <v>88</v>
      </c>
      <c r="R44" s="339" t="n"/>
      <c r="S44" s="339" t="n"/>
      <c r="T44" s="339" t="inlineStr">
        <is>
          <t>是</t>
        </is>
      </c>
      <c r="U44" s="339" t="inlineStr">
        <is>
          <t>是</t>
        </is>
      </c>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一期</t>
        </is>
      </c>
      <c r="C45" s="339" t="n">
        <v>5230732</v>
      </c>
      <c r="D45" s="339" t="inlineStr">
        <is>
          <t>10:30-12:40</t>
        </is>
      </c>
      <c r="E45" s="339" t="inlineStr">
        <is>
          <t>启能班</t>
        </is>
      </c>
      <c r="F45" s="339" t="inlineStr">
        <is>
          <t>钟欣妍</t>
        </is>
      </c>
      <c r="G45" s="339" t="inlineStr">
        <is>
          <t>何咏04</t>
        </is>
      </c>
      <c r="H45" s="339" t="inlineStr">
        <is>
          <t>李润</t>
        </is>
      </c>
      <c r="I45" s="339" t="inlineStr">
        <is>
          <t>肖锐03</t>
        </is>
      </c>
      <c r="J45" s="339" t="inlineStr">
        <is>
          <t>陈亮延</t>
        </is>
      </c>
      <c r="K45" s="421" t="inlineStr">
        <is>
          <t>荔湾</t>
        </is>
      </c>
      <c r="L45" s="421" t="n"/>
      <c r="M45" s="754" t="inlineStr">
        <is>
          <t>不太自觉
不监督</t>
        </is>
      </c>
      <c r="N45" s="755" t="inlineStr">
        <is>
          <t>校内简单粗心，难题没吸收
希望拓展，介绍了小升初衔接</t>
        </is>
      </c>
      <c r="O45" s="756" t="inlineStr">
        <is>
          <t>外向
组班学习了，拓展水平不足</t>
        </is>
      </c>
      <c r="P45" s="339" t="inlineStr">
        <is>
          <t>100分左右</t>
        </is>
      </c>
      <c r="Q45" s="339" t="n">
        <v>84</v>
      </c>
      <c r="R45" s="339" t="n"/>
      <c r="S45" s="339" t="n"/>
      <c r="T45" s="339" t="inlineStr">
        <is>
          <t>是</t>
        </is>
      </c>
      <c r="U45" s="339" t="inlineStr">
        <is>
          <t>是</t>
        </is>
      </c>
      <c r="V45" s="339" t="inlineStr">
        <is>
          <t>是</t>
        </is>
      </c>
      <c r="W45" s="339" t="n"/>
      <c r="X45" s="339" t="n"/>
      <c r="Y45" s="339" t="n"/>
      <c r="Z45" s="339" t="n"/>
      <c r="AA45" s="339" t="n"/>
      <c r="AB45" s="339" t="n"/>
      <c r="AC45" s="339" t="n"/>
      <c r="AD45" s="339" t="n"/>
      <c r="AE45" s="339" t="n"/>
      <c r="AF45" s="339" t="n"/>
      <c r="AG45" s="339" t="n"/>
      <c r="AH45" s="339" t="n"/>
    </row>
    <row r="46" ht="26.25" customHeight="1" s="1053">
      <c r="A46" s="339" t="inlineStr">
        <is>
          <t>新宝利</t>
        </is>
      </c>
      <c r="B46" s="339" t="inlineStr">
        <is>
          <t>一期</t>
        </is>
      </c>
      <c r="C46" s="339" t="n">
        <v>5230732</v>
      </c>
      <c r="D46" s="339" t="inlineStr">
        <is>
          <t>10:30-12:40</t>
        </is>
      </c>
      <c r="E46" s="339" t="inlineStr">
        <is>
          <t>启能班</t>
        </is>
      </c>
      <c r="F46" s="339" t="inlineStr">
        <is>
          <t>钟雨橦</t>
        </is>
      </c>
      <c r="G46" s="339" t="inlineStr">
        <is>
          <t>何咏04</t>
        </is>
      </c>
      <c r="H46" s="339" t="inlineStr">
        <is>
          <t>李润</t>
        </is>
      </c>
      <c r="I46" s="339" t="inlineStr">
        <is>
          <t>肖锐03</t>
        </is>
      </c>
      <c r="J46" s="339" t="inlineStr">
        <is>
          <t>杨林33</t>
        </is>
      </c>
      <c r="K46" s="421" t="inlineStr">
        <is>
          <t>东川路</t>
        </is>
      </c>
      <c r="L46" s="421" t="inlineStr">
        <is>
          <t>省实</t>
        </is>
      </c>
      <c r="M46" s="404" t="inlineStr">
        <is>
          <t>自觉，管得不多</t>
        </is>
      </c>
      <c r="N46" s="420" t="inlineStr">
        <is>
          <t>和学而思差不多，比学而思便宜，试一试</t>
        </is>
      </c>
      <c r="O46" s="757" t="inlineStr">
        <is>
          <t>学而思1-6年级
自己来的</t>
        </is>
      </c>
      <c r="P46" s="420" t="inlineStr">
        <is>
          <t>数学99 100</t>
        </is>
      </c>
      <c r="Q46" s="339" t="n"/>
      <c r="R46" s="339" t="n"/>
      <c r="S46" s="339" t="n"/>
      <c r="T46" s="339" t="inlineStr">
        <is>
          <t>是</t>
        </is>
      </c>
      <c r="U46" s="339" t="inlineStr">
        <is>
          <t>是</t>
        </is>
      </c>
      <c r="V46" s="339" t="n"/>
      <c r="W46" s="339" t="n"/>
      <c r="X46" s="339" t="n"/>
      <c r="Y46" s="339" t="n"/>
      <c r="Z46" s="339" t="n"/>
      <c r="AA46" s="339" t="n"/>
      <c r="AB46" s="339" t="n"/>
      <c r="AC46" s="339" t="n"/>
      <c r="AD46" s="339" t="n"/>
      <c r="AE46" s="339" t="n"/>
      <c r="AF46" s="339" t="n"/>
      <c r="AG46" s="339" t="n"/>
      <c r="AH46" s="339" t="n"/>
    </row>
    <row r="47" ht="26.25" customHeight="1" s="1053">
      <c r="A47" s="339" t="inlineStr">
        <is>
          <t>新宝利</t>
        </is>
      </c>
      <c r="B47" s="339" t="inlineStr">
        <is>
          <t>一期</t>
        </is>
      </c>
      <c r="C47" s="339" t="n">
        <v>5230732</v>
      </c>
      <c r="D47" s="339" t="inlineStr">
        <is>
          <t>10:30-12:40</t>
        </is>
      </c>
      <c r="E47" s="339" t="inlineStr">
        <is>
          <t>启能班</t>
        </is>
      </c>
      <c r="F47" s="339" t="inlineStr">
        <is>
          <t>陈泊儒</t>
        </is>
      </c>
      <c r="G47" s="339" t="inlineStr">
        <is>
          <t>何咏04</t>
        </is>
      </c>
      <c r="H47" s="339" t="inlineStr">
        <is>
          <t>李润</t>
        </is>
      </c>
      <c r="I47" s="339" t="inlineStr">
        <is>
          <t>肖锐03</t>
        </is>
      </c>
      <c r="J47" s="339" t="inlineStr">
        <is>
          <t>张敏烨</t>
        </is>
      </c>
      <c r="K47" s="404" t="inlineStr">
        <is>
          <t>满族</t>
        </is>
      </c>
      <c r="L47" s="404" t="n"/>
      <c r="M47" s="758" t="inlineStr">
        <is>
          <t>自觉还行
家里作业完成不好</t>
        </is>
      </c>
      <c r="N47" s="759" t="inlineStr">
        <is>
          <t>粗心，计算算错多
小升初衔接，拓展不足</t>
        </is>
      </c>
      <c r="O47" s="760" t="inlineStr">
        <is>
          <t>课后联系
没报班</t>
        </is>
      </c>
      <c r="P47" s="404" t="inlineStr">
        <is>
          <t>95内</t>
        </is>
      </c>
      <c r="Q47" s="339" t="n">
        <v>73</v>
      </c>
      <c r="R47" s="339" t="n"/>
      <c r="S47" s="339" t="n"/>
      <c r="T47" s="339" t="inlineStr">
        <is>
          <t>是</t>
        </is>
      </c>
      <c r="U47" s="339" t="inlineStr">
        <is>
          <t>是</t>
        </is>
      </c>
      <c r="V47" s="339" t="n"/>
      <c r="W47" s="339" t="n"/>
      <c r="X47" s="339" t="n"/>
      <c r="Y47" s="339" t="n"/>
      <c r="Z47" s="339" t="n"/>
      <c r="AA47" s="339" t="n"/>
      <c r="AB47" s="339" t="n"/>
      <c r="AC47" s="339" t="n"/>
      <c r="AD47" s="339" t="n"/>
      <c r="AE47" s="339" t="n"/>
      <c r="AF47" s="339" t="n"/>
      <c r="AG47" s="339" t="n"/>
      <c r="AH47" s="339" t="n"/>
    </row>
    <row r="48" ht="26.25" customHeight="1" s="1053">
      <c r="A48" s="339" t="inlineStr">
        <is>
          <t>新宝利</t>
        </is>
      </c>
      <c r="B48" s="339" t="inlineStr">
        <is>
          <t>一期</t>
        </is>
      </c>
      <c r="C48" s="339" t="n">
        <v>5230732</v>
      </c>
      <c r="D48" s="339" t="inlineStr">
        <is>
          <t>10:30-12:40</t>
        </is>
      </c>
      <c r="E48" s="339" t="inlineStr">
        <is>
          <t>启能班</t>
        </is>
      </c>
      <c r="F48" s="339" t="inlineStr">
        <is>
          <t>魏雨澄</t>
        </is>
      </c>
      <c r="G48" s="339" t="inlineStr">
        <is>
          <t>何咏04</t>
        </is>
      </c>
      <c r="H48" s="339" t="inlineStr">
        <is>
          <t>李润</t>
        </is>
      </c>
      <c r="I48" s="339" t="inlineStr">
        <is>
          <t>肖锐03</t>
        </is>
      </c>
      <c r="J48" s="339" t="inlineStr">
        <is>
          <t>王达04</t>
        </is>
      </c>
      <c r="K48" s="421" t="inlineStr">
        <is>
          <t>东风西路小学</t>
        </is>
      </c>
      <c r="L48" s="404" t="inlineStr">
        <is>
          <t>等摇号</t>
        </is>
      </c>
      <c r="M48" s="404" t="n"/>
      <c r="N48" s="420" t="inlineStr">
        <is>
          <t>小升初衔接，培养学习习惯，激发兴趣</t>
        </is>
      </c>
      <c r="O48" s="403" t="inlineStr">
        <is>
          <t>不告诉在哪个机构补课</t>
        </is>
      </c>
      <c r="P48" s="420" t="inlineStr">
        <is>
          <t>280分</t>
        </is>
      </c>
      <c r="Q48" s="420" t="n"/>
      <c r="R48" s="339" t="n"/>
      <c r="S48" s="339" t="n"/>
      <c r="T48" s="339" t="inlineStr">
        <is>
          <t>是</t>
        </is>
      </c>
      <c r="U48" s="339" t="inlineStr">
        <is>
          <t>是</t>
        </is>
      </c>
      <c r="V48" s="339" t="n"/>
      <c r="W48" s="339" t="n"/>
      <c r="X48" s="339" t="n"/>
      <c r="Y48" s="339" t="n"/>
      <c r="Z48" s="339" t="n"/>
      <c r="AA48" s="339" t="n"/>
      <c r="AB48" s="339" t="n"/>
      <c r="AC48" s="339" t="n"/>
      <c r="AD48" s="339" t="n"/>
      <c r="AE48" s="339" t="n"/>
      <c r="AF48" s="339" t="n"/>
      <c r="AG48" s="339" t="n"/>
      <c r="AH48" s="339" t="n"/>
    </row>
    <row r="49" ht="26.25" customHeight="1" s="1053">
      <c r="A49" s="339" t="inlineStr">
        <is>
          <t>新宝利</t>
        </is>
      </c>
      <c r="B49" s="339" t="inlineStr">
        <is>
          <t>一期</t>
        </is>
      </c>
      <c r="C49" s="339" t="n">
        <v>5230732</v>
      </c>
      <c r="D49" s="339" t="inlineStr">
        <is>
          <t>10:30-12:40</t>
        </is>
      </c>
      <c r="E49" s="339" t="inlineStr">
        <is>
          <t>启能班</t>
        </is>
      </c>
      <c r="F49" s="339" t="inlineStr">
        <is>
          <t>黎佳恩</t>
        </is>
      </c>
      <c r="G49" s="339" t="inlineStr">
        <is>
          <t>何咏04</t>
        </is>
      </c>
      <c r="H49" s="339" t="inlineStr">
        <is>
          <t>李润</t>
        </is>
      </c>
      <c r="I49" s="339" t="inlineStr">
        <is>
          <t>肖锐03</t>
        </is>
      </c>
      <c r="J49" s="339" t="inlineStr">
        <is>
          <t>沈思浩</t>
        </is>
      </c>
      <c r="K49" s="404" t="inlineStr">
        <is>
          <t>大南路</t>
        </is>
      </c>
      <c r="L49" s="404" t="inlineStr">
        <is>
          <t>摇号</t>
        </is>
      </c>
      <c r="M49" s="761" t="inlineStr">
        <is>
          <t>不自觉
不看做作业</t>
        </is>
      </c>
      <c r="N49" s="762" t="inlineStr">
        <is>
          <t>基础还行
初中衔接课</t>
        </is>
      </c>
      <c r="O49" s="763" t="inlineStr">
        <is>
          <t>课后联系
内向慢热
线上网课，校内和拓展都有</t>
        </is>
      </c>
      <c r="P49" s="404" t="inlineStr">
        <is>
          <t>90分</t>
        </is>
      </c>
      <c r="Q49" s="339" t="n">
        <v>80</v>
      </c>
      <c r="R49" s="339" t="n"/>
      <c r="S49" s="339" t="n"/>
      <c r="T49" s="339" t="inlineStr">
        <is>
          <t>是</t>
        </is>
      </c>
      <c r="U49" s="339" t="inlineStr">
        <is>
          <t>是</t>
        </is>
      </c>
      <c r="V49" s="339" t="n"/>
      <c r="W49" s="339" t="n"/>
      <c r="X49" s="339" t="n"/>
      <c r="Y49" s="339" t="n"/>
      <c r="Z49" s="339" t="n"/>
      <c r="AA49" s="339" t="n"/>
      <c r="AB49" s="339" t="n"/>
      <c r="AC49" s="339" t="n"/>
      <c r="AD49" s="339" t="n"/>
      <c r="AE49" s="339" t="n"/>
      <c r="AF49" s="339" t="n"/>
      <c r="AG49" s="339" t="n"/>
      <c r="AH49" s="339" t="n"/>
    </row>
    <row r="50" ht="26.25" customHeight="1" s="1053">
      <c r="A50" s="339" t="inlineStr">
        <is>
          <t>新宝利</t>
        </is>
      </c>
      <c r="B50" s="339" t="inlineStr">
        <is>
          <t>一期</t>
        </is>
      </c>
      <c r="C50" s="339" t="n">
        <v>5230732</v>
      </c>
      <c r="D50" s="339" t="inlineStr">
        <is>
          <t>10:30-12:40</t>
        </is>
      </c>
      <c r="E50" s="339" t="inlineStr">
        <is>
          <t>启能班</t>
        </is>
      </c>
      <c r="F50" s="339" t="inlineStr">
        <is>
          <t>黎勇成</t>
        </is>
      </c>
      <c r="G50" s="339" t="inlineStr">
        <is>
          <t>何咏04</t>
        </is>
      </c>
      <c r="H50" s="339" t="inlineStr">
        <is>
          <t>黄铭怡</t>
        </is>
      </c>
      <c r="I50" s="339" t="inlineStr">
        <is>
          <t>肖锐03</t>
        </is>
      </c>
      <c r="J50" s="339" t="inlineStr">
        <is>
          <t>杨林33</t>
        </is>
      </c>
      <c r="K50" s="339" t="n"/>
      <c r="L50" s="339" t="n"/>
      <c r="M50" s="764" t="inlineStr">
        <is>
          <t>自觉性还好
不用</t>
        </is>
      </c>
      <c r="N50" s="765" t="inlineStr">
        <is>
          <t>单位“1”，分数应用题
计算粗心</t>
        </is>
      </c>
      <c r="O50" s="209" t="inlineStr">
        <is>
          <t>六下五个月小机构补课</t>
        </is>
      </c>
      <c r="P50" s="421" t="inlineStr">
        <is>
          <t>A</t>
        </is>
      </c>
      <c r="Q50" s="339" t="n">
        <v>85</v>
      </c>
      <c r="R50" s="339" t="n"/>
      <c r="S50" s="339" t="n"/>
      <c r="T50" s="339" t="inlineStr">
        <is>
          <t>是</t>
        </is>
      </c>
      <c r="U50" s="339" t="inlineStr">
        <is>
          <t>是</t>
        </is>
      </c>
      <c r="V50" s="339" t="n"/>
      <c r="W50" s="339" t="n"/>
      <c r="X50" s="339" t="n"/>
      <c r="Y50" s="339" t="n"/>
      <c r="Z50" s="339" t="n"/>
      <c r="AA50" s="339" t="n"/>
      <c r="AB50" s="339" t="n"/>
      <c r="AC50" s="339" t="n"/>
      <c r="AD50" s="339" t="n"/>
      <c r="AE50" s="339" t="n"/>
      <c r="AF50" s="339" t="n"/>
      <c r="AG50" s="339" t="n"/>
      <c r="AH50" s="339" t="n"/>
    </row>
    <row r="51" ht="26.25" customHeight="1" s="1053">
      <c r="A51" s="339" t="inlineStr">
        <is>
          <t>新宝利</t>
        </is>
      </c>
      <c r="B51" s="339" t="inlineStr">
        <is>
          <t>一期</t>
        </is>
      </c>
      <c r="C51" s="339" t="n">
        <v>5230742</v>
      </c>
      <c r="D51" s="339" t="inlineStr">
        <is>
          <t>13:20-15:30</t>
        </is>
      </c>
      <c r="E51" s="339" t="inlineStr">
        <is>
          <t>潜能班</t>
        </is>
      </c>
      <c r="F51" s="339" t="inlineStr">
        <is>
          <t>严婉宁</t>
        </is>
      </c>
      <c r="G51" s="339" t="inlineStr">
        <is>
          <t>何咏04</t>
        </is>
      </c>
      <c r="H51" s="339" t="inlineStr">
        <is>
          <t>陈南05</t>
        </is>
      </c>
      <c r="I51" s="339" t="inlineStr">
        <is>
          <t>肖锐03</t>
        </is>
      </c>
      <c r="J51" s="339" t="inlineStr">
        <is>
          <t>王达04</t>
        </is>
      </c>
      <c r="K51" s="339" t="n"/>
      <c r="L51" s="339" t="n"/>
      <c r="M51" s="339" t="n"/>
      <c r="N51" s="339" t="n"/>
      <c r="O51" s="339" t="inlineStr">
        <is>
          <t>等会回电话</t>
        </is>
      </c>
      <c r="P51" s="339" t="n"/>
      <c r="Q51" s="339" t="n">
        <v>86</v>
      </c>
      <c r="R51" s="339" t="n"/>
      <c r="S51" s="339" t="n"/>
      <c r="T51" s="339" t="inlineStr">
        <is>
          <t>是</t>
        </is>
      </c>
      <c r="U51" s="339" t="inlineStr">
        <is>
          <t>是</t>
        </is>
      </c>
      <c r="V51" s="339" t="n"/>
      <c r="W51" s="339" t="n"/>
      <c r="X51" s="339" t="n"/>
      <c r="Y51" s="339" t="n"/>
      <c r="Z51" s="339" t="n"/>
      <c r="AA51" s="339" t="n"/>
      <c r="AB51" s="339" t="n"/>
      <c r="AC51" s="339" t="n"/>
      <c r="AD51" s="339" t="n"/>
      <c r="AE51" s="339" t="n"/>
      <c r="AF51" s="339" t="n"/>
      <c r="AG51" s="339" t="n"/>
      <c r="AH51" s="339" t="n"/>
    </row>
    <row r="52" ht="26.25" customHeight="1" s="1053">
      <c r="A52" s="339" t="inlineStr">
        <is>
          <t>新宝利</t>
        </is>
      </c>
      <c r="B52" s="339" t="inlineStr">
        <is>
          <t>一期</t>
        </is>
      </c>
      <c r="C52" s="339" t="n">
        <v>5230742</v>
      </c>
      <c r="D52" s="339" t="inlineStr">
        <is>
          <t>13:20-15:30</t>
        </is>
      </c>
      <c r="E52" s="339" t="inlineStr">
        <is>
          <t>潜能班</t>
        </is>
      </c>
      <c r="F52" s="339" t="inlineStr">
        <is>
          <t>何振豪</t>
        </is>
      </c>
      <c r="G52" s="339" t="inlineStr">
        <is>
          <t>何咏04</t>
        </is>
      </c>
      <c r="H52" s="339" t="inlineStr">
        <is>
          <t>陈南05</t>
        </is>
      </c>
      <c r="I52" s="339" t="inlineStr">
        <is>
          <t>肖锐03</t>
        </is>
      </c>
      <c r="J52" s="339" t="inlineStr">
        <is>
          <t>杨林33</t>
        </is>
      </c>
      <c r="K52" s="209" t="inlineStr">
        <is>
          <t>耀华小学</t>
        </is>
      </c>
      <c r="L52" s="209" t="inlineStr">
        <is>
          <t>等摇号结果</t>
        </is>
      </c>
      <c r="M52" s="404" t="inlineStr">
        <is>
          <t>托管</t>
        </is>
      </c>
      <c r="N52" s="766" t="inlineStr">
        <is>
          <t>思维，专注力不够
初中衔接，打基础</t>
        </is>
      </c>
      <c r="O52" s="403" t="inlineStr">
        <is>
          <t>托管周内全天，周末全有课</t>
        </is>
      </c>
      <c r="P52" s="404" t="inlineStr">
        <is>
          <t>B</t>
        </is>
      </c>
      <c r="Q52" s="339" t="n"/>
      <c r="R52" s="339" t="n"/>
      <c r="S52" s="339" t="n"/>
      <c r="T52" s="339" t="inlineStr">
        <is>
          <t>是</t>
        </is>
      </c>
      <c r="U52" s="339" t="inlineStr">
        <is>
          <t>是</t>
        </is>
      </c>
      <c r="V52" s="339" t="n"/>
      <c r="W52" s="339" t="n"/>
      <c r="X52" s="339" t="n"/>
      <c r="Y52" s="339" t="n"/>
      <c r="Z52" s="339" t="n"/>
      <c r="AA52" s="339" t="n"/>
      <c r="AB52" s="339" t="n"/>
      <c r="AC52" s="339" t="n"/>
      <c r="AD52" s="339" t="n"/>
      <c r="AE52" s="339" t="n"/>
      <c r="AF52" s="339" t="n"/>
      <c r="AG52" s="339" t="n"/>
      <c r="AH52" s="339" t="n"/>
    </row>
    <row r="53" ht="26.25" customHeight="1" s="1053">
      <c r="A53" s="339" t="inlineStr">
        <is>
          <t>新宝利</t>
        </is>
      </c>
      <c r="B53" s="339" t="inlineStr">
        <is>
          <t>一期</t>
        </is>
      </c>
      <c r="C53" s="339" t="n">
        <v>5230742</v>
      </c>
      <c r="D53" s="339" t="inlineStr">
        <is>
          <t>13:20-15:30</t>
        </is>
      </c>
      <c r="E53" s="339" t="inlineStr">
        <is>
          <t>潜能班</t>
        </is>
      </c>
      <c r="F53" s="339" t="inlineStr">
        <is>
          <t>佳佳</t>
        </is>
      </c>
      <c r="G53" s="339" t="inlineStr">
        <is>
          <t>何咏04</t>
        </is>
      </c>
      <c r="H53" s="339" t="n"/>
      <c r="I53" s="339" t="inlineStr">
        <is>
          <t>肖锐03</t>
        </is>
      </c>
      <c r="J53" s="339" t="inlineStr">
        <is>
          <t>王达04</t>
        </is>
      </c>
      <c r="K53" s="421" t="inlineStr">
        <is>
          <t>小港湾（海珠）</t>
        </is>
      </c>
      <c r="L53" s="421" t="inlineStr">
        <is>
          <t>摇号</t>
        </is>
      </c>
      <c r="M53" s="767" t="inlineStr">
        <is>
          <t>学校托管作业
家长基本不关注作业，忙</t>
        </is>
      </c>
      <c r="N53" s="768" t="inlineStr">
        <is>
          <t>这个学期应用题薄弱，基础不太好
暂时没有上过机构，上过线上课</t>
        </is>
      </c>
      <c r="O53" s="769" t="inlineStr">
        <is>
          <t>主动问期末考
但是在海珠，比较远
全名：吴宜佳</t>
        </is>
      </c>
      <c r="P53" s="421" t="inlineStr">
        <is>
          <t>80多</t>
        </is>
      </c>
      <c r="Q53" s="339" t="n">
        <v>74</v>
      </c>
      <c r="R53" s="339" t="n"/>
      <c r="S53" s="339" t="n"/>
      <c r="T53" s="339" t="inlineStr">
        <is>
          <t>是</t>
        </is>
      </c>
      <c r="U53" s="339" t="inlineStr">
        <is>
          <t>是</t>
        </is>
      </c>
      <c r="V53" s="339" t="n"/>
      <c r="W53" s="339" t="n"/>
      <c r="X53" s="339" t="n"/>
      <c r="Y53" s="339" t="n"/>
      <c r="Z53" s="339" t="n"/>
      <c r="AA53" s="339" t="n"/>
      <c r="AB53" s="339" t="n"/>
      <c r="AC53" s="339" t="n"/>
      <c r="AD53" s="339" t="n"/>
      <c r="AE53" s="339" t="n"/>
      <c r="AF53" s="339" t="n"/>
      <c r="AG53" s="339" t="n"/>
      <c r="AH53" s="339" t="n"/>
    </row>
    <row r="54" ht="26.25" customHeight="1" s="1053">
      <c r="A54" s="339" t="inlineStr">
        <is>
          <t>新宝利</t>
        </is>
      </c>
      <c r="B54" s="339" t="inlineStr">
        <is>
          <t>一期</t>
        </is>
      </c>
      <c r="C54" s="339" t="n">
        <v>5230742</v>
      </c>
      <c r="D54" s="339" t="inlineStr">
        <is>
          <t>13:20-15:30</t>
        </is>
      </c>
      <c r="E54" s="339" t="inlineStr">
        <is>
          <t>潜能班</t>
        </is>
      </c>
      <c r="F54" s="339" t="inlineStr">
        <is>
          <t>侯家聪</t>
        </is>
      </c>
      <c r="G54" s="339" t="inlineStr">
        <is>
          <t>何咏04</t>
        </is>
      </c>
      <c r="H54" s="339" t="inlineStr">
        <is>
          <t>陈南05</t>
        </is>
      </c>
      <c r="I54" s="339" t="inlineStr">
        <is>
          <t>肖锐03</t>
        </is>
      </c>
      <c r="J54" s="339" t="inlineStr">
        <is>
          <t>林志豪01</t>
        </is>
      </c>
      <c r="K54" s="339" t="inlineStr">
        <is>
          <t>满族小学</t>
        </is>
      </c>
      <c r="L54" s="339" t="inlineStr">
        <is>
          <t>知用中学</t>
        </is>
      </c>
      <c r="M54" s="770" t="inlineStr">
        <is>
          <t>学习不主动
不监督作业，校外作业完成不好</t>
        </is>
      </c>
      <c r="N54" s="339" t="inlineStr">
        <is>
          <t>不够细心</t>
        </is>
      </c>
      <c r="O54" s="339" t="inlineStr">
        <is>
          <t>上过线上的作业帮</t>
        </is>
      </c>
      <c r="P54" s="339" t="inlineStr">
        <is>
          <t>BA左右</t>
        </is>
      </c>
      <c r="Q54" s="339" t="n"/>
      <c r="R54" s="339" t="n"/>
      <c r="S54" s="339" t="n"/>
      <c r="T54" s="339" t="inlineStr">
        <is>
          <t>是</t>
        </is>
      </c>
      <c r="U54" s="339" t="inlineStr">
        <is>
          <t>是</t>
        </is>
      </c>
      <c r="V54" s="339" t="n"/>
      <c r="W54" s="339" t="n"/>
      <c r="X54" s="339" t="n"/>
      <c r="Y54" s="339" t="n"/>
      <c r="Z54" s="339" t="n"/>
      <c r="AA54" s="339" t="n"/>
      <c r="AB54" s="339" t="n"/>
      <c r="AC54" s="339" t="n"/>
      <c r="AD54" s="339" t="n"/>
      <c r="AE54" s="339" t="n"/>
      <c r="AF54" s="339" t="n"/>
      <c r="AG54" s="339" t="n"/>
      <c r="AH54" s="339" t="n"/>
    </row>
    <row r="55" ht="26.25" customHeight="1" s="1053">
      <c r="A55" s="339" t="inlineStr">
        <is>
          <t>新宝利</t>
        </is>
      </c>
      <c r="B55" s="339" t="inlineStr">
        <is>
          <t>一期</t>
        </is>
      </c>
      <c r="C55" s="339" t="n">
        <v>5230742</v>
      </c>
      <c r="D55" s="339" t="inlineStr">
        <is>
          <t>13:20-15:30</t>
        </is>
      </c>
      <c r="E55" s="339" t="inlineStr">
        <is>
          <t>潜能班</t>
        </is>
      </c>
      <c r="F55" s="339" t="inlineStr">
        <is>
          <t>俊儒</t>
        </is>
      </c>
      <c r="G55" s="339" t="inlineStr">
        <is>
          <t>何咏04</t>
        </is>
      </c>
      <c r="H55" s="339" t="inlineStr">
        <is>
          <t>陈南05</t>
        </is>
      </c>
      <c r="I55" s="339" t="inlineStr">
        <is>
          <t>高心怡04</t>
        </is>
      </c>
      <c r="J55" s="339" t="inlineStr">
        <is>
          <t>张敏烨</t>
        </is>
      </c>
      <c r="K55" s="404" t="inlineStr">
        <is>
          <t>小北路</t>
        </is>
      </c>
      <c r="L55" s="404" t="inlineStr">
        <is>
          <t>等摇号</t>
        </is>
      </c>
      <c r="M55" s="771" t="inlineStr">
        <is>
          <t>不愿意做数学作业
监督</t>
        </is>
      </c>
      <c r="N55" s="772" t="inlineStr">
        <is>
          <t>计算薄弱，每天一页口算，难坚持
暑假课希望上课之前补基础</t>
        </is>
      </c>
      <c r="O55" s="773" t="inlineStr">
        <is>
          <t>基础差，没有内驱力
厌倦学习</t>
        </is>
      </c>
      <c r="P55" s="404" t="inlineStr">
        <is>
          <t>70多分</t>
        </is>
      </c>
      <c r="Q55" s="339" t="n">
        <v>65</v>
      </c>
      <c r="R55" s="339" t="n"/>
      <c r="S55" s="339" t="n"/>
      <c r="T55" s="339" t="inlineStr">
        <is>
          <t>是</t>
        </is>
      </c>
      <c r="U55" s="339" t="inlineStr">
        <is>
          <t>是</t>
        </is>
      </c>
      <c r="V55" s="339" t="n"/>
      <c r="W55" s="339" t="n"/>
      <c r="X55" s="339" t="n"/>
      <c r="Y55" s="339" t="n"/>
      <c r="Z55" s="339" t="n"/>
      <c r="AA55" s="339" t="n"/>
      <c r="AB55" s="339" t="n"/>
      <c r="AC55" s="339" t="n"/>
      <c r="AD55" s="339" t="n"/>
      <c r="AE55" s="339" t="n"/>
      <c r="AF55" s="339" t="n"/>
      <c r="AG55" s="339" t="n"/>
      <c r="AH55" s="339" t="inlineStr">
        <is>
          <t>是</t>
        </is>
      </c>
    </row>
    <row r="56" ht="26.25" customHeight="1" s="1053">
      <c r="A56" s="339" t="inlineStr">
        <is>
          <t>新宝利</t>
        </is>
      </c>
      <c r="B56" s="339" t="inlineStr">
        <is>
          <t>一期</t>
        </is>
      </c>
      <c r="C56" s="339" t="n">
        <v>5230742</v>
      </c>
      <c r="D56" s="339" t="inlineStr">
        <is>
          <t>13:20-15:30</t>
        </is>
      </c>
      <c r="E56" s="339" t="inlineStr">
        <is>
          <t>潜能班</t>
        </is>
      </c>
      <c r="F56" s="339" t="inlineStr">
        <is>
          <t>叶璟霖</t>
        </is>
      </c>
      <c r="G56" s="339" t="inlineStr">
        <is>
          <t>何咏04</t>
        </is>
      </c>
      <c r="H56" s="339" t="n"/>
      <c r="I56" s="339" t="n"/>
      <c r="J56" s="339" t="inlineStr">
        <is>
          <t>林志豪01</t>
        </is>
      </c>
      <c r="K56" s="404" t="n"/>
      <c r="L56" s="404" t="inlineStr">
        <is>
          <t>志愿已经填了</t>
        </is>
      </c>
      <c r="M56" s="774" t="inlineStr">
        <is>
          <t>买练习册做
一般自觉，很少看作业</t>
        </is>
      </c>
      <c r="N56" s="775" t="inlineStr">
        <is>
          <t>几何图形弱
初中预习</t>
        </is>
      </c>
      <c r="O56" s="403" t="inlineStr">
        <is>
          <t>没上过机构</t>
        </is>
      </c>
      <c r="P56" s="404" t="inlineStr">
        <is>
          <t>80-95分</t>
        </is>
      </c>
      <c r="Q56" s="339" t="n">
        <v>70</v>
      </c>
      <c r="R56" s="339" t="n"/>
      <c r="S56" s="339" t="n"/>
      <c r="T56" s="339" t="inlineStr">
        <is>
          <t>是</t>
        </is>
      </c>
      <c r="U56" s="339" t="inlineStr">
        <is>
          <t>是</t>
        </is>
      </c>
      <c r="V56" s="339" t="n"/>
      <c r="W56" s="339" t="n"/>
      <c r="X56" s="339" t="n"/>
      <c r="Y56" s="339" t="n"/>
      <c r="Z56" s="339" t="n"/>
      <c r="AA56" s="339" t="n"/>
      <c r="AB56" s="339" t="n"/>
      <c r="AC56" s="339" t="n"/>
      <c r="AD56" s="339" t="n"/>
      <c r="AE56" s="339" t="n"/>
      <c r="AF56" s="339" t="n"/>
      <c r="AG56" s="339" t="n"/>
      <c r="AH56" s="339" t="n"/>
    </row>
    <row r="57" ht="26.25" customHeight="1" s="1053">
      <c r="A57" s="339" t="inlineStr">
        <is>
          <t>新宝利</t>
        </is>
      </c>
      <c r="B57" s="339" t="inlineStr">
        <is>
          <t>一期</t>
        </is>
      </c>
      <c r="C57" s="339" t="n">
        <v>5230742</v>
      </c>
      <c r="D57" s="339" t="inlineStr">
        <is>
          <t>13:20-15:30</t>
        </is>
      </c>
      <c r="E57" s="339" t="inlineStr">
        <is>
          <t>潜能班</t>
        </is>
      </c>
      <c r="F57" s="339" t="inlineStr">
        <is>
          <t>崔梓莹</t>
        </is>
      </c>
      <c r="G57" s="339" t="inlineStr">
        <is>
          <t>何咏04</t>
        </is>
      </c>
      <c r="H57" s="339" t="n"/>
      <c r="I57" s="339" t="n"/>
      <c r="J57" s="339" t="inlineStr">
        <is>
          <t>张敏烨</t>
        </is>
      </c>
      <c r="K57" s="339" t="n"/>
      <c r="L57" s="339" t="n"/>
      <c r="M57" s="776" t="inlineStr">
        <is>
          <t>不太自觉
家长教育参与度低</t>
        </is>
      </c>
      <c r="N57" s="777" t="inlineStr">
        <is>
          <t>基础比较薄弱
补小学薄弱，衔接初中</t>
        </is>
      </c>
      <c r="O57" s="778" t="inlineStr">
        <is>
          <t>接电话，不说话，挂断！
线下说平时接不到电话，发微信联系
和欧阳紫晴一起的</t>
        </is>
      </c>
      <c r="P57" s="339" t="n"/>
      <c r="Q57" s="339" t="n">
        <v>71</v>
      </c>
      <c r="R57" s="339" t="n"/>
      <c r="S57" s="339" t="n"/>
      <c r="T57" s="339" t="inlineStr">
        <is>
          <t>是</t>
        </is>
      </c>
      <c r="U57" s="339" t="inlineStr">
        <is>
          <t>是</t>
        </is>
      </c>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一期</t>
        </is>
      </c>
      <c r="C58" s="339" t="n">
        <v>5230742</v>
      </c>
      <c r="D58" s="339" t="inlineStr">
        <is>
          <t>13:20-15:30</t>
        </is>
      </c>
      <c r="E58" s="339" t="inlineStr">
        <is>
          <t>潜能班</t>
        </is>
      </c>
      <c r="F58" s="339" t="inlineStr">
        <is>
          <t>朗朗</t>
        </is>
      </c>
      <c r="G58" s="339" t="inlineStr">
        <is>
          <t>何咏04</t>
        </is>
      </c>
      <c r="H58" s="339" t="inlineStr">
        <is>
          <t>陈南05</t>
        </is>
      </c>
      <c r="I58" s="339" t="inlineStr">
        <is>
          <t>肖锐03</t>
        </is>
      </c>
      <c r="J58" s="339" t="inlineStr">
        <is>
          <t>陈亮延</t>
        </is>
      </c>
      <c r="K58" s="339" t="inlineStr">
        <is>
          <t>旧步前小学</t>
        </is>
      </c>
      <c r="L58" s="339" t="inlineStr">
        <is>
          <t>华侨</t>
        </is>
      </c>
      <c r="M58" s="779" t="inlineStr">
        <is>
          <t>一般自觉
不监督学习</t>
        </is>
      </c>
      <c r="N58" s="780" t="inlineStr">
        <is>
          <t>计算薄弱
暑假课解决</t>
        </is>
      </c>
      <c r="O58" s="404" t="inlineStr">
        <is>
          <t>要调课到三期，三科都要，练习报课老师</t>
        </is>
      </c>
      <c r="P58" s="339" t="inlineStr">
        <is>
          <t>90分差不多</t>
        </is>
      </c>
      <c r="Q58" s="339" t="n">
        <v>33.5</v>
      </c>
      <c r="R58" s="339" t="n"/>
      <c r="S58" s="339" t="n"/>
      <c r="T58" s="339" t="inlineStr">
        <is>
          <t>是</t>
        </is>
      </c>
      <c r="U58" s="339" t="inlineStr">
        <is>
          <t>是</t>
        </is>
      </c>
      <c r="V58" s="339" t="n"/>
      <c r="W58" s="339" t="n"/>
      <c r="X58" s="339" t="n"/>
      <c r="Y58" s="339" t="n"/>
      <c r="Z58" s="339" t="n"/>
      <c r="AA58" s="339" t="n"/>
      <c r="AB58" s="339" t="n"/>
      <c r="AC58" s="339" t="n"/>
      <c r="AD58" s="339" t="n"/>
      <c r="AE58" s="339" t="n"/>
      <c r="AF58" s="339" t="n"/>
      <c r="AG58" s="339" t="n"/>
      <c r="AH58" s="339" t="n"/>
    </row>
    <row r="59" ht="26.25" customHeight="1" s="1053">
      <c r="A59" s="340" t="inlineStr">
        <is>
          <t>新宝利</t>
        </is>
      </c>
      <c r="B59" s="340" t="inlineStr">
        <is>
          <t>一期</t>
        </is>
      </c>
      <c r="C59" s="340" t="n">
        <v>5230742</v>
      </c>
      <c r="D59" s="340" t="inlineStr">
        <is>
          <t>13:20-15:30</t>
        </is>
      </c>
      <c r="E59" s="340" t="inlineStr">
        <is>
          <t>潜能班</t>
        </is>
      </c>
      <c r="F59" s="445" t="inlineStr">
        <is>
          <t>朱晋熙</t>
        </is>
      </c>
      <c r="G59" s="340" t="inlineStr">
        <is>
          <t>何咏04</t>
        </is>
      </c>
      <c r="H59" s="340" t="inlineStr">
        <is>
          <t>陈南05</t>
        </is>
      </c>
      <c r="I59" s="340" t="inlineStr">
        <is>
          <t>肖锐03</t>
        </is>
      </c>
      <c r="J59" s="340" t="inlineStr">
        <is>
          <t>林志豪01</t>
        </is>
      </c>
      <c r="K59" s="340" t="n"/>
      <c r="L59" s="340" t="n"/>
      <c r="M59" s="340" t="n"/>
      <c r="N59" s="340" t="n"/>
      <c r="O59" s="340" t="inlineStr">
        <is>
          <t>直接挂断，等待加微信沟通</t>
        </is>
      </c>
      <c r="P59" s="340" t="n"/>
      <c r="Q59" s="340" t="n"/>
      <c r="R59" s="340" t="n"/>
      <c r="S59" s="340" t="n"/>
      <c r="T59" s="340" t="inlineStr">
        <is>
          <t>是</t>
        </is>
      </c>
      <c r="U59" s="340" t="inlineStr">
        <is>
          <t>是</t>
        </is>
      </c>
      <c r="V59" s="340" t="n"/>
      <c r="W59" s="340" t="n"/>
      <c r="X59" s="340" t="n"/>
      <c r="Y59" s="340" t="n"/>
      <c r="Z59" s="340" t="n"/>
      <c r="AA59" s="340" t="n"/>
      <c r="AB59" s="340" t="n"/>
      <c r="AC59" s="340" t="n"/>
      <c r="AD59" s="340" t="n"/>
      <c r="AE59" s="340" t="n"/>
      <c r="AF59" s="340" t="n"/>
      <c r="AG59" s="340" t="n"/>
      <c r="AH59" s="340" t="n"/>
    </row>
    <row r="60" ht="26.25" customHeight="1" s="1053">
      <c r="A60" s="339" t="inlineStr">
        <is>
          <t>新宝利</t>
        </is>
      </c>
      <c r="B60" s="339" t="inlineStr">
        <is>
          <t>一期</t>
        </is>
      </c>
      <c r="C60" s="339" t="n">
        <v>5230742</v>
      </c>
      <c r="D60" s="339" t="inlineStr">
        <is>
          <t>13:20-15:30</t>
        </is>
      </c>
      <c r="E60" s="339" t="inlineStr">
        <is>
          <t>潜能班</t>
        </is>
      </c>
      <c r="F60" s="339" t="inlineStr">
        <is>
          <t>林钰琪</t>
        </is>
      </c>
      <c r="G60" s="339" t="inlineStr">
        <is>
          <t>何咏04</t>
        </is>
      </c>
      <c r="H60" s="339" t="inlineStr">
        <is>
          <t>陈南05</t>
        </is>
      </c>
      <c r="I60" s="339" t="inlineStr">
        <is>
          <t>肖锐03</t>
        </is>
      </c>
      <c r="J60" s="339" t="inlineStr">
        <is>
          <t>张敏烨</t>
        </is>
      </c>
      <c r="K60" s="404" t="n"/>
      <c r="L60" s="404" t="inlineStr">
        <is>
          <t>志愿三中</t>
        </is>
      </c>
      <c r="M60" s="404" t="inlineStr">
        <is>
          <t>自己学，家长从来不管</t>
        </is>
      </c>
      <c r="N60" s="781" t="inlineStr">
        <is>
          <t>家长不了解孩子的学习习惯
就想和郭诗颖一起上课</t>
        </is>
      </c>
      <c r="O60" s="403" t="inlineStr">
        <is>
          <t>上过猿辅导网课</t>
        </is>
      </c>
      <c r="P60" s="404" t="n">
        <v>95</v>
      </c>
      <c r="Q60" s="339" t="n">
        <v>70</v>
      </c>
      <c r="R60" s="339" t="n"/>
      <c r="S60" s="339" t="n"/>
      <c r="T60" s="339" t="inlineStr">
        <is>
          <t>是</t>
        </is>
      </c>
      <c r="U60" s="339" t="inlineStr">
        <is>
          <t>是</t>
        </is>
      </c>
      <c r="V60" s="339" t="n"/>
      <c r="W60" s="339" t="n"/>
      <c r="X60" s="339" t="n"/>
      <c r="Y60" s="339" t="n"/>
      <c r="Z60" s="339" t="n"/>
      <c r="AA60" s="339" t="n"/>
      <c r="AB60" s="339" t="n"/>
      <c r="AC60" s="339" t="n"/>
      <c r="AD60" s="339" t="n"/>
      <c r="AE60" s="339" t="n"/>
      <c r="AF60" s="339" t="n"/>
      <c r="AG60" s="339" t="n"/>
      <c r="AH60" s="339" t="n"/>
    </row>
    <row r="61" ht="26.25" customHeight="1" s="1053">
      <c r="A61" s="339" t="inlineStr">
        <is>
          <t>新宝利</t>
        </is>
      </c>
      <c r="B61" s="339" t="inlineStr">
        <is>
          <t>一期</t>
        </is>
      </c>
      <c r="C61" s="339" t="n">
        <v>5230742</v>
      </c>
      <c r="D61" s="339" t="inlineStr">
        <is>
          <t>13:20-15:30</t>
        </is>
      </c>
      <c r="E61" s="339" t="inlineStr">
        <is>
          <t>潜能班</t>
        </is>
      </c>
      <c r="F61" s="339" t="inlineStr">
        <is>
          <t>林靖桐</t>
        </is>
      </c>
      <c r="G61" s="339" t="inlineStr">
        <is>
          <t>何咏04</t>
        </is>
      </c>
      <c r="H61" s="339" t="inlineStr">
        <is>
          <t>陈南05</t>
        </is>
      </c>
      <c r="I61" s="339" t="inlineStr">
        <is>
          <t>肖锐03</t>
        </is>
      </c>
      <c r="J61" s="339" t="inlineStr">
        <is>
          <t>张敏烨</t>
        </is>
      </c>
      <c r="K61" s="339" t="inlineStr">
        <is>
          <t>八一希望小学</t>
        </is>
      </c>
      <c r="L61" s="339" t="inlineStr">
        <is>
          <t>知用中学</t>
        </is>
      </c>
      <c r="M61" s="782" t="inlineStr">
        <is>
          <t>一般自觉
不监督学习</t>
        </is>
      </c>
      <c r="N61" s="339" t="inlineStr">
        <is>
          <t>对于倍数、解决问题类题型的答题逻辑容易模糊</t>
        </is>
      </c>
      <c r="O61" s="339" t="inlineStr">
        <is>
          <t>没接到电话，微信上沟通的</t>
        </is>
      </c>
      <c r="P61" s="783" t="inlineStr">
        <is>
          <t>a和b之间
不稳定</t>
        </is>
      </c>
      <c r="Q61" s="339" t="n"/>
      <c r="R61" s="339" t="n"/>
      <c r="S61" s="339" t="n"/>
      <c r="T61" s="339" t="inlineStr">
        <is>
          <t>是</t>
        </is>
      </c>
      <c r="U61" s="339" t="inlineStr">
        <is>
          <t>是</t>
        </is>
      </c>
      <c r="V61" s="339" t="n"/>
      <c r="W61" s="339" t="n"/>
      <c r="X61" s="339" t="n"/>
      <c r="Y61" s="339" t="n"/>
      <c r="Z61" s="339" t="n"/>
      <c r="AA61" s="339" t="n"/>
      <c r="AB61" s="339" t="n"/>
      <c r="AC61" s="339" t="n"/>
      <c r="AD61" s="339" t="n"/>
      <c r="AE61" s="339" t="n"/>
      <c r="AF61" s="339" t="n"/>
      <c r="AG61" s="339" t="n"/>
      <c r="AH61" s="339" t="n"/>
    </row>
    <row r="62" ht="26.25" customHeight="1" s="1053">
      <c r="A62" s="339" t="inlineStr">
        <is>
          <t>新宝利</t>
        </is>
      </c>
      <c r="B62" s="339" t="inlineStr">
        <is>
          <t>一期</t>
        </is>
      </c>
      <c r="C62" s="339" t="n">
        <v>5230742</v>
      </c>
      <c r="D62" s="339" t="inlineStr">
        <is>
          <t>13:20-15:30</t>
        </is>
      </c>
      <c r="E62" s="339" t="inlineStr">
        <is>
          <t>潜能班</t>
        </is>
      </c>
      <c r="F62" s="339" t="inlineStr">
        <is>
          <t>林骏锋</t>
        </is>
      </c>
      <c r="G62" s="339" t="inlineStr">
        <is>
          <t>何咏04</t>
        </is>
      </c>
      <c r="H62" s="339" t="inlineStr">
        <is>
          <t>陈南05</t>
        </is>
      </c>
      <c r="I62" s="339" t="inlineStr">
        <is>
          <t>肖锐03</t>
        </is>
      </c>
      <c r="J62" s="339" t="inlineStr">
        <is>
          <t>林志豪01</t>
        </is>
      </c>
      <c r="K62" s="339" t="n"/>
      <c r="L62" s="339" t="n"/>
      <c r="M62" s="339" t="n"/>
      <c r="N62" s="339" t="n"/>
      <c r="O62" s="784" t="inlineStr">
        <is>
          <t>关浩言转介绍
没接到电话</t>
        </is>
      </c>
      <c r="P62" s="339" t="n">
        <v>60</v>
      </c>
      <c r="Q62" s="339" t="n"/>
      <c r="R62" s="339" t="n"/>
      <c r="S62" s="339" t="n"/>
      <c r="T62" s="339" t="inlineStr">
        <is>
          <t>是</t>
        </is>
      </c>
      <c r="U62" s="339" t="inlineStr">
        <is>
          <t>是</t>
        </is>
      </c>
      <c r="V62" s="339" t="n"/>
      <c r="W62" s="339" t="n"/>
      <c r="X62" s="339" t="n"/>
      <c r="Y62" s="339" t="n"/>
      <c r="Z62" s="339" t="n"/>
      <c r="AA62" s="339" t="n"/>
      <c r="AB62" s="339" t="n"/>
      <c r="AC62" s="339" t="n"/>
      <c r="AD62" s="339" t="n"/>
      <c r="AE62" s="339" t="n"/>
      <c r="AF62" s="339" t="n"/>
      <c r="AG62" s="339" t="n"/>
      <c r="AH62" s="339" t="n"/>
    </row>
    <row r="63" ht="26.25" customHeight="1" s="1053">
      <c r="A63" s="339" t="inlineStr">
        <is>
          <t>新宝利</t>
        </is>
      </c>
      <c r="B63" s="339" t="inlineStr">
        <is>
          <t>一期</t>
        </is>
      </c>
      <c r="C63" s="339" t="n">
        <v>5230742</v>
      </c>
      <c r="D63" s="339" t="inlineStr">
        <is>
          <t>13:20-15:30</t>
        </is>
      </c>
      <c r="E63" s="339" t="inlineStr">
        <is>
          <t>潜能班</t>
        </is>
      </c>
      <c r="F63" s="339" t="inlineStr">
        <is>
          <t>欧阳紫晴</t>
        </is>
      </c>
      <c r="G63" s="339" t="inlineStr">
        <is>
          <t>何咏04</t>
        </is>
      </c>
      <c r="H63" s="339" t="inlineStr">
        <is>
          <t>陈南05</t>
        </is>
      </c>
      <c r="I63" s="339" t="inlineStr">
        <is>
          <t>肖锐03</t>
        </is>
      </c>
      <c r="J63" s="339" t="inlineStr">
        <is>
          <t>张敏烨</t>
        </is>
      </c>
      <c r="K63" s="404" t="n"/>
      <c r="L63" s="404" t="inlineStr">
        <is>
          <t>摇号</t>
        </is>
      </c>
      <c r="M63" s="785" t="inlineStr">
        <is>
          <t>不管作业
一般不自觉</t>
        </is>
      </c>
      <c r="N63" s="786" t="inlineStr">
        <is>
          <t>懒
衔接初中</t>
        </is>
      </c>
      <c r="O63" s="403" t="inlineStr">
        <is>
          <t>没上过机构</t>
        </is>
      </c>
      <c r="P63" s="404" t="inlineStr">
        <is>
          <t>85，85，数学90以内</t>
        </is>
      </c>
      <c r="Q63" s="339" t="n">
        <v>75</v>
      </c>
      <c r="R63" s="339" t="n"/>
      <c r="S63" s="339" t="n"/>
      <c r="T63" s="339" t="inlineStr">
        <is>
          <t>是</t>
        </is>
      </c>
      <c r="U63" s="339" t="inlineStr">
        <is>
          <t>是</t>
        </is>
      </c>
      <c r="V63" s="339" t="n"/>
      <c r="W63" s="339" t="n"/>
      <c r="X63" s="339" t="n"/>
      <c r="Y63" s="339" t="n"/>
      <c r="Z63" s="339" t="n"/>
      <c r="AA63" s="339" t="n"/>
      <c r="AB63" s="339" t="n"/>
      <c r="AC63" s="339" t="n"/>
      <c r="AD63" s="339" t="n"/>
      <c r="AE63" s="339" t="n"/>
      <c r="AF63" s="339" t="n"/>
      <c r="AG63" s="339" t="n"/>
      <c r="AH63" s="339" t="n"/>
    </row>
    <row r="64" ht="26.25" customHeight="1" s="1053">
      <c r="A64" s="339" t="inlineStr">
        <is>
          <t>新宝利</t>
        </is>
      </c>
      <c r="B64" s="339" t="inlineStr">
        <is>
          <t>一期</t>
        </is>
      </c>
      <c r="C64" s="339" t="n">
        <v>5230742</v>
      </c>
      <c r="D64" s="339" t="inlineStr">
        <is>
          <t>13:20-15:30</t>
        </is>
      </c>
      <c r="E64" s="339" t="inlineStr">
        <is>
          <t>潜能班</t>
        </is>
      </c>
      <c r="F64" s="339" t="inlineStr">
        <is>
          <t>王若清</t>
        </is>
      </c>
      <c r="G64" s="339" t="inlineStr">
        <is>
          <t>何咏04</t>
        </is>
      </c>
      <c r="H64" s="339" t="inlineStr">
        <is>
          <t>陈南05</t>
        </is>
      </c>
      <c r="I64" s="339" t="inlineStr">
        <is>
          <t>肖锐03</t>
        </is>
      </c>
      <c r="J64" s="339" t="inlineStr">
        <is>
          <t>沈思浩</t>
        </is>
      </c>
      <c r="K64" s="339" t="n"/>
      <c r="L64" s="339" t="n"/>
      <c r="M64" s="339" t="n"/>
      <c r="N64" s="339" t="n"/>
      <c r="O64" s="403" t="inlineStr">
        <is>
          <t>无人接听</t>
        </is>
      </c>
      <c r="P64" s="339" t="n"/>
      <c r="Q64" s="339" t="n">
        <v>64</v>
      </c>
      <c r="R64" s="339" t="n"/>
      <c r="S64" s="339" t="n"/>
      <c r="T64" s="339" t="inlineStr">
        <is>
          <t>是</t>
        </is>
      </c>
      <c r="U64" s="339" t="inlineStr">
        <is>
          <t>是</t>
        </is>
      </c>
      <c r="V64" s="339" t="n"/>
      <c r="W64" s="339" t="n"/>
      <c r="X64" s="339" t="n"/>
      <c r="Y64" s="339" t="n"/>
      <c r="Z64" s="339" t="n"/>
      <c r="AA64" s="339" t="n"/>
      <c r="AB64" s="339" t="n"/>
      <c r="AC64" s="339" t="n"/>
      <c r="AD64" s="339" t="n"/>
      <c r="AE64" s="339" t="n"/>
      <c r="AF64" s="339" t="n"/>
      <c r="AG64" s="339" t="n"/>
      <c r="AH64" s="339" t="n"/>
    </row>
    <row r="65" ht="26.25" customHeight="1" s="1053">
      <c r="A65" s="340" t="inlineStr">
        <is>
          <t>新宝利</t>
        </is>
      </c>
      <c r="B65" s="340" t="inlineStr">
        <is>
          <t>一期</t>
        </is>
      </c>
      <c r="C65" s="340" t="n">
        <v>5230742</v>
      </c>
      <c r="D65" s="340" t="inlineStr">
        <is>
          <t>13:20-15:30</t>
        </is>
      </c>
      <c r="E65" s="340" t="inlineStr">
        <is>
          <t>潜能班</t>
        </is>
      </c>
      <c r="F65" s="340" t="inlineStr">
        <is>
          <t>罗蕴欣</t>
        </is>
      </c>
      <c r="G65" s="340" t="inlineStr">
        <is>
          <t>何咏04</t>
        </is>
      </c>
      <c r="H65" s="340" t="n"/>
      <c r="I65" s="340" t="n"/>
      <c r="J65" s="340" t="inlineStr">
        <is>
          <t>陈亮延</t>
        </is>
      </c>
      <c r="K65" s="340" t="inlineStr">
        <is>
          <t>东风西</t>
        </is>
      </c>
      <c r="L65" s="340" t="inlineStr">
        <is>
          <t>还没定</t>
        </is>
      </c>
      <c r="M65" s="787" t="inlineStr">
        <is>
          <t>一般自觉
作业自己做，家长不监督</t>
        </is>
      </c>
      <c r="N65" s="421" t="inlineStr">
        <is>
          <t>比例薄弱</t>
        </is>
      </c>
      <c r="O65" s="421" t="inlineStr">
        <is>
          <t>没上过机构课</t>
        </is>
      </c>
      <c r="P65" s="340" t="inlineStr">
        <is>
          <t>A</t>
        </is>
      </c>
      <c r="Q65" s="34" t="n"/>
      <c r="R65" s="340" t="n"/>
      <c r="S65" s="340" t="n"/>
      <c r="T65" s="340" t="inlineStr">
        <is>
          <t>是</t>
        </is>
      </c>
      <c r="U65" s="340" t="inlineStr">
        <is>
          <t>是</t>
        </is>
      </c>
      <c r="V65" s="340" t="n"/>
      <c r="W65" s="340" t="n"/>
      <c r="X65" s="340" t="n"/>
      <c r="Y65" s="340" t="n"/>
      <c r="Z65" s="340" t="n"/>
      <c r="AA65" s="340" t="n"/>
      <c r="AB65" s="340" t="n"/>
      <c r="AC65" s="340" t="n"/>
      <c r="AD65" s="340" t="n"/>
      <c r="AE65" s="340" t="n"/>
      <c r="AF65" s="340" t="n"/>
      <c r="AG65" s="340" t="n"/>
      <c r="AH65" s="340" t="n"/>
    </row>
    <row r="66" ht="26.25" customHeight="1" s="1053">
      <c r="A66" s="339" t="inlineStr">
        <is>
          <t>新宝利</t>
        </is>
      </c>
      <c r="B66" s="339" t="inlineStr">
        <is>
          <t>一期</t>
        </is>
      </c>
      <c r="C66" s="339" t="n">
        <v>5230742</v>
      </c>
      <c r="D66" s="339" t="inlineStr">
        <is>
          <t>13:20-15:30</t>
        </is>
      </c>
      <c r="E66" s="339" t="inlineStr">
        <is>
          <t>潜能班</t>
        </is>
      </c>
      <c r="F66" s="339" t="inlineStr">
        <is>
          <t>苍云轩</t>
        </is>
      </c>
      <c r="G66" s="339" t="inlineStr">
        <is>
          <t>何咏04</t>
        </is>
      </c>
      <c r="H66" s="339" t="inlineStr">
        <is>
          <t>陈南05</t>
        </is>
      </c>
      <c r="I66" s="339" t="inlineStr">
        <is>
          <t>肖锐03</t>
        </is>
      </c>
      <c r="J66" s="339" t="inlineStr">
        <is>
          <t>陈亮延</t>
        </is>
      </c>
      <c r="K66" s="404" t="n"/>
      <c r="L66" s="788" t="inlineStr">
        <is>
          <t>"摇号
三中"</t>
        </is>
      </c>
      <c r="M66" s="404" t="inlineStr">
        <is>
          <t>满族</t>
        </is>
      </c>
      <c r="N66" s="404" t="inlineStr">
        <is>
          <t>未知</t>
        </is>
      </c>
      <c r="O66" s="209" t="inlineStr">
        <is>
          <t>课后联系</t>
        </is>
      </c>
      <c r="P66" s="339" t="n"/>
      <c r="Q66" s="339" t="n">
        <v>22</v>
      </c>
      <c r="R66" s="339" t="n"/>
      <c r="S66" s="339" t="n"/>
      <c r="T66" s="339" t="inlineStr">
        <is>
          <t>是</t>
        </is>
      </c>
      <c r="U66" s="339" t="inlineStr">
        <is>
          <t>是</t>
        </is>
      </c>
      <c r="V66" s="339" t="n"/>
      <c r="W66" s="339" t="n"/>
      <c r="X66" s="339" t="n"/>
      <c r="Y66" s="339" t="n"/>
      <c r="Z66" s="339" t="n"/>
      <c r="AA66" s="339" t="n"/>
      <c r="AB66" s="339" t="n"/>
      <c r="AC66" s="339" t="n"/>
      <c r="AD66" s="339" t="n"/>
      <c r="AE66" s="339" t="n"/>
      <c r="AF66" s="339" t="n"/>
      <c r="AG66" s="339" t="n"/>
      <c r="AH66" s="339" t="n"/>
    </row>
    <row r="67" ht="26.25" customHeight="1" s="1053">
      <c r="A67" s="339" t="inlineStr">
        <is>
          <t>新宝利</t>
        </is>
      </c>
      <c r="B67" s="339" t="inlineStr">
        <is>
          <t>一期</t>
        </is>
      </c>
      <c r="C67" s="339" t="n">
        <v>5230742</v>
      </c>
      <c r="D67" s="339" t="inlineStr">
        <is>
          <t>13:20-15:30</t>
        </is>
      </c>
      <c r="E67" s="339" t="inlineStr">
        <is>
          <t>潜能班</t>
        </is>
      </c>
      <c r="F67" s="339" t="inlineStr">
        <is>
          <t>赖信雅</t>
        </is>
      </c>
      <c r="G67" s="339" t="inlineStr">
        <is>
          <t>何咏04</t>
        </is>
      </c>
      <c r="H67" s="339" t="inlineStr">
        <is>
          <t>陈南05</t>
        </is>
      </c>
      <c r="I67" s="339" t="inlineStr">
        <is>
          <t>肖锐03</t>
        </is>
      </c>
      <c r="J67" s="339" t="inlineStr">
        <is>
          <t>沈思浩</t>
        </is>
      </c>
      <c r="K67" s="404" t="inlineStr">
        <is>
          <t>满族</t>
        </is>
      </c>
      <c r="L67" s="404" t="inlineStr">
        <is>
          <t>未知</t>
        </is>
      </c>
      <c r="M67" s="404" t="inlineStr">
        <is>
          <t>一直托管</t>
        </is>
      </c>
      <c r="N67" s="789" t="inlineStr">
        <is>
          <t>家长说孩子基础都薄弱
意愿是好好上初中</t>
        </is>
      </c>
      <c r="O67" s="790" t="inlineStr">
        <is>
          <t>xdf，卓越
忙，沟通意愿低</t>
        </is>
      </c>
      <c r="P67" s="404" t="inlineStr">
        <is>
          <t>80多</t>
        </is>
      </c>
      <c r="Q67" s="339" t="n"/>
      <c r="R67" s="339" t="n"/>
      <c r="S67" s="339" t="n"/>
      <c r="T67" s="339" t="inlineStr">
        <is>
          <t>是</t>
        </is>
      </c>
      <c r="U67" s="339" t="inlineStr">
        <is>
          <t>是</t>
        </is>
      </c>
      <c r="V67" s="339" t="n"/>
      <c r="W67" s="339" t="n"/>
      <c r="X67" s="339" t="n"/>
      <c r="Y67" s="339" t="n"/>
      <c r="Z67" s="339" t="n"/>
      <c r="AA67" s="339" t="n"/>
      <c r="AB67" s="339" t="n"/>
      <c r="AC67" s="339" t="n"/>
      <c r="AD67" s="339" t="n"/>
      <c r="AE67" s="339" t="n"/>
      <c r="AF67" s="339" t="n"/>
      <c r="AG67" s="339" t="n"/>
      <c r="AH67" s="339" t="n"/>
    </row>
    <row r="68" ht="26.25" customHeight="1" s="1053">
      <c r="A68" s="339" t="inlineStr">
        <is>
          <t>新宝利</t>
        </is>
      </c>
      <c r="B68" s="339" t="inlineStr">
        <is>
          <t>一期</t>
        </is>
      </c>
      <c r="C68" s="339" t="n">
        <v>5230742</v>
      </c>
      <c r="D68" s="339" t="inlineStr">
        <is>
          <t>13:20-15:30</t>
        </is>
      </c>
      <c r="E68" s="339" t="inlineStr">
        <is>
          <t>潜能班</t>
        </is>
      </c>
      <c r="F68" s="339" t="inlineStr">
        <is>
          <t>钟文可</t>
        </is>
      </c>
      <c r="G68" s="339" t="inlineStr">
        <is>
          <t>何咏04</t>
        </is>
      </c>
      <c r="H68" s="339" t="inlineStr">
        <is>
          <t>陈南05</t>
        </is>
      </c>
      <c r="I68" s="339" t="inlineStr">
        <is>
          <t>肖锐03</t>
        </is>
      </c>
      <c r="J68" s="339" t="inlineStr">
        <is>
          <t>林志豪01</t>
        </is>
      </c>
      <c r="K68" s="339" t="inlineStr">
        <is>
          <t>满族</t>
        </is>
      </c>
      <c r="L68" s="339" t="inlineStr">
        <is>
          <t>知用</t>
        </is>
      </c>
      <c r="M68" s="791" t="inlineStr">
        <is>
          <t>自觉性还可以
做完了看一下</t>
        </is>
      </c>
      <c r="N68" s="792" t="inlineStr">
        <is>
          <t>选择题，填空题薄弱
衔接课</t>
        </is>
      </c>
      <c r="O68" s="339" t="inlineStr">
        <is>
          <t>四五年级学而思，没效果</t>
        </is>
      </c>
      <c r="P68" s="339" t="inlineStr">
        <is>
          <t>80多</t>
        </is>
      </c>
      <c r="Q68" s="339" t="n"/>
      <c r="R68" s="339" t="n"/>
      <c r="S68" s="339" t="n"/>
      <c r="T68" s="339" t="inlineStr">
        <is>
          <t>是</t>
        </is>
      </c>
      <c r="U68" s="339" t="inlineStr">
        <is>
          <t>是</t>
        </is>
      </c>
      <c r="V68" s="339" t="n"/>
      <c r="W68" s="339" t="n"/>
      <c r="X68" s="339" t="n"/>
      <c r="Y68" s="339" t="n"/>
      <c r="Z68" s="339" t="n"/>
      <c r="AA68" s="339" t="n"/>
      <c r="AB68" s="339" t="n"/>
      <c r="AC68" s="339" t="n"/>
      <c r="AD68" s="339" t="n"/>
      <c r="AE68" s="339" t="n"/>
      <c r="AF68" s="339" t="n"/>
      <c r="AG68" s="339" t="n"/>
      <c r="AH68" s="339" t="n"/>
    </row>
    <row r="69" ht="26.25" customHeight="1" s="1053">
      <c r="A69" s="339" t="inlineStr">
        <is>
          <t>新宝利</t>
        </is>
      </c>
      <c r="B69" s="339" t="inlineStr">
        <is>
          <t>一期</t>
        </is>
      </c>
      <c r="C69" s="339" t="n">
        <v>5230742</v>
      </c>
      <c r="D69" s="339" t="inlineStr">
        <is>
          <t>13:20-15:30</t>
        </is>
      </c>
      <c r="E69" s="339" t="inlineStr">
        <is>
          <t>潜能班</t>
        </is>
      </c>
      <c r="F69" s="339" t="inlineStr">
        <is>
          <t>陈柯珉</t>
        </is>
      </c>
      <c r="G69" s="339" t="inlineStr">
        <is>
          <t>何咏04</t>
        </is>
      </c>
      <c r="H69" s="339" t="n"/>
      <c r="I69" s="339" t="n"/>
      <c r="J69" s="339" t="inlineStr">
        <is>
          <t>陈亮延</t>
        </is>
      </c>
      <c r="K69" s="404" t="inlineStr">
        <is>
          <t>朝天</t>
        </is>
      </c>
      <c r="L69" s="404" t="inlineStr">
        <is>
          <t>摇号</t>
        </is>
      </c>
      <c r="M69" s="404" t="inlineStr">
        <is>
          <t>叛逆，家长说不听</t>
        </is>
      </c>
      <c r="N69" s="404" t="inlineStr">
        <is>
          <t>便宜，换个小班课</t>
        </is>
      </c>
      <c r="O69" s="793" t="inlineStr">
        <is>
          <t>在卓越机构拓展数学
语英xdf，看中朋友</t>
        </is>
      </c>
      <c r="P69" s="404" t="inlineStr">
        <is>
          <t>90-95</t>
        </is>
      </c>
      <c r="Q69" s="339" t="n"/>
      <c r="R69" s="339" t="n"/>
      <c r="S69" s="339" t="n"/>
      <c r="T69" s="339" t="inlineStr">
        <is>
          <t>是</t>
        </is>
      </c>
      <c r="U69" s="339" t="inlineStr">
        <is>
          <t>是</t>
        </is>
      </c>
      <c r="V69" s="339" t="n"/>
      <c r="W69" s="339" t="n"/>
      <c r="X69" s="339" t="n"/>
      <c r="Y69" s="339" t="n"/>
      <c r="Z69" s="339" t="n"/>
      <c r="AA69" s="339" t="n"/>
      <c r="AB69" s="339" t="n"/>
      <c r="AC69" s="339" t="n"/>
      <c r="AD69" s="339" t="n"/>
      <c r="AE69" s="339" t="n"/>
      <c r="AF69" s="339" t="n"/>
      <c r="AG69" s="339" t="n"/>
      <c r="AH69" s="339" t="n"/>
    </row>
    <row r="70" ht="26.25" customHeight="1" s="1053">
      <c r="A70" s="339" t="inlineStr">
        <is>
          <t>新宝利</t>
        </is>
      </c>
      <c r="B70" s="339" t="inlineStr">
        <is>
          <t>一期</t>
        </is>
      </c>
      <c r="C70" s="339" t="n">
        <v>5230742</v>
      </c>
      <c r="D70" s="339" t="inlineStr">
        <is>
          <t>13:20-15:30</t>
        </is>
      </c>
      <c r="E70" s="339" t="inlineStr">
        <is>
          <t>潜能班</t>
        </is>
      </c>
      <c r="F70" s="339" t="inlineStr">
        <is>
          <t>陈衍信</t>
        </is>
      </c>
      <c r="G70" s="339" t="inlineStr">
        <is>
          <t>何咏04</t>
        </is>
      </c>
      <c r="H70" s="339" t="inlineStr">
        <is>
          <t>黄铭怡</t>
        </is>
      </c>
      <c r="I70" s="339" t="inlineStr">
        <is>
          <t>肖锐03</t>
        </is>
      </c>
      <c r="J70" s="339" t="inlineStr">
        <is>
          <t>王达04</t>
        </is>
      </c>
      <c r="K70" s="404" t="inlineStr">
        <is>
          <t>八一希望</t>
        </is>
      </c>
      <c r="L70" s="404" t="n"/>
      <c r="M70" s="794" t="inlineStr">
        <is>
          <t>没辅导
一般自觉</t>
        </is>
      </c>
      <c r="N70" s="795" t="inlineStr">
        <is>
          <t>粗心大意
小升初衔接</t>
        </is>
      </c>
      <c r="O70" s="796" t="inlineStr">
        <is>
          <t>课后联系
一直在作业帮？</t>
        </is>
      </c>
      <c r="P70" s="404" t="inlineStr">
        <is>
          <t>90-92</t>
        </is>
      </c>
      <c r="Q70" s="339" t="n">
        <v>59</v>
      </c>
      <c r="R70" s="339" t="n"/>
      <c r="S70" s="339" t="n"/>
      <c r="T70" s="339" t="inlineStr">
        <is>
          <t>是</t>
        </is>
      </c>
      <c r="U70" s="339" t="inlineStr">
        <is>
          <t>是</t>
        </is>
      </c>
      <c r="V70" s="339" t="inlineStr">
        <is>
          <t>是</t>
        </is>
      </c>
      <c r="W70" s="339" t="n"/>
      <c r="X70" s="339" t="n"/>
      <c r="Y70" s="339" t="n"/>
      <c r="Z70" s="339" t="n"/>
      <c r="AA70" s="339" t="n"/>
      <c r="AB70" s="339" t="n"/>
      <c r="AC70" s="339" t="n"/>
      <c r="AD70" s="339" t="n"/>
      <c r="AE70" s="339" t="n"/>
      <c r="AF70" s="339" t="n"/>
      <c r="AG70" s="339" t="n"/>
      <c r="AH70" s="339" t="n"/>
    </row>
    <row r="71" ht="26.25" customHeight="1" s="1053">
      <c r="A71" s="339" t="inlineStr">
        <is>
          <t>新宝利</t>
        </is>
      </c>
      <c r="B71" s="339" t="inlineStr">
        <is>
          <t>一期</t>
        </is>
      </c>
      <c r="C71" s="339" t="n">
        <v>5230742</v>
      </c>
      <c r="D71" s="339" t="inlineStr">
        <is>
          <t>13:20-15:30</t>
        </is>
      </c>
      <c r="E71" s="339" t="inlineStr">
        <is>
          <t>潜能班</t>
        </is>
      </c>
      <c r="F71" s="339" t="inlineStr">
        <is>
          <t>陈韵晞</t>
        </is>
      </c>
      <c r="G71" s="339" t="inlineStr">
        <is>
          <t>何咏04</t>
        </is>
      </c>
      <c r="H71" s="339" t="n"/>
      <c r="I71" s="339" t="inlineStr">
        <is>
          <t>高心怡04</t>
        </is>
      </c>
      <c r="J71" s="339" t="inlineStr">
        <is>
          <t>张敏烨</t>
        </is>
      </c>
      <c r="K71" s="339" t="inlineStr">
        <is>
          <t>海珠区实验附属小学</t>
        </is>
      </c>
      <c r="L71" s="339" t="n"/>
      <c r="M71" s="339" t="n"/>
      <c r="N71" s="797" t="inlineStr">
        <is>
          <t>解决问题
计算都比较容易出错，粗心</t>
        </is>
      </c>
      <c r="O71" s="339" t="inlineStr">
        <is>
          <t>没接通，微信上沟通</t>
        </is>
      </c>
      <c r="P71" s="798" t="inlineStr">
        <is>
          <t>数学比较差
80分至90分左右</t>
        </is>
      </c>
      <c r="Q71" s="339" t="n">
        <v>35</v>
      </c>
      <c r="R71" s="339" t="n"/>
      <c r="S71" s="339" t="n"/>
      <c r="T71" s="339" t="inlineStr">
        <is>
          <t>是</t>
        </is>
      </c>
      <c r="U71" s="339" t="inlineStr">
        <is>
          <t>是</t>
        </is>
      </c>
      <c r="V71" s="339" t="n"/>
      <c r="W71" s="339" t="n"/>
      <c r="X71" s="339" t="n"/>
      <c r="Y71" s="339" t="n"/>
      <c r="Z71" s="339" t="n"/>
      <c r="AA71" s="339" t="n"/>
      <c r="AB71" s="339" t="n"/>
      <c r="AC71" s="339" t="n"/>
      <c r="AD71" s="339" t="n"/>
      <c r="AE71" s="339" t="n"/>
      <c r="AF71" s="339" t="n"/>
      <c r="AG71" s="339" t="n"/>
      <c r="AH71" s="339" t="n"/>
    </row>
    <row r="72" ht="26.25" customHeight="1" s="1053">
      <c r="A72" s="339" t="inlineStr">
        <is>
          <t>新宝利</t>
        </is>
      </c>
      <c r="B72" s="339" t="inlineStr">
        <is>
          <t>一期</t>
        </is>
      </c>
      <c r="C72" s="339" t="n">
        <v>5230742</v>
      </c>
      <c r="D72" s="339" t="inlineStr">
        <is>
          <t>13:20-15:30</t>
        </is>
      </c>
      <c r="E72" s="339" t="inlineStr">
        <is>
          <t>潜能班</t>
        </is>
      </c>
      <c r="F72" s="339" t="inlineStr">
        <is>
          <t>黄愉晴</t>
        </is>
      </c>
      <c r="G72" s="339" t="inlineStr">
        <is>
          <t>何咏04</t>
        </is>
      </c>
      <c r="H72" s="339" t="inlineStr">
        <is>
          <t>陈南05</t>
        </is>
      </c>
      <c r="I72" s="339" t="inlineStr">
        <is>
          <t>肖锐03</t>
        </is>
      </c>
      <c r="J72" s="339" t="inlineStr">
        <is>
          <t>杨林33</t>
        </is>
      </c>
      <c r="K72" s="209" t="inlineStr">
        <is>
          <t>林凤娥小学</t>
        </is>
      </c>
      <c r="L72" s="209" t="inlineStr">
        <is>
          <t>广雅</t>
        </is>
      </c>
      <c r="M72" s="799" t="inlineStr">
        <is>
          <t>不看作业
做作业磨蹭</t>
        </is>
      </c>
      <c r="N72" s="800" t="inlineStr">
        <is>
          <t>学习积极性不够
试一下线下课程</t>
        </is>
      </c>
      <c r="O72" s="801" t="inlineStr">
        <is>
          <t>网上作业帮
家有点远</t>
        </is>
      </c>
      <c r="P72" s="404" t="inlineStr">
        <is>
          <t>大部分A</t>
        </is>
      </c>
      <c r="Q72" s="339" t="n">
        <v>70</v>
      </c>
      <c r="R72" s="339" t="n"/>
      <c r="S72" s="339" t="n"/>
      <c r="T72" s="339" t="inlineStr">
        <is>
          <t>是</t>
        </is>
      </c>
      <c r="U72" s="339" t="inlineStr">
        <is>
          <t>是</t>
        </is>
      </c>
      <c r="V72" s="339" t="n"/>
      <c r="W72" s="339" t="n"/>
      <c r="X72" s="339" t="n"/>
      <c r="Y72" s="339" t="n"/>
      <c r="Z72" s="339" t="n"/>
      <c r="AA72" s="339" t="n"/>
      <c r="AB72" s="339" t="n"/>
      <c r="AC72" s="339" t="n"/>
      <c r="AD72" s="339" t="n"/>
      <c r="AE72" s="339" t="n"/>
      <c r="AF72" s="339" t="n"/>
      <c r="AG72" s="339" t="n"/>
      <c r="AH72" s="339" t="n"/>
    </row>
    <row r="73" ht="26.25" customHeight="1" s="1053">
      <c r="A73" s="339" t="inlineStr">
        <is>
          <t>新宝利</t>
        </is>
      </c>
      <c r="B73" s="339" t="inlineStr">
        <is>
          <t>一期</t>
        </is>
      </c>
      <c r="C73" s="339" t="n">
        <v>5230742</v>
      </c>
      <c r="D73" s="339" t="inlineStr">
        <is>
          <t>13:20-15:30</t>
        </is>
      </c>
      <c r="E73" s="339" t="inlineStr">
        <is>
          <t>潜能班</t>
        </is>
      </c>
      <c r="F73" s="339" t="inlineStr">
        <is>
          <t>黄梓烨</t>
        </is>
      </c>
      <c r="G73" s="339" t="inlineStr">
        <is>
          <t>何咏04</t>
        </is>
      </c>
      <c r="H73" s="339" t="inlineStr">
        <is>
          <t>陈南05</t>
        </is>
      </c>
      <c r="I73" s="339" t="inlineStr">
        <is>
          <t>肖锐03</t>
        </is>
      </c>
      <c r="J73" s="339" t="inlineStr">
        <is>
          <t>杨林33</t>
        </is>
      </c>
      <c r="K73" s="421" t="inlineStr">
        <is>
          <t>小北路</t>
        </is>
      </c>
      <c r="L73" s="421" t="n"/>
      <c r="M73" s="802" t="inlineStr">
        <is>
          <t>主动性不强
不看着</t>
        </is>
      </c>
      <c r="N73" s="803" t="inlineStr">
        <is>
          <t>迎新活动，价格合适，之前小班课
了解了秋季课和暑假课的区别</t>
        </is>
      </c>
      <c r="O73" s="804" t="inlineStr">
        <is>
          <t>课后联系
xdf一直学数学</t>
        </is>
      </c>
      <c r="P73" s="421" t="inlineStr">
        <is>
          <t>95上下，一模90</t>
        </is>
      </c>
      <c r="Q73" s="339" t="n">
        <v>35</v>
      </c>
      <c r="R73" s="339" t="n"/>
      <c r="S73" s="339" t="n"/>
      <c r="T73" s="339" t="inlineStr">
        <is>
          <t>是</t>
        </is>
      </c>
      <c r="U73" s="339" t="inlineStr">
        <is>
          <t>是</t>
        </is>
      </c>
      <c r="V73" s="339" t="n"/>
      <c r="W73" s="339" t="n"/>
      <c r="X73" s="339" t="n"/>
      <c r="Y73" s="339" t="n"/>
      <c r="Z73" s="339" t="n"/>
      <c r="AA73" s="339" t="n"/>
      <c r="AB73" s="339" t="n"/>
      <c r="AC73" s="339" t="n"/>
      <c r="AD73" s="339" t="n"/>
      <c r="AE73" s="339" t="n"/>
      <c r="AF73" s="339" t="n"/>
      <c r="AG73" s="339" t="n"/>
      <c r="AH73" s="339" t="n"/>
    </row>
    <row r="74" ht="26.25" customHeight="1" s="1053">
      <c r="A74" s="339" t="inlineStr">
        <is>
          <t>新宝利</t>
        </is>
      </c>
      <c r="B74" s="339" t="inlineStr">
        <is>
          <t>一期</t>
        </is>
      </c>
      <c r="C74" s="339" t="n">
        <v>5230742</v>
      </c>
      <c r="D74" s="339" t="inlineStr">
        <is>
          <t>13:20-15:30</t>
        </is>
      </c>
      <c r="E74" s="339" t="inlineStr">
        <is>
          <t>潜能班</t>
        </is>
      </c>
      <c r="F74" s="339" t="inlineStr">
        <is>
          <t>黄诗榆</t>
        </is>
      </c>
      <c r="G74" s="339" t="inlineStr">
        <is>
          <t>何咏04</t>
        </is>
      </c>
      <c r="H74" s="339" t="inlineStr">
        <is>
          <t>陈南05</t>
        </is>
      </c>
      <c r="I74" s="339" t="inlineStr">
        <is>
          <t>肖锐03</t>
        </is>
      </c>
      <c r="J74" s="339" t="inlineStr">
        <is>
          <t>林志豪01</t>
        </is>
      </c>
      <c r="K74" s="421" t="inlineStr">
        <is>
          <t>大南路</t>
        </is>
      </c>
      <c r="L74" s="421" t="inlineStr">
        <is>
          <t>华桥</t>
        </is>
      </c>
      <c r="M74" s="805" t="inlineStr">
        <is>
          <t>不自觉，回家不学
不监督</t>
        </is>
      </c>
      <c r="N74" s="421" t="inlineStr">
        <is>
          <t>衔接</t>
        </is>
      </c>
      <c r="O74" s="806" t="inlineStr">
        <is>
          <t>西门口
慢热，熟人不内向</t>
        </is>
      </c>
      <c r="P74" s="421" t="inlineStr">
        <is>
          <t>26号拿成绩</t>
        </is>
      </c>
      <c r="Q74" s="339" t="n"/>
      <c r="R74" s="339" t="n"/>
      <c r="S74" s="339" t="n"/>
      <c r="T74" s="339" t="inlineStr">
        <is>
          <t>是</t>
        </is>
      </c>
      <c r="U74" s="339" t="inlineStr">
        <is>
          <t>是</t>
        </is>
      </c>
      <c r="V74" s="339" t="n"/>
      <c r="W74" s="339" t="n"/>
      <c r="X74" s="339" t="n"/>
      <c r="Y74" s="339" t="n"/>
      <c r="Z74" s="339" t="n"/>
      <c r="AA74" s="339" t="n"/>
      <c r="AB74" s="339" t="n"/>
      <c r="AC74" s="339" t="n"/>
      <c r="AD74" s="339" t="n"/>
      <c r="AE74" s="339" t="n"/>
      <c r="AF74" s="339" t="n"/>
      <c r="AG74" s="339" t="n"/>
      <c r="AH74" s="339" t="n"/>
    </row>
    <row r="75" ht="26.25" customHeight="1" s="1053">
      <c r="A75" s="339" t="inlineStr">
        <is>
          <t>新宝利</t>
        </is>
      </c>
      <c r="B75" s="339" t="inlineStr">
        <is>
          <t>一期</t>
        </is>
      </c>
      <c r="C75" s="339" t="n">
        <v>5230742</v>
      </c>
      <c r="D75" s="339" t="inlineStr">
        <is>
          <t>13:20-15:30</t>
        </is>
      </c>
      <c r="E75" s="339" t="inlineStr">
        <is>
          <t>潜能班</t>
        </is>
      </c>
      <c r="F75" s="339" t="inlineStr">
        <is>
          <t>黎晓慧</t>
        </is>
      </c>
      <c r="G75" s="339" t="inlineStr">
        <is>
          <t>何咏04</t>
        </is>
      </c>
      <c r="H75" s="339" t="inlineStr">
        <is>
          <t>陈南05</t>
        </is>
      </c>
      <c r="I75" s="339" t="inlineStr">
        <is>
          <t>肖锐03</t>
        </is>
      </c>
      <c r="J75" s="339" t="inlineStr">
        <is>
          <t>杨林33</t>
        </is>
      </c>
      <c r="K75" s="404" t="inlineStr">
        <is>
          <t>耀华小学</t>
        </is>
      </c>
      <c r="L75" s="404" t="inlineStr">
        <is>
          <t>摇号</t>
        </is>
      </c>
      <c r="M75" s="807" t="inlineStr">
        <is>
          <t>玩手机多，在作业做完后
有学习意愿</t>
        </is>
      </c>
      <c r="N75" s="808" t="inlineStr">
        <is>
          <t>计算薄弱
希望在暑假课程中看到进步</t>
        </is>
      </c>
      <c r="O75" s="403" t="inlineStr">
        <is>
          <t>在卓越上课，但是跟不上课程</t>
        </is>
      </c>
      <c r="P75" s="809" t="inlineStr">
        <is>
          <t>最近一次43
语文英语两个八十</t>
        </is>
      </c>
      <c r="Q75" s="339" t="n"/>
      <c r="R75" s="339" t="n"/>
      <c r="S75" s="339" t="n"/>
      <c r="T75" s="339" t="inlineStr">
        <is>
          <t>是</t>
        </is>
      </c>
      <c r="U75" s="339" t="inlineStr">
        <is>
          <t>是</t>
        </is>
      </c>
      <c r="V75" s="339" t="n"/>
      <c r="W75" s="339" t="n"/>
      <c r="X75" s="339" t="n"/>
      <c r="Y75" s="339" t="n"/>
      <c r="Z75" s="339" t="n"/>
      <c r="AA75" s="339" t="n"/>
      <c r="AB75" s="339" t="n"/>
      <c r="AC75" s="339" t="n"/>
      <c r="AD75" s="339" t="n"/>
      <c r="AE75" s="339" t="n"/>
      <c r="AF75" s="339" t="n"/>
      <c r="AG75" s="339" t="n"/>
      <c r="AH75" s="339" t="n"/>
    </row>
    <row r="76" ht="26.25" customFormat="1" customHeight="1" s="315">
      <c r="A76" s="315" t="inlineStr">
        <is>
          <t>新宝利</t>
        </is>
      </c>
      <c r="B76" s="339" t="inlineStr">
        <is>
          <t>一期</t>
        </is>
      </c>
      <c r="C76" s="339" t="n">
        <v>5230742</v>
      </c>
      <c r="D76" s="339" t="inlineStr">
        <is>
          <t>13:20-15:30</t>
        </is>
      </c>
      <c r="E76" s="339" t="inlineStr">
        <is>
          <t>潜能班</t>
        </is>
      </c>
      <c r="F76" s="315" t="inlineStr">
        <is>
          <t>僮僮</t>
        </is>
      </c>
      <c r="G76" s="339" t="inlineStr">
        <is>
          <t>何咏04</t>
        </is>
      </c>
      <c r="J76" s="315" t="inlineStr">
        <is>
          <t>杨林33</t>
        </is>
      </c>
      <c r="K76" s="315" t="inlineStr">
        <is>
          <t>新民右</t>
        </is>
      </c>
      <c r="L76" s="315" t="inlineStr">
        <is>
          <t>41中</t>
        </is>
      </c>
      <c r="M76" s="318" t="inlineStr">
        <is>
          <t>学习习惯还可以</t>
        </is>
      </c>
      <c r="N76" s="318" t="inlineStr">
        <is>
          <t>把初中的知识点过一遍。性格外向，喜欢被关注</t>
        </is>
      </c>
      <c r="O76" s="810" t="inlineStr">
        <is>
          <t>海珠区家长，有不到课风险，续费意愿低，
0期前5节课能上，后5节课得在2期7月20-7月24号上</t>
        </is>
      </c>
      <c r="P76" s="315" t="n">
        <v>75</v>
      </c>
      <c r="V76" s="315" t="inlineStr">
        <is>
          <t>是</t>
        </is>
      </c>
      <c r="W76" s="315" t="inlineStr">
        <is>
          <t>是</t>
        </is>
      </c>
      <c r="X76" s="315" t="inlineStr">
        <is>
          <t>是</t>
        </is>
      </c>
      <c r="Y76" s="315" t="inlineStr">
        <is>
          <t>否</t>
        </is>
      </c>
      <c r="AA76" s="315" t="inlineStr">
        <is>
          <t>否</t>
        </is>
      </c>
    </row>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3" min="3" max="3"/>
    <col width="10" customWidth="1" style="1053" min="7" max="7"/>
    <col width="10.7724609375" customWidth="1" style="1053" min="9" max="9"/>
    <col width="16.9921875" customWidth="1" style="318" min="13" max="13"/>
    <col width="15.9990234375" customWidth="1" style="318" min="14" max="14"/>
    <col width="31.3740234375" customWidth="1" style="318" min="15" max="15"/>
    <col width="19.599609375" customWidth="1" style="1053" min="31" max="31"/>
    <col width="24.9990234375" customWidth="1" style="1053" min="33" max="33"/>
    <col width="10" customWidth="1" style="408" min="35" max="35"/>
    <col width="40.7490234375" customWidth="1" style="408" min="36" max="36"/>
    <col width="10" customWidth="1" style="408" min="38" max="38"/>
    <col width="23.8740234375" customWidth="1" style="1053" min="42" max="42"/>
  </cols>
  <sheetData>
    <row r="1" ht="26.25" customHeight="1" s="1053">
      <c r="A1" s="320" t="inlineStr">
        <is>
          <t>基本信息</t>
        </is>
      </c>
      <c r="K1" s="321" t="inlineStr">
        <is>
          <t>基本学情</t>
        </is>
      </c>
      <c r="P1" s="322" t="inlineStr">
        <is>
          <t>成绩</t>
        </is>
      </c>
      <c r="T1" s="323" t="inlineStr">
        <is>
          <t>课前建联</t>
        </is>
      </c>
      <c r="Z1" s="324" t="inlineStr">
        <is>
          <t>家长会</t>
        </is>
      </c>
      <c r="AD1" s="325" t="inlineStr">
        <is>
          <t>续费意愿盘点</t>
        </is>
      </c>
      <c r="AH1" s="325" t="inlineStr">
        <is>
          <t>续秋情况</t>
        </is>
      </c>
      <c r="AI1" s="99" t="inlineStr">
        <is>
          <t>首课电联</t>
        </is>
      </c>
      <c r="AJ1" s="1077" t="n"/>
      <c r="AO1" s="326" t="n"/>
      <c r="AP1" s="326" t="n"/>
      <c r="AQ1" s="326" t="n"/>
      <c r="AR1" s="326" t="n"/>
      <c r="AS1" s="326" t="n"/>
      <c r="AT1" s="326" t="n"/>
      <c r="AU1" s="326" t="n"/>
      <c r="AV1" s="326" t="n"/>
      <c r="AW1" s="326" t="n"/>
      <c r="AX1" s="326" t="n"/>
      <c r="AY1" s="326" t="n"/>
      <c r="AZ1" s="326" t="n"/>
    </row>
    <row r="2" ht="26.25" customHeight="1" s="1053">
      <c r="A2" s="316" t="inlineStr">
        <is>
          <t>校区</t>
        </is>
      </c>
      <c r="B2" s="316" t="inlineStr">
        <is>
          <t>期次</t>
        </is>
      </c>
      <c r="C2" s="316" t="inlineStr">
        <is>
          <t>班级ID</t>
        </is>
      </c>
      <c r="D2" s="316" t="inlineStr">
        <is>
          <t>上课时间</t>
        </is>
      </c>
      <c r="E2" s="316" t="inlineStr">
        <is>
          <t>班型</t>
        </is>
      </c>
      <c r="F2" s="316" t="inlineStr">
        <is>
          <t>学生姓名</t>
        </is>
      </c>
      <c r="G2" s="316" t="inlineStr">
        <is>
          <t>主讲</t>
        </is>
      </c>
      <c r="H2" s="316" t="inlineStr">
        <is>
          <t>搭班语文</t>
        </is>
      </c>
      <c r="I2" s="316" t="inlineStr">
        <is>
          <t>搭班英语</t>
        </is>
      </c>
      <c r="J2" s="316" t="inlineStr">
        <is>
          <t>顾问老师</t>
        </is>
      </c>
      <c r="K2" s="316" t="inlineStr">
        <is>
          <t>就读小学</t>
        </is>
      </c>
      <c r="L2" s="316" t="inlineStr">
        <is>
          <t>就读初中</t>
        </is>
      </c>
      <c r="M2" s="811" t="inlineStr">
        <is>
          <t>学习习惯
学习意愿</t>
        </is>
      </c>
      <c r="N2" s="316" t="inlineStr">
        <is>
          <t>补课核心诉求</t>
        </is>
      </c>
      <c r="O2" s="317" t="inlineStr">
        <is>
          <t>其它情况备注</t>
        </is>
      </c>
      <c r="P2" s="316" t="inlineStr">
        <is>
          <t>校内成绩</t>
        </is>
      </c>
      <c r="Q2" s="316" t="inlineStr">
        <is>
          <t>报前测成绩</t>
        </is>
      </c>
      <c r="R2" s="316" t="inlineStr">
        <is>
          <t>五讲一测（1）</t>
        </is>
      </c>
      <c r="S2" s="316" t="inlineStr">
        <is>
          <t>五讲一测（2）</t>
        </is>
      </c>
      <c r="T2" s="316" t="inlineStr">
        <is>
          <t>是否加微</t>
        </is>
      </c>
      <c r="U2" s="316" t="inlineStr">
        <is>
          <t>是否电访</t>
        </is>
      </c>
      <c r="V2" s="316" t="inlineStr">
        <is>
          <t>是否VIP群</t>
        </is>
      </c>
      <c r="W2" s="316" t="inlineStr">
        <is>
          <t>是否班级群</t>
        </is>
      </c>
      <c r="X2" s="316" t="inlineStr">
        <is>
          <t>是否参与报前测</t>
        </is>
      </c>
      <c r="Y2" s="316" t="inlineStr">
        <is>
          <t>是否参与期末复习课</t>
        </is>
      </c>
      <c r="Z2" s="316" t="inlineStr">
        <is>
          <t>课前家长会诺访</t>
        </is>
      </c>
      <c r="AA2" s="316" t="inlineStr">
        <is>
          <t>课前家长会到场</t>
        </is>
      </c>
      <c r="AB2" s="316" t="inlineStr">
        <is>
          <t>课中家长会诺访</t>
        </is>
      </c>
      <c r="AC2" s="316" t="inlineStr">
        <is>
          <t>课中家长会到场</t>
        </is>
      </c>
      <c r="AD2" s="812" t="inlineStr">
        <is>
          <t>学员分层
（主讲）</t>
        </is>
      </c>
      <c r="AE2" s="316" t="inlineStr">
        <is>
          <t>主讲判定依据</t>
        </is>
      </c>
      <c r="AF2" s="813" t="inlineStr">
        <is>
          <t>学员分层
（顾问）</t>
        </is>
      </c>
      <c r="AG2" s="316" t="inlineStr">
        <is>
          <t>顾问判定依据</t>
        </is>
      </c>
      <c r="AI2" s="99" t="inlineStr">
        <is>
          <t>是否电联</t>
        </is>
      </c>
      <c r="AJ2" s="99" t="inlineStr">
        <is>
          <t>学情备注</t>
        </is>
      </c>
      <c r="AO2" s="326" t="n"/>
      <c r="AP2" s="326" t="n"/>
      <c r="AQ2" s="326" t="n"/>
      <c r="AR2" s="326" t="n"/>
      <c r="AS2" s="326" t="n"/>
      <c r="AT2" s="326" t="n"/>
      <c r="AU2" s="326" t="n"/>
      <c r="AV2" s="326" t="n"/>
      <c r="AW2" s="326" t="n"/>
      <c r="AX2" s="326" t="n"/>
      <c r="AY2" s="326" t="n"/>
      <c r="AZ2" s="326" t="n"/>
    </row>
    <row r="3" ht="48.75" customFormat="1" customHeight="1" s="418">
      <c r="A3" s="418" t="inlineStr">
        <is>
          <t>新宝利</t>
        </is>
      </c>
      <c r="B3" s="418" t="inlineStr">
        <is>
          <t>零期</t>
        </is>
      </c>
      <c r="C3" s="418" t="n">
        <v>3132884</v>
      </c>
      <c r="D3" s="418" t="inlineStr">
        <is>
          <t>13:20-15:30</t>
        </is>
      </c>
      <c r="E3" s="418" t="inlineStr">
        <is>
          <t>潜能班</t>
        </is>
      </c>
      <c r="F3" s="418" t="inlineStr">
        <is>
          <t>刘芯妍</t>
        </is>
      </c>
      <c r="G3" s="418" t="inlineStr">
        <is>
          <t>田雨涵01</t>
        </is>
      </c>
      <c r="H3" s="418" t="inlineStr">
        <is>
          <t>李润</t>
        </is>
      </c>
      <c r="I3" s="418" t="inlineStr">
        <is>
          <t>肖锐03</t>
        </is>
      </c>
      <c r="J3" s="418" t="inlineStr">
        <is>
          <t>沈思浩</t>
        </is>
      </c>
      <c r="M3" s="412" t="inlineStr">
        <is>
          <t>积极配合，按时完成任务</t>
        </is>
      </c>
      <c r="N3" s="814" t="inlineStr">
        <is>
          <t>提前预习，巩固
家长挺配合的</t>
        </is>
      </c>
      <c r="O3" s="412" t="inlineStr">
        <is>
          <t>六上在上1对1,90左右；几何不太好；听朋友说需要提前上新初一</t>
        </is>
      </c>
      <c r="Q3" s="418" t="n">
        <v>66</v>
      </c>
      <c r="T3" s="418" t="inlineStr">
        <is>
          <t>是</t>
        </is>
      </c>
      <c r="U3" s="418" t="inlineStr">
        <is>
          <t>是</t>
        </is>
      </c>
      <c r="V3" s="418" t="inlineStr">
        <is>
          <t>是</t>
        </is>
      </c>
      <c r="W3" s="418" t="inlineStr">
        <is>
          <t>是</t>
        </is>
      </c>
      <c r="X3" s="418" t="inlineStr">
        <is>
          <t>是</t>
        </is>
      </c>
      <c r="Y3" s="418" t="inlineStr">
        <is>
          <t>是</t>
        </is>
      </c>
      <c r="Z3" s="418" t="inlineStr">
        <is>
          <t>是</t>
        </is>
      </c>
      <c r="AA3" s="418" t="inlineStr">
        <is>
          <t>是</t>
        </is>
      </c>
      <c r="AH3" s="22" t="n"/>
      <c r="AI3" s="377" t="inlineStr">
        <is>
          <t>是</t>
        </is>
      </c>
      <c r="AK3" s="122" t="n"/>
      <c r="AL3" s="119" t="n"/>
      <c r="AM3" s="24" t="n"/>
      <c r="AP3" s="524" t="n"/>
    </row>
    <row r="4" ht="48.75" customFormat="1" customHeight="1" s="418">
      <c r="A4" s="418" t="inlineStr">
        <is>
          <t>新宝利</t>
        </is>
      </c>
      <c r="B4" s="418" t="inlineStr">
        <is>
          <t>零期</t>
        </is>
      </c>
      <c r="C4" s="418" t="n">
        <v>3132884</v>
      </c>
      <c r="D4" s="418" t="inlineStr">
        <is>
          <t>13:20-15:30</t>
        </is>
      </c>
      <c r="E4" s="418" t="inlineStr">
        <is>
          <t>潜能班</t>
        </is>
      </c>
      <c r="F4" s="418" t="inlineStr">
        <is>
          <t>可欣</t>
        </is>
      </c>
      <c r="G4" s="418" t="inlineStr">
        <is>
          <t>田雨涵01</t>
        </is>
      </c>
      <c r="H4" s="418" t="inlineStr">
        <is>
          <t>李润</t>
        </is>
      </c>
      <c r="J4" s="418" t="inlineStr">
        <is>
          <t>张敏烨</t>
        </is>
      </c>
      <c r="K4" s="418" t="inlineStr">
        <is>
          <t>三中</t>
        </is>
      </c>
      <c r="M4" s="412" t="inlineStr">
        <is>
          <t>习惯一般，需要老师多监督一下</t>
        </is>
      </c>
      <c r="N4" s="412" t="inlineStr">
        <is>
          <t>提前学习新初一</t>
        </is>
      </c>
      <c r="O4" s="412" t="inlineStr">
        <is>
          <t>无</t>
        </is>
      </c>
      <c r="Q4" s="418" t="n">
        <v>60</v>
      </c>
      <c r="T4" s="418" t="inlineStr">
        <is>
          <t>是</t>
        </is>
      </c>
      <c r="U4" s="418" t="inlineStr">
        <is>
          <t>是</t>
        </is>
      </c>
      <c r="V4" s="418" t="inlineStr">
        <is>
          <t>是</t>
        </is>
      </c>
      <c r="W4" s="418" t="inlineStr">
        <is>
          <t>是</t>
        </is>
      </c>
      <c r="X4" s="418" t="inlineStr">
        <is>
          <t>否</t>
        </is>
      </c>
      <c r="Y4" s="418" t="inlineStr">
        <is>
          <t>是</t>
        </is>
      </c>
      <c r="Z4" s="418" t="inlineStr">
        <is>
          <t>是</t>
        </is>
      </c>
      <c r="AA4" s="418" t="inlineStr">
        <is>
          <t>否</t>
        </is>
      </c>
      <c r="AH4" s="22" t="n"/>
      <c r="AI4" s="377" t="inlineStr">
        <is>
          <t>是</t>
        </is>
      </c>
      <c r="AK4" s="122" t="n"/>
      <c r="AL4" s="119" t="n"/>
      <c r="AM4" s="24" t="n"/>
      <c r="AP4" s="524" t="n"/>
    </row>
    <row r="5" ht="48.75" customFormat="1" customHeight="1" s="418">
      <c r="A5" s="418" t="inlineStr">
        <is>
          <t>新宝利</t>
        </is>
      </c>
      <c r="B5" s="418" t="inlineStr">
        <is>
          <t>零期</t>
        </is>
      </c>
      <c r="C5" s="418" t="n">
        <v>3132884</v>
      </c>
      <c r="D5" s="418" t="inlineStr">
        <is>
          <t>13:20-15:30</t>
        </is>
      </c>
      <c r="E5" s="418" t="inlineStr">
        <is>
          <t>潜能班</t>
        </is>
      </c>
      <c r="F5" s="418" t="inlineStr">
        <is>
          <t>唐羽芯</t>
        </is>
      </c>
      <c r="G5" s="418" t="inlineStr">
        <is>
          <t>田雨涵01</t>
        </is>
      </c>
      <c r="H5" s="418" t="inlineStr">
        <is>
          <t>李润</t>
        </is>
      </c>
      <c r="I5" s="418" t="inlineStr">
        <is>
          <t>肖锐03</t>
        </is>
      </c>
      <c r="J5" s="418" t="inlineStr">
        <is>
          <t>林志豪01</t>
        </is>
      </c>
      <c r="M5" s="412" t="inlineStr">
        <is>
          <t>主动学习主动预习的习惯有改善</t>
        </is>
      </c>
      <c r="N5" s="412" t="inlineStr">
        <is>
          <t>为了初一分班考</t>
        </is>
      </c>
      <c r="O5" s="412" t="inlineStr">
        <is>
          <t>秋季有报名线上的语文课，主要是看效果，效果好就会报名线下课</t>
        </is>
      </c>
      <c r="T5" s="418" t="inlineStr">
        <is>
          <t>是</t>
        </is>
      </c>
      <c r="U5" s="418" t="inlineStr">
        <is>
          <t>是</t>
        </is>
      </c>
      <c r="V5" s="418" t="inlineStr">
        <is>
          <t>是</t>
        </is>
      </c>
      <c r="W5" s="418" t="inlineStr">
        <is>
          <t>是</t>
        </is>
      </c>
      <c r="X5" s="418" t="inlineStr">
        <is>
          <t>否</t>
        </is>
      </c>
      <c r="Y5" s="418" t="inlineStr">
        <is>
          <t>否</t>
        </is>
      </c>
      <c r="Z5" s="418" t="inlineStr">
        <is>
          <t>否</t>
        </is>
      </c>
      <c r="AA5" s="418" t="inlineStr">
        <is>
          <t>否</t>
        </is>
      </c>
      <c r="AH5" s="22" t="n"/>
      <c r="AI5" s="377" t="inlineStr">
        <is>
          <t>否</t>
        </is>
      </c>
      <c r="AJ5" s="418" t="inlineStr">
        <is>
          <t>家长不让打电话，微信沟通就行</t>
        </is>
      </c>
      <c r="AK5" s="122" t="n"/>
      <c r="AL5" s="119" t="n"/>
      <c r="AM5" s="24" t="n"/>
      <c r="AP5" s="524" t="n"/>
    </row>
    <row r="6" ht="48.75" customFormat="1" customHeight="1" s="418">
      <c r="A6" s="418" t="inlineStr">
        <is>
          <t>新宝利</t>
        </is>
      </c>
      <c r="B6" s="418" t="inlineStr">
        <is>
          <t>零期</t>
        </is>
      </c>
      <c r="C6" s="418" t="n">
        <v>3132884</v>
      </c>
      <c r="D6" s="418" t="inlineStr">
        <is>
          <t>13:20-15:30</t>
        </is>
      </c>
      <c r="E6" s="418" t="inlineStr">
        <is>
          <t>潜能班</t>
        </is>
      </c>
      <c r="F6" s="418" t="inlineStr">
        <is>
          <t>姚一新</t>
        </is>
      </c>
      <c r="G6" s="418" t="inlineStr">
        <is>
          <t>田雨涵01</t>
        </is>
      </c>
      <c r="H6" s="418" t="inlineStr">
        <is>
          <t>李润</t>
        </is>
      </c>
      <c r="I6" s="418" t="inlineStr">
        <is>
          <t>肖锐03</t>
        </is>
      </c>
      <c r="J6" s="418" t="inlineStr">
        <is>
          <t>王丽</t>
        </is>
      </c>
      <c r="K6" s="418" t="inlineStr">
        <is>
          <t>棠德南小学</t>
        </is>
      </c>
      <c r="M6" s="412" t="inlineStr">
        <is>
          <t>喜欢理科有意愿；解题思路多关注</t>
        </is>
      </c>
      <c r="N6" s="412" t="inlineStr">
        <is>
          <t>看暑假课的情况，学得好就会报</t>
        </is>
      </c>
      <c r="O6" s="412" t="inlineStr">
        <is>
          <t>目标七中和育才实验，校内95分上下，喜欢理科，自己有自己的学习规划，偏内向。练习太少，希望老师多给一点练习的补充。</t>
        </is>
      </c>
      <c r="P6" s="418" t="n">
        <v>72</v>
      </c>
      <c r="T6" s="418" t="inlineStr">
        <is>
          <t>是</t>
        </is>
      </c>
      <c r="U6" s="418" t="inlineStr">
        <is>
          <t>是</t>
        </is>
      </c>
      <c r="V6" s="418" t="inlineStr">
        <is>
          <t>是</t>
        </is>
      </c>
      <c r="W6" s="418" t="inlineStr">
        <is>
          <t>是</t>
        </is>
      </c>
      <c r="X6" s="418" t="inlineStr">
        <is>
          <t>是</t>
        </is>
      </c>
      <c r="Y6" s="418" t="inlineStr">
        <is>
          <t>否</t>
        </is>
      </c>
      <c r="Z6" s="418" t="inlineStr">
        <is>
          <t>是</t>
        </is>
      </c>
      <c r="AA6" s="418" t="inlineStr">
        <is>
          <t>是</t>
        </is>
      </c>
      <c r="AH6" s="22" t="n"/>
      <c r="AI6" s="377" t="inlineStr">
        <is>
          <t>是</t>
        </is>
      </c>
      <c r="AK6" s="122" t="n"/>
      <c r="AL6" s="281" t="n"/>
      <c r="AM6" s="24" t="n"/>
      <c r="AP6" s="524" t="n"/>
    </row>
    <row r="7" ht="48.75" customFormat="1" customHeight="1" s="418">
      <c r="A7" s="418" t="inlineStr">
        <is>
          <t>新宝利</t>
        </is>
      </c>
      <c r="B7" s="418" t="inlineStr">
        <is>
          <t>零期</t>
        </is>
      </c>
      <c r="C7" s="418" t="n">
        <v>3132884</v>
      </c>
      <c r="D7" s="418" t="inlineStr">
        <is>
          <t>13:20-15:30</t>
        </is>
      </c>
      <c r="E7" s="418" t="inlineStr">
        <is>
          <t>潜能班</t>
        </is>
      </c>
      <c r="F7" s="418" t="inlineStr">
        <is>
          <t>张曦元</t>
        </is>
      </c>
      <c r="G7" s="418" t="inlineStr">
        <is>
          <t>田雨涵01</t>
        </is>
      </c>
      <c r="H7" s="418" t="inlineStr">
        <is>
          <t>李润</t>
        </is>
      </c>
      <c r="I7" s="418" t="inlineStr">
        <is>
          <t>肖锐03</t>
        </is>
      </c>
      <c r="J7" s="418" t="inlineStr">
        <is>
          <t>林志豪01</t>
        </is>
      </c>
      <c r="M7" s="412" t="inlineStr">
        <is>
          <t>孩子习惯不错</t>
        </is>
      </c>
      <c r="N7" s="412" t="inlineStr">
        <is>
          <t>把思维提升一下</t>
        </is>
      </c>
      <c r="O7" s="412" t="inlineStr">
        <is>
          <t>目前有报另一个机构，同步在学习，那边是基础，想在我们这边提升思维，做做难题。消费能力没问题，只要学的好可以接受两边同时学</t>
        </is>
      </c>
      <c r="Q7" s="418" t="n">
        <v>75</v>
      </c>
      <c r="T7" s="418" t="inlineStr">
        <is>
          <t>是</t>
        </is>
      </c>
      <c r="U7" s="418" t="inlineStr">
        <is>
          <t>是</t>
        </is>
      </c>
      <c r="V7" s="418" t="inlineStr">
        <is>
          <t>是</t>
        </is>
      </c>
      <c r="W7" s="418" t="inlineStr">
        <is>
          <t>是</t>
        </is>
      </c>
      <c r="X7" s="418" t="inlineStr">
        <is>
          <t>是</t>
        </is>
      </c>
      <c r="Y7" s="418" t="inlineStr">
        <is>
          <t>否</t>
        </is>
      </c>
      <c r="Z7" s="418" t="inlineStr">
        <is>
          <t>是</t>
        </is>
      </c>
      <c r="AA7" s="418" t="inlineStr">
        <is>
          <t>是</t>
        </is>
      </c>
      <c r="AH7" s="22" t="n"/>
      <c r="AI7" s="377" t="inlineStr">
        <is>
          <t>是</t>
        </is>
      </c>
      <c r="AK7" s="122" t="n"/>
      <c r="AL7" s="281" t="n"/>
      <c r="AM7" s="24" t="n"/>
      <c r="AP7" s="524" t="n"/>
    </row>
    <row r="8" ht="48.75" customFormat="1" customHeight="1" s="418">
      <c r="A8" s="418" t="inlineStr">
        <is>
          <t>新宝利</t>
        </is>
      </c>
      <c r="B8" s="418" t="inlineStr">
        <is>
          <t>零期</t>
        </is>
      </c>
      <c r="C8" s="418" t="n">
        <v>3132884</v>
      </c>
      <c r="D8" s="418" t="inlineStr">
        <is>
          <t>13:20-15:30</t>
        </is>
      </c>
      <c r="E8" s="418" t="inlineStr">
        <is>
          <t>潜能班</t>
        </is>
      </c>
      <c r="F8" s="418" t="inlineStr">
        <is>
          <t>徐浩轩</t>
        </is>
      </c>
      <c r="G8" s="418" t="inlineStr">
        <is>
          <t>田雨涵01</t>
        </is>
      </c>
      <c r="I8" s="418" t="inlineStr">
        <is>
          <t>肖锐03</t>
        </is>
      </c>
      <c r="J8" s="418" t="inlineStr">
        <is>
          <t>林志豪01</t>
        </is>
      </c>
      <c r="M8" s="412" t="n"/>
      <c r="N8" s="412" t="inlineStr">
        <is>
          <t>孩子升学去了培正中学，听说里面会有关于数学的分班测，为分班测做准备</t>
        </is>
      </c>
      <c r="O8" s="412" t="inlineStr">
        <is>
          <t>乒乓球队的，文化课精力聚焦少一些，有上过英语的辅导班。家长精力也比较少，英语校内差一点80分，孩子比较外向。</t>
        </is>
      </c>
      <c r="Q8" s="418" t="n">
        <v>70</v>
      </c>
      <c r="T8" s="418" t="inlineStr">
        <is>
          <t>是</t>
        </is>
      </c>
      <c r="U8" s="418" t="inlineStr">
        <is>
          <t>是</t>
        </is>
      </c>
      <c r="V8" s="418" t="inlineStr">
        <is>
          <t>是</t>
        </is>
      </c>
      <c r="W8" s="418" t="inlineStr">
        <is>
          <t>是</t>
        </is>
      </c>
      <c r="X8" s="418" t="inlineStr">
        <is>
          <t>是</t>
        </is>
      </c>
      <c r="Y8" s="418" t="inlineStr">
        <is>
          <t>否</t>
        </is>
      </c>
      <c r="Z8" s="418" t="inlineStr">
        <is>
          <t>是</t>
        </is>
      </c>
      <c r="AA8" s="418" t="inlineStr">
        <is>
          <t>是</t>
        </is>
      </c>
      <c r="AH8" s="22" t="n"/>
      <c r="AI8" s="377" t="inlineStr">
        <is>
          <t>是</t>
        </is>
      </c>
      <c r="AK8" s="122" t="n"/>
      <c r="AL8" s="281" t="n"/>
      <c r="AM8" s="24" t="n"/>
      <c r="AP8" s="524" t="n"/>
    </row>
    <row r="9" ht="48.75" customFormat="1" customHeight="1" s="418">
      <c r="A9" s="418" t="inlineStr">
        <is>
          <t>新宝利</t>
        </is>
      </c>
      <c r="B9" s="418" t="inlineStr">
        <is>
          <t>零期</t>
        </is>
      </c>
      <c r="C9" s="418" t="n">
        <v>3132884</v>
      </c>
      <c r="D9" s="418" t="inlineStr">
        <is>
          <t>13:20-15:30</t>
        </is>
      </c>
      <c r="E9" s="418" t="inlineStr">
        <is>
          <t>潜能班</t>
        </is>
      </c>
      <c r="F9" s="418" t="inlineStr">
        <is>
          <t>思宇</t>
        </is>
      </c>
      <c r="G9" s="418" t="inlineStr">
        <is>
          <t>田雨涵01</t>
        </is>
      </c>
      <c r="H9" s="418" t="inlineStr">
        <is>
          <t>李润</t>
        </is>
      </c>
      <c r="I9" s="418" t="inlineStr">
        <is>
          <t>肖锐03</t>
        </is>
      </c>
      <c r="J9" s="418" t="inlineStr">
        <is>
          <t>王达04</t>
        </is>
      </c>
      <c r="M9" s="412" t="inlineStr">
        <is>
          <t>他律性，需要多关注</t>
        </is>
      </c>
      <c r="N9" s="412" t="inlineStr">
        <is>
          <t>暑假把计算给好好练练</t>
        </is>
      </c>
      <c r="O9" s="412" t="inlineStr">
        <is>
          <t>不稳定，基础较薄弱，不用心；计算不行</t>
        </is>
      </c>
      <c r="Q9" s="418" t="n">
        <v>77</v>
      </c>
      <c r="T9" s="418" t="inlineStr">
        <is>
          <t>是</t>
        </is>
      </c>
      <c r="U9" s="418" t="inlineStr">
        <is>
          <t>是</t>
        </is>
      </c>
      <c r="V9" s="418" t="inlineStr">
        <is>
          <t>是</t>
        </is>
      </c>
      <c r="W9" s="418" t="inlineStr">
        <is>
          <t>是</t>
        </is>
      </c>
      <c r="X9" s="418" t="inlineStr">
        <is>
          <t>否</t>
        </is>
      </c>
      <c r="Y9" s="418" t="inlineStr">
        <is>
          <t>否</t>
        </is>
      </c>
      <c r="Z9" s="418" t="inlineStr">
        <is>
          <t>是</t>
        </is>
      </c>
      <c r="AA9" s="418" t="inlineStr">
        <is>
          <t>是</t>
        </is>
      </c>
      <c r="AH9" s="22" t="n"/>
      <c r="AI9" s="377" t="inlineStr">
        <is>
          <t>是</t>
        </is>
      </c>
      <c r="AK9" s="122" t="n"/>
      <c r="AL9" s="281" t="n"/>
      <c r="AM9" s="24" t="n"/>
      <c r="AP9" s="524" t="n"/>
    </row>
    <row r="10" ht="48.75" customFormat="1" customHeight="1" s="418">
      <c r="A10" s="418" t="inlineStr">
        <is>
          <t>新宝利</t>
        </is>
      </c>
      <c r="B10" s="418" t="inlineStr">
        <is>
          <t>零期</t>
        </is>
      </c>
      <c r="C10" s="418" t="n">
        <v>3132884</v>
      </c>
      <c r="D10" s="418" t="inlineStr">
        <is>
          <t>13:20-15:30</t>
        </is>
      </c>
      <c r="E10" s="418" t="inlineStr">
        <is>
          <t>潜能班</t>
        </is>
      </c>
      <c r="F10" s="418" t="inlineStr">
        <is>
          <t>戴圆圆</t>
        </is>
      </c>
      <c r="G10" s="418" t="inlineStr">
        <is>
          <t>田雨涵01</t>
        </is>
      </c>
      <c r="H10" s="418" t="inlineStr">
        <is>
          <t>李润</t>
        </is>
      </c>
      <c r="I10" s="418" t="inlineStr">
        <is>
          <t>肖锐03</t>
        </is>
      </c>
      <c r="J10" s="418" t="inlineStr">
        <is>
          <t>杨林33</t>
        </is>
      </c>
      <c r="M10" s="412" t="inlineStr">
        <is>
          <t>学习习惯不错，孩子很喜欢数学</t>
        </is>
      </c>
      <c r="N10" s="412" t="inlineStr">
        <is>
          <t>保持住数学学习的热情</t>
        </is>
      </c>
      <c r="O10" s="412" t="n"/>
      <c r="Q10" s="418" t="n">
        <v>68</v>
      </c>
      <c r="T10" s="418" t="inlineStr">
        <is>
          <t>是</t>
        </is>
      </c>
      <c r="U10" s="418" t="inlineStr">
        <is>
          <t>是</t>
        </is>
      </c>
      <c r="V10" s="418" t="inlineStr">
        <is>
          <t>是</t>
        </is>
      </c>
      <c r="W10" s="418" t="inlineStr">
        <is>
          <t>是</t>
        </is>
      </c>
      <c r="X10" s="418" t="inlineStr">
        <is>
          <t>是</t>
        </is>
      </c>
      <c r="Y10" s="418" t="inlineStr">
        <is>
          <t>是</t>
        </is>
      </c>
      <c r="Z10" s="418" t="inlineStr">
        <is>
          <t>是</t>
        </is>
      </c>
      <c r="AA10" s="418" t="inlineStr">
        <is>
          <t>是</t>
        </is>
      </c>
      <c r="AH10" s="22" t="n"/>
      <c r="AI10" s="377" t="inlineStr">
        <is>
          <t>是</t>
        </is>
      </c>
      <c r="AK10" s="122" t="n"/>
      <c r="AL10" s="281" t="n"/>
      <c r="AM10" s="24" t="n"/>
      <c r="AP10" s="524" t="n"/>
    </row>
    <row r="11" ht="48.75" customFormat="1" customHeight="1" s="418">
      <c r="A11" s="418" t="inlineStr">
        <is>
          <t>新宝利</t>
        </is>
      </c>
      <c r="B11" s="418" t="inlineStr">
        <is>
          <t>零期</t>
        </is>
      </c>
      <c r="C11" s="418" t="n">
        <v>3132884</v>
      </c>
      <c r="D11" s="418" t="inlineStr">
        <is>
          <t>13:20-15:30</t>
        </is>
      </c>
      <c r="E11" s="418" t="inlineStr">
        <is>
          <t>潜能班</t>
        </is>
      </c>
      <c r="F11" s="418" t="inlineStr">
        <is>
          <t>朱哲辰</t>
        </is>
      </c>
      <c r="G11" s="418" t="inlineStr">
        <is>
          <t>田雨涵01</t>
        </is>
      </c>
      <c r="H11" s="418" t="inlineStr">
        <is>
          <t>李润</t>
        </is>
      </c>
      <c r="I11" s="418" t="inlineStr">
        <is>
          <t>肖锐03</t>
        </is>
      </c>
      <c r="J11" s="418" t="inlineStr">
        <is>
          <t>王达04</t>
        </is>
      </c>
      <c r="M11" s="412" t="inlineStr">
        <is>
          <t>没有自觉性，习惯很差</t>
        </is>
      </c>
      <c r="N11" s="412" t="inlineStr">
        <is>
          <t>学习差，提前补一补</t>
        </is>
      </c>
      <c r="O11" s="412" t="inlineStr">
        <is>
          <t>多关注孩子的听课情况</t>
        </is>
      </c>
      <c r="Q11" s="418" t="n">
        <v>60</v>
      </c>
      <c r="T11" s="418" t="inlineStr">
        <is>
          <t>是</t>
        </is>
      </c>
      <c r="U11" s="418" t="inlineStr">
        <is>
          <t>是</t>
        </is>
      </c>
      <c r="V11" s="418" t="inlineStr">
        <is>
          <t>是</t>
        </is>
      </c>
      <c r="W11" s="418" t="inlineStr">
        <is>
          <t>是</t>
        </is>
      </c>
      <c r="X11" s="418" t="inlineStr">
        <is>
          <t>是</t>
        </is>
      </c>
      <c r="Y11" s="418" t="inlineStr">
        <is>
          <t>否</t>
        </is>
      </c>
      <c r="Z11" s="418" t="inlineStr">
        <is>
          <t>是</t>
        </is>
      </c>
      <c r="AA11" s="418" t="inlineStr">
        <is>
          <t>否</t>
        </is>
      </c>
      <c r="AH11" s="22" t="n"/>
      <c r="AI11" s="377" t="inlineStr">
        <is>
          <t>是</t>
        </is>
      </c>
      <c r="AK11" s="122" t="n"/>
      <c r="AL11" s="281" t="n"/>
      <c r="AM11" s="24" t="n"/>
      <c r="AP11" s="524" t="n"/>
    </row>
    <row r="12" ht="48.75" customFormat="1" customHeight="1" s="418">
      <c r="A12" s="418" t="inlineStr">
        <is>
          <t>新宝利</t>
        </is>
      </c>
      <c r="B12" s="418" t="inlineStr">
        <is>
          <t>零期</t>
        </is>
      </c>
      <c r="C12" s="418" t="n">
        <v>3132884</v>
      </c>
      <c r="D12" s="418" t="inlineStr">
        <is>
          <t>13:20-15:30</t>
        </is>
      </c>
      <c r="E12" s="418" t="inlineStr">
        <is>
          <t>潜能班</t>
        </is>
      </c>
      <c r="F12" s="418" t="inlineStr">
        <is>
          <t>李仪璐</t>
        </is>
      </c>
      <c r="G12" s="418" t="inlineStr">
        <is>
          <t>田雨涵01</t>
        </is>
      </c>
      <c r="H12" s="418" t="inlineStr">
        <is>
          <t>李润</t>
        </is>
      </c>
      <c r="I12" s="418" t="inlineStr">
        <is>
          <t>肖锐03</t>
        </is>
      </c>
      <c r="J12" s="418" t="inlineStr">
        <is>
          <t>林志豪01</t>
        </is>
      </c>
      <c r="M12" s="412" t="inlineStr">
        <is>
          <t>孩子妈妈平时一直自己教，没上过课外</t>
        </is>
      </c>
      <c r="N12" s="412" t="inlineStr">
        <is>
          <t>能学到东西就行</t>
        </is>
      </c>
      <c r="O12" s="412" t="inlineStr">
        <is>
          <t>注意孩子数学思维，拓展思维</t>
        </is>
      </c>
      <c r="Q12" s="418" t="n">
        <v>29</v>
      </c>
      <c r="T12" s="418" t="inlineStr">
        <is>
          <t>是</t>
        </is>
      </c>
      <c r="U12" s="418" t="inlineStr">
        <is>
          <t>是</t>
        </is>
      </c>
      <c r="V12" s="418" t="inlineStr">
        <is>
          <t>是</t>
        </is>
      </c>
      <c r="W12" s="418" t="inlineStr">
        <is>
          <t>是</t>
        </is>
      </c>
      <c r="X12" s="418" t="inlineStr">
        <is>
          <t>是</t>
        </is>
      </c>
      <c r="Y12" s="418" t="inlineStr">
        <is>
          <t>是</t>
        </is>
      </c>
      <c r="Z12" s="418" t="inlineStr">
        <is>
          <t>是</t>
        </is>
      </c>
      <c r="AA12" s="418" t="inlineStr">
        <is>
          <t>是</t>
        </is>
      </c>
      <c r="AH12" s="22" t="n"/>
      <c r="AI12" s="377" t="inlineStr">
        <is>
          <t>是</t>
        </is>
      </c>
      <c r="AJ12" s="418" t="inlineStr">
        <is>
          <t>只要让孩子愿意，就能报</t>
        </is>
      </c>
      <c r="AK12" s="122" t="n"/>
      <c r="AL12" s="281" t="n"/>
      <c r="AM12" s="24" t="n"/>
      <c r="AP12" s="524" t="n"/>
    </row>
    <row r="13" ht="48.75" customFormat="1" customHeight="1" s="418">
      <c r="A13" s="418" t="inlineStr">
        <is>
          <t>新宝利</t>
        </is>
      </c>
      <c r="B13" s="418" t="inlineStr">
        <is>
          <t>零期</t>
        </is>
      </c>
      <c r="C13" s="418" t="n">
        <v>3132884</v>
      </c>
      <c r="D13" s="418" t="inlineStr">
        <is>
          <t>13:20-15:30</t>
        </is>
      </c>
      <c r="E13" s="418" t="inlineStr">
        <is>
          <t>潜能班</t>
        </is>
      </c>
      <c r="F13" s="418" t="inlineStr">
        <is>
          <t>李宸熙</t>
        </is>
      </c>
      <c r="G13" s="418" t="inlineStr">
        <is>
          <t>田雨涵01</t>
        </is>
      </c>
      <c r="H13" s="418" t="inlineStr">
        <is>
          <t>黄铭怡</t>
        </is>
      </c>
      <c r="I13" s="418" t="inlineStr">
        <is>
          <t>肖锐03</t>
        </is>
      </c>
      <c r="J13" s="418" t="inlineStr">
        <is>
          <t>王丽</t>
        </is>
      </c>
      <c r="M13" s="412" t="inlineStr">
        <is>
          <t>学习习惯一般般，总是不愿意或者是画关键字之类的，审题不认真</t>
        </is>
      </c>
      <c r="N13" s="412" t="n"/>
      <c r="O13" s="412" t="inlineStr">
        <is>
          <t>孩子感兴趣 喜欢幽默感的老师；基本上解决孩子就能报名</t>
        </is>
      </c>
      <c r="T13" s="418" t="inlineStr">
        <is>
          <t>是</t>
        </is>
      </c>
      <c r="U13" s="418" t="inlineStr">
        <is>
          <t>是</t>
        </is>
      </c>
      <c r="V13" s="418" t="inlineStr">
        <is>
          <t>是</t>
        </is>
      </c>
      <c r="W13" s="418" t="inlineStr">
        <is>
          <t>是</t>
        </is>
      </c>
      <c r="X13" s="418" t="inlineStr">
        <is>
          <t>否</t>
        </is>
      </c>
      <c r="Y13" s="418" t="inlineStr">
        <is>
          <t>否</t>
        </is>
      </c>
      <c r="Z13" s="418" t="inlineStr">
        <is>
          <t>是</t>
        </is>
      </c>
      <c r="AA13" s="418" t="inlineStr">
        <is>
          <t>是</t>
        </is>
      </c>
      <c r="AH13" s="22" t="n"/>
      <c r="AI13" s="377" t="inlineStr">
        <is>
          <t>是</t>
        </is>
      </c>
      <c r="AK13" s="122" t="n"/>
      <c r="AL13" s="281" t="n"/>
      <c r="AM13" s="24" t="n"/>
      <c r="AP13" s="524" t="n"/>
    </row>
    <row r="14" ht="48.75" customFormat="1" customHeight="1" s="418">
      <c r="A14" s="418" t="inlineStr">
        <is>
          <t>新宝利</t>
        </is>
      </c>
      <c r="B14" s="418" t="inlineStr">
        <is>
          <t>零期</t>
        </is>
      </c>
      <c r="C14" s="418" t="n">
        <v>3132884</v>
      </c>
      <c r="D14" s="418" t="inlineStr">
        <is>
          <t>13:20-15:30</t>
        </is>
      </c>
      <c r="E14" s="418" t="inlineStr">
        <is>
          <t>潜能班</t>
        </is>
      </c>
      <c r="F14" s="418" t="inlineStr">
        <is>
          <t>穆邵瀚</t>
        </is>
      </c>
      <c r="G14" s="418" t="inlineStr">
        <is>
          <t>田雨涵01</t>
        </is>
      </c>
      <c r="H14" s="418" t="inlineStr">
        <is>
          <t>李润</t>
        </is>
      </c>
      <c r="I14" s="418" t="inlineStr">
        <is>
          <t>肖锐03</t>
        </is>
      </c>
      <c r="J14" s="418" t="inlineStr">
        <is>
          <t>张敏烨</t>
        </is>
      </c>
      <c r="M14" s="412" t="inlineStr">
        <is>
          <t>学习思考一般，没有笔记的习惯</t>
        </is>
      </c>
      <c r="N14" s="412" t="inlineStr">
        <is>
          <t>学习缺乏主动性，上课多关注关注；</t>
        </is>
      </c>
      <c r="O14" s="815" t="inlineStr">
        <is>
          <t>课后看情况可以给孩子出点题；
定义啥的多问问，晚上甚至可以打电话聊聊，现场提问定义</t>
        </is>
      </c>
      <c r="Q14" s="418" t="n">
        <v>63</v>
      </c>
      <c r="T14" s="418" t="inlineStr">
        <is>
          <t>是</t>
        </is>
      </c>
      <c r="U14" s="418" t="inlineStr">
        <is>
          <t>是</t>
        </is>
      </c>
      <c r="V14" s="418" t="inlineStr">
        <is>
          <t>是</t>
        </is>
      </c>
      <c r="W14" s="418" t="inlineStr">
        <is>
          <t>是</t>
        </is>
      </c>
      <c r="X14" s="418" t="inlineStr">
        <is>
          <t>是</t>
        </is>
      </c>
      <c r="Y14" s="418" t="inlineStr">
        <is>
          <t>是</t>
        </is>
      </c>
      <c r="AA14" s="418" t="inlineStr">
        <is>
          <t>是</t>
        </is>
      </c>
      <c r="AH14" s="22" t="n"/>
      <c r="AI14" s="377" t="inlineStr">
        <is>
          <t>是</t>
        </is>
      </c>
      <c r="AJ14" s="418" t="inlineStr">
        <is>
          <t>对字迹多要求</t>
        </is>
      </c>
      <c r="AK14" s="122" t="n"/>
      <c r="AL14" s="281" t="n"/>
      <c r="AM14" s="24" t="n"/>
      <c r="AP14" s="524" t="n"/>
    </row>
    <row r="15" ht="48.75" customFormat="1" customHeight="1" s="418">
      <c r="A15" s="418" t="inlineStr">
        <is>
          <t>新宝利</t>
        </is>
      </c>
      <c r="B15" s="418" t="inlineStr">
        <is>
          <t>零期</t>
        </is>
      </c>
      <c r="C15" s="418" t="n">
        <v>3132884</v>
      </c>
      <c r="D15" s="418" t="inlineStr">
        <is>
          <t>13:20-15:30</t>
        </is>
      </c>
      <c r="E15" s="418" t="inlineStr">
        <is>
          <t>潜能班</t>
        </is>
      </c>
      <c r="F15" s="418" t="inlineStr">
        <is>
          <t>范熙宗</t>
        </is>
      </c>
      <c r="G15" s="418" t="inlineStr">
        <is>
          <t>田雨涵01</t>
        </is>
      </c>
      <c r="H15" s="418" t="inlineStr">
        <is>
          <t>李润</t>
        </is>
      </c>
      <c r="I15" s="418" t="inlineStr">
        <is>
          <t>肖锐03</t>
        </is>
      </c>
      <c r="J15" s="418" t="inlineStr">
        <is>
          <t>杨林33</t>
        </is>
      </c>
      <c r="M15" s="412" t="inlineStr">
        <is>
          <t>学习习惯不是很好，可能思维方面也不是很好</t>
        </is>
      </c>
      <c r="N15" s="816" t="inlineStr">
        <is>
          <t>行为习惯还算可以，注意力不集中，这个是最大的问题
老师多关注</t>
        </is>
      </c>
      <c r="O15" s="412" t="inlineStr">
        <is>
          <t>6上期末的时候是有拿到A，但是一般的话都是在及格分数左右吧</t>
        </is>
      </c>
      <c r="P15" s="418" t="n">
        <v>64</v>
      </c>
      <c r="T15" s="418" t="inlineStr">
        <is>
          <t>是</t>
        </is>
      </c>
      <c r="U15" s="418" t="inlineStr">
        <is>
          <t>是</t>
        </is>
      </c>
      <c r="V15" s="418" t="inlineStr">
        <is>
          <t>是</t>
        </is>
      </c>
      <c r="W15" s="418" t="inlineStr">
        <is>
          <t>是</t>
        </is>
      </c>
      <c r="X15" s="418" t="inlineStr">
        <is>
          <t>否</t>
        </is>
      </c>
      <c r="Y15" s="418" t="inlineStr">
        <is>
          <t>否</t>
        </is>
      </c>
      <c r="Z15" s="418" t="inlineStr">
        <is>
          <t>是</t>
        </is>
      </c>
      <c r="AA15" s="418" t="inlineStr">
        <is>
          <t>是</t>
        </is>
      </c>
      <c r="AH15" s="22" t="n"/>
      <c r="AI15" s="377" t="inlineStr">
        <is>
          <t>否</t>
        </is>
      </c>
      <c r="AJ15" s="418" t="inlineStr">
        <is>
          <t>孩子有点跟不上，但是家长报名意愿看孩子</t>
        </is>
      </c>
      <c r="AK15" s="122" t="n"/>
      <c r="AL15" s="281" t="n"/>
      <c r="AM15" s="24" t="n"/>
      <c r="AP15" s="524" t="n"/>
    </row>
    <row r="16" ht="48.75" customFormat="1" customHeight="1" s="418">
      <c r="A16" s="418" t="inlineStr">
        <is>
          <t>新宝利</t>
        </is>
      </c>
      <c r="B16" s="418" t="inlineStr">
        <is>
          <t>二期</t>
        </is>
      </c>
      <c r="C16" s="281" t="n">
        <v>5111034</v>
      </c>
      <c r="D16" s="418" t="inlineStr">
        <is>
          <t>13:20-15:30</t>
        </is>
      </c>
      <c r="E16" s="418" t="inlineStr">
        <is>
          <t>潜能班</t>
        </is>
      </c>
      <c r="F16" s="418" t="inlineStr">
        <is>
          <t>萧嘉骏</t>
        </is>
      </c>
      <c r="G16" s="418" t="inlineStr">
        <is>
          <t>田雨涵01</t>
        </is>
      </c>
      <c r="H16" s="418" t="inlineStr">
        <is>
          <t>黄铭怡</t>
        </is>
      </c>
      <c r="I16" s="119" t="inlineStr">
        <is>
          <t>高心怡04</t>
        </is>
      </c>
      <c r="J16" s="418" t="inlineStr">
        <is>
          <t>林志豪01</t>
        </is>
      </c>
      <c r="M16" s="412" t="n"/>
      <c r="N16" s="412" t="inlineStr">
        <is>
          <t>学习习惯差，没人看着就偷懒</t>
        </is>
      </c>
      <c r="O16" s="412" t="inlineStr">
        <is>
          <t>学习想让他补短板，上初中能跟上节奏</t>
        </is>
      </c>
      <c r="Q16" s="418" t="n">
        <v>65</v>
      </c>
      <c r="T16" s="418" t="inlineStr">
        <is>
          <t>是</t>
        </is>
      </c>
      <c r="U16" s="418" t="inlineStr">
        <is>
          <t>是</t>
        </is>
      </c>
      <c r="V16" s="418" t="inlineStr">
        <is>
          <t>是</t>
        </is>
      </c>
      <c r="W16" s="418" t="inlineStr">
        <is>
          <t>是</t>
        </is>
      </c>
      <c r="X16" s="418" t="inlineStr">
        <is>
          <t>是</t>
        </is>
      </c>
      <c r="Y16" s="418" t="inlineStr">
        <is>
          <t>是</t>
        </is>
      </c>
      <c r="Z16" s="418" t="inlineStr">
        <is>
          <t>是</t>
        </is>
      </c>
      <c r="AA16" s="418" t="inlineStr">
        <is>
          <t>否</t>
        </is>
      </c>
      <c r="AH16" s="22" t="n"/>
      <c r="AI16" s="377" t="inlineStr">
        <is>
          <t>否</t>
        </is>
      </c>
      <c r="AJ16" s="24" t="n"/>
      <c r="AK16" s="22" t="n"/>
      <c r="AL16" s="124" t="n"/>
      <c r="AM16" s="24" t="n"/>
      <c r="AP16" s="524" t="n"/>
    </row>
    <row r="17" ht="48.75" customFormat="1" customHeight="1" s="418">
      <c r="A17" s="418" t="inlineStr">
        <is>
          <t>新宝利</t>
        </is>
      </c>
      <c r="B17" s="418" t="inlineStr">
        <is>
          <t>零期</t>
        </is>
      </c>
      <c r="C17" s="418" t="n">
        <v>3132884</v>
      </c>
      <c r="D17" s="418" t="inlineStr">
        <is>
          <t>13:20-15:30</t>
        </is>
      </c>
      <c r="E17" s="418" t="inlineStr">
        <is>
          <t>潜能班</t>
        </is>
      </c>
      <c r="F17" s="418" t="inlineStr">
        <is>
          <t>詹培琳</t>
        </is>
      </c>
      <c r="G17" s="418" t="inlineStr">
        <is>
          <t>田雨涵01</t>
        </is>
      </c>
      <c r="H17" s="418" t="inlineStr">
        <is>
          <t>李润</t>
        </is>
      </c>
      <c r="I17" s="418" t="inlineStr">
        <is>
          <t>肖锐03</t>
        </is>
      </c>
      <c r="J17" s="418" t="inlineStr">
        <is>
          <t>杨林33</t>
        </is>
      </c>
      <c r="M17" s="412" t="inlineStr">
        <is>
          <t>六年级数学成绩能90分➕</t>
        </is>
      </c>
      <c r="N17" s="412" t="inlineStr">
        <is>
          <t>主要是想学到能跟得上初一的知识点，到时学校分层能有分到好的层次</t>
        </is>
      </c>
      <c r="O17" s="412" t="n"/>
      <c r="P17" s="418" t="inlineStr">
        <is>
          <t>90+</t>
        </is>
      </c>
      <c r="Q17" s="418" t="n">
        <v>68</v>
      </c>
      <c r="T17" s="418" t="inlineStr">
        <is>
          <t>是</t>
        </is>
      </c>
      <c r="U17" s="418" t="inlineStr">
        <is>
          <t>是</t>
        </is>
      </c>
      <c r="V17" s="418" t="inlineStr">
        <is>
          <t>是</t>
        </is>
      </c>
      <c r="W17" s="418" t="inlineStr">
        <is>
          <t>是</t>
        </is>
      </c>
      <c r="X17" s="418" t="inlineStr">
        <is>
          <t>是</t>
        </is>
      </c>
      <c r="Y17" s="418" t="inlineStr">
        <is>
          <t>否</t>
        </is>
      </c>
      <c r="Z17" s="418" t="inlineStr">
        <is>
          <t>是</t>
        </is>
      </c>
      <c r="AA17" s="418" t="inlineStr">
        <is>
          <t>否</t>
        </is>
      </c>
      <c r="AH17" s="22" t="n"/>
      <c r="AI17" s="377" t="inlineStr">
        <is>
          <t>是</t>
        </is>
      </c>
      <c r="AJ17" s="418" t="inlineStr">
        <is>
          <t>跟家长聊学科规划，为什么现在就要学</t>
        </is>
      </c>
      <c r="AK17" s="122" t="n"/>
      <c r="AL17" s="281" t="n"/>
      <c r="AM17" s="24" t="n"/>
      <c r="AP17" s="524" t="n"/>
    </row>
    <row r="18" ht="48.75" customFormat="1" customHeight="1" s="418">
      <c r="A18" s="418" t="inlineStr">
        <is>
          <t>新宝利</t>
        </is>
      </c>
      <c r="B18" s="418" t="inlineStr">
        <is>
          <t>零期</t>
        </is>
      </c>
      <c r="C18" s="418" t="n">
        <v>3132884</v>
      </c>
      <c r="D18" s="418" t="inlineStr">
        <is>
          <t>13:20-15:30</t>
        </is>
      </c>
      <c r="E18" s="418" t="inlineStr">
        <is>
          <t>潜能班</t>
        </is>
      </c>
      <c r="F18" s="418" t="inlineStr">
        <is>
          <t>詹馨宁</t>
        </is>
      </c>
      <c r="G18" s="418" t="inlineStr">
        <is>
          <t>田雨涵01</t>
        </is>
      </c>
      <c r="H18" s="418" t="inlineStr">
        <is>
          <t>李润</t>
        </is>
      </c>
      <c r="I18" s="418" t="inlineStr">
        <is>
          <t>肖锐03</t>
        </is>
      </c>
      <c r="J18" s="418" t="inlineStr">
        <is>
          <t>林志豪01</t>
        </is>
      </c>
      <c r="M18" s="412" t="n"/>
      <c r="N18" s="412" t="n"/>
      <c r="O18" s="412" t="n"/>
      <c r="Q18" s="418" t="n">
        <v>72</v>
      </c>
      <c r="T18" s="418" t="inlineStr">
        <is>
          <t>是</t>
        </is>
      </c>
      <c r="V18" s="418" t="inlineStr">
        <is>
          <t>是</t>
        </is>
      </c>
      <c r="W18" s="418" t="inlineStr">
        <is>
          <t>是</t>
        </is>
      </c>
      <c r="X18" s="418" t="inlineStr">
        <is>
          <t>是</t>
        </is>
      </c>
      <c r="Y18" s="418" t="inlineStr">
        <is>
          <t>否</t>
        </is>
      </c>
      <c r="AA18" s="418" t="inlineStr">
        <is>
          <t>否</t>
        </is>
      </c>
      <c r="AH18" s="22" t="n"/>
      <c r="AI18" s="377" t="inlineStr">
        <is>
          <t>是</t>
        </is>
      </c>
      <c r="AJ18" s="418" t="inlineStr">
        <is>
          <t>多点点孩子，第一节课觉得有点简单</t>
        </is>
      </c>
      <c r="AK18" s="122" t="n"/>
      <c r="AL18" s="124" t="n"/>
      <c r="AM18" s="24" t="n"/>
      <c r="AP18" s="524" t="n"/>
    </row>
    <row r="19" ht="48.75" customFormat="1" customHeight="1" s="418">
      <c r="A19" s="418" t="inlineStr">
        <is>
          <t>新宝利</t>
        </is>
      </c>
      <c r="B19" s="418" t="inlineStr">
        <is>
          <t>零期</t>
        </is>
      </c>
      <c r="C19" s="418" t="n">
        <v>3132884</v>
      </c>
      <c r="D19" s="418" t="inlineStr">
        <is>
          <t>13:20-15:30</t>
        </is>
      </c>
      <c r="E19" s="418" t="inlineStr">
        <is>
          <t>潜能班</t>
        </is>
      </c>
      <c r="F19" s="418" t="inlineStr">
        <is>
          <t>赖奕鹏</t>
        </is>
      </c>
      <c r="G19" s="418" t="inlineStr">
        <is>
          <t>田雨涵01</t>
        </is>
      </c>
      <c r="I19" s="418" t="inlineStr">
        <is>
          <t>肖锐03</t>
        </is>
      </c>
      <c r="J19" s="418" t="inlineStr">
        <is>
          <t>林志豪01</t>
        </is>
      </c>
      <c r="M19" s="412" t="inlineStr">
        <is>
          <t>6上的成绩还行，6下就不行，感觉心思不在学习上，上课也不认真听，课后又不认真做练习</t>
        </is>
      </c>
      <c r="N19" s="414" t="inlineStr">
        <is>
          <t>关注孩子课上及作业完成情况，多跟盯</t>
        </is>
      </c>
      <c r="O19" s="412" t="inlineStr">
        <is>
          <t>叛逆</t>
        </is>
      </c>
      <c r="Q19" s="418" t="n">
        <v>60</v>
      </c>
      <c r="T19" s="418" t="inlineStr">
        <is>
          <t>是</t>
        </is>
      </c>
      <c r="U19" s="418" t="inlineStr">
        <is>
          <t>是</t>
        </is>
      </c>
      <c r="V19" s="418" t="inlineStr">
        <is>
          <t>是</t>
        </is>
      </c>
      <c r="W19" s="418" t="inlineStr">
        <is>
          <t>是</t>
        </is>
      </c>
      <c r="X19" s="418" t="inlineStr">
        <is>
          <t>是</t>
        </is>
      </c>
      <c r="Y19" s="418" t="inlineStr">
        <is>
          <t>是</t>
        </is>
      </c>
      <c r="AA19" s="418" t="inlineStr">
        <is>
          <t>是</t>
        </is>
      </c>
      <c r="AH19" s="22" t="inlineStr">
        <is>
          <t>是</t>
        </is>
      </c>
      <c r="AI19" s="377" t="inlineStr">
        <is>
          <t>是</t>
        </is>
      </c>
      <c r="AK19" s="122" t="n"/>
      <c r="AL19" s="124" t="n"/>
      <c r="AM19" s="24" t="n"/>
      <c r="AP19" s="524" t="n"/>
    </row>
    <row r="20" ht="48.75" customFormat="1" customHeight="1" s="418">
      <c r="A20" s="418" t="inlineStr">
        <is>
          <t>新宝利</t>
        </is>
      </c>
      <c r="B20" s="418" t="inlineStr">
        <is>
          <t>零期</t>
        </is>
      </c>
      <c r="C20" s="418" t="n">
        <v>3132884</v>
      </c>
      <c r="D20" s="418" t="inlineStr">
        <is>
          <t>13:20-15:30</t>
        </is>
      </c>
      <c r="E20" s="418" t="inlineStr">
        <is>
          <t>潜能班</t>
        </is>
      </c>
      <c r="F20" s="418" t="inlineStr">
        <is>
          <t>赖雨甜</t>
        </is>
      </c>
      <c r="G20" s="418" t="inlineStr">
        <is>
          <t>田雨涵01</t>
        </is>
      </c>
      <c r="H20" s="418" t="inlineStr">
        <is>
          <t>李润</t>
        </is>
      </c>
      <c r="I20" s="418" t="inlineStr">
        <is>
          <t>肖锐03</t>
        </is>
      </c>
      <c r="J20" s="418" t="inlineStr">
        <is>
          <t>陈亮延</t>
        </is>
      </c>
      <c r="M20" s="412" t="inlineStr">
        <is>
          <t>主要关注暑假能不能跟上老师的节奏，习惯不要盯着</t>
        </is>
      </c>
      <c r="N20" s="412" t="inlineStr">
        <is>
          <t>想让孩子提前学一下初中知识，学习习惯还好，比较自觉，但不太爱挑战难题</t>
        </is>
      </c>
      <c r="O20" s="412" t="inlineStr">
        <is>
          <t>孩子29号要回校，4号要去初中注册，10号要参加散学典礼，都要请假</t>
        </is>
      </c>
      <c r="P20" s="418" t="n">
        <v>72</v>
      </c>
      <c r="T20" s="418" t="inlineStr">
        <is>
          <t>是</t>
        </is>
      </c>
      <c r="U20" s="418" t="inlineStr">
        <is>
          <t>是</t>
        </is>
      </c>
      <c r="V20" s="418" t="inlineStr">
        <is>
          <t>是</t>
        </is>
      </c>
      <c r="W20" s="418" t="inlineStr">
        <is>
          <t>是</t>
        </is>
      </c>
      <c r="X20" s="418" t="inlineStr">
        <is>
          <t>否</t>
        </is>
      </c>
      <c r="Y20" s="418" t="inlineStr">
        <is>
          <t>否</t>
        </is>
      </c>
      <c r="AA20" s="418" t="inlineStr">
        <is>
          <t>是</t>
        </is>
      </c>
      <c r="AH20" s="22" t="n"/>
      <c r="AI20" s="377" t="inlineStr">
        <is>
          <t>是</t>
        </is>
      </c>
      <c r="AK20" s="122" t="n"/>
      <c r="AL20" s="124" t="n"/>
      <c r="AM20" s="24" t="n"/>
      <c r="AP20" s="524" t="n"/>
    </row>
    <row r="21" ht="48.75" customFormat="1" customHeight="1" s="418">
      <c r="A21" s="418" t="inlineStr">
        <is>
          <t>新宝利</t>
        </is>
      </c>
      <c r="B21" s="418" t="inlineStr">
        <is>
          <t>零期</t>
        </is>
      </c>
      <c r="C21" s="418" t="n">
        <v>3132884</v>
      </c>
      <c r="D21" s="418" t="inlineStr">
        <is>
          <t>13:20-15:30</t>
        </is>
      </c>
      <c r="E21" s="418" t="inlineStr">
        <is>
          <t>潜能班</t>
        </is>
      </c>
      <c r="F21" s="418" t="inlineStr">
        <is>
          <t>陈家誉</t>
        </is>
      </c>
      <c r="G21" s="418" t="inlineStr">
        <is>
          <t>田雨涵01</t>
        </is>
      </c>
      <c r="H21" s="418" t="inlineStr">
        <is>
          <t>李润</t>
        </is>
      </c>
      <c r="I21" s="418" t="inlineStr">
        <is>
          <t>肖锐03</t>
        </is>
      </c>
      <c r="J21" s="418" t="inlineStr">
        <is>
          <t>林志豪01</t>
        </is>
      </c>
      <c r="M21" s="412" t="inlineStr">
        <is>
          <t>可以自己预习和完成作业</t>
        </is>
      </c>
      <c r="N21" s="412" t="inlineStr">
        <is>
          <t>提前学习初中内容</t>
        </is>
      </c>
      <c r="O21" s="412" t="inlineStr">
        <is>
          <t>校内成绩比较好，这次期末考试数学是100</t>
        </is>
      </c>
      <c r="P21" s="418" t="n">
        <v>64</v>
      </c>
      <c r="T21" s="418" t="inlineStr">
        <is>
          <t>是</t>
        </is>
      </c>
      <c r="U21" s="418" t="inlineStr">
        <is>
          <t>是</t>
        </is>
      </c>
      <c r="V21" s="418" t="inlineStr">
        <is>
          <t>是</t>
        </is>
      </c>
      <c r="W21" s="418" t="inlineStr">
        <is>
          <t>是</t>
        </is>
      </c>
      <c r="X21" s="418" t="inlineStr">
        <is>
          <t>是</t>
        </is>
      </c>
      <c r="Y21" s="418" t="inlineStr">
        <is>
          <t>否</t>
        </is>
      </c>
      <c r="Z21" s="418" t="inlineStr">
        <is>
          <t>是</t>
        </is>
      </c>
      <c r="AA21" s="418" t="inlineStr">
        <is>
          <t>是</t>
        </is>
      </c>
      <c r="AH21" s="22" t="n"/>
      <c r="AI21" s="377" t="inlineStr">
        <is>
          <t>是</t>
        </is>
      </c>
      <c r="AJ21" s="418" t="inlineStr">
        <is>
          <t>核心问题：距离，往返2h</t>
        </is>
      </c>
      <c r="AK21" s="122" t="n"/>
      <c r="AL21" s="124" t="n"/>
      <c r="AM21" s="24" t="n"/>
      <c r="AP21" s="524" t="n"/>
    </row>
    <row r="22" ht="48.75" customFormat="1" customHeight="1" s="418">
      <c r="A22" s="418" t="inlineStr">
        <is>
          <t>新宝利</t>
        </is>
      </c>
      <c r="B22" s="418" t="inlineStr">
        <is>
          <t>零期</t>
        </is>
      </c>
      <c r="C22" s="418" t="n">
        <v>3132884</v>
      </c>
      <c r="D22" s="418" t="inlineStr">
        <is>
          <t>13:20-15:30</t>
        </is>
      </c>
      <c r="E22" s="418" t="inlineStr">
        <is>
          <t>潜能班</t>
        </is>
      </c>
      <c r="F22" s="418" t="inlineStr">
        <is>
          <t>陈滢西</t>
        </is>
      </c>
      <c r="G22" s="418" t="inlineStr">
        <is>
          <t>田雨涵01</t>
        </is>
      </c>
      <c r="H22" s="418" t="inlineStr">
        <is>
          <t>李润</t>
        </is>
      </c>
      <c r="I22" s="418" t="inlineStr">
        <is>
          <t>肖锐03</t>
        </is>
      </c>
      <c r="J22" s="418" t="inlineStr">
        <is>
          <t>张敏烨</t>
        </is>
      </c>
      <c r="M22" s="412" t="n"/>
      <c r="N22" s="414" t="inlineStr">
        <is>
          <t>和博闻老师的粘性很高，喜欢博闻老师</t>
        </is>
      </c>
      <c r="O22" s="412" t="inlineStr">
        <is>
          <t>孩子性格开朗，爱学习，希望课上被老师关注，他举手的时候，希望老师选她回答问题</t>
        </is>
      </c>
      <c r="P22" s="418" t="n">
        <v>60</v>
      </c>
      <c r="T22" s="418" t="inlineStr">
        <is>
          <t>是</t>
        </is>
      </c>
      <c r="U22" s="418" t="inlineStr">
        <is>
          <t>是</t>
        </is>
      </c>
      <c r="V22" s="418" t="inlineStr">
        <is>
          <t>是</t>
        </is>
      </c>
      <c r="W22" s="418" t="inlineStr">
        <is>
          <t>是</t>
        </is>
      </c>
      <c r="X22" s="418" t="inlineStr">
        <is>
          <t>是</t>
        </is>
      </c>
      <c r="Y22" s="418" t="inlineStr">
        <is>
          <t>是</t>
        </is>
      </c>
      <c r="Z22" s="418" t="inlineStr">
        <is>
          <t>是</t>
        </is>
      </c>
      <c r="AA22" s="418" t="inlineStr">
        <is>
          <t>是</t>
        </is>
      </c>
      <c r="AH22" s="22" t="n"/>
      <c r="AI22" s="377" t="inlineStr">
        <is>
          <t>是</t>
        </is>
      </c>
      <c r="AJ22" s="418" t="inlineStr">
        <is>
          <t>数学多关注计算</t>
        </is>
      </c>
      <c r="AK22" s="122" t="n"/>
      <c r="AL22" s="124" t="n"/>
      <c r="AM22" s="24" t="n"/>
      <c r="AP22" s="524" t="n"/>
    </row>
    <row r="23" ht="48.75" customFormat="1" customHeight="1" s="418">
      <c r="A23" s="418" t="inlineStr">
        <is>
          <t>新宝利</t>
        </is>
      </c>
      <c r="B23" s="418" t="inlineStr">
        <is>
          <t>零期、三期</t>
        </is>
      </c>
      <c r="C23" s="418" t="n">
        <v>3132884</v>
      </c>
      <c r="D23" s="418" t="inlineStr">
        <is>
          <t>13:20-15:30</t>
        </is>
      </c>
      <c r="E23" s="418" t="inlineStr">
        <is>
          <t>潜能班</t>
        </is>
      </c>
      <c r="F23" s="418" t="inlineStr">
        <is>
          <t>马伊惠</t>
        </is>
      </c>
      <c r="G23" s="418" t="inlineStr">
        <is>
          <t>田雨涵01</t>
        </is>
      </c>
      <c r="H23" s="418" t="inlineStr">
        <is>
          <t>李润</t>
        </is>
      </c>
      <c r="I23" s="418" t="inlineStr">
        <is>
          <t>肖锐03</t>
        </is>
      </c>
      <c r="J23" s="418" t="inlineStr">
        <is>
          <t>张敏烨</t>
        </is>
      </c>
      <c r="M23" s="412" t="inlineStr"/>
      <c r="N23" s="412" t="inlineStr">
        <is>
          <t>希望能提升下专注度，数学成绩一般他就态度一般</t>
        </is>
      </c>
      <c r="O23" s="412" t="inlineStr">
        <is>
          <t>数学成绩一般</t>
        </is>
      </c>
      <c r="Q23" s="418" t="n">
        <v>73</v>
      </c>
      <c r="T23" s="418" t="inlineStr">
        <is>
          <t>是</t>
        </is>
      </c>
      <c r="U23" s="418" t="inlineStr">
        <is>
          <t>是</t>
        </is>
      </c>
      <c r="V23" s="418" t="inlineStr">
        <is>
          <t>是</t>
        </is>
      </c>
      <c r="W23" s="418" t="inlineStr">
        <is>
          <t>是</t>
        </is>
      </c>
      <c r="X23" s="418" t="inlineStr">
        <is>
          <t>是</t>
        </is>
      </c>
      <c r="Y23" s="418" t="inlineStr">
        <is>
          <t>否</t>
        </is>
      </c>
      <c r="Z23" s="418" t="inlineStr">
        <is>
          <t>是</t>
        </is>
      </c>
      <c r="AA23" s="418" t="inlineStr">
        <is>
          <t>是</t>
        </is>
      </c>
      <c r="AH23" s="22" t="n"/>
      <c r="AI23" s="377" t="inlineStr">
        <is>
          <t>是</t>
        </is>
      </c>
      <c r="AJ23" s="817" t="inlineStr">
        <is>
          <t>孩子笔记不错，也很开心，今天上课内容比较简单，孩子是能接受的，孩子担心后面得难起来自己不会，多跟孩子聊聊
孩子有理数计算学的不太好</t>
        </is>
      </c>
      <c r="AK23" s="122" t="n"/>
      <c r="AL23" s="124" t="n"/>
      <c r="AM23" s="24" t="n"/>
      <c r="AP23" s="524" t="n"/>
    </row>
    <row r="24" ht="48.75" customFormat="1" customHeight="1" s="418">
      <c r="A24" s="418" t="inlineStr">
        <is>
          <t>新宝利</t>
        </is>
      </c>
      <c r="B24" s="418" t="inlineStr">
        <is>
          <t>零期</t>
        </is>
      </c>
      <c r="C24" s="418" t="n">
        <v>3132884</v>
      </c>
      <c r="D24" s="418" t="inlineStr">
        <is>
          <t>13:20-15:30</t>
        </is>
      </c>
      <c r="E24" s="418" t="inlineStr">
        <is>
          <t>潜能班</t>
        </is>
      </c>
      <c r="F24" s="418" t="inlineStr">
        <is>
          <t>高若曦</t>
        </is>
      </c>
      <c r="G24" s="418" t="inlineStr">
        <is>
          <t>田雨涵01</t>
        </is>
      </c>
      <c r="H24" s="418" t="inlineStr">
        <is>
          <t>李润</t>
        </is>
      </c>
      <c r="I24" s="418" t="inlineStr">
        <is>
          <t>肖锐03</t>
        </is>
      </c>
      <c r="J24" s="418" t="inlineStr">
        <is>
          <t>王丽</t>
        </is>
      </c>
      <c r="M24" s="412" t="n"/>
      <c r="N24" s="412" t="n"/>
      <c r="O24" s="412" t="n"/>
      <c r="P24" s="418" t="n">
        <v>72</v>
      </c>
      <c r="T24" s="418" t="inlineStr">
        <is>
          <t>是</t>
        </is>
      </c>
      <c r="V24" s="418" t="inlineStr">
        <is>
          <t>是</t>
        </is>
      </c>
      <c r="W24" s="418" t="inlineStr">
        <is>
          <t>是</t>
        </is>
      </c>
      <c r="X24" s="418" t="inlineStr">
        <is>
          <t>是</t>
        </is>
      </c>
      <c r="Y24" s="418" t="inlineStr">
        <is>
          <t>是</t>
        </is>
      </c>
      <c r="AA24" s="418" t="inlineStr">
        <is>
          <t>否</t>
        </is>
      </c>
      <c r="AH24" s="22" t="n"/>
      <c r="AI24" s="377" t="inlineStr">
        <is>
          <t>是</t>
        </is>
      </c>
      <c r="AK24" s="122" t="n"/>
      <c r="AL24" s="124" t="n"/>
      <c r="AM24" s="24" t="n"/>
      <c r="AP24" s="524" t="n"/>
    </row>
    <row r="25" ht="48.75" customFormat="1" customHeight="1" s="418">
      <c r="A25" s="418" t="inlineStr">
        <is>
          <t>新宝利</t>
        </is>
      </c>
      <c r="B25" s="418" t="inlineStr">
        <is>
          <t>零期</t>
        </is>
      </c>
      <c r="C25" s="418" t="n">
        <v>3132884</v>
      </c>
      <c r="D25" s="418" t="inlineStr">
        <is>
          <t>13:20-15:30</t>
        </is>
      </c>
      <c r="E25" s="418" t="inlineStr">
        <is>
          <t>潜能班</t>
        </is>
      </c>
      <c r="F25" s="418" t="inlineStr">
        <is>
          <t>黄歆越</t>
        </is>
      </c>
      <c r="G25" s="418" t="inlineStr">
        <is>
          <t>田雨涵01</t>
        </is>
      </c>
      <c r="H25" s="418" t="inlineStr">
        <is>
          <t>李润</t>
        </is>
      </c>
      <c r="I25" s="418" t="inlineStr">
        <is>
          <t>肖锐03</t>
        </is>
      </c>
      <c r="J25" s="418" t="inlineStr">
        <is>
          <t>杨林33</t>
        </is>
      </c>
      <c r="M25" s="412" t="inlineStr">
        <is>
          <t>学习中等，学习习惯也一般，</t>
        </is>
      </c>
      <c r="N25" s="412" t="inlineStr">
        <is>
          <t>提前学初一，能掌握多少学多少；孩子基础比较差</t>
        </is>
      </c>
      <c r="O25" s="818" t="inlineStr">
        <is>
          <t>孩子基础差，数学习惯也不太好，这边多关注上课的情况，多和家长聊孩子的上课情况，和每次考试的掌握情况会比较好
全方位关注</t>
        </is>
      </c>
      <c r="Q25" s="418" t="n">
        <v>26</v>
      </c>
      <c r="T25" s="418" t="inlineStr">
        <is>
          <t>是</t>
        </is>
      </c>
      <c r="U25" s="418" t="inlineStr">
        <is>
          <t>是</t>
        </is>
      </c>
      <c r="V25" s="418" t="inlineStr">
        <is>
          <t>是</t>
        </is>
      </c>
      <c r="W25" s="418" t="inlineStr">
        <is>
          <t>是</t>
        </is>
      </c>
      <c r="X25" s="418" t="inlineStr">
        <is>
          <t>是</t>
        </is>
      </c>
      <c r="Y25" s="418" t="inlineStr">
        <is>
          <t>是</t>
        </is>
      </c>
      <c r="AA25" s="418" t="inlineStr">
        <is>
          <t>是</t>
        </is>
      </c>
      <c r="AH25" s="22" t="n"/>
      <c r="AI25" s="377" t="inlineStr">
        <is>
          <t>是</t>
        </is>
      </c>
      <c r="AJ25" s="418" t="inlineStr">
        <is>
          <t>家长存疑秋季的服务</t>
        </is>
      </c>
      <c r="AK25" s="122" t="n"/>
      <c r="AL25" s="124" t="n"/>
      <c r="AM25" s="24" t="n"/>
      <c r="AP25" s="524" t="n"/>
    </row>
    <row r="26" ht="48.75" customFormat="1" customHeight="1" s="418">
      <c r="A26" s="418" t="inlineStr">
        <is>
          <t>新宝利</t>
        </is>
      </c>
      <c r="B26" s="418" t="inlineStr">
        <is>
          <t>零期</t>
        </is>
      </c>
      <c r="C26" s="418" t="n">
        <v>3132884</v>
      </c>
      <c r="D26" s="418" t="inlineStr">
        <is>
          <t>13:20-15:30</t>
        </is>
      </c>
      <c r="E26" s="418" t="inlineStr">
        <is>
          <t>潜能班</t>
        </is>
      </c>
      <c r="F26" s="418" t="inlineStr">
        <is>
          <t>马邦耀</t>
        </is>
      </c>
      <c r="G26" s="418" t="inlineStr">
        <is>
          <t>田雨涵01</t>
        </is>
      </c>
      <c r="M26" s="412" t="n"/>
      <c r="N26" s="412" t="n"/>
      <c r="O26" s="412" t="n"/>
      <c r="T26" s="418" t="inlineStr">
        <is>
          <t>是</t>
        </is>
      </c>
      <c r="V26" s="418" t="inlineStr">
        <is>
          <t>是</t>
        </is>
      </c>
      <c r="AA26" s="418" t="inlineStr">
        <is>
          <t>是</t>
        </is>
      </c>
      <c r="AH26" s="22" t="n"/>
      <c r="AI26" s="377" t="inlineStr">
        <is>
          <t>否</t>
        </is>
      </c>
      <c r="AJ26" s="418" t="inlineStr">
        <is>
          <t>多关注孩子，让孩子喜欢老师</t>
        </is>
      </c>
      <c r="AK26" s="122" t="n"/>
      <c r="AL26" s="124" t="n"/>
      <c r="AM26" s="24" t="n"/>
      <c r="AP26" s="524" t="n"/>
    </row>
    <row r="27" ht="48.75" customFormat="1" customHeight="1" s="408">
      <c r="A27" s="408" t="inlineStr">
        <is>
          <t>新宝利</t>
        </is>
      </c>
      <c r="B27" s="408" t="inlineStr">
        <is>
          <t>三期</t>
        </is>
      </c>
      <c r="C27" s="408" t="n">
        <v>4632447</v>
      </c>
      <c r="D27" s="408" t="inlineStr">
        <is>
          <t>10:20-12:30</t>
        </is>
      </c>
      <c r="E27" s="408" t="inlineStr">
        <is>
          <t>潜能班</t>
        </is>
      </c>
      <c r="F27" s="408" t="inlineStr">
        <is>
          <t>刘诗语</t>
        </is>
      </c>
      <c r="G27" s="408" t="inlineStr">
        <is>
          <t>田雨涵01</t>
        </is>
      </c>
      <c r="H27" s="408" t="inlineStr">
        <is>
          <t>李润</t>
        </is>
      </c>
      <c r="I27" s="408" t="inlineStr">
        <is>
          <t>肖锐03</t>
        </is>
      </c>
      <c r="J27" s="408" t="inlineStr">
        <is>
          <t>杨林33</t>
        </is>
      </c>
      <c r="P27" s="408" t="n">
        <v>60</v>
      </c>
      <c r="X27" s="408" t="inlineStr">
        <is>
          <t>否</t>
        </is>
      </c>
      <c r="Y27" s="408" t="inlineStr">
        <is>
          <t>否</t>
        </is>
      </c>
      <c r="AI27" s="377" t="inlineStr">
        <is>
          <t>否</t>
        </is>
      </c>
      <c r="AP27" s="524" t="n"/>
    </row>
    <row r="28" ht="48.75" customFormat="1" customHeight="1" s="408">
      <c r="A28" s="408" t="inlineStr">
        <is>
          <t>新宝利</t>
        </is>
      </c>
      <c r="B28" s="408" t="inlineStr">
        <is>
          <t>三期</t>
        </is>
      </c>
      <c r="C28" s="408" t="n">
        <v>4632447</v>
      </c>
      <c r="D28" s="408" t="inlineStr">
        <is>
          <t>10:20-12:30</t>
        </is>
      </c>
      <c r="E28" s="408" t="inlineStr">
        <is>
          <t>潜能班</t>
        </is>
      </c>
      <c r="F28" s="408" t="inlineStr">
        <is>
          <t>刘雯涵</t>
        </is>
      </c>
      <c r="G28" s="408" t="inlineStr">
        <is>
          <t>田雨涵01</t>
        </is>
      </c>
      <c r="H28" s="408" t="inlineStr">
        <is>
          <t>李润</t>
        </is>
      </c>
      <c r="I28" s="408" t="inlineStr">
        <is>
          <t>肖锐03</t>
        </is>
      </c>
      <c r="J28" s="408" t="inlineStr">
        <is>
          <t>沈思浩</t>
        </is>
      </c>
      <c r="P28" s="408" t="n">
        <v>72</v>
      </c>
      <c r="X28" s="408" t="inlineStr">
        <is>
          <t>否</t>
        </is>
      </c>
      <c r="Y28" s="408" t="inlineStr">
        <is>
          <t>否</t>
        </is>
      </c>
      <c r="AI28" s="377" t="inlineStr">
        <is>
          <t>否</t>
        </is>
      </c>
      <c r="AP28" s="524" t="n"/>
    </row>
    <row r="29" ht="48.75" customFormat="1" customHeight="1" s="408">
      <c r="A29" s="415" t="inlineStr">
        <is>
          <t>新宝利</t>
        </is>
      </c>
      <c r="B29" s="415" t="inlineStr">
        <is>
          <t>三期</t>
        </is>
      </c>
      <c r="C29" s="415" t="n">
        <v>4632447</v>
      </c>
      <c r="D29" s="415" t="inlineStr">
        <is>
          <t>10:20-12:30</t>
        </is>
      </c>
      <c r="E29" s="415" t="inlineStr">
        <is>
          <t>潜能班</t>
        </is>
      </c>
      <c r="F29" s="415" t="inlineStr">
        <is>
          <t>巴子轩</t>
        </is>
      </c>
      <c r="G29" s="415" t="inlineStr">
        <is>
          <t>田雨涵01</t>
        </is>
      </c>
      <c r="H29" s="415" t="n"/>
      <c r="I29" s="415" t="n"/>
      <c r="J29" s="415" t="inlineStr">
        <is>
          <t>林志豪01</t>
        </is>
      </c>
      <c r="K29" s="415" t="n"/>
      <c r="L29" s="415" t="n"/>
      <c r="M29" s="415" t="n"/>
      <c r="N29" s="415" t="n"/>
      <c r="O29" s="415" t="n"/>
      <c r="P29" s="415" t="n"/>
      <c r="Q29" s="415" t="n"/>
      <c r="R29" s="415" t="n"/>
      <c r="S29" s="415" t="n"/>
      <c r="T29" s="415" t="n"/>
      <c r="U29" s="415" t="n"/>
      <c r="V29" s="415" t="n"/>
      <c r="W29" s="415" t="n"/>
      <c r="X29" s="415" t="n"/>
      <c r="Y29" s="415" t="n"/>
      <c r="Z29" s="415" t="n"/>
      <c r="AA29" s="415" t="n"/>
      <c r="AB29" s="415" t="n"/>
      <c r="AC29" s="415" t="n"/>
      <c r="AD29" s="415" t="n"/>
      <c r="AE29" s="415" t="n"/>
      <c r="AF29" s="415" t="n"/>
      <c r="AG29" s="415" t="n"/>
      <c r="AH29" s="415" t="n"/>
      <c r="AI29" s="377" t="inlineStr">
        <is>
          <t>否</t>
        </is>
      </c>
      <c r="AJ29" s="415" t="n"/>
      <c r="AK29" s="415" t="n"/>
      <c r="AL29" s="415" t="n"/>
      <c r="AM29" s="415" t="n"/>
      <c r="AN29" s="415" t="n"/>
      <c r="AO29" s="415" t="n"/>
      <c r="AP29" s="524" t="n"/>
      <c r="AQ29" s="415" t="n"/>
      <c r="AR29" s="415" t="n"/>
      <c r="AS29" s="415" t="n"/>
      <c r="AT29" s="415" t="n"/>
      <c r="AU29" s="415" t="n"/>
      <c r="AV29" s="415" t="n"/>
      <c r="AW29" s="415" t="n"/>
      <c r="AX29" s="415" t="n"/>
      <c r="AY29" s="415" t="n"/>
      <c r="AZ29" s="415" t="n"/>
    </row>
    <row r="30" ht="48.75" customFormat="1" customHeight="1" s="408">
      <c r="A30" s="415" t="inlineStr">
        <is>
          <t>新宝利</t>
        </is>
      </c>
      <c r="B30" s="415" t="inlineStr">
        <is>
          <t>三期</t>
        </is>
      </c>
      <c r="C30" s="415" t="n">
        <v>4632447</v>
      </c>
      <c r="D30" s="415" t="inlineStr">
        <is>
          <t>10:20-12:30</t>
        </is>
      </c>
      <c r="E30" s="415" t="inlineStr">
        <is>
          <t>潜能班</t>
        </is>
      </c>
      <c r="F30" s="415" t="inlineStr">
        <is>
          <t>张皓铭</t>
        </is>
      </c>
      <c r="G30" s="415" t="inlineStr">
        <is>
          <t>田雨涵01</t>
        </is>
      </c>
      <c r="H30" s="415" t="n"/>
      <c r="I30" s="415" t="n"/>
      <c r="J30" s="415" t="inlineStr">
        <is>
          <t>林志豪01</t>
        </is>
      </c>
      <c r="K30" s="415" t="n"/>
      <c r="L30" s="415" t="n"/>
      <c r="M30" s="415" t="n"/>
      <c r="N30" s="415" t="n"/>
      <c r="O30" s="415" t="n"/>
      <c r="P30" s="415" t="n"/>
      <c r="Q30" s="415" t="n"/>
      <c r="R30" s="415" t="n"/>
      <c r="S30" s="415" t="n"/>
      <c r="T30" s="415" t="n"/>
      <c r="U30" s="415" t="n"/>
      <c r="V30" s="415" t="n"/>
      <c r="W30" s="415" t="n"/>
      <c r="X30" s="415" t="n"/>
      <c r="Y30" s="415" t="n"/>
      <c r="Z30" s="415" t="n"/>
      <c r="AA30" s="415" t="n"/>
      <c r="AB30" s="415" t="n"/>
      <c r="AC30" s="415" t="n"/>
      <c r="AD30" s="415" t="n"/>
      <c r="AE30" s="415" t="n"/>
      <c r="AF30" s="415" t="n"/>
      <c r="AG30" s="415" t="n"/>
      <c r="AH30" s="415" t="n"/>
      <c r="AI30" s="377" t="inlineStr">
        <is>
          <t>否</t>
        </is>
      </c>
      <c r="AJ30" s="415" t="n"/>
      <c r="AK30" s="415" t="n"/>
      <c r="AL30" s="415" t="n"/>
      <c r="AM30" s="415" t="n"/>
      <c r="AN30" s="415" t="n"/>
      <c r="AO30" s="415" t="n"/>
      <c r="AP30" s="524" t="n"/>
      <c r="AQ30" s="415" t="n"/>
      <c r="AR30" s="415" t="n"/>
      <c r="AS30" s="415" t="n"/>
      <c r="AT30" s="415" t="n"/>
      <c r="AU30" s="415" t="n"/>
      <c r="AV30" s="415" t="n"/>
      <c r="AW30" s="415" t="n"/>
      <c r="AX30" s="415" t="n"/>
      <c r="AY30" s="415" t="n"/>
      <c r="AZ30" s="415" t="n"/>
    </row>
    <row r="31" ht="48.75" customFormat="1" customHeight="1" s="408">
      <c r="A31" s="408" t="inlineStr">
        <is>
          <t>新宝利</t>
        </is>
      </c>
      <c r="B31" s="408" t="inlineStr">
        <is>
          <t>三期</t>
        </is>
      </c>
      <c r="C31" s="408" t="n">
        <v>4632447</v>
      </c>
      <c r="D31" s="408" t="inlineStr">
        <is>
          <t>10:20-12:30</t>
        </is>
      </c>
      <c r="E31" s="408" t="inlineStr">
        <is>
          <t>潜能班</t>
        </is>
      </c>
      <c r="F31" s="408" t="inlineStr">
        <is>
          <t>张艺</t>
        </is>
      </c>
      <c r="G31" s="408" t="inlineStr">
        <is>
          <t>田雨涵01</t>
        </is>
      </c>
      <c r="H31" s="408" t="inlineStr">
        <is>
          <t>李润</t>
        </is>
      </c>
      <c r="I31" s="408" t="inlineStr">
        <is>
          <t>肖锐03</t>
        </is>
      </c>
      <c r="J31" s="408" t="inlineStr">
        <is>
          <t>王达04</t>
        </is>
      </c>
      <c r="P31" s="408" t="n">
        <v>85</v>
      </c>
      <c r="X31" s="408" t="inlineStr">
        <is>
          <t>否</t>
        </is>
      </c>
      <c r="Y31" s="408" t="inlineStr">
        <is>
          <t>否</t>
        </is>
      </c>
      <c r="AI31" s="377" t="inlineStr">
        <is>
          <t>否</t>
        </is>
      </c>
      <c r="AP31" s="524" t="n"/>
    </row>
    <row r="32" ht="48.75" customFormat="1" customHeight="1" s="408">
      <c r="A32" s="408" t="inlineStr">
        <is>
          <t>新宝利</t>
        </is>
      </c>
      <c r="B32" s="408" t="inlineStr">
        <is>
          <t>三期</t>
        </is>
      </c>
      <c r="C32" s="408" t="n">
        <v>4632447</v>
      </c>
      <c r="D32" s="408" t="inlineStr">
        <is>
          <t>10:20-12:30</t>
        </is>
      </c>
      <c r="E32" s="408" t="inlineStr">
        <is>
          <t>潜能班</t>
        </is>
      </c>
      <c r="F32" s="408" t="inlineStr">
        <is>
          <t>朱俊烨</t>
        </is>
      </c>
      <c r="G32" s="408" t="inlineStr">
        <is>
          <t>田雨涵01</t>
        </is>
      </c>
      <c r="H32" s="408" t="inlineStr">
        <is>
          <t>李润</t>
        </is>
      </c>
      <c r="I32" s="408" t="inlineStr">
        <is>
          <t>肖锐03</t>
        </is>
      </c>
      <c r="J32" s="408" t="inlineStr">
        <is>
          <t>张敏烨</t>
        </is>
      </c>
      <c r="P32" s="408" t="n">
        <v>62</v>
      </c>
      <c r="X32" s="408" t="inlineStr">
        <is>
          <t>否</t>
        </is>
      </c>
      <c r="Y32" s="408" t="inlineStr">
        <is>
          <t>否</t>
        </is>
      </c>
      <c r="AI32" s="377" t="inlineStr">
        <is>
          <t>否</t>
        </is>
      </c>
      <c r="AP32" s="524" t="n"/>
    </row>
    <row r="33" ht="48.75" customFormat="1" customHeight="1" s="408">
      <c r="A33" s="408" t="inlineStr">
        <is>
          <t>新宝利</t>
        </is>
      </c>
      <c r="B33" s="408" t="inlineStr">
        <is>
          <t>三期</t>
        </is>
      </c>
      <c r="C33" s="408" t="n">
        <v>4632447</v>
      </c>
      <c r="D33" s="408" t="inlineStr">
        <is>
          <t>10:20-12:30</t>
        </is>
      </c>
      <c r="E33" s="408" t="inlineStr">
        <is>
          <t>潜能班</t>
        </is>
      </c>
      <c r="F33" s="408" t="inlineStr">
        <is>
          <t>杨舒窈</t>
        </is>
      </c>
      <c r="G33" s="408" t="inlineStr">
        <is>
          <t>田雨涵01</t>
        </is>
      </c>
      <c r="H33" s="408" t="inlineStr">
        <is>
          <t>李润</t>
        </is>
      </c>
      <c r="I33" s="408" t="inlineStr">
        <is>
          <t>肖锐03</t>
        </is>
      </c>
      <c r="J33" s="408" t="inlineStr">
        <is>
          <t>王丽</t>
        </is>
      </c>
      <c r="P33" s="408" t="n">
        <v>85</v>
      </c>
      <c r="X33" s="408" t="inlineStr">
        <is>
          <t>否</t>
        </is>
      </c>
      <c r="Y33" s="408" t="inlineStr">
        <is>
          <t>否</t>
        </is>
      </c>
      <c r="AI33" s="377" t="inlineStr">
        <is>
          <t>否</t>
        </is>
      </c>
      <c r="AP33" s="524" t="n"/>
    </row>
    <row r="34" ht="48.75" customFormat="1" customHeight="1" s="409">
      <c r="A34" s="408" t="inlineStr">
        <is>
          <t>新宝利</t>
        </is>
      </c>
      <c r="B34" s="408" t="inlineStr">
        <is>
          <t>三期</t>
        </is>
      </c>
      <c r="C34" s="408" t="n">
        <v>4632447</v>
      </c>
      <c r="D34" s="408" t="inlineStr">
        <is>
          <t>10:20-12:30</t>
        </is>
      </c>
      <c r="E34" s="408" t="inlineStr">
        <is>
          <t>潜能班</t>
        </is>
      </c>
      <c r="F34" s="408" t="inlineStr">
        <is>
          <t>林紫琪</t>
        </is>
      </c>
      <c r="G34" s="408" t="inlineStr">
        <is>
          <t>田雨涵01</t>
        </is>
      </c>
      <c r="H34" s="408" t="inlineStr">
        <is>
          <t>李润</t>
        </is>
      </c>
      <c r="I34" s="408" t="inlineStr">
        <is>
          <t>肖锐03</t>
        </is>
      </c>
      <c r="J34" s="408" t="inlineStr">
        <is>
          <t>杨林33</t>
        </is>
      </c>
      <c r="K34" s="408" t="n"/>
      <c r="L34" s="408" t="n"/>
      <c r="M34" s="408" t="n"/>
      <c r="N34" s="408" t="n"/>
      <c r="O34" s="408" t="n"/>
      <c r="P34" s="408" t="n">
        <v>60</v>
      </c>
      <c r="Q34" s="408" t="n"/>
      <c r="R34" s="408" t="n"/>
      <c r="S34" s="408" t="n"/>
      <c r="T34" s="408" t="n"/>
      <c r="U34" s="408" t="n"/>
      <c r="V34" s="408" t="n"/>
      <c r="W34" s="408" t="n"/>
      <c r="X34" s="408" t="inlineStr">
        <is>
          <t>是</t>
        </is>
      </c>
      <c r="Y34" s="408" t="inlineStr">
        <is>
          <t>是</t>
        </is>
      </c>
      <c r="Z34" s="408" t="n"/>
      <c r="AA34" s="408" t="n"/>
      <c r="AB34" s="408" t="n"/>
      <c r="AC34" s="408" t="n"/>
      <c r="AD34" s="408" t="n"/>
      <c r="AE34" s="408" t="n"/>
      <c r="AF34" s="408" t="n"/>
      <c r="AG34" s="408" t="n"/>
      <c r="AH34" s="408" t="n"/>
      <c r="AI34" s="377" t="inlineStr">
        <is>
          <t>否</t>
        </is>
      </c>
      <c r="AJ34" s="408" t="n"/>
      <c r="AK34" s="408" t="n"/>
      <c r="AL34" s="408" t="n"/>
      <c r="AM34" s="408" t="n"/>
      <c r="AN34" s="408" t="n"/>
      <c r="AO34" s="408" t="n"/>
      <c r="AP34" s="524" t="n"/>
      <c r="AQ34" s="408" t="n"/>
      <c r="AR34" s="408" t="n"/>
      <c r="AS34" s="408" t="n"/>
      <c r="AT34" s="408" t="n"/>
      <c r="AU34" s="408" t="n"/>
      <c r="AV34" s="408" t="n"/>
      <c r="AW34" s="408" t="n"/>
      <c r="AX34" s="408" t="n"/>
      <c r="AY34" s="408" t="n"/>
      <c r="AZ34" s="408" t="n"/>
    </row>
    <row r="35" ht="48.75" customFormat="1" customHeight="1" s="408">
      <c r="A35" s="408" t="inlineStr">
        <is>
          <t>新宝利</t>
        </is>
      </c>
      <c r="B35" s="408" t="inlineStr">
        <is>
          <t>三期</t>
        </is>
      </c>
      <c r="C35" s="408" t="n">
        <v>4632447</v>
      </c>
      <c r="D35" s="408" t="inlineStr">
        <is>
          <t>10:20-12:30</t>
        </is>
      </c>
      <c r="E35" s="408" t="inlineStr">
        <is>
          <t>潜能班</t>
        </is>
      </c>
      <c r="F35" s="408" t="inlineStr">
        <is>
          <t>润轩</t>
        </is>
      </c>
      <c r="G35" s="408" t="inlineStr">
        <is>
          <t>田雨涵01</t>
        </is>
      </c>
      <c r="H35" s="408" t="inlineStr">
        <is>
          <t>李润</t>
        </is>
      </c>
      <c r="I35" s="408" t="inlineStr">
        <is>
          <t>肖锐03</t>
        </is>
      </c>
      <c r="J35" s="408" t="inlineStr">
        <is>
          <t>杨林33</t>
        </is>
      </c>
      <c r="P35" s="408" t="n">
        <v>64</v>
      </c>
      <c r="X35" s="408" t="inlineStr">
        <is>
          <t>否</t>
        </is>
      </c>
      <c r="Y35" s="408" t="inlineStr">
        <is>
          <t>否</t>
        </is>
      </c>
      <c r="AI35" s="377" t="inlineStr">
        <is>
          <t>否</t>
        </is>
      </c>
      <c r="AP35" s="524" t="n"/>
    </row>
    <row r="36" ht="48.75" customFormat="1" customHeight="1" s="408">
      <c r="A36" s="408" t="inlineStr">
        <is>
          <t>新宝利</t>
        </is>
      </c>
      <c r="B36" s="408" t="inlineStr">
        <is>
          <t>三期</t>
        </is>
      </c>
      <c r="C36" s="408" t="n">
        <v>4632447</v>
      </c>
      <c r="D36" s="408" t="inlineStr">
        <is>
          <t>10:20-12:30</t>
        </is>
      </c>
      <c r="E36" s="408" t="inlineStr">
        <is>
          <t>潜能班</t>
        </is>
      </c>
      <c r="F36" s="408" t="inlineStr">
        <is>
          <t>苏紫盈</t>
        </is>
      </c>
      <c r="G36" s="408" t="inlineStr">
        <is>
          <t>田雨涵01</t>
        </is>
      </c>
      <c r="H36" s="408" t="inlineStr">
        <is>
          <t>李润</t>
        </is>
      </c>
      <c r="I36" s="408" t="inlineStr">
        <is>
          <t>肖锐03</t>
        </is>
      </c>
      <c r="J36" s="408" t="inlineStr">
        <is>
          <t>王丽</t>
        </is>
      </c>
      <c r="P36" s="408" t="n">
        <v>72</v>
      </c>
      <c r="X36" s="408" t="inlineStr">
        <is>
          <t>否</t>
        </is>
      </c>
      <c r="Y36" s="408" t="inlineStr">
        <is>
          <t>否</t>
        </is>
      </c>
      <c r="AI36" s="377" t="inlineStr">
        <is>
          <t>否</t>
        </is>
      </c>
      <c r="AP36" s="524" t="n"/>
    </row>
    <row r="37" ht="48.75" customFormat="1" customHeight="1" s="408">
      <c r="A37" s="408" t="inlineStr">
        <is>
          <t>新宝利</t>
        </is>
      </c>
      <c r="B37" s="408" t="inlineStr">
        <is>
          <t>三期</t>
        </is>
      </c>
      <c r="C37" s="408" t="n">
        <v>4632447</v>
      </c>
      <c r="D37" s="408" t="inlineStr">
        <is>
          <t>10:20-12:30</t>
        </is>
      </c>
      <c r="E37" s="408" t="inlineStr">
        <is>
          <t>潜能班</t>
        </is>
      </c>
      <c r="F37" s="408" t="inlineStr">
        <is>
          <t>逸贤</t>
        </is>
      </c>
      <c r="G37" s="408" t="inlineStr">
        <is>
          <t>田雨涵01</t>
        </is>
      </c>
      <c r="H37" s="408" t="inlineStr">
        <is>
          <t>李润</t>
        </is>
      </c>
      <c r="I37" s="408" t="inlineStr">
        <is>
          <t>肖锐03</t>
        </is>
      </c>
      <c r="J37" s="408" t="inlineStr">
        <is>
          <t>杨林33</t>
        </is>
      </c>
      <c r="P37" s="408" t="n">
        <v>64</v>
      </c>
      <c r="X37" s="408" t="inlineStr">
        <is>
          <t>否</t>
        </is>
      </c>
      <c r="Y37" s="408" t="inlineStr">
        <is>
          <t>否</t>
        </is>
      </c>
      <c r="AI37" s="377" t="inlineStr">
        <is>
          <t>否</t>
        </is>
      </c>
      <c r="AP37" s="524" t="n"/>
    </row>
    <row r="38" ht="48.75" customFormat="1" customHeight="1" s="408">
      <c r="A38" s="408" t="inlineStr">
        <is>
          <t>新宝利</t>
        </is>
      </c>
      <c r="B38" s="408" t="inlineStr">
        <is>
          <t>三期</t>
        </is>
      </c>
      <c r="C38" s="408" t="n">
        <v>4632447</v>
      </c>
      <c r="D38" s="408" t="inlineStr">
        <is>
          <t>10:20-12:30</t>
        </is>
      </c>
      <c r="E38" s="408" t="inlineStr">
        <is>
          <t>潜能班</t>
        </is>
      </c>
      <c r="F38" s="408" t="inlineStr">
        <is>
          <t>邹艾琳</t>
        </is>
      </c>
      <c r="G38" s="408" t="inlineStr">
        <is>
          <t>田雨涵01</t>
        </is>
      </c>
      <c r="H38" s="408" t="inlineStr">
        <is>
          <t>李润</t>
        </is>
      </c>
      <c r="I38" s="408" t="inlineStr">
        <is>
          <t>肖锐03</t>
        </is>
      </c>
      <c r="J38" s="408" t="inlineStr">
        <is>
          <t>林志豪01</t>
        </is>
      </c>
      <c r="P38" s="408" t="n">
        <v>72</v>
      </c>
      <c r="X38" s="408" t="inlineStr">
        <is>
          <t>否</t>
        </is>
      </c>
      <c r="Y38" s="408" t="inlineStr">
        <is>
          <t>否</t>
        </is>
      </c>
      <c r="AI38" s="377" t="inlineStr">
        <is>
          <t>否</t>
        </is>
      </c>
      <c r="AP38" s="524" t="n"/>
    </row>
    <row r="39" ht="48.75" customFormat="1" customHeight="1" s="408">
      <c r="A39" s="408" t="inlineStr">
        <is>
          <t>新宝利</t>
        </is>
      </c>
      <c r="B39" s="408" t="inlineStr">
        <is>
          <t>三期</t>
        </is>
      </c>
      <c r="C39" s="408" t="n">
        <v>4632447</v>
      </c>
      <c r="D39" s="408" t="inlineStr">
        <is>
          <t>10:20-12:30</t>
        </is>
      </c>
      <c r="E39" s="408" t="inlineStr">
        <is>
          <t>潜能班</t>
        </is>
      </c>
      <c r="F39" s="408" t="inlineStr">
        <is>
          <t>陈铱帆</t>
        </is>
      </c>
      <c r="G39" s="408" t="inlineStr">
        <is>
          <t>田雨涵01</t>
        </is>
      </c>
      <c r="H39" s="408" t="inlineStr">
        <is>
          <t>李润</t>
        </is>
      </c>
      <c r="I39" s="408" t="inlineStr">
        <is>
          <t>肖锐03</t>
        </is>
      </c>
      <c r="J39" s="408" t="inlineStr">
        <is>
          <t>王丽</t>
        </is>
      </c>
      <c r="P39" s="408" t="n">
        <v>60</v>
      </c>
      <c r="X39" s="408" t="inlineStr">
        <is>
          <t>否</t>
        </is>
      </c>
      <c r="Y39" s="408" t="inlineStr">
        <is>
          <t>否</t>
        </is>
      </c>
      <c r="AI39" s="377" t="inlineStr">
        <is>
          <t>否</t>
        </is>
      </c>
      <c r="AP39" s="524" t="n"/>
    </row>
    <row r="40" ht="48.75" customFormat="1" customHeight="1" s="408">
      <c r="A40" s="408" t="inlineStr">
        <is>
          <t>新宝利</t>
        </is>
      </c>
      <c r="B40" s="408" t="inlineStr">
        <is>
          <t>三期</t>
        </is>
      </c>
      <c r="C40" s="408" t="n">
        <v>4632447</v>
      </c>
      <c r="D40" s="408" t="inlineStr">
        <is>
          <t>10:20-12:30</t>
        </is>
      </c>
      <c r="E40" s="408" t="inlineStr">
        <is>
          <t>潜能班</t>
        </is>
      </c>
      <c r="F40" s="408" t="inlineStr">
        <is>
          <t>马伊露斯</t>
        </is>
      </c>
      <c r="G40" s="408" t="inlineStr">
        <is>
          <t>田雨涵01</t>
        </is>
      </c>
      <c r="H40" s="408" t="inlineStr">
        <is>
          <t>李润</t>
        </is>
      </c>
      <c r="I40" s="408" t="inlineStr">
        <is>
          <t>肖锐03</t>
        </is>
      </c>
      <c r="J40" s="408" t="inlineStr">
        <is>
          <t>王达04</t>
        </is>
      </c>
      <c r="P40" s="408" t="n">
        <v>64</v>
      </c>
      <c r="X40" s="408" t="inlineStr">
        <is>
          <t>否</t>
        </is>
      </c>
      <c r="Y40" s="408" t="inlineStr">
        <is>
          <t>否</t>
        </is>
      </c>
      <c r="AI40" s="377" t="inlineStr">
        <is>
          <t>否</t>
        </is>
      </c>
      <c r="AP40" s="524" t="n"/>
    </row>
    <row r="41" ht="48.75" customFormat="1" customHeight="1" s="408">
      <c r="A41" s="408" t="inlineStr">
        <is>
          <t>新宝利</t>
        </is>
      </c>
      <c r="B41" s="408" t="inlineStr">
        <is>
          <t>三期</t>
        </is>
      </c>
      <c r="C41" s="408" t="n">
        <v>4632447</v>
      </c>
      <c r="D41" s="408" t="inlineStr">
        <is>
          <t>10:20-12:30</t>
        </is>
      </c>
      <c r="E41" s="408" t="inlineStr">
        <is>
          <t>潜能班</t>
        </is>
      </c>
      <c r="F41" s="408" t="inlineStr">
        <is>
          <t>马雅辛</t>
        </is>
      </c>
      <c r="G41" s="408" t="inlineStr">
        <is>
          <t>田雨涵01</t>
        </is>
      </c>
      <c r="H41" s="408" t="inlineStr">
        <is>
          <t>李润</t>
        </is>
      </c>
      <c r="I41" s="408" t="inlineStr">
        <is>
          <t>肖锐03</t>
        </is>
      </c>
      <c r="J41" s="408" t="inlineStr">
        <is>
          <t>王达04</t>
        </is>
      </c>
      <c r="Q41" s="408" t="n">
        <v>83</v>
      </c>
      <c r="X41" s="408" t="inlineStr">
        <is>
          <t>否</t>
        </is>
      </c>
      <c r="Y41" s="408" t="inlineStr">
        <is>
          <t>否</t>
        </is>
      </c>
      <c r="AI41" s="377" t="inlineStr">
        <is>
          <t>否</t>
        </is>
      </c>
      <c r="AP41" s="524" t="n"/>
    </row>
    <row r="42" ht="48.75" customFormat="1" customHeight="1" s="408">
      <c r="A42" s="415" t="inlineStr">
        <is>
          <t>新宝利</t>
        </is>
      </c>
      <c r="B42" s="415" t="inlineStr">
        <is>
          <t>二期</t>
        </is>
      </c>
      <c r="C42" s="415" t="n">
        <v>5111034</v>
      </c>
      <c r="D42" s="415" t="inlineStr">
        <is>
          <t>13:20-15:30</t>
        </is>
      </c>
      <c r="E42" s="415" t="inlineStr">
        <is>
          <t>潜能班</t>
        </is>
      </c>
      <c r="F42" s="415" t="inlineStr">
        <is>
          <t>何雨羲</t>
        </is>
      </c>
      <c r="G42" s="415" t="inlineStr">
        <is>
          <t>田雨涵01</t>
        </is>
      </c>
      <c r="H42" s="415" t="n"/>
      <c r="I42" s="415" t="n"/>
      <c r="J42" s="415" t="inlineStr">
        <is>
          <t>张敏烨</t>
        </is>
      </c>
      <c r="K42" s="415" t="n"/>
      <c r="L42" s="415" t="n"/>
      <c r="M42" s="415" t="n"/>
      <c r="N42" s="415" t="n"/>
      <c r="O42" s="415" t="n"/>
      <c r="P42" s="415" t="n"/>
      <c r="Q42" s="415" t="n"/>
      <c r="R42" s="415" t="n"/>
      <c r="S42" s="415" t="n"/>
      <c r="T42" s="415" t="n"/>
      <c r="U42" s="415" t="n"/>
      <c r="V42" s="415" t="n"/>
      <c r="W42" s="415" t="n"/>
      <c r="X42" s="415" t="n"/>
      <c r="Y42" s="415" t="n"/>
      <c r="Z42" s="415" t="n"/>
      <c r="AA42" s="415" t="n"/>
      <c r="AB42" s="415" t="n"/>
      <c r="AC42" s="415" t="n"/>
      <c r="AD42" s="415" t="n"/>
      <c r="AE42" s="415" t="n"/>
      <c r="AF42" s="415" t="n"/>
      <c r="AG42" s="415" t="n"/>
      <c r="AH42" s="415" t="n"/>
      <c r="AI42" s="377" t="inlineStr">
        <is>
          <t>否</t>
        </is>
      </c>
      <c r="AJ42" s="415" t="n"/>
      <c r="AK42" s="415" t="n"/>
      <c r="AL42" s="415" t="n"/>
      <c r="AM42" s="415" t="n"/>
      <c r="AN42" s="415" t="n"/>
      <c r="AO42" s="415" t="n"/>
      <c r="AP42" s="524" t="n"/>
      <c r="AQ42" s="415" t="n"/>
      <c r="AR42" s="415" t="n"/>
      <c r="AS42" s="415" t="n"/>
      <c r="AT42" s="415" t="n"/>
      <c r="AU42" s="415" t="n"/>
      <c r="AV42" s="415" t="n"/>
      <c r="AW42" s="415" t="n"/>
      <c r="AX42" s="415" t="n"/>
      <c r="AY42" s="415" t="n"/>
      <c r="AZ42" s="415" t="n"/>
    </row>
    <row r="43" ht="48.75" customFormat="1" customHeight="1" s="408">
      <c r="A43" s="408" t="inlineStr">
        <is>
          <t>新宝利</t>
        </is>
      </c>
      <c r="B43" s="408" t="inlineStr">
        <is>
          <t>二期</t>
        </is>
      </c>
      <c r="C43" s="408" t="n">
        <v>5111034</v>
      </c>
      <c r="D43" s="408" t="inlineStr">
        <is>
          <t>13:20-15:30</t>
        </is>
      </c>
      <c r="E43" s="408" t="inlineStr">
        <is>
          <t>潜能班</t>
        </is>
      </c>
      <c r="F43" s="408" t="inlineStr">
        <is>
          <t>刘智烜</t>
        </is>
      </c>
      <c r="G43" s="408" t="inlineStr">
        <is>
          <t>田雨涵01</t>
        </is>
      </c>
      <c r="H43" s="408" t="inlineStr">
        <is>
          <t>黄铭怡</t>
        </is>
      </c>
      <c r="I43" s="408" t="inlineStr">
        <is>
          <t>高心怡04</t>
        </is>
      </c>
      <c r="J43" s="408" t="inlineStr">
        <is>
          <t>张敏烨</t>
        </is>
      </c>
      <c r="P43" s="408" t="n">
        <v>75</v>
      </c>
      <c r="T43" s="408" t="inlineStr">
        <is>
          <t>是</t>
        </is>
      </c>
      <c r="X43" s="408" t="inlineStr">
        <is>
          <t>是</t>
        </is>
      </c>
      <c r="Y43" s="408" t="inlineStr">
        <is>
          <t>否</t>
        </is>
      </c>
      <c r="AI43" s="377" t="inlineStr">
        <is>
          <t>否</t>
        </is>
      </c>
      <c r="AP43" s="524" t="n"/>
    </row>
    <row r="44" ht="48.75" customFormat="1" customHeight="1" s="408">
      <c r="A44" s="408" t="inlineStr">
        <is>
          <t>新宝利</t>
        </is>
      </c>
      <c r="B44" s="408" t="inlineStr">
        <is>
          <t>二期</t>
        </is>
      </c>
      <c r="C44" s="408" t="n">
        <v>5111034</v>
      </c>
      <c r="D44" s="408" t="inlineStr">
        <is>
          <t>13:20-15:30</t>
        </is>
      </c>
      <c r="E44" s="408" t="inlineStr">
        <is>
          <t>潜能班</t>
        </is>
      </c>
      <c r="F44" s="408" t="inlineStr">
        <is>
          <t>叶梦扶</t>
        </is>
      </c>
      <c r="G44" s="408" t="inlineStr">
        <is>
          <t>田雨涵01</t>
        </is>
      </c>
      <c r="H44" s="408" t="inlineStr">
        <is>
          <t>黄铭怡</t>
        </is>
      </c>
      <c r="I44" s="408" t="inlineStr">
        <is>
          <t>高心怡04</t>
        </is>
      </c>
      <c r="J44" s="408" t="inlineStr">
        <is>
          <t>张敏烨</t>
        </is>
      </c>
      <c r="P44" s="408" t="n">
        <v>75</v>
      </c>
      <c r="T44" s="408" t="inlineStr">
        <is>
          <t>是</t>
        </is>
      </c>
      <c r="X44" s="408" t="inlineStr">
        <is>
          <t>否</t>
        </is>
      </c>
      <c r="Y44" s="408" t="inlineStr">
        <is>
          <t>否</t>
        </is>
      </c>
      <c r="AI44" s="377" t="inlineStr">
        <is>
          <t>否</t>
        </is>
      </c>
      <c r="AP44" s="524" t="n"/>
    </row>
    <row r="45" ht="48.75" customFormat="1" customHeight="1" s="408">
      <c r="A45" s="408" t="inlineStr">
        <is>
          <t>新宝利</t>
        </is>
      </c>
      <c r="B45" s="408" t="inlineStr">
        <is>
          <t>二期</t>
        </is>
      </c>
      <c r="C45" s="408" t="n">
        <v>5111034</v>
      </c>
      <c r="D45" s="408" t="inlineStr">
        <is>
          <t>13:20-15:30</t>
        </is>
      </c>
      <c r="E45" s="408" t="inlineStr">
        <is>
          <t>潜能班</t>
        </is>
      </c>
      <c r="F45" s="408" t="inlineStr">
        <is>
          <t>张瑞茜</t>
        </is>
      </c>
      <c r="G45" s="408" t="inlineStr">
        <is>
          <t>田雨涵01</t>
        </is>
      </c>
      <c r="H45" s="408" t="inlineStr">
        <is>
          <t>黄铭怡</t>
        </is>
      </c>
      <c r="I45" s="408" t="inlineStr">
        <is>
          <t>高心怡04</t>
        </is>
      </c>
      <c r="J45" s="408" t="inlineStr">
        <is>
          <t>杨林33</t>
        </is>
      </c>
      <c r="K45" s="408" t="inlineStr">
        <is>
          <t>朝天</t>
        </is>
      </c>
      <c r="L45" s="408" t="inlineStr">
        <is>
          <t>三中</t>
        </is>
      </c>
      <c r="M45" s="408" t="inlineStr">
        <is>
          <t>很好，有自主性</t>
        </is>
      </c>
      <c r="N45" s="408" t="inlineStr">
        <is>
          <t>培养好的学习习惯</t>
        </is>
      </c>
      <c r="O45" s="408" t="inlineStr">
        <is>
          <t>数学100，英语82，语文91，之前有补习过，妈妈负责学习</t>
        </is>
      </c>
      <c r="Q45" s="408" t="n">
        <v>65</v>
      </c>
      <c r="T45" s="408" t="inlineStr">
        <is>
          <t>是</t>
        </is>
      </c>
      <c r="X45" s="408" t="inlineStr">
        <is>
          <t>是</t>
        </is>
      </c>
      <c r="Y45" s="408" t="inlineStr">
        <is>
          <t>是</t>
        </is>
      </c>
      <c r="AP45" s="524" t="n"/>
    </row>
    <row r="46" ht="48.75" customFormat="1" customHeight="1" s="408">
      <c r="A46" s="408" t="inlineStr">
        <is>
          <t>新宝利</t>
        </is>
      </c>
      <c r="B46" s="408" t="inlineStr">
        <is>
          <t>二期</t>
        </is>
      </c>
      <c r="C46" s="408" t="n">
        <v>5111034</v>
      </c>
      <c r="D46" s="408" t="inlineStr">
        <is>
          <t>13:20-15:30</t>
        </is>
      </c>
      <c r="E46" s="408" t="inlineStr">
        <is>
          <t>潜能班</t>
        </is>
      </c>
      <c r="F46" s="408" t="inlineStr">
        <is>
          <t>张逸潼</t>
        </is>
      </c>
      <c r="G46" s="408" t="inlineStr">
        <is>
          <t>田雨涵01</t>
        </is>
      </c>
      <c r="H46" s="408" t="inlineStr">
        <is>
          <t>黄铭怡</t>
        </is>
      </c>
      <c r="I46" s="408" t="inlineStr">
        <is>
          <t>高心怡04</t>
        </is>
      </c>
      <c r="J46" s="408" t="inlineStr">
        <is>
          <t>沈思浩</t>
        </is>
      </c>
      <c r="P46" s="408" t="n">
        <v>60</v>
      </c>
      <c r="T46" s="408" t="inlineStr">
        <is>
          <t>是</t>
        </is>
      </c>
      <c r="X46" s="408" t="inlineStr">
        <is>
          <t>是</t>
        </is>
      </c>
      <c r="Y46" s="408" t="inlineStr">
        <is>
          <t>是</t>
        </is>
      </c>
    </row>
    <row r="47" ht="48.75" customFormat="1" customHeight="1" s="410">
      <c r="A47" s="408" t="inlineStr">
        <is>
          <t>新宝利</t>
        </is>
      </c>
      <c r="B47" s="408" t="inlineStr">
        <is>
          <t>二期</t>
        </is>
      </c>
      <c r="C47" s="408" t="n">
        <v>5111034</v>
      </c>
      <c r="D47" s="408" t="inlineStr">
        <is>
          <t>13:20-15:30</t>
        </is>
      </c>
      <c r="E47" s="408" t="inlineStr">
        <is>
          <t>潜能班</t>
        </is>
      </c>
      <c r="F47" s="408" t="inlineStr">
        <is>
          <t>杨梓恒</t>
        </is>
      </c>
      <c r="G47" s="408" t="inlineStr">
        <is>
          <t>田雨涵01</t>
        </is>
      </c>
      <c r="H47" s="408" t="inlineStr">
        <is>
          <t>黄铭怡</t>
        </is>
      </c>
      <c r="I47" s="408" t="inlineStr">
        <is>
          <t>高心怡04</t>
        </is>
      </c>
      <c r="J47" s="408" t="inlineStr">
        <is>
          <t>林志豪01</t>
        </is>
      </c>
      <c r="K47" s="408" t="n"/>
      <c r="L47" s="408" t="n"/>
      <c r="M47" s="408" t="n"/>
      <c r="N47" s="408" t="n"/>
      <c r="O47" s="408" t="n"/>
      <c r="P47" s="408" t="n">
        <v>60</v>
      </c>
      <c r="Q47" s="408" t="n"/>
      <c r="R47" s="408" t="n"/>
      <c r="S47" s="408" t="n"/>
      <c r="T47" s="408" t="inlineStr">
        <is>
          <t>是</t>
        </is>
      </c>
      <c r="U47" s="408" t="n"/>
      <c r="V47" s="408" t="n"/>
      <c r="W47" s="408" t="n"/>
      <c r="X47" s="408" t="inlineStr">
        <is>
          <t>是</t>
        </is>
      </c>
      <c r="Y47" s="408" t="inlineStr">
        <is>
          <t>是</t>
        </is>
      </c>
      <c r="Z47" s="408" t="n"/>
      <c r="AA47" s="408" t="n"/>
      <c r="AB47" s="408" t="n"/>
      <c r="AC47" s="408" t="n"/>
      <c r="AD47" s="408" t="n"/>
      <c r="AE47" s="408" t="n"/>
      <c r="AF47" s="408" t="n"/>
      <c r="AG47" s="408" t="n"/>
      <c r="AH47" s="408" t="n"/>
      <c r="AI47" s="408" t="n"/>
      <c r="AJ47" s="408" t="n"/>
      <c r="AK47" s="408" t="n"/>
      <c r="AL47" s="408" t="n"/>
      <c r="AM47" s="408" t="n"/>
      <c r="AN47" s="408" t="n"/>
      <c r="AO47" s="408" t="n"/>
      <c r="AP47" s="408" t="n"/>
      <c r="AQ47" s="408" t="n"/>
      <c r="AR47" s="408" t="n"/>
      <c r="AS47" s="408" t="n"/>
      <c r="AT47" s="408" t="n"/>
      <c r="AU47" s="408" t="n"/>
      <c r="AV47" s="408" t="n"/>
      <c r="AW47" s="408" t="n"/>
      <c r="AX47" s="408" t="n"/>
      <c r="AY47" s="408" t="n"/>
      <c r="AZ47" s="408" t="n"/>
    </row>
    <row r="48" ht="48.75" customFormat="1" customHeight="1" s="408">
      <c r="A48" s="408" t="inlineStr">
        <is>
          <t>新宝利</t>
        </is>
      </c>
      <c r="B48" s="408" t="inlineStr">
        <is>
          <t>二期</t>
        </is>
      </c>
      <c r="C48" s="408" t="n">
        <v>5111034</v>
      </c>
      <c r="D48" s="408" t="inlineStr">
        <is>
          <t>13:20-15:30</t>
        </is>
      </c>
      <c r="E48" s="408" t="inlineStr">
        <is>
          <t>潜能班</t>
        </is>
      </c>
      <c r="F48" s="408" t="inlineStr">
        <is>
          <t>梁嘉轩</t>
        </is>
      </c>
      <c r="G48" s="408" t="inlineStr">
        <is>
          <t>田雨涵01</t>
        </is>
      </c>
      <c r="H48" s="408" t="inlineStr">
        <is>
          <t>黄铭怡</t>
        </is>
      </c>
      <c r="J48" s="408" t="inlineStr">
        <is>
          <t>林志豪01</t>
        </is>
      </c>
      <c r="P48" s="408" t="n">
        <v>72</v>
      </c>
      <c r="T48" s="408" t="inlineStr">
        <is>
          <t>是</t>
        </is>
      </c>
      <c r="X48" s="408" t="inlineStr">
        <is>
          <t>是</t>
        </is>
      </c>
      <c r="Y48" s="408" t="inlineStr">
        <is>
          <t>是</t>
        </is>
      </c>
    </row>
    <row r="49" ht="48.75" customFormat="1" customHeight="1" s="408">
      <c r="A49" s="408" t="inlineStr">
        <is>
          <t>新宝利</t>
        </is>
      </c>
      <c r="B49" s="408" t="inlineStr">
        <is>
          <t>二期</t>
        </is>
      </c>
      <c r="C49" s="408" t="n">
        <v>5111034</v>
      </c>
      <c r="D49" s="408" t="inlineStr">
        <is>
          <t>13:20-15:30</t>
        </is>
      </c>
      <c r="E49" s="408" t="inlineStr">
        <is>
          <t>潜能班</t>
        </is>
      </c>
      <c r="F49" s="408" t="inlineStr">
        <is>
          <t>梁诗晨</t>
        </is>
      </c>
      <c r="G49" s="408" t="inlineStr">
        <is>
          <t>田雨涵01</t>
        </is>
      </c>
      <c r="H49" s="408" t="inlineStr">
        <is>
          <t>黄铭怡</t>
        </is>
      </c>
      <c r="I49" s="408" t="inlineStr">
        <is>
          <t>高心怡04</t>
        </is>
      </c>
      <c r="J49" s="408" t="inlineStr">
        <is>
          <t>沈思浩</t>
        </is>
      </c>
      <c r="P49" s="408" t="n">
        <v>88</v>
      </c>
      <c r="T49" s="408" t="inlineStr">
        <is>
          <t>是</t>
        </is>
      </c>
      <c r="X49" s="408" t="inlineStr">
        <is>
          <t>是</t>
        </is>
      </c>
      <c r="Y49" s="408" t="inlineStr">
        <is>
          <t>是</t>
        </is>
      </c>
    </row>
    <row r="50" ht="48.75" customFormat="1" customHeight="1" s="408">
      <c r="A50" s="408" t="inlineStr">
        <is>
          <t>新宝利</t>
        </is>
      </c>
      <c r="B50" s="408" t="inlineStr">
        <is>
          <t>二期</t>
        </is>
      </c>
      <c r="C50" s="408" t="n">
        <v>5111034</v>
      </c>
      <c r="D50" s="408" t="inlineStr">
        <is>
          <t>13:20-15:30</t>
        </is>
      </c>
      <c r="E50" s="408" t="inlineStr">
        <is>
          <t>潜能班</t>
        </is>
      </c>
      <c r="F50" s="408" t="inlineStr">
        <is>
          <t>梁诺桓</t>
        </is>
      </c>
      <c r="G50" s="408" t="inlineStr">
        <is>
          <t>田雨涵01</t>
        </is>
      </c>
      <c r="H50" s="408" t="inlineStr">
        <is>
          <t>黄铭怡</t>
        </is>
      </c>
      <c r="I50" s="408" t="inlineStr">
        <is>
          <t>高心怡04</t>
        </is>
      </c>
      <c r="J50" s="408" t="inlineStr">
        <is>
          <t>林志豪01</t>
        </is>
      </c>
      <c r="P50" s="408" t="n">
        <v>72</v>
      </c>
      <c r="X50" s="408" t="inlineStr">
        <is>
          <t>否</t>
        </is>
      </c>
      <c r="Y50" s="408" t="inlineStr">
        <is>
          <t>否</t>
        </is>
      </c>
    </row>
    <row r="51" ht="48.75" customFormat="1" customHeight="1" s="408">
      <c r="A51" s="408" t="inlineStr">
        <is>
          <t>新宝利</t>
        </is>
      </c>
      <c r="B51" s="408" t="inlineStr">
        <is>
          <t>二期</t>
        </is>
      </c>
      <c r="C51" s="408" t="n">
        <v>5111034</v>
      </c>
      <c r="D51" s="408" t="inlineStr">
        <is>
          <t>13:20-15:30</t>
        </is>
      </c>
      <c r="E51" s="408" t="inlineStr">
        <is>
          <t>潜能班</t>
        </is>
      </c>
      <c r="F51" s="408" t="inlineStr">
        <is>
          <t>梁锐洲</t>
        </is>
      </c>
      <c r="G51" s="408" t="inlineStr">
        <is>
          <t>田雨涵01</t>
        </is>
      </c>
      <c r="H51" s="408" t="inlineStr">
        <is>
          <t>黄铭怡</t>
        </is>
      </c>
      <c r="I51" s="408" t="inlineStr">
        <is>
          <t>高心怡04</t>
        </is>
      </c>
      <c r="J51" s="408" t="inlineStr">
        <is>
          <t>苏丽婷</t>
        </is>
      </c>
      <c r="P51" s="408" t="n">
        <v>72</v>
      </c>
      <c r="T51" s="408" t="inlineStr">
        <is>
          <t>是</t>
        </is>
      </c>
      <c r="X51" s="408" t="inlineStr">
        <is>
          <t>否</t>
        </is>
      </c>
      <c r="Y51" s="408" t="inlineStr">
        <is>
          <t>否</t>
        </is>
      </c>
    </row>
    <row r="52" ht="48.75" customFormat="1" customHeight="1" s="408">
      <c r="A52" s="408" t="inlineStr">
        <is>
          <t>新宝利</t>
        </is>
      </c>
      <c r="B52" s="408" t="inlineStr">
        <is>
          <t>二期</t>
        </is>
      </c>
      <c r="C52" s="408" t="n">
        <v>5111034</v>
      </c>
      <c r="D52" s="408" t="inlineStr">
        <is>
          <t>13:20-15:30</t>
        </is>
      </c>
      <c r="E52" s="408" t="inlineStr">
        <is>
          <t>潜能班</t>
        </is>
      </c>
      <c r="F52" s="408" t="inlineStr">
        <is>
          <t>王诗瑜</t>
        </is>
      </c>
      <c r="G52" s="408" t="inlineStr">
        <is>
          <t>田雨涵01</t>
        </is>
      </c>
      <c r="H52" s="408" t="inlineStr">
        <is>
          <t>黄铭怡</t>
        </is>
      </c>
      <c r="I52" s="408" t="inlineStr">
        <is>
          <t>高心怡04</t>
        </is>
      </c>
      <c r="J52" s="408" t="inlineStr">
        <is>
          <t>林志豪01</t>
        </is>
      </c>
      <c r="Q52" s="408" t="n">
        <v>50</v>
      </c>
      <c r="T52" s="408" t="inlineStr">
        <is>
          <t>是</t>
        </is>
      </c>
      <c r="X52" s="408" t="inlineStr">
        <is>
          <t>是</t>
        </is>
      </c>
      <c r="Y52" s="408" t="inlineStr">
        <is>
          <t>是</t>
        </is>
      </c>
    </row>
    <row r="53" ht="48.75" customFormat="1" customHeight="1" s="408">
      <c r="A53" s="408" t="inlineStr">
        <is>
          <t>新宝利</t>
        </is>
      </c>
      <c r="B53" s="408" t="inlineStr">
        <is>
          <t>二期</t>
        </is>
      </c>
      <c r="C53" s="408" t="n">
        <v>5111034</v>
      </c>
      <c r="D53" s="408" t="inlineStr">
        <is>
          <t>13:20-15:30</t>
        </is>
      </c>
      <c r="E53" s="408" t="inlineStr">
        <is>
          <t>潜能班</t>
        </is>
      </c>
      <c r="F53" s="408" t="inlineStr">
        <is>
          <t>苏晋扬</t>
        </is>
      </c>
      <c r="G53" s="408" t="inlineStr">
        <is>
          <t>田雨涵01</t>
        </is>
      </c>
      <c r="H53" s="408" t="inlineStr">
        <is>
          <t>黄铭怡</t>
        </is>
      </c>
      <c r="I53" s="408" t="inlineStr">
        <is>
          <t>高心怡04</t>
        </is>
      </c>
      <c r="J53" s="408" t="inlineStr">
        <is>
          <t>杨林33</t>
        </is>
      </c>
      <c r="Q53" s="408" t="n">
        <v>50</v>
      </c>
      <c r="T53" s="408" t="inlineStr">
        <is>
          <t>是</t>
        </is>
      </c>
      <c r="X53" s="408" t="inlineStr">
        <is>
          <t>是</t>
        </is>
      </c>
      <c r="Y53" s="408" t="inlineStr">
        <is>
          <t>是</t>
        </is>
      </c>
    </row>
    <row r="54" ht="48.75" customFormat="1" customHeight="1" s="408">
      <c r="A54" s="408" t="inlineStr">
        <is>
          <t>新宝利</t>
        </is>
      </c>
      <c r="B54" s="408" t="inlineStr">
        <is>
          <t>二期</t>
        </is>
      </c>
      <c r="C54" s="408" t="n">
        <v>5111034</v>
      </c>
      <c r="D54" s="408" t="inlineStr">
        <is>
          <t>13:20-15:30</t>
        </is>
      </c>
      <c r="E54" s="408" t="inlineStr">
        <is>
          <t>潜能班</t>
        </is>
      </c>
      <c r="F54" s="408" t="inlineStr">
        <is>
          <t>谢希羲</t>
        </is>
      </c>
      <c r="G54" s="408" t="inlineStr">
        <is>
          <t>田雨涵01</t>
        </is>
      </c>
      <c r="H54" s="408" t="inlineStr">
        <is>
          <t>黄铭怡</t>
        </is>
      </c>
      <c r="I54" s="408" t="inlineStr">
        <is>
          <t>高心怡04</t>
        </is>
      </c>
      <c r="J54" s="408" t="inlineStr">
        <is>
          <t>王达04</t>
        </is>
      </c>
      <c r="P54" s="408" t="n">
        <v>73</v>
      </c>
      <c r="T54" s="408" t="inlineStr">
        <is>
          <t>是</t>
        </is>
      </c>
      <c r="X54" s="408" t="inlineStr">
        <is>
          <t>是</t>
        </is>
      </c>
      <c r="Y54" s="408" t="inlineStr">
        <is>
          <t>否</t>
        </is>
      </c>
    </row>
    <row r="55" ht="48.75" customFormat="1" customHeight="1" s="408">
      <c r="A55" s="408" t="inlineStr">
        <is>
          <t>新宝利</t>
        </is>
      </c>
      <c r="B55" s="408" t="inlineStr">
        <is>
          <t>二期</t>
        </is>
      </c>
      <c r="C55" s="408" t="n">
        <v>5111034</v>
      </c>
      <c r="D55" s="408" t="inlineStr">
        <is>
          <t>13:20-15:30</t>
        </is>
      </c>
      <c r="E55" s="408" t="inlineStr">
        <is>
          <t>潜能班</t>
        </is>
      </c>
      <c r="F55" s="408" t="inlineStr">
        <is>
          <t>谭皓轩</t>
        </is>
      </c>
      <c r="G55" s="408" t="inlineStr">
        <is>
          <t>田雨涵01</t>
        </is>
      </c>
      <c r="H55" s="408" t="inlineStr">
        <is>
          <t>黄铭怡</t>
        </is>
      </c>
      <c r="I55" s="408" t="inlineStr">
        <is>
          <t>高心怡04</t>
        </is>
      </c>
      <c r="J55" s="408" t="inlineStr">
        <is>
          <t>林志豪01</t>
        </is>
      </c>
      <c r="P55" s="408" t="n">
        <v>64</v>
      </c>
      <c r="T55" s="408" t="inlineStr">
        <is>
          <t>是</t>
        </is>
      </c>
      <c r="X55" s="408" t="inlineStr">
        <is>
          <t>是</t>
        </is>
      </c>
      <c r="Y55" s="408" t="inlineStr">
        <is>
          <t>否</t>
        </is>
      </c>
    </row>
    <row r="56" ht="48.75" customFormat="1" customHeight="1" s="408">
      <c r="A56" s="408" t="inlineStr">
        <is>
          <t>新宝利</t>
        </is>
      </c>
      <c r="B56" s="408" t="inlineStr">
        <is>
          <t>二期</t>
        </is>
      </c>
      <c r="C56" s="408" t="n">
        <v>5111034</v>
      </c>
      <c r="D56" s="408" t="inlineStr">
        <is>
          <t>13:20-15:30</t>
        </is>
      </c>
      <c r="E56" s="408" t="inlineStr">
        <is>
          <t>潜能班</t>
        </is>
      </c>
      <c r="F56" s="408" t="inlineStr">
        <is>
          <t>赵子赫</t>
        </is>
      </c>
      <c r="G56" s="408" t="inlineStr">
        <is>
          <t>田雨涵01</t>
        </is>
      </c>
      <c r="H56" s="408" t="inlineStr">
        <is>
          <t>黄铭怡</t>
        </is>
      </c>
      <c r="I56" s="408" t="inlineStr">
        <is>
          <t>高心怡04</t>
        </is>
      </c>
      <c r="J56" s="408" t="inlineStr">
        <is>
          <t>张敏烨</t>
        </is>
      </c>
      <c r="P56" s="408" t="n">
        <v>72</v>
      </c>
      <c r="X56" s="408" t="inlineStr">
        <is>
          <t>否</t>
        </is>
      </c>
      <c r="Y56" s="408" t="inlineStr">
        <is>
          <t>否</t>
        </is>
      </c>
    </row>
    <row r="57" ht="48.75" customFormat="1" customHeight="1" s="408">
      <c r="A57" s="408" t="inlineStr">
        <is>
          <t>新宝利</t>
        </is>
      </c>
      <c r="B57" s="408" t="inlineStr">
        <is>
          <t>二期</t>
        </is>
      </c>
      <c r="C57" s="408" t="n">
        <v>5111034</v>
      </c>
      <c r="D57" s="408" t="inlineStr">
        <is>
          <t>13:20-15:30</t>
        </is>
      </c>
      <c r="E57" s="408" t="inlineStr">
        <is>
          <t>潜能班</t>
        </is>
      </c>
      <c r="F57" s="408" t="inlineStr">
        <is>
          <t>邓翔升</t>
        </is>
      </c>
      <c r="G57" s="408" t="inlineStr">
        <is>
          <t>田雨涵01</t>
        </is>
      </c>
      <c r="H57" s="408" t="inlineStr">
        <is>
          <t>黄铭怡</t>
        </is>
      </c>
      <c r="I57" s="408" t="inlineStr">
        <is>
          <t>肖锐03</t>
        </is>
      </c>
      <c r="J57" s="408" t="inlineStr">
        <is>
          <t>张敏烨</t>
        </is>
      </c>
      <c r="Q57" s="408" t="n">
        <v>66</v>
      </c>
      <c r="T57" s="408" t="inlineStr">
        <is>
          <t>是</t>
        </is>
      </c>
      <c r="X57" s="408" t="inlineStr">
        <is>
          <t>是</t>
        </is>
      </c>
      <c r="Y57" s="408" t="inlineStr">
        <is>
          <t>是</t>
        </is>
      </c>
    </row>
    <row r="58" ht="48.75" customFormat="1" customHeight="1" s="408">
      <c r="A58" s="408" t="inlineStr">
        <is>
          <t>新宝利</t>
        </is>
      </c>
      <c r="B58" s="408" t="inlineStr">
        <is>
          <t>二期</t>
        </is>
      </c>
      <c r="C58" s="408" t="n">
        <v>5111034</v>
      </c>
      <c r="D58" s="408" t="inlineStr">
        <is>
          <t>13:20-15:30</t>
        </is>
      </c>
      <c r="E58" s="408" t="inlineStr">
        <is>
          <t>潜能班</t>
        </is>
      </c>
      <c r="F58" s="408" t="inlineStr">
        <is>
          <t>陈加杰</t>
        </is>
      </c>
      <c r="G58" s="408" t="inlineStr">
        <is>
          <t>田雨涵01</t>
        </is>
      </c>
      <c r="H58" s="408" t="inlineStr">
        <is>
          <t>黄铭怡</t>
        </is>
      </c>
      <c r="I58" s="408" t="inlineStr">
        <is>
          <t>高心怡04</t>
        </is>
      </c>
      <c r="J58" s="408" t="inlineStr">
        <is>
          <t>杨林33</t>
        </is>
      </c>
      <c r="X58" s="408" t="inlineStr">
        <is>
          <t>否</t>
        </is>
      </c>
      <c r="Y58" s="408" t="inlineStr">
        <is>
          <t>否</t>
        </is>
      </c>
    </row>
    <row r="59" ht="48.75" customFormat="1" customHeight="1" s="408">
      <c r="A59" s="408" t="inlineStr">
        <is>
          <t>新宝利</t>
        </is>
      </c>
      <c r="B59" s="408" t="inlineStr">
        <is>
          <t>二期</t>
        </is>
      </c>
      <c r="C59" s="408" t="n">
        <v>5111034</v>
      </c>
      <c r="D59" s="408" t="inlineStr">
        <is>
          <t>13:20-15:30</t>
        </is>
      </c>
      <c r="E59" s="408" t="inlineStr">
        <is>
          <t>潜能班</t>
        </is>
      </c>
      <c r="F59" s="408" t="inlineStr">
        <is>
          <t>陈梓熙</t>
        </is>
      </c>
      <c r="G59" s="408" t="inlineStr">
        <is>
          <t>田雨涵01</t>
        </is>
      </c>
      <c r="H59" s="408" t="inlineStr">
        <is>
          <t>黄铭怡</t>
        </is>
      </c>
      <c r="I59" s="408" t="inlineStr">
        <is>
          <t>高心怡04</t>
        </is>
      </c>
      <c r="J59" s="408" t="inlineStr">
        <is>
          <t>王丽</t>
        </is>
      </c>
      <c r="P59" s="408" t="n">
        <v>60</v>
      </c>
      <c r="T59" s="408" t="inlineStr">
        <is>
          <t>是</t>
        </is>
      </c>
      <c r="X59" s="408" t="inlineStr">
        <is>
          <t>是</t>
        </is>
      </c>
      <c r="Y59" s="408" t="inlineStr">
        <is>
          <t>否</t>
        </is>
      </c>
    </row>
    <row r="60" ht="48.75" customFormat="1" customHeight="1" s="408">
      <c r="A60" s="408" t="inlineStr">
        <is>
          <t>新宝利</t>
        </is>
      </c>
      <c r="B60" s="408" t="inlineStr">
        <is>
          <t>二期</t>
        </is>
      </c>
      <c r="C60" s="408" t="n">
        <v>5111034</v>
      </c>
      <c r="D60" s="408" t="inlineStr">
        <is>
          <t>13:20-15:30</t>
        </is>
      </c>
      <c r="E60" s="408" t="inlineStr">
        <is>
          <t>潜能班</t>
        </is>
      </c>
      <c r="F60" s="408" t="inlineStr">
        <is>
          <t>陈祺</t>
        </is>
      </c>
      <c r="G60" s="408" t="inlineStr">
        <is>
          <t>田雨涵01</t>
        </is>
      </c>
      <c r="H60" s="408" t="inlineStr">
        <is>
          <t>黄铭怡</t>
        </is>
      </c>
      <c r="J60" s="408" t="inlineStr">
        <is>
          <t>杨林33</t>
        </is>
      </c>
      <c r="P60" s="408" t="n">
        <v>85</v>
      </c>
      <c r="T60" s="408" t="inlineStr">
        <is>
          <t>是</t>
        </is>
      </c>
      <c r="X60" s="408" t="inlineStr">
        <is>
          <t>是</t>
        </is>
      </c>
      <c r="Y60" s="408" t="inlineStr">
        <is>
          <t>否</t>
        </is>
      </c>
    </row>
    <row r="61" ht="48.75" customFormat="1" customHeight="1" s="408">
      <c r="A61" s="408" t="inlineStr">
        <is>
          <t>新宝利</t>
        </is>
      </c>
      <c r="B61" s="408" t="inlineStr">
        <is>
          <t>二期</t>
        </is>
      </c>
      <c r="C61" s="408" t="n">
        <v>5111034</v>
      </c>
      <c r="D61" s="408" t="inlineStr">
        <is>
          <t>13:20-15:30</t>
        </is>
      </c>
      <c r="E61" s="408" t="inlineStr">
        <is>
          <t>潜能班</t>
        </is>
      </c>
      <c r="F61" s="408" t="inlineStr">
        <is>
          <t>马嘉浩</t>
        </is>
      </c>
      <c r="G61" s="408" t="inlineStr">
        <is>
          <t>田雨涵01</t>
        </is>
      </c>
      <c r="H61" s="408" t="inlineStr">
        <is>
          <t>黄铭怡</t>
        </is>
      </c>
      <c r="I61" s="408" t="inlineStr">
        <is>
          <t>高心怡04</t>
        </is>
      </c>
      <c r="J61" s="408" t="inlineStr">
        <is>
          <t>王丽</t>
        </is>
      </c>
      <c r="Q61" s="408" t="n">
        <v>29</v>
      </c>
      <c r="T61" s="408" t="inlineStr">
        <is>
          <t>是</t>
        </is>
      </c>
      <c r="X61" s="408" t="inlineStr">
        <is>
          <t>是</t>
        </is>
      </c>
      <c r="Y61" s="408" t="inlineStr">
        <is>
          <t>否</t>
        </is>
      </c>
    </row>
    <row r="62" ht="48.75" customFormat="1" customHeight="1" s="408">
      <c r="A62" s="408" t="inlineStr">
        <is>
          <t>新宝利</t>
        </is>
      </c>
      <c r="B62" s="408" t="inlineStr">
        <is>
          <t>二期</t>
        </is>
      </c>
      <c r="C62" s="408" t="n">
        <v>5111034</v>
      </c>
      <c r="D62" s="408" t="inlineStr">
        <is>
          <t>13:20-15:30</t>
        </is>
      </c>
      <c r="E62" s="408" t="inlineStr">
        <is>
          <t>潜能班</t>
        </is>
      </c>
      <c r="F62" s="408" t="inlineStr">
        <is>
          <t>魏绍恒</t>
        </is>
      </c>
      <c r="G62" s="408" t="inlineStr">
        <is>
          <t>田雨涵01</t>
        </is>
      </c>
      <c r="H62" s="408" t="inlineStr">
        <is>
          <t>黄铭怡</t>
        </is>
      </c>
      <c r="I62" s="408" t="inlineStr">
        <is>
          <t>高心怡04</t>
        </is>
      </c>
      <c r="J62" s="408" t="inlineStr">
        <is>
          <t>张敏烨</t>
        </is>
      </c>
      <c r="K62" s="408" t="inlineStr">
        <is>
          <t>培正</t>
        </is>
      </c>
      <c r="M62" s="408" t="inlineStr">
        <is>
          <t>一般</t>
        </is>
      </c>
      <c r="N62" s="408" t="inlineStr">
        <is>
          <t>熟悉新初一知识，有畏难情绪</t>
        </is>
      </c>
      <c r="O62" s="416" t="inlineStr">
        <is>
          <t>孩子校内成绩，英语D，数学C，熟悉之后会比较外向。校内成绩比较差，且不愿意来补测。作业能够按时完成。孩子专注力不好，需要老师做好关注</t>
        </is>
      </c>
      <c r="Q62" s="408" t="n">
        <v>60</v>
      </c>
      <c r="T62" s="408" t="inlineStr">
        <is>
          <t>是</t>
        </is>
      </c>
      <c r="X62" s="408" t="inlineStr">
        <is>
          <t>是</t>
        </is>
      </c>
      <c r="Y62" s="408" t="inlineStr">
        <is>
          <t>否</t>
        </is>
      </c>
    </row>
    <row r="63" ht="48.75" customFormat="1" customHeight="1" s="408">
      <c r="A63" s="415" t="inlineStr">
        <is>
          <t>新宝利</t>
        </is>
      </c>
      <c r="B63" s="415" t="inlineStr">
        <is>
          <t>二期</t>
        </is>
      </c>
      <c r="C63" s="415" t="n">
        <v>5111034</v>
      </c>
      <c r="D63" s="415" t="inlineStr">
        <is>
          <t>13:20-15:30</t>
        </is>
      </c>
      <c r="E63" s="415" t="inlineStr">
        <is>
          <t>潜能班</t>
        </is>
      </c>
      <c r="F63" s="415" t="inlineStr">
        <is>
          <t>黄春瀚</t>
        </is>
      </c>
      <c r="G63" s="415" t="inlineStr">
        <is>
          <t>田雨涵01</t>
        </is>
      </c>
      <c r="H63" s="415" t="inlineStr">
        <is>
          <t>黄铭怡</t>
        </is>
      </c>
      <c r="I63" s="415" t="inlineStr">
        <is>
          <t>高心怡04</t>
        </is>
      </c>
      <c r="J63" s="415" t="inlineStr">
        <is>
          <t>杨林33</t>
        </is>
      </c>
      <c r="K63" s="415" t="n"/>
      <c r="L63" s="415" t="n"/>
      <c r="M63" s="415" t="n"/>
      <c r="N63" s="415" t="n"/>
      <c r="O63" s="415" t="n"/>
      <c r="P63" s="415" t="n"/>
      <c r="Q63" s="415" t="n"/>
      <c r="R63" s="415" t="n"/>
      <c r="S63" s="415" t="n"/>
      <c r="T63" s="415" t="n"/>
      <c r="U63" s="415" t="n"/>
      <c r="V63" s="415" t="n"/>
      <c r="W63" s="415" t="n"/>
      <c r="X63" s="415" t="n"/>
      <c r="Y63" s="415" t="n"/>
      <c r="Z63" s="415" t="n"/>
      <c r="AA63" s="415" t="n"/>
      <c r="AB63" s="415" t="n"/>
      <c r="AC63" s="415" t="n"/>
      <c r="AD63" s="415" t="n"/>
      <c r="AE63" s="415" t="n"/>
      <c r="AF63" s="415" t="n"/>
      <c r="AG63" s="415" t="n"/>
      <c r="AH63" s="415" t="n"/>
      <c r="AI63" s="415" t="n"/>
      <c r="AJ63" s="415" t="n"/>
      <c r="AK63" s="415" t="n"/>
      <c r="AL63" s="415" t="n"/>
      <c r="AM63" s="415" t="n"/>
      <c r="AN63" s="415" t="n"/>
      <c r="AO63" s="415" t="n"/>
      <c r="AP63" s="415" t="n"/>
      <c r="AQ63" s="415" t="n"/>
      <c r="AR63" s="415" t="n"/>
      <c r="AS63" s="415" t="n"/>
      <c r="AT63" s="415" t="n"/>
      <c r="AU63" s="415" t="n"/>
      <c r="AV63" s="415" t="n"/>
      <c r="AW63" s="415" t="n"/>
      <c r="AX63" s="415" t="n"/>
      <c r="AY63" s="415" t="n"/>
      <c r="AZ63" s="415" t="n"/>
    </row>
    <row r="64" ht="48.75" customFormat="1" customHeight="1" s="408">
      <c r="A64" s="408" t="inlineStr">
        <is>
          <t>同创汇</t>
        </is>
      </c>
      <c r="B64" s="408" t="inlineStr">
        <is>
          <t>一期</t>
        </is>
      </c>
      <c r="C64" s="408" t="n">
        <v>5230802</v>
      </c>
      <c r="D64" s="408" t="inlineStr">
        <is>
          <t>15:50-18:00</t>
        </is>
      </c>
      <c r="E64" s="408" t="inlineStr">
        <is>
          <t>潜能班</t>
        </is>
      </c>
      <c r="F64" s="408" t="inlineStr">
        <is>
          <t>丘平川</t>
        </is>
      </c>
      <c r="G64" s="408" t="inlineStr">
        <is>
          <t>田雨涵01</t>
        </is>
      </c>
      <c r="H64" s="408" t="inlineStr">
        <is>
          <t>李润</t>
        </is>
      </c>
      <c r="I64" s="408" t="inlineStr">
        <is>
          <t>高心怡04</t>
        </is>
      </c>
      <c r="J64" s="408" t="inlineStr">
        <is>
          <t>王丽</t>
        </is>
      </c>
      <c r="P64" s="408" t="n">
        <v>72</v>
      </c>
      <c r="X64" s="408" t="inlineStr">
        <is>
          <t>否</t>
        </is>
      </c>
      <c r="Y64" s="408" t="inlineStr">
        <is>
          <t>否</t>
        </is>
      </c>
    </row>
    <row r="65" ht="48.75" customFormat="1" customHeight="1" s="408">
      <c r="A65" s="408" t="inlineStr">
        <is>
          <t>同创汇</t>
        </is>
      </c>
      <c r="B65" s="408" t="inlineStr">
        <is>
          <t>一期</t>
        </is>
      </c>
      <c r="C65" s="408" t="n">
        <v>5230802</v>
      </c>
      <c r="D65" s="408" t="inlineStr">
        <is>
          <t>15:50-18:00</t>
        </is>
      </c>
      <c r="E65" s="408" t="inlineStr">
        <is>
          <t>潜能班</t>
        </is>
      </c>
      <c r="F65" s="408" t="inlineStr">
        <is>
          <t>梁一鸣</t>
        </is>
      </c>
      <c r="G65" s="408" t="inlineStr">
        <is>
          <t>田雨涵01</t>
        </is>
      </c>
      <c r="H65" s="408" t="inlineStr">
        <is>
          <t>陈南05</t>
        </is>
      </c>
      <c r="I65" s="408" t="inlineStr">
        <is>
          <t>高心怡04</t>
        </is>
      </c>
      <c r="J65" s="408" t="inlineStr">
        <is>
          <t>戎凯01</t>
        </is>
      </c>
      <c r="P65" s="408" t="n">
        <v>72</v>
      </c>
      <c r="T65" s="408" t="inlineStr">
        <is>
          <t>是</t>
        </is>
      </c>
      <c r="X65" s="408" t="inlineStr">
        <is>
          <t>是</t>
        </is>
      </c>
      <c r="Y65" s="408" t="inlineStr">
        <is>
          <t>否</t>
        </is>
      </c>
    </row>
    <row r="66" ht="48.75" customFormat="1" customHeight="1" s="408">
      <c r="A66" s="408" t="inlineStr">
        <is>
          <t>同创汇</t>
        </is>
      </c>
      <c r="B66" s="408" t="inlineStr">
        <is>
          <t>一期</t>
        </is>
      </c>
      <c r="C66" s="408" t="n">
        <v>5230802</v>
      </c>
      <c r="D66" s="408" t="inlineStr">
        <is>
          <t>15:50-18:00</t>
        </is>
      </c>
      <c r="E66" s="408" t="inlineStr">
        <is>
          <t>潜能班</t>
        </is>
      </c>
      <c r="F66" s="408" t="inlineStr">
        <is>
          <t>梁芷昕</t>
        </is>
      </c>
      <c r="G66" s="408" t="inlineStr">
        <is>
          <t>田雨涵01</t>
        </is>
      </c>
      <c r="H66" s="408" t="inlineStr">
        <is>
          <t>陈南05</t>
        </is>
      </c>
      <c r="I66" s="408" t="inlineStr">
        <is>
          <t>高心怡04</t>
        </is>
      </c>
      <c r="J66" s="408" t="inlineStr">
        <is>
          <t>沈思浩</t>
        </is>
      </c>
      <c r="K66" s="408" t="inlineStr">
        <is>
          <t>棠德南小学</t>
        </is>
      </c>
      <c r="O66" s="408" t="inlineStr">
        <is>
          <t>妈妈不管孩子学习，大概率不报</t>
        </is>
      </c>
      <c r="Q66" s="408" t="n">
        <v>29</v>
      </c>
      <c r="T66" s="408" t="inlineStr">
        <is>
          <t>是</t>
        </is>
      </c>
      <c r="X66" s="408" t="inlineStr">
        <is>
          <t>是</t>
        </is>
      </c>
      <c r="Y66" s="408" t="inlineStr">
        <is>
          <t>是</t>
        </is>
      </c>
    </row>
    <row r="67" ht="48.75" customFormat="1" customHeight="1" s="408">
      <c r="A67" s="408" t="inlineStr">
        <is>
          <t>同创汇</t>
        </is>
      </c>
      <c r="B67" s="408" t="inlineStr">
        <is>
          <t>一期</t>
        </is>
      </c>
      <c r="C67" s="408" t="n">
        <v>5230802</v>
      </c>
      <c r="D67" s="408" t="inlineStr">
        <is>
          <t>15:50-18:00</t>
        </is>
      </c>
      <c r="E67" s="408" t="inlineStr">
        <is>
          <t>潜能班</t>
        </is>
      </c>
      <c r="F67" s="408" t="inlineStr">
        <is>
          <t>胡玲瑜</t>
        </is>
      </c>
      <c r="G67" s="408" t="inlineStr">
        <is>
          <t>田雨涵01</t>
        </is>
      </c>
      <c r="H67" s="408" t="inlineStr">
        <is>
          <t>陈南05</t>
        </is>
      </c>
      <c r="I67" s="408" t="inlineStr">
        <is>
          <t>高心怡04</t>
        </is>
      </c>
      <c r="J67" s="408" t="inlineStr">
        <is>
          <t>王丽</t>
        </is>
      </c>
      <c r="Q67" s="408" t="n">
        <v>70</v>
      </c>
      <c r="T67" s="408" t="inlineStr">
        <is>
          <t>是</t>
        </is>
      </c>
      <c r="X67" s="408" t="inlineStr">
        <is>
          <t>是</t>
        </is>
      </c>
      <c r="Y67" s="408" t="inlineStr">
        <is>
          <t>否</t>
        </is>
      </c>
    </row>
    <row r="68" ht="48.75" customFormat="1" customHeight="1" s="408">
      <c r="A68" s="415" t="inlineStr">
        <is>
          <t>同创汇</t>
        </is>
      </c>
      <c r="B68" s="415" t="inlineStr">
        <is>
          <t>一期</t>
        </is>
      </c>
      <c r="C68" s="415" t="n">
        <v>5230802</v>
      </c>
      <c r="D68" s="415" t="inlineStr">
        <is>
          <t>15:50-18:00</t>
        </is>
      </c>
      <c r="E68" s="415" t="inlineStr">
        <is>
          <t>潜能班</t>
        </is>
      </c>
      <c r="F68" s="415" t="inlineStr">
        <is>
          <t>董婧萱</t>
        </is>
      </c>
      <c r="G68" s="415" t="inlineStr">
        <is>
          <t>田雨涵01</t>
        </is>
      </c>
      <c r="H68" s="415" t="n"/>
      <c r="I68" s="415" t="n"/>
      <c r="J68" s="415" t="inlineStr">
        <is>
          <t>苏丽婷</t>
        </is>
      </c>
      <c r="K68" s="415" t="n"/>
      <c r="L68" s="415" t="n"/>
      <c r="M68" s="415" t="n"/>
      <c r="N68" s="415" t="n"/>
      <c r="O68" s="415" t="n"/>
      <c r="P68" s="415" t="n"/>
      <c r="Q68" s="415" t="n"/>
      <c r="R68" s="415" t="n"/>
      <c r="S68" s="415" t="n"/>
      <c r="T68" s="415" t="n"/>
      <c r="U68" s="415" t="n"/>
      <c r="V68" s="415" t="n"/>
      <c r="W68" s="415" t="n"/>
      <c r="X68" s="415" t="n"/>
      <c r="Y68" s="415" t="n"/>
      <c r="Z68" s="415" t="n"/>
      <c r="AA68" s="415" t="n"/>
      <c r="AB68" s="415" t="n"/>
      <c r="AC68" s="415" t="n"/>
      <c r="AD68" s="415" t="n"/>
      <c r="AE68" s="415" t="n"/>
      <c r="AF68" s="415" t="n"/>
      <c r="AG68" s="415" t="n"/>
      <c r="AH68" s="415" t="n"/>
      <c r="AI68" s="415" t="n"/>
      <c r="AJ68" s="415" t="n"/>
      <c r="AK68" s="415" t="n"/>
      <c r="AL68" s="415" t="n"/>
      <c r="AM68" s="415" t="n"/>
      <c r="AN68" s="415" t="n"/>
      <c r="AO68" s="415" t="n"/>
      <c r="AP68" s="415" t="n"/>
      <c r="AQ68" s="415" t="n"/>
      <c r="AR68" s="415" t="n"/>
      <c r="AS68" s="415" t="n"/>
      <c r="AT68" s="415" t="n"/>
      <c r="AU68" s="415" t="n"/>
      <c r="AV68" s="415" t="n"/>
      <c r="AW68" s="415" t="n"/>
      <c r="AX68" s="415" t="n"/>
      <c r="AY68" s="415" t="n"/>
      <c r="AZ68" s="415" t="n"/>
    </row>
    <row r="69" ht="48.75" customFormat="1" customHeight="1" s="408">
      <c r="A69" s="408" t="inlineStr">
        <is>
          <t>同创汇</t>
        </is>
      </c>
      <c r="B69" s="408" t="inlineStr">
        <is>
          <t>一期</t>
        </is>
      </c>
      <c r="C69" s="408" t="n">
        <v>5230802</v>
      </c>
      <c r="D69" s="408" t="inlineStr">
        <is>
          <t>15:50-18:00</t>
        </is>
      </c>
      <c r="E69" s="408" t="inlineStr">
        <is>
          <t>潜能班</t>
        </is>
      </c>
      <c r="F69" s="408" t="inlineStr">
        <is>
          <t>陈品希</t>
        </is>
      </c>
      <c r="G69" s="408" t="inlineStr">
        <is>
          <t>田雨涵01</t>
        </is>
      </c>
      <c r="H69" s="408" t="inlineStr">
        <is>
          <t>陈南05</t>
        </is>
      </c>
      <c r="J69" s="408" t="inlineStr">
        <is>
          <t>苏丽婷</t>
        </is>
      </c>
      <c r="P69" s="408" t="n">
        <v>90</v>
      </c>
      <c r="T69" s="408" t="inlineStr">
        <is>
          <t>是</t>
        </is>
      </c>
      <c r="X69" s="408" t="inlineStr">
        <is>
          <t>是</t>
        </is>
      </c>
      <c r="Y69" s="408" t="inlineStr">
        <is>
          <t>是</t>
        </is>
      </c>
    </row>
    <row r="70" ht="48.75" customFormat="1" customHeight="1" s="418">
      <c r="A70" s="418" t="inlineStr">
        <is>
          <t>同创汇</t>
        </is>
      </c>
      <c r="B70" s="418" t="inlineStr">
        <is>
          <t>零期</t>
        </is>
      </c>
      <c r="C70" s="418" t="n">
        <v>5230806</v>
      </c>
      <c r="D70" s="418" t="inlineStr">
        <is>
          <t>10:20-12:30</t>
        </is>
      </c>
      <c r="E70" s="418" t="inlineStr">
        <is>
          <t>潜能班</t>
        </is>
      </c>
      <c r="F70" s="418" t="inlineStr">
        <is>
          <t>于耀杰</t>
        </is>
      </c>
      <c r="G70" s="418" t="inlineStr">
        <is>
          <t>田雨涵01</t>
        </is>
      </c>
      <c r="H70" s="418" t="inlineStr">
        <is>
          <t>陈南05</t>
        </is>
      </c>
      <c r="I70" s="418" t="inlineStr">
        <is>
          <t>刘希子</t>
        </is>
      </c>
      <c r="J70" s="418" t="inlineStr">
        <is>
          <t>戎凯01</t>
        </is>
      </c>
      <c r="K70" s="418" t="inlineStr">
        <is>
          <t>中星小学</t>
        </is>
      </c>
      <c r="L70" s="819" t="inlineStr">
        <is>
          <t>广大附
京师保底</t>
        </is>
      </c>
      <c r="M70" s="412" t="inlineStr">
        <is>
          <t>缺乏自主性</t>
        </is>
      </c>
      <c r="N70" s="412" t="inlineStr">
        <is>
          <t>严抓孩子的习惯，书写，笔记等</t>
        </is>
      </c>
      <c r="O70" s="412" t="inlineStr">
        <is>
          <t>耀杰比较好动，上课经常会开小差。数学一直在学而思线下课上A+班， 属于小奥中等水平，不是前排学生。小奥的七大模块，数论，组合和计数比较差，其次是行程和几何， 讲算模块时好时坏。</t>
        </is>
      </c>
      <c r="P70" s="418" t="n">
        <v>72</v>
      </c>
      <c r="T70" s="418" t="inlineStr">
        <is>
          <t>是</t>
        </is>
      </c>
      <c r="U70" s="418" t="inlineStr">
        <is>
          <t>是</t>
        </is>
      </c>
      <c r="V70" s="418" t="inlineStr">
        <is>
          <t>是</t>
        </is>
      </c>
      <c r="W70" s="418" t="inlineStr">
        <is>
          <t>是</t>
        </is>
      </c>
      <c r="X70" s="418" t="inlineStr">
        <is>
          <t>是</t>
        </is>
      </c>
      <c r="Y70" s="418" t="inlineStr">
        <is>
          <t>否</t>
        </is>
      </c>
      <c r="Z70" s="418" t="inlineStr">
        <is>
          <t>是</t>
        </is>
      </c>
      <c r="AH70" s="22" t="n"/>
      <c r="AI70" s="374" t="inlineStr">
        <is>
          <t>是</t>
        </is>
      </c>
      <c r="AK70" s="122" t="n"/>
      <c r="AL70" s="124" t="n"/>
      <c r="AM70" s="24" t="n"/>
      <c r="AP70" s="524" t="n"/>
    </row>
    <row r="71" ht="48.75" customFormat="1" customHeight="1" s="418">
      <c r="A71" s="418" t="inlineStr">
        <is>
          <t>同创汇</t>
        </is>
      </c>
      <c r="B71" s="418" t="inlineStr">
        <is>
          <t>零期</t>
        </is>
      </c>
      <c r="C71" s="418" t="n">
        <v>5230806</v>
      </c>
      <c r="D71" s="418" t="inlineStr">
        <is>
          <t>10:20-12:30</t>
        </is>
      </c>
      <c r="E71" s="418" t="inlineStr">
        <is>
          <t>潜能班</t>
        </is>
      </c>
      <c r="F71" s="418" t="inlineStr">
        <is>
          <t>刘映彤</t>
        </is>
      </c>
      <c r="G71" s="418" t="inlineStr">
        <is>
          <t>田雨涵01</t>
        </is>
      </c>
      <c r="H71" s="418" t="inlineStr">
        <is>
          <t>陈南05</t>
        </is>
      </c>
      <c r="I71" s="418" t="inlineStr">
        <is>
          <t>刘希子</t>
        </is>
      </c>
      <c r="J71" s="418" t="inlineStr">
        <is>
          <t>王丽</t>
        </is>
      </c>
      <c r="M71" s="412" t="inlineStr">
        <is>
          <t>很忙没时间接电话，爸爸微信推给我再聊聊</t>
        </is>
      </c>
      <c r="N71" s="412" t="inlineStr">
        <is>
          <t>对孩子的学习基本上不关注，上课的情况也不关心</t>
        </is>
      </c>
      <c r="O71" s="412" t="inlineStr">
        <is>
          <t>孩子爸爸负责学习，妈妈很忙；但是学习基本上爸爸也不怎么管</t>
        </is>
      </c>
      <c r="P71" s="418" t="n">
        <v>72</v>
      </c>
      <c r="T71" s="418" t="inlineStr">
        <is>
          <t>是</t>
        </is>
      </c>
      <c r="U71" s="418" t="inlineStr">
        <is>
          <t>是</t>
        </is>
      </c>
      <c r="V71" s="418" t="inlineStr">
        <is>
          <t>是</t>
        </is>
      </c>
      <c r="W71" s="418" t="inlineStr">
        <is>
          <t>是</t>
        </is>
      </c>
      <c r="X71" s="418" t="inlineStr">
        <is>
          <t>否</t>
        </is>
      </c>
      <c r="Y71" s="418" t="inlineStr">
        <is>
          <t>否</t>
        </is>
      </c>
      <c r="AH71" s="22" t="n"/>
      <c r="AI71" s="374" t="inlineStr">
        <is>
          <t>是</t>
        </is>
      </c>
      <c r="AJ71" s="417" t="inlineStr">
        <is>
          <t>跟父母沟通比较困难，希望老师多关注鼓励；个性很强的孩子，可能不太愿意于老师课后沟通</t>
        </is>
      </c>
      <c r="AK71" s="122" t="n"/>
      <c r="AL71" s="124" t="n"/>
      <c r="AM71" s="24" t="n"/>
      <c r="AP71" s="524" t="n"/>
    </row>
    <row r="72" ht="48.75" customFormat="1" customHeight="1" s="411">
      <c r="A72" s="418" t="inlineStr">
        <is>
          <t>同创汇</t>
        </is>
      </c>
      <c r="B72" s="418" t="inlineStr">
        <is>
          <t>零期</t>
        </is>
      </c>
      <c r="C72" s="418" t="n">
        <v>5230806</v>
      </c>
      <c r="D72" s="418" t="inlineStr">
        <is>
          <t>10:20-12:30</t>
        </is>
      </c>
      <c r="E72" s="418" t="inlineStr">
        <is>
          <t>潜能班</t>
        </is>
      </c>
      <c r="F72" s="418" t="inlineStr">
        <is>
          <t>吴丹妮</t>
        </is>
      </c>
      <c r="G72" s="418" t="inlineStr">
        <is>
          <t>田雨涵01</t>
        </is>
      </c>
      <c r="H72" s="418" t="inlineStr">
        <is>
          <t>李润</t>
        </is>
      </c>
      <c r="I72" s="418" t="inlineStr">
        <is>
          <t>高心怡04</t>
        </is>
      </c>
      <c r="J72" s="418" t="inlineStr">
        <is>
          <t>苏丽婷</t>
        </is>
      </c>
      <c r="K72" s="418" t="n"/>
      <c r="L72" s="418" t="n"/>
      <c r="M72" s="412" t="inlineStr">
        <is>
          <t>习惯可以</t>
        </is>
      </c>
      <c r="N72" s="412" t="inlineStr">
        <is>
          <t>几何部分，提前学；</t>
        </is>
      </c>
      <c r="O72" s="412" t="inlineStr">
        <is>
          <t>校内90，小学没报过课，暑假先看看学的怎么样，看效果看孩子的喜爱程度；再去决定是否继续消费</t>
        </is>
      </c>
      <c r="P72" s="418" t="n">
        <v>72</v>
      </c>
      <c r="Q72" s="418" t="n"/>
      <c r="R72" s="418" t="n"/>
      <c r="S72" s="418" t="n"/>
      <c r="T72" s="418" t="inlineStr">
        <is>
          <t>是</t>
        </is>
      </c>
      <c r="U72" s="418" t="inlineStr">
        <is>
          <t>是</t>
        </is>
      </c>
      <c r="V72" s="418" t="inlineStr">
        <is>
          <t>是</t>
        </is>
      </c>
      <c r="W72" s="418" t="inlineStr">
        <is>
          <t>是</t>
        </is>
      </c>
      <c r="X72" s="418" t="inlineStr">
        <is>
          <t>否</t>
        </is>
      </c>
      <c r="Y72" s="418" t="inlineStr">
        <is>
          <t>否</t>
        </is>
      </c>
      <c r="Z72" s="418" t="inlineStr">
        <is>
          <t>是</t>
        </is>
      </c>
      <c r="AA72" s="418" t="n"/>
      <c r="AB72" s="418" t="n"/>
      <c r="AC72" s="418" t="n"/>
      <c r="AD72" s="418" t="n"/>
      <c r="AE72" s="418" t="n"/>
      <c r="AF72" s="418" t="n"/>
      <c r="AG72" s="418" t="n"/>
      <c r="AH72" s="22" t="n"/>
      <c r="AI72" s="374" t="inlineStr">
        <is>
          <t>是</t>
        </is>
      </c>
      <c r="AJ72" s="412" t="inlineStr">
        <is>
          <t>孩子有点内向，不会主动举手，后面多提问多关注，家长只要觉得孩子喜欢，有效果就会继续学习</t>
        </is>
      </c>
      <c r="AK72" s="122" t="n"/>
      <c r="AL72" s="124" t="n"/>
      <c r="AM72" s="24" t="n"/>
      <c r="AN72" s="418" t="n"/>
      <c r="AO72" s="418" t="n"/>
      <c r="AP72" s="524" t="n"/>
      <c r="AQ72" s="418" t="n"/>
      <c r="AR72" s="418" t="n"/>
      <c r="AS72" s="418" t="n"/>
      <c r="AT72" s="418" t="n"/>
      <c r="AU72" s="418" t="n"/>
      <c r="AV72" s="418" t="n"/>
      <c r="AW72" s="418" t="n"/>
      <c r="AX72" s="418" t="n"/>
      <c r="AY72" s="418" t="n"/>
      <c r="AZ72" s="418" t="n"/>
    </row>
    <row r="73" ht="48.75" customFormat="1" customHeight="1" s="418">
      <c r="A73" s="418" t="inlineStr">
        <is>
          <t>同创汇</t>
        </is>
      </c>
      <c r="B73" s="418" t="inlineStr">
        <is>
          <t>零期</t>
        </is>
      </c>
      <c r="C73" s="418" t="n">
        <v>5230806</v>
      </c>
      <c r="D73" s="418" t="inlineStr">
        <is>
          <t>10:20-12:30</t>
        </is>
      </c>
      <c r="E73" s="418" t="inlineStr">
        <is>
          <t>潜能班</t>
        </is>
      </c>
      <c r="F73" s="418" t="inlineStr">
        <is>
          <t>吴俊康</t>
        </is>
      </c>
      <c r="G73" s="418" t="inlineStr">
        <is>
          <t>田雨涵01</t>
        </is>
      </c>
      <c r="H73" s="418" t="inlineStr">
        <is>
          <t>陈南05</t>
        </is>
      </c>
      <c r="I73" s="418" t="inlineStr">
        <is>
          <t>刘希子</t>
        </is>
      </c>
      <c r="J73" s="418" t="inlineStr">
        <is>
          <t>戎凯01</t>
        </is>
      </c>
      <c r="M73" s="412" t="inlineStr">
        <is>
          <t>不主动学习，学习习惯不好</t>
        </is>
      </c>
      <c r="N73" s="412" t="inlineStr">
        <is>
          <t>主要在于提高俊康答题的专注度和速度</t>
        </is>
      </c>
      <c r="O73" s="820" t="inlineStr">
        <is>
          <t>小学成绩中等。数学成绩大约在85分到95分
希望老师对孩子们严格要求，强调每天布置的作业必须按时完成</t>
        </is>
      </c>
      <c r="P73" s="418" t="n">
        <v>74</v>
      </c>
      <c r="T73" s="418" t="inlineStr">
        <is>
          <t>是</t>
        </is>
      </c>
      <c r="U73" s="418" t="inlineStr">
        <is>
          <t>是</t>
        </is>
      </c>
      <c r="V73" s="418" t="inlineStr">
        <is>
          <t>是</t>
        </is>
      </c>
      <c r="W73" s="418" t="inlineStr">
        <is>
          <t>是</t>
        </is>
      </c>
      <c r="X73" s="418" t="inlineStr">
        <is>
          <t>否</t>
        </is>
      </c>
      <c r="Y73" s="418" t="inlineStr">
        <is>
          <t>否</t>
        </is>
      </c>
      <c r="Z73" s="418" t="inlineStr">
        <is>
          <t>是</t>
        </is>
      </c>
      <c r="AA73" s="418" t="inlineStr">
        <is>
          <t>是</t>
        </is>
      </c>
      <c r="AH73" s="22" t="n"/>
      <c r="AI73" s="374" t="inlineStr">
        <is>
          <t>是</t>
        </is>
      </c>
      <c r="AK73" s="122" t="n"/>
      <c r="AL73" s="124" t="n"/>
      <c r="AM73" s="24" t="n"/>
      <c r="AP73" s="524" t="n"/>
    </row>
    <row r="74" ht="48.75" customFormat="1" customHeight="1" s="418">
      <c r="A74" s="418" t="inlineStr">
        <is>
          <t>同创汇</t>
        </is>
      </c>
      <c r="B74" s="418" t="inlineStr">
        <is>
          <t>零期</t>
        </is>
      </c>
      <c r="C74" s="418" t="n">
        <v>5230806</v>
      </c>
      <c r="D74" s="418" t="inlineStr">
        <is>
          <t>10:20-12:30</t>
        </is>
      </c>
      <c r="E74" s="418" t="inlineStr">
        <is>
          <t>潜能班</t>
        </is>
      </c>
      <c r="F74" s="418" t="inlineStr">
        <is>
          <t>姚诗琳</t>
        </is>
      </c>
      <c r="G74" s="418" t="inlineStr">
        <is>
          <t>田雨涵01</t>
        </is>
      </c>
      <c r="H74" s="418" t="inlineStr">
        <is>
          <t>黄铭怡</t>
        </is>
      </c>
      <c r="I74" s="418" t="inlineStr">
        <is>
          <t>刘希子</t>
        </is>
      </c>
      <c r="J74" s="418" t="inlineStr">
        <is>
          <t>戎凯01</t>
        </is>
      </c>
      <c r="K74" s="418" t="inlineStr">
        <is>
          <t>铁一小学</t>
        </is>
      </c>
      <c r="L74" s="821" t="inlineStr">
        <is>
          <t>摇号等结果
明德八星</t>
        </is>
      </c>
      <c r="M74" s="412" t="n"/>
      <c r="N74" s="412" t="inlineStr">
        <is>
          <t>小初衔接+重点班</t>
        </is>
      </c>
      <c r="O74" s="412" t="inlineStr">
        <is>
          <t>多夸孩子，孩子喜欢就差不多；但是秋季课得看看到时候的情况</t>
        </is>
      </c>
      <c r="Q74" s="418" t="n">
        <v>105</v>
      </c>
      <c r="T74" s="418" t="inlineStr">
        <is>
          <t>是</t>
        </is>
      </c>
      <c r="U74" s="418" t="inlineStr">
        <is>
          <t>是</t>
        </is>
      </c>
      <c r="V74" s="418" t="inlineStr">
        <is>
          <t>是</t>
        </is>
      </c>
      <c r="W74" s="418" t="inlineStr">
        <is>
          <t>是</t>
        </is>
      </c>
      <c r="X74" s="418" t="inlineStr">
        <is>
          <t>否</t>
        </is>
      </c>
      <c r="Y74" s="418" t="inlineStr">
        <is>
          <t>否</t>
        </is>
      </c>
      <c r="AH74" s="22" t="n"/>
      <c r="AI74" s="374" t="inlineStr">
        <is>
          <t>否</t>
        </is>
      </c>
      <c r="AK74" s="122" t="n"/>
      <c r="AL74" s="124" t="n"/>
      <c r="AM74" s="24" t="n"/>
      <c r="AP74" s="524" t="n"/>
    </row>
    <row r="75" ht="48.75" customFormat="1" customHeight="1" s="418">
      <c r="A75" s="418" t="inlineStr">
        <is>
          <t>同创汇</t>
        </is>
      </c>
      <c r="B75" s="418" t="inlineStr">
        <is>
          <t>零期</t>
        </is>
      </c>
      <c r="C75" s="418" t="n">
        <v>5230806</v>
      </c>
      <c r="D75" s="418" t="inlineStr">
        <is>
          <t>10:20-12:30</t>
        </is>
      </c>
      <c r="E75" s="418" t="inlineStr">
        <is>
          <t>潜能班</t>
        </is>
      </c>
      <c r="F75" s="418" t="inlineStr">
        <is>
          <t>戴鸿杰</t>
        </is>
      </c>
      <c r="G75" s="418" t="inlineStr">
        <is>
          <t>田雨涵01</t>
        </is>
      </c>
      <c r="H75" s="418" t="inlineStr">
        <is>
          <t>陈南05</t>
        </is>
      </c>
      <c r="I75" s="418" t="inlineStr">
        <is>
          <t>刘希子</t>
        </is>
      </c>
      <c r="J75" s="418" t="inlineStr">
        <is>
          <t>苏丽婷</t>
        </is>
      </c>
      <c r="K75" s="418" t="inlineStr">
        <is>
          <t>杨箕小学</t>
        </is>
      </c>
      <c r="L75" s="418" t="inlineStr">
        <is>
          <t>铁一</t>
        </is>
      </c>
      <c r="M75" s="412" t="inlineStr">
        <is>
          <t>还可以，有笔记，作业不需要人催；自主学习能力强</t>
        </is>
      </c>
      <c r="N75" s="412" t="inlineStr">
        <is>
          <t>做题思考方式，做题思路；关注思维能力；想让孩子多提升思维能力，多出点题</t>
        </is>
      </c>
      <c r="O75" s="412" t="inlineStr">
        <is>
          <t>没有在校外补习过，希望能提前学数学。提前适应初中学习和思维的不同，有效果会考虑长期学。目前看比较自觉，比较活泼，开朗。喜欢思维逻辑比较强的老师。喜欢思考。</t>
        </is>
      </c>
      <c r="P75" s="418" t="n">
        <v>72</v>
      </c>
      <c r="T75" s="418" t="inlineStr">
        <is>
          <t>是</t>
        </is>
      </c>
      <c r="U75" s="418" t="inlineStr">
        <is>
          <t>是</t>
        </is>
      </c>
      <c r="V75" s="418" t="inlineStr">
        <is>
          <t>是</t>
        </is>
      </c>
      <c r="W75" s="418" t="inlineStr">
        <is>
          <t>是</t>
        </is>
      </c>
      <c r="X75" s="418" t="inlineStr">
        <is>
          <t>否</t>
        </is>
      </c>
      <c r="Y75" s="418" t="inlineStr">
        <is>
          <t>否</t>
        </is>
      </c>
      <c r="Z75" s="418" t="inlineStr">
        <is>
          <t>是</t>
        </is>
      </c>
      <c r="AH75" s="22" t="n"/>
      <c r="AI75" s="374" t="inlineStr">
        <is>
          <t>是</t>
        </is>
      </c>
      <c r="AK75" s="122" t="n"/>
      <c r="AL75" s="124" t="n"/>
      <c r="AM75" s="24" t="n"/>
      <c r="AP75" s="524" t="n"/>
    </row>
    <row r="76" ht="48.75" customFormat="1" customHeight="1" s="418">
      <c r="A76" s="418" t="inlineStr">
        <is>
          <t>同创汇</t>
        </is>
      </c>
      <c r="B76" s="418" t="inlineStr">
        <is>
          <t>零期</t>
        </is>
      </c>
      <c r="C76" s="418" t="n">
        <v>5230806</v>
      </c>
      <c r="D76" s="418" t="inlineStr">
        <is>
          <t>10:20-12:30</t>
        </is>
      </c>
      <c r="E76" s="418" t="inlineStr">
        <is>
          <t>潜能班</t>
        </is>
      </c>
      <c r="F76" s="418" t="inlineStr">
        <is>
          <t>文文</t>
        </is>
      </c>
      <c r="G76" s="418" t="inlineStr">
        <is>
          <t>田雨涵01</t>
        </is>
      </c>
      <c r="H76" s="418" t="inlineStr">
        <is>
          <t>陈南05</t>
        </is>
      </c>
      <c r="I76" s="418" t="inlineStr">
        <is>
          <t>刘希子</t>
        </is>
      </c>
      <c r="J76" s="418" t="inlineStr">
        <is>
          <t>戎凯01</t>
        </is>
      </c>
      <c r="K76" s="418" t="inlineStr">
        <is>
          <t>东川路</t>
        </is>
      </c>
      <c r="L76" s="418" t="inlineStr">
        <is>
          <t>培正</t>
        </is>
      </c>
      <c r="M76" s="412" t="inlineStr">
        <is>
          <t>数学基础不太扎实，几何公式灵活运用欠缺</t>
        </is>
      </c>
      <c r="N76" s="412" t="inlineStr">
        <is>
          <t>夯实基础，改进做题习惯；孩子做题审题的思维不太好，希望能多关注关注</t>
        </is>
      </c>
      <c r="O76" s="412" t="inlineStr">
        <is>
          <t>女孩子，学习习惯一般，需要人催。有报过MK班，希望能夯实基础，改正做题习惯。周末可以考虑上课。有好奇心，但高敏感。考虑上私立学校，家里支付能力强</t>
        </is>
      </c>
      <c r="Q76" s="418" t="n">
        <v>80</v>
      </c>
      <c r="T76" s="418" t="inlineStr">
        <is>
          <t>是</t>
        </is>
      </c>
      <c r="U76" s="418" t="inlineStr">
        <is>
          <t>是</t>
        </is>
      </c>
      <c r="V76" s="418" t="inlineStr">
        <is>
          <t>是</t>
        </is>
      </c>
      <c r="W76" s="418" t="inlineStr">
        <is>
          <t>是</t>
        </is>
      </c>
      <c r="X76" s="418" t="inlineStr">
        <is>
          <t>是</t>
        </is>
      </c>
      <c r="Y76" s="418" t="inlineStr">
        <is>
          <t>否</t>
        </is>
      </c>
      <c r="Z76" s="418" t="inlineStr">
        <is>
          <t>是</t>
        </is>
      </c>
      <c r="AH76" s="22" t="n"/>
      <c r="AI76" s="374" t="inlineStr">
        <is>
          <t>是</t>
        </is>
      </c>
      <c r="AK76" s="122" t="n"/>
      <c r="AL76" s="124" t="n"/>
      <c r="AM76" s="24" t="n"/>
      <c r="AP76" s="524" t="n"/>
    </row>
    <row r="77" ht="48.75" customFormat="1" customHeight="1" s="418">
      <c r="A77" s="418" t="inlineStr">
        <is>
          <t>同创汇</t>
        </is>
      </c>
      <c r="B77" s="418" t="inlineStr">
        <is>
          <t>零期</t>
        </is>
      </c>
      <c r="C77" s="418" t="n">
        <v>5230806</v>
      </c>
      <c r="D77" s="418" t="inlineStr">
        <is>
          <t>10:20-12:30</t>
        </is>
      </c>
      <c r="E77" s="418" t="inlineStr">
        <is>
          <t>潜能班</t>
        </is>
      </c>
      <c r="F77" s="418" t="inlineStr">
        <is>
          <t>旻师</t>
        </is>
      </c>
      <c r="G77" s="418" t="inlineStr">
        <is>
          <t>田雨涵01</t>
        </is>
      </c>
      <c r="H77" s="418" t="inlineStr">
        <is>
          <t>陈南05</t>
        </is>
      </c>
      <c r="I77" s="418" t="inlineStr">
        <is>
          <t>刘希子</t>
        </is>
      </c>
      <c r="J77" s="418" t="inlineStr">
        <is>
          <t>王丽</t>
        </is>
      </c>
      <c r="K77" s="418" t="inlineStr">
        <is>
          <t>水荫路小学</t>
        </is>
      </c>
      <c r="L77" s="418" t="inlineStr">
        <is>
          <t>16中</t>
        </is>
      </c>
      <c r="M77" s="412" t="inlineStr">
        <is>
          <t>还可以，不需大人督促</t>
        </is>
      </c>
      <c r="N77" s="412" t="inlineStr">
        <is>
          <t>学习习惯纠偏，顺利过渡</t>
        </is>
      </c>
      <c r="O77" s="412" t="inlineStr">
        <is>
          <t>每次错误都在计算上，比较急。性格上偏外向，适应性较强。喜欢严格一点的老师。希望能在价值观正确的基础上，对孩子严格一些。</t>
        </is>
      </c>
      <c r="Q77" s="418" t="n">
        <v>64</v>
      </c>
      <c r="T77" s="418" t="inlineStr">
        <is>
          <t>是</t>
        </is>
      </c>
      <c r="U77" s="418" t="inlineStr">
        <is>
          <t>是</t>
        </is>
      </c>
      <c r="V77" s="418" t="inlineStr">
        <is>
          <t>是</t>
        </is>
      </c>
      <c r="W77" s="418" t="inlineStr">
        <is>
          <t>是</t>
        </is>
      </c>
      <c r="X77" s="418" t="inlineStr">
        <is>
          <t>否</t>
        </is>
      </c>
      <c r="Y77" s="418" t="inlineStr">
        <is>
          <t>是</t>
        </is>
      </c>
      <c r="Z77" s="418" t="inlineStr">
        <is>
          <t>是</t>
        </is>
      </c>
      <c r="AA77" s="418" t="inlineStr">
        <is>
          <t>是</t>
        </is>
      </c>
      <c r="AH77" s="22" t="n"/>
      <c r="AI77" s="374" t="inlineStr">
        <is>
          <t>是</t>
        </is>
      </c>
      <c r="AJ77" s="219" t="inlineStr">
        <is>
          <t>孩子在启航班有点简单了，但是妈妈觉得只要能改掉粗心的习惯，去哪个班无所谓；</t>
        </is>
      </c>
      <c r="AK77" s="122" t="n"/>
      <c r="AL77" s="124" t="n"/>
      <c r="AM77" s="24" t="n"/>
      <c r="AP77" s="524" t="n"/>
    </row>
    <row r="78" ht="48.75" customFormat="1" customHeight="1" s="418">
      <c r="A78" s="418" t="inlineStr">
        <is>
          <t>同创汇</t>
        </is>
      </c>
      <c r="B78" s="418" t="inlineStr">
        <is>
          <t>零期</t>
        </is>
      </c>
      <c r="C78" s="418" t="n">
        <v>5230806</v>
      </c>
      <c r="D78" s="418" t="inlineStr">
        <is>
          <t>10:20-12:30</t>
        </is>
      </c>
      <c r="E78" s="418" t="inlineStr">
        <is>
          <t>潜能班</t>
        </is>
      </c>
      <c r="F78" s="418" t="inlineStr">
        <is>
          <t>曾泓皓</t>
        </is>
      </c>
      <c r="G78" s="418" t="inlineStr">
        <is>
          <t>田雨涵01</t>
        </is>
      </c>
      <c r="H78" s="418" t="inlineStr">
        <is>
          <t>陈南05</t>
        </is>
      </c>
      <c r="I78" s="418" t="inlineStr">
        <is>
          <t>刘希子</t>
        </is>
      </c>
      <c r="J78" s="418" t="inlineStr">
        <is>
          <t>王丽</t>
        </is>
      </c>
      <c r="M78" s="412" t="inlineStr">
        <is>
          <t>数学比较薄弱的。然后又脸皮薄，没听懂也不敢承认。还容易注意力不集中</t>
        </is>
      </c>
      <c r="N78" s="412" t="inlineStr">
        <is>
          <t>让老师多管管，学习态度没问题</t>
        </is>
      </c>
      <c r="O78" s="412" t="inlineStr">
        <is>
          <t>读题也不认真</t>
        </is>
      </c>
      <c r="P78" s="418" t="n">
        <v>53</v>
      </c>
      <c r="T78" s="418" t="inlineStr">
        <is>
          <t>是</t>
        </is>
      </c>
      <c r="U78" s="418" t="inlineStr">
        <is>
          <t>是</t>
        </is>
      </c>
      <c r="V78" s="418" t="inlineStr">
        <is>
          <t>是</t>
        </is>
      </c>
      <c r="W78" s="418" t="inlineStr">
        <is>
          <t>是</t>
        </is>
      </c>
      <c r="X78" s="418" t="inlineStr">
        <is>
          <t>否</t>
        </is>
      </c>
      <c r="Y78" s="418" t="inlineStr">
        <is>
          <t>否</t>
        </is>
      </c>
      <c r="AH78" s="22" t="n"/>
      <c r="AI78" s="374" t="inlineStr">
        <is>
          <t>是</t>
        </is>
      </c>
      <c r="AJ78" s="822"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4" t="n"/>
    </row>
    <row r="79" ht="48.75" customFormat="1" customHeight="1" s="418">
      <c r="A79" s="418" t="inlineStr">
        <is>
          <t>同创汇</t>
        </is>
      </c>
      <c r="B79" s="418" t="inlineStr">
        <is>
          <t>零期</t>
        </is>
      </c>
      <c r="C79" s="418" t="n">
        <v>5230806</v>
      </c>
      <c r="D79" s="418" t="inlineStr">
        <is>
          <t>10:20-12:30</t>
        </is>
      </c>
      <c r="E79" s="418" t="inlineStr">
        <is>
          <t>潜能班</t>
        </is>
      </c>
      <c r="F79" s="418" t="inlineStr">
        <is>
          <t>汪泽烨</t>
        </is>
      </c>
      <c r="G79" s="418" t="inlineStr">
        <is>
          <t>田雨涵01</t>
        </is>
      </c>
      <c r="H79" s="418" t="inlineStr">
        <is>
          <t>陈南05</t>
        </is>
      </c>
      <c r="I79" s="418" t="inlineStr">
        <is>
          <t>刘希子</t>
        </is>
      </c>
      <c r="J79" s="418" t="inlineStr">
        <is>
          <t>王丽</t>
        </is>
      </c>
      <c r="M79" s="412" t="inlineStr">
        <is>
          <t>做题跳步，自主学习</t>
        </is>
      </c>
      <c r="N79" s="412" t="inlineStr">
        <is>
          <t>预习新初一，分班考</t>
        </is>
      </c>
      <c r="O79" s="412" t="inlineStr">
        <is>
          <t>听老师话，按时完成老师的任务，不会主动学习；选择填空错的多</t>
        </is>
      </c>
      <c r="Q79" s="418" t="n">
        <v>62</v>
      </c>
      <c r="T79" s="418" t="inlineStr">
        <is>
          <t>是</t>
        </is>
      </c>
      <c r="U79" s="418" t="inlineStr">
        <is>
          <t>是</t>
        </is>
      </c>
      <c r="V79" s="418" t="inlineStr">
        <is>
          <t>是</t>
        </is>
      </c>
      <c r="W79" s="418" t="inlineStr">
        <is>
          <t>是</t>
        </is>
      </c>
      <c r="X79" s="418" t="inlineStr">
        <is>
          <t>否</t>
        </is>
      </c>
      <c r="Y79" s="418" t="inlineStr">
        <is>
          <t>否</t>
        </is>
      </c>
      <c r="Z79" s="418" t="inlineStr">
        <is>
          <t>是</t>
        </is>
      </c>
      <c r="AA79" s="418" t="inlineStr">
        <is>
          <t>是</t>
        </is>
      </c>
      <c r="AH79" s="22" t="n"/>
      <c r="AI79" s="374" t="inlineStr">
        <is>
          <t>是</t>
        </is>
      </c>
      <c r="AK79" s="122" t="n"/>
      <c r="AL79" s="124" t="n"/>
      <c r="AM79" s="24" t="n"/>
      <c r="AP79" s="524" t="n"/>
    </row>
    <row r="80" ht="48.75" customFormat="1" customHeight="1" s="418">
      <c r="A80" s="418" t="inlineStr">
        <is>
          <t>同创汇</t>
        </is>
      </c>
      <c r="B80" s="418" t="inlineStr">
        <is>
          <t>零期</t>
        </is>
      </c>
      <c r="C80" s="418" t="n">
        <v>5230806</v>
      </c>
      <c r="D80" s="418" t="inlineStr">
        <is>
          <t>10:20-12:30</t>
        </is>
      </c>
      <c r="E80" s="418" t="inlineStr">
        <is>
          <t>潜能班</t>
        </is>
      </c>
      <c r="F80" s="418" t="inlineStr">
        <is>
          <t>王勃昊</t>
        </is>
      </c>
      <c r="G80" s="418" t="inlineStr">
        <is>
          <t>田雨涵01</t>
        </is>
      </c>
      <c r="J80" s="418" t="inlineStr">
        <is>
          <t>王丽</t>
        </is>
      </c>
      <c r="K80" s="418" t="inlineStr">
        <is>
          <t>黄花小学</t>
        </is>
      </c>
      <c r="L80" s="418" t="inlineStr">
        <is>
          <t>执信/省实越秀</t>
        </is>
      </c>
      <c r="M80" s="412" t="inlineStr">
        <is>
          <t>多鼓励孩子，多互动，多给正向反馈</t>
        </is>
      </c>
      <c r="N80" s="412" t="inlineStr">
        <is>
          <t>下周不在广州，但是反馈还是给孩子妈妈发</t>
        </is>
      </c>
      <c r="O80" s="412" t="inlineStr">
        <is>
          <t>性格比较内向，不太爱说话，自尊心还是很强的，取得一个好的成绩，对自己的要求也比较高。比较内耗的一个孩子</t>
        </is>
      </c>
      <c r="P80" s="418" t="n">
        <v>72</v>
      </c>
      <c r="T80" s="418" t="inlineStr">
        <is>
          <t>是</t>
        </is>
      </c>
      <c r="U80" s="418" t="inlineStr">
        <is>
          <t>是</t>
        </is>
      </c>
      <c r="V80" s="418" t="inlineStr">
        <is>
          <t>是</t>
        </is>
      </c>
      <c r="W80" s="418" t="inlineStr">
        <is>
          <t>是</t>
        </is>
      </c>
      <c r="X80" s="418" t="inlineStr">
        <is>
          <t>否</t>
        </is>
      </c>
      <c r="Y80" s="418" t="inlineStr">
        <is>
          <t>否</t>
        </is>
      </c>
      <c r="AH80" s="22" t="n"/>
      <c r="AI80" s="374" t="inlineStr">
        <is>
          <t>否</t>
        </is>
      </c>
      <c r="AJ80" s="418" t="inlineStr">
        <is>
          <t>家长不在孩子身边，在广州，聊不出来啥</t>
        </is>
      </c>
      <c r="AK80" s="122" t="n"/>
      <c r="AL80" s="124" t="n"/>
      <c r="AM80" s="24" t="n"/>
      <c r="AP80" s="524" t="n"/>
    </row>
    <row r="81" ht="48.75" customFormat="1" customHeight="1" s="418">
      <c r="A81" s="418" t="inlineStr">
        <is>
          <t>同创汇</t>
        </is>
      </c>
      <c r="B81" s="418" t="inlineStr">
        <is>
          <t>零期</t>
        </is>
      </c>
      <c r="C81" s="418" t="n">
        <v>5230806</v>
      </c>
      <c r="D81" s="418" t="inlineStr">
        <is>
          <t>10:20-12:30</t>
        </is>
      </c>
      <c r="E81" s="418" t="inlineStr">
        <is>
          <t>潜能班</t>
        </is>
      </c>
      <c r="F81" s="418" t="inlineStr">
        <is>
          <t>赖展辉</t>
        </is>
      </c>
      <c r="G81" s="418" t="inlineStr">
        <is>
          <t>田雨涵01</t>
        </is>
      </c>
      <c r="H81" s="418" t="inlineStr">
        <is>
          <t>陈南05</t>
        </is>
      </c>
      <c r="I81" s="418" t="inlineStr">
        <is>
          <t>刘希子</t>
        </is>
      </c>
      <c r="J81" s="418" t="inlineStr">
        <is>
          <t>王丽</t>
        </is>
      </c>
      <c r="K81" s="418" t="inlineStr">
        <is>
          <t>金碧新城小学</t>
        </is>
      </c>
      <c r="L81" s="823" t="inlineStr">
        <is>
          <t>培文
外国语</t>
        </is>
      </c>
      <c r="M81" s="412" t="inlineStr">
        <is>
          <t>不自觉，比较懒，抓习惯，让孩子喜欢</t>
        </is>
      </c>
      <c r="N81" s="412" t="inlineStr">
        <is>
          <t>衔接新初一</t>
        </is>
      </c>
      <c r="O81" s="412" t="inlineStr">
        <is>
          <t>家住在白云，明确秋季不会续报，只报名寒暑假，之前没有过补习班。</t>
        </is>
      </c>
      <c r="P81" s="418" t="n">
        <v>72</v>
      </c>
      <c r="T81" s="418" t="inlineStr">
        <is>
          <t>是</t>
        </is>
      </c>
      <c r="U81" s="418" t="inlineStr">
        <is>
          <t>是</t>
        </is>
      </c>
      <c r="V81" s="418" t="inlineStr">
        <is>
          <t>是</t>
        </is>
      </c>
      <c r="W81" s="418" t="inlineStr">
        <is>
          <t>是</t>
        </is>
      </c>
      <c r="X81" s="418" t="inlineStr">
        <is>
          <t>是</t>
        </is>
      </c>
      <c r="Y81" s="418" t="inlineStr">
        <is>
          <t>是</t>
        </is>
      </c>
      <c r="Z81" s="418" t="inlineStr">
        <is>
          <t>是</t>
        </is>
      </c>
      <c r="AA81" s="418" t="inlineStr">
        <is>
          <t>是</t>
        </is>
      </c>
      <c r="AH81" s="22" t="n"/>
      <c r="AI81" s="374" t="inlineStr">
        <is>
          <t>是</t>
        </is>
      </c>
      <c r="AJ81" s="824" t="inlineStr">
        <is>
          <t>孩子没补过课，只是说感觉还好，上课注意力不够集中；后面放前面，多关注关注；
在白云上学</t>
        </is>
      </c>
      <c r="AK81" s="122" t="n"/>
      <c r="AL81" s="124" t="n"/>
      <c r="AM81" s="24" t="n"/>
      <c r="AP81" s="524" t="n"/>
    </row>
    <row r="82" ht="48.75" customFormat="1" customHeight="1" s="418">
      <c r="A82" s="418" t="inlineStr">
        <is>
          <t>同创汇</t>
        </is>
      </c>
      <c r="B82" s="418" t="inlineStr">
        <is>
          <t>零期</t>
        </is>
      </c>
      <c r="C82" s="418" t="n">
        <v>5230806</v>
      </c>
      <c r="D82" s="418" t="inlineStr">
        <is>
          <t>10:20-12:30</t>
        </is>
      </c>
      <c r="E82" s="418" t="inlineStr">
        <is>
          <t>潜能班</t>
        </is>
      </c>
      <c r="F82" s="418" t="inlineStr">
        <is>
          <t>邢婧萱</t>
        </is>
      </c>
      <c r="G82" s="418" t="inlineStr">
        <is>
          <t>田雨涵01</t>
        </is>
      </c>
      <c r="H82" s="418" t="inlineStr">
        <is>
          <t>黄铭怡</t>
        </is>
      </c>
      <c r="I82" s="418" t="inlineStr">
        <is>
          <t>刘希子</t>
        </is>
      </c>
      <c r="J82" s="418" t="inlineStr">
        <is>
          <t>苏丽婷</t>
        </is>
      </c>
      <c r="K82" s="418" t="inlineStr">
        <is>
          <t>永耀北</t>
        </is>
      </c>
      <c r="L82" s="418" t="inlineStr">
        <is>
          <t>13中</t>
        </is>
      </c>
      <c r="M82" s="412" t="inlineStr">
        <is>
          <t>自主性较差，注意一下他走神的问题，可能就是他的进度。会稍微不比较难跟上</t>
        </is>
      </c>
      <c r="N82" s="412" t="inlineStr">
        <is>
          <t>入学考的时候成绩有提升，看新初一的分班考准备。但孩子的主动学习能力希望能有提升</t>
        </is>
      </c>
      <c r="O82" s="412" t="inlineStr">
        <is>
          <t>大学生家教做作业辅导，希望能在入学考试的时候进入次重点，考点新初一和小学都有。性格偏内向。希望老师注意她有没有走神，喜欢画画，接受比较慢。</t>
        </is>
      </c>
      <c r="Q82" s="418" t="n">
        <v>50</v>
      </c>
      <c r="T82" s="418" t="inlineStr">
        <is>
          <t>是</t>
        </is>
      </c>
      <c r="U82" s="418" t="inlineStr">
        <is>
          <t>是</t>
        </is>
      </c>
      <c r="V82" s="418" t="inlineStr">
        <is>
          <t>是</t>
        </is>
      </c>
      <c r="W82" s="418" t="inlineStr">
        <is>
          <t>是</t>
        </is>
      </c>
      <c r="X82" s="418" t="inlineStr">
        <is>
          <t>是</t>
        </is>
      </c>
      <c r="Y82" s="418" t="inlineStr">
        <is>
          <t>否</t>
        </is>
      </c>
      <c r="AH82" s="22" t="n"/>
      <c r="AI82" s="374" t="inlineStr">
        <is>
          <t>是</t>
        </is>
      </c>
      <c r="AK82" s="122" t="n"/>
      <c r="AL82" s="124" t="n"/>
      <c r="AM82" s="24" t="n"/>
      <c r="AP82" s="524" t="n"/>
    </row>
    <row r="83" ht="48.75" customFormat="1" customHeight="1" s="418">
      <c r="A83" s="418" t="inlineStr">
        <is>
          <t>同创汇</t>
        </is>
      </c>
      <c r="B83" s="418" t="inlineStr">
        <is>
          <t>零期</t>
        </is>
      </c>
      <c r="C83" s="418" t="n">
        <v>5230806</v>
      </c>
      <c r="D83" s="418" t="inlineStr">
        <is>
          <t>10:20-12:30</t>
        </is>
      </c>
      <c r="E83" s="418" t="inlineStr">
        <is>
          <t>潜能班</t>
        </is>
      </c>
      <c r="F83" s="418" t="inlineStr">
        <is>
          <t>邱兆臻</t>
        </is>
      </c>
      <c r="G83" s="418" t="inlineStr">
        <is>
          <t>田雨涵01</t>
        </is>
      </c>
      <c r="H83" s="418" t="inlineStr">
        <is>
          <t>黄铭怡</t>
        </is>
      </c>
      <c r="I83" s="418" t="inlineStr">
        <is>
          <t>刘希子</t>
        </is>
      </c>
      <c r="J83" s="418" t="inlineStr">
        <is>
          <t>王丽</t>
        </is>
      </c>
      <c r="K83" s="418" t="inlineStr">
        <is>
          <t>培正</t>
        </is>
      </c>
      <c r="L83" s="418" t="inlineStr">
        <is>
          <t>培正</t>
        </is>
      </c>
      <c r="M83" s="412" t="inlineStr">
        <is>
          <t>老师要求会落实，有自己的错题本；家长的脾气很古怪，拒绝沟通，对换师很介意，刚开始就想在中帅的班</t>
        </is>
      </c>
      <c r="N83" s="412" t="inlineStr">
        <is>
          <t>小升初的衔接问题</t>
        </is>
      </c>
      <c r="O83" s="412" t="inlineStr">
        <is>
          <t>希望孩子解决基础问题，之前线下老生。有考虑秋季继续。</t>
        </is>
      </c>
      <c r="Q83" s="418" t="n">
        <v>50</v>
      </c>
      <c r="T83" s="418" t="inlineStr">
        <is>
          <t>是</t>
        </is>
      </c>
      <c r="U83" s="418" t="inlineStr">
        <is>
          <t>否</t>
        </is>
      </c>
      <c r="V83" s="418" t="inlineStr">
        <is>
          <t>是</t>
        </is>
      </c>
      <c r="W83" s="418" t="inlineStr">
        <is>
          <t>是</t>
        </is>
      </c>
      <c r="X83" s="418" t="inlineStr">
        <is>
          <t>是</t>
        </is>
      </c>
      <c r="Y83" s="418" t="inlineStr">
        <is>
          <t>是</t>
        </is>
      </c>
      <c r="Z83" s="418" t="inlineStr">
        <is>
          <t>否</t>
        </is>
      </c>
      <c r="AA83" s="418" t="inlineStr">
        <is>
          <t>是</t>
        </is>
      </c>
      <c r="AH83" s="22" t="n"/>
      <c r="AI83" s="374" t="inlineStr">
        <is>
          <t>是</t>
        </is>
      </c>
      <c r="AK83" s="122" t="n"/>
      <c r="AL83" s="124" t="n"/>
      <c r="AM83" s="24" t="n"/>
      <c r="AP83" s="524" t="n"/>
    </row>
    <row r="84" ht="48.75" customFormat="1" customHeight="1" s="418">
      <c r="A84" s="418" t="inlineStr">
        <is>
          <t>同创汇</t>
        </is>
      </c>
      <c r="B84" s="418" t="inlineStr">
        <is>
          <t>零期</t>
        </is>
      </c>
      <c r="C84" s="418" t="n">
        <v>5230806</v>
      </c>
      <c r="D84" s="418" t="inlineStr">
        <is>
          <t>10:20-12:30</t>
        </is>
      </c>
      <c r="E84" s="418" t="inlineStr">
        <is>
          <t>潜能班</t>
        </is>
      </c>
      <c r="F84" s="418" t="inlineStr">
        <is>
          <t>陈一依</t>
        </is>
      </c>
      <c r="G84" s="418" t="inlineStr">
        <is>
          <t>田雨涵01</t>
        </is>
      </c>
      <c r="I84" s="418" t="inlineStr">
        <is>
          <t>高心怡04</t>
        </is>
      </c>
      <c r="J84" s="418" t="inlineStr">
        <is>
          <t>王丽</t>
        </is>
      </c>
      <c r="K84" s="418" t="inlineStr">
        <is>
          <t>铁一</t>
        </is>
      </c>
      <c r="L84" s="418" t="inlineStr">
        <is>
          <t>7中</t>
        </is>
      </c>
      <c r="M84" s="412" t="inlineStr">
        <is>
          <t>不太自律，需要大人提醒</t>
        </is>
      </c>
      <c r="N84" s="412" t="inlineStr">
        <is>
          <t>希望题目理解和计算上提高</t>
        </is>
      </c>
      <c r="O84" s="412" t="inlineStr">
        <is>
          <t>孩子性格外向，孩子。笔记比较乱，希望在初一的时候不那么吃力。比较在意班级氛围。觉得老师都挺好的。</t>
        </is>
      </c>
      <c r="Q84" s="418" t="n">
        <v>35</v>
      </c>
      <c r="T84" s="418" t="inlineStr">
        <is>
          <t>是</t>
        </is>
      </c>
      <c r="U84" s="418" t="inlineStr">
        <is>
          <t>是</t>
        </is>
      </c>
      <c r="V84" s="418" t="inlineStr">
        <is>
          <t>是</t>
        </is>
      </c>
      <c r="W84" s="418" t="inlineStr">
        <is>
          <t>是</t>
        </is>
      </c>
      <c r="X84" s="418" t="inlineStr">
        <is>
          <t>是</t>
        </is>
      </c>
      <c r="Y84" s="418" t="inlineStr">
        <is>
          <t>否</t>
        </is>
      </c>
      <c r="Z84" s="418" t="inlineStr">
        <is>
          <t>是</t>
        </is>
      </c>
      <c r="AH84" s="22" t="inlineStr">
        <is>
          <t>是</t>
        </is>
      </c>
      <c r="AI84" s="374" t="inlineStr">
        <is>
          <t>是</t>
        </is>
      </c>
      <c r="AJ84" s="418" t="inlineStr">
        <is>
          <t>孩子挺不错的，家长也很配合，孩子很喜欢数学课也喜欢老师的风格</t>
        </is>
      </c>
      <c r="AK84" s="122" t="n"/>
      <c r="AL84" s="124" t="n"/>
      <c r="AM84" s="24" t="n"/>
      <c r="AP84" s="524" t="n"/>
    </row>
    <row r="85" ht="48.75" customFormat="1" customHeight="1" s="418">
      <c r="A85" s="418" t="inlineStr">
        <is>
          <t>同创汇</t>
        </is>
      </c>
      <c r="B85" s="418" t="inlineStr">
        <is>
          <t>零期</t>
        </is>
      </c>
      <c r="C85" s="418" t="n">
        <v>5230806</v>
      </c>
      <c r="D85" s="418" t="inlineStr">
        <is>
          <t>10:20-12:30</t>
        </is>
      </c>
      <c r="E85" s="418" t="inlineStr">
        <is>
          <t>潜能班</t>
        </is>
      </c>
      <c r="F85" s="418" t="inlineStr">
        <is>
          <t>黄亦君</t>
        </is>
      </c>
      <c r="G85" s="418" t="inlineStr">
        <is>
          <t>田雨涵01</t>
        </is>
      </c>
      <c r="H85" s="418" t="inlineStr">
        <is>
          <t>陈南05</t>
        </is>
      </c>
      <c r="I85" s="418" t="inlineStr">
        <is>
          <t>刘希子</t>
        </is>
      </c>
      <c r="J85" s="418" t="inlineStr">
        <is>
          <t>戎凯01</t>
        </is>
      </c>
      <c r="K85" s="418" t="inlineStr">
        <is>
          <t>东风东</t>
        </is>
      </c>
      <c r="L85" s="418" t="inlineStr">
        <is>
          <t>执信</t>
        </is>
      </c>
      <c r="M85" s="412" t="inlineStr">
        <is>
          <t>还可以</t>
        </is>
      </c>
      <c r="N85" s="412" t="inlineStr">
        <is>
          <t>保持学习的热爱和兴趣</t>
        </is>
      </c>
      <c r="O85" s="412" t="inlineStr">
        <is>
          <t>学习习惯较好，能反思能订正，但精力不足，周边有在读。认可我的上课情况和互动认可。和黄若桐是双胞胎</t>
        </is>
      </c>
      <c r="P85" s="418" t="n">
        <v>85</v>
      </c>
      <c r="T85" s="418" t="inlineStr">
        <is>
          <t>是</t>
        </is>
      </c>
      <c r="V85" s="418" t="inlineStr">
        <is>
          <t>是</t>
        </is>
      </c>
      <c r="W85" s="418" t="inlineStr">
        <is>
          <t>是</t>
        </is>
      </c>
      <c r="X85" s="418" t="inlineStr">
        <is>
          <t>是</t>
        </is>
      </c>
      <c r="Y85" s="418" t="inlineStr">
        <is>
          <t>是</t>
        </is>
      </c>
      <c r="Z85" s="418" t="inlineStr">
        <is>
          <t>是</t>
        </is>
      </c>
      <c r="AH85" s="22" t="n"/>
      <c r="AI85" s="374" t="n"/>
      <c r="AK85" s="122" t="n"/>
      <c r="AL85" s="124" t="n"/>
      <c r="AM85" s="24" t="n"/>
      <c r="AP85" s="524" t="n"/>
    </row>
    <row r="86" ht="48.75" customFormat="1" customHeight="1" s="418">
      <c r="A86" s="418" t="inlineStr">
        <is>
          <t>同创汇</t>
        </is>
      </c>
      <c r="B86" s="418" t="inlineStr">
        <is>
          <t>零期</t>
        </is>
      </c>
      <c r="C86" s="418" t="n">
        <v>5230806</v>
      </c>
      <c r="D86" s="418" t="inlineStr">
        <is>
          <t>10:20-12:30</t>
        </is>
      </c>
      <c r="E86" s="418" t="inlineStr">
        <is>
          <t>潜能班</t>
        </is>
      </c>
      <c r="F86" s="418" t="inlineStr">
        <is>
          <t>黄思睿</t>
        </is>
      </c>
      <c r="G86" s="418" t="inlineStr">
        <is>
          <t>田雨涵01</t>
        </is>
      </c>
      <c r="H86" s="418" t="inlineStr">
        <is>
          <t>陈南05</t>
        </is>
      </c>
      <c r="I86" s="418" t="inlineStr">
        <is>
          <t>刘希子</t>
        </is>
      </c>
      <c r="J86" s="418" t="inlineStr">
        <is>
          <t>戎凯01</t>
        </is>
      </c>
      <c r="K86" s="418" t="inlineStr">
        <is>
          <t>东风东</t>
        </is>
      </c>
      <c r="L86" s="418" t="inlineStr">
        <is>
          <t>执信/省实越秀</t>
        </is>
      </c>
      <c r="M86" s="412" t="inlineStr">
        <is>
          <t>不需要监督，有主动性</t>
        </is>
      </c>
      <c r="N86" s="412" t="inlineStr">
        <is>
          <t>过渡一下新初一的知识</t>
        </is>
      </c>
      <c r="O86" s="825" t="inlineStr">
        <is>
          <t>有学习主动性，但变通和灵活性不够。MK过后就停了辅导班，会考虑让她学。有同时报3个暑假机构数学，在比较。孩子性格内向，不敢问，接受程度表慢。
数学思维比较薄弱</t>
        </is>
      </c>
      <c r="Q86" s="418" t="n">
        <v>55</v>
      </c>
      <c r="T86" s="418" t="inlineStr">
        <is>
          <t>是</t>
        </is>
      </c>
      <c r="U86" s="418" t="inlineStr">
        <is>
          <t>是</t>
        </is>
      </c>
      <c r="V86" s="418" t="inlineStr">
        <is>
          <t>是</t>
        </is>
      </c>
      <c r="W86" s="418" t="inlineStr">
        <is>
          <t>是</t>
        </is>
      </c>
      <c r="X86" s="418" t="inlineStr">
        <is>
          <t>是</t>
        </is>
      </c>
      <c r="Y86" s="418" t="inlineStr">
        <is>
          <t>是</t>
        </is>
      </c>
      <c r="Z86" s="418" t="inlineStr">
        <is>
          <t>是</t>
        </is>
      </c>
      <c r="AH86" s="22" t="n"/>
      <c r="AI86" s="374" t="inlineStr">
        <is>
          <t>否</t>
        </is>
      </c>
      <c r="AK86" s="122" t="n"/>
      <c r="AL86" s="124" t="n"/>
      <c r="AM86" s="24" t="n"/>
      <c r="AP86" s="524" t="n"/>
    </row>
    <row r="87" ht="48.75" customFormat="1" customHeight="1" s="418">
      <c r="A87" s="418" t="inlineStr">
        <is>
          <t>同创汇</t>
        </is>
      </c>
      <c r="B87" s="418" t="inlineStr">
        <is>
          <t>零期</t>
        </is>
      </c>
      <c r="C87" s="418" t="n">
        <v>5230806</v>
      </c>
      <c r="D87" s="418" t="inlineStr">
        <is>
          <t>10:20-12:30</t>
        </is>
      </c>
      <c r="E87" s="418" t="inlineStr">
        <is>
          <t>潜能班</t>
        </is>
      </c>
      <c r="F87" s="418" t="inlineStr">
        <is>
          <t>黄若桐</t>
        </is>
      </c>
      <c r="G87" s="418" t="inlineStr">
        <is>
          <t>田雨涵01</t>
        </is>
      </c>
      <c r="H87" s="418" t="inlineStr">
        <is>
          <t>陈南05</t>
        </is>
      </c>
      <c r="I87" s="418" t="inlineStr">
        <is>
          <t>刘希子</t>
        </is>
      </c>
      <c r="J87" s="418" t="inlineStr">
        <is>
          <t>戎凯01</t>
        </is>
      </c>
      <c r="K87" s="418" t="inlineStr">
        <is>
          <t>东风东</t>
        </is>
      </c>
      <c r="L87" s="418" t="inlineStr">
        <is>
          <t>执信</t>
        </is>
      </c>
      <c r="M87" s="412" t="inlineStr">
        <is>
          <t>一般</t>
        </is>
      </c>
      <c r="N87" s="412" t="inlineStr">
        <is>
          <t>保持学习的热爱和兴趣</t>
        </is>
      </c>
      <c r="O87" s="412" t="inlineStr">
        <is>
          <t>学习习惯较好，能反思能订正，但精力不足，周边有在读。认可我的上课情况和互动认可。和黄亦君是双胞胎</t>
        </is>
      </c>
      <c r="P87" s="418" t="n">
        <v>72</v>
      </c>
      <c r="T87" s="418" t="inlineStr">
        <is>
          <t>是</t>
        </is>
      </c>
      <c r="V87" s="418" t="inlineStr">
        <is>
          <t>是</t>
        </is>
      </c>
      <c r="W87" s="418" t="inlineStr">
        <is>
          <t>是</t>
        </is>
      </c>
      <c r="X87" s="418" t="inlineStr">
        <is>
          <t>是</t>
        </is>
      </c>
      <c r="Y87" s="418" t="inlineStr">
        <is>
          <t>否</t>
        </is>
      </c>
      <c r="AH87" s="22" t="n"/>
      <c r="AI87" s="374" t="n"/>
      <c r="AK87" s="122" t="n"/>
      <c r="AL87" s="124" t="n"/>
      <c r="AM87" s="24" t="n"/>
      <c r="AP87" s="524" t="n"/>
    </row>
    <row r="88" ht="48.75" customFormat="1" customHeight="1" s="418">
      <c r="A88" s="418" t="inlineStr">
        <is>
          <t>同创汇</t>
        </is>
      </c>
      <c r="B88" s="418" t="inlineStr">
        <is>
          <t>零期</t>
        </is>
      </c>
      <c r="C88" s="418" t="n">
        <v>5230806</v>
      </c>
      <c r="D88" s="418" t="inlineStr">
        <is>
          <t>10:20-12:30</t>
        </is>
      </c>
      <c r="E88" s="418" t="inlineStr">
        <is>
          <t>潜能班</t>
        </is>
      </c>
      <c r="F88" s="418" t="inlineStr">
        <is>
          <t>黎晶晶</t>
        </is>
      </c>
      <c r="G88" s="418" t="inlineStr">
        <is>
          <t>田雨涵01</t>
        </is>
      </c>
      <c r="H88" s="418" t="inlineStr">
        <is>
          <t>陈南05</t>
        </is>
      </c>
      <c r="I88" s="418" t="inlineStr">
        <is>
          <t>刘希子</t>
        </is>
      </c>
      <c r="J88" s="418" t="inlineStr">
        <is>
          <t>王丽</t>
        </is>
      </c>
      <c r="K88" s="418" t="inlineStr">
        <is>
          <t>农小</t>
        </is>
      </c>
      <c r="M88" s="412" t="inlineStr">
        <is>
          <t>马虎，没有奥数基础</t>
        </is>
      </c>
      <c r="N88" s="412" t="inlineStr">
        <is>
          <t>熟悉新初一知识</t>
        </is>
      </c>
      <c r="O88" s="412" t="inlineStr">
        <is>
          <t>姐姐，和莹莹双胞胎，已加微信，且线下小灶已完成。家庭支付能力差。</t>
        </is>
      </c>
      <c r="Q88" s="418" t="n">
        <v>45</v>
      </c>
      <c r="T88" s="418" t="inlineStr">
        <is>
          <t>是</t>
        </is>
      </c>
      <c r="U88" s="418" t="inlineStr">
        <is>
          <t>是</t>
        </is>
      </c>
      <c r="V88" s="418" t="inlineStr">
        <is>
          <t>是</t>
        </is>
      </c>
      <c r="W88" s="418" t="inlineStr">
        <is>
          <t>是</t>
        </is>
      </c>
      <c r="X88" s="418" t="inlineStr">
        <is>
          <t>是</t>
        </is>
      </c>
      <c r="Y88" s="418" t="inlineStr">
        <is>
          <t>是</t>
        </is>
      </c>
      <c r="Z88" s="418" t="inlineStr">
        <is>
          <t>是</t>
        </is>
      </c>
      <c r="AA88" s="418" t="inlineStr">
        <is>
          <t>是</t>
        </is>
      </c>
      <c r="AH88" s="22" t="n"/>
      <c r="AI88" s="374" t="inlineStr">
        <is>
          <t>是</t>
        </is>
      </c>
      <c r="AK88" s="122" t="n"/>
      <c r="AL88" s="374" t="n"/>
      <c r="AM88" s="24" t="n"/>
      <c r="AP88" s="524" t="n"/>
    </row>
    <row r="89" ht="48.75" customFormat="1" customHeight="1" s="418">
      <c r="A89" s="418" t="inlineStr">
        <is>
          <t>同创汇</t>
        </is>
      </c>
      <c r="B89" s="418" t="inlineStr">
        <is>
          <t>零期</t>
        </is>
      </c>
      <c r="C89" s="418" t="n">
        <v>5230806</v>
      </c>
      <c r="D89" s="418" t="inlineStr">
        <is>
          <t>10:20-12:30</t>
        </is>
      </c>
      <c r="E89" s="418" t="inlineStr">
        <is>
          <t>潜能班</t>
        </is>
      </c>
      <c r="F89" s="418" t="inlineStr">
        <is>
          <t>黎莹莹</t>
        </is>
      </c>
      <c r="G89" s="418" t="inlineStr">
        <is>
          <t>田雨涵01</t>
        </is>
      </c>
      <c r="H89" s="418" t="inlineStr">
        <is>
          <t>陈南05</t>
        </is>
      </c>
      <c r="I89" s="418" t="inlineStr">
        <is>
          <t>刘希子</t>
        </is>
      </c>
      <c r="J89" s="418" t="inlineStr">
        <is>
          <t>王丽</t>
        </is>
      </c>
      <c r="K89" s="418" t="inlineStr">
        <is>
          <t>农小</t>
        </is>
      </c>
      <c r="M89" s="412" t="inlineStr">
        <is>
          <t>一般，较敷衍</t>
        </is>
      </c>
      <c r="N89" s="412" t="inlineStr">
        <is>
          <t>熟悉新初一知识</t>
        </is>
      </c>
      <c r="O89" s="412" t="inlineStr">
        <is>
          <t>妹妹，和晶晶是双胞胎，已加微信，且线下小灶已完成。家庭支付能力差。</t>
        </is>
      </c>
      <c r="Q89" s="418" t="n">
        <v>55</v>
      </c>
      <c r="T89" s="418" t="inlineStr">
        <is>
          <t>是</t>
        </is>
      </c>
      <c r="U89" s="418" t="inlineStr">
        <is>
          <t>是</t>
        </is>
      </c>
      <c r="V89" s="418" t="inlineStr">
        <is>
          <t>是</t>
        </is>
      </c>
      <c r="W89" s="418" t="inlineStr">
        <is>
          <t>是</t>
        </is>
      </c>
      <c r="X89" s="418" t="inlineStr">
        <is>
          <t>是</t>
        </is>
      </c>
      <c r="Y89" s="418" t="inlineStr">
        <is>
          <t>是</t>
        </is>
      </c>
      <c r="Z89" s="418" t="inlineStr">
        <is>
          <t>是</t>
        </is>
      </c>
      <c r="AA89" s="418" t="inlineStr">
        <is>
          <t>是</t>
        </is>
      </c>
      <c r="AH89" s="22" t="n"/>
      <c r="AI89" s="374" t="inlineStr">
        <is>
          <t>是</t>
        </is>
      </c>
      <c r="AK89" s="122" t="n"/>
      <c r="AL89" s="374" t="n"/>
      <c r="AM89" s="24" t="n"/>
      <c r="AP89" s="524" t="n"/>
    </row>
    <row r="90" ht="48.75" customFormat="1" customHeight="1" s="408">
      <c r="A90" s="418" t="inlineStr">
        <is>
          <t>同创汇</t>
        </is>
      </c>
      <c r="B90" s="418" t="inlineStr">
        <is>
          <t>零期</t>
        </is>
      </c>
      <c r="C90" s="418" t="n">
        <v>5230806</v>
      </c>
      <c r="D90" s="418" t="inlineStr">
        <is>
          <t>10:20-12:30</t>
        </is>
      </c>
      <c r="E90" s="418" t="inlineStr">
        <is>
          <t>潜能班</t>
        </is>
      </c>
      <c r="F90" s="418" t="inlineStr">
        <is>
          <t>兰美熙</t>
        </is>
      </c>
      <c r="G90" s="418" t="inlineStr">
        <is>
          <t>田雨涵01</t>
        </is>
      </c>
      <c r="H90" s="408" t="inlineStr">
        <is>
          <t>陈南05</t>
        </is>
      </c>
      <c r="I90" s="418" t="inlineStr">
        <is>
          <t>刘希子</t>
        </is>
      </c>
      <c r="J90" s="377" t="inlineStr">
        <is>
          <t>张敏烨</t>
        </is>
      </c>
      <c r="L90" s="418" t="inlineStr">
        <is>
          <t>三中</t>
        </is>
      </c>
      <c r="M90" s="416" t="inlineStr">
        <is>
          <t>学习习惯还可以女孩子嘛，就是思维不太行</t>
        </is>
      </c>
      <c r="N90" s="416" t="inlineStr">
        <is>
          <t>怕学校也有摸底考试，所以想要提前学一下</t>
        </is>
      </c>
      <c r="O90" s="416" t="inlineStr">
        <is>
          <t>数学成绩会稍微薄弱一点，他的以往的成绩可能都在80多左右吧</t>
        </is>
      </c>
      <c r="T90" s="418" t="inlineStr">
        <is>
          <t>是</t>
        </is>
      </c>
      <c r="U90" s="418" t="inlineStr">
        <is>
          <t>是</t>
        </is>
      </c>
      <c r="V90" s="418" t="inlineStr">
        <is>
          <t>是</t>
        </is>
      </c>
      <c r="W90" s="418" t="inlineStr">
        <is>
          <t>是</t>
        </is>
      </c>
      <c r="X90" s="418" t="inlineStr">
        <is>
          <t>否</t>
        </is>
      </c>
      <c r="Y90" s="418" t="inlineStr">
        <is>
          <t>否</t>
        </is>
      </c>
      <c r="AA90" s="418" t="n"/>
      <c r="AH90" s="23" t="n"/>
      <c r="AI90" s="374" t="inlineStr">
        <is>
          <t>是</t>
        </is>
      </c>
      <c r="AJ90" s="408" t="inlineStr">
        <is>
          <t>多关注一下孩子，多表扬；</t>
        </is>
      </c>
      <c r="AK90" s="122" t="n"/>
      <c r="AL90" s="374" t="n"/>
      <c r="AM90" s="26" t="n"/>
      <c r="AP90" s="524" t="n"/>
    </row>
    <row r="91" ht="48.75" customFormat="1" customHeight="1" s="342">
      <c r="A91" s="419" t="inlineStr">
        <is>
          <t>同创汇</t>
        </is>
      </c>
      <c r="B91" s="419" t="inlineStr">
        <is>
          <t>一期</t>
        </is>
      </c>
      <c r="C91" s="374" t="n">
        <v>5230802</v>
      </c>
      <c r="D91" s="419" t="inlineStr">
        <is>
          <t>10:20-12:30</t>
        </is>
      </c>
      <c r="E91" s="419" t="inlineStr">
        <is>
          <t>潜能班</t>
        </is>
      </c>
      <c r="F91" s="419" t="inlineStr">
        <is>
          <t>高雅萱</t>
        </is>
      </c>
      <c r="G91" s="419" t="inlineStr">
        <is>
          <t>陈中帅</t>
        </is>
      </c>
      <c r="H91" s="419" t="inlineStr">
        <is>
          <t>李润</t>
        </is>
      </c>
      <c r="I91" s="419" t="inlineStr">
        <is>
          <t>高心怡04</t>
        </is>
      </c>
      <c r="J91" s="419" t="inlineStr">
        <is>
          <t>王丽</t>
        </is>
      </c>
      <c r="K91" s="380" t="n"/>
      <c r="L91" s="380" t="n"/>
      <c r="M91" s="380" t="n"/>
      <c r="N91" s="419" t="n"/>
      <c r="O91" s="419" t="n"/>
      <c r="P91" s="419" t="n"/>
      <c r="Q91" s="419" t="n">
        <v>65</v>
      </c>
      <c r="R91" s="419" t="n"/>
      <c r="S91" s="419" t="n"/>
      <c r="T91" s="418" t="inlineStr">
        <is>
          <t>是</t>
        </is>
      </c>
      <c r="U91" s="418" t="inlineStr">
        <is>
          <t>是</t>
        </is>
      </c>
      <c r="V91" s="418" t="inlineStr">
        <is>
          <t>否</t>
        </is>
      </c>
      <c r="W91" s="418" t="inlineStr">
        <is>
          <t>否</t>
        </is>
      </c>
      <c r="X91" s="418" t="inlineStr">
        <is>
          <t>是</t>
        </is>
      </c>
      <c r="Y91" s="418" t="inlineStr">
        <is>
          <t>是</t>
        </is>
      </c>
      <c r="Z91" s="419" t="n"/>
      <c r="AA91" s="419" t="n"/>
      <c r="AB91" s="419" t="n"/>
      <c r="AC91" s="419" t="n"/>
      <c r="AD91" s="419" t="n"/>
      <c r="AE91" s="419" t="n"/>
      <c r="AF91" s="419" t="n"/>
      <c r="AG91" s="380" t="n"/>
      <c r="AH91" s="419" t="n"/>
      <c r="AJ91" s="374" t="n"/>
    </row>
    <row r="92" ht="26.25" customHeight="1" s="1053">
      <c r="M92" s="319" t="n"/>
      <c r="N92" s="319" t="n"/>
      <c r="O92" s="319" t="n"/>
      <c r="AI92" s="319" t="n"/>
      <c r="AJ92" s="319" t="n"/>
      <c r="AL92" s="319" t="n"/>
    </row>
    <row r="93" ht="26.25" customHeight="1" s="1053">
      <c r="M93" s="319" t="n"/>
      <c r="N93" s="319" t="n"/>
      <c r="O93" s="319" t="n"/>
      <c r="AI93" s="319" t="n"/>
      <c r="AJ93" s="319" t="n"/>
      <c r="AL93" s="319" t="n"/>
    </row>
    <row r="94" ht="26.25" customHeight="1" s="1053">
      <c r="M94" s="319" t="n"/>
      <c r="N94" s="319" t="n"/>
      <c r="O94" s="319" t="n"/>
      <c r="AI94" s="319" t="n"/>
      <c r="AJ94" s="319" t="n"/>
      <c r="AL94" s="319" t="n"/>
    </row>
    <row r="95" ht="26.25" customHeight="1" s="1053">
      <c r="M95" s="319" t="n"/>
      <c r="N95" s="319" t="n"/>
      <c r="O95" s="319" t="n"/>
      <c r="AI95" s="319" t="n"/>
      <c r="AJ95" s="319" t="n"/>
      <c r="AL95" s="319" t="n"/>
    </row>
    <row r="96" ht="26.25" customHeight="1" s="1053">
      <c r="M96" s="319" t="n"/>
      <c r="N96" s="319" t="n"/>
      <c r="O96" s="319" t="n"/>
      <c r="AI96" s="319" t="n"/>
      <c r="AJ96" s="319" t="n"/>
      <c r="AL96" s="319" t="n"/>
    </row>
    <row r="97" ht="26.25" customHeight="1" s="1053">
      <c r="M97" s="319" t="n"/>
      <c r="N97" s="319" t="n"/>
      <c r="O97" s="319" t="n"/>
      <c r="AI97" s="319" t="n"/>
      <c r="AJ97" s="319" t="n"/>
      <c r="AL97" s="319" t="n"/>
    </row>
    <row r="98" ht="26.25" customHeight="1" s="1053">
      <c r="M98" s="319" t="n"/>
      <c r="N98" s="319" t="n"/>
      <c r="O98" s="319" t="n"/>
      <c r="AI98" s="319" t="n"/>
      <c r="AJ98" s="319" t="n"/>
      <c r="AL98" s="319" t="n"/>
    </row>
    <row r="99" ht="26.25" customHeight="1" s="1053">
      <c r="M99" s="319" t="n"/>
      <c r="N99" s="319" t="n"/>
      <c r="O99" s="319" t="n"/>
      <c r="AI99" s="319" t="n"/>
      <c r="AJ99" s="319" t="n"/>
      <c r="AL99" s="319" t="n"/>
    </row>
    <row r="100" ht="26.25" customHeight="1" s="1053">
      <c r="M100" s="319" t="n"/>
      <c r="N100" s="319" t="n"/>
      <c r="O100" s="319" t="n"/>
      <c r="AI100" s="319" t="n"/>
      <c r="AJ100" s="319" t="n"/>
      <c r="AL100" s="319" t="n"/>
    </row>
    <row r="101" ht="26.25" customHeight="1" s="1053">
      <c r="M101" s="319" t="n"/>
      <c r="N101" s="319" t="n"/>
      <c r="O101" s="319" t="n"/>
      <c r="AI101" s="319" t="n"/>
      <c r="AJ101" s="319" t="n"/>
      <c r="AL101" s="319" t="n"/>
    </row>
    <row r="102" ht="26.25" customHeight="1" s="1053">
      <c r="M102" s="319" t="n"/>
      <c r="N102" s="319" t="n"/>
      <c r="O102" s="319" t="n"/>
      <c r="AI102" s="319" t="n"/>
      <c r="AJ102" s="319" t="n"/>
      <c r="AL102" s="319" t="n"/>
    </row>
    <row r="103" ht="26.25" customHeight="1" s="1053">
      <c r="M103" s="319" t="n"/>
      <c r="N103" s="319" t="n"/>
      <c r="O103" s="319" t="n"/>
      <c r="AI103" s="319" t="n"/>
      <c r="AJ103" s="319" t="n"/>
      <c r="AL103" s="319" t="n"/>
    </row>
    <row r="104" ht="26.25" customHeight="1" s="1053">
      <c r="M104" s="319" t="n"/>
      <c r="N104" s="319" t="n"/>
      <c r="O104" s="319" t="n"/>
      <c r="AI104" s="319" t="n"/>
      <c r="AJ104" s="319" t="n"/>
      <c r="AL104" s="319" t="n"/>
    </row>
    <row r="105" ht="26.25" customHeight="1" s="1053">
      <c r="M105" s="319" t="n"/>
      <c r="N105" s="319" t="n"/>
      <c r="O105" s="319" t="n"/>
      <c r="AI105" s="319" t="n"/>
      <c r="AJ105" s="319" t="n"/>
      <c r="AL105" s="319" t="n"/>
    </row>
    <row r="106" ht="26.25" customHeight="1" s="1053">
      <c r="M106" s="319" t="n"/>
      <c r="N106" s="319" t="n"/>
      <c r="O106" s="319" t="n"/>
      <c r="AI106" s="319" t="n"/>
      <c r="AJ106" s="319" t="n"/>
      <c r="AL106" s="319" t="n"/>
    </row>
    <row r="107" ht="26.25" customHeight="1" s="1053">
      <c r="M107" s="319" t="n"/>
      <c r="N107" s="319" t="n"/>
      <c r="O107" s="319" t="n"/>
      <c r="AI107" s="319" t="n"/>
      <c r="AJ107" s="319" t="n"/>
      <c r="AL107" s="319" t="n"/>
    </row>
    <row r="108" ht="26.25" customHeight="1" s="1053">
      <c r="M108" s="319" t="n"/>
      <c r="N108" s="319" t="n"/>
      <c r="O108" s="319" t="n"/>
      <c r="AI108" s="319" t="n"/>
      <c r="AJ108" s="319" t="n"/>
      <c r="AL108" s="319" t="n"/>
    </row>
    <row r="109" ht="26.25" customHeight="1" s="1053">
      <c r="M109" s="319" t="n"/>
      <c r="N109" s="319" t="n"/>
      <c r="O109" s="319" t="n"/>
      <c r="AI109" s="319" t="n"/>
      <c r="AJ109" s="319" t="n"/>
      <c r="AL109" s="319" t="n"/>
    </row>
    <row r="110" ht="26.25" customHeight="1" s="1053">
      <c r="M110" s="319" t="n"/>
      <c r="N110" s="319" t="n"/>
      <c r="O110" s="319" t="n"/>
      <c r="AI110" s="319" t="n"/>
      <c r="AJ110" s="319" t="n"/>
      <c r="AL110" s="319" t="n"/>
    </row>
    <row r="111" ht="26.25" customHeight="1" s="1053">
      <c r="M111" s="319" t="n"/>
      <c r="N111" s="319" t="n"/>
      <c r="O111" s="319" t="n"/>
      <c r="AI111" s="319" t="n"/>
      <c r="AJ111" s="319" t="n"/>
      <c r="AL111" s="319" t="n"/>
    </row>
    <row r="112" ht="26.25" customHeight="1" s="1053">
      <c r="M112" s="319" t="n"/>
      <c r="N112" s="319" t="n"/>
      <c r="O112" s="319" t="n"/>
      <c r="AI112" s="319" t="n"/>
      <c r="AJ112" s="319" t="n"/>
      <c r="AL112" s="319" t="n"/>
    </row>
    <row r="113" ht="26.25" customHeight="1" s="1053">
      <c r="M113" s="319" t="n"/>
      <c r="N113" s="319" t="n"/>
      <c r="O113" s="319" t="n"/>
      <c r="AI113" s="319" t="n"/>
      <c r="AJ113" s="319" t="n"/>
      <c r="AL113" s="319" t="n"/>
    </row>
    <row r="114" ht="26.25" customHeight="1" s="1053">
      <c r="M114" s="319" t="n"/>
      <c r="N114" s="319" t="n"/>
      <c r="O114" s="319" t="n"/>
      <c r="AI114" s="319" t="n"/>
      <c r="AJ114" s="319" t="n"/>
      <c r="AL114" s="319" t="n"/>
    </row>
    <row r="115" ht="26.25" customHeight="1" s="1053">
      <c r="M115" s="319" t="n"/>
      <c r="N115" s="319" t="n"/>
      <c r="O115" s="319" t="n"/>
      <c r="AI115" s="319" t="n"/>
      <c r="AJ115" s="319" t="n"/>
      <c r="AL115" s="319" t="n"/>
    </row>
    <row r="116" ht="26.25" customHeight="1" s="1053">
      <c r="M116" s="319" t="n"/>
      <c r="N116" s="319" t="n"/>
      <c r="O116" s="319" t="n"/>
      <c r="AI116" s="319" t="n"/>
      <c r="AJ116" s="319" t="n"/>
      <c r="AL116" s="319" t="n"/>
    </row>
    <row r="117" ht="26.25" customHeight="1" s="1053">
      <c r="M117" s="319" t="n"/>
      <c r="N117" s="319" t="n"/>
      <c r="O117" s="319" t="n"/>
      <c r="AI117" s="319" t="n"/>
      <c r="AJ117" s="319" t="n"/>
      <c r="AL117" s="319" t="n"/>
    </row>
    <row r="118" ht="26.25" customHeight="1" s="1053">
      <c r="M118" s="319" t="n"/>
      <c r="N118" s="319" t="n"/>
      <c r="O118" s="319" t="n"/>
      <c r="AI118" s="319" t="n"/>
      <c r="AJ118" s="319" t="n"/>
      <c r="AL118" s="319" t="n"/>
    </row>
    <row r="119" ht="26.25" customHeight="1" s="1053">
      <c r="M119" s="319" t="n"/>
      <c r="N119" s="319" t="n"/>
      <c r="O119" s="319" t="n"/>
      <c r="AI119" s="319" t="n"/>
      <c r="AJ119" s="319" t="n"/>
      <c r="AL119" s="319" t="n"/>
    </row>
    <row r="120" ht="26.25" customHeight="1" s="1053">
      <c r="M120" s="319" t="n"/>
      <c r="N120" s="319" t="n"/>
      <c r="O120" s="319" t="n"/>
      <c r="AI120" s="319" t="n"/>
      <c r="AJ120" s="319" t="n"/>
      <c r="AL120" s="319" t="n"/>
    </row>
    <row r="121" ht="26.25" customHeight="1" s="1053">
      <c r="M121" s="319" t="n"/>
      <c r="N121" s="319" t="n"/>
      <c r="O121" s="319" t="n"/>
      <c r="AI121" s="319" t="n"/>
      <c r="AJ121" s="319" t="n"/>
      <c r="AL121" s="319" t="n"/>
    </row>
    <row r="122" ht="26.25" customHeight="1" s="1053">
      <c r="M122" s="319" t="n"/>
      <c r="N122" s="319" t="n"/>
      <c r="O122" s="319" t="n"/>
      <c r="AI122" s="319" t="n"/>
      <c r="AJ122" s="319" t="n"/>
      <c r="AL122" s="319" t="n"/>
    </row>
    <row r="123" ht="26.25" customHeight="1" s="1053">
      <c r="M123" s="319" t="n"/>
      <c r="N123" s="319" t="n"/>
      <c r="O123" s="319" t="n"/>
      <c r="AI123" s="319" t="n"/>
      <c r="AJ123" s="319" t="n"/>
      <c r="AL123" s="319" t="n"/>
    </row>
    <row r="124" ht="26.25" customHeight="1" s="1053">
      <c r="M124" s="319" t="n"/>
      <c r="N124" s="319" t="n"/>
      <c r="O124" s="319" t="n"/>
      <c r="AI124" s="319" t="n"/>
      <c r="AJ124" s="319" t="n"/>
      <c r="AL124" s="319" t="n"/>
    </row>
    <row r="125" ht="26.25" customHeight="1" s="1053">
      <c r="M125" s="319" t="n"/>
      <c r="N125" s="319" t="n"/>
      <c r="O125" s="319" t="n"/>
      <c r="AI125" s="319" t="n"/>
      <c r="AJ125" s="319" t="n"/>
      <c r="AL125" s="319" t="n"/>
    </row>
    <row r="126" ht="26.25" customHeight="1" s="1053">
      <c r="M126" s="319" t="n"/>
      <c r="N126" s="319" t="n"/>
      <c r="O126" s="319" t="n"/>
      <c r="AI126" s="319" t="n"/>
      <c r="AJ126" s="319" t="n"/>
      <c r="AL126" s="319" t="n"/>
    </row>
    <row r="127" ht="26.25" customHeight="1" s="1053">
      <c r="M127" s="319" t="n"/>
      <c r="N127" s="319" t="n"/>
      <c r="O127" s="319" t="n"/>
      <c r="AI127" s="319" t="n"/>
      <c r="AJ127" s="319" t="n"/>
      <c r="AL127" s="319" t="n"/>
    </row>
    <row r="128" ht="26.25" customHeight="1" s="1053">
      <c r="M128" s="319" t="n"/>
      <c r="N128" s="319" t="n"/>
      <c r="O128" s="319" t="n"/>
      <c r="AI128" s="319" t="n"/>
      <c r="AJ128" s="319" t="n"/>
      <c r="AL128" s="319" t="n"/>
    </row>
    <row r="129" ht="26.25" customHeight="1" s="1053">
      <c r="M129" s="319" t="n"/>
      <c r="N129" s="319" t="n"/>
      <c r="O129" s="319" t="n"/>
      <c r="AI129" s="319" t="n"/>
      <c r="AJ129" s="319" t="n"/>
      <c r="AL129" s="319" t="n"/>
    </row>
    <row r="130" ht="26.25" customHeight="1" s="1053">
      <c r="M130" s="319" t="n"/>
      <c r="N130" s="319" t="n"/>
      <c r="O130" s="319" t="n"/>
      <c r="AI130" s="319" t="n"/>
      <c r="AJ130" s="319" t="n"/>
      <c r="AL130" s="319" t="n"/>
    </row>
    <row r="131" ht="26.25" customHeight="1" s="1053">
      <c r="M131" s="319" t="n"/>
      <c r="N131" s="319" t="n"/>
      <c r="O131" s="319" t="n"/>
      <c r="AI131" s="319" t="n"/>
      <c r="AJ131" s="319" t="n"/>
      <c r="AL131" s="319" t="n"/>
    </row>
    <row r="132" ht="26.25" customHeight="1" s="1053">
      <c r="M132" s="319" t="n"/>
      <c r="N132" s="319" t="n"/>
      <c r="O132" s="319" t="n"/>
      <c r="AI132" s="319" t="n"/>
      <c r="AJ132" s="319" t="n"/>
      <c r="AL132" s="319" t="n"/>
    </row>
    <row r="133" ht="26.25" customHeight="1" s="1053">
      <c r="M133" s="319" t="n"/>
      <c r="N133" s="319" t="n"/>
      <c r="O133" s="319" t="n"/>
      <c r="AI133" s="319" t="n"/>
      <c r="AJ133" s="319" t="n"/>
      <c r="AL133" s="319" t="n"/>
    </row>
    <row r="134" ht="26.25" customHeight="1" s="1053">
      <c r="M134" s="319" t="n"/>
      <c r="N134" s="319" t="n"/>
      <c r="O134" s="319" t="n"/>
      <c r="AI134" s="319" t="n"/>
      <c r="AJ134" s="319" t="n"/>
      <c r="AL134" s="319" t="n"/>
    </row>
    <row r="135" ht="26.25" customHeight="1" s="1053">
      <c r="M135" s="319" t="n"/>
      <c r="N135" s="319" t="n"/>
      <c r="O135" s="319" t="n"/>
      <c r="AI135" s="319" t="n"/>
      <c r="AJ135" s="319" t="n"/>
      <c r="AL135" s="319" t="n"/>
    </row>
    <row r="136" ht="26.25" customHeight="1" s="1053">
      <c r="M136" s="319" t="n"/>
      <c r="N136" s="319" t="n"/>
      <c r="O136" s="319" t="n"/>
      <c r="AI136" s="319" t="n"/>
      <c r="AJ136" s="319" t="n"/>
      <c r="AL136" s="319" t="n"/>
    </row>
    <row r="137" ht="26.25" customHeight="1" s="1053">
      <c r="M137" s="319" t="n"/>
      <c r="N137" s="319" t="n"/>
      <c r="O137" s="319" t="n"/>
      <c r="AI137" s="319" t="n"/>
      <c r="AJ137" s="319" t="n"/>
      <c r="AL137" s="319" t="n"/>
    </row>
    <row r="138" ht="26.25" customHeight="1" s="1053">
      <c r="M138" s="319" t="n"/>
      <c r="N138" s="319" t="n"/>
      <c r="O138" s="319" t="n"/>
      <c r="AI138" s="319" t="n"/>
      <c r="AJ138" s="319" t="n"/>
      <c r="AL138" s="319" t="n"/>
    </row>
    <row r="139" ht="26.25" customHeight="1" s="1053">
      <c r="M139" s="319" t="n"/>
      <c r="N139" s="319" t="n"/>
      <c r="O139" s="319" t="n"/>
      <c r="AI139" s="319" t="n"/>
      <c r="AJ139" s="319" t="n"/>
      <c r="AL139" s="319" t="n"/>
    </row>
    <row r="140" ht="26.25" customHeight="1" s="1053">
      <c r="M140" s="319" t="n"/>
      <c r="N140" s="319" t="n"/>
      <c r="O140" s="319" t="n"/>
      <c r="AI140" s="319" t="n"/>
      <c r="AJ140" s="319" t="n"/>
      <c r="AL140" s="319" t="n"/>
    </row>
    <row r="141" ht="26.25" customHeight="1" s="1053">
      <c r="M141" s="319" t="n"/>
      <c r="N141" s="319" t="n"/>
      <c r="O141" s="319" t="n"/>
      <c r="AI141" s="319" t="n"/>
      <c r="AJ141" s="319" t="n"/>
      <c r="AL141" s="319" t="n"/>
    </row>
    <row r="142" ht="26.25" customHeight="1" s="1053">
      <c r="M142" s="319" t="n"/>
      <c r="N142" s="319" t="n"/>
      <c r="O142" s="319" t="n"/>
      <c r="AI142" s="319" t="n"/>
      <c r="AJ142" s="319" t="n"/>
      <c r="AL142" s="319" t="n"/>
    </row>
    <row r="143" ht="26.25" customHeight="1" s="1053">
      <c r="M143" s="319" t="n"/>
      <c r="N143" s="319" t="n"/>
      <c r="O143" s="319" t="n"/>
      <c r="AI143" s="319" t="n"/>
      <c r="AJ143" s="319" t="n"/>
      <c r="AL143" s="319" t="n"/>
    </row>
    <row r="144" ht="26.25" customHeight="1" s="1053">
      <c r="M144" s="319" t="n"/>
      <c r="N144" s="319" t="n"/>
      <c r="O144" s="319" t="n"/>
      <c r="AI144" s="319" t="n"/>
      <c r="AJ144" s="319" t="n"/>
      <c r="AL144" s="319" t="n"/>
    </row>
    <row r="145" ht="26.25" customHeight="1" s="1053">
      <c r="M145" s="319" t="n"/>
      <c r="N145" s="319" t="n"/>
      <c r="O145" s="319" t="n"/>
      <c r="AI145" s="319" t="n"/>
      <c r="AJ145" s="319" t="n"/>
      <c r="AL145" s="319" t="n"/>
    </row>
    <row r="146" ht="26.25" customHeight="1" s="1053">
      <c r="M146" s="319" t="n"/>
      <c r="N146" s="319" t="n"/>
      <c r="O146" s="319" t="n"/>
      <c r="AI146" s="319" t="n"/>
      <c r="AJ146" s="319" t="n"/>
      <c r="AL146" s="319" t="n"/>
    </row>
    <row r="147" ht="26.25" customHeight="1" s="1053">
      <c r="M147" s="319" t="n"/>
      <c r="N147" s="319" t="n"/>
      <c r="O147" s="319" t="n"/>
      <c r="AI147" s="319" t="n"/>
      <c r="AJ147" s="319" t="n"/>
      <c r="AL147" s="319" t="n"/>
    </row>
    <row r="148" ht="26.25" customHeight="1" s="1053">
      <c r="M148" s="319" t="n"/>
      <c r="N148" s="319" t="n"/>
      <c r="O148" s="319" t="n"/>
      <c r="AI148" s="319" t="n"/>
      <c r="AJ148" s="319" t="n"/>
      <c r="AL148" s="319" t="n"/>
    </row>
    <row r="149" ht="26.25" customHeight="1" s="1053">
      <c r="M149" s="319" t="n"/>
      <c r="N149" s="319" t="n"/>
      <c r="O149" s="319" t="n"/>
      <c r="AI149" s="319" t="n"/>
      <c r="AJ149" s="319" t="n"/>
      <c r="AL149" s="319" t="n"/>
    </row>
    <row r="150" ht="26.25" customHeight="1" s="1053">
      <c r="M150" s="319" t="n"/>
      <c r="N150" s="319" t="n"/>
      <c r="O150" s="319" t="n"/>
      <c r="AI150" s="319" t="n"/>
      <c r="AJ150" s="319" t="n"/>
      <c r="AL150" s="319" t="n"/>
    </row>
    <row r="151" ht="26.25" customHeight="1" s="1053">
      <c r="M151" s="319" t="n"/>
      <c r="N151" s="319" t="n"/>
      <c r="O151" s="319" t="n"/>
      <c r="AI151" s="319" t="n"/>
      <c r="AJ151" s="319" t="n"/>
      <c r="AL151" s="319" t="n"/>
    </row>
    <row r="152" ht="26.25" customHeight="1" s="1053">
      <c r="M152" s="319" t="n"/>
      <c r="N152" s="319" t="n"/>
      <c r="O152" s="319" t="n"/>
      <c r="AI152" s="319" t="n"/>
      <c r="AJ152" s="319" t="n"/>
      <c r="AL152" s="319" t="n"/>
    </row>
    <row r="153" ht="26.25" customHeight="1" s="1053">
      <c r="M153" s="319" t="n"/>
      <c r="N153" s="319" t="n"/>
      <c r="O153" s="319" t="n"/>
      <c r="AI153" s="319" t="n"/>
      <c r="AJ153" s="319" t="n"/>
      <c r="AL153" s="319" t="n"/>
    </row>
    <row r="154" ht="26.25" customHeight="1" s="1053">
      <c r="M154" s="319" t="n"/>
      <c r="N154" s="319" t="n"/>
      <c r="O154" s="319" t="n"/>
      <c r="AI154" s="319" t="n"/>
      <c r="AJ154" s="319" t="n"/>
      <c r="AL154" s="319" t="n"/>
    </row>
    <row r="155" ht="26.25" customHeight="1" s="1053">
      <c r="M155" s="319" t="n"/>
      <c r="N155" s="319" t="n"/>
      <c r="O155" s="319" t="n"/>
      <c r="AI155" s="319" t="n"/>
      <c r="AJ155" s="319" t="n"/>
      <c r="AL155" s="319" t="n"/>
    </row>
    <row r="156" ht="26.25" customHeight="1" s="1053">
      <c r="M156" s="319" t="n"/>
      <c r="N156" s="319" t="n"/>
      <c r="O156" s="319" t="n"/>
      <c r="AI156" s="319" t="n"/>
      <c r="AJ156" s="319" t="n"/>
      <c r="AL156" s="319" t="n"/>
    </row>
    <row r="157" ht="26.25" customHeight="1" s="1053">
      <c r="M157" s="319" t="n"/>
      <c r="N157" s="319" t="n"/>
      <c r="O157" s="319" t="n"/>
      <c r="AI157" s="319" t="n"/>
      <c r="AJ157" s="319" t="n"/>
      <c r="AL157" s="319" t="n"/>
    </row>
    <row r="158" ht="26.25" customHeight="1" s="1053">
      <c r="M158" s="319" t="n"/>
      <c r="N158" s="319" t="n"/>
      <c r="O158" s="319" t="n"/>
      <c r="AI158" s="319" t="n"/>
      <c r="AJ158" s="319" t="n"/>
      <c r="AL158" s="319" t="n"/>
    </row>
    <row r="159" ht="26.25" customHeight="1" s="1053">
      <c r="M159" s="319" t="n"/>
      <c r="N159" s="319" t="n"/>
      <c r="O159" s="319" t="n"/>
      <c r="AI159" s="319" t="n"/>
      <c r="AJ159" s="319" t="n"/>
      <c r="AL159" s="319" t="n"/>
    </row>
    <row r="160" ht="26.25" customHeight="1" s="1053">
      <c r="M160" s="319" t="n"/>
      <c r="N160" s="319" t="n"/>
      <c r="O160" s="319" t="n"/>
      <c r="AI160" s="319" t="n"/>
      <c r="AJ160" s="319" t="n"/>
      <c r="AL160" s="319" t="n"/>
    </row>
    <row r="161" ht="26.25" customHeight="1" s="1053">
      <c r="M161" s="319" t="n"/>
      <c r="N161" s="319" t="n"/>
      <c r="O161" s="319" t="n"/>
      <c r="AI161" s="319" t="n"/>
      <c r="AJ161" s="319" t="n"/>
      <c r="AL161" s="319" t="n"/>
    </row>
    <row r="162" ht="26.25" customHeight="1" s="1053">
      <c r="M162" s="319" t="n"/>
      <c r="N162" s="319" t="n"/>
      <c r="O162" s="319" t="n"/>
      <c r="AI162" s="319" t="n"/>
      <c r="AJ162" s="319" t="n"/>
      <c r="AL162" s="319" t="n"/>
    </row>
    <row r="163" ht="26.25" customHeight="1" s="1053">
      <c r="M163" s="319" t="n"/>
      <c r="N163" s="319" t="n"/>
      <c r="O163" s="319" t="n"/>
      <c r="AI163" s="319" t="n"/>
      <c r="AJ163" s="319" t="n"/>
      <c r="AL163" s="319" t="n"/>
    </row>
    <row r="164" ht="26.25" customHeight="1" s="1053">
      <c r="M164" s="319" t="n"/>
      <c r="N164" s="319" t="n"/>
      <c r="O164" s="319" t="n"/>
      <c r="AI164" s="319" t="n"/>
      <c r="AJ164" s="319" t="n"/>
      <c r="AL164" s="319" t="n"/>
    </row>
    <row r="165" ht="26.25" customHeight="1" s="1053">
      <c r="M165" s="319" t="n"/>
      <c r="N165" s="319" t="n"/>
      <c r="O165" s="319" t="n"/>
      <c r="AI165" s="319" t="n"/>
      <c r="AJ165" s="319" t="n"/>
      <c r="AL165" s="319" t="n"/>
    </row>
    <row r="166" ht="26.25" customHeight="1" s="1053">
      <c r="M166" s="319" t="n"/>
      <c r="N166" s="319" t="n"/>
      <c r="O166" s="319" t="n"/>
      <c r="AI166" s="319" t="n"/>
      <c r="AJ166" s="319" t="n"/>
      <c r="AL166" s="319" t="n"/>
    </row>
    <row r="167" ht="26.25" customHeight="1" s="1053">
      <c r="M167" s="319" t="n"/>
      <c r="N167" s="319" t="n"/>
      <c r="O167" s="319" t="n"/>
      <c r="AI167" s="319" t="n"/>
      <c r="AJ167" s="319" t="n"/>
      <c r="AL167" s="319" t="n"/>
    </row>
    <row r="168" ht="26.25" customHeight="1" s="1053">
      <c r="M168" s="319" t="n"/>
      <c r="N168" s="319" t="n"/>
      <c r="O168" s="319" t="n"/>
      <c r="AI168" s="319" t="n"/>
      <c r="AJ168" s="319" t="n"/>
      <c r="AL168" s="319" t="n"/>
    </row>
    <row r="169" ht="26.25" customHeight="1" s="1053">
      <c r="M169" s="319" t="n"/>
      <c r="N169" s="319" t="n"/>
      <c r="O169" s="319" t="n"/>
      <c r="AI169" s="319" t="n"/>
      <c r="AJ169" s="319" t="n"/>
      <c r="AL169" s="319" t="n"/>
    </row>
    <row r="170" ht="26.25" customHeight="1" s="1053">
      <c r="M170" s="319" t="n"/>
      <c r="N170" s="319" t="n"/>
      <c r="O170" s="319" t="n"/>
      <c r="AI170" s="319" t="n"/>
      <c r="AJ170" s="319" t="n"/>
      <c r="AL170" s="319" t="n"/>
    </row>
    <row r="171" ht="26.25" customHeight="1" s="1053">
      <c r="M171" s="319" t="n"/>
      <c r="N171" s="319" t="n"/>
      <c r="O171" s="319" t="n"/>
      <c r="AI171" s="319" t="n"/>
      <c r="AJ171" s="319" t="n"/>
      <c r="AL171" s="319" t="n"/>
    </row>
    <row r="172" ht="26.25" customHeight="1" s="1053">
      <c r="M172" s="319" t="n"/>
      <c r="N172" s="319" t="n"/>
      <c r="O172" s="319" t="n"/>
      <c r="AI172" s="319" t="n"/>
      <c r="AJ172" s="319" t="n"/>
      <c r="AL172" s="319" t="n"/>
    </row>
    <row r="173" ht="26.25" customHeight="1" s="1053">
      <c r="M173" s="319" t="n"/>
      <c r="N173" s="319" t="n"/>
      <c r="O173" s="319" t="n"/>
      <c r="AI173" s="319" t="n"/>
      <c r="AJ173" s="319" t="n"/>
      <c r="AL173" s="319" t="n"/>
    </row>
    <row r="174" ht="26.25" customHeight="1" s="1053">
      <c r="M174" s="319" t="n"/>
      <c r="N174" s="319" t="n"/>
      <c r="O174" s="319" t="n"/>
      <c r="AI174" s="319" t="n"/>
      <c r="AJ174" s="319" t="n"/>
      <c r="AL174" s="319" t="n"/>
    </row>
    <row r="175" ht="26.25" customHeight="1" s="1053">
      <c r="M175" s="319" t="n"/>
      <c r="N175" s="319" t="n"/>
      <c r="O175" s="319" t="n"/>
      <c r="AI175" s="319" t="n"/>
      <c r="AJ175" s="319" t="n"/>
      <c r="AL175" s="319" t="n"/>
    </row>
    <row r="176" ht="26.25" customHeight="1" s="1053">
      <c r="M176" s="319" t="n"/>
      <c r="N176" s="319" t="n"/>
      <c r="O176" s="319" t="n"/>
      <c r="AI176" s="319" t="n"/>
      <c r="AJ176" s="319" t="n"/>
      <c r="AL176" s="319" t="n"/>
    </row>
    <row r="177" ht="26.25" customHeight="1" s="1053">
      <c r="M177" s="319" t="n"/>
      <c r="N177" s="319" t="n"/>
      <c r="O177" s="319" t="n"/>
      <c r="AI177" s="319" t="n"/>
      <c r="AJ177" s="319" t="n"/>
      <c r="AL177" s="319" t="n"/>
    </row>
    <row r="178" ht="26.25" customHeight="1" s="1053">
      <c r="M178" s="319" t="n"/>
      <c r="N178" s="319" t="n"/>
      <c r="O178" s="319" t="n"/>
      <c r="AI178" s="319" t="n"/>
      <c r="AJ178" s="319" t="n"/>
      <c r="AL178" s="319" t="n"/>
    </row>
    <row r="179" ht="26.25" customHeight="1" s="1053">
      <c r="M179" s="319" t="n"/>
      <c r="N179" s="319" t="n"/>
      <c r="O179" s="319" t="n"/>
      <c r="AI179" s="319" t="n"/>
      <c r="AJ179" s="319" t="n"/>
      <c r="AL179" s="319" t="n"/>
    </row>
    <row r="180" ht="26.25" customHeight="1" s="1053">
      <c r="M180" s="319" t="n"/>
      <c r="N180" s="319" t="n"/>
      <c r="O180" s="319" t="n"/>
      <c r="AI180" s="319" t="n"/>
      <c r="AJ180" s="319" t="n"/>
      <c r="AL180" s="319" t="n"/>
    </row>
    <row r="181" ht="26.25" customHeight="1" s="1053">
      <c r="M181" s="319" t="n"/>
      <c r="N181" s="319" t="n"/>
      <c r="O181" s="319" t="n"/>
      <c r="AI181" s="319" t="n"/>
      <c r="AJ181" s="319" t="n"/>
      <c r="AL181" s="319" t="n"/>
    </row>
    <row r="182" ht="26.25" customHeight="1" s="1053">
      <c r="M182" s="319" t="n"/>
      <c r="N182" s="319" t="n"/>
      <c r="O182" s="319" t="n"/>
      <c r="AI182" s="319" t="n"/>
      <c r="AJ182" s="319" t="n"/>
      <c r="AL182" s="319" t="n"/>
    </row>
    <row r="183" ht="26.25" customHeight="1" s="1053">
      <c r="M183" s="319" t="n"/>
      <c r="N183" s="319" t="n"/>
      <c r="O183" s="319" t="n"/>
      <c r="AI183" s="319" t="n"/>
      <c r="AJ183" s="319" t="n"/>
      <c r="AL183" s="319" t="n"/>
    </row>
    <row r="184" ht="26.25" customHeight="1" s="1053">
      <c r="M184" s="319" t="n"/>
      <c r="N184" s="319" t="n"/>
      <c r="O184" s="319" t="n"/>
      <c r="AI184" s="319" t="n"/>
      <c r="AJ184" s="319" t="n"/>
      <c r="AL184" s="319" t="n"/>
    </row>
    <row r="185" ht="26.25" customHeight="1" s="1053">
      <c r="M185" s="319" t="n"/>
      <c r="N185" s="319" t="n"/>
      <c r="O185" s="319" t="n"/>
      <c r="AI185" s="319" t="n"/>
      <c r="AJ185" s="319" t="n"/>
      <c r="AL185" s="319" t="n"/>
    </row>
    <row r="186" ht="26.25" customHeight="1" s="1053">
      <c r="M186" s="319" t="n"/>
      <c r="N186" s="319" t="n"/>
      <c r="O186" s="319" t="n"/>
      <c r="AI186" s="319" t="n"/>
      <c r="AJ186" s="319" t="n"/>
      <c r="AL186" s="319" t="n"/>
    </row>
    <row r="187" ht="26.25" customHeight="1" s="1053">
      <c r="M187" s="319" t="n"/>
      <c r="N187" s="319" t="n"/>
      <c r="O187" s="319" t="n"/>
      <c r="AI187" s="319" t="n"/>
      <c r="AJ187" s="319" t="n"/>
      <c r="AL187" s="319" t="n"/>
    </row>
    <row r="188" ht="26.25" customHeight="1" s="1053">
      <c r="M188" s="319" t="n"/>
      <c r="N188" s="319" t="n"/>
      <c r="O188" s="319" t="n"/>
      <c r="AI188" s="319" t="n"/>
      <c r="AJ188" s="319" t="n"/>
      <c r="AL188" s="319" t="n"/>
    </row>
    <row r="189" ht="26.25" customHeight="1" s="1053">
      <c r="M189" s="319" t="n"/>
      <c r="N189" s="319" t="n"/>
      <c r="O189" s="319" t="n"/>
      <c r="AI189" s="319" t="n"/>
      <c r="AJ189" s="319" t="n"/>
      <c r="AL189" s="319" t="n"/>
    </row>
    <row r="190" ht="26.25" customHeight="1" s="1053">
      <c r="M190" s="319" t="n"/>
      <c r="N190" s="319" t="n"/>
      <c r="O190" s="319" t="n"/>
      <c r="AI190" s="319" t="n"/>
      <c r="AJ190" s="319" t="n"/>
      <c r="AL190" s="319" t="n"/>
    </row>
    <row r="191" ht="26.25" customHeight="1" s="1053">
      <c r="M191" s="319" t="n"/>
      <c r="N191" s="319" t="n"/>
      <c r="O191" s="319" t="n"/>
      <c r="AI191" s="319" t="n"/>
      <c r="AJ191" s="319" t="n"/>
      <c r="AL191" s="319" t="n"/>
    </row>
    <row r="192" ht="26.25" customHeight="1" s="1053">
      <c r="M192" s="319" t="n"/>
      <c r="N192" s="319" t="n"/>
      <c r="O192" s="319" t="n"/>
      <c r="AI192" s="319" t="n"/>
      <c r="AJ192" s="319" t="n"/>
      <c r="AL192" s="319" t="n"/>
    </row>
    <row r="193" ht="26.25" customHeight="1" s="1053">
      <c r="M193" s="319" t="n"/>
      <c r="N193" s="319" t="n"/>
      <c r="O193" s="319" t="n"/>
      <c r="AI193" s="319" t="n"/>
      <c r="AJ193" s="319" t="n"/>
      <c r="AL193" s="319" t="n"/>
    </row>
    <row r="194" ht="16.5" customHeight="1" s="1053">
      <c r="AI194" s="50" t="n"/>
      <c r="AJ194" s="319" t="n"/>
    </row>
    <row r="195" ht="16.5" customHeight="1" s="1053">
      <c r="AI195" s="50" t="n"/>
      <c r="AJ195" s="319" t="n"/>
    </row>
    <row r="196" ht="16.5" customHeight="1" s="1053">
      <c r="AI196" s="50" t="n"/>
      <c r="AJ196" s="319" t="n"/>
    </row>
    <row r="197" ht="16.5" customHeight="1" s="1053">
      <c r="AI197" s="50" t="n"/>
      <c r="AJ197" s="319" t="n"/>
    </row>
    <row r="198" ht="16.5" customHeight="1" s="1053">
      <c r="AI198" s="50" t="n"/>
      <c r="AJ198" s="319" t="n"/>
    </row>
    <row r="199" ht="16.5" customHeight="1" s="1053">
      <c r="AI199" s="50" t="n"/>
      <c r="AJ199" s="319" t="n"/>
    </row>
    <row r="200" ht="16.5" customHeight="1" s="1053">
      <c r="AI200" s="50" t="n"/>
      <c r="AJ200" s="319" t="n"/>
    </row>
    <row r="201" ht="16.5" customHeight="1" s="1053">
      <c r="AI201" s="50" t="n"/>
      <c r="AJ201" s="319" t="n"/>
    </row>
    <row r="202" ht="16.5" customHeight="1" s="1053">
      <c r="AI202" s="50" t="n"/>
      <c r="AJ202" s="319" t="n"/>
    </row>
    <row r="203" ht="16.5" customHeight="1" s="1053">
      <c r="AI203" s="50" t="n"/>
      <c r="AJ203" s="319" t="n"/>
    </row>
    <row r="204" ht="16.5" customHeight="1" s="1053">
      <c r="AI204" s="50" t="n"/>
      <c r="AJ204" s="319" t="n"/>
    </row>
    <row r="205" ht="16.5" customHeight="1" s="1053">
      <c r="AI205" s="50" t="n"/>
      <c r="AJ205" s="319" t="n"/>
    </row>
    <row r="206" ht="16.5" customHeight="1" s="1053">
      <c r="AI206" s="50" t="n"/>
      <c r="AJ206" s="319" t="n"/>
    </row>
    <row r="207" ht="16.5" customHeight="1" s="1053">
      <c r="AI207" s="50" t="n"/>
      <c r="AJ207" s="319" t="n"/>
    </row>
    <row r="208" ht="16.5" customHeight="1" s="1053">
      <c r="AI208" s="50" t="n"/>
      <c r="AJ208" s="319" t="n"/>
    </row>
    <row r="209" ht="16.5" customHeight="1" s="1053">
      <c r="AI209" s="50" t="n"/>
      <c r="AJ209" s="319" t="n"/>
    </row>
    <row r="210" ht="16.5" customHeight="1" s="1053">
      <c r="AI210" s="50" t="n"/>
      <c r="AJ210" s="319" t="n"/>
    </row>
    <row r="211" ht="16.5" customHeight="1" s="1053">
      <c r="AI211" s="50" t="n"/>
      <c r="AJ211" s="319" t="n"/>
    </row>
    <row r="212" ht="16.5" customHeight="1" s="1053">
      <c r="AI212" s="50" t="n"/>
      <c r="AJ212" s="319" t="n"/>
    </row>
    <row r="213" ht="16.5" customHeight="1" s="1053">
      <c r="AI213" s="50" t="n"/>
      <c r="AJ213" s="319" t="n"/>
    </row>
    <row r="214" ht="16.5" customHeight="1" s="1053">
      <c r="AI214" s="50" t="n"/>
      <c r="AJ214" s="319" t="n"/>
    </row>
    <row r="215" ht="16.5" customHeight="1" s="1053">
      <c r="AI215" s="50" t="n"/>
      <c r="AJ215" s="319" t="n"/>
    </row>
    <row r="216" ht="16.5" customHeight="1" s="1053">
      <c r="AI216" s="50" t="n"/>
      <c r="AJ216" s="319" t="n"/>
    </row>
    <row r="217" ht="16.5" customHeight="1" s="1053">
      <c r="AI217" s="50" t="n"/>
      <c r="AJ217" s="319" t="n"/>
    </row>
    <row r="218" ht="16.5" customHeight="1" s="1053">
      <c r="AI218" s="50" t="n"/>
      <c r="AJ218" s="319" t="n"/>
    </row>
    <row r="219" ht="16.5" customHeight="1" s="1053">
      <c r="AI219" s="50" t="n"/>
      <c r="AJ219" s="319" t="n"/>
    </row>
    <row r="220" ht="16.5" customHeight="1" s="1053">
      <c r="AI220" s="50" t="n"/>
      <c r="AJ220" s="319" t="n"/>
    </row>
    <row r="221" ht="16.5" customHeight="1" s="1053">
      <c r="AI221" s="50" t="n"/>
      <c r="AJ221" s="319" t="n"/>
    </row>
    <row r="222" ht="16.5" customHeight="1" s="1053">
      <c r="AI222" s="50" t="n"/>
      <c r="AJ222" s="319" t="n"/>
    </row>
    <row r="223" ht="16.5" customHeight="1" s="1053">
      <c r="AI223" s="50" t="n"/>
      <c r="AJ223" s="319" t="n"/>
    </row>
    <row r="224" ht="16.5" customHeight="1" s="1053">
      <c r="AI224" s="50" t="n"/>
      <c r="AJ224" s="319" t="n"/>
    </row>
    <row r="225" ht="16.5" customHeight="1" s="1053">
      <c r="AI225" s="50" t="n"/>
      <c r="AJ225" s="319" t="n"/>
    </row>
    <row r="226" ht="16.5" customHeight="1" s="1053">
      <c r="AI226" s="50" t="n"/>
      <c r="AJ226" s="319" t="n"/>
    </row>
    <row r="227" ht="16.5" customHeight="1" s="1053">
      <c r="AI227" s="50" t="n"/>
      <c r="AJ227" s="319" t="n"/>
    </row>
    <row r="228" ht="16.5" customHeight="1" s="1053">
      <c r="AI228" s="50" t="n"/>
      <c r="AJ228" s="319" t="n"/>
    </row>
    <row r="229" ht="16.5" customHeight="1" s="1053">
      <c r="AI229" s="50" t="n"/>
      <c r="AJ229" s="319" t="n"/>
    </row>
    <row r="230" ht="16.5" customHeight="1" s="1053">
      <c r="AI230" s="50" t="n"/>
      <c r="AJ230" s="319" t="n"/>
    </row>
    <row r="231" ht="16.5" customHeight="1" s="1053">
      <c r="AI231" s="50" t="n"/>
      <c r="AJ231" s="319" t="n"/>
    </row>
    <row r="232" ht="16.5" customHeight="1" s="1053">
      <c r="AI232" s="50" t="n"/>
      <c r="AJ232" s="319" t="n"/>
    </row>
    <row r="233" ht="16.5" customHeight="1" s="1053">
      <c r="AI233" s="50" t="n"/>
      <c r="AJ233" s="319" t="n"/>
    </row>
    <row r="234" ht="16.5" customHeight="1" s="1053">
      <c r="AI234" s="50" t="n"/>
      <c r="AJ234" s="319" t="n"/>
    </row>
    <row r="235" ht="16.5" customHeight="1" s="1053">
      <c r="AI235" s="50" t="n"/>
      <c r="AJ235" s="319" t="n"/>
    </row>
    <row r="236" ht="16.5" customHeight="1" s="1053">
      <c r="AI236" s="50" t="n"/>
      <c r="AJ236" s="319" t="n"/>
    </row>
    <row r="237" ht="16.5" customHeight="1" s="1053">
      <c r="AI237" s="50" t="n"/>
      <c r="AJ237" s="319" t="n"/>
    </row>
    <row r="238" ht="16.5" customHeight="1" s="1053">
      <c r="AI238" s="50" t="n"/>
      <c r="AJ238" s="319" t="n"/>
    </row>
    <row r="239" ht="16.5" customHeight="1" s="1053">
      <c r="AI239" s="50" t="n"/>
      <c r="AJ239" s="319" t="n"/>
    </row>
    <row r="240" ht="16.5" customHeight="1" s="1053">
      <c r="AI240" s="50" t="n"/>
      <c r="AJ240" s="319" t="n"/>
    </row>
    <row r="241" ht="16.5" customHeight="1" s="1053">
      <c r="AI241" s="50" t="n"/>
      <c r="AJ241" s="319" t="n"/>
    </row>
    <row r="242" ht="16.5" customHeight="1" s="1053">
      <c r="AI242" s="50" t="n"/>
      <c r="AJ242" s="319" t="n"/>
    </row>
    <row r="243" ht="16.5" customHeight="1" s="1053">
      <c r="AI243" s="50" t="n"/>
      <c r="AJ243" s="319" t="n"/>
    </row>
    <row r="244" ht="16.5" customHeight="1" s="1053">
      <c r="AI244" s="50" t="n"/>
      <c r="AJ244" s="319" t="n"/>
    </row>
    <row r="245" ht="16.5" customHeight="1" s="1053">
      <c r="AI245" s="50" t="n"/>
      <c r="AJ245" s="319" t="n"/>
    </row>
    <row r="246" ht="16.5" customHeight="1" s="1053">
      <c r="AI246" s="50" t="n"/>
      <c r="AJ246" s="319" t="n"/>
    </row>
    <row r="247" ht="16.5" customHeight="1" s="1053">
      <c r="AI247" s="50" t="n"/>
      <c r="AJ247" s="319" t="n"/>
    </row>
    <row r="248" ht="16.5" customHeight="1" s="1053">
      <c r="AI248" s="50" t="n"/>
      <c r="AJ248" s="319" t="n"/>
    </row>
    <row r="249" ht="16.5" customHeight="1" s="1053">
      <c r="AI249" s="46" t="n"/>
      <c r="AJ249" s="319" t="n"/>
    </row>
    <row r="250" ht="16.5" customHeight="1" s="1053">
      <c r="AI250" s="46" t="n"/>
      <c r="AJ250" s="319" t="n"/>
    </row>
    <row r="251" ht="16.5" customHeight="1" s="1053">
      <c r="AI251" s="46" t="n"/>
      <c r="AJ251" s="319" t="n"/>
    </row>
    <row r="252" ht="16.5" customHeight="1" s="1053">
      <c r="AI252" s="46" t="n"/>
      <c r="AJ252" s="319" t="n"/>
    </row>
    <row r="253" ht="16.5" customHeight="1" s="1053">
      <c r="AI253" s="46" t="n"/>
      <c r="AJ253" s="319" t="n"/>
    </row>
    <row r="254" ht="16.5" customHeight="1" s="1053">
      <c r="AI254" s="46" t="n"/>
      <c r="AJ254" s="319" t="n"/>
    </row>
    <row r="255" ht="16.5" customHeight="1" s="1053">
      <c r="AL255" s="374" t="n"/>
    </row>
    <row r="256" ht="16.5" customHeight="1" s="1053">
      <c r="AL256" s="374" t="n"/>
    </row>
    <row r="257" ht="16.5" customHeight="1" s="1053">
      <c r="AL257" s="374" t="n"/>
    </row>
    <row r="258" ht="16.5" customHeight="1" s="1053">
      <c r="AL258" s="374" t="n"/>
    </row>
    <row r="259" ht="16.5" customHeight="1" s="1053">
      <c r="AL259" s="374" t="n"/>
    </row>
    <row r="260" ht="16.5" customHeight="1" s="1053">
      <c r="AL260" s="374" t="n"/>
    </row>
    <row r="261" ht="16.5" customHeight="1" s="1053">
      <c r="AL261" s="374" t="n"/>
    </row>
    <row r="262" ht="16.5" customHeight="1" s="1053">
      <c r="AL262" s="374" t="n"/>
    </row>
    <row r="263" ht="16.5" customHeight="1" s="1053">
      <c r="AL263" s="374" t="n"/>
    </row>
    <row r="264" ht="16.5" customHeight="1" s="1053">
      <c r="AL264" s="374" t="n"/>
    </row>
    <row r="265" ht="16.5" customHeight="1" s="1053">
      <c r="AL265" s="125" t="n"/>
    </row>
    <row r="266" ht="16.5" customHeight="1" s="1053">
      <c r="AL266" s="374" t="n"/>
    </row>
    <row r="267" ht="16.5" customHeight="1" s="1053">
      <c r="AL267" s="374" t="n"/>
    </row>
    <row r="268" ht="16.5" customHeight="1" s="1053">
      <c r="AL268" s="374" t="n"/>
    </row>
    <row r="269" ht="16.5" customHeight="1" s="1053">
      <c r="AL269" s="374" t="n"/>
    </row>
    <row r="270" ht="16.5" customHeight="1" s="1053">
      <c r="AL270" s="374" t="n"/>
    </row>
    <row r="271" ht="16.5" customHeight="1" s="1053">
      <c r="AL271" s="374" t="n"/>
    </row>
    <row r="272" ht="16.5" customHeight="1" s="1053">
      <c r="AL272" s="374" t="n"/>
    </row>
    <row r="273" ht="16.5" customHeight="1" s="1053">
      <c r="AL273" s="374" t="n"/>
    </row>
    <row r="274" ht="16.5" customHeight="1" s="1053">
      <c r="AL274" s="374" t="n"/>
    </row>
    <row r="275" ht="16.5" customHeight="1" s="1053">
      <c r="AL275" s="374" t="n"/>
    </row>
    <row r="276" ht="16.5" customHeight="1" s="1053">
      <c r="AL276" s="374" t="n"/>
    </row>
    <row r="277" ht="16.5" customHeight="1" s="1053">
      <c r="AL277" s="374" t="n"/>
    </row>
    <row r="278" ht="16.5" customHeight="1" s="1053">
      <c r="AL278" s="374" t="n"/>
    </row>
    <row r="279" ht="16.5" customHeight="1" s="1053">
      <c r="AL279" s="374" t="n"/>
    </row>
    <row r="280" ht="16.5" customHeight="1" s="1053">
      <c r="AL280" s="374" t="n"/>
    </row>
    <row r="281" ht="16.5" customHeight="1" s="1053">
      <c r="AL281" s="374" t="n"/>
    </row>
    <row r="282" ht="16.5" customHeight="1" s="1053">
      <c r="AP282" s="524"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7" t="inlineStr">
        <is>
          <t>学员分层
（主讲）</t>
        </is>
      </c>
      <c r="AE2" s="174" t="inlineStr">
        <is>
          <t>主讲判定依据</t>
        </is>
      </c>
      <c r="AF2" s="828" t="inlineStr">
        <is>
          <t>学员分层
（顾问）</t>
        </is>
      </c>
      <c r="AG2" s="174" t="inlineStr">
        <is>
          <t>顾问判定依据</t>
        </is>
      </c>
      <c r="AH2" s="1080" t="n"/>
      <c r="AI2" s="56" t="inlineStr">
        <is>
          <t>是否电联</t>
        </is>
      </c>
      <c r="AJ2" s="56" t="inlineStr">
        <is>
          <t>学情备注</t>
        </is>
      </c>
    </row>
    <row r="3" ht="26.25" customHeight="1" s="1053">
      <c r="A3" s="377" t="inlineStr">
        <is>
          <t>天成大厦</t>
        </is>
      </c>
      <c r="B3" s="377" t="inlineStr">
        <is>
          <t>二期</t>
        </is>
      </c>
      <c r="C3" s="377" t="n">
        <v>3132864</v>
      </c>
      <c r="D3" s="377" t="inlineStr">
        <is>
          <t>13:20-15:30</t>
        </is>
      </c>
      <c r="E3" s="377" t="inlineStr">
        <is>
          <t>潜能班</t>
        </is>
      </c>
      <c r="F3" s="377" t="inlineStr">
        <is>
          <t>冉梓月</t>
        </is>
      </c>
      <c r="G3" s="377" t="inlineStr">
        <is>
          <t>宗志鹏</t>
        </is>
      </c>
      <c r="H3" s="377" t="inlineStr">
        <is>
          <t>李润</t>
        </is>
      </c>
      <c r="I3" s="377" t="inlineStr">
        <is>
          <t>刘希子</t>
        </is>
      </c>
      <c r="J3" s="377" t="inlineStr">
        <is>
          <t>王达04</t>
        </is>
      </c>
      <c r="K3" s="377" t="n"/>
      <c r="L3" s="377" t="n"/>
      <c r="M3" s="377" t="n"/>
      <c r="N3" s="377" t="n"/>
      <c r="O3" s="377" t="n"/>
      <c r="P3" s="377" t="n"/>
      <c r="Q3" s="377" t="n">
        <v>64</v>
      </c>
      <c r="R3" s="377" t="n"/>
      <c r="S3" s="377" t="n"/>
      <c r="T3" s="377" t="n"/>
      <c r="U3" s="377" t="n"/>
      <c r="V3" s="377" t="n"/>
      <c r="W3" s="377" t="n"/>
      <c r="X3" s="377" t="n"/>
      <c r="Y3" s="377" t="n"/>
      <c r="Z3" s="377" t="n"/>
      <c r="AA3" s="377" t="n"/>
      <c r="AB3" s="377" t="n"/>
      <c r="AC3" s="377" t="n"/>
      <c r="AD3" s="377" t="n"/>
      <c r="AE3" s="377" t="n"/>
      <c r="AF3" s="377" t="n"/>
      <c r="AG3" s="377" t="n"/>
      <c r="AH3" s="377" t="n"/>
    </row>
    <row r="4" ht="26.25" customHeight="1" s="1053">
      <c r="A4" s="377" t="inlineStr">
        <is>
          <t>天成大厦</t>
        </is>
      </c>
      <c r="B4" s="377" t="inlineStr">
        <is>
          <t>二期</t>
        </is>
      </c>
      <c r="C4" s="377" t="n">
        <v>3132864</v>
      </c>
      <c r="D4" s="377" t="inlineStr">
        <is>
          <t>13:20-15:30</t>
        </is>
      </c>
      <c r="E4" s="377" t="inlineStr">
        <is>
          <t>潜能班</t>
        </is>
      </c>
      <c r="F4" s="377" t="inlineStr">
        <is>
          <t>冼梓琳</t>
        </is>
      </c>
      <c r="G4" s="377" t="inlineStr">
        <is>
          <t>宗志鹏</t>
        </is>
      </c>
      <c r="H4" s="377" t="inlineStr">
        <is>
          <t>李润</t>
        </is>
      </c>
      <c r="I4" s="377" t="inlineStr">
        <is>
          <t>刘希子</t>
        </is>
      </c>
      <c r="J4" s="377" t="inlineStr">
        <is>
          <t>陈亮延</t>
        </is>
      </c>
      <c r="K4" s="377" t="n"/>
      <c r="L4" s="377" t="n"/>
      <c r="M4" s="377" t="n"/>
      <c r="N4" s="377" t="n"/>
      <c r="O4" s="377" t="n"/>
      <c r="P4" s="377" t="n"/>
      <c r="Q4" s="377" t="n">
        <v>90</v>
      </c>
      <c r="R4" s="377" t="n"/>
      <c r="S4" s="377" t="n"/>
      <c r="T4" s="377" t="n"/>
      <c r="U4" s="377" t="n"/>
      <c r="V4" s="377" t="n"/>
      <c r="W4" s="377" t="n"/>
      <c r="X4" s="377" t="n"/>
      <c r="Y4" s="377" t="n"/>
      <c r="Z4" s="377" t="n"/>
      <c r="AA4" s="377" t="n"/>
      <c r="AB4" s="377" t="n"/>
      <c r="AC4" s="377" t="n"/>
      <c r="AD4" s="377" t="n"/>
      <c r="AE4" s="377" t="n"/>
      <c r="AF4" s="377" t="n"/>
      <c r="AG4" s="377" t="n"/>
      <c r="AH4" s="377" t="n"/>
    </row>
    <row r="5" ht="26.25" customHeight="1" s="1053">
      <c r="A5" s="377" t="inlineStr">
        <is>
          <t>天成大厦</t>
        </is>
      </c>
      <c r="B5" s="377" t="inlineStr">
        <is>
          <t>二期</t>
        </is>
      </c>
      <c r="C5" s="377" t="n">
        <v>3132864</v>
      </c>
      <c r="D5" s="377" t="inlineStr">
        <is>
          <t>13:20-15:30</t>
        </is>
      </c>
      <c r="E5" s="377" t="inlineStr">
        <is>
          <t>潜能班</t>
        </is>
      </c>
      <c r="F5" s="377" t="inlineStr">
        <is>
          <t>刘芷霖</t>
        </is>
      </c>
      <c r="G5" s="377" t="inlineStr">
        <is>
          <t>宗志鹏</t>
        </is>
      </c>
      <c r="H5" s="377" t="inlineStr">
        <is>
          <t>李润</t>
        </is>
      </c>
      <c r="I5" s="377" t="inlineStr">
        <is>
          <t>刘希子</t>
        </is>
      </c>
      <c r="J5" s="377" t="inlineStr">
        <is>
          <t>沈思浩</t>
        </is>
      </c>
      <c r="K5" s="377" t="n"/>
      <c r="L5" s="377" t="n"/>
      <c r="M5" s="377" t="n"/>
      <c r="N5" s="377" t="n"/>
      <c r="O5" s="377" t="n"/>
      <c r="P5" s="377" t="n">
        <v>60</v>
      </c>
      <c r="Q5" s="377" t="n"/>
      <c r="R5" s="377" t="n"/>
      <c r="S5" s="377" t="n"/>
      <c r="T5" s="377" t="n"/>
      <c r="U5" s="377" t="n"/>
      <c r="V5" s="377" t="n"/>
      <c r="W5" s="377" t="n"/>
      <c r="X5" s="377" t="n"/>
      <c r="Y5" s="377" t="n"/>
      <c r="Z5" s="377" t="n"/>
      <c r="AA5" s="377" t="n"/>
      <c r="AB5" s="377" t="n"/>
      <c r="AC5" s="377" t="n"/>
      <c r="AD5" s="377" t="n"/>
      <c r="AE5" s="377" t="n"/>
      <c r="AF5" s="377" t="n"/>
      <c r="AG5" s="377" t="n"/>
      <c r="AH5" s="377" t="n"/>
    </row>
    <row r="6" ht="26.25" customHeight="1" s="1053">
      <c r="A6" s="377" t="inlineStr">
        <is>
          <t>天成大厦</t>
        </is>
      </c>
      <c r="B6" s="377" t="inlineStr">
        <is>
          <t>二期</t>
        </is>
      </c>
      <c r="C6" s="377" t="n">
        <v>3132864</v>
      </c>
      <c r="D6" s="377" t="inlineStr">
        <is>
          <t>13:20-15:30</t>
        </is>
      </c>
      <c r="E6" s="377" t="inlineStr">
        <is>
          <t>潜能班</t>
        </is>
      </c>
      <c r="F6" s="377" t="inlineStr">
        <is>
          <t>吴承谦</t>
        </is>
      </c>
      <c r="G6" s="377" t="inlineStr">
        <is>
          <t>宗志鹏</t>
        </is>
      </c>
      <c r="H6" s="377" t="inlineStr">
        <is>
          <t>李润</t>
        </is>
      </c>
      <c r="I6" s="377" t="n"/>
      <c r="J6" s="377" t="inlineStr">
        <is>
          <t>沈思浩</t>
        </is>
      </c>
      <c r="K6" s="377" t="n"/>
      <c r="L6" s="377" t="n"/>
      <c r="M6" s="377" t="n"/>
      <c r="N6" s="377" t="n"/>
      <c r="O6" s="377" t="n"/>
      <c r="P6" s="377" t="n">
        <v>72</v>
      </c>
      <c r="Q6" s="377" t="n"/>
      <c r="R6" s="377" t="n"/>
      <c r="S6" s="377" t="n"/>
      <c r="T6" s="377" t="n"/>
      <c r="U6" s="377" t="n"/>
      <c r="V6" s="377" t="n"/>
      <c r="W6" s="377" t="n"/>
      <c r="X6" s="377" t="n"/>
      <c r="Y6" s="377" t="n"/>
      <c r="Z6" s="377" t="n"/>
      <c r="AA6" s="377" t="n"/>
      <c r="AB6" s="377" t="n"/>
      <c r="AC6" s="377" t="n"/>
      <c r="AD6" s="377" t="n"/>
      <c r="AE6" s="377" t="n"/>
      <c r="AF6" s="377" t="n"/>
      <c r="AG6" s="377" t="n"/>
      <c r="AH6" s="377" t="n"/>
    </row>
    <row r="7" ht="26.25" customHeight="1" s="1053">
      <c r="A7" s="377" t="inlineStr">
        <is>
          <t>天成大厦</t>
        </is>
      </c>
      <c r="B7" s="377" t="inlineStr">
        <is>
          <t>二期</t>
        </is>
      </c>
      <c r="C7" s="377" t="n">
        <v>3132864</v>
      </c>
      <c r="D7" s="377" t="inlineStr">
        <is>
          <t>13:20-15:30</t>
        </is>
      </c>
      <c r="E7" s="377" t="inlineStr">
        <is>
          <t>潜能班</t>
        </is>
      </c>
      <c r="F7" s="377" t="inlineStr">
        <is>
          <t>李梓熳</t>
        </is>
      </c>
      <c r="G7" s="377" t="inlineStr">
        <is>
          <t>宗志鹏</t>
        </is>
      </c>
      <c r="H7" s="377" t="inlineStr">
        <is>
          <t>李润</t>
        </is>
      </c>
      <c r="I7" s="377" t="inlineStr">
        <is>
          <t>刘希子</t>
        </is>
      </c>
      <c r="J7" s="377" t="inlineStr">
        <is>
          <t>陈亮延</t>
        </is>
      </c>
      <c r="K7" s="377" t="n"/>
      <c r="L7" s="377" t="n"/>
      <c r="M7" s="377" t="n"/>
      <c r="N7" s="377" t="n"/>
      <c r="O7" s="377" t="n"/>
      <c r="P7" s="377" t="n">
        <v>72</v>
      </c>
      <c r="Q7" s="377" t="n"/>
      <c r="R7" s="377" t="n"/>
      <c r="S7" s="377" t="n"/>
      <c r="T7" s="377" t="n"/>
      <c r="U7" s="377" t="n"/>
      <c r="V7" s="377" t="n"/>
      <c r="W7" s="377" t="n"/>
      <c r="X7" s="377" t="n"/>
      <c r="Y7" s="377" t="n"/>
      <c r="Z7" s="377" t="n"/>
      <c r="AA7" s="377" t="n"/>
      <c r="AB7" s="377" t="n"/>
      <c r="AC7" s="377" t="n"/>
      <c r="AD7" s="377" t="n"/>
      <c r="AE7" s="377" t="n"/>
      <c r="AF7" s="377" t="n"/>
      <c r="AG7" s="377" t="n"/>
      <c r="AH7" s="377" t="n"/>
    </row>
    <row r="8" ht="26.25" customHeight="1" s="1053">
      <c r="A8" s="377" t="inlineStr">
        <is>
          <t>天成大厦</t>
        </is>
      </c>
      <c r="B8" s="377" t="inlineStr">
        <is>
          <t>二期</t>
        </is>
      </c>
      <c r="C8" s="377" t="n">
        <v>3132864</v>
      </c>
      <c r="D8" s="377" t="inlineStr">
        <is>
          <t>13:20-15:30</t>
        </is>
      </c>
      <c r="E8" s="377" t="inlineStr">
        <is>
          <t>潜能班</t>
        </is>
      </c>
      <c r="F8" s="377" t="inlineStr">
        <is>
          <t>林芊悦1</t>
        </is>
      </c>
      <c r="G8" s="377" t="inlineStr">
        <is>
          <t>宗志鹏</t>
        </is>
      </c>
      <c r="H8" s="377" t="inlineStr">
        <is>
          <t>李润</t>
        </is>
      </c>
      <c r="I8" s="377" t="inlineStr">
        <is>
          <t>刘希子</t>
        </is>
      </c>
      <c r="J8" s="377" t="inlineStr">
        <is>
          <t>沈思浩</t>
        </is>
      </c>
      <c r="K8" s="377" t="n"/>
      <c r="L8" s="377" t="n"/>
      <c r="M8" s="377" t="n"/>
      <c r="N8" s="377" t="n"/>
      <c r="O8" s="377" t="n"/>
      <c r="P8" s="377" t="n">
        <v>72</v>
      </c>
      <c r="Q8" s="377" t="n"/>
      <c r="R8" s="377" t="n"/>
      <c r="S8" s="377" t="n"/>
      <c r="T8" s="377" t="n"/>
      <c r="U8" s="377" t="n"/>
      <c r="V8" s="377" t="n"/>
      <c r="W8" s="377" t="n"/>
      <c r="X8" s="377" t="n"/>
      <c r="Y8" s="377" t="n"/>
      <c r="Z8" s="377" t="n"/>
      <c r="AA8" s="377" t="n"/>
      <c r="AB8" s="377" t="n"/>
      <c r="AC8" s="377" t="n"/>
      <c r="AD8" s="377" t="n"/>
      <c r="AE8" s="377" t="n"/>
      <c r="AF8" s="377" t="n"/>
      <c r="AG8" s="377" t="n"/>
      <c r="AH8" s="377" t="n"/>
    </row>
    <row r="9" ht="26.25" customHeight="1" s="1053">
      <c r="A9" s="377" t="inlineStr">
        <is>
          <t>天成大厦</t>
        </is>
      </c>
      <c r="B9" s="377" t="inlineStr">
        <is>
          <t>二期</t>
        </is>
      </c>
      <c r="C9" s="377" t="n">
        <v>3132864</v>
      </c>
      <c r="D9" s="377" t="inlineStr">
        <is>
          <t>13:20-15:30</t>
        </is>
      </c>
      <c r="E9" s="377" t="inlineStr">
        <is>
          <t>潜能班</t>
        </is>
      </c>
      <c r="F9" s="377" t="inlineStr">
        <is>
          <t>梁晨曦</t>
        </is>
      </c>
      <c r="G9" s="377" t="inlineStr">
        <is>
          <t>宗志鹏</t>
        </is>
      </c>
      <c r="H9" s="377" t="inlineStr">
        <is>
          <t>李润</t>
        </is>
      </c>
      <c r="I9" s="377" t="inlineStr">
        <is>
          <t>刘希子</t>
        </is>
      </c>
      <c r="J9" s="377" t="inlineStr">
        <is>
          <t>沈思浩</t>
        </is>
      </c>
      <c r="K9" s="377" t="n"/>
      <c r="L9" s="377" t="n"/>
      <c r="M9" s="377" t="n"/>
      <c r="N9" s="377" t="n"/>
      <c r="O9" s="377" t="n"/>
      <c r="P9" s="377" t="n">
        <v>73</v>
      </c>
      <c r="Q9" s="377" t="n"/>
      <c r="R9" s="377" t="n"/>
      <c r="S9" s="377" t="n"/>
      <c r="T9" s="377" t="n"/>
      <c r="U9" s="377" t="n"/>
      <c r="V9" s="377" t="n"/>
      <c r="W9" s="377" t="n"/>
      <c r="X9" s="377" t="n"/>
      <c r="Y9" s="377" t="n"/>
      <c r="Z9" s="377" t="n"/>
      <c r="AA9" s="377" t="n"/>
      <c r="AB9" s="377" t="n"/>
      <c r="AC9" s="377" t="n"/>
      <c r="AD9" s="377" t="n"/>
      <c r="AE9" s="377" t="n"/>
      <c r="AF9" s="377" t="n"/>
      <c r="AG9" s="377" t="n"/>
      <c r="AH9" s="377" t="n"/>
    </row>
    <row r="10" ht="26.25" customHeight="1" s="1053">
      <c r="A10" s="377" t="inlineStr">
        <is>
          <t>天成大厦</t>
        </is>
      </c>
      <c r="B10" s="377" t="inlineStr">
        <is>
          <t>二期</t>
        </is>
      </c>
      <c r="C10" s="377" t="n">
        <v>3132864</v>
      </c>
      <c r="D10" s="377" t="inlineStr">
        <is>
          <t>13:20-15:30</t>
        </is>
      </c>
      <c r="E10" s="377" t="inlineStr">
        <is>
          <t>潜能班</t>
        </is>
      </c>
      <c r="F10" s="377" t="inlineStr">
        <is>
          <t>王宣蕴</t>
        </is>
      </c>
      <c r="G10" s="377" t="inlineStr">
        <is>
          <t>宗志鹏</t>
        </is>
      </c>
      <c r="H10" s="377" t="inlineStr">
        <is>
          <t>李润</t>
        </is>
      </c>
      <c r="I10" s="377" t="inlineStr">
        <is>
          <t>刘希子</t>
        </is>
      </c>
      <c r="J10" s="377" t="inlineStr">
        <is>
          <t>沈思浩</t>
        </is>
      </c>
      <c r="K10" s="377" t="n"/>
      <c r="L10" s="377" t="n"/>
      <c r="M10" s="377" t="n"/>
      <c r="N10" s="377" t="n"/>
      <c r="O10" s="377" t="n"/>
      <c r="P10" s="377" t="n">
        <v>74.40000000000001</v>
      </c>
      <c r="Q10" s="377" t="n"/>
      <c r="R10" s="377" t="n"/>
      <c r="S10" s="377" t="n"/>
      <c r="T10" s="377" t="n"/>
      <c r="U10" s="377" t="n"/>
      <c r="V10" s="377" t="n"/>
      <c r="W10" s="377" t="n"/>
      <c r="X10" s="377" t="n"/>
      <c r="Y10" s="377" t="n"/>
      <c r="Z10" s="377" t="n"/>
      <c r="AA10" s="377" t="n"/>
      <c r="AB10" s="377" t="n"/>
      <c r="AC10" s="377" t="n"/>
      <c r="AD10" s="377" t="n"/>
      <c r="AE10" s="377" t="n"/>
      <c r="AF10" s="377" t="n"/>
      <c r="AG10" s="377" t="n"/>
      <c r="AH10" s="377" t="n"/>
    </row>
    <row r="11" ht="26.25" customHeight="1" s="1053">
      <c r="A11" s="377" t="inlineStr">
        <is>
          <t>天成大厦</t>
        </is>
      </c>
      <c r="B11" s="377" t="inlineStr">
        <is>
          <t>二期</t>
        </is>
      </c>
      <c r="C11" s="377" t="n">
        <v>3132864</v>
      </c>
      <c r="D11" s="377" t="inlineStr">
        <is>
          <t>13:20-15:30</t>
        </is>
      </c>
      <c r="E11" s="377" t="inlineStr">
        <is>
          <t>潜能班</t>
        </is>
      </c>
      <c r="F11" s="377" t="inlineStr">
        <is>
          <t>胡宇航</t>
        </is>
      </c>
      <c r="G11" s="377" t="inlineStr">
        <is>
          <t>宗志鹏</t>
        </is>
      </c>
      <c r="H11" s="377" t="inlineStr">
        <is>
          <t>李润</t>
        </is>
      </c>
      <c r="I11" s="377" t="inlineStr">
        <is>
          <t>刘希子</t>
        </is>
      </c>
      <c r="J11" s="377" t="inlineStr">
        <is>
          <t>沈思浩</t>
        </is>
      </c>
      <c r="K11" s="377" t="n"/>
      <c r="L11" s="377" t="n"/>
      <c r="M11" s="377" t="n"/>
      <c r="N11" s="377" t="n"/>
      <c r="O11" s="377" t="n"/>
      <c r="P11" s="377" t="n">
        <v>72</v>
      </c>
      <c r="Q11" s="377" t="n"/>
      <c r="R11" s="377" t="n"/>
      <c r="S11" s="377" t="n"/>
      <c r="T11" s="377" t="n"/>
      <c r="U11" s="377" t="n"/>
      <c r="V11" s="377" t="n"/>
      <c r="W11" s="377" t="n"/>
      <c r="X11" s="377" t="n"/>
      <c r="Y11" s="377" t="n"/>
      <c r="Z11" s="377" t="n"/>
      <c r="AA11" s="377" t="n"/>
      <c r="AB11" s="377" t="n"/>
      <c r="AC11" s="377" t="n"/>
      <c r="AD11" s="377" t="n"/>
      <c r="AE11" s="377" t="n"/>
      <c r="AF11" s="377" t="n"/>
      <c r="AG11" s="377" t="n"/>
      <c r="AH11" s="377" t="n"/>
    </row>
    <row r="12" ht="26.25" customHeight="1" s="1053">
      <c r="A12" s="377" t="inlineStr">
        <is>
          <t>天成大厦</t>
        </is>
      </c>
      <c r="B12" s="377" t="inlineStr">
        <is>
          <t>二期</t>
        </is>
      </c>
      <c r="C12" s="377" t="n">
        <v>3132864</v>
      </c>
      <c r="D12" s="377" t="inlineStr">
        <is>
          <t>13:20-15:30</t>
        </is>
      </c>
      <c r="E12" s="377" t="inlineStr">
        <is>
          <t>潜能班</t>
        </is>
      </c>
      <c r="F12" s="377" t="inlineStr">
        <is>
          <t>陈言斌</t>
        </is>
      </c>
      <c r="G12" s="377" t="inlineStr">
        <is>
          <t>宗志鹏</t>
        </is>
      </c>
      <c r="H12" s="377" t="inlineStr">
        <is>
          <t>李润</t>
        </is>
      </c>
      <c r="I12" s="377" t="inlineStr">
        <is>
          <t>刘希子</t>
        </is>
      </c>
      <c r="J12" s="377" t="inlineStr">
        <is>
          <t>沈思浩</t>
        </is>
      </c>
      <c r="K12" s="377" t="n"/>
      <c r="L12" s="377" t="n"/>
      <c r="M12" s="377" t="n"/>
      <c r="N12" s="377" t="n"/>
      <c r="O12" s="377" t="n"/>
      <c r="P12" s="377" t="n"/>
      <c r="Q12" s="377" t="n">
        <v>86</v>
      </c>
      <c r="R12" s="377" t="n"/>
      <c r="S12" s="377" t="n"/>
      <c r="T12" s="377" t="n"/>
      <c r="U12" s="377" t="n"/>
      <c r="V12" s="377" t="n"/>
      <c r="W12" s="377" t="n"/>
      <c r="X12" s="377" t="n"/>
      <c r="Y12" s="377" t="n"/>
      <c r="Z12" s="377" t="n"/>
      <c r="AA12" s="377" t="n"/>
      <c r="AB12" s="377" t="n"/>
      <c r="AC12" s="377" t="n"/>
      <c r="AD12" s="377" t="n"/>
      <c r="AE12" s="377" t="n"/>
      <c r="AF12" s="377" t="n"/>
      <c r="AG12" s="377" t="n"/>
      <c r="AH12" s="377" t="n"/>
    </row>
    <row r="13" ht="26.25" customHeight="1" s="1053">
      <c r="A13" s="377" t="inlineStr">
        <is>
          <t>天成大厦</t>
        </is>
      </c>
      <c r="B13" s="377" t="inlineStr">
        <is>
          <t>三期</t>
        </is>
      </c>
      <c r="C13" s="377" t="n">
        <v>5230801</v>
      </c>
      <c r="D13" s="377" t="inlineStr">
        <is>
          <t>13:20-15:30</t>
        </is>
      </c>
      <c r="E13" s="377" t="inlineStr">
        <is>
          <t>潜能班</t>
        </is>
      </c>
      <c r="F13" s="377" t="inlineStr">
        <is>
          <t>芷榕</t>
        </is>
      </c>
      <c r="G13" s="377" t="inlineStr">
        <is>
          <t>宗志鹏</t>
        </is>
      </c>
      <c r="H13" s="377" t="inlineStr">
        <is>
          <t>李润</t>
        </is>
      </c>
      <c r="I13" s="377" t="inlineStr">
        <is>
          <t>刘希子</t>
        </is>
      </c>
      <c r="J13" s="377" t="inlineStr">
        <is>
          <t>陈亮延</t>
        </is>
      </c>
      <c r="K13" s="377" t="n"/>
      <c r="L13" s="377" t="n"/>
      <c r="M13" s="377" t="n"/>
      <c r="N13" s="377" t="n"/>
      <c r="O13" s="377" t="n"/>
      <c r="P13" s="377" t="n"/>
      <c r="Q13" s="377" t="n">
        <v>63</v>
      </c>
      <c r="R13" s="377" t="n"/>
      <c r="S13" s="377" t="n"/>
      <c r="T13" s="377" t="n"/>
      <c r="U13" s="377" t="n"/>
      <c r="V13" s="377" t="n"/>
      <c r="W13" s="377" t="n"/>
      <c r="X13" s="377" t="n"/>
      <c r="Y13" s="377" t="n"/>
      <c r="Z13" s="377" t="n"/>
      <c r="AA13" s="377" t="n"/>
      <c r="AB13" s="377" t="n"/>
      <c r="AC13" s="377" t="n"/>
      <c r="AD13" s="377" t="n"/>
      <c r="AE13" s="377" t="n"/>
      <c r="AF13" s="377" t="n"/>
      <c r="AG13" s="377" t="n"/>
      <c r="AH13" s="377" t="n"/>
    </row>
    <row r="14" ht="26.25" customHeight="1" s="1053">
      <c r="A14" s="377" t="inlineStr">
        <is>
          <t>天成大厦</t>
        </is>
      </c>
      <c r="B14" s="377" t="inlineStr">
        <is>
          <t>三期</t>
        </is>
      </c>
      <c r="C14" s="377" t="n">
        <v>5230801</v>
      </c>
      <c r="D14" s="377" t="inlineStr">
        <is>
          <t>13:20-15:30</t>
        </is>
      </c>
      <c r="E14" s="377" t="inlineStr">
        <is>
          <t>潜能班</t>
        </is>
      </c>
      <c r="F14" s="377" t="inlineStr">
        <is>
          <t>詹婉琦</t>
        </is>
      </c>
      <c r="G14" s="377" t="inlineStr">
        <is>
          <t>宗志鹏</t>
        </is>
      </c>
      <c r="H14" s="377" t="inlineStr">
        <is>
          <t>李润</t>
        </is>
      </c>
      <c r="I14" s="377" t="inlineStr">
        <is>
          <t>刘希子</t>
        </is>
      </c>
      <c r="J14" s="377" t="inlineStr">
        <is>
          <t>沈思浩</t>
        </is>
      </c>
      <c r="K14" s="377" t="n"/>
      <c r="L14" s="377" t="n"/>
      <c r="M14" s="377" t="n"/>
      <c r="N14" s="377" t="n"/>
      <c r="O14" s="377" t="n"/>
      <c r="P14" s="377" t="n"/>
      <c r="Q14" s="377" t="n">
        <v>99</v>
      </c>
      <c r="R14" s="377" t="n"/>
      <c r="S14" s="377" t="n"/>
      <c r="T14" s="377" t="n"/>
      <c r="U14" s="377" t="n"/>
      <c r="V14" s="377" t="n"/>
      <c r="W14" s="377" t="n"/>
      <c r="X14" s="377" t="n"/>
      <c r="Y14" s="377" t="n"/>
      <c r="Z14" s="377" t="n"/>
      <c r="AA14" s="377" t="n"/>
      <c r="AB14" s="377" t="n"/>
      <c r="AC14" s="377" t="n"/>
      <c r="AD14" s="377" t="n"/>
      <c r="AE14" s="377" t="n"/>
      <c r="AF14" s="377" t="n"/>
      <c r="AG14" s="377" t="n"/>
      <c r="AH14" s="377" t="n"/>
    </row>
    <row r="15" ht="26.25" customHeight="1" s="1053">
      <c r="A15" s="377" t="inlineStr">
        <is>
          <t>天成大厦</t>
        </is>
      </c>
      <c r="B15" s="377" t="inlineStr">
        <is>
          <t>三期</t>
        </is>
      </c>
      <c r="C15" s="377" t="n">
        <v>5230801</v>
      </c>
      <c r="D15" s="377" t="inlineStr">
        <is>
          <t>13:20-15:30</t>
        </is>
      </c>
      <c r="E15" s="377" t="inlineStr">
        <is>
          <t>潜能班</t>
        </is>
      </c>
      <c r="F15" s="377" t="inlineStr">
        <is>
          <t>谢明真</t>
        </is>
      </c>
      <c r="G15" s="377" t="inlineStr">
        <is>
          <t>宗志鹏</t>
        </is>
      </c>
      <c r="H15" s="377" t="inlineStr">
        <is>
          <t>李润</t>
        </is>
      </c>
      <c r="I15" s="377" t="inlineStr">
        <is>
          <t>刘希子</t>
        </is>
      </c>
      <c r="J15" s="377" t="inlineStr">
        <is>
          <t>陈亮延</t>
        </is>
      </c>
      <c r="K15" s="377" t="n"/>
      <c r="L15" s="377" t="n"/>
      <c r="M15" s="377" t="n"/>
      <c r="N15" s="377" t="n"/>
      <c r="O15" s="377" t="n"/>
      <c r="P15" s="377" t="n">
        <v>53</v>
      </c>
      <c r="Q15" s="377" t="n"/>
      <c r="R15" s="377" t="n"/>
      <c r="S15" s="377" t="n"/>
      <c r="T15" s="377" t="n"/>
      <c r="U15" s="377" t="n"/>
      <c r="V15" s="377" t="n"/>
      <c r="W15" s="377" t="n"/>
      <c r="X15" s="377" t="n"/>
      <c r="Y15" s="377" t="n"/>
      <c r="Z15" s="377" t="n"/>
      <c r="AA15" s="377" t="n"/>
      <c r="AB15" s="377" t="n"/>
      <c r="AC15" s="377" t="n"/>
      <c r="AD15" s="377" t="n"/>
      <c r="AE15" s="377" t="n"/>
      <c r="AF15" s="377" t="n"/>
      <c r="AG15" s="377" t="n"/>
      <c r="AH15" s="377" t="n"/>
    </row>
    <row r="16" ht="26.25" customHeight="1" s="1053"/>
    <row r="17" ht="26.25" customHeight="1" s="1053"/>
    <row r="18" ht="26.25" customHeight="1" s="1053"/>
    <row r="19" ht="26.25" customHeight="1" s="1053"/>
    <row r="20" ht="26.25" customHeight="1" s="1053"/>
    <row r="21" ht="26.25" customHeight="1" s="1053"/>
    <row r="22" ht="26.25" customHeight="1" s="1053"/>
    <row r="23" ht="26.25" customHeight="1" s="1053"/>
    <row r="24" ht="26.25" customHeight="1" s="1053"/>
    <row r="25" ht="26.25" customHeight="1" s="1053"/>
    <row r="26" ht="26.25" customHeight="1" s="1053"/>
    <row r="27" ht="26.25" customHeight="1" s="1053"/>
    <row r="28" ht="26.25" customHeight="1" s="1053"/>
    <row r="29" ht="26.25" customHeight="1" s="1053"/>
    <row r="30" ht="26.25" customHeight="1" s="1053"/>
    <row r="31" ht="26.25" customHeight="1" s="1053"/>
    <row r="32" ht="26.25" customHeight="1" s="1053"/>
    <row r="33" ht="26.25" customHeight="1" s="1053"/>
    <row r="34" ht="26.25" customHeight="1" s="1053"/>
    <row r="35" ht="26.25" customHeight="1" s="1053"/>
    <row r="36" ht="26.25" customHeight="1" s="1053"/>
    <row r="37" ht="26.25" customHeight="1" s="1053"/>
    <row r="38" ht="26.25" customHeight="1" s="1053"/>
    <row r="39" ht="26.25" customHeight="1" s="1053"/>
    <row r="40" ht="26.25" customHeight="1" s="1053"/>
    <row r="41" ht="26.25" customHeight="1" s="1053"/>
    <row r="42" ht="26.25" customHeight="1" s="1053"/>
    <row r="43" ht="26.25" customHeight="1" s="1053"/>
    <row r="44" ht="26.25" customHeight="1" s="1053"/>
    <row r="45" ht="26.25" customHeight="1" s="1053"/>
    <row r="46" ht="26.25" customHeight="1" s="1053"/>
    <row r="47" ht="26.25" customHeight="1" s="1053"/>
    <row r="48" ht="26.25" customHeight="1" s="1053"/>
    <row r="49" ht="26.25" customHeight="1" s="1053"/>
    <row r="50" ht="26.25" customHeight="1" s="1053"/>
    <row r="51" ht="26.25" customHeight="1" s="1053"/>
    <row r="52" ht="26.25" customHeight="1" s="1053"/>
    <row r="53" ht="26.25" customHeight="1" s="1053"/>
    <row r="54" ht="26.25" customHeight="1" s="1053"/>
    <row r="55" ht="26.25" customHeight="1" s="1053"/>
    <row r="56" ht="26.25" customHeight="1" s="1053"/>
    <row r="57" ht="26.25" customHeight="1" s="1053"/>
    <row r="58" ht="26.25" customHeight="1" s="1053"/>
    <row r="59" ht="26.25" customHeight="1" s="1053"/>
    <row r="60" ht="26.25" customHeight="1" s="1053"/>
    <row r="61" ht="26.25" customHeight="1" s="1053"/>
    <row r="62" ht="26.25" customHeight="1" s="1053"/>
    <row r="63" ht="26.25" customHeight="1" s="1053"/>
    <row r="64" ht="26.25" customHeight="1" s="1053"/>
    <row r="65" ht="26.25" customHeight="1" s="1053"/>
    <row r="66" ht="26.25" customHeight="1" s="1053"/>
    <row r="67" ht="26.25" customHeight="1" s="1053"/>
    <row r="68" ht="26.25" customHeight="1" s="1053"/>
    <row r="69" ht="26.25" customHeight="1" s="1053"/>
    <row r="70" ht="26.25" customHeight="1" s="1053"/>
    <row r="71" ht="26.25" customHeight="1" s="1053"/>
    <row r="72" ht="26.25" customHeight="1" s="1053"/>
    <row r="73" ht="26.25" customHeight="1" s="1053"/>
    <row r="74" ht="26.25" customHeight="1" s="1053"/>
    <row r="75" ht="26.25" customHeight="1" s="1053"/>
    <row r="76" ht="26.25" customHeight="1" s="1053"/>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3" min="7" max="7"/>
    <col width="10" customWidth="1" style="1053" min="8" max="12"/>
    <col width="10.3740234375" customWidth="1" style="1053" min="13" max="13"/>
    <col width="12.9990234375" customWidth="1" style="1053" min="14" max="14"/>
    <col width="39.873046875" customWidth="1" style="350" min="15" max="15"/>
    <col width="10" customWidth="1" style="1053" min="16" max="30"/>
    <col width="16.875" customWidth="1" style="1053" min="31" max="31"/>
    <col width="10" customWidth="1" style="1053" min="32" max="34"/>
    <col width="20.3730468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 t="n"/>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9"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30" t="inlineStr">
        <is>
          <t>学员分层
（主讲）</t>
        </is>
      </c>
      <c r="AE2" s="174" t="inlineStr">
        <is>
          <t>主讲判定依据</t>
        </is>
      </c>
      <c r="AF2" s="831" t="inlineStr">
        <is>
          <t>学员分层
（顾问）</t>
        </is>
      </c>
      <c r="AG2" s="174" t="inlineStr">
        <is>
          <t>顾问判定依据</t>
        </is>
      </c>
      <c r="AH2" s="348" t="inlineStr">
        <is>
          <t>续秋情况</t>
        </is>
      </c>
      <c r="AI2" s="56" t="inlineStr">
        <is>
          <t>是否电联</t>
        </is>
      </c>
      <c r="AJ2" s="56" t="inlineStr">
        <is>
          <t>学情备注</t>
        </is>
      </c>
    </row>
    <row r="3" ht="26.25" customHeight="1" s="1053">
      <c r="A3" s="377" t="inlineStr">
        <is>
          <t>新宝利</t>
        </is>
      </c>
      <c r="B3" s="377" t="inlineStr">
        <is>
          <t>零期</t>
        </is>
      </c>
      <c r="C3" s="377" t="n">
        <v>4513265</v>
      </c>
      <c r="D3" s="377" t="inlineStr">
        <is>
          <t>10:20-12:30</t>
        </is>
      </c>
      <c r="E3" s="377" t="inlineStr">
        <is>
          <t>潜能班</t>
        </is>
      </c>
      <c r="F3" s="66" t="inlineStr">
        <is>
          <t>刘芯妍</t>
        </is>
      </c>
      <c r="G3" s="377" t="inlineStr">
        <is>
          <t>李润</t>
        </is>
      </c>
      <c r="H3" s="377" t="inlineStr">
        <is>
          <t>田雨涵01</t>
        </is>
      </c>
      <c r="I3" s="377" t="inlineStr">
        <is>
          <t>肖锐03</t>
        </is>
      </c>
      <c r="J3" s="377" t="inlineStr">
        <is>
          <t>沈思浩</t>
        </is>
      </c>
      <c r="K3" s="377" t="inlineStr">
        <is>
          <t>小北路小学</t>
        </is>
      </c>
      <c r="L3" s="377" t="n"/>
      <c r="M3" s="377" t="n"/>
      <c r="N3" s="377" t="n"/>
      <c r="O3" s="377" t="inlineStr">
        <is>
          <t>学生上过诊断课、期末复习，妈妈工作比较忙，约定6.28电联</t>
        </is>
      </c>
      <c r="P3" s="377" t="n"/>
      <c r="Q3" s="377" t="n">
        <v>32</v>
      </c>
      <c r="R3" s="377" t="n"/>
      <c r="S3" s="377" t="n"/>
      <c r="T3" s="377" t="inlineStr">
        <is>
          <t>是</t>
        </is>
      </c>
      <c r="U3" s="377" t="inlineStr">
        <is>
          <t>否</t>
        </is>
      </c>
      <c r="V3" s="377" t="inlineStr">
        <is>
          <t>是</t>
        </is>
      </c>
      <c r="W3" s="377" t="inlineStr">
        <is>
          <t>是</t>
        </is>
      </c>
      <c r="X3" s="377" t="n"/>
      <c r="Y3" s="377" t="inlineStr">
        <is>
          <t>是</t>
        </is>
      </c>
      <c r="Z3" s="377" t="inlineStr">
        <is>
          <t>是</t>
        </is>
      </c>
      <c r="AA3" s="377" t="inlineStr">
        <is>
          <t>是</t>
        </is>
      </c>
      <c r="AB3" s="377" t="n"/>
      <c r="AC3" s="377" t="n"/>
      <c r="AD3" s="377" t="n"/>
      <c r="AE3" s="377" t="n"/>
      <c r="AF3" s="377" t="n"/>
      <c r="AG3" s="377" t="n"/>
      <c r="AH3" s="377" t="n"/>
      <c r="AJ3" s="119" t="n"/>
      <c r="AL3" s="7" t="n"/>
    </row>
    <row r="4" ht="26.25" customHeight="1" s="1053">
      <c r="A4" s="377" t="inlineStr">
        <is>
          <t>新宝利</t>
        </is>
      </c>
      <c r="B4" s="377" t="inlineStr">
        <is>
          <t>零期</t>
        </is>
      </c>
      <c r="C4" s="377" t="n">
        <v>4513265</v>
      </c>
      <c r="D4" s="377" t="inlineStr">
        <is>
          <t>10:20-12:30</t>
        </is>
      </c>
      <c r="E4" s="377" t="inlineStr">
        <is>
          <t>潜能班</t>
        </is>
      </c>
      <c r="F4" s="377" t="inlineStr">
        <is>
          <t>可欣</t>
        </is>
      </c>
      <c r="G4" s="377" t="inlineStr">
        <is>
          <t>李润</t>
        </is>
      </c>
      <c r="H4" s="377" t="inlineStr">
        <is>
          <t>田雨涵01</t>
        </is>
      </c>
      <c r="I4" s="377" t="n"/>
      <c r="J4" s="377" t="inlineStr">
        <is>
          <t>张敏烨</t>
        </is>
      </c>
      <c r="K4" s="377" t="n"/>
      <c r="L4" s="377" t="n"/>
      <c r="M4" s="377" t="inlineStr">
        <is>
          <t>不属于自觉型，需要督促</t>
        </is>
      </c>
      <c r="N4" s="377" t="inlineStr">
        <is>
          <t>阅读理解稍差</t>
        </is>
      </c>
      <c r="O4" s="377" t="inlineStr">
        <is>
          <t>已报名数学fbk课程，最近在别的机构也有课</t>
        </is>
      </c>
      <c r="P4" s="377" t="inlineStr">
        <is>
          <t>大概85-90之间</t>
        </is>
      </c>
      <c r="Q4" s="377" t="n">
        <v>30</v>
      </c>
      <c r="R4" s="377" t="n"/>
      <c r="S4" s="377" t="n"/>
      <c r="T4" s="377" t="inlineStr">
        <is>
          <t>是</t>
        </is>
      </c>
      <c r="U4" s="377" t="inlineStr">
        <is>
          <t>是</t>
        </is>
      </c>
      <c r="V4" s="377" t="inlineStr">
        <is>
          <t>是</t>
        </is>
      </c>
      <c r="W4" s="377" t="inlineStr">
        <is>
          <t>是</t>
        </is>
      </c>
      <c r="X4" s="377" t="n"/>
      <c r="Y4" s="377" t="inlineStr">
        <is>
          <t>是</t>
        </is>
      </c>
      <c r="Z4" s="377" t="inlineStr">
        <is>
          <t>是</t>
        </is>
      </c>
      <c r="AA4" s="377" t="n"/>
      <c r="AB4" s="377" t="n"/>
      <c r="AC4" s="377" t="n"/>
      <c r="AD4" s="377" t="n"/>
      <c r="AE4" s="377" t="n"/>
      <c r="AF4" s="377" t="n"/>
      <c r="AG4" s="377" t="n"/>
      <c r="AH4" s="377" t="n"/>
      <c r="AI4" s="359" t="inlineStr">
        <is>
          <t>是</t>
        </is>
      </c>
      <c r="AJ4" s="119" t="inlineStr">
        <is>
          <t>妈妈说孩子比较浮躁、阅读弱</t>
        </is>
      </c>
      <c r="AL4" s="7" t="n"/>
    </row>
    <row r="5" ht="26.25" customHeight="1" s="1053">
      <c r="A5" s="377" t="inlineStr">
        <is>
          <t>新宝利</t>
        </is>
      </c>
      <c r="B5" s="377" t="inlineStr">
        <is>
          <t>零期</t>
        </is>
      </c>
      <c r="C5" s="377" t="n">
        <v>4513265</v>
      </c>
      <c r="D5" s="377" t="inlineStr">
        <is>
          <t>10:20-12:30</t>
        </is>
      </c>
      <c r="E5" s="377" t="inlineStr">
        <is>
          <t>潜能班</t>
        </is>
      </c>
      <c r="F5" s="377" t="inlineStr">
        <is>
          <t>唐羽芯</t>
        </is>
      </c>
      <c r="G5" s="377" t="inlineStr">
        <is>
          <t>李润</t>
        </is>
      </c>
      <c r="H5" s="377" t="n"/>
      <c r="I5" s="377" t="n"/>
      <c r="J5" s="377" t="inlineStr">
        <is>
          <t>林志豪01</t>
        </is>
      </c>
      <c r="K5" s="377" t="n"/>
      <c r="L5" s="377" t="n"/>
      <c r="M5" s="377" t="inlineStr">
        <is>
          <t>需要督促</t>
        </is>
      </c>
      <c r="N5" s="377" t="n"/>
      <c r="O5" s="377" t="inlineStr">
        <is>
          <t>成绩不稳定abc都考，起伏很大，六年级上语文线上课后有进步，骄傲了又下跌，妈妈特意叮嘱听写默写不自觉。妈妈也没怎么看过卷子，不知道孩子扣分在哪</t>
        </is>
      </c>
      <c r="P5" s="377" t="inlineStr">
        <is>
          <t>80左右</t>
        </is>
      </c>
      <c r="Q5" s="377" t="n"/>
      <c r="R5" s="377" t="n"/>
      <c r="S5" s="377" t="n"/>
      <c r="T5" s="377" t="inlineStr">
        <is>
          <t>是</t>
        </is>
      </c>
      <c r="U5" s="377" t="inlineStr">
        <is>
          <t>是</t>
        </is>
      </c>
      <c r="V5" s="377" t="inlineStr">
        <is>
          <t>是</t>
        </is>
      </c>
      <c r="W5" s="377" t="inlineStr">
        <is>
          <t>是</t>
        </is>
      </c>
      <c r="X5" s="377" t="n"/>
      <c r="Y5" s="377" t="n"/>
      <c r="Z5" s="377" t="inlineStr">
        <is>
          <t>是</t>
        </is>
      </c>
      <c r="AA5" s="377" t="n"/>
      <c r="AB5" s="377" t="n"/>
      <c r="AC5" s="377" t="n"/>
      <c r="AD5" s="377" t="n"/>
      <c r="AE5" s="377" t="n"/>
      <c r="AF5" s="377" t="n"/>
      <c r="AG5" s="377" t="n"/>
      <c r="AH5" s="377" t="n"/>
      <c r="AJ5" s="119" t="n"/>
      <c r="AL5" s="7" t="n"/>
    </row>
    <row r="6" ht="26.25" customHeight="1" s="1053">
      <c r="A6" s="377" t="inlineStr">
        <is>
          <t>新宝利</t>
        </is>
      </c>
      <c r="B6" s="377" t="inlineStr">
        <is>
          <t>零期</t>
        </is>
      </c>
      <c r="C6" s="377" t="n">
        <v>4513265</v>
      </c>
      <c r="D6" s="377" t="inlineStr">
        <is>
          <t>10:20-12:30</t>
        </is>
      </c>
      <c r="E6" s="377" t="inlineStr">
        <is>
          <t>潜能班</t>
        </is>
      </c>
      <c r="F6" s="377" t="inlineStr">
        <is>
          <t>姚一新</t>
        </is>
      </c>
      <c r="G6" s="377" t="inlineStr">
        <is>
          <t>李润</t>
        </is>
      </c>
      <c r="H6" s="377" t="inlineStr">
        <is>
          <t>田雨涵01</t>
        </is>
      </c>
      <c r="I6" s="377" t="inlineStr">
        <is>
          <t>肖锐03</t>
        </is>
      </c>
      <c r="J6" s="377" t="inlineStr">
        <is>
          <t>王丽</t>
        </is>
      </c>
      <c r="K6" s="377" t="n"/>
      <c r="L6" s="377" t="n"/>
      <c r="M6" s="377" t="inlineStr">
        <is>
          <t>靠自己</t>
        </is>
      </c>
      <c r="N6" s="377" t="inlineStr">
        <is>
          <t>阅读理解答不全</t>
        </is>
      </c>
      <c r="O6" s="377" t="inlineStr">
        <is>
          <t>需要老师点、鼓励，喜欢画画、博物馆，家里还有一个小的，妈妈说对大的管的不多</t>
        </is>
      </c>
      <c r="P6" s="377" t="n">
        <v>95</v>
      </c>
      <c r="Q6" s="377" t="n"/>
      <c r="R6" s="377" t="n"/>
      <c r="S6" s="377" t="n"/>
      <c r="T6" s="377" t="inlineStr">
        <is>
          <t>是</t>
        </is>
      </c>
      <c r="U6" s="377" t="inlineStr">
        <is>
          <t>是</t>
        </is>
      </c>
      <c r="V6" s="377" t="inlineStr">
        <is>
          <t>是</t>
        </is>
      </c>
      <c r="W6" s="377" t="inlineStr">
        <is>
          <t>是</t>
        </is>
      </c>
      <c r="X6" s="377" t="n"/>
      <c r="Y6" s="377" t="n"/>
      <c r="Z6" s="377" t="inlineStr">
        <is>
          <t>是</t>
        </is>
      </c>
      <c r="AA6" s="377" t="inlineStr">
        <is>
          <t>是</t>
        </is>
      </c>
      <c r="AB6" s="377" t="n"/>
      <c r="AC6" s="377" t="n"/>
      <c r="AD6" s="377" t="n"/>
      <c r="AE6" s="377" t="n"/>
      <c r="AF6" s="377" t="n"/>
      <c r="AG6" s="377" t="n"/>
      <c r="AH6" s="377" t="n"/>
      <c r="AI6" s="359" t="inlineStr">
        <is>
          <t>是</t>
        </is>
      </c>
      <c r="AJ6" s="119" t="n"/>
      <c r="AL6" s="7" t="n"/>
    </row>
    <row r="7" ht="26.25" customHeight="1" s="1053">
      <c r="A7" s="377" t="inlineStr">
        <is>
          <t>新宝利</t>
        </is>
      </c>
      <c r="B7" s="377" t="inlineStr">
        <is>
          <t>零期</t>
        </is>
      </c>
      <c r="C7" s="377" t="n">
        <v>4513265</v>
      </c>
      <c r="D7" s="377" t="inlineStr">
        <is>
          <t>10:20-12:30</t>
        </is>
      </c>
      <c r="E7" s="377" t="inlineStr">
        <is>
          <t>潜能班</t>
        </is>
      </c>
      <c r="F7" s="377" t="inlineStr">
        <is>
          <t>婧芸</t>
        </is>
      </c>
      <c r="G7" s="377" t="inlineStr">
        <is>
          <t>李润</t>
        </is>
      </c>
      <c r="H7" s="377" t="inlineStr">
        <is>
          <t>陈中帅</t>
        </is>
      </c>
      <c r="I7" s="377" t="inlineStr">
        <is>
          <t>肖锐03</t>
        </is>
      </c>
      <c r="J7" s="377" t="inlineStr">
        <is>
          <t>林志豪01</t>
        </is>
      </c>
      <c r="K7" s="377" t="n"/>
      <c r="L7" s="377" t="n"/>
      <c r="M7" s="377" t="inlineStr">
        <is>
          <t>自觉性一般</t>
        </is>
      </c>
      <c r="N7" s="377" t="inlineStr">
        <is>
          <t>语文本来是她的强项，作文经常跑题。阅读倒是扣分还不太多，基础分也扣</t>
        </is>
      </c>
      <c r="O7" s="377" t="inlineStr">
        <is>
          <t>诊断过，学生主动、活泼，愿意发言。一直上线上课</t>
        </is>
      </c>
      <c r="P7" s="377" t="n">
        <v>96.5</v>
      </c>
      <c r="Q7" s="377" t="n">
        <v>30</v>
      </c>
      <c r="R7" s="377" t="n"/>
      <c r="S7" s="377" t="n"/>
      <c r="T7" s="377" t="inlineStr">
        <is>
          <t>是</t>
        </is>
      </c>
      <c r="U7" s="377" t="inlineStr">
        <is>
          <t>是</t>
        </is>
      </c>
      <c r="V7" s="377" t="inlineStr">
        <is>
          <t>是</t>
        </is>
      </c>
      <c r="W7" s="377" t="inlineStr">
        <is>
          <t>是</t>
        </is>
      </c>
      <c r="X7" s="377" t="n"/>
      <c r="Y7" s="377" t="n"/>
      <c r="Z7" s="377" t="inlineStr">
        <is>
          <t>是</t>
        </is>
      </c>
      <c r="AA7" s="377" t="n"/>
      <c r="AB7" s="377" t="n"/>
      <c r="AC7" s="377" t="n"/>
      <c r="AD7" s="377" t="n"/>
      <c r="AE7" s="377" t="n"/>
      <c r="AF7" s="377" t="n"/>
      <c r="AG7" s="377" t="n"/>
      <c r="AH7" s="377" t="n"/>
      <c r="AJ7" s="119" t="n"/>
      <c r="AL7" s="7" t="n"/>
    </row>
    <row r="8" ht="26.25" customHeight="1" s="1053">
      <c r="A8" s="377" t="inlineStr">
        <is>
          <t>新宝利</t>
        </is>
      </c>
      <c r="B8" s="377" t="inlineStr">
        <is>
          <t>零期</t>
        </is>
      </c>
      <c r="C8" s="377" t="n">
        <v>4513265</v>
      </c>
      <c r="D8" s="377" t="inlineStr">
        <is>
          <t>10:20-12:30</t>
        </is>
      </c>
      <c r="E8" s="377" t="inlineStr">
        <is>
          <t>潜能班</t>
        </is>
      </c>
      <c r="F8" s="377" t="inlineStr">
        <is>
          <t>张曦元</t>
        </is>
      </c>
      <c r="G8" s="377" t="inlineStr">
        <is>
          <t>李润</t>
        </is>
      </c>
      <c r="H8" s="377" t="inlineStr">
        <is>
          <t>田雨涵01</t>
        </is>
      </c>
      <c r="I8" s="377" t="inlineStr">
        <is>
          <t>肖锐03</t>
        </is>
      </c>
      <c r="J8" s="377" t="inlineStr">
        <is>
          <t>林志豪01</t>
        </is>
      </c>
      <c r="K8" s="377" t="n"/>
      <c r="L8" s="377" t="n"/>
      <c r="M8" s="377" t="inlineStr">
        <is>
          <t>最主要就是错别字、阅读理解答不全</t>
        </is>
      </c>
      <c r="N8" s="377" t="inlineStr">
        <is>
          <t>听课没问题、落实有问题</t>
        </is>
      </c>
      <c r="O8" s="377" t="inlineStr">
        <is>
          <t>280，很开朗、爱发言、数学有补过课，英语考过K，给孩子借了初一的书，已经在背在学了</t>
        </is>
      </c>
      <c r="P8" s="377" t="inlineStr">
        <is>
          <t>90-95</t>
        </is>
      </c>
      <c r="Q8" s="377" t="n">
        <v>85</v>
      </c>
      <c r="R8" s="377" t="n"/>
      <c r="S8" s="377" t="n"/>
      <c r="T8" s="377" t="inlineStr">
        <is>
          <t>是</t>
        </is>
      </c>
      <c r="U8" s="377" t="inlineStr">
        <is>
          <t>是</t>
        </is>
      </c>
      <c r="V8" s="377" t="inlineStr">
        <is>
          <t>是</t>
        </is>
      </c>
      <c r="W8" s="377" t="inlineStr">
        <is>
          <t>是</t>
        </is>
      </c>
      <c r="X8" s="377" t="n"/>
      <c r="Y8" s="377" t="n"/>
      <c r="Z8" s="377" t="inlineStr">
        <is>
          <t>是</t>
        </is>
      </c>
      <c r="AA8" s="377" t="inlineStr">
        <is>
          <t>是</t>
        </is>
      </c>
      <c r="AB8" s="377" t="n"/>
      <c r="AC8" s="377" t="n"/>
      <c r="AD8" s="377" t="n"/>
      <c r="AE8" s="377" t="n"/>
      <c r="AF8" s="377" t="n"/>
      <c r="AG8" s="377" t="n"/>
      <c r="AH8" s="377" t="n"/>
      <c r="AI8" s="359" t="inlineStr">
        <is>
          <t>是</t>
        </is>
      </c>
      <c r="AJ8" s="119" t="inlineStr">
        <is>
          <t>妈妈说家里还有一个小的、也在附近上课，孩子活泼外向</t>
        </is>
      </c>
      <c r="AL8" s="7" t="n"/>
    </row>
    <row r="9" ht="26.25" customHeight="1" s="1053">
      <c r="A9" s="377" t="inlineStr">
        <is>
          <t>新宝利</t>
        </is>
      </c>
      <c r="B9" s="377" t="inlineStr">
        <is>
          <t>零期</t>
        </is>
      </c>
      <c r="C9" s="377" t="n">
        <v>4513265</v>
      </c>
      <c r="D9" s="377" t="inlineStr">
        <is>
          <t>10:20-12:30</t>
        </is>
      </c>
      <c r="E9" s="377" t="inlineStr">
        <is>
          <t>潜能班</t>
        </is>
      </c>
      <c r="F9" s="377" t="inlineStr">
        <is>
          <t>思宇</t>
        </is>
      </c>
      <c r="G9" s="377" t="inlineStr">
        <is>
          <t>李润</t>
        </is>
      </c>
      <c r="H9" s="377" t="inlineStr">
        <is>
          <t>田雨涵01</t>
        </is>
      </c>
      <c r="I9" s="377" t="inlineStr">
        <is>
          <t>肖锐03</t>
        </is>
      </c>
      <c r="J9" s="377" t="inlineStr">
        <is>
          <t>王达04</t>
        </is>
      </c>
      <c r="K9" s="377" t="n"/>
      <c r="L9" s="377" t="n"/>
      <c r="M9" s="377" t="inlineStr">
        <is>
          <t>不自律、全面靠盯</t>
        </is>
      </c>
      <c r="N9" s="377" t="inlineStr">
        <is>
          <t>妈妈说全面开花，从头扣到尾</t>
        </is>
      </c>
      <c r="O9" s="377" t="inlineStr">
        <is>
          <t>这是弟弟，哥哥初中不太管，孩子不自觉全靠家长盯，但是也没定起来。爱玩王者荣耀</t>
        </is>
      </c>
      <c r="P9" s="377" t="inlineStr">
        <is>
          <t>80-85</t>
        </is>
      </c>
      <c r="Q9" s="377" t="n"/>
      <c r="R9" s="377" t="n"/>
      <c r="S9" s="377" t="n"/>
      <c r="T9" s="377" t="inlineStr">
        <is>
          <t>是</t>
        </is>
      </c>
      <c r="U9" s="377" t="inlineStr">
        <is>
          <t>是</t>
        </is>
      </c>
      <c r="V9" s="377" t="inlineStr">
        <is>
          <t>是</t>
        </is>
      </c>
      <c r="W9" s="377" t="inlineStr">
        <is>
          <t>是</t>
        </is>
      </c>
      <c r="X9" s="377" t="n"/>
      <c r="Y9" s="377" t="n"/>
      <c r="Z9" s="377" t="inlineStr">
        <is>
          <t>是</t>
        </is>
      </c>
      <c r="AA9" s="377" t="inlineStr">
        <is>
          <t>是</t>
        </is>
      </c>
      <c r="AB9" s="377" t="n"/>
      <c r="AC9" s="377" t="n"/>
      <c r="AD9" s="377" t="n"/>
      <c r="AE9" s="377" t="n"/>
      <c r="AF9" s="377" t="n"/>
      <c r="AG9" s="377" t="n"/>
      <c r="AH9" s="377" t="n"/>
      <c r="AI9" s="359" t="inlineStr">
        <is>
          <t>是</t>
        </is>
      </c>
      <c r="AJ9" s="214" t="inlineStr">
        <is>
          <t>妈妈说孩子被数学老师也投诉了，所以晚上妈妈收拾了一下，晚上会接，妈妈说可以留堂</t>
        </is>
      </c>
      <c r="AL9" s="7" t="n"/>
    </row>
    <row r="10" ht="26.25" customHeight="1" s="1053">
      <c r="A10" s="377" t="inlineStr">
        <is>
          <t>同创汇</t>
        </is>
      </c>
      <c r="B10" s="377" t="inlineStr">
        <is>
          <t>二期</t>
        </is>
      </c>
      <c r="C10" s="119" t="n">
        <v>5230809</v>
      </c>
      <c r="D10" s="119" t="inlineStr">
        <is>
          <t>10:20-12:30</t>
        </is>
      </c>
      <c r="E10" s="377" t="inlineStr">
        <is>
          <t>潜能班</t>
        </is>
      </c>
      <c r="F10" s="377" t="inlineStr">
        <is>
          <t>戴圆圆</t>
        </is>
      </c>
      <c r="G10" s="377" t="inlineStr">
        <is>
          <t>李润</t>
        </is>
      </c>
      <c r="H10" s="377" t="inlineStr">
        <is>
          <t>田雨涵01</t>
        </is>
      </c>
      <c r="I10" s="377" t="inlineStr">
        <is>
          <t>肖锐03</t>
        </is>
      </c>
      <c r="J10" s="377" t="inlineStr">
        <is>
          <t>杨林33</t>
        </is>
      </c>
      <c r="K10" s="377" t="n"/>
      <c r="L10" s="377" t="n"/>
      <c r="M10" s="377" t="inlineStr">
        <is>
          <t>靠自己</t>
        </is>
      </c>
      <c r="N10" s="377" t="inlineStr">
        <is>
          <t>阅读弱、基础</t>
        </is>
      </c>
      <c r="O10" s="377" t="inlineStr">
        <is>
          <t>不太喜欢语文，孩子感觉付出很多但是没回报，多鼓励，看很多书，福尔摩斯、科学、历史都看，但不看文学类，已经自己在学物理化学了，但妈妈还是比较担心语文,上课调到前排坐</t>
        </is>
      </c>
      <c r="P10" s="377" t="inlineStr">
        <is>
          <t>85上下</t>
        </is>
      </c>
      <c r="Q10" s="377" t="n">
        <v>31</v>
      </c>
      <c r="R10" s="377" t="n"/>
      <c r="S10" s="377" t="n"/>
      <c r="T10" s="377" t="inlineStr">
        <is>
          <t>是</t>
        </is>
      </c>
      <c r="U10" s="377" t="inlineStr">
        <is>
          <t>是</t>
        </is>
      </c>
      <c r="V10" s="377" t="inlineStr">
        <is>
          <t>是</t>
        </is>
      </c>
      <c r="W10" s="377" t="inlineStr">
        <is>
          <t>是</t>
        </is>
      </c>
      <c r="X10" s="377" t="n"/>
      <c r="Y10" s="377" t="inlineStr">
        <is>
          <t>是</t>
        </is>
      </c>
      <c r="Z10" s="377" t="inlineStr">
        <is>
          <t>是</t>
        </is>
      </c>
      <c r="AA10" s="377" t="n"/>
      <c r="AB10" s="377" t="n"/>
      <c r="AC10" s="377" t="n"/>
      <c r="AD10" s="377" t="n"/>
      <c r="AE10" s="377" t="n"/>
      <c r="AF10" s="377" t="n"/>
      <c r="AG10" s="377" t="n"/>
      <c r="AH10" s="377" t="n"/>
      <c r="AJ10" s="281" t="n"/>
    </row>
    <row r="11" ht="26.25" customHeight="1" s="1053">
      <c r="A11" s="377" t="inlineStr">
        <is>
          <t>新宝利</t>
        </is>
      </c>
      <c r="B11" s="377" t="inlineStr">
        <is>
          <t>零期</t>
        </is>
      </c>
      <c r="C11" s="377" t="n">
        <v>4513265</v>
      </c>
      <c r="D11" s="377" t="inlineStr">
        <is>
          <t>10:20-12:30</t>
        </is>
      </c>
      <c r="E11" s="377" t="inlineStr">
        <is>
          <t>潜能班</t>
        </is>
      </c>
      <c r="F11" s="377" t="inlineStr">
        <is>
          <t>朱哲辰</t>
        </is>
      </c>
      <c r="G11" s="377" t="inlineStr">
        <is>
          <t>李润</t>
        </is>
      </c>
      <c r="H11" s="377" t="inlineStr">
        <is>
          <t>田雨涵01</t>
        </is>
      </c>
      <c r="I11" s="377" t="inlineStr">
        <is>
          <t>肖锐03</t>
        </is>
      </c>
      <c r="J11" s="377" t="inlineStr">
        <is>
          <t>王达04</t>
        </is>
      </c>
      <c r="K11" s="377" t="n"/>
      <c r="L11" s="377" t="n"/>
      <c r="M11" s="377" t="inlineStr">
        <is>
          <t>自觉性不好</t>
        </is>
      </c>
      <c r="N11" s="377" t="inlineStr">
        <is>
          <t>写字、阅读</t>
        </is>
      </c>
      <c r="O11" s="377" t="inlineStr">
        <is>
          <t>一二年纪上网课，也没经济外面补课，想提前学，底子没打好，二年级放学托管做作业，家长辅导不了四五年纪，上周六上了博闻的课，孩子有游泳课，慢一拍，善良老实，作业写到十二点</t>
        </is>
      </c>
      <c r="P11" s="377" t="inlineStr">
        <is>
          <t>85上下</t>
        </is>
      </c>
      <c r="Q11" s="377" t="n">
        <v>32</v>
      </c>
      <c r="R11" s="377" t="n"/>
      <c r="S11" s="377" t="n"/>
      <c r="T11" s="377" t="inlineStr">
        <is>
          <t>是</t>
        </is>
      </c>
      <c r="U11" s="377" t="inlineStr">
        <is>
          <t>是</t>
        </is>
      </c>
      <c r="V11" s="377" t="inlineStr">
        <is>
          <t>是</t>
        </is>
      </c>
      <c r="W11" s="377" t="inlineStr">
        <is>
          <t>是</t>
        </is>
      </c>
      <c r="X11" s="377" t="n"/>
      <c r="Y11" s="377" t="n"/>
      <c r="Z11" s="377" t="n"/>
      <c r="AA11" s="377" t="n"/>
      <c r="AB11" s="377" t="n"/>
      <c r="AC11" s="377" t="n"/>
      <c r="AD11" s="377" t="n"/>
      <c r="AE11" s="377" t="n"/>
      <c r="AF11" s="377" t="n"/>
      <c r="AG11" s="377" t="n"/>
      <c r="AH11" s="377" t="n"/>
      <c r="AJ11" s="281" t="n"/>
      <c r="AL11" s="119" t="n"/>
    </row>
    <row r="12" ht="26.25" customHeight="1" s="1053">
      <c r="A12" s="377" t="inlineStr">
        <is>
          <t>新宝利</t>
        </is>
      </c>
      <c r="B12" s="377" t="inlineStr">
        <is>
          <t>零期</t>
        </is>
      </c>
      <c r="C12" s="377" t="n">
        <v>4513265</v>
      </c>
      <c r="D12" s="377" t="inlineStr">
        <is>
          <t>10:20-12:30</t>
        </is>
      </c>
      <c r="E12" s="377" t="inlineStr">
        <is>
          <t>潜能班</t>
        </is>
      </c>
      <c r="F12" s="377" t="inlineStr">
        <is>
          <t>李仪璐</t>
        </is>
      </c>
      <c r="G12" s="377" t="inlineStr">
        <is>
          <t>李润</t>
        </is>
      </c>
      <c r="H12" s="377" t="inlineStr">
        <is>
          <t>田雨涵01</t>
        </is>
      </c>
      <c r="I12" s="377" t="inlineStr">
        <is>
          <t>肖锐03</t>
        </is>
      </c>
      <c r="J12" s="377" t="inlineStr">
        <is>
          <t>林志豪01</t>
        </is>
      </c>
      <c r="K12" s="377" t="n"/>
      <c r="L12" s="377" t="n"/>
      <c r="M12" s="377" t="inlineStr">
        <is>
          <t>拖拉，得过且过但心态好</t>
        </is>
      </c>
      <c r="N12" s="377" t="inlineStr">
        <is>
          <t>不自觉，心思不在学习上</t>
        </is>
      </c>
      <c r="O12" s="377" t="inlineStr">
        <is>
          <t>26寒特惠学员，未转化。姐姐也在作业帮上课，比妹妹自觉，妈妈觉得妹妹太佛系了</t>
        </is>
      </c>
      <c r="P12" s="377" t="n"/>
      <c r="Q12" s="377" t="n">
        <v>29</v>
      </c>
      <c r="R12" s="377" t="n"/>
      <c r="S12" s="377" t="n"/>
      <c r="T12" s="377" t="inlineStr">
        <is>
          <t>是</t>
        </is>
      </c>
      <c r="U12" s="377" t="inlineStr">
        <is>
          <t>是</t>
        </is>
      </c>
      <c r="V12" s="377" t="inlineStr">
        <is>
          <t>是</t>
        </is>
      </c>
      <c r="W12" s="377" t="inlineStr">
        <is>
          <t>是</t>
        </is>
      </c>
      <c r="X12" s="377" t="n"/>
      <c r="Y12" s="377" t="inlineStr">
        <is>
          <t>是</t>
        </is>
      </c>
      <c r="Z12" s="377" t="inlineStr">
        <is>
          <t>是</t>
        </is>
      </c>
      <c r="AA12" s="377" t="inlineStr">
        <is>
          <t>是</t>
        </is>
      </c>
      <c r="AB12" s="377" t="n"/>
      <c r="AC12" s="377" t="n"/>
      <c r="AD12" s="377" t="n"/>
      <c r="AE12" s="377" t="n"/>
      <c r="AF12" s="377" t="n"/>
      <c r="AG12" s="377" t="n"/>
      <c r="AH12" s="377" t="n"/>
      <c r="AI12" s="359" t="inlineStr">
        <is>
          <t>是</t>
        </is>
      </c>
      <c r="AJ12" s="281" t="inlineStr">
        <is>
          <t>孩子佛系，妈妈希望孩子能有主动性</t>
        </is>
      </c>
      <c r="AL12" s="7" t="n"/>
    </row>
    <row r="13" ht="26.25" customHeight="1" s="1053">
      <c r="A13" s="377" t="inlineStr">
        <is>
          <t>新宝利</t>
        </is>
      </c>
      <c r="B13" s="377" t="inlineStr">
        <is>
          <t>零期</t>
        </is>
      </c>
      <c r="C13" s="377" t="n">
        <v>4513265</v>
      </c>
      <c r="D13" s="377" t="inlineStr">
        <is>
          <t>10:20-12:30</t>
        </is>
      </c>
      <c r="E13" s="377" t="inlineStr">
        <is>
          <t>潜能班</t>
        </is>
      </c>
      <c r="F13" s="377" t="inlineStr">
        <is>
          <t>李尔然</t>
        </is>
      </c>
      <c r="G13" s="377" t="inlineStr">
        <is>
          <t>李润</t>
        </is>
      </c>
      <c r="H13" s="377" t="inlineStr">
        <is>
          <t>陈中帅</t>
        </is>
      </c>
      <c r="I13" s="377" t="inlineStr">
        <is>
          <t>肖锐03</t>
        </is>
      </c>
      <c r="J13" s="377" t="inlineStr">
        <is>
          <t>林志豪01</t>
        </is>
      </c>
      <c r="K13" s="377" t="n"/>
      <c r="L13" s="377" t="n"/>
      <c r="M13" s="377" t="n"/>
      <c r="N13" s="377" t="inlineStr">
        <is>
          <t>阅读</t>
        </is>
      </c>
      <c r="O13" s="377" t="inlineStr">
        <is>
          <t>中帅老生</t>
        </is>
      </c>
      <c r="P13" s="377" t="n"/>
      <c r="Q13" s="377" t="n"/>
      <c r="R13" s="377" t="n"/>
      <c r="S13" s="377" t="n"/>
      <c r="T13" s="377" t="inlineStr">
        <is>
          <t>是</t>
        </is>
      </c>
      <c r="U13" s="377" t="inlineStr">
        <is>
          <t>是</t>
        </is>
      </c>
      <c r="V13" s="377" t="inlineStr">
        <is>
          <t>是</t>
        </is>
      </c>
      <c r="W13" s="377" t="inlineStr">
        <is>
          <t>是</t>
        </is>
      </c>
      <c r="X13" s="377" t="n"/>
      <c r="Y13" s="377" t="inlineStr">
        <is>
          <t>是</t>
        </is>
      </c>
      <c r="Z13" s="377" t="inlineStr">
        <is>
          <t>是</t>
        </is>
      </c>
      <c r="AA13" s="377" t="inlineStr">
        <is>
          <t>是</t>
        </is>
      </c>
      <c r="AB13" s="377" t="n"/>
      <c r="AC13" s="377" t="n"/>
      <c r="AD13" s="377" t="n"/>
      <c r="AE13" s="377" t="inlineStr">
        <is>
          <t>妈妈担心孩子初中太累，吸收不了那么多，要和孩子聊聊</t>
        </is>
      </c>
      <c r="AF13" s="377" t="n"/>
      <c r="AG13" s="377" t="n"/>
      <c r="AH13" s="377" t="n"/>
      <c r="AJ13" s="281" t="n"/>
      <c r="AL13" s="7" t="n"/>
    </row>
    <row r="14" ht="26.25" customHeight="1" s="1053">
      <c r="A14" s="377" t="inlineStr">
        <is>
          <t>新宝利</t>
        </is>
      </c>
      <c r="B14" s="377" t="inlineStr">
        <is>
          <t>零期</t>
        </is>
      </c>
      <c r="C14" s="377" t="n">
        <v>4513265</v>
      </c>
      <c r="D14" s="377" t="inlineStr">
        <is>
          <t>10:20-12:30</t>
        </is>
      </c>
      <c r="E14" s="377" t="inlineStr">
        <is>
          <t>潜能班</t>
        </is>
      </c>
      <c r="F14" s="377" t="inlineStr">
        <is>
          <t>段雨芯</t>
        </is>
      </c>
      <c r="G14" s="377" t="inlineStr">
        <is>
          <t>李润</t>
        </is>
      </c>
      <c r="H14" s="377" t="inlineStr">
        <is>
          <t>陈中帅</t>
        </is>
      </c>
      <c r="I14" s="377" t="inlineStr">
        <is>
          <t>肖锐03</t>
        </is>
      </c>
      <c r="J14" s="377" t="inlineStr">
        <is>
          <t>林志豪01</t>
        </is>
      </c>
      <c r="K14" s="377" t="n"/>
      <c r="L14" s="377" t="n"/>
      <c r="M14" s="377" t="inlineStr">
        <is>
          <t>靠自己</t>
        </is>
      </c>
      <c r="N14" s="377" t="inlineStr">
        <is>
          <t>妈妈不知道她哪些有问题，上到六下成绩开始掉</t>
        </is>
      </c>
      <c r="O14" s="377" t="inlineStr">
        <is>
          <t>妈妈是医院夜班护士，在白云，孩子由张曦元妈妈带，妈妈也不知道孩子有什么问题，说孩子作业会写到很晚，一辅导妈妈就生气</t>
        </is>
      </c>
      <c r="P14" s="377" t="inlineStr">
        <is>
          <t>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n"/>
      <c r="AJ14" s="281" t="n"/>
      <c r="AL14" s="7" t="n"/>
    </row>
    <row r="15" ht="26.25" customHeight="1" s="1053">
      <c r="A15" s="377" t="inlineStr">
        <is>
          <t>新宝利</t>
        </is>
      </c>
      <c r="B15" s="377" t="inlineStr">
        <is>
          <t>零期</t>
        </is>
      </c>
      <c r="C15" s="377" t="n">
        <v>4513265</v>
      </c>
      <c r="D15" s="377" t="inlineStr">
        <is>
          <t>10:20-12:30</t>
        </is>
      </c>
      <c r="E15" s="377" t="inlineStr">
        <is>
          <t>潜能班</t>
        </is>
      </c>
      <c r="F15" s="377" t="inlineStr">
        <is>
          <t>沈锦涵</t>
        </is>
      </c>
      <c r="G15" s="377" t="inlineStr">
        <is>
          <t>李润</t>
        </is>
      </c>
      <c r="H15" s="377" t="inlineStr">
        <is>
          <t>陈中帅</t>
        </is>
      </c>
      <c r="I15" s="377" t="inlineStr">
        <is>
          <t>肖锐03</t>
        </is>
      </c>
      <c r="J15" s="377" t="inlineStr">
        <is>
          <t>王达04</t>
        </is>
      </c>
      <c r="K15" s="377" t="n"/>
      <c r="L15" s="377" t="n"/>
      <c r="M15" s="377" t="inlineStr">
        <is>
          <t>妈妈规划安排给孩子</t>
        </is>
      </c>
      <c r="N15" s="377" t="inlineStr">
        <is>
          <t>衔接初中</t>
        </is>
      </c>
      <c r="O15" s="377" t="inlineStr">
        <is>
          <t>目的提前预习初中和分班考，孩子不太乐意上补习班，之前断断续续上过很多不同的班，都没有长学。妈妈佛系，差不多就行。之前报名是0期课。回放后说孩子不想来、有退路因为有线上课</t>
        </is>
      </c>
      <c r="P15" s="377" t="inlineStr">
        <is>
          <t>90-95</t>
        </is>
      </c>
      <c r="Q15" s="377" t="n"/>
      <c r="R15" s="377" t="n"/>
      <c r="S15" s="377" t="n"/>
      <c r="T15" s="377" t="inlineStr">
        <is>
          <t>是</t>
        </is>
      </c>
      <c r="U15" s="377" t="inlineStr">
        <is>
          <t>是</t>
        </is>
      </c>
      <c r="V15" s="377" t="inlineStr">
        <is>
          <t>是</t>
        </is>
      </c>
      <c r="W15" s="377" t="inlineStr">
        <is>
          <t>是</t>
        </is>
      </c>
      <c r="X15" s="377" t="n"/>
      <c r="Y15" s="377" t="inlineStr">
        <is>
          <t>是</t>
        </is>
      </c>
      <c r="Z15" s="377" t="inlineStr">
        <is>
          <t>是</t>
        </is>
      </c>
      <c r="AA15" s="377" t="inlineStr">
        <is>
          <t>是</t>
        </is>
      </c>
      <c r="AB15" s="377" t="n"/>
      <c r="AC15" s="377" t="n"/>
      <c r="AD15" s="377" t="n"/>
      <c r="AE15" s="377" t="n"/>
      <c r="AF15" s="377" t="n"/>
      <c r="AG15" s="377" t="n"/>
      <c r="AH15" s="377" t="n"/>
      <c r="AJ15" s="281" t="n"/>
      <c r="AL15" s="7" t="n"/>
    </row>
    <row r="16" ht="26.25" customHeight="1" s="1053">
      <c r="A16" s="377" t="inlineStr">
        <is>
          <t>新宝利</t>
        </is>
      </c>
      <c r="B16" s="377" t="inlineStr">
        <is>
          <t>零期</t>
        </is>
      </c>
      <c r="C16" s="377" t="n">
        <v>4513265</v>
      </c>
      <c r="D16" s="377" t="inlineStr">
        <is>
          <t>10:20-12:30</t>
        </is>
      </c>
      <c r="E16" s="377" t="inlineStr">
        <is>
          <t>潜能班</t>
        </is>
      </c>
      <c r="F16" s="377" t="inlineStr">
        <is>
          <t>穆邵瀚</t>
        </is>
      </c>
      <c r="G16" s="377" t="inlineStr">
        <is>
          <t>李润</t>
        </is>
      </c>
      <c r="H16" s="377" t="inlineStr">
        <is>
          <t>田雨涵01</t>
        </is>
      </c>
      <c r="I16" s="377" t="inlineStr">
        <is>
          <t>肖锐03</t>
        </is>
      </c>
      <c r="J16" s="377" t="inlineStr">
        <is>
          <t>张敏烨</t>
        </is>
      </c>
      <c r="K16" s="377" t="n"/>
      <c r="L16" s="377" t="n"/>
      <c r="M16" s="377" t="inlineStr">
        <is>
          <t>孩子不自觉、喜欢快点做完应付了事，妈妈在盯</t>
        </is>
      </c>
      <c r="N16" s="377" t="inlineStr">
        <is>
          <t>阅读。暑假想先学衔接初中</t>
        </is>
      </c>
      <c r="O16" s="377" t="inlineStr">
        <is>
          <t>孩子爱说话、爱接话，喜欢打篮球，电子设备严管，目前期末冲刺家里找了一个一对一数学大学生家教。妈妈还是想提分</t>
        </is>
      </c>
      <c r="P16" s="377" t="inlineStr">
        <is>
          <t>B</t>
        </is>
      </c>
      <c r="Q16" s="377" t="n">
        <v>30</v>
      </c>
      <c r="R16" s="377" t="n"/>
      <c r="S16" s="377" t="n"/>
      <c r="T16" s="377" t="inlineStr">
        <is>
          <t>是</t>
        </is>
      </c>
      <c r="U16" s="377" t="inlineStr">
        <is>
          <t>是</t>
        </is>
      </c>
      <c r="V16" s="377" t="inlineStr">
        <is>
          <t>是</t>
        </is>
      </c>
      <c r="W16" s="377" t="inlineStr">
        <is>
          <t>是</t>
        </is>
      </c>
      <c r="X16" s="377" t="n"/>
      <c r="Y16" s="377" t="n"/>
      <c r="Z16" s="377" t="inlineStr">
        <is>
          <t>是</t>
        </is>
      </c>
      <c r="AA16" s="377" t="inlineStr">
        <is>
          <t>是</t>
        </is>
      </c>
      <c r="AB16" s="377" t="n"/>
      <c r="AC16" s="377" t="n"/>
      <c r="AD16" s="377" t="n"/>
      <c r="AE16" s="377" t="n"/>
      <c r="AF16" s="377" t="n"/>
      <c r="AG16" s="377" t="n"/>
      <c r="AH16" s="377" t="n"/>
      <c r="AI16" s="359" t="inlineStr">
        <is>
          <t>是</t>
        </is>
      </c>
      <c r="AJ16" s="281" t="inlineStr">
        <is>
          <t>要鼓励</t>
        </is>
      </c>
      <c r="AL16" s="119" t="n"/>
    </row>
    <row r="17" ht="26.25" customHeight="1" s="1053">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7" t="inlineStr">
        <is>
          <t>是</t>
        </is>
      </c>
      <c r="X17" s="164" t="n"/>
      <c r="Y17" s="164" t="n"/>
      <c r="Z17" s="377" t="inlineStr">
        <is>
          <t>是</t>
        </is>
      </c>
      <c r="AA17" s="377" t="inlineStr">
        <is>
          <t>是</t>
        </is>
      </c>
      <c r="AB17" s="164" t="n"/>
      <c r="AC17" s="164" t="n"/>
      <c r="AD17" s="164" t="n"/>
      <c r="AE17" s="164" t="n"/>
      <c r="AF17" s="164" t="n"/>
      <c r="AG17" s="164" t="n"/>
      <c r="AH17" s="164" t="n"/>
      <c r="AI17" s="359" t="inlineStr">
        <is>
          <t>是</t>
        </is>
      </c>
      <c r="AJ17" s="281" t="inlineStr">
        <is>
          <t>妈妈说孩子吸收慢，没想到第一天能吸收那么多</t>
        </is>
      </c>
      <c r="AL17" s="7" t="n"/>
    </row>
    <row r="18" ht="26.25" customHeight="1" s="1053">
      <c r="A18" s="377" t="inlineStr">
        <is>
          <t>新宝利</t>
        </is>
      </c>
      <c r="B18" s="377" t="inlineStr">
        <is>
          <t>零期</t>
        </is>
      </c>
      <c r="C18" s="377" t="n">
        <v>4513265</v>
      </c>
      <c r="D18" s="377" t="inlineStr">
        <is>
          <t>10:20-12:30</t>
        </is>
      </c>
      <c r="E18" s="377" t="inlineStr">
        <is>
          <t>潜能班</t>
        </is>
      </c>
      <c r="F18" s="377" t="inlineStr">
        <is>
          <t>詹培琳</t>
        </is>
      </c>
      <c r="G18" s="377" t="inlineStr">
        <is>
          <t>李润</t>
        </is>
      </c>
      <c r="H18" s="377" t="inlineStr">
        <is>
          <t>田雨涵01</t>
        </is>
      </c>
      <c r="I18" s="377" t="inlineStr">
        <is>
          <t>肖锐03</t>
        </is>
      </c>
      <c r="J18" s="377" t="inlineStr">
        <is>
          <t>杨林33</t>
        </is>
      </c>
      <c r="K18" s="377" t="n"/>
      <c r="L18" s="377" t="n"/>
      <c r="M18" s="377" t="inlineStr">
        <is>
          <t>自主</t>
        </is>
      </c>
      <c r="N18" s="377" t="inlineStr">
        <is>
          <t>零零散散都有扣分，主要为了衔接初中</t>
        </is>
      </c>
      <c r="O18" s="377" t="inlineStr">
        <is>
          <t>从没上过课外班，家长应该对费用比较敏感，反复问了期末课是不是免费。诊断过，文言文比较弱</t>
        </is>
      </c>
      <c r="P18" s="377" t="inlineStr">
        <is>
          <t>90-95</t>
        </is>
      </c>
      <c r="Q18" s="377" t="n">
        <v>33</v>
      </c>
      <c r="R18" s="377" t="n"/>
      <c r="S18" s="377" t="n"/>
      <c r="T18" s="377" t="inlineStr">
        <is>
          <t>是</t>
        </is>
      </c>
      <c r="U18" s="377" t="inlineStr">
        <is>
          <t>是</t>
        </is>
      </c>
      <c r="V18" s="377" t="inlineStr">
        <is>
          <t>是</t>
        </is>
      </c>
      <c r="W18" s="377" t="inlineStr">
        <is>
          <t>是</t>
        </is>
      </c>
      <c r="X18" s="377" t="n"/>
      <c r="Y18" s="377" t="n"/>
      <c r="Z18" s="377" t="inlineStr">
        <is>
          <t>是</t>
        </is>
      </c>
      <c r="AA18" s="377" t="n"/>
      <c r="AB18" s="377" t="n"/>
      <c r="AC18" s="377" t="n"/>
      <c r="AD18" s="377" t="n"/>
      <c r="AE18" s="377" t="n"/>
      <c r="AF18" s="377" t="n"/>
      <c r="AG18" s="377" t="n"/>
      <c r="AH18" s="377" t="n"/>
      <c r="AI18" s="359" t="inlineStr">
        <is>
          <t>是</t>
        </is>
      </c>
      <c r="AJ18" s="281" t="n"/>
      <c r="AL18" s="119" t="n"/>
    </row>
    <row r="19" ht="26.25" customHeight="1" s="1053">
      <c r="A19" s="377" t="inlineStr">
        <is>
          <t>新宝利</t>
        </is>
      </c>
      <c r="B19" s="377" t="inlineStr">
        <is>
          <t>零期</t>
        </is>
      </c>
      <c r="C19" s="377" t="n">
        <v>4513265</v>
      </c>
      <c r="D19" s="377" t="inlineStr">
        <is>
          <t>10:20-12:30</t>
        </is>
      </c>
      <c r="E19" s="377" t="inlineStr">
        <is>
          <t>潜能班</t>
        </is>
      </c>
      <c r="F19" s="377" t="inlineStr">
        <is>
          <t>詹馨宁</t>
        </is>
      </c>
      <c r="G19" s="377" t="inlineStr">
        <is>
          <t>李润</t>
        </is>
      </c>
      <c r="H19" s="377" t="inlineStr">
        <is>
          <t>田雨涵01</t>
        </is>
      </c>
      <c r="I19" s="377" t="inlineStr">
        <is>
          <t>肖锐03</t>
        </is>
      </c>
      <c r="J19" s="377" t="inlineStr">
        <is>
          <t>林志豪01</t>
        </is>
      </c>
      <c r="K19" s="377" t="n"/>
      <c r="L19" s="377" t="n"/>
      <c r="M19" s="377" t="inlineStr">
        <is>
          <t>比较自觉</t>
        </is>
      </c>
      <c r="N19" s="377" t="n"/>
      <c r="O19" s="377" t="inlineStr">
        <is>
          <t>一直有补课习惯，姐姐和弟弟之前在蓝天教育补课，但弟弟在蓝天的班被来回调两个孩子没办法在一起上所以想换机构</t>
        </is>
      </c>
      <c r="P19" s="377" t="n"/>
      <c r="Q19" s="377" t="n">
        <v>29</v>
      </c>
      <c r="R19" s="377" t="n"/>
      <c r="S19" s="377" t="n"/>
      <c r="T19" s="377" t="inlineStr">
        <is>
          <t>是</t>
        </is>
      </c>
      <c r="U19" s="377" t="inlineStr">
        <is>
          <t>是</t>
        </is>
      </c>
      <c r="V19" s="377" t="inlineStr">
        <is>
          <t>是</t>
        </is>
      </c>
      <c r="W19" s="377" t="inlineStr">
        <is>
          <t>是</t>
        </is>
      </c>
      <c r="X19" s="377" t="n"/>
      <c r="Y19" s="377" t="n"/>
      <c r="Z19" s="377" t="n"/>
      <c r="AA19" s="377" t="n"/>
      <c r="AB19" s="377" t="n"/>
      <c r="AC19" s="377" t="n"/>
      <c r="AD19" s="377" t="n"/>
      <c r="AE19" s="377" t="n"/>
      <c r="AF19" s="377" t="n"/>
      <c r="AG19" s="377" t="n"/>
      <c r="AH19" s="377" t="n"/>
      <c r="AJ19" s="281" t="n"/>
      <c r="AL19" s="7" t="n"/>
    </row>
    <row r="20" ht="26.25" customHeight="1" s="1053">
      <c r="A20" s="377" t="inlineStr">
        <is>
          <t>新宝利</t>
        </is>
      </c>
      <c r="B20" s="377" t="inlineStr">
        <is>
          <t>零期</t>
        </is>
      </c>
      <c r="C20" s="377" t="n">
        <v>4513265</v>
      </c>
      <c r="D20" s="377" t="inlineStr">
        <is>
          <t>10:20-12:30</t>
        </is>
      </c>
      <c r="E20" s="377" t="inlineStr">
        <is>
          <t>潜能班</t>
        </is>
      </c>
      <c r="F20" s="377" t="inlineStr">
        <is>
          <t>赖雨甜</t>
        </is>
      </c>
      <c r="G20" s="377" t="inlineStr">
        <is>
          <t>李润</t>
        </is>
      </c>
      <c r="H20" s="377" t="inlineStr">
        <is>
          <t>田雨涵01</t>
        </is>
      </c>
      <c r="I20" s="377" t="inlineStr">
        <is>
          <t>肖锐03</t>
        </is>
      </c>
      <c r="J20" s="377" t="inlineStr">
        <is>
          <t>陈亮延</t>
        </is>
      </c>
      <c r="K20" s="377" t="n"/>
      <c r="L20" s="377" t="inlineStr">
        <is>
          <t>育才实验</t>
        </is>
      </c>
      <c r="M20" s="377" t="inlineStr">
        <is>
          <t>靠自己</t>
        </is>
      </c>
      <c r="N20" s="377" t="inlineStr">
        <is>
          <t>家里工作比较忙，主要想衔接一下，开学有分班考</t>
        </is>
      </c>
      <c r="O20" s="377" t="inlineStr">
        <is>
          <t>数学、英语有上过，语文没补过，孩子想试试不同的老师，之前在卓越学。问问孩子意愿</t>
        </is>
      </c>
      <c r="P20" s="377" t="n">
        <v>95</v>
      </c>
      <c r="Q20" s="377" t="n"/>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J20" s="281" t="n"/>
      <c r="AL20" s="7" t="n"/>
    </row>
    <row r="21" ht="26.25" customHeight="1" s="1053">
      <c r="A21" s="377" t="inlineStr">
        <is>
          <t>新宝利</t>
        </is>
      </c>
      <c r="B21" s="377" t="inlineStr">
        <is>
          <t>零期</t>
        </is>
      </c>
      <c r="C21" s="377" t="n">
        <v>4513265</v>
      </c>
      <c r="D21" s="377" t="inlineStr">
        <is>
          <t>10:20-12:30</t>
        </is>
      </c>
      <c r="E21" s="377" t="inlineStr">
        <is>
          <t>潜能班</t>
        </is>
      </c>
      <c r="F21" s="377" t="inlineStr">
        <is>
          <t>钟博睿</t>
        </is>
      </c>
      <c r="G21" s="377" t="inlineStr">
        <is>
          <t>李润</t>
        </is>
      </c>
      <c r="H21" s="377" t="inlineStr">
        <is>
          <t>田雨涵01</t>
        </is>
      </c>
      <c r="I21" s="377" t="inlineStr">
        <is>
          <t>肖锐03</t>
        </is>
      </c>
      <c r="J21" s="377" t="inlineStr">
        <is>
          <t>陈亮延</t>
        </is>
      </c>
      <c r="K21" s="315" t="inlineStr">
        <is>
          <t>回民</t>
        </is>
      </c>
      <c r="L21" s="315" t="inlineStr">
        <is>
          <t>三中</t>
        </is>
      </c>
      <c r="M21" s="377" t="inlineStr">
        <is>
          <t>靠自己</t>
        </is>
      </c>
      <c r="N21" s="377" t="inlineStr">
        <is>
          <t>阅读、作文跑题、流水账</t>
        </is>
      </c>
      <c r="O21" s="377" t="inlineStr">
        <is>
          <t>语文比较弱，不看书，错别字多，和平精英和三角洲，先休再玩。孩子不爱上课外班</t>
        </is>
      </c>
      <c r="P21" s="377" t="inlineStr">
        <is>
          <t>80-90</t>
        </is>
      </c>
      <c r="Q21" s="377" t="n">
        <v>25</v>
      </c>
      <c r="R21" s="377" t="n"/>
      <c r="S21" s="377" t="n"/>
      <c r="T21" s="377" t="inlineStr">
        <is>
          <t>是</t>
        </is>
      </c>
      <c r="U21" s="377" t="inlineStr">
        <is>
          <t>是</t>
        </is>
      </c>
      <c r="V21" s="377" t="inlineStr">
        <is>
          <t>是</t>
        </is>
      </c>
      <c r="W21" s="377" t="inlineStr">
        <is>
          <t>是</t>
        </is>
      </c>
      <c r="X21" s="377" t="n"/>
      <c r="Y21" s="377" t="inlineStr">
        <is>
          <t>是</t>
        </is>
      </c>
      <c r="Z21" s="377" t="n"/>
      <c r="AA21" s="377" t="n"/>
      <c r="AB21" s="377" t="n"/>
      <c r="AC21" s="377" t="n"/>
      <c r="AD21" s="377" t="n"/>
      <c r="AE21" s="377" t="n"/>
      <c r="AF21" s="377" t="n"/>
      <c r="AG21" s="377" t="n"/>
      <c r="AH21" s="377" t="n"/>
      <c r="AI21" s="359" t="inlineStr">
        <is>
          <t>是</t>
        </is>
      </c>
      <c r="AJ21" s="281" t="n"/>
      <c r="AL21" s="7" t="n"/>
    </row>
    <row r="22" ht="26.25" customHeight="1" s="1053">
      <c r="A22" s="377" t="inlineStr">
        <is>
          <t>新宝利</t>
        </is>
      </c>
      <c r="B22" s="377" t="inlineStr">
        <is>
          <t>零期</t>
        </is>
      </c>
      <c r="C22" s="377" t="n">
        <v>4513265</v>
      </c>
      <c r="D22" s="377" t="inlineStr">
        <is>
          <t>10:20-12:30</t>
        </is>
      </c>
      <c r="E22" s="377" t="inlineStr">
        <is>
          <t>潜能班</t>
        </is>
      </c>
      <c r="F22" s="377" t="inlineStr">
        <is>
          <t>钟欣妍</t>
        </is>
      </c>
      <c r="G22" s="377" t="inlineStr">
        <is>
          <t>李润</t>
        </is>
      </c>
      <c r="H22" s="377" t="inlineStr">
        <is>
          <t>何咏04</t>
        </is>
      </c>
      <c r="I22" s="377" t="inlineStr">
        <is>
          <t>肖锐03</t>
        </is>
      </c>
      <c r="J22" s="377" t="inlineStr">
        <is>
          <t>陈亮延</t>
        </is>
      </c>
      <c r="K22" s="377" t="n"/>
      <c r="L22" s="377" t="inlineStr">
        <is>
          <t>广附</t>
        </is>
      </c>
      <c r="M22" s="377" t="inlineStr">
        <is>
          <t>自己学，但偶尔也摸鱼</t>
        </is>
      </c>
      <c r="N22" s="377" t="inlineStr">
        <is>
          <t>作文压分</t>
        </is>
      </c>
      <c r="O22" s="377" t="inlineStr">
        <is>
          <t>慢热。文课弱、去医院测过说概括能力弱、抓不到要点、欣妍比较敏感，喜欢温柔的老师，妈妈说小学语文老师比较凶、师德有问题，孩子害怕。数学在沃伦，妈妈半陪读</t>
        </is>
      </c>
      <c r="P22" s="377" t="inlineStr">
        <is>
          <t>90左右</t>
        </is>
      </c>
      <c r="Q22" s="377" t="n">
        <v>35</v>
      </c>
      <c r="R22" s="377" t="n"/>
      <c r="S22" s="377" t="n"/>
      <c r="T22" s="377" t="inlineStr">
        <is>
          <t>是</t>
        </is>
      </c>
      <c r="U22" s="377" t="inlineStr">
        <is>
          <t>是</t>
        </is>
      </c>
      <c r="V22" s="377" t="inlineStr">
        <is>
          <t>是</t>
        </is>
      </c>
      <c r="W22" s="377" t="inlineStr">
        <is>
          <t>是</t>
        </is>
      </c>
      <c r="X22" s="377" t="n"/>
      <c r="Y22" s="377" t="inlineStr">
        <is>
          <t>是</t>
        </is>
      </c>
      <c r="Z22" s="377" t="n"/>
      <c r="AA22" s="377" t="n"/>
      <c r="AB22" s="377" t="n"/>
      <c r="AC22" s="377" t="n"/>
      <c r="AD22" s="377" t="n"/>
      <c r="AE22" s="377" t="n"/>
      <c r="AF22" s="377" t="n"/>
      <c r="AG22" s="377" t="n"/>
      <c r="AH22" s="377" t="n"/>
      <c r="AI22" s="359" t="inlineStr">
        <is>
          <t>是</t>
        </is>
      </c>
      <c r="AJ22" s="281" t="inlineStr">
        <is>
          <t>妈妈说孩子胆子小、小学语文老师比较凶，孩子敏感、怕批评、喜欢温柔的老师</t>
        </is>
      </c>
      <c r="AL22" s="7" t="n"/>
    </row>
    <row r="23" ht="26.25" customHeight="1" s="1053">
      <c r="A23" s="377" t="inlineStr">
        <is>
          <t>新宝利</t>
        </is>
      </c>
      <c r="B23" s="377" t="inlineStr">
        <is>
          <t>零期</t>
        </is>
      </c>
      <c r="C23" s="377" t="n">
        <v>4513265</v>
      </c>
      <c r="D23" s="377" t="inlineStr">
        <is>
          <t>10:20-12:30</t>
        </is>
      </c>
      <c r="E23" s="377" t="inlineStr">
        <is>
          <t>潜能班</t>
        </is>
      </c>
      <c r="F23" s="377" t="inlineStr">
        <is>
          <t>陈滢西</t>
        </is>
      </c>
      <c r="G23" s="377" t="inlineStr">
        <is>
          <t>李润</t>
        </is>
      </c>
      <c r="H23" s="377" t="inlineStr">
        <is>
          <t>田雨涵01</t>
        </is>
      </c>
      <c r="I23" s="377" t="inlineStr">
        <is>
          <t>肖锐03</t>
        </is>
      </c>
      <c r="J23" s="377" t="inlineStr">
        <is>
          <t>张敏烨</t>
        </is>
      </c>
      <c r="K23" s="377" t="n"/>
      <c r="L23" s="377" t="n"/>
      <c r="M23" s="377" t="inlineStr">
        <is>
          <t>自主能力</t>
        </is>
      </c>
      <c r="N23" s="377" t="inlineStr">
        <is>
          <t>阅读理解中心、主旨、错别字</t>
        </is>
      </c>
      <c r="O23" s="377" t="inlineStr">
        <is>
          <t>语文老师活动多，家长感觉老师对教学不上心，孩子目前在外面学英语，三科都报经济压力大，性格开朗，喜欢读书、历史类漫画、时光代理人、鬼灭之刃。独女</t>
        </is>
      </c>
      <c r="P23" s="377" t="inlineStr">
        <is>
          <t>90-95</t>
        </is>
      </c>
      <c r="Q23" s="377" t="n"/>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I23" s="359" t="inlineStr">
        <is>
          <t>是</t>
        </is>
      </c>
      <c r="AJ23" s="281" t="inlineStr">
        <is>
          <t>妈妈反应比较平淡，不回应不接话，说孩子蛮喜欢语文课，之前都没报过语文课外班</t>
        </is>
      </c>
      <c r="AL23" s="7" t="n"/>
    </row>
    <row r="24" ht="26.25" customHeight="1" s="1053">
      <c r="A24" s="377" t="inlineStr">
        <is>
          <t>新宝利</t>
        </is>
      </c>
      <c r="B24" s="377" t="inlineStr">
        <is>
          <t>零期</t>
        </is>
      </c>
      <c r="C24" s="377" t="n">
        <v>4513265</v>
      </c>
      <c r="D24" s="377" t="inlineStr">
        <is>
          <t>10:20-12:30</t>
        </is>
      </c>
      <c r="E24" s="377" t="inlineStr">
        <is>
          <t>潜能班</t>
        </is>
      </c>
      <c r="F24" s="377" t="inlineStr">
        <is>
          <t>马伊惠</t>
        </is>
      </c>
      <c r="G24" s="377" t="inlineStr">
        <is>
          <t>李润</t>
        </is>
      </c>
      <c r="H24" s="377" t="inlineStr">
        <is>
          <t>田雨涵01</t>
        </is>
      </c>
      <c r="I24" s="377" t="inlineStr">
        <is>
          <t>肖锐03</t>
        </is>
      </c>
      <c r="J24" s="377" t="inlineStr">
        <is>
          <t>张敏烨</t>
        </is>
      </c>
      <c r="K24" s="377" t="n"/>
      <c r="L24" s="377" t="n"/>
      <c r="M24" s="377" t="inlineStr">
        <is>
          <t>需要管，管了就好一些，不管就掉了</t>
        </is>
      </c>
      <c r="N24" s="377" t="inlineStr">
        <is>
          <t>基础字词阅读，阅读达不到点上</t>
        </is>
      </c>
      <c r="O24" s="377" t="inlineStr">
        <is>
          <t>语文没补过，数学在学而思、英语在新东方都上过，没续报的因为孩子吸收度慢，孩子比较喜欢语文，没有电子设备</t>
        </is>
      </c>
      <c r="P24" s="377" t="inlineStr">
        <is>
          <t>考A多，考B少，80-92</t>
        </is>
      </c>
      <c r="Q24" s="377" t="n">
        <v>36</v>
      </c>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59" t="inlineStr">
        <is>
          <t>是</t>
        </is>
      </c>
      <c r="AJ24" s="281" t="n"/>
      <c r="AL24" s="119" t="n"/>
    </row>
    <row r="25" ht="26.25" customHeight="1" s="1053">
      <c r="A25" s="377" t="inlineStr">
        <is>
          <t>新宝利</t>
        </is>
      </c>
      <c r="B25" s="377" t="inlineStr">
        <is>
          <t>零期</t>
        </is>
      </c>
      <c r="C25" s="377" t="n">
        <v>4513265</v>
      </c>
      <c r="D25" s="377" t="inlineStr">
        <is>
          <t>10:20-12:30</t>
        </is>
      </c>
      <c r="E25" s="377" t="inlineStr">
        <is>
          <t>潜能班</t>
        </is>
      </c>
      <c r="F25" s="377" t="inlineStr">
        <is>
          <t>高若曦</t>
        </is>
      </c>
      <c r="G25" s="377" t="inlineStr">
        <is>
          <t>李润</t>
        </is>
      </c>
      <c r="H25" s="377" t="inlineStr">
        <is>
          <t>田雨涵01</t>
        </is>
      </c>
      <c r="I25" s="377" t="inlineStr">
        <is>
          <t>肖锐03</t>
        </is>
      </c>
      <c r="J25" s="377" t="inlineStr">
        <is>
          <t>王丽</t>
        </is>
      </c>
      <c r="K25" s="377" t="n"/>
      <c r="L25" s="377" t="inlineStr">
        <is>
          <t>白云省实</t>
        </is>
      </c>
      <c r="M25" s="377" t="inlineStr">
        <is>
          <t>靠自己</t>
        </is>
      </c>
      <c r="N25" s="377" t="inlineStr">
        <is>
          <t>字词、阅读、作文零散着扣</t>
        </is>
      </c>
      <c r="O25" s="377" t="inlineStr">
        <is>
          <t>妈妈工作忙孩子自己卷，喜欢语文、喜欢阅读、写作，喜欢红楼梦读了好几遍，课堂主动发言</t>
        </is>
      </c>
      <c r="P25" s="377" t="n">
        <v>98</v>
      </c>
      <c r="Q25" s="377" t="n"/>
      <c r="R25" s="377" t="n"/>
      <c r="S25" s="377" t="n"/>
      <c r="T25" s="377" t="inlineStr">
        <is>
          <t>是</t>
        </is>
      </c>
      <c r="U25" s="377" t="inlineStr">
        <is>
          <t>是</t>
        </is>
      </c>
      <c r="V25" s="377" t="inlineStr">
        <is>
          <t>是</t>
        </is>
      </c>
      <c r="W25" s="377" t="inlineStr">
        <is>
          <t>是</t>
        </is>
      </c>
      <c r="X25" s="377" t="n"/>
      <c r="Y25" s="377" t="n"/>
      <c r="Z25" s="377" t="n"/>
      <c r="AA25" s="377" t="n"/>
      <c r="AB25" s="377" t="n"/>
      <c r="AC25" s="377" t="n"/>
      <c r="AD25" s="377" t="inlineStr">
        <is>
          <t>C</t>
        </is>
      </c>
      <c r="AE25" s="377" t="inlineStr">
        <is>
          <t>7.6和妈妈面聊，当面说学校开课前不考虑</t>
        </is>
      </c>
      <c r="AF25" s="377" t="n"/>
      <c r="AG25" s="377" t="n"/>
      <c r="AH25" s="377" t="n"/>
      <c r="AJ25" s="281" t="n"/>
      <c r="AL25" s="7" t="n"/>
    </row>
    <row r="26" ht="26.25" customHeight="1" s="1053">
      <c r="A26" s="377" t="inlineStr">
        <is>
          <t>新宝利</t>
        </is>
      </c>
      <c r="B26" s="377" t="inlineStr">
        <is>
          <t>零期</t>
        </is>
      </c>
      <c r="C26" s="377" t="n">
        <v>4513265</v>
      </c>
      <c r="D26" s="377" t="inlineStr">
        <is>
          <t>10:20-12:30</t>
        </is>
      </c>
      <c r="E26" s="377" t="inlineStr">
        <is>
          <t>潜能班</t>
        </is>
      </c>
      <c r="F26" s="377" t="inlineStr">
        <is>
          <t>黄歆越</t>
        </is>
      </c>
      <c r="G26" s="377" t="inlineStr">
        <is>
          <t>李润</t>
        </is>
      </c>
      <c r="H26" s="377" t="inlineStr">
        <is>
          <t>田雨涵01</t>
        </is>
      </c>
      <c r="I26" s="377" t="inlineStr">
        <is>
          <t>肖锐03</t>
        </is>
      </c>
      <c r="J26" s="377" t="inlineStr">
        <is>
          <t>杨林33</t>
        </is>
      </c>
      <c r="K26" s="377" t="n"/>
      <c r="L26" s="377" t="n"/>
      <c r="M26" s="377" t="n"/>
      <c r="N26" s="377" t="inlineStr">
        <is>
          <t>薅羊毛</t>
        </is>
      </c>
      <c r="O26" s="377" t="inlineStr">
        <is>
          <t>从5年级到初一，只报低价课，电话不接，微信沟通</t>
        </is>
      </c>
      <c r="P26" s="377" t="n"/>
      <c r="Q26" s="377" t="n">
        <v>31</v>
      </c>
      <c r="R26" s="377" t="n"/>
      <c r="S26" s="377" t="n"/>
      <c r="T26" s="377" t="inlineStr">
        <is>
          <t>是</t>
        </is>
      </c>
      <c r="U26" s="377" t="inlineStr">
        <is>
          <t>是</t>
        </is>
      </c>
      <c r="V26" s="377" t="inlineStr">
        <is>
          <t>是</t>
        </is>
      </c>
      <c r="W26" s="377" t="inlineStr">
        <is>
          <t>是</t>
        </is>
      </c>
      <c r="X26" s="377" t="n"/>
      <c r="Y26" s="377" t="n"/>
      <c r="Z26" s="377" t="inlineStr">
        <is>
          <t>是</t>
        </is>
      </c>
      <c r="AA26" s="377" t="inlineStr">
        <is>
          <t>是</t>
        </is>
      </c>
      <c r="AB26" s="377" t="n"/>
      <c r="AC26" s="377" t="n"/>
      <c r="AD26" s="377" t="n"/>
      <c r="AE26" s="377" t="n"/>
      <c r="AF26" s="377" t="n"/>
      <c r="AG26" s="377" t="n"/>
      <c r="AH26" s="377" t="n"/>
      <c r="AJ26" s="281" t="n"/>
      <c r="AL26" s="7" t="n"/>
    </row>
    <row r="27" ht="26.25" customHeight="1" s="1053">
      <c r="A27" s="377" t="inlineStr">
        <is>
          <t>同创汇</t>
        </is>
      </c>
      <c r="B27" s="377" t="inlineStr">
        <is>
          <t>零期</t>
        </is>
      </c>
      <c r="C27" s="377" t="n">
        <v>5230722</v>
      </c>
      <c r="D27" s="377" t="inlineStr">
        <is>
          <t>15:50-18:00</t>
        </is>
      </c>
      <c r="E27" s="377" t="inlineStr">
        <is>
          <t>潜能班</t>
        </is>
      </c>
      <c r="F27" s="377" t="inlineStr">
        <is>
          <t>何子越</t>
        </is>
      </c>
      <c r="G27" s="377" t="inlineStr">
        <is>
          <t>李润</t>
        </is>
      </c>
      <c r="H27" s="377" t="inlineStr">
        <is>
          <t>陈中帅</t>
        </is>
      </c>
      <c r="I27" s="377" t="inlineStr">
        <is>
          <t>高心怡04</t>
        </is>
      </c>
      <c r="J27" s="377" t="inlineStr">
        <is>
          <t>戎凯01</t>
        </is>
      </c>
      <c r="K27" s="377" t="n"/>
      <c r="L27" s="377" t="inlineStr">
        <is>
          <t>白云珠江实验学校</t>
        </is>
      </c>
      <c r="M27" s="377" t="inlineStr">
        <is>
          <t>浮躁、懒</t>
        </is>
      </c>
      <c r="N27" s="377" t="inlineStr">
        <is>
          <t>阅读理解弱、积累、练习不够</t>
        </is>
      </c>
      <c r="O27" s="377" t="inlineStr">
        <is>
          <t>语文一直在学、有上过一对二、进阶教育，但效果都不明显，妈妈很重视教育，带着孩子学文化常识、但是孩子不怎么吸收，详细问了课程设置，朝花夕拾孩子读过，但没完全掌握。课程时间可能会调，待定</t>
        </is>
      </c>
      <c r="P27" s="377" t="inlineStr">
        <is>
          <t>五下A，85-95</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inlineStr">
        <is>
          <t>是</t>
        </is>
      </c>
      <c r="AB27" s="377" t="n"/>
      <c r="AC27" s="377" t="n"/>
      <c r="AD27" s="377" t="n"/>
      <c r="AE27" s="377" t="n"/>
      <c r="AF27" s="377" t="n"/>
      <c r="AG27" s="377" t="n"/>
      <c r="AH27" s="377" t="n"/>
      <c r="AI27" s="359" t="inlineStr">
        <is>
          <t>是</t>
        </is>
      </c>
      <c r="AJ27" s="281" t="inlineStr">
        <is>
          <t>严抓手机、</t>
        </is>
      </c>
      <c r="AL27" s="7" t="n"/>
    </row>
    <row r="28" ht="26.25" customHeight="1" s="1053">
      <c r="A28" s="377" t="inlineStr">
        <is>
          <t>同创汇</t>
        </is>
      </c>
      <c r="B28" s="377" t="inlineStr">
        <is>
          <t>零期</t>
        </is>
      </c>
      <c r="C28" s="377" t="n">
        <v>5230722</v>
      </c>
      <c r="D28" s="377" t="inlineStr">
        <is>
          <t>15:50-18:00</t>
        </is>
      </c>
      <c r="E28" s="377" t="inlineStr">
        <is>
          <t>潜能班</t>
        </is>
      </c>
      <c r="F28" s="377" t="inlineStr">
        <is>
          <t>叶晓静</t>
        </is>
      </c>
      <c r="G28" s="377" t="inlineStr">
        <is>
          <t>李润</t>
        </is>
      </c>
      <c r="H28" s="377" t="inlineStr">
        <is>
          <t>陈中帅</t>
        </is>
      </c>
      <c r="I28" s="377" t="inlineStr">
        <is>
          <t>高心怡04</t>
        </is>
      </c>
      <c r="J28" s="377" t="inlineStr">
        <is>
          <t>王达04</t>
        </is>
      </c>
      <c r="K28" s="377" t="n"/>
      <c r="L28" s="377" t="inlineStr">
        <is>
          <t>铁一</t>
        </is>
      </c>
      <c r="M28" s="377" t="inlineStr">
        <is>
          <t>自觉</t>
        </is>
      </c>
      <c r="N28" s="377" t="inlineStr">
        <is>
          <t>阅读理解达不到点</t>
        </is>
      </c>
      <c r="O28" s="377" t="inlineStr">
        <is>
          <t>家里不盯都靠自己，偶尔问一嘴，上课要点。妈妈很尊重孩子意见，军属。但是之前没有补过课，回家会闹</t>
        </is>
      </c>
      <c r="P28" s="377" t="n">
        <v>95</v>
      </c>
      <c r="Q28" s="377"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J28" s="281" t="n"/>
      <c r="AL28" s="7" t="n"/>
    </row>
    <row r="29" ht="26.25" customHeight="1" s="1053">
      <c r="A29" s="377" t="inlineStr">
        <is>
          <t>同创汇</t>
        </is>
      </c>
      <c r="B29" s="377" t="inlineStr">
        <is>
          <t>零期</t>
        </is>
      </c>
      <c r="C29" s="377" t="n">
        <v>5230722</v>
      </c>
      <c r="D29" s="377" t="inlineStr">
        <is>
          <t>15:50-18:00</t>
        </is>
      </c>
      <c r="E29" s="377" t="inlineStr">
        <is>
          <t>潜能班</t>
        </is>
      </c>
      <c r="F29" s="377" t="inlineStr">
        <is>
          <t>吴丹妮</t>
        </is>
      </c>
      <c r="G29" s="377" t="inlineStr">
        <is>
          <t>李润</t>
        </is>
      </c>
      <c r="H29" s="377" t="inlineStr">
        <is>
          <t>田雨涵01</t>
        </is>
      </c>
      <c r="I29" s="377" t="inlineStr">
        <is>
          <t>高心怡04</t>
        </is>
      </c>
      <c r="J29" s="377" t="inlineStr">
        <is>
          <t>苏丽婷</t>
        </is>
      </c>
      <c r="K29" s="377" t="n"/>
      <c r="L29" s="377" t="inlineStr">
        <is>
          <t>培正</t>
        </is>
      </c>
      <c r="M29" s="377" t="inlineStr">
        <is>
          <t>需要盯一下</t>
        </is>
      </c>
      <c r="N29" s="377" t="inlineStr">
        <is>
          <t>阅读理解不到位</t>
        </is>
      </c>
      <c r="O29" s="377" t="n"/>
      <c r="P29" s="377" t="inlineStr">
        <is>
          <t>90-98</t>
        </is>
      </c>
      <c r="Q29" s="377" t="n"/>
      <c r="R29" s="377" t="n"/>
      <c r="S29" s="377" t="n"/>
      <c r="T29" s="377" t="inlineStr">
        <is>
          <t>是</t>
        </is>
      </c>
      <c r="U29" s="377" t="inlineStr">
        <is>
          <t>是</t>
        </is>
      </c>
      <c r="V29" s="377" t="inlineStr">
        <is>
          <t>是</t>
        </is>
      </c>
      <c r="W29" s="377" t="inlineStr">
        <is>
          <t>是</t>
        </is>
      </c>
      <c r="X29" s="377" t="n"/>
      <c r="Y29" s="377" t="n"/>
      <c r="Z29" s="377" t="n"/>
      <c r="AA29" s="377" t="n"/>
      <c r="AB29" s="377" t="n"/>
      <c r="AC29" s="377" t="n"/>
      <c r="AD29" s="377" t="n"/>
      <c r="AE29" s="377" t="n"/>
      <c r="AF29" s="377" t="n"/>
      <c r="AG29" s="377" t="n"/>
      <c r="AH29" s="377" t="n"/>
      <c r="AI29" s="359" t="inlineStr">
        <is>
          <t>是</t>
        </is>
      </c>
      <c r="AJ29" s="281" t="inlineStr">
        <is>
          <t>喜欢语文、不爱举手、语文最好、英语、数学弱</t>
        </is>
      </c>
      <c r="AL29" s="7" t="n"/>
    </row>
    <row r="30" ht="26.25" customHeight="1" s="1053">
      <c r="A30" s="377" t="inlineStr">
        <is>
          <t>同创汇</t>
        </is>
      </c>
      <c r="B30" s="377" t="inlineStr">
        <is>
          <t>零期</t>
        </is>
      </c>
      <c r="C30" s="377" t="n">
        <v>5230722</v>
      </c>
      <c r="D30" s="377" t="inlineStr">
        <is>
          <t>15:50-18:00</t>
        </is>
      </c>
      <c r="E30" s="377" t="inlineStr">
        <is>
          <t>潜能班</t>
        </is>
      </c>
      <c r="F30" s="377" t="inlineStr">
        <is>
          <t>孟庆宇</t>
        </is>
      </c>
      <c r="G30" s="377" t="inlineStr">
        <is>
          <t>李润</t>
        </is>
      </c>
      <c r="H30" s="377" t="inlineStr">
        <is>
          <t>陈中帅</t>
        </is>
      </c>
      <c r="I30" s="377" t="inlineStr">
        <is>
          <t>刘希子</t>
        </is>
      </c>
      <c r="J30" s="377" t="inlineStr">
        <is>
          <t>王丽</t>
        </is>
      </c>
      <c r="K30" s="377" t="n"/>
      <c r="L30" s="377" t="inlineStr">
        <is>
          <t>期中</t>
        </is>
      </c>
      <c r="M30" s="377" t="inlineStr">
        <is>
          <t>妈妈抓的严，会额外加练</t>
        </is>
      </c>
      <c r="N30" s="377" t="inlineStr">
        <is>
          <t>文化常识、成语，阅读达不到点，作文粗糙。</t>
        </is>
      </c>
      <c r="O30" s="377" t="inlineStr">
        <is>
          <t>过度活泼，爱表现，初一古诗文都背完了，在其他机构学了很久，因为在读机构7.12才开班，所以报我们的课衔接一下孩子的空档期</t>
        </is>
      </c>
      <c r="P30" s="377" t="inlineStr">
        <is>
          <t>75-95.8</t>
        </is>
      </c>
      <c r="Q30" s="377" t="n"/>
      <c r="R30" s="377" t="n"/>
      <c r="S30" s="377" t="n"/>
      <c r="T30" s="377" t="inlineStr">
        <is>
          <t>是</t>
        </is>
      </c>
      <c r="U30" s="377" t="inlineStr">
        <is>
          <t>是</t>
        </is>
      </c>
      <c r="V30" s="377" t="inlineStr">
        <is>
          <t>是</t>
        </is>
      </c>
      <c r="W30" s="377" t="inlineStr">
        <is>
          <t>是</t>
        </is>
      </c>
      <c r="X30" s="377" t="n"/>
      <c r="Y30" s="377" t="inlineStr">
        <is>
          <t>看回放</t>
        </is>
      </c>
      <c r="Z30" s="377" t="inlineStr">
        <is>
          <t>是</t>
        </is>
      </c>
      <c r="AA30" s="377" t="inlineStr">
        <is>
          <t>是</t>
        </is>
      </c>
      <c r="AB30" s="377" t="n"/>
      <c r="AC30" s="377" t="n"/>
      <c r="AD30" s="377" t="inlineStr">
        <is>
          <t>C</t>
        </is>
      </c>
      <c r="AE30" s="377" t="inlineStr">
        <is>
          <t>在其他机构学了很久，只是衔接空档期</t>
        </is>
      </c>
      <c r="AF30" s="377" t="n"/>
      <c r="AG30" s="377" t="n"/>
      <c r="AH30" s="377" t="n"/>
      <c r="AI30" s="359" t="inlineStr">
        <is>
          <t>是</t>
        </is>
      </c>
      <c r="AJ30" s="281" t="inlineStr">
        <is>
          <t>妈妈明确说只学暑假</t>
        </is>
      </c>
      <c r="AL30" s="7" t="n"/>
    </row>
    <row r="31" ht="26.25" customHeight="1" s="1053">
      <c r="A31" s="377" t="inlineStr">
        <is>
          <t>同创汇</t>
        </is>
      </c>
      <c r="B31" s="377" t="inlineStr">
        <is>
          <t>零期</t>
        </is>
      </c>
      <c r="C31" s="377" t="n">
        <v>5230722</v>
      </c>
      <c r="D31" s="377" t="inlineStr">
        <is>
          <t>15:50-18:00</t>
        </is>
      </c>
      <c r="E31" s="377" t="inlineStr">
        <is>
          <t>潜能班</t>
        </is>
      </c>
      <c r="F31" s="377" t="inlineStr">
        <is>
          <t>尹思韬</t>
        </is>
      </c>
      <c r="G31" s="377" t="inlineStr">
        <is>
          <t>李润</t>
        </is>
      </c>
      <c r="H31" s="377" t="inlineStr">
        <is>
          <t>陈中帅</t>
        </is>
      </c>
      <c r="I31" s="377" t="inlineStr">
        <is>
          <t>高心怡04</t>
        </is>
      </c>
      <c r="J31" s="377" t="inlineStr">
        <is>
          <t>林志豪01</t>
        </is>
      </c>
      <c r="K31" s="377" t="n"/>
      <c r="L31" s="377" t="n"/>
      <c r="M31" s="377" t="inlineStr">
        <is>
          <t>自觉</t>
        </is>
      </c>
      <c r="N31" s="377" t="inlineStr">
        <is>
          <t>书写潦草、阅读、作文零散扣</t>
        </is>
      </c>
      <c r="O31" s="377" t="inlineStr">
        <is>
          <t>性格比较活跃，之前在龙辉上过一对一，数学英语补的多、语文补的少</t>
        </is>
      </c>
      <c r="P31" s="377" t="n">
        <v>90</v>
      </c>
      <c r="Q31" s="377" t="n"/>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J31" s="281" t="inlineStr">
        <is>
          <t>11号分班测，家住的远在金沙洲，爸爸担心孩子的专注度，语文最弱</t>
        </is>
      </c>
      <c r="AL31" s="7" t="n"/>
    </row>
    <row r="32" ht="26.25" customHeight="1" s="1053">
      <c r="A32" s="377" t="inlineStr">
        <is>
          <t>同创汇</t>
        </is>
      </c>
      <c r="B32" s="377" t="inlineStr">
        <is>
          <t>零期</t>
        </is>
      </c>
      <c r="C32" s="377" t="n">
        <v>5230722</v>
      </c>
      <c r="D32" s="377" t="inlineStr">
        <is>
          <t>15:50-18:00</t>
        </is>
      </c>
      <c r="E32" s="377" t="inlineStr">
        <is>
          <t>潜能班</t>
        </is>
      </c>
      <c r="F32" s="377" t="inlineStr">
        <is>
          <t>张善如</t>
        </is>
      </c>
      <c r="G32" s="377" t="inlineStr">
        <is>
          <t>李润</t>
        </is>
      </c>
      <c r="H32" s="377" t="inlineStr">
        <is>
          <t>陈中帅</t>
        </is>
      </c>
      <c r="I32" s="377" t="inlineStr">
        <is>
          <t>高心怡04</t>
        </is>
      </c>
      <c r="J32" s="377" t="inlineStr">
        <is>
          <t>王丽</t>
        </is>
      </c>
      <c r="K32" s="377" t="n"/>
      <c r="L32" s="377" t="inlineStr">
        <is>
          <t>省实越秀</t>
        </is>
      </c>
      <c r="M32" s="377" t="n"/>
      <c r="N32" s="377" t="n"/>
      <c r="O32" s="377" t="inlineStr">
        <is>
          <t>基础比较好，习惯也不错，孩子愿意学，上课配合度高</t>
        </is>
      </c>
      <c r="P32" s="377" t="n"/>
      <c r="Q32" s="377" t="n"/>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59" t="inlineStr">
        <is>
          <t>是</t>
        </is>
      </c>
      <c r="AJ32" s="281" t="n"/>
      <c r="AL32" s="7" t="n"/>
    </row>
    <row r="33" ht="26.25" customHeight="1" s="1053">
      <c r="A33" s="377" t="inlineStr">
        <is>
          <t>同创汇</t>
        </is>
      </c>
      <c r="B33" s="377" t="inlineStr">
        <is>
          <t>零期</t>
        </is>
      </c>
      <c r="C33" s="377" t="n">
        <v>5230722</v>
      </c>
      <c r="D33" s="377" t="inlineStr">
        <is>
          <t>15:50-18:00</t>
        </is>
      </c>
      <c r="E33" s="377" t="inlineStr">
        <is>
          <t>潜能班</t>
        </is>
      </c>
      <c r="F33" s="377" t="inlineStr">
        <is>
          <t>徐安琪</t>
        </is>
      </c>
      <c r="G33" s="377" t="inlineStr">
        <is>
          <t>李润</t>
        </is>
      </c>
      <c r="H33" s="377" t="n"/>
      <c r="I33" s="377" t="n"/>
      <c r="J33" s="377" t="inlineStr">
        <is>
          <t>龙倩敏</t>
        </is>
      </c>
      <c r="K33" s="377" t="n"/>
      <c r="L33" s="377" t="inlineStr">
        <is>
          <t>七中</t>
        </is>
      </c>
      <c r="M33" s="377" t="inlineStr">
        <is>
          <t>老师布置的做，多的不做</t>
        </is>
      </c>
      <c r="N33" s="377" t="inlineStr">
        <is>
          <t>衔接初一</t>
        </is>
      </c>
      <c r="O33" s="377" t="inlineStr">
        <is>
          <t>基础部分粗心、错别字、拼音，文言文，作文两三分。写作业很快但是粗心、从不检查，五六年级后妈妈就没怎么管过。上课后主动性好了很多，很满意，军属，叶晓静妈妈介绍来</t>
        </is>
      </c>
      <c r="P33" s="377" t="inlineStr">
        <is>
          <t>90-95</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n"/>
      <c r="AE33" s="377" t="n"/>
      <c r="AF33" s="377" t="n"/>
      <c r="AG33" s="377" t="n"/>
      <c r="AH33" s="377" t="n"/>
      <c r="AI33" s="359" t="inlineStr">
        <is>
          <t>是</t>
        </is>
      </c>
      <c r="AJ33" s="281" t="n"/>
      <c r="AL33" s="7" t="n"/>
    </row>
    <row r="34" ht="26.25" customHeight="1" s="1053">
      <c r="A34" s="377" t="inlineStr">
        <is>
          <t>同创汇</t>
        </is>
      </c>
      <c r="B34" s="377" t="inlineStr">
        <is>
          <t>零期</t>
        </is>
      </c>
      <c r="C34" s="377" t="n">
        <v>5230722</v>
      </c>
      <c r="D34" s="377" t="inlineStr">
        <is>
          <t>15:50-18:00</t>
        </is>
      </c>
      <c r="E34" s="377" t="inlineStr">
        <is>
          <t>潜能班</t>
        </is>
      </c>
      <c r="F34" s="377" t="inlineStr">
        <is>
          <t>朱凯纶</t>
        </is>
      </c>
      <c r="G34" s="377" t="inlineStr">
        <is>
          <t>李润</t>
        </is>
      </c>
      <c r="H34" s="377" t="inlineStr">
        <is>
          <t>陈中帅</t>
        </is>
      </c>
      <c r="I34" s="377" t="inlineStr">
        <is>
          <t>高心怡04</t>
        </is>
      </c>
      <c r="J34" s="377" t="inlineStr">
        <is>
          <t>王丽</t>
        </is>
      </c>
      <c r="K34" s="377" t="n"/>
      <c r="L34" s="377" t="n"/>
      <c r="M34" s="377" t="n"/>
      <c r="N34" s="377" t="inlineStr">
        <is>
          <t>衔接初一，文言文</t>
        </is>
      </c>
      <c r="O34" s="377" t="inlineStr">
        <is>
          <t>孩子很慢热，期末冲刺课面聊了家长，家长详细询问了课程内容。和余米诺、董希予是幼儿园同学</t>
        </is>
      </c>
      <c r="P34" s="377" t="n"/>
      <c r="Q34" s="377"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inlineStr">
        <is>
          <t>-</t>
        </is>
      </c>
      <c r="AJ34" s="281" t="n"/>
      <c r="AL34" s="7" t="n"/>
    </row>
    <row r="35" ht="26.25" customHeight="1" s="1053">
      <c r="A35" s="377" t="inlineStr">
        <is>
          <t>同创汇</t>
        </is>
      </c>
      <c r="B35" s="377" t="inlineStr">
        <is>
          <t>零期</t>
        </is>
      </c>
      <c r="C35" s="377" t="n">
        <v>5230722</v>
      </c>
      <c r="D35" s="377" t="inlineStr">
        <is>
          <t>15:50-18:00</t>
        </is>
      </c>
      <c r="E35" s="377" t="inlineStr">
        <is>
          <t>潜能班</t>
        </is>
      </c>
      <c r="F35" s="377" t="inlineStr">
        <is>
          <t>李佳倩</t>
        </is>
      </c>
      <c r="G35" s="377" t="inlineStr">
        <is>
          <t>李润</t>
        </is>
      </c>
      <c r="H35" s="377" t="inlineStr">
        <is>
          <t>陈中帅</t>
        </is>
      </c>
      <c r="I35" s="377" t="inlineStr">
        <is>
          <t>高心怡04</t>
        </is>
      </c>
      <c r="J35" s="377" t="inlineStr">
        <is>
          <t>戎凯01</t>
        </is>
      </c>
      <c r="K35" s="377" t="n"/>
      <c r="L35" s="377" t="inlineStr">
        <is>
          <t>天省</t>
        </is>
      </c>
      <c r="M35" s="377" t="inlineStr">
        <is>
          <t>不太自律</t>
        </is>
      </c>
      <c r="N35" s="377" t="inlineStr">
        <is>
          <t>阅读和写作</t>
        </is>
      </c>
      <c r="O35" s="377" t="inlineStr">
        <is>
          <t>家长很忙，晚上快十点才回消息。严格一些，自觉不好</t>
        </is>
      </c>
      <c r="P35" s="377" t="n"/>
      <c r="Q35" s="377" t="n">
        <v>41</v>
      </c>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7" t="n"/>
      <c r="AE35" s="377" t="n"/>
      <c r="AF35" s="377" t="n"/>
      <c r="AG35" s="377" t="n"/>
      <c r="AH35" s="377" t="n"/>
      <c r="AJ35" s="281" t="n"/>
      <c r="AL35" s="7" t="n"/>
    </row>
    <row r="36" ht="26.25" customHeight="1" s="1053">
      <c r="A36" s="377" t="inlineStr">
        <is>
          <t>同创汇</t>
        </is>
      </c>
      <c r="B36" s="377" t="inlineStr">
        <is>
          <t>零期</t>
        </is>
      </c>
      <c r="C36" s="377" t="n">
        <v>5230722</v>
      </c>
      <c r="D36" s="377" t="inlineStr">
        <is>
          <t>15:50-18:00</t>
        </is>
      </c>
      <c r="E36" s="377" t="inlineStr">
        <is>
          <t>潜能班</t>
        </is>
      </c>
      <c r="F36" s="377" t="inlineStr">
        <is>
          <t>李许晨</t>
        </is>
      </c>
      <c r="G36" s="377" t="inlineStr">
        <is>
          <t>李润</t>
        </is>
      </c>
      <c r="H36" s="377" t="inlineStr">
        <is>
          <t>陈中帅</t>
        </is>
      </c>
      <c r="I36" s="377" t="inlineStr">
        <is>
          <t>高心怡04</t>
        </is>
      </c>
      <c r="J36" s="377" t="inlineStr">
        <is>
          <t>苏丽婷</t>
        </is>
      </c>
      <c r="K36" s="377" t="n"/>
      <c r="L36" s="377" t="n"/>
      <c r="M36" s="377" t="inlineStr">
        <is>
          <t>自觉</t>
        </is>
      </c>
      <c r="N36" s="377" t="inlineStr">
        <is>
          <t>分班考</t>
        </is>
      </c>
      <c r="O36" s="377" t="inlineStr">
        <is>
          <t>慢热，语文六上寒假学过，英语、语文妈妈都不担心，主要是数学，这个暑假也是两个机构同时学</t>
        </is>
      </c>
      <c r="P36" s="377" t="n">
        <v>98</v>
      </c>
      <c r="Q36" s="377" t="n"/>
      <c r="R36" s="377" t="n"/>
      <c r="S36" s="377" t="n"/>
      <c r="T36" s="377" t="inlineStr">
        <is>
          <t>是</t>
        </is>
      </c>
      <c r="U36" s="377" t="inlineStr">
        <is>
          <t>是</t>
        </is>
      </c>
      <c r="V36" s="377" t="inlineStr">
        <is>
          <t>是</t>
        </is>
      </c>
      <c r="W36" s="377" t="inlineStr">
        <is>
          <t>是</t>
        </is>
      </c>
      <c r="X36" s="377" t="n"/>
      <c r="Y36" s="377" t="n"/>
      <c r="Z36" s="377" t="inlineStr">
        <is>
          <t>是</t>
        </is>
      </c>
      <c r="AA36" s="377" t="inlineStr">
        <is>
          <t>是</t>
        </is>
      </c>
      <c r="AB36" s="377" t="n"/>
      <c r="AC36" s="377" t="n"/>
      <c r="AD36" s="377" t="inlineStr">
        <is>
          <t>C</t>
        </is>
      </c>
      <c r="AE36" s="377" t="inlineStr">
        <is>
          <t>孩子程度好，妈妈不担心语文，经常换机构上课</t>
        </is>
      </c>
      <c r="AF36" s="377" t="n"/>
      <c r="AG36" s="377" t="n"/>
      <c r="AH36" s="377" t="n"/>
      <c r="AJ36" s="281" t="n"/>
      <c r="AL36" s="119" t="n"/>
    </row>
    <row r="37" ht="26.25" customHeight="1" s="1053">
      <c r="A37" s="377" t="inlineStr">
        <is>
          <t>同创汇</t>
        </is>
      </c>
      <c r="B37" s="377" t="inlineStr">
        <is>
          <t>零期</t>
        </is>
      </c>
      <c r="C37" s="377" t="n">
        <v>5230722</v>
      </c>
      <c r="D37" s="377" t="inlineStr">
        <is>
          <t>15:50-18:00</t>
        </is>
      </c>
      <c r="E37" s="377" t="inlineStr">
        <is>
          <t>潜能班</t>
        </is>
      </c>
      <c r="F37" s="377" t="inlineStr">
        <is>
          <t>梁流楷</t>
        </is>
      </c>
      <c r="G37" s="377" t="inlineStr">
        <is>
          <t>李润</t>
        </is>
      </c>
      <c r="H37" s="377" t="inlineStr">
        <is>
          <t>陈中帅</t>
        </is>
      </c>
      <c r="I37" s="377" t="inlineStr">
        <is>
          <t>高心怡04</t>
        </is>
      </c>
      <c r="J37" s="377" t="inlineStr">
        <is>
          <t>苏丽婷</t>
        </is>
      </c>
      <c r="K37" s="377" t="n"/>
      <c r="L37" s="377" t="inlineStr">
        <is>
          <t>执信</t>
        </is>
      </c>
      <c r="M37" s="377" t="inlineStr">
        <is>
          <t>学习上会应付，想快点玩</t>
        </is>
      </c>
      <c r="N37" s="377" t="n"/>
      <c r="O37" s="37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7" t="inlineStr">
        <is>
          <t>六上期末292.5</t>
        </is>
      </c>
      <c r="Q37" s="377" t="n"/>
      <c r="R37" s="377" t="n"/>
      <c r="S37" s="377" t="n"/>
      <c r="T37" s="377" t="inlineStr">
        <is>
          <t>是</t>
        </is>
      </c>
      <c r="U37" s="377" t="inlineStr">
        <is>
          <t>是</t>
        </is>
      </c>
      <c r="V37" s="377" t="inlineStr">
        <is>
          <t>是</t>
        </is>
      </c>
      <c r="W37" s="377" t="inlineStr">
        <is>
          <t>是</t>
        </is>
      </c>
      <c r="X37" s="377" t="n"/>
      <c r="Y37" s="377" t="n"/>
      <c r="Z37" s="377" t="n"/>
      <c r="AA37" s="377" t="n"/>
      <c r="AB37" s="377" t="n"/>
      <c r="AC37" s="377" t="n"/>
      <c r="AD37" s="377" t="n"/>
      <c r="AE37" s="377" t="n"/>
      <c r="AF37" s="377" t="n"/>
      <c r="AG37" s="377" t="n"/>
      <c r="AH37" s="377" t="n"/>
      <c r="AJ37" s="281" t="n"/>
      <c r="AL37" s="119" t="n"/>
    </row>
    <row r="38" ht="26.25" customHeight="1" s="1053">
      <c r="A38" s="377" t="inlineStr">
        <is>
          <t>同创汇</t>
        </is>
      </c>
      <c r="B38" s="377" t="inlineStr">
        <is>
          <t>零期</t>
        </is>
      </c>
      <c r="C38" s="377" t="n">
        <v>5230722</v>
      </c>
      <c r="D38" s="377" t="inlineStr">
        <is>
          <t>15:50-18:00</t>
        </is>
      </c>
      <c r="E38" s="377" t="inlineStr">
        <is>
          <t>潜能班</t>
        </is>
      </c>
      <c r="F38" s="377" t="inlineStr">
        <is>
          <t>王梓骏</t>
        </is>
      </c>
      <c r="G38" s="377" t="inlineStr">
        <is>
          <t>李润</t>
        </is>
      </c>
      <c r="H38" s="377" t="inlineStr">
        <is>
          <t>陈中帅</t>
        </is>
      </c>
      <c r="I38" s="377" t="inlineStr">
        <is>
          <t>高心怡04</t>
        </is>
      </c>
      <c r="J38" s="377" t="inlineStr">
        <is>
          <t>王丽</t>
        </is>
      </c>
      <c r="K38" s="377" t="n"/>
      <c r="L38" s="377" t="n"/>
      <c r="M38" s="377" t="n"/>
      <c r="N38" s="377" t="n"/>
      <c r="O38" s="377" t="inlineStr">
        <is>
          <t>字迹乱、上课会溜号，家里还有一个妹妹</t>
        </is>
      </c>
      <c r="P38" s="377" t="n"/>
      <c r="Q38" s="377" t="n">
        <v>25</v>
      </c>
      <c r="R38" s="377" t="n"/>
      <c r="S38" s="377" t="n"/>
      <c r="T38" s="377" t="inlineStr">
        <is>
          <t>是</t>
        </is>
      </c>
      <c r="U38" s="377" t="inlineStr">
        <is>
          <t>是</t>
        </is>
      </c>
      <c r="V38" s="377" t="inlineStr">
        <is>
          <t>是</t>
        </is>
      </c>
      <c r="W38" s="377" t="inlineStr">
        <is>
          <t>是</t>
        </is>
      </c>
      <c r="X38" s="377" t="n"/>
      <c r="Y38" s="377" t="inlineStr">
        <is>
          <t>是</t>
        </is>
      </c>
      <c r="Z38" s="377" t="inlineStr">
        <is>
          <t>是</t>
        </is>
      </c>
      <c r="AA38" s="377" t="n"/>
      <c r="AB38" s="377" t="n"/>
      <c r="AC38" s="377" t="n"/>
      <c r="AD38" s="377" t="n"/>
      <c r="AE38" s="377" t="n"/>
      <c r="AF38" s="377" t="n"/>
      <c r="AG38" s="377" t="n"/>
      <c r="AH38" s="377" t="n"/>
      <c r="AJ38" s="281" t="n"/>
      <c r="AL38" s="119" t="n"/>
    </row>
    <row r="39" ht="26.25" customHeight="1" s="1053">
      <c r="A39" s="377" t="inlineStr">
        <is>
          <t>同创汇</t>
        </is>
      </c>
      <c r="B39" s="377" t="inlineStr">
        <is>
          <t>零期</t>
        </is>
      </c>
      <c r="C39" s="377" t="n">
        <v>5230722</v>
      </c>
      <c r="D39" s="377" t="inlineStr">
        <is>
          <t>15:50-18:00</t>
        </is>
      </c>
      <c r="E39" s="377" t="inlineStr">
        <is>
          <t>潜能班</t>
        </is>
      </c>
      <c r="F39" s="377" t="inlineStr">
        <is>
          <t>米诺</t>
        </is>
      </c>
      <c r="G39" s="377" t="inlineStr">
        <is>
          <t>李润</t>
        </is>
      </c>
      <c r="H39" s="377" t="inlineStr">
        <is>
          <t>陈中帅</t>
        </is>
      </c>
      <c r="I39" s="377" t="inlineStr">
        <is>
          <t>高心怡04</t>
        </is>
      </c>
      <c r="J39" s="377" t="inlineStr">
        <is>
          <t>戎凯01</t>
        </is>
      </c>
      <c r="K39" s="377" t="n"/>
      <c r="L39" s="377" t="inlineStr">
        <is>
          <t>育实</t>
        </is>
      </c>
      <c r="M39" s="377" t="n"/>
      <c r="N39" s="377" t="inlineStr">
        <is>
          <t>阅读读的很快、做东西比较急躁、有点信心缺缺</t>
        </is>
      </c>
      <c r="O39" s="377" t="inlineStr">
        <is>
          <t>心田花开从四年级开始学，感兴趣的就主动一些</t>
        </is>
      </c>
      <c r="P39" s="377" t="inlineStr">
        <is>
          <t>90-95</t>
        </is>
      </c>
      <c r="Q39" s="377" t="n">
        <v>23</v>
      </c>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n"/>
      <c r="AJ39" s="281" t="n"/>
      <c r="AL39" s="119" t="n"/>
    </row>
    <row r="40" ht="26.25" customHeight="1" s="1053">
      <c r="A40" s="377" t="inlineStr">
        <is>
          <t>同创汇</t>
        </is>
      </c>
      <c r="B40" s="377" t="inlineStr">
        <is>
          <t>零期</t>
        </is>
      </c>
      <c r="C40" s="377" t="n">
        <v>5230722</v>
      </c>
      <c r="D40" s="377" t="inlineStr">
        <is>
          <t>15:50-18:00</t>
        </is>
      </c>
      <c r="E40" s="377" t="inlineStr">
        <is>
          <t>潜能班</t>
        </is>
      </c>
      <c r="F40" s="377" t="inlineStr">
        <is>
          <t>苏家颖</t>
        </is>
      </c>
      <c r="G40" s="377" t="inlineStr">
        <is>
          <t>李润</t>
        </is>
      </c>
      <c r="H40" s="377" t="inlineStr">
        <is>
          <t>陈中帅</t>
        </is>
      </c>
      <c r="I40" s="377" t="inlineStr">
        <is>
          <t>高心怡04</t>
        </is>
      </c>
      <c r="J40" s="377" t="inlineStr">
        <is>
          <t>林志豪01</t>
        </is>
      </c>
      <c r="K40" s="377" t="n"/>
      <c r="L40" s="377" t="inlineStr">
        <is>
          <t>九十七中</t>
        </is>
      </c>
      <c r="M40" s="377" t="inlineStr">
        <is>
          <t>语文靠自己</t>
        </is>
      </c>
      <c r="N40" s="377" t="inlineStr">
        <is>
          <t>衔接初一，阅读、作文</t>
        </is>
      </c>
      <c r="O40" s="377" t="inlineStr">
        <is>
          <t>数学在上作业帮线上课，周五，周末也会上一些录播课，想跟大帅老师但是新宝利没学位了，才转到同创汇。复习课还是新宝利上</t>
        </is>
      </c>
      <c r="P40" s="377" t="inlineStr">
        <is>
          <t>95上下</t>
        </is>
      </c>
      <c r="Q40" s="377" t="n">
        <v>79</v>
      </c>
      <c r="R40" s="377" t="n"/>
      <c r="S40" s="377" t="n"/>
      <c r="T40" s="377" t="inlineStr">
        <is>
          <t>是</t>
        </is>
      </c>
      <c r="U40" s="377" t="inlineStr">
        <is>
          <t>是</t>
        </is>
      </c>
      <c r="V40" s="377" t="inlineStr">
        <is>
          <t>是</t>
        </is>
      </c>
      <c r="W40" s="377" t="inlineStr">
        <is>
          <t>是</t>
        </is>
      </c>
      <c r="X40" s="377" t="n"/>
      <c r="Y40" s="377" t="inlineStr">
        <is>
          <t>是</t>
        </is>
      </c>
      <c r="Z40" s="377" t="inlineStr">
        <is>
          <t>是</t>
        </is>
      </c>
      <c r="AA40" s="377" t="inlineStr">
        <is>
          <t>是</t>
        </is>
      </c>
      <c r="AB40" s="377" t="n"/>
      <c r="AC40" s="377" t="n"/>
      <c r="AD40" s="377" t="n"/>
      <c r="AE40" s="377" t="n"/>
      <c r="AF40" s="377" t="n"/>
      <c r="AG40" s="377" t="n"/>
      <c r="AH40" s="377" t="n"/>
      <c r="AJ40" s="281" t="n"/>
      <c r="AL40" s="119" t="n"/>
    </row>
    <row r="41" ht="26.25" customHeight="1" s="1053">
      <c r="A41" s="377" t="inlineStr">
        <is>
          <t>同创汇</t>
        </is>
      </c>
      <c r="B41" s="377" t="inlineStr">
        <is>
          <t>零期</t>
        </is>
      </c>
      <c r="C41" s="377" t="n">
        <v>5230722</v>
      </c>
      <c r="D41" s="377" t="inlineStr">
        <is>
          <t>15:50-18:00</t>
        </is>
      </c>
      <c r="E41" s="377" t="inlineStr">
        <is>
          <t>潜能班</t>
        </is>
      </c>
      <c r="F41" s="377" t="inlineStr">
        <is>
          <t>萌萌</t>
        </is>
      </c>
      <c r="G41" s="377" t="inlineStr">
        <is>
          <t>李润</t>
        </is>
      </c>
      <c r="H41" s="377" t="inlineStr">
        <is>
          <t>陈中帅</t>
        </is>
      </c>
      <c r="I41" s="377" t="inlineStr">
        <is>
          <t>高心怡04</t>
        </is>
      </c>
      <c r="J41" s="377" t="inlineStr">
        <is>
          <t>罗玉玲</t>
        </is>
      </c>
      <c r="K41" s="377" t="n"/>
      <c r="L41" s="377" t="n"/>
      <c r="M41" s="377" t="inlineStr">
        <is>
          <t>作业主动写</t>
        </is>
      </c>
      <c r="N41" s="377" t="inlineStr">
        <is>
          <t>基础比较弱、错别字，阅读、作文</t>
        </is>
      </c>
      <c r="O41" s="377" t="inlineStr">
        <is>
          <t>从三年级上到现在现在，一直在心田花开，暑假两个机构都上做对比，妈妈觉得心田花开的语文老师教的很好，但是孩子不进步，语文是三科最弱的，妈妈觉得和不爱阅读也有关</t>
        </is>
      </c>
      <c r="P41" s="377" t="inlineStr">
        <is>
          <t>B</t>
        </is>
      </c>
      <c r="Q41" s="377" t="n"/>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n"/>
      <c r="AJ41" s="281" t="n"/>
      <c r="AL41" s="281" t="n"/>
    </row>
    <row r="42" ht="26.25" customHeight="1" s="1053">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8" t="n"/>
      <c r="L42" s="378" t="inlineStr">
        <is>
          <t>十六中</t>
        </is>
      </c>
      <c r="M42" s="164" t="n"/>
      <c r="N42" s="164" t="n"/>
      <c r="O42" s="164" t="inlineStr">
        <is>
          <t>微信不回，电话不接。中帅老生，从顾问处了解这个妈妈除了中帅的消息都不回</t>
        </is>
      </c>
      <c r="P42" s="164" t="n"/>
      <c r="Q42" s="164" t="n">
        <v>36</v>
      </c>
      <c r="R42" s="164" t="n"/>
      <c r="S42" s="164" t="n"/>
      <c r="T42" s="377"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9" t="inlineStr">
        <is>
          <t>是</t>
        </is>
      </c>
      <c r="AJ42" s="281" t="inlineStr">
        <is>
          <t>妈妈担心孩子下午课困，要老师多盯专注度</t>
        </is>
      </c>
      <c r="AL42" s="281" t="n"/>
    </row>
    <row r="43" ht="51" customHeight="1" s="1053">
      <c r="A43" s="377" t="inlineStr">
        <is>
          <t>同创汇</t>
        </is>
      </c>
      <c r="B43" s="377" t="inlineStr">
        <is>
          <t>零期</t>
        </is>
      </c>
      <c r="C43" s="377" t="n">
        <v>5230722</v>
      </c>
      <c r="D43" s="377" t="inlineStr">
        <is>
          <t>15:50-18:00</t>
        </is>
      </c>
      <c r="E43" s="377" t="inlineStr">
        <is>
          <t>潜能班</t>
        </is>
      </c>
      <c r="F43" s="377" t="inlineStr">
        <is>
          <t>蒋沁原</t>
        </is>
      </c>
      <c r="G43" s="377" t="inlineStr">
        <is>
          <t>李润</t>
        </is>
      </c>
      <c r="H43" s="377" t="inlineStr">
        <is>
          <t>陈中帅</t>
        </is>
      </c>
      <c r="I43" s="377" t="inlineStr">
        <is>
          <t>刘希子</t>
        </is>
      </c>
      <c r="J43" s="373" t="inlineStr">
        <is>
          <t>龙倩敏</t>
        </is>
      </c>
      <c r="K43" s="380" t="inlineStr">
        <is>
          <t>育才小学</t>
        </is>
      </c>
      <c r="L43" s="832" t="inlineStr">
        <is>
          <t>育才中学
重点班</t>
        </is>
      </c>
      <c r="M43" s="379" t="n"/>
      <c r="N43" s="377" t="n"/>
      <c r="O43" s="377" t="inlineStr">
        <is>
          <t>面聊过，孩子主动性不错，妈妈觉得英语、数学都可以教，语文不太好教</t>
        </is>
      </c>
      <c r="P43" s="377" t="n"/>
      <c r="Q43" s="377" t="n"/>
      <c r="R43" s="377" t="n"/>
      <c r="S43" s="377" t="n"/>
      <c r="T43" s="377" t="inlineStr">
        <is>
          <t>是</t>
        </is>
      </c>
      <c r="U43" s="377" t="inlineStr">
        <is>
          <t>是</t>
        </is>
      </c>
      <c r="V43" s="377" t="inlineStr">
        <is>
          <t>是</t>
        </is>
      </c>
      <c r="W43" s="377" t="inlineStr">
        <is>
          <t>是</t>
        </is>
      </c>
      <c r="X43" s="377" t="n"/>
      <c r="Y43" s="377" t="n"/>
      <c r="Z43" s="377" t="inlineStr">
        <is>
          <t>是</t>
        </is>
      </c>
      <c r="AA43" s="377" t="inlineStr">
        <is>
          <t>是</t>
        </is>
      </c>
      <c r="AB43" s="377" t="n"/>
      <c r="AC43" s="377" t="n"/>
      <c r="AD43" s="377" t="n"/>
      <c r="AE43" s="377" t="n"/>
      <c r="AF43" s="377" t="n"/>
      <c r="AG43" s="377" t="n"/>
      <c r="AH43" s="377" t="n"/>
      <c r="AI43" s="359" t="inlineStr">
        <is>
          <t>是</t>
        </is>
      </c>
      <c r="AJ43" s="214" t="inlineStr">
        <is>
          <t>一通电话小孩、妈妈、爸爸三个人接，妈妈主要问了阅读在家里怎么做、爸爸要求老师上课多提问她，觉得我们很负责、表示了感谢</t>
        </is>
      </c>
      <c r="AL43" s="281" t="n"/>
    </row>
    <row r="44" ht="26.25" customHeight="1" s="1053">
      <c r="A44" s="377" t="inlineStr">
        <is>
          <t>同创汇</t>
        </is>
      </c>
      <c r="B44" s="377" t="inlineStr">
        <is>
          <t>二期</t>
        </is>
      </c>
      <c r="C44" s="281" t="n">
        <v>5230809</v>
      </c>
      <c r="D44" s="281" t="inlineStr">
        <is>
          <t>10:20-12:30</t>
        </is>
      </c>
      <c r="E44" s="377" t="inlineStr">
        <is>
          <t>潜能班</t>
        </is>
      </c>
      <c r="F44" s="377" t="inlineStr">
        <is>
          <t>译译</t>
        </is>
      </c>
      <c r="G44" s="377" t="inlineStr">
        <is>
          <t>李润</t>
        </is>
      </c>
      <c r="H44" s="377" t="inlineStr">
        <is>
          <t>陈中帅</t>
        </is>
      </c>
      <c r="I44" s="377" t="inlineStr">
        <is>
          <t>高心怡04</t>
        </is>
      </c>
      <c r="J44" s="377" t="inlineStr">
        <is>
          <t>王丽</t>
        </is>
      </c>
      <c r="K44" s="372" t="n"/>
      <c r="L44" s="372" t="n"/>
      <c r="M44" s="377" t="n"/>
      <c r="N44" s="377" t="inlineStr">
        <is>
          <t>写字、阅读情感</t>
        </is>
      </c>
      <c r="O44" s="377" t="inlineStr">
        <is>
          <t>有秋季意愿，孩子比较慢热，首课反馈良好</t>
        </is>
      </c>
      <c r="P44" s="377" t="inlineStr">
        <is>
          <t>90分左右</t>
        </is>
      </c>
      <c r="Q44" s="377" t="n"/>
      <c r="R44" s="377" t="n"/>
      <c r="S44" s="377" t="n"/>
      <c r="T44" s="377" t="inlineStr">
        <is>
          <t>是</t>
        </is>
      </c>
      <c r="U44" s="377" t="inlineStr">
        <is>
          <t>是</t>
        </is>
      </c>
      <c r="V44" s="377" t="inlineStr">
        <is>
          <t>是</t>
        </is>
      </c>
      <c r="W44" s="377" t="inlineStr">
        <is>
          <t>是</t>
        </is>
      </c>
      <c r="X44" s="377" t="n"/>
      <c r="Y44" s="377" t="inlineStr">
        <is>
          <t>是</t>
        </is>
      </c>
      <c r="Z44" s="377" t="inlineStr">
        <is>
          <t>是</t>
        </is>
      </c>
      <c r="AA44" s="377" t="n"/>
      <c r="AB44" s="377" t="n"/>
      <c r="AC44" s="377" t="n"/>
      <c r="AD44" s="377" t="n"/>
      <c r="AE44" s="377" t="n"/>
      <c r="AF44" s="377" t="n"/>
      <c r="AG44" s="377" t="n"/>
      <c r="AH44" s="377" t="n"/>
      <c r="AJ44" s="281" t="n"/>
      <c r="AL44" s="281" t="n"/>
    </row>
    <row r="45" ht="26.25" customHeight="1" s="1053">
      <c r="A45" s="377" t="inlineStr">
        <is>
          <t>同创汇</t>
        </is>
      </c>
      <c r="B45" s="377" t="inlineStr">
        <is>
          <t>零期</t>
        </is>
      </c>
      <c r="C45" s="377" t="n">
        <v>5230722</v>
      </c>
      <c r="D45" s="377" t="inlineStr">
        <is>
          <t>15:50-18:00</t>
        </is>
      </c>
      <c r="E45" s="377" t="inlineStr">
        <is>
          <t>潜能班</t>
        </is>
      </c>
      <c r="F45" s="377" t="inlineStr">
        <is>
          <t>雷斐然</t>
        </is>
      </c>
      <c r="G45" s="377" t="inlineStr">
        <is>
          <t>李润</t>
        </is>
      </c>
      <c r="H45" s="377" t="inlineStr">
        <is>
          <t>陈中帅</t>
        </is>
      </c>
      <c r="I45" s="377" t="inlineStr">
        <is>
          <t>高心怡04</t>
        </is>
      </c>
      <c r="J45" s="377" t="inlineStr">
        <is>
          <t>苏丽婷</t>
        </is>
      </c>
      <c r="K45" s="377" t="n"/>
      <c r="L45" s="377" t="n"/>
      <c r="M45" s="377" t="inlineStr">
        <is>
          <t>现在比较主动</t>
        </is>
      </c>
      <c r="N45" s="377" t="inlineStr">
        <is>
          <t>阅读理解概括不全</t>
        </is>
      </c>
      <c r="O45" s="377" t="inlineStr">
        <is>
          <t>在家不看书，学体操，语文、英语有在外面上。最近有体操比赛没空</t>
        </is>
      </c>
      <c r="P45" s="377" t="inlineStr">
        <is>
          <t>A，85-90</t>
        </is>
      </c>
      <c r="Q45" s="377" t="n"/>
      <c r="R45" s="377" t="n"/>
      <c r="S45" s="377" t="n"/>
      <c r="T45" s="377" t="inlineStr">
        <is>
          <t>是</t>
        </is>
      </c>
      <c r="U45" s="377" t="inlineStr">
        <is>
          <t>是</t>
        </is>
      </c>
      <c r="V45" s="377" t="inlineStr">
        <is>
          <t>是</t>
        </is>
      </c>
      <c r="W45" s="377" t="inlineStr">
        <is>
          <t>是</t>
        </is>
      </c>
      <c r="X45" s="377" t="n"/>
      <c r="Y45" s="377" t="n"/>
      <c r="Z45" s="377" t="inlineStr">
        <is>
          <t>是</t>
        </is>
      </c>
      <c r="AA45" s="377" t="inlineStr">
        <is>
          <t>是</t>
        </is>
      </c>
      <c r="AB45" s="377" t="n"/>
      <c r="AC45" s="377" t="n"/>
      <c r="AD45" s="377" t="n"/>
      <c r="AE45" s="377" t="n"/>
      <c r="AF45" s="377" t="n"/>
      <c r="AG45" s="377" t="n"/>
      <c r="AH45" s="377" t="n"/>
      <c r="AJ45" s="281" t="n"/>
      <c r="AL45" s="281" t="n"/>
    </row>
    <row r="46" ht="26.25" customHeight="1" s="1053">
      <c r="A46" s="377" t="inlineStr">
        <is>
          <t>同创汇</t>
        </is>
      </c>
      <c r="B46" s="377" t="inlineStr">
        <is>
          <t>零期</t>
        </is>
      </c>
      <c r="C46" s="377" t="n">
        <v>5230722</v>
      </c>
      <c r="D46" s="377" t="inlineStr">
        <is>
          <t>15:50-18:00</t>
        </is>
      </c>
      <c r="E46" s="377" t="inlineStr">
        <is>
          <t>潜能班</t>
        </is>
      </c>
      <c r="F46" s="377" t="inlineStr">
        <is>
          <t>黄泓宇</t>
        </is>
      </c>
      <c r="G46" s="377" t="inlineStr">
        <is>
          <t>李润</t>
        </is>
      </c>
      <c r="H46" s="377" t="inlineStr">
        <is>
          <t>陈中帅</t>
        </is>
      </c>
      <c r="I46" s="377" t="inlineStr">
        <is>
          <t>高心怡04</t>
        </is>
      </c>
      <c r="J46" s="377" t="inlineStr">
        <is>
          <t>王丽</t>
        </is>
      </c>
      <c r="K46" s="377" t="n"/>
      <c r="L46" s="377" t="n"/>
      <c r="M46" s="377" t="inlineStr">
        <is>
          <t>主要靠自己</t>
        </is>
      </c>
      <c r="N46" s="377" t="inlineStr">
        <is>
          <t>错别字、阅读、基础、作文</t>
        </is>
      </c>
      <c r="O46" s="377" t="inlineStr">
        <is>
          <t>很社牛、举手发言会有点害羞，语文数学英语都在外面补过，但是都学的不长，因为不做课后作业，得妈妈催，妈妈就不想让再学了。但是一直在学编程、羽毛球。</t>
        </is>
      </c>
      <c r="P46" s="377" t="inlineStr">
        <is>
          <t>80-85</t>
        </is>
      </c>
      <c r="Q46" s="377" t="n"/>
      <c r="R46" s="377" t="n"/>
      <c r="S46" s="377" t="n"/>
      <c r="T46" s="377" t="inlineStr">
        <is>
          <t>是</t>
        </is>
      </c>
      <c r="U46" s="377" t="inlineStr">
        <is>
          <t>是</t>
        </is>
      </c>
      <c r="V46" s="377" t="inlineStr">
        <is>
          <t>是</t>
        </is>
      </c>
      <c r="W46" s="377" t="inlineStr">
        <is>
          <t>是</t>
        </is>
      </c>
      <c r="X46" s="377" t="n"/>
      <c r="Y46" s="377" t="inlineStr">
        <is>
          <t>是</t>
        </is>
      </c>
      <c r="Z46" s="377" t="inlineStr">
        <is>
          <t>是</t>
        </is>
      </c>
      <c r="AA46" s="377" t="inlineStr">
        <is>
          <t>是</t>
        </is>
      </c>
      <c r="AB46" s="377" t="n"/>
      <c r="AC46" s="377" t="n"/>
      <c r="AD46" s="377" t="n"/>
      <c r="AE46" s="377" t="n"/>
      <c r="AF46" s="377" t="n"/>
      <c r="AG46" s="377" t="n"/>
      <c r="AH46" s="377" t="n"/>
      <c r="AI46" s="359" t="inlineStr">
        <is>
          <t>是</t>
        </is>
      </c>
      <c r="AJ46" s="366" t="inlineStr">
        <is>
          <t>作文弱、文言文弱、词语听写也忽上忽下</t>
        </is>
      </c>
      <c r="AL46" s="281" t="n"/>
    </row>
    <row r="47" ht="26.25" customHeight="1" s="1053">
      <c r="A47" s="377" t="inlineStr">
        <is>
          <t>天成大厦</t>
        </is>
      </c>
      <c r="B47" s="377" t="inlineStr">
        <is>
          <t>一期</t>
        </is>
      </c>
      <c r="C47" s="377" t="n">
        <v>3132834</v>
      </c>
      <c r="D47" s="377" t="inlineStr">
        <is>
          <t>07:50-10:00</t>
        </is>
      </c>
      <c r="E47" s="377" t="inlineStr">
        <is>
          <t>潜能班</t>
        </is>
      </c>
      <c r="F47" s="377" t="inlineStr">
        <is>
          <t>Apple</t>
        </is>
      </c>
      <c r="G47" s="377" t="inlineStr">
        <is>
          <t>李润</t>
        </is>
      </c>
      <c r="H47" s="377" t="inlineStr">
        <is>
          <t>陈中帅</t>
        </is>
      </c>
      <c r="I47" s="377" t="inlineStr">
        <is>
          <t>刘希子</t>
        </is>
      </c>
      <c r="J47" s="377" t="inlineStr">
        <is>
          <t>沈思浩</t>
        </is>
      </c>
      <c r="K47" s="377" t="n"/>
      <c r="L47" s="377" t="n"/>
      <c r="M47" s="377" t="inlineStr">
        <is>
          <t>比较自觉</t>
        </is>
      </c>
      <c r="N47" s="377" t="inlineStr">
        <is>
          <t>薅羊毛</t>
        </is>
      </c>
      <c r="O47" s="377" t="inlineStr">
        <is>
          <t>换手机号、换UID报名，还有Mango、沐沐。家里3个孩子只报特惠，从不续费。apple热爱语文、爱举手、长篇小说、沈石溪也看、时事新闻、南风窗</t>
        </is>
      </c>
      <c r="P47" s="377" t="n"/>
      <c r="Q47" s="377" t="n"/>
      <c r="R47" s="377" t="n"/>
      <c r="S47" s="377" t="n"/>
      <c r="T47" s="377" t="inlineStr">
        <is>
          <t>是</t>
        </is>
      </c>
      <c r="U47" s="377" t="inlineStr">
        <is>
          <t>是</t>
        </is>
      </c>
      <c r="V47" s="377" t="n"/>
      <c r="W47" s="377" t="n"/>
      <c r="X47" s="377" t="n"/>
      <c r="Y47" s="377" t="n"/>
      <c r="Z47" s="377" t="n"/>
      <c r="AA47" s="377" t="n"/>
      <c r="AB47" s="377" t="n"/>
      <c r="AC47" s="377" t="n"/>
      <c r="AD47" s="377" t="inlineStr">
        <is>
          <t>C</t>
        </is>
      </c>
      <c r="AE47" s="377" t="inlineStr">
        <is>
          <t>换手机号、换UID报名，还有Mango、沐沐。家里3个孩子只报特惠，从不续费</t>
        </is>
      </c>
      <c r="AF47" s="377" t="n"/>
      <c r="AG47" s="377" t="n"/>
      <c r="AH47" s="377" t="n"/>
    </row>
    <row r="48" ht="26.25" customHeight="1" s="1053">
      <c r="A48" s="377" t="inlineStr">
        <is>
          <t>天成大厦</t>
        </is>
      </c>
      <c r="B48" s="377" t="inlineStr">
        <is>
          <t>一期</t>
        </is>
      </c>
      <c r="C48" s="377" t="n">
        <v>3132834</v>
      </c>
      <c r="D48" s="377" t="inlineStr">
        <is>
          <t>07:50-10:00</t>
        </is>
      </c>
      <c r="E48" s="377" t="inlineStr">
        <is>
          <t>潜能班</t>
        </is>
      </c>
      <c r="F48" s="377" t="inlineStr">
        <is>
          <t>严健天</t>
        </is>
      </c>
      <c r="G48" s="377" t="inlineStr">
        <is>
          <t>李润</t>
        </is>
      </c>
      <c r="H48" s="377" t="n"/>
      <c r="I48" s="377" t="n"/>
      <c r="J48" s="377" t="inlineStr">
        <is>
          <t>沈思浩</t>
        </is>
      </c>
      <c r="K48" s="377" t="n"/>
      <c r="L48" s="377" t="n"/>
      <c r="M48" s="377" t="n"/>
      <c r="N48" s="377" t="n"/>
      <c r="O48" s="377" t="n"/>
      <c r="P48" s="377" t="n"/>
      <c r="Q48" s="377" t="n"/>
      <c r="R48" s="377" t="n"/>
      <c r="S48" s="377" t="n"/>
      <c r="T48" s="377" t="n"/>
      <c r="U48" s="377" t="n"/>
      <c r="V48" s="377" t="n"/>
      <c r="W48" s="377" t="n"/>
      <c r="X48" s="377" t="n"/>
      <c r="Y48" s="377" t="n"/>
      <c r="Z48" s="377" t="n"/>
      <c r="AA48" s="377" t="n"/>
      <c r="AB48" s="377" t="n"/>
      <c r="AC48" s="377" t="n"/>
      <c r="AD48" s="377" t="n"/>
      <c r="AE48" s="377" t="n"/>
      <c r="AF48" s="377" t="n"/>
      <c r="AG48" s="377" t="n"/>
      <c r="AH48" s="377" t="n"/>
    </row>
    <row r="49" ht="26.25" customHeight="1" s="1053">
      <c r="A49" s="377" t="inlineStr">
        <is>
          <t>天成大厦</t>
        </is>
      </c>
      <c r="B49" s="377" t="inlineStr">
        <is>
          <t>一期</t>
        </is>
      </c>
      <c r="C49" s="377" t="n">
        <v>3132834</v>
      </c>
      <c r="D49" s="377" t="inlineStr">
        <is>
          <t>07:50-10:00</t>
        </is>
      </c>
      <c r="E49" s="377" t="inlineStr">
        <is>
          <t>潜能班</t>
        </is>
      </c>
      <c r="F49" s="377" t="inlineStr">
        <is>
          <t>冼梓琳</t>
        </is>
      </c>
      <c r="G49" s="377" t="inlineStr">
        <is>
          <t>李润</t>
        </is>
      </c>
      <c r="H49" s="377" t="inlineStr">
        <is>
          <t>宗志鹏</t>
        </is>
      </c>
      <c r="I49" s="377" t="inlineStr">
        <is>
          <t>刘希子</t>
        </is>
      </c>
      <c r="J49" s="377" t="inlineStr">
        <is>
          <t>陈亮延</t>
        </is>
      </c>
      <c r="K49" s="377" t="n"/>
      <c r="L49" s="377" t="n"/>
      <c r="M49" s="377" t="n"/>
      <c r="N49" s="377" t="n"/>
      <c r="O49" s="377" t="inlineStr">
        <is>
          <t>校内成绩不错</t>
        </is>
      </c>
      <c r="P49" s="377" t="n"/>
      <c r="Q49" s="377" t="n">
        <v>31</v>
      </c>
      <c r="R49" s="377" t="n"/>
      <c r="S49" s="377" t="n"/>
      <c r="T49" s="377" t="inlineStr">
        <is>
          <t>是</t>
        </is>
      </c>
      <c r="U49" s="377" t="inlineStr">
        <is>
          <t>是</t>
        </is>
      </c>
      <c r="V49" s="377" t="n"/>
      <c r="W49" s="377" t="n"/>
      <c r="X49" s="377" t="n"/>
      <c r="Y49" s="377" t="n"/>
      <c r="Z49" s="377" t="n"/>
      <c r="AA49" s="377" t="n"/>
      <c r="AB49" s="377" t="n"/>
      <c r="AC49" s="377" t="n"/>
      <c r="AD49" s="377" t="n"/>
      <c r="AE49" s="377" t="n"/>
      <c r="AF49" s="377" t="n"/>
      <c r="AG49" s="377" t="n"/>
      <c r="AH49" s="377" t="n"/>
    </row>
    <row r="50" ht="26.25" customHeight="1" s="1053">
      <c r="A50" s="377" t="inlineStr">
        <is>
          <t>天成大厦</t>
        </is>
      </c>
      <c r="B50" s="377" t="inlineStr">
        <is>
          <t>一期</t>
        </is>
      </c>
      <c r="C50" s="377" t="n">
        <v>3132834</v>
      </c>
      <c r="D50" s="377" t="inlineStr">
        <is>
          <t>07:50-10:00</t>
        </is>
      </c>
      <c r="E50" s="377" t="inlineStr">
        <is>
          <t>潜能班</t>
        </is>
      </c>
      <c r="F50" s="377" t="inlineStr">
        <is>
          <t>刘丛歌</t>
        </is>
      </c>
      <c r="G50" s="377" t="inlineStr">
        <is>
          <t>李润</t>
        </is>
      </c>
      <c r="H50" s="377" t="inlineStr">
        <is>
          <t>陈中帅</t>
        </is>
      </c>
      <c r="I50" s="377" t="inlineStr">
        <is>
          <t>刘希子</t>
        </is>
      </c>
      <c r="J50" s="377" t="inlineStr">
        <is>
          <t>陈亮延</t>
        </is>
      </c>
      <c r="K50" s="377" t="n"/>
      <c r="L50" s="377" t="n"/>
      <c r="M50" s="377" t="n"/>
      <c r="N50" s="377" t="inlineStr">
        <is>
          <t>文言文、古诗词和词汇积累方面比较薄弱</t>
        </is>
      </c>
      <c r="O50" s="377" t="n"/>
      <c r="P50" s="377" t="inlineStr">
        <is>
          <t>校内分数95分，</t>
        </is>
      </c>
      <c r="Q50" s="377" t="n">
        <v>40</v>
      </c>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n"/>
    </row>
    <row r="51" ht="26.25" customHeight="1" s="1053">
      <c r="A51" s="377" t="inlineStr">
        <is>
          <t>天成大厦</t>
        </is>
      </c>
      <c r="B51" s="377" t="inlineStr">
        <is>
          <t>一期</t>
        </is>
      </c>
      <c r="C51" s="377" t="n">
        <v>3132834</v>
      </c>
      <c r="D51" s="377" t="inlineStr">
        <is>
          <t>07:50-10:00</t>
        </is>
      </c>
      <c r="E51" s="377" t="inlineStr">
        <is>
          <t>潜能班</t>
        </is>
      </c>
      <c r="F51" s="377" t="inlineStr">
        <is>
          <t>刘均瑞</t>
        </is>
      </c>
      <c r="G51" s="377" t="inlineStr">
        <is>
          <t>李润</t>
        </is>
      </c>
      <c r="H51" s="377" t="n"/>
      <c r="I51" s="377" t="inlineStr">
        <is>
          <t>刘希子</t>
        </is>
      </c>
      <c r="J51" s="377" t="inlineStr">
        <is>
          <t>尚歆01</t>
        </is>
      </c>
      <c r="K51" s="377" t="n"/>
      <c r="L51" s="377" t="n"/>
      <c r="M51" s="377" t="n"/>
      <c r="N51" s="377" t="n"/>
      <c r="O51" s="377" t="inlineStr">
        <is>
          <t>孩子青春期有些叛逆，爱玩三角洲，但是妈妈比较好沟通。专门带孩子到同创汇来二次补测</t>
        </is>
      </c>
      <c r="P51" s="377" t="n"/>
      <c r="Q51" s="377" t="n">
        <v>23</v>
      </c>
      <c r="R51" s="377" t="n"/>
      <c r="S51" s="377" t="n"/>
      <c r="T51" s="377" t="inlineStr">
        <is>
          <t>是</t>
        </is>
      </c>
      <c r="U51" s="377" t="inlineStr">
        <is>
          <t>是</t>
        </is>
      </c>
      <c r="V51" s="377" t="n"/>
      <c r="W51" s="377" t="n"/>
      <c r="X51" s="377" t="n"/>
      <c r="Y51" s="377" t="n"/>
      <c r="Z51" s="377" t="n"/>
      <c r="AA51" s="377" t="n"/>
      <c r="AB51" s="377" t="n"/>
      <c r="AC51" s="377" t="n"/>
      <c r="AD51" s="377" t="n"/>
      <c r="AE51" s="377" t="n"/>
      <c r="AF51" s="377" t="n"/>
      <c r="AG51" s="377" t="n"/>
      <c r="AH51" s="377" t="n"/>
    </row>
    <row r="52" ht="26.25" customHeight="1" s="1053">
      <c r="A52" s="377" t="inlineStr">
        <is>
          <t>天成大厦</t>
        </is>
      </c>
      <c r="B52" s="377" t="inlineStr">
        <is>
          <t>一期</t>
        </is>
      </c>
      <c r="C52" s="377" t="n">
        <v>3132834</v>
      </c>
      <c r="D52" s="377" t="inlineStr">
        <is>
          <t>07:50-10:00</t>
        </is>
      </c>
      <c r="E52" s="377" t="inlineStr">
        <is>
          <t>潜能班</t>
        </is>
      </c>
      <c r="F52" s="377" t="inlineStr">
        <is>
          <t>唐瑜蔓</t>
        </is>
      </c>
      <c r="G52" s="377" t="inlineStr">
        <is>
          <t>李润</t>
        </is>
      </c>
      <c r="H52" s="377" t="inlineStr">
        <is>
          <t>陈中帅</t>
        </is>
      </c>
      <c r="I52" s="377" t="inlineStr">
        <is>
          <t>刘希子</t>
        </is>
      </c>
      <c r="J52" s="377" t="inlineStr">
        <is>
          <t>沈思浩</t>
        </is>
      </c>
      <c r="K52" s="377" t="n"/>
      <c r="L52" s="377" t="n"/>
      <c r="M52" s="377" t="n"/>
      <c r="N52" s="377" t="n"/>
      <c r="O52" s="377" t="n"/>
      <c r="P52" s="377" t="n"/>
      <c r="Q52" s="377" t="n">
        <v>0</v>
      </c>
      <c r="R52" s="377" t="n"/>
      <c r="S52" s="377" t="n"/>
      <c r="T52" s="377" t="n"/>
      <c r="U52" s="377" t="n"/>
      <c r="V52" s="377" t="n"/>
      <c r="W52" s="377" t="n"/>
      <c r="X52" s="377" t="n"/>
      <c r="Y52" s="377" t="n"/>
      <c r="Z52" s="377" t="n"/>
      <c r="AA52" s="377" t="n"/>
      <c r="AB52" s="377" t="n"/>
      <c r="AC52" s="377" t="n"/>
      <c r="AD52" s="377" t="n"/>
      <c r="AE52" s="377" t="n"/>
      <c r="AF52" s="377" t="n"/>
      <c r="AG52" s="377" t="n"/>
      <c r="AH52" s="377" t="n"/>
    </row>
    <row r="53" ht="26.25" customHeight="1" s="1053">
      <c r="A53" s="377" t="inlineStr">
        <is>
          <t>天成大厦</t>
        </is>
      </c>
      <c r="B53" s="377" t="inlineStr">
        <is>
          <t>一期</t>
        </is>
      </c>
      <c r="C53" s="377" t="n">
        <v>3132834</v>
      </c>
      <c r="D53" s="377" t="inlineStr">
        <is>
          <t>07:50-10:00</t>
        </is>
      </c>
      <c r="E53" s="377" t="inlineStr">
        <is>
          <t>潜能班</t>
        </is>
      </c>
      <c r="F53" s="377" t="inlineStr">
        <is>
          <t>大栗同学888</t>
        </is>
      </c>
      <c r="G53" s="377" t="inlineStr">
        <is>
          <t>李润</t>
        </is>
      </c>
      <c r="H53" s="377" t="inlineStr">
        <is>
          <t>陈中帅</t>
        </is>
      </c>
      <c r="I53" s="377" t="inlineStr">
        <is>
          <t>刘希子</t>
        </is>
      </c>
      <c r="J53" s="377" t="inlineStr">
        <is>
          <t>张敏烨</t>
        </is>
      </c>
      <c r="K53" s="377" t="n"/>
      <c r="L53" s="377" t="n"/>
      <c r="M53" s="377" t="n"/>
      <c r="N53" s="377" t="n"/>
      <c r="O53" s="377" t="inlineStr">
        <is>
          <t>ID异常，疑似换手机号报名</t>
        </is>
      </c>
      <c r="P53" s="377" t="n"/>
      <c r="Q53" s="377" t="n"/>
      <c r="R53" s="377" t="n"/>
      <c r="S53" s="377" t="n"/>
      <c r="T53" s="377" t="inlineStr">
        <is>
          <t>是</t>
        </is>
      </c>
      <c r="U53" s="377" t="inlineStr">
        <is>
          <t>是</t>
        </is>
      </c>
      <c r="V53" s="377" t="n"/>
      <c r="W53" s="377" t="n"/>
      <c r="X53" s="377" t="n"/>
      <c r="Y53" s="377" t="n"/>
      <c r="Z53" s="377" t="n"/>
      <c r="AA53" s="377" t="n"/>
      <c r="AB53" s="377" t="n"/>
      <c r="AC53" s="377" t="n"/>
      <c r="AD53" s="377" t="n"/>
      <c r="AE53" s="377" t="n"/>
      <c r="AF53" s="377" t="n"/>
      <c r="AG53" s="377" t="n"/>
      <c r="AH53" s="377" t="n"/>
    </row>
    <row r="54" ht="26.25" customHeight="1" s="1053">
      <c r="A54" s="377" t="inlineStr">
        <is>
          <t>天成大厦</t>
        </is>
      </c>
      <c r="B54" s="377" t="inlineStr">
        <is>
          <t>一期</t>
        </is>
      </c>
      <c r="C54" s="377" t="n">
        <v>3132834</v>
      </c>
      <c r="D54" s="377" t="inlineStr">
        <is>
          <t>07:50-10:00</t>
        </is>
      </c>
      <c r="E54" s="377" t="inlineStr">
        <is>
          <t>潜能班</t>
        </is>
      </c>
      <c r="F54" s="377" t="inlineStr">
        <is>
          <t>庞靖怡</t>
        </is>
      </c>
      <c r="G54" s="377" t="inlineStr">
        <is>
          <t>李润</t>
        </is>
      </c>
      <c r="H54" s="377" t="inlineStr">
        <is>
          <t>陈中帅</t>
        </is>
      </c>
      <c r="I54" s="377" t="inlineStr">
        <is>
          <t>刘希子</t>
        </is>
      </c>
      <c r="J54" s="377" t="inlineStr">
        <is>
          <t>沈思浩</t>
        </is>
      </c>
      <c r="K54" s="377" t="n"/>
      <c r="L54" s="377" t="n"/>
      <c r="M54" s="377" t="inlineStr">
        <is>
          <t>一般般、写作业不自觉</t>
        </is>
      </c>
      <c r="N54" s="377" t="inlineStr">
        <is>
          <t>补过数学、英语，衔接初一</t>
        </is>
      </c>
      <c r="O54" s="377" t="inlineStr">
        <is>
          <t>妈妈觉得孩子懒、家里有弟弟，逆反，孩子不太想学，孩子比较佛系，孩子喜欢语文老师，所以喜欢语文</t>
        </is>
      </c>
      <c r="P54" s="377" t="inlineStr">
        <is>
          <t>90-95</t>
        </is>
      </c>
      <c r="Q54" s="377" t="n">
        <v>32</v>
      </c>
      <c r="R54" s="377" t="n"/>
      <c r="S54" s="377" t="n"/>
      <c r="T54" s="377" t="inlineStr">
        <is>
          <t>是</t>
        </is>
      </c>
      <c r="U54" s="377" t="inlineStr">
        <is>
          <t>是</t>
        </is>
      </c>
      <c r="V54" s="377" t="n"/>
      <c r="W54" s="377" t="n"/>
      <c r="X54" s="377" t="n"/>
      <c r="Y54" s="377" t="n"/>
      <c r="Z54" s="377" t="n"/>
      <c r="AA54" s="377" t="n"/>
      <c r="AB54" s="377" t="n"/>
      <c r="AC54" s="377" t="n"/>
      <c r="AD54" s="377" t="n"/>
      <c r="AE54" s="377" t="n"/>
      <c r="AF54" s="377" t="n"/>
      <c r="AG54" s="377" t="n"/>
      <c r="AH54" s="377" t="n"/>
    </row>
    <row r="55" ht="26.25" customHeight="1" s="1053">
      <c r="A55" s="377" t="inlineStr">
        <is>
          <t>天成大厦</t>
        </is>
      </c>
      <c r="B55" s="377" t="inlineStr">
        <is>
          <t>一期</t>
        </is>
      </c>
      <c r="C55" s="377" t="n">
        <v>3132834</v>
      </c>
      <c r="D55" s="377" t="inlineStr">
        <is>
          <t>07:50-10:00</t>
        </is>
      </c>
      <c r="E55" s="377" t="inlineStr">
        <is>
          <t>潜能班</t>
        </is>
      </c>
      <c r="F55" s="377" t="inlineStr">
        <is>
          <t>张桓</t>
        </is>
      </c>
      <c r="G55" s="377" t="inlineStr">
        <is>
          <t>李润</t>
        </is>
      </c>
      <c r="H55" s="377" t="inlineStr">
        <is>
          <t>陈中帅</t>
        </is>
      </c>
      <c r="I55" s="377" t="inlineStr">
        <is>
          <t>刘希子</t>
        </is>
      </c>
      <c r="J55" s="377" t="inlineStr">
        <is>
          <t>陈亮延</t>
        </is>
      </c>
      <c r="K55" s="377" t="n"/>
      <c r="L55" s="377" t="n"/>
      <c r="M55" s="377" t="inlineStr">
        <is>
          <t>严一点</t>
        </is>
      </c>
      <c r="N55" s="377" t="inlineStr">
        <is>
          <t>提早预习</t>
        </is>
      </c>
      <c r="O55" s="833" t="inlineStr">
        <is>
          <t>魔丸，自然流失未做续费动作.
小班在外面学语文、喜欢打游戏三角洲，之前在龙辉上青青的课，没班后得来天成，家长就在外面组了小班学，现在大了，可以踩单车来上课</t>
        </is>
      </c>
      <c r="P55" s="377" t="n"/>
      <c r="Q55" s="377" t="n">
        <v>30</v>
      </c>
      <c r="R55" s="377" t="n"/>
      <c r="S55" s="377" t="n"/>
      <c r="T55" s="377" t="inlineStr">
        <is>
          <t>是</t>
        </is>
      </c>
      <c r="U55" s="377" t="inlineStr">
        <is>
          <t>是</t>
        </is>
      </c>
      <c r="V55" s="377" t="n"/>
      <c r="W55" s="377" t="n"/>
      <c r="X55" s="377" t="n"/>
      <c r="Y55" s="377" t="inlineStr">
        <is>
          <t>是</t>
        </is>
      </c>
      <c r="Z55" s="377" t="n"/>
      <c r="AA55" s="377" t="n"/>
      <c r="AB55" s="377" t="n"/>
      <c r="AC55" s="377" t="n"/>
      <c r="AD55" s="377" t="n"/>
      <c r="AE55" s="377" t="n"/>
      <c r="AF55" s="377" t="n"/>
      <c r="AG55" s="377" t="n"/>
      <c r="AH55" s="377" t="n"/>
    </row>
    <row r="56" ht="26.25" customHeight="1" s="1053">
      <c r="A56" s="377" t="inlineStr">
        <is>
          <t>天成大厦</t>
        </is>
      </c>
      <c r="B56" s="377" t="inlineStr">
        <is>
          <t>一期</t>
        </is>
      </c>
      <c r="C56" s="377" t="n">
        <v>3132834</v>
      </c>
      <c r="D56" s="377" t="inlineStr">
        <is>
          <t>07:50-10:00</t>
        </is>
      </c>
      <c r="E56" s="377" t="inlineStr">
        <is>
          <t>潜能班</t>
        </is>
      </c>
      <c r="F56" s="377" t="inlineStr">
        <is>
          <t>李施锐</t>
        </is>
      </c>
      <c r="G56" s="377" t="inlineStr">
        <is>
          <t>李润</t>
        </is>
      </c>
      <c r="H56" s="377" t="inlineStr">
        <is>
          <t>陈中帅</t>
        </is>
      </c>
      <c r="I56" s="377" t="inlineStr">
        <is>
          <t>刘希子</t>
        </is>
      </c>
      <c r="J56" s="377" t="inlineStr">
        <is>
          <t>陈亮延</t>
        </is>
      </c>
      <c r="K56" s="377" t="n"/>
      <c r="L56" s="377" t="n"/>
      <c r="M56" s="377" t="n"/>
      <c r="N56" s="377" t="n"/>
      <c r="O56" s="377" t="n"/>
      <c r="P56" s="377" t="inlineStr">
        <is>
          <t>B-A＋</t>
        </is>
      </c>
      <c r="Q56" s="377" t="n"/>
      <c r="R56" s="377" t="n"/>
      <c r="S56" s="377" t="n"/>
      <c r="T56" s="377" t="inlineStr">
        <is>
          <t>是</t>
        </is>
      </c>
      <c r="U56" s="377" t="n"/>
      <c r="V56" s="377" t="n"/>
      <c r="W56" s="377" t="n"/>
      <c r="X56" s="377" t="n"/>
      <c r="Y56" s="377" t="n"/>
      <c r="Z56" s="377" t="n"/>
      <c r="AA56" s="377" t="n"/>
      <c r="AB56" s="377" t="n"/>
      <c r="AC56" s="377" t="n"/>
      <c r="AD56" s="377" t="n"/>
      <c r="AE56" s="377" t="n"/>
      <c r="AF56" s="377" t="n"/>
      <c r="AG56" s="377" t="n"/>
      <c r="AH56" s="377" t="n"/>
    </row>
    <row r="57" ht="26.25" customHeight="1" s="1053">
      <c r="A57" s="377" t="inlineStr">
        <is>
          <t>天成大厦</t>
        </is>
      </c>
      <c r="B57" s="377" t="inlineStr">
        <is>
          <t>一期</t>
        </is>
      </c>
      <c r="C57" s="377" t="n">
        <v>3132834</v>
      </c>
      <c r="D57" s="377" t="inlineStr">
        <is>
          <t>07:50-10:00</t>
        </is>
      </c>
      <c r="E57" s="377" t="inlineStr">
        <is>
          <t>潜能班</t>
        </is>
      </c>
      <c r="F57" s="377" t="inlineStr">
        <is>
          <t>杜昱茗</t>
        </is>
      </c>
      <c r="G57" s="377" t="inlineStr">
        <is>
          <t>李润</t>
        </is>
      </c>
      <c r="H57" s="377" t="inlineStr">
        <is>
          <t>陈中帅</t>
        </is>
      </c>
      <c r="I57" s="377" t="inlineStr">
        <is>
          <t>刘希子</t>
        </is>
      </c>
      <c r="J57" s="377" t="inlineStr">
        <is>
          <t>沈思浩</t>
        </is>
      </c>
      <c r="K57" s="377" t="n"/>
      <c r="L57" s="377" t="n"/>
      <c r="M57" s="377" t="n"/>
      <c r="N57" s="377" t="n"/>
      <c r="O57" s="377" t="inlineStr">
        <is>
          <t>双胞胎-杜昱萱，已报数学秋季</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n"/>
    </row>
    <row r="58" ht="26.25" customHeight="1" s="1053">
      <c r="A58" s="377" t="inlineStr">
        <is>
          <t>天成大厦</t>
        </is>
      </c>
      <c r="B58" s="377" t="inlineStr">
        <is>
          <t>一期</t>
        </is>
      </c>
      <c r="C58" s="377" t="n">
        <v>3132834</v>
      </c>
      <c r="D58" s="377" t="inlineStr">
        <is>
          <t>07:50-10:00</t>
        </is>
      </c>
      <c r="E58" s="377" t="inlineStr">
        <is>
          <t>潜能班</t>
        </is>
      </c>
      <c r="F58" s="377" t="inlineStr">
        <is>
          <t>杜昱萱</t>
        </is>
      </c>
      <c r="G58" s="377" t="inlineStr">
        <is>
          <t>李润</t>
        </is>
      </c>
      <c r="H58" s="377" t="inlineStr">
        <is>
          <t>陈中帅</t>
        </is>
      </c>
      <c r="I58" s="377" t="inlineStr">
        <is>
          <t>刘希子</t>
        </is>
      </c>
      <c r="J58" s="377" t="inlineStr">
        <is>
          <t>沈思浩</t>
        </is>
      </c>
      <c r="K58" s="377" t="n"/>
      <c r="L58" s="377" t="n"/>
      <c r="M58" s="377" t="n"/>
      <c r="N58" s="377" t="n"/>
      <c r="O58" s="377" t="inlineStr">
        <is>
          <t>双胞胎-杜昱茗，已报数学秋季</t>
        </is>
      </c>
      <c r="P58" s="377" t="n"/>
      <c r="Q58" s="377" t="n"/>
      <c r="R58" s="377" t="n"/>
      <c r="S58" s="377" t="n"/>
      <c r="T58" s="377" t="inlineStr">
        <is>
          <t>是</t>
        </is>
      </c>
      <c r="U58" s="377" t="inlineStr">
        <is>
          <t>是</t>
        </is>
      </c>
      <c r="V58" s="377" t="n"/>
      <c r="W58" s="377" t="n"/>
      <c r="X58" s="377" t="n"/>
      <c r="Y58" s="377" t="n"/>
      <c r="Z58" s="377" t="n"/>
      <c r="AA58" s="377" t="n"/>
      <c r="AB58" s="377" t="n"/>
      <c r="AC58" s="377" t="n"/>
      <c r="AD58" s="377" t="n"/>
      <c r="AE58" s="377" t="n"/>
      <c r="AF58" s="377" t="n"/>
      <c r="AG58" s="377" t="n"/>
      <c r="AH58" s="377" t="n"/>
    </row>
    <row r="59" ht="26.25" customHeight="1" s="1053">
      <c r="A59" s="377" t="inlineStr">
        <is>
          <t>天成大厦</t>
        </is>
      </c>
      <c r="B59" s="377" t="inlineStr">
        <is>
          <t>一期</t>
        </is>
      </c>
      <c r="C59" s="377" t="n">
        <v>3132834</v>
      </c>
      <c r="D59" s="377" t="inlineStr">
        <is>
          <t>07:50-10:00</t>
        </is>
      </c>
      <c r="E59" s="377" t="inlineStr">
        <is>
          <t>潜能班</t>
        </is>
      </c>
      <c r="F59" s="377" t="inlineStr">
        <is>
          <t>江逸飞</t>
        </is>
      </c>
      <c r="G59" s="377" t="inlineStr">
        <is>
          <t>李润</t>
        </is>
      </c>
      <c r="H59" s="377" t="inlineStr">
        <is>
          <t>陈中帅</t>
        </is>
      </c>
      <c r="I59" s="377" t="inlineStr">
        <is>
          <t>刘希子</t>
        </is>
      </c>
      <c r="J59" s="377" t="inlineStr">
        <is>
          <t>沈思浩</t>
        </is>
      </c>
      <c r="K59" s="377" t="n"/>
      <c r="L59" s="377" t="n"/>
      <c r="M59" s="377" t="inlineStr">
        <is>
          <t>不太自觉、管的比较多</t>
        </is>
      </c>
      <c r="N59" s="377" t="inlineStr">
        <is>
          <t>全部都薄弱</t>
        </is>
      </c>
      <c r="O59" s="377" t="inlineStr">
        <is>
          <t>慢热、注意力不太集中、但是老师布置的会做，没补过课</t>
        </is>
      </c>
      <c r="P59" s="377" t="inlineStr">
        <is>
          <t>刚及格</t>
        </is>
      </c>
      <c r="Q59" s="377" t="n">
        <v>63</v>
      </c>
      <c r="R59" s="377" t="n"/>
      <c r="S59" s="377" t="n"/>
      <c r="T59" s="377" t="inlineStr">
        <is>
          <t>是</t>
        </is>
      </c>
      <c r="U59" s="377" t="inlineStr">
        <is>
          <t>是</t>
        </is>
      </c>
      <c r="V59" s="377" t="n"/>
      <c r="W59" s="377" t="n"/>
      <c r="X59" s="377" t="n"/>
      <c r="Y59" s="377" t="n"/>
      <c r="Z59" s="377" t="n"/>
      <c r="AA59" s="377" t="n"/>
      <c r="AB59" s="377" t="n"/>
      <c r="AC59" s="377" t="n"/>
      <c r="AD59" s="377" t="n"/>
      <c r="AE59" s="377" t="n"/>
      <c r="AF59" s="377" t="n"/>
      <c r="AG59" s="377" t="n"/>
      <c r="AH59" s="377" t="n"/>
    </row>
    <row r="60" ht="26.25" customHeight="1" s="1053">
      <c r="A60" s="377" t="inlineStr">
        <is>
          <t>天成大厦</t>
        </is>
      </c>
      <c r="B60" s="377" t="inlineStr">
        <is>
          <t>一期</t>
        </is>
      </c>
      <c r="C60" s="377" t="n">
        <v>3132834</v>
      </c>
      <c r="D60" s="377" t="inlineStr">
        <is>
          <t>07:50-10:00</t>
        </is>
      </c>
      <c r="E60" s="377" t="inlineStr">
        <is>
          <t>潜能班</t>
        </is>
      </c>
      <c r="F60" s="377" t="inlineStr">
        <is>
          <t>王喆奎</t>
        </is>
      </c>
      <c r="G60" s="377" t="inlineStr">
        <is>
          <t>李润</t>
        </is>
      </c>
      <c r="H60" s="377" t="inlineStr">
        <is>
          <t>陈中帅</t>
        </is>
      </c>
      <c r="I60" s="377" t="inlineStr">
        <is>
          <t>刘希子</t>
        </is>
      </c>
      <c r="J60" s="377" t="inlineStr">
        <is>
          <t>沈思浩</t>
        </is>
      </c>
      <c r="K60" s="377" t="n"/>
      <c r="L60" s="377" t="n"/>
      <c r="M60" s="377" t="inlineStr">
        <is>
          <t>自己学</t>
        </is>
      </c>
      <c r="N60" s="377" t="inlineStr">
        <is>
          <t>基础会扣、阅读理解也扣</t>
        </is>
      </c>
      <c r="O60" s="377" t="inlineStr">
        <is>
          <t>托管班，之前有补过，偏慢热，多鼓励。要上三期课</t>
        </is>
      </c>
      <c r="P60" s="377" t="inlineStr">
        <is>
          <t>90左右</t>
        </is>
      </c>
      <c r="Q60" s="377" t="n"/>
      <c r="R60" s="377" t="n"/>
      <c r="S60" s="377" t="n"/>
      <c r="T60" s="377" t="inlineStr">
        <is>
          <t>是</t>
        </is>
      </c>
      <c r="U60" s="377" t="inlineStr">
        <is>
          <t>是</t>
        </is>
      </c>
      <c r="V60" s="377" t="n"/>
      <c r="W60" s="377" t="n"/>
      <c r="X60" s="377" t="n"/>
      <c r="Y60" s="377" t="n"/>
      <c r="Z60" s="377" t="n"/>
      <c r="AA60" s="377" t="n"/>
      <c r="AB60" s="377" t="n"/>
      <c r="AC60" s="377" t="n"/>
      <c r="AD60" s="377" t="n"/>
      <c r="AE60" s="377" t="n"/>
      <c r="AF60" s="377" t="n"/>
      <c r="AG60" s="377" t="n"/>
      <c r="AH60" s="377" t="n"/>
    </row>
    <row r="61" ht="26.25" customHeight="1" s="1053">
      <c r="A61" s="377" t="inlineStr">
        <is>
          <t>天成大厦</t>
        </is>
      </c>
      <c r="B61" s="377" t="inlineStr">
        <is>
          <t>一期</t>
        </is>
      </c>
      <c r="C61" s="377" t="n">
        <v>3132834</v>
      </c>
      <c r="D61" s="377" t="inlineStr">
        <is>
          <t>07:50-10:00</t>
        </is>
      </c>
      <c r="E61" s="377" t="inlineStr">
        <is>
          <t>潜能班</t>
        </is>
      </c>
      <c r="F61" s="377" t="inlineStr">
        <is>
          <t>玮倩</t>
        </is>
      </c>
      <c r="G61" s="377" t="inlineStr">
        <is>
          <t>李润</t>
        </is>
      </c>
      <c r="H61" s="377" t="inlineStr">
        <is>
          <t>陈中帅</t>
        </is>
      </c>
      <c r="I61" s="377" t="inlineStr">
        <is>
          <t>刘希子</t>
        </is>
      </c>
      <c r="J61" s="377" t="inlineStr">
        <is>
          <t>王达04</t>
        </is>
      </c>
      <c r="K61" s="377" t="n"/>
      <c r="L61" s="377" t="n"/>
      <c r="M61" s="377" t="n"/>
      <c r="N61" s="377" t="n"/>
      <c r="O61" s="377" t="inlineStr">
        <is>
          <t>慢热、发言不错但是写字落实有待加强</t>
        </is>
      </c>
      <c r="P61" s="377" t="n"/>
      <c r="Q61" s="377" t="n">
        <v>28</v>
      </c>
      <c r="R61" s="377" t="n"/>
      <c r="S61" s="377" t="n"/>
      <c r="T61" s="377" t="inlineStr">
        <is>
          <t>是</t>
        </is>
      </c>
      <c r="U61" s="377" t="inlineStr">
        <is>
          <t>是</t>
        </is>
      </c>
      <c r="V61" s="377" t="n"/>
      <c r="W61" s="377" t="n"/>
      <c r="X61" s="377" t="n"/>
      <c r="Y61" s="377" t="inlineStr">
        <is>
          <t>是</t>
        </is>
      </c>
      <c r="Z61" s="377" t="n"/>
      <c r="AA61" s="377" t="n"/>
      <c r="AB61" s="377" t="n"/>
      <c r="AC61" s="377" t="n"/>
      <c r="AD61" s="377" t="n"/>
      <c r="AE61" s="377" t="n"/>
      <c r="AF61" s="377" t="n"/>
      <c r="AG61" s="377" t="n"/>
      <c r="AH61" s="377" t="n"/>
    </row>
    <row r="62" ht="26.25" customHeight="1" s="1053">
      <c r="A62" s="377" t="inlineStr">
        <is>
          <t>天成大厦</t>
        </is>
      </c>
      <c r="B62" s="377" t="inlineStr">
        <is>
          <t>一期</t>
        </is>
      </c>
      <c r="C62" s="377" t="n">
        <v>3132834</v>
      </c>
      <c r="D62" s="377" t="inlineStr">
        <is>
          <t>07:50-10:00</t>
        </is>
      </c>
      <c r="E62" s="377" t="inlineStr">
        <is>
          <t>潜能班</t>
        </is>
      </c>
      <c r="F62" s="377" t="inlineStr">
        <is>
          <t>辰悦</t>
        </is>
      </c>
      <c r="G62" s="377" t="inlineStr">
        <is>
          <t>李润</t>
        </is>
      </c>
      <c r="H62" s="377" t="n"/>
      <c r="I62" s="377" t="n"/>
      <c r="J62" s="377" t="inlineStr">
        <is>
          <t>陈亮延</t>
        </is>
      </c>
      <c r="K62" s="377" t="n"/>
      <c r="L62" s="377" t="n"/>
      <c r="M62" s="377" t="inlineStr">
        <is>
          <t>住校，懒散但心态好</t>
        </is>
      </c>
      <c r="N62" s="377" t="inlineStr">
        <is>
          <t>错别字多、口头表达还可以，但阅读题写短句，理解很快，答案对过程错</t>
        </is>
      </c>
      <c r="O62" s="37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7" t="inlineStr">
        <is>
          <t>80-85</t>
        </is>
      </c>
      <c r="Q62" s="377" t="n"/>
      <c r="R62" s="377" t="n"/>
      <c r="S62" s="377" t="n"/>
      <c r="T62" s="377" t="inlineStr">
        <is>
          <t>是</t>
        </is>
      </c>
      <c r="U62" s="377" t="inlineStr">
        <is>
          <t>是</t>
        </is>
      </c>
      <c r="V62" s="377" t="n"/>
      <c r="W62" s="377" t="n"/>
      <c r="X62" s="377" t="n"/>
      <c r="Y62" s="377" t="n"/>
      <c r="Z62" s="377" t="n"/>
      <c r="AA62" s="377" t="n"/>
      <c r="AB62" s="377" t="n"/>
      <c r="AC62" s="377" t="n"/>
      <c r="AD62" s="377" t="n"/>
      <c r="AE62" s="377" t="n"/>
      <c r="AF62" s="377" t="n"/>
      <c r="AG62" s="377" t="n"/>
      <c r="AH62" s="377" t="n"/>
    </row>
    <row r="63" ht="26.25" customHeight="1" s="1053">
      <c r="A63" s="377" t="inlineStr">
        <is>
          <t>天成大厦</t>
        </is>
      </c>
      <c r="B63" s="377" t="inlineStr">
        <is>
          <t>一期</t>
        </is>
      </c>
      <c r="C63" s="377" t="n">
        <v>3132834</v>
      </c>
      <c r="D63" s="377" t="inlineStr">
        <is>
          <t>07:50-10:00</t>
        </is>
      </c>
      <c r="E63" s="377" t="inlineStr">
        <is>
          <t>潜能班</t>
        </is>
      </c>
      <c r="F63" s="377" t="inlineStr">
        <is>
          <t>陈言斌</t>
        </is>
      </c>
      <c r="G63" s="377" t="inlineStr">
        <is>
          <t>李润</t>
        </is>
      </c>
      <c r="H63" s="377" t="inlineStr">
        <is>
          <t>宗志鹏</t>
        </is>
      </c>
      <c r="I63" s="377" t="inlineStr">
        <is>
          <t>刘希子</t>
        </is>
      </c>
      <c r="J63" s="377" t="inlineStr">
        <is>
          <t>沈思浩</t>
        </is>
      </c>
      <c r="K63" s="377" t="n"/>
      <c r="L63" s="377" t="n"/>
      <c r="M63" s="377" t="inlineStr">
        <is>
          <t>自信不足、是上进、好胜的</t>
        </is>
      </c>
      <c r="N63" s="377" t="inlineStr">
        <is>
          <t>基础不好，错别字多，阅读</t>
        </is>
      </c>
      <c r="O63" s="377" t="inlineStr">
        <is>
          <t>数学、英语还可以，语文最弱，自信心不足，畏难，语文机构上过很多，但成绩一直起不来。基本活泼，熟悉的就积极发言，不太熟悉就沉默，需要鼓励、认可</t>
        </is>
      </c>
      <c r="P63" s="377" t="inlineStr">
        <is>
          <t>80多分</t>
        </is>
      </c>
      <c r="Q63" s="377" t="n">
        <v>31</v>
      </c>
      <c r="R63" s="377" t="n"/>
      <c r="S63" s="377" t="n"/>
      <c r="T63" s="377" t="inlineStr">
        <is>
          <t>是</t>
        </is>
      </c>
      <c r="U63" s="377" t="inlineStr">
        <is>
          <t>是</t>
        </is>
      </c>
      <c r="V63" s="377" t="n"/>
      <c r="W63" s="377" t="n"/>
      <c r="X63" s="377" t="n"/>
      <c r="Y63" s="377" t="n"/>
      <c r="Z63" s="377" t="n"/>
      <c r="AA63" s="377" t="n"/>
      <c r="AB63" s="377" t="n"/>
      <c r="AC63" s="377" t="n"/>
      <c r="AD63" s="377" t="n"/>
      <c r="AE63" s="377" t="n"/>
      <c r="AF63" s="377" t="n"/>
      <c r="AG63" s="377" t="n"/>
      <c r="AH63" s="377" t="n"/>
    </row>
    <row r="64" ht="26.25" customHeight="1" s="1053">
      <c r="A64" s="377" t="inlineStr">
        <is>
          <t>新宝利</t>
        </is>
      </c>
      <c r="B64" s="377" t="inlineStr">
        <is>
          <t>一期</t>
        </is>
      </c>
      <c r="C64" s="377" t="n">
        <v>5170706</v>
      </c>
      <c r="D64" s="377" t="inlineStr">
        <is>
          <t>13:20-15:30</t>
        </is>
      </c>
      <c r="E64" s="377" t="inlineStr">
        <is>
          <t>潜能班</t>
        </is>
      </c>
      <c r="F64" s="377" t="inlineStr">
        <is>
          <t>冯芊诺</t>
        </is>
      </c>
      <c r="G64" s="377" t="inlineStr">
        <is>
          <t>李润</t>
        </is>
      </c>
      <c r="H64" s="377" t="inlineStr">
        <is>
          <t>何咏04</t>
        </is>
      </c>
      <c r="I64" s="377" t="inlineStr">
        <is>
          <t>肖锐03</t>
        </is>
      </c>
      <c r="J64" s="377" t="inlineStr">
        <is>
          <t>林志豪01</t>
        </is>
      </c>
      <c r="K64" s="377" t="n"/>
      <c r="L64" s="377" t="n"/>
      <c r="M64" s="377" t="n"/>
      <c r="N64" s="377" t="inlineStr">
        <is>
          <t>薅羊毛</t>
        </is>
      </c>
      <c r="O64" s="377" t="inlineStr">
        <is>
          <t>换手机号、换UID报名，原新宝利首批特惠学员，未转化。原UID：2572060809</t>
        </is>
      </c>
      <c r="P64" s="377" t="n"/>
      <c r="Q64" s="377" t="n"/>
      <c r="R64" s="377" t="n"/>
      <c r="S64" s="377" t="n"/>
      <c r="T64" s="377" t="inlineStr">
        <is>
          <t>是</t>
        </is>
      </c>
      <c r="U64" s="377" t="inlineStr">
        <is>
          <t>是</t>
        </is>
      </c>
      <c r="V64" s="377" t="n"/>
      <c r="W64" s="377" t="n"/>
      <c r="X64" s="377" t="n"/>
      <c r="Y64" s="377" t="n"/>
      <c r="Z64" s="377" t="n"/>
      <c r="AA64" s="377" t="n"/>
      <c r="AB64" s="377" t="n"/>
      <c r="AC64" s="377" t="n"/>
      <c r="AD64" s="377" t="n"/>
      <c r="AE64" s="377" t="n"/>
      <c r="AF64" s="377" t="n"/>
      <c r="AG64" s="377" t="n"/>
      <c r="AH64" s="377" t="n"/>
    </row>
    <row r="65" ht="26.25" customHeight="1" s="1053">
      <c r="A65" s="377" t="inlineStr">
        <is>
          <t>新宝利</t>
        </is>
      </c>
      <c r="B65" s="377" t="inlineStr">
        <is>
          <t>一期</t>
        </is>
      </c>
      <c r="C65" s="377" t="n">
        <v>5170706</v>
      </c>
      <c r="D65" s="377" t="inlineStr">
        <is>
          <t>13:20-15:30</t>
        </is>
      </c>
      <c r="E65" s="377" t="inlineStr">
        <is>
          <t>潜能班</t>
        </is>
      </c>
      <c r="F65" s="377" t="inlineStr">
        <is>
          <t>刘达谦</t>
        </is>
      </c>
      <c r="G65" s="377" t="inlineStr">
        <is>
          <t>李润</t>
        </is>
      </c>
      <c r="H65" s="377" t="inlineStr">
        <is>
          <t>何咏04</t>
        </is>
      </c>
      <c r="I65" s="377" t="inlineStr">
        <is>
          <t>肖锐03</t>
        </is>
      </c>
      <c r="J65" s="377" t="inlineStr">
        <is>
          <t>杨林33</t>
        </is>
      </c>
      <c r="K65" s="377" t="n"/>
      <c r="L65" s="377" t="n"/>
      <c r="M65" s="377" t="inlineStr">
        <is>
          <t>靠自己</t>
        </is>
      </c>
      <c r="N65" s="377" t="inlineStr">
        <is>
          <t>阅读比较弱、不积极不抗拒，妈妈希望严格点</t>
        </is>
      </c>
      <c r="O65" s="377" t="inlineStr">
        <is>
          <t>老师说的做，不说的不做，课上不举手，但平时比较活泼</t>
        </is>
      </c>
      <c r="P65" s="377" t="inlineStr">
        <is>
          <t>90-95</t>
        </is>
      </c>
      <c r="Q65" s="377" t="n"/>
      <c r="R65" s="377" t="n"/>
      <c r="S65" s="377" t="n"/>
      <c r="T65" s="377" t="inlineStr">
        <is>
          <t>是</t>
        </is>
      </c>
      <c r="U65" s="377" t="inlineStr">
        <is>
          <t>是</t>
        </is>
      </c>
      <c r="V65" s="377" t="n"/>
      <c r="W65" s="377" t="n"/>
      <c r="X65" s="377" t="n"/>
      <c r="Y65" s="377" t="n"/>
      <c r="Z65" s="377" t="n"/>
      <c r="AA65" s="377" t="n"/>
      <c r="AB65" s="377" t="n"/>
      <c r="AC65" s="377" t="n"/>
      <c r="AD65" s="377" t="n"/>
      <c r="AE65" s="377" t="n"/>
      <c r="AF65" s="377" t="n"/>
      <c r="AG65" s="377" t="n"/>
      <c r="AH65" s="377" t="n"/>
    </row>
    <row r="66" ht="26.25" customHeight="1" s="1053">
      <c r="A66" s="377" t="inlineStr">
        <is>
          <t>新宝利</t>
        </is>
      </c>
      <c r="B66" s="377" t="inlineStr">
        <is>
          <t>一期</t>
        </is>
      </c>
      <c r="C66" s="377" t="n">
        <v>5170706</v>
      </c>
      <c r="D66" s="377" t="inlineStr">
        <is>
          <t>13:20-15:30</t>
        </is>
      </c>
      <c r="E66" s="377" t="inlineStr">
        <is>
          <t>潜能班</t>
        </is>
      </c>
      <c r="F66" s="377" t="inlineStr">
        <is>
          <t>吴俊希</t>
        </is>
      </c>
      <c r="G66" s="377" t="inlineStr">
        <is>
          <t>李润</t>
        </is>
      </c>
      <c r="H66" s="377" t="inlineStr">
        <is>
          <t>何咏04</t>
        </is>
      </c>
      <c r="I66" s="377" t="inlineStr">
        <is>
          <t>肖锐03</t>
        </is>
      </c>
      <c r="J66" s="377" t="inlineStr">
        <is>
          <t>张敏烨</t>
        </is>
      </c>
      <c r="K66" s="377" t="n"/>
      <c r="L66" s="377" t="n"/>
      <c r="M66" s="377" t="inlineStr">
        <is>
          <t>妈妈管得多</t>
        </is>
      </c>
      <c r="N66" s="377" t="inlineStr">
        <is>
          <t>上过线上猿辅导，但从来没上过线下学科类培训，比较拖拉，作业写到十一二点，主要为了衔接初中看看线下情况，周六上画画，住的不远</t>
        </is>
      </c>
      <c r="O66" s="377" t="n"/>
      <c r="P66" s="377" t="inlineStr">
        <is>
          <t>A</t>
        </is>
      </c>
      <c r="Q66" s="377" t="n">
        <v>34</v>
      </c>
      <c r="R66" s="377" t="n"/>
      <c r="S66" s="377" t="n"/>
      <c r="T66" s="377" t="inlineStr">
        <is>
          <t>是</t>
        </is>
      </c>
      <c r="U66" s="377" t="inlineStr">
        <is>
          <t>是</t>
        </is>
      </c>
      <c r="V66" s="377" t="n"/>
      <c r="W66" s="377" t="n"/>
      <c r="X66" s="377" t="n"/>
      <c r="Y66" s="377" t="n"/>
      <c r="Z66" s="377" t="n"/>
      <c r="AA66" s="377" t="n"/>
      <c r="AB66" s="377" t="n"/>
      <c r="AC66" s="377" t="n"/>
      <c r="AD66" s="377" t="n"/>
      <c r="AE66" s="377" t="n"/>
      <c r="AF66" s="377" t="n"/>
      <c r="AG66" s="377" t="n"/>
      <c r="AH66" s="377" t="n"/>
    </row>
    <row r="67" ht="26.25" customHeight="1" s="1053">
      <c r="A67" s="377" t="inlineStr">
        <is>
          <t>新宝利</t>
        </is>
      </c>
      <c r="B67" s="377" t="inlineStr">
        <is>
          <t>一期</t>
        </is>
      </c>
      <c r="C67" s="377" t="n">
        <v>5170706</v>
      </c>
      <c r="D67" s="377" t="inlineStr">
        <is>
          <t>13:20-15:30</t>
        </is>
      </c>
      <c r="E67" s="377" t="inlineStr">
        <is>
          <t>潜能班</t>
        </is>
      </c>
      <c r="F67" s="377" t="inlineStr">
        <is>
          <t>周皓轩</t>
        </is>
      </c>
      <c r="G67" s="377" t="inlineStr">
        <is>
          <t>李润</t>
        </is>
      </c>
      <c r="H67" s="377" t="n"/>
      <c r="I67" s="377" t="n"/>
      <c r="J67" s="377" t="inlineStr">
        <is>
          <t>林志豪01</t>
        </is>
      </c>
      <c r="K67" s="377" t="n"/>
      <c r="L67" s="377" t="n"/>
      <c r="M67" s="377" t="n"/>
      <c r="N67" s="377" t="n"/>
      <c r="O67" s="377" t="n"/>
      <c r="P67" s="377" t="n"/>
      <c r="Q67" s="377" t="n"/>
      <c r="R67" s="377" t="n"/>
      <c r="S67" s="377" t="n"/>
      <c r="T67" s="377" t="inlineStr">
        <is>
          <t>是</t>
        </is>
      </c>
      <c r="U67" s="377" t="n"/>
      <c r="V67" s="377" t="n"/>
      <c r="W67" s="377" t="n"/>
      <c r="X67" s="377" t="n"/>
      <c r="Y67" s="377" t="n"/>
      <c r="Z67" s="377" t="n"/>
      <c r="AA67" s="377" t="n"/>
      <c r="AB67" s="377" t="n"/>
      <c r="AC67" s="377" t="n"/>
      <c r="AD67" s="377" t="n"/>
      <c r="AE67" s="377" t="n"/>
      <c r="AF67" s="377" t="n"/>
      <c r="AG67" s="377" t="n"/>
      <c r="AH67" s="377" t="n"/>
    </row>
    <row r="68" ht="26.25" customHeight="1" s="1053">
      <c r="A68" s="377" t="inlineStr">
        <is>
          <t>新宝利</t>
        </is>
      </c>
      <c r="B68" s="377" t="inlineStr">
        <is>
          <t>一期</t>
        </is>
      </c>
      <c r="C68" s="377" t="n">
        <v>5170706</v>
      </c>
      <c r="D68" s="377" t="inlineStr">
        <is>
          <t>13:20-15:30</t>
        </is>
      </c>
      <c r="E68" s="377" t="inlineStr">
        <is>
          <t>潜能班</t>
        </is>
      </c>
      <c r="F68" s="377" t="inlineStr">
        <is>
          <t>孙同学</t>
        </is>
      </c>
      <c r="G68" s="377" t="inlineStr">
        <is>
          <t>李润</t>
        </is>
      </c>
      <c r="H68" s="377" t="inlineStr">
        <is>
          <t>何咏04</t>
        </is>
      </c>
      <c r="I68" s="377" t="n"/>
      <c r="J68" s="377" t="inlineStr">
        <is>
          <t>林志豪01</t>
        </is>
      </c>
      <c r="K68" s="377" t="n"/>
      <c r="L68" s="377" t="n"/>
      <c r="M68" s="377" t="n"/>
      <c r="N68" s="377" t="n"/>
      <c r="O68" s="377" t="inlineStr">
        <is>
          <t>家长在加班，微信沟通</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row>
    <row r="69" ht="26.25" customHeight="1" s="1053">
      <c r="A69" s="377" t="inlineStr">
        <is>
          <t>新宝利</t>
        </is>
      </c>
      <c r="B69" s="377" t="inlineStr">
        <is>
          <t>一期</t>
        </is>
      </c>
      <c r="C69" s="377" t="n">
        <v>5170706</v>
      </c>
      <c r="D69" s="377" t="inlineStr">
        <is>
          <t>13:20-15:30</t>
        </is>
      </c>
      <c r="E69" s="377" t="inlineStr">
        <is>
          <t>潜能班</t>
        </is>
      </c>
      <c r="F69" s="377" t="inlineStr">
        <is>
          <t>官沛霖</t>
        </is>
      </c>
      <c r="G69" s="377" t="inlineStr">
        <is>
          <t>李润</t>
        </is>
      </c>
      <c r="H69" s="377" t="n"/>
      <c r="I69" s="377" t="n"/>
      <c r="J69" s="377" t="inlineStr">
        <is>
          <t>杨林33</t>
        </is>
      </c>
      <c r="K69" s="377" t="n"/>
      <c r="L69" s="377" t="n"/>
      <c r="M69" s="377" t="inlineStr">
        <is>
          <t>自己愿意学</t>
        </is>
      </c>
      <c r="N69" s="377" t="inlineStr">
        <is>
          <t>理解能力和情感把控</t>
        </is>
      </c>
      <c r="O69" s="377" t="inlineStr">
        <is>
          <t>校内老师不太喜欢，孩子逻辑思维好，喜欢编程，但是对语文的理解弱很多</t>
        </is>
      </c>
      <c r="P69" s="377" t="n"/>
      <c r="Q69" s="377" t="n">
        <v>30</v>
      </c>
      <c r="R69" s="377" t="n"/>
      <c r="S69" s="377" t="n"/>
      <c r="T69" s="377" t="inlineStr">
        <is>
          <t>是</t>
        </is>
      </c>
      <c r="U69" s="377" t="inlineStr">
        <is>
          <t>是</t>
        </is>
      </c>
      <c r="V69" s="377" t="n"/>
      <c r="W69" s="377" t="n"/>
      <c r="X69" s="377" t="n"/>
      <c r="Y69" s="377" t="inlineStr">
        <is>
          <t>是</t>
        </is>
      </c>
      <c r="Z69" s="377" t="n"/>
      <c r="AA69" s="377" t="n"/>
      <c r="AB69" s="377" t="n"/>
      <c r="AC69" s="377" t="n"/>
      <c r="AD69" s="377" t="n"/>
      <c r="AE69" s="377" t="n"/>
      <c r="AF69" s="377" t="n"/>
      <c r="AG69" s="377" t="n"/>
      <c r="AH69" s="377" t="n"/>
    </row>
    <row r="70" ht="26.25" customHeight="1" s="1053">
      <c r="A70" s="377" t="inlineStr">
        <is>
          <t>新宝利</t>
        </is>
      </c>
      <c r="B70" s="377" t="inlineStr">
        <is>
          <t>一期</t>
        </is>
      </c>
      <c r="C70" s="377" t="n">
        <v>5170706</v>
      </c>
      <c r="D70" s="377" t="inlineStr">
        <is>
          <t>13:20-15:30</t>
        </is>
      </c>
      <c r="E70" s="377" t="inlineStr">
        <is>
          <t>潜能班</t>
        </is>
      </c>
      <c r="F70" s="377" t="inlineStr">
        <is>
          <t>招思宏</t>
        </is>
      </c>
      <c r="G70" s="377" t="inlineStr">
        <is>
          <t>李润</t>
        </is>
      </c>
      <c r="H70" s="377" t="n"/>
      <c r="I70" s="377" t="inlineStr">
        <is>
          <t>肖锐03</t>
        </is>
      </c>
      <c r="J70" s="377" t="inlineStr">
        <is>
          <t>王达04</t>
        </is>
      </c>
      <c r="K70" s="377" t="n"/>
      <c r="L70" s="377" t="n"/>
      <c r="M70" s="377" t="inlineStr">
        <is>
          <t>一般，要监督他</t>
        </is>
      </c>
      <c r="N70" s="377" t="inlineStr">
        <is>
          <t>语文阅读，不看书，课外书看的少，写的时候分析的不够透彻，随便写几个字写的不够长</t>
        </is>
      </c>
      <c r="O70" s="377" t="n"/>
      <c r="P70" s="377" t="inlineStr">
        <is>
          <t>80-90</t>
        </is>
      </c>
      <c r="Q70" s="377" t="n">
        <v>28</v>
      </c>
      <c r="R70" s="377" t="n"/>
      <c r="S70" s="377" t="n"/>
      <c r="T70" s="377" t="inlineStr">
        <is>
          <t>是</t>
        </is>
      </c>
      <c r="U70" s="377" t="inlineStr">
        <is>
          <t>是</t>
        </is>
      </c>
      <c r="V70" s="377" t="n"/>
      <c r="W70" s="377" t="n"/>
      <c r="X70" s="377" t="n"/>
      <c r="Y70" s="377" t="n"/>
      <c r="Z70" s="377" t="n"/>
      <c r="AA70" s="377" t="n"/>
      <c r="AB70" s="377" t="n"/>
      <c r="AC70" s="377" t="n"/>
      <c r="AD70" s="377" t="n"/>
      <c r="AE70" s="377" t="n"/>
      <c r="AF70" s="377" t="n"/>
      <c r="AG70" s="377" t="n"/>
      <c r="AH70" s="377" t="n"/>
    </row>
    <row r="71" ht="26.25" customHeight="1" s="1053">
      <c r="A71" s="377" t="inlineStr">
        <is>
          <t>新宝利</t>
        </is>
      </c>
      <c r="B71" s="377" t="inlineStr">
        <is>
          <t>一期</t>
        </is>
      </c>
      <c r="C71" s="377" t="n">
        <v>5170706</v>
      </c>
      <c r="D71" s="377" t="inlineStr">
        <is>
          <t>13:20-15:30</t>
        </is>
      </c>
      <c r="E71" s="377" t="inlineStr">
        <is>
          <t>潜能班</t>
        </is>
      </c>
      <c r="F71" s="377" t="inlineStr">
        <is>
          <t>李伟国</t>
        </is>
      </c>
      <c r="G71" s="377" t="inlineStr">
        <is>
          <t>李润</t>
        </is>
      </c>
      <c r="H71" s="377" t="inlineStr">
        <is>
          <t>何咏04</t>
        </is>
      </c>
      <c r="I71" s="377" t="inlineStr">
        <is>
          <t>肖锐03</t>
        </is>
      </c>
      <c r="J71" s="377" t="inlineStr">
        <is>
          <t>张敏烨</t>
        </is>
      </c>
      <c r="K71" s="377" t="n"/>
      <c r="L71" s="377" t="n"/>
      <c r="M71" s="377" t="inlineStr">
        <is>
          <t>靠自己、严格</t>
        </is>
      </c>
      <c r="N71" s="377" t="inlineStr">
        <is>
          <t>阅读很少、作文也弱</t>
        </is>
      </c>
      <c r="O71" s="377" t="inlineStr">
        <is>
          <t>字词基础，打游戏，电子设备管的不多，语文最弱。六年级要住宿</t>
        </is>
      </c>
      <c r="P71" s="377" t="inlineStr">
        <is>
          <t>85-90</t>
        </is>
      </c>
      <c r="Q71" s="377" t="n"/>
      <c r="R71" s="377" t="n"/>
      <c r="S71" s="377" t="n"/>
      <c r="T71" s="377" t="inlineStr">
        <is>
          <t>是</t>
        </is>
      </c>
      <c r="U71" s="377" t="inlineStr">
        <is>
          <t>是</t>
        </is>
      </c>
      <c r="V71" s="377" t="n"/>
      <c r="W71" s="377" t="n"/>
      <c r="X71" s="377" t="n"/>
      <c r="Y71" s="377" t="inlineStr">
        <is>
          <t>是</t>
        </is>
      </c>
      <c r="Z71" s="377" t="n"/>
      <c r="AA71" s="377" t="n"/>
      <c r="AB71" s="377" t="n"/>
      <c r="AC71" s="377" t="n"/>
      <c r="AD71" s="377" t="n"/>
      <c r="AE71" s="377" t="n"/>
      <c r="AF71" s="377" t="n"/>
      <c r="AG71" s="377" t="n"/>
      <c r="AH71" s="377" t="n"/>
    </row>
    <row r="72" ht="26.25" customHeight="1" s="1053">
      <c r="A72" s="377" t="inlineStr">
        <is>
          <t>新宝利</t>
        </is>
      </c>
      <c r="B72" s="377" t="inlineStr">
        <is>
          <t>一期</t>
        </is>
      </c>
      <c r="C72" s="377" t="n">
        <v>5170706</v>
      </c>
      <c r="D72" s="377" t="inlineStr">
        <is>
          <t>13:20-15:30</t>
        </is>
      </c>
      <c r="E72" s="377" t="inlineStr">
        <is>
          <t>潜能班</t>
        </is>
      </c>
      <c r="F72" s="377" t="inlineStr">
        <is>
          <t>李珉锐</t>
        </is>
      </c>
      <c r="G72" s="377" t="inlineStr">
        <is>
          <t>李润</t>
        </is>
      </c>
      <c r="H72" s="377" t="n"/>
      <c r="I72" s="377" t="n"/>
      <c r="J72" s="377" t="inlineStr">
        <is>
          <t>张敏烨</t>
        </is>
      </c>
      <c r="K72" s="377" t="n"/>
      <c r="L72" s="377" t="n"/>
      <c r="M72" s="377" t="n"/>
      <c r="N72" s="377" t="n"/>
      <c r="O72" s="377" t="n"/>
      <c r="P72" s="377" t="n"/>
      <c r="Q72" s="377" t="n"/>
      <c r="R72" s="377" t="n"/>
      <c r="S72" s="377" t="n"/>
      <c r="T72" s="377" t="inlineStr">
        <is>
          <t>是</t>
        </is>
      </c>
      <c r="U72" s="377" t="n"/>
      <c r="V72" s="377" t="n"/>
      <c r="W72" s="377" t="n"/>
      <c r="X72" s="377" t="n"/>
      <c r="Y72" s="377" t="n"/>
      <c r="Z72" s="377" t="n"/>
      <c r="AA72" s="377" t="n"/>
      <c r="AB72" s="377" t="n"/>
      <c r="AC72" s="377" t="n"/>
      <c r="AD72" s="377" t="n"/>
      <c r="AE72" s="377" t="n"/>
      <c r="AF72" s="377" t="n"/>
      <c r="AG72" s="377" t="n"/>
      <c r="AH72" s="377" t="n"/>
    </row>
    <row r="73" ht="26.25" customHeight="1" s="1053">
      <c r="A73" s="377" t="inlineStr">
        <is>
          <t>新宝利</t>
        </is>
      </c>
      <c r="B73" s="377" t="inlineStr">
        <is>
          <t>一期</t>
        </is>
      </c>
      <c r="C73" s="377" t="n">
        <v>5170706</v>
      </c>
      <c r="D73" s="377" t="inlineStr">
        <is>
          <t>13:20-15:30</t>
        </is>
      </c>
      <c r="E73" s="377" t="inlineStr">
        <is>
          <t>潜能班</t>
        </is>
      </c>
      <c r="F73" s="377" t="inlineStr">
        <is>
          <t>杨雅涵</t>
        </is>
      </c>
      <c r="G73" s="377" t="inlineStr">
        <is>
          <t>李润</t>
        </is>
      </c>
      <c r="H73" s="377" t="inlineStr">
        <is>
          <t>何咏04</t>
        </is>
      </c>
      <c r="I73" s="377" t="inlineStr">
        <is>
          <t>高心怡04</t>
        </is>
      </c>
      <c r="J73" s="377" t="inlineStr">
        <is>
          <t>沈思浩</t>
        </is>
      </c>
      <c r="K73" s="377" t="n"/>
      <c r="L73" s="377" t="n"/>
      <c r="M73" s="377" t="n"/>
      <c r="N73" s="377" t="n"/>
      <c r="O73" s="377" t="inlineStr">
        <is>
          <t>顾问：重点关注一下，妈妈咨询过秋季课程价格没问题，看孩子效果</t>
        </is>
      </c>
      <c r="P73" s="377" t="n"/>
      <c r="Q73" s="377" t="n"/>
      <c r="R73" s="377" t="n"/>
      <c r="S73" s="377" t="n"/>
      <c r="T73" s="377" t="inlineStr">
        <is>
          <t>是</t>
        </is>
      </c>
      <c r="U73" s="377" t="n"/>
      <c r="V73" s="377" t="n"/>
      <c r="W73" s="377" t="n"/>
      <c r="X73" s="377" t="n"/>
      <c r="Y73" s="377" t="n"/>
      <c r="Z73" s="377" t="n"/>
      <c r="AA73" s="377" t="n"/>
      <c r="AB73" s="377" t="n"/>
      <c r="AC73" s="377" t="n"/>
      <c r="AD73" s="377" t="n"/>
      <c r="AE73" s="377" t="n"/>
      <c r="AF73" s="377" t="n"/>
      <c r="AG73" s="377" t="n"/>
      <c r="AH73" s="377" t="n"/>
    </row>
    <row r="74" ht="26.25" customHeight="1" s="1053">
      <c r="A74" s="377" t="inlineStr">
        <is>
          <t>新宝利</t>
        </is>
      </c>
      <c r="B74" s="377" t="inlineStr">
        <is>
          <t>一期</t>
        </is>
      </c>
      <c r="C74" s="377" t="n">
        <v>5170706</v>
      </c>
      <c r="D74" s="377" t="inlineStr">
        <is>
          <t>13:20-15:30</t>
        </is>
      </c>
      <c r="E74" s="377" t="inlineStr">
        <is>
          <t>潜能班</t>
        </is>
      </c>
      <c r="F74" s="377" t="inlineStr">
        <is>
          <t>洛天</t>
        </is>
      </c>
      <c r="G74" s="377" t="inlineStr">
        <is>
          <t>李润</t>
        </is>
      </c>
      <c r="H74" s="377" t="inlineStr">
        <is>
          <t>何咏04</t>
        </is>
      </c>
      <c r="I74" s="377" t="inlineStr">
        <is>
          <t>肖锐03</t>
        </is>
      </c>
      <c r="J74" s="377" t="inlineStr">
        <is>
          <t>王丽</t>
        </is>
      </c>
      <c r="K74" s="377" t="n"/>
      <c r="L74" s="377" t="n"/>
      <c r="M74" s="377" t="inlineStr">
        <is>
          <t>一般，要老师严抓</t>
        </is>
      </c>
      <c r="N74" s="377" t="n"/>
      <c r="O74" s="377" t="inlineStr">
        <is>
          <t>语文的话是最喜欢的科目，成绩，平时小测93-95分左右。语文较放心，不过错字常扣分，这扣一点，那扣一点的。</t>
        </is>
      </c>
      <c r="P74" s="377" t="inlineStr">
        <is>
          <t>93-95</t>
        </is>
      </c>
      <c r="Q74" s="377" t="n"/>
      <c r="R74" s="377" t="n"/>
      <c r="S74" s="377" t="n"/>
      <c r="T74" s="377" t="inlineStr">
        <is>
          <t>是</t>
        </is>
      </c>
      <c r="U74" s="377" t="inlineStr">
        <is>
          <t>是</t>
        </is>
      </c>
      <c r="V74" s="377" t="n"/>
      <c r="W74" s="377" t="n"/>
      <c r="X74" s="377" t="n"/>
      <c r="Y74" s="377" t="n"/>
      <c r="Z74" s="377" t="n"/>
      <c r="AA74" s="377" t="n"/>
      <c r="AB74" s="377" t="n"/>
      <c r="AC74" s="377" t="n"/>
      <c r="AD74" s="377" t="n"/>
      <c r="AE74" s="377" t="n"/>
      <c r="AF74" s="377" t="n"/>
      <c r="AG74" s="377" t="n"/>
      <c r="AH74" s="377" t="n"/>
    </row>
    <row r="75" ht="26.25" customHeight="1" s="1053">
      <c r="A75" s="377" t="inlineStr">
        <is>
          <t>新宝利</t>
        </is>
      </c>
      <c r="B75" s="377" t="inlineStr">
        <is>
          <t>一期</t>
        </is>
      </c>
      <c r="C75" s="377" t="n">
        <v>5170706</v>
      </c>
      <c r="D75" s="377" t="inlineStr">
        <is>
          <t>13:20-15:30</t>
        </is>
      </c>
      <c r="E75" s="377" t="inlineStr">
        <is>
          <t>潜能班</t>
        </is>
      </c>
      <c r="F75" s="377" t="inlineStr">
        <is>
          <t>王柏驎</t>
        </is>
      </c>
      <c r="G75" s="377" t="inlineStr">
        <is>
          <t>李润</t>
        </is>
      </c>
      <c r="H75" s="377" t="inlineStr">
        <is>
          <t>何咏04</t>
        </is>
      </c>
      <c r="I75" s="377" t="inlineStr">
        <is>
          <t>肖锐03</t>
        </is>
      </c>
      <c r="J75" s="377" t="inlineStr">
        <is>
          <t>杨林33</t>
        </is>
      </c>
      <c r="K75" s="377" t="inlineStr">
        <is>
          <t>詹天佑小学</t>
        </is>
      </c>
      <c r="L75" s="834" t="inlineStr">
        <is>
          <t>想摇号一中。
摇号不成功，民办无票</t>
        </is>
      </c>
      <c r="M75" s="377" t="n"/>
      <c r="N75" s="377" t="inlineStr">
        <is>
          <t>整体基础可以，自律性差，督促，希望校内完成。托管完成</t>
        </is>
      </c>
      <c r="O75" s="377" t="n"/>
      <c r="P75" s="377" t="n"/>
      <c r="Q75" s="377" t="n"/>
      <c r="R75" s="377" t="n"/>
      <c r="S75" s="377" t="n"/>
      <c r="T75" s="377" t="inlineStr">
        <is>
          <t>是</t>
        </is>
      </c>
      <c r="U75" s="377" t="inlineStr">
        <is>
          <t>是</t>
        </is>
      </c>
      <c r="V75" s="377" t="n"/>
      <c r="W75" s="377" t="n"/>
      <c r="X75" s="377" t="n"/>
      <c r="Y75" s="377" t="n"/>
      <c r="Z75" s="377" t="n"/>
      <c r="AA75" s="377" t="n"/>
      <c r="AB75" s="377" t="n"/>
      <c r="AC75" s="377" t="n"/>
      <c r="AD75" s="377" t="n"/>
      <c r="AE75" s="377" t="n"/>
      <c r="AF75" s="377" t="n"/>
      <c r="AG75" s="377" t="n"/>
      <c r="AH75" s="377" t="n"/>
    </row>
    <row r="76" ht="26.25" customHeight="1" s="1053">
      <c r="A76" s="377" t="inlineStr">
        <is>
          <t>新宝利</t>
        </is>
      </c>
      <c r="B76" s="377" t="inlineStr">
        <is>
          <t>一期</t>
        </is>
      </c>
      <c r="C76" s="377" t="n">
        <v>5170706</v>
      </c>
      <c r="D76" s="377" t="inlineStr">
        <is>
          <t>13:20-15:30</t>
        </is>
      </c>
      <c r="E76" s="377" t="inlineStr">
        <is>
          <t>潜能班</t>
        </is>
      </c>
      <c r="F76" s="377" t="inlineStr">
        <is>
          <t>罗梓林</t>
        </is>
      </c>
      <c r="G76" s="377" t="inlineStr">
        <is>
          <t>李润</t>
        </is>
      </c>
      <c r="H76" s="377" t="inlineStr">
        <is>
          <t>何咏04</t>
        </is>
      </c>
      <c r="I76" s="377" t="inlineStr">
        <is>
          <t>肖锐03</t>
        </is>
      </c>
      <c r="J76" s="377" t="inlineStr">
        <is>
          <t>王丽</t>
        </is>
      </c>
      <c r="K76" s="377" t="n"/>
      <c r="L76" s="377" t="n"/>
      <c r="M76" s="377" t="inlineStr">
        <is>
          <t>作业得盯、监督</t>
        </is>
      </c>
      <c r="N76" s="377" t="inlineStr">
        <is>
          <t>作文依赖AI、阅读、书写、字一个大一个小</t>
        </is>
      </c>
      <c r="O76" s="377" t="inlineStr">
        <is>
          <t>数学比较差，有手机、上作业帮、51talk线上课，妈妈发现效果不好孩子切屏玩，所以想停报线上课。有弟弟3岁所以爸妈给哥哥关注少，复习课上完给家长说觉得线下课比线上好，但是有同学影响他</t>
        </is>
      </c>
      <c r="P76" s="377" t="inlineStr">
        <is>
          <t>85分</t>
        </is>
      </c>
      <c r="Q76" s="377" t="n"/>
      <c r="R76" s="377" t="n"/>
      <c r="S76" s="377" t="n"/>
      <c r="T76" s="377" t="inlineStr">
        <is>
          <t>是</t>
        </is>
      </c>
      <c r="U76" s="377" t="inlineStr">
        <is>
          <t>是</t>
        </is>
      </c>
      <c r="V76" s="377" t="n"/>
      <c r="W76" s="377" t="n"/>
      <c r="X76" s="377" t="n"/>
      <c r="Y76" s="377" t="inlineStr">
        <is>
          <t>是</t>
        </is>
      </c>
      <c r="Z76" s="377" t="n"/>
      <c r="AA76" s="377" t="n"/>
      <c r="AB76" s="377" t="n"/>
      <c r="AC76" s="377" t="n"/>
      <c r="AD76" s="377" t="n"/>
      <c r="AE76" s="377" t="n"/>
      <c r="AF76" s="377" t="n"/>
      <c r="AG76" s="377" t="n"/>
      <c r="AH76" s="377" t="n"/>
    </row>
    <row r="77" ht="26.25" customHeight="1" s="1053">
      <c r="A77" s="377" t="inlineStr">
        <is>
          <t>新宝利</t>
        </is>
      </c>
      <c r="B77" s="377" t="inlineStr">
        <is>
          <t>一期</t>
        </is>
      </c>
      <c r="C77" s="377" t="n">
        <v>5170706</v>
      </c>
      <c r="D77" s="377" t="inlineStr">
        <is>
          <t>13:20-15:30</t>
        </is>
      </c>
      <c r="E77" s="377" t="inlineStr">
        <is>
          <t>潜能班</t>
        </is>
      </c>
      <c r="F77" s="377" t="inlineStr">
        <is>
          <t>谢博霖</t>
        </is>
      </c>
      <c r="G77" s="377" t="inlineStr">
        <is>
          <t>李润</t>
        </is>
      </c>
      <c r="H77" s="377" t="n"/>
      <c r="I77" s="377" t="n"/>
      <c r="J77" s="377" t="inlineStr">
        <is>
          <t>张敏烨</t>
        </is>
      </c>
      <c r="K77" s="377" t="n"/>
      <c r="L77" s="377" t="n"/>
      <c r="M77" s="377" t="n"/>
      <c r="N77" s="377" t="n"/>
      <c r="O77" s="377" t="n"/>
      <c r="P77" s="377" t="n"/>
      <c r="Q77" s="377" t="n"/>
      <c r="R77" s="377" t="n"/>
      <c r="S77" s="377" t="n"/>
      <c r="T77" s="377" t="inlineStr">
        <is>
          <t>是</t>
        </is>
      </c>
      <c r="U77" s="377" t="n"/>
      <c r="V77" s="377" t="n"/>
      <c r="W77" s="377" t="n"/>
      <c r="X77" s="377" t="n"/>
      <c r="Y77" s="377" t="n"/>
      <c r="Z77" s="377" t="n"/>
      <c r="AA77" s="377" t="n"/>
      <c r="AB77" s="377" t="n"/>
      <c r="AC77" s="377" t="n"/>
      <c r="AD77" s="377" t="n"/>
      <c r="AE77" s="377" t="n"/>
      <c r="AF77" s="377" t="n"/>
      <c r="AG77" s="377" t="n"/>
      <c r="AH77" s="377" t="n"/>
    </row>
    <row r="78" ht="26.25" customHeight="1" s="1053">
      <c r="A78" s="377" t="inlineStr">
        <is>
          <t>新宝利</t>
        </is>
      </c>
      <c r="B78" s="377" t="inlineStr">
        <is>
          <t>一期</t>
        </is>
      </c>
      <c r="C78" s="377" t="n">
        <v>5170706</v>
      </c>
      <c r="D78" s="377" t="inlineStr">
        <is>
          <t>13:20-15:30</t>
        </is>
      </c>
      <c r="E78" s="377" t="inlineStr">
        <is>
          <t>潜能班</t>
        </is>
      </c>
      <c r="F78" s="377" t="inlineStr">
        <is>
          <t>谢皓霖</t>
        </is>
      </c>
      <c r="G78" s="377" t="inlineStr">
        <is>
          <t>李润</t>
        </is>
      </c>
      <c r="H78" s="377" t="n"/>
      <c r="I78" s="377" t="n"/>
      <c r="J78" s="377" t="inlineStr">
        <is>
          <t>张敏烨</t>
        </is>
      </c>
      <c r="K78" s="377" t="n"/>
      <c r="L78" s="377" t="n"/>
      <c r="M78" s="377" t="n"/>
      <c r="N78" s="377" t="n"/>
      <c r="O78" s="377" t="n"/>
      <c r="P78" s="377" t="n"/>
      <c r="Q78" s="377" t="n"/>
      <c r="R78" s="377" t="n"/>
      <c r="S78" s="377" t="n"/>
      <c r="T78" s="377" t="inlineStr">
        <is>
          <t>是</t>
        </is>
      </c>
      <c r="U78" s="377" t="n"/>
      <c r="V78" s="377" t="n"/>
      <c r="W78" s="377" t="n"/>
      <c r="X78" s="377" t="n"/>
      <c r="Y78" s="377" t="n"/>
      <c r="Z78" s="377" t="n"/>
      <c r="AA78" s="377" t="n"/>
      <c r="AB78" s="377" t="n"/>
      <c r="AC78" s="377" t="n"/>
      <c r="AD78" s="377" t="n"/>
      <c r="AE78" s="377" t="n"/>
      <c r="AF78" s="377" t="n"/>
      <c r="AG78" s="377" t="n"/>
      <c r="AH78" s="377" t="n"/>
    </row>
    <row r="79" ht="26.25" customHeight="1" s="1053">
      <c r="A79" s="377" t="inlineStr">
        <is>
          <t>新宝利</t>
        </is>
      </c>
      <c r="B79" s="377" t="inlineStr">
        <is>
          <t>一期</t>
        </is>
      </c>
      <c r="C79" s="377" t="n">
        <v>5170706</v>
      </c>
      <c r="D79" s="377" t="inlineStr">
        <is>
          <t>13:20-15:30</t>
        </is>
      </c>
      <c r="E79" s="377" t="inlineStr">
        <is>
          <t>潜能班</t>
        </is>
      </c>
      <c r="F79" s="377" t="inlineStr">
        <is>
          <t>邹子慧</t>
        </is>
      </c>
      <c r="G79" s="377" t="inlineStr">
        <is>
          <t>李润</t>
        </is>
      </c>
      <c r="H79" s="377" t="inlineStr">
        <is>
          <t>陈中帅</t>
        </is>
      </c>
      <c r="I79" s="377" t="inlineStr">
        <is>
          <t>高心怡04</t>
        </is>
      </c>
      <c r="J79" s="377" t="inlineStr">
        <is>
          <t>沈思浩</t>
        </is>
      </c>
      <c r="K79" s="377" t="n"/>
      <c r="L79" s="377" t="n"/>
      <c r="M79" s="377" t="n"/>
      <c r="N79" s="377" t="n"/>
      <c r="O79" s="377" t="n"/>
      <c r="P79" s="377" t="n"/>
      <c r="Q79" s="377" t="n"/>
      <c r="R79" s="377" t="n"/>
      <c r="S79" s="377" t="n"/>
      <c r="T79" s="377" t="inlineStr">
        <is>
          <t>是</t>
        </is>
      </c>
      <c r="U79" s="377" t="n"/>
      <c r="V79" s="377" t="n"/>
      <c r="W79" s="377" t="n"/>
      <c r="X79" s="377" t="n"/>
      <c r="Y79" s="377" t="inlineStr">
        <is>
          <t>是</t>
        </is>
      </c>
      <c r="Z79" s="377" t="n"/>
      <c r="AA79" s="377" t="n"/>
      <c r="AB79" s="377" t="n"/>
      <c r="AC79" s="377" t="n"/>
      <c r="AD79" s="377" t="n"/>
      <c r="AE79" s="377" t="n"/>
      <c r="AF79" s="377" t="n"/>
      <c r="AG79" s="377" t="n"/>
      <c r="AH79" s="377" t="n"/>
    </row>
    <row r="80" ht="26.25" customHeight="1" s="1053">
      <c r="A80" s="377" t="inlineStr">
        <is>
          <t>新宝利</t>
        </is>
      </c>
      <c r="B80" s="377" t="inlineStr">
        <is>
          <t>一期</t>
        </is>
      </c>
      <c r="C80" s="377" t="n">
        <v>5170706</v>
      </c>
      <c r="D80" s="377" t="inlineStr">
        <is>
          <t>13:20-15:30</t>
        </is>
      </c>
      <c r="E80" s="377" t="inlineStr">
        <is>
          <t>潜能班</t>
        </is>
      </c>
      <c r="F80" s="377" t="inlineStr">
        <is>
          <t>郭诗颖</t>
        </is>
      </c>
      <c r="G80" s="377" t="inlineStr">
        <is>
          <t>李润</t>
        </is>
      </c>
      <c r="H80" s="377" t="inlineStr">
        <is>
          <t>何咏04</t>
        </is>
      </c>
      <c r="I80" s="377" t="inlineStr">
        <is>
          <t>肖锐03</t>
        </is>
      </c>
      <c r="J80" s="377" t="inlineStr">
        <is>
          <t>张敏烨</t>
        </is>
      </c>
      <c r="K80" s="377" t="inlineStr">
        <is>
          <t>旧部前</t>
        </is>
      </c>
      <c r="L80" s="377" t="n"/>
      <c r="M80" s="377" t="inlineStr">
        <is>
          <t>靠自己</t>
        </is>
      </c>
      <c r="N80" s="377" t="inlineStr">
        <is>
          <t>阅读</t>
        </is>
      </c>
      <c r="O80" s="377" t="inlineStr">
        <is>
          <t>慢热，对老师比较怯。之前从来没上过补习班，妈妈说先看看暑假，该补还是要补，三科语文最弱，爱看明朝那些事，也会和妈妈分析，但是比较兴趣导向，不感兴趣的文章可能就不爱分析了</t>
        </is>
      </c>
      <c r="P80" s="377" t="inlineStr">
        <is>
          <t>85-90</t>
        </is>
      </c>
      <c r="Q80" s="377" t="n">
        <v>32</v>
      </c>
      <c r="R80" s="377" t="n"/>
      <c r="S80" s="377" t="n"/>
      <c r="T80" s="377" t="inlineStr">
        <is>
          <t>是</t>
        </is>
      </c>
      <c r="U80" s="377" t="inlineStr">
        <is>
          <t>是</t>
        </is>
      </c>
      <c r="V80" s="377" t="n"/>
      <c r="W80" s="377" t="n"/>
      <c r="X80" s="377" t="n"/>
      <c r="Y80" s="377" t="n"/>
      <c r="Z80" s="377" t="n"/>
      <c r="AA80" s="377" t="n"/>
      <c r="AB80" s="377" t="n"/>
      <c r="AC80" s="377" t="n"/>
      <c r="AD80" s="377" t="n"/>
      <c r="AE80" s="377" t="n"/>
      <c r="AF80" s="377" t="n"/>
      <c r="AG80" s="377" t="n"/>
      <c r="AH80" s="377" t="n"/>
    </row>
    <row r="81" ht="26.25" customHeight="1" s="1053">
      <c r="A81" s="377" t="inlineStr">
        <is>
          <t>新宝利</t>
        </is>
      </c>
      <c r="B81" s="377" t="inlineStr">
        <is>
          <t>一期</t>
        </is>
      </c>
      <c r="C81" s="377" t="n">
        <v>5170706</v>
      </c>
      <c r="D81" s="377" t="inlineStr">
        <is>
          <t>13:20-15:30</t>
        </is>
      </c>
      <c r="E81" s="377" t="inlineStr">
        <is>
          <t>潜能班</t>
        </is>
      </c>
      <c r="F81" s="377" t="inlineStr">
        <is>
          <t>钟雨橦</t>
        </is>
      </c>
      <c r="G81" s="377" t="inlineStr">
        <is>
          <t>李润</t>
        </is>
      </c>
      <c r="H81" s="377" t="inlineStr">
        <is>
          <t>何咏04</t>
        </is>
      </c>
      <c r="I81" s="377" t="inlineStr">
        <is>
          <t>肖锐03</t>
        </is>
      </c>
      <c r="J81" s="377" t="inlineStr">
        <is>
          <t>杨林33</t>
        </is>
      </c>
      <c r="K81" s="377" t="inlineStr">
        <is>
          <t>东川路</t>
        </is>
      </c>
      <c r="L81" s="377" t="inlineStr">
        <is>
          <t>省实</t>
        </is>
      </c>
      <c r="M81" s="377" t="n"/>
      <c r="N81" s="377" t="inlineStr">
        <is>
          <t>和学而思差不多，比学而思便宜，试一试</t>
        </is>
      </c>
      <c r="O81" s="377" t="inlineStr">
        <is>
          <t>和爸爸面聊过，语文已暑秋连报</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t="26.25" customHeight="1" s="1053">
      <c r="A82" s="377" t="inlineStr">
        <is>
          <t>新宝利</t>
        </is>
      </c>
      <c r="B82" s="377" t="inlineStr">
        <is>
          <t>一期</t>
        </is>
      </c>
      <c r="C82" s="377" t="n">
        <v>5170706</v>
      </c>
      <c r="D82" s="377" t="inlineStr">
        <is>
          <t>13:20-15:30</t>
        </is>
      </c>
      <c r="E82" s="377" t="inlineStr">
        <is>
          <t>潜能班</t>
        </is>
      </c>
      <c r="F82" s="377" t="inlineStr">
        <is>
          <t>陈家誉</t>
        </is>
      </c>
      <c r="G82" s="377" t="inlineStr">
        <is>
          <t>李润</t>
        </is>
      </c>
      <c r="H82" s="377" t="inlineStr">
        <is>
          <t>田雨涵01</t>
        </is>
      </c>
      <c r="I82" s="377" t="inlineStr">
        <is>
          <t>肖锐03</t>
        </is>
      </c>
      <c r="J82" s="377" t="inlineStr">
        <is>
          <t>林志豪01</t>
        </is>
      </c>
      <c r="K82" s="377" t="n"/>
      <c r="L82" s="377" t="n"/>
      <c r="M82" s="377" t="inlineStr">
        <is>
          <t>靠自己，主见强</t>
        </is>
      </c>
      <c r="N82" s="377" t="inlineStr">
        <is>
          <t>阅读理解多、基础分也扣。衔接初中</t>
        </is>
      </c>
      <c r="O82" s="377" t="inlineStr">
        <is>
          <t>家在荔湾,目前其他机构在学数学和英语，语文想调到1期上，数学、英语0期</t>
        </is>
      </c>
      <c r="P82" s="377" t="inlineStr">
        <is>
          <t>90左右</t>
        </is>
      </c>
      <c r="Q82" s="377" t="n"/>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n"/>
    </row>
    <row r="83" ht="26.25" customHeight="1" s="1053">
      <c r="A83" s="377" t="inlineStr">
        <is>
          <t>新宝利</t>
        </is>
      </c>
      <c r="B83" s="377" t="inlineStr">
        <is>
          <t>一期</t>
        </is>
      </c>
      <c r="C83" s="377" t="n">
        <v>5170706</v>
      </c>
      <c r="D83" s="377" t="inlineStr">
        <is>
          <t>13:20-15:30</t>
        </is>
      </c>
      <c r="E83" s="377" t="inlineStr">
        <is>
          <t>潜能班</t>
        </is>
      </c>
      <c r="F83" s="377" t="inlineStr">
        <is>
          <t>陈建廷</t>
        </is>
      </c>
      <c r="G83" s="377" t="inlineStr">
        <is>
          <t>李润</t>
        </is>
      </c>
      <c r="H83" s="377" t="n"/>
      <c r="I83" s="377" t="n"/>
      <c r="J83" s="377" t="inlineStr">
        <is>
          <t>张敏烨</t>
        </is>
      </c>
      <c r="K83" s="377" t="n"/>
      <c r="L83" s="377" t="n"/>
      <c r="M83" s="377" t="n"/>
      <c r="N83" s="377" t="n"/>
      <c r="O83" s="377" t="n"/>
      <c r="P83" s="377" t="n"/>
      <c r="Q83" s="377" t="n"/>
      <c r="R83" s="377" t="n"/>
      <c r="S83" s="377" t="n"/>
      <c r="T83" s="377" t="inlineStr">
        <is>
          <t>是</t>
        </is>
      </c>
      <c r="U83" s="377" t="n"/>
      <c r="V83" s="377" t="n"/>
      <c r="W83" s="377" t="n"/>
      <c r="X83" s="377" t="n"/>
      <c r="Y83" s="377" t="n"/>
      <c r="Z83" s="377" t="n"/>
      <c r="AA83" s="377" t="n"/>
      <c r="AB83" s="377" t="n"/>
      <c r="AC83" s="377" t="n"/>
      <c r="AD83" s="377" t="n"/>
      <c r="AE83" s="377" t="n"/>
      <c r="AF83" s="377" t="n"/>
      <c r="AG83" s="377" t="n"/>
      <c r="AH83" s="377" t="n"/>
    </row>
    <row r="84" ht="26.25" customHeight="1" s="1053">
      <c r="A84" s="377" t="inlineStr">
        <is>
          <t>新宝利</t>
        </is>
      </c>
      <c r="B84" s="377" t="inlineStr">
        <is>
          <t>一期</t>
        </is>
      </c>
      <c r="C84" s="377" t="n">
        <v>5170706</v>
      </c>
      <c r="D84" s="377" t="inlineStr">
        <is>
          <t>13:20-15:30</t>
        </is>
      </c>
      <c r="E84" s="377" t="inlineStr">
        <is>
          <t>潜能班</t>
        </is>
      </c>
      <c r="F84" s="377" t="inlineStr">
        <is>
          <t>陈泊儒</t>
        </is>
      </c>
      <c r="G84" s="377" t="inlineStr">
        <is>
          <t>李润</t>
        </is>
      </c>
      <c r="H84" s="377" t="inlineStr">
        <is>
          <t>何咏04</t>
        </is>
      </c>
      <c r="I84" s="377" t="inlineStr">
        <is>
          <t>肖锐03</t>
        </is>
      </c>
      <c r="J84" s="377" t="inlineStr">
        <is>
          <t>张敏烨</t>
        </is>
      </c>
      <c r="K84" s="377" t="n"/>
      <c r="L84" s="377" t="n"/>
      <c r="M84" s="377" t="inlineStr">
        <is>
          <t>偶尔犯懒，整体自觉</t>
        </is>
      </c>
      <c r="N84" s="377" t="inlineStr">
        <is>
          <t>课后作业需要监督</t>
        </is>
      </c>
      <c r="O84" s="377" t="inlineStr">
        <is>
          <t>三科从来没拓展过，语文线上课猿辅导，爸妈一线人员工作比较忙，会上夜班，妈妈很配合，可以留堂</t>
        </is>
      </c>
      <c r="P84" s="377" t="inlineStr">
        <is>
          <t>单元测验86-88，期末A</t>
        </is>
      </c>
      <c r="Q84" s="377" t="n">
        <v>33</v>
      </c>
      <c r="R84" s="377" t="n"/>
      <c r="S84" s="377" t="n"/>
      <c r="T84" s="377" t="inlineStr">
        <is>
          <t>是</t>
        </is>
      </c>
      <c r="U84" s="377" t="inlineStr">
        <is>
          <t>是</t>
        </is>
      </c>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一期</t>
        </is>
      </c>
      <c r="C85" s="377" t="n">
        <v>5170706</v>
      </c>
      <c r="D85" s="377" t="inlineStr">
        <is>
          <t>13:20-15:30</t>
        </is>
      </c>
      <c r="E85" s="377" t="inlineStr">
        <is>
          <t>潜能班</t>
        </is>
      </c>
      <c r="F85" s="377" t="inlineStr">
        <is>
          <t>魏雨澄</t>
        </is>
      </c>
      <c r="G85" s="377" t="inlineStr">
        <is>
          <t>李润</t>
        </is>
      </c>
      <c r="H85" s="377" t="inlineStr">
        <is>
          <t>何咏04</t>
        </is>
      </c>
      <c r="I85" s="377" t="inlineStr">
        <is>
          <t>肖锐03</t>
        </is>
      </c>
      <c r="J85" s="377" t="inlineStr">
        <is>
          <t>王达04</t>
        </is>
      </c>
      <c r="K85" s="377" t="inlineStr">
        <is>
          <t>东风西路小学</t>
        </is>
      </c>
      <c r="L85" s="377" t="inlineStr">
        <is>
          <t>等摇号</t>
        </is>
      </c>
      <c r="M85" s="377" t="inlineStr">
        <is>
          <t>主要靠自己</t>
        </is>
      </c>
      <c r="N85" s="835" t="inlineStr">
        <is>
          <t>1.阅读理解写了很多不在采分点上、作文
2.字迹潦草、特别关注一下</t>
        </is>
      </c>
      <c r="O85" s="377" t="inlineStr">
        <is>
          <t>数学、英语上过课外班，语文没上过。不太积极，要点。家住不远，可以自己走</t>
        </is>
      </c>
      <c r="P85" s="377" t="inlineStr">
        <is>
          <t>90上下</t>
        </is>
      </c>
      <c r="Q85" s="377" t="n"/>
      <c r="R85" s="377" t="n"/>
      <c r="S85" s="377" t="n"/>
      <c r="T85" s="377" t="inlineStr">
        <is>
          <t>是</t>
        </is>
      </c>
      <c r="U85" s="377" t="inlineStr">
        <is>
          <t>是</t>
        </is>
      </c>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一期</t>
        </is>
      </c>
      <c r="C86" s="377" t="n">
        <v>5170706</v>
      </c>
      <c r="D86" s="377" t="inlineStr">
        <is>
          <t>13:20-15:30</t>
        </is>
      </c>
      <c r="E86" s="377" t="inlineStr">
        <is>
          <t>潜能班</t>
        </is>
      </c>
      <c r="F86" s="377" t="inlineStr">
        <is>
          <t>黄偌桐</t>
        </is>
      </c>
      <c r="G86" s="377" t="inlineStr">
        <is>
          <t>李润</t>
        </is>
      </c>
      <c r="H86" s="377" t="inlineStr">
        <is>
          <t>陈中帅</t>
        </is>
      </c>
      <c r="I86" s="377" t="inlineStr">
        <is>
          <t>肖锐03</t>
        </is>
      </c>
      <c r="J86" s="377" t="inlineStr">
        <is>
          <t>林志豪01</t>
        </is>
      </c>
      <c r="K86" s="377" t="n"/>
      <c r="L86" s="377" t="n"/>
      <c r="M86" s="377" t="inlineStr">
        <is>
          <t>不太自觉</t>
        </is>
      </c>
      <c r="N86" s="377" t="inlineStr">
        <is>
          <t>阅读理解的信息抓取能力、错别字</t>
        </is>
      </c>
      <c r="O86" s="377" t="inlineStr">
        <is>
          <t>手机不太管，会用手机查资料，爱打手机游戏</t>
        </is>
      </c>
      <c r="P86" s="377" t="inlineStr">
        <is>
          <t>80-92，基本都是A</t>
        </is>
      </c>
      <c r="Q86" s="377" t="n"/>
      <c r="R86" s="377" t="n"/>
      <c r="S86" s="377" t="n"/>
      <c r="T86" s="377" t="inlineStr">
        <is>
          <t>是</t>
        </is>
      </c>
      <c r="U86" s="377" t="inlineStr">
        <is>
          <t>是</t>
        </is>
      </c>
      <c r="V86" s="377" t="n"/>
      <c r="W86" s="377" t="n"/>
      <c r="X86" s="377" t="n"/>
      <c r="Y86" s="377" t="inlineStr">
        <is>
          <t>是</t>
        </is>
      </c>
      <c r="Z86" s="377" t="n"/>
      <c r="AA86" s="377" t="n"/>
      <c r="AB86" s="377" t="n"/>
      <c r="AC86" s="377" t="n"/>
      <c r="AD86" s="377" t="n"/>
      <c r="AE86" s="377" t="n"/>
      <c r="AF86" s="377" t="n"/>
      <c r="AG86" s="377" t="n"/>
      <c r="AH86" s="377" t="n"/>
    </row>
    <row r="87" ht="26.25" customHeight="1" s="1053">
      <c r="A87" s="377" t="inlineStr">
        <is>
          <t>新宝利</t>
        </is>
      </c>
      <c r="B87" s="377" t="inlineStr">
        <is>
          <t>一期</t>
        </is>
      </c>
      <c r="C87" s="377" t="n">
        <v>5170706</v>
      </c>
      <c r="D87" s="377" t="inlineStr">
        <is>
          <t>13:20-15:30</t>
        </is>
      </c>
      <c r="E87" s="377" t="inlineStr">
        <is>
          <t>潜能班</t>
        </is>
      </c>
      <c r="F87" s="377" t="inlineStr">
        <is>
          <t>黄宝莹</t>
        </is>
      </c>
      <c r="G87" s="377" t="inlineStr">
        <is>
          <t>李润</t>
        </is>
      </c>
      <c r="H87" s="377" t="inlineStr">
        <is>
          <t>陈中帅</t>
        </is>
      </c>
      <c r="I87" s="377" t="inlineStr">
        <is>
          <t>高心怡04</t>
        </is>
      </c>
      <c r="J87" s="377" t="inlineStr">
        <is>
          <t>沈思浩</t>
        </is>
      </c>
      <c r="K87" s="377" t="n"/>
      <c r="L87" s="377" t="n"/>
      <c r="M87" s="377" t="inlineStr">
        <is>
          <t>专注不够，没提醒就乱来</t>
        </is>
      </c>
      <c r="N87" s="377" t="inlineStr">
        <is>
          <t>语文很不好，字词写同音字、文言文看不懂、阅读没方法、作文流水账</t>
        </is>
      </c>
      <c r="O87" s="377" t="inlineStr">
        <is>
          <t>孩子最近发烧了。周六一节舞蹈一节画画</t>
        </is>
      </c>
      <c r="P87" s="377" t="n"/>
      <c r="Q87" s="377" t="n"/>
      <c r="R87" s="377" t="n"/>
      <c r="S87" s="377" t="n"/>
      <c r="T87" s="377" t="inlineStr">
        <is>
          <t>是</t>
        </is>
      </c>
      <c r="U87" s="377" t="inlineStr">
        <is>
          <t>是</t>
        </is>
      </c>
      <c r="V87" s="377" t="n"/>
      <c r="W87" s="377" t="n"/>
      <c r="X87" s="377" t="n"/>
      <c r="Y87" s="377" t="inlineStr">
        <is>
          <t>是</t>
        </is>
      </c>
      <c r="Z87" s="377" t="n"/>
      <c r="AA87" s="377" t="n"/>
      <c r="AB87" s="377" t="n"/>
      <c r="AC87" s="377" t="n"/>
      <c r="AD87" s="377" t="n"/>
      <c r="AE87" s="377" t="n"/>
      <c r="AF87" s="377" t="n"/>
      <c r="AG87" s="377" t="n"/>
      <c r="AH87" s="377" t="n"/>
    </row>
    <row r="88" ht="26.25" customHeight="1" s="1053">
      <c r="A88" s="377" t="inlineStr">
        <is>
          <t>新宝利</t>
        </is>
      </c>
      <c r="B88" s="377" t="inlineStr">
        <is>
          <t>一期</t>
        </is>
      </c>
      <c r="C88" s="377" t="n">
        <v>5170706</v>
      </c>
      <c r="D88" s="377" t="inlineStr">
        <is>
          <t>13:20-15:30</t>
        </is>
      </c>
      <c r="E88" s="377" t="inlineStr">
        <is>
          <t>潜能班</t>
        </is>
      </c>
      <c r="F88" s="377" t="inlineStr">
        <is>
          <t>黎佳恩</t>
        </is>
      </c>
      <c r="G88" s="377" t="inlineStr">
        <is>
          <t>李润</t>
        </is>
      </c>
      <c r="H88" s="377" t="inlineStr">
        <is>
          <t>何咏04</t>
        </is>
      </c>
      <c r="I88" s="377" t="inlineStr">
        <is>
          <t>肖锐03</t>
        </is>
      </c>
      <c r="J88" s="377" t="inlineStr">
        <is>
          <t>沈思浩</t>
        </is>
      </c>
      <c r="K88" s="377" t="n"/>
      <c r="L88" s="377" t="n"/>
      <c r="M88" s="836" t="inlineStr">
        <is>
          <t>不自觉
不爱做作业</t>
        </is>
      </c>
      <c r="N88" s="837" t="inlineStr">
        <is>
          <t>基础还行
初中衔接课</t>
        </is>
      </c>
      <c r="O88" s="838" t="inlineStr">
        <is>
          <t>课后联系
内向慢热
线上网课，校内和拓展都有</t>
        </is>
      </c>
      <c r="P88" s="377" t="n"/>
      <c r="Q88" s="377" t="n">
        <v>31</v>
      </c>
      <c r="R88" s="377" t="n"/>
      <c r="S88" s="377" t="n"/>
      <c r="T88" s="377" t="inlineStr">
        <is>
          <t>是</t>
        </is>
      </c>
      <c r="U88" s="377" t="inlineStr">
        <is>
          <t>是</t>
        </is>
      </c>
      <c r="V88" s="377" t="n"/>
      <c r="W88" s="377" t="n"/>
      <c r="X88" s="377" t="n"/>
      <c r="Y88" s="377" t="inlineStr">
        <is>
          <t>是</t>
        </is>
      </c>
      <c r="Z88" s="377" t="n"/>
      <c r="AA88" s="377" t="n"/>
      <c r="AB88" s="377" t="n"/>
      <c r="AC88" s="377" t="n"/>
      <c r="AD88" s="377" t="n"/>
      <c r="AE88" s="377" t="n"/>
      <c r="AF88" s="377" t="n"/>
      <c r="AG88" s="377" t="n"/>
      <c r="AH88" s="377" t="n"/>
    </row>
    <row r="89" ht="26.25" customHeight="1" s="1053">
      <c r="A89" s="377" t="inlineStr">
        <is>
          <t>新宝利</t>
        </is>
      </c>
      <c r="B89" s="377" t="inlineStr">
        <is>
          <t>三期</t>
        </is>
      </c>
      <c r="C89" s="377" t="n">
        <v>5111226</v>
      </c>
      <c r="D89" s="377" t="inlineStr">
        <is>
          <t>15:50-18:00</t>
        </is>
      </c>
      <c r="E89" s="377" t="inlineStr">
        <is>
          <t>潜能班</t>
        </is>
      </c>
      <c r="F89" s="377" t="inlineStr">
        <is>
          <t>刘诗语</t>
        </is>
      </c>
      <c r="G89" s="377" t="inlineStr">
        <is>
          <t>李润</t>
        </is>
      </c>
      <c r="H89" s="377" t="inlineStr">
        <is>
          <t>田雨涵01</t>
        </is>
      </c>
      <c r="I89" s="377" t="inlineStr">
        <is>
          <t>肖锐03</t>
        </is>
      </c>
      <c r="J89" s="377" t="inlineStr">
        <is>
          <t>杨林33</t>
        </is>
      </c>
      <c r="K89" s="377" t="n"/>
      <c r="L89" s="377" t="n"/>
      <c r="M89" s="377" t="inlineStr">
        <is>
          <t>懒、自觉性不好</t>
        </is>
      </c>
      <c r="N89" s="377" t="inlineStr">
        <is>
          <t>阅读字写的少、作文流水账</t>
        </is>
      </c>
      <c r="O89" s="377" t="inlineStr">
        <is>
          <t>青春期有些叛逆，不太想让家里管。爸爸觉得还没开智，孩子没规划。性格开朗，喜欢一个老师就会像小跟班跟着，想给孩子暑假先提前布置初一内容</t>
        </is>
      </c>
      <c r="P89" s="377" t="n">
        <v>85</v>
      </c>
      <c r="Q89" s="377" t="n"/>
      <c r="R89" s="377" t="n"/>
      <c r="S89" s="377" t="n"/>
      <c r="T89" s="377" t="inlineStr">
        <is>
          <t>是</t>
        </is>
      </c>
      <c r="U89" s="377" t="inlineStr">
        <is>
          <t>是</t>
        </is>
      </c>
      <c r="V89" s="377" t="n"/>
      <c r="W89" s="377" t="n"/>
      <c r="X89" s="377" t="n"/>
      <c r="Y89" s="377" t="n"/>
      <c r="Z89" s="377" t="n"/>
      <c r="AA89" s="377" t="n"/>
      <c r="AB89" s="377" t="n"/>
      <c r="AC89" s="377" t="n"/>
      <c r="AD89" s="377" t="n"/>
      <c r="AE89" s="377" t="n"/>
      <c r="AF89" s="377" t="n"/>
      <c r="AG89" s="377" t="n"/>
      <c r="AH89" s="377" t="n"/>
    </row>
    <row r="90" ht="26.25" customHeight="1" s="1053">
      <c r="A90" s="377" t="inlineStr">
        <is>
          <t>新宝利</t>
        </is>
      </c>
      <c r="B90" s="377" t="inlineStr">
        <is>
          <t>三期</t>
        </is>
      </c>
      <c r="C90" s="377" t="n">
        <v>5111226</v>
      </c>
      <c r="D90" s="377" t="inlineStr">
        <is>
          <t>15:50-18:00</t>
        </is>
      </c>
      <c r="E90" s="377" t="inlineStr">
        <is>
          <t>潜能班</t>
        </is>
      </c>
      <c r="F90" s="377" t="inlineStr">
        <is>
          <t>刘雯涵</t>
        </is>
      </c>
      <c r="G90" s="377" t="inlineStr">
        <is>
          <t>李润</t>
        </is>
      </c>
      <c r="H90" s="377" t="inlineStr">
        <is>
          <t>田雨涵01</t>
        </is>
      </c>
      <c r="I90" s="377" t="inlineStr">
        <is>
          <t>肖锐03</t>
        </is>
      </c>
      <c r="J90" s="377" t="inlineStr">
        <is>
          <t>沈思浩</t>
        </is>
      </c>
      <c r="K90" s="377" t="n"/>
      <c r="L90" s="377" t="n"/>
      <c r="M90" s="377" t="n"/>
      <c r="N90" s="377" t="n"/>
      <c r="O90" s="377" t="n"/>
      <c r="P90" s="377" t="n"/>
      <c r="Q90" s="377" t="n"/>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t="26.25" customHeight="1" s="1053">
      <c r="A91" s="377" t="inlineStr">
        <is>
          <t>新宝利</t>
        </is>
      </c>
      <c r="B91" s="377" t="inlineStr">
        <is>
          <t>三期</t>
        </is>
      </c>
      <c r="C91" s="377" t="n">
        <v>5111226</v>
      </c>
      <c r="D91" s="377" t="inlineStr">
        <is>
          <t>15:50-18:00</t>
        </is>
      </c>
      <c r="E91" s="377" t="inlineStr">
        <is>
          <t>潜能班</t>
        </is>
      </c>
      <c r="F91" s="377" t="inlineStr">
        <is>
          <t>巴子轩</t>
        </is>
      </c>
      <c r="G91" s="377" t="inlineStr">
        <is>
          <t>李润</t>
        </is>
      </c>
      <c r="H91" s="377" t="n"/>
      <c r="I91" s="377" t="n"/>
      <c r="J91" s="377" t="inlineStr">
        <is>
          <t>林志豪01</t>
        </is>
      </c>
      <c r="K91" s="377" t="n"/>
      <c r="L91" s="377" t="n"/>
      <c r="M91" s="377" t="n"/>
      <c r="N91" s="377" t="n"/>
      <c r="O91" s="377" t="n"/>
      <c r="P91" s="377" t="n"/>
      <c r="Q91" s="377" t="n"/>
      <c r="R91" s="377" t="n"/>
      <c r="S91" s="377" t="n"/>
      <c r="T91" s="377" t="n"/>
      <c r="U91" s="377" t="n"/>
      <c r="V91" s="377" t="n"/>
      <c r="W91" s="377" t="n"/>
      <c r="X91" s="377" t="n"/>
      <c r="Y91" s="377" t="n"/>
      <c r="Z91" s="377" t="n"/>
      <c r="AA91" s="377" t="n"/>
      <c r="AB91" s="377" t="n"/>
      <c r="AC91" s="377" t="n"/>
      <c r="AD91" s="377" t="n"/>
      <c r="AE91" s="377" t="n"/>
      <c r="AF91" s="377" t="n"/>
      <c r="AG91" s="377" t="n"/>
      <c r="AH91" s="377" t="n"/>
    </row>
    <row r="92" ht="26.25" customHeight="1" s="1053">
      <c r="A92" s="377" t="inlineStr">
        <is>
          <t>新宝利</t>
        </is>
      </c>
      <c r="B92" s="377" t="inlineStr">
        <is>
          <t>三期</t>
        </is>
      </c>
      <c r="C92" s="377" t="n">
        <v>5111226</v>
      </c>
      <c r="D92" s="377" t="inlineStr">
        <is>
          <t>15:50-18:00</t>
        </is>
      </c>
      <c r="E92" s="377" t="inlineStr">
        <is>
          <t>潜能班</t>
        </is>
      </c>
      <c r="F92" s="377" t="inlineStr">
        <is>
          <t>张皓铭</t>
        </is>
      </c>
      <c r="G92" s="377" t="inlineStr">
        <is>
          <t>李润</t>
        </is>
      </c>
      <c r="H92" s="377" t="n"/>
      <c r="I92" s="377" t="n"/>
      <c r="J92" s="377" t="inlineStr">
        <is>
          <t>林志豪01</t>
        </is>
      </c>
      <c r="K92" s="377" t="n"/>
      <c r="L92" s="377" t="n"/>
      <c r="M92" s="377" t="n"/>
      <c r="N92" s="377" t="n"/>
      <c r="O92" s="377" t="n"/>
      <c r="P92" s="377" t="n"/>
      <c r="Q92" s="377" t="n"/>
      <c r="R92" s="377" t="n"/>
      <c r="S92" s="377" t="n"/>
      <c r="T92" s="377" t="n"/>
      <c r="U92" s="377" t="n"/>
      <c r="V92" s="377" t="n"/>
      <c r="W92" s="377" t="n"/>
      <c r="X92" s="377" t="n"/>
      <c r="Y92" s="377" t="n"/>
      <c r="Z92" s="377" t="n"/>
      <c r="AA92" s="377" t="n"/>
      <c r="AB92" s="377" t="n"/>
      <c r="AC92" s="377" t="n"/>
      <c r="AD92" s="377" t="n"/>
      <c r="AE92" s="377" t="n"/>
      <c r="AF92" s="377" t="n"/>
      <c r="AG92" s="377" t="n"/>
      <c r="AH92" s="377" t="n"/>
    </row>
    <row r="93" ht="26.25" customHeight="1" s="1053">
      <c r="A93" s="377" t="inlineStr">
        <is>
          <t>新宝利</t>
        </is>
      </c>
      <c r="B93" s="377" t="inlineStr">
        <is>
          <t>三期</t>
        </is>
      </c>
      <c r="C93" s="377" t="n">
        <v>5111226</v>
      </c>
      <c r="D93" s="377" t="inlineStr">
        <is>
          <t>15:50-18:00</t>
        </is>
      </c>
      <c r="E93" s="377" t="inlineStr">
        <is>
          <t>潜能班</t>
        </is>
      </c>
      <c r="F93" s="377" t="inlineStr">
        <is>
          <t>张艺</t>
        </is>
      </c>
      <c r="G93" s="377" t="inlineStr">
        <is>
          <t>李润</t>
        </is>
      </c>
      <c r="H93" s="377" t="inlineStr">
        <is>
          <t>田雨涵01</t>
        </is>
      </c>
      <c r="I93" s="377" t="inlineStr">
        <is>
          <t>肖锐03</t>
        </is>
      </c>
      <c r="J93" s="377" t="inlineStr">
        <is>
          <t>王达04</t>
        </is>
      </c>
      <c r="K93" s="377" t="n"/>
      <c r="L93" s="377" t="n"/>
      <c r="M93" s="377" t="inlineStr">
        <is>
          <t>自觉型</t>
        </is>
      </c>
      <c r="N93" s="377" t="inlineStr">
        <is>
          <t>阅读薄弱、写不到点上</t>
        </is>
      </c>
      <c r="O93" s="377" t="inlineStr">
        <is>
          <t>和马佳音是同学、上课需要点一下、作业帮的课程也是自己要报的</t>
        </is>
      </c>
      <c r="P93" s="377" t="inlineStr">
        <is>
          <t>290-295</t>
        </is>
      </c>
      <c r="Q93" s="377" t="n"/>
      <c r="R93" s="377" t="n"/>
      <c r="S93" s="377" t="n"/>
      <c r="T93" s="377" t="inlineStr">
        <is>
          <t>是</t>
        </is>
      </c>
      <c r="U93" s="377" t="inlineStr">
        <is>
          <t>是</t>
        </is>
      </c>
      <c r="V93" s="377" t="n"/>
      <c r="W93" s="377" t="n"/>
      <c r="X93" s="377" t="n"/>
      <c r="Y93" s="377" t="n"/>
      <c r="Z93" s="377" t="n"/>
      <c r="AA93" s="377" t="n"/>
      <c r="AB93" s="377" t="n"/>
      <c r="AC93" s="377" t="n"/>
      <c r="AD93" s="377" t="n"/>
      <c r="AE93" s="377" t="n"/>
      <c r="AF93" s="377" t="n"/>
      <c r="AG93" s="377" t="n"/>
      <c r="AH93" s="377" t="n"/>
    </row>
    <row r="94" ht="26.25" customHeight="1" s="1053">
      <c r="A94" s="377" t="inlineStr">
        <is>
          <t>新宝利</t>
        </is>
      </c>
      <c r="B94" s="377" t="inlineStr">
        <is>
          <t>三期</t>
        </is>
      </c>
      <c r="C94" s="377" t="n">
        <v>5111226</v>
      </c>
      <c r="D94" s="377" t="inlineStr">
        <is>
          <t>15:50-18:00</t>
        </is>
      </c>
      <c r="E94" s="377" t="inlineStr">
        <is>
          <t>潜能班</t>
        </is>
      </c>
      <c r="F94" s="377" t="inlineStr">
        <is>
          <t>朱俊烨</t>
        </is>
      </c>
      <c r="G94" s="377" t="inlineStr">
        <is>
          <t>李润</t>
        </is>
      </c>
      <c r="H94" s="377" t="inlineStr">
        <is>
          <t>田雨涵01</t>
        </is>
      </c>
      <c r="I94" s="377" t="inlineStr">
        <is>
          <t>肖锐03</t>
        </is>
      </c>
      <c r="J94" s="377" t="inlineStr">
        <is>
          <t>张敏烨</t>
        </is>
      </c>
      <c r="K94" s="377" t="n"/>
      <c r="L94" s="377" t="n"/>
      <c r="M94" s="377" t="n"/>
      <c r="N94" s="377" t="n"/>
      <c r="O94" s="377" t="n"/>
      <c r="P94" s="377" t="n"/>
      <c r="Q94" s="377" t="n"/>
      <c r="R94" s="377" t="n"/>
      <c r="S94" s="377" t="n"/>
      <c r="T94" s="377" t="inlineStr">
        <is>
          <t>是</t>
        </is>
      </c>
      <c r="U94" s="377" t="n"/>
      <c r="V94" s="377" t="n"/>
      <c r="W94" s="377" t="n"/>
      <c r="X94" s="377" t="n"/>
      <c r="Y94" s="377" t="n"/>
      <c r="Z94" s="377" t="n"/>
      <c r="AA94" s="377" t="n"/>
      <c r="AB94" s="377" t="n"/>
      <c r="AC94" s="377" t="n"/>
      <c r="AD94" s="377" t="n"/>
      <c r="AE94" s="377" t="n"/>
      <c r="AF94" s="377" t="n"/>
      <c r="AG94" s="377" t="n"/>
      <c r="AH94" s="377" t="n"/>
    </row>
    <row r="95" ht="26.25" customHeight="1" s="1053">
      <c r="A95" s="377" t="inlineStr">
        <is>
          <t>新宝利</t>
        </is>
      </c>
      <c r="B95" s="377" t="inlineStr">
        <is>
          <t>三期</t>
        </is>
      </c>
      <c r="C95" s="377" t="n">
        <v>5111226</v>
      </c>
      <c r="D95" s="377" t="inlineStr">
        <is>
          <t>15:50-18:00</t>
        </is>
      </c>
      <c r="E95" s="377" t="inlineStr">
        <is>
          <t>潜能班</t>
        </is>
      </c>
      <c r="F95" s="377" t="inlineStr">
        <is>
          <t>杨舒窈</t>
        </is>
      </c>
      <c r="G95" s="377" t="inlineStr">
        <is>
          <t>李润</t>
        </is>
      </c>
      <c r="H95" s="377" t="inlineStr">
        <is>
          <t>田雨涵01</t>
        </is>
      </c>
      <c r="I95" s="377" t="inlineStr">
        <is>
          <t>肖锐03</t>
        </is>
      </c>
      <c r="J95" s="377" t="inlineStr">
        <is>
          <t>王丽</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t="26.25" customHeight="1" s="1053">
      <c r="A96" s="377" t="inlineStr">
        <is>
          <t>新宝利</t>
        </is>
      </c>
      <c r="B96" s="377" t="inlineStr">
        <is>
          <t>三期</t>
        </is>
      </c>
      <c r="C96" s="377" t="n">
        <v>5111226</v>
      </c>
      <c r="D96" s="377" t="inlineStr">
        <is>
          <t>15:50-18:00</t>
        </is>
      </c>
      <c r="E96" s="377" t="inlineStr">
        <is>
          <t>潜能班</t>
        </is>
      </c>
      <c r="F96" s="377" t="inlineStr">
        <is>
          <t>林紫琪</t>
        </is>
      </c>
      <c r="G96" s="377" t="inlineStr">
        <is>
          <t>李润</t>
        </is>
      </c>
      <c r="H96" s="377" t="inlineStr">
        <is>
          <t>田雨涵01</t>
        </is>
      </c>
      <c r="I96" s="377" t="inlineStr">
        <is>
          <t>肖锐03</t>
        </is>
      </c>
      <c r="J96" s="377" t="inlineStr">
        <is>
          <t>杨林33</t>
        </is>
      </c>
      <c r="K96" s="377" t="n"/>
      <c r="L96" s="377" t="n"/>
      <c r="M96" s="377" t="n"/>
      <c r="N96" s="377" t="n"/>
      <c r="O96" s="377" t="n"/>
      <c r="P96" s="377" t="n"/>
      <c r="Q96" s="377" t="n"/>
      <c r="R96" s="377" t="n"/>
      <c r="S96" s="377" t="n"/>
      <c r="T96" s="377" t="inlineStr">
        <is>
          <t>是</t>
        </is>
      </c>
      <c r="U96" s="377" t="n"/>
      <c r="V96" s="377" t="n"/>
      <c r="W96" s="377" t="n"/>
      <c r="X96" s="377" t="n"/>
      <c r="Y96" s="377" t="n"/>
      <c r="Z96" s="377" t="n"/>
      <c r="AA96" s="377" t="n"/>
      <c r="AB96" s="377" t="n"/>
      <c r="AC96" s="377" t="n"/>
      <c r="AD96" s="377" t="n"/>
      <c r="AE96" s="377" t="n"/>
      <c r="AF96" s="377" t="n"/>
      <c r="AG96" s="377" t="n"/>
      <c r="AH96" s="377" t="n"/>
    </row>
    <row r="97" ht="26.25" customHeight="1" s="1053">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3">
      <c r="A98" s="377" t="inlineStr">
        <is>
          <t>新宝利</t>
        </is>
      </c>
      <c r="B98" s="377" t="inlineStr">
        <is>
          <t>三期</t>
        </is>
      </c>
      <c r="C98" s="377" t="n">
        <v>5111226</v>
      </c>
      <c r="D98" s="377" t="inlineStr">
        <is>
          <t>15:50-18:00</t>
        </is>
      </c>
      <c r="E98" s="377" t="inlineStr">
        <is>
          <t>潜能班</t>
        </is>
      </c>
      <c r="F98" s="377" t="inlineStr">
        <is>
          <t>苏紫盈</t>
        </is>
      </c>
      <c r="G98" s="377" t="inlineStr">
        <is>
          <t>李润</t>
        </is>
      </c>
      <c r="H98" s="377" t="inlineStr">
        <is>
          <t>田雨涵01</t>
        </is>
      </c>
      <c r="I98" s="377" t="inlineStr">
        <is>
          <t>肖锐03</t>
        </is>
      </c>
      <c r="J98" s="377" t="inlineStr">
        <is>
          <t>王丽</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t="26.25" customHeight="1" s="1053">
      <c r="A99" s="377" t="inlineStr">
        <is>
          <t>新宝利</t>
        </is>
      </c>
      <c r="B99" s="377" t="inlineStr">
        <is>
          <t>三期</t>
        </is>
      </c>
      <c r="C99" s="377" t="n">
        <v>5111226</v>
      </c>
      <c r="D99" s="377" t="inlineStr">
        <is>
          <t>15:50-18:00</t>
        </is>
      </c>
      <c r="E99" s="377" t="inlineStr">
        <is>
          <t>潜能班</t>
        </is>
      </c>
      <c r="F99" s="377" t="inlineStr">
        <is>
          <t>逸贤</t>
        </is>
      </c>
      <c r="G99" s="377" t="inlineStr">
        <is>
          <t>李润</t>
        </is>
      </c>
      <c r="H99" s="377" t="inlineStr">
        <is>
          <t>田雨涵01</t>
        </is>
      </c>
      <c r="I99" s="377" t="inlineStr">
        <is>
          <t>肖锐03</t>
        </is>
      </c>
      <c r="J99" s="377" t="inlineStr">
        <is>
          <t>杨林33</t>
        </is>
      </c>
      <c r="K99" s="377" t="n"/>
      <c r="L99" s="377" t="n"/>
      <c r="M99" s="377" t="n"/>
      <c r="N99" s="377" t="n"/>
      <c r="O99" s="377" t="n"/>
      <c r="P99" s="377" t="n"/>
      <c r="Q99" s="377" t="n"/>
      <c r="R99" s="377" t="n"/>
      <c r="S99" s="377" t="n"/>
      <c r="T99" s="377" t="inlineStr">
        <is>
          <t>是</t>
        </is>
      </c>
      <c r="U99" s="377" t="n"/>
      <c r="V99" s="377" t="n"/>
      <c r="W99" s="377" t="n"/>
      <c r="X99" s="377" t="n"/>
      <c r="Y99" s="377" t="n"/>
      <c r="Z99" s="377" t="n"/>
      <c r="AA99" s="377" t="n"/>
      <c r="AB99" s="377" t="n"/>
      <c r="AC99" s="377" t="n"/>
      <c r="AD99" s="377" t="n"/>
      <c r="AE99" s="377" t="n"/>
      <c r="AF99" s="377" t="n"/>
      <c r="AG99" s="377" t="n"/>
      <c r="AH99" s="377" t="n"/>
    </row>
    <row r="100" ht="26.25" customHeight="1" s="1053">
      <c r="A100" s="377" t="inlineStr">
        <is>
          <t>新宝利</t>
        </is>
      </c>
      <c r="B100" s="377" t="inlineStr">
        <is>
          <t>三期</t>
        </is>
      </c>
      <c r="C100" s="377" t="n">
        <v>5111226</v>
      </c>
      <c r="D100" s="377" t="inlineStr">
        <is>
          <t>15:50-18:00</t>
        </is>
      </c>
      <c r="E100" s="377" t="inlineStr">
        <is>
          <t>潜能班</t>
        </is>
      </c>
      <c r="F100" s="377" t="inlineStr">
        <is>
          <t>邹艾琳</t>
        </is>
      </c>
      <c r="G100" s="377" t="inlineStr">
        <is>
          <t>李润</t>
        </is>
      </c>
      <c r="H100" s="377" t="inlineStr">
        <is>
          <t>田雨涵01</t>
        </is>
      </c>
      <c r="I100" s="377" t="inlineStr">
        <is>
          <t>肖锐03</t>
        </is>
      </c>
      <c r="J100" s="377" t="inlineStr">
        <is>
          <t>林志豪01</t>
        </is>
      </c>
      <c r="K100" s="377" t="n"/>
      <c r="L100" s="377" t="n"/>
      <c r="M100" s="377" t="n"/>
      <c r="N100" s="377" t="n"/>
      <c r="O100" s="377" t="n"/>
      <c r="P100" s="377" t="n"/>
      <c r="Q100" s="377" t="n"/>
      <c r="R100" s="377" t="n"/>
      <c r="S100" s="377" t="n"/>
      <c r="T100" s="377" t="inlineStr">
        <is>
          <t>是</t>
        </is>
      </c>
      <c r="U100" s="377" t="n"/>
      <c r="V100" s="377" t="n"/>
      <c r="W100" s="377" t="n"/>
      <c r="X100" s="377" t="n"/>
      <c r="Y100" s="377" t="inlineStr">
        <is>
          <t>是</t>
        </is>
      </c>
      <c r="Z100" s="377" t="n"/>
      <c r="AA100" s="377" t="n"/>
      <c r="AB100" s="377" t="n"/>
      <c r="AC100" s="377" t="n"/>
      <c r="AD100" s="377" t="n"/>
      <c r="AE100" s="377" t="n"/>
      <c r="AF100" s="377" t="n"/>
      <c r="AG100" s="377" t="n"/>
      <c r="AH100" s="377" t="n"/>
    </row>
    <row r="101" ht="26.25" customHeight="1" s="1053">
      <c r="A101" s="377" t="inlineStr">
        <is>
          <t>新宝利</t>
        </is>
      </c>
      <c r="B101" s="377" t="inlineStr">
        <is>
          <t>三期</t>
        </is>
      </c>
      <c r="C101" s="377" t="n">
        <v>5111226</v>
      </c>
      <c r="D101" s="377" t="inlineStr">
        <is>
          <t>15:50-18:00</t>
        </is>
      </c>
      <c r="E101" s="377" t="inlineStr">
        <is>
          <t>潜能班</t>
        </is>
      </c>
      <c r="F101" s="377" t="inlineStr">
        <is>
          <t>陈铱帆</t>
        </is>
      </c>
      <c r="G101" s="377" t="inlineStr">
        <is>
          <t>李润</t>
        </is>
      </c>
      <c r="H101" s="377" t="inlineStr">
        <is>
          <t>田雨涵01</t>
        </is>
      </c>
      <c r="I101" s="377" t="inlineStr">
        <is>
          <t>肖锐03</t>
        </is>
      </c>
      <c r="J101" s="377" t="inlineStr">
        <is>
          <t>王丽</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t="26.25" customHeight="1" s="1053">
      <c r="A102" s="377" t="inlineStr">
        <is>
          <t>新宝利</t>
        </is>
      </c>
      <c r="B102" s="377" t="inlineStr">
        <is>
          <t>三期</t>
        </is>
      </c>
      <c r="C102" s="377" t="n">
        <v>5111226</v>
      </c>
      <c r="D102" s="377" t="inlineStr">
        <is>
          <t>15:50-18:00</t>
        </is>
      </c>
      <c r="E102" s="377" t="inlineStr">
        <is>
          <t>潜能班</t>
        </is>
      </c>
      <c r="F102" s="377" t="inlineStr">
        <is>
          <t>马伊露斯</t>
        </is>
      </c>
      <c r="G102" s="377" t="inlineStr">
        <is>
          <t>李润</t>
        </is>
      </c>
      <c r="H102" s="377" t="inlineStr">
        <is>
          <t>田雨涵01</t>
        </is>
      </c>
      <c r="I102" s="377" t="inlineStr">
        <is>
          <t>肖锐03</t>
        </is>
      </c>
      <c r="J102" s="377" t="inlineStr">
        <is>
          <t>王达04</t>
        </is>
      </c>
      <c r="K102" s="377" t="n"/>
      <c r="L102" s="377" t="n"/>
      <c r="M102" s="377" t="n"/>
      <c r="N102" s="377" t="n"/>
      <c r="O102" s="377" t="n"/>
      <c r="P102" s="377" t="n"/>
      <c r="Q102" s="377" t="n"/>
      <c r="R102" s="377" t="n"/>
      <c r="S102" s="377" t="n"/>
      <c r="T102" s="377" t="inlineStr">
        <is>
          <t>是</t>
        </is>
      </c>
      <c r="U102" s="377" t="n"/>
      <c r="V102" s="377" t="n"/>
      <c r="W102" s="377" t="n"/>
      <c r="X102" s="377" t="n"/>
      <c r="Y102" s="377" t="n"/>
      <c r="Z102" s="377" t="n"/>
      <c r="AA102" s="377" t="n"/>
      <c r="AB102" s="377" t="n"/>
      <c r="AC102" s="377" t="n"/>
      <c r="AD102" s="377" t="n"/>
      <c r="AE102" s="377" t="n"/>
      <c r="AF102" s="377" t="n"/>
      <c r="AG102" s="377" t="n"/>
      <c r="AH102" s="377" t="n"/>
    </row>
    <row r="103" ht="26.25" customHeight="1" s="1053">
      <c r="A103" s="377" t="inlineStr">
        <is>
          <t>新宝利</t>
        </is>
      </c>
      <c r="B103" s="377" t="inlineStr">
        <is>
          <t>三期</t>
        </is>
      </c>
      <c r="C103" s="377" t="n">
        <v>5111226</v>
      </c>
      <c r="D103" s="377" t="inlineStr">
        <is>
          <t>15:50-18:00</t>
        </is>
      </c>
      <c r="E103" s="377" t="inlineStr">
        <is>
          <t>潜能班</t>
        </is>
      </c>
      <c r="F103" s="377" t="inlineStr">
        <is>
          <t>马雅辛</t>
        </is>
      </c>
      <c r="G103" s="377" t="inlineStr">
        <is>
          <t>李润</t>
        </is>
      </c>
      <c r="H103" s="377" t="inlineStr">
        <is>
          <t>田雨涵01</t>
        </is>
      </c>
      <c r="I103" s="377" t="inlineStr">
        <is>
          <t>肖锐03</t>
        </is>
      </c>
      <c r="J103" s="377" t="inlineStr">
        <is>
          <t>王达04</t>
        </is>
      </c>
      <c r="K103" s="377" t="n"/>
      <c r="L103" s="377" t="n"/>
      <c r="M103" s="377" t="n"/>
      <c r="N103" s="377" t="n"/>
      <c r="O103" s="377" t="n"/>
      <c r="P103" s="377" t="n"/>
      <c r="Q103" s="377" t="n"/>
      <c r="R103" s="377" t="n"/>
      <c r="S103" s="377" t="n"/>
      <c r="T103" s="377" t="inlineStr">
        <is>
          <t>是</t>
        </is>
      </c>
      <c r="U103" s="377" t="n"/>
      <c r="V103" s="377" t="n"/>
      <c r="W103" s="377" t="n"/>
      <c r="X103" s="377" t="n"/>
      <c r="Y103" s="377" t="n"/>
      <c r="Z103" s="377" t="n"/>
      <c r="AA103" s="377" t="n"/>
      <c r="AB103" s="377" t="n"/>
      <c r="AC103" s="377" t="n"/>
      <c r="AD103" s="377" t="n"/>
      <c r="AE103" s="377" t="n"/>
      <c r="AF103" s="377" t="n"/>
      <c r="AG103" s="377" t="n"/>
      <c r="AH103" s="377" t="n"/>
    </row>
    <row r="104" ht="26.25" customHeight="1" s="1053">
      <c r="A104" s="377" t="inlineStr">
        <is>
          <t>新宝利</t>
        </is>
      </c>
      <c r="B104" s="377" t="inlineStr">
        <is>
          <t>三期</t>
        </is>
      </c>
      <c r="C104" s="377" t="n">
        <v>5170873</v>
      </c>
      <c r="D104" s="377" t="inlineStr">
        <is>
          <t>13:20-15:30</t>
        </is>
      </c>
      <c r="E104" s="377" t="inlineStr">
        <is>
          <t>潜能班</t>
        </is>
      </c>
      <c r="F104" s="377" t="inlineStr">
        <is>
          <t>冯晴昕</t>
        </is>
      </c>
      <c r="G104" s="377" t="inlineStr">
        <is>
          <t>李润</t>
        </is>
      </c>
      <c r="H104" s="377" t="inlineStr">
        <is>
          <t>何咏04</t>
        </is>
      </c>
      <c r="I104" s="377" t="inlineStr">
        <is>
          <t>肖锐03</t>
        </is>
      </c>
      <c r="J104" s="377" t="inlineStr">
        <is>
          <t>张敏烨</t>
        </is>
      </c>
      <c r="K104" s="377" t="n"/>
      <c r="L104" s="377" t="n"/>
      <c r="M104" s="377" t="n"/>
      <c r="N104" s="377" t="n"/>
      <c r="O104" s="377" t="inlineStr">
        <is>
          <t>孩子也在卓越上课，想试试别的课</t>
        </is>
      </c>
      <c r="P104" s="377" t="n"/>
      <c r="Q104" s="377" t="n"/>
      <c r="R104" s="377" t="n"/>
      <c r="S104" s="377" t="n"/>
      <c r="T104" s="377" t="inlineStr">
        <is>
          <t>是</t>
        </is>
      </c>
      <c r="U104" s="377" t="inlineStr">
        <is>
          <t>是</t>
        </is>
      </c>
      <c r="V104" s="377" t="n"/>
      <c r="W104" s="377" t="n"/>
      <c r="X104" s="377" t="n"/>
      <c r="Y104" s="377" t="inlineStr">
        <is>
          <t>是</t>
        </is>
      </c>
      <c r="Z104" s="377" t="n"/>
      <c r="AA104" s="377" t="n"/>
      <c r="AB104" s="377" t="n"/>
      <c r="AC104" s="377" t="n"/>
      <c r="AD104" s="377" t="n"/>
      <c r="AE104" s="377" t="n"/>
      <c r="AF104" s="377" t="n"/>
      <c r="AG104" s="377" t="n"/>
      <c r="AH104" s="377" t="n"/>
    </row>
    <row r="105" ht="26.25" customHeight="1" s="1053">
      <c r="A105" s="377" t="inlineStr">
        <is>
          <t>新宝利</t>
        </is>
      </c>
      <c r="B105" s="377" t="inlineStr">
        <is>
          <t>三期</t>
        </is>
      </c>
      <c r="C105" s="377" t="n">
        <v>5170873</v>
      </c>
      <c r="D105" s="377" t="inlineStr">
        <is>
          <t>13:20-15:30</t>
        </is>
      </c>
      <c r="E105" s="377" t="inlineStr">
        <is>
          <t>潜能班</t>
        </is>
      </c>
      <c r="F105" s="377" t="inlineStr">
        <is>
          <t>刘永承</t>
        </is>
      </c>
      <c r="G105" s="377" t="inlineStr">
        <is>
          <t>李润</t>
        </is>
      </c>
      <c r="H105" s="377" t="inlineStr">
        <is>
          <t>何咏04</t>
        </is>
      </c>
      <c r="I105" s="377" t="inlineStr">
        <is>
          <t>肖锐03</t>
        </is>
      </c>
      <c r="J105" s="377" t="inlineStr">
        <is>
          <t>杨林33</t>
        </is>
      </c>
      <c r="K105" s="377" t="n"/>
      <c r="L105" s="377" t="n"/>
      <c r="M105" s="377" t="inlineStr">
        <is>
          <t>不太复习，爱玩手机，差不多就行</t>
        </is>
      </c>
      <c r="N105" s="377" t="inlineStr">
        <is>
          <t>阅读</t>
        </is>
      </c>
      <c r="O105" s="377" t="inlineStr">
        <is>
          <t>玩手机比较多，有老人比较宠孩子，所以有时候妈妈没办法管的太严，家里会接送，孩子很乐观开朗，中队长，每个假期都会海清教育上衔接课，从1年级上到5年级</t>
        </is>
      </c>
      <c r="P105" s="377" t="inlineStr">
        <is>
          <t>85-90</t>
        </is>
      </c>
      <c r="Q105" s="377" t="n"/>
      <c r="R105" s="377" t="n"/>
      <c r="S105" s="377" t="n"/>
      <c r="T105" s="377" t="inlineStr">
        <is>
          <t>是</t>
        </is>
      </c>
      <c r="U105" s="377" t="inlineStr">
        <is>
          <t>是</t>
        </is>
      </c>
      <c r="V105" s="377" t="n"/>
      <c r="W105" s="377" t="n"/>
      <c r="X105" s="377" t="n"/>
      <c r="Y105" s="377" t="inlineStr">
        <is>
          <t>是</t>
        </is>
      </c>
      <c r="Z105" s="377" t="n"/>
      <c r="AA105" s="377" t="n"/>
      <c r="AB105" s="377" t="n"/>
      <c r="AC105" s="377" t="n"/>
      <c r="AD105" s="377" t="n"/>
      <c r="AE105" s="377" t="n"/>
      <c r="AF105" s="377" t="n"/>
      <c r="AG105" s="377" t="n"/>
      <c r="AH105" s="377" t="n"/>
    </row>
    <row r="106" ht="26.25" customHeight="1" s="1053">
      <c r="A106" s="377" t="inlineStr">
        <is>
          <t>新宝利</t>
        </is>
      </c>
      <c r="B106" s="377" t="inlineStr">
        <is>
          <t>三期</t>
        </is>
      </c>
      <c r="C106" s="377" t="n">
        <v>5170873</v>
      </c>
      <c r="D106" s="377" t="inlineStr">
        <is>
          <t>13:20-15:30</t>
        </is>
      </c>
      <c r="E106" s="377" t="inlineStr">
        <is>
          <t>潜能班</t>
        </is>
      </c>
      <c r="F106" s="377" t="inlineStr">
        <is>
          <t>卢章沺</t>
        </is>
      </c>
      <c r="G106" s="377" t="inlineStr">
        <is>
          <t>李润</t>
        </is>
      </c>
      <c r="H106" s="377" t="inlineStr">
        <is>
          <t>何咏04</t>
        </is>
      </c>
      <c r="I106" s="377" t="inlineStr">
        <is>
          <t>肖锐03</t>
        </is>
      </c>
      <c r="J106" s="377" t="inlineStr">
        <is>
          <t>张敏烨</t>
        </is>
      </c>
      <c r="K106" s="377" t="inlineStr">
        <is>
          <t>知用小学</t>
        </is>
      </c>
      <c r="L106" s="377" t="inlineStr">
        <is>
          <t>积分入学</t>
        </is>
      </c>
      <c r="M106" s="377" t="inlineStr">
        <is>
          <t>比较自觉</t>
        </is>
      </c>
      <c r="N106" s="377" t="inlineStr">
        <is>
          <t>阅读比较弱</t>
        </is>
      </c>
      <c r="O106" s="377" t="inlineStr">
        <is>
          <t>目前在别的机构有课，要和孩子商量是否来上</t>
        </is>
      </c>
      <c r="P106" s="377" t="inlineStr">
        <is>
          <t>89-95。</t>
        </is>
      </c>
      <c r="Q106" s="377" t="n"/>
      <c r="R106" s="377" t="n"/>
      <c r="S106" s="377" t="n"/>
      <c r="T106" s="377" t="inlineStr">
        <is>
          <t>是</t>
        </is>
      </c>
      <c r="U106" s="377" t="inlineStr">
        <is>
          <t>是</t>
        </is>
      </c>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三期</t>
        </is>
      </c>
      <c r="C107" s="377" t="n">
        <v>5170873</v>
      </c>
      <c r="D107" s="377" t="inlineStr">
        <is>
          <t>13:20-15:30</t>
        </is>
      </c>
      <c r="E107" s="377" t="inlineStr">
        <is>
          <t>潜能班</t>
        </is>
      </c>
      <c r="F107" s="377" t="inlineStr">
        <is>
          <t>周梓琳</t>
        </is>
      </c>
      <c r="G107" s="377" t="inlineStr">
        <is>
          <t>李润</t>
        </is>
      </c>
      <c r="H107" s="377" t="inlineStr">
        <is>
          <t>何咏04</t>
        </is>
      </c>
      <c r="I107" s="377" t="inlineStr">
        <is>
          <t>肖锐03</t>
        </is>
      </c>
      <c r="J107" s="377" t="inlineStr">
        <is>
          <t>张敏烨</t>
        </is>
      </c>
      <c r="K107" s="377" t="n"/>
      <c r="L107" s="377" t="n"/>
      <c r="M107" s="377" t="inlineStr">
        <is>
          <t>自觉性一般</t>
        </is>
      </c>
      <c r="N107" s="377" t="inlineStr">
        <is>
          <t>阅读题弱</t>
        </is>
      </c>
      <c r="O107" s="377" t="inlineStr">
        <is>
          <t>不太看书、积累比较少，妈妈觉得孩子语文还行，单元测85-90，期末能到高分段</t>
        </is>
      </c>
      <c r="P107" s="377" t="inlineStr">
        <is>
          <t>A</t>
        </is>
      </c>
      <c r="Q107" s="377" t="n"/>
      <c r="R107" s="377" t="n"/>
      <c r="S107" s="377" t="n"/>
      <c r="T107" s="377" t="inlineStr">
        <is>
          <t>是</t>
        </is>
      </c>
      <c r="U107" s="377" t="inlineStr">
        <is>
          <t>是</t>
        </is>
      </c>
      <c r="V107" s="377" t="n"/>
      <c r="W107" s="377" t="n"/>
      <c r="X107" s="377" t="n"/>
      <c r="Y107" s="377" t="inlineStr">
        <is>
          <t>是</t>
        </is>
      </c>
      <c r="Z107" s="377" t="n"/>
      <c r="AA107" s="377" t="n"/>
      <c r="AB107" s="377" t="n"/>
      <c r="AC107" s="377" t="n"/>
      <c r="AD107" s="377" t="n"/>
      <c r="AE107" s="377" t="n"/>
      <c r="AF107" s="377" t="n"/>
      <c r="AG107" s="377" t="n"/>
      <c r="AH107" s="377" t="n"/>
    </row>
    <row r="108" ht="26.25" customHeight="1" s="1053">
      <c r="A108" s="377" t="inlineStr">
        <is>
          <t>新宝利</t>
        </is>
      </c>
      <c r="B108" s="377" t="inlineStr">
        <is>
          <t>三期</t>
        </is>
      </c>
      <c r="C108" s="377" t="n">
        <v>5170873</v>
      </c>
      <c r="D108" s="377" t="inlineStr">
        <is>
          <t>13:20-15:30</t>
        </is>
      </c>
      <c r="E108" s="377" t="inlineStr">
        <is>
          <t>潜能班</t>
        </is>
      </c>
      <c r="F108" s="377" t="inlineStr">
        <is>
          <t>家谊</t>
        </is>
      </c>
      <c r="G108" s="377" t="inlineStr">
        <is>
          <t>李润</t>
        </is>
      </c>
      <c r="H108" s="377" t="inlineStr">
        <is>
          <t>何咏04</t>
        </is>
      </c>
      <c r="I108" s="377" t="inlineStr">
        <is>
          <t>肖锐03</t>
        </is>
      </c>
      <c r="J108" s="377" t="inlineStr">
        <is>
          <t>张敏烨</t>
        </is>
      </c>
      <c r="K108" s="377" t="n"/>
      <c r="L108" s="377" t="n"/>
      <c r="M108" s="377" t="inlineStr">
        <is>
          <t>挺乖的</t>
        </is>
      </c>
      <c r="N108" s="377" t="inlineStr">
        <is>
          <t>不看书</t>
        </is>
      </c>
      <c r="O108" s="377" t="inlineStr">
        <is>
          <t>内敛、不爱看书、外面报过阅读课专门让她看书，妈妈觉得孩子语文还好，数学最弱，六个人报的名，上课调开</t>
        </is>
      </c>
      <c r="P108" s="377" t="inlineStr">
        <is>
          <t>90-95</t>
        </is>
      </c>
      <c r="Q108" s="377" t="n"/>
      <c r="R108" s="377" t="n"/>
      <c r="S108" s="377" t="n"/>
      <c r="T108" s="377" t="inlineStr">
        <is>
          <t>是</t>
        </is>
      </c>
      <c r="U108" s="377" t="inlineStr">
        <is>
          <t>是</t>
        </is>
      </c>
      <c r="V108" s="377" t="n"/>
      <c r="W108" s="377" t="n"/>
      <c r="X108" s="377" t="n"/>
      <c r="Y108" s="377" t="inlineStr">
        <is>
          <t>是</t>
        </is>
      </c>
      <c r="Z108" s="377" t="n"/>
      <c r="AA108" s="377" t="n"/>
      <c r="AB108" s="377" t="n"/>
      <c r="AC108" s="377" t="n"/>
      <c r="AD108" s="377" t="n"/>
      <c r="AE108" s="377" t="n"/>
      <c r="AF108" s="377" t="n"/>
      <c r="AG108" s="377" t="n"/>
      <c r="AH108" s="377" t="n"/>
    </row>
    <row r="109" ht="26.25" customHeight="1" s="1053">
      <c r="A109" s="377" t="inlineStr">
        <is>
          <t>新宝利</t>
        </is>
      </c>
      <c r="B109" s="377" t="inlineStr">
        <is>
          <t>三期</t>
        </is>
      </c>
      <c r="C109" s="377" t="n">
        <v>5170873</v>
      </c>
      <c r="D109" s="377" t="inlineStr">
        <is>
          <t>13:20-15:30</t>
        </is>
      </c>
      <c r="E109" s="377" t="inlineStr">
        <is>
          <t>潜能班</t>
        </is>
      </c>
      <c r="F109" s="377" t="inlineStr">
        <is>
          <t>张垲承</t>
        </is>
      </c>
      <c r="G109" s="377" t="inlineStr">
        <is>
          <t>李润</t>
        </is>
      </c>
      <c r="H109" s="377" t="inlineStr">
        <is>
          <t>何咏04</t>
        </is>
      </c>
      <c r="I109" s="377" t="inlineStr">
        <is>
          <t>肖锐03</t>
        </is>
      </c>
      <c r="J109" s="377" t="inlineStr">
        <is>
          <t>张敏烨</t>
        </is>
      </c>
      <c r="K109" s="377" t="n"/>
      <c r="L109" s="377" t="n"/>
      <c r="M109" s="377" t="n"/>
      <c r="N109" s="377" t="n"/>
      <c r="O109" s="377" t="n"/>
      <c r="P109" s="377" t="n"/>
      <c r="Q109" s="377" t="n"/>
      <c r="R109" s="377" t="n"/>
      <c r="S109" s="377" t="n"/>
      <c r="T109" s="377" t="inlineStr">
        <is>
          <t>是</t>
        </is>
      </c>
      <c r="U109" s="377" t="n"/>
      <c r="V109" s="377" t="n"/>
      <c r="W109" s="377" t="n"/>
      <c r="X109" s="377" t="n"/>
      <c r="Y109" s="377" t="n"/>
      <c r="Z109" s="377" t="n"/>
      <c r="AA109" s="377" t="n"/>
      <c r="AB109" s="377" t="n"/>
      <c r="AC109" s="377" t="n"/>
      <c r="AD109" s="377" t="n"/>
      <c r="AE109" s="377" t="n"/>
      <c r="AF109" s="377" t="n"/>
      <c r="AG109" s="377" t="n"/>
      <c r="AH109" s="377" t="n"/>
    </row>
    <row r="110" ht="26.25" customHeight="1" s="1053">
      <c r="A110" s="377" t="inlineStr">
        <is>
          <t>新宝利</t>
        </is>
      </c>
      <c r="B110" s="377" t="inlineStr">
        <is>
          <t>三期</t>
        </is>
      </c>
      <c r="C110" s="377" t="n">
        <v>5170873</v>
      </c>
      <c r="D110" s="377" t="inlineStr">
        <is>
          <t>13:20-15:30</t>
        </is>
      </c>
      <c r="E110" s="377" t="inlineStr">
        <is>
          <t>潜能班</t>
        </is>
      </c>
      <c r="F110" s="377" t="inlineStr">
        <is>
          <t>李佩颖</t>
        </is>
      </c>
      <c r="G110" s="377" t="inlineStr">
        <is>
          <t>李润</t>
        </is>
      </c>
      <c r="H110" s="377" t="inlineStr">
        <is>
          <t>陈中帅</t>
        </is>
      </c>
      <c r="I110" s="377" t="inlineStr">
        <is>
          <t>肖锐03</t>
        </is>
      </c>
      <c r="J110" s="377" t="inlineStr">
        <is>
          <t>杨林33</t>
        </is>
      </c>
      <c r="K110" s="377" t="n"/>
      <c r="L110" s="377" t="n"/>
      <c r="M110" s="377" t="inlineStr">
        <is>
          <t>一般</t>
        </is>
      </c>
      <c r="N110" s="377" t="inlineStr">
        <is>
          <t>阅读问答</t>
        </is>
      </c>
      <c r="O110" s="377" t="inlineStr">
        <is>
          <t>上网课会切屏、慢热得鼓励，不会的问题不会主动问</t>
        </is>
      </c>
      <c r="P110" s="377" t="inlineStr">
        <is>
          <t>85-95</t>
        </is>
      </c>
      <c r="Q110" s="377" t="n">
        <v>28</v>
      </c>
      <c r="R110" s="377" t="n"/>
      <c r="S110" s="377" t="n"/>
      <c r="T110" s="377" t="inlineStr">
        <is>
          <t>是</t>
        </is>
      </c>
      <c r="U110" s="377" t="inlineStr">
        <is>
          <t>是</t>
        </is>
      </c>
      <c r="V110" s="377" t="n"/>
      <c r="W110" s="377" t="n"/>
      <c r="X110" s="377" t="n"/>
      <c r="Y110" s="377" t="inlineStr">
        <is>
          <t>是</t>
        </is>
      </c>
      <c r="Z110" s="377" t="n"/>
      <c r="AA110" s="377" t="n"/>
      <c r="AB110" s="377" t="n"/>
      <c r="AC110" s="377" t="n"/>
      <c r="AD110" s="377" t="n"/>
      <c r="AE110" s="377" t="n"/>
      <c r="AF110" s="377" t="n"/>
      <c r="AG110" s="377" t="n"/>
      <c r="AH110" s="377" t="n"/>
    </row>
    <row r="111" ht="26.25" customHeight="1" s="1053">
      <c r="A111" s="377" t="inlineStr">
        <is>
          <t>新宝利</t>
        </is>
      </c>
      <c r="B111" s="377" t="inlineStr">
        <is>
          <t>三期</t>
        </is>
      </c>
      <c r="C111" s="377" t="n">
        <v>5170873</v>
      </c>
      <c r="D111" s="377" t="inlineStr">
        <is>
          <t>13:20-15:30</t>
        </is>
      </c>
      <c r="E111" s="377" t="inlineStr">
        <is>
          <t>潜能班</t>
        </is>
      </c>
      <c r="F111" s="377" t="inlineStr">
        <is>
          <t>李柏贤</t>
        </is>
      </c>
      <c r="G111" s="377" t="inlineStr">
        <is>
          <t>李润</t>
        </is>
      </c>
      <c r="H111" s="377" t="inlineStr">
        <is>
          <t>何咏04</t>
        </is>
      </c>
      <c r="I111" s="377" t="inlineStr">
        <is>
          <t>肖锐03</t>
        </is>
      </c>
      <c r="J111" s="377" t="inlineStr">
        <is>
          <t>杨林33</t>
        </is>
      </c>
      <c r="K111" s="377" t="n"/>
      <c r="L111" s="377" t="n"/>
      <c r="M111" s="377" t="inlineStr">
        <is>
          <t>需要监督，不自觉</t>
        </is>
      </c>
      <c r="N111" s="377" t="inlineStr">
        <is>
          <t>课上不太积极，不会举手发言。为了衔接初中，分班考</t>
        </is>
      </c>
      <c r="O111" s="377" t="inlineStr">
        <is>
          <t>上课在越秀。寒暑假住天河，报过新东方的数学和英语，性格比较慢热</t>
        </is>
      </c>
      <c r="P111" s="377" t="inlineStr">
        <is>
          <t>B-A</t>
        </is>
      </c>
      <c r="Q111" s="377" t="n"/>
      <c r="R111" s="377" t="n"/>
      <c r="S111" s="377" t="n"/>
      <c r="T111" s="377" t="inlineStr">
        <is>
          <t>是</t>
        </is>
      </c>
      <c r="U111" s="377" t="inlineStr">
        <is>
          <t>是</t>
        </is>
      </c>
      <c r="V111" s="377" t="n"/>
      <c r="W111" s="377" t="n"/>
      <c r="X111" s="377" t="n"/>
      <c r="Y111" s="377" t="n"/>
      <c r="Z111" s="377" t="n"/>
      <c r="AA111" s="377" t="n"/>
      <c r="AB111" s="377" t="n"/>
      <c r="AC111" s="377" t="n"/>
      <c r="AD111" s="377" t="n"/>
      <c r="AE111" s="377" t="n"/>
      <c r="AF111" s="377" t="n"/>
      <c r="AG111" s="377" t="n"/>
      <c r="AH111" s="377" t="n"/>
    </row>
    <row r="112" ht="26.25" customHeight="1" s="1053">
      <c r="A112" s="377" t="inlineStr">
        <is>
          <t>新宝利</t>
        </is>
      </c>
      <c r="B112" s="377" t="inlineStr">
        <is>
          <t>三期</t>
        </is>
      </c>
      <c r="C112" s="377" t="n">
        <v>5170873</v>
      </c>
      <c r="D112" s="377" t="inlineStr">
        <is>
          <t>13:20-15:30</t>
        </is>
      </c>
      <c r="E112" s="377" t="inlineStr">
        <is>
          <t>潜能班</t>
        </is>
      </c>
      <c r="F112" s="377" t="inlineStr">
        <is>
          <t>李梵煊</t>
        </is>
      </c>
      <c r="G112" s="377" t="inlineStr">
        <is>
          <t>李润</t>
        </is>
      </c>
      <c r="H112" s="377" t="inlineStr">
        <is>
          <t>何咏04</t>
        </is>
      </c>
      <c r="I112" s="377" t="inlineStr">
        <is>
          <t>肖锐03</t>
        </is>
      </c>
      <c r="J112" s="377" t="inlineStr">
        <is>
          <t>杨林33</t>
        </is>
      </c>
      <c r="K112" s="377" t="inlineStr">
        <is>
          <t>登峰小学</t>
        </is>
      </c>
      <c r="L112" s="839" t="inlineStr">
        <is>
          <t>摇号等结果
明德七星票</t>
        </is>
      </c>
      <c r="M112" s="377" t="inlineStr">
        <is>
          <t>自觉</t>
        </is>
      </c>
      <c r="N112" s="377" t="inlineStr">
        <is>
          <t>阅读答不到点上</t>
        </is>
      </c>
      <c r="O112" s="377" t="inlineStr">
        <is>
          <t>偏内向、要鼓励。妈妈问了暑假课程上什么</t>
        </is>
      </c>
      <c r="P112" s="377" t="n">
        <v>90</v>
      </c>
      <c r="Q112" s="377" t="n"/>
      <c r="R112" s="377" t="n"/>
      <c r="S112" s="377" t="n"/>
      <c r="T112" s="377" t="inlineStr">
        <is>
          <t>是</t>
        </is>
      </c>
      <c r="U112" s="377" t="inlineStr">
        <is>
          <t>是</t>
        </is>
      </c>
      <c r="V112" s="377" t="n"/>
      <c r="W112" s="377" t="n"/>
      <c r="X112" s="377" t="n"/>
      <c r="Y112" s="377" t="n"/>
      <c r="Z112" s="377" t="n"/>
      <c r="AA112" s="377" t="n"/>
      <c r="AB112" s="377" t="n"/>
      <c r="AC112" s="377" t="n"/>
      <c r="AD112" s="377" t="n"/>
      <c r="AE112" s="377" t="n"/>
      <c r="AF112" s="377" t="n"/>
      <c r="AG112" s="377" t="n"/>
      <c r="AH112" s="377" t="n"/>
    </row>
    <row r="113" ht="26.25" customHeight="1" s="1053">
      <c r="A113" s="377" t="inlineStr">
        <is>
          <t>新宝利</t>
        </is>
      </c>
      <c r="B113" s="377" t="inlineStr">
        <is>
          <t>三期</t>
        </is>
      </c>
      <c r="C113" s="377" t="n">
        <v>5170873</v>
      </c>
      <c r="D113" s="377" t="inlineStr">
        <is>
          <t>13:20-15:30</t>
        </is>
      </c>
      <c r="E113" s="377" t="inlineStr">
        <is>
          <t>潜能班</t>
        </is>
      </c>
      <c r="F113" s="377" t="inlineStr">
        <is>
          <t>梁懿楠</t>
        </is>
      </c>
      <c r="G113" s="377" t="inlineStr">
        <is>
          <t>李润</t>
        </is>
      </c>
      <c r="H113" s="377" t="inlineStr">
        <is>
          <t>陈中帅</t>
        </is>
      </c>
      <c r="I113" s="377" t="inlineStr">
        <is>
          <t>肖锐03</t>
        </is>
      </c>
      <c r="J113" s="377" t="inlineStr">
        <is>
          <t>林志豪01</t>
        </is>
      </c>
      <c r="K113" s="377" t="n"/>
      <c r="L113" s="377" t="n"/>
      <c r="M113" s="377" t="n"/>
      <c r="N113" s="377" t="inlineStr">
        <is>
          <t>衔接初一</t>
        </is>
      </c>
      <c r="O113" s="377" t="inlineStr">
        <is>
          <t>基础薄弱、不爱阅读，爱玩三角洲行动、但手机也会管</t>
        </is>
      </c>
      <c r="P113" s="377" t="inlineStr">
        <is>
          <t>80分</t>
        </is>
      </c>
      <c r="Q113" s="377" t="n"/>
      <c r="R113" s="377" t="n"/>
      <c r="S113" s="377" t="n"/>
      <c r="T113" s="377" t="inlineStr">
        <is>
          <t>是</t>
        </is>
      </c>
      <c r="U113" s="377" t="inlineStr">
        <is>
          <t>是</t>
        </is>
      </c>
      <c r="V113" s="377" t="n"/>
      <c r="W113" s="377" t="n"/>
      <c r="X113" s="377" t="n"/>
      <c r="Y113" s="377" t="n"/>
      <c r="Z113" s="377" t="n"/>
      <c r="AA113" s="377" t="n"/>
      <c r="AB113" s="377" t="n"/>
      <c r="AC113" s="377" t="n"/>
      <c r="AD113" s="377" t="n"/>
      <c r="AE113" s="377" t="n"/>
      <c r="AF113" s="377" t="n"/>
      <c r="AG113" s="377" t="n"/>
      <c r="AH113" s="377" t="n"/>
    </row>
    <row r="114" ht="26.25" customHeight="1" s="1053">
      <c r="A114" s="377" t="inlineStr">
        <is>
          <t>新宝利</t>
        </is>
      </c>
      <c r="B114" s="377" t="inlineStr">
        <is>
          <t>三期</t>
        </is>
      </c>
      <c r="C114" s="377" t="n">
        <v>5170873</v>
      </c>
      <c r="D114" s="377" t="inlineStr">
        <is>
          <t>13:20-15:30</t>
        </is>
      </c>
      <c r="E114" s="377" t="inlineStr">
        <is>
          <t>潜能班</t>
        </is>
      </c>
      <c r="F114" s="377" t="inlineStr">
        <is>
          <t>潘安生</t>
        </is>
      </c>
      <c r="G114" s="377" t="inlineStr">
        <is>
          <t>李润</t>
        </is>
      </c>
      <c r="H114" s="377" t="inlineStr">
        <is>
          <t>何咏04</t>
        </is>
      </c>
      <c r="I114" s="377" t="inlineStr">
        <is>
          <t>肖锐03</t>
        </is>
      </c>
      <c r="J114" s="377" t="inlineStr">
        <is>
          <t>王达04</t>
        </is>
      </c>
      <c r="K114" s="377" t="n"/>
      <c r="L114" s="377" t="n"/>
      <c r="M114" s="377" t="inlineStr">
        <is>
          <t>自觉的有时要督促</t>
        </is>
      </c>
      <c r="N114" s="377" t="n"/>
      <c r="O114" s="377" t="inlineStr">
        <is>
          <t>周末不在广州，学校也在复习阶段</t>
        </is>
      </c>
      <c r="P114" s="377" t="n">
        <v>95</v>
      </c>
      <c r="Q114" s="377" t="n">
        <v>33</v>
      </c>
      <c r="R114" s="377" t="n"/>
      <c r="S114" s="377" t="n"/>
      <c r="T114" s="377" t="inlineStr">
        <is>
          <t>是</t>
        </is>
      </c>
      <c r="U114" s="377" t="inlineStr">
        <is>
          <t>是</t>
        </is>
      </c>
      <c r="V114" s="377" t="n"/>
      <c r="W114" s="377" t="n"/>
      <c r="X114" s="377" t="n"/>
      <c r="Y114" s="377" t="n"/>
      <c r="Z114" s="377" t="n"/>
      <c r="AA114" s="377" t="n"/>
      <c r="AB114" s="377" t="n"/>
      <c r="AC114" s="377" t="n"/>
      <c r="AD114" s="377" t="n"/>
      <c r="AE114" s="377" t="n"/>
      <c r="AF114" s="377" t="n"/>
      <c r="AG114" s="377" t="n"/>
      <c r="AH114" s="377" t="n"/>
    </row>
    <row r="115" ht="26.25" customHeight="1" s="1053">
      <c r="A115" s="377" t="inlineStr">
        <is>
          <t>新宝利</t>
        </is>
      </c>
      <c r="B115" s="377" t="inlineStr">
        <is>
          <t>三期</t>
        </is>
      </c>
      <c r="C115" s="377" t="n">
        <v>5170873</v>
      </c>
      <c r="D115" s="377" t="inlineStr">
        <is>
          <t>13:20-15:30</t>
        </is>
      </c>
      <c r="E115" s="377" t="inlineStr">
        <is>
          <t>潜能班</t>
        </is>
      </c>
      <c r="F115" s="377" t="inlineStr">
        <is>
          <t>罗雅茵</t>
        </is>
      </c>
      <c r="G115" s="377" t="inlineStr">
        <is>
          <t>李润</t>
        </is>
      </c>
      <c r="H115" s="377" t="inlineStr">
        <is>
          <t>何咏04</t>
        </is>
      </c>
      <c r="I115" s="377" t="inlineStr">
        <is>
          <t>肖锐03</t>
        </is>
      </c>
      <c r="J115" s="377" t="inlineStr">
        <is>
          <t>林志豪01</t>
        </is>
      </c>
      <c r="K115" s="377" t="inlineStr">
        <is>
          <t>回民小学</t>
        </is>
      </c>
      <c r="L115" s="377" t="inlineStr">
        <is>
          <t>摇号等结果</t>
        </is>
      </c>
      <c r="M115" s="377" t="inlineStr">
        <is>
          <t>自觉</t>
        </is>
      </c>
      <c r="N115" s="377" t="inlineStr">
        <is>
          <t>衔接初中，作文</t>
        </is>
      </c>
      <c r="O115" s="377" t="inlineStr">
        <is>
          <t>家住白云，远。孩子很自觉，学习基本靠自己</t>
        </is>
      </c>
      <c r="P115" s="377" t="n">
        <v>95</v>
      </c>
      <c r="Q115" s="377" t="n"/>
      <c r="R115" s="377" t="n"/>
      <c r="S115" s="377" t="n"/>
      <c r="T115" s="377" t="inlineStr">
        <is>
          <t>是</t>
        </is>
      </c>
      <c r="U115" s="377" t="inlineStr">
        <is>
          <t>是</t>
        </is>
      </c>
      <c r="V115" s="377" t="n"/>
      <c r="W115" s="377" t="n"/>
      <c r="X115" s="377" t="n"/>
      <c r="Y115" s="377" t="n"/>
      <c r="Z115" s="377" t="n"/>
      <c r="AA115" s="377" t="n"/>
      <c r="AB115" s="377" t="n"/>
      <c r="AC115" s="377" t="n"/>
      <c r="AD115" s="377" t="n"/>
      <c r="AE115" s="377" t="n"/>
      <c r="AF115" s="377" t="n"/>
      <c r="AG115" s="377" t="n"/>
      <c r="AH115" s="377" t="n"/>
    </row>
    <row r="116" ht="26.25" customHeight="1" s="1053">
      <c r="A116" s="377" t="inlineStr">
        <is>
          <t>新宝利</t>
        </is>
      </c>
      <c r="B116" s="377" t="inlineStr">
        <is>
          <t>三期</t>
        </is>
      </c>
      <c r="C116" s="377" t="n">
        <v>5170873</v>
      </c>
      <c r="D116" s="377" t="inlineStr">
        <is>
          <t>13:20-15:30</t>
        </is>
      </c>
      <c r="E116" s="377" t="inlineStr">
        <is>
          <t>潜能班</t>
        </is>
      </c>
      <c r="F116" s="377" t="inlineStr">
        <is>
          <t>胡力扬</t>
        </is>
      </c>
      <c r="G116" s="377" t="inlineStr">
        <is>
          <t>李润</t>
        </is>
      </c>
      <c r="H116" s="377" t="inlineStr">
        <is>
          <t>何咏04</t>
        </is>
      </c>
      <c r="I116" s="377" t="inlineStr">
        <is>
          <t>肖锐03</t>
        </is>
      </c>
      <c r="J116" s="377" t="inlineStr">
        <is>
          <t>林志豪01</t>
        </is>
      </c>
      <c r="K116" s="377" t="n"/>
      <c r="L116" s="377" t="n"/>
      <c r="M116" s="377" t="n"/>
      <c r="N116" s="377" t="n"/>
      <c r="O116" s="377" t="n"/>
      <c r="P116" s="377" t="n"/>
      <c r="Q116" s="377" t="n">
        <v>0</v>
      </c>
      <c r="R116" s="377" t="n"/>
      <c r="S116" s="377" t="n"/>
      <c r="T116" s="377" t="n"/>
      <c r="U116" s="377" t="n"/>
      <c r="V116" s="377" t="n"/>
      <c r="W116" s="377" t="n"/>
      <c r="X116" s="377" t="n"/>
      <c r="Y116" s="377" t="n"/>
      <c r="Z116" s="377" t="n"/>
      <c r="AA116" s="377" t="n"/>
      <c r="AB116" s="377" t="n"/>
      <c r="AC116" s="377" t="n"/>
      <c r="AD116" s="377" t="n"/>
      <c r="AE116" s="377" t="n"/>
      <c r="AF116" s="377" t="n"/>
      <c r="AG116" s="377" t="n"/>
      <c r="AH116" s="377" t="n"/>
    </row>
    <row r="117" ht="26.25" customHeight="1" s="1053">
      <c r="A117" s="377" t="inlineStr">
        <is>
          <t>新宝利</t>
        </is>
      </c>
      <c r="B117" s="377" t="inlineStr">
        <is>
          <t>三期</t>
        </is>
      </c>
      <c r="C117" s="377" t="n">
        <v>5170873</v>
      </c>
      <c r="D117" s="377" t="inlineStr">
        <is>
          <t>13:20-15:30</t>
        </is>
      </c>
      <c r="E117" s="377" t="inlineStr">
        <is>
          <t>潜能班</t>
        </is>
      </c>
      <c r="F117" s="377" t="inlineStr">
        <is>
          <t>郑睿雯</t>
        </is>
      </c>
      <c r="G117" s="377" t="inlineStr">
        <is>
          <t>李润</t>
        </is>
      </c>
      <c r="H117" s="377" t="inlineStr">
        <is>
          <t>何咏04</t>
        </is>
      </c>
      <c r="I117" s="377" t="inlineStr">
        <is>
          <t>肖锐03</t>
        </is>
      </c>
      <c r="J117" s="377" t="inlineStr">
        <is>
          <t>龙倩敏</t>
        </is>
      </c>
      <c r="K117" s="377" t="n"/>
      <c r="L117" s="377" t="n"/>
      <c r="M117" s="377" t="n"/>
      <c r="N117" s="377" t="inlineStr">
        <is>
          <t>词汇量匮乏、概括重点不清没逻辑、题型意识、作文口语化</t>
        </is>
      </c>
      <c r="O117" s="377" t="inlineStr">
        <is>
          <t>家住体育西 独生女、孩子五年级后没那么活泼积极了、妈妈想改改她的性格、需要鼓励、喜欢火影、妈妈会买票让孩子去漫展</t>
        </is>
      </c>
      <c r="P117" s="377" t="n"/>
      <c r="Q117" s="377" t="n"/>
      <c r="R117" s="377" t="n"/>
      <c r="S117" s="377" t="n"/>
      <c r="T117" s="377" t="inlineStr">
        <is>
          <t>是</t>
        </is>
      </c>
      <c r="U117" s="377" t="inlineStr">
        <is>
          <t>是</t>
        </is>
      </c>
      <c r="V117" s="377" t="n"/>
      <c r="W117" s="377" t="n"/>
      <c r="X117" s="377" t="n"/>
      <c r="Y117" s="377" t="n"/>
      <c r="Z117" s="377" t="n"/>
      <c r="AA117" s="377" t="n"/>
      <c r="AB117" s="377" t="n"/>
      <c r="AC117" s="377" t="n"/>
      <c r="AD117" s="377" t="n"/>
      <c r="AE117" s="377" t="n"/>
      <c r="AF117" s="377" t="n"/>
      <c r="AG117" s="377" t="n"/>
      <c r="AH117" s="377" t="n"/>
    </row>
    <row r="118" ht="26.25" customHeight="1" s="1053">
      <c r="A118" s="377" t="inlineStr">
        <is>
          <t>新宝利</t>
        </is>
      </c>
      <c r="B118" s="377" t="inlineStr">
        <is>
          <t>三期</t>
        </is>
      </c>
      <c r="C118" s="377" t="n">
        <v>5170873</v>
      </c>
      <c r="D118" s="377" t="inlineStr">
        <is>
          <t>13:20-15:30</t>
        </is>
      </c>
      <c r="E118" s="377" t="inlineStr">
        <is>
          <t>潜能班</t>
        </is>
      </c>
      <c r="F118" s="377" t="inlineStr">
        <is>
          <t>钱芮汐</t>
        </is>
      </c>
      <c r="G118" s="377" t="inlineStr">
        <is>
          <t>李润</t>
        </is>
      </c>
      <c r="H118" s="377" t="inlineStr">
        <is>
          <t>何咏04</t>
        </is>
      </c>
      <c r="I118" s="377" t="inlineStr">
        <is>
          <t>肖锐03</t>
        </is>
      </c>
      <c r="J118" s="377" t="inlineStr">
        <is>
          <t>张敏烨</t>
        </is>
      </c>
      <c r="K118" s="377" t="n"/>
      <c r="L118" s="377" t="n"/>
      <c r="M118" s="377" t="inlineStr">
        <is>
          <t>自觉差一点</t>
        </is>
      </c>
      <c r="N118" s="377" t="inlineStr">
        <is>
          <t>作文、阅读理解点答不全</t>
        </is>
      </c>
      <c r="O118" s="377" t="inlineStr">
        <is>
          <t>语文在班里靠前、鼓励型就会很积极。家住中六，很近。抱团来的</t>
        </is>
      </c>
      <c r="P118" s="377" t="inlineStr">
        <is>
          <t>90-95</t>
        </is>
      </c>
      <c r="Q118" s="377" t="n"/>
      <c r="R118" s="377" t="n"/>
      <c r="S118" s="377" t="n"/>
      <c r="T118" s="377" t="inlineStr">
        <is>
          <t>是</t>
        </is>
      </c>
      <c r="U118" s="377" t="inlineStr">
        <is>
          <t>是</t>
        </is>
      </c>
      <c r="V118" s="377" t="n"/>
      <c r="W118" s="377" t="n"/>
      <c r="X118" s="377" t="n"/>
      <c r="Y118" s="377" t="n"/>
      <c r="Z118" s="377" t="n"/>
      <c r="AA118" s="377" t="n"/>
      <c r="AB118" s="377" t="n"/>
      <c r="AC118" s="377" t="n"/>
      <c r="AD118" s="377" t="n"/>
      <c r="AE118" s="377" t="n"/>
      <c r="AF118" s="377" t="n"/>
      <c r="AG118" s="377" t="n"/>
      <c r="AH118" s="377" t="n"/>
    </row>
    <row r="119" ht="26.25" customHeight="1" s="1053">
      <c r="A119" s="377" t="inlineStr">
        <is>
          <t>新宝利</t>
        </is>
      </c>
      <c r="B119" s="377" t="inlineStr">
        <is>
          <t>三期</t>
        </is>
      </c>
      <c r="C119" s="377" t="n">
        <v>5170873</v>
      </c>
      <c r="D119" s="377" t="inlineStr">
        <is>
          <t>13:20-15:30</t>
        </is>
      </c>
      <c r="E119" s="377" t="inlineStr">
        <is>
          <t>潜能班</t>
        </is>
      </c>
      <c r="F119" s="377" t="inlineStr">
        <is>
          <t>陈语希</t>
        </is>
      </c>
      <c r="G119" s="377" t="inlineStr">
        <is>
          <t>李润</t>
        </is>
      </c>
      <c r="H119" s="377" t="inlineStr">
        <is>
          <t>何咏04</t>
        </is>
      </c>
      <c r="I119" s="377" t="inlineStr">
        <is>
          <t>肖锐03</t>
        </is>
      </c>
      <c r="J119" s="377" t="inlineStr">
        <is>
          <t>杨林33</t>
        </is>
      </c>
      <c r="K119" s="377" t="n"/>
      <c r="L119" s="377" t="n"/>
      <c r="M119" s="377" t="inlineStr">
        <is>
          <t>稍微懒散，不太努力。每天要有固定的学习时间</t>
        </is>
      </c>
      <c r="N119" s="377" t="inlineStr">
        <is>
          <t>阅读要加强，对题型没有归纳总结。要学文言文</t>
        </is>
      </c>
      <c r="O119" s="377" t="inlineStr">
        <is>
          <t>上托管班，家附近上课，妈妈要求高，初中想省心一点，找一个能管三科的老师，带着孩子一直到中考</t>
        </is>
      </c>
      <c r="P119" s="377" t="inlineStr">
        <is>
          <t>95左右</t>
        </is>
      </c>
      <c r="Q119" s="377" t="n"/>
      <c r="R119" s="377" t="n"/>
      <c r="S119" s="377" t="n"/>
      <c r="T119" s="377" t="inlineStr">
        <is>
          <t>是</t>
        </is>
      </c>
      <c r="U119" s="377" t="inlineStr">
        <is>
          <t>是</t>
        </is>
      </c>
      <c r="V119" s="377" t="n"/>
      <c r="W119" s="377" t="n"/>
      <c r="X119" s="377" t="n"/>
      <c r="Y119" s="377" t="n"/>
      <c r="Z119" s="377" t="n"/>
      <c r="AA119" s="377" t="n"/>
      <c r="AB119" s="377" t="n"/>
      <c r="AC119" s="377" t="n"/>
      <c r="AD119" s="377" t="n"/>
      <c r="AE119" s="377" t="n"/>
      <c r="AF119" s="377" t="n"/>
      <c r="AG119" s="377" t="n"/>
      <c r="AH119" s="377" t="n"/>
    </row>
    <row r="120" ht="26.25" customHeight="1" s="1053">
      <c r="A120" s="377" t="inlineStr">
        <is>
          <t>新宝利</t>
        </is>
      </c>
      <c r="B120" s="377" t="inlineStr">
        <is>
          <t>三期</t>
        </is>
      </c>
      <c r="C120" s="377" t="n">
        <v>5170873</v>
      </c>
      <c r="D120" s="377" t="inlineStr">
        <is>
          <t>13:20-15:30</t>
        </is>
      </c>
      <c r="E120" s="377" t="inlineStr">
        <is>
          <t>潜能班</t>
        </is>
      </c>
      <c r="F120" s="377" t="inlineStr">
        <is>
          <t>韦凯晴</t>
        </is>
      </c>
      <c r="G120" s="377" t="inlineStr">
        <is>
          <t>李润</t>
        </is>
      </c>
      <c r="H120" s="377" t="inlineStr">
        <is>
          <t>何咏04</t>
        </is>
      </c>
      <c r="I120" s="377" t="inlineStr">
        <is>
          <t>肖锐03</t>
        </is>
      </c>
      <c r="J120" s="377" t="inlineStr">
        <is>
          <t>杨林33</t>
        </is>
      </c>
      <c r="K120" s="377" t="n"/>
      <c r="L120" s="377" t="n"/>
      <c r="M120" s="377" t="inlineStr">
        <is>
          <t>靠托管班</t>
        </is>
      </c>
      <c r="N120" s="377" t="inlineStr">
        <is>
          <t>衔接初中</t>
        </is>
      </c>
      <c r="O120" s="377" t="inlineStr">
        <is>
          <t>课外阅读。妈妈不太管学习，靠孩子自己，不爱看书，背书挺快，运用迁移弱文言文弱，爱打羽毛，外向，妈妈期望前十五名，家住大沙东，上课会接送，独女，妈妈和刘永承妈妈是朋友</t>
        </is>
      </c>
      <c r="P120" s="377" t="inlineStr">
        <is>
          <t>90，不会高过95</t>
        </is>
      </c>
      <c r="Q120" s="377" t="n"/>
      <c r="R120" s="377" t="n"/>
      <c r="S120" s="377" t="n"/>
      <c r="T120" s="377" t="inlineStr">
        <is>
          <t>是</t>
        </is>
      </c>
      <c r="U120" s="377" t="inlineStr">
        <is>
          <t>是</t>
        </is>
      </c>
      <c r="V120" s="377" t="n"/>
      <c r="W120" s="377" t="n"/>
      <c r="X120" s="377" t="n"/>
      <c r="Y120" s="377" t="inlineStr">
        <is>
          <t>是</t>
        </is>
      </c>
      <c r="Z120" s="377" t="n"/>
      <c r="AA120" s="377" t="n"/>
      <c r="AB120" s="377" t="n"/>
      <c r="AC120" s="377" t="n"/>
      <c r="AD120" s="377" t="n"/>
      <c r="AE120" s="377" t="n"/>
      <c r="AF120" s="377" t="n"/>
      <c r="AG120" s="377" t="n"/>
      <c r="AH120" s="377" t="n"/>
    </row>
    <row r="121" ht="26.25" customHeight="1" s="1053">
      <c r="A121" s="377" t="inlineStr">
        <is>
          <t>新宝利</t>
        </is>
      </c>
      <c r="B121" s="377" t="inlineStr">
        <is>
          <t>三期</t>
        </is>
      </c>
      <c r="C121" s="377" t="n">
        <v>5170873</v>
      </c>
      <c r="D121" s="377" t="inlineStr">
        <is>
          <t>13:20-15:30</t>
        </is>
      </c>
      <c r="E121" s="377" t="inlineStr">
        <is>
          <t>潜能班</t>
        </is>
      </c>
      <c r="F121" s="377" t="inlineStr">
        <is>
          <t>顾玉瑶</t>
        </is>
      </c>
      <c r="G121" s="377" t="inlineStr">
        <is>
          <t>李润</t>
        </is>
      </c>
      <c r="H121" s="377" t="inlineStr">
        <is>
          <t>何咏04</t>
        </is>
      </c>
      <c r="I121" s="377" t="inlineStr">
        <is>
          <t>肖锐03</t>
        </is>
      </c>
      <c r="J121" s="377" t="inlineStr">
        <is>
          <t>张敏烨</t>
        </is>
      </c>
      <c r="K121" s="377" t="inlineStr">
        <is>
          <t>回民小学</t>
        </is>
      </c>
      <c r="L121" s="840" t="inlineStr">
        <is>
          <t>摇号等结果
名德八星票</t>
        </is>
      </c>
      <c r="M121" s="377" t="inlineStr">
        <is>
          <t>怕老师，校内会做，额外的拖拉</t>
        </is>
      </c>
      <c r="N121" s="377" t="n"/>
      <c r="O121" s="377" t="inlineStr">
        <is>
          <t>家在白云，活泼女孩，目前数学小班课、英语家教，孩子爱看意林，糖豆豆</t>
        </is>
      </c>
      <c r="P121" s="377" t="inlineStr">
        <is>
          <t>90-95</t>
        </is>
      </c>
      <c r="Q121" s="377" t="n">
        <v>36</v>
      </c>
      <c r="R121" s="377" t="n"/>
      <c r="S121" s="377" t="n"/>
      <c r="T121" s="377" t="inlineStr">
        <is>
          <t>是</t>
        </is>
      </c>
      <c r="U121" s="377" t="inlineStr">
        <is>
          <t>是</t>
        </is>
      </c>
      <c r="V121" s="377" t="n"/>
      <c r="W121" s="377" t="n"/>
      <c r="X121" s="377" t="n"/>
      <c r="Y121" s="377" t="n"/>
      <c r="Z121" s="377" t="n"/>
      <c r="AA121" s="377" t="n"/>
      <c r="AB121" s="377" t="n"/>
      <c r="AC121" s="377" t="n"/>
      <c r="AD121" s="377" t="n"/>
      <c r="AE121" s="377" t="n"/>
      <c r="AF121" s="377" t="n"/>
      <c r="AG121" s="377" t="n"/>
      <c r="AH121" s="377" t="n"/>
    </row>
    <row r="122" ht="26.25" customHeight="1" s="1053">
      <c r="A122" s="377" t="inlineStr">
        <is>
          <t>新宝利</t>
        </is>
      </c>
      <c r="B122" s="377" t="inlineStr">
        <is>
          <t>三期</t>
        </is>
      </c>
      <c r="C122" s="377" t="n">
        <v>5170873</v>
      </c>
      <c r="D122" s="377" t="inlineStr">
        <is>
          <t>13:20-15:30</t>
        </is>
      </c>
      <c r="E122" s="377" t="inlineStr">
        <is>
          <t>潜能班</t>
        </is>
      </c>
      <c r="F122" s="377" t="inlineStr">
        <is>
          <t>马宇成</t>
        </is>
      </c>
      <c r="G122" s="377" t="inlineStr">
        <is>
          <t>李润</t>
        </is>
      </c>
      <c r="H122" s="377" t="inlineStr">
        <is>
          <t>何咏04</t>
        </is>
      </c>
      <c r="I122" s="377" t="inlineStr">
        <is>
          <t>肖锐03</t>
        </is>
      </c>
      <c r="J122" s="377" t="inlineStr">
        <is>
          <t>杨林33</t>
        </is>
      </c>
      <c r="K122" s="377" t="n"/>
      <c r="L122" s="377" t="n"/>
      <c r="M122" s="377" t="n"/>
      <c r="N122" s="377" t="inlineStr">
        <is>
          <t>阅读理解题错的多，就是联系上下文，写出自己的理解，是不会的</t>
        </is>
      </c>
      <c r="O122" s="377" t="inlineStr">
        <is>
          <t>关浩言转介绍。作业不用督促，但是学校上课老师说有时会走神，还有他不懂跟人怎么相处，比较容易发脾气，但是又很快没事，不知道不了解的，看他这样会好烦。上学期开始成绩下滑</t>
        </is>
      </c>
      <c r="P122" s="377" t="inlineStr">
        <is>
          <t>80多分</t>
        </is>
      </c>
      <c r="Q122" s="377" t="n">
        <v>30</v>
      </c>
      <c r="R122" s="377" t="n"/>
      <c r="S122" s="377" t="n"/>
      <c r="T122" s="377" t="inlineStr">
        <is>
          <t>是</t>
        </is>
      </c>
      <c r="U122" s="377" t="inlineStr">
        <is>
          <t>是</t>
        </is>
      </c>
      <c r="V122" s="377" t="n"/>
      <c r="W122" s="377" t="n"/>
      <c r="X122" s="377" t="n"/>
      <c r="Y122" s="377" t="n"/>
      <c r="Z122" s="377" t="n"/>
      <c r="AA122" s="377" t="n"/>
      <c r="AB122" s="377" t="n"/>
      <c r="AC122" s="377" t="n"/>
      <c r="AD122" s="377" t="n"/>
      <c r="AE122" s="377" t="n"/>
      <c r="AF122" s="377" t="n"/>
      <c r="AG122" s="377" t="n"/>
      <c r="AH122" s="377" t="n"/>
    </row>
    <row r="123" ht="26.25" customHeight="1" s="1053">
      <c r="A123" s="377" t="inlineStr">
        <is>
          <t>新宝利</t>
        </is>
      </c>
      <c r="B123" s="377" t="inlineStr">
        <is>
          <t>三期</t>
        </is>
      </c>
      <c r="C123" s="377" t="n">
        <v>5170873</v>
      </c>
      <c r="D123" s="377" t="inlineStr">
        <is>
          <t>13:20-15:30</t>
        </is>
      </c>
      <c r="E123" s="377" t="inlineStr">
        <is>
          <t>潜能班</t>
        </is>
      </c>
      <c r="F123" s="377" t="inlineStr">
        <is>
          <t>马悦雯</t>
        </is>
      </c>
      <c r="G123" s="377" t="inlineStr">
        <is>
          <t>李润</t>
        </is>
      </c>
      <c r="H123" s="377" t="inlineStr">
        <is>
          <t>何咏04</t>
        </is>
      </c>
      <c r="I123" s="377" t="inlineStr">
        <is>
          <t>肖锐03</t>
        </is>
      </c>
      <c r="J123" s="377" t="inlineStr">
        <is>
          <t>张敏烨</t>
        </is>
      </c>
      <c r="K123" s="377" t="n"/>
      <c r="L123" s="377" t="n"/>
      <c r="M123" s="377" t="n"/>
      <c r="N123" s="377" t="n"/>
      <c r="O123" s="377" t="inlineStr">
        <is>
          <t>婆婆管，会回答问题</t>
        </is>
      </c>
      <c r="P123" s="377" t="n"/>
      <c r="Q123" s="377" t="n"/>
      <c r="R123" s="377" t="n"/>
      <c r="S123" s="377" t="n"/>
      <c r="T123" s="377" t="inlineStr">
        <is>
          <t>是</t>
        </is>
      </c>
      <c r="U123" s="377" t="inlineStr">
        <is>
          <t>是</t>
        </is>
      </c>
      <c r="V123" s="377" t="n"/>
      <c r="W123" s="377" t="n"/>
      <c r="X123" s="377" t="n"/>
      <c r="Y123" s="377" t="inlineStr">
        <is>
          <t>是</t>
        </is>
      </c>
      <c r="Z123" s="377" t="n"/>
      <c r="AA123" s="377" t="n"/>
      <c r="AB123" s="377" t="n"/>
      <c r="AC123" s="377" t="n"/>
      <c r="AD123" s="377" t="n"/>
      <c r="AE123" s="377" t="n"/>
      <c r="AF123" s="377" t="n"/>
      <c r="AG123" s="377" t="n"/>
      <c r="AH123" s="377" t="n"/>
    </row>
    <row r="124" ht="26.25" customHeight="1" s="1053">
      <c r="A124" s="377" t="inlineStr">
        <is>
          <t>新宝利</t>
        </is>
      </c>
      <c r="B124" s="377" t="inlineStr">
        <is>
          <t>三期</t>
        </is>
      </c>
      <c r="C124" s="377" t="n">
        <v>5170873</v>
      </c>
      <c r="D124" s="377" t="inlineStr">
        <is>
          <t>13:20-15:30</t>
        </is>
      </c>
      <c r="E124" s="377" t="inlineStr">
        <is>
          <t>潜能班</t>
        </is>
      </c>
      <c r="F124" s="377" t="inlineStr">
        <is>
          <t>黄俊熙</t>
        </is>
      </c>
      <c r="G124" s="377" t="inlineStr">
        <is>
          <t>李润</t>
        </is>
      </c>
      <c r="H124" s="377" t="inlineStr">
        <is>
          <t>何咏04</t>
        </is>
      </c>
      <c r="I124" s="377" t="inlineStr">
        <is>
          <t>肖锐03</t>
        </is>
      </c>
      <c r="J124" s="377" t="inlineStr">
        <is>
          <t>张敏烨</t>
        </is>
      </c>
      <c r="K124" s="377" t="inlineStr">
        <is>
          <t>回民小学</t>
        </is>
      </c>
      <c r="L124" s="377" t="inlineStr">
        <is>
          <t>摇号等结果</t>
        </is>
      </c>
      <c r="M124" s="377" t="inlineStr">
        <is>
          <t>主动做作业类型</t>
        </is>
      </c>
      <c r="N124" s="377" t="inlineStr">
        <is>
          <t>阅读理解能力弱</t>
        </is>
      </c>
      <c r="O124" s="377" t="inlineStr">
        <is>
          <t>妈妈严管手机和电子设备，班主任一直带，作业比较多，没有报过课外班</t>
        </is>
      </c>
      <c r="P124" s="377" t="inlineStr">
        <is>
          <t>88-93</t>
        </is>
      </c>
      <c r="Q124" s="377" t="n">
        <v>33</v>
      </c>
      <c r="R124" s="377" t="n"/>
      <c r="S124" s="377" t="n"/>
      <c r="T124" s="377" t="inlineStr">
        <is>
          <t>是</t>
        </is>
      </c>
      <c r="U124" s="377" t="inlineStr">
        <is>
          <t>是</t>
        </is>
      </c>
      <c r="V124" s="377" t="n"/>
      <c r="W124" s="377" t="n"/>
      <c r="X124" s="377" t="n"/>
      <c r="Y124" s="377" t="n"/>
      <c r="Z124" s="377" t="n"/>
      <c r="AA124" s="377" t="n"/>
      <c r="AB124" s="377" t="n"/>
      <c r="AC124" s="377" t="n"/>
      <c r="AD124" s="377" t="n"/>
      <c r="AE124" s="377" t="n"/>
      <c r="AF124" s="377" t="n"/>
      <c r="AG124" s="377" t="n"/>
      <c r="AH124" s="377" t="n"/>
    </row>
    <row r="125" ht="26.25" customHeight="1" s="1053">
      <c r="A125" s="377" t="inlineStr">
        <is>
          <t>新宝利</t>
        </is>
      </c>
      <c r="B125" s="377" t="inlineStr">
        <is>
          <t>三期</t>
        </is>
      </c>
      <c r="C125" s="377" t="n">
        <v>5170873</v>
      </c>
      <c r="D125" s="377" t="inlineStr">
        <is>
          <t>13:20-15:30</t>
        </is>
      </c>
      <c r="E125" s="377" t="inlineStr">
        <is>
          <t>潜能班</t>
        </is>
      </c>
      <c r="F125" s="377" t="inlineStr">
        <is>
          <t>黄天朗</t>
        </is>
      </c>
      <c r="G125" s="377" t="inlineStr">
        <is>
          <t>李润</t>
        </is>
      </c>
      <c r="H125" s="377" t="inlineStr">
        <is>
          <t>何咏04</t>
        </is>
      </c>
      <c r="I125" s="377" t="inlineStr">
        <is>
          <t>肖锐03</t>
        </is>
      </c>
      <c r="J125" s="377" t="inlineStr">
        <is>
          <t>张敏烨</t>
        </is>
      </c>
      <c r="K125" s="377" t="n"/>
      <c r="L125" s="377" t="n"/>
      <c r="M125" s="377" t="inlineStr">
        <is>
          <t>托管班，没自驱力</t>
        </is>
      </c>
      <c r="N125" s="377" t="inlineStr">
        <is>
          <t>学习意愿</t>
        </is>
      </c>
      <c r="O125" s="377" t="inlineStr">
        <is>
          <t>六下成绩变化很大，班里没学习氛围，话比较多，心不在课堂上，爱看漫画、打打杀杀的小说，叛逆、情绪化，不在状态，需要严格对待。周末会在托管班衔接课，跟了很久，所以没法来复习课</t>
        </is>
      </c>
      <c r="P125" s="377" t="inlineStr">
        <is>
          <t>B，85</t>
        </is>
      </c>
      <c r="Q125" s="377" t="n"/>
      <c r="R125" s="377" t="n"/>
      <c r="S125" s="377" t="n"/>
      <c r="T125" s="377" t="inlineStr">
        <is>
          <t>是</t>
        </is>
      </c>
      <c r="U125" s="377" t="inlineStr">
        <is>
          <t>是</t>
        </is>
      </c>
      <c r="V125" s="377" t="n"/>
      <c r="W125" s="377" t="n"/>
      <c r="X125" s="377" t="n"/>
      <c r="Y125" s="377" t="n"/>
      <c r="Z125" s="377" t="n"/>
      <c r="AA125" s="377" t="n"/>
      <c r="AB125" s="377" t="n"/>
      <c r="AC125" s="377" t="n"/>
      <c r="AD125" s="377" t="n"/>
      <c r="AE125" s="377" t="n"/>
      <c r="AF125" s="377" t="n"/>
      <c r="AG125" s="377" t="n"/>
      <c r="AH125" s="377" t="n"/>
    </row>
    <row r="126" ht="26.25" customHeight="1" s="1053">
      <c r="A126" s="377" t="inlineStr">
        <is>
          <t>新宝利</t>
        </is>
      </c>
      <c r="B126" s="377" t="inlineStr">
        <is>
          <t>三期</t>
        </is>
      </c>
      <c r="C126" s="377" t="n">
        <v>5170873</v>
      </c>
      <c r="D126" s="377" t="inlineStr">
        <is>
          <t>13:20-15:30</t>
        </is>
      </c>
      <c r="E126" s="377" t="inlineStr">
        <is>
          <t>潜能班</t>
        </is>
      </c>
      <c r="F126" s="377" t="inlineStr">
        <is>
          <t>黄彦超</t>
        </is>
      </c>
      <c r="G126" s="377" t="inlineStr">
        <is>
          <t>李润</t>
        </is>
      </c>
      <c r="H126" s="377" t="inlineStr">
        <is>
          <t>何咏04</t>
        </is>
      </c>
      <c r="I126" s="377" t="inlineStr">
        <is>
          <t>肖锐03</t>
        </is>
      </c>
      <c r="J126" s="377" t="inlineStr">
        <is>
          <t>张敏烨</t>
        </is>
      </c>
      <c r="K126" s="377" t="n"/>
      <c r="L126" s="377" t="n"/>
      <c r="M126" s="377" t="n"/>
      <c r="N126" s="377" t="n"/>
      <c r="O126" s="377" t="n"/>
      <c r="P126" s="377" t="n"/>
      <c r="Q126" s="377" t="n"/>
      <c r="R126" s="377" t="n"/>
      <c r="S126" s="377" t="n"/>
      <c r="T126" s="377" t="inlineStr">
        <is>
          <t>是</t>
        </is>
      </c>
      <c r="U126" s="377" t="n"/>
      <c r="V126" s="377" t="n"/>
      <c r="W126" s="377" t="n"/>
      <c r="X126" s="377" t="n"/>
      <c r="Y126" s="377" t="inlineStr">
        <is>
          <t>看回放</t>
        </is>
      </c>
      <c r="Z126" s="377" t="n"/>
      <c r="AA126" s="377" t="n"/>
      <c r="AB126" s="377" t="n"/>
      <c r="AC126" s="377" t="n"/>
      <c r="AD126" s="377" t="n"/>
      <c r="AE126" s="377" t="n"/>
      <c r="AF126" s="377" t="n"/>
      <c r="AG126" s="377" t="n"/>
      <c r="AH126" s="377" t="n"/>
    </row>
    <row r="127" ht="26.25" customHeight="1" s="1053">
      <c r="A127" s="377" t="inlineStr">
        <is>
          <t>新宝利</t>
        </is>
      </c>
      <c r="B127" s="377" t="inlineStr">
        <is>
          <t>三期</t>
        </is>
      </c>
      <c r="C127" s="377" t="n">
        <v>5170873</v>
      </c>
      <c r="D127" s="377" t="inlineStr">
        <is>
          <t>13:20-15:30</t>
        </is>
      </c>
      <c r="E127" s="377" t="inlineStr">
        <is>
          <t>潜能班</t>
        </is>
      </c>
      <c r="F127" s="377" t="inlineStr">
        <is>
          <t>黄钰淇</t>
        </is>
      </c>
      <c r="G127" s="377" t="inlineStr">
        <is>
          <t>李润</t>
        </is>
      </c>
      <c r="H127" s="377" t="inlineStr">
        <is>
          <t>何咏04</t>
        </is>
      </c>
      <c r="I127" s="377" t="inlineStr">
        <is>
          <t>肖锐03</t>
        </is>
      </c>
      <c r="J127" s="377" t="inlineStr">
        <is>
          <t>张敏烨</t>
        </is>
      </c>
      <c r="K127" s="377" t="n"/>
      <c r="L127" s="377" t="n"/>
      <c r="M127" s="377" t="inlineStr">
        <is>
          <t>学校的就做</t>
        </is>
      </c>
      <c r="N127" s="377" t="inlineStr">
        <is>
          <t>阅读扣的多、词语理解、答题口语化、词汇量不够</t>
        </is>
      </c>
      <c r="O127" s="377" t="inlineStr">
        <is>
          <t>有情感、人物情节的书会感兴趣，慢热，语文没补过、数学这学期开始补、英语之前学过，妈妈希望多鼓励</t>
        </is>
      </c>
      <c r="P127" s="377" t="inlineStr">
        <is>
          <t>90分</t>
        </is>
      </c>
      <c r="Q127" s="377" t="n"/>
      <c r="R127" s="377" t="n"/>
      <c r="S127" s="377" t="n"/>
      <c r="T127" s="377" t="inlineStr">
        <is>
          <t>是</t>
        </is>
      </c>
      <c r="U127" s="377" t="inlineStr">
        <is>
          <t>是</t>
        </is>
      </c>
      <c r="V127" s="377" t="n"/>
      <c r="W127" s="377" t="n"/>
      <c r="X127" s="377" t="n"/>
      <c r="Y127" s="377" t="n"/>
      <c r="Z127" s="377" t="n"/>
      <c r="AA127" s="377" t="n"/>
      <c r="AB127" s="377" t="n"/>
      <c r="AC127" s="377" t="n"/>
      <c r="AD127" s="377" t="n"/>
      <c r="AE127" s="377" t="n"/>
      <c r="AF127" s="377" t="n"/>
      <c r="AG127" s="377" t="n"/>
      <c r="AH127" s="377" t="n"/>
    </row>
    <row r="128" ht="26.25" customHeight="1" s="1053">
      <c r="A128" s="377" t="inlineStr">
        <is>
          <t>新宝利</t>
        </is>
      </c>
      <c r="B128" s="377" t="inlineStr">
        <is>
          <t>三期</t>
        </is>
      </c>
      <c r="C128" s="377" t="n">
        <v>5170873</v>
      </c>
      <c r="D128" s="377" t="inlineStr">
        <is>
          <t>13:20-15:30</t>
        </is>
      </c>
      <c r="E128" s="377" t="inlineStr">
        <is>
          <t>潜能班</t>
        </is>
      </c>
      <c r="F128" s="377" t="inlineStr">
        <is>
          <t>黎睿蓓</t>
        </is>
      </c>
      <c r="G128" s="377" t="inlineStr">
        <is>
          <t>李润</t>
        </is>
      </c>
      <c r="H128" s="377" t="inlineStr">
        <is>
          <t>何咏04</t>
        </is>
      </c>
      <c r="I128" s="377" t="inlineStr">
        <is>
          <t>肖锐03</t>
        </is>
      </c>
      <c r="J128" s="377" t="inlineStr">
        <is>
          <t>张敏烨</t>
        </is>
      </c>
      <c r="K128" s="377" t="n"/>
      <c r="L128" s="377" t="n"/>
      <c r="M128" s="377" t="inlineStr">
        <is>
          <t>需要监督</t>
        </is>
      </c>
      <c r="N128" s="377" t="inlineStr">
        <is>
          <t>阅读理解扣分多一点</t>
        </is>
      </c>
      <c r="O128" s="377" t="n"/>
      <c r="P128" s="377" t="inlineStr">
        <is>
          <t>B</t>
        </is>
      </c>
      <c r="Q128" s="377" t="n"/>
      <c r="R128" s="377" t="n"/>
      <c r="S128" s="377" t="n"/>
      <c r="T128" s="377" t="inlineStr">
        <is>
          <t>是</t>
        </is>
      </c>
      <c r="U128" s="377" t="inlineStr">
        <is>
          <t>是</t>
        </is>
      </c>
      <c r="V128" s="377" t="n"/>
      <c r="W128" s="377" t="n"/>
      <c r="X128" s="377" t="n"/>
      <c r="Y128" s="377" t="n"/>
      <c r="Z128" s="377" t="n"/>
      <c r="AA128" s="377" t="n"/>
      <c r="AB128" s="377" t="n"/>
      <c r="AC128" s="377" t="n"/>
      <c r="AD128" s="377" t="n"/>
      <c r="AE128" s="377" t="n"/>
      <c r="AF128" s="377" t="n"/>
      <c r="AG128" s="377" t="n"/>
      <c r="AH128" s="377" t="n"/>
    </row>
    <row r="129" ht="26.25" customHeight="1" s="1053">
      <c r="A129" s="377" t="inlineStr">
        <is>
          <t>新宝利</t>
        </is>
      </c>
      <c r="B129" s="377" t="inlineStr">
        <is>
          <t>三期</t>
        </is>
      </c>
      <c r="C129" s="377" t="n">
        <v>5170873</v>
      </c>
      <c r="D129" s="377" t="inlineStr">
        <is>
          <t>13:20-15:31</t>
        </is>
      </c>
      <c r="E129" s="377" t="inlineStr">
        <is>
          <t>潜能班</t>
        </is>
      </c>
      <c r="F129" s="377" t="inlineStr">
        <is>
          <t>薛家茹</t>
        </is>
      </c>
      <c r="G129" s="377" t="inlineStr">
        <is>
          <t>李润</t>
        </is>
      </c>
      <c r="H129" s="377" t="n"/>
      <c r="I129" s="377" t="n"/>
      <c r="J129" s="377" t="n"/>
      <c r="K129" s="377" t="n"/>
      <c r="L129" s="377" t="n"/>
      <c r="M129" s="377" t="n"/>
      <c r="N129" s="377" t="n"/>
      <c r="O129" s="377" t="inlineStr">
        <is>
          <t>面聊过，孩子程度不错、有自己的思考，家里还有一个姐姐。阅读没框架，之前没补过语文。喜欢看治愈的书</t>
        </is>
      </c>
      <c r="P129" s="377" t="n"/>
      <c r="Q129" s="377" t="n"/>
      <c r="R129" s="377" t="n"/>
      <c r="S129" s="377" t="n"/>
      <c r="T129" s="377" t="n"/>
      <c r="U129" s="377" t="inlineStr">
        <is>
          <t>是</t>
        </is>
      </c>
      <c r="V129" s="377" t="n"/>
      <c r="W129" s="377" t="n"/>
      <c r="X129" s="377" t="n"/>
      <c r="Y129" s="377" t="n"/>
      <c r="Z129" s="377" t="n"/>
      <c r="AA129" s="377" t="n"/>
      <c r="AB129" s="377" t="n"/>
      <c r="AC129" s="377" t="n"/>
      <c r="AD129" s="377" t="n"/>
      <c r="AE129" s="377" t="n"/>
      <c r="AF129" s="377" t="n"/>
      <c r="AG129" s="377" t="n"/>
      <c r="AH129" s="377" t="n"/>
    </row>
    <row r="130" ht="26.25" customHeight="1" s="1053">
      <c r="A130" s="377" t="inlineStr">
        <is>
          <t>新宝利</t>
        </is>
      </c>
      <c r="B130" s="377" t="inlineStr">
        <is>
          <t>三期</t>
        </is>
      </c>
      <c r="C130" s="377" t="n">
        <v>5170873</v>
      </c>
      <c r="D130" s="377" t="inlineStr">
        <is>
          <t>13:20-15:32</t>
        </is>
      </c>
      <c r="E130" s="377" t="inlineStr">
        <is>
          <t>潜能班</t>
        </is>
      </c>
      <c r="F130" s="377" t="inlineStr">
        <is>
          <t>潘俊羽</t>
        </is>
      </c>
      <c r="G130" s="377" t="inlineStr">
        <is>
          <t>李润</t>
        </is>
      </c>
      <c r="H130" s="377" t="n"/>
      <c r="I130" s="377" t="n"/>
      <c r="J130" s="377" t="n"/>
      <c r="K130" s="377" t="n"/>
      <c r="L130" s="377" t="n"/>
      <c r="M130" s="377" t="n"/>
      <c r="N130" s="377" t="n"/>
      <c r="O130" s="377" t="inlineStr">
        <is>
          <t>数学好，语文畏难很重，会空题，妈妈说和校内语文老师关系不好。男孩子，喜欢画火柴人</t>
        </is>
      </c>
      <c r="P130" s="377" t="n"/>
      <c r="Q130" s="377" t="n"/>
      <c r="R130" s="377" t="n"/>
      <c r="S130" s="377" t="n"/>
      <c r="T130" s="377" t="n"/>
      <c r="U130" s="377" t="inlineStr">
        <is>
          <t>是</t>
        </is>
      </c>
      <c r="V130" s="377" t="n"/>
      <c r="W130" s="377" t="n"/>
      <c r="X130" s="377" t="n"/>
      <c r="Y130" s="377" t="n"/>
      <c r="Z130" s="377" t="n"/>
      <c r="AA130" s="377" t="n"/>
      <c r="AB130" s="377" t="n"/>
      <c r="AC130" s="377" t="n"/>
      <c r="AD130" s="377" t="n"/>
      <c r="AE130" s="377" t="n"/>
      <c r="AF130" s="377" t="n"/>
      <c r="AG130" s="377" t="n"/>
      <c r="AH130" s="377" t="n"/>
    </row>
    <row r="131" ht="26.25" customHeight="1" s="1053">
      <c r="A131" s="377" t="inlineStr">
        <is>
          <t>天成大厦</t>
        </is>
      </c>
      <c r="B131" s="377" t="inlineStr">
        <is>
          <t>三期</t>
        </is>
      </c>
      <c r="C131" s="377" t="n">
        <v>5230739</v>
      </c>
      <c r="D131" s="377" t="inlineStr">
        <is>
          <t>10:20-12:30</t>
        </is>
      </c>
      <c r="E131" s="377" t="inlineStr">
        <is>
          <t>潜能班</t>
        </is>
      </c>
      <c r="F131" s="377" t="inlineStr">
        <is>
          <t>芷榕</t>
        </is>
      </c>
      <c r="G131" s="377" t="inlineStr">
        <is>
          <t>李润</t>
        </is>
      </c>
      <c r="H131" s="377" t="inlineStr">
        <is>
          <t>宗志鹏</t>
        </is>
      </c>
      <c r="I131" s="377" t="inlineStr">
        <is>
          <t>刘希子</t>
        </is>
      </c>
      <c r="J131" s="377" t="inlineStr">
        <is>
          <t>陈亮延</t>
        </is>
      </c>
      <c r="K131" s="377" t="n"/>
      <c r="L131" s="377" t="n"/>
      <c r="M131" s="377" t="n"/>
      <c r="N131" s="377" t="n"/>
      <c r="O131" s="377" t="n"/>
      <c r="P131" s="377" t="n"/>
      <c r="Q131" s="377" t="n"/>
      <c r="R131" s="377" t="n"/>
      <c r="S131" s="377" t="n"/>
      <c r="T131" s="377" t="inlineStr">
        <is>
          <t>是</t>
        </is>
      </c>
      <c r="U131" s="377" t="n"/>
      <c r="V131" s="377" t="n"/>
      <c r="W131" s="377" t="n"/>
      <c r="X131" s="377" t="n"/>
      <c r="Y131" s="377" t="n"/>
      <c r="Z131" s="377" t="n"/>
      <c r="AA131" s="377" t="n"/>
      <c r="AB131" s="377" t="n"/>
      <c r="AC131" s="377" t="n"/>
      <c r="AD131" s="377" t="n"/>
      <c r="AE131" s="377" t="n"/>
      <c r="AF131" s="377" t="n"/>
      <c r="AG131" s="377" t="n"/>
      <c r="AH131" s="377" t="n"/>
    </row>
    <row r="132" ht="26.25" customHeight="1" s="1053">
      <c r="A132" s="377" t="inlineStr">
        <is>
          <t>天成大厦</t>
        </is>
      </c>
      <c r="B132" s="377" t="inlineStr">
        <is>
          <t>三期</t>
        </is>
      </c>
      <c r="C132" s="377" t="n">
        <v>5230739</v>
      </c>
      <c r="D132" s="377" t="inlineStr">
        <is>
          <t>10:20-12:30</t>
        </is>
      </c>
      <c r="E132" s="377" t="inlineStr">
        <is>
          <t>潜能班</t>
        </is>
      </c>
      <c r="F132" s="377" t="inlineStr">
        <is>
          <t>詹婉琦</t>
        </is>
      </c>
      <c r="G132" s="377" t="inlineStr">
        <is>
          <t>李润</t>
        </is>
      </c>
      <c r="H132" s="377" t="inlineStr">
        <is>
          <t>宗志鹏</t>
        </is>
      </c>
      <c r="I132" s="377" t="inlineStr">
        <is>
          <t>刘希子</t>
        </is>
      </c>
      <c r="J132" s="377" t="inlineStr">
        <is>
          <t>沈思浩</t>
        </is>
      </c>
      <c r="K132" s="377" t="n"/>
      <c r="L132" s="377" t="n"/>
      <c r="M132" s="377" t="n"/>
      <c r="N132" s="377" t="n"/>
      <c r="O132" s="377" t="n"/>
      <c r="P132" s="377" t="n"/>
      <c r="Q132" s="377" t="n">
        <v>33</v>
      </c>
      <c r="R132" s="377" t="n"/>
      <c r="S132" s="377" t="n"/>
      <c r="T132" s="377" t="inlineStr">
        <is>
          <t>是</t>
        </is>
      </c>
      <c r="U132" s="377" t="n"/>
      <c r="V132" s="377" t="n"/>
      <c r="W132" s="377" t="n"/>
      <c r="X132" s="377" t="n"/>
      <c r="Y132" s="377" t="n"/>
      <c r="Z132" s="377" t="n"/>
      <c r="AA132" s="377" t="n"/>
      <c r="AB132" s="377" t="n"/>
      <c r="AC132" s="377" t="n"/>
      <c r="AD132" s="377" t="n"/>
      <c r="AE132" s="377" t="n"/>
      <c r="AF132" s="377" t="n"/>
      <c r="AG132" s="377" t="n"/>
      <c r="AH132" s="377" t="n"/>
    </row>
    <row r="133" ht="26.25" customHeight="1" s="1053">
      <c r="A133" s="377" t="inlineStr">
        <is>
          <t>天成大厦</t>
        </is>
      </c>
      <c r="B133" s="377" t="inlineStr">
        <is>
          <t>三期</t>
        </is>
      </c>
      <c r="C133" s="377" t="n">
        <v>5230739</v>
      </c>
      <c r="D133" s="377" t="inlineStr">
        <is>
          <t>10:20-12:30</t>
        </is>
      </c>
      <c r="E133" s="377" t="inlineStr">
        <is>
          <t>潜能班</t>
        </is>
      </c>
      <c r="F133" s="377" t="inlineStr">
        <is>
          <t>谢明真</t>
        </is>
      </c>
      <c r="G133" s="377" t="inlineStr">
        <is>
          <t>李润</t>
        </is>
      </c>
      <c r="H133" s="377" t="inlineStr">
        <is>
          <t>宗志鹏</t>
        </is>
      </c>
      <c r="I133" s="377" t="inlineStr">
        <is>
          <t>刘希子</t>
        </is>
      </c>
      <c r="J133" s="377" t="inlineStr">
        <is>
          <t>陈亮延</t>
        </is>
      </c>
      <c r="K133" s="377" t="n"/>
      <c r="L133" s="377" t="n"/>
      <c r="M133" s="377" t="n"/>
      <c r="N133" s="377" t="n"/>
      <c r="O133" s="377" t="n"/>
      <c r="P133" s="377" t="n"/>
      <c r="Q133" s="377" t="n"/>
      <c r="R133" s="377" t="n"/>
      <c r="S133" s="377" t="n"/>
      <c r="T133" s="377" t="inlineStr">
        <is>
          <t>是</t>
        </is>
      </c>
      <c r="U133" s="377" t="n"/>
      <c r="V133" s="377" t="n"/>
      <c r="W133" s="377" t="n"/>
      <c r="X133" s="377" t="n"/>
      <c r="Y133" s="377" t="n"/>
      <c r="Z133" s="377" t="n"/>
      <c r="AA133" s="377" t="n"/>
      <c r="AB133" s="377" t="n"/>
      <c r="AC133" s="377" t="n"/>
      <c r="AD133" s="377" t="n"/>
      <c r="AE133" s="377" t="n"/>
      <c r="AF133" s="377" t="n"/>
      <c r="AG133" s="377" t="n"/>
      <c r="AH133" s="377" t="n"/>
    </row>
    <row r="134" ht="26.25" customHeight="1" s="1053">
      <c r="A134" s="377" t="inlineStr">
        <is>
          <t>天成大厦</t>
        </is>
      </c>
      <c r="B134" s="377" t="inlineStr">
        <is>
          <t>二期</t>
        </is>
      </c>
      <c r="C134" s="377" t="n">
        <v>3132810</v>
      </c>
      <c r="D134" s="377" t="inlineStr">
        <is>
          <t>15:50-18:00</t>
        </is>
      </c>
      <c r="E134" s="377" t="inlineStr">
        <is>
          <t>潜能班</t>
        </is>
      </c>
      <c r="F134" s="377" t="inlineStr">
        <is>
          <t>冉梓月</t>
        </is>
      </c>
      <c r="G134" s="377" t="inlineStr">
        <is>
          <t>李润</t>
        </is>
      </c>
      <c r="H134" s="377" t="inlineStr">
        <is>
          <t>宗志鹏</t>
        </is>
      </c>
      <c r="I134" s="377" t="inlineStr">
        <is>
          <t>刘希子</t>
        </is>
      </c>
      <c r="J134" s="377" t="inlineStr">
        <is>
          <t>王达04</t>
        </is>
      </c>
      <c r="K134" s="377" t="n"/>
      <c r="L134" s="377" t="n"/>
      <c r="M134" s="377" t="n"/>
      <c r="N134" s="377" t="n"/>
      <c r="O134" s="377" t="inlineStr">
        <is>
          <t>家长在出差，婆婆带。孩子活泼</t>
        </is>
      </c>
      <c r="P134" s="377" t="n"/>
      <c r="Q134" s="377" t="n">
        <v>30</v>
      </c>
      <c r="R134" s="377" t="n"/>
      <c r="S134" s="377" t="n"/>
      <c r="T134" s="377" t="inlineStr">
        <is>
          <t>是</t>
        </is>
      </c>
      <c r="U134" s="377" t="inlineStr">
        <is>
          <t>是</t>
        </is>
      </c>
      <c r="V134" s="377" t="n"/>
      <c r="W134" s="377" t="n"/>
      <c r="X134" s="377" t="n"/>
      <c r="Y134" s="377" t="inlineStr">
        <is>
          <t>是</t>
        </is>
      </c>
      <c r="Z134" s="377" t="n"/>
      <c r="AA134" s="377" t="n"/>
      <c r="AB134" s="377" t="n"/>
      <c r="AC134" s="377" t="n"/>
      <c r="AD134" s="377" t="n"/>
      <c r="AE134" s="377" t="n"/>
      <c r="AF134" s="377" t="n"/>
      <c r="AG134" s="377" t="n"/>
      <c r="AH134" s="377" t="n"/>
    </row>
    <row r="135" ht="26.25" customHeight="1" s="1053">
      <c r="A135" s="377" t="inlineStr">
        <is>
          <t>天成大厦</t>
        </is>
      </c>
      <c r="B135" s="377" t="inlineStr">
        <is>
          <t>二期</t>
        </is>
      </c>
      <c r="C135" s="377" t="n">
        <v>3132810</v>
      </c>
      <c r="D135" s="377" t="inlineStr">
        <is>
          <t>15:50-18:00</t>
        </is>
      </c>
      <c r="E135" s="377" t="inlineStr">
        <is>
          <t>潜能班</t>
        </is>
      </c>
      <c r="F135" s="377" t="inlineStr">
        <is>
          <t>刘芷霖</t>
        </is>
      </c>
      <c r="G135" s="377" t="inlineStr">
        <is>
          <t>李润</t>
        </is>
      </c>
      <c r="H135" s="377" t="inlineStr">
        <is>
          <t>宗志鹏</t>
        </is>
      </c>
      <c r="I135" s="377" t="inlineStr">
        <is>
          <t>刘希子</t>
        </is>
      </c>
      <c r="J135" s="377" t="inlineStr">
        <is>
          <t>沈思浩</t>
        </is>
      </c>
      <c r="K135" s="377" t="n"/>
      <c r="L135" s="377" t="n"/>
      <c r="M135" s="377" t="inlineStr">
        <is>
          <t>比较主动</t>
        </is>
      </c>
      <c r="N135" s="377" t="inlineStr">
        <is>
          <t>提笔忘字</t>
        </is>
      </c>
      <c r="O135" s="377" t="inlineStr">
        <is>
          <t>妈妈对孩子有要求、不满意当前成绩，孩子受表扬后就会认真，妈妈觉得孩子校内遇到的老师不好，家里还有两个哥哥，偶尔会分神，青春期有点逆反。家住黄埔区</t>
        </is>
      </c>
      <c r="P135" s="377" t="inlineStr">
        <is>
          <t>85分</t>
        </is>
      </c>
      <c r="Q135" s="377" t="n"/>
      <c r="R135" s="377" t="n"/>
      <c r="S135" s="377" t="n"/>
      <c r="T135" s="377" t="inlineStr">
        <is>
          <t>是</t>
        </is>
      </c>
      <c r="U135" s="377" t="inlineStr">
        <is>
          <t>是</t>
        </is>
      </c>
      <c r="V135" s="377" t="n"/>
      <c r="W135" s="377" t="n"/>
      <c r="X135" s="377" t="n"/>
      <c r="Y135" s="377" t="inlineStr">
        <is>
          <t>是</t>
        </is>
      </c>
      <c r="Z135" s="377" t="n"/>
      <c r="AA135" s="377" t="n"/>
      <c r="AB135" s="377" t="n"/>
      <c r="AC135" s="377" t="n"/>
      <c r="AD135" s="377" t="n"/>
      <c r="AE135" s="377" t="n"/>
      <c r="AF135" s="377" t="n"/>
      <c r="AG135" s="377" t="n"/>
      <c r="AH135" s="377" t="n"/>
    </row>
    <row r="136" ht="26.25" customHeight="1" s="1053">
      <c r="A136" s="377" t="inlineStr">
        <is>
          <t>天成大厦</t>
        </is>
      </c>
      <c r="B136" s="377" t="inlineStr">
        <is>
          <t>二期</t>
        </is>
      </c>
      <c r="C136" s="377" t="n">
        <v>3132810</v>
      </c>
      <c r="D136" s="377" t="inlineStr">
        <is>
          <t>15:50-18:00</t>
        </is>
      </c>
      <c r="E136" s="377" t="inlineStr">
        <is>
          <t>潜能班</t>
        </is>
      </c>
      <c r="F136" s="377" t="inlineStr">
        <is>
          <t>吴承谦</t>
        </is>
      </c>
      <c r="G136" s="377" t="inlineStr">
        <is>
          <t>李润</t>
        </is>
      </c>
      <c r="H136" s="377" t="inlineStr">
        <is>
          <t>宗志鹏</t>
        </is>
      </c>
      <c r="I136" s="377" t="n"/>
      <c r="J136" s="377" t="inlineStr">
        <is>
          <t>沈思浩</t>
        </is>
      </c>
      <c r="K136" s="377" t="n"/>
      <c r="L136" s="377" t="n"/>
      <c r="M136" s="377" t="inlineStr">
        <is>
          <t>主要靠自己</t>
        </is>
      </c>
      <c r="N136" s="377" t="inlineStr">
        <is>
          <t>作文构思很久、阅读不知道从哪些方面答、基础还是挺扎实、字迹乱</t>
        </is>
      </c>
      <c r="O136" s="377" t="inlineStr">
        <is>
          <t>父母偶尔也会查作业、但孩子内敛不会主动问、遇到问题就放下了、刚见面怕生，熟了就好了</t>
        </is>
      </c>
      <c r="P136" s="377" t="inlineStr">
        <is>
          <t>80-89</t>
        </is>
      </c>
      <c r="Q136" s="377" t="n"/>
      <c r="R136" s="377" t="n"/>
      <c r="S136" s="377" t="n"/>
      <c r="T136" s="377" t="inlineStr">
        <is>
          <t>是</t>
        </is>
      </c>
      <c r="U136" s="377" t="inlineStr">
        <is>
          <t>是</t>
        </is>
      </c>
      <c r="V136" s="377" t="n"/>
      <c r="W136" s="377" t="n"/>
      <c r="X136" s="377" t="n"/>
      <c r="Y136" s="377" t="n"/>
      <c r="Z136" s="377" t="n"/>
      <c r="AA136" s="377" t="n"/>
      <c r="AB136" s="377" t="n"/>
      <c r="AC136" s="377" t="n"/>
      <c r="AD136" s="377" t="n"/>
      <c r="AE136" s="377" t="n"/>
      <c r="AF136" s="377" t="n"/>
      <c r="AG136" s="377" t="n"/>
      <c r="AH136" s="377" t="n"/>
    </row>
    <row r="137" ht="26.25" customHeight="1" s="1053">
      <c r="A137" s="377" t="inlineStr">
        <is>
          <t>天成大厦</t>
        </is>
      </c>
      <c r="B137" s="377" t="inlineStr">
        <is>
          <t>二期</t>
        </is>
      </c>
      <c r="C137" s="377" t="n">
        <v>3132810</v>
      </c>
      <c r="D137" s="377" t="inlineStr">
        <is>
          <t>15:50-18:00</t>
        </is>
      </c>
      <c r="E137" s="377" t="inlineStr">
        <is>
          <t>潜能班</t>
        </is>
      </c>
      <c r="F137" s="377" t="inlineStr">
        <is>
          <t>李梓熳</t>
        </is>
      </c>
      <c r="G137" s="377" t="inlineStr">
        <is>
          <t>李润</t>
        </is>
      </c>
      <c r="H137" s="377" t="inlineStr">
        <is>
          <t>宗志鹏</t>
        </is>
      </c>
      <c r="I137" s="377" t="inlineStr">
        <is>
          <t>刘希子</t>
        </is>
      </c>
      <c r="J137" s="377" t="inlineStr">
        <is>
          <t>陈亮延</t>
        </is>
      </c>
      <c r="K137" s="377" t="n"/>
      <c r="L137" s="377" t="n"/>
      <c r="M137" s="377" t="inlineStr">
        <is>
          <t>学习靠自己</t>
        </is>
      </c>
      <c r="N137" s="377" t="inlineStr">
        <is>
          <t>衔接初中</t>
        </is>
      </c>
      <c r="O137" s="377" t="inlineStr">
        <is>
          <t>从来没学科培训，孩子在学吉他。作业在学校学得快。还有两个妹妹，妈妈这两年也不太清楚孩子的成绩，叛逆期到了，在家里不服管，但在外面很好</t>
        </is>
      </c>
      <c r="P137" s="377" t="inlineStr">
        <is>
          <t>B</t>
        </is>
      </c>
      <c r="Q137" s="377" t="n"/>
      <c r="R137" s="377" t="n"/>
      <c r="S137" s="377" t="n"/>
      <c r="T137" s="377" t="inlineStr">
        <is>
          <t>是</t>
        </is>
      </c>
      <c r="U137" s="377" t="inlineStr">
        <is>
          <t>是</t>
        </is>
      </c>
      <c r="V137" s="377" t="n"/>
      <c r="W137" s="377" t="n"/>
      <c r="X137" s="377" t="n"/>
      <c r="Y137" s="377" t="n"/>
      <c r="Z137" s="377" t="n"/>
      <c r="AA137" s="377" t="n"/>
      <c r="AB137" s="377" t="n"/>
      <c r="AC137" s="377" t="n"/>
      <c r="AD137" s="377" t="n"/>
      <c r="AE137" s="377" t="n"/>
      <c r="AF137" s="377" t="n"/>
      <c r="AG137" s="377" t="n"/>
      <c r="AH137" s="377" t="n"/>
    </row>
    <row r="138" ht="26.25" customHeight="1" s="1053">
      <c r="A138" s="377" t="inlineStr">
        <is>
          <t>天成大厦</t>
        </is>
      </c>
      <c r="B138" s="377" t="inlineStr">
        <is>
          <t>二期</t>
        </is>
      </c>
      <c r="C138" s="377" t="n">
        <v>3132810</v>
      </c>
      <c r="D138" s="377" t="inlineStr">
        <is>
          <t>15:50-18:00</t>
        </is>
      </c>
      <c r="E138" s="377" t="inlineStr">
        <is>
          <t>潜能班</t>
        </is>
      </c>
      <c r="F138" s="377" t="inlineStr">
        <is>
          <t>林芊悦1</t>
        </is>
      </c>
      <c r="G138" s="377" t="inlineStr">
        <is>
          <t>李润</t>
        </is>
      </c>
      <c r="H138" s="377" t="inlineStr">
        <is>
          <t>宗志鹏</t>
        </is>
      </c>
      <c r="I138" s="377" t="inlineStr">
        <is>
          <t>刘希子</t>
        </is>
      </c>
      <c r="J138" s="377" t="inlineStr">
        <is>
          <t>沈思浩</t>
        </is>
      </c>
      <c r="K138" s="377" t="n"/>
      <c r="L138" s="377" t="n"/>
      <c r="M138" s="377" t="inlineStr">
        <is>
          <t>一般</t>
        </is>
      </c>
      <c r="N138" s="377" t="inlineStr">
        <is>
          <t>阅读概括、作文抒情</t>
        </is>
      </c>
      <c r="O138" s="377" t="inlineStr">
        <is>
          <t>会举手发言、在家不太看书，阅读量不太大，妈妈让上课给孩子配个书单。问孩子的情况家长让和报课老师沟通，然后把孩子拉过来接了电话</t>
        </is>
      </c>
      <c r="P138" s="377" t="inlineStr">
        <is>
          <t>94-96</t>
        </is>
      </c>
      <c r="Q138" s="377" t="n"/>
      <c r="R138" s="377" t="n"/>
      <c r="S138" s="377" t="n"/>
      <c r="T138" s="377" t="inlineStr">
        <is>
          <t>是</t>
        </is>
      </c>
      <c r="U138" s="377" t="inlineStr">
        <is>
          <t>是</t>
        </is>
      </c>
      <c r="V138" s="377" t="n"/>
      <c r="W138" s="377" t="n"/>
      <c r="X138" s="377" t="n"/>
      <c r="Y138" s="377" t="n"/>
      <c r="Z138" s="377" t="n"/>
      <c r="AA138" s="377" t="n"/>
      <c r="AB138" s="377" t="n"/>
      <c r="AC138" s="377" t="n"/>
      <c r="AD138" s="377" t="n"/>
      <c r="AE138" s="377" t="n"/>
      <c r="AF138" s="377" t="n"/>
      <c r="AG138" s="377" t="n"/>
      <c r="AH138" s="377" t="n"/>
    </row>
    <row r="139" ht="26.25" customHeight="1" s="1053">
      <c r="A139" s="377" t="inlineStr">
        <is>
          <t>天成大厦</t>
        </is>
      </c>
      <c r="B139" s="377" t="inlineStr">
        <is>
          <t>二期</t>
        </is>
      </c>
      <c r="C139" s="377" t="n">
        <v>3132810</v>
      </c>
      <c r="D139" s="377" t="inlineStr">
        <is>
          <t>15:50-18:00</t>
        </is>
      </c>
      <c r="E139" s="377" t="inlineStr">
        <is>
          <t>潜能班</t>
        </is>
      </c>
      <c r="F139" s="377" t="inlineStr">
        <is>
          <t>梁晨曦</t>
        </is>
      </c>
      <c r="G139" s="377" t="inlineStr">
        <is>
          <t>李润</t>
        </is>
      </c>
      <c r="H139" s="377" t="inlineStr">
        <is>
          <t>宗志鹏</t>
        </is>
      </c>
      <c r="I139" s="377" t="inlineStr">
        <is>
          <t>刘希子</t>
        </is>
      </c>
      <c r="J139" s="377" t="inlineStr">
        <is>
          <t>沈思浩</t>
        </is>
      </c>
      <c r="K139" s="377" t="n"/>
      <c r="L139" s="377" t="n"/>
      <c r="M139" s="377" t="inlineStr">
        <is>
          <t>自觉一般</t>
        </is>
      </c>
      <c r="N139" s="377" t="inlineStr">
        <is>
          <t>语病、拼音、阅读</t>
        </is>
      </c>
      <c r="O139" s="377" t="n"/>
      <c r="P139" s="377" t="inlineStr">
        <is>
          <t>95分左右</t>
        </is>
      </c>
      <c r="Q139" s="377" t="n"/>
      <c r="R139" s="377" t="n"/>
      <c r="S139" s="377" t="n"/>
      <c r="T139" s="377" t="inlineStr">
        <is>
          <t>是</t>
        </is>
      </c>
      <c r="U139" s="377" t="inlineStr">
        <is>
          <t>是</t>
        </is>
      </c>
      <c r="V139" s="377" t="n"/>
      <c r="W139" s="377" t="n"/>
      <c r="X139" s="377" t="n"/>
      <c r="Y139" s="377" t="n"/>
      <c r="Z139" s="377" t="n"/>
      <c r="AA139" s="377" t="n"/>
      <c r="AB139" s="377" t="n"/>
      <c r="AC139" s="377" t="n"/>
      <c r="AD139" s="377" t="n"/>
      <c r="AE139" s="377" t="n"/>
      <c r="AF139" s="377" t="n"/>
      <c r="AG139" s="377" t="n"/>
      <c r="AH139" s="377" t="n"/>
    </row>
    <row r="140" ht="26.25" customHeight="1" s="1053">
      <c r="A140" s="377" t="inlineStr">
        <is>
          <t>天成大厦</t>
        </is>
      </c>
      <c r="B140" s="377" t="inlineStr">
        <is>
          <t>二期</t>
        </is>
      </c>
      <c r="C140" s="377" t="n">
        <v>3132810</v>
      </c>
      <c r="D140" s="377" t="inlineStr">
        <is>
          <t>15:50-18:00</t>
        </is>
      </c>
      <c r="E140" s="377" t="inlineStr">
        <is>
          <t>潜能班</t>
        </is>
      </c>
      <c r="F140" s="377" t="inlineStr">
        <is>
          <t>王宣蕴</t>
        </is>
      </c>
      <c r="G140" s="377" t="inlineStr">
        <is>
          <t>李润</t>
        </is>
      </c>
      <c r="H140" s="377" t="inlineStr">
        <is>
          <t>宗志鹏</t>
        </is>
      </c>
      <c r="I140" s="377" t="inlineStr">
        <is>
          <t>刘希子</t>
        </is>
      </c>
      <c r="J140" s="377" t="inlineStr">
        <is>
          <t>沈思浩</t>
        </is>
      </c>
      <c r="K140" s="377" t="n"/>
      <c r="L140" s="377" t="n"/>
      <c r="M140" s="377" t="n"/>
      <c r="N140" s="377" t="n"/>
      <c r="O140" s="377" t="inlineStr">
        <is>
          <t>家住黄埔，妈妈的单位在天成附近，孩子认真，课上慢热</t>
        </is>
      </c>
      <c r="P140" s="377" t="n"/>
      <c r="Q140" s="377" t="n"/>
      <c r="R140" s="377" t="n"/>
      <c r="S140" s="377" t="n"/>
      <c r="T140" s="377" t="inlineStr">
        <is>
          <t>是</t>
        </is>
      </c>
      <c r="U140" s="377" t="inlineStr">
        <is>
          <t>是</t>
        </is>
      </c>
      <c r="V140" s="377" t="n"/>
      <c r="W140" s="377" t="n"/>
      <c r="X140" s="377" t="n"/>
      <c r="Y140" s="377" t="inlineStr">
        <is>
          <t>是</t>
        </is>
      </c>
      <c r="Z140" s="377" t="n"/>
      <c r="AA140" s="377" t="n"/>
      <c r="AB140" s="377" t="n"/>
      <c r="AC140" s="377" t="n"/>
      <c r="AD140" s="377" t="n"/>
      <c r="AE140" s="377" t="n"/>
      <c r="AF140" s="377" t="n"/>
      <c r="AG140" s="377" t="n"/>
      <c r="AH140" s="377" t="n"/>
    </row>
    <row r="141" ht="26.25" customHeight="1" s="1053">
      <c r="A141" s="377" t="inlineStr">
        <is>
          <t>天成大厦</t>
        </is>
      </c>
      <c r="B141" s="377" t="inlineStr">
        <is>
          <t>二期</t>
        </is>
      </c>
      <c r="C141" s="377" t="n">
        <v>3132810</v>
      </c>
      <c r="D141" s="377" t="inlineStr">
        <is>
          <t>15:50-18:00</t>
        </is>
      </c>
      <c r="E141" s="377" t="inlineStr">
        <is>
          <t>潜能班</t>
        </is>
      </c>
      <c r="F141" s="377" t="inlineStr">
        <is>
          <t>胡宇航</t>
        </is>
      </c>
      <c r="G141" s="377" t="inlineStr">
        <is>
          <t>李润</t>
        </is>
      </c>
      <c r="H141" s="377" t="inlineStr">
        <is>
          <t>宗志鹏</t>
        </is>
      </c>
      <c r="I141" s="377" t="inlineStr">
        <is>
          <t>刘希子</t>
        </is>
      </c>
      <c r="J141" s="377" t="inlineStr">
        <is>
          <t>沈思浩</t>
        </is>
      </c>
      <c r="K141" s="377" t="n"/>
      <c r="L141" s="377" t="n"/>
      <c r="M141" s="377" t="inlineStr">
        <is>
          <t>很贪玩、很野</t>
        </is>
      </c>
      <c r="N141" s="377" t="inlineStr">
        <is>
          <t>阅读概括不全</t>
        </is>
      </c>
      <c r="O141" s="377" t="inlineStr">
        <is>
          <t>时间还没定，下课托管班，做事比较浮躁，爱玩手机、打羽毛球、积木，家住车陂，前几次家长带后面自己来</t>
        </is>
      </c>
      <c r="P141" s="377" t="inlineStr">
        <is>
          <t>80分左右</t>
        </is>
      </c>
      <c r="Q141" s="377" t="n"/>
      <c r="R141" s="377" t="n"/>
      <c r="S141" s="377" t="n"/>
      <c r="T141" s="377" t="inlineStr">
        <is>
          <t>是</t>
        </is>
      </c>
      <c r="U141" s="377" t="inlineStr">
        <is>
          <t>是</t>
        </is>
      </c>
      <c r="V141" s="377" t="n"/>
      <c r="W141" s="377" t="n"/>
      <c r="X141" s="377" t="n"/>
      <c r="Y141" s="377" t="n"/>
      <c r="Z141" s="377" t="n"/>
      <c r="AA141" s="377" t="n"/>
      <c r="AB141" s="377" t="n"/>
      <c r="AC141" s="377" t="n"/>
      <c r="AD141" s="377" t="n"/>
      <c r="AE141" s="377" t="n"/>
      <c r="AF141" s="377" t="n"/>
      <c r="AG141" s="377" t="n"/>
      <c r="AH141" s="377" t="n"/>
    </row>
    <row r="142" ht="26.25" customHeight="1" s="1053">
      <c r="A142" s="377" t="inlineStr">
        <is>
          <t>天成大厦</t>
        </is>
      </c>
      <c r="B142" s="377" t="inlineStr">
        <is>
          <t>二期</t>
        </is>
      </c>
      <c r="C142" s="377" t="n">
        <v>3132810</v>
      </c>
      <c r="D142" s="377" t="inlineStr">
        <is>
          <t>15:50-18:00</t>
        </is>
      </c>
      <c r="E142" s="377" t="inlineStr">
        <is>
          <t>潜能班</t>
        </is>
      </c>
      <c r="F142" s="377" t="inlineStr">
        <is>
          <t>黄梓涵</t>
        </is>
      </c>
      <c r="G142" s="377" t="inlineStr">
        <is>
          <t>李润</t>
        </is>
      </c>
      <c r="H142" s="377" t="n"/>
      <c r="I142" s="377" t="n"/>
      <c r="J142" s="377" t="inlineStr">
        <is>
          <t>沈思浩</t>
        </is>
      </c>
      <c r="K142" s="377" t="inlineStr">
        <is>
          <t>华康</t>
        </is>
      </c>
      <c r="L142" s="377" t="n"/>
      <c r="M142" s="377" t="inlineStr">
        <is>
          <t>懒散</t>
        </is>
      </c>
      <c r="N142" s="377" t="inlineStr">
        <is>
          <t>错别字多，不太认真，松懈，懒散，不爱动笔不爱写</t>
        </is>
      </c>
      <c r="O142" s="377" t="inlineStr">
        <is>
          <t>一期课要往后调，一期课时间要回老家，家在太古汇附近，可以去新宝利上课，爱表现，比较好激励</t>
        </is>
      </c>
      <c r="P142" s="377" t="n">
        <v>95</v>
      </c>
      <c r="Q142" s="377" t="n">
        <v>32</v>
      </c>
      <c r="R142" s="377" t="n"/>
      <c r="S142" s="377" t="n"/>
      <c r="T142" s="377" t="inlineStr">
        <is>
          <t>是</t>
        </is>
      </c>
      <c r="U142" s="377" t="inlineStr">
        <is>
          <t>是</t>
        </is>
      </c>
      <c r="V142" s="377" t="n"/>
      <c r="W142" s="377" t="n"/>
      <c r="X142" s="377" t="n"/>
      <c r="Y142" s="377" t="n"/>
      <c r="Z142" s="377" t="n"/>
      <c r="AA142" s="377" t="n"/>
      <c r="AB142" s="377" t="n"/>
      <c r="AC142" s="377" t="n"/>
      <c r="AD142" s="377" t="n"/>
      <c r="AE142" s="377" t="n"/>
      <c r="AF142" s="377" t="n"/>
      <c r="AG142" s="377" t="n"/>
      <c r="AH142" s="377" t="n"/>
    </row>
    <row r="143" ht="26.25" customHeight="1" s="1053">
      <c r="A143" s="377" t="inlineStr">
        <is>
          <t>同创汇</t>
        </is>
      </c>
      <c r="B143" s="377" t="inlineStr">
        <is>
          <t>二期</t>
        </is>
      </c>
      <c r="C143" s="377" t="n">
        <v>5230809</v>
      </c>
      <c r="D143" s="377" t="inlineStr">
        <is>
          <t>10:20-12:30</t>
        </is>
      </c>
      <c r="E143" s="377" t="inlineStr">
        <is>
          <t>潜能班</t>
        </is>
      </c>
      <c r="F143" s="377" t="inlineStr">
        <is>
          <t>丘平川</t>
        </is>
      </c>
      <c r="G143" s="377" t="inlineStr">
        <is>
          <t>李润</t>
        </is>
      </c>
      <c r="H143" s="377" t="inlineStr">
        <is>
          <t>田雨涵01</t>
        </is>
      </c>
      <c r="I143" s="377" t="inlineStr">
        <is>
          <t>高心怡04</t>
        </is>
      </c>
      <c r="J143" s="377" t="inlineStr">
        <is>
          <t>王丽</t>
        </is>
      </c>
      <c r="K143" s="377" t="n"/>
      <c r="L143" s="377" t="n"/>
      <c r="M143" s="377" t="n"/>
      <c r="N143" s="377" t="n"/>
      <c r="O143" s="377" t="n"/>
      <c r="P143" s="377" t="n"/>
      <c r="Q143" s="377" t="n"/>
      <c r="R143" s="377" t="n"/>
      <c r="S143" s="377" t="n"/>
      <c r="T143" s="377" t="inlineStr">
        <is>
          <t>是</t>
        </is>
      </c>
      <c r="U143" s="377" t="n"/>
      <c r="V143" s="377" t="n"/>
      <c r="W143" s="377" t="n"/>
      <c r="X143" s="377" t="n"/>
      <c r="Y143" s="377" t="n"/>
      <c r="Z143" s="377" t="n"/>
      <c r="AA143" s="377" t="n"/>
      <c r="AB143" s="377" t="n"/>
      <c r="AC143" s="377" t="n"/>
      <c r="AD143" s="377" t="n"/>
      <c r="AE143" s="377" t="n"/>
      <c r="AF143" s="377" t="n"/>
      <c r="AG143" s="377" t="n"/>
      <c r="AH143" s="377" t="n"/>
    </row>
    <row r="144" ht="26.25" customHeight="1" s="1053">
      <c r="A144" s="377" t="inlineStr">
        <is>
          <t>同创汇</t>
        </is>
      </c>
      <c r="B144" s="377" t="inlineStr">
        <is>
          <t>二期</t>
        </is>
      </c>
      <c r="C144" s="377" t="n">
        <v>5230809</v>
      </c>
      <c r="D144" s="377" t="inlineStr">
        <is>
          <t>10:20-12:30</t>
        </is>
      </c>
      <c r="E144" s="377" t="inlineStr">
        <is>
          <t>潜能班</t>
        </is>
      </c>
      <c r="F144" s="377" t="inlineStr">
        <is>
          <t>叶家荣</t>
        </is>
      </c>
      <c r="G144" s="377" t="inlineStr">
        <is>
          <t>李润</t>
        </is>
      </c>
      <c r="H144" s="377" t="inlineStr">
        <is>
          <t>何咏04</t>
        </is>
      </c>
      <c r="I144" s="377" t="inlineStr">
        <is>
          <t>刘希子</t>
        </is>
      </c>
      <c r="J144" s="377" t="inlineStr">
        <is>
          <t>王丽</t>
        </is>
      </c>
      <c r="K144" s="377" t="n"/>
      <c r="L144" s="377" t="n"/>
      <c r="M144" s="377" t="n"/>
      <c r="N144" s="377" t="n"/>
      <c r="O144" s="377" t="inlineStr">
        <is>
          <t>愿意回答问题，比较积极认真，但是词汇量不足</t>
        </is>
      </c>
      <c r="P144" s="377" t="n"/>
      <c r="Q144" s="377" t="n"/>
      <c r="R144" s="377" t="n"/>
      <c r="S144" s="377" t="n"/>
      <c r="T144" s="377" t="inlineStr">
        <is>
          <t>是</t>
        </is>
      </c>
      <c r="U144" s="377" t="inlineStr">
        <is>
          <t>是</t>
        </is>
      </c>
      <c r="V144" s="377" t="n"/>
      <c r="W144" s="377" t="n"/>
      <c r="X144" s="377" t="n"/>
      <c r="Y144" s="377" t="inlineStr">
        <is>
          <t>是</t>
        </is>
      </c>
      <c r="Z144" s="377" t="n"/>
      <c r="AA144" s="377" t="n"/>
      <c r="AB144" s="377" t="n"/>
      <c r="AC144" s="377" t="n"/>
      <c r="AD144" s="377" t="n"/>
      <c r="AE144" s="377" t="n"/>
      <c r="AF144" s="377" t="n"/>
      <c r="AG144" s="377" t="n"/>
      <c r="AH144" s="377" t="n"/>
    </row>
    <row r="145" ht="26.25" customHeight="1" s="1053">
      <c r="A145" s="377" t="inlineStr">
        <is>
          <t>同创汇</t>
        </is>
      </c>
      <c r="B145" s="377" t="inlineStr">
        <is>
          <t>二期</t>
        </is>
      </c>
      <c r="C145" s="377" t="n">
        <v>5230809</v>
      </c>
      <c r="D145" s="377" t="inlineStr">
        <is>
          <t>10:20-12:30</t>
        </is>
      </c>
      <c r="E145" s="377" t="inlineStr">
        <is>
          <t>潜能班</t>
        </is>
      </c>
      <c r="F145" s="377" t="inlineStr">
        <is>
          <t>吴佳恒</t>
        </is>
      </c>
      <c r="G145" s="377" t="inlineStr">
        <is>
          <t>李润</t>
        </is>
      </c>
      <c r="H145" s="377" t="n"/>
      <c r="I145" s="377" t="n"/>
      <c r="J145" s="377" t="inlineStr">
        <is>
          <t>王丽</t>
        </is>
      </c>
      <c r="K145" s="377" t="n"/>
      <c r="L145" s="377" t="n"/>
      <c r="M145" s="377" t="inlineStr">
        <is>
          <t>爸爸妈妈都会管</t>
        </is>
      </c>
      <c r="N145" s="377" t="inlineStr">
        <is>
          <t>阅读理解、作文深度</t>
        </is>
      </c>
      <c r="O145" s="377" t="inlineStr">
        <is>
          <t>数学、英语都在别的机构读，妈妈觉得孩子的阅读时间不够</t>
        </is>
      </c>
      <c r="P145" s="377" t="n">
        <v>295</v>
      </c>
      <c r="Q145" s="377" t="n">
        <v>30</v>
      </c>
      <c r="R145" s="377" t="n"/>
      <c r="S145" s="377" t="n"/>
      <c r="T145" s="377" t="inlineStr">
        <is>
          <t>是</t>
        </is>
      </c>
      <c r="U145" s="377" t="inlineStr">
        <is>
          <t>是</t>
        </is>
      </c>
      <c r="V145" s="377" t="n"/>
      <c r="W145" s="377" t="n"/>
      <c r="X145" s="377" t="n"/>
      <c r="Y145" s="377" t="inlineStr">
        <is>
          <t>是</t>
        </is>
      </c>
      <c r="Z145" s="377" t="n"/>
      <c r="AA145" s="377" t="n"/>
      <c r="AB145" s="377" t="n"/>
      <c r="AC145" s="377" t="n"/>
      <c r="AD145" s="377" t="n"/>
      <c r="AE145" s="377" t="n"/>
      <c r="AF145" s="377" t="n"/>
      <c r="AG145" s="377" t="n"/>
      <c r="AH145" s="377" t="n"/>
    </row>
    <row r="146" ht="26.25" customHeight="1" s="1053">
      <c r="A146" s="377" t="inlineStr">
        <is>
          <t>同创汇</t>
        </is>
      </c>
      <c r="B146" s="377" t="inlineStr">
        <is>
          <t>二期</t>
        </is>
      </c>
      <c r="C146" s="377" t="n">
        <v>5230809</v>
      </c>
      <c r="D146" s="377" t="inlineStr">
        <is>
          <t>10:20-12:30</t>
        </is>
      </c>
      <c r="E146" s="377" t="inlineStr">
        <is>
          <t>潜能班</t>
        </is>
      </c>
      <c r="F146" s="377" t="inlineStr">
        <is>
          <t>安安</t>
        </is>
      </c>
      <c r="G146" s="377" t="inlineStr">
        <is>
          <t>李润</t>
        </is>
      </c>
      <c r="H146" s="377" t="n"/>
      <c r="I146" s="377" t="n"/>
      <c r="J146" s="377" t="inlineStr">
        <is>
          <t>王丽</t>
        </is>
      </c>
      <c r="K146" s="377" t="n"/>
      <c r="L146" s="377" t="n"/>
      <c r="M146" s="377" t="n"/>
      <c r="N146" s="377" t="n"/>
      <c r="O146" s="377" t="n"/>
      <c r="P146" s="377" t="n"/>
      <c r="Q146" s="377" t="n"/>
      <c r="R146" s="377" t="n"/>
      <c r="S146" s="377" t="n"/>
      <c r="T146" s="377" t="n"/>
      <c r="U146" s="377" t="n"/>
      <c r="V146" s="377" t="n"/>
      <c r="W146" s="377" t="n"/>
      <c r="X146" s="377" t="n"/>
      <c r="Y146" s="377" t="n"/>
      <c r="Z146" s="377" t="n"/>
      <c r="AA146" s="377" t="n"/>
      <c r="AB146" s="377" t="n"/>
      <c r="AC146" s="377" t="n"/>
      <c r="AD146" s="377" t="n"/>
      <c r="AE146" s="377" t="n"/>
      <c r="AF146" s="377" t="n"/>
      <c r="AG146" s="377" t="n"/>
      <c r="AH146" s="377" t="n"/>
    </row>
    <row r="147" ht="26.25" customHeight="1" s="1053">
      <c r="A147" s="377" t="inlineStr">
        <is>
          <t>同创汇</t>
        </is>
      </c>
      <c r="B147" s="377" t="inlineStr">
        <is>
          <t>二期</t>
        </is>
      </c>
      <c r="C147" s="377" t="n">
        <v>5230809</v>
      </c>
      <c r="D147" s="377" t="inlineStr">
        <is>
          <t>10:20-12:30</t>
        </is>
      </c>
      <c r="E147" s="377" t="inlineStr">
        <is>
          <t>潜能班</t>
        </is>
      </c>
      <c r="F147" s="377" t="inlineStr">
        <is>
          <t>曲睿希</t>
        </is>
      </c>
      <c r="G147" s="377" t="inlineStr">
        <is>
          <t>李润</t>
        </is>
      </c>
      <c r="H147" s="377" t="inlineStr">
        <is>
          <t>何咏04</t>
        </is>
      </c>
      <c r="I147" s="377" t="inlineStr">
        <is>
          <t>刘希子</t>
        </is>
      </c>
      <c r="J147" s="377" t="inlineStr">
        <is>
          <t>王丽</t>
        </is>
      </c>
      <c r="K147" s="377" t="inlineStr">
        <is>
          <t>水荫路小学</t>
        </is>
      </c>
      <c r="L147" s="377" t="n"/>
      <c r="M147" s="377" t="inlineStr">
        <is>
          <t>作业托管班，周六下午还上托管数学</t>
        </is>
      </c>
      <c r="N147" s="377" t="inlineStr">
        <is>
          <t>衔接初中</t>
        </is>
      </c>
      <c r="O147" s="377" t="inlineStr">
        <is>
          <t>家里弟弟还要照顾，孩子慢热斯文，基本用手表联系，高年级后作业家里辅导不了就送托管了</t>
        </is>
      </c>
      <c r="P147" s="377" t="inlineStr">
        <is>
          <t>C-B</t>
        </is>
      </c>
      <c r="Q147" s="377" t="n"/>
      <c r="R147" s="377" t="n"/>
      <c r="S147" s="377" t="n"/>
      <c r="T147" s="377" t="inlineStr">
        <is>
          <t>是</t>
        </is>
      </c>
      <c r="U147" s="377" t="inlineStr">
        <is>
          <t>是</t>
        </is>
      </c>
      <c r="V147" s="377" t="n"/>
      <c r="W147" s="377" t="n"/>
      <c r="X147" s="377" t="n"/>
      <c r="Y147" s="377" t="n"/>
      <c r="Z147" s="377" t="n"/>
      <c r="AA147" s="377" t="n"/>
      <c r="AB147" s="377" t="n"/>
      <c r="AC147" s="377" t="n"/>
      <c r="AD147" s="377" t="n"/>
      <c r="AE147" s="377" t="n"/>
      <c r="AF147" s="377" t="n"/>
      <c r="AG147" s="377" t="n"/>
      <c r="AH147" s="377" t="n"/>
    </row>
    <row r="148" ht="26.25" customHeight="1" s="1053">
      <c r="A148" s="377" t="inlineStr">
        <is>
          <t>同创汇</t>
        </is>
      </c>
      <c r="B148" s="377" t="inlineStr">
        <is>
          <t>二期</t>
        </is>
      </c>
      <c r="C148" s="377" t="n">
        <v>5230809</v>
      </c>
      <c r="D148" s="377" t="inlineStr">
        <is>
          <t>10:20-12:30</t>
        </is>
      </c>
      <c r="E148" s="377" t="inlineStr">
        <is>
          <t>潜能班</t>
        </is>
      </c>
      <c r="F148" s="377" t="inlineStr">
        <is>
          <t>李思锊</t>
        </is>
      </c>
      <c r="G148" s="377" t="inlineStr">
        <is>
          <t>李润</t>
        </is>
      </c>
      <c r="H148" s="377" t="inlineStr">
        <is>
          <t>何咏04</t>
        </is>
      </c>
      <c r="I148" s="377" t="inlineStr">
        <is>
          <t>刘希子</t>
        </is>
      </c>
      <c r="J148" s="377" t="inlineStr">
        <is>
          <t>戎凯01</t>
        </is>
      </c>
      <c r="K148" s="377" t="n"/>
      <c r="L148" s="377" t="n"/>
      <c r="M148" s="377" t="inlineStr">
        <is>
          <t>主要靠自己</t>
        </is>
      </c>
      <c r="N148" s="377" t="inlineStr">
        <is>
          <t>阅读理解</t>
        </is>
      </c>
      <c r="O148" s="377" t="inlineStr">
        <is>
          <t>三科语文最弱，英语四岁开始学、数学学过半年奥数，用步步高学习机搜题，现在很少阅读，背诗很快</t>
        </is>
      </c>
      <c r="P148" s="377" t="inlineStr">
        <is>
          <t>90分左右</t>
        </is>
      </c>
      <c r="Q148" s="377" t="n">
        <v>30</v>
      </c>
      <c r="R148" s="377" t="n"/>
      <c r="S148" s="377" t="n"/>
      <c r="T148" s="377" t="inlineStr">
        <is>
          <t>是</t>
        </is>
      </c>
      <c r="U148" s="377" t="inlineStr">
        <is>
          <t>是</t>
        </is>
      </c>
      <c r="V148" s="377" t="n"/>
      <c r="W148" s="377" t="n"/>
      <c r="X148" s="377" t="n"/>
      <c r="Y148" s="377" t="inlineStr">
        <is>
          <t>是</t>
        </is>
      </c>
      <c r="Z148" s="377" t="n"/>
      <c r="AA148" s="377" t="n"/>
      <c r="AB148" s="377" t="n"/>
      <c r="AC148" s="377" t="n"/>
      <c r="AD148" s="377" t="n"/>
      <c r="AE148" s="377" t="n"/>
      <c r="AF148" s="377" t="n"/>
      <c r="AG148" s="377" t="n"/>
      <c r="AH148" s="377" t="n"/>
    </row>
    <row r="149" ht="26.25" customHeight="1" s="1053">
      <c r="A149" s="377" t="inlineStr">
        <is>
          <t>同创汇</t>
        </is>
      </c>
      <c r="B149" s="377" t="inlineStr">
        <is>
          <t>二期</t>
        </is>
      </c>
      <c r="C149" s="377" t="n">
        <v>5230809</v>
      </c>
      <c r="D149" s="377" t="inlineStr">
        <is>
          <t>10:20-12:30</t>
        </is>
      </c>
      <c r="E149" s="377" t="inlineStr">
        <is>
          <t>潜能班</t>
        </is>
      </c>
      <c r="F149" s="377" t="inlineStr">
        <is>
          <t>杨恩桐</t>
        </is>
      </c>
      <c r="G149" s="377" t="inlineStr">
        <is>
          <t>李润</t>
        </is>
      </c>
      <c r="H149" s="377" t="inlineStr">
        <is>
          <t>何咏04</t>
        </is>
      </c>
      <c r="I149" s="377" t="inlineStr">
        <is>
          <t>刘希子</t>
        </is>
      </c>
      <c r="J149" s="377" t="inlineStr">
        <is>
          <t>王丽</t>
        </is>
      </c>
      <c r="K149" s="377" t="n"/>
      <c r="L149" s="377" t="n"/>
      <c r="M149" s="377" t="inlineStr">
        <is>
          <t>要督促、不够自觉</t>
        </is>
      </c>
      <c r="N149" s="377" t="n"/>
      <c r="O149" s="377" t="n"/>
      <c r="P149" s="377" t="inlineStr">
        <is>
          <t>90左右</t>
        </is>
      </c>
      <c r="Q149" s="377" t="n"/>
      <c r="R149" s="377" t="n"/>
      <c r="S149" s="377" t="n"/>
      <c r="T149" s="377" t="inlineStr">
        <is>
          <t>是</t>
        </is>
      </c>
      <c r="U149" s="377" t="inlineStr">
        <is>
          <t>是</t>
        </is>
      </c>
      <c r="V149" s="377" t="n"/>
      <c r="W149" s="377" t="n"/>
      <c r="X149" s="377" t="n"/>
      <c r="Y149" s="377" t="inlineStr">
        <is>
          <t>是</t>
        </is>
      </c>
      <c r="Z149" s="377" t="n"/>
      <c r="AA149" s="377" t="n"/>
      <c r="AB149" s="377" t="n"/>
      <c r="AC149" s="377" t="n"/>
      <c r="AD149" s="377" t="n"/>
      <c r="AE149" s="377" t="n"/>
      <c r="AF149" s="377" t="n"/>
      <c r="AG149" s="377" t="n"/>
      <c r="AH149" s="377" t="n"/>
    </row>
    <row r="150" ht="26.25" customHeight="1" s="1053">
      <c r="A150" s="359" t="inlineStr">
        <is>
          <t>同创汇</t>
        </is>
      </c>
      <c r="B150" s="359" t="inlineStr">
        <is>
          <t>二期</t>
        </is>
      </c>
      <c r="C150" s="359" t="n">
        <v>5230809</v>
      </c>
      <c r="D150" s="359" t="inlineStr">
        <is>
          <t>10:20-12:30</t>
        </is>
      </c>
      <c r="E150" s="359" t="inlineStr">
        <is>
          <t>潜能班</t>
        </is>
      </c>
      <c r="F150" s="359" t="inlineStr">
        <is>
          <t>梁思雅</t>
        </is>
      </c>
      <c r="G150" s="359" t="inlineStr">
        <is>
          <t>李润</t>
        </is>
      </c>
      <c r="H150" s="359" t="inlineStr">
        <is>
          <t>何咏04</t>
        </is>
      </c>
      <c r="I150" s="359" t="inlineStr">
        <is>
          <t>刘希子</t>
        </is>
      </c>
      <c r="J150" s="359" t="inlineStr">
        <is>
          <t>戎凯01</t>
        </is>
      </c>
      <c r="O150" s="359" t="n"/>
      <c r="T150" s="359" t="inlineStr">
        <is>
          <t>是</t>
        </is>
      </c>
      <c r="Y150" s="359" t="inlineStr">
        <is>
          <t>是</t>
        </is>
      </c>
    </row>
    <row r="151" ht="26.25" customHeight="1" s="1053">
      <c r="A151" s="359" t="inlineStr">
        <is>
          <t>同创汇</t>
        </is>
      </c>
      <c r="B151" s="359" t="inlineStr">
        <is>
          <t>二期</t>
        </is>
      </c>
      <c r="C151" s="359" t="n">
        <v>5230809</v>
      </c>
      <c r="D151" s="359" t="inlineStr">
        <is>
          <t>10:20-12:30</t>
        </is>
      </c>
      <c r="E151" s="359" t="inlineStr">
        <is>
          <t>潜能班</t>
        </is>
      </c>
      <c r="F151" s="359" t="inlineStr">
        <is>
          <t>牛然希</t>
        </is>
      </c>
      <c r="G151" s="359" t="inlineStr">
        <is>
          <t>李润</t>
        </is>
      </c>
      <c r="H151" s="359" t="inlineStr">
        <is>
          <t>何咏04</t>
        </is>
      </c>
      <c r="I151" s="359" t="inlineStr">
        <is>
          <t>刘希子</t>
        </is>
      </c>
      <c r="J151" s="359" t="inlineStr">
        <is>
          <t>苏丽婷</t>
        </is>
      </c>
      <c r="O151" s="359" t="n"/>
      <c r="T151" s="359" t="inlineStr">
        <is>
          <t>是</t>
        </is>
      </c>
    </row>
    <row r="152" ht="26.25" customHeight="1" s="1053">
      <c r="A152" s="359" t="inlineStr">
        <is>
          <t>同创汇</t>
        </is>
      </c>
      <c r="B152" s="359" t="inlineStr">
        <is>
          <t>二期</t>
        </is>
      </c>
      <c r="C152" s="359" t="n">
        <v>5230809</v>
      </c>
      <c r="D152" s="359" t="inlineStr">
        <is>
          <t>10:20-12:30</t>
        </is>
      </c>
      <c r="E152" s="359" t="inlineStr">
        <is>
          <t>潜能班</t>
        </is>
      </c>
      <c r="F152" s="359" t="inlineStr">
        <is>
          <t>魏汀瑶</t>
        </is>
      </c>
      <c r="G152" s="359" t="inlineStr">
        <is>
          <t>李润</t>
        </is>
      </c>
      <c r="H152" s="359" t="inlineStr">
        <is>
          <t>何咏04</t>
        </is>
      </c>
      <c r="I152" s="359" t="inlineStr">
        <is>
          <t>刘希子</t>
        </is>
      </c>
      <c r="J152" s="359" t="inlineStr">
        <is>
          <t>龙倩敏</t>
        </is>
      </c>
      <c r="O152" s="350" t="inlineStr">
        <is>
          <t>否，家里都有安排有事，家长工作忙不接电话，孩子从幼儿园一直有上课外补习班，孩子比较依赖补习班，之前妈妈有问过秋季价格，报过三科总价，孩子现在有在上一对三</t>
        </is>
      </c>
      <c r="Q152" s="359" t="n">
        <v>31</v>
      </c>
      <c r="T152" s="359" t="inlineStr">
        <is>
          <t>是</t>
        </is>
      </c>
      <c r="U152" s="359" t="inlineStr">
        <is>
          <t>是</t>
        </is>
      </c>
    </row>
    <row r="153" ht="26.25" customHeight="1" s="1053">
      <c r="A153" s="359" t="inlineStr">
        <is>
          <t>同创汇</t>
        </is>
      </c>
      <c r="B153" s="359" t="inlineStr">
        <is>
          <t>二期</t>
        </is>
      </c>
      <c r="C153" s="359" t="n">
        <v>5230809</v>
      </c>
      <c r="D153" s="359" t="inlineStr">
        <is>
          <t>10:20-12:30</t>
        </is>
      </c>
      <c r="E153" s="359" t="inlineStr">
        <is>
          <t>潜能班</t>
        </is>
      </c>
      <c r="F153" s="359" t="inlineStr">
        <is>
          <t>黎迅宁</t>
        </is>
      </c>
      <c r="G153" s="359" t="inlineStr">
        <is>
          <t>李润</t>
        </is>
      </c>
      <c r="H153" s="359" t="inlineStr">
        <is>
          <t>陈中帅</t>
        </is>
      </c>
      <c r="I153" s="359" t="inlineStr">
        <is>
          <t>高心怡04</t>
        </is>
      </c>
      <c r="J153" s="359" t="inlineStr">
        <is>
          <t>苏丽婷</t>
        </is>
      </c>
      <c r="T153" s="359" t="inlineStr">
        <is>
          <t>是</t>
        </is>
      </c>
    </row>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Format="1" customHeight="1" s="342">
      <c r="A199" s="377" t="inlineStr">
        <is>
          <t>同创汇</t>
        </is>
      </c>
      <c r="B199" s="377" t="inlineStr">
        <is>
          <t>零期</t>
        </is>
      </c>
      <c r="C199" s="377" t="n">
        <v>5230722</v>
      </c>
      <c r="D199" s="377" t="inlineStr">
        <is>
          <t>15:50-18:00</t>
        </is>
      </c>
      <c r="E199" s="377" t="inlineStr">
        <is>
          <t>潜能班</t>
        </is>
      </c>
      <c r="F199" s="377" t="inlineStr">
        <is>
          <t xml:space="preserve"> </t>
        </is>
      </c>
      <c r="G199" s="377" t="inlineStr">
        <is>
          <t>李润</t>
        </is>
      </c>
      <c r="H199" s="377" t="inlineStr">
        <is>
          <t>陈中帅</t>
        </is>
      </c>
      <c r="I199" s="377" t="inlineStr">
        <is>
          <t>高心怡04</t>
        </is>
      </c>
      <c r="J199" s="342" t="inlineStr">
        <is>
          <t>戎凯01</t>
        </is>
      </c>
      <c r="O199" s="10" t="n"/>
      <c r="AI199" s="342" t="inlineStr">
        <is>
          <t>是</t>
        </is>
      </c>
      <c r="AL199" s="374" t="n"/>
    </row>
    <row r="200" ht="16.5" customHeight="1" s="1053">
      <c r="AL200" s="281" t="n"/>
    </row>
    <row r="201" ht="16.5" customHeight="1" s="1053">
      <c r="AL201" s="281" t="n"/>
    </row>
    <row r="202" ht="16.5" customHeight="1" s="1053">
      <c r="AL202" s="281" t="n"/>
    </row>
    <row r="203" ht="16.5" customHeight="1" s="1053">
      <c r="AL203" s="281" t="n"/>
    </row>
    <row r="204" ht="16.5" customHeight="1" s="1053">
      <c r="AL204" s="281" t="n"/>
    </row>
    <row r="205" ht="16.5" customHeight="1" s="1053">
      <c r="AL205" s="281" t="n"/>
    </row>
    <row r="206" ht="16.5" customHeight="1" s="1053">
      <c r="AL206" s="281" t="n"/>
    </row>
    <row r="207" ht="16.5" customHeight="1" s="1053">
      <c r="AL207" s="281" t="n"/>
    </row>
    <row r="208" ht="16.5" customHeight="1" s="1053">
      <c r="AL208" s="281" t="n"/>
    </row>
    <row r="209" ht="16.5" customHeight="1" s="1053">
      <c r="AL209" s="9"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row r="221" ht="16.5" customHeight="1" s="1053">
      <c r="AL221" s="281" t="n"/>
    </row>
    <row r="222" ht="16.5" customHeight="1" s="1053">
      <c r="AL222" s="281" t="n"/>
    </row>
    <row r="223" ht="16.5" customHeight="1" s="1053">
      <c r="AL223" s="281" t="n"/>
    </row>
    <row r="224" ht="16.5" customHeight="1" s="1053">
      <c r="AL224" s="281" t="n"/>
    </row>
    <row r="225" ht="16.5" customHeight="1" s="1053">
      <c r="AL225" s="281"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6" min="6" max="6"/>
    <col width="10" customWidth="1" style="381" min="11" max="12"/>
    <col width="26.625" customWidth="1" style="350" min="13" max="13"/>
    <col width="21.873046875" customWidth="1" style="350" min="14" max="14"/>
    <col width="20.4990234375" customWidth="1" style="350" min="15" max="15"/>
    <col width="10" customWidth="1" style="350" min="16" max="19"/>
  </cols>
  <sheetData>
    <row r="1" ht="26.25" customFormat="1" customHeight="1" s="385">
      <c r="A1" s="386" t="inlineStr">
        <is>
          <t>基本信息</t>
        </is>
      </c>
      <c r="K1" s="388" t="inlineStr">
        <is>
          <t>基本学情</t>
        </is>
      </c>
      <c r="P1" s="391" t="inlineStr">
        <is>
          <t>成绩</t>
        </is>
      </c>
      <c r="T1" s="392" t="inlineStr">
        <is>
          <t>课前建联</t>
        </is>
      </c>
      <c r="Z1" s="393" t="inlineStr">
        <is>
          <t>家长会</t>
        </is>
      </c>
      <c r="AD1" s="394" t="inlineStr">
        <is>
          <t>续费意愿盘点</t>
        </is>
      </c>
      <c r="AH1" s="394" t="inlineStr">
        <is>
          <t>续秋情况</t>
        </is>
      </c>
      <c r="AI1" s="56" t="inlineStr">
        <is>
          <t>首课电联</t>
        </is>
      </c>
    </row>
    <row r="2" ht="26.25" customFormat="1" customHeight="1" s="385">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841"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c r="Z2" s="395" t="inlineStr">
        <is>
          <t>课前家长会诺访</t>
        </is>
      </c>
      <c r="AA2" s="395" t="inlineStr">
        <is>
          <t>课前家长会到场</t>
        </is>
      </c>
      <c r="AB2" s="395" t="inlineStr">
        <is>
          <t>课中家长会诺访</t>
        </is>
      </c>
      <c r="AC2" s="395" t="inlineStr">
        <is>
          <t>课中家长会到场</t>
        </is>
      </c>
      <c r="AD2" s="842" t="inlineStr">
        <is>
          <t>学员分层
（主讲）</t>
        </is>
      </c>
      <c r="AE2" s="395" t="inlineStr">
        <is>
          <t>主讲判定依据</t>
        </is>
      </c>
      <c r="AF2" s="843" t="inlineStr">
        <is>
          <t>学员分层
（顾问）</t>
        </is>
      </c>
      <c r="AG2" s="395" t="inlineStr">
        <is>
          <t>顾问判定依据</t>
        </is>
      </c>
      <c r="AH2" s="394" t="n"/>
      <c r="AI2" s="56" t="inlineStr">
        <is>
          <t>是否电联</t>
        </is>
      </c>
      <c r="AJ2" s="56" t="inlineStr">
        <is>
          <t>学情备注</t>
        </is>
      </c>
    </row>
    <row r="3" ht="26.25" customHeight="1" s="1053">
      <c r="A3" s="364" t="inlineStr">
        <is>
          <t>新宝利</t>
        </is>
      </c>
      <c r="B3" s="364" t="inlineStr">
        <is>
          <t>一期</t>
        </is>
      </c>
      <c r="C3" s="364" t="n">
        <v>5230773</v>
      </c>
      <c r="D3" s="364" t="inlineStr">
        <is>
          <t>13:20-15:30</t>
        </is>
      </c>
      <c r="E3" s="364" t="inlineStr">
        <is>
          <t>潜能班</t>
        </is>
      </c>
      <c r="F3" s="364" t="inlineStr">
        <is>
          <t>朗朗</t>
        </is>
      </c>
      <c r="G3" s="364" t="inlineStr">
        <is>
          <t>陈南05</t>
        </is>
      </c>
      <c r="H3" s="364" t="inlineStr">
        <is>
          <t>何咏04</t>
        </is>
      </c>
      <c r="I3" s="364" t="inlineStr">
        <is>
          <t>肖锐03</t>
        </is>
      </c>
      <c r="J3" s="364" t="inlineStr">
        <is>
          <t>陈亮延</t>
        </is>
      </c>
      <c r="K3" s="364" t="n"/>
      <c r="L3" s="364" t="n"/>
      <c r="M3" s="364" t="n"/>
      <c r="N3" s="364" t="n"/>
      <c r="O3" s="364" t="n"/>
      <c r="P3" s="364" t="n"/>
      <c r="Q3" s="364" t="n">
        <v>49</v>
      </c>
      <c r="R3" s="364" t="n"/>
      <c r="S3" s="364" t="n"/>
      <c r="T3" s="364" t="inlineStr">
        <is>
          <t>是</t>
        </is>
      </c>
      <c r="U3" s="364" t="n"/>
      <c r="V3" s="364" t="n"/>
      <c r="W3" s="364" t="n"/>
      <c r="X3" s="364" t="n"/>
      <c r="Y3" s="364" t="n"/>
      <c r="Z3" s="364" t="n"/>
      <c r="AA3" s="364" t="n"/>
      <c r="AB3" s="364" t="n"/>
      <c r="AC3" s="364" t="n"/>
      <c r="AD3" s="364" t="n"/>
      <c r="AE3" s="364" t="n"/>
      <c r="AF3" s="364" t="n"/>
      <c r="AG3" s="364" t="n"/>
      <c r="AH3" s="364" t="n"/>
      <c r="AL3" s="281" t="n"/>
    </row>
    <row r="4" ht="26.25" customHeight="1" s="1053">
      <c r="A4" s="364" t="inlineStr">
        <is>
          <t>新宝利</t>
        </is>
      </c>
      <c r="B4" s="364" t="inlineStr">
        <is>
          <t>一期</t>
        </is>
      </c>
      <c r="C4" s="364" t="n">
        <v>5230773</v>
      </c>
      <c r="D4" s="364" t="inlineStr">
        <is>
          <t>13:20-15:30</t>
        </is>
      </c>
      <c r="E4" s="365" t="inlineStr">
        <is>
          <t>潜能班</t>
        </is>
      </c>
      <c r="F4" s="365" t="inlineStr">
        <is>
          <t>朱晋熙</t>
        </is>
      </c>
      <c r="G4" s="365" t="inlineStr">
        <is>
          <t>陈南05</t>
        </is>
      </c>
      <c r="H4" s="365" t="inlineStr">
        <is>
          <t>何咏04</t>
        </is>
      </c>
      <c r="I4" s="365" t="inlineStr">
        <is>
          <t>肖锐03</t>
        </is>
      </c>
      <c r="J4" s="365" t="inlineStr">
        <is>
          <t>林志豪01</t>
        </is>
      </c>
      <c r="K4" s="365" t="n"/>
      <c r="L4" s="365" t="n"/>
      <c r="M4" s="365" t="n"/>
      <c r="N4" s="365" t="n"/>
      <c r="O4" s="365" t="n"/>
      <c r="P4" s="365" t="n"/>
      <c r="Q4" s="365" t="n"/>
      <c r="R4" s="365" t="n"/>
      <c r="S4" s="365" t="n"/>
      <c r="T4" s="364" t="inlineStr">
        <is>
          <t>是</t>
        </is>
      </c>
      <c r="U4" s="365" t="n"/>
      <c r="V4" s="365" t="n"/>
      <c r="W4" s="365" t="n"/>
      <c r="X4" s="365" t="n"/>
      <c r="Y4" s="365" t="n"/>
      <c r="Z4" s="365" t="n"/>
      <c r="AA4" s="365" t="n"/>
      <c r="AB4" s="365" t="n"/>
      <c r="AC4" s="365" t="n"/>
      <c r="AD4" s="365" t="n"/>
      <c r="AE4" s="365" t="n"/>
      <c r="AF4" s="365" t="n"/>
      <c r="AG4" s="365" t="n"/>
      <c r="AH4" s="365" t="n"/>
      <c r="AL4" s="281" t="n"/>
    </row>
    <row r="5" ht="26.25" customHeight="1" s="1053">
      <c r="A5" s="364" t="inlineStr">
        <is>
          <t>新宝利</t>
        </is>
      </c>
      <c r="B5" s="364" t="inlineStr">
        <is>
          <t>一期</t>
        </is>
      </c>
      <c r="C5" s="364" t="n">
        <v>5230773</v>
      </c>
      <c r="D5" s="364" t="inlineStr">
        <is>
          <t>13:20-15:30</t>
        </is>
      </c>
      <c r="E5" s="364" t="inlineStr">
        <is>
          <t>潜能班</t>
        </is>
      </c>
      <c r="F5" s="364" t="inlineStr">
        <is>
          <t>林钰琪</t>
        </is>
      </c>
      <c r="G5" s="364" t="inlineStr">
        <is>
          <t>陈南05</t>
        </is>
      </c>
      <c r="H5" s="364" t="inlineStr">
        <is>
          <t>何咏04</t>
        </is>
      </c>
      <c r="I5" s="364" t="inlineStr">
        <is>
          <t>肖锐03</t>
        </is>
      </c>
      <c r="J5" s="364" t="inlineStr">
        <is>
          <t>张敏烨</t>
        </is>
      </c>
      <c r="K5" s="364" t="n"/>
      <c r="L5" s="364" t="n"/>
      <c r="M5" s="364" t="inlineStr">
        <is>
          <t>上课安静，活动疯，习惯还行，知识吸收效果很不错</t>
        </is>
      </c>
      <c r="N5" s="364" t="n"/>
      <c r="O5" s="364" t="inlineStr">
        <is>
          <t>妈妈认可，孩子在家反馈说今天上课很有趣，她挺喜欢的</t>
        </is>
      </c>
      <c r="P5" s="364" t="n"/>
      <c r="Q5" s="364" t="n">
        <v>36</v>
      </c>
      <c r="R5" s="364" t="n"/>
      <c r="S5" s="364" t="n"/>
      <c r="T5" s="364" t="inlineStr">
        <is>
          <t>是</t>
        </is>
      </c>
      <c r="U5" s="364" t="inlineStr">
        <is>
          <t>是</t>
        </is>
      </c>
      <c r="V5" s="364" t="n"/>
      <c r="W5" s="364" t="n"/>
      <c r="X5" s="364" t="n"/>
      <c r="Y5" s="364" t="n"/>
      <c r="Z5" s="364" t="n"/>
      <c r="AA5" s="364" t="n"/>
      <c r="AB5" s="364" t="n"/>
      <c r="AC5" s="364" t="n"/>
      <c r="AD5" s="364" t="n"/>
      <c r="AE5" s="364" t="n"/>
      <c r="AF5" s="364" t="n"/>
      <c r="AG5" s="364" t="n"/>
      <c r="AH5" s="364" t="n"/>
      <c r="AL5" s="281" t="n"/>
    </row>
    <row r="6" ht="26.25" customHeight="1" s="1053">
      <c r="A6" s="364" t="inlineStr">
        <is>
          <t>新宝利</t>
        </is>
      </c>
      <c r="B6" s="364" t="inlineStr">
        <is>
          <t>一期</t>
        </is>
      </c>
      <c r="C6" s="364" t="n">
        <v>5230773</v>
      </c>
      <c r="D6" s="364" t="inlineStr">
        <is>
          <t>13:20-15:30</t>
        </is>
      </c>
      <c r="E6" s="364" t="inlineStr">
        <is>
          <t>潜能班</t>
        </is>
      </c>
      <c r="F6" s="364" t="inlineStr">
        <is>
          <t>林靖桐</t>
        </is>
      </c>
      <c r="G6" s="364" t="inlineStr">
        <is>
          <t>陈南05</t>
        </is>
      </c>
      <c r="H6" s="364" t="inlineStr">
        <is>
          <t>何咏04</t>
        </is>
      </c>
      <c r="I6" s="364" t="inlineStr">
        <is>
          <t>肖锐03</t>
        </is>
      </c>
      <c r="J6" s="364" t="inlineStr">
        <is>
          <t>张敏烨</t>
        </is>
      </c>
      <c r="K6" s="364" t="n"/>
      <c r="L6" s="364" t="n"/>
      <c r="M6" s="364" t="n"/>
      <c r="N6" s="364" t="n"/>
      <c r="O6" s="364" t="n"/>
      <c r="P6" s="364" t="n"/>
      <c r="Q6" s="364" t="n"/>
      <c r="R6" s="364" t="n"/>
      <c r="S6" s="364" t="n"/>
      <c r="T6" s="364" t="inlineStr">
        <is>
          <t>是</t>
        </is>
      </c>
      <c r="U6" s="364" t="n"/>
      <c r="V6" s="364" t="n"/>
      <c r="W6" s="364" t="n"/>
      <c r="X6" s="364" t="n"/>
      <c r="Y6" s="364" t="n"/>
      <c r="Z6" s="364" t="n"/>
      <c r="AA6" s="364" t="n"/>
      <c r="AB6" s="364" t="n"/>
      <c r="AC6" s="364" t="n"/>
      <c r="AD6" s="364" t="n"/>
      <c r="AE6" s="364" t="n"/>
      <c r="AF6" s="364" t="n"/>
      <c r="AG6" s="364" t="n"/>
      <c r="AH6" s="364" t="n"/>
      <c r="AL6" s="281" t="n"/>
    </row>
    <row r="7" ht="26.25" customHeight="1" s="1053">
      <c r="A7" s="364" t="inlineStr">
        <is>
          <t>新宝利</t>
        </is>
      </c>
      <c r="B7" s="364" t="inlineStr">
        <is>
          <t>一期</t>
        </is>
      </c>
      <c r="C7" s="364" t="n">
        <v>5230773</v>
      </c>
      <c r="D7" s="364" t="inlineStr">
        <is>
          <t>13:20-15:30</t>
        </is>
      </c>
      <c r="E7" s="364" t="inlineStr">
        <is>
          <t>潜能班</t>
        </is>
      </c>
      <c r="F7" s="364" t="inlineStr">
        <is>
          <t>林骏锋</t>
        </is>
      </c>
      <c r="G7" s="364" t="inlineStr">
        <is>
          <t>陈南05</t>
        </is>
      </c>
      <c r="H7" s="364" t="inlineStr">
        <is>
          <t>何咏04</t>
        </is>
      </c>
      <c r="I7" s="364" t="inlineStr">
        <is>
          <t>肖锐03</t>
        </is>
      </c>
      <c r="J7" s="364" t="inlineStr">
        <is>
          <t>林志豪01</t>
        </is>
      </c>
      <c r="K7" s="364" t="n"/>
      <c r="L7" s="364" t="n"/>
      <c r="M7" s="364" t="inlineStr">
        <is>
          <t>态度很消极</t>
        </is>
      </c>
      <c r="N7" s="364" t="n"/>
      <c r="O7" s="364" t="inlineStr">
        <is>
          <t>家长反映暑假课只打发时间</t>
        </is>
      </c>
      <c r="P7" s="364" t="inlineStr">
        <is>
          <t>关浩言转介绍</t>
        </is>
      </c>
      <c r="Q7" s="364" t="n"/>
      <c r="R7" s="364" t="n"/>
      <c r="S7" s="364" t="n"/>
      <c r="T7" s="364" t="inlineStr">
        <is>
          <t>是</t>
        </is>
      </c>
      <c r="U7" s="364" t="inlineStr">
        <is>
          <t>是</t>
        </is>
      </c>
      <c r="V7" s="364" t="n"/>
      <c r="W7" s="364" t="n"/>
      <c r="X7" s="364" t="n"/>
      <c r="Y7" s="364" t="n"/>
      <c r="Z7" s="364" t="n"/>
      <c r="AA7" s="364" t="n"/>
      <c r="AB7" s="364" t="n"/>
      <c r="AC7" s="364" t="n"/>
      <c r="AD7" s="364" t="n"/>
      <c r="AE7" s="364" t="n"/>
      <c r="AF7" s="364" t="n"/>
      <c r="AG7" s="364" t="n"/>
      <c r="AH7" s="364" t="n"/>
      <c r="AL7" s="281" t="n"/>
    </row>
    <row r="8" ht="26.25" customHeight="1" s="1053">
      <c r="A8" s="364" t="inlineStr">
        <is>
          <t>新宝利</t>
        </is>
      </c>
      <c r="B8" s="364" t="inlineStr">
        <is>
          <t>一期</t>
        </is>
      </c>
      <c r="C8" s="364" t="n">
        <v>5230773</v>
      </c>
      <c r="D8" s="364" t="inlineStr">
        <is>
          <t>13:20-15:30</t>
        </is>
      </c>
      <c r="E8" s="364" t="inlineStr">
        <is>
          <t>潜能班</t>
        </is>
      </c>
      <c r="F8" s="364" t="inlineStr">
        <is>
          <t>欧阳紫晴</t>
        </is>
      </c>
      <c r="G8" s="364" t="inlineStr">
        <is>
          <t>陈南05</t>
        </is>
      </c>
      <c r="H8" s="364" t="inlineStr">
        <is>
          <t>何咏04</t>
        </is>
      </c>
      <c r="I8" s="364" t="inlineStr">
        <is>
          <t>肖锐03</t>
        </is>
      </c>
      <c r="J8" s="364" t="inlineStr">
        <is>
          <t>张敏烨</t>
        </is>
      </c>
      <c r="K8" s="364" t="n"/>
      <c r="L8" s="364" t="n"/>
      <c r="M8" s="364" t="n"/>
      <c r="N8" s="364" t="n"/>
      <c r="O8" s="364" t="n"/>
      <c r="P8" s="364" t="n"/>
      <c r="Q8" s="364" t="n">
        <v>30</v>
      </c>
      <c r="R8" s="364" t="n"/>
      <c r="S8" s="364" t="n"/>
      <c r="T8" s="364" t="inlineStr">
        <is>
          <t>是</t>
        </is>
      </c>
      <c r="U8" s="364" t="inlineStr">
        <is>
          <t>是</t>
        </is>
      </c>
      <c r="V8" s="364" t="n"/>
      <c r="W8" s="364" t="n"/>
      <c r="X8" s="364" t="n"/>
      <c r="Y8" s="364" t="n"/>
      <c r="Z8" s="364" t="n"/>
      <c r="AA8" s="364" t="n"/>
      <c r="AB8" s="364" t="n"/>
      <c r="AC8" s="364" t="n"/>
      <c r="AD8" s="364" t="n"/>
      <c r="AE8" s="364" t="n"/>
      <c r="AF8" s="364" t="n"/>
      <c r="AG8" s="364" t="n"/>
      <c r="AH8" s="364" t="n"/>
      <c r="AL8" s="281" t="n"/>
    </row>
    <row r="9" ht="26.25" customHeight="1" s="1053">
      <c r="A9" s="364" t="inlineStr">
        <is>
          <t>新宝利</t>
        </is>
      </c>
      <c r="B9" s="364" t="inlineStr">
        <is>
          <t>一期</t>
        </is>
      </c>
      <c r="C9" s="364" t="n">
        <v>5230773</v>
      </c>
      <c r="D9" s="364" t="inlineStr">
        <is>
          <t>13:20-15:30</t>
        </is>
      </c>
      <c r="E9" s="364" t="inlineStr">
        <is>
          <t>潜能班</t>
        </is>
      </c>
      <c r="F9" s="364" t="inlineStr">
        <is>
          <t>王若清</t>
        </is>
      </c>
      <c r="G9" s="364" t="inlineStr">
        <is>
          <t>陈南05</t>
        </is>
      </c>
      <c r="H9" s="364" t="inlineStr">
        <is>
          <t>何咏04</t>
        </is>
      </c>
      <c r="I9" s="364" t="inlineStr">
        <is>
          <t>肖锐03</t>
        </is>
      </c>
      <c r="J9" s="364" t="inlineStr">
        <is>
          <t>沈思浩</t>
        </is>
      </c>
      <c r="K9" s="364" t="n"/>
      <c r="L9" s="364" t="n"/>
      <c r="M9" s="364" t="n"/>
      <c r="N9" s="364" t="n"/>
      <c r="O9" s="364" t="n"/>
      <c r="P9" s="364" t="n"/>
      <c r="Q9" s="364" t="n">
        <v>30</v>
      </c>
      <c r="R9" s="364" t="n"/>
      <c r="S9" s="364" t="n"/>
      <c r="T9" s="364" t="inlineStr">
        <is>
          <t>是</t>
        </is>
      </c>
      <c r="U9" s="364" t="inlineStr">
        <is>
          <t>是</t>
        </is>
      </c>
      <c r="V9" s="364" t="n"/>
      <c r="W9" s="364" t="n"/>
      <c r="X9" s="364" t="n"/>
      <c r="Y9" s="364" t="n"/>
      <c r="Z9" s="364" t="n"/>
      <c r="AA9" s="364" t="n"/>
      <c r="AB9" s="364" t="n"/>
      <c r="AC9" s="364" t="n"/>
      <c r="AD9" s="364" t="n"/>
      <c r="AE9" s="364" t="n"/>
      <c r="AF9" s="364" t="n"/>
      <c r="AG9" s="364" t="n"/>
      <c r="AH9" s="364" t="n"/>
      <c r="AL9" s="281" t="n"/>
    </row>
    <row r="10" ht="26.25" customHeight="1" s="1053">
      <c r="A10" s="364" t="inlineStr">
        <is>
          <t>新宝利</t>
        </is>
      </c>
      <c r="B10" s="364" t="inlineStr">
        <is>
          <t>一期</t>
        </is>
      </c>
      <c r="C10" s="364" t="n">
        <v>5230773</v>
      </c>
      <c r="D10" s="364" t="inlineStr">
        <is>
          <t>13:20-15:30</t>
        </is>
      </c>
      <c r="E10" s="365" t="inlineStr">
        <is>
          <t>潜能班</t>
        </is>
      </c>
      <c r="F10" s="365" t="inlineStr">
        <is>
          <t>罗蕴欣</t>
        </is>
      </c>
      <c r="G10" s="365" t="inlineStr">
        <is>
          <t>陈南05</t>
        </is>
      </c>
      <c r="H10" s="365" t="n"/>
      <c r="I10" s="365" t="n"/>
      <c r="J10" s="365" t="inlineStr">
        <is>
          <t>陈亮延</t>
        </is>
      </c>
      <c r="K10" s="365" t="n"/>
      <c r="L10" s="365" t="n"/>
      <c r="M10" s="365" t="n"/>
      <c r="N10" s="365" t="n"/>
      <c r="O10" s="365" t="n"/>
      <c r="P10" s="365" t="n"/>
      <c r="Q10" s="365" t="n"/>
      <c r="R10" s="365" t="n"/>
      <c r="S10" s="365" t="n"/>
      <c r="T10" s="365" t="n"/>
      <c r="U10" s="365" t="n"/>
      <c r="V10" s="365" t="n"/>
      <c r="W10" s="365" t="n"/>
      <c r="X10" s="365" t="n"/>
      <c r="Y10" s="365" t="n"/>
      <c r="Z10" s="365" t="n"/>
      <c r="AA10" s="365" t="n"/>
      <c r="AB10" s="365" t="n"/>
      <c r="AC10" s="365" t="n"/>
      <c r="AD10" s="365" t="n"/>
      <c r="AE10" s="365" t="n"/>
      <c r="AF10" s="365" t="n"/>
      <c r="AG10" s="365" t="n"/>
      <c r="AH10" s="365" t="n"/>
      <c r="AL10" s="119" t="n"/>
    </row>
    <row r="11" ht="26.25" customHeight="1" s="1053">
      <c r="A11" s="364" t="inlineStr">
        <is>
          <t>新宝利</t>
        </is>
      </c>
      <c r="B11" s="364" t="inlineStr">
        <is>
          <t>一期</t>
        </is>
      </c>
      <c r="C11" s="364" t="n">
        <v>5230773</v>
      </c>
      <c r="D11" s="364" t="inlineStr">
        <is>
          <t>13:20-15:30</t>
        </is>
      </c>
      <c r="E11" s="364" t="inlineStr">
        <is>
          <t>潜能班</t>
        </is>
      </c>
      <c r="F11" s="364" t="inlineStr">
        <is>
          <t>苍云轩</t>
        </is>
      </c>
      <c r="G11" s="364" t="inlineStr">
        <is>
          <t>陈南05</t>
        </is>
      </c>
      <c r="H11" s="364" t="inlineStr">
        <is>
          <t>何咏04</t>
        </is>
      </c>
      <c r="I11" s="364" t="inlineStr">
        <is>
          <t>肖锐03</t>
        </is>
      </c>
      <c r="J11" s="364" t="inlineStr">
        <is>
          <t>陈亮延</t>
        </is>
      </c>
      <c r="K11" s="364" t="n"/>
      <c r="L11" s="364" t="n"/>
      <c r="M11" s="364" t="inlineStr">
        <is>
          <t>习惯很差，不专注，不会主动做笔记，从不回答问题</t>
        </is>
      </c>
      <c r="N11" s="364" t="inlineStr">
        <is>
          <t>语文很差</t>
        </is>
      </c>
      <c r="O11" s="364" t="n"/>
      <c r="P11" s="364" t="n"/>
      <c r="Q11" s="364" t="n">
        <v>25</v>
      </c>
      <c r="R11" s="364" t="n"/>
      <c r="S11" s="364" t="n"/>
      <c r="T11" s="364" t="inlineStr">
        <is>
          <t>是</t>
        </is>
      </c>
      <c r="U11" s="364" t="inlineStr">
        <is>
          <t>是</t>
        </is>
      </c>
      <c r="V11" s="364" t="n"/>
      <c r="W11" s="364" t="n"/>
      <c r="X11" s="364" t="n"/>
      <c r="Y11" s="364" t="n"/>
      <c r="Z11" s="364" t="n"/>
      <c r="AA11" s="364" t="n"/>
      <c r="AB11" s="364" t="n"/>
      <c r="AC11" s="364" t="n"/>
      <c r="AD11" s="364" t="n"/>
      <c r="AE11" s="364" t="n"/>
      <c r="AF11" s="364" t="n"/>
      <c r="AG11" s="364" t="n"/>
      <c r="AH11" s="364" t="n"/>
      <c r="AL11" s="7" t="n"/>
    </row>
    <row r="12" ht="26.25" customHeight="1" s="1053">
      <c r="A12" s="364" t="inlineStr">
        <is>
          <t>新宝利</t>
        </is>
      </c>
      <c r="B12" s="364" t="inlineStr">
        <is>
          <t>一期</t>
        </is>
      </c>
      <c r="C12" s="364" t="n">
        <v>5230773</v>
      </c>
      <c r="D12" s="364" t="inlineStr">
        <is>
          <t>13:20-15:30</t>
        </is>
      </c>
      <c r="E12" s="364" t="inlineStr">
        <is>
          <t>潜能班</t>
        </is>
      </c>
      <c r="F12" s="364" t="inlineStr">
        <is>
          <t>赖信雅</t>
        </is>
      </c>
      <c r="G12" s="364" t="inlineStr">
        <is>
          <t>陈南05</t>
        </is>
      </c>
      <c r="H12" s="364" t="inlineStr">
        <is>
          <t>何咏04</t>
        </is>
      </c>
      <c r="I12" s="364" t="inlineStr">
        <is>
          <t>肖锐03</t>
        </is>
      </c>
      <c r="J12" s="364" t="inlineStr">
        <is>
          <t>沈思浩</t>
        </is>
      </c>
      <c r="K12" s="364" t="n"/>
      <c r="L12" s="364" t="n"/>
      <c r="M12" s="364" t="n"/>
      <c r="N12" s="364" t="n"/>
      <c r="O12" s="364" t="inlineStr">
        <is>
          <t>爸爸是新东方市场渠道负责人，拒绝线下诊断。大概率是咨单获取情报</t>
        </is>
      </c>
      <c r="P12" s="364" t="n"/>
      <c r="Q12" s="364" t="n"/>
      <c r="R12" s="364" t="n"/>
      <c r="S12" s="364" t="n"/>
      <c r="T12" s="364" t="inlineStr">
        <is>
          <t>是</t>
        </is>
      </c>
      <c r="U12" s="364" t="inlineStr">
        <is>
          <t>是</t>
        </is>
      </c>
      <c r="V12" s="364" t="n"/>
      <c r="W12" s="364" t="n"/>
      <c r="X12" s="364" t="n"/>
      <c r="Y12" s="364" t="n"/>
      <c r="Z12" s="364" t="n"/>
      <c r="AA12" s="364" t="n"/>
      <c r="AB12" s="364" t="n"/>
      <c r="AC12" s="364" t="n"/>
      <c r="AD12" s="364" t="n"/>
      <c r="AE12" s="364" t="n"/>
      <c r="AF12" s="364" t="n"/>
      <c r="AG12" s="364" t="n"/>
      <c r="AH12" s="364" t="n"/>
      <c r="AL12" s="7" t="n"/>
    </row>
    <row r="13" ht="26.25" customHeight="1" s="1053">
      <c r="A13" s="364" t="inlineStr">
        <is>
          <t>新宝利</t>
        </is>
      </c>
      <c r="B13" s="364" t="inlineStr">
        <is>
          <t>一期</t>
        </is>
      </c>
      <c r="C13" s="364" t="n">
        <v>5230773</v>
      </c>
      <c r="D13" s="364" t="inlineStr">
        <is>
          <t>13:20-15:30</t>
        </is>
      </c>
      <c r="E13" s="364" t="inlineStr">
        <is>
          <t>潜能班</t>
        </is>
      </c>
      <c r="F13" s="364" t="inlineStr">
        <is>
          <t>钟文可</t>
        </is>
      </c>
      <c r="G13" s="364" t="inlineStr">
        <is>
          <t>陈南05</t>
        </is>
      </c>
      <c r="H13" s="364" t="inlineStr">
        <is>
          <t>何咏04</t>
        </is>
      </c>
      <c r="I13" s="364" t="inlineStr">
        <is>
          <t>肖锐03</t>
        </is>
      </c>
      <c r="J13" s="364" t="inlineStr">
        <is>
          <t>林志豪01</t>
        </is>
      </c>
      <c r="K13" s="364" t="n"/>
      <c r="L13" s="364" t="n"/>
      <c r="M13" s="364" t="n"/>
      <c r="N13" s="364" t="n"/>
      <c r="O13" s="364" t="n"/>
      <c r="P13" s="364" t="n"/>
      <c r="Q13" s="364" t="n"/>
      <c r="R13" s="364" t="n"/>
      <c r="S13" s="364" t="n"/>
      <c r="T13" s="364" t="inlineStr">
        <is>
          <t>是</t>
        </is>
      </c>
      <c r="U13" s="364" t="n"/>
      <c r="V13" s="364" t="n"/>
      <c r="W13" s="364" t="n"/>
      <c r="X13" s="364" t="n"/>
      <c r="Y13" s="364" t="n"/>
      <c r="Z13" s="364" t="n"/>
      <c r="AA13" s="364" t="n"/>
      <c r="AB13" s="364" t="n"/>
      <c r="AC13" s="364" t="n"/>
      <c r="AD13" s="364" t="n"/>
      <c r="AE13" s="364" t="n"/>
      <c r="AF13" s="364" t="n"/>
      <c r="AG13" s="364" t="n"/>
      <c r="AH13" s="364" t="n"/>
      <c r="AL13" s="7" t="n"/>
    </row>
    <row r="14" ht="26.25" customHeight="1" s="1053">
      <c r="A14" s="364" t="inlineStr">
        <is>
          <t>新宝利</t>
        </is>
      </c>
      <c r="B14" s="364" t="inlineStr">
        <is>
          <t>一期</t>
        </is>
      </c>
      <c r="C14" s="364" t="n">
        <v>5230773</v>
      </c>
      <c r="D14" s="364" t="inlineStr">
        <is>
          <t>13:20-15:30</t>
        </is>
      </c>
      <c r="E14" s="364" t="inlineStr">
        <is>
          <t>潜能班</t>
        </is>
      </c>
      <c r="F14" s="364" t="inlineStr">
        <is>
          <t>黄愉晴</t>
        </is>
      </c>
      <c r="G14" s="364" t="inlineStr">
        <is>
          <t>陈南05</t>
        </is>
      </c>
      <c r="H14" s="364" t="inlineStr">
        <is>
          <t>何咏04</t>
        </is>
      </c>
      <c r="I14" s="364" t="inlineStr">
        <is>
          <t>肖锐03</t>
        </is>
      </c>
      <c r="J14" s="364" t="inlineStr">
        <is>
          <t>杨林33</t>
        </is>
      </c>
      <c r="K14" s="364" t="n"/>
      <c r="L14" s="364" t="n"/>
      <c r="M14" s="364" t="n"/>
      <c r="N14" s="364" t="n"/>
      <c r="O14" s="364" t="n"/>
      <c r="P14" s="364" t="n"/>
      <c r="Q14" s="364" t="n">
        <v>33</v>
      </c>
      <c r="R14" s="364" t="n"/>
      <c r="S14" s="364" t="n"/>
      <c r="T14" s="364" t="inlineStr">
        <is>
          <t>是</t>
        </is>
      </c>
      <c r="U14" s="364" t="n"/>
      <c r="V14" s="364" t="n"/>
      <c r="W14" s="364" t="n"/>
      <c r="X14" s="364" t="n"/>
      <c r="Y14" s="364" t="n"/>
      <c r="Z14" s="364" t="n"/>
      <c r="AA14" s="364" t="n"/>
      <c r="AB14" s="364" t="n"/>
      <c r="AC14" s="364" t="n"/>
      <c r="AD14" s="364" t="n"/>
      <c r="AE14" s="364" t="n"/>
      <c r="AF14" s="364" t="n"/>
      <c r="AG14" s="364" t="n"/>
      <c r="AH14" s="364" t="n"/>
      <c r="AL14" s="7" t="n"/>
    </row>
    <row r="15" ht="26.25" customHeight="1" s="1053">
      <c r="A15" s="364" t="inlineStr">
        <is>
          <t>新宝利</t>
        </is>
      </c>
      <c r="B15" s="364" t="inlineStr">
        <is>
          <t>一期</t>
        </is>
      </c>
      <c r="C15" s="364" t="n">
        <v>5230773</v>
      </c>
      <c r="D15" s="364" t="inlineStr">
        <is>
          <t>13:20-15:30</t>
        </is>
      </c>
      <c r="E15" s="364" t="inlineStr">
        <is>
          <t>潜能班</t>
        </is>
      </c>
      <c r="F15" s="364" t="inlineStr">
        <is>
          <t>黄梓烨</t>
        </is>
      </c>
      <c r="G15" s="364" t="inlineStr">
        <is>
          <t>陈南05</t>
        </is>
      </c>
      <c r="H15" s="364" t="inlineStr">
        <is>
          <t>何咏04</t>
        </is>
      </c>
      <c r="I15" s="364" t="inlineStr">
        <is>
          <t>肖锐03</t>
        </is>
      </c>
      <c r="J15" s="364" t="inlineStr">
        <is>
          <t>杨林33</t>
        </is>
      </c>
      <c r="K15" s="364" t="n"/>
      <c r="L15" s="364" t="n"/>
      <c r="M15" s="364" t="inlineStr">
        <is>
          <t>习惯很好，上课能紧跟节奏回答问题，知识吸收效果也不错</t>
        </is>
      </c>
      <c r="N15" s="364" t="inlineStr">
        <is>
          <t>对于踩分点的把握比较弱</t>
        </is>
      </c>
      <c r="O15" s="364" t="inlineStr">
        <is>
          <t>妈妈特别认可课堂氛围</t>
        </is>
      </c>
      <c r="P15" s="364" t="n"/>
      <c r="Q15" s="364" t="n"/>
      <c r="R15" s="364" t="n"/>
      <c r="S15" s="364" t="n"/>
      <c r="T15" s="364" t="inlineStr">
        <is>
          <t>是</t>
        </is>
      </c>
      <c r="U15" s="364" t="inlineStr">
        <is>
          <t>是</t>
        </is>
      </c>
      <c r="V15" s="364" t="n"/>
      <c r="W15" s="364" t="n"/>
      <c r="X15" s="364" t="n"/>
      <c r="Y15" s="364" t="n"/>
      <c r="Z15" s="364" t="n"/>
      <c r="AA15" s="364" t="n"/>
      <c r="AB15" s="364" t="n"/>
      <c r="AC15" s="364" t="n"/>
      <c r="AD15" s="364" t="n"/>
      <c r="AE15" s="364" t="n"/>
      <c r="AF15" s="364" t="n"/>
      <c r="AG15" s="364" t="n"/>
      <c r="AH15" s="364" t="n"/>
      <c r="AL15" s="119" t="n"/>
    </row>
    <row r="16" ht="26.25" customHeight="1" s="1053">
      <c r="A16" s="364" t="inlineStr">
        <is>
          <t>新宝利</t>
        </is>
      </c>
      <c r="B16" s="364" t="inlineStr">
        <is>
          <t>一期</t>
        </is>
      </c>
      <c r="C16" s="364" t="n">
        <v>5230773</v>
      </c>
      <c r="D16" s="364" t="inlineStr">
        <is>
          <t>13:20-15:30</t>
        </is>
      </c>
      <c r="E16" s="364" t="inlineStr">
        <is>
          <t>潜能班</t>
        </is>
      </c>
      <c r="F16" s="364" t="inlineStr">
        <is>
          <t>黄诗榆</t>
        </is>
      </c>
      <c r="G16" s="364" t="inlineStr">
        <is>
          <t>陈南05</t>
        </is>
      </c>
      <c r="H16" s="364" t="inlineStr">
        <is>
          <t>何咏04</t>
        </is>
      </c>
      <c r="I16" s="364" t="inlineStr">
        <is>
          <t>肖锐03</t>
        </is>
      </c>
      <c r="J16" s="364" t="inlineStr">
        <is>
          <t>林志豪01</t>
        </is>
      </c>
      <c r="K16" s="364" t="n"/>
      <c r="L16" s="364" t="n"/>
      <c r="M16" s="364" t="n"/>
      <c r="N16" s="364" t="n"/>
      <c r="O16" s="364" t="n"/>
      <c r="P16" s="364" t="n"/>
      <c r="Q16" s="364" t="n"/>
      <c r="R16" s="364" t="n"/>
      <c r="S16" s="364" t="n"/>
      <c r="T16" s="364" t="inlineStr">
        <is>
          <t>是</t>
        </is>
      </c>
      <c r="U16" s="364" t="n"/>
      <c r="V16" s="364" t="n"/>
      <c r="W16" s="364" t="n"/>
      <c r="X16" s="364" t="n"/>
      <c r="Y16" s="364" t="n"/>
      <c r="Z16" s="364" t="n"/>
      <c r="AA16" s="364" t="n"/>
      <c r="AB16" s="364" t="n"/>
      <c r="AC16" s="364" t="n"/>
      <c r="AD16" s="364" t="n"/>
      <c r="AE16" s="364" t="n"/>
      <c r="AF16" s="364" t="n"/>
      <c r="AG16" s="364" t="n"/>
      <c r="AH16" s="364" t="n"/>
      <c r="AL16" s="7" t="n"/>
    </row>
    <row r="17" ht="26.25" customHeight="1" s="1053">
      <c r="A17" s="364" t="inlineStr">
        <is>
          <t>新宝利</t>
        </is>
      </c>
      <c r="B17" s="364" t="inlineStr">
        <is>
          <t>一期</t>
        </is>
      </c>
      <c r="C17" s="364" t="n">
        <v>5230773</v>
      </c>
      <c r="D17" s="364" t="inlineStr">
        <is>
          <t>13:20-15:30</t>
        </is>
      </c>
      <c r="E17" s="364" t="inlineStr">
        <is>
          <t>潜能班</t>
        </is>
      </c>
      <c r="F17" s="364" t="inlineStr">
        <is>
          <t>黎晓慧</t>
        </is>
      </c>
      <c r="G17" s="364" t="inlineStr">
        <is>
          <t>陈南05</t>
        </is>
      </c>
      <c r="H17" s="364" t="inlineStr">
        <is>
          <t>何咏04</t>
        </is>
      </c>
      <c r="I17" s="364" t="inlineStr">
        <is>
          <t>肖锐03</t>
        </is>
      </c>
      <c r="J17" s="364" t="inlineStr">
        <is>
          <t>杨林33</t>
        </is>
      </c>
      <c r="K17" s="364" t="n"/>
      <c r="L17" s="364" t="n"/>
      <c r="M17" s="364" t="inlineStr">
        <is>
          <t>孩子很焦虑学习，各个板块都有漏洞</t>
        </is>
      </c>
      <c r="N17" s="364" t="inlineStr">
        <is>
          <t>妈妈特别焦虑，希望能调整孩子心态</t>
        </is>
      </c>
      <c r="O17" s="364" t="n"/>
      <c r="P17" s="364" t="n"/>
      <c r="Q17" s="364" t="n"/>
      <c r="R17" s="364" t="n"/>
      <c r="S17" s="364" t="n"/>
      <c r="T17" s="364" t="inlineStr">
        <is>
          <t>是</t>
        </is>
      </c>
      <c r="U17" s="364" t="inlineStr">
        <is>
          <t>是</t>
        </is>
      </c>
      <c r="V17" s="364" t="n"/>
      <c r="W17" s="364" t="n"/>
      <c r="X17" s="364" t="n"/>
      <c r="Y17" s="364" t="n"/>
      <c r="Z17" s="364" t="n"/>
      <c r="AA17" s="364" t="n"/>
      <c r="AB17" s="364" t="n"/>
      <c r="AC17" s="364" t="n"/>
      <c r="AD17" s="364" t="n"/>
      <c r="AE17" s="364" t="n"/>
      <c r="AF17" s="364" t="n"/>
      <c r="AG17" s="364" t="n"/>
      <c r="AH17" s="364" t="n"/>
      <c r="AL17" s="119" t="n"/>
    </row>
    <row r="18" ht="26.25" customHeight="1" s="1053">
      <c r="A18" s="364" t="inlineStr">
        <is>
          <t>同创汇</t>
        </is>
      </c>
      <c r="B18" s="364" t="inlineStr">
        <is>
          <t>一期</t>
        </is>
      </c>
      <c r="C18" s="364" t="n">
        <v>4632448</v>
      </c>
      <c r="D18" s="364" t="inlineStr">
        <is>
          <t>10:20-12:30</t>
        </is>
      </c>
      <c r="E18" s="364" t="inlineStr">
        <is>
          <t>潜能班</t>
        </is>
      </c>
      <c r="F18" s="364" t="inlineStr">
        <is>
          <t>丘雅萱</t>
        </is>
      </c>
      <c r="G18" s="364" t="inlineStr">
        <is>
          <t>陈南05</t>
        </is>
      </c>
      <c r="H18" s="364" t="inlineStr">
        <is>
          <t>陈中帅</t>
        </is>
      </c>
      <c r="I18" s="364" t="inlineStr">
        <is>
          <t>刘希子</t>
        </is>
      </c>
      <c r="J18" s="364" t="inlineStr">
        <is>
          <t>王丽</t>
        </is>
      </c>
      <c r="K18" s="364" t="n"/>
      <c r="L18" s="364" t="n"/>
      <c r="M18" s="364" t="n"/>
      <c r="N18" s="364" t="n"/>
      <c r="O18" s="844" t="inlineStr">
        <is>
          <t>家住番禺很远
在上一对一口语课</t>
        </is>
      </c>
      <c r="P18" s="364" t="n"/>
      <c r="Q18" s="364" t="n"/>
      <c r="R18" s="364" t="n"/>
      <c r="S18" s="364" t="n"/>
      <c r="T18" s="364" t="inlineStr">
        <is>
          <t>是</t>
        </is>
      </c>
      <c r="U18" s="364" t="n"/>
      <c r="V18" s="364" t="n"/>
      <c r="W18" s="364" t="n"/>
      <c r="X18" s="364" t="n"/>
      <c r="Y18" s="364" t="n"/>
      <c r="Z18" s="396" t="inlineStr">
        <is>
          <t>是</t>
        </is>
      </c>
      <c r="AA18" s="396" t="inlineStr">
        <is>
          <t>是</t>
        </is>
      </c>
      <c r="AB18" s="364" t="n"/>
      <c r="AC18" s="364" t="n"/>
      <c r="AD18" s="364" t="n"/>
      <c r="AE18" s="364" t="n"/>
      <c r="AF18" s="364" t="n"/>
      <c r="AG18" s="364" t="n"/>
      <c r="AH18" s="364" t="n"/>
      <c r="AL18" s="7" t="n"/>
    </row>
    <row r="19" ht="26.25" customHeight="1" s="1053">
      <c r="A19" s="364" t="inlineStr">
        <is>
          <t>同创汇</t>
        </is>
      </c>
      <c r="B19" s="364" t="inlineStr">
        <is>
          <t>一期</t>
        </is>
      </c>
      <c r="C19" s="364" t="n">
        <v>4632448</v>
      </c>
      <c r="D19" s="364" t="inlineStr">
        <is>
          <t>10:20-12:30</t>
        </is>
      </c>
      <c r="E19" s="364" t="inlineStr">
        <is>
          <t>潜能班</t>
        </is>
      </c>
      <c r="F19" s="364" t="inlineStr">
        <is>
          <t>梁一鸣</t>
        </is>
      </c>
      <c r="G19" s="364" t="inlineStr">
        <is>
          <t>陈南05</t>
        </is>
      </c>
      <c r="H19" s="364" t="inlineStr">
        <is>
          <t>田雨涵01</t>
        </is>
      </c>
      <c r="I19" s="364" t="inlineStr">
        <is>
          <t>高心怡04</t>
        </is>
      </c>
      <c r="J19" s="364" t="inlineStr">
        <is>
          <t>戎凯01</t>
        </is>
      </c>
      <c r="K19" s="364" t="n"/>
      <c r="L19" s="364" t="n"/>
      <c r="M19" s="364" t="n"/>
      <c r="N19" s="364" t="n"/>
      <c r="O19" s="364" t="n"/>
      <c r="P19" s="364" t="n"/>
      <c r="Q19" s="364" t="n"/>
      <c r="R19" s="364" t="n"/>
      <c r="S19" s="364" t="n"/>
      <c r="T19" s="364" t="inlineStr">
        <is>
          <t>是</t>
        </is>
      </c>
      <c r="U19" s="364" t="n"/>
      <c r="V19" s="364" t="n"/>
      <c r="W19" s="364" t="n"/>
      <c r="X19" s="364" t="n"/>
      <c r="Y19" s="364" t="n"/>
      <c r="Z19" s="364" t="n"/>
      <c r="AA19" s="364" t="n"/>
      <c r="AB19" s="364" t="n"/>
      <c r="AC19" s="364" t="n"/>
      <c r="AD19" s="364" t="n"/>
      <c r="AE19" s="364" t="n"/>
      <c r="AF19" s="364" t="n"/>
      <c r="AG19" s="364" t="n"/>
      <c r="AH19" s="364" t="n"/>
      <c r="AL19" s="7" t="n"/>
    </row>
    <row r="20" ht="26.25" customHeight="1" s="1053">
      <c r="A20" s="365" t="inlineStr">
        <is>
          <t>同创汇</t>
        </is>
      </c>
      <c r="B20" s="365" t="inlineStr">
        <is>
          <t>一期</t>
        </is>
      </c>
      <c r="C20" s="364" t="n">
        <v>4632448</v>
      </c>
      <c r="D20" s="365" t="inlineStr">
        <is>
          <t>10:20-12:30</t>
        </is>
      </c>
      <c r="E20" s="365" t="inlineStr">
        <is>
          <t>潜能班</t>
        </is>
      </c>
      <c r="F20" s="365" t="inlineStr">
        <is>
          <t>梁芷昕</t>
        </is>
      </c>
      <c r="G20" s="365" t="inlineStr">
        <is>
          <t>陈南05</t>
        </is>
      </c>
      <c r="H20" s="365" t="inlineStr">
        <is>
          <t>田雨涵01</t>
        </is>
      </c>
      <c r="I20" s="365" t="inlineStr">
        <is>
          <t>高心怡04</t>
        </is>
      </c>
      <c r="J20" s="365" t="inlineStr">
        <is>
          <t>沈思浩</t>
        </is>
      </c>
      <c r="K20" s="365" t="n"/>
      <c r="L20" s="365" t="n"/>
      <c r="M20" s="365" t="n"/>
      <c r="N20" s="365" t="n"/>
      <c r="O20" s="365" t="n"/>
      <c r="P20" s="365" t="n"/>
      <c r="Q20" s="365" t="n">
        <v>34</v>
      </c>
      <c r="R20" s="365" t="n"/>
      <c r="S20" s="365" t="n"/>
      <c r="T20" s="365" t="n"/>
      <c r="U20" s="365" t="n"/>
      <c r="V20" s="365" t="n"/>
      <c r="W20" s="365" t="n"/>
      <c r="X20" s="365" t="n"/>
      <c r="Y20" s="365" t="n"/>
      <c r="Z20" s="365" t="n"/>
      <c r="AA20" s="365" t="n"/>
      <c r="AB20" s="365" t="n"/>
      <c r="AC20" s="365" t="n"/>
      <c r="AD20" s="365" t="n"/>
      <c r="AE20" s="365" t="n"/>
      <c r="AF20" s="365" t="n"/>
      <c r="AG20" s="365" t="n"/>
      <c r="AH20" s="365" t="n"/>
      <c r="AL20" s="7" t="n"/>
    </row>
    <row r="21" ht="26.25" customHeight="1" s="1053">
      <c r="A21" s="364" t="inlineStr">
        <is>
          <t>同创汇</t>
        </is>
      </c>
      <c r="B21" s="364" t="inlineStr">
        <is>
          <t>一期</t>
        </is>
      </c>
      <c r="C21" s="364" t="n">
        <v>4632448</v>
      </c>
      <c r="D21" s="364" t="inlineStr">
        <is>
          <t>10:20-12:30</t>
        </is>
      </c>
      <c r="E21" s="364" t="inlineStr">
        <is>
          <t>潜能班</t>
        </is>
      </c>
      <c r="F21" s="364" t="inlineStr">
        <is>
          <t>胡玲瑜</t>
        </is>
      </c>
      <c r="G21" s="364" t="inlineStr">
        <is>
          <t>陈南05</t>
        </is>
      </c>
      <c r="H21" s="364" t="inlineStr">
        <is>
          <t>田雨涵01</t>
        </is>
      </c>
      <c r="I21" s="364" t="inlineStr">
        <is>
          <t>高心怡04</t>
        </is>
      </c>
      <c r="J21" s="364" t="inlineStr">
        <is>
          <t>王丽</t>
        </is>
      </c>
      <c r="K21" s="364" t="n"/>
      <c r="L21" s="364" t="n"/>
      <c r="M21" s="364" t="n"/>
      <c r="N21" s="364" t="n"/>
      <c r="O21" s="364" t="n"/>
      <c r="P21" s="364" t="n"/>
      <c r="Q21" s="364" t="n"/>
      <c r="R21" s="364" t="n"/>
      <c r="S21" s="364" t="n"/>
      <c r="T21" s="364" t="inlineStr">
        <is>
          <t>是</t>
        </is>
      </c>
      <c r="U21" s="364" t="n"/>
      <c r="V21" s="364" t="n"/>
      <c r="W21" s="364" t="n"/>
      <c r="X21" s="364" t="n"/>
      <c r="Y21" s="364" t="n"/>
      <c r="Z21" s="364" t="n"/>
      <c r="AA21" s="364" t="n"/>
      <c r="AB21" s="364" t="n"/>
      <c r="AC21" s="364" t="n"/>
      <c r="AD21" s="364" t="n"/>
      <c r="AE21" s="364" t="n"/>
      <c r="AF21" s="364" t="n"/>
      <c r="AG21" s="364" t="n"/>
      <c r="AH21" s="364" t="n"/>
      <c r="AL21" s="7" t="n"/>
    </row>
    <row r="22" ht="26.25" customHeight="1" s="1053">
      <c r="A22" s="365" t="inlineStr">
        <is>
          <t>同创汇</t>
        </is>
      </c>
      <c r="B22" s="365" t="inlineStr">
        <is>
          <t>一期</t>
        </is>
      </c>
      <c r="C22" s="364" t="n">
        <v>4632448</v>
      </c>
      <c r="D22" s="365" t="inlineStr">
        <is>
          <t>10:20-12:30</t>
        </is>
      </c>
      <c r="E22" s="365" t="inlineStr">
        <is>
          <t>潜能班</t>
        </is>
      </c>
      <c r="F22" s="365" t="inlineStr">
        <is>
          <t>董婧萱</t>
        </is>
      </c>
      <c r="G22" s="365" t="inlineStr">
        <is>
          <t>陈南05</t>
        </is>
      </c>
      <c r="H22" s="365" t="n"/>
      <c r="I22" s="365" t="n"/>
      <c r="J22" s="365" t="inlineStr">
        <is>
          <t>苏丽婷</t>
        </is>
      </c>
      <c r="K22" s="365" t="n"/>
      <c r="L22" s="365" t="n"/>
      <c r="M22" s="365" t="n"/>
      <c r="N22" s="365" t="n"/>
      <c r="O22" s="365" t="n"/>
      <c r="P22" s="365" t="n"/>
      <c r="Q22" s="365" t="n"/>
      <c r="R22" s="365" t="n"/>
      <c r="S22" s="365" t="n"/>
      <c r="T22" s="365" t="n"/>
      <c r="U22" s="365" t="n"/>
      <c r="V22" s="365" t="n"/>
      <c r="W22" s="365" t="n"/>
      <c r="X22" s="365" t="n"/>
      <c r="Y22" s="365" t="n"/>
      <c r="Z22" s="365" t="n"/>
      <c r="AA22" s="365" t="n"/>
      <c r="AB22" s="365" t="n"/>
      <c r="AC22" s="365" t="n"/>
      <c r="AD22" s="365" t="n"/>
      <c r="AE22" s="365" t="n"/>
      <c r="AF22" s="365" t="n"/>
      <c r="AG22" s="365" t="n"/>
      <c r="AH22" s="365" t="n"/>
      <c r="AL22" s="7" t="n"/>
    </row>
    <row r="23" ht="26.25" customHeight="1" s="1053">
      <c r="A23" s="364" t="inlineStr">
        <is>
          <t>同创汇</t>
        </is>
      </c>
      <c r="B23" s="364" t="inlineStr">
        <is>
          <t>一期</t>
        </is>
      </c>
      <c r="C23" s="364" t="n">
        <v>4632448</v>
      </c>
      <c r="D23" s="364" t="inlineStr">
        <is>
          <t>10:20-12:30</t>
        </is>
      </c>
      <c r="E23" s="364" t="inlineStr">
        <is>
          <t>潜能班</t>
        </is>
      </c>
      <c r="F23" s="364" t="inlineStr">
        <is>
          <t>陈品希</t>
        </is>
      </c>
      <c r="G23" s="364" t="inlineStr">
        <is>
          <t>陈南05</t>
        </is>
      </c>
      <c r="H23" s="364" t="inlineStr">
        <is>
          <t>田雨涵01</t>
        </is>
      </c>
      <c r="I23" s="364" t="n"/>
      <c r="J23" s="364" t="inlineStr">
        <is>
          <t>苏丽婷</t>
        </is>
      </c>
      <c r="K23" s="364" t="n"/>
      <c r="L23" s="364" t="n"/>
      <c r="M23" s="364" t="n"/>
      <c r="N23" s="364" t="n"/>
      <c r="O23" s="364" t="n"/>
      <c r="P23" s="364" t="n"/>
      <c r="Q23" s="364" t="n"/>
      <c r="R23" s="364" t="n"/>
      <c r="S23" s="364" t="n"/>
      <c r="T23" s="364" t="inlineStr">
        <is>
          <t>是</t>
        </is>
      </c>
      <c r="U23" s="364" t="inlineStr">
        <is>
          <t>是</t>
        </is>
      </c>
      <c r="V23" s="364" t="n"/>
      <c r="W23" s="364" t="n"/>
      <c r="X23" s="364" t="n"/>
      <c r="Y23" s="364" t="n"/>
      <c r="Z23" s="364" t="n"/>
      <c r="AA23" s="364" t="n"/>
      <c r="AB23" s="364" t="n"/>
      <c r="AC23" s="364" t="n"/>
      <c r="AD23" s="364" t="n"/>
      <c r="AE23" s="364" t="n"/>
      <c r="AF23" s="364" t="n"/>
      <c r="AG23" s="364" t="n"/>
      <c r="AH23" s="364" t="n"/>
      <c r="AL23" s="119" t="n"/>
    </row>
    <row r="24" ht="26.25" customHeight="1" s="1053">
      <c r="A24" s="365" t="inlineStr">
        <is>
          <t>同创汇</t>
        </is>
      </c>
      <c r="B24" s="365" t="inlineStr">
        <is>
          <t>一期</t>
        </is>
      </c>
      <c r="C24" s="364" t="n">
        <v>4632448</v>
      </c>
      <c r="D24" s="365" t="inlineStr">
        <is>
          <t>10:20-12:30</t>
        </is>
      </c>
      <c r="E24" s="365" t="inlineStr">
        <is>
          <t>潜能班</t>
        </is>
      </c>
      <c r="F24" s="365" t="inlineStr">
        <is>
          <t>黄心悦</t>
        </is>
      </c>
      <c r="G24" s="365" t="inlineStr">
        <is>
          <t>陈南05</t>
        </is>
      </c>
      <c r="H24" s="365" t="inlineStr">
        <is>
          <t>陈中帅</t>
        </is>
      </c>
      <c r="I24" s="365" t="inlineStr">
        <is>
          <t>高心怡04</t>
        </is>
      </c>
      <c r="J24" s="365" t="inlineStr">
        <is>
          <t>苏丽婷</t>
        </is>
      </c>
      <c r="K24" s="365" t="n"/>
      <c r="L24" s="365" t="n"/>
      <c r="M24" s="365" t="n"/>
      <c r="N24" s="365" t="n"/>
      <c r="O24" s="365" t="n"/>
      <c r="P24" s="365" t="n"/>
      <c r="Q24" s="365" t="n">
        <v>42</v>
      </c>
      <c r="R24" s="365" t="n"/>
      <c r="S24" s="365" t="n"/>
      <c r="T24" s="365" t="n"/>
      <c r="U24" s="365" t="n"/>
      <c r="V24" s="365" t="n"/>
      <c r="W24" s="365" t="n"/>
      <c r="X24" s="365" t="n"/>
      <c r="Y24" s="365" t="n"/>
      <c r="Z24" s="365" t="n"/>
      <c r="AA24" s="365" t="n"/>
      <c r="AB24" s="365" t="n"/>
      <c r="AC24" s="365" t="n"/>
      <c r="AD24" s="365" t="n"/>
      <c r="AE24" s="365" t="n"/>
      <c r="AF24" s="365" t="n"/>
      <c r="AG24" s="365" t="n"/>
      <c r="AH24" s="365" t="n"/>
      <c r="AL24" s="7" t="n"/>
    </row>
    <row r="25" ht="26.25" customHeight="1" s="1053">
      <c r="A25" s="364" t="inlineStr">
        <is>
          <t>同创汇</t>
        </is>
      </c>
      <c r="B25" s="364" t="inlineStr">
        <is>
          <t>一期</t>
        </is>
      </c>
      <c r="C25" s="364" t="n">
        <v>4632448</v>
      </c>
      <c r="D25" s="364" t="inlineStr">
        <is>
          <t>10:20-12:30</t>
        </is>
      </c>
      <c r="E25" s="364" t="inlineStr">
        <is>
          <t>潜能班</t>
        </is>
      </c>
      <c r="F25" s="364" t="inlineStr">
        <is>
          <t>黄梓涵</t>
        </is>
      </c>
      <c r="G25" s="364" t="inlineStr">
        <is>
          <t>陈南05</t>
        </is>
      </c>
      <c r="H25" s="364" t="n"/>
      <c r="I25" s="364" t="inlineStr">
        <is>
          <t>高心怡04</t>
        </is>
      </c>
      <c r="J25" s="364" t="inlineStr">
        <is>
          <t>戎凯01</t>
        </is>
      </c>
      <c r="K25" s="364" t="n"/>
      <c r="L25" s="364" t="n"/>
      <c r="M25" s="364" t="n"/>
      <c r="N25" s="364" t="n"/>
      <c r="O25" s="364" t="n"/>
      <c r="P25" s="364" t="n"/>
      <c r="Q25" s="364" t="n"/>
      <c r="R25" s="364" t="n"/>
      <c r="S25" s="364" t="n"/>
      <c r="T25" s="364" t="inlineStr">
        <is>
          <t>是</t>
        </is>
      </c>
      <c r="U25" s="364" t="n"/>
      <c r="V25" s="364" t="n"/>
      <c r="W25" s="364" t="n"/>
      <c r="X25" s="364" t="n"/>
      <c r="Y25" s="364" t="n"/>
      <c r="Z25" s="364" t="n"/>
      <c r="AA25" s="364" t="n"/>
      <c r="AB25" s="364" t="n"/>
      <c r="AC25" s="364" t="n"/>
      <c r="AD25" s="364" t="n"/>
      <c r="AE25" s="364" t="n"/>
      <c r="AF25" s="364" t="n"/>
      <c r="AG25" s="364" t="n"/>
      <c r="AH25" s="364" t="n"/>
      <c r="AL25" s="7" t="n"/>
    </row>
    <row r="26" ht="26.25" customFormat="1" customHeight="1" s="385">
      <c r="A26" s="396" t="inlineStr">
        <is>
          <t>同创汇</t>
        </is>
      </c>
      <c r="B26" s="396" t="inlineStr">
        <is>
          <t>零期</t>
        </is>
      </c>
      <c r="C26" s="396" t="n">
        <v>5170872</v>
      </c>
      <c r="D26" s="397" t="inlineStr">
        <is>
          <t>13:20-15:30</t>
        </is>
      </c>
      <c r="E26" s="396" t="inlineStr">
        <is>
          <t>潜能班</t>
        </is>
      </c>
      <c r="F26" s="398" t="inlineStr">
        <is>
          <t>于耀杰</t>
        </is>
      </c>
      <c r="G26" s="396" t="inlineStr">
        <is>
          <t>陈南05</t>
        </is>
      </c>
      <c r="H26" s="396" t="inlineStr">
        <is>
          <t>田雨涵01</t>
        </is>
      </c>
      <c r="I26" s="396" t="inlineStr">
        <is>
          <t>刘希子</t>
        </is>
      </c>
      <c r="J26" s="396" t="inlineStr">
        <is>
          <t>戎凯01</t>
        </is>
      </c>
      <c r="K26" s="398" t="inlineStr">
        <is>
          <t>越秀中星小学</t>
        </is>
      </c>
      <c r="L26" s="398" t="n"/>
      <c r="M26" s="401" t="inlineStr">
        <is>
          <t>习惯较好，学习意愿强</t>
        </is>
      </c>
      <c r="N26" s="401" t="inlineStr">
        <is>
          <t>培养习惯，提前学习</t>
        </is>
      </c>
      <c r="O26" s="401" t="n"/>
      <c r="P26" s="398" t="n">
        <v>95</v>
      </c>
      <c r="Q26" s="398" t="n"/>
      <c r="R26" s="396" t="n"/>
      <c r="S26" s="396" t="n"/>
      <c r="T26" s="396" t="inlineStr">
        <is>
          <t>是</t>
        </is>
      </c>
      <c r="U26" s="396" t="inlineStr">
        <is>
          <t>是</t>
        </is>
      </c>
      <c r="V26" s="396" t="inlineStr">
        <is>
          <t>是</t>
        </is>
      </c>
      <c r="W26" s="396" t="inlineStr">
        <is>
          <t>是</t>
        </is>
      </c>
      <c r="X26" s="396" t="n"/>
      <c r="Y26" s="396" t="n"/>
      <c r="Z26" s="396" t="inlineStr">
        <is>
          <t>是</t>
        </is>
      </c>
      <c r="AA26" s="396" t="n"/>
      <c r="AB26" s="396" t="n"/>
      <c r="AC26" s="396" t="n"/>
      <c r="AD26" s="396" t="n"/>
      <c r="AE26" s="396" t="n"/>
      <c r="AF26" s="396" t="n"/>
      <c r="AG26" s="396" t="n"/>
      <c r="AH26" s="396" t="n"/>
      <c r="AI26" s="397" t="inlineStr">
        <is>
          <t>是</t>
        </is>
      </c>
      <c r="AL26" s="7" t="n"/>
    </row>
    <row r="27" ht="26.25" customFormat="1" customHeight="1" s="385">
      <c r="A27" s="396" t="inlineStr">
        <is>
          <t>同创汇</t>
        </is>
      </c>
      <c r="B27" s="396" t="inlineStr">
        <is>
          <t>零期</t>
        </is>
      </c>
      <c r="C27" s="396" t="n">
        <v>5170872</v>
      </c>
      <c r="D27" s="396" t="inlineStr">
        <is>
          <t>13:20-15:30</t>
        </is>
      </c>
      <c r="E27" s="396" t="inlineStr">
        <is>
          <t>潜能班</t>
        </is>
      </c>
      <c r="F27" s="398" t="inlineStr">
        <is>
          <t>刘映彤</t>
        </is>
      </c>
      <c r="G27" s="396" t="inlineStr">
        <is>
          <t>陈南05</t>
        </is>
      </c>
      <c r="H27" s="396" t="inlineStr">
        <is>
          <t>田雨涵01</t>
        </is>
      </c>
      <c r="I27" s="396" t="inlineStr">
        <is>
          <t>刘希子</t>
        </is>
      </c>
      <c r="J27" s="396" t="inlineStr">
        <is>
          <t>王丽</t>
        </is>
      </c>
      <c r="K27" s="398" t="n"/>
      <c r="L27" s="398" t="n"/>
      <c r="M27" s="401" t="inlineStr">
        <is>
          <t>习惯不错，但是做题很乱，感觉没方法</t>
        </is>
      </c>
      <c r="N27" s="401" t="n"/>
      <c r="O27" s="401" t="n"/>
      <c r="P27" s="398" t="inlineStr">
        <is>
          <t>B</t>
        </is>
      </c>
      <c r="Q27" s="398" t="n"/>
      <c r="R27" s="396" t="n"/>
      <c r="S27" s="396" t="n"/>
      <c r="T27" s="396" t="inlineStr">
        <is>
          <t>是</t>
        </is>
      </c>
      <c r="U27" s="396" t="inlineStr">
        <is>
          <t>是</t>
        </is>
      </c>
      <c r="V27" s="396" t="inlineStr">
        <is>
          <t>是</t>
        </is>
      </c>
      <c r="W27" s="396" t="inlineStr">
        <is>
          <t>是</t>
        </is>
      </c>
      <c r="X27" s="396" t="n"/>
      <c r="Y27" s="396" t="n"/>
      <c r="Z27" s="396" t="n"/>
      <c r="AA27" s="396" t="n"/>
      <c r="AB27" s="396" t="n"/>
      <c r="AC27" s="396" t="n"/>
      <c r="AD27" s="396" t="n"/>
      <c r="AE27" s="396" t="n"/>
      <c r="AF27" s="396" t="n"/>
      <c r="AG27" s="396" t="n"/>
      <c r="AH27" s="396" t="n"/>
      <c r="AI27" s="397" t="inlineStr">
        <is>
          <t>是</t>
        </is>
      </c>
      <c r="AL27" s="7" t="n"/>
    </row>
    <row r="28" ht="26.25" customFormat="1" customHeight="1" s="385">
      <c r="A28" s="396" t="inlineStr">
        <is>
          <t>同创汇</t>
        </is>
      </c>
      <c r="B28" s="396" t="inlineStr">
        <is>
          <t>零期</t>
        </is>
      </c>
      <c r="C28" s="396" t="n">
        <v>5170872</v>
      </c>
      <c r="D28" s="396" t="inlineStr">
        <is>
          <t>13:20-15:30</t>
        </is>
      </c>
      <c r="E28" s="396" t="inlineStr">
        <is>
          <t>潜能班</t>
        </is>
      </c>
      <c r="F28" s="398" t="inlineStr">
        <is>
          <t>吴俊康</t>
        </is>
      </c>
      <c r="G28" s="396" t="inlineStr">
        <is>
          <t>陈南05</t>
        </is>
      </c>
      <c r="H28" s="396" t="inlineStr">
        <is>
          <t>田雨涵01</t>
        </is>
      </c>
      <c r="I28" s="396" t="inlineStr">
        <is>
          <t>刘希子</t>
        </is>
      </c>
      <c r="J28" s="396" t="inlineStr">
        <is>
          <t>戎凯01</t>
        </is>
      </c>
      <c r="K28" s="398" t="n"/>
      <c r="L28" s="398" t="n"/>
      <c r="M28" s="401" t="inlineStr">
        <is>
          <t>习惯较差，需要重点盯笔记、错题、课堂专注度</t>
        </is>
      </c>
      <c r="N28" s="401" t="inlineStr">
        <is>
          <t>培养习惯，应对语文更加得心应手</t>
        </is>
      </c>
      <c r="O28" s="401" t="n"/>
      <c r="P28" s="398" t="n">
        <v>87</v>
      </c>
      <c r="Q28" s="398" t="n"/>
      <c r="R28" s="396" t="n"/>
      <c r="S28" s="396" t="n"/>
      <c r="T28" s="396" t="inlineStr">
        <is>
          <t>是</t>
        </is>
      </c>
      <c r="U28" s="396" t="inlineStr">
        <is>
          <t>是</t>
        </is>
      </c>
      <c r="V28" s="396" t="inlineStr">
        <is>
          <t>是</t>
        </is>
      </c>
      <c r="W28" s="396" t="inlineStr">
        <is>
          <t>是</t>
        </is>
      </c>
      <c r="X28" s="396" t="n"/>
      <c r="Y28" s="396" t="n"/>
      <c r="Z28" s="396" t="inlineStr">
        <is>
          <t>是</t>
        </is>
      </c>
      <c r="AA28" s="396" t="inlineStr">
        <is>
          <t>是</t>
        </is>
      </c>
      <c r="AB28" s="396" t="n"/>
      <c r="AC28" s="396" t="n"/>
      <c r="AD28" s="396" t="n"/>
      <c r="AE28" s="396" t="n"/>
      <c r="AF28" s="396" t="n"/>
      <c r="AG28" s="396" t="n"/>
      <c r="AH28" s="396" t="n"/>
      <c r="AI28" s="397" t="inlineStr">
        <is>
          <t>是</t>
        </is>
      </c>
      <c r="AL28" s="7" t="n"/>
    </row>
    <row r="29" ht="26.25" customFormat="1" customHeight="1" s="385">
      <c r="A29" s="396" t="inlineStr">
        <is>
          <t>同创汇</t>
        </is>
      </c>
      <c r="B29" s="396" t="inlineStr">
        <is>
          <t>零期</t>
        </is>
      </c>
      <c r="C29" s="396" t="n">
        <v>5170872</v>
      </c>
      <c r="D29" s="396" t="inlineStr">
        <is>
          <t>13:20-15:30</t>
        </is>
      </c>
      <c r="E29" s="396" t="inlineStr">
        <is>
          <t>潜能班</t>
        </is>
      </c>
      <c r="F29" s="398" t="inlineStr">
        <is>
          <t>戴鸿杰</t>
        </is>
      </c>
      <c r="G29" s="396" t="inlineStr">
        <is>
          <t>陈南05</t>
        </is>
      </c>
      <c r="H29" s="396" t="inlineStr">
        <is>
          <t>田雨涵01</t>
        </is>
      </c>
      <c r="I29" s="396" t="inlineStr">
        <is>
          <t>刘希子</t>
        </is>
      </c>
      <c r="J29" s="396" t="inlineStr">
        <is>
          <t>苏丽婷</t>
        </is>
      </c>
      <c r="K29" s="398" t="n"/>
      <c r="L29" s="398" t="n"/>
      <c r="M29" s="401" t="inlineStr">
        <is>
          <t>习惯很好，学习意愿强，基本都是独立完成</t>
        </is>
      </c>
      <c r="N29" s="401" t="inlineStr">
        <is>
          <t>提前学习初中内容，重点关注阅读写作</t>
        </is>
      </c>
      <c r="O29" s="401" t="inlineStr">
        <is>
          <t>爸爸比较看结果</t>
        </is>
      </c>
      <c r="P29" s="398" t="inlineStr">
        <is>
          <t>A</t>
        </is>
      </c>
      <c r="Q29" s="398" t="n"/>
      <c r="R29" s="396" t="n"/>
      <c r="S29" s="396" t="n"/>
      <c r="T29" s="396" t="inlineStr">
        <is>
          <t>是</t>
        </is>
      </c>
      <c r="U29" s="396" t="inlineStr">
        <is>
          <t>是</t>
        </is>
      </c>
      <c r="V29" s="396" t="inlineStr">
        <is>
          <t>是</t>
        </is>
      </c>
      <c r="W29" s="396" t="inlineStr">
        <is>
          <t>是</t>
        </is>
      </c>
      <c r="X29" s="396" t="n"/>
      <c r="Y29" s="396" t="n"/>
      <c r="Z29" s="396" t="inlineStr">
        <is>
          <t>是</t>
        </is>
      </c>
      <c r="AA29" s="396" t="n"/>
      <c r="AB29" s="396" t="n"/>
      <c r="AC29" s="396" t="n"/>
      <c r="AD29" s="396" t="n"/>
      <c r="AE29" s="396" t="n"/>
      <c r="AF29" s="396" t="n"/>
      <c r="AG29" s="396" t="n"/>
      <c r="AH29" s="396" t="n"/>
      <c r="AI29" s="397" t="inlineStr">
        <is>
          <t>是</t>
        </is>
      </c>
      <c r="AL29" s="7" t="n"/>
    </row>
    <row r="30" ht="26.25" customFormat="1" customHeight="1" s="385">
      <c r="A30" s="396" t="inlineStr">
        <is>
          <t>同创汇</t>
        </is>
      </c>
      <c r="B30" s="396" t="inlineStr">
        <is>
          <t>零期</t>
        </is>
      </c>
      <c r="C30" s="396" t="n">
        <v>5170872</v>
      </c>
      <c r="D30" s="396" t="inlineStr">
        <is>
          <t>13:20-15:30</t>
        </is>
      </c>
      <c r="E30" s="396" t="inlineStr">
        <is>
          <t>潜能班</t>
        </is>
      </c>
      <c r="F30" s="398" t="inlineStr">
        <is>
          <t>文文</t>
        </is>
      </c>
      <c r="G30" s="396" t="inlineStr">
        <is>
          <t>陈南05</t>
        </is>
      </c>
      <c r="H30" s="396" t="inlineStr">
        <is>
          <t>田雨涵01</t>
        </is>
      </c>
      <c r="I30" s="396" t="inlineStr">
        <is>
          <t>刘希子</t>
        </is>
      </c>
      <c r="J30" s="396" t="inlineStr">
        <is>
          <t>戎凯01</t>
        </is>
      </c>
      <c r="K30" s="398" t="n"/>
      <c r="L30" s="398" t="n"/>
      <c r="M30" s="401" t="inlineStr">
        <is>
          <t>习惯不错，会自己整理笔记，需要盯写字</t>
        </is>
      </c>
      <c r="N30" s="401" t="inlineStr">
        <is>
          <t>培养习惯，提前学习</t>
        </is>
      </c>
      <c r="O30" s="401" t="n"/>
      <c r="P30" s="398" t="inlineStr">
        <is>
          <t>A</t>
        </is>
      </c>
      <c r="Q30" s="398" t="n">
        <v>41</v>
      </c>
      <c r="R30" s="396" t="n"/>
      <c r="S30" s="396" t="n"/>
      <c r="T30" s="396" t="inlineStr">
        <is>
          <t>是</t>
        </is>
      </c>
      <c r="U30" s="396" t="inlineStr">
        <is>
          <t>是</t>
        </is>
      </c>
      <c r="V30" s="396" t="inlineStr">
        <is>
          <t>是</t>
        </is>
      </c>
      <c r="W30" s="396" t="inlineStr">
        <is>
          <t>是</t>
        </is>
      </c>
      <c r="X30" s="396" t="n"/>
      <c r="Y30" s="396" t="n"/>
      <c r="Z30" s="396" t="inlineStr">
        <is>
          <t>是</t>
        </is>
      </c>
      <c r="AA30" s="396" t="n"/>
      <c r="AB30" s="396" t="n"/>
      <c r="AC30" s="396" t="n"/>
      <c r="AD30" s="396" t="n"/>
      <c r="AE30" s="396" t="n"/>
      <c r="AF30" s="396" t="n"/>
      <c r="AG30" s="396" t="n"/>
      <c r="AH30" s="396" t="n"/>
      <c r="AI30" s="397" t="inlineStr">
        <is>
          <t>是</t>
        </is>
      </c>
      <c r="AL30" s="7" t="n"/>
    </row>
    <row r="31" ht="26.25" customFormat="1" customHeight="1" s="385">
      <c r="A31" s="396" t="inlineStr">
        <is>
          <t>同创汇</t>
        </is>
      </c>
      <c r="B31" s="396" t="inlineStr">
        <is>
          <t>零期</t>
        </is>
      </c>
      <c r="C31" s="396" t="n">
        <v>5170872</v>
      </c>
      <c r="D31" s="396" t="inlineStr">
        <is>
          <t>13:20-15:30</t>
        </is>
      </c>
      <c r="E31" s="396" t="inlineStr">
        <is>
          <t>潜能班</t>
        </is>
      </c>
      <c r="F31" s="398" t="inlineStr">
        <is>
          <t>旻师</t>
        </is>
      </c>
      <c r="G31" s="396" t="inlineStr">
        <is>
          <t>陈南05</t>
        </is>
      </c>
      <c r="H31" s="396" t="inlineStr">
        <is>
          <t>田雨涵01</t>
        </is>
      </c>
      <c r="I31" s="396" t="inlineStr">
        <is>
          <t>刘希子</t>
        </is>
      </c>
      <c r="J31" s="396" t="inlineStr">
        <is>
          <t>王丽</t>
        </is>
      </c>
      <c r="K31" s="398" t="n"/>
      <c r="L31" s="398" t="n"/>
      <c r="M31" s="401" t="inlineStr">
        <is>
          <t>很努力自觉，上课吸收效果很好</t>
        </is>
      </c>
      <c r="N31" s="401" t="inlineStr">
        <is>
          <t>衔接，打基础</t>
        </is>
      </c>
      <c r="O31" s="401" t="n"/>
      <c r="P31" s="398" t="inlineStr">
        <is>
          <t>B</t>
        </is>
      </c>
      <c r="Q31" s="398" t="n">
        <v>35</v>
      </c>
      <c r="R31" s="396" t="n"/>
      <c r="S31" s="396" t="n"/>
      <c r="T31" s="396" t="inlineStr">
        <is>
          <t>是</t>
        </is>
      </c>
      <c r="U31" s="396" t="inlineStr">
        <is>
          <t>是</t>
        </is>
      </c>
      <c r="V31" s="396" t="inlineStr">
        <is>
          <t>是</t>
        </is>
      </c>
      <c r="W31" s="396" t="inlineStr">
        <is>
          <t>是</t>
        </is>
      </c>
      <c r="X31" s="396" t="n"/>
      <c r="Y31" s="396" t="n"/>
      <c r="Z31" s="396" t="inlineStr">
        <is>
          <t>是</t>
        </is>
      </c>
      <c r="AA31" s="396" t="inlineStr">
        <is>
          <t>是</t>
        </is>
      </c>
      <c r="AB31" s="396" t="n"/>
      <c r="AC31" s="396" t="n"/>
      <c r="AD31" s="396" t="n"/>
      <c r="AE31" s="396" t="n"/>
      <c r="AF31" s="396" t="n"/>
      <c r="AG31" s="396" t="n"/>
      <c r="AH31" s="396" t="n"/>
      <c r="AI31" s="397" t="inlineStr">
        <is>
          <t>是</t>
        </is>
      </c>
      <c r="AL31" s="7" t="n"/>
    </row>
    <row r="32" ht="26.25" customFormat="1" customHeight="1" s="385">
      <c r="A32" s="396" t="inlineStr">
        <is>
          <t>同创汇</t>
        </is>
      </c>
      <c r="B32" s="396" t="inlineStr">
        <is>
          <t>零期</t>
        </is>
      </c>
      <c r="C32" s="396" t="n">
        <v>5170872</v>
      </c>
      <c r="D32" s="396" t="inlineStr">
        <is>
          <t>13:20-15:30</t>
        </is>
      </c>
      <c r="E32" s="396" t="inlineStr">
        <is>
          <t>潜能班</t>
        </is>
      </c>
      <c r="F32" s="398" t="inlineStr">
        <is>
          <t>曾泓皓</t>
        </is>
      </c>
      <c r="G32" s="396" t="inlineStr">
        <is>
          <t>陈南05</t>
        </is>
      </c>
      <c r="H32" s="396" t="inlineStr">
        <is>
          <t>田雨涵01</t>
        </is>
      </c>
      <c r="I32" s="396" t="inlineStr">
        <is>
          <t>刘希子</t>
        </is>
      </c>
      <c r="J32" s="396" t="inlineStr">
        <is>
          <t>王丽</t>
        </is>
      </c>
      <c r="K32" s="398" t="n"/>
      <c r="L32" s="398" t="n"/>
      <c r="M32" s="401" t="inlineStr">
        <is>
          <t>习惯一般，希望老师培养一下阅读的习惯</t>
        </is>
      </c>
      <c r="N32" s="401" t="inlineStr">
        <is>
          <t>衔接，打基础</t>
        </is>
      </c>
      <c r="O32" s="401" t="n"/>
      <c r="P32" s="398" t="n"/>
      <c r="Q32" s="398" t="n"/>
      <c r="R32" s="396" t="n"/>
      <c r="S32" s="396" t="n"/>
      <c r="T32" s="396" t="inlineStr">
        <is>
          <t>是</t>
        </is>
      </c>
      <c r="U32" s="396" t="inlineStr">
        <is>
          <t>是</t>
        </is>
      </c>
      <c r="V32" s="396" t="inlineStr">
        <is>
          <t>是</t>
        </is>
      </c>
      <c r="W32" s="396" t="inlineStr">
        <is>
          <t>是</t>
        </is>
      </c>
      <c r="X32" s="396" t="n"/>
      <c r="Y32" s="396" t="n"/>
      <c r="Z32" s="396" t="inlineStr">
        <is>
          <t>是</t>
        </is>
      </c>
      <c r="AA32" s="396" t="n"/>
      <c r="AB32" s="396" t="n"/>
      <c r="AC32" s="396" t="n"/>
      <c r="AD32" s="396" t="n"/>
      <c r="AE32" s="396" t="n"/>
      <c r="AF32" s="396" t="n"/>
      <c r="AG32" s="396" t="n"/>
      <c r="AH32" s="396" t="n"/>
      <c r="AI32" s="397" t="inlineStr">
        <is>
          <t>是</t>
        </is>
      </c>
      <c r="AL32" s="7" t="n"/>
    </row>
    <row r="33" ht="26.25" customFormat="1" customHeight="1" s="385">
      <c r="A33" s="396" t="inlineStr">
        <is>
          <t>同创汇</t>
        </is>
      </c>
      <c r="B33" s="396" t="inlineStr">
        <is>
          <t>零期</t>
        </is>
      </c>
      <c r="C33" s="396" t="n">
        <v>5170872</v>
      </c>
      <c r="D33" s="396" t="inlineStr">
        <is>
          <t>13:20-15:30</t>
        </is>
      </c>
      <c r="E33" s="396" t="inlineStr">
        <is>
          <t>潜能班</t>
        </is>
      </c>
      <c r="F33" s="398" t="inlineStr">
        <is>
          <t>杨梓俊</t>
        </is>
      </c>
      <c r="G33" s="396" t="inlineStr">
        <is>
          <t>陈南05</t>
        </is>
      </c>
      <c r="H33" s="396" t="inlineStr">
        <is>
          <t>陈中帅</t>
        </is>
      </c>
      <c r="I33" s="396" t="inlineStr">
        <is>
          <t>刘希子</t>
        </is>
      </c>
      <c r="J33" s="396" t="inlineStr">
        <is>
          <t>苏丽婷</t>
        </is>
      </c>
      <c r="K33" s="398" t="n"/>
      <c r="L33" s="398" t="n"/>
      <c r="M33" s="401" t="inlineStr">
        <is>
          <t>习惯不错，会自己整理笔记，需要盯写字</t>
        </is>
      </c>
      <c r="N33" s="401" t="inlineStr">
        <is>
          <t>培养习惯，提前学习</t>
        </is>
      </c>
      <c r="O33" s="401" t="n"/>
      <c r="P33" s="398" t="inlineStr">
        <is>
          <t>A</t>
        </is>
      </c>
      <c r="Q33" s="398" t="n"/>
      <c r="R33" s="396" t="n"/>
      <c r="S33" s="396" t="n"/>
      <c r="T33" s="396" t="inlineStr">
        <is>
          <t>是</t>
        </is>
      </c>
      <c r="U33" s="396" t="inlineStr">
        <is>
          <t>是</t>
        </is>
      </c>
      <c r="V33" s="396" t="inlineStr">
        <is>
          <t>是</t>
        </is>
      </c>
      <c r="W33" s="396" t="inlineStr">
        <is>
          <t>是</t>
        </is>
      </c>
      <c r="X33" s="396" t="n"/>
      <c r="Y33" s="396" t="n"/>
      <c r="Z33" s="396" t="n"/>
      <c r="AA33" s="396" t="n"/>
      <c r="AB33" s="396" t="n"/>
      <c r="AC33" s="396" t="n"/>
      <c r="AD33" s="396" t="n"/>
      <c r="AE33" s="396" t="n"/>
      <c r="AF33" s="396" t="n"/>
      <c r="AG33" s="396" t="n"/>
      <c r="AH33" s="396" t="n"/>
      <c r="AI33" s="399" t="inlineStr">
        <is>
          <t>是</t>
        </is>
      </c>
      <c r="AL33" s="7" t="n"/>
    </row>
    <row r="34" ht="26.25" customFormat="1" customHeight="1" s="385">
      <c r="A34" s="396" t="inlineStr">
        <is>
          <t>同创汇</t>
        </is>
      </c>
      <c r="B34" s="396" t="inlineStr">
        <is>
          <t>零期</t>
        </is>
      </c>
      <c r="C34" s="396" t="n">
        <v>5170872</v>
      </c>
      <c r="D34" s="396" t="inlineStr">
        <is>
          <t>13:20-15:30</t>
        </is>
      </c>
      <c r="E34" s="396" t="inlineStr">
        <is>
          <t>潜能班</t>
        </is>
      </c>
      <c r="F34" s="398" t="inlineStr">
        <is>
          <t>汪泽烨</t>
        </is>
      </c>
      <c r="G34" s="396" t="inlineStr">
        <is>
          <t>陈南05</t>
        </is>
      </c>
      <c r="H34" s="396" t="inlineStr">
        <is>
          <t>田雨涵01</t>
        </is>
      </c>
      <c r="I34" s="396" t="inlineStr">
        <is>
          <t>刘希子</t>
        </is>
      </c>
      <c r="J34" s="396" t="inlineStr">
        <is>
          <t>王丽</t>
        </is>
      </c>
      <c r="K34" s="398" t="n"/>
      <c r="L34" s="398" t="n"/>
      <c r="M34" s="401" t="inlineStr">
        <is>
          <t>习惯和意愿都一般都一般</t>
        </is>
      </c>
      <c r="N34" s="401" t="inlineStr">
        <is>
          <t>培养习惯，提前学习</t>
        </is>
      </c>
      <c r="O34" s="401" t="n"/>
      <c r="P34" s="398" t="inlineStr">
        <is>
          <t>B</t>
        </is>
      </c>
      <c r="Q34" s="398" t="n"/>
      <c r="R34" s="396" t="n"/>
      <c r="S34" s="396" t="n"/>
      <c r="T34" s="396" t="inlineStr">
        <is>
          <t>是</t>
        </is>
      </c>
      <c r="U34" s="396" t="inlineStr">
        <is>
          <t>是</t>
        </is>
      </c>
      <c r="V34" s="396" t="inlineStr">
        <is>
          <t>是</t>
        </is>
      </c>
      <c r="W34" s="396" t="inlineStr">
        <is>
          <t>是</t>
        </is>
      </c>
      <c r="X34" s="396" t="n"/>
      <c r="Y34" s="396" t="n"/>
      <c r="Z34" s="396" t="inlineStr">
        <is>
          <t>是</t>
        </is>
      </c>
      <c r="AA34" s="396" t="inlineStr">
        <is>
          <t>是</t>
        </is>
      </c>
      <c r="AB34" s="396" t="n"/>
      <c r="AC34" s="396" t="n"/>
      <c r="AD34" s="396" t="n"/>
      <c r="AE34" s="396" t="n"/>
      <c r="AF34" s="396" t="n"/>
      <c r="AG34" s="396" t="n"/>
      <c r="AH34" s="396" t="n"/>
      <c r="AI34" s="397" t="inlineStr">
        <is>
          <t>是</t>
        </is>
      </c>
      <c r="AL34" s="7" t="n"/>
    </row>
    <row r="35" ht="26.25" customFormat="1" customHeight="1" s="385">
      <c r="A35" s="396" t="inlineStr">
        <is>
          <t>同创汇</t>
        </is>
      </c>
      <c r="B35" s="396" t="inlineStr">
        <is>
          <t>零期</t>
        </is>
      </c>
      <c r="C35" s="396" t="n">
        <v>5170872</v>
      </c>
      <c r="D35" s="396" t="inlineStr">
        <is>
          <t>13:20-15:30</t>
        </is>
      </c>
      <c r="E35" s="396" t="inlineStr">
        <is>
          <t>潜能班</t>
        </is>
      </c>
      <c r="F35" s="398" t="inlineStr">
        <is>
          <t>赖展辉</t>
        </is>
      </c>
      <c r="G35" s="396" t="inlineStr">
        <is>
          <t>陈南05</t>
        </is>
      </c>
      <c r="H35" s="396" t="inlineStr">
        <is>
          <t>田雨涵01</t>
        </is>
      </c>
      <c r="I35" s="396" t="inlineStr">
        <is>
          <t>刘希子</t>
        </is>
      </c>
      <c r="J35" s="396" t="inlineStr">
        <is>
          <t>王丽</t>
        </is>
      </c>
      <c r="K35" s="398" t="n"/>
      <c r="L35" s="398" t="n"/>
      <c r="M35" s="401" t="inlineStr">
        <is>
          <t>习惯差，写字差，基础差，学语文意愿差</t>
        </is>
      </c>
      <c r="N35" s="401" t="inlineStr">
        <is>
          <t>妈妈说没啥期望，劝老师理性一些，不要抱太大期望</t>
        </is>
      </c>
      <c r="O35" s="401" t="inlineStr">
        <is>
          <t>秋季课没希望</t>
        </is>
      </c>
      <c r="P35" s="398" t="inlineStr">
        <is>
          <t>50-70</t>
        </is>
      </c>
      <c r="Q35" s="398" t="n"/>
      <c r="R35" s="396" t="n"/>
      <c r="S35" s="396" t="n"/>
      <c r="T35" s="396" t="inlineStr">
        <is>
          <t>是</t>
        </is>
      </c>
      <c r="U35" s="396" t="inlineStr">
        <is>
          <t>是</t>
        </is>
      </c>
      <c r="V35" s="396" t="inlineStr">
        <is>
          <t>是</t>
        </is>
      </c>
      <c r="W35" s="396" t="inlineStr">
        <is>
          <t>是</t>
        </is>
      </c>
      <c r="X35" s="396" t="n"/>
      <c r="Y35" s="396" t="n"/>
      <c r="Z35" s="396" t="inlineStr">
        <is>
          <t>是</t>
        </is>
      </c>
      <c r="AA35" s="396" t="inlineStr">
        <is>
          <t>是</t>
        </is>
      </c>
      <c r="AB35" s="396" t="n"/>
      <c r="AC35" s="396" t="n"/>
      <c r="AD35" s="396" t="n"/>
      <c r="AE35" s="396" t="n"/>
      <c r="AF35" s="396" t="n"/>
      <c r="AG35" s="396" t="n"/>
      <c r="AH35" s="396" t="n"/>
      <c r="AI35" s="397" t="inlineStr">
        <is>
          <t>是</t>
        </is>
      </c>
      <c r="AL35" s="119" t="n"/>
    </row>
    <row r="36" ht="26.25" customHeight="1" s="1053">
      <c r="A36" s="364" t="inlineStr">
        <is>
          <t>同创汇</t>
        </is>
      </c>
      <c r="B36" s="364" t="inlineStr">
        <is>
          <t>一期</t>
        </is>
      </c>
      <c r="C36" s="364" t="n">
        <v>4632448</v>
      </c>
      <c r="D36" s="364" t="inlineStr">
        <is>
          <t>10:20-12:30</t>
        </is>
      </c>
      <c r="E36" s="364" t="inlineStr">
        <is>
          <t>潜能班</t>
        </is>
      </c>
      <c r="F36" s="339" t="inlineStr">
        <is>
          <t>黄奕君</t>
        </is>
      </c>
      <c r="G36" s="364" t="inlineStr">
        <is>
          <t>陈南05</t>
        </is>
      </c>
      <c r="H36" s="364" t="inlineStr">
        <is>
          <t>田雨涵01</t>
        </is>
      </c>
      <c r="I36" s="364" t="inlineStr">
        <is>
          <t>高心怡04</t>
        </is>
      </c>
      <c r="J36" s="364" t="inlineStr">
        <is>
          <t>戎凯01</t>
        </is>
      </c>
      <c r="K36" s="339" t="n"/>
      <c r="L36" s="339" t="n"/>
      <c r="M36" s="364" t="inlineStr">
        <is>
          <t>习惯较好，学习意愿强</t>
        </is>
      </c>
      <c r="N36" s="364" t="inlineStr">
        <is>
          <t>阅读写作进阶，提前学习初一内容</t>
        </is>
      </c>
      <c r="O36" s="364" t="n"/>
      <c r="P36" s="364" t="n">
        <v>96</v>
      </c>
      <c r="Q36" s="364" t="n"/>
      <c r="R36" s="364" t="n"/>
      <c r="S36" s="364" t="n"/>
      <c r="T36" s="364" t="inlineStr">
        <is>
          <t>是</t>
        </is>
      </c>
      <c r="U36" s="364" t="inlineStr">
        <is>
          <t>是</t>
        </is>
      </c>
      <c r="V36" s="364" t="inlineStr">
        <is>
          <t>是</t>
        </is>
      </c>
      <c r="W36" s="364" t="inlineStr">
        <is>
          <t>是</t>
        </is>
      </c>
      <c r="X36" s="364" t="n"/>
      <c r="Y36" s="364" t="n"/>
      <c r="Z36" s="364" t="inlineStr">
        <is>
          <t>是</t>
        </is>
      </c>
      <c r="AA36" s="364" t="n"/>
      <c r="AB36" s="364" t="n"/>
      <c r="AC36" s="364" t="n"/>
      <c r="AD36" s="364" t="n"/>
      <c r="AE36" s="364" t="n"/>
      <c r="AF36" s="364" t="n"/>
      <c r="AG36" s="364" t="n"/>
      <c r="AH36" s="364" t="n"/>
      <c r="AI36" s="281" t="n"/>
      <c r="AL36" s="119" t="n"/>
    </row>
    <row r="37" ht="26.25" customFormat="1" customHeight="1" s="385">
      <c r="A37" s="396" t="inlineStr">
        <is>
          <t>同创汇</t>
        </is>
      </c>
      <c r="B37" s="396" t="inlineStr">
        <is>
          <t>零期</t>
        </is>
      </c>
      <c r="C37" s="396" t="n">
        <v>5170872</v>
      </c>
      <c r="D37" s="396" t="inlineStr">
        <is>
          <t>13:20-15:30</t>
        </is>
      </c>
      <c r="E37" s="396" t="inlineStr">
        <is>
          <t>潜能班</t>
        </is>
      </c>
      <c r="F37" s="398" t="inlineStr">
        <is>
          <t>黄芷瑶</t>
        </is>
      </c>
      <c r="G37" s="396" t="inlineStr">
        <is>
          <t>陈南05</t>
        </is>
      </c>
      <c r="H37" s="396" t="n"/>
      <c r="I37" s="396" t="inlineStr">
        <is>
          <t>刘希子</t>
        </is>
      </c>
      <c r="J37" s="396" t="inlineStr">
        <is>
          <t>戎凯01</t>
        </is>
      </c>
      <c r="K37" s="398" t="n"/>
      <c r="L37" s="398" t="n"/>
      <c r="M37" s="401" t="inlineStr">
        <is>
          <t>上课需要盯着，专注度不够</t>
        </is>
      </c>
      <c r="N37" s="401" t="inlineStr">
        <is>
          <t>衔接，打基础</t>
        </is>
      </c>
      <c r="O37" s="401" t="inlineStr">
        <is>
          <t>数学薄弱，数学在其它机构学习，还学习舞蹈课</t>
        </is>
      </c>
      <c r="P37" s="398" t="inlineStr">
        <is>
          <t>B</t>
        </is>
      </c>
      <c r="Q37" s="398" t="n">
        <v>27</v>
      </c>
      <c r="R37" s="396" t="n"/>
      <c r="S37" s="396" t="n"/>
      <c r="T37" s="396" t="inlineStr">
        <is>
          <t>是</t>
        </is>
      </c>
      <c r="U37" s="396" t="inlineStr">
        <is>
          <t>是</t>
        </is>
      </c>
      <c r="V37" s="396" t="inlineStr">
        <is>
          <t>是</t>
        </is>
      </c>
      <c r="W37" s="396" t="inlineStr">
        <is>
          <t>是</t>
        </is>
      </c>
      <c r="X37" s="396" t="n"/>
      <c r="Y37" s="396" t="n"/>
      <c r="Z37" s="396" t="inlineStr">
        <is>
          <t>是</t>
        </is>
      </c>
      <c r="AA37" s="396" t="n"/>
      <c r="AB37" s="396" t="n"/>
      <c r="AC37" s="396" t="n"/>
      <c r="AD37" s="396" t="n"/>
      <c r="AE37" s="396" t="n"/>
      <c r="AF37" s="396" t="n"/>
      <c r="AG37" s="396" t="n"/>
      <c r="AH37" s="396" t="n"/>
      <c r="AI37" s="399" t="inlineStr">
        <is>
          <t>是</t>
        </is>
      </c>
      <c r="AL37" s="119" t="n"/>
    </row>
    <row r="38" ht="26.25" customHeight="1" s="1053">
      <c r="A38" s="364" t="inlineStr">
        <is>
          <t>同创汇</t>
        </is>
      </c>
      <c r="B38" s="364" t="inlineStr">
        <is>
          <t>一期</t>
        </is>
      </c>
      <c r="C38" s="364" t="n">
        <v>4632448</v>
      </c>
      <c r="D38" s="364" t="inlineStr">
        <is>
          <t>10:20-12:30</t>
        </is>
      </c>
      <c r="E38" s="364" t="inlineStr">
        <is>
          <t>潜能班</t>
        </is>
      </c>
      <c r="F38" s="339" t="inlineStr">
        <is>
          <t>黄若桐</t>
        </is>
      </c>
      <c r="G38" s="364" t="inlineStr">
        <is>
          <t>陈南05</t>
        </is>
      </c>
      <c r="H38" s="364" t="inlineStr">
        <is>
          <t>田雨涵01</t>
        </is>
      </c>
      <c r="I38" s="364" t="inlineStr">
        <is>
          <t>高心怡04</t>
        </is>
      </c>
      <c r="J38" s="364" t="inlineStr">
        <is>
          <t>戎凯01</t>
        </is>
      </c>
      <c r="K38" s="339" t="n"/>
      <c r="L38" s="339" t="n"/>
      <c r="M38" s="364" t="inlineStr">
        <is>
          <t>习惯和意愿都一般</t>
        </is>
      </c>
      <c r="N38" s="364" t="inlineStr">
        <is>
          <t>保持学习的热爱和兴趣</t>
        </is>
      </c>
      <c r="O38" s="364" t="n"/>
      <c r="P38" s="364" t="n"/>
      <c r="Q38" s="364" t="n"/>
      <c r="R38" s="364" t="n"/>
      <c r="S38" s="364" t="n"/>
      <c r="T38" s="364" t="inlineStr">
        <is>
          <t>是</t>
        </is>
      </c>
      <c r="U38" s="364" t="inlineStr">
        <is>
          <t>是</t>
        </is>
      </c>
      <c r="V38" s="364" t="inlineStr">
        <is>
          <t>是</t>
        </is>
      </c>
      <c r="W38" s="364" t="inlineStr">
        <is>
          <t>是</t>
        </is>
      </c>
      <c r="X38" s="364" t="n"/>
      <c r="Y38" s="364" t="n"/>
      <c r="Z38" s="396" t="inlineStr">
        <is>
          <t>是</t>
        </is>
      </c>
      <c r="AA38" s="396" t="inlineStr">
        <is>
          <t>是</t>
        </is>
      </c>
      <c r="AB38" s="364" t="n"/>
      <c r="AC38" s="364" t="n"/>
      <c r="AD38" s="364" t="n"/>
      <c r="AE38" s="364" t="n"/>
      <c r="AF38" s="364" t="n"/>
      <c r="AG38" s="364" t="n"/>
      <c r="AH38" s="364" t="n"/>
      <c r="AI38" s="366" t="n"/>
      <c r="AL38" s="119" t="n"/>
    </row>
    <row r="39" ht="26.25" customFormat="1" customHeight="1" s="385">
      <c r="A39" s="396" t="inlineStr">
        <is>
          <t>同创汇</t>
        </is>
      </c>
      <c r="B39" s="396" t="inlineStr">
        <is>
          <t>零期</t>
        </is>
      </c>
      <c r="C39" s="396" t="n">
        <v>5170872</v>
      </c>
      <c r="D39" s="396" t="inlineStr">
        <is>
          <t>13:20-15:30</t>
        </is>
      </c>
      <c r="E39" s="396" t="inlineStr">
        <is>
          <t>潜能班</t>
        </is>
      </c>
      <c r="F39" s="398" t="inlineStr">
        <is>
          <t>黎晶晶</t>
        </is>
      </c>
      <c r="G39" s="396" t="inlineStr">
        <is>
          <t>陈南05</t>
        </is>
      </c>
      <c r="H39" s="396" t="inlineStr">
        <is>
          <t>田雨涵01</t>
        </is>
      </c>
      <c r="I39" s="396" t="inlineStr">
        <is>
          <t>刘希子</t>
        </is>
      </c>
      <c r="J39" s="396" t="inlineStr">
        <is>
          <t>王丽</t>
        </is>
      </c>
      <c r="K39" s="398" t="inlineStr">
        <is>
          <t>农小</t>
        </is>
      </c>
      <c r="L39" s="398" t="n"/>
      <c r="M39" s="401" t="inlineStr">
        <is>
          <t>习惯和意愿都一般</t>
        </is>
      </c>
      <c r="N39" s="401" t="inlineStr">
        <is>
          <t>熟悉新初一知识</t>
        </is>
      </c>
      <c r="O39" s="401" t="inlineStr">
        <is>
          <t>双胞胎，支付能力差</t>
        </is>
      </c>
      <c r="P39" s="398" t="n"/>
      <c r="Q39" s="398" t="n"/>
      <c r="R39" s="396" t="n"/>
      <c r="S39" s="396" t="n"/>
      <c r="T39" s="396" t="inlineStr">
        <is>
          <t>是</t>
        </is>
      </c>
      <c r="U39" s="396" t="inlineStr">
        <is>
          <t>是</t>
        </is>
      </c>
      <c r="V39" s="396" t="inlineStr">
        <is>
          <t>是</t>
        </is>
      </c>
      <c r="W39" s="396" t="inlineStr">
        <is>
          <t>是</t>
        </is>
      </c>
      <c r="X39" s="396" t="n"/>
      <c r="Y39" s="396" t="n"/>
      <c r="Z39" s="396" t="inlineStr">
        <is>
          <t>是</t>
        </is>
      </c>
      <c r="AA39" s="396" t="inlineStr">
        <is>
          <t>是</t>
        </is>
      </c>
      <c r="AB39" s="396" t="n"/>
      <c r="AC39" s="396" t="n"/>
      <c r="AD39" s="396" t="n"/>
      <c r="AE39" s="396" t="n"/>
      <c r="AF39" s="396" t="n"/>
      <c r="AG39" s="396" t="n"/>
      <c r="AH39" s="396" t="n"/>
      <c r="AI39" s="400" t="inlineStr">
        <is>
          <t>是</t>
        </is>
      </c>
      <c r="AL39" s="119" t="n"/>
    </row>
    <row r="40" ht="26.25" customFormat="1" customHeight="1" s="385">
      <c r="A40" s="396" t="inlineStr">
        <is>
          <t>同创汇</t>
        </is>
      </c>
      <c r="B40" s="396" t="inlineStr">
        <is>
          <t>零期</t>
        </is>
      </c>
      <c r="C40" s="396" t="n">
        <v>5170872</v>
      </c>
      <c r="D40" s="396" t="inlineStr">
        <is>
          <t>13:20-15:30</t>
        </is>
      </c>
      <c r="E40" s="396" t="inlineStr">
        <is>
          <t>潜能班</t>
        </is>
      </c>
      <c r="F40" s="398" t="inlineStr">
        <is>
          <t>黎莹莹</t>
        </is>
      </c>
      <c r="G40" s="396" t="inlineStr">
        <is>
          <t>陈南05</t>
        </is>
      </c>
      <c r="H40" s="396" t="inlineStr">
        <is>
          <t>田雨涵01</t>
        </is>
      </c>
      <c r="I40" s="396" t="inlineStr">
        <is>
          <t>刘希子</t>
        </is>
      </c>
      <c r="J40" s="396" t="inlineStr">
        <is>
          <t>王丽</t>
        </is>
      </c>
      <c r="K40" s="398" t="n"/>
      <c r="L40" s="398" t="n"/>
      <c r="M40" s="401" t="inlineStr">
        <is>
          <t>习惯和意愿都一般</t>
        </is>
      </c>
      <c r="N40" s="401" t="inlineStr">
        <is>
          <t>熟悉新初一知识</t>
        </is>
      </c>
      <c r="O40" s="401" t="inlineStr">
        <is>
          <t>双胞胎，支付能力差</t>
        </is>
      </c>
      <c r="P40" s="398" t="n"/>
      <c r="Q40" s="398" t="n"/>
      <c r="R40" s="396" t="n"/>
      <c r="S40" s="396" t="n"/>
      <c r="T40" s="396" t="inlineStr">
        <is>
          <t>是</t>
        </is>
      </c>
      <c r="U40" s="396" t="inlineStr">
        <is>
          <t>是</t>
        </is>
      </c>
      <c r="V40" s="396" t="inlineStr">
        <is>
          <t>是</t>
        </is>
      </c>
      <c r="W40" s="396" t="inlineStr">
        <is>
          <t>是</t>
        </is>
      </c>
      <c r="X40" s="396" t="n"/>
      <c r="Y40" s="396" t="n"/>
      <c r="Z40" s="396" t="inlineStr">
        <is>
          <t>是</t>
        </is>
      </c>
      <c r="AA40" s="396" t="inlineStr">
        <is>
          <t>是</t>
        </is>
      </c>
      <c r="AB40" s="396" t="n"/>
      <c r="AC40" s="396" t="n"/>
      <c r="AD40" s="396" t="n"/>
      <c r="AE40" s="396" t="n"/>
      <c r="AF40" s="396" t="n"/>
      <c r="AG40" s="396" t="n"/>
      <c r="AH40" s="396" t="n"/>
      <c r="AI40" s="400" t="inlineStr">
        <is>
          <t>是</t>
        </is>
      </c>
      <c r="AL40" s="281" t="n"/>
    </row>
    <row r="41" ht="26.25" customHeight="1" s="1053">
      <c r="A41" s="364" t="inlineStr">
        <is>
          <t>新宝利</t>
        </is>
      </c>
      <c r="B41" s="364" t="inlineStr">
        <is>
          <t>三期</t>
        </is>
      </c>
      <c r="C41" s="364" t="n">
        <v>5230747</v>
      </c>
      <c r="D41" s="364" t="inlineStr">
        <is>
          <t>10:20-12:30</t>
        </is>
      </c>
      <c r="E41" s="364" t="inlineStr">
        <is>
          <t>潜能班</t>
        </is>
      </c>
      <c r="F41" s="364" t="inlineStr">
        <is>
          <t>任熙旋</t>
        </is>
      </c>
      <c r="G41" s="364" t="inlineStr">
        <is>
          <t>陈南05</t>
        </is>
      </c>
      <c r="H41" s="364" t="inlineStr">
        <is>
          <t>陈中帅</t>
        </is>
      </c>
      <c r="I41" s="364" t="inlineStr">
        <is>
          <t>肖锐03</t>
        </is>
      </c>
      <c r="J41" s="364" t="inlineStr">
        <is>
          <t>张敏烨</t>
        </is>
      </c>
      <c r="K41" s="364" t="n"/>
      <c r="L41" s="364" t="n"/>
      <c r="M41" s="364" t="n"/>
      <c r="N41" s="364" t="n"/>
      <c r="O41" s="364" t="n"/>
      <c r="P41" s="364" t="n"/>
      <c r="Q41" s="364" t="n">
        <v>30</v>
      </c>
      <c r="R41" s="364" t="n"/>
      <c r="S41" s="364" t="n"/>
      <c r="T41" s="364" t="inlineStr">
        <is>
          <t>是</t>
        </is>
      </c>
      <c r="U41" s="364" t="inlineStr">
        <is>
          <t>是</t>
        </is>
      </c>
      <c r="V41" s="364" t="n"/>
      <c r="W41" s="364" t="n"/>
      <c r="X41" s="364" t="n"/>
      <c r="Y41" s="364" t="n"/>
      <c r="Z41" s="364" t="n"/>
      <c r="AA41" s="364" t="n"/>
      <c r="AB41" s="364" t="n"/>
      <c r="AC41" s="364" t="n"/>
      <c r="AD41" s="364" t="n"/>
      <c r="AE41" s="364" t="n"/>
      <c r="AF41" s="364" t="n"/>
      <c r="AG41" s="364" t="n"/>
      <c r="AH41" s="364" t="n"/>
      <c r="AL41" s="281" t="n"/>
    </row>
    <row r="42" ht="26.25" customHeight="1" s="1053">
      <c r="A42" s="364" t="inlineStr">
        <is>
          <t>新宝利</t>
        </is>
      </c>
      <c r="B42" s="364" t="inlineStr">
        <is>
          <t>三期</t>
        </is>
      </c>
      <c r="C42" s="364" t="n">
        <v>5230747</v>
      </c>
      <c r="D42" s="364" t="inlineStr">
        <is>
          <t>10:20-12:30</t>
        </is>
      </c>
      <c r="E42" s="364" t="inlineStr">
        <is>
          <t>潜能班</t>
        </is>
      </c>
      <c r="F42" s="364" t="inlineStr">
        <is>
          <t>何柏禧</t>
        </is>
      </c>
      <c r="G42" s="364" t="inlineStr">
        <is>
          <t>陈南05</t>
        </is>
      </c>
      <c r="H42" s="364" t="n"/>
      <c r="I42" s="364" t="n"/>
      <c r="J42" s="364" t="inlineStr">
        <is>
          <t>沈思浩</t>
        </is>
      </c>
      <c r="K42" s="364" t="n"/>
      <c r="L42" s="364" t="n"/>
      <c r="M42" s="364" t="inlineStr">
        <is>
          <t>上课小动作很多，学习习惯比较差，但是还是会积极配合课堂节奏</t>
        </is>
      </c>
      <c r="N42" s="364" t="inlineStr">
        <is>
          <t>孩子感兴趣，愿意学就好</t>
        </is>
      </c>
      <c r="O42" s="364" t="inlineStr">
        <is>
          <t>多次短期班转化，25年秋季正价后流失</t>
        </is>
      </c>
      <c r="P42" s="364" t="n"/>
      <c r="Q42" s="364" t="n"/>
      <c r="R42" s="364" t="n"/>
      <c r="S42" s="364" t="n"/>
      <c r="T42" s="364" t="inlineStr">
        <is>
          <t>是</t>
        </is>
      </c>
      <c r="U42" s="364" t="inlineStr">
        <is>
          <t>是</t>
        </is>
      </c>
      <c r="V42" s="364" t="n"/>
      <c r="W42" s="364" t="n"/>
      <c r="X42" s="364" t="n"/>
      <c r="Y42" s="364" t="n"/>
      <c r="Z42" s="364" t="n"/>
      <c r="AA42" s="364" t="n"/>
      <c r="AB42" s="364" t="n"/>
      <c r="AC42" s="364" t="n"/>
      <c r="AD42" s="364" t="n"/>
      <c r="AE42" s="364" t="n"/>
      <c r="AF42" s="364" t="n"/>
      <c r="AG42" s="364" t="n"/>
      <c r="AH42" s="364" t="n"/>
      <c r="AL42" s="281" t="n"/>
    </row>
    <row r="43" ht="26.25" customHeight="1" s="1053">
      <c r="A43" s="364" t="inlineStr">
        <is>
          <t>新宝利</t>
        </is>
      </c>
      <c r="B43" s="364" t="inlineStr">
        <is>
          <t>三期</t>
        </is>
      </c>
      <c r="C43" s="364" t="n">
        <v>5230747</v>
      </c>
      <c r="D43" s="364" t="inlineStr">
        <is>
          <t>10:20-12:30</t>
        </is>
      </c>
      <c r="E43" s="364" t="inlineStr">
        <is>
          <t>潜能班</t>
        </is>
      </c>
      <c r="F43" s="364" t="inlineStr">
        <is>
          <t>倪嘉儿</t>
        </is>
      </c>
      <c r="G43" s="364" t="inlineStr">
        <is>
          <t>陈南05</t>
        </is>
      </c>
      <c r="H43" s="364" t="inlineStr">
        <is>
          <t>陈中帅</t>
        </is>
      </c>
      <c r="I43" s="364" t="inlineStr">
        <is>
          <t>肖锐03</t>
        </is>
      </c>
      <c r="J43" s="364" t="inlineStr">
        <is>
          <t>王丽</t>
        </is>
      </c>
      <c r="K43" s="364" t="n"/>
      <c r="L43" s="364" t="n"/>
      <c r="M43" s="364" t="inlineStr">
        <is>
          <t>上课比较内向，积极性不高</t>
        </is>
      </c>
      <c r="N43" s="364" t="n"/>
      <c r="O43" s="364" t="inlineStr">
        <is>
          <t>爸爸认可，觉得老师讲解得很细致 好理解</t>
        </is>
      </c>
      <c r="P43" s="364" t="n"/>
      <c r="Q43" s="364" t="n"/>
      <c r="R43" s="364" t="n"/>
      <c r="S43" s="364" t="n"/>
      <c r="T43" s="364" t="inlineStr">
        <is>
          <t>是</t>
        </is>
      </c>
      <c r="U43" s="364" t="inlineStr">
        <is>
          <t>是</t>
        </is>
      </c>
      <c r="V43" s="364" t="n"/>
      <c r="W43" s="364" t="n"/>
      <c r="X43" s="364" t="n"/>
      <c r="Y43" s="364" t="n"/>
      <c r="Z43" s="364" t="n"/>
      <c r="AA43" s="364" t="n"/>
      <c r="AB43" s="364" t="n"/>
      <c r="AC43" s="364" t="n"/>
      <c r="AD43" s="364" t="n"/>
      <c r="AE43" s="364" t="n"/>
      <c r="AF43" s="364" t="n"/>
      <c r="AG43" s="364" t="n"/>
      <c r="AH43" s="364" t="n"/>
      <c r="AL43" s="281" t="n"/>
    </row>
    <row r="44" ht="26.25" customHeight="1" s="1053">
      <c r="A44" s="364" t="inlineStr">
        <is>
          <t>新宝利</t>
        </is>
      </c>
      <c r="B44" s="364" t="inlineStr">
        <is>
          <t>三期</t>
        </is>
      </c>
      <c r="C44" s="364" t="n">
        <v>5230747</v>
      </c>
      <c r="D44" s="364" t="inlineStr">
        <is>
          <t>10:20-12:30</t>
        </is>
      </c>
      <c r="E44" s="364" t="inlineStr">
        <is>
          <t>潜能班</t>
        </is>
      </c>
      <c r="F44" s="364" t="inlineStr">
        <is>
          <t>刘梦可</t>
        </is>
      </c>
      <c r="G44" s="364" t="inlineStr">
        <is>
          <t>陈南05</t>
        </is>
      </c>
      <c r="H44" s="364" t="inlineStr">
        <is>
          <t>陈中帅</t>
        </is>
      </c>
      <c r="I44" s="364" t="inlineStr">
        <is>
          <t>肖锐03</t>
        </is>
      </c>
      <c r="J44" s="364" t="inlineStr">
        <is>
          <t>张敏烨</t>
        </is>
      </c>
      <c r="K44" s="364" t="n"/>
      <c r="L44" s="364" t="n"/>
      <c r="M44" s="364" t="inlineStr">
        <is>
          <t>上课状态非常不错，会主动举手回答问题，会主动自觉记笔记</t>
        </is>
      </c>
      <c r="N44" s="364" t="inlineStr">
        <is>
          <t>对于踩分点的把握比较弱</t>
        </is>
      </c>
      <c r="O44" s="364" t="n"/>
      <c r="P44" s="364" t="n"/>
      <c r="Q44" s="364" t="n">
        <v>32</v>
      </c>
      <c r="R44" s="364" t="n"/>
      <c r="S44" s="364" t="n"/>
      <c r="T44" s="364" t="inlineStr">
        <is>
          <t>是</t>
        </is>
      </c>
      <c r="U44" s="364" t="inlineStr">
        <is>
          <t>是</t>
        </is>
      </c>
      <c r="V44" s="364" t="n"/>
      <c r="W44" s="364" t="n"/>
      <c r="X44" s="364" t="n"/>
      <c r="Y44" s="364" t="n"/>
      <c r="Z44" s="364" t="n"/>
      <c r="AA44" s="364" t="n"/>
      <c r="AB44" s="364" t="n"/>
      <c r="AC44" s="364" t="n"/>
      <c r="AD44" s="364" t="n"/>
      <c r="AE44" s="364" t="n"/>
      <c r="AF44" s="364" t="n"/>
      <c r="AG44" s="364" t="n"/>
      <c r="AH44" s="364" t="n"/>
      <c r="AL44" s="281" t="n"/>
    </row>
    <row r="45" ht="26.25" customHeight="1" s="1053">
      <c r="A45" s="364" t="inlineStr">
        <is>
          <t>新宝利</t>
        </is>
      </c>
      <c r="B45" s="364" t="inlineStr">
        <is>
          <t>三期</t>
        </is>
      </c>
      <c r="C45" s="364" t="n">
        <v>5230747</v>
      </c>
      <c r="D45" s="364" t="inlineStr">
        <is>
          <t>10:20-12:30</t>
        </is>
      </c>
      <c r="E45" s="364" t="inlineStr">
        <is>
          <t>潜能班</t>
        </is>
      </c>
      <c r="F45" s="364" t="inlineStr">
        <is>
          <t>千惠</t>
        </is>
      </c>
      <c r="G45" s="364" t="inlineStr">
        <is>
          <t>陈南05</t>
        </is>
      </c>
      <c r="H45" s="364" t="inlineStr">
        <is>
          <t>陈中帅</t>
        </is>
      </c>
      <c r="I45" s="364" t="inlineStr">
        <is>
          <t>肖锐03</t>
        </is>
      </c>
      <c r="J45" s="364" t="inlineStr">
        <is>
          <t>张敏烨</t>
        </is>
      </c>
      <c r="K45" s="364" t="n"/>
      <c r="L45" s="364" t="n"/>
      <c r="M45" s="364" t="inlineStr">
        <is>
          <t>孩子学习意愿不强</t>
        </is>
      </c>
      <c r="N45" s="364" t="inlineStr">
        <is>
          <t>培养习惯，提前学习</t>
        </is>
      </c>
      <c r="O45" s="364" t="n"/>
      <c r="P45" s="364" t="n"/>
      <c r="Q45" s="364" t="n">
        <v>80</v>
      </c>
      <c r="R45" s="364" t="n"/>
      <c r="S45" s="364" t="n"/>
      <c r="T45" s="364" t="inlineStr">
        <is>
          <t>是</t>
        </is>
      </c>
      <c r="U45" s="364" t="inlineStr">
        <is>
          <t>是</t>
        </is>
      </c>
      <c r="V45" s="364" t="n"/>
      <c r="W45" s="364" t="n"/>
      <c r="X45" s="364" t="n"/>
      <c r="Y45" s="364" t="n"/>
      <c r="Z45" s="364" t="n"/>
      <c r="AA45" s="364" t="n"/>
      <c r="AB45" s="364" t="n"/>
      <c r="AC45" s="364" t="n"/>
      <c r="AD45" s="364" t="n"/>
      <c r="AE45" s="364" t="n"/>
      <c r="AF45" s="364" t="n"/>
      <c r="AG45" s="364" t="n"/>
      <c r="AH45" s="364" t="n"/>
      <c r="AL45" s="281" t="n"/>
    </row>
    <row r="46" ht="26.25" customHeight="1" s="1053">
      <c r="A46" s="364" t="inlineStr">
        <is>
          <t>新宝利</t>
        </is>
      </c>
      <c r="B46" s="364" t="inlineStr">
        <is>
          <t>三期</t>
        </is>
      </c>
      <c r="C46" s="364" t="n">
        <v>5230747</v>
      </c>
      <c r="D46" s="364" t="inlineStr">
        <is>
          <t>10:20-12:30</t>
        </is>
      </c>
      <c r="E46" s="364" t="inlineStr">
        <is>
          <t>潜能班</t>
        </is>
      </c>
      <c r="F46" s="364" t="inlineStr">
        <is>
          <t>叶羽宸</t>
        </is>
      </c>
      <c r="G46" s="364" t="inlineStr">
        <is>
          <t>陈南05</t>
        </is>
      </c>
      <c r="H46" s="364" t="inlineStr">
        <is>
          <t>陈中帅</t>
        </is>
      </c>
      <c r="I46" s="364" t="inlineStr">
        <is>
          <t>肖锐03</t>
        </is>
      </c>
      <c r="J46" s="364" t="inlineStr">
        <is>
          <t>杨林33</t>
        </is>
      </c>
      <c r="K46" s="364" t="n"/>
      <c r="L46" s="364" t="n"/>
      <c r="M46" s="364" t="inlineStr">
        <is>
          <t>习惯较差，上课状态一般</t>
        </is>
      </c>
      <c r="N46" s="364" t="inlineStr">
        <is>
          <t>答题输出很差</t>
        </is>
      </c>
      <c r="O46" s="364" t="inlineStr">
        <is>
          <t>孩子有读写障碍的，口头回答没有问题，就是输出写字时写不出来，所以他阅读理解往往只有几个字</t>
        </is>
      </c>
      <c r="P46" s="364" t="inlineStr">
        <is>
          <t>成绩极差，曾被劝退。且现场中帅有告知明确不收</t>
        </is>
      </c>
      <c r="Q46" s="364" t="n"/>
      <c r="R46" s="364" t="n"/>
      <c r="S46" s="364" t="n"/>
      <c r="T46" s="364" t="inlineStr">
        <is>
          <t>是</t>
        </is>
      </c>
      <c r="U46" s="364" t="inlineStr">
        <is>
          <t>是</t>
        </is>
      </c>
      <c r="V46" s="364" t="n"/>
      <c r="W46" s="364" t="n"/>
      <c r="X46" s="364" t="n"/>
      <c r="Y46" s="364" t="n"/>
      <c r="Z46" s="364" t="n"/>
      <c r="AA46" s="364" t="n"/>
      <c r="AB46" s="364" t="n"/>
      <c r="AC46" s="364" t="n"/>
      <c r="AD46" s="364" t="n"/>
      <c r="AE46" s="364" t="n"/>
      <c r="AF46" s="364" t="n"/>
      <c r="AG46" s="364" t="n"/>
      <c r="AH46" s="364" t="n"/>
      <c r="AL46" s="281" t="n"/>
    </row>
    <row r="47" ht="26.25" customHeight="1" s="1053">
      <c r="A47" s="364" t="inlineStr">
        <is>
          <t>新宝利</t>
        </is>
      </c>
      <c r="B47" s="364" t="inlineStr">
        <is>
          <t>三期</t>
        </is>
      </c>
      <c r="C47" s="364" t="n">
        <v>5230747</v>
      </c>
      <c r="D47" s="364" t="inlineStr">
        <is>
          <t>10:20-12:30</t>
        </is>
      </c>
      <c r="E47" s="364" t="inlineStr">
        <is>
          <t>潜能班</t>
        </is>
      </c>
      <c r="F47" s="364" t="inlineStr">
        <is>
          <t>圣鑫</t>
        </is>
      </c>
      <c r="G47" s="364" t="inlineStr">
        <is>
          <t>陈南05</t>
        </is>
      </c>
      <c r="H47" s="364" t="inlineStr">
        <is>
          <t>陈中帅</t>
        </is>
      </c>
      <c r="I47" s="364" t="inlineStr">
        <is>
          <t>肖锐03</t>
        </is>
      </c>
      <c r="J47" s="364" t="inlineStr">
        <is>
          <t>林志豪01</t>
        </is>
      </c>
      <c r="K47" s="364" t="n"/>
      <c r="L47" s="364" t="n"/>
      <c r="M47" s="364" t="inlineStr">
        <is>
          <t>孩子上课很内向，基础一般</t>
        </is>
      </c>
      <c r="N47" s="364" t="inlineStr">
        <is>
          <t>薅羊毛</t>
        </is>
      </c>
      <c r="O47" s="364" t="inlineStr">
        <is>
          <t>换手机号、换UID报名，原名梁圣鑫。成绩奇差，自然流失。</t>
        </is>
      </c>
      <c r="P47" s="364" t="n"/>
      <c r="Q47" s="364" t="n">
        <v>29</v>
      </c>
      <c r="R47" s="364" t="n"/>
      <c r="S47" s="364" t="n"/>
      <c r="T47" s="364" t="inlineStr">
        <is>
          <t>是</t>
        </is>
      </c>
      <c r="U47" s="364" t="inlineStr">
        <is>
          <t>是</t>
        </is>
      </c>
      <c r="V47" s="364" t="n"/>
      <c r="W47" s="364" t="n"/>
      <c r="X47" s="364" t="n"/>
      <c r="Y47" s="364" t="n"/>
      <c r="Z47" s="364" t="n"/>
      <c r="AA47" s="364" t="n"/>
      <c r="AB47" s="364" t="n"/>
      <c r="AC47" s="364" t="n"/>
      <c r="AD47" s="364" t="n"/>
      <c r="AE47" s="364" t="n"/>
      <c r="AF47" s="364" t="n"/>
      <c r="AG47" s="364" t="n"/>
      <c r="AH47" s="364" t="n"/>
      <c r="AL47" s="281" t="n"/>
    </row>
    <row r="48" ht="26.25" customHeight="1" s="1053">
      <c r="A48" s="364" t="inlineStr">
        <is>
          <t>新宝利</t>
        </is>
      </c>
      <c r="B48" s="364" t="inlineStr">
        <is>
          <t>三期</t>
        </is>
      </c>
      <c r="C48" s="364" t="n">
        <v>5230747</v>
      </c>
      <c r="D48" s="364" t="inlineStr">
        <is>
          <t>10:20-12:30</t>
        </is>
      </c>
      <c r="E48" s="364" t="inlineStr">
        <is>
          <t>潜能班</t>
        </is>
      </c>
      <c r="F48" s="364" t="inlineStr">
        <is>
          <t>奇锋</t>
        </is>
      </c>
      <c r="G48" s="364" t="inlineStr">
        <is>
          <t>陈南05</t>
        </is>
      </c>
      <c r="H48" s="364" t="inlineStr">
        <is>
          <t>陈中帅</t>
        </is>
      </c>
      <c r="I48" s="364" t="inlineStr">
        <is>
          <t>肖锐03</t>
        </is>
      </c>
      <c r="J48" s="364" t="inlineStr">
        <is>
          <t>杨林33</t>
        </is>
      </c>
      <c r="K48" s="364" t="n"/>
      <c r="L48" s="364" t="n"/>
      <c r="M48" s="364" t="n"/>
      <c r="N48" s="364" t="inlineStr">
        <is>
          <t>薅羊毛</t>
        </is>
      </c>
      <c r="O48" s="364" t="inlineStr">
        <is>
          <t>新宝利第一批特惠学员，未转化</t>
        </is>
      </c>
      <c r="P48" s="364" t="n"/>
      <c r="Q48" s="364" t="n"/>
      <c r="R48" s="364" t="n"/>
      <c r="S48" s="364" t="n"/>
      <c r="T48" s="364" t="inlineStr">
        <is>
          <t>是</t>
        </is>
      </c>
      <c r="U48" s="364" t="inlineStr">
        <is>
          <t>是</t>
        </is>
      </c>
      <c r="V48" s="364" t="n"/>
      <c r="W48" s="364" t="n"/>
      <c r="X48" s="364" t="n"/>
      <c r="Y48" s="364" t="n"/>
      <c r="Z48" s="364" t="n"/>
      <c r="AA48" s="364" t="n"/>
      <c r="AB48" s="364" t="n"/>
      <c r="AC48" s="364" t="n"/>
      <c r="AD48" s="364" t="n"/>
      <c r="AE48" s="364" t="n"/>
      <c r="AF48" s="364" t="n"/>
      <c r="AG48" s="364" t="n"/>
      <c r="AH48" s="364" t="n"/>
      <c r="AL48" s="281" t="n"/>
    </row>
    <row r="49" ht="26.25" customHeight="1" s="1053">
      <c r="A49" s="364" t="inlineStr">
        <is>
          <t>新宝利</t>
        </is>
      </c>
      <c r="B49" s="364" t="inlineStr">
        <is>
          <t>三期</t>
        </is>
      </c>
      <c r="C49" s="364" t="n">
        <v>5230747</v>
      </c>
      <c r="D49" s="364" t="inlineStr">
        <is>
          <t>10:20-12:30</t>
        </is>
      </c>
      <c r="E49" s="364" t="inlineStr">
        <is>
          <t>潜能班</t>
        </is>
      </c>
      <c r="F49" s="364" t="inlineStr">
        <is>
          <t>宸郗</t>
        </is>
      </c>
      <c r="G49" s="364" t="inlineStr">
        <is>
          <t>陈南05</t>
        </is>
      </c>
      <c r="H49" s="364" t="inlineStr">
        <is>
          <t>陈中帅</t>
        </is>
      </c>
      <c r="I49" s="364" t="inlineStr">
        <is>
          <t>肖锐03</t>
        </is>
      </c>
      <c r="J49" s="364" t="inlineStr">
        <is>
          <t>陈亮延</t>
        </is>
      </c>
      <c r="K49" s="364" t="n"/>
      <c r="L49" s="364" t="n"/>
      <c r="M49" s="364" t="inlineStr">
        <is>
          <t>上课会听，但是习惯很差，阅读理解很差，作文停留在三四年级水准，学习态度很差</t>
        </is>
      </c>
      <c r="N49" s="364" t="inlineStr">
        <is>
          <t>阅读，写作</t>
        </is>
      </c>
      <c r="O49" s="364" t="inlineStr">
        <is>
          <t>态度很差，各个板块问题也很大，孩子对上课有情绪，基本是妈妈求着哄着来上，妈妈想看到效果</t>
        </is>
      </c>
      <c r="P49" s="364" t="n"/>
      <c r="Q49" s="364" t="n"/>
      <c r="R49" s="364" t="n"/>
      <c r="S49" s="364" t="n"/>
      <c r="T49" s="364" t="inlineStr">
        <is>
          <t>是</t>
        </is>
      </c>
      <c r="U49" s="364" t="inlineStr">
        <is>
          <t>是</t>
        </is>
      </c>
      <c r="V49" s="364" t="n"/>
      <c r="W49" s="364" t="n"/>
      <c r="X49" s="364" t="n"/>
      <c r="Y49" s="364" t="n"/>
      <c r="Z49" s="364" t="n"/>
      <c r="AA49" s="364" t="n"/>
      <c r="AB49" s="364" t="n"/>
      <c r="AC49" s="364" t="n"/>
      <c r="AD49" s="364" t="n"/>
      <c r="AE49" s="364" t="n"/>
      <c r="AF49" s="364" t="n"/>
      <c r="AG49" s="364" t="n"/>
      <c r="AH49" s="364" t="n"/>
      <c r="AL49" s="281" t="n"/>
    </row>
    <row r="50" ht="26.25" customHeight="1" s="1053">
      <c r="A50" s="364" t="inlineStr">
        <is>
          <t>新宝利</t>
        </is>
      </c>
      <c r="B50" s="364" t="inlineStr">
        <is>
          <t>三期</t>
        </is>
      </c>
      <c r="C50" s="364" t="n">
        <v>5230747</v>
      </c>
      <c r="D50" s="364" t="inlineStr">
        <is>
          <t>10:20-12:30</t>
        </is>
      </c>
      <c r="E50" s="364" t="inlineStr">
        <is>
          <t>潜能班</t>
        </is>
      </c>
      <c r="F50" s="364" t="inlineStr">
        <is>
          <t>张思宇</t>
        </is>
      </c>
      <c r="G50" s="364" t="inlineStr">
        <is>
          <t>陈南05</t>
        </is>
      </c>
      <c r="H50" s="364" t="inlineStr">
        <is>
          <t>陈中帅</t>
        </is>
      </c>
      <c r="I50" s="364" t="inlineStr">
        <is>
          <t>肖锐03</t>
        </is>
      </c>
      <c r="J50" s="364" t="inlineStr">
        <is>
          <t>王达04</t>
        </is>
      </c>
      <c r="K50" s="364" t="n"/>
      <c r="L50" s="364" t="n"/>
      <c r="M50" s="364" t="n"/>
      <c r="N50" s="364" t="n"/>
      <c r="O50" s="364" t="n"/>
      <c r="P50" s="364" t="n"/>
      <c r="Q50" s="364" t="n">
        <v>32</v>
      </c>
      <c r="R50" s="364" t="n"/>
      <c r="S50" s="364" t="n"/>
      <c r="T50" s="364" t="inlineStr">
        <is>
          <t>是</t>
        </is>
      </c>
      <c r="U50" s="364" t="inlineStr">
        <is>
          <t>是</t>
        </is>
      </c>
      <c r="V50" s="364" t="n"/>
      <c r="W50" s="364" t="n"/>
      <c r="X50" s="364" t="n"/>
      <c r="Y50" s="364" t="n"/>
      <c r="Z50" s="364" t="n"/>
      <c r="AA50" s="364" t="n"/>
      <c r="AB50" s="364" t="n"/>
      <c r="AC50" s="364" t="n"/>
      <c r="AD50" s="364" t="n"/>
      <c r="AE50" s="364" t="n"/>
      <c r="AF50" s="364" t="n"/>
      <c r="AG50" s="364" t="n"/>
      <c r="AH50" s="364" t="n"/>
      <c r="AL50" s="281" t="n"/>
    </row>
    <row r="51" ht="26.25" customHeight="1" s="1053">
      <c r="A51" s="364" t="inlineStr">
        <is>
          <t>新宝利</t>
        </is>
      </c>
      <c r="B51" s="364" t="inlineStr">
        <is>
          <t>三期</t>
        </is>
      </c>
      <c r="C51" s="364" t="n">
        <v>5230747</v>
      </c>
      <c r="D51" s="364" t="inlineStr">
        <is>
          <t>10:20-12:30</t>
        </is>
      </c>
      <c r="E51" s="364" t="inlineStr">
        <is>
          <t>潜能班</t>
        </is>
      </c>
      <c r="F51" s="364" t="inlineStr">
        <is>
          <t>方一鸣</t>
        </is>
      </c>
      <c r="G51" s="364" t="inlineStr">
        <is>
          <t>陈南05</t>
        </is>
      </c>
      <c r="H51" s="364" t="inlineStr">
        <is>
          <t>陈中帅</t>
        </is>
      </c>
      <c r="I51" s="364" t="inlineStr">
        <is>
          <t>肖锐03</t>
        </is>
      </c>
      <c r="J51" s="364" t="inlineStr">
        <is>
          <t>张敏烨</t>
        </is>
      </c>
      <c r="K51" s="364" t="n"/>
      <c r="L51" s="364" t="n"/>
      <c r="M51" s="364" t="inlineStr">
        <is>
          <t>校内任务不需要督促，都可以自己完成</t>
        </is>
      </c>
      <c r="N51" s="364" t="inlineStr">
        <is>
          <t>阅读，写作</t>
        </is>
      </c>
      <c r="O51" s="364" t="inlineStr">
        <is>
          <t>孩子身体有点问题，家长不想给太大压力，一到四年级都是请的家教，也没有上过外面的补习班。明确表示报名暑假课是想打法时间，随便听些就好</t>
        </is>
      </c>
      <c r="P51" s="364" t="n"/>
      <c r="Q51" s="364" t="n">
        <v>30</v>
      </c>
      <c r="R51" s="364" t="n"/>
      <c r="S51" s="364" t="n"/>
      <c r="T51" s="364" t="inlineStr">
        <is>
          <t>是</t>
        </is>
      </c>
      <c r="U51" s="364" t="inlineStr">
        <is>
          <t>是</t>
        </is>
      </c>
      <c r="V51" s="364" t="n"/>
      <c r="W51" s="364" t="n"/>
      <c r="X51" s="364" t="n"/>
      <c r="Y51" s="364" t="n"/>
      <c r="Z51" s="364" t="n"/>
      <c r="AA51" s="364" t="n"/>
      <c r="AB51" s="364" t="n"/>
      <c r="AC51" s="364" t="n"/>
      <c r="AD51" s="364" t="n"/>
      <c r="AE51" s="364" t="n"/>
      <c r="AF51" s="364" t="n"/>
      <c r="AG51" s="364" t="n"/>
      <c r="AH51" s="364" t="n"/>
      <c r="AL51" s="281" t="n"/>
    </row>
    <row r="52" ht="26.25" customHeight="1" s="1053">
      <c r="A52" s="364" t="inlineStr">
        <is>
          <t>新宝利</t>
        </is>
      </c>
      <c r="B52" s="364" t="inlineStr">
        <is>
          <t>三期</t>
        </is>
      </c>
      <c r="C52" s="364" t="n">
        <v>5230747</v>
      </c>
      <c r="D52" s="364" t="inlineStr">
        <is>
          <t>10:20-12:30</t>
        </is>
      </c>
      <c r="E52" s="364" t="inlineStr">
        <is>
          <t>潜能班</t>
        </is>
      </c>
      <c r="F52" s="364" t="inlineStr">
        <is>
          <t>杨婧茹</t>
        </is>
      </c>
      <c r="G52" s="364" t="inlineStr">
        <is>
          <t>陈南05</t>
        </is>
      </c>
      <c r="H52" s="364" t="inlineStr">
        <is>
          <t>陈中帅</t>
        </is>
      </c>
      <c r="I52" s="364" t="inlineStr">
        <is>
          <t>肖锐03</t>
        </is>
      </c>
      <c r="J52" s="364" t="inlineStr">
        <is>
          <t>林志豪01</t>
        </is>
      </c>
      <c r="K52" s="364" t="n"/>
      <c r="L52" s="364" t="n"/>
      <c r="M52" s="364" t="n"/>
      <c r="N52" s="364" t="n"/>
      <c r="O52" s="364" t="n"/>
      <c r="P52" s="364" t="n"/>
      <c r="Q52" s="364" t="n"/>
      <c r="R52" s="364" t="n"/>
      <c r="S52" s="364" t="n"/>
      <c r="T52" s="364" t="inlineStr">
        <is>
          <t>是</t>
        </is>
      </c>
      <c r="U52" s="364" t="inlineStr">
        <is>
          <t>是</t>
        </is>
      </c>
      <c r="V52" s="364" t="n"/>
      <c r="W52" s="364" t="n"/>
      <c r="X52" s="364" t="n"/>
      <c r="Y52" s="364" t="n"/>
      <c r="Z52" s="364" t="n"/>
      <c r="AA52" s="364" t="n"/>
      <c r="AB52" s="364" t="n"/>
      <c r="AC52" s="364" t="n"/>
      <c r="AD52" s="364" t="n"/>
      <c r="AE52" s="364" t="n"/>
      <c r="AF52" s="364" t="n"/>
      <c r="AG52" s="364" t="n"/>
      <c r="AH52" s="364" t="n"/>
      <c r="AL52" s="281" t="n"/>
    </row>
    <row r="53" ht="26.25" customHeight="1" s="1053">
      <c r="A53" s="364" t="inlineStr">
        <is>
          <t>新宝利</t>
        </is>
      </c>
      <c r="B53" s="364" t="inlineStr">
        <is>
          <t>三期</t>
        </is>
      </c>
      <c r="C53" s="364" t="n">
        <v>5230747</v>
      </c>
      <c r="D53" s="364" t="inlineStr">
        <is>
          <t>10:20-12:30</t>
        </is>
      </c>
      <c r="E53" s="364" t="inlineStr">
        <is>
          <t>潜能班</t>
        </is>
      </c>
      <c r="F53" s="364" t="inlineStr">
        <is>
          <t>林彦辰</t>
        </is>
      </c>
      <c r="G53" s="364" t="inlineStr">
        <is>
          <t>陈南05</t>
        </is>
      </c>
      <c r="H53" s="364" t="inlineStr">
        <is>
          <t>陈中帅</t>
        </is>
      </c>
      <c r="I53" s="364" t="inlineStr">
        <is>
          <t>肖锐03</t>
        </is>
      </c>
      <c r="J53" s="364" t="inlineStr">
        <is>
          <t>林志豪01</t>
        </is>
      </c>
      <c r="K53" s="364" t="n"/>
      <c r="L53" s="364" t="n"/>
      <c r="M53" s="364" t="inlineStr">
        <is>
          <t>习惯很差，上课很皮，影响课堂纪律</t>
        </is>
      </c>
      <c r="N53" s="364" t="inlineStr">
        <is>
          <t>培养学习习惯，提升成绩</t>
        </is>
      </c>
      <c r="O53" s="364" t="n"/>
      <c r="P53" s="364" t="n"/>
      <c r="Q53" s="364" t="n"/>
      <c r="R53" s="364" t="n"/>
      <c r="S53" s="364" t="n"/>
      <c r="T53" s="364" t="inlineStr">
        <is>
          <t>是</t>
        </is>
      </c>
      <c r="U53" s="364" t="inlineStr">
        <is>
          <t>是</t>
        </is>
      </c>
      <c r="V53" s="364" t="n"/>
      <c r="W53" s="364" t="n"/>
      <c r="X53" s="364" t="n"/>
      <c r="Y53" s="364" t="n"/>
      <c r="Z53" s="364" t="n"/>
      <c r="AA53" s="364" t="n"/>
      <c r="AB53" s="364" t="n"/>
      <c r="AC53" s="364" t="n"/>
      <c r="AD53" s="364" t="n"/>
      <c r="AE53" s="364" t="n"/>
      <c r="AF53" s="364" t="n"/>
      <c r="AG53" s="364" t="n"/>
      <c r="AH53" s="364" t="n"/>
      <c r="AL53" s="281" t="n"/>
    </row>
    <row r="54" ht="26.25" customHeight="1" s="1053">
      <c r="A54" s="364" t="inlineStr">
        <is>
          <t>新宝利</t>
        </is>
      </c>
      <c r="B54" s="364" t="inlineStr">
        <is>
          <t>三期</t>
        </is>
      </c>
      <c r="C54" s="364" t="n">
        <v>5230747</v>
      </c>
      <c r="D54" s="364" t="inlineStr">
        <is>
          <t>10:20-12:30</t>
        </is>
      </c>
      <c r="E54" s="364" t="inlineStr">
        <is>
          <t>潜能班</t>
        </is>
      </c>
      <c r="F54" s="364" t="inlineStr">
        <is>
          <t>林怿霖</t>
        </is>
      </c>
      <c r="G54" s="364" t="inlineStr">
        <is>
          <t>陈南05</t>
        </is>
      </c>
      <c r="H54" s="364" t="inlineStr">
        <is>
          <t>陈中帅</t>
        </is>
      </c>
      <c r="I54" s="364" t="inlineStr">
        <is>
          <t>肖锐03</t>
        </is>
      </c>
      <c r="J54" s="364" t="inlineStr">
        <is>
          <t>林志豪01</t>
        </is>
      </c>
      <c r="K54" s="364" t="n"/>
      <c r="L54" s="364" t="n"/>
      <c r="M54" s="364" t="n"/>
      <c r="N54" s="364" t="n"/>
      <c r="O54" s="364" t="n"/>
      <c r="P54" s="364" t="n"/>
      <c r="Q54" s="364" t="n"/>
      <c r="R54" s="364" t="n"/>
      <c r="S54" s="364" t="n"/>
      <c r="T54" s="364" t="inlineStr">
        <is>
          <t>是</t>
        </is>
      </c>
      <c r="U54" s="364" t="inlineStr">
        <is>
          <t>是</t>
        </is>
      </c>
      <c r="V54" s="364" t="n"/>
      <c r="W54" s="364" t="n"/>
      <c r="X54" s="364" t="n"/>
      <c r="Y54" s="364" t="n"/>
      <c r="Z54" s="364" t="n"/>
      <c r="AA54" s="364" t="n"/>
      <c r="AB54" s="364" t="n"/>
      <c r="AC54" s="364" t="n"/>
      <c r="AD54" s="364" t="n"/>
      <c r="AE54" s="364" t="n"/>
      <c r="AF54" s="364" t="n"/>
      <c r="AG54" s="364" t="n"/>
      <c r="AH54" s="364" t="n"/>
      <c r="AL54" s="281" t="n"/>
    </row>
    <row r="55" ht="26.25" customHeight="1" s="1053">
      <c r="A55" s="364" t="inlineStr">
        <is>
          <t>新宝利</t>
        </is>
      </c>
      <c r="B55" s="364" t="inlineStr">
        <is>
          <t>三期</t>
        </is>
      </c>
      <c r="C55" s="364" t="n">
        <v>5230747</v>
      </c>
      <c r="D55" s="364" t="inlineStr">
        <is>
          <t>10:20-12:30</t>
        </is>
      </c>
      <c r="E55" s="364" t="inlineStr">
        <is>
          <t>潜能班</t>
        </is>
      </c>
      <c r="F55" s="364" t="inlineStr">
        <is>
          <t>梁韶轩</t>
        </is>
      </c>
      <c r="G55" s="364" t="inlineStr">
        <is>
          <t>陈南05</t>
        </is>
      </c>
      <c r="H55" s="364" t="inlineStr">
        <is>
          <t>陈中帅</t>
        </is>
      </c>
      <c r="I55" s="364" t="inlineStr">
        <is>
          <t>肖锐03</t>
        </is>
      </c>
      <c r="J55" s="364" t="inlineStr">
        <is>
          <t>杨林33</t>
        </is>
      </c>
      <c r="K55" s="364" t="n"/>
      <c r="L55" s="364" t="n"/>
      <c r="M55" s="364" t="n"/>
      <c r="N55" s="364" t="n"/>
      <c r="O55" s="364" t="n"/>
      <c r="P55" s="364" t="n"/>
      <c r="Q55" s="364" t="n"/>
      <c r="R55" s="364" t="n"/>
      <c r="S55" s="364" t="n"/>
      <c r="T55" s="364" t="inlineStr">
        <is>
          <t>是</t>
        </is>
      </c>
      <c r="U55" s="364" t="inlineStr">
        <is>
          <t>是</t>
        </is>
      </c>
      <c r="V55" s="364" t="n"/>
      <c r="W55" s="364" t="n"/>
      <c r="X55" s="364" t="n"/>
      <c r="Y55" s="364" t="n"/>
      <c r="Z55" s="364" t="n"/>
      <c r="AA55" s="364" t="n"/>
      <c r="AB55" s="364" t="n"/>
      <c r="AC55" s="364" t="n"/>
      <c r="AD55" s="364" t="n"/>
      <c r="AE55" s="364" t="n"/>
      <c r="AF55" s="364" t="n"/>
      <c r="AG55" s="364" t="n"/>
      <c r="AH55" s="364" t="n"/>
      <c r="AL55" s="281" t="n"/>
    </row>
    <row r="56" ht="26.25" customHeight="1" s="1053">
      <c r="A56" s="364" t="inlineStr">
        <is>
          <t>新宝利</t>
        </is>
      </c>
      <c r="B56" s="364" t="inlineStr">
        <is>
          <t>三期</t>
        </is>
      </c>
      <c r="C56" s="364" t="n">
        <v>5230747</v>
      </c>
      <c r="D56" s="364" t="inlineStr">
        <is>
          <t>10:20-12:30</t>
        </is>
      </c>
      <c r="E56" s="364" t="inlineStr">
        <is>
          <t>潜能班</t>
        </is>
      </c>
      <c r="F56" s="364" t="inlineStr">
        <is>
          <t>白锦泽</t>
        </is>
      </c>
      <c r="G56" s="364" t="inlineStr">
        <is>
          <t>陈南05</t>
        </is>
      </c>
      <c r="H56" s="364" t="inlineStr">
        <is>
          <t>陈中帅</t>
        </is>
      </c>
      <c r="I56" s="364" t="inlineStr">
        <is>
          <t>肖锐03</t>
        </is>
      </c>
      <c r="J56" s="364" t="inlineStr">
        <is>
          <t>张敏烨</t>
        </is>
      </c>
      <c r="K56" s="364" t="n"/>
      <c r="L56" s="364" t="n"/>
      <c r="M56" s="364" t="inlineStr">
        <is>
          <t>孩子上课很积极，需要老师多关注</t>
        </is>
      </c>
      <c r="N56" s="364" t="inlineStr">
        <is>
          <t>语文比较差，需要学好语文再把其他科学好</t>
        </is>
      </c>
      <c r="O56" s="364" t="inlineStr">
        <is>
          <t>顾玉瑶转介绍</t>
        </is>
      </c>
      <c r="P56" s="364" t="n"/>
      <c r="Q56" s="364" t="n"/>
      <c r="R56" s="364" t="n"/>
      <c r="S56" s="364" t="n"/>
      <c r="T56" s="364" t="inlineStr">
        <is>
          <t>是</t>
        </is>
      </c>
      <c r="U56" s="364" t="inlineStr">
        <is>
          <t>是</t>
        </is>
      </c>
      <c r="V56" s="364" t="n"/>
      <c r="W56" s="364" t="n"/>
      <c r="X56" s="364" t="n"/>
      <c r="Y56" s="364" t="n"/>
      <c r="Z56" s="364" t="n"/>
      <c r="AA56" s="364" t="n"/>
      <c r="AB56" s="364" t="n"/>
      <c r="AC56" s="364" t="n"/>
      <c r="AD56" s="364" t="n"/>
      <c r="AE56" s="364" t="n"/>
      <c r="AF56" s="364" t="n"/>
      <c r="AG56" s="364" t="n"/>
      <c r="AH56" s="364" t="n"/>
      <c r="AL56" s="9" t="n"/>
    </row>
    <row r="57" ht="26.25" customHeight="1" s="1053">
      <c r="A57" s="364" t="inlineStr">
        <is>
          <t>新宝利</t>
        </is>
      </c>
      <c r="B57" s="364" t="inlineStr">
        <is>
          <t>三期</t>
        </is>
      </c>
      <c r="C57" s="364" t="n">
        <v>5230747</v>
      </c>
      <c r="D57" s="364" t="inlineStr">
        <is>
          <t>10:20-12:30</t>
        </is>
      </c>
      <c r="E57" s="364" t="inlineStr">
        <is>
          <t>潜能班</t>
        </is>
      </c>
      <c r="F57" s="364" t="inlineStr">
        <is>
          <t>符钧豪</t>
        </is>
      </c>
      <c r="G57" s="364" t="inlineStr">
        <is>
          <t>陈南05</t>
        </is>
      </c>
      <c r="H57" s="364" t="inlineStr">
        <is>
          <t>陈中帅</t>
        </is>
      </c>
      <c r="I57" s="364" t="inlineStr">
        <is>
          <t>肖锐03</t>
        </is>
      </c>
      <c r="J57" s="364" t="inlineStr">
        <is>
          <t>杨林33</t>
        </is>
      </c>
      <c r="K57" s="364" t="n"/>
      <c r="L57" s="364" t="n"/>
      <c r="M57" s="364" t="inlineStr">
        <is>
          <t>校内作业还是能完成，但要他多做一点就不做了</t>
        </is>
      </c>
      <c r="N57" s="364" t="inlineStr">
        <is>
          <t>阅读会薄弱一些，作文写的有些流水账，中间部分只有大概，没有细节</t>
        </is>
      </c>
      <c r="O57" s="364" t="n"/>
      <c r="P57" s="364" t="n"/>
      <c r="Q57" s="364" t="n">
        <v>30</v>
      </c>
      <c r="R57" s="364" t="n"/>
      <c r="S57" s="364" t="n"/>
      <c r="T57" s="364" t="inlineStr">
        <is>
          <t>是</t>
        </is>
      </c>
      <c r="U57" s="364" t="inlineStr">
        <is>
          <t>是</t>
        </is>
      </c>
      <c r="V57" s="364" t="n"/>
      <c r="W57" s="364" t="n"/>
      <c r="X57" s="364" t="n"/>
      <c r="Y57" s="364" t="n"/>
      <c r="Z57" s="364" t="n"/>
      <c r="AA57" s="364" t="n"/>
      <c r="AB57" s="364" t="n"/>
      <c r="AC57" s="364" t="n"/>
      <c r="AD57" s="364" t="n"/>
      <c r="AE57" s="364" t="n"/>
      <c r="AF57" s="364" t="n"/>
      <c r="AG57" s="364" t="n"/>
      <c r="AH57" s="364" t="n"/>
      <c r="AL57" s="281" t="n"/>
    </row>
    <row r="58" ht="26.25" customHeight="1" s="1053">
      <c r="A58" s="364" t="inlineStr">
        <is>
          <t>新宝利</t>
        </is>
      </c>
      <c r="B58" s="364" t="inlineStr">
        <is>
          <t>三期</t>
        </is>
      </c>
      <c r="C58" s="364" t="n">
        <v>5230747</v>
      </c>
      <c r="D58" s="364" t="inlineStr">
        <is>
          <t>10:20-12:30</t>
        </is>
      </c>
      <c r="E58" s="364" t="inlineStr">
        <is>
          <t>潜能班</t>
        </is>
      </c>
      <c r="F58" s="364" t="inlineStr">
        <is>
          <t>莫琳珊</t>
        </is>
      </c>
      <c r="G58" s="364" t="inlineStr">
        <is>
          <t>陈南05</t>
        </is>
      </c>
      <c r="H58" s="364" t="inlineStr">
        <is>
          <t>陈中帅</t>
        </is>
      </c>
      <c r="I58" s="364" t="inlineStr">
        <is>
          <t>肖锐03</t>
        </is>
      </c>
      <c r="J58" s="364" t="inlineStr">
        <is>
          <t>杨林33</t>
        </is>
      </c>
      <c r="K58" s="364" t="n"/>
      <c r="L58" s="364" t="n"/>
      <c r="M58" s="364" t="inlineStr">
        <is>
          <t>上课走神画画不专注</t>
        </is>
      </c>
      <c r="N58" s="364" t="inlineStr">
        <is>
          <t>培养孩子专注度</t>
        </is>
      </c>
      <c r="O58" s="364" t="inlineStr">
        <is>
          <t>曾被劝退学员</t>
        </is>
      </c>
      <c r="P58" s="364" t="n"/>
      <c r="Q58" s="364" t="n">
        <v>37</v>
      </c>
      <c r="R58" s="364" t="n"/>
      <c r="S58" s="364" t="n"/>
      <c r="T58" s="364" t="inlineStr">
        <is>
          <t>是</t>
        </is>
      </c>
      <c r="U58" s="364" t="inlineStr">
        <is>
          <t>是</t>
        </is>
      </c>
      <c r="V58" s="364" t="n"/>
      <c r="W58" s="364" t="n"/>
      <c r="X58" s="364" t="n"/>
      <c r="Y58" s="364" t="n"/>
      <c r="Z58" s="364" t="n"/>
      <c r="AA58" s="364" t="n"/>
      <c r="AB58" s="364" t="n"/>
      <c r="AC58" s="364" t="n"/>
      <c r="AD58" s="364" t="n"/>
      <c r="AE58" s="364" t="n"/>
      <c r="AF58" s="364" t="n"/>
      <c r="AG58" s="364" t="n"/>
      <c r="AH58" s="364" t="n"/>
      <c r="AL58" s="281" t="n"/>
    </row>
    <row r="59" ht="26.25" customHeight="1" s="1053">
      <c r="A59" s="364" t="inlineStr">
        <is>
          <t>新宝利</t>
        </is>
      </c>
      <c r="B59" s="364" t="inlineStr">
        <is>
          <t>三期</t>
        </is>
      </c>
      <c r="C59" s="364" t="n">
        <v>5230747</v>
      </c>
      <c r="D59" s="364" t="inlineStr">
        <is>
          <t>10:20-12:30</t>
        </is>
      </c>
      <c r="E59" s="364" t="inlineStr">
        <is>
          <t>潜能班</t>
        </is>
      </c>
      <c r="F59" s="364" t="inlineStr">
        <is>
          <t>钟瑞佑</t>
        </is>
      </c>
      <c r="G59" s="364" t="inlineStr">
        <is>
          <t>陈南05</t>
        </is>
      </c>
      <c r="H59" s="364" t="inlineStr">
        <is>
          <t>陈中帅</t>
        </is>
      </c>
      <c r="I59" s="364" t="inlineStr">
        <is>
          <t>肖锐03</t>
        </is>
      </c>
      <c r="J59" s="364" t="inlineStr">
        <is>
          <t>林志豪01</t>
        </is>
      </c>
      <c r="K59" s="364" t="n"/>
      <c r="L59" s="364" t="n"/>
      <c r="M59" s="364" t="n"/>
      <c r="N59" s="364" t="n"/>
      <c r="O59" s="364" t="n"/>
      <c r="P59" s="364" t="n"/>
      <c r="Q59" s="364" t="n"/>
      <c r="R59" s="364" t="n"/>
      <c r="S59" s="364" t="n"/>
      <c r="T59" s="364" t="inlineStr">
        <is>
          <t>是</t>
        </is>
      </c>
      <c r="U59" s="364" t="n"/>
      <c r="V59" s="364" t="n"/>
      <c r="W59" s="364" t="n"/>
      <c r="X59" s="364" t="n"/>
      <c r="Y59" s="364" t="n"/>
      <c r="Z59" s="364" t="n"/>
      <c r="AA59" s="364" t="n"/>
      <c r="AB59" s="364" t="n"/>
      <c r="AC59" s="364" t="n"/>
      <c r="AD59" s="364" t="n"/>
      <c r="AE59" s="364" t="n"/>
      <c r="AF59" s="364" t="n"/>
      <c r="AG59" s="364" t="n"/>
      <c r="AH59" s="364" t="n"/>
      <c r="AL59" s="281" t="n"/>
    </row>
    <row r="60" ht="26.25" customHeight="1" s="1053">
      <c r="A60" s="364" t="inlineStr">
        <is>
          <t>新宝利</t>
        </is>
      </c>
      <c r="B60" s="364" t="inlineStr">
        <is>
          <t>三期</t>
        </is>
      </c>
      <c r="C60" s="364" t="n">
        <v>5230747</v>
      </c>
      <c r="D60" s="364" t="inlineStr">
        <is>
          <t>10:20-12:30</t>
        </is>
      </c>
      <c r="E60" s="364" t="inlineStr">
        <is>
          <t>潜能班</t>
        </is>
      </c>
      <c r="F60" s="364" t="inlineStr">
        <is>
          <t>陈淽宜</t>
        </is>
      </c>
      <c r="G60" s="364" t="inlineStr">
        <is>
          <t>陈南05</t>
        </is>
      </c>
      <c r="H60" s="364" t="inlineStr">
        <is>
          <t>陈中帅</t>
        </is>
      </c>
      <c r="I60" s="364" t="inlineStr">
        <is>
          <t>肖锐03</t>
        </is>
      </c>
      <c r="J60" s="364" t="inlineStr">
        <is>
          <t>张敏烨</t>
        </is>
      </c>
      <c r="K60" s="364" t="n"/>
      <c r="L60" s="364" t="n"/>
      <c r="M60" s="364" t="inlineStr">
        <is>
          <t>上课比较腼腆慢热</t>
        </is>
      </c>
      <c r="N60" s="364" t="inlineStr">
        <is>
          <t>学方法学习惯适应初中学习</t>
        </is>
      </c>
      <c r="O60" s="364" t="inlineStr">
        <is>
          <t>追星</t>
        </is>
      </c>
      <c r="P60" s="364" t="n"/>
      <c r="Q60" s="364" t="n"/>
      <c r="R60" s="364" t="n"/>
      <c r="S60" s="364" t="n"/>
      <c r="T60" s="364" t="inlineStr">
        <is>
          <t>是</t>
        </is>
      </c>
      <c r="U60" s="364" t="inlineStr">
        <is>
          <t>是</t>
        </is>
      </c>
      <c r="V60" s="364" t="n"/>
      <c r="W60" s="364" t="n"/>
      <c r="X60" s="364" t="n"/>
      <c r="Y60" s="364" t="n"/>
      <c r="Z60" s="364" t="n"/>
      <c r="AA60" s="364" t="n"/>
      <c r="AB60" s="364" t="n"/>
      <c r="AC60" s="364" t="n"/>
      <c r="AD60" s="364" t="n"/>
      <c r="AE60" s="364" t="n"/>
      <c r="AF60" s="364" t="n"/>
      <c r="AG60" s="364" t="n"/>
      <c r="AH60" s="364" t="n"/>
      <c r="AL60" s="281" t="n"/>
    </row>
    <row r="61" ht="26.25" customHeight="1" s="1053">
      <c r="A61" s="364" t="inlineStr">
        <is>
          <t>新宝利</t>
        </is>
      </c>
      <c r="B61" s="364" t="inlineStr">
        <is>
          <t>三期</t>
        </is>
      </c>
      <c r="C61" s="364" t="n">
        <v>5230747</v>
      </c>
      <c r="D61" s="364" t="inlineStr">
        <is>
          <t>10:20-12:30</t>
        </is>
      </c>
      <c r="E61" s="364" t="inlineStr">
        <is>
          <t>潜能班</t>
        </is>
      </c>
      <c r="F61" s="364" t="inlineStr">
        <is>
          <t>黄俊皓</t>
        </is>
      </c>
      <c r="G61" s="364" t="inlineStr">
        <is>
          <t>陈南05</t>
        </is>
      </c>
      <c r="H61" s="364" t="inlineStr">
        <is>
          <t>陈中帅</t>
        </is>
      </c>
      <c r="I61" s="364" t="inlineStr">
        <is>
          <t>肖锐03</t>
        </is>
      </c>
      <c r="J61" s="364" t="inlineStr">
        <is>
          <t>杨林33</t>
        </is>
      </c>
      <c r="K61" s="364" t="n"/>
      <c r="L61" s="364" t="n"/>
      <c r="M61" s="364" t="n"/>
      <c r="N61" s="364" t="n"/>
      <c r="O61" s="364" t="n"/>
      <c r="P61" s="364" t="n"/>
      <c r="Q61" s="364" t="n"/>
      <c r="R61" s="364" t="n"/>
      <c r="S61" s="364" t="n"/>
      <c r="T61" s="364" t="inlineStr">
        <is>
          <t>是</t>
        </is>
      </c>
      <c r="U61" s="364" t="inlineStr">
        <is>
          <t>是</t>
        </is>
      </c>
      <c r="V61" s="364" t="n"/>
      <c r="W61" s="364" t="n"/>
      <c r="X61" s="364" t="n"/>
      <c r="Y61" s="364" t="n"/>
      <c r="Z61" s="364" t="n"/>
      <c r="AA61" s="364" t="n"/>
      <c r="AB61" s="364" t="n"/>
      <c r="AC61" s="364" t="n"/>
      <c r="AD61" s="364" t="n"/>
      <c r="AE61" s="364" t="n"/>
      <c r="AF61" s="364" t="n"/>
      <c r="AG61" s="364" t="n"/>
      <c r="AH61" s="364" t="n"/>
      <c r="AL61" s="281" t="n"/>
    </row>
    <row r="62" ht="26.25" customHeight="1" s="1053">
      <c r="A62" s="364" t="inlineStr">
        <is>
          <t>新宝利</t>
        </is>
      </c>
      <c r="B62" s="364" t="inlineStr">
        <is>
          <t>三期</t>
        </is>
      </c>
      <c r="C62" s="364" t="n">
        <v>5230747</v>
      </c>
      <c r="D62" s="364" t="inlineStr">
        <is>
          <t>10:20-12:30</t>
        </is>
      </c>
      <c r="E62" s="364" t="inlineStr">
        <is>
          <t>潜能班</t>
        </is>
      </c>
      <c r="F62" s="364" t="inlineStr">
        <is>
          <t>黄嘉琳</t>
        </is>
      </c>
      <c r="G62" s="364" t="inlineStr">
        <is>
          <t>陈南05</t>
        </is>
      </c>
      <c r="H62" s="364" t="inlineStr">
        <is>
          <t>陈中帅</t>
        </is>
      </c>
      <c r="I62" s="364" t="inlineStr">
        <is>
          <t>肖锐03</t>
        </is>
      </c>
      <c r="J62" s="364" t="inlineStr">
        <is>
          <t>张敏烨</t>
        </is>
      </c>
      <c r="K62" s="364" t="n"/>
      <c r="L62" s="364" t="n"/>
      <c r="M62" s="364" t="inlineStr">
        <is>
          <t>孩子很有个性，不想回答问题，就想安安静静听课</t>
        </is>
      </c>
      <c r="N62" s="364" t="inlineStr">
        <is>
          <t>让孩子安静学知识</t>
        </is>
      </c>
      <c r="O62" s="364" t="inlineStr">
        <is>
          <t>对老师上课的课堂活动环节有意见</t>
        </is>
      </c>
      <c r="P62" s="364" t="n"/>
      <c r="Q62" s="364" t="n"/>
      <c r="R62" s="364" t="n"/>
      <c r="S62" s="364" t="n"/>
      <c r="T62" s="364" t="inlineStr">
        <is>
          <t>是</t>
        </is>
      </c>
      <c r="U62" s="364" t="inlineStr">
        <is>
          <t>是</t>
        </is>
      </c>
      <c r="V62" s="364" t="n"/>
      <c r="W62" s="364" t="n"/>
      <c r="X62" s="364" t="n"/>
      <c r="Y62" s="364" t="n"/>
      <c r="Z62" s="364" t="n"/>
      <c r="AA62" s="364" t="n"/>
      <c r="AB62" s="364" t="n"/>
      <c r="AC62" s="364" t="n"/>
      <c r="AD62" s="364" t="n"/>
      <c r="AE62" s="364" t="n"/>
      <c r="AF62" s="364" t="n"/>
      <c r="AG62" s="364" t="n"/>
      <c r="AH62" s="364" t="n"/>
      <c r="AL62" s="281" t="n"/>
    </row>
    <row r="63" ht="26.25" customHeight="1" s="1053">
      <c r="A63" s="364" t="inlineStr">
        <is>
          <t>新宝利</t>
        </is>
      </c>
      <c r="B63" s="364" t="inlineStr">
        <is>
          <t>一期</t>
        </is>
      </c>
      <c r="C63" s="364" t="n">
        <v>5230773</v>
      </c>
      <c r="D63" s="364" t="inlineStr">
        <is>
          <t>10:20-12:30</t>
        </is>
      </c>
      <c r="E63" s="364" t="inlineStr">
        <is>
          <t>潜能班</t>
        </is>
      </c>
      <c r="F63" s="364" t="inlineStr">
        <is>
          <t>严婉宁</t>
        </is>
      </c>
      <c r="G63" s="364" t="inlineStr">
        <is>
          <t>陈南05</t>
        </is>
      </c>
      <c r="H63" s="364" t="inlineStr">
        <is>
          <t>何咏04</t>
        </is>
      </c>
      <c r="I63" s="364" t="inlineStr">
        <is>
          <t>肖锐03</t>
        </is>
      </c>
      <c r="J63" s="364" t="inlineStr">
        <is>
          <t>王达04</t>
        </is>
      </c>
      <c r="K63" s="364" t="n"/>
      <c r="L63" s="364" t="n"/>
      <c r="M63" s="364" t="n"/>
      <c r="N63" s="364" t="n"/>
      <c r="O63" s="364" t="n"/>
      <c r="P63" s="364" t="n"/>
      <c r="Q63" s="364" t="n">
        <v>38</v>
      </c>
      <c r="R63" s="364" t="n"/>
      <c r="S63" s="364" t="n"/>
      <c r="T63" s="364" t="inlineStr">
        <is>
          <t>是</t>
        </is>
      </c>
      <c r="U63" s="364" t="n"/>
      <c r="V63" s="364" t="n"/>
      <c r="W63" s="364" t="n"/>
      <c r="X63" s="364" t="n"/>
      <c r="Y63" s="364" t="n"/>
      <c r="Z63" s="364" t="n"/>
      <c r="AA63" s="364" t="n"/>
      <c r="AB63" s="364" t="n"/>
      <c r="AC63" s="364" t="n"/>
      <c r="AD63" s="364" t="n"/>
      <c r="AE63" s="364" t="n"/>
      <c r="AF63" s="364" t="n"/>
      <c r="AG63" s="364" t="n"/>
      <c r="AH63" s="364" t="n"/>
      <c r="AL63" s="281" t="n"/>
    </row>
    <row r="64" ht="26.25" customHeight="1" s="1053">
      <c r="A64" s="364" t="inlineStr">
        <is>
          <t>新宝利</t>
        </is>
      </c>
      <c r="B64" s="364" t="inlineStr">
        <is>
          <t>一期</t>
        </is>
      </c>
      <c r="C64" s="364" t="n">
        <v>5230773</v>
      </c>
      <c r="D64" s="364" t="inlineStr">
        <is>
          <t>10:20-12:30</t>
        </is>
      </c>
      <c r="E64" s="364" t="inlineStr">
        <is>
          <t>潜能班</t>
        </is>
      </c>
      <c r="F64" s="364" t="inlineStr">
        <is>
          <t>何振豪</t>
        </is>
      </c>
      <c r="G64" s="364" t="inlineStr">
        <is>
          <t>陈南05</t>
        </is>
      </c>
      <c r="H64" s="364" t="inlineStr">
        <is>
          <t>何咏04</t>
        </is>
      </c>
      <c r="I64" s="364" t="inlineStr">
        <is>
          <t>肖锐03</t>
        </is>
      </c>
      <c r="J64" s="364" t="inlineStr">
        <is>
          <t>杨林33</t>
        </is>
      </c>
      <c r="K64" s="364" t="n"/>
      <c r="L64" s="364" t="n"/>
      <c r="M64" s="364" t="n"/>
      <c r="N64" s="364" t="n"/>
      <c r="O64" s="364" t="n"/>
      <c r="P64" s="364" t="n"/>
      <c r="Q64" s="364" t="n"/>
      <c r="R64" s="364" t="n"/>
      <c r="S64" s="364" t="n"/>
      <c r="T64" s="364" t="inlineStr">
        <is>
          <t>是</t>
        </is>
      </c>
      <c r="U64" s="364" t="inlineStr">
        <is>
          <t>是</t>
        </is>
      </c>
      <c r="V64" s="364" t="n"/>
      <c r="W64" s="364" t="n"/>
      <c r="X64" s="364" t="n"/>
      <c r="Y64" s="364" t="n"/>
      <c r="Z64" s="364" t="n"/>
      <c r="AA64" s="364" t="n"/>
      <c r="AB64" s="364" t="n"/>
      <c r="AC64" s="364" t="n"/>
      <c r="AD64" s="364" t="n"/>
      <c r="AE64" s="364" t="n"/>
      <c r="AF64" s="364" t="n"/>
      <c r="AG64" s="364" t="n"/>
      <c r="AH64" s="364" t="n"/>
      <c r="AL64" s="281" t="n"/>
    </row>
    <row r="65" ht="26.25" customHeight="1" s="1053">
      <c r="A65" s="364" t="inlineStr">
        <is>
          <t>新宝利</t>
        </is>
      </c>
      <c r="B65" s="364" t="inlineStr">
        <is>
          <t>一期</t>
        </is>
      </c>
      <c r="C65" s="364" t="n">
        <v>5230773</v>
      </c>
      <c r="D65" s="364" t="inlineStr">
        <is>
          <t>10:20-12:30</t>
        </is>
      </c>
      <c r="E65" s="364" t="inlineStr">
        <is>
          <t>潜能班</t>
        </is>
      </c>
      <c r="F65" s="364" t="inlineStr">
        <is>
          <t>侯家聪</t>
        </is>
      </c>
      <c r="G65" s="364" t="inlineStr">
        <is>
          <t>陈南05</t>
        </is>
      </c>
      <c r="H65" s="364" t="inlineStr">
        <is>
          <t>何咏04</t>
        </is>
      </c>
      <c r="I65" s="364" t="inlineStr">
        <is>
          <t>肖锐03</t>
        </is>
      </c>
      <c r="J65" s="364" t="inlineStr">
        <is>
          <t>林志豪01</t>
        </is>
      </c>
      <c r="K65" s="364" t="n"/>
      <c r="L65" s="364" t="n"/>
      <c r="M65" s="364" t="n"/>
      <c r="N65" s="364" t="n"/>
      <c r="O65" s="364" t="n"/>
      <c r="P65" s="364" t="n"/>
      <c r="Q65" s="364" t="n"/>
      <c r="R65" s="364" t="n"/>
      <c r="S65" s="364" t="n"/>
      <c r="T65" s="364" t="inlineStr">
        <is>
          <t>是</t>
        </is>
      </c>
      <c r="U65" s="364" t="n"/>
      <c r="V65" s="364" t="n"/>
      <c r="W65" s="364" t="n"/>
      <c r="X65" s="364" t="n"/>
      <c r="Y65" s="364" t="n"/>
      <c r="Z65" s="364" t="n"/>
      <c r="AA65" s="364" t="n"/>
      <c r="AB65" s="364" t="n"/>
      <c r="AC65" s="364" t="n"/>
      <c r="AD65" s="364" t="n"/>
      <c r="AE65" s="364" t="n"/>
      <c r="AF65" s="364" t="n"/>
      <c r="AG65" s="364" t="n"/>
      <c r="AH65" s="364" t="n"/>
      <c r="AL65" s="281" t="n"/>
    </row>
    <row r="66" ht="26.25" customHeight="1" s="1053">
      <c r="A66" s="364" t="inlineStr">
        <is>
          <t>新宝利</t>
        </is>
      </c>
      <c r="B66" s="364" t="inlineStr">
        <is>
          <t>一期</t>
        </is>
      </c>
      <c r="C66" s="364" t="n">
        <v>5230773</v>
      </c>
      <c r="D66" s="364" t="inlineStr">
        <is>
          <t>10:20-12:30</t>
        </is>
      </c>
      <c r="E66" s="364" t="inlineStr">
        <is>
          <t>潜能班</t>
        </is>
      </c>
      <c r="F66" s="364" t="inlineStr">
        <is>
          <t>俊儒</t>
        </is>
      </c>
      <c r="G66" s="364" t="inlineStr">
        <is>
          <t>陈南05</t>
        </is>
      </c>
      <c r="H66" s="364" t="inlineStr">
        <is>
          <t>何咏04</t>
        </is>
      </c>
      <c r="I66" s="364" t="inlineStr">
        <is>
          <t>高心怡04</t>
        </is>
      </c>
      <c r="J66" s="364" t="inlineStr">
        <is>
          <t>张敏烨</t>
        </is>
      </c>
      <c r="K66" s="364" t="n"/>
      <c r="L66" s="364" t="n"/>
      <c r="M66" s="364" t="inlineStr">
        <is>
          <t>整体还行，记笔记很快，完成任务后会有些发呆</t>
        </is>
      </c>
      <c r="N66" s="364" t="inlineStr">
        <is>
          <t>对于踩分点的把握比较弱，没有梳理出各个题型的思路</t>
        </is>
      </c>
      <c r="O66" s="364" t="inlineStr">
        <is>
          <t>妈妈特别认可</t>
        </is>
      </c>
      <c r="P66" s="364" t="n"/>
      <c r="Q66" s="364" t="n">
        <v>30</v>
      </c>
      <c r="R66" s="364" t="n"/>
      <c r="S66" s="364" t="n"/>
      <c r="T66" s="364" t="inlineStr">
        <is>
          <t>是</t>
        </is>
      </c>
      <c r="U66" s="364" t="inlineStr">
        <is>
          <t>是</t>
        </is>
      </c>
      <c r="V66" s="364" t="n"/>
      <c r="W66" s="364" t="n"/>
      <c r="X66" s="364" t="n"/>
      <c r="Y66" s="364" t="n"/>
      <c r="Z66" s="364" t="n"/>
      <c r="AA66" s="364" t="n"/>
      <c r="AB66" s="364" t="n"/>
      <c r="AC66" s="364" t="n"/>
      <c r="AD66" s="364" t="n"/>
      <c r="AE66" s="364" t="n"/>
      <c r="AF66" s="364" t="n"/>
      <c r="AG66" s="364" t="n"/>
      <c r="AH66" s="364" t="n"/>
      <c r="AL66" s="281" t="n"/>
    </row>
    <row r="67" ht="26.25" customFormat="1" customHeight="1" s="359">
      <c r="A67" s="119" t="inlineStr">
        <is>
          <t>同创汇</t>
        </is>
      </c>
      <c r="B67" s="364" t="inlineStr">
        <is>
          <t>一期</t>
        </is>
      </c>
      <c r="C67" s="364" t="n">
        <v>4632448</v>
      </c>
      <c r="D67" s="364" t="inlineStr">
        <is>
          <t>10:20-12:30</t>
        </is>
      </c>
      <c r="E67" s="364" t="inlineStr">
        <is>
          <t>潜能班</t>
        </is>
      </c>
      <c r="F67" s="364" t="inlineStr">
        <is>
          <t>高雅萱</t>
        </is>
      </c>
      <c r="G67" s="364" t="inlineStr">
        <is>
          <t>陈南05</t>
        </is>
      </c>
      <c r="H67" s="364" t="inlineStr">
        <is>
          <t>田雨涵01</t>
        </is>
      </c>
      <c r="I67" s="364"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81" t="n"/>
    </row>
    <row r="68" ht="26.25" customFormat="1" customHeight="1" s="385">
      <c r="A68" s="397" t="inlineStr">
        <is>
          <t>同创汇</t>
        </is>
      </c>
      <c r="B68" s="396" t="inlineStr">
        <is>
          <t>零期</t>
        </is>
      </c>
      <c r="C68" s="397" t="n">
        <v>5170872</v>
      </c>
      <c r="D68" s="396" t="inlineStr">
        <is>
          <t>13:20-15:30</t>
        </is>
      </c>
      <c r="E68" s="396" t="inlineStr">
        <is>
          <t>潜能班</t>
        </is>
      </c>
      <c r="F68" s="397" t="inlineStr">
        <is>
          <t>兰美熙</t>
        </is>
      </c>
      <c r="G68" s="439" t="inlineStr">
        <is>
          <t>陈南05</t>
        </is>
      </c>
      <c r="H68" s="439" t="inlineStr">
        <is>
          <t>田雨涵01</t>
        </is>
      </c>
      <c r="I68" s="439" t="inlineStr">
        <is>
          <t>刘希子</t>
        </is>
      </c>
      <c r="J68" s="440" t="inlineStr">
        <is>
          <t>张敏烨</t>
        </is>
      </c>
      <c r="K68" s="441" t="n"/>
      <c r="L68" s="441" t="n"/>
      <c r="M68" s="440" t="inlineStr">
        <is>
          <t>语文校内还能跟上，A，数学会差一些，但是习惯都还不错，也愿意学</t>
        </is>
      </c>
      <c r="N68" s="440" t="inlineStr">
        <is>
          <t>衔接，打基础</t>
        </is>
      </c>
      <c r="O68" s="441" t="n"/>
      <c r="P68" s="441" t="n">
        <v>85</v>
      </c>
      <c r="Q68" s="397" t="n"/>
      <c r="R68" s="397" t="n"/>
      <c r="S68" s="397" t="n"/>
      <c r="T68" s="396" t="inlineStr">
        <is>
          <t>是</t>
        </is>
      </c>
      <c r="U68" s="396" t="inlineStr">
        <is>
          <t>是</t>
        </is>
      </c>
      <c r="V68" s="396" t="inlineStr">
        <is>
          <t>是</t>
        </is>
      </c>
      <c r="W68" s="396" t="inlineStr">
        <is>
          <t>是</t>
        </is>
      </c>
      <c r="X68" s="397" t="n"/>
      <c r="Y68" s="397" t="n"/>
      <c r="Z68" s="438" t="inlineStr">
        <is>
          <t>否</t>
        </is>
      </c>
      <c r="AA68" s="397" t="n"/>
      <c r="AB68" s="397" t="n"/>
      <c r="AC68" s="397" t="n"/>
      <c r="AD68" s="397" t="n"/>
      <c r="AE68" s="397" t="n"/>
      <c r="AF68" s="397" t="n"/>
      <c r="AG68" s="397" t="n"/>
      <c r="AH68" s="397" t="n"/>
      <c r="AL68" s="281" t="n"/>
    </row>
    <row r="69" ht="26.25" customHeight="1" s="1053">
      <c r="F69" s="359" t="n"/>
      <c r="K69" s="350" t="n"/>
      <c r="L69" s="350" t="n"/>
      <c r="AL69" s="281" t="n"/>
    </row>
    <row r="70" ht="26.25" customHeight="1" s="1053">
      <c r="F70" s="359" t="n"/>
      <c r="K70" s="350" t="n"/>
      <c r="L70" s="350" t="n"/>
      <c r="AL70" s="281" t="n"/>
    </row>
    <row r="71" ht="26.25" customHeight="1" s="1053">
      <c r="F71" s="359" t="n"/>
      <c r="K71" s="350" t="n"/>
      <c r="L71" s="350" t="n"/>
      <c r="AL71" s="281" t="n"/>
    </row>
    <row r="72" ht="26.25" customHeight="1" s="1053">
      <c r="F72" s="359" t="n"/>
      <c r="K72" s="350" t="n"/>
      <c r="L72" s="350" t="n"/>
      <c r="AL72" s="281" t="n"/>
    </row>
    <row r="73" ht="26.25" customHeight="1" s="1053">
      <c r="F73" s="359" t="n"/>
      <c r="K73" s="350" t="n"/>
      <c r="L73" s="350" t="n"/>
    </row>
    <row r="74" ht="26.25" customHeight="1" s="1053">
      <c r="F74" s="359" t="n"/>
      <c r="K74" s="350" t="n"/>
      <c r="L74" s="350" t="n"/>
    </row>
    <row r="75" ht="26.25" customHeight="1" s="1053">
      <c r="F75" s="359" t="n"/>
      <c r="K75" s="350" t="n"/>
      <c r="L75" s="350" t="n"/>
    </row>
    <row r="76" ht="26.25" customHeight="1" s="1053">
      <c r="F76" s="359" t="n"/>
      <c r="K76" s="350" t="n"/>
      <c r="L76" s="350" t="n"/>
    </row>
    <row r="77" ht="26.25" customHeight="1" s="1053">
      <c r="F77" s="359" t="n"/>
      <c r="K77" s="350" t="n"/>
      <c r="L77" s="350" t="n"/>
    </row>
    <row r="78" ht="26.25" customHeight="1" s="1053">
      <c r="F78" s="359" t="n"/>
      <c r="K78" s="350" t="n"/>
      <c r="L78" s="350" t="n"/>
    </row>
    <row r="79" ht="26.25" customHeight="1" s="1053">
      <c r="F79" s="359" t="n"/>
      <c r="K79" s="350" t="n"/>
      <c r="L79" s="350" t="n"/>
    </row>
    <row r="80" ht="26.25" customHeight="1" s="1053">
      <c r="F80" s="359" t="n"/>
      <c r="K80" s="350" t="n"/>
      <c r="L80" s="350" t="n"/>
    </row>
    <row r="81" ht="26.25" customHeight="1" s="1053">
      <c r="F81" s="359" t="n"/>
      <c r="K81" s="350" t="n"/>
      <c r="L81" s="350" t="n"/>
    </row>
    <row r="82" ht="26.25" customHeight="1" s="1053">
      <c r="F82" s="359" t="n"/>
      <c r="K82" s="350" t="n"/>
      <c r="L82" s="350" t="n"/>
    </row>
    <row r="83" ht="26.25" customHeight="1" s="1053">
      <c r="F83" s="359" t="n"/>
      <c r="K83" s="350" t="n"/>
      <c r="L83" s="350" t="n"/>
    </row>
    <row r="84" ht="26.25" customHeight="1" s="1053">
      <c r="F84" s="359" t="n"/>
      <c r="K84" s="350" t="n"/>
      <c r="L84" s="350" t="n"/>
    </row>
    <row r="85" ht="26.25" customHeight="1" s="1053">
      <c r="F85" s="359" t="n"/>
      <c r="K85" s="350" t="n"/>
      <c r="L85" s="350" t="n"/>
    </row>
    <row r="86" ht="26.25" customHeight="1" s="1053">
      <c r="F86" s="359" t="n"/>
      <c r="K86" s="350" t="n"/>
      <c r="L86" s="350" t="n"/>
    </row>
    <row r="87" ht="26.25" customHeight="1" s="1053">
      <c r="F87" s="359" t="n"/>
      <c r="K87" s="350" t="n"/>
      <c r="L87" s="350" t="n"/>
    </row>
    <row r="88" ht="26.25" customHeight="1" s="1053">
      <c r="F88" s="359" t="n"/>
      <c r="K88" s="350" t="n"/>
      <c r="L88" s="350" t="n"/>
    </row>
    <row r="89" ht="26.25" customHeight="1" s="1053">
      <c r="F89" s="359" t="n"/>
      <c r="K89" s="350" t="n"/>
      <c r="L89" s="350" t="n"/>
    </row>
    <row r="90" ht="26.25" customHeight="1" s="1053">
      <c r="F90" s="359" t="n"/>
      <c r="K90" s="350" t="n"/>
      <c r="L90" s="350" t="n"/>
    </row>
    <row r="91" ht="26.25" customHeight="1" s="1053">
      <c r="F91" s="359" t="n"/>
      <c r="K91" s="350" t="n"/>
      <c r="L91" s="350" t="n"/>
    </row>
    <row r="92" ht="26.25" customHeight="1" s="1053">
      <c r="F92" s="359" t="n"/>
      <c r="K92" s="350" t="n"/>
      <c r="L92" s="350" t="n"/>
    </row>
    <row r="93" ht="26.25" customHeight="1" s="1053">
      <c r="F93" s="359" t="n"/>
      <c r="K93" s="350" t="n"/>
      <c r="L93" s="350" t="n"/>
    </row>
    <row r="94" ht="26.25" customHeight="1" s="1053">
      <c r="F94" s="359" t="n"/>
      <c r="K94" s="350" t="n"/>
      <c r="L94" s="350" t="n"/>
    </row>
    <row r="95" ht="26.25" customHeight="1" s="1053">
      <c r="F95" s="359" t="n"/>
      <c r="K95" s="350" t="n"/>
      <c r="L95" s="350" t="n"/>
    </row>
    <row r="96" ht="26.25" customHeight="1" s="1053">
      <c r="F96" s="359" t="n"/>
      <c r="K96" s="350" t="n"/>
      <c r="L96" s="350" t="n"/>
    </row>
    <row r="97" ht="26.25" customHeight="1" s="1053">
      <c r="F97" s="359" t="n"/>
      <c r="K97" s="350" t="n"/>
      <c r="L97" s="350" t="n"/>
    </row>
    <row r="98" ht="26.25" customHeight="1" s="1053">
      <c r="F98" s="359" t="n"/>
      <c r="K98" s="350" t="n"/>
      <c r="L98" s="350" t="n"/>
    </row>
    <row r="99" ht="26.25" customHeight="1" s="1053">
      <c r="F99" s="359" t="n"/>
      <c r="K99" s="350" t="n"/>
      <c r="L99" s="350" t="n"/>
    </row>
    <row r="100" ht="26.25" customHeight="1" s="1053">
      <c r="F100" s="359" t="n"/>
      <c r="K100" s="350" t="n"/>
      <c r="L100" s="350" t="n"/>
    </row>
    <row r="101" ht="26.25" customHeight="1" s="1053">
      <c r="F101" s="359" t="n"/>
      <c r="K101" s="350" t="n"/>
      <c r="L101" s="350" t="n"/>
    </row>
    <row r="102" ht="26.25" customHeight="1" s="1053">
      <c r="F102" s="359" t="n"/>
      <c r="K102" s="350" t="n"/>
      <c r="L102" s="350" t="n"/>
    </row>
    <row r="103" ht="26.25" customHeight="1" s="1053">
      <c r="F103" s="359" t="n"/>
      <c r="K103" s="350" t="n"/>
      <c r="L103" s="350" t="n"/>
    </row>
    <row r="104" ht="26.25" customHeight="1" s="1053">
      <c r="F104" s="359" t="n"/>
      <c r="K104" s="350" t="n"/>
      <c r="L104" s="350" t="n"/>
    </row>
    <row r="105" ht="26.25" customHeight="1" s="1053">
      <c r="F105" s="359" t="n"/>
      <c r="K105" s="350" t="n"/>
      <c r="L105" s="350" t="n"/>
    </row>
    <row r="106" ht="26.25" customHeight="1" s="1053">
      <c r="F106" s="359" t="n"/>
      <c r="K106" s="350" t="n"/>
      <c r="L106" s="350" t="n"/>
    </row>
    <row r="107" ht="26.25" customHeight="1" s="1053">
      <c r="F107" s="359" t="n"/>
      <c r="K107" s="350" t="n"/>
      <c r="L107" s="350" t="n"/>
    </row>
    <row r="108" ht="26.25" customHeight="1" s="1053">
      <c r="F108" s="359" t="n"/>
      <c r="K108" s="350" t="n"/>
      <c r="L108" s="350" t="n"/>
    </row>
    <row r="109" ht="26.25" customHeight="1" s="1053">
      <c r="F109" s="359" t="n"/>
      <c r="K109" s="350" t="n"/>
      <c r="L109" s="350" t="n"/>
    </row>
    <row r="110" ht="26.25" customHeight="1" s="1053">
      <c r="F110" s="359" t="n"/>
      <c r="K110" s="350" t="n"/>
      <c r="L110" s="350" t="n"/>
    </row>
    <row r="111" ht="26.25" customHeight="1" s="1053">
      <c r="F111" s="359" t="n"/>
      <c r="K111" s="350" t="n"/>
      <c r="L111" s="350" t="n"/>
    </row>
    <row r="112" ht="26.25" customHeight="1" s="1053">
      <c r="F112" s="359" t="n"/>
      <c r="K112" s="350" t="n"/>
      <c r="L112" s="350" t="n"/>
    </row>
    <row r="113" ht="26.25" customHeight="1" s="1053">
      <c r="F113" s="359" t="n"/>
      <c r="K113" s="350" t="n"/>
      <c r="L113" s="350" t="n"/>
    </row>
    <row r="114" ht="26.25" customHeight="1" s="1053">
      <c r="F114" s="359" t="n"/>
      <c r="K114" s="350" t="n"/>
      <c r="L114" s="350" t="n"/>
    </row>
    <row r="115" ht="26.25" customHeight="1" s="1053">
      <c r="F115" s="359" t="n"/>
      <c r="K115" s="350" t="n"/>
      <c r="L115" s="350" t="n"/>
    </row>
    <row r="116" ht="26.25" customHeight="1" s="1053">
      <c r="F116" s="359" t="n"/>
      <c r="K116" s="350" t="n"/>
      <c r="L116" s="350" t="n"/>
    </row>
    <row r="117" ht="26.25" customHeight="1" s="1053">
      <c r="F117" s="359" t="n"/>
      <c r="K117" s="350" t="n"/>
      <c r="L117" s="350" t="n"/>
    </row>
    <row r="118" ht="26.25" customHeight="1" s="1053">
      <c r="F118" s="359" t="n"/>
      <c r="K118" s="350" t="n"/>
      <c r="L118" s="350" t="n"/>
    </row>
    <row r="119" ht="26.25" customHeight="1" s="1053">
      <c r="F119" s="359" t="n"/>
      <c r="K119" s="350" t="n"/>
      <c r="L119" s="350" t="n"/>
    </row>
    <row r="120" ht="26.25" customHeight="1" s="1053">
      <c r="F120" s="359" t="n"/>
      <c r="K120" s="350" t="n"/>
      <c r="L120" s="350" t="n"/>
    </row>
    <row r="121" ht="26.25" customHeight="1" s="1053">
      <c r="F121" s="359" t="n"/>
      <c r="K121" s="350" t="n"/>
      <c r="L121" s="350" t="n"/>
    </row>
    <row r="122" ht="26.25" customHeight="1" s="1053">
      <c r="F122" s="359" t="n"/>
      <c r="K122" s="350" t="n"/>
      <c r="L122" s="350" t="n"/>
    </row>
    <row r="123" ht="26.25" customHeight="1" s="1053">
      <c r="F123" s="359" t="n"/>
      <c r="K123" s="350" t="n"/>
      <c r="L123" s="350" t="n"/>
    </row>
    <row r="124" ht="26.25" customHeight="1" s="1053">
      <c r="F124" s="359" t="n"/>
      <c r="K124" s="350" t="n"/>
      <c r="L124" s="350" t="n"/>
    </row>
    <row r="125" ht="26.25" customHeight="1" s="1053">
      <c r="F125" s="359" t="n"/>
      <c r="K125" s="350" t="n"/>
      <c r="L125" s="350" t="n"/>
    </row>
    <row r="126" ht="26.25" customHeight="1" s="1053">
      <c r="F126" s="359" t="n"/>
      <c r="K126" s="350" t="n"/>
      <c r="L126" s="350" t="n"/>
    </row>
    <row r="127" ht="26.25" customHeight="1" s="1053">
      <c r="F127" s="359" t="n"/>
      <c r="K127" s="350" t="n"/>
      <c r="L127" s="350" t="n"/>
    </row>
    <row r="128" ht="26.25" customHeight="1" s="1053">
      <c r="F128" s="359" t="n"/>
      <c r="K128" s="350" t="n"/>
      <c r="L128" s="350" t="n"/>
    </row>
    <row r="129" ht="26.25" customHeight="1" s="1053">
      <c r="F129" s="359" t="n"/>
      <c r="K129" s="350" t="n"/>
      <c r="L129" s="350" t="n"/>
    </row>
    <row r="130" ht="26.25" customHeight="1" s="1053">
      <c r="F130" s="359" t="n"/>
      <c r="K130" s="350" t="n"/>
      <c r="L130" s="350" t="n"/>
    </row>
    <row r="131" ht="26.25" customHeight="1" s="1053">
      <c r="F131" s="359" t="n"/>
      <c r="K131" s="350" t="n"/>
      <c r="L131" s="350" t="n"/>
    </row>
    <row r="132" ht="26.25" customHeight="1" s="1053">
      <c r="F132" s="359" t="n"/>
      <c r="K132" s="350" t="n"/>
      <c r="L132" s="350" t="n"/>
    </row>
    <row r="133" ht="26.25" customHeight="1" s="1053">
      <c r="F133" s="359" t="n"/>
      <c r="K133" s="350" t="n"/>
      <c r="L133" s="350" t="n"/>
    </row>
    <row r="134" ht="26.25" customHeight="1" s="1053">
      <c r="F134" s="359" t="n"/>
      <c r="K134" s="350" t="n"/>
      <c r="L134" s="350" t="n"/>
    </row>
    <row r="135" ht="26.25" customHeight="1" s="1053">
      <c r="F135" s="359" t="n"/>
      <c r="K135" s="350" t="n"/>
      <c r="L135" s="350" t="n"/>
    </row>
    <row r="136" ht="26.25" customHeight="1" s="1053">
      <c r="F136" s="359" t="n"/>
      <c r="K136" s="350" t="n"/>
      <c r="L136" s="350" t="n"/>
    </row>
    <row r="137" ht="26.25" customHeight="1" s="1053">
      <c r="F137" s="359" t="n"/>
      <c r="K137" s="350" t="n"/>
      <c r="L137" s="350" t="n"/>
    </row>
    <row r="138" ht="26.25" customHeight="1" s="1053">
      <c r="F138" s="359" t="n"/>
      <c r="K138" s="350" t="n"/>
      <c r="L138" s="350" t="n"/>
    </row>
    <row r="139" ht="26.25" customHeight="1" s="1053">
      <c r="F139" s="359" t="n"/>
      <c r="K139" s="350" t="n"/>
      <c r="L139" s="350" t="n"/>
    </row>
    <row r="140" ht="26.25" customHeight="1" s="1053">
      <c r="F140" s="359" t="n"/>
      <c r="K140" s="350" t="n"/>
      <c r="L140" s="350" t="n"/>
    </row>
    <row r="141" ht="26.25" customHeight="1" s="1053">
      <c r="F141" s="359" t="n"/>
      <c r="K141" s="350" t="n"/>
      <c r="L141" s="350" t="n"/>
    </row>
    <row r="142" ht="26.25" customHeight="1" s="1053">
      <c r="F142" s="359" t="n"/>
      <c r="K142" s="350" t="n"/>
      <c r="L142" s="350" t="n"/>
    </row>
    <row r="143" ht="26.25" customHeight="1" s="1053">
      <c r="F143" s="359" t="n"/>
      <c r="K143" s="350" t="n"/>
      <c r="L143" s="350" t="n"/>
    </row>
    <row r="144" ht="26.25" customHeight="1" s="1053">
      <c r="F144" s="359" t="n"/>
      <c r="K144" s="350" t="n"/>
      <c r="L144" s="350" t="n"/>
    </row>
    <row r="145" ht="26.25" customHeight="1" s="1053">
      <c r="F145" s="359" t="n"/>
      <c r="K145" s="350" t="n"/>
      <c r="L145" s="350" t="n"/>
    </row>
    <row r="146" ht="26.25" customHeight="1" s="1053">
      <c r="F146" s="359" t="n"/>
      <c r="K146" s="350" t="n"/>
      <c r="L146" s="350" t="n"/>
    </row>
    <row r="147" ht="26.25" customHeight="1" s="1053">
      <c r="F147" s="359" t="n"/>
      <c r="K147" s="350" t="n"/>
      <c r="L147" s="350" t="n"/>
    </row>
    <row r="148" ht="26.25" customHeight="1" s="1053">
      <c r="F148" s="359" t="n"/>
      <c r="K148" s="350" t="n"/>
      <c r="L148" s="350" t="n"/>
    </row>
    <row r="149" ht="26.25" customHeight="1" s="1053">
      <c r="F149" s="359" t="n"/>
      <c r="K149" s="350" t="n"/>
      <c r="L149" s="350" t="n"/>
    </row>
    <row r="150" ht="26.25" customHeight="1" s="1053">
      <c r="F150" s="359" t="n"/>
      <c r="K150" s="350" t="n"/>
      <c r="L150" s="350" t="n"/>
    </row>
    <row r="151" ht="26.25" customHeight="1" s="1053">
      <c r="F151" s="359" t="n"/>
      <c r="K151" s="350" t="n"/>
      <c r="L151" s="350" t="n"/>
    </row>
    <row r="152" ht="26.25" customHeight="1" s="1053">
      <c r="F152" s="359" t="n"/>
      <c r="K152" s="350" t="n"/>
      <c r="L152" s="350" t="n"/>
    </row>
    <row r="153" ht="26.25" customHeight="1" s="1053">
      <c r="F153" s="359" t="n"/>
      <c r="K153" s="350" t="n"/>
      <c r="L153" s="350" t="n"/>
    </row>
    <row r="154" ht="26.25" customHeight="1" s="1053">
      <c r="F154" s="359" t="n"/>
      <c r="K154" s="350" t="n"/>
      <c r="L154" s="350" t="n"/>
    </row>
    <row r="155" ht="26.25" customHeight="1" s="1053">
      <c r="F155" s="359" t="n"/>
      <c r="K155" s="350" t="n"/>
      <c r="L155" s="350" t="n"/>
    </row>
    <row r="156" ht="26.25" customHeight="1" s="1053">
      <c r="F156" s="359" t="n"/>
      <c r="K156" s="350" t="n"/>
      <c r="L156" s="350" t="n"/>
    </row>
    <row r="157" ht="26.25" customHeight="1" s="1053">
      <c r="F157" s="359" t="n"/>
      <c r="K157" s="350" t="n"/>
      <c r="L157" s="350" t="n"/>
    </row>
    <row r="158" ht="26.25" customHeight="1" s="1053">
      <c r="F158" s="359" t="n"/>
      <c r="K158" s="350" t="n"/>
      <c r="L158" s="350" t="n"/>
    </row>
    <row r="159" ht="26.25" customHeight="1" s="1053">
      <c r="F159" s="359" t="n"/>
      <c r="K159" s="350" t="n"/>
      <c r="L159" s="350" t="n"/>
    </row>
    <row r="160" ht="26.25" customHeight="1" s="1053">
      <c r="F160" s="359" t="n"/>
      <c r="K160" s="350" t="n"/>
      <c r="L160" s="350" t="n"/>
    </row>
    <row r="161" ht="26.25" customHeight="1" s="1053">
      <c r="F161" s="359" t="n"/>
      <c r="K161" s="350" t="n"/>
      <c r="L161" s="350" t="n"/>
    </row>
    <row r="162" ht="26.25" customHeight="1" s="1053">
      <c r="F162" s="359" t="n"/>
      <c r="K162" s="350" t="n"/>
      <c r="L162" s="350" t="n"/>
    </row>
    <row r="163" ht="26.25" customHeight="1" s="1053">
      <c r="F163" s="359" t="n"/>
      <c r="K163" s="350" t="n"/>
      <c r="L163" s="350" t="n"/>
    </row>
    <row r="164" ht="26.25" customHeight="1" s="1053">
      <c r="F164" s="359" t="n"/>
      <c r="K164" s="350" t="n"/>
      <c r="L164" s="350" t="n"/>
    </row>
    <row r="165" ht="26.25" customHeight="1" s="1053">
      <c r="F165" s="359" t="n"/>
      <c r="K165" s="350" t="n"/>
      <c r="L165" s="350" t="n"/>
    </row>
    <row r="166" ht="26.25" customHeight="1" s="1053">
      <c r="F166" s="359" t="n"/>
      <c r="K166" s="350" t="n"/>
      <c r="L166" s="350" t="n"/>
    </row>
    <row r="167" ht="26.25" customHeight="1" s="1053">
      <c r="F167" s="359" t="n"/>
      <c r="K167" s="350" t="n"/>
      <c r="L167" s="350" t="n"/>
    </row>
    <row r="168" ht="26.25" customHeight="1" s="1053">
      <c r="F168" s="359" t="n"/>
      <c r="K168" s="350" t="n"/>
      <c r="L168" s="350" t="n"/>
    </row>
    <row r="169" ht="26.25" customHeight="1" s="1053">
      <c r="F169" s="359" t="n"/>
      <c r="K169" s="350" t="n"/>
      <c r="L169" s="350" t="n"/>
    </row>
    <row r="170" ht="26.25" customHeight="1" s="1053">
      <c r="F170" s="359" t="n"/>
      <c r="K170" s="350" t="n"/>
      <c r="L170" s="350" t="n"/>
    </row>
    <row r="171" ht="26.25" customHeight="1" s="1053">
      <c r="F171" s="359" t="n"/>
      <c r="K171" s="350" t="n"/>
      <c r="L171" s="350" t="n"/>
    </row>
    <row r="172" ht="26.25" customHeight="1" s="1053">
      <c r="F172" s="359" t="n"/>
      <c r="K172" s="350" t="n"/>
      <c r="L172" s="350" t="n"/>
    </row>
    <row r="173" ht="26.25" customHeight="1" s="1053">
      <c r="F173" s="359" t="n"/>
      <c r="K173" s="350" t="n"/>
      <c r="L173" s="350" t="n"/>
    </row>
    <row r="174" ht="26.25" customHeight="1" s="1053">
      <c r="F174" s="359" t="n"/>
      <c r="K174" s="350" t="n"/>
      <c r="L174" s="350" t="n"/>
    </row>
    <row r="175" ht="26.25" customHeight="1" s="1053">
      <c r="F175" s="359" t="n"/>
      <c r="K175" s="350" t="n"/>
      <c r="L175" s="350" t="n"/>
    </row>
    <row r="176" ht="26.25" customHeight="1" s="1053">
      <c r="F176" s="359" t="n"/>
      <c r="K176" s="350" t="n"/>
      <c r="L176" s="350" t="n"/>
    </row>
    <row r="177" ht="26.25" customHeight="1" s="1053">
      <c r="F177" s="359" t="n"/>
      <c r="K177" s="350" t="n"/>
      <c r="L177" s="350" t="n"/>
    </row>
    <row r="178" ht="26.25" customHeight="1" s="1053">
      <c r="F178" s="359" t="n"/>
      <c r="K178" s="350" t="n"/>
      <c r="L178" s="350" t="n"/>
    </row>
    <row r="179" ht="26.25" customHeight="1" s="1053">
      <c r="F179" s="359" t="n"/>
      <c r="K179" s="350" t="n"/>
      <c r="L179" s="350" t="n"/>
    </row>
    <row r="180" ht="26.25" customHeight="1" s="1053">
      <c r="F180" s="359" t="n"/>
      <c r="K180" s="350" t="n"/>
      <c r="L180" s="350" t="n"/>
    </row>
    <row r="181" ht="26.25" customHeight="1" s="1053">
      <c r="F181" s="359" t="n"/>
      <c r="K181" s="350" t="n"/>
      <c r="L181" s="350" t="n"/>
    </row>
    <row r="182" ht="26.25" customHeight="1" s="1053">
      <c r="F182" s="359" t="n"/>
      <c r="K182" s="350" t="n"/>
      <c r="L182" s="350" t="n"/>
    </row>
    <row r="183" ht="26.25" customHeight="1" s="1053">
      <c r="F183" s="359" t="n"/>
      <c r="K183" s="350" t="n"/>
      <c r="L183" s="350" t="n"/>
    </row>
    <row r="184" ht="26.25" customHeight="1" s="1053">
      <c r="F184" s="359" t="n"/>
      <c r="K184" s="350" t="n"/>
      <c r="L184" s="350" t="n"/>
    </row>
    <row r="185" ht="26.25" customHeight="1" s="1053">
      <c r="F185" s="359" t="n"/>
      <c r="K185" s="350" t="n"/>
      <c r="L185" s="350" t="n"/>
    </row>
    <row r="186" ht="26.25" customHeight="1" s="1053">
      <c r="F186" s="359" t="n"/>
      <c r="K186" s="350" t="n"/>
      <c r="L186" s="350" t="n"/>
    </row>
    <row r="187" ht="26.25" customHeight="1" s="1053">
      <c r="F187" s="359" t="n"/>
      <c r="K187" s="350" t="n"/>
      <c r="L187" s="350" t="n"/>
    </row>
    <row r="188" ht="26.25" customHeight="1" s="1053">
      <c r="F188" s="359" t="n"/>
      <c r="K188" s="350" t="n"/>
      <c r="L188" s="350" t="n"/>
    </row>
    <row r="189" ht="26.25" customHeight="1" s="1053">
      <c r="F189" s="359" t="n"/>
      <c r="K189" s="350" t="n"/>
      <c r="L189" s="350" t="n"/>
    </row>
    <row r="190" ht="26.25" customHeight="1" s="1053">
      <c r="F190" s="359" t="n"/>
      <c r="K190" s="350" t="n"/>
      <c r="L190" s="350" t="n"/>
    </row>
    <row r="191" ht="26.25" customHeight="1" s="1053">
      <c r="F191" s="359" t="n"/>
      <c r="K191" s="350" t="n"/>
      <c r="L191" s="350" t="n"/>
    </row>
    <row r="192" ht="26.25" customHeight="1" s="1053">
      <c r="F192" s="359" t="n"/>
      <c r="K192" s="350" t="n"/>
      <c r="L192" s="350" t="n"/>
    </row>
    <row r="193" ht="26.25" customHeight="1" s="1053">
      <c r="F193" s="359" t="n"/>
      <c r="K193" s="350" t="n"/>
      <c r="L193" s="350" t="n"/>
    </row>
    <row r="194" ht="26.25" customHeight="1" s="1053">
      <c r="F194" s="359" t="n"/>
      <c r="K194" s="350" t="n"/>
      <c r="L194" s="350" t="n"/>
    </row>
    <row r="195" ht="26.25" customHeight="1" s="1053">
      <c r="F195" s="359" t="n"/>
      <c r="K195" s="350" t="n"/>
      <c r="L195" s="350" t="n"/>
    </row>
    <row r="196" ht="26.25" customHeight="1" s="1053">
      <c r="F196" s="359" t="n"/>
      <c r="K196" s="350" t="n"/>
      <c r="L196" s="350" t="n"/>
    </row>
    <row r="197" ht="26.25" customHeight="1" s="1053">
      <c r="F197" s="359" t="n"/>
      <c r="K197" s="350" t="n"/>
      <c r="L197" s="350"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3" min="1" max="5"/>
    <col width="10" customWidth="1" style="1053" min="7" max="12"/>
    <col width="26.373046875" customWidth="1" style="1053" min="13" max="13"/>
    <col width="18.75" customWidth="1" style="1053" min="14" max="14"/>
    <col width="25.5" customWidth="1" style="284" min="15" max="15"/>
    <col width="10" customWidth="1" style="1053" min="16" max="19"/>
    <col width="10" customWidth="1" style="366" min="20" max="20"/>
    <col width="15.2490234375" customWidth="1" style="1053" min="21" max="21"/>
    <col width="10" customWidth="1" style="366" min="22" max="22"/>
    <col width="10" customWidth="1" style="1053" min="23" max="30"/>
    <col width="13.623046875" customWidth="1" style="1053" min="31" max="31"/>
    <col width="10" customWidth="1" style="1053" min="32" max="34"/>
    <col width="10" customWidth="1" style="366" min="35" max="35"/>
    <col width="10" customWidth="1" style="366" min="36" max="36"/>
    <col width="45" customWidth="1" style="366" min="37" max="37"/>
    <col width="42.873046875" customWidth="1" style="350" min="38" max="38"/>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c r="AK1" s="179" t="inlineStr">
        <is>
          <t>顾问电访情况</t>
        </is>
      </c>
      <c r="AL1" s="533" t="inlineStr">
        <is>
          <t>顾问电访情况</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26" t="inlineStr">
        <is>
          <t>就读小学</t>
        </is>
      </c>
      <c r="L2" s="226" t="inlineStr">
        <is>
          <t>就读初中</t>
        </is>
      </c>
      <c r="M2" s="226" t="inlineStr">
        <is>
          <t>小学英语学习情况</t>
        </is>
      </c>
      <c r="N2" s="226" t="inlineStr">
        <is>
          <t>希望课程重点解决哪些问题/核心诉求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845" t="inlineStr">
        <is>
          <t>学员分层
（主讲）</t>
        </is>
      </c>
      <c r="AE2" s="226" t="inlineStr">
        <is>
          <t>主讲判定依据</t>
        </is>
      </c>
      <c r="AF2" s="846" t="inlineStr">
        <is>
          <t>学员分层
（顾问）</t>
        </is>
      </c>
      <c r="AG2" s="226" t="inlineStr">
        <is>
          <t>顾问判定依据</t>
        </is>
      </c>
      <c r="AH2" s="351" t="n"/>
      <c r="AI2" s="56" t="inlineStr">
        <is>
          <t>是否电联</t>
        </is>
      </c>
      <c r="AJ2" s="56" t="inlineStr">
        <is>
          <t>学情备注</t>
        </is>
      </c>
      <c r="AK2" s="179" t="n"/>
      <c r="AL2" s="533" t="n"/>
    </row>
    <row r="3" ht="26.25" customHeight="1" s="1053">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9" t="n"/>
      <c r="AJ3" s="359" t="n"/>
      <c r="AK3" s="281" t="n"/>
      <c r="AL3" s="359" t="n"/>
    </row>
    <row r="4" ht="26.25" customHeight="1" s="1053">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7"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9" t="n"/>
      <c r="AJ4" s="359" t="n"/>
      <c r="AK4" s="281" t="n"/>
      <c r="AL4" s="359" t="n"/>
    </row>
    <row r="5" ht="26.25" customHeight="1" s="1053">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6" t="inlineStr">
        <is>
          <t>潜B</t>
        </is>
      </c>
      <c r="AK5" s="281" t="inlineStr">
        <is>
          <t>一直上线上课，线下课嫌贵。希望孩子自己能主动一些。</t>
        </is>
      </c>
      <c r="AL5" s="350" t="inlineStr">
        <is>
          <t>孩子之前上线上课，没有上过线下课，最近都没和孩子聊过，今晚回去问问感受，塑危知用，需要多加餐，</t>
        </is>
      </c>
    </row>
    <row r="6" ht="26.25" customHeight="1" s="1053">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8" t="inlineStr">
        <is>
          <t>摇号
三中</t>
        </is>
      </c>
      <c r="M6" s="119" t="inlineStr">
        <is>
          <t>自觉性差，要盯着</t>
        </is>
      </c>
      <c r="N6" s="119" t="inlineStr">
        <is>
          <t>分班考前提高</t>
        </is>
      </c>
      <c r="O6" s="849"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9" t="n"/>
      <c r="AJ6" s="359" t="n"/>
      <c r="AK6" s="281" t="n"/>
      <c r="AL6" s="359" t="n"/>
    </row>
    <row r="7" ht="26.25" customHeight="1" s="1053">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6" t="inlineStr">
        <is>
          <t>潜B</t>
        </is>
      </c>
      <c r="AK7" s="281" t="inlineStr">
        <is>
          <t>三中。周六晚上数学。看孩子。</t>
        </is>
      </c>
      <c r="AL7" s="350" t="inlineStr">
        <is>
          <t>1反馈想调下一期，告知最好不要调课，孩子状态刚起来，且知识点前后差了2周，有在别的机构学数学英语，数学在晚上18点，秋季也是</t>
        </is>
      </c>
    </row>
    <row r="8" ht="26.25" customHeight="1" s="1053">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6" t="inlineStr">
        <is>
          <t>是</t>
        </is>
      </c>
      <c r="AJ8" s="366" t="inlineStr">
        <is>
          <t>潜</t>
        </is>
      </c>
      <c r="AK8" s="281" t="inlineStr">
        <is>
          <t>距离问题。</t>
        </is>
      </c>
      <c r="AL8" s="350" t="inlineStr">
        <is>
          <t>目前孩子没怎么和妈咪聊，但是觉得反馈不错，未来看看情况因为孩子后面上初中距离有点远了</t>
        </is>
      </c>
    </row>
    <row r="9" ht="26.25" customHeight="1" s="1053">
      <c r="A9" s="119" t="inlineStr">
        <is>
          <t>新宝利</t>
        </is>
      </c>
      <c r="B9" s="119" t="inlineStr">
        <is>
          <t>零期</t>
        </is>
      </c>
      <c r="C9" s="119" t="n">
        <v>5230727</v>
      </c>
      <c r="D9" s="119" t="inlineStr">
        <is>
          <t>13:20-15:30</t>
        </is>
      </c>
      <c r="E9" s="119" t="inlineStr">
        <is>
          <t>潜能班</t>
        </is>
      </c>
      <c r="F9" s="228"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6" t="inlineStr">
        <is>
          <t>是</t>
        </is>
      </c>
      <c r="AJ9" s="366" t="inlineStr">
        <is>
          <t>启</t>
        </is>
      </c>
      <c r="AK9" s="281" t="inlineStr">
        <is>
          <t>经济问题。感觉最需要补数学。</t>
        </is>
      </c>
      <c r="AL9"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3">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9" t="n"/>
      <c r="AJ10" s="359" t="n"/>
      <c r="AK10" s="281" t="n"/>
      <c r="AL10" s="359" t="n"/>
    </row>
    <row r="11" ht="26.25" customHeight="1" s="1053">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6" t="inlineStr">
        <is>
          <t>潜</t>
        </is>
      </c>
      <c r="AL11" s="359" t="n"/>
    </row>
    <row r="12" ht="26.25" customHeight="1" s="1053">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6" t="inlineStr">
        <is>
          <t>启</t>
        </is>
      </c>
      <c r="AK12" s="7" t="inlineStr">
        <is>
          <t>之前是正价学员。支付能力有限。上过语数英网课，但是频繁换师。上课内容怕简单。多提问。</t>
        </is>
      </c>
      <c r="AL12" s="35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3">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9" t="n"/>
      <c r="AJ13" s="359" t="n"/>
      <c r="AK13" s="7" t="n"/>
      <c r="AL13" s="359" t="n"/>
    </row>
    <row r="14" ht="26.25" customHeight="1" s="1053">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6" t="inlineStr">
        <is>
          <t>是</t>
        </is>
      </c>
      <c r="AJ14" s="366" t="inlineStr">
        <is>
          <t>潜</t>
        </is>
      </c>
      <c r="AK14" s="7" t="inlineStr">
        <is>
          <t>有其他机构上课。</t>
        </is>
      </c>
      <c r="AL14" s="35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3">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9" t="n"/>
      <c r="AJ15" s="359" t="n"/>
      <c r="AK15" s="119" t="n"/>
      <c r="AL15" s="359" t="n"/>
    </row>
    <row r="16" ht="26.25" customHeight="1" s="1053">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9" t="n"/>
      <c r="AJ16" s="359" t="n"/>
      <c r="AK16" s="7" t="n"/>
      <c r="AL16" s="359" t="n"/>
    </row>
    <row r="17" ht="26.25" customHeight="1" s="1053">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50" t="inlineStr">
        <is>
          <t>一中，等摇号
真光，等摇号
西关外语，四中</t>
        </is>
      </c>
      <c r="M17" s="851" t="inlineStr">
        <is>
          <t>托管盯着作业，都能完成
回家后不看书不复习
家长买书买练习题都不做的</t>
        </is>
      </c>
      <c r="N17" s="119" t="inlineStr">
        <is>
          <t>语法，听力</t>
        </is>
      </c>
      <c r="O17" s="852"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9" t="n"/>
      <c r="AJ17" s="359" t="n"/>
      <c r="AK17" s="119" t="n"/>
      <c r="AL17" s="359" t="n"/>
    </row>
    <row r="18" ht="26.25" customHeight="1" s="1053">
      <c r="A18" s="119" t="inlineStr">
        <is>
          <t>新宝利</t>
        </is>
      </c>
      <c r="B18" s="119" t="inlineStr">
        <is>
          <t>零期</t>
        </is>
      </c>
      <c r="C18" s="119" t="n">
        <v>5230723</v>
      </c>
      <c r="D18" s="119" t="inlineStr">
        <is>
          <t>15:50-18:00</t>
        </is>
      </c>
      <c r="E18" s="119" t="inlineStr">
        <is>
          <t>潜能班</t>
        </is>
      </c>
      <c r="F18" s="228"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6" t="inlineStr">
        <is>
          <t>是</t>
        </is>
      </c>
      <c r="AJ18" s="366" t="inlineStr">
        <is>
          <t>潜</t>
        </is>
      </c>
      <c r="AK18" s="7" t="n"/>
      <c r="AL18" s="350" t="inlineStr">
        <is>
          <t>课程感知不错，配合度高，有长期学习的想法，支付能力待定</t>
        </is>
      </c>
    </row>
    <row r="19" ht="26.25" customHeight="1" s="1053">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9" t="n"/>
      <c r="AJ19" s="359" t="n"/>
      <c r="AK19" s="7" t="n"/>
      <c r="AL19" s="359" t="n"/>
    </row>
    <row r="20" ht="26.25" customHeight="1" s="1053">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6" t="inlineStr">
        <is>
          <t>潜B</t>
        </is>
      </c>
      <c r="AK20" s="7" t="inlineStr">
        <is>
          <t>白云区。</t>
        </is>
      </c>
      <c r="AL20" s="350" t="inlineStr">
        <is>
          <t>妈咪啥都不知道的，张曦元家住，孩子上的挺开心的，成绩也还行，意向度一般</t>
        </is>
      </c>
    </row>
    <row r="21" ht="26.25" customHeight="1" s="1053">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6" t="inlineStr">
        <is>
          <t>潜B</t>
        </is>
      </c>
      <c r="AK21" s="7" t="inlineStr">
        <is>
          <t>没上过课，让孩子喜欢课程</t>
        </is>
      </c>
      <c r="AL21" s="350"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3">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3"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9" t="n"/>
      <c r="AJ22" s="359" t="n"/>
      <c r="AK22" s="7" t="n"/>
      <c r="AL22" s="359" t="n"/>
    </row>
    <row r="23" ht="26.25" customHeight="1" s="1053">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9" t="n"/>
      <c r="AJ23" s="359" t="n"/>
      <c r="AK23" s="119" t="n"/>
      <c r="AL23" s="359" t="n"/>
    </row>
    <row r="24" ht="26.25" customHeight="1" s="1053">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9" t="n"/>
      <c r="AJ24" s="359" t="n"/>
      <c r="AK24" s="7" t="n"/>
      <c r="AL24" s="359" t="n"/>
    </row>
    <row r="25" ht="26.25" customHeight="1" s="1053">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4"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9" t="n"/>
      <c r="AJ25" s="359" t="n"/>
      <c r="AK25" s="7" t="n"/>
      <c r="AL25" s="359" t="n"/>
    </row>
    <row r="26" ht="26.25" customHeight="1" s="1053">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6" t="inlineStr">
        <is>
          <t>是</t>
        </is>
      </c>
      <c r="AJ26" s="366" t="inlineStr">
        <is>
          <t>潜</t>
        </is>
      </c>
      <c r="AK26" s="7" t="inlineStr">
        <is>
          <t>S</t>
        </is>
      </c>
      <c r="AL26" s="350" t="inlineStr">
        <is>
          <t>孩子成绩还不错，但是这次摇号结果很心寒，预备着初一都补，但是担心孩子太累，卡点时间</t>
        </is>
      </c>
    </row>
    <row r="27" ht="26.25" customHeight="1" s="1053">
      <c r="A27" s="119" t="inlineStr">
        <is>
          <t>新宝利</t>
        </is>
      </c>
      <c r="B27" s="119" t="inlineStr">
        <is>
          <t>零期</t>
        </is>
      </c>
      <c r="C27" s="119" t="n">
        <v>5230723</v>
      </c>
      <c r="D27" s="119" t="inlineStr">
        <is>
          <t>15:50-18:00</t>
        </is>
      </c>
      <c r="E27" s="119" t="inlineStr">
        <is>
          <t>潜能班</t>
        </is>
      </c>
      <c r="F27" s="228"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6" t="inlineStr">
        <is>
          <t>是</t>
        </is>
      </c>
      <c r="AJ27" s="366" t="inlineStr">
        <is>
          <t>启</t>
        </is>
      </c>
      <c r="AK27" s="7" t="n"/>
      <c r="AL27" s="35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3">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5"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9" t="n"/>
      <c r="AJ28" s="359" t="n"/>
      <c r="AK28" s="7" t="n"/>
      <c r="AL28" s="359" t="n"/>
    </row>
    <row r="29" ht="26.25" customHeight="1" s="1053">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6" t="inlineStr">
        <is>
          <t>是</t>
        </is>
      </c>
      <c r="AJ29" s="366" t="inlineStr">
        <is>
          <t>启</t>
        </is>
      </c>
      <c r="AK29" s="7" t="inlineStr">
        <is>
          <t>看规划。</t>
        </is>
      </c>
      <c r="AL29" s="350"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3">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9" t="n"/>
      <c r="AJ30" s="359" t="n"/>
      <c r="AK30" s="7" t="n"/>
      <c r="AL30" s="359" t="n"/>
    </row>
    <row r="31" ht="26.25" customHeight="1" s="1053">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6" t="inlineStr">
        <is>
          <t>是</t>
        </is>
      </c>
      <c r="AJ31" s="366" t="inlineStr">
        <is>
          <t>潜</t>
        </is>
      </c>
      <c r="AK31" s="221" t="inlineStr">
        <is>
          <t>进了民办。不想课外投入过多。初一不用补（觉得初中简单）</t>
        </is>
      </c>
      <c r="AL31" s="350" t="inlineStr">
        <is>
          <t>孩子反馈都喜欢，妈妈选择民办省事，无长期学习的意愿度，家长不愿意过多聊，沟通了9分钟，初一不打算补课。</t>
        </is>
      </c>
    </row>
    <row r="32" ht="26.25" customHeight="1" s="1053">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6"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9" t="n"/>
      <c r="AJ32" s="359" t="n"/>
      <c r="AK32" s="7" t="n"/>
      <c r="AL32" s="359" t="n"/>
    </row>
    <row r="33" ht="26.25" customHeight="1" s="1053">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9" t="n"/>
      <c r="AJ33" s="359" t="n"/>
      <c r="AK33" s="7" t="n"/>
      <c r="AL33" s="359" t="n"/>
    </row>
    <row r="34" ht="26.25" customHeight="1" s="1053">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9" t="n"/>
      <c r="AJ34" s="359" t="n"/>
      <c r="AK34" s="7" t="n"/>
      <c r="AL34" s="359" t="n"/>
    </row>
    <row r="35" ht="26.25" customFormat="1" customHeight="1" s="366">
      <c r="A35" s="366" t="inlineStr">
        <is>
          <t>新宝利</t>
        </is>
      </c>
      <c r="B35" s="366" t="inlineStr">
        <is>
          <t>三期</t>
        </is>
      </c>
      <c r="C35" s="366" t="n">
        <v>5230821</v>
      </c>
      <c r="D35" s="366" t="inlineStr">
        <is>
          <t>15:50-18:00</t>
        </is>
      </c>
      <c r="E35" s="366" t="inlineStr">
        <is>
          <t>潜能班</t>
        </is>
      </c>
      <c r="F35" s="366" t="inlineStr">
        <is>
          <t>黄嘉琳</t>
        </is>
      </c>
      <c r="G35" s="366" t="inlineStr">
        <is>
          <t>肖锐03</t>
        </is>
      </c>
      <c r="H35" s="366" t="inlineStr">
        <is>
          <t>陈南05</t>
        </is>
      </c>
      <c r="I35" s="366" t="inlineStr">
        <is>
          <t>陈中帅</t>
        </is>
      </c>
      <c r="J35" s="366" t="inlineStr">
        <is>
          <t>张敏烨</t>
        </is>
      </c>
      <c r="K35" s="366" t="inlineStr">
        <is>
          <t>流花小学</t>
        </is>
      </c>
      <c r="L35" s="366" t="inlineStr">
        <is>
          <t>西外，等摇号</t>
        </is>
      </c>
      <c r="M35" s="366" t="inlineStr">
        <is>
          <t>很有自驱力</t>
        </is>
      </c>
      <c r="N35" s="366" t="inlineStr">
        <is>
          <t>衔接，不要掉分</t>
        </is>
      </c>
      <c r="O35" s="366" t="inlineStr">
        <is>
          <t>字迹潦草，KET考过了，小黑班上的KET，后面就没上了</t>
        </is>
      </c>
      <c r="P35" s="366" t="n">
        <v>90</v>
      </c>
      <c r="AK35" s="119" t="n"/>
    </row>
    <row r="36" ht="26.25" customHeight="1" s="1053">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9" t="n"/>
      <c r="AJ36" s="359" t="n"/>
      <c r="AK36" s="119" t="n"/>
      <c r="AL36" s="359" t="n"/>
    </row>
    <row r="37" ht="26.25" customHeight="1" s="1053">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9" t="n"/>
      <c r="AJ37" s="359" t="n"/>
      <c r="AK37" s="119" t="n"/>
      <c r="AL37" s="359" t="n"/>
    </row>
    <row r="38" ht="26.25" customHeight="1" s="1053">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7"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9" t="n"/>
      <c r="AJ38" s="359" t="n"/>
      <c r="AK38" s="119" t="n"/>
      <c r="AL38" s="359" t="n"/>
    </row>
    <row r="39" ht="26.25" customHeight="1" s="1053">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9" t="n"/>
      <c r="AJ39" s="359" t="n"/>
      <c r="AK39" s="119" t="n"/>
      <c r="AL39" s="359" t="n"/>
    </row>
    <row r="40" ht="26.25" customHeight="1" s="1053">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9" t="n"/>
      <c r="AJ40" s="359" t="n"/>
      <c r="AK40" s="281" t="n"/>
      <c r="AL40" s="359" t="n"/>
    </row>
    <row r="41" ht="26.25" customHeight="1" s="1053">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6" t="inlineStr">
        <is>
          <t>是</t>
        </is>
      </c>
      <c r="AJ41" s="366" t="inlineStr">
        <is>
          <t>潜</t>
        </is>
      </c>
      <c r="AK41" s="281" t="inlineStr">
        <is>
          <t>做作业比较晚。需要承诺秋季每周也会反馈。</t>
        </is>
      </c>
      <c r="AL41" s="35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3">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9" t="n"/>
      <c r="AJ42" s="359" t="n"/>
      <c r="AK42" s="281" t="n"/>
      <c r="AL42" s="359" t="n"/>
    </row>
    <row r="43" ht="26.25" customHeight="1" s="1053">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8"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9" t="n"/>
      <c r="AJ43" s="359" t="n"/>
      <c r="AK43" s="281" t="n"/>
      <c r="AL43" s="359" t="n"/>
    </row>
    <row r="44" ht="26.25" customHeight="1" s="1053">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9" t="n"/>
      <c r="AJ44" s="359" t="n"/>
      <c r="AK44" s="281" t="n"/>
      <c r="AL44" s="359" t="n"/>
    </row>
    <row r="45" ht="26.25" customHeight="1" s="1053">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9"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9" t="n"/>
      <c r="AJ45" s="359" t="n"/>
      <c r="AK45" s="281" t="n"/>
      <c r="AL45" s="359" t="n"/>
    </row>
    <row r="46" ht="26.25" customHeight="1" s="1053">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9" t="n"/>
      <c r="AJ46" s="359" t="n"/>
      <c r="AK46" s="281" t="n"/>
      <c r="AL46" s="359" t="n"/>
    </row>
    <row r="47" ht="26.25" customHeight="1" s="1053">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9" t="n"/>
      <c r="AJ47" s="359" t="n"/>
      <c r="AK47" s="281" t="n"/>
      <c r="AL47" s="359" t="n"/>
    </row>
    <row r="48" ht="26.25" customHeight="1" s="1053">
      <c r="A48" s="119" t="inlineStr">
        <is>
          <t>新宝利</t>
        </is>
      </c>
      <c r="B48" s="119" t="inlineStr">
        <is>
          <t>零期</t>
        </is>
      </c>
      <c r="C48" s="119" t="n">
        <v>5230727</v>
      </c>
      <c r="D48" s="119" t="inlineStr">
        <is>
          <t>13:20-15:30</t>
        </is>
      </c>
      <c r="E48" s="119" t="inlineStr">
        <is>
          <t>潜能班</t>
        </is>
      </c>
      <c r="F48" s="228"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6" t="inlineStr">
        <is>
          <t>是</t>
        </is>
      </c>
      <c r="AJ48" s="366" t="inlineStr">
        <is>
          <t>启</t>
        </is>
      </c>
      <c r="AK48" s="281" t="inlineStr">
        <is>
          <t>多机构对比。</t>
        </is>
      </c>
      <c r="AL48" s="35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3">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60"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9" t="n"/>
      <c r="AJ49" s="359" t="n"/>
      <c r="AK49" s="281" t="n"/>
      <c r="AL49" s="359" t="n"/>
    </row>
    <row r="50" ht="26.25" customHeight="1" s="1053">
      <c r="A50" s="119" t="inlineStr">
        <is>
          <t>新宝利</t>
        </is>
      </c>
      <c r="B50" s="119" t="inlineStr">
        <is>
          <t>零期</t>
        </is>
      </c>
      <c r="C50" s="119" t="n">
        <v>5230723</v>
      </c>
      <c r="D50" s="119" t="inlineStr">
        <is>
          <t>15:50-18:00</t>
        </is>
      </c>
      <c r="E50" s="119" t="inlineStr">
        <is>
          <t>潜能班</t>
        </is>
      </c>
      <c r="F50" s="228"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6" t="inlineStr">
        <is>
          <t>启</t>
        </is>
      </c>
      <c r="AK50" s="281" t="inlineStr">
        <is>
          <t>担心简单。</t>
        </is>
      </c>
      <c r="AL50" s="350" t="inlineStr">
        <is>
          <t>孩子之前是有K优秀，有机构的不过数学觉得我们不错明确在我们这里继续学习，所以想着英语也来我们这里学，妈咪这几节课还可以，反馈也不错，学的好的情况考虑继续学习</t>
        </is>
      </c>
    </row>
    <row r="51" ht="26.25" customHeight="1" s="1053">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6" t="inlineStr">
        <is>
          <t>潜</t>
        </is>
      </c>
      <c r="AK51" s="281" t="inlineStr">
        <is>
          <t>距离。在卓越跟同学一起上。多提问。考虑八月要不要在卓越上。和卓越做对比。看孩子意愿度。</t>
        </is>
      </c>
      <c r="AL51" s="35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3">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61"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9" t="n"/>
      <c r="AJ52" s="359" t="n"/>
      <c r="AK52" s="281" t="n"/>
      <c r="AL52" s="359" t="n"/>
    </row>
    <row r="53" ht="26.25" customHeight="1" s="1053">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9" t="n"/>
      <c r="AJ53" s="359" t="n"/>
      <c r="AK53" s="281" t="n"/>
      <c r="AL53" s="359" t="n"/>
    </row>
    <row r="54" ht="26.25" customHeight="1" s="1053">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9" t="n"/>
      <c r="AJ54" s="359" t="n"/>
      <c r="AK54" s="281" t="n"/>
      <c r="AL54" s="359" t="n"/>
    </row>
    <row r="55" ht="26.25" customHeight="1" s="1053">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2"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3"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9" t="n"/>
      <c r="AJ55" s="359" t="n"/>
      <c r="AK55" s="281" t="n"/>
      <c r="AL55" s="359" t="n"/>
    </row>
    <row r="56" ht="26.25" customHeight="1" s="1053">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8" t="n"/>
      <c r="M56" s="228" t="inlineStr">
        <is>
          <t>自主性</t>
        </is>
      </c>
      <c r="N56" s="228"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9" t="n"/>
      <c r="AJ56" s="359" t="n"/>
      <c r="AK56" s="9" t="n"/>
      <c r="AL56" s="359" t="n"/>
    </row>
    <row r="57" ht="26.25" customHeight="1" s="1053">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9" t="n"/>
      <c r="AJ57" s="359" t="n"/>
      <c r="AK57" s="281" t="n"/>
      <c r="AL57" s="359" t="n"/>
    </row>
    <row r="58" ht="26.25" customHeight="1" s="1053">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6" t="inlineStr">
        <is>
          <t>潜B</t>
        </is>
      </c>
      <c r="AK58" s="281" t="n"/>
      <c r="AL58" s="350" t="inlineStr">
        <is>
          <t>电话未接，妈妈比较关注孩子的状态，一天上三科比较疲惫，但孩子还是说可以坚持，得再观望下孩子适应程度。之前没有上过机构的，是上门家教，需要先上多几天看看</t>
        </is>
      </c>
    </row>
    <row r="59" ht="26.25" customHeight="1" s="1053">
      <c r="A59" s="119" t="inlineStr">
        <is>
          <t>新宝利</t>
        </is>
      </c>
      <c r="B59" s="119" t="inlineStr">
        <is>
          <t>零期</t>
        </is>
      </c>
      <c r="C59" s="119" t="n">
        <v>5230727</v>
      </c>
      <c r="D59" s="119" t="inlineStr">
        <is>
          <t>13:20-15:30</t>
        </is>
      </c>
      <c r="E59" s="119" t="inlineStr">
        <is>
          <t>潜能班</t>
        </is>
      </c>
      <c r="F59" s="228"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6" t="inlineStr">
        <is>
          <t>是</t>
        </is>
      </c>
      <c r="AJ59" s="366" t="inlineStr">
        <is>
          <t>启</t>
        </is>
      </c>
      <c r="AK59" s="281" t="inlineStr">
        <is>
          <t>数学老生。</t>
        </is>
      </c>
      <c r="AL59" s="350" t="inlineStr">
        <is>
          <t>觉得都挺好的，三科老师都很满意，尤其孩子特别喜欢大帅老师，</t>
        </is>
      </c>
    </row>
    <row r="60" ht="26.25" customHeight="1" s="1053">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4"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9" t="n"/>
      <c r="AJ60" s="359" t="n"/>
      <c r="AK60" s="281" t="n"/>
      <c r="AL60" s="359" t="n"/>
    </row>
    <row r="61" ht="26.25" customHeight="1" s="1053">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6" t="inlineStr">
        <is>
          <t>是</t>
        </is>
      </c>
      <c r="AJ61" s="366" t="inlineStr">
        <is>
          <t>潜</t>
        </is>
      </c>
      <c r="AK61" s="281" t="inlineStr">
        <is>
          <t>觉得英语不需要补。</t>
        </is>
      </c>
      <c r="AL61" s="35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3">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9" t="n"/>
      <c r="AJ62" s="359" t="n"/>
      <c r="AK62" s="281" t="n"/>
      <c r="AL62" s="359" t="n"/>
    </row>
    <row r="63" ht="26.25" customHeight="1" s="1053">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9" t="n"/>
      <c r="AJ63" s="359" t="n"/>
      <c r="AK63" s="281" t="n"/>
      <c r="AL63" s="359" t="n"/>
    </row>
    <row r="64" ht="26.25" customHeight="1" s="1053">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6" t="inlineStr">
        <is>
          <t>是</t>
        </is>
      </c>
      <c r="AK64" s="281" t="inlineStr">
        <is>
          <t>S。孩子要愿意开口。</t>
        </is>
      </c>
      <c r="AL64" s="350" t="inlineStr">
        <is>
          <t>面谈，意向度高，孩子很安静，安静到只要你不Q她，全程不说话，妈咪觉得孩子对学习的态度就是任务，希望妹妹有姐姐的冲劲，希望孩子能自发性学习补课，孩子愿意学，就可以</t>
        </is>
      </c>
    </row>
    <row r="65" ht="26.25" customHeight="1" s="1053">
      <c r="A65" s="119" t="inlineStr">
        <is>
          <t>新宝利</t>
        </is>
      </c>
      <c r="B65" s="119" t="inlineStr">
        <is>
          <t>零期</t>
        </is>
      </c>
      <c r="C65" s="119" t="n">
        <v>5230727</v>
      </c>
      <c r="D65" s="119" t="inlineStr">
        <is>
          <t>13:20-15:30</t>
        </is>
      </c>
      <c r="E65" s="119" t="inlineStr">
        <is>
          <t>潜能班</t>
        </is>
      </c>
      <c r="F65" s="228"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6" t="inlineStr">
        <is>
          <t>是</t>
        </is>
      </c>
      <c r="AJ65" s="366" t="inlineStr">
        <is>
          <t>启</t>
        </is>
      </c>
      <c r="AK65" s="281" t="inlineStr">
        <is>
          <t>有长期学想法。问了价格和体系。缴费磨叽。谨慎。</t>
        </is>
      </c>
      <c r="AL65" s="350"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3">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9" t="n"/>
      <c r="AJ66" s="359" t="n"/>
      <c r="AK66" s="281" t="n"/>
      <c r="AL66" s="359" t="n"/>
    </row>
    <row r="67" ht="26.25" customHeight="1" s="1053">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9" t="n"/>
      <c r="AJ67" s="359" t="n"/>
      <c r="AK67" s="281" t="n"/>
      <c r="AL67" s="359" t="n"/>
    </row>
    <row r="68" ht="26.25" customHeight="1" s="1053">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5" t="inlineStr">
        <is>
          <t>听力比较弱，要提高
想提前适应初中，能有个衔接</t>
        </is>
      </c>
      <c r="O68" s="866"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9" t="n"/>
      <c r="AJ68" s="359" t="n"/>
      <c r="AK68" s="281" t="n"/>
      <c r="AL68" s="359" t="n"/>
    </row>
    <row r="69" ht="26.25" customHeight="1" s="1053">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7"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9" t="n"/>
      <c r="AJ69" s="359" t="n"/>
      <c r="AK69" s="281" t="n"/>
      <c r="AL69" s="359" t="n"/>
    </row>
    <row r="70" ht="26.25" customHeight="1" s="1053">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8"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9" t="n"/>
      <c r="AJ70" s="359" t="n"/>
      <c r="AK70" s="281" t="n"/>
      <c r="AL70" s="359" t="n"/>
    </row>
    <row r="71" ht="26.25" customHeight="1" s="1053">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9"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9" t="n"/>
      <c r="AJ71" s="359" t="n"/>
      <c r="AK71" s="281" t="n"/>
      <c r="AL71" s="359" t="n"/>
    </row>
    <row r="72" ht="26.25" customHeight="1" s="1053">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70"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9" t="n"/>
      <c r="AJ72" s="359" t="n"/>
      <c r="AK72" s="281" t="n"/>
      <c r="AL72" s="359" t="n"/>
    </row>
    <row r="73" ht="26.25" customHeight="1" s="1053">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9" t="n"/>
      <c r="AJ73" s="359" t="n"/>
      <c r="AK73" s="359" t="n"/>
      <c r="AL73" s="359" t="n"/>
    </row>
    <row r="74" ht="26.25" customHeight="1" s="1053">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9" t="n"/>
      <c r="AJ74" s="359" t="n"/>
      <c r="AK74" s="359" t="n"/>
      <c r="AL74" s="359" t="n"/>
    </row>
    <row r="75" ht="26.25" customHeight="1" s="1053">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9" t="n"/>
      <c r="AJ75" s="359" t="n"/>
      <c r="AK75" s="359" t="n"/>
      <c r="AL75" s="359" t="n"/>
    </row>
    <row r="76" ht="26.25" customHeight="1" s="1053">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9" t="n"/>
      <c r="AJ76" s="359" t="n"/>
      <c r="AK76" s="359" t="n"/>
      <c r="AL76" s="359" t="n"/>
    </row>
    <row r="77" ht="26.25" customHeight="1" s="1053">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9" t="n"/>
      <c r="AJ77" s="359" t="n"/>
      <c r="AK77" s="359" t="n"/>
      <c r="AL77" s="359" t="n"/>
    </row>
    <row r="78" ht="26.25" customHeight="1" s="1053">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6" t="inlineStr">
        <is>
          <t>启</t>
        </is>
      </c>
      <c r="AK78" s="366" t="inlineStr">
        <is>
          <t>上课兴趣。</t>
        </is>
      </c>
      <c r="AL78" s="350" t="n">
        <v>0</v>
      </c>
    </row>
    <row r="79" ht="26.25" customHeight="1" s="1053">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9" t="n"/>
      <c r="AJ79" s="359" t="n"/>
      <c r="AK79" s="359" t="n"/>
      <c r="AL79" s="359" t="n"/>
    </row>
    <row r="80" ht="26.25" customHeight="1" s="1053">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6" t="inlineStr">
        <is>
          <t>启</t>
        </is>
      </c>
      <c r="AK80" s="366" t="inlineStr">
        <is>
          <t>其他机构学过。三中重点班。</t>
        </is>
      </c>
      <c r="AL80" s="350" t="inlineStr">
        <is>
          <t>之前一直有补习机构学，了解后孩子三中答应给重点班的，目前聊了，他说初中看看情况有没有需要补，告知孩子重点班压力大，更需要跟上脚步</t>
        </is>
      </c>
    </row>
    <row r="81" ht="26.25" customHeight="1" s="1053">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9" t="n"/>
      <c r="AJ81" s="359" t="n"/>
      <c r="AK81" s="359" t="n"/>
      <c r="AL81" s="359" t="n"/>
    </row>
    <row r="82" ht="26.25" customHeight="1" s="1053">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9" t="n"/>
      <c r="AJ82" s="359" t="n"/>
      <c r="AK82" s="359" t="n"/>
      <c r="AL82" s="359" t="n"/>
    </row>
    <row r="83" ht="26.25" customHeight="1" s="1053">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9" t="n"/>
      <c r="AJ83" s="359" t="n"/>
      <c r="AK83" s="359" t="n"/>
      <c r="AL83" s="359" t="n"/>
    </row>
    <row r="84" ht="26.25" customHeight="1" s="1053">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9" t="n"/>
      <c r="AJ84" s="359" t="n"/>
      <c r="AK84" s="359" t="n"/>
      <c r="AL84" s="359" t="n"/>
    </row>
    <row r="85" ht="26.25" customHeight="1" s="1053">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9" t="n"/>
      <c r="AJ85" s="359" t="n"/>
      <c r="AK85" s="359" t="n"/>
      <c r="AL85" s="359" t="n"/>
    </row>
    <row r="86" ht="26.25" customHeight="1" s="1053">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6" t="inlineStr">
        <is>
          <t>潜</t>
        </is>
      </c>
      <c r="AL86" s="350" t="inlineStr">
        <is>
          <t>第一轮未接老师已沟通，明天在进行回访，未接</t>
        </is>
      </c>
    </row>
    <row r="87" ht="26.25" customHeight="1" s="1053">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6" t="inlineStr">
        <is>
          <t>启</t>
        </is>
      </c>
      <c r="AK87" s="366" t="inlineStr">
        <is>
          <t>完全没有过补习机构。提前预习。（支付能力存疑）</t>
        </is>
      </c>
      <c r="AL87" s="35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3">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9" t="n"/>
      <c r="AJ88" s="359" t="n"/>
      <c r="AK88" s="359" t="n"/>
      <c r="AL88" s="359" t="n"/>
    </row>
    <row r="89" ht="26.25" customHeight="1" s="1053">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6" t="inlineStr">
        <is>
          <t>潜</t>
        </is>
      </c>
      <c r="AK89" s="366" t="inlineStr">
        <is>
          <t>支付能力OK，主动询问秋季。需要维护。</t>
        </is>
      </c>
      <c r="AL89" s="350" t="e">
        <v>#N/A</v>
      </c>
    </row>
    <row r="90" ht="26.25" customHeight="1" s="1053">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9" t="n"/>
      <c r="AJ90" s="359" t="n"/>
      <c r="AK90" s="359" t="n"/>
      <c r="AL90" s="359" t="n"/>
    </row>
    <row r="91" ht="26.25" customHeight="1" s="1053">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9" t="n"/>
      <c r="AJ91" s="359" t="n"/>
      <c r="AK91" s="359" t="n"/>
      <c r="AL91" s="359" t="n"/>
    </row>
    <row r="92" ht="26.25" customHeight="1" s="1053">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9" t="n"/>
      <c r="AJ92" s="359" t="n"/>
      <c r="AK92" s="359" t="n"/>
      <c r="AL92" s="359" t="n"/>
    </row>
    <row r="93" ht="26.25" customHeight="1" s="1053">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71"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9" t="n"/>
      <c r="AJ93" s="359" t="n"/>
      <c r="AK93" s="359" t="n"/>
      <c r="AL93" s="359" t="n"/>
    </row>
    <row r="94" ht="26.25" customHeight="1" s="1053">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6" t="inlineStr">
        <is>
          <t>潜</t>
        </is>
      </c>
      <c r="AK94" s="366" t="inlineStr">
        <is>
          <t>要求字迹。妈妈觉得还太早。</t>
        </is>
      </c>
      <c r="AL94" s="350" t="inlineStr">
        <is>
          <t>聊了五分半，希望老师对于字迹严格要求下，孩子上课没有跟家长沟通过，之前有补习经历，有长期学的计划，但是觉得目前才第二节课还太早，可以多观察一下，说在忙就先挂了</t>
        </is>
      </c>
    </row>
    <row r="95" ht="26.25" customHeight="1" s="1053">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2"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9" t="n"/>
      <c r="AJ95" s="359" t="n"/>
      <c r="AK95" s="359" t="n"/>
      <c r="AL95" s="359" t="n"/>
    </row>
    <row r="96" ht="26.25" customHeight="1" s="1053">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9" t="n"/>
      <c r="AJ96" s="359" t="n"/>
      <c r="AK96" s="359" t="n"/>
      <c r="AL96" s="359" t="n"/>
    </row>
    <row r="97" ht="26.25" customHeight="1" s="1053">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9" t="n"/>
      <c r="AJ97" s="359" t="n"/>
      <c r="AK97" s="359" t="n"/>
      <c r="AL97" s="359" t="n"/>
    </row>
    <row r="98" ht="26.25" customHeight="1" s="1053">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9" t="n"/>
      <c r="AJ98" s="359" t="n"/>
      <c r="AK98" s="359" t="n"/>
      <c r="AL98" s="359" t="n"/>
    </row>
    <row r="99" ht="26.25" customHeight="1" s="1053">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9" t="n"/>
      <c r="AJ99" s="359" t="n"/>
      <c r="AK99" s="359" t="n"/>
      <c r="AL99" s="359" t="n"/>
    </row>
    <row r="100" ht="26.25" customHeight="1" s="1053">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9" t="n"/>
      <c r="AJ100" s="359" t="n"/>
      <c r="AK100" s="359" t="n"/>
      <c r="AL100" s="359" t="n"/>
    </row>
    <row r="101" ht="26.25" customHeight="1" s="1053">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6" t="inlineStr">
        <is>
          <t>启</t>
        </is>
      </c>
      <c r="AK101" s="366" t="inlineStr">
        <is>
          <t>已经报名。</t>
        </is>
      </c>
      <c r="AL101" s="350" t="inlineStr">
        <is>
          <t>不打了，已转化了三科</t>
        </is>
      </c>
    </row>
    <row r="102" ht="26.25" customHeight="1" s="1053">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9" t="n"/>
      <c r="AJ102" s="359" t="n"/>
      <c r="AK102" s="359" t="n"/>
      <c r="AL102" s="359" t="n"/>
    </row>
    <row r="103" ht="26.25" customHeight="1" s="1053">
      <c r="A103" s="119" t="inlineStr">
        <is>
          <t>新宝利</t>
        </is>
      </c>
      <c r="B103" s="119" t="inlineStr">
        <is>
          <t>三期</t>
        </is>
      </c>
      <c r="C103" s="119" t="n">
        <v>4513388</v>
      </c>
      <c r="D103" s="119" t="inlineStr">
        <is>
          <t>13:20-15:30</t>
        </is>
      </c>
      <c r="E103" s="119" t="inlineStr">
        <is>
          <t>潜能班</t>
        </is>
      </c>
      <c r="F103" s="227"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9" t="n"/>
      <c r="AJ103" s="359" t="n"/>
      <c r="AK103" s="359" t="n"/>
      <c r="AL103" s="359" t="n"/>
    </row>
    <row r="104" ht="26.25" customHeight="1" s="1053">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6" t="inlineStr">
        <is>
          <t>潜</t>
        </is>
      </c>
      <c r="AK104" s="366" t="inlineStr">
        <is>
          <t>孩子还是不愿意来。看孩子。线上视频课。可以多发课前测+作业情况。</t>
        </is>
      </c>
      <c r="AL104" s="35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3">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9" t="n"/>
      <c r="AJ105" s="359" t="n"/>
      <c r="AK105" s="359" t="n"/>
      <c r="AL105" s="359" t="n"/>
    </row>
    <row r="106" ht="26.25" customHeight="1" s="1053">
      <c r="A106" s="383" t="inlineStr">
        <is>
          <t>新宝利</t>
        </is>
      </c>
      <c r="B106" s="383" t="inlineStr">
        <is>
          <t>零期</t>
        </is>
      </c>
      <c r="C106" s="383" t="n">
        <v>5230727</v>
      </c>
      <c r="D106" s="383" t="inlineStr">
        <is>
          <t>13:20-15:30</t>
        </is>
      </c>
      <c r="E106" s="383" t="inlineStr">
        <is>
          <t>潜能班</t>
        </is>
      </c>
      <c r="F106" s="227" t="inlineStr">
        <is>
          <t>施钰平</t>
        </is>
      </c>
      <c r="G106" s="383" t="inlineStr">
        <is>
          <t>肖锐03</t>
        </is>
      </c>
      <c r="H106" s="383" t="inlineStr">
        <is>
          <t>黄铭怡</t>
        </is>
      </c>
      <c r="I106" s="383" t="inlineStr">
        <is>
          <t>陈中帅</t>
        </is>
      </c>
      <c r="J106" s="383" t="inlineStr">
        <is>
          <t>杨林33</t>
        </is>
      </c>
      <c r="K106" s="383" t="n"/>
      <c r="L106" s="383" t="n"/>
      <c r="M106" s="383" t="inlineStr">
        <is>
          <t>校内没问题</t>
        </is>
      </c>
      <c r="N106" s="383" t="n"/>
      <c r="O106" s="422" t="inlineStr">
        <is>
          <t>三科老师电话都不接，信息透露很少</t>
        </is>
      </c>
      <c r="P106" s="383"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3" t="inlineStr">
        <is>
          <t>联系爸爸。妈妈对产品存疑。</t>
        </is>
      </c>
      <c r="AL106" s="350" t="inlineStr">
        <is>
          <t>三中重点班，妈妈反馈比较平淡，父母做档口生意的，问了秋季学习的意向，妈妈反馈我们的题目比较简单，比不上进阶和学而思的难度，已经初步解释。</t>
        </is>
      </c>
    </row>
    <row r="107" ht="26.25" customHeight="1" s="1053">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6" t="inlineStr">
        <is>
          <t>潜</t>
        </is>
      </c>
      <c r="AK107" s="366" t="inlineStr">
        <is>
          <t>多督促。课前测。</t>
        </is>
      </c>
      <c r="AL107" s="35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3">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9" t="n"/>
      <c r="AJ108" s="359" t="n"/>
      <c r="AK108" s="359" t="n"/>
      <c r="AL108" s="359" t="n"/>
    </row>
    <row r="109" ht="26.25" customHeight="1" s="1053">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6" t="inlineStr">
        <is>
          <t>潜</t>
        </is>
      </c>
      <c r="AK109" s="366" t="inlineStr">
        <is>
          <t>已经报名了。</t>
        </is>
      </c>
      <c r="AL109"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3">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6" t="inlineStr">
        <is>
          <t>是</t>
        </is>
      </c>
      <c r="AJ110" s="366" t="inlineStr">
        <is>
          <t>潜B</t>
        </is>
      </c>
      <c r="AL110" s="35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3">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3"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9" t="n"/>
      <c r="AJ111" s="359" t="n"/>
      <c r="AK111" s="359" t="n"/>
      <c r="AL111" s="359" t="n"/>
    </row>
    <row r="112" ht="26.25" customHeight="1" s="1053">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9" t="n"/>
      <c r="AJ112" s="359" t="n"/>
      <c r="AK112" s="359" t="n"/>
      <c r="AL112" s="359" t="n"/>
    </row>
    <row r="113" ht="26.25" customHeight="1" s="1053">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9" t="n"/>
      <c r="AJ113" s="359" t="n"/>
      <c r="AK113" s="359" t="n"/>
      <c r="AL113" s="359" t="n"/>
    </row>
    <row r="114" ht="26.25" customHeight="1" s="1053">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9" t="n"/>
      <c r="AJ114" s="359" t="n"/>
      <c r="AK114" s="359" t="n"/>
      <c r="AL114" s="359" t="n"/>
    </row>
    <row r="115" ht="26.25" customHeight="1" s="1053">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9" t="n"/>
      <c r="AJ115" s="359" t="n"/>
      <c r="AK115" s="359" t="n"/>
      <c r="AL115" s="359" t="n"/>
    </row>
    <row r="116" ht="26.25" customHeight="1" s="1053">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6" t="inlineStr">
        <is>
          <t>潜</t>
        </is>
      </c>
      <c r="AK116" s="366" t="inlineStr">
        <is>
          <t>意向非常高。</t>
        </is>
      </c>
      <c r="AL116" s="350"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3">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6" t="inlineStr">
        <is>
          <t>是</t>
        </is>
      </c>
      <c r="AJ117" s="366" t="inlineStr">
        <is>
          <t>潜B</t>
        </is>
      </c>
      <c r="AK117" s="366" t="inlineStr">
        <is>
          <t>背诵后容易忘。秋季报了乐读。解决孩子喜欢线下课。</t>
        </is>
      </c>
      <c r="AL117" s="350"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3">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9" t="n"/>
      <c r="AJ118" s="359" t="n"/>
      <c r="AK118" s="359" t="n"/>
      <c r="AL118" s="359" t="n"/>
    </row>
    <row r="119" ht="26.25" customHeight="1" s="1053">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4" t="inlineStr">
        <is>
          <t>自行完成，不盯梢
但另外多学其它的自主学习能力差</t>
        </is>
      </c>
      <c r="N119" s="119" t="inlineStr">
        <is>
          <t>衔接</t>
        </is>
      </c>
      <c r="O119" s="875"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9" t="n"/>
      <c r="AJ119" s="359" t="n"/>
      <c r="AK119" s="359" t="n"/>
      <c r="AL119" s="359" t="n"/>
    </row>
    <row r="120" ht="26.25" customHeight="1" s="1053">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9" t="n"/>
      <c r="AJ120" s="359" t="n"/>
      <c r="AK120" s="359" t="n"/>
      <c r="AL120" s="359" t="n"/>
    </row>
    <row r="121" ht="26.25" customHeight="1" s="1053">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6" t="inlineStr">
        <is>
          <t>潜</t>
        </is>
      </c>
      <c r="AL121" s="350" t="inlineStr">
        <is>
          <t>一天连着上三科，下午总有段时间犯困，课程难度挺适合的，不会太难，又能学到东西，后续再关注下孩子的上课情况</t>
        </is>
      </c>
    </row>
    <row r="122" ht="36.75" customHeight="1" s="1053">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6" t="inlineStr">
        <is>
          <t>潜B</t>
        </is>
      </c>
      <c r="AL122" s="350" t="inlineStr">
        <is>
          <t>已转化</t>
        </is>
      </c>
    </row>
    <row r="123" ht="26.25" customHeight="1" s="1053">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6"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9" t="n"/>
      <c r="AJ123" s="359" t="n"/>
      <c r="AK123" s="359" t="n"/>
      <c r="AL123" s="359" t="n"/>
    </row>
    <row r="124" ht="26.25" customHeight="1" s="1053">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6" t="inlineStr">
        <is>
          <t>潜B</t>
        </is>
      </c>
      <c r="AK124" s="366" t="inlineStr">
        <is>
          <t>担心孩子压力大。看孩子愿不愿意学。</t>
        </is>
      </c>
      <c r="AL124" s="350"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3">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9" t="n"/>
      <c r="AJ125" s="359" t="n"/>
      <c r="AK125" s="359" t="n"/>
      <c r="AL125" s="359" t="n"/>
    </row>
    <row r="126" ht="26.25" customHeight="1" s="1053">
      <c r="A126" s="119" t="inlineStr">
        <is>
          <t>新宝利</t>
        </is>
      </c>
      <c r="B126" s="119" t="inlineStr">
        <is>
          <t>零期</t>
        </is>
      </c>
      <c r="C126" s="119" t="n">
        <v>5230723</v>
      </c>
      <c r="D126" s="119" t="inlineStr">
        <is>
          <t>15:50-18:00</t>
        </is>
      </c>
      <c r="E126" s="119" t="inlineStr">
        <is>
          <t>潜能班</t>
        </is>
      </c>
      <c r="F126" s="228"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6" t="inlineStr">
        <is>
          <t>是</t>
        </is>
      </c>
      <c r="AJ126" s="366" t="inlineStr">
        <is>
          <t>启</t>
        </is>
      </c>
      <c r="AK126" s="223" t="inlineStr">
        <is>
          <t>等开学后再安排。</t>
        </is>
      </c>
      <c r="AL126" s="350" t="inlineStr">
        <is>
          <t>孩子反馈整体课程还是不错，对课程服务是认可的，管理秋季的学习妈妈不着急，想看开学后校内的情况</t>
        </is>
      </c>
    </row>
    <row r="127" ht="26.25" customHeight="1" s="1053">
      <c r="A127" s="383" t="inlineStr">
        <is>
          <t>新宝利</t>
        </is>
      </c>
      <c r="B127" s="383" t="inlineStr">
        <is>
          <t>零期</t>
        </is>
      </c>
      <c r="C127" s="383" t="n">
        <v>5230723</v>
      </c>
      <c r="D127" s="383" t="inlineStr">
        <is>
          <t>15:50-18:00</t>
        </is>
      </c>
      <c r="E127" s="383" t="inlineStr">
        <is>
          <t>潜能班</t>
        </is>
      </c>
      <c r="F127" s="227" t="inlineStr">
        <is>
          <t>詹馨宁</t>
        </is>
      </c>
      <c r="G127" s="383" t="inlineStr">
        <is>
          <t>肖锐03</t>
        </is>
      </c>
      <c r="H127" s="383" t="inlineStr">
        <is>
          <t>李润</t>
        </is>
      </c>
      <c r="I127" s="383" t="inlineStr">
        <is>
          <t>田雨涵01</t>
        </is>
      </c>
      <c r="J127" s="383" t="inlineStr">
        <is>
          <t>林志豪01</t>
        </is>
      </c>
      <c r="K127" s="383" t="inlineStr">
        <is>
          <t>耀华小学</t>
        </is>
      </c>
      <c r="L127" s="383" t="n"/>
      <c r="M127" s="383" t="n"/>
      <c r="N127" s="383" t="n"/>
      <c r="O127" s="422" t="inlineStr">
        <is>
          <t>不接电话，之前上了衔接课，不接数学和英语老师电话</t>
        </is>
      </c>
      <c r="P127" s="383"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6" t="inlineStr">
        <is>
          <t>S。意向度高。很简单。提前学过初一。其他机构（名师）</t>
        </is>
      </c>
      <c r="AL127" s="350"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3">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9" t="n"/>
      <c r="AJ128" s="359" t="n"/>
      <c r="AK128" s="359" t="n"/>
      <c r="AL128" s="359" t="n"/>
    </row>
    <row r="129" ht="26.25" customHeight="1" s="1053">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9" t="n"/>
      <c r="AJ129" s="359" t="n"/>
      <c r="AK129" s="359" t="n"/>
      <c r="AL129" s="359" t="n"/>
    </row>
    <row r="130" ht="26.25" customHeight="1" s="1053">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7"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9" t="n"/>
      <c r="AJ130" s="359" t="n"/>
      <c r="AK130" s="359" t="n"/>
      <c r="AL130" s="359" t="n"/>
    </row>
    <row r="131" ht="26.25" customHeight="1" s="1053">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6" t="inlineStr">
        <is>
          <t>是</t>
        </is>
      </c>
      <c r="AJ131" s="366" t="inlineStr">
        <is>
          <t>启</t>
        </is>
      </c>
      <c r="AK131" s="366" t="inlineStr">
        <is>
          <t>。</t>
        </is>
      </c>
      <c r="AL131" s="350" t="inlineStr">
        <is>
          <t>面谈，意向高，三个方面，1、对教学还是认可的，2、孩子程度高听得懂，目前感觉难度偏简单，3近，且到了知用妈咪说已知到做好补课准备了</t>
        </is>
      </c>
    </row>
    <row r="132" ht="26.25" customHeight="1" s="1053">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9" t="n"/>
      <c r="AJ132" s="359" t="n"/>
      <c r="AK132" s="359" t="n"/>
      <c r="AL132" s="359" t="n"/>
    </row>
    <row r="133" ht="26.25" customHeight="1" s="1053">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8" t="inlineStr">
        <is>
          <t>摇号中
第一志愿荔湾广雅中学
摇不上就去民办</t>
        </is>
      </c>
      <c r="M133" s="879" t="inlineStr">
        <is>
          <t>因为是奶奶
所以学校作业基本不管
能独立完成
但是做完后就马上玩手机</t>
        </is>
      </c>
      <c r="N133" s="119" t="inlineStr">
        <is>
          <t>还是希望长期提升英语整体</t>
        </is>
      </c>
      <c r="O133" s="880" t="inlineStr">
        <is>
          <t>一直在跟着学习猿辅导
报名线上大班数学课</t>
        </is>
      </c>
      <c r="P133" s="881"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9" t="n"/>
      <c r="AJ133" s="359" t="n"/>
      <c r="AK133" s="359" t="n"/>
      <c r="AL133" s="359" t="n"/>
    </row>
    <row r="134" ht="26.25" customHeight="1" s="1053">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6" t="inlineStr">
        <is>
          <t>香港上学。</t>
        </is>
      </c>
      <c r="AL134" s="350" t="inlineStr">
        <is>
          <t>家长在忙拒接</t>
        </is>
      </c>
    </row>
    <row r="135" ht="26.25" customHeight="1" s="1053">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9" t="n"/>
      <c r="AJ135" s="359" t="n"/>
      <c r="AK135" s="359" t="n"/>
      <c r="AL135" s="359" t="n"/>
    </row>
    <row r="136" ht="26.25" customHeight="1" s="1053">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6" t="inlineStr">
        <is>
          <t>是</t>
        </is>
      </c>
      <c r="AJ136" s="366" t="inlineStr">
        <is>
          <t>启</t>
        </is>
      </c>
      <c r="AK136" s="366" t="inlineStr">
        <is>
          <t>服务反馈是否持续进行。升班。</t>
        </is>
      </c>
      <c r="AL136" s="35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3">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9" t="n"/>
      <c r="AJ137" s="359" t="n"/>
      <c r="AK137" s="359" t="n"/>
      <c r="AL137" s="359" t="n"/>
    </row>
    <row r="138" ht="26.25" customHeight="1" s="1053">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9" t="n"/>
      <c r="AJ138" s="359" t="n"/>
      <c r="AK138" s="359" t="n"/>
      <c r="AL138" s="359" t="n"/>
    </row>
    <row r="139" ht="26.25" customHeight="1" s="1053">
      <c r="A139" s="119" t="inlineStr">
        <is>
          <t>新宝利</t>
        </is>
      </c>
      <c r="B139" s="119" t="inlineStr">
        <is>
          <t>零期</t>
        </is>
      </c>
      <c r="C139" s="119" t="n">
        <v>5230727</v>
      </c>
      <c r="D139" s="119" t="inlineStr">
        <is>
          <t>13:20-15:30</t>
        </is>
      </c>
      <c r="E139" s="119" t="inlineStr">
        <is>
          <t>潜能班</t>
        </is>
      </c>
      <c r="F139" s="228"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6" t="inlineStr">
        <is>
          <t>启</t>
        </is>
      </c>
      <c r="AK139" s="366" t="inlineStr">
        <is>
          <t>目前对英语课最喜欢。针对重难点多和孩子沟通。适合孩子的老师。时间安排（沃伦、等非学科）。</t>
        </is>
      </c>
      <c r="AL139" s="35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3">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9" t="n"/>
      <c r="AJ140" s="359" t="n"/>
      <c r="AK140" s="359" t="n"/>
      <c r="AL140" s="359" t="n"/>
    </row>
    <row r="141" ht="26.25" customHeight="1" s="1053">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9" t="n"/>
      <c r="AJ141" s="359" t="n"/>
      <c r="AK141" s="359" t="n"/>
      <c r="AL141" s="359" t="n"/>
    </row>
    <row r="142" ht="26.25" customHeight="1" s="1053">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9" t="n"/>
      <c r="AJ142" s="359" t="n"/>
      <c r="AK142" s="359" t="n"/>
      <c r="AL142" s="359" t="n"/>
    </row>
    <row r="143" ht="26.25" customHeight="1" s="1053">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9" t="n"/>
      <c r="AJ143" s="359" t="n"/>
      <c r="AK143" s="359" t="n"/>
      <c r="AL143" s="359" t="n"/>
    </row>
    <row r="144" ht="26.25" customHeight="1" s="1053">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6" t="inlineStr">
        <is>
          <t>潜</t>
        </is>
      </c>
      <c r="AL144" s="350" t="n">
        <v>0</v>
      </c>
    </row>
    <row r="145" ht="26.25" customHeight="1" s="1053">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5" t="inlineStr">
        <is>
          <t>黄铭怡</t>
        </is>
      </c>
      <c r="I145" s="315" t="inlineStr">
        <is>
          <t>陈中帅</t>
        </is>
      </c>
      <c r="J145" s="315" t="inlineStr">
        <is>
          <t>沈思浩</t>
        </is>
      </c>
      <c r="K145" s="315" t="inlineStr">
        <is>
          <t>小北路</t>
        </is>
      </c>
      <c r="L145" s="315" t="inlineStr">
        <is>
          <t>十六实验</t>
        </is>
      </c>
      <c r="M145" s="882" t="inlineStr">
        <is>
          <t>比较懒，不背单词
马虎，作业自己能写完
还是挺喜欢英语的</t>
        </is>
      </c>
      <c r="N145" s="883" t="inlineStr">
        <is>
          <t>阅读写作基础语法
口语听力中上</t>
        </is>
      </c>
      <c r="O145" s="884" t="inlineStr">
        <is>
          <t>私教课，PET考过了
线上有上一对一外教口语课
私教老师不教初中</t>
        </is>
      </c>
      <c r="P145" s="315"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5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3">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9" t="n"/>
    </row>
    <row r="147" ht="26.25" customHeight="1" s="1053">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9" t="n"/>
      <c r="AJ147" s="359" t="n"/>
      <c r="AK147" s="359" t="n"/>
      <c r="AL147" s="359" t="n"/>
    </row>
    <row r="148" ht="26.25" customHeight="1" s="1053">
      <c r="O148" s="359" t="n"/>
      <c r="T148" s="359" t="n"/>
      <c r="V148" s="359" t="n"/>
      <c r="AI148" s="359" t="n"/>
      <c r="AJ148" s="359" t="n"/>
      <c r="AK148" s="359" t="n"/>
      <c r="AL148" s="359" t="n"/>
    </row>
    <row r="149" ht="26.25" customHeight="1" s="1053">
      <c r="O149" s="359" t="n"/>
      <c r="T149" s="359" t="n"/>
      <c r="V149" s="359" t="n"/>
      <c r="AI149" s="359" t="n"/>
      <c r="AJ149" s="359" t="n"/>
      <c r="AK149" s="359" t="n"/>
      <c r="AL149" s="359" t="n"/>
    </row>
    <row r="150" ht="26.25" customHeight="1" s="1053">
      <c r="O150" s="359" t="n"/>
      <c r="T150" s="359" t="n"/>
      <c r="V150" s="359" t="n"/>
      <c r="AI150" s="359" t="n"/>
      <c r="AJ150" s="359" t="n"/>
      <c r="AK150" s="359" t="n"/>
      <c r="AL150" s="359" t="n"/>
    </row>
    <row r="151" ht="26.25" customHeight="1" s="1053">
      <c r="O151" s="359" t="n"/>
      <c r="T151" s="359" t="n"/>
      <c r="V151" s="359" t="n"/>
      <c r="AI151" s="359" t="n"/>
      <c r="AJ151" s="359" t="n"/>
      <c r="AK151" s="359" t="n"/>
      <c r="AL151" s="359" t="n"/>
    </row>
    <row r="152" ht="26.25" customHeight="1" s="1053">
      <c r="O152" s="359" t="n"/>
      <c r="T152" s="359" t="n"/>
      <c r="V152" s="359" t="n"/>
      <c r="AI152" s="359" t="n"/>
      <c r="AJ152" s="359" t="n"/>
      <c r="AK152" s="359" t="n"/>
      <c r="AL152" s="359" t="n"/>
    </row>
    <row r="153" ht="26.25" customHeight="1" s="1053">
      <c r="O153" s="359" t="n"/>
      <c r="T153" s="359" t="n"/>
      <c r="V153" s="359" t="n"/>
      <c r="AI153" s="359" t="n"/>
      <c r="AJ153" s="359" t="n"/>
      <c r="AK153" s="359" t="n"/>
      <c r="AL153" s="359" t="n"/>
    </row>
    <row r="154" ht="26.25" customHeight="1" s="1053">
      <c r="O154" s="359" t="n"/>
      <c r="T154" s="359" t="n"/>
      <c r="V154" s="359" t="n"/>
      <c r="AI154" s="359" t="n"/>
      <c r="AJ154" s="359" t="n"/>
      <c r="AK154" s="359" t="n"/>
      <c r="AL154" s="359" t="n"/>
    </row>
    <row r="155" ht="26.25" customHeight="1" s="1053">
      <c r="O155" s="359" t="n"/>
      <c r="T155" s="359" t="n"/>
      <c r="V155" s="359" t="n"/>
      <c r="AI155" s="359" t="n"/>
      <c r="AJ155" s="359" t="n"/>
      <c r="AK155" s="359" t="n"/>
      <c r="AL155" s="359" t="n"/>
    </row>
    <row r="156" ht="26.25" customHeight="1" s="1053">
      <c r="O156" s="359" t="n"/>
      <c r="T156" s="359" t="n"/>
      <c r="V156" s="359" t="n"/>
      <c r="AI156" s="359" t="n"/>
      <c r="AJ156" s="359" t="n"/>
      <c r="AK156" s="359" t="n"/>
      <c r="AL156" s="359" t="n"/>
    </row>
    <row r="157" ht="26.25" customHeight="1" s="1053">
      <c r="O157" s="359" t="n"/>
      <c r="T157" s="359" t="n"/>
      <c r="V157" s="359" t="n"/>
      <c r="AI157" s="359" t="n"/>
      <c r="AJ157" s="359" t="n"/>
      <c r="AK157" s="359" t="n"/>
      <c r="AL157" s="359" t="n"/>
    </row>
    <row r="158" ht="26.25" customHeight="1" s="1053">
      <c r="O158" s="359" t="n"/>
      <c r="T158" s="359" t="n"/>
      <c r="V158" s="359" t="n"/>
      <c r="AI158" s="359" t="n"/>
      <c r="AJ158" s="359" t="n"/>
      <c r="AK158" s="359" t="n"/>
      <c r="AL158" s="359" t="n"/>
    </row>
    <row r="159" ht="26.25" customHeight="1" s="1053">
      <c r="O159" s="359" t="n"/>
      <c r="T159" s="359" t="n"/>
      <c r="V159" s="359" t="n"/>
      <c r="AI159" s="359" t="n"/>
      <c r="AJ159" s="359" t="n"/>
      <c r="AK159" s="359" t="n"/>
      <c r="AL159" s="359" t="n"/>
    </row>
    <row r="160" ht="26.25" customHeight="1" s="1053">
      <c r="O160" s="359" t="n"/>
      <c r="T160" s="359" t="n"/>
      <c r="V160" s="359" t="n"/>
      <c r="AI160" s="359" t="n"/>
      <c r="AJ160" s="359" t="n"/>
      <c r="AK160" s="359" t="n"/>
      <c r="AL160" s="359" t="n"/>
    </row>
    <row r="161" ht="26.25" customHeight="1" s="1053">
      <c r="O161" s="359" t="n"/>
      <c r="T161" s="359" t="n"/>
      <c r="V161" s="359" t="n"/>
      <c r="AI161" s="359" t="n"/>
      <c r="AJ161" s="359" t="n"/>
      <c r="AK161" s="359" t="n"/>
      <c r="AL161" s="359" t="n"/>
    </row>
    <row r="162" ht="26.25" customHeight="1" s="1053">
      <c r="O162" s="359" t="n"/>
      <c r="T162" s="359" t="n"/>
      <c r="V162" s="359" t="n"/>
      <c r="AI162" s="359" t="n"/>
      <c r="AJ162" s="359" t="n"/>
      <c r="AK162" s="359" t="n"/>
      <c r="AL162" s="359" t="n"/>
    </row>
    <row r="163" ht="26.25" customHeight="1" s="1053">
      <c r="O163" s="359" t="n"/>
      <c r="T163" s="359" t="n"/>
      <c r="V163" s="359" t="n"/>
      <c r="AI163" s="359" t="n"/>
      <c r="AJ163" s="359" t="n"/>
      <c r="AK163" s="359" t="n"/>
      <c r="AL163" s="359" t="n"/>
    </row>
    <row r="164" ht="26.25" customHeight="1" s="1053">
      <c r="O164" s="359" t="n"/>
      <c r="T164" s="359" t="n"/>
      <c r="V164" s="359" t="n"/>
      <c r="AI164" s="359" t="n"/>
      <c r="AJ164" s="359" t="n"/>
      <c r="AK164" s="359" t="n"/>
      <c r="AL164" s="359" t="n"/>
    </row>
    <row r="165" ht="26.25" customHeight="1" s="1053">
      <c r="O165" s="359" t="n"/>
      <c r="T165" s="359" t="n"/>
      <c r="V165" s="359" t="n"/>
      <c r="AI165" s="359" t="n"/>
      <c r="AJ165" s="359" t="n"/>
      <c r="AK165" s="359" t="n"/>
      <c r="AL165" s="359" t="n"/>
    </row>
    <row r="166" ht="26.25" customHeight="1" s="1053">
      <c r="O166" s="359" t="n"/>
      <c r="T166" s="359" t="n"/>
      <c r="V166" s="359" t="n"/>
      <c r="AI166" s="359" t="n"/>
      <c r="AJ166" s="359" t="n"/>
      <c r="AK166" s="359" t="n"/>
      <c r="AL166" s="359" t="n"/>
    </row>
    <row r="167" ht="26.25" customHeight="1" s="1053">
      <c r="O167" s="359" t="n"/>
      <c r="T167" s="359" t="n"/>
      <c r="V167" s="359" t="n"/>
      <c r="AI167" s="359" t="n"/>
      <c r="AJ167" s="359" t="n"/>
      <c r="AK167" s="359" t="n"/>
      <c r="AL167" s="359" t="n"/>
    </row>
    <row r="168" ht="26.25" customHeight="1" s="1053">
      <c r="O168" s="359" t="n"/>
      <c r="T168" s="359" t="n"/>
      <c r="V168" s="359" t="n"/>
      <c r="AI168" s="359" t="n"/>
      <c r="AJ168" s="359" t="n"/>
      <c r="AK168" s="359" t="n"/>
      <c r="AL168" s="359" t="n"/>
    </row>
    <row r="169" ht="26.25" customHeight="1" s="1053">
      <c r="O169" s="359" t="n"/>
      <c r="T169" s="359" t="n"/>
      <c r="V169" s="359" t="n"/>
      <c r="AI169" s="359" t="n"/>
      <c r="AJ169" s="359" t="n"/>
      <c r="AK169" s="359" t="n"/>
      <c r="AL169" s="359" t="n"/>
    </row>
    <row r="170" ht="26.25" customHeight="1" s="1053">
      <c r="O170" s="359" t="n"/>
      <c r="T170" s="359" t="n"/>
      <c r="V170" s="359" t="n"/>
      <c r="AI170" s="359" t="n"/>
      <c r="AJ170" s="359" t="n"/>
      <c r="AK170" s="359" t="n"/>
      <c r="AL170" s="359" t="n"/>
    </row>
    <row r="171" ht="26.25" customHeight="1" s="1053">
      <c r="O171" s="359" t="n"/>
      <c r="T171" s="359" t="n"/>
      <c r="V171" s="359" t="n"/>
      <c r="AI171" s="359" t="n"/>
      <c r="AJ171" s="359" t="n"/>
      <c r="AK171" s="359" t="n"/>
      <c r="AL171" s="359" t="n"/>
    </row>
    <row r="172" ht="26.25" customHeight="1" s="1053">
      <c r="O172" s="359" t="n"/>
      <c r="T172" s="359" t="n"/>
      <c r="V172" s="359" t="n"/>
      <c r="AI172" s="359" t="n"/>
      <c r="AJ172" s="359" t="n"/>
      <c r="AK172" s="359" t="n"/>
      <c r="AL172" s="359" t="n"/>
    </row>
    <row r="173" ht="26.25" customHeight="1" s="1053">
      <c r="O173" s="359" t="n"/>
      <c r="T173" s="359" t="n"/>
      <c r="V173" s="359" t="n"/>
      <c r="AI173" s="359" t="n"/>
      <c r="AJ173" s="359" t="n"/>
      <c r="AK173" s="359" t="n"/>
      <c r="AL173" s="359" t="n"/>
    </row>
    <row r="174" ht="26.25" customHeight="1" s="1053">
      <c r="O174" s="359" t="n"/>
      <c r="T174" s="359" t="n"/>
      <c r="V174" s="359" t="n"/>
      <c r="AI174" s="359" t="n"/>
      <c r="AJ174" s="359" t="n"/>
      <c r="AK174" s="359" t="n"/>
      <c r="AL174" s="359" t="n"/>
    </row>
    <row r="175" ht="26.25" customHeight="1" s="1053">
      <c r="O175" s="359" t="n"/>
      <c r="T175" s="359" t="n"/>
      <c r="V175" s="359" t="n"/>
      <c r="AI175" s="359" t="n"/>
      <c r="AJ175" s="359" t="n"/>
      <c r="AK175" s="359" t="n"/>
      <c r="AL175" s="359" t="n"/>
    </row>
    <row r="176" ht="26.25" customHeight="1" s="1053">
      <c r="O176" s="359" t="n"/>
      <c r="T176" s="359" t="n"/>
      <c r="V176" s="359" t="n"/>
      <c r="AI176" s="359" t="n"/>
      <c r="AJ176" s="359" t="n"/>
      <c r="AK176" s="359" t="n"/>
      <c r="AL176" s="359" t="n"/>
    </row>
    <row r="177" ht="26.25" customHeight="1" s="1053">
      <c r="O177" s="359" t="n"/>
      <c r="T177" s="359" t="n"/>
      <c r="V177" s="359" t="n"/>
      <c r="AI177" s="359" t="n"/>
      <c r="AJ177" s="359" t="n"/>
      <c r="AK177" s="359" t="n"/>
      <c r="AL177" s="359" t="n"/>
    </row>
    <row r="178" ht="26.25" customHeight="1" s="1053">
      <c r="O178" s="359" t="n"/>
      <c r="T178" s="359" t="n"/>
      <c r="V178" s="359" t="n"/>
      <c r="AI178" s="359" t="n"/>
      <c r="AJ178" s="359" t="n"/>
      <c r="AK178" s="359" t="n"/>
      <c r="AL178" s="359" t="n"/>
    </row>
    <row r="179" ht="26.25" customHeight="1" s="1053">
      <c r="O179" s="359" t="n"/>
      <c r="T179" s="359" t="n"/>
      <c r="V179" s="359" t="n"/>
      <c r="AI179" s="359" t="n"/>
      <c r="AJ179" s="359" t="n"/>
      <c r="AK179" s="359" t="n"/>
      <c r="AL179" s="359" t="n"/>
    </row>
    <row r="180" ht="26.25" customHeight="1" s="1053">
      <c r="O180" s="359" t="n"/>
      <c r="T180" s="359" t="n"/>
      <c r="V180" s="359" t="n"/>
      <c r="AI180" s="359" t="n"/>
      <c r="AJ180" s="359" t="n"/>
      <c r="AK180" s="359" t="n"/>
      <c r="AL180" s="359" t="n"/>
    </row>
    <row r="181" ht="26.25" customHeight="1" s="1053">
      <c r="O181" s="359" t="n"/>
      <c r="T181" s="359" t="n"/>
      <c r="V181" s="359" t="n"/>
      <c r="AI181" s="359" t="n"/>
      <c r="AJ181" s="359" t="n"/>
      <c r="AK181" s="359" t="n"/>
      <c r="AL181" s="359" t="n"/>
    </row>
    <row r="182" ht="26.25" customHeight="1" s="1053">
      <c r="O182" s="359" t="n"/>
      <c r="T182" s="359" t="n"/>
      <c r="V182" s="359" t="n"/>
      <c r="AI182" s="359" t="n"/>
      <c r="AJ182" s="359" t="n"/>
      <c r="AK182" s="359" t="n"/>
      <c r="AL182" s="359" t="n"/>
    </row>
    <row r="183" ht="26.25" customHeight="1" s="1053">
      <c r="O183" s="359" t="n"/>
      <c r="T183" s="359" t="n"/>
      <c r="V183" s="359" t="n"/>
      <c r="AI183" s="359" t="n"/>
      <c r="AJ183" s="359" t="n"/>
      <c r="AK183" s="359" t="n"/>
      <c r="AL183" s="359" t="n"/>
    </row>
    <row r="184" ht="26.25" customHeight="1" s="1053">
      <c r="O184" s="359" t="n"/>
      <c r="T184" s="359" t="n"/>
      <c r="V184" s="359" t="n"/>
      <c r="AI184" s="359" t="n"/>
      <c r="AJ184" s="359" t="n"/>
      <c r="AK184" s="359" t="n"/>
      <c r="AL184" s="359" t="n"/>
    </row>
    <row r="185" ht="26.25" customHeight="1" s="1053">
      <c r="O185" s="359" t="n"/>
      <c r="T185" s="359" t="n"/>
      <c r="V185" s="359" t="n"/>
      <c r="AI185" s="359" t="n"/>
      <c r="AJ185" s="359" t="n"/>
      <c r="AK185" s="359" t="n"/>
      <c r="AL185" s="359" t="n"/>
    </row>
    <row r="186" ht="26.25" customHeight="1" s="1053">
      <c r="O186" s="359" t="n"/>
      <c r="T186" s="359" t="n"/>
      <c r="V186" s="359" t="n"/>
      <c r="AI186" s="359" t="n"/>
      <c r="AJ186" s="359" t="n"/>
      <c r="AK186" s="359" t="n"/>
      <c r="AL186" s="359" t="n"/>
    </row>
    <row r="187" ht="26.25" customHeight="1" s="1053">
      <c r="O187" s="359" t="n"/>
      <c r="T187" s="359" t="n"/>
      <c r="V187" s="359" t="n"/>
      <c r="AI187" s="359" t="n"/>
      <c r="AJ187" s="359" t="n"/>
      <c r="AK187" s="359" t="n"/>
      <c r="AL187" s="359" t="n"/>
    </row>
    <row r="188" ht="26.25" customHeight="1" s="1053">
      <c r="O188" s="359" t="n"/>
      <c r="T188" s="359" t="n"/>
      <c r="V188" s="359" t="n"/>
      <c r="AI188" s="359" t="n"/>
      <c r="AJ188" s="359" t="n"/>
      <c r="AK188" s="359" t="n"/>
      <c r="AL188" s="359" t="n"/>
    </row>
    <row r="189" ht="26.25" customHeight="1" s="1053">
      <c r="O189" s="359" t="n"/>
      <c r="T189" s="359" t="n"/>
      <c r="V189" s="359" t="n"/>
      <c r="AI189" s="359" t="n"/>
      <c r="AJ189" s="359" t="n"/>
      <c r="AK189" s="359" t="n"/>
      <c r="AL189" s="359" t="n"/>
    </row>
    <row r="190" ht="26.25" customHeight="1" s="1053">
      <c r="O190" s="359" t="n"/>
      <c r="T190" s="359" t="n"/>
      <c r="V190" s="359" t="n"/>
      <c r="AI190" s="359" t="n"/>
      <c r="AJ190" s="359" t="n"/>
      <c r="AK190" s="359" t="n"/>
      <c r="AL190" s="359" t="n"/>
    </row>
    <row r="191" ht="26.25" customHeight="1" s="1053">
      <c r="O191" s="359" t="n"/>
      <c r="T191" s="359" t="n"/>
      <c r="V191" s="359" t="n"/>
      <c r="AI191" s="359" t="n"/>
      <c r="AJ191" s="359" t="n"/>
      <c r="AK191" s="359" t="n"/>
      <c r="AL191" s="359" t="n"/>
    </row>
    <row r="192" ht="26.25" customHeight="1" s="1053">
      <c r="O192" s="359" t="n"/>
      <c r="T192" s="359" t="n"/>
      <c r="V192" s="359" t="n"/>
      <c r="AI192" s="359" t="n"/>
      <c r="AJ192" s="359" t="n"/>
      <c r="AK192" s="359" t="n"/>
      <c r="AL192" s="359" t="n"/>
    </row>
    <row r="193" ht="26.25" customHeight="1" s="1053">
      <c r="O193" s="359" t="n"/>
      <c r="T193" s="359" t="n"/>
      <c r="V193" s="359" t="n"/>
      <c r="AI193" s="359" t="n"/>
      <c r="AJ193" s="359" t="n"/>
      <c r="AK193" s="359" t="n"/>
      <c r="AL193" s="359" t="n"/>
    </row>
    <row r="194" ht="26.25" customHeight="1" s="1053">
      <c r="O194" s="359" t="n"/>
      <c r="T194" s="359" t="n"/>
      <c r="V194" s="359" t="n"/>
      <c r="AI194" s="359" t="n"/>
      <c r="AJ194" s="359" t="n"/>
      <c r="AK194" s="359" t="n"/>
      <c r="AL194" s="359" t="n"/>
    </row>
    <row r="195" ht="26.25" customHeight="1" s="1053">
      <c r="O195" s="359" t="n"/>
      <c r="T195" s="359" t="n"/>
      <c r="V195" s="359" t="n"/>
      <c r="AI195" s="359" t="n"/>
      <c r="AJ195" s="359" t="n"/>
      <c r="AK195" s="359" t="n"/>
      <c r="AL195" s="359" t="n"/>
    </row>
    <row r="196" ht="26.25" customHeight="1" s="1053">
      <c r="O196" s="359" t="n"/>
      <c r="T196" s="359" t="n"/>
      <c r="V196" s="359" t="n"/>
      <c r="AI196" s="359" t="n"/>
      <c r="AJ196" s="359" t="n"/>
      <c r="AK196" s="359" t="n"/>
      <c r="AL196" s="359" t="n"/>
    </row>
    <row r="197" ht="26.25" customHeight="1" s="1053">
      <c r="O197" s="359" t="n"/>
      <c r="T197" s="359" t="n"/>
      <c r="V197" s="359" t="n"/>
      <c r="AI197" s="359" t="n"/>
      <c r="AJ197" s="359" t="n"/>
      <c r="AK197" s="359" t="n"/>
      <c r="AL197" s="359" t="n"/>
    </row>
    <row r="198" ht="26.25" customHeight="1" s="1053">
      <c r="O198" s="359" t="n"/>
      <c r="T198" s="359" t="n"/>
      <c r="V198" s="359" t="n"/>
      <c r="AI198" s="359" t="n"/>
      <c r="AJ198" s="359" t="n"/>
      <c r="AK198" s="359" t="n"/>
      <c r="AL198" s="359" t="n"/>
    </row>
    <row r="199" ht="26.25" customHeight="1" s="1053">
      <c r="O199" s="359" t="n"/>
      <c r="T199" s="359" t="n"/>
      <c r="V199" s="359" t="n"/>
      <c r="AI199" s="359" t="n"/>
      <c r="AJ199" s="359" t="n"/>
      <c r="AK199" s="359" t="n"/>
      <c r="AL199" s="359" t="n"/>
    </row>
    <row r="200" ht="26.25" customHeight="1" s="1053">
      <c r="O200" s="359" t="n"/>
      <c r="T200" s="359" t="n"/>
      <c r="V200" s="359" t="n"/>
      <c r="AI200" s="359" t="n"/>
      <c r="AJ200" s="359" t="n"/>
      <c r="AK200" s="359" t="n"/>
      <c r="AL200" s="359" t="n"/>
    </row>
    <row r="201" ht="26.25" customHeight="1" s="1053">
      <c r="O201" s="359" t="n"/>
      <c r="T201" s="359" t="n"/>
      <c r="V201" s="359" t="n"/>
      <c r="AI201" s="359" t="n"/>
      <c r="AJ201" s="359" t="n"/>
      <c r="AK201" s="359" t="n"/>
      <c r="AL201" s="359" t="n"/>
    </row>
    <row r="202" ht="26.25" customHeight="1" s="1053">
      <c r="O202" s="359" t="n"/>
      <c r="T202" s="359" t="n"/>
      <c r="V202" s="359" t="n"/>
      <c r="AI202" s="359" t="n"/>
      <c r="AJ202" s="359" t="n"/>
      <c r="AK202" s="359" t="n"/>
      <c r="AL202" s="359" t="n"/>
    </row>
    <row r="203" ht="26.25" customHeight="1" s="1053">
      <c r="O203" s="359" t="n"/>
      <c r="T203" s="359" t="n"/>
      <c r="V203" s="359" t="n"/>
      <c r="AI203" s="359" t="n"/>
      <c r="AJ203" s="359" t="n"/>
      <c r="AK203" s="359" t="n"/>
      <c r="AL203" s="359" t="n"/>
    </row>
    <row r="204" ht="26.25" customHeight="1" s="1053">
      <c r="O204" s="359" t="n"/>
      <c r="T204" s="359" t="n"/>
      <c r="V204" s="359" t="n"/>
      <c r="AI204" s="359" t="n"/>
      <c r="AJ204" s="359" t="n"/>
      <c r="AK204" s="359" t="n"/>
      <c r="AL204" s="359" t="n"/>
    </row>
    <row r="205" ht="26.25" customHeight="1" s="1053">
      <c r="O205" s="359" t="n"/>
      <c r="T205" s="359" t="n"/>
      <c r="V205" s="359" t="n"/>
      <c r="AI205" s="359" t="n"/>
      <c r="AJ205" s="359" t="n"/>
      <c r="AK205" s="359" t="n"/>
      <c r="AL205" s="359" t="n"/>
    </row>
    <row r="206" ht="26.25" customHeight="1" s="1053">
      <c r="O206" s="359" t="n"/>
      <c r="T206" s="359" t="n"/>
      <c r="V206" s="359" t="n"/>
      <c r="AI206" s="359" t="n"/>
      <c r="AJ206" s="359" t="n"/>
      <c r="AK206" s="359" t="n"/>
      <c r="AL206" s="359"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3" min="10" max="10"/>
    <col width="29.4990234375" customWidth="1" style="1053" min="13" max="13"/>
    <col width="12.9990234375" customWidth="1" style="1053" min="14" max="14"/>
    <col width="10" customWidth="1" style="343" min="20" max="21"/>
    <col width="11.25" customWidth="1" style="343" min="22" max="23"/>
    <col width="10" customWidth="1" style="343" min="24" max="25"/>
    <col width="10" customWidth="1" style="343" min="35" max="35"/>
    <col width="12.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5"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6" t="inlineStr">
        <is>
          <t>学员分层
（主讲）</t>
        </is>
      </c>
      <c r="AE2" s="174" t="inlineStr">
        <is>
          <t>主讲判定依据</t>
        </is>
      </c>
      <c r="AF2" s="887" t="inlineStr">
        <is>
          <t>学员分层
（顾问）</t>
        </is>
      </c>
      <c r="AG2" s="174" t="inlineStr">
        <is>
          <t>顾问判定依据</t>
        </is>
      </c>
      <c r="AH2" s="348" t="n"/>
      <c r="AI2" s="56" t="inlineStr">
        <is>
          <t>是否电联</t>
        </is>
      </c>
      <c r="AJ2" s="56" t="inlineStr">
        <is>
          <t>学情备注</t>
        </is>
      </c>
    </row>
    <row r="3" ht="26.25" customHeight="1" s="1053">
      <c r="A3" s="377" t="inlineStr">
        <is>
          <t>新宝利</t>
        </is>
      </c>
      <c r="B3" s="377" t="inlineStr">
        <is>
          <t>零期</t>
        </is>
      </c>
      <c r="C3" s="371" t="n">
        <v>3132859</v>
      </c>
      <c r="D3" s="377" t="inlineStr">
        <is>
          <t>10:20-12:30</t>
        </is>
      </c>
      <c r="E3" s="377" t="inlineStr">
        <is>
          <t>潜能班</t>
        </is>
      </c>
      <c r="F3" s="377" t="inlineStr">
        <is>
          <t>傅梓轩</t>
        </is>
      </c>
      <c r="G3" s="377" t="inlineStr">
        <is>
          <t>黄铭怡</t>
        </is>
      </c>
      <c r="H3" s="377" t="inlineStr">
        <is>
          <t>陈中帅</t>
        </is>
      </c>
      <c r="I3" s="377" t="inlineStr">
        <is>
          <t>肖锐03</t>
        </is>
      </c>
      <c r="J3" s="377" t="inlineStr">
        <is>
          <t>林志豪01</t>
        </is>
      </c>
      <c r="K3" s="377" t="inlineStr">
        <is>
          <t>流花</t>
        </is>
      </c>
      <c r="L3" s="377" t="inlineStr">
        <is>
          <t>美华</t>
        </is>
      </c>
      <c r="M3" s="377" t="inlineStr">
        <is>
          <t>认真的乖孩子，比较安静，需要多关注鼓励，孩子就会有动力</t>
        </is>
      </c>
      <c r="N3" s="888" t="inlineStr">
        <is>
          <t>短期：分班考
长期：成绩进步</t>
        </is>
      </c>
      <c r="O3" s="377" t="inlineStr">
        <is>
          <t>老生，妈妈管学习</t>
        </is>
      </c>
      <c r="P3" s="377" t="inlineStr">
        <is>
          <t>A</t>
        </is>
      </c>
      <c r="Q3" s="377" t="n"/>
      <c r="R3" s="377" t="n"/>
      <c r="S3" s="377" t="n"/>
      <c r="T3" s="377" t="inlineStr">
        <is>
          <t>是</t>
        </is>
      </c>
      <c r="U3" s="377" t="inlineStr">
        <is>
          <t>是</t>
        </is>
      </c>
      <c r="V3" s="377" t="inlineStr">
        <is>
          <t>是</t>
        </is>
      </c>
      <c r="W3" s="377" t="inlineStr">
        <is>
          <t>是</t>
        </is>
      </c>
      <c r="X3" s="377" t="n"/>
      <c r="Y3" s="377" t="n"/>
      <c r="Z3" s="377" t="inlineStr">
        <is>
          <t>是</t>
        </is>
      </c>
      <c r="AA3" s="377" t="inlineStr">
        <is>
          <t>是</t>
        </is>
      </c>
      <c r="AB3" s="377" t="n"/>
      <c r="AC3" s="377" t="n"/>
      <c r="AD3" s="377" t="n"/>
      <c r="AE3" s="377" t="n"/>
      <c r="AF3" s="377" t="n"/>
      <c r="AG3" s="377" t="n"/>
      <c r="AH3" s="377" t="inlineStr">
        <is>
          <t>是</t>
        </is>
      </c>
      <c r="AL3" s="7" t="n"/>
    </row>
    <row r="4" ht="26.25" customHeight="1" s="1053">
      <c r="A4" s="377" t="inlineStr">
        <is>
          <t>新宝利</t>
        </is>
      </c>
      <c r="B4" s="373" t="inlineStr">
        <is>
          <t>二期</t>
        </is>
      </c>
      <c r="C4" s="374" t="n">
        <v>3132846</v>
      </c>
      <c r="D4" s="281" t="inlineStr">
        <is>
          <t>13:20-15:30</t>
        </is>
      </c>
      <c r="E4" s="377" t="inlineStr">
        <is>
          <t>潜能班</t>
        </is>
      </c>
      <c r="F4" s="377" t="inlineStr">
        <is>
          <t>关浩言</t>
        </is>
      </c>
      <c r="G4" s="377" t="inlineStr">
        <is>
          <t>黄铭怡</t>
        </is>
      </c>
      <c r="H4" s="377" t="inlineStr">
        <is>
          <t>陈中帅</t>
        </is>
      </c>
      <c r="I4" s="377" t="inlineStr">
        <is>
          <t>肖锐03</t>
        </is>
      </c>
      <c r="J4" s="377" t="inlineStr">
        <is>
          <t>林志豪01</t>
        </is>
      </c>
      <c r="K4" s="377" t="inlineStr">
        <is>
          <t>清水濠</t>
        </is>
      </c>
      <c r="L4" s="377" t="inlineStr">
        <is>
          <t>第十中学</t>
        </is>
      </c>
      <c r="M4" s="377" t="inlineStr">
        <is>
          <t>多提问关注，容易走神，不能和活泼的人坐一起，容易受人干扰；写语文作业会拖拉</t>
        </is>
      </c>
      <c r="N4" s="377" t="inlineStr">
        <is>
          <t>小初衔接，上十中高中部</t>
        </is>
      </c>
      <c r="O4" s="377" t="inlineStr">
        <is>
          <t>团长，转介绍7人</t>
        </is>
      </c>
      <c r="P4" s="377" t="inlineStr">
        <is>
          <t>80-85</t>
        </is>
      </c>
      <c r="Q4" s="377" t="n"/>
      <c r="R4" s="377" t="n"/>
      <c r="S4" s="377" t="n"/>
      <c r="T4" s="377" t="inlineStr">
        <is>
          <t>是</t>
        </is>
      </c>
      <c r="U4" s="377" t="inlineStr">
        <is>
          <t>是</t>
        </is>
      </c>
      <c r="V4" s="377" t="inlineStr">
        <is>
          <t>是</t>
        </is>
      </c>
      <c r="W4" s="377" t="inlineStr">
        <is>
          <t>是</t>
        </is>
      </c>
      <c r="X4" s="377" t="n"/>
      <c r="Y4" s="377" t="n"/>
      <c r="Z4" s="377" t="n"/>
      <c r="AA4" s="377" t="n"/>
      <c r="AB4" s="377" t="n"/>
      <c r="AC4" s="377" t="n"/>
      <c r="AD4" s="377" t="n"/>
      <c r="AE4" s="377" t="n"/>
      <c r="AF4" s="377" t="n"/>
      <c r="AG4" s="377" t="n"/>
      <c r="AH4" s="377" t="inlineStr">
        <is>
          <t>是</t>
        </is>
      </c>
      <c r="AK4" s="342" t="inlineStr">
        <is>
          <t>å</t>
        </is>
      </c>
      <c r="AL4" s="7" t="n"/>
    </row>
    <row r="5" ht="26.25" customHeight="1" s="1053">
      <c r="A5" s="377" t="inlineStr">
        <is>
          <t>新宝利</t>
        </is>
      </c>
      <c r="B5" s="377" t="inlineStr">
        <is>
          <t>零期</t>
        </is>
      </c>
      <c r="C5" s="372" t="n">
        <v>3132859</v>
      </c>
      <c r="D5" s="377" t="inlineStr">
        <is>
          <t>10:20-12:30</t>
        </is>
      </c>
      <c r="E5" s="377" t="inlineStr">
        <is>
          <t>潜能班</t>
        </is>
      </c>
      <c r="F5" s="377" t="inlineStr">
        <is>
          <t>刘子填</t>
        </is>
      </c>
      <c r="G5" s="377" t="inlineStr">
        <is>
          <t>黄铭怡</t>
        </is>
      </c>
      <c r="H5" s="377" t="inlineStr">
        <is>
          <t>陈中帅</t>
        </is>
      </c>
      <c r="I5" s="377" t="inlineStr">
        <is>
          <t>肖锐03</t>
        </is>
      </c>
      <c r="J5" s="377" t="inlineStr">
        <is>
          <t>林志豪01</t>
        </is>
      </c>
      <c r="K5" s="213" t="inlineStr">
        <is>
          <t>朝天小学</t>
        </is>
      </c>
      <c r="L5" s="190" t="inlineStr">
        <is>
          <t>三中</t>
        </is>
      </c>
      <c r="M5" s="190" t="inlineStr">
        <is>
          <t>喜欢故事会、探险类的书，上课走神要提醒，关注书写，性格腼腆，写作业很快</t>
        </is>
      </c>
      <c r="N5" s="377" t="inlineStr">
        <is>
          <t>阅读理解、写作提升</t>
        </is>
      </c>
      <c r="O5" s="377" t="inlineStr">
        <is>
          <t>家长不太了解孩子的学习情况，说是看学习效果考虑后续学习，敷衍成分比较大</t>
        </is>
      </c>
      <c r="P5" s="377" t="inlineStr">
        <is>
          <t>90左右</t>
        </is>
      </c>
      <c r="Q5" s="377" t="n"/>
      <c r="R5" s="377" t="n"/>
      <c r="S5" s="377" t="n"/>
      <c r="T5" s="377" t="inlineStr">
        <is>
          <t>是</t>
        </is>
      </c>
      <c r="U5" s="377" t="inlineStr">
        <is>
          <t>是</t>
        </is>
      </c>
      <c r="V5" s="377" t="inlineStr">
        <is>
          <t>是</t>
        </is>
      </c>
      <c r="W5" s="377" t="inlineStr">
        <is>
          <t>是</t>
        </is>
      </c>
      <c r="X5" s="377" t="n"/>
      <c r="Y5" s="377" t="n"/>
      <c r="Z5" s="377" t="inlineStr">
        <is>
          <t>是</t>
        </is>
      </c>
      <c r="AA5" s="377" t="inlineStr">
        <is>
          <t>是</t>
        </is>
      </c>
      <c r="AB5" s="377" t="n"/>
      <c r="AC5" s="377" t="n"/>
      <c r="AD5" s="377" t="n"/>
      <c r="AE5" s="377" t="n"/>
      <c r="AF5" s="377" t="n"/>
      <c r="AG5" s="377" t="n"/>
      <c r="AH5" s="377" t="n"/>
      <c r="AL5" s="7" t="n"/>
    </row>
    <row r="6" ht="26.25" customHeight="1" s="1053">
      <c r="A6" s="377" t="inlineStr">
        <is>
          <t>新宝利</t>
        </is>
      </c>
      <c r="B6" s="377" t="inlineStr">
        <is>
          <t>零期</t>
        </is>
      </c>
      <c r="C6" s="377" t="n">
        <v>3132859</v>
      </c>
      <c r="D6" s="377" t="inlineStr">
        <is>
          <t>10:20-12:30</t>
        </is>
      </c>
      <c r="E6" s="377" t="inlineStr">
        <is>
          <t>潜能班</t>
        </is>
      </c>
      <c r="F6" s="377" t="inlineStr">
        <is>
          <t>卿子蕙</t>
        </is>
      </c>
      <c r="G6" s="377" t="inlineStr">
        <is>
          <t>黄铭怡</t>
        </is>
      </c>
      <c r="H6" s="377" t="inlineStr">
        <is>
          <t>陈中帅</t>
        </is>
      </c>
      <c r="I6" s="377" t="inlineStr">
        <is>
          <t>肖锐03</t>
        </is>
      </c>
      <c r="J6" s="377" t="inlineStr">
        <is>
          <t>林志豪01</t>
        </is>
      </c>
      <c r="K6" s="377" t="inlineStr">
        <is>
          <t>海珠外国语实验附小</t>
        </is>
      </c>
      <c r="L6" s="377" t="inlineStr">
        <is>
          <t>海实</t>
        </is>
      </c>
      <c r="M6" s="377" t="inlineStr">
        <is>
          <t>认真，但会拖拉，学习计划三分钟热度，想要好成绩但难长期坚持</t>
        </is>
      </c>
      <c r="N6" s="377" t="inlineStr">
        <is>
          <t>阅读理解、作文提升</t>
        </is>
      </c>
      <c r="O6" s="377" t="inlineStr">
        <is>
          <t>老生</t>
        </is>
      </c>
      <c r="P6" s="377" t="inlineStr">
        <is>
          <t>90左右</t>
        </is>
      </c>
      <c r="Q6" s="377" t="n"/>
      <c r="R6" s="377" t="n"/>
      <c r="S6" s="377" t="n"/>
      <c r="T6" s="377" t="inlineStr">
        <is>
          <t>是</t>
        </is>
      </c>
      <c r="U6" s="377" t="inlineStr">
        <is>
          <t>是</t>
        </is>
      </c>
      <c r="V6" s="377" t="inlineStr">
        <is>
          <t>是</t>
        </is>
      </c>
      <c r="W6" s="377" t="inlineStr">
        <is>
          <t>是</t>
        </is>
      </c>
      <c r="X6" s="377" t="n"/>
      <c r="Y6" s="377" t="inlineStr">
        <is>
          <t>是</t>
        </is>
      </c>
      <c r="Z6" s="377" t="inlineStr">
        <is>
          <t>是</t>
        </is>
      </c>
      <c r="AA6" s="377" t="inlineStr">
        <is>
          <t>是</t>
        </is>
      </c>
      <c r="AB6" s="377" t="n"/>
      <c r="AC6" s="377" t="n"/>
      <c r="AD6" s="377" t="n"/>
      <c r="AE6" s="377" t="n"/>
      <c r="AF6" s="377" t="n"/>
      <c r="AG6" s="377" t="n"/>
      <c r="AH6" s="377" t="inlineStr">
        <is>
          <t>是</t>
        </is>
      </c>
      <c r="AI6" s="343" t="inlineStr">
        <is>
          <t>是</t>
        </is>
      </c>
      <c r="AL6" s="7" t="n"/>
    </row>
    <row r="7" ht="26.25" customHeight="1" s="1053">
      <c r="A7" s="377" t="inlineStr">
        <is>
          <t>新宝利</t>
        </is>
      </c>
      <c r="B7" s="377" t="inlineStr">
        <is>
          <t>零期</t>
        </is>
      </c>
      <c r="C7" s="377" t="n">
        <v>3132859</v>
      </c>
      <c r="D7" s="377" t="inlineStr">
        <is>
          <t>10:20-12:30</t>
        </is>
      </c>
      <c r="E7" s="377" t="inlineStr">
        <is>
          <t>潜能班</t>
        </is>
      </c>
      <c r="F7" s="377" t="inlineStr">
        <is>
          <t>叶梓琳</t>
        </is>
      </c>
      <c r="G7" s="377" t="inlineStr">
        <is>
          <t>黄铭怡</t>
        </is>
      </c>
      <c r="H7" s="377" t="inlineStr">
        <is>
          <t>陈中帅</t>
        </is>
      </c>
      <c r="I7" s="377" t="inlineStr">
        <is>
          <t>肖锐03</t>
        </is>
      </c>
      <c r="J7" s="377" t="inlineStr">
        <is>
          <t>林志豪01</t>
        </is>
      </c>
      <c r="K7" s="377" t="inlineStr">
        <is>
          <t>同福西路小学</t>
        </is>
      </c>
      <c r="L7" s="377" t="inlineStr">
        <is>
          <t>江南外国语学校</t>
        </is>
      </c>
      <c r="M7" s="377" t="inlineStr">
        <is>
          <t>不太看书，很活泼，话多，写作业会拖拉，但自己独立完成，要课堂上完成作业，只听老师布置</t>
        </is>
      </c>
      <c r="N7" s="377" t="inlineStr">
        <is>
          <t>阅读理解、作文提升</t>
        </is>
      </c>
      <c r="O7" s="377" t="inlineStr">
        <is>
          <t>妈妈管学习，说是看效果续报，态度有些敷衍</t>
        </is>
      </c>
      <c r="P7" s="377" t="inlineStr">
        <is>
          <t>95左右</t>
        </is>
      </c>
      <c r="Q7" s="377" t="n">
        <v>36</v>
      </c>
      <c r="R7" s="377" t="n"/>
      <c r="S7" s="377" t="n"/>
      <c r="T7" s="377" t="inlineStr">
        <is>
          <t>是</t>
        </is>
      </c>
      <c r="U7" s="377" t="inlineStr">
        <is>
          <t>是</t>
        </is>
      </c>
      <c r="V7" s="377" t="inlineStr">
        <is>
          <t>是</t>
        </is>
      </c>
      <c r="W7" s="377" t="inlineStr">
        <is>
          <t>是</t>
        </is>
      </c>
      <c r="X7" s="377" t="n"/>
      <c r="Y7" s="377" t="n"/>
      <c r="Z7" s="377" t="inlineStr">
        <is>
          <t>是</t>
        </is>
      </c>
      <c r="AA7" s="377" t="inlineStr">
        <is>
          <t>是</t>
        </is>
      </c>
      <c r="AB7" s="377" t="n"/>
      <c r="AC7" s="377" t="n"/>
      <c r="AD7" s="377" t="n"/>
      <c r="AE7" s="377" t="n"/>
      <c r="AF7" s="377" t="n"/>
      <c r="AG7" s="377" t="n"/>
      <c r="AH7" s="377" t="n"/>
      <c r="AL7" s="7" t="n"/>
    </row>
    <row r="8" ht="26.25" customHeight="1" s="1053">
      <c r="A8" s="377" t="inlineStr">
        <is>
          <t>新宝利</t>
        </is>
      </c>
      <c r="B8" s="377" t="inlineStr">
        <is>
          <t>零期</t>
        </is>
      </c>
      <c r="C8" s="377" t="n">
        <v>3132859</v>
      </c>
      <c r="D8" s="377" t="inlineStr">
        <is>
          <t>10:20-12:30</t>
        </is>
      </c>
      <c r="E8" s="377" t="inlineStr">
        <is>
          <t>潜能班</t>
        </is>
      </c>
      <c r="F8" s="377" t="inlineStr">
        <is>
          <t>叶湖萍</t>
        </is>
      </c>
      <c r="G8" s="377" t="inlineStr">
        <is>
          <t>黄铭怡</t>
        </is>
      </c>
      <c r="H8" s="377" t="inlineStr">
        <is>
          <t>陈中帅</t>
        </is>
      </c>
      <c r="I8" s="377" t="inlineStr">
        <is>
          <t>肖锐03</t>
        </is>
      </c>
      <c r="J8" s="377" t="inlineStr">
        <is>
          <t>张敏烨</t>
        </is>
      </c>
      <c r="K8" s="190" t="inlineStr">
        <is>
          <t>知用小学</t>
        </is>
      </c>
      <c r="L8" s="190" t="inlineStr">
        <is>
          <t>三中实验</t>
        </is>
      </c>
      <c r="M8" s="377" t="inlineStr">
        <is>
          <t>学习习惯很好，独立，安静的孩子，只做老师布置的任务，多做不愿意，写作一般，对阅读理解题没信心，不敢下笔，不记答题技巧，也看书但少，多表扬有动力，以前在外面学过几节课语文</t>
        </is>
      </c>
      <c r="N8" s="377" t="inlineStr">
        <is>
          <t>阅读答题技巧、写作提升</t>
        </is>
      </c>
      <c r="O8" s="377" t="inlineStr">
        <is>
          <t>妈妈管学习</t>
        </is>
      </c>
      <c r="P8" s="377" t="inlineStr">
        <is>
          <t>80多一些</t>
        </is>
      </c>
      <c r="Q8" s="377" t="n">
        <v>35</v>
      </c>
      <c r="R8" s="377" t="n"/>
      <c r="S8" s="377" t="n"/>
      <c r="T8" s="377" t="inlineStr">
        <is>
          <t>是</t>
        </is>
      </c>
      <c r="U8" s="377" t="inlineStr">
        <is>
          <t>是</t>
        </is>
      </c>
      <c r="V8" s="377" t="inlineStr">
        <is>
          <t>是</t>
        </is>
      </c>
      <c r="W8" s="377" t="inlineStr">
        <is>
          <t>是</t>
        </is>
      </c>
      <c r="X8" s="377" t="n"/>
      <c r="Y8" s="377" t="n"/>
      <c r="Z8" s="377" t="inlineStr">
        <is>
          <t>是</t>
        </is>
      </c>
      <c r="AA8" s="377" t="n"/>
      <c r="AB8" s="377" t="n"/>
      <c r="AC8" s="377" t="n"/>
      <c r="AD8" s="377" t="n"/>
      <c r="AE8" s="377" t="n"/>
      <c r="AF8" s="377" t="n"/>
      <c r="AG8" s="377" t="n"/>
      <c r="AH8" s="377" t="inlineStr">
        <is>
          <t>是</t>
        </is>
      </c>
      <c r="AL8" s="7" t="n"/>
    </row>
    <row r="9" ht="26.25" customHeight="1" s="1053">
      <c r="A9" s="377" t="inlineStr">
        <is>
          <t>新宝利</t>
        </is>
      </c>
      <c r="B9" s="377" t="inlineStr">
        <is>
          <t>零期</t>
        </is>
      </c>
      <c r="C9" s="377" t="n">
        <v>3132859</v>
      </c>
      <c r="D9" s="377" t="inlineStr">
        <is>
          <t>10:20-12:30</t>
        </is>
      </c>
      <c r="E9" s="377" t="inlineStr">
        <is>
          <t>潜能班</t>
        </is>
      </c>
      <c r="F9" s="377" t="inlineStr">
        <is>
          <t>施钰平</t>
        </is>
      </c>
      <c r="G9" s="377" t="inlineStr">
        <is>
          <t>黄铭怡</t>
        </is>
      </c>
      <c r="H9" s="377" t="inlineStr">
        <is>
          <t>陈中帅</t>
        </is>
      </c>
      <c r="I9" s="377" t="inlineStr">
        <is>
          <t>肖锐03</t>
        </is>
      </c>
      <c r="J9" s="377" t="inlineStr">
        <is>
          <t>杨林33</t>
        </is>
      </c>
      <c r="K9" s="190" t="inlineStr">
        <is>
          <t>回民小学</t>
        </is>
      </c>
      <c r="L9" s="190" t="inlineStr">
        <is>
          <t>三中重点班</t>
        </is>
      </c>
      <c r="M9" s="377" t="inlineStr">
        <is>
          <t>妈妈拒接电话，跟爸爸沟通，在学校上课比较积极，大队委，以前上过小班，五下六上，阅读理解能力弱一些，get不到核心，积累少，课内认真，但不愿意做课外的任务</t>
        </is>
      </c>
      <c r="N9" s="377" t="inlineStr"/>
      <c r="O9" s="377" t="inlineStr">
        <is>
          <t>妈妈拒绝电话沟通，妈妈管学习</t>
        </is>
      </c>
      <c r="P9" s="377" t="inlineStr">
        <is>
          <t>90-95</t>
        </is>
      </c>
      <c r="Q9" s="377" t="n"/>
      <c r="R9" s="377" t="n"/>
      <c r="S9" s="377" t="n"/>
      <c r="T9" s="377" t="inlineStr">
        <is>
          <t>是</t>
        </is>
      </c>
      <c r="U9" s="377" t="inlineStr">
        <is>
          <t>是</t>
        </is>
      </c>
      <c r="V9" s="377" t="inlineStr">
        <is>
          <t>是</t>
        </is>
      </c>
      <c r="W9" s="377" t="inlineStr">
        <is>
          <t>是</t>
        </is>
      </c>
      <c r="X9" s="377" t="n"/>
      <c r="Y9" s="377" t="n"/>
      <c r="Z9" s="377" t="n"/>
      <c r="AA9" s="377" t="n"/>
      <c r="AB9" s="377" t="n"/>
      <c r="AC9" s="377" t="n"/>
      <c r="AD9" s="377" t="n"/>
      <c r="AE9" s="377" t="n"/>
      <c r="AF9" s="377" t="n"/>
      <c r="AG9" s="377" t="n"/>
      <c r="AH9" s="377" t="n"/>
      <c r="AI9" s="343" t="inlineStr">
        <is>
          <t>是</t>
        </is>
      </c>
      <c r="AL9" s="7" t="n"/>
    </row>
    <row r="10" ht="26.25" customHeight="1" s="1053">
      <c r="A10" s="377" t="inlineStr">
        <is>
          <t>新宝利</t>
        </is>
      </c>
      <c r="B10" s="377" t="inlineStr">
        <is>
          <t>零期</t>
        </is>
      </c>
      <c r="C10" s="377" t="n">
        <v>3132859</v>
      </c>
      <c r="D10" s="377" t="inlineStr">
        <is>
          <t>10:20-12:30</t>
        </is>
      </c>
      <c r="E10" s="377" t="inlineStr">
        <is>
          <t>潜能班</t>
        </is>
      </c>
      <c r="F10" s="377" t="inlineStr">
        <is>
          <t>程雅涵</t>
        </is>
      </c>
      <c r="G10" s="377" t="inlineStr">
        <is>
          <t>黄铭怡</t>
        </is>
      </c>
      <c r="H10" s="377" t="n"/>
      <c r="I10" s="377" t="inlineStr">
        <is>
          <t>高心怡04</t>
        </is>
      </c>
      <c r="J10" s="377" t="inlineStr">
        <is>
          <t>林志豪01</t>
        </is>
      </c>
      <c r="K10" s="190" t="n"/>
      <c r="L10" s="190" t="inlineStr">
        <is>
          <t>二中</t>
        </is>
      </c>
      <c r="M10" s="377" t="inlineStr">
        <is>
          <t>自觉，学霸，三科成绩不错，关注阅读理解和文言文积累，看书？</t>
        </is>
      </c>
      <c r="N10" s="377" t="inlineStr">
        <is>
          <t>小初衔接，阅读理解能力、文言文提升</t>
        </is>
      </c>
      <c r="O10" s="377" t="inlineStr">
        <is>
          <t>妈妈管学习</t>
        </is>
      </c>
      <c r="P10" s="377" t="n">
        <v>95</v>
      </c>
      <c r="Q10" s="377" t="n"/>
      <c r="R10" s="377" t="n"/>
      <c r="S10" s="377" t="n"/>
      <c r="T10" s="377" t="inlineStr">
        <is>
          <t>是</t>
        </is>
      </c>
      <c r="U10" s="377" t="inlineStr">
        <is>
          <t>是</t>
        </is>
      </c>
      <c r="V10" s="377" t="inlineStr">
        <is>
          <t>是</t>
        </is>
      </c>
      <c r="W10" s="377" t="inlineStr">
        <is>
          <t>是</t>
        </is>
      </c>
      <c r="X10" s="377" t="n"/>
      <c r="Y10" s="377" t="n"/>
      <c r="Z10" s="377" t="inlineStr">
        <is>
          <t>是</t>
        </is>
      </c>
      <c r="AA10" s="377" t="inlineStr">
        <is>
          <t>是</t>
        </is>
      </c>
      <c r="AB10" s="377" t="n"/>
      <c r="AC10" s="377" t="n"/>
      <c r="AD10" s="377" t="n"/>
      <c r="AE10" s="377" t="n"/>
      <c r="AF10" s="377" t="n"/>
      <c r="AG10" s="377" t="n"/>
      <c r="AH10" s="377" t="n"/>
      <c r="AI10" s="343" t="inlineStr">
        <is>
          <t>是</t>
        </is>
      </c>
      <c r="AL10" s="119" t="n"/>
    </row>
    <row r="11" ht="26.25" customHeight="1" s="1053">
      <c r="A11" s="377" t="inlineStr">
        <is>
          <t>新宝利</t>
        </is>
      </c>
      <c r="B11" s="377" t="inlineStr">
        <is>
          <t>零期</t>
        </is>
      </c>
      <c r="C11" s="377" t="n">
        <v>3132859</v>
      </c>
      <c r="D11" s="377" t="inlineStr">
        <is>
          <t>10:20-12:30</t>
        </is>
      </c>
      <c r="E11" s="377" t="inlineStr">
        <is>
          <t>潜能班</t>
        </is>
      </c>
      <c r="F11" s="377" t="inlineStr">
        <is>
          <t>曹腾烽</t>
        </is>
      </c>
      <c r="G11" s="377" t="inlineStr">
        <is>
          <t>黄铭怡</t>
        </is>
      </c>
      <c r="H11" s="377" t="n"/>
      <c r="I11" s="377" t="n"/>
      <c r="J11" s="377" t="inlineStr">
        <is>
          <t>熊天宝01</t>
        </is>
      </c>
      <c r="K11" s="377" t="inlineStr">
        <is>
          <t>沙面小学</t>
        </is>
      </c>
      <c r="L11" s="377" t="inlineStr">
        <is>
          <t>一中</t>
        </is>
      </c>
      <c r="M11" s="377" t="inlineStr">
        <is>
          <t>成绩很一般，经常偷懒，上课走神，要经常关注督促，还要老师亲自打电话跟盯</t>
        </is>
      </c>
      <c r="N11" s="377" t="inlineStr">
        <is>
          <t>成绩进步，考上高中</t>
        </is>
      </c>
      <c r="O11" s="377" t="inlineStr">
        <is>
          <t>老生，爸爸管学习，但不靠谱</t>
        </is>
      </c>
      <c r="P11" s="377" t="inlineStr">
        <is>
          <t>B</t>
        </is>
      </c>
      <c r="Q11" s="377" t="n"/>
      <c r="R11" s="377" t="n"/>
      <c r="S11" s="377" t="n"/>
      <c r="T11" s="377" t="inlineStr">
        <is>
          <t>是</t>
        </is>
      </c>
      <c r="U11" s="377" t="inlineStr">
        <is>
          <t>是</t>
        </is>
      </c>
      <c r="V11" s="377" t="inlineStr">
        <is>
          <t>是</t>
        </is>
      </c>
      <c r="W11" s="377" t="inlineStr">
        <is>
          <t>是</t>
        </is>
      </c>
      <c r="X11" s="377" t="inlineStr">
        <is>
          <t>是</t>
        </is>
      </c>
      <c r="Y11" s="377" t="inlineStr">
        <is>
          <t>是</t>
        </is>
      </c>
      <c r="Z11" s="377" t="n"/>
      <c r="AA11" s="377" t="n"/>
      <c r="AB11" s="377" t="n"/>
      <c r="AC11" s="377" t="n"/>
      <c r="AD11" s="377" t="n"/>
      <c r="AE11" s="377" t="n"/>
      <c r="AF11" s="377" t="n"/>
      <c r="AG11" s="377" t="n"/>
      <c r="AH11" s="377" t="inlineStr">
        <is>
          <t>是</t>
        </is>
      </c>
      <c r="AI11" s="343" t="inlineStr">
        <is>
          <t>是</t>
        </is>
      </c>
      <c r="AL11" s="7" t="n"/>
    </row>
    <row r="12" ht="26.25" customHeight="1" s="1053">
      <c r="A12" s="377" t="inlineStr">
        <is>
          <t>新宝利</t>
        </is>
      </c>
      <c r="B12" s="377" t="inlineStr">
        <is>
          <t>零期</t>
        </is>
      </c>
      <c r="C12" s="377" t="n">
        <v>3132859</v>
      </c>
      <c r="D12" s="377" t="inlineStr">
        <is>
          <t>10:20-12:30</t>
        </is>
      </c>
      <c r="E12" s="377" t="inlineStr">
        <is>
          <t>潜能班</t>
        </is>
      </c>
      <c r="F12" s="377" t="inlineStr">
        <is>
          <t>李宸熙</t>
        </is>
      </c>
      <c r="G12" s="377" t="inlineStr">
        <is>
          <t>黄铭怡</t>
        </is>
      </c>
      <c r="H12" s="377" t="inlineStr">
        <is>
          <t>田雨涵01</t>
        </is>
      </c>
      <c r="I12" s="377" t="inlineStr">
        <is>
          <t>肖锐03</t>
        </is>
      </c>
      <c r="J12" s="377" t="inlineStr">
        <is>
          <t>王丽</t>
        </is>
      </c>
      <c r="K12" s="377" t="inlineStr">
        <is>
          <t>小北</t>
        </is>
      </c>
      <c r="L12" s="377" t="inlineStr">
        <is>
          <t>二中</t>
        </is>
      </c>
      <c r="M12" s="377" t="inlineStr">
        <is>
          <t>孩子算懂事，需要有人鼓励、督促，纠正学习习惯，需要有学习追踪量化反馈，爱看书，基础薄弱，字词不过关，阅读理解弱，作文错字多，想象力可以，但主题不突出，学习不主动，性格活泼</t>
        </is>
      </c>
      <c r="N12" s="377" t="inlineStr">
        <is>
          <t>小初衔接，提前熟悉</t>
        </is>
      </c>
      <c r="O12" s="377" t="inlineStr">
        <is>
          <t>妈妈管学习，但是挂我电话，不是很想沟通，跟爸爸电联了，说是看效果续报</t>
        </is>
      </c>
      <c r="P12" s="377" t="inlineStr">
        <is>
          <t>90左右</t>
        </is>
      </c>
      <c r="Q12" s="377" t="n"/>
      <c r="R12" s="377" t="n"/>
      <c r="S12" s="377" t="n"/>
      <c r="T12" s="377" t="inlineStr">
        <is>
          <t>是</t>
        </is>
      </c>
      <c r="U12" s="377" t="inlineStr">
        <is>
          <t>是</t>
        </is>
      </c>
      <c r="V12" s="377" t="inlineStr">
        <is>
          <t>是</t>
        </is>
      </c>
      <c r="W12" s="377" t="inlineStr">
        <is>
          <t>是</t>
        </is>
      </c>
      <c r="X12" s="377" t="n"/>
      <c r="Y12" s="377" t="n"/>
      <c r="Z12" s="377" t="inlineStr">
        <is>
          <t>是</t>
        </is>
      </c>
      <c r="AA12" s="377" t="inlineStr">
        <is>
          <t>是</t>
        </is>
      </c>
      <c r="AB12" s="377" t="n"/>
      <c r="AC12" s="377" t="n"/>
      <c r="AD12" s="377" t="n"/>
      <c r="AE12" s="377" t="n"/>
      <c r="AF12" s="377" t="n"/>
      <c r="AG12" s="377" t="n"/>
      <c r="AH12" s="377" t="n"/>
      <c r="AI12" s="343" t="inlineStr">
        <is>
          <t>是</t>
        </is>
      </c>
      <c r="AL12" s="7" t="n"/>
    </row>
    <row r="13" ht="26.25" customHeight="1" s="1053">
      <c r="A13" s="377" t="inlineStr">
        <is>
          <t>新宝利</t>
        </is>
      </c>
      <c r="B13" s="377" t="inlineStr">
        <is>
          <t>零期</t>
        </is>
      </c>
      <c r="C13" s="377" t="n">
        <v>3132859</v>
      </c>
      <c r="D13" s="377" t="inlineStr">
        <is>
          <t>10:20-12:30</t>
        </is>
      </c>
      <c r="E13" s="377" t="inlineStr">
        <is>
          <t>潜能班</t>
        </is>
      </c>
      <c r="F13" s="377" t="inlineStr">
        <is>
          <t>李浩林</t>
        </is>
      </c>
      <c r="G13" s="377" t="inlineStr">
        <is>
          <t>黄铭怡</t>
        </is>
      </c>
      <c r="H13" s="377" t="n"/>
      <c r="I13" s="377" t="inlineStr">
        <is>
          <t>肖锐03</t>
        </is>
      </c>
      <c r="J13" s="377" t="inlineStr">
        <is>
          <t>林志豪01</t>
        </is>
      </c>
      <c r="K13" s="377" t="n"/>
      <c r="L13" s="377" t="inlineStr">
        <is>
          <t>十六中东华</t>
        </is>
      </c>
      <c r="M13" s="377" t="inlineStr">
        <is>
          <t>基础字词比较弱，作文有时候会写离题，阅读理解没耐心，理解能力不够，六年级上过一对二，学过答题思路，但是答不准确，专注力不够，活泼坐不住，不喜欢看书，看探案悬疑类的书，看兴趣，写作业会拖拉</t>
        </is>
      </c>
      <c r="N13" s="377" t="inlineStr">
        <is>
          <t>小初衔接，阅读理解能力、文言文提升</t>
        </is>
      </c>
      <c r="O13" s="377" t="inlineStr">
        <is>
          <t>妈妈管学习，觉得数学更弱，更想学数学</t>
        </is>
      </c>
      <c r="P13" s="377" t="inlineStr">
        <is>
          <t>B-A</t>
        </is>
      </c>
      <c r="Q13" s="377" t="n"/>
      <c r="R13" s="377" t="n"/>
      <c r="S13" s="377" t="n"/>
      <c r="T13" s="377" t="inlineStr">
        <is>
          <t>是</t>
        </is>
      </c>
      <c r="U13" s="377" t="inlineStr">
        <is>
          <t>是</t>
        </is>
      </c>
      <c r="V13" s="377" t="inlineStr">
        <is>
          <t>是</t>
        </is>
      </c>
      <c r="W13" s="377" t="inlineStr">
        <is>
          <t>是</t>
        </is>
      </c>
      <c r="X13" s="377" t="n"/>
      <c r="Y13" s="377" t="n"/>
      <c r="Z13" s="377" t="inlineStr">
        <is>
          <t>是</t>
        </is>
      </c>
      <c r="AA13" s="377" t="inlineStr">
        <is>
          <t>是</t>
        </is>
      </c>
      <c r="AB13" s="377" t="n"/>
      <c r="AC13" s="377" t="n"/>
      <c r="AD13" s="377" t="n"/>
      <c r="AE13" s="377" t="n"/>
      <c r="AF13" s="377" t="n"/>
      <c r="AG13" s="377" t="n"/>
      <c r="AH13" s="377" t="n"/>
      <c r="AL13" s="7" t="n"/>
    </row>
    <row r="14" ht="26.25" customHeight="1" s="1053">
      <c r="A14" s="377" t="inlineStr">
        <is>
          <t>新宝利</t>
        </is>
      </c>
      <c r="B14" s="377" t="inlineStr">
        <is>
          <t>零期</t>
        </is>
      </c>
      <c r="C14" s="377" t="n">
        <v>3132859</v>
      </c>
      <c r="D14" s="377" t="inlineStr">
        <is>
          <t>10:20-12:30</t>
        </is>
      </c>
      <c r="E14" s="377" t="inlineStr">
        <is>
          <t>潜能班</t>
        </is>
      </c>
      <c r="F14" s="377" t="inlineStr">
        <is>
          <t>李玥宣</t>
        </is>
      </c>
      <c r="G14" s="377" t="inlineStr">
        <is>
          <t>黄铭怡</t>
        </is>
      </c>
      <c r="H14" s="377" t="n"/>
      <c r="I14" s="377" t="n"/>
      <c r="J14" s="377"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7" t="inlineStr">
        <is>
          <t>阅读理解提升，成绩进步</t>
        </is>
      </c>
      <c r="O14" s="377" t="inlineStr">
        <is>
          <t>老生，妈妈管学习</t>
        </is>
      </c>
      <c r="P14" s="377" t="inlineStr">
        <is>
          <t>A或B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inlineStr">
        <is>
          <t>是</t>
        </is>
      </c>
      <c r="AL14" s="7" t="n"/>
    </row>
    <row r="15" ht="26.25" customHeight="1" s="1053">
      <c r="A15" s="377" t="inlineStr">
        <is>
          <t>新宝利</t>
        </is>
      </c>
      <c r="B15" s="377" t="inlineStr">
        <is>
          <t>零期</t>
        </is>
      </c>
      <c r="C15" s="377" t="n">
        <v>3132859</v>
      </c>
      <c r="D15" s="377" t="inlineStr">
        <is>
          <t>10:20-12:30</t>
        </is>
      </c>
      <c r="E15" s="377" t="inlineStr">
        <is>
          <t>潜能班</t>
        </is>
      </c>
      <c r="F15" s="377" t="inlineStr">
        <is>
          <t>杨梓恒</t>
        </is>
      </c>
      <c r="G15" s="377" t="inlineStr">
        <is>
          <t>黄铭怡</t>
        </is>
      </c>
      <c r="H15" s="377" t="inlineStr">
        <is>
          <t>田雨涵01</t>
        </is>
      </c>
      <c r="I15" s="377" t="inlineStr">
        <is>
          <t>高心怡04</t>
        </is>
      </c>
      <c r="J15" s="377" t="inlineStr">
        <is>
          <t>林志豪01</t>
        </is>
      </c>
      <c r="K15" s="377" t="inlineStr">
        <is>
          <t>环市西路小学</t>
        </is>
      </c>
      <c r="L15" s="377" t="inlineStr">
        <is>
          <t>一中</t>
        </is>
      </c>
      <c r="M15" s="377" t="inlineStr">
        <is>
          <t>阅读理解扣分多，作文扣4分，考试不会有太多错别字，会看书，看的类型也多，写作业拖拉，写作业专注力不够，上课不太走神，最近有点走神，慢热型孩子</t>
        </is>
      </c>
      <c r="N15" s="377" t="inlineStr">
        <is>
          <t>小初衔接，阅读理解和作文提升</t>
        </is>
      </c>
      <c r="O15" s="377" t="inlineStr">
        <is>
          <t>妈妈管学习，语文要看吸收效果考虑后续报名</t>
        </is>
      </c>
      <c r="P15" s="889" t="inlineStr">
        <is>
          <t>85.5
平常80左右</t>
        </is>
      </c>
      <c r="Q15" s="377" t="n"/>
      <c r="R15" s="377" t="n"/>
      <c r="S15" s="377" t="n"/>
      <c r="T15" s="377" t="inlineStr">
        <is>
          <t>是</t>
        </is>
      </c>
      <c r="U15" s="377" t="inlineStr">
        <is>
          <t>是</t>
        </is>
      </c>
      <c r="V15" s="377" t="inlineStr">
        <is>
          <t>是</t>
        </is>
      </c>
      <c r="W15" s="377" t="inlineStr">
        <is>
          <t>是</t>
        </is>
      </c>
      <c r="X15" s="377" t="n"/>
      <c r="Y15" s="377" t="n"/>
      <c r="Z15" s="377" t="inlineStr">
        <is>
          <t>是</t>
        </is>
      </c>
      <c r="AA15" s="377" t="n"/>
      <c r="AB15" s="377" t="n"/>
      <c r="AC15" s="377" t="n"/>
      <c r="AD15" s="377" t="n"/>
      <c r="AE15" s="377" t="n"/>
      <c r="AF15" s="377" t="n"/>
      <c r="AG15" s="377" t="n"/>
      <c r="AH15" s="377" t="n"/>
      <c r="AL15" s="119" t="n"/>
    </row>
    <row r="16" ht="26.25" customHeight="1" s="1053">
      <c r="A16" s="377" t="inlineStr">
        <is>
          <t>新宝利</t>
        </is>
      </c>
      <c r="B16" s="377" t="inlineStr">
        <is>
          <t>零期</t>
        </is>
      </c>
      <c r="C16" s="377" t="n">
        <v>3132859</v>
      </c>
      <c r="D16" s="377" t="inlineStr">
        <is>
          <t>10:20-12:30</t>
        </is>
      </c>
      <c r="E16" s="377" t="inlineStr">
        <is>
          <t>潜能班</t>
        </is>
      </c>
      <c r="F16" s="377" t="inlineStr">
        <is>
          <t>毕子媛</t>
        </is>
      </c>
      <c r="G16" s="377" t="inlineStr">
        <is>
          <t>黄铭怡</t>
        </is>
      </c>
      <c r="H16" s="377" t="inlineStr">
        <is>
          <t>陈中帅</t>
        </is>
      </c>
      <c r="I16" s="377" t="inlineStr">
        <is>
          <t>肖锐03</t>
        </is>
      </c>
      <c r="J16" s="377" t="inlineStr">
        <is>
          <t>林志豪01</t>
        </is>
      </c>
      <c r="K16" s="377" t="inlineStr">
        <is>
          <t>雅荷塘</t>
        </is>
      </c>
      <c r="L16" s="377" t="inlineStr">
        <is>
          <t>知用中学</t>
        </is>
      </c>
      <c r="M16" s="377" t="inlineStr">
        <is>
          <t>家长没空电话，只文字沟通。阅读、写作很一般，难读懂中心思想，写作没有素材，缺少积累，阅读理解回答很长，但实际并不得分。作文有多次跑题经历，没内容。性格腼腆但听劝，不自觉，要监督。</t>
        </is>
      </c>
      <c r="N16" s="377" t="inlineStr">
        <is>
          <t>阅读作文提升</t>
        </is>
      </c>
      <c r="O16" s="377" t="inlineStr">
        <is>
          <t>妈妈管学习</t>
        </is>
      </c>
      <c r="P16" s="377" t="inlineStr">
        <is>
          <t>平时90，但统考B</t>
        </is>
      </c>
      <c r="Q16" s="377" t="n">
        <v>41</v>
      </c>
      <c r="R16" s="377" t="n"/>
      <c r="S16" s="377" t="n"/>
      <c r="T16" s="377" t="inlineStr">
        <is>
          <t>是</t>
        </is>
      </c>
      <c r="U16" s="377" t="inlineStr">
        <is>
          <t>否</t>
        </is>
      </c>
      <c r="V16" s="377" t="inlineStr">
        <is>
          <t>是</t>
        </is>
      </c>
      <c r="W16" s="377" t="inlineStr">
        <is>
          <t>是</t>
        </is>
      </c>
      <c r="X16" s="377" t="n"/>
      <c r="Y16" s="377" t="n"/>
      <c r="Z16" s="377" t="n"/>
      <c r="AA16" s="377" t="n"/>
      <c r="AB16" s="377" t="n"/>
      <c r="AC16" s="377" t="n"/>
      <c r="AD16" s="377" t="n"/>
      <c r="AE16" s="377" t="n"/>
      <c r="AF16" s="377" t="n"/>
      <c r="AG16" s="377" t="n"/>
      <c r="AH16" s="377" t="n"/>
      <c r="AL16" s="7" t="n"/>
    </row>
    <row r="17" ht="26.25" customHeight="1" s="1053">
      <c r="A17" s="377" t="inlineStr">
        <is>
          <t>新宝利</t>
        </is>
      </c>
      <c r="B17" s="377" t="inlineStr">
        <is>
          <t>二期</t>
        </is>
      </c>
      <c r="C17" s="377" t="n">
        <v>3132859</v>
      </c>
      <c r="D17" s="377" t="inlineStr">
        <is>
          <t>10:20-12:30</t>
        </is>
      </c>
      <c r="E17" s="377" t="inlineStr">
        <is>
          <t>潜能班</t>
        </is>
      </c>
      <c r="F17" s="377" t="inlineStr">
        <is>
          <t>萧嘉骏</t>
        </is>
      </c>
      <c r="G17" s="377" t="inlineStr">
        <is>
          <t>黄铭怡</t>
        </is>
      </c>
      <c r="H17" s="377" t="inlineStr">
        <is>
          <t>田雨涵01</t>
        </is>
      </c>
      <c r="I17" s="119" t="inlineStr">
        <is>
          <t>高心怡04</t>
        </is>
      </c>
      <c r="J17" s="377" t="inlineStr">
        <is>
          <t>林志豪01</t>
        </is>
      </c>
      <c r="K17" s="377" t="inlineStr">
        <is>
          <t>西关广雅</t>
        </is>
      </c>
      <c r="L17" s="377" t="inlineStr">
        <is>
          <t>西雅</t>
        </is>
      </c>
      <c r="M17" s="377" t="inlineStr">
        <is>
          <t>孩子要多关注、督促、鼓励、心理疏导，不抗压，经常不想上学，但又很在乎成绩，上课比较认真，会走神要提醒</t>
        </is>
      </c>
      <c r="N17" s="377" t="inlineStr">
        <is>
          <t>成绩进步</t>
        </is>
      </c>
      <c r="O17" s="377" t="inlineStr">
        <is>
          <t>老生，妈妈管学习</t>
        </is>
      </c>
      <c r="P17" s="377" t="inlineStr">
        <is>
          <t>A</t>
        </is>
      </c>
      <c r="Q17" s="377" t="n">
        <v>28</v>
      </c>
      <c r="R17" s="377" t="n"/>
      <c r="S17" s="377" t="n"/>
      <c r="T17" s="377" t="inlineStr">
        <is>
          <t>是</t>
        </is>
      </c>
      <c r="U17" s="377" t="inlineStr">
        <is>
          <t>是</t>
        </is>
      </c>
      <c r="V17" s="377" t="inlineStr">
        <is>
          <t>是</t>
        </is>
      </c>
      <c r="W17" s="377" t="inlineStr">
        <is>
          <t>是</t>
        </is>
      </c>
      <c r="X17" s="377" t="n"/>
      <c r="Y17" s="377" t="inlineStr">
        <is>
          <t>是</t>
        </is>
      </c>
      <c r="Z17" s="377" t="n"/>
      <c r="AA17" s="377" t="n"/>
      <c r="AB17" s="377" t="n"/>
      <c r="AC17" s="377" t="n"/>
      <c r="AD17" s="377" t="n"/>
      <c r="AE17" s="377" t="n"/>
      <c r="AF17" s="377" t="n"/>
      <c r="AG17" s="377" t="n"/>
      <c r="AH17" s="377" t="inlineStr">
        <is>
          <t>是</t>
        </is>
      </c>
      <c r="AL17" s="119" t="n"/>
    </row>
    <row r="18" ht="26.25" customHeight="1" s="1053">
      <c r="A18" s="377" t="inlineStr">
        <is>
          <t>新宝利</t>
        </is>
      </c>
      <c r="B18" s="377" t="inlineStr">
        <is>
          <t>零期</t>
        </is>
      </c>
      <c r="C18" s="377" t="n">
        <v>3132859</v>
      </c>
      <c r="D18" s="377" t="inlineStr">
        <is>
          <t>10:20-12:30</t>
        </is>
      </c>
      <c r="E18" s="377" t="inlineStr">
        <is>
          <t>潜能班</t>
        </is>
      </c>
      <c r="F18" s="377" t="inlineStr">
        <is>
          <t>许玮庭</t>
        </is>
      </c>
      <c r="G18" s="377" t="inlineStr">
        <is>
          <t>黄铭怡</t>
        </is>
      </c>
      <c r="H18" s="377" t="inlineStr">
        <is>
          <t>陈中帅</t>
        </is>
      </c>
      <c r="I18" s="377" t="inlineStr">
        <is>
          <t>肖锐03</t>
        </is>
      </c>
      <c r="J18" s="377" t="inlineStr">
        <is>
          <t>杨林33</t>
        </is>
      </c>
      <c r="K18" s="377" t="inlineStr">
        <is>
          <t>秉正小学</t>
        </is>
      </c>
      <c r="L18" s="377" t="inlineStr">
        <is>
          <t>三中</t>
        </is>
      </c>
      <c r="M18" s="37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7" t="inlineStr">
        <is>
          <t>要严格，小初衔接，提前学初中</t>
        </is>
      </c>
      <c r="O18" s="377" t="inlineStr">
        <is>
          <t>妈妈管学习，秋季已报乐读，没有打算换</t>
        </is>
      </c>
      <c r="P18" s="377" t="inlineStr">
        <is>
          <t>90以上</t>
        </is>
      </c>
      <c r="Q18" s="377" t="n">
        <v>38</v>
      </c>
      <c r="R18" s="377" t="n"/>
      <c r="S18" s="377" t="n"/>
      <c r="T18" s="377" t="inlineStr">
        <is>
          <t>是</t>
        </is>
      </c>
      <c r="U18" s="377" t="inlineStr">
        <is>
          <t>是</t>
        </is>
      </c>
      <c r="V18" s="377" t="inlineStr">
        <is>
          <t>是</t>
        </is>
      </c>
      <c r="W18" s="377" t="inlineStr">
        <is>
          <t>是</t>
        </is>
      </c>
      <c r="X18" s="377" t="n"/>
      <c r="Y18" s="377" t="inlineStr">
        <is>
          <t>是</t>
        </is>
      </c>
      <c r="Z18" s="377" t="inlineStr">
        <is>
          <t>是</t>
        </is>
      </c>
      <c r="AA18" s="377" t="inlineStr">
        <is>
          <t>是</t>
        </is>
      </c>
      <c r="AB18" s="377" t="n"/>
      <c r="AC18" s="377" t="n"/>
      <c r="AD18" s="377" t="inlineStr">
        <is>
          <t>C</t>
        </is>
      </c>
      <c r="AE18" s="377" t="inlineStr">
        <is>
          <t>秋季已报乐读</t>
        </is>
      </c>
      <c r="AF18" s="377" t="n"/>
      <c r="AG18" s="377" t="n"/>
      <c r="AH18" s="377" t="n"/>
      <c r="AL18" s="7" t="n"/>
    </row>
    <row r="19" ht="26.25" customHeight="1" s="1053">
      <c r="A19" s="377" t="inlineStr">
        <is>
          <t>新宝利</t>
        </is>
      </c>
      <c r="B19" s="377" t="inlineStr">
        <is>
          <t>零期</t>
        </is>
      </c>
      <c r="C19" s="377" t="n">
        <v>3132859</v>
      </c>
      <c r="D19" s="377" t="inlineStr">
        <is>
          <t>10:20-12:30</t>
        </is>
      </c>
      <c r="E19" s="377" t="inlineStr">
        <is>
          <t>潜能班</t>
        </is>
      </c>
      <c r="F19" s="377" t="inlineStr">
        <is>
          <t>郭艺霖</t>
        </is>
      </c>
      <c r="G19" s="377" t="inlineStr">
        <is>
          <t>黄铭怡</t>
        </is>
      </c>
      <c r="H19" s="377" t="inlineStr">
        <is>
          <t>陈中帅</t>
        </is>
      </c>
      <c r="I19" s="377" t="inlineStr">
        <is>
          <t>肖锐03</t>
        </is>
      </c>
      <c r="J19" s="377" t="inlineStr">
        <is>
          <t>杨林33</t>
        </is>
      </c>
      <c r="K19" s="377" t="n"/>
      <c r="L19" s="890" t="inlineStr">
        <is>
          <t>荔广实验
次重点班</t>
        </is>
      </c>
      <c r="M19" s="377" t="inlineStr">
        <is>
          <t>家长拒接电话，回复了文字，性格活泼，话痨，要监督，多鼓励，学习习惯要盯勾画关键词，语文成绩差，阅读写作弱，不爱看书</t>
        </is>
      </c>
      <c r="N19" s="377" t="inlineStr">
        <is>
          <t>7月4日分班测</t>
        </is>
      </c>
      <c r="O19" s="377" t="inlineStr">
        <is>
          <t>妈妈管学习</t>
        </is>
      </c>
      <c r="P19" s="377" t="n">
        <v>87</v>
      </c>
      <c r="Q19" s="377" t="n"/>
      <c r="R19" s="377" t="n"/>
      <c r="S19" s="377" t="n"/>
      <c r="T19" s="377" t="inlineStr">
        <is>
          <t>是</t>
        </is>
      </c>
      <c r="U19" s="377" t="inlineStr">
        <is>
          <t>否</t>
        </is>
      </c>
      <c r="V19" s="377" t="inlineStr">
        <is>
          <t>是</t>
        </is>
      </c>
      <c r="W19" s="377" t="inlineStr">
        <is>
          <t>是</t>
        </is>
      </c>
      <c r="X19" s="377" t="n"/>
      <c r="Y19" s="377" t="n"/>
      <c r="Z19" s="377" t="n"/>
      <c r="AA19" s="377" t="n"/>
      <c r="AB19" s="377" t="n"/>
      <c r="AC19" s="377" t="n"/>
      <c r="AD19" s="377" t="n"/>
      <c r="AE19" s="377" t="n"/>
      <c r="AF19" s="377" t="n"/>
      <c r="AG19" s="377" t="n"/>
      <c r="AH19" s="377" t="n"/>
      <c r="AL19" s="7" t="n"/>
    </row>
    <row r="20" ht="26.25" customHeight="1" s="1053">
      <c r="A20" s="377" t="inlineStr">
        <is>
          <t>新宝利</t>
        </is>
      </c>
      <c r="B20" s="377" t="inlineStr">
        <is>
          <t>零期</t>
        </is>
      </c>
      <c r="C20" s="377" t="n">
        <v>3132859</v>
      </c>
      <c r="D20" s="377" t="inlineStr">
        <is>
          <t>10:20-12:30</t>
        </is>
      </c>
      <c r="E20" s="377" t="inlineStr">
        <is>
          <t>潜能班</t>
        </is>
      </c>
      <c r="F20" s="377" t="inlineStr">
        <is>
          <t>陈君羡</t>
        </is>
      </c>
      <c r="G20" s="377" t="inlineStr">
        <is>
          <t>黄铭怡</t>
        </is>
      </c>
      <c r="H20" s="377" t="inlineStr">
        <is>
          <t>陈中帅</t>
        </is>
      </c>
      <c r="I20" s="377" t="inlineStr">
        <is>
          <t>肖锐03</t>
        </is>
      </c>
      <c r="J20" s="377" t="inlineStr">
        <is>
          <t>林志豪01</t>
        </is>
      </c>
      <c r="K20" s="190" t="n"/>
      <c r="L20" s="377"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7" t="inlineStr">
        <is>
          <t>阅读理解能力提升，小初衔接，文言文诗歌，转变初中思维</t>
        </is>
      </c>
      <c r="O20" s="377" t="inlineStr">
        <is>
          <t>关浩言转介绍，妈妈管学习，看孩子喜欢、效果和三科变化再考虑后续学习</t>
        </is>
      </c>
      <c r="P20" s="377" t="inlineStr">
        <is>
          <t>95左右</t>
        </is>
      </c>
      <c r="Q20" s="377" t="n">
        <v>41</v>
      </c>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I20" s="207" t="n"/>
      <c r="AL20" s="7" t="n"/>
    </row>
    <row r="21" ht="26.25" customHeight="1" s="1053">
      <c r="A21" s="377" t="inlineStr">
        <is>
          <t>新宝利</t>
        </is>
      </c>
      <c r="B21" s="377" t="inlineStr">
        <is>
          <t>零期</t>
        </is>
      </c>
      <c r="C21" s="377" t="n">
        <v>3132859</v>
      </c>
      <c r="D21" s="377" t="inlineStr">
        <is>
          <t>10:20-12:30</t>
        </is>
      </c>
      <c r="E21" s="377" t="inlineStr">
        <is>
          <t>潜能班</t>
        </is>
      </c>
      <c r="F21" s="377" t="inlineStr">
        <is>
          <t>陈衍信</t>
        </is>
      </c>
      <c r="G21" s="377" t="inlineStr">
        <is>
          <t>黄铭怡</t>
        </is>
      </c>
      <c r="H21" s="377" t="inlineStr">
        <is>
          <t>何咏04</t>
        </is>
      </c>
      <c r="I21" s="377" t="inlineStr">
        <is>
          <t>肖锐03</t>
        </is>
      </c>
      <c r="J21" s="377" t="inlineStr">
        <is>
          <t>王达04</t>
        </is>
      </c>
      <c r="K21" s="377" t="inlineStr">
        <is>
          <t>八一</t>
        </is>
      </c>
      <c r="L21" s="377" t="inlineStr">
        <is>
          <t>广大附</t>
        </is>
      </c>
      <c r="M21" s="37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7" t="inlineStr">
        <is>
          <t>小初衔接，提前熟悉，提升阅读理解</t>
        </is>
      </c>
      <c r="O21" s="377" t="inlineStr">
        <is>
          <t>家庭支付能力差，三个孩子，自己管学习</t>
        </is>
      </c>
      <c r="P21" s="377" t="inlineStr">
        <is>
          <t>95左右</t>
        </is>
      </c>
      <c r="Q21" s="377" t="n">
        <v>25</v>
      </c>
      <c r="R21" s="377" t="n"/>
      <c r="S21" s="377" t="n"/>
      <c r="T21" s="377" t="inlineStr">
        <is>
          <t>是</t>
        </is>
      </c>
      <c r="U21" s="377" t="inlineStr">
        <is>
          <t>是</t>
        </is>
      </c>
      <c r="V21" s="377" t="inlineStr">
        <is>
          <t>是</t>
        </is>
      </c>
      <c r="W21" s="377" t="inlineStr">
        <is>
          <t>是</t>
        </is>
      </c>
      <c r="X21" s="377" t="n"/>
      <c r="Y21" s="377" t="n"/>
      <c r="Z21" s="377" t="inlineStr">
        <is>
          <t>是</t>
        </is>
      </c>
      <c r="AA21" s="377" t="inlineStr">
        <is>
          <t>是</t>
        </is>
      </c>
      <c r="AB21" s="377" t="n"/>
      <c r="AC21" s="377" t="n"/>
      <c r="AD21" s="377" t="n"/>
      <c r="AE21" s="377" t="n"/>
      <c r="AF21" s="377" t="n"/>
      <c r="AG21" s="377" t="n"/>
      <c r="AH21" s="373" t="n"/>
      <c r="AI21" s="343" t="inlineStr">
        <is>
          <t>是</t>
        </is>
      </c>
      <c r="AJ21" s="16" t="n"/>
      <c r="AL21" s="7" t="n"/>
    </row>
    <row r="22" ht="26.25" customHeight="1" s="1053">
      <c r="A22" s="377" t="inlineStr">
        <is>
          <t>新宝利</t>
        </is>
      </c>
      <c r="B22" s="377" t="inlineStr">
        <is>
          <t>零期</t>
        </is>
      </c>
      <c r="C22" s="377" t="n">
        <v>3132859</v>
      </c>
      <c r="D22" s="377" t="inlineStr">
        <is>
          <t>10:20-12:30</t>
        </is>
      </c>
      <c r="E22" s="377" t="inlineStr">
        <is>
          <t>潜能班</t>
        </is>
      </c>
      <c r="F22" s="377" t="inlineStr">
        <is>
          <t>陈霖锋</t>
        </is>
      </c>
      <c r="G22" s="377" t="inlineStr">
        <is>
          <t>黄铭怡</t>
        </is>
      </c>
      <c r="H22" s="377" t="n"/>
      <c r="I22" s="377" t="n"/>
      <c r="J22" s="377" t="inlineStr">
        <is>
          <t>苏丽婷</t>
        </is>
      </c>
      <c r="K22" s="190" t="n"/>
      <c r="L22" s="190" t="inlineStr">
        <is>
          <t>培正中学</t>
        </is>
      </c>
      <c r="M22" s="190" t="inlineStr">
        <is>
          <t>阅读比较薄弱，理解不到中心，做题比较少，没有在外面学过，文言文积累较少，现在看书看得少。性格腼腆</t>
        </is>
      </c>
      <c r="N22" s="377" t="inlineStr">
        <is>
          <t>小初衔接，阅读理解能力、文言文提升</t>
        </is>
      </c>
      <c r="O22" s="377" t="inlineStr">
        <is>
          <t>妈妈管学习</t>
        </is>
      </c>
      <c r="P22" s="377" t="inlineStr">
        <is>
          <t>90左右</t>
        </is>
      </c>
      <c r="Q22" s="377" t="n"/>
      <c r="R22" s="377" t="n"/>
      <c r="S22" s="377" t="n"/>
      <c r="T22" s="377" t="inlineStr">
        <is>
          <t>是</t>
        </is>
      </c>
      <c r="U22" s="377" t="inlineStr">
        <is>
          <t>是</t>
        </is>
      </c>
      <c r="V22" s="377" t="inlineStr">
        <is>
          <t>是</t>
        </is>
      </c>
      <c r="W22" s="377" t="inlineStr">
        <is>
          <t>是</t>
        </is>
      </c>
      <c r="X22" s="377" t="n"/>
      <c r="Y22" s="377" t="n"/>
      <c r="Z22" s="377" t="inlineStr">
        <is>
          <t>是</t>
        </is>
      </c>
      <c r="AA22" s="377" t="n"/>
      <c r="AB22" s="377" t="n"/>
      <c r="AC22" s="377" t="n"/>
      <c r="AD22" s="377" t="n"/>
      <c r="AE22" s="377" t="n"/>
      <c r="AF22" s="377" t="n"/>
      <c r="AG22" s="377" t="n"/>
      <c r="AH22" s="373" t="n"/>
      <c r="AI22" s="283" t="n"/>
      <c r="AJ22" s="16" t="inlineStr">
        <is>
          <t>1、3节要调课</t>
        </is>
      </c>
      <c r="AL22" s="119" t="n"/>
    </row>
    <row r="23" ht="26.25" customHeight="1" s="1053">
      <c r="A23" s="377" t="inlineStr">
        <is>
          <t>新宝利</t>
        </is>
      </c>
      <c r="B23" s="377" t="inlineStr">
        <is>
          <t>零期</t>
        </is>
      </c>
      <c r="C23" s="377" t="n">
        <v>3132859</v>
      </c>
      <c r="D23" s="377" t="inlineStr">
        <is>
          <t>10:20-12:30</t>
        </is>
      </c>
      <c r="E23" s="377" t="inlineStr">
        <is>
          <t>潜能班</t>
        </is>
      </c>
      <c r="F23" s="377" t="inlineStr">
        <is>
          <t>马佳音</t>
        </is>
      </c>
      <c r="G23" s="377" t="inlineStr">
        <is>
          <t>黄铭怡</t>
        </is>
      </c>
      <c r="H23" s="377" t="inlineStr">
        <is>
          <t>陈中帅</t>
        </is>
      </c>
      <c r="I23" s="377" t="inlineStr">
        <is>
          <t>肖锐03</t>
        </is>
      </c>
      <c r="J23" s="377" t="inlineStr">
        <is>
          <t>王达04</t>
        </is>
      </c>
      <c r="K23" s="377" t="inlineStr">
        <is>
          <t>回民小学</t>
        </is>
      </c>
      <c r="L23" s="377" t="inlineStr">
        <is>
          <t>十六中</t>
        </is>
      </c>
      <c r="M23" s="377" t="inlineStr">
        <is>
          <t>习惯好，比较自觉。作文比较薄弱，不喜欢看书，阅读理解提升。性格活泼，喜欢夸</t>
        </is>
      </c>
      <c r="N23" s="377" t="inlineStr">
        <is>
          <t>小初衔接，提前熟悉</t>
        </is>
      </c>
      <c r="O23" s="377" t="inlineStr">
        <is>
          <t>妈妈管学习，看孩子喜欢和效果再考虑，4个孩子，经济有压力</t>
        </is>
      </c>
      <c r="P23" s="377" t="inlineStr">
        <is>
          <t>90多</t>
        </is>
      </c>
      <c r="Q23" s="377" t="n">
        <v>32</v>
      </c>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L23" s="7" t="n"/>
    </row>
    <row r="24" ht="26.25" customHeight="1" s="1053">
      <c r="A24" s="377" t="inlineStr">
        <is>
          <t>新宝利</t>
        </is>
      </c>
      <c r="B24" s="377" t="inlineStr">
        <is>
          <t>零期</t>
        </is>
      </c>
      <c r="C24" s="377" t="n">
        <v>3132859</v>
      </c>
      <c r="D24" s="377" t="inlineStr">
        <is>
          <t>10:20-12:30</t>
        </is>
      </c>
      <c r="E24" s="377" t="inlineStr">
        <is>
          <t>潜能班</t>
        </is>
      </c>
      <c r="F24" s="377" t="inlineStr">
        <is>
          <t>马邦耀</t>
        </is>
      </c>
      <c r="G24" s="377" t="inlineStr">
        <is>
          <t>黄铭怡</t>
        </is>
      </c>
      <c r="H24" s="377" t="inlineStr">
        <is>
          <t>田雨涵01</t>
        </is>
      </c>
      <c r="I24" s="377" t="inlineStr">
        <is>
          <t>肖锐03</t>
        </is>
      </c>
      <c r="J24" s="377" t="inlineStr">
        <is>
          <t>沈思浩</t>
        </is>
      </c>
      <c r="K24" s="377" t="n"/>
      <c r="L24" s="377" t="n"/>
      <c r="M24" s="377" t="inlineStr">
        <is>
          <t>语文一直不好，阅读和写作弱，没有答题思路，get不到中心（不知道谁给我删了，忘记了）</t>
        </is>
      </c>
      <c r="N24" s="377" t="inlineStr">
        <is>
          <t>小初衔接，掌握学习方法，喜欢学习语文</t>
        </is>
      </c>
      <c r="O24" s="377" t="inlineStr">
        <is>
          <t>妈妈管学习</t>
        </is>
      </c>
      <c r="P24" s="377" t="inlineStr">
        <is>
          <t>70-80</t>
        </is>
      </c>
      <c r="Q24" s="377" t="n"/>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43" t="inlineStr">
        <is>
          <t>是</t>
        </is>
      </c>
      <c r="AL24" s="7" t="n"/>
    </row>
    <row r="25" ht="26.25" customHeight="1" s="1053">
      <c r="A25" s="377" t="inlineStr">
        <is>
          <t>同创汇</t>
        </is>
      </c>
      <c r="B25" s="377" t="inlineStr">
        <is>
          <t>零期</t>
        </is>
      </c>
      <c r="C25" s="377" t="n">
        <v>3132905</v>
      </c>
      <c r="D25" s="377" t="inlineStr">
        <is>
          <t>13:20-15:30</t>
        </is>
      </c>
      <c r="E25" s="377" t="inlineStr">
        <is>
          <t>潜能班</t>
        </is>
      </c>
      <c r="F25" s="377" t="inlineStr">
        <is>
          <t>于彦臻</t>
        </is>
      </c>
      <c r="G25" s="377" t="inlineStr">
        <is>
          <t>黄铭怡</t>
        </is>
      </c>
      <c r="H25" s="377" t="inlineStr">
        <is>
          <t>陈中帅</t>
        </is>
      </c>
      <c r="I25" s="377" t="inlineStr">
        <is>
          <t>刘希子</t>
        </is>
      </c>
      <c r="J25" s="377" t="inlineStr">
        <is>
          <t>王丽</t>
        </is>
      </c>
      <c r="K25" s="377" t="n"/>
      <c r="L25" s="377" t="inlineStr">
        <is>
          <t>铁一中学</t>
        </is>
      </c>
      <c r="M25" s="377" t="inlineStr">
        <is>
          <t>认真，有时候话多，要提醒，基础不稳定，阅读理解答题还不到位</t>
        </is>
      </c>
      <c r="N25" s="377" t="inlineStr">
        <is>
          <t>小初衔接</t>
        </is>
      </c>
      <c r="O25" s="377" t="inlineStr">
        <is>
          <t>老生，妈妈管学习</t>
        </is>
      </c>
      <c r="P25" s="377" t="inlineStr">
        <is>
          <t>90+</t>
        </is>
      </c>
      <c r="Q25" s="377" t="n"/>
      <c r="R25" s="377" t="n"/>
      <c r="S25" s="377" t="n"/>
      <c r="T25" s="377" t="inlineStr">
        <is>
          <t>是</t>
        </is>
      </c>
      <c r="U25" s="377" t="inlineStr">
        <is>
          <t>是</t>
        </is>
      </c>
      <c r="V25" s="377" t="inlineStr">
        <is>
          <t>是</t>
        </is>
      </c>
      <c r="W25" s="377" t="inlineStr">
        <is>
          <t>是</t>
        </is>
      </c>
      <c r="X25" s="377" t="n"/>
      <c r="Y25" s="377" t="inlineStr">
        <is>
          <t>是</t>
        </is>
      </c>
      <c r="Z25" s="377" t="inlineStr">
        <is>
          <t>是</t>
        </is>
      </c>
      <c r="AA25" s="377" t="inlineStr">
        <is>
          <t>是</t>
        </is>
      </c>
      <c r="AB25" s="377" t="n"/>
      <c r="AC25" s="377" t="n"/>
      <c r="AD25" s="377" t="n"/>
      <c r="AE25" s="377" t="n"/>
      <c r="AF25" s="377" t="n"/>
      <c r="AG25" s="377" t="n"/>
      <c r="AH25" s="377" t="inlineStr">
        <is>
          <t>是</t>
        </is>
      </c>
      <c r="AL25" s="7" t="n"/>
    </row>
    <row r="26" ht="26.25" customHeight="1" s="1053">
      <c r="A26" s="377" t="inlineStr">
        <is>
          <t>同创汇</t>
        </is>
      </c>
      <c r="B26" s="377" t="inlineStr">
        <is>
          <t>零期</t>
        </is>
      </c>
      <c r="C26" s="377" t="n">
        <v>3132905</v>
      </c>
      <c r="D26" s="377" t="inlineStr">
        <is>
          <t>13:20-15:30</t>
        </is>
      </c>
      <c r="E26" s="377" t="inlineStr">
        <is>
          <t>潜能班</t>
        </is>
      </c>
      <c r="F26" s="377" t="inlineStr">
        <is>
          <t>伦铭聪</t>
        </is>
      </c>
      <c r="G26" s="377" t="inlineStr">
        <is>
          <t>黄铭怡</t>
        </is>
      </c>
      <c r="H26" s="377" t="inlineStr">
        <is>
          <t>陈中帅</t>
        </is>
      </c>
      <c r="I26" s="377" t="inlineStr">
        <is>
          <t>刘希子</t>
        </is>
      </c>
      <c r="J26" s="377" t="inlineStr">
        <is>
          <t>沈思浩</t>
        </is>
      </c>
      <c r="K26" s="377" t="inlineStr">
        <is>
          <t>环市路小学</t>
        </is>
      </c>
      <c r="L26" s="377" t="inlineStr">
        <is>
          <t>执信中学</t>
        </is>
      </c>
      <c r="M26" s="89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7" t="inlineStr">
        <is>
          <t>扎实校内、基础，重学初一</t>
        </is>
      </c>
      <c r="O26" s="377" t="inlineStr">
        <is>
          <t>身体原因休学一年，妈妈管学习</t>
        </is>
      </c>
      <c r="P26" s="377" t="n"/>
      <c r="Q26" s="377" t="n">
        <v>40</v>
      </c>
      <c r="R26" s="377" t="n"/>
      <c r="S26" s="377" t="n"/>
      <c r="T26" s="377" t="inlineStr">
        <is>
          <t>是</t>
        </is>
      </c>
      <c r="U26" s="377" t="inlineStr">
        <is>
          <t>是</t>
        </is>
      </c>
      <c r="V26" s="377" t="inlineStr">
        <is>
          <t>是</t>
        </is>
      </c>
      <c r="W26" s="377" t="inlineStr">
        <is>
          <t>是</t>
        </is>
      </c>
      <c r="X26" s="377" t="n"/>
      <c r="Y26" s="377" t="inlineStr">
        <is>
          <t>是</t>
        </is>
      </c>
      <c r="Z26" s="377" t="n"/>
      <c r="AA26" s="377" t="n"/>
      <c r="AB26" s="377" t="n"/>
      <c r="AC26" s="377" t="n"/>
      <c r="AD26" s="377" t="n"/>
      <c r="AE26" s="377" t="n"/>
      <c r="AF26" s="377" t="n"/>
      <c r="AG26" s="377" t="n"/>
      <c r="AH26" s="377" t="n"/>
      <c r="AI26" s="343" t="inlineStr">
        <is>
          <t>是</t>
        </is>
      </c>
      <c r="AL26" s="7" t="n"/>
    </row>
    <row r="27" ht="26.25" customHeight="1" s="1053">
      <c r="A27" s="377" t="inlineStr">
        <is>
          <t>同创汇</t>
        </is>
      </c>
      <c r="B27" s="377" t="inlineStr">
        <is>
          <t>零期</t>
        </is>
      </c>
      <c r="C27" s="377" t="n">
        <v>3132905</v>
      </c>
      <c r="D27" s="377" t="inlineStr">
        <is>
          <t>13:20-15:30</t>
        </is>
      </c>
      <c r="E27" s="377" t="inlineStr">
        <is>
          <t>潜能班</t>
        </is>
      </c>
      <c r="F27" s="377" t="inlineStr">
        <is>
          <t>周名扬</t>
        </is>
      </c>
      <c r="G27" s="377" t="inlineStr">
        <is>
          <t>黄铭怡</t>
        </is>
      </c>
      <c r="H27" s="377" t="inlineStr">
        <is>
          <t>何咏04</t>
        </is>
      </c>
      <c r="I27" s="377" t="inlineStr">
        <is>
          <t>刘希子</t>
        </is>
      </c>
      <c r="J27" s="377" t="inlineStr">
        <is>
          <t>戎凯01</t>
        </is>
      </c>
      <c r="K27" s="377" t="inlineStr">
        <is>
          <t>东风东</t>
        </is>
      </c>
      <c r="L27" s="377" t="inlineStr">
        <is>
          <t>育才</t>
        </is>
      </c>
      <c r="M27" s="377" t="inlineStr">
        <is>
          <t>三大板块都弱，看笑话书，腼腆，不会主动举手回答，现在比较自觉，畏难情绪。以前在书房学过语文，妈妈不了解孩子学了啥。想一天都待在校区，别闲着。</t>
        </is>
      </c>
      <c r="N27" s="377" t="inlineStr">
        <is>
          <t>小初衔接，让孩子学点东西，别闲着</t>
        </is>
      </c>
      <c r="O27" s="377" t="inlineStr">
        <is>
          <t>家长不管</t>
        </is>
      </c>
      <c r="P27" s="377" t="inlineStr">
        <is>
          <t>70-80</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n"/>
      <c r="AB27" s="377" t="n"/>
      <c r="AC27" s="377" t="n"/>
      <c r="AD27" s="377" t="inlineStr">
        <is>
          <t>C</t>
        </is>
      </c>
      <c r="AE27" s="377" t="inlineStr">
        <is>
          <t>家长不管</t>
        </is>
      </c>
      <c r="AF27" s="377" t="n"/>
      <c r="AG27" s="377" t="n"/>
      <c r="AH27" s="377" t="n"/>
      <c r="AL27" s="7" t="n"/>
    </row>
    <row r="28" ht="26.25" customHeight="1" s="1053">
      <c r="A28" s="377" t="inlineStr">
        <is>
          <t>同创汇</t>
        </is>
      </c>
      <c r="B28" s="377" t="inlineStr">
        <is>
          <t>零期</t>
        </is>
      </c>
      <c r="C28" s="377" t="n">
        <v>3132905</v>
      </c>
      <c r="D28" s="377" t="inlineStr">
        <is>
          <t>13:20-15:30</t>
        </is>
      </c>
      <c r="E28" s="377" t="inlineStr">
        <is>
          <t>潜能班</t>
        </is>
      </c>
      <c r="F28" s="377" t="inlineStr">
        <is>
          <t>周芷帆</t>
        </is>
      </c>
      <c r="G28" s="377" t="inlineStr">
        <is>
          <t>黄铭怡</t>
        </is>
      </c>
      <c r="H28" s="377" t="inlineStr">
        <is>
          <t>陈中帅</t>
        </is>
      </c>
      <c r="I28" s="377" t="inlineStr">
        <is>
          <t>刘希子</t>
        </is>
      </c>
      <c r="J28" s="377" t="inlineStr">
        <is>
          <t>王丽</t>
        </is>
      </c>
      <c r="K28" s="377" t="inlineStr">
        <is>
          <t>育才小学</t>
        </is>
      </c>
      <c r="L28" s="377" t="inlineStr">
        <is>
          <t>16中</t>
        </is>
      </c>
      <c r="M28" s="892" t="inlineStr">
        <is>
          <t>不接电话，已留言
学习习惯：很好
学习意愿：逻辑感很强</t>
        </is>
      </c>
      <c r="N28" s="377" t="n"/>
      <c r="O28" s="377" t="inlineStr">
        <is>
          <t>妈妈管学习</t>
        </is>
      </c>
      <c r="P28" s="377" t="n"/>
      <c r="Q28" s="377" t="n"/>
      <c r="R28" s="377" t="n"/>
      <c r="S28" s="377" t="n"/>
      <c r="T28" s="377" t="inlineStr">
        <is>
          <t>是</t>
        </is>
      </c>
      <c r="U28" s="377" t="inlineStr">
        <is>
          <t>否</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L28" s="7" t="n"/>
    </row>
    <row r="29" ht="26.25" customHeight="1" s="1053">
      <c r="A29" s="377" t="inlineStr">
        <is>
          <t>同创汇</t>
        </is>
      </c>
      <c r="B29" s="377" t="inlineStr">
        <is>
          <t>零期</t>
        </is>
      </c>
      <c r="C29" s="377" t="n">
        <v>3132905</v>
      </c>
      <c r="D29" s="377" t="inlineStr">
        <is>
          <t>13:20-15:30</t>
        </is>
      </c>
      <c r="E29" s="377" t="inlineStr">
        <is>
          <t>潜能班</t>
        </is>
      </c>
      <c r="F29" s="377" t="inlineStr">
        <is>
          <t>张宸</t>
        </is>
      </c>
      <c r="G29" s="377" t="inlineStr">
        <is>
          <t>黄铭怡</t>
        </is>
      </c>
      <c r="H29" s="377" t="inlineStr">
        <is>
          <t>陈中帅</t>
        </is>
      </c>
      <c r="I29" s="377" t="inlineStr">
        <is>
          <t>刘希子</t>
        </is>
      </c>
      <c r="J29" s="377" t="inlineStr">
        <is>
          <t>沈思浩</t>
        </is>
      </c>
      <c r="K29" s="377" t="inlineStr">
        <is>
          <t>小北路小学</t>
        </is>
      </c>
      <c r="L29" s="377" t="inlineStr">
        <is>
          <t>十六中实验</t>
        </is>
      </c>
      <c r="M29" s="89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7" t="inlineStr">
        <is>
          <t>养好习惯，小初衔接，提前熟悉</t>
        </is>
      </c>
      <c r="O29" s="377" t="inlineStr">
        <is>
          <t>妈妈管学习，很关注，续报意向高</t>
        </is>
      </c>
      <c r="P29" s="377" t="inlineStr">
        <is>
          <t>90-95</t>
        </is>
      </c>
      <c r="Q29" s="377" t="n"/>
      <c r="R29" s="377" t="n"/>
      <c r="S29" s="377" t="n"/>
      <c r="T29" s="377" t="inlineStr">
        <is>
          <t>是</t>
        </is>
      </c>
      <c r="U29" s="377" t="inlineStr">
        <is>
          <t>是</t>
        </is>
      </c>
      <c r="V29" s="377" t="inlineStr">
        <is>
          <t>是</t>
        </is>
      </c>
      <c r="W29" s="377" t="inlineStr">
        <is>
          <t>是</t>
        </is>
      </c>
      <c r="X29" s="377" t="n"/>
      <c r="Y29" s="377" t="inlineStr">
        <is>
          <t>是</t>
        </is>
      </c>
      <c r="Z29" s="377" t="inlineStr">
        <is>
          <t>是</t>
        </is>
      </c>
      <c r="AA29" s="377" t="inlineStr">
        <is>
          <t>是</t>
        </is>
      </c>
      <c r="AB29" s="377" t="n"/>
      <c r="AC29" s="377" t="n"/>
      <c r="AD29" s="377" t="inlineStr">
        <is>
          <t>A</t>
        </is>
      </c>
      <c r="AE29" s="377" t="inlineStr">
        <is>
          <t>妈妈想让孩子跟着上，希望把语文拉起来</t>
        </is>
      </c>
      <c r="AF29" s="377" t="n"/>
      <c r="AG29" s="377" t="n"/>
      <c r="AH29" s="377" t="n"/>
      <c r="AI29" s="343" t="inlineStr">
        <is>
          <t>是</t>
        </is>
      </c>
      <c r="AL29" s="7" t="n"/>
    </row>
    <row r="30" ht="26.25" customHeight="1" s="1053">
      <c r="A30" s="377" t="inlineStr">
        <is>
          <t>同创汇</t>
        </is>
      </c>
      <c r="B30" s="377" t="inlineStr">
        <is>
          <t>零期</t>
        </is>
      </c>
      <c r="C30" s="377" t="n">
        <v>3132905</v>
      </c>
      <c r="D30" s="377" t="inlineStr">
        <is>
          <t>13:20-15:30</t>
        </is>
      </c>
      <c r="E30" s="377" t="inlineStr">
        <is>
          <t>潜能班</t>
        </is>
      </c>
      <c r="F30" s="377" t="inlineStr">
        <is>
          <t>张权</t>
        </is>
      </c>
      <c r="G30" s="377" t="inlineStr">
        <is>
          <t>黄铭怡</t>
        </is>
      </c>
      <c r="H30" s="377" t="inlineStr">
        <is>
          <t>陈中帅</t>
        </is>
      </c>
      <c r="I30" s="377" t="inlineStr">
        <is>
          <t>刘希子</t>
        </is>
      </c>
      <c r="J30" s="377" t="inlineStr">
        <is>
          <t>戎凯01</t>
        </is>
      </c>
      <c r="K30" s="377" t="inlineStr">
        <is>
          <t>育才小学</t>
        </is>
      </c>
      <c r="L30" s="377" t="inlineStr">
        <is>
          <t>育才中学</t>
        </is>
      </c>
      <c r="M30" s="377" t="inlineStr">
        <is>
          <t>性格腼腆听话，上课比较认真，阅读答题答不全，审题不仔细，没有在外面学过</t>
        </is>
      </c>
      <c r="N30" s="377" t="inlineStr">
        <is>
          <t>小初衔接+重点班</t>
        </is>
      </c>
      <c r="O30" s="377" t="inlineStr">
        <is>
          <t>妈妈管学习</t>
        </is>
      </c>
      <c r="P30" s="377" t="n"/>
      <c r="Q30" s="377" t="n"/>
      <c r="R30" s="377" t="n"/>
      <c r="S30" s="377" t="n"/>
      <c r="T30" s="377" t="inlineStr">
        <is>
          <t>是</t>
        </is>
      </c>
      <c r="U30" s="377" t="inlineStr">
        <is>
          <t>是</t>
        </is>
      </c>
      <c r="V30" s="377" t="inlineStr">
        <is>
          <t>是</t>
        </is>
      </c>
      <c r="W30" s="377" t="inlineStr">
        <is>
          <t>是</t>
        </is>
      </c>
      <c r="X30" s="377" t="n"/>
      <c r="Y30" s="377" t="inlineStr">
        <is>
          <t>是</t>
        </is>
      </c>
      <c r="Z30" s="377" t="inlineStr">
        <is>
          <t>是</t>
        </is>
      </c>
      <c r="AA30" s="377" t="inlineStr">
        <is>
          <t>是</t>
        </is>
      </c>
      <c r="AB30" s="377" t="n"/>
      <c r="AC30" s="377" t="n"/>
      <c r="AD30" s="377" t="n"/>
      <c r="AE30" s="377" t="n"/>
      <c r="AF30" s="377" t="n"/>
      <c r="AG30" s="377" t="n"/>
      <c r="AH30" s="377" t="n"/>
      <c r="AL30" s="7" t="n"/>
    </row>
    <row r="31" ht="26.25" customHeight="1" s="1053">
      <c r="A31" s="377" t="inlineStr">
        <is>
          <t>同创汇</t>
        </is>
      </c>
      <c r="B31" s="377" t="inlineStr">
        <is>
          <t>零期</t>
        </is>
      </c>
      <c r="C31" s="377" t="n">
        <v>3132905</v>
      </c>
      <c r="D31" s="377" t="inlineStr">
        <is>
          <t>13:20-15:30</t>
        </is>
      </c>
      <c r="E31" s="377" t="inlineStr">
        <is>
          <t>潜能班</t>
        </is>
      </c>
      <c r="F31" s="377" t="inlineStr">
        <is>
          <t>张进桐</t>
        </is>
      </c>
      <c r="G31" s="377" t="inlineStr">
        <is>
          <t>黄铭怡</t>
        </is>
      </c>
      <c r="H31" s="377" t="inlineStr">
        <is>
          <t>陈中帅</t>
        </is>
      </c>
      <c r="I31" s="377" t="inlineStr">
        <is>
          <t>刘希子</t>
        </is>
      </c>
      <c r="J31" s="377" t="inlineStr">
        <is>
          <t>戎凯01</t>
        </is>
      </c>
      <c r="K31" s="377" t="inlineStr">
        <is>
          <t>八一实验小学</t>
        </is>
      </c>
      <c r="L31" s="377" t="inlineStr">
        <is>
          <t>八一实验中学</t>
        </is>
      </c>
      <c r="M31" s="377" t="inlineStr">
        <is>
          <t>认真听课，但最近比较心散松懈，阅读理解弱，成绩容易不稳定</t>
        </is>
      </c>
      <c r="N31" s="377" t="inlineStr">
        <is>
          <t>阅读理解提升，成绩进步</t>
        </is>
      </c>
      <c r="O31" s="377" t="inlineStr">
        <is>
          <t>老生，妈妈负责学习，爷爷比较溺爱孩子，会给孩子手机，沉溺手机</t>
        </is>
      </c>
      <c r="P31" s="377" t="inlineStr">
        <is>
          <t>90左右</t>
        </is>
      </c>
      <c r="Q31" s="377" t="n"/>
      <c r="R31" s="377" t="n"/>
      <c r="S31" s="377" t="n"/>
      <c r="T31" s="377" t="inlineStr">
        <is>
          <t>是</t>
        </is>
      </c>
      <c r="U31" s="377" t="inlineStr">
        <is>
          <t>是</t>
        </is>
      </c>
      <c r="V31" s="377" t="inlineStr">
        <is>
          <t>是</t>
        </is>
      </c>
      <c r="W31" s="377" t="inlineStr">
        <is>
          <t>是</t>
        </is>
      </c>
      <c r="X31" s="377" t="n"/>
      <c r="Y31" s="377" t="inlineStr">
        <is>
          <t>是</t>
        </is>
      </c>
      <c r="Z31" s="377" t="inlineStr">
        <is>
          <t>是</t>
        </is>
      </c>
      <c r="AA31" s="377" t="inlineStr">
        <is>
          <t>是</t>
        </is>
      </c>
      <c r="AB31" s="377" t="n"/>
      <c r="AC31" s="377" t="n"/>
      <c r="AD31" s="377" t="n"/>
      <c r="AE31" s="377" t="n"/>
      <c r="AF31" s="377" t="n"/>
      <c r="AG31" s="377" t="n"/>
      <c r="AH31" s="377" t="inlineStr">
        <is>
          <t>是</t>
        </is>
      </c>
      <c r="AL31" s="7" t="n"/>
    </row>
    <row r="32" ht="26.25" customHeight="1" s="1053">
      <c r="A32" s="377" t="inlineStr">
        <is>
          <t>同创汇</t>
        </is>
      </c>
      <c r="B32" s="377" t="inlineStr">
        <is>
          <t>零期</t>
        </is>
      </c>
      <c r="C32" s="377" t="n">
        <v>3132905</v>
      </c>
      <c r="D32" s="377" t="inlineStr">
        <is>
          <t>13:20-15:30</t>
        </is>
      </c>
      <c r="E32" s="377" t="inlineStr">
        <is>
          <t>潜能班</t>
        </is>
      </c>
      <c r="F32" s="377" t="inlineStr">
        <is>
          <t>李恩</t>
        </is>
      </c>
      <c r="G32" s="377" t="inlineStr">
        <is>
          <t>黄铭怡</t>
        </is>
      </c>
      <c r="H32" s="377" t="inlineStr">
        <is>
          <t>陈中帅</t>
        </is>
      </c>
      <c r="I32" s="377" t="inlineStr">
        <is>
          <t>刘希子</t>
        </is>
      </c>
      <c r="J32" s="377" t="inlineStr">
        <is>
          <t>王丽</t>
        </is>
      </c>
      <c r="K32" s="377" t="inlineStr">
        <is>
          <t>中山二路小学</t>
        </is>
      </c>
      <c r="L32" s="894" t="inlineStr">
        <is>
          <t>摇号等结果
明德八星</t>
        </is>
      </c>
      <c r="M32" s="895" t="inlineStr">
        <is>
          <t>孩子成绩不错，追星，不算主动，但受老师喜欢，阅读理解弱
学习习惯：很扎实，认真；
学习意愿：不用特别管控；
性格：腼腆，慢热</t>
        </is>
      </c>
      <c r="N32" s="377" t="inlineStr">
        <is>
          <t>小初衔接+重点班</t>
        </is>
      </c>
      <c r="O32" s="377" t="n"/>
      <c r="P32" s="377" t="n"/>
      <c r="Q32" s="377" t="n">
        <v>22</v>
      </c>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43" t="inlineStr">
        <is>
          <t>是</t>
        </is>
      </c>
      <c r="AL32" s="7" t="n"/>
    </row>
    <row r="33" ht="26.25" customHeight="1" s="1053">
      <c r="A33" s="377" t="inlineStr">
        <is>
          <t>同创汇</t>
        </is>
      </c>
      <c r="B33" s="377" t="inlineStr">
        <is>
          <t>零期</t>
        </is>
      </c>
      <c r="C33" s="377" t="n">
        <v>3132905</v>
      </c>
      <c r="D33" s="377" t="inlineStr">
        <is>
          <t>13:20-15:30</t>
        </is>
      </c>
      <c r="E33" s="377" t="inlineStr">
        <is>
          <t>潜能班</t>
        </is>
      </c>
      <c r="F33" s="377" t="inlineStr">
        <is>
          <t>李泓睿</t>
        </is>
      </c>
      <c r="G33" s="377" t="inlineStr">
        <is>
          <t>黄铭怡</t>
        </is>
      </c>
      <c r="H33" s="377" t="inlineStr">
        <is>
          <t>陈中帅</t>
        </is>
      </c>
      <c r="I33" s="377" t="inlineStr">
        <is>
          <t>刘希子</t>
        </is>
      </c>
      <c r="J33" s="377" t="inlineStr">
        <is>
          <t>戎凯01</t>
        </is>
      </c>
      <c r="K33" s="377" t="inlineStr">
        <is>
          <t>育才小学</t>
        </is>
      </c>
      <c r="L33" s="377" t="inlineStr">
        <is>
          <t>东风实验</t>
        </is>
      </c>
      <c r="M33" s="896" t="inlineStr">
        <is>
          <t>阅读理解扣分多些，没踩到得分点，作文扣2分左右，喜欢看历史、小说，多数自觉，偶尔需要督促，需要严格。学习习惯：不喜欢复习
学习意愿：还可以
性格：活泼、外向</t>
        </is>
      </c>
      <c r="N33" s="377" t="inlineStr">
        <is>
          <t>小初衔接，提前熟悉</t>
        </is>
      </c>
      <c r="O33" s="377" t="inlineStr">
        <is>
          <t>基本自己搞定，妈妈看一下</t>
        </is>
      </c>
      <c r="P33" s="377" t="inlineStr">
        <is>
          <t>90多</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inlineStr">
        <is>
          <t>C</t>
        </is>
      </c>
      <c r="AE33" s="377" t="n"/>
      <c r="AF33" s="377" t="n"/>
      <c r="AG33" s="377" t="n"/>
      <c r="AH33" s="377" t="n"/>
      <c r="AL33" s="119" t="n"/>
    </row>
    <row r="34" ht="26.25" customHeight="1" s="1053">
      <c r="A34" s="377" t="inlineStr">
        <is>
          <t>同创汇</t>
        </is>
      </c>
      <c r="B34" s="377" t="inlineStr">
        <is>
          <t>零期</t>
        </is>
      </c>
      <c r="C34" s="377" t="n">
        <v>3132905</v>
      </c>
      <c r="D34" s="377" t="inlineStr">
        <is>
          <t>13:20-15:30</t>
        </is>
      </c>
      <c r="E34" s="377" t="inlineStr">
        <is>
          <t>潜能班</t>
        </is>
      </c>
      <c r="F34" s="377" t="inlineStr">
        <is>
          <t>杨元博</t>
        </is>
      </c>
      <c r="G34" s="377" t="inlineStr">
        <is>
          <t>黄铭怡</t>
        </is>
      </c>
      <c r="H34" s="377" t="inlineStr">
        <is>
          <t>陈中帅</t>
        </is>
      </c>
      <c r="I34" s="377" t="n"/>
      <c r="J34" s="377" t="inlineStr">
        <is>
          <t>王丽</t>
        </is>
      </c>
      <c r="K34" s="377" t="inlineStr">
        <is>
          <t>文德路小学</t>
        </is>
      </c>
      <c r="L34" s="377" t="inlineStr">
        <is>
          <t>摇号等结果</t>
        </is>
      </c>
      <c r="M34" s="377" t="inlineStr">
        <is>
          <t>认真听课，愿意学，比较安静听话，但上课会主动，要关注书写</t>
        </is>
      </c>
      <c r="N34" s="377" t="inlineStr">
        <is>
          <t>分班考，成绩进步</t>
        </is>
      </c>
      <c r="O34" s="897" t="inlineStr">
        <is>
          <t>老生，姥姥管学习
姥姥姥爷是广州中学教授</t>
        </is>
      </c>
      <c r="P34" s="377" t="inlineStr">
        <is>
          <t>90+</t>
        </is>
      </c>
      <c r="Q34" s="377" t="n"/>
      <c r="R34" s="377" t="n"/>
      <c r="S34" s="377" t="n"/>
      <c r="T34" s="377" t="inlineStr">
        <is>
          <t>是</t>
        </is>
      </c>
      <c r="U34" s="377" t="inlineStr">
        <is>
          <t>是</t>
        </is>
      </c>
      <c r="V34" s="377" t="inlineStr">
        <is>
          <t>是</t>
        </is>
      </c>
      <c r="W34" s="377" t="inlineStr">
        <is>
          <t>是</t>
        </is>
      </c>
      <c r="X34" s="377" t="n"/>
      <c r="Y34" s="377" t="inlineStr">
        <is>
          <t>是</t>
        </is>
      </c>
      <c r="Z34" s="377" t="inlineStr">
        <is>
          <t>是</t>
        </is>
      </c>
      <c r="AA34" s="377" t="inlineStr">
        <is>
          <t>是</t>
        </is>
      </c>
      <c r="AB34" s="377" t="n"/>
      <c r="AC34" s="377" t="n"/>
      <c r="AD34" s="377" t="n"/>
      <c r="AE34" s="377" t="n"/>
      <c r="AF34" s="377" t="n"/>
      <c r="AG34" s="377" t="n"/>
      <c r="AH34" s="377" t="inlineStr">
        <is>
          <t>是</t>
        </is>
      </c>
      <c r="AL34" s="119" t="n"/>
    </row>
    <row r="35" ht="26.25" customHeight="1" s="1053">
      <c r="A35" s="377" t="inlineStr">
        <is>
          <t>同创汇</t>
        </is>
      </c>
      <c r="B35" s="377" t="inlineStr">
        <is>
          <t>零期</t>
        </is>
      </c>
      <c r="C35" s="377" t="n">
        <v>3132905</v>
      </c>
      <c r="D35" s="377" t="inlineStr">
        <is>
          <t>13:20-15:30</t>
        </is>
      </c>
      <c r="E35" s="377" t="inlineStr">
        <is>
          <t>潜能班</t>
        </is>
      </c>
      <c r="F35" s="377" t="inlineStr">
        <is>
          <t>杨芊羽</t>
        </is>
      </c>
      <c r="G35" s="377" t="inlineStr">
        <is>
          <t>黄铭怡</t>
        </is>
      </c>
      <c r="H35" s="377" t="inlineStr">
        <is>
          <t>陈中帅</t>
        </is>
      </c>
      <c r="I35" s="377" t="inlineStr">
        <is>
          <t>刘希子</t>
        </is>
      </c>
      <c r="J35" s="377" t="inlineStr">
        <is>
          <t>苏丽婷</t>
        </is>
      </c>
      <c r="K35" s="377" t="inlineStr">
        <is>
          <t>水荫路小学</t>
        </is>
      </c>
      <c r="L35" s="377" t="inlineStr">
        <is>
          <t>摇号等结果</t>
        </is>
      </c>
      <c r="M35" s="377" t="inlineStr">
        <is>
          <t>认真听讲，会偷懒，要督促，只能老师布置，额外的一概不做，阅读理解不够深，作文比较口语</t>
        </is>
      </c>
      <c r="N35" s="377" t="inlineStr">
        <is>
          <t>小初衔接+重点班</t>
        </is>
      </c>
      <c r="O35" s="377" t="inlineStr">
        <is>
          <t>不报长期</t>
        </is>
      </c>
      <c r="P35" s="377" t="inlineStr">
        <is>
          <t>90+</t>
        </is>
      </c>
      <c r="Q35" s="377" t="n"/>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1" t="inlineStr">
        <is>
          <t>C</t>
        </is>
      </c>
      <c r="AE35" s="371" t="inlineStr">
        <is>
          <t>问一嘴吧</t>
        </is>
      </c>
      <c r="AF35" s="377" t="n"/>
      <c r="AG35" s="377" t="n"/>
      <c r="AH35" s="377" t="n"/>
      <c r="AL35" s="119" t="n"/>
    </row>
    <row r="36" ht="26.25" customHeight="1" s="1053">
      <c r="A36" s="377" t="inlineStr">
        <is>
          <t>同创汇</t>
        </is>
      </c>
      <c r="B36" s="377" t="inlineStr">
        <is>
          <t>零期</t>
        </is>
      </c>
      <c r="C36" s="377" t="n">
        <v>3132905</v>
      </c>
      <c r="D36" s="377" t="inlineStr">
        <is>
          <t>13:20-15:30</t>
        </is>
      </c>
      <c r="E36" s="377" t="inlineStr">
        <is>
          <t>潜能班</t>
        </is>
      </c>
      <c r="F36" s="377" t="inlineStr">
        <is>
          <t>果儿</t>
        </is>
      </c>
      <c r="G36" s="377" t="inlineStr">
        <is>
          <t>黄铭怡</t>
        </is>
      </c>
      <c r="H36" s="377" t="inlineStr">
        <is>
          <t>陈中帅</t>
        </is>
      </c>
      <c r="I36" s="377" t="inlineStr">
        <is>
          <t>刘希子</t>
        </is>
      </c>
      <c r="J36" s="377" t="inlineStr">
        <is>
          <t>戎凯01</t>
        </is>
      </c>
      <c r="K36" s="377" t="inlineStr">
        <is>
          <t>培正小学</t>
        </is>
      </c>
      <c r="L36" s="377" t="inlineStr">
        <is>
          <t>培正中学</t>
        </is>
      </c>
      <c r="M36" s="377" t="inlineStr">
        <is>
          <t>全方位弱，需要严格的老师，要强督促，要好的课堂纪律，学习习惯不好，错别字多，阅读理解抓不住中心。在品读行学过，但没有进步，家长不满意老师，暑假想两边对比，看孩子吸收情况</t>
        </is>
      </c>
      <c r="N36" s="377" t="inlineStr">
        <is>
          <t>习惯养好，打好基础，提升阅读</t>
        </is>
      </c>
      <c r="O36" s="377" t="inlineStr">
        <is>
          <t>家里还有弟弟，妈妈没空管学习</t>
        </is>
      </c>
      <c r="P36" s="377" t="inlineStr">
        <is>
          <t>80多分</t>
        </is>
      </c>
      <c r="Q36" s="377" t="n"/>
      <c r="R36" s="377" t="n"/>
      <c r="S36" s="377" t="n"/>
      <c r="T36" s="377" t="inlineStr">
        <is>
          <t>是</t>
        </is>
      </c>
      <c r="U36" s="377" t="inlineStr">
        <is>
          <t>是</t>
        </is>
      </c>
      <c r="V36" s="377" t="inlineStr">
        <is>
          <t>是</t>
        </is>
      </c>
      <c r="W36" s="377" t="inlineStr">
        <is>
          <t>是</t>
        </is>
      </c>
      <c r="X36" s="377" t="n"/>
      <c r="Y36" s="377" t="n"/>
      <c r="Z36" s="377" t="n"/>
      <c r="AA36" s="377" t="n"/>
      <c r="AB36" s="377" t="n"/>
      <c r="AC36" s="373" t="n"/>
      <c r="AD36" s="275" t="n"/>
      <c r="AE36" s="275" t="n"/>
      <c r="AF36" s="379" t="n"/>
      <c r="AG36" s="377" t="n"/>
      <c r="AH36" s="377" t="n"/>
      <c r="AL36" s="119" t="n"/>
    </row>
    <row r="37" ht="26.25" customHeight="1" s="1053">
      <c r="A37" s="377" t="inlineStr">
        <is>
          <t>同创汇</t>
        </is>
      </c>
      <c r="B37" s="377" t="inlineStr">
        <is>
          <t>零期</t>
        </is>
      </c>
      <c r="C37" s="377" t="n">
        <v>3132905</v>
      </c>
      <c r="D37" s="377" t="inlineStr">
        <is>
          <t>13:20-15:30</t>
        </is>
      </c>
      <c r="E37" s="377" t="inlineStr">
        <is>
          <t>潜能班</t>
        </is>
      </c>
      <c r="F37" s="377" t="inlineStr">
        <is>
          <t>肖宸熙</t>
        </is>
      </c>
      <c r="G37" s="377" t="inlineStr">
        <is>
          <t>黄铭怡</t>
        </is>
      </c>
      <c r="H37" s="377" t="inlineStr">
        <is>
          <t>陈中帅</t>
        </is>
      </c>
      <c r="I37" s="377" t="inlineStr">
        <is>
          <t>刘希子</t>
        </is>
      </c>
      <c r="J37" s="377" t="inlineStr">
        <is>
          <t>王丽</t>
        </is>
      </c>
      <c r="K37" s="377" t="inlineStr">
        <is>
          <t>执信南路小学</t>
        </is>
      </c>
      <c r="L37" s="377" t="inlineStr">
        <is>
          <t>摇号等结果</t>
        </is>
      </c>
      <c r="M37" s="377" t="inlineStr">
        <is>
          <t>上课走神，学习习惯不好，拖拉，容易请假，阅读和作文弱，学习意愿不太强</t>
        </is>
      </c>
      <c r="N37" s="377" t="n"/>
      <c r="O37" s="377" t="inlineStr">
        <is>
          <t>短期羊毛</t>
        </is>
      </c>
      <c r="P37" s="377" t="inlineStr">
        <is>
          <t>A</t>
        </is>
      </c>
      <c r="Q37" s="377" t="n">
        <v>43</v>
      </c>
      <c r="R37" s="377" t="n"/>
      <c r="S37" s="377" t="n"/>
      <c r="T37" s="377" t="inlineStr">
        <is>
          <t>是</t>
        </is>
      </c>
      <c r="U37" s="377" t="inlineStr">
        <is>
          <t>是</t>
        </is>
      </c>
      <c r="V37" s="377" t="inlineStr">
        <is>
          <t>是</t>
        </is>
      </c>
      <c r="W37" s="377" t="inlineStr">
        <is>
          <t>是</t>
        </is>
      </c>
      <c r="X37" s="377" t="n"/>
      <c r="Y37" s="377" t="n"/>
      <c r="Z37" s="377" t="inlineStr">
        <is>
          <t>是</t>
        </is>
      </c>
      <c r="AA37" s="377" t="inlineStr">
        <is>
          <t>是</t>
        </is>
      </c>
      <c r="AB37" s="377" t="n"/>
      <c r="AC37" s="377" t="n"/>
      <c r="AD37" s="372" t="inlineStr">
        <is>
          <t>C</t>
        </is>
      </c>
      <c r="AE37" s="372" t="inlineStr">
        <is>
          <t>问一嘴吧</t>
        </is>
      </c>
      <c r="AF37" s="377" t="n"/>
      <c r="AG37" s="377" t="n"/>
      <c r="AH37" s="377" t="n"/>
      <c r="AL37" s="119" t="n"/>
    </row>
    <row r="38" ht="26.25" customHeight="1" s="1053">
      <c r="A38" s="377" t="inlineStr">
        <is>
          <t>同创汇</t>
        </is>
      </c>
      <c r="B38" s="377" t="inlineStr">
        <is>
          <t>零期</t>
        </is>
      </c>
      <c r="C38" s="377" t="n">
        <v>3132905</v>
      </c>
      <c r="D38" s="377" t="inlineStr">
        <is>
          <t>13:20-15:30</t>
        </is>
      </c>
      <c r="E38" s="377" t="inlineStr">
        <is>
          <t>潜能班</t>
        </is>
      </c>
      <c r="F38" s="377" t="inlineStr">
        <is>
          <t>邢婧萱</t>
        </is>
      </c>
      <c r="G38" s="377" t="inlineStr">
        <is>
          <t>黄铭怡</t>
        </is>
      </c>
      <c r="H38" s="377" t="inlineStr">
        <is>
          <t>田雨涵01</t>
        </is>
      </c>
      <c r="I38" s="377" t="inlineStr">
        <is>
          <t>刘希子</t>
        </is>
      </c>
      <c r="J38" s="377" t="inlineStr">
        <is>
          <t>苏丽婷</t>
        </is>
      </c>
      <c r="K38" s="377" t="inlineStr">
        <is>
          <t>永曜北</t>
        </is>
      </c>
      <c r="L38" s="377" t="inlineStr">
        <is>
          <t>摇号等结果</t>
        </is>
      </c>
      <c r="M38" s="377" t="inlineStr">
        <is>
          <t>认真听课，愿意学，会迟到，要多关注鼓励，成绩一般，自主性较差，性格内向</t>
        </is>
      </c>
      <c r="N38" s="377" t="inlineStr">
        <is>
          <t>成绩进步，阅读理解和作文提升</t>
        </is>
      </c>
      <c r="O38" s="377" t="inlineStr">
        <is>
          <t>老生</t>
        </is>
      </c>
      <c r="P38" s="377" t="inlineStr">
        <is>
          <t>A</t>
        </is>
      </c>
      <c r="Q38" s="377" t="n"/>
      <c r="R38" s="377" t="n"/>
      <c r="S38" s="377" t="n"/>
      <c r="T38" s="377" t="inlineStr">
        <is>
          <t>是</t>
        </is>
      </c>
      <c r="U38" s="377" t="inlineStr">
        <is>
          <t>是</t>
        </is>
      </c>
      <c r="V38" s="377" t="inlineStr">
        <is>
          <t>是</t>
        </is>
      </c>
      <c r="W38" s="377" t="inlineStr">
        <is>
          <t>是</t>
        </is>
      </c>
      <c r="X38" s="377" t="n"/>
      <c r="Y38" s="377" t="n"/>
      <c r="Z38" s="377" t="inlineStr">
        <is>
          <t>是</t>
        </is>
      </c>
      <c r="AA38" s="377" t="n"/>
      <c r="AB38" s="377" t="n"/>
      <c r="AC38" s="377" t="n"/>
      <c r="AD38" s="377" t="n"/>
      <c r="AE38" s="377" t="n"/>
      <c r="AF38" s="377" t="n"/>
      <c r="AG38" s="377" t="n"/>
      <c r="AH38" s="377" t="inlineStr">
        <is>
          <t>是</t>
        </is>
      </c>
      <c r="AL38" s="281" t="n"/>
    </row>
    <row r="39" ht="26.25" customHeight="1" s="1053">
      <c r="A39" s="377" t="inlineStr">
        <is>
          <t>同创汇</t>
        </is>
      </c>
      <c r="B39" s="377" t="inlineStr">
        <is>
          <t>零期</t>
        </is>
      </c>
      <c r="C39" s="377" t="n">
        <v>3132905</v>
      </c>
      <c r="D39" s="377" t="inlineStr">
        <is>
          <t>13:20-15:30</t>
        </is>
      </c>
      <c r="E39" s="377" t="inlineStr">
        <is>
          <t>潜能班</t>
        </is>
      </c>
      <c r="F39" s="377" t="inlineStr">
        <is>
          <t>邱兆臻</t>
        </is>
      </c>
      <c r="G39" s="377" t="inlineStr">
        <is>
          <t>黄铭怡</t>
        </is>
      </c>
      <c r="H39" s="377" t="inlineStr">
        <is>
          <t>田雨涵01</t>
        </is>
      </c>
      <c r="I39" s="377" t="inlineStr">
        <is>
          <t>刘希子</t>
        </is>
      </c>
      <c r="J39" s="377" t="inlineStr">
        <is>
          <t>王丽</t>
        </is>
      </c>
      <c r="K39" s="377" t="inlineStr">
        <is>
          <t>培正小学</t>
        </is>
      </c>
      <c r="L39" s="377" t="inlineStr">
        <is>
          <t>培正中学</t>
        </is>
      </c>
      <c r="M39" s="377" t="inlineStr">
        <is>
          <t>孩子认真听课，愿意学，有时会走神，认老师，家长年纪比较大，比较强硬固执，沟通要注意些</t>
        </is>
      </c>
      <c r="N39" s="377" t="inlineStr">
        <is>
          <t>小初衔接+重点班</t>
        </is>
      </c>
      <c r="O39" s="377" t="inlineStr">
        <is>
          <t>老生</t>
        </is>
      </c>
      <c r="P39" s="377" t="inlineStr">
        <is>
          <t>90+</t>
        </is>
      </c>
      <c r="Q39" s="377" t="n"/>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inlineStr">
        <is>
          <t>是</t>
        </is>
      </c>
      <c r="AI39" s="343" t="inlineStr">
        <is>
          <t>是</t>
        </is>
      </c>
      <c r="AJ39" s="342" t="inlineStr">
        <is>
          <t>面聊</t>
        </is>
      </c>
      <c r="AL39" s="281" t="n"/>
    </row>
    <row r="40" ht="26.25" customHeight="1" s="1053">
      <c r="A40" s="377" t="inlineStr">
        <is>
          <t>同创汇</t>
        </is>
      </c>
      <c r="B40" s="377" t="inlineStr">
        <is>
          <t>零期</t>
        </is>
      </c>
      <c r="C40" s="377" t="n">
        <v>3132905</v>
      </c>
      <c r="D40" s="377" t="inlineStr">
        <is>
          <t>13:20-15:30</t>
        </is>
      </c>
      <c r="E40" s="377" t="inlineStr">
        <is>
          <t>潜能班</t>
        </is>
      </c>
      <c r="F40" s="377" t="inlineStr">
        <is>
          <t>郭芃泽</t>
        </is>
      </c>
      <c r="G40" s="377" t="inlineStr">
        <is>
          <t>黄铭怡</t>
        </is>
      </c>
      <c r="H40" s="377" t="inlineStr">
        <is>
          <t>陈中帅</t>
        </is>
      </c>
      <c r="I40" s="377" t="n"/>
      <c r="J40" s="377" t="inlineStr">
        <is>
          <t>王丽</t>
        </is>
      </c>
      <c r="K40" s="377" t="inlineStr">
        <is>
          <t>水荫路小学</t>
        </is>
      </c>
      <c r="L40" s="377" t="inlineStr">
        <is>
          <t>摇号等结果</t>
        </is>
      </c>
      <c r="M40" s="898" t="inlineStr">
        <is>
          <t>阅读理解弱，需要督促
学习态度：比较认真
学习习惯：会认真完成作业
性格：顽皮</t>
        </is>
      </c>
      <c r="N40" s="899" t="inlineStr">
        <is>
          <t>短期：分班考
长期：成绩进步</t>
        </is>
      </c>
      <c r="O40" s="377" t="inlineStr">
        <is>
          <t>爸爸管学习，部队大院的</t>
        </is>
      </c>
      <c r="P40" s="377" t="n">
        <v>85</v>
      </c>
      <c r="Q40" s="377" t="n">
        <v>30</v>
      </c>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inlineStr">
        <is>
          <t>是</t>
        </is>
      </c>
      <c r="AL40" s="281" t="n"/>
    </row>
    <row r="41" ht="26.25" customHeight="1" s="1053">
      <c r="A41" s="377" t="inlineStr">
        <is>
          <t>同创汇</t>
        </is>
      </c>
      <c r="B41" s="377" t="inlineStr">
        <is>
          <t>零期</t>
        </is>
      </c>
      <c r="C41" s="377" t="n">
        <v>3132905</v>
      </c>
      <c r="D41" s="377" t="inlineStr">
        <is>
          <t>13:20-15:30</t>
        </is>
      </c>
      <c r="E41" s="377" t="inlineStr">
        <is>
          <t>潜能班</t>
        </is>
      </c>
      <c r="F41" s="377" t="inlineStr">
        <is>
          <t>郭蕴文</t>
        </is>
      </c>
      <c r="G41" s="377" t="inlineStr">
        <is>
          <t>黄铭怡</t>
        </is>
      </c>
      <c r="H41" s="377" t="inlineStr">
        <is>
          <t>陈中帅</t>
        </is>
      </c>
      <c r="I41" s="377" t="inlineStr">
        <is>
          <t>刘希子</t>
        </is>
      </c>
      <c r="J41" s="377" t="inlineStr">
        <is>
          <t>沈思浩</t>
        </is>
      </c>
      <c r="K41" s="377" t="inlineStr">
        <is>
          <t>龙口西小学</t>
        </is>
      </c>
      <c r="L41" s="377" t="inlineStr">
        <is>
          <t>直升广州中学</t>
        </is>
      </c>
      <c r="M41" s="900" t="inlineStr">
        <is>
          <t>学习态度：督促完成作业，会迟到，不抗拒
学习习惯：做题习惯一般，喜欢跳步
性格：有点儿癫</t>
        </is>
      </c>
      <c r="N41" s="377" t="inlineStr">
        <is>
          <t>小初衔接</t>
        </is>
      </c>
      <c r="O41" s="377" t="inlineStr">
        <is>
          <t>妈妈管学习，有点儿事多</t>
        </is>
      </c>
      <c r="P41" s="377" t="n">
        <v>80</v>
      </c>
      <c r="Q41" s="377" t="n">
        <v>87</v>
      </c>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inlineStr">
        <is>
          <t>是</t>
        </is>
      </c>
      <c r="AI41" s="343" t="inlineStr">
        <is>
          <t>是</t>
        </is>
      </c>
      <c r="AJ41" s="342" t="inlineStr">
        <is>
          <t>面聊</t>
        </is>
      </c>
      <c r="AL41" s="281" t="n"/>
    </row>
    <row r="42" ht="26.25" customHeight="1" s="1053">
      <c r="A42" s="377" t="inlineStr">
        <is>
          <t>同创汇</t>
        </is>
      </c>
      <c r="B42" s="377" t="inlineStr">
        <is>
          <t>零期</t>
        </is>
      </c>
      <c r="C42" s="377" t="n">
        <v>3132905</v>
      </c>
      <c r="D42" s="377" t="inlineStr">
        <is>
          <t>13:20-15:30</t>
        </is>
      </c>
      <c r="E42" s="377" t="inlineStr">
        <is>
          <t>潜能班</t>
        </is>
      </c>
      <c r="F42" s="377" t="inlineStr">
        <is>
          <t>陈艺凡</t>
        </is>
      </c>
      <c r="G42" s="377" t="inlineStr">
        <is>
          <t>黄铭怡</t>
        </is>
      </c>
      <c r="H42" s="377" t="inlineStr">
        <is>
          <t>陈中帅</t>
        </is>
      </c>
      <c r="I42" s="377" t="inlineStr">
        <is>
          <t>刘希子</t>
        </is>
      </c>
      <c r="J42" s="377" t="inlineStr">
        <is>
          <t>戎凯01</t>
        </is>
      </c>
      <c r="K42" s="377" t="n"/>
      <c r="L42" s="377" t="inlineStr">
        <is>
          <t>十六中</t>
        </is>
      </c>
      <c r="M42" s="377" t="inlineStr">
        <is>
          <t>练毛笔字，语文没有在外面学过，没有文言文拓展，爱看书，最近看金庸武侠小说，但名著少，不理解，自觉，不用督促</t>
        </is>
      </c>
      <c r="N42" s="377" t="inlineStr">
        <is>
          <t>兴趣、培养，文言文积累，引导名著阅读，期待语文更上一层楼</t>
        </is>
      </c>
      <c r="O42" s="377" t="inlineStr">
        <is>
          <t>家长比较开明，全面发展</t>
        </is>
      </c>
      <c r="P42" s="377" t="inlineStr">
        <is>
          <t>95以上</t>
        </is>
      </c>
      <c r="Q42" s="377" t="n">
        <v>37</v>
      </c>
      <c r="R42" s="377" t="n"/>
      <c r="S42" s="377" t="n"/>
      <c r="T42" s="377" t="inlineStr">
        <is>
          <t>是</t>
        </is>
      </c>
      <c r="U42" s="377" t="inlineStr">
        <is>
          <t>是</t>
        </is>
      </c>
      <c r="V42" s="377" t="inlineStr">
        <is>
          <t>是</t>
        </is>
      </c>
      <c r="W42" s="377" t="inlineStr">
        <is>
          <t>是</t>
        </is>
      </c>
      <c r="X42" s="377" t="n"/>
      <c r="Y42" s="377" t="n"/>
      <c r="Z42" s="377" t="inlineStr">
        <is>
          <t>是</t>
        </is>
      </c>
      <c r="AA42" s="377" t="inlineStr">
        <is>
          <t>是</t>
        </is>
      </c>
      <c r="AB42" s="377" t="n"/>
      <c r="AC42" s="377" t="n"/>
      <c r="AD42" s="377" t="n"/>
      <c r="AE42" s="377" t="n"/>
      <c r="AF42" s="377" t="n"/>
      <c r="AG42" s="377" t="n"/>
      <c r="AH42" s="377" t="n"/>
      <c r="AI42" s="343" t="inlineStr">
        <is>
          <t>是</t>
        </is>
      </c>
      <c r="AL42" s="281" t="n"/>
    </row>
    <row r="43" ht="26.25" customHeight="1" s="1053">
      <c r="A43" s="377" t="inlineStr">
        <is>
          <t>同创汇</t>
        </is>
      </c>
      <c r="B43" s="377" t="inlineStr">
        <is>
          <t>零期</t>
        </is>
      </c>
      <c r="C43" s="377" t="n">
        <v>3132905</v>
      </c>
      <c r="D43" s="377" t="inlineStr">
        <is>
          <t>13:20-15:30</t>
        </is>
      </c>
      <c r="E43" s="377" t="inlineStr">
        <is>
          <t>潜能班</t>
        </is>
      </c>
      <c r="F43" s="377" t="inlineStr">
        <is>
          <t>黄馨可</t>
        </is>
      </c>
      <c r="G43" s="377" t="inlineStr">
        <is>
          <t>黄铭怡</t>
        </is>
      </c>
      <c r="H43" s="377" t="inlineStr">
        <is>
          <t>陈中帅</t>
        </is>
      </c>
      <c r="I43" s="377" t="inlineStr">
        <is>
          <t>刘希子</t>
        </is>
      </c>
      <c r="J43" s="377" t="inlineStr">
        <is>
          <t>王丽</t>
        </is>
      </c>
      <c r="K43" s="377" t="inlineStr">
        <is>
          <t>水荫路小学</t>
        </is>
      </c>
      <c r="L43" s="377" t="inlineStr">
        <is>
          <t>七中东山</t>
        </is>
      </c>
      <c r="M43" s="901" t="inlineStr">
        <is>
          <t>学习态度：不主动学习，强督促，不写作业，一定要盯，赶作业就乱抄。反应快，学得快，错别字多。学过私教到六上，平常爱看小说，不看名著。
学习习惯：字迹潦草，很聪明
性格：顽皮</t>
        </is>
      </c>
      <c r="N43" s="377" t="inlineStr">
        <is>
          <t>有个地方关起来补课多学，希望孩子多主动一些学习，多看名著</t>
        </is>
      </c>
      <c r="O43" s="377" t="inlineStr">
        <is>
          <t>妈妈管学习</t>
        </is>
      </c>
      <c r="P43" s="377" t="n">
        <v>90</v>
      </c>
      <c r="Q43" s="377" t="n"/>
      <c r="R43" s="377" t="n"/>
      <c r="S43" s="377" t="n"/>
      <c r="T43" s="377" t="inlineStr">
        <is>
          <t>是</t>
        </is>
      </c>
      <c r="U43" s="377" t="inlineStr">
        <is>
          <t>是</t>
        </is>
      </c>
      <c r="V43" s="377" t="inlineStr">
        <is>
          <t>是</t>
        </is>
      </c>
      <c r="W43" s="377" t="inlineStr">
        <is>
          <t>是</t>
        </is>
      </c>
      <c r="X43" s="377" t="n"/>
      <c r="Y43" s="377" t="n"/>
      <c r="Z43" s="377" t="n"/>
      <c r="AA43" s="377" t="n"/>
      <c r="AB43" s="377" t="n"/>
      <c r="AC43" s="377" t="n"/>
      <c r="AD43" s="377" t="n"/>
      <c r="AE43" s="377" t="n"/>
      <c r="AF43" s="377" t="n"/>
      <c r="AG43" s="377" t="n"/>
      <c r="AH43" s="377" t="inlineStr">
        <is>
          <t>是</t>
        </is>
      </c>
      <c r="AI43" s="343" t="inlineStr">
        <is>
          <t>是</t>
        </is>
      </c>
      <c r="AL43" s="281" t="n"/>
    </row>
    <row r="44" hidden="1" ht="26.25" customHeight="1" s="1053">
      <c r="A44" s="377" t="inlineStr">
        <is>
          <t>同创汇</t>
        </is>
      </c>
      <c r="B44" s="377" t="inlineStr">
        <is>
          <t>一期</t>
        </is>
      </c>
      <c r="C44" s="377" t="n">
        <v>5230828</v>
      </c>
      <c r="D44" s="377" t="inlineStr">
        <is>
          <t>10:20-12:30</t>
        </is>
      </c>
      <c r="E44" s="377" t="inlineStr">
        <is>
          <t>潜能班</t>
        </is>
      </c>
      <c r="F44" s="377" t="inlineStr">
        <is>
          <t>余宸逸</t>
        </is>
      </c>
      <c r="G44" s="377" t="inlineStr">
        <is>
          <t>黄铭怡</t>
        </is>
      </c>
      <c r="H44" s="377" t="n"/>
      <c r="I44" s="377" t="n"/>
      <c r="J44" s="377" t="n"/>
      <c r="K44" s="377" t="n"/>
      <c r="L44" s="377" t="n"/>
      <c r="M44" s="377" t="n"/>
      <c r="N44" s="377" t="n"/>
      <c r="O44" s="377" t="inlineStr">
        <is>
          <t>老生</t>
        </is>
      </c>
      <c r="P44" s="377" t="n"/>
      <c r="Q44" s="377" t="n"/>
      <c r="R44" s="377" t="n"/>
      <c r="S44" s="377" t="n"/>
      <c r="T44" s="377" t="inlineStr">
        <is>
          <t>是</t>
        </is>
      </c>
      <c r="U44" s="377" t="inlineStr">
        <is>
          <t>是</t>
        </is>
      </c>
      <c r="V44" s="377" t="n"/>
      <c r="W44" s="377" t="n"/>
      <c r="X44" s="377" t="n"/>
      <c r="Y44" s="377" t="n"/>
      <c r="Z44" s="377" t="n"/>
      <c r="AA44" s="377" t="n"/>
      <c r="AB44" s="377" t="n"/>
      <c r="AC44" s="377" t="n"/>
      <c r="AD44" s="377" t="n"/>
      <c r="AE44" s="377" t="n"/>
      <c r="AF44" s="377" t="n"/>
      <c r="AG44" s="377" t="n"/>
      <c r="AH44" s="377" t="inlineStr">
        <is>
          <t>是</t>
        </is>
      </c>
      <c r="AL44" s="281" t="n"/>
    </row>
    <row r="45" hidden="1" ht="26.25" customHeight="1" s="1053">
      <c r="A45" s="377" t="inlineStr">
        <is>
          <t>同创汇</t>
        </is>
      </c>
      <c r="B45" s="377" t="inlineStr">
        <is>
          <t>一期</t>
        </is>
      </c>
      <c r="C45" s="377" t="n">
        <v>5230828</v>
      </c>
      <c r="D45" s="377" t="inlineStr">
        <is>
          <t>10:20-12:30</t>
        </is>
      </c>
      <c r="E45" s="377" t="inlineStr">
        <is>
          <t>潜能班</t>
        </is>
      </c>
      <c r="F45" s="377" t="inlineStr">
        <is>
          <t>刘亦馨</t>
        </is>
      </c>
      <c r="G45" s="377" t="inlineStr">
        <is>
          <t>黄铭怡</t>
        </is>
      </c>
      <c r="H45" s="377" t="inlineStr">
        <is>
          <t>陈中帅</t>
        </is>
      </c>
      <c r="I45" s="377" t="inlineStr">
        <is>
          <t>高心怡04</t>
        </is>
      </c>
      <c r="J45" s="377" t="inlineStr">
        <is>
          <t>戎凯01</t>
        </is>
      </c>
      <c r="K45" s="377" t="n"/>
      <c r="L45" s="377" t="n"/>
      <c r="M45" s="377" t="n"/>
      <c r="N45" s="377" t="n"/>
      <c r="O45" s="377" t="n"/>
      <c r="P45" s="377" t="n"/>
      <c r="Q45" s="377" t="n"/>
      <c r="R45" s="377" t="n"/>
      <c r="S45" s="377" t="n"/>
      <c r="T45" s="377" t="n"/>
      <c r="U45" s="377" t="n"/>
      <c r="V45" s="377" t="n"/>
      <c r="W45" s="377" t="n"/>
      <c r="X45" s="377" t="n"/>
      <c r="Y45" s="377" t="n"/>
      <c r="Z45" s="377" t="n"/>
      <c r="AA45" s="377" t="n"/>
      <c r="AB45" s="377" t="n"/>
      <c r="AC45" s="377" t="n"/>
      <c r="AD45" s="377" t="n"/>
      <c r="AE45" s="377" t="n"/>
      <c r="AF45" s="377" t="n"/>
      <c r="AG45" s="377" t="n"/>
      <c r="AH45" s="377" t="n"/>
      <c r="AL45" s="281" t="n"/>
    </row>
    <row r="46" hidden="1" ht="26.25" customHeight="1" s="1053">
      <c r="A46" s="377" t="inlineStr">
        <is>
          <t>同创汇</t>
        </is>
      </c>
      <c r="B46" s="377" t="inlineStr">
        <is>
          <t>一期</t>
        </is>
      </c>
      <c r="C46" s="377" t="n">
        <v>5230828</v>
      </c>
      <c r="D46" s="377" t="inlineStr">
        <is>
          <t>10:20-12:30</t>
        </is>
      </c>
      <c r="E46" s="377" t="inlineStr">
        <is>
          <t>潜能班</t>
        </is>
      </c>
      <c r="F46" s="377" t="inlineStr">
        <is>
          <t>刘庭玮</t>
        </is>
      </c>
      <c r="G46" s="377" t="inlineStr">
        <is>
          <t>黄铭怡</t>
        </is>
      </c>
      <c r="H46" s="377" t="inlineStr">
        <is>
          <t>陈中帅</t>
        </is>
      </c>
      <c r="I46" s="377" t="inlineStr">
        <is>
          <t>高心怡04</t>
        </is>
      </c>
      <c r="J46" s="377" t="inlineStr">
        <is>
          <t>戎凯01</t>
        </is>
      </c>
      <c r="K46" s="377" t="inlineStr">
        <is>
          <t>秉正小学</t>
        </is>
      </c>
      <c r="L46" s="902" t="inlineStr">
        <is>
          <t>摇号等结果
明德八星</t>
        </is>
      </c>
      <c r="M46" s="377" t="n"/>
      <c r="N46" s="377" t="inlineStr">
        <is>
          <t>中考自招</t>
        </is>
      </c>
      <c r="O46" s="377" t="n"/>
      <c r="P46" s="377" t="n"/>
      <c r="Q46" s="377" t="n">
        <v>26</v>
      </c>
      <c r="R46" s="377" t="n"/>
      <c r="S46" s="377" t="n"/>
      <c r="T46" s="377" t="n"/>
      <c r="U46" s="377" t="n"/>
      <c r="V46" s="377" t="n"/>
      <c r="W46" s="377" t="n"/>
      <c r="X46" s="377" t="n"/>
      <c r="Y46" s="377" t="n"/>
      <c r="Z46" s="377" t="n"/>
      <c r="AA46" s="377" t="n"/>
      <c r="AB46" s="377" t="n"/>
      <c r="AC46" s="377" t="n"/>
      <c r="AD46" s="377" t="n"/>
      <c r="AE46" s="377" t="n"/>
      <c r="AF46" s="377" t="n"/>
      <c r="AG46" s="377" t="n"/>
      <c r="AH46" s="377" t="n"/>
      <c r="AL46" s="281" t="n"/>
    </row>
    <row r="47" hidden="1" ht="26.25" customHeight="1" s="1053">
      <c r="A47" s="377" t="inlineStr">
        <is>
          <t>同创汇</t>
        </is>
      </c>
      <c r="B47" s="377" t="inlineStr">
        <is>
          <t>一期</t>
        </is>
      </c>
      <c r="C47" s="377" t="n">
        <v>5230828</v>
      </c>
      <c r="D47" s="377" t="inlineStr">
        <is>
          <t>10:20-12:30</t>
        </is>
      </c>
      <c r="E47" s="377" t="inlineStr">
        <is>
          <t>潜能班</t>
        </is>
      </c>
      <c r="F47" s="377" t="inlineStr">
        <is>
          <t>刘玺君</t>
        </is>
      </c>
      <c r="G47" s="377" t="inlineStr">
        <is>
          <t>黄铭怡</t>
        </is>
      </c>
      <c r="H47" s="377" t="inlineStr">
        <is>
          <t>陈中帅</t>
        </is>
      </c>
      <c r="I47" s="377" t="inlineStr">
        <is>
          <t>高心怡04</t>
        </is>
      </c>
      <c r="J47" s="377" t="inlineStr">
        <is>
          <t>熊天宝01</t>
        </is>
      </c>
      <c r="K47" s="377" t="n"/>
      <c r="L47" s="377" t="n"/>
      <c r="M47" s="377" t="n"/>
      <c r="N47" s="377" t="n"/>
      <c r="O47" s="377" t="inlineStr">
        <is>
          <t>短期羊毛常客</t>
        </is>
      </c>
      <c r="P47" s="377" t="n"/>
      <c r="Q47" s="377" t="n"/>
      <c r="R47" s="377" t="n"/>
      <c r="S47" s="377" t="n"/>
      <c r="T47" s="377" t="inlineStr">
        <is>
          <t>是</t>
        </is>
      </c>
      <c r="U47" s="377" t="inlineStr">
        <is>
          <t>是</t>
        </is>
      </c>
      <c r="V47" s="377" t="n"/>
      <c r="W47" s="377" t="n"/>
      <c r="X47" s="377" t="n"/>
      <c r="Y47" s="377" t="n"/>
      <c r="Z47" s="377" t="n"/>
      <c r="AA47" s="377" t="n"/>
      <c r="AB47" s="377" t="n"/>
      <c r="AC47" s="377" t="n"/>
      <c r="AD47" s="377" t="n"/>
      <c r="AE47" s="377" t="n"/>
      <c r="AF47" s="377" t="n"/>
      <c r="AG47" s="377" t="n"/>
      <c r="AH47" s="377" t="n"/>
      <c r="AL47" s="281" t="n"/>
    </row>
    <row r="48" hidden="1" ht="26.25" customHeight="1" s="1053">
      <c r="A48" s="377" t="inlineStr">
        <is>
          <t>同创汇</t>
        </is>
      </c>
      <c r="B48" s="377" t="inlineStr">
        <is>
          <t>一期</t>
        </is>
      </c>
      <c r="C48" s="377" t="n">
        <v>5230828</v>
      </c>
      <c r="D48" s="377" t="inlineStr">
        <is>
          <t>10:20-12:30</t>
        </is>
      </c>
      <c r="E48" s="377" t="inlineStr">
        <is>
          <t>潜能班</t>
        </is>
      </c>
      <c r="F48" s="377" t="inlineStr">
        <is>
          <t>叶蓉臻</t>
        </is>
      </c>
      <c r="G48" s="377" t="inlineStr">
        <is>
          <t>黄铭怡</t>
        </is>
      </c>
      <c r="H48" s="377" t="inlineStr">
        <is>
          <t>陈中帅</t>
        </is>
      </c>
      <c r="I48" s="377" t="inlineStr">
        <is>
          <t>高心怡04</t>
        </is>
      </c>
      <c r="J48" s="377" t="inlineStr">
        <is>
          <t>戎凯01</t>
        </is>
      </c>
      <c r="K48" s="377" t="n"/>
      <c r="L48" s="377" t="n"/>
      <c r="M48" s="377" t="n"/>
      <c r="N48" s="377" t="n"/>
      <c r="O48" s="377" t="inlineStr">
        <is>
          <t>老生</t>
        </is>
      </c>
      <c r="P48" s="377" t="n"/>
      <c r="Q48" s="377" t="n"/>
      <c r="R48" s="377" t="n"/>
      <c r="S48" s="377" t="n"/>
      <c r="T48" s="377" t="inlineStr">
        <is>
          <t>是</t>
        </is>
      </c>
      <c r="U48" s="377" t="inlineStr">
        <is>
          <t>是</t>
        </is>
      </c>
      <c r="V48" s="377" t="n"/>
      <c r="W48" s="377" t="n"/>
      <c r="X48" s="377" t="n"/>
      <c r="Y48" s="377" t="n"/>
      <c r="Z48" s="377" t="n"/>
      <c r="AA48" s="377" t="n"/>
      <c r="AB48" s="377" t="n"/>
      <c r="AC48" s="377" t="n"/>
      <c r="AD48" s="377" t="n"/>
      <c r="AE48" s="377" t="n"/>
      <c r="AF48" s="377" t="n"/>
      <c r="AG48" s="377" t="n"/>
      <c r="AH48" s="377" t="inlineStr">
        <is>
          <t>是</t>
        </is>
      </c>
      <c r="AL48" s="281" t="n"/>
    </row>
    <row r="49" hidden="1" ht="26.25" customHeight="1" s="1053">
      <c r="A49" s="377" t="inlineStr">
        <is>
          <t>同创汇</t>
        </is>
      </c>
      <c r="B49" s="377" t="inlineStr">
        <is>
          <t>一期</t>
        </is>
      </c>
      <c r="C49" s="377" t="n">
        <v>5230828</v>
      </c>
      <c r="D49" s="377" t="inlineStr">
        <is>
          <t>10:20-12:30</t>
        </is>
      </c>
      <c r="E49" s="377" t="inlineStr">
        <is>
          <t>潜能班</t>
        </is>
      </c>
      <c r="F49" s="377" t="inlineStr">
        <is>
          <t>吴钦霖</t>
        </is>
      </c>
      <c r="G49" s="377" t="inlineStr">
        <is>
          <t>黄铭怡</t>
        </is>
      </c>
      <c r="H49" s="377" t="inlineStr">
        <is>
          <t>陈中帅</t>
        </is>
      </c>
      <c r="I49" s="377" t="inlineStr">
        <is>
          <t>刘希子</t>
        </is>
      </c>
      <c r="J49" s="377" t="inlineStr">
        <is>
          <t>苏丽婷</t>
        </is>
      </c>
      <c r="K49" s="377" t="inlineStr">
        <is>
          <t>铁一小学</t>
        </is>
      </c>
      <c r="L49" s="377" t="inlineStr">
        <is>
          <t>摇号等结果</t>
        </is>
      </c>
      <c r="M49" s="377" t="n"/>
      <c r="N49" s="377" t="n"/>
      <c r="O49" s="377" t="n"/>
      <c r="P49" s="377" t="n"/>
      <c r="Q49" s="377" t="n">
        <v>28</v>
      </c>
      <c r="R49" s="377" t="n"/>
      <c r="S49" s="377" t="n"/>
      <c r="T49" s="377" t="inlineStr">
        <is>
          <t>是</t>
        </is>
      </c>
      <c r="U49" s="377" t="n"/>
      <c r="V49" s="377" t="inlineStr">
        <is>
          <t>是</t>
        </is>
      </c>
      <c r="W49" s="377" t="inlineStr">
        <is>
          <t>是</t>
        </is>
      </c>
      <c r="X49" s="377" t="n"/>
      <c r="Y49" s="377" t="n"/>
      <c r="Z49" s="377" t="n"/>
      <c r="AA49" s="377" t="n"/>
      <c r="AB49" s="377" t="n"/>
      <c r="AC49" s="377" t="n"/>
      <c r="AD49" s="377" t="n"/>
      <c r="AE49" s="377" t="n"/>
      <c r="AF49" s="377" t="n"/>
      <c r="AG49" s="377" t="n"/>
      <c r="AH49" s="377" t="n"/>
      <c r="AL49" s="281" t="n"/>
    </row>
    <row r="50" hidden="1" ht="26.25" customHeight="1" s="1053">
      <c r="A50" s="377" t="inlineStr">
        <is>
          <t>同创汇</t>
        </is>
      </c>
      <c r="B50" s="377" t="inlineStr">
        <is>
          <t>一期</t>
        </is>
      </c>
      <c r="C50" s="377" t="n">
        <v>5230828</v>
      </c>
      <c r="D50" s="377" t="inlineStr">
        <is>
          <t>10:20-12:30</t>
        </is>
      </c>
      <c r="E50" s="377" t="inlineStr">
        <is>
          <t>潜能班</t>
        </is>
      </c>
      <c r="F50" s="377" t="inlineStr">
        <is>
          <t>周芷羽</t>
        </is>
      </c>
      <c r="G50" s="377" t="inlineStr">
        <is>
          <t>黄铭怡</t>
        </is>
      </c>
      <c r="H50" s="377" t="inlineStr">
        <is>
          <t>陈中帅</t>
        </is>
      </c>
      <c r="I50" s="377" t="inlineStr">
        <is>
          <t>高心怡04</t>
        </is>
      </c>
      <c r="J50" s="377" t="inlineStr">
        <is>
          <t>戎凯01</t>
        </is>
      </c>
      <c r="K50" s="377" t="n"/>
      <c r="L50" s="377" t="n"/>
      <c r="M50" s="377" t="n"/>
      <c r="N50" s="377" t="n"/>
      <c r="O50" s="377" t="inlineStr">
        <is>
          <t>老生</t>
        </is>
      </c>
      <c r="P50" s="377" t="n"/>
      <c r="Q50" s="377" t="n"/>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inlineStr">
        <is>
          <t>是</t>
        </is>
      </c>
      <c r="AL50" s="281" t="n"/>
    </row>
    <row r="51" hidden="1" ht="26.25" customHeight="1" s="1053">
      <c r="A51" s="377" t="inlineStr">
        <is>
          <t>同创汇</t>
        </is>
      </c>
      <c r="B51" s="377" t="inlineStr">
        <is>
          <t>一期</t>
        </is>
      </c>
      <c r="C51" s="377" t="n">
        <v>5230828</v>
      </c>
      <c r="D51" s="377" t="inlineStr">
        <is>
          <t>10:20-12:30</t>
        </is>
      </c>
      <c r="E51" s="377" t="inlineStr">
        <is>
          <t>潜能班</t>
        </is>
      </c>
      <c r="F51" s="377" t="inlineStr">
        <is>
          <t>张睿沂</t>
        </is>
      </c>
      <c r="G51" s="377" t="inlineStr">
        <is>
          <t>黄铭怡</t>
        </is>
      </c>
      <c r="H51" s="377" t="inlineStr">
        <is>
          <t>陈中帅</t>
        </is>
      </c>
      <c r="I51" s="377" t="inlineStr">
        <is>
          <t>高心怡04</t>
        </is>
      </c>
      <c r="J51" s="377" t="inlineStr">
        <is>
          <t>王丽</t>
        </is>
      </c>
      <c r="K51" s="377" t="n"/>
      <c r="L51" s="377" t="n"/>
      <c r="M51" s="377" t="n"/>
      <c r="N51" s="377" t="n"/>
      <c r="O51" s="377" t="n"/>
      <c r="P51" s="377" t="n"/>
      <c r="Q51" s="377" t="n"/>
      <c r="R51" s="377" t="n"/>
      <c r="S51" s="377" t="n"/>
      <c r="T51" s="377" t="n"/>
      <c r="U51" s="377" t="n"/>
      <c r="V51" s="377" t="n"/>
      <c r="W51" s="377" t="n"/>
      <c r="X51" s="377" t="n"/>
      <c r="Y51" s="377" t="n"/>
      <c r="Z51" s="377" t="n"/>
      <c r="AA51" s="377" t="n"/>
      <c r="AB51" s="377" t="n"/>
      <c r="AC51" s="377" t="n"/>
      <c r="AD51" s="377" t="n"/>
      <c r="AE51" s="377" t="n"/>
      <c r="AF51" s="377" t="n"/>
      <c r="AG51" s="377" t="n"/>
      <c r="AH51" s="377" t="n"/>
      <c r="AL51" s="281" t="n"/>
    </row>
    <row r="52" hidden="1" ht="26.25" customHeight="1" s="1053">
      <c r="A52" s="377" t="inlineStr">
        <is>
          <t>同创汇</t>
        </is>
      </c>
      <c r="B52" s="377" t="inlineStr">
        <is>
          <t>一期</t>
        </is>
      </c>
      <c r="C52" s="377" t="n">
        <v>5230828</v>
      </c>
      <c r="D52" s="377" t="inlineStr">
        <is>
          <t>10:20-12:30</t>
        </is>
      </c>
      <c r="E52" s="377" t="inlineStr">
        <is>
          <t>潜能班</t>
        </is>
      </c>
      <c r="F52" s="377" t="inlineStr">
        <is>
          <t>李子骞</t>
        </is>
      </c>
      <c r="G52" s="377" t="inlineStr">
        <is>
          <t>黄铭怡</t>
        </is>
      </c>
      <c r="H52" s="377" t="inlineStr">
        <is>
          <t>陈中帅</t>
        </is>
      </c>
      <c r="I52" s="377" t="inlineStr">
        <is>
          <t>高心怡04</t>
        </is>
      </c>
      <c r="J52" s="377" t="inlineStr">
        <is>
          <t>王丽</t>
        </is>
      </c>
      <c r="K52" s="377" t="inlineStr">
        <is>
          <t>华阳小学</t>
        </is>
      </c>
      <c r="L52" s="377" t="n"/>
      <c r="M52" s="377" t="n"/>
      <c r="N52" s="377" t="n"/>
      <c r="O52" s="377" t="inlineStr">
        <is>
          <t>25年暑假短期班，未转化</t>
        </is>
      </c>
      <c r="P52" s="377" t="n"/>
      <c r="Q52" s="377" t="n">
        <v>40</v>
      </c>
      <c r="R52" s="377" t="n"/>
      <c r="S52" s="377" t="n"/>
      <c r="T52" s="377" t="n"/>
      <c r="U52" s="377" t="n"/>
      <c r="V52" s="377" t="n"/>
      <c r="W52" s="377" t="n"/>
      <c r="X52" s="377" t="n"/>
      <c r="Y52" s="377" t="n"/>
      <c r="Z52" s="377" t="n"/>
      <c r="AA52" s="377" t="n"/>
      <c r="AB52" s="377" t="n"/>
      <c r="AC52" s="377" t="n"/>
      <c r="AD52" s="377" t="n"/>
      <c r="AE52" s="377" t="n"/>
      <c r="AF52" s="377" t="n"/>
      <c r="AG52" s="377" t="n"/>
      <c r="AH52" s="377" t="n"/>
      <c r="AL52" s="281" t="n"/>
    </row>
    <row r="53" hidden="1" ht="26.25" customHeight="1" s="1053">
      <c r="A53" s="377" t="inlineStr">
        <is>
          <t>同创汇</t>
        </is>
      </c>
      <c r="B53" s="377" t="inlineStr">
        <is>
          <t>一期</t>
        </is>
      </c>
      <c r="C53" s="377" t="n">
        <v>5230828</v>
      </c>
      <c r="D53" s="377" t="inlineStr">
        <is>
          <t>10:20-12:30</t>
        </is>
      </c>
      <c r="E53" s="377" t="inlineStr">
        <is>
          <t>潜能班</t>
        </is>
      </c>
      <c r="F53" s="377" t="inlineStr">
        <is>
          <t>林烨</t>
        </is>
      </c>
      <c r="G53" s="377" t="inlineStr">
        <is>
          <t>黄铭怡</t>
        </is>
      </c>
      <c r="H53" s="377" t="inlineStr">
        <is>
          <t>陈中帅</t>
        </is>
      </c>
      <c r="I53" s="377" t="inlineStr">
        <is>
          <t>高心怡04</t>
        </is>
      </c>
      <c r="J53" s="377" t="inlineStr">
        <is>
          <t>戎凯01</t>
        </is>
      </c>
      <c r="K53" s="377" t="n"/>
      <c r="L53" s="377" t="n"/>
      <c r="M53" s="377" t="n"/>
      <c r="N53" s="377" t="n"/>
      <c r="O53" s="377" t="inlineStr">
        <is>
          <t>25春、25暑多次特惠未转化</t>
        </is>
      </c>
      <c r="P53" s="377" t="n"/>
      <c r="Q53" s="377" t="n"/>
      <c r="R53" s="377" t="n"/>
      <c r="S53" s="377" t="n"/>
      <c r="T53" s="377" t="n"/>
      <c r="U53" s="377" t="n"/>
      <c r="V53" s="377" t="n"/>
      <c r="W53" s="377" t="n"/>
      <c r="X53" s="377" t="n"/>
      <c r="Y53" s="377" t="n"/>
      <c r="Z53" s="377" t="n"/>
      <c r="AA53" s="377" t="n"/>
      <c r="AB53" s="377" t="n"/>
      <c r="AC53" s="377" t="n"/>
      <c r="AD53" s="377" t="n"/>
      <c r="AE53" s="377" t="n"/>
      <c r="AF53" s="377" t="n"/>
      <c r="AG53" s="377" t="n"/>
      <c r="AH53" s="377" t="n"/>
      <c r="AL53" s="281" t="n"/>
    </row>
    <row r="54" hidden="1" ht="26.25" customHeight="1" s="1053">
      <c r="A54" s="377" t="inlineStr">
        <is>
          <t>同创汇</t>
        </is>
      </c>
      <c r="B54" s="377" t="inlineStr">
        <is>
          <t>一期</t>
        </is>
      </c>
      <c r="C54" s="377" t="n">
        <v>5230828</v>
      </c>
      <c r="D54" s="377" t="inlineStr">
        <is>
          <t>10:20-12:30</t>
        </is>
      </c>
      <c r="E54" s="377" t="inlineStr">
        <is>
          <t>潜能班</t>
        </is>
      </c>
      <c r="F54" s="377" t="inlineStr">
        <is>
          <t>梁靖晓</t>
        </is>
      </c>
      <c r="G54" s="377" t="inlineStr">
        <is>
          <t>黄铭怡</t>
        </is>
      </c>
      <c r="H54" s="377" t="inlineStr">
        <is>
          <t>陈中帅</t>
        </is>
      </c>
      <c r="I54" s="377" t="inlineStr">
        <is>
          <t>高心怡04</t>
        </is>
      </c>
      <c r="J54" s="377" t="inlineStr">
        <is>
          <t>戎凯01</t>
        </is>
      </c>
      <c r="K54" s="377" t="n"/>
      <c r="L54" s="377" t="n"/>
      <c r="M54" s="377" t="n"/>
      <c r="N54" s="377" t="n"/>
      <c r="O54" s="377" t="n"/>
      <c r="P54" s="377" t="n"/>
      <c r="Q54" s="377" t="n"/>
      <c r="R54" s="377" t="n"/>
      <c r="S54" s="377" t="n"/>
      <c r="T54" s="377" t="n"/>
      <c r="U54" s="377" t="n"/>
      <c r="V54" s="377" t="n"/>
      <c r="W54" s="377" t="n"/>
      <c r="X54" s="377" t="n"/>
      <c r="Y54" s="377" t="n"/>
      <c r="Z54" s="377" t="n"/>
      <c r="AA54" s="377" t="n"/>
      <c r="AB54" s="377" t="n"/>
      <c r="AC54" s="377" t="n"/>
      <c r="AD54" s="377" t="n"/>
      <c r="AE54" s="377" t="n"/>
      <c r="AF54" s="377" t="n"/>
      <c r="AG54" s="377" t="n"/>
      <c r="AH54" s="377" t="n"/>
      <c r="AL54" s="9" t="n"/>
    </row>
    <row r="55" hidden="1" ht="26.25" customHeight="1" s="1053">
      <c r="A55" s="377" t="inlineStr">
        <is>
          <t>同创汇</t>
        </is>
      </c>
      <c r="B55" s="377" t="inlineStr">
        <is>
          <t>一期</t>
        </is>
      </c>
      <c r="C55" s="377" t="n">
        <v>5230828</v>
      </c>
      <c r="D55" s="377" t="inlineStr">
        <is>
          <t>10:20-12:30</t>
        </is>
      </c>
      <c r="E55" s="377" t="inlineStr">
        <is>
          <t>潜能班</t>
        </is>
      </c>
      <c r="F55" s="377" t="inlineStr">
        <is>
          <t>海洋</t>
        </is>
      </c>
      <c r="G55" s="377" t="inlineStr">
        <is>
          <t>黄铭怡</t>
        </is>
      </c>
      <c r="H55" s="377" t="inlineStr">
        <is>
          <t>陈中帅</t>
        </is>
      </c>
      <c r="I55" s="377" t="inlineStr">
        <is>
          <t>高心怡04</t>
        </is>
      </c>
      <c r="J55" s="377" t="inlineStr">
        <is>
          <t>戎凯01</t>
        </is>
      </c>
      <c r="K55" s="377" t="n"/>
      <c r="L55" s="377" t="n"/>
      <c r="M55" s="377" t="n"/>
      <c r="N55" s="377" t="n"/>
      <c r="O55" s="377" t="n"/>
      <c r="P55" s="377" t="n"/>
      <c r="Q55" s="377" t="n"/>
      <c r="R55" s="377" t="n"/>
      <c r="S55" s="377" t="n"/>
      <c r="T55" s="377" t="n"/>
      <c r="U55" s="377" t="n"/>
      <c r="V55" s="377" t="n"/>
      <c r="W55" s="377" t="n"/>
      <c r="X55" s="377" t="n"/>
      <c r="Y55" s="377" t="n"/>
      <c r="Z55" s="377" t="n"/>
      <c r="AA55" s="377" t="n"/>
      <c r="AB55" s="377" t="n"/>
      <c r="AC55" s="377" t="n"/>
      <c r="AD55" s="377" t="n"/>
      <c r="AE55" s="377" t="n"/>
      <c r="AF55" s="377" t="n"/>
      <c r="AG55" s="377" t="n"/>
      <c r="AH55" s="377" t="n"/>
      <c r="AL55" s="281" t="n"/>
    </row>
    <row r="56" hidden="1" ht="26.25" customHeight="1" s="1053">
      <c r="A56" s="377" t="inlineStr">
        <is>
          <t>同创汇</t>
        </is>
      </c>
      <c r="B56" s="377" t="inlineStr">
        <is>
          <t>一期</t>
        </is>
      </c>
      <c r="C56" s="377" t="n">
        <v>5230828</v>
      </c>
      <c r="D56" s="377" t="inlineStr">
        <is>
          <t>10:20-12:30</t>
        </is>
      </c>
      <c r="E56" s="377" t="inlineStr">
        <is>
          <t>潜能班</t>
        </is>
      </c>
      <c r="F56" s="377" t="inlineStr">
        <is>
          <t>温静仪</t>
        </is>
      </c>
      <c r="G56" s="377" t="inlineStr">
        <is>
          <t>黄铭怡</t>
        </is>
      </c>
      <c r="H56" s="377" t="inlineStr">
        <is>
          <t>陈中帅</t>
        </is>
      </c>
      <c r="I56" s="377" t="inlineStr">
        <is>
          <t>刘希子</t>
        </is>
      </c>
      <c r="J56" s="377" t="inlineStr">
        <is>
          <t>王丽</t>
        </is>
      </c>
      <c r="K56" s="377" t="n"/>
      <c r="L56" s="377" t="n"/>
      <c r="M56" s="377" t="n"/>
      <c r="N56" s="377" t="n"/>
      <c r="O56" s="377" t="inlineStr">
        <is>
          <t>老生</t>
        </is>
      </c>
      <c r="P56" s="377" t="n"/>
      <c r="Q56" s="377" t="n"/>
      <c r="R56" s="377" t="n"/>
      <c r="S56" s="377" t="n"/>
      <c r="T56" s="377" t="inlineStr">
        <is>
          <t>是</t>
        </is>
      </c>
      <c r="U56" s="377" t="inlineStr">
        <is>
          <t>是</t>
        </is>
      </c>
      <c r="V56" s="377" t="n"/>
      <c r="W56" s="377" t="n"/>
      <c r="X56" s="377" t="n"/>
      <c r="Y56" s="377" t="n"/>
      <c r="Z56" s="377" t="n"/>
      <c r="AA56" s="377" t="n"/>
      <c r="AB56" s="377" t="n"/>
      <c r="AC56" s="377" t="n"/>
      <c r="AD56" s="377" t="n"/>
      <c r="AE56" s="377" t="n"/>
      <c r="AF56" s="377" t="n"/>
      <c r="AG56" s="377" t="n"/>
      <c r="AH56" s="377" t="inlineStr">
        <is>
          <t>是</t>
        </is>
      </c>
      <c r="AL56" s="281" t="n"/>
    </row>
    <row r="57" hidden="1" ht="26.25" customHeight="1" s="1053">
      <c r="A57" s="377" t="inlineStr">
        <is>
          <t>同创汇</t>
        </is>
      </c>
      <c r="B57" s="377" t="inlineStr">
        <is>
          <t>一期</t>
        </is>
      </c>
      <c r="C57" s="377" t="n">
        <v>5230828</v>
      </c>
      <c r="D57" s="377" t="inlineStr">
        <is>
          <t>10:20-12:30</t>
        </is>
      </c>
      <c r="E57" s="377" t="inlineStr">
        <is>
          <t>潜能班</t>
        </is>
      </c>
      <c r="F57" s="377" t="inlineStr">
        <is>
          <t>邱子轩</t>
        </is>
      </c>
      <c r="G57" s="377" t="inlineStr">
        <is>
          <t>黄铭怡</t>
        </is>
      </c>
      <c r="H57" s="377" t="inlineStr">
        <is>
          <t>陈中帅</t>
        </is>
      </c>
      <c r="I57" s="377" t="inlineStr">
        <is>
          <t>高心怡04</t>
        </is>
      </c>
      <c r="J57" s="377" t="inlineStr">
        <is>
          <t>戎凯01</t>
        </is>
      </c>
      <c r="K57" s="377" t="n"/>
      <c r="L57" s="377" t="n"/>
      <c r="M57" s="377" t="n"/>
      <c r="N57" s="377" t="n"/>
      <c r="O57" s="377" t="inlineStr">
        <is>
          <t>老生，ADHD娃</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inlineStr">
        <is>
          <t>是</t>
        </is>
      </c>
      <c r="AL57" s="281" t="n"/>
    </row>
    <row r="58" hidden="1" ht="26.25" customHeight="1" s="1053">
      <c r="A58" s="377" t="inlineStr">
        <is>
          <t>同创汇</t>
        </is>
      </c>
      <c r="B58" s="377" t="inlineStr">
        <is>
          <t>一期</t>
        </is>
      </c>
      <c r="C58" s="377" t="n">
        <v>5230828</v>
      </c>
      <c r="D58" s="377" t="inlineStr">
        <is>
          <t>10:20-12:30</t>
        </is>
      </c>
      <c r="E58" s="377" t="inlineStr">
        <is>
          <t>潜能班</t>
        </is>
      </c>
      <c r="F58" s="377" t="inlineStr">
        <is>
          <t>陈秉谦</t>
        </is>
      </c>
      <c r="G58" s="377" t="inlineStr">
        <is>
          <t>黄铭怡</t>
        </is>
      </c>
      <c r="H58" s="377" t="n"/>
      <c r="I58" s="377" t="inlineStr">
        <is>
          <t>高心怡04</t>
        </is>
      </c>
      <c r="J58" s="377" t="inlineStr">
        <is>
          <t>戎凯01</t>
        </is>
      </c>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L58" s="281" t="n"/>
    </row>
    <row r="59" ht="26.25" customHeight="1" s="1053">
      <c r="A59" s="377" t="inlineStr">
        <is>
          <t>同创汇</t>
        </is>
      </c>
      <c r="B59" s="377" t="inlineStr">
        <is>
          <t>一期</t>
        </is>
      </c>
      <c r="C59" s="377" t="n">
        <v>5230828</v>
      </c>
      <c r="D59" s="377" t="inlineStr">
        <is>
          <t>10:20-12:30</t>
        </is>
      </c>
      <c r="E59" s="377" t="inlineStr">
        <is>
          <t>潜能班</t>
        </is>
      </c>
      <c r="F59" s="377" t="inlineStr">
        <is>
          <t>陈骏骁</t>
        </is>
      </c>
      <c r="G59" s="377" t="inlineStr">
        <is>
          <t>黄铭怡</t>
        </is>
      </c>
      <c r="H59" s="377" t="inlineStr">
        <is>
          <t>陈中帅</t>
        </is>
      </c>
      <c r="I59" s="377" t="inlineStr">
        <is>
          <t>高心怡04</t>
        </is>
      </c>
      <c r="J59" s="377" t="inlineStr">
        <is>
          <t>熊天宝01</t>
        </is>
      </c>
      <c r="K59" s="377" t="n"/>
      <c r="L59" s="377" t="n"/>
      <c r="M59" s="377" t="n"/>
      <c r="N59" s="377" t="n"/>
      <c r="O59" s="377" t="n"/>
      <c r="P59" s="377" t="n"/>
      <c r="Q59" s="377" t="n"/>
      <c r="R59" s="377" t="n"/>
      <c r="S59" s="377" t="n"/>
      <c r="T59" s="377" t="n"/>
      <c r="U59" s="377" t="n"/>
      <c r="V59" s="377" t="n"/>
      <c r="W59" s="377" t="n"/>
      <c r="X59" s="377" t="n"/>
      <c r="Y59" s="377" t="n"/>
      <c r="Z59" s="377" t="n"/>
      <c r="AA59" s="377" t="n"/>
      <c r="AB59" s="377" t="n"/>
      <c r="AC59" s="377" t="n"/>
      <c r="AD59" s="377" t="n"/>
      <c r="AE59" s="377" t="n"/>
      <c r="AF59" s="377" t="n"/>
      <c r="AG59" s="377" t="n"/>
      <c r="AH59" s="377" t="n"/>
      <c r="AL59" s="281" t="n"/>
    </row>
    <row r="60" ht="26.25" customFormat="1" customHeight="1" s="343">
      <c r="A60" s="377" t="inlineStr">
        <is>
          <t>同创汇</t>
        </is>
      </c>
      <c r="B60" s="377" t="inlineStr">
        <is>
          <t>一期</t>
        </is>
      </c>
      <c r="C60" s="377" t="n">
        <v>5230828</v>
      </c>
      <c r="D60" s="377" t="inlineStr">
        <is>
          <t>10:20-12:30</t>
        </is>
      </c>
      <c r="E60" s="377" t="inlineStr">
        <is>
          <t>潜能班</t>
        </is>
      </c>
      <c r="F60" s="377" t="inlineStr">
        <is>
          <t>顾浩轩</t>
        </is>
      </c>
      <c r="G60" s="377" t="inlineStr">
        <is>
          <t>黄铭怡</t>
        </is>
      </c>
      <c r="H60" s="377" t="inlineStr">
        <is>
          <t>陈中帅</t>
        </is>
      </c>
      <c r="I60" s="377" t="inlineStr">
        <is>
          <t>高心怡04</t>
        </is>
      </c>
      <c r="J60" s="377" t="inlineStr">
        <is>
          <t>王丽</t>
        </is>
      </c>
      <c r="K60" s="377" t="n"/>
      <c r="L60" s="377" t="n"/>
      <c r="M60" s="377" t="n"/>
      <c r="N60" s="377" t="n"/>
      <c r="O60" s="377" t="n"/>
      <c r="P60" s="377" t="n"/>
      <c r="Q60" s="377" t="n">
        <v>31</v>
      </c>
      <c r="R60" s="377" t="n"/>
      <c r="S60" s="377" t="n"/>
      <c r="T60" s="377" t="n"/>
      <c r="U60" s="377" t="n"/>
      <c r="V60" s="377" t="n"/>
      <c r="W60" s="377" t="n"/>
      <c r="X60" s="377" t="n"/>
      <c r="Y60" s="377" t="n"/>
      <c r="Z60" s="377" t="n"/>
      <c r="AA60" s="377" t="n"/>
      <c r="AB60" s="377" t="n"/>
      <c r="AC60" s="377" t="n"/>
      <c r="AD60" s="377" t="n"/>
      <c r="AE60" s="377" t="n"/>
      <c r="AF60" s="377" t="n"/>
      <c r="AG60" s="377" t="n"/>
      <c r="AH60" s="377" t="n"/>
      <c r="AL60" s="281" t="n"/>
    </row>
    <row r="61" hidden="1" ht="26.25" customHeight="1" s="1053">
      <c r="A61" s="377" t="inlineStr">
        <is>
          <t>同创汇</t>
        </is>
      </c>
      <c r="B61" s="377" t="inlineStr">
        <is>
          <t>一期</t>
        </is>
      </c>
      <c r="C61" s="377" t="n">
        <v>5230828</v>
      </c>
      <c r="D61" s="377" t="inlineStr">
        <is>
          <t>10:20-12:30</t>
        </is>
      </c>
      <c r="E61" s="377" t="inlineStr">
        <is>
          <t>潜能班</t>
        </is>
      </c>
      <c r="F61" s="377" t="inlineStr">
        <is>
          <t>马涌钛</t>
        </is>
      </c>
      <c r="G61" s="377" t="inlineStr">
        <is>
          <t>黄铭怡</t>
        </is>
      </c>
      <c r="H61" s="377" t="n"/>
      <c r="I61" s="377" t="inlineStr">
        <is>
          <t>刘希子</t>
        </is>
      </c>
      <c r="J61" s="377" t="inlineStr">
        <is>
          <t>戎凯01</t>
        </is>
      </c>
      <c r="K61" s="377" t="n"/>
      <c r="L61" s="377" t="n"/>
      <c r="M61" s="377" t="n"/>
      <c r="N61" s="377" t="n"/>
      <c r="O61" s="377" t="inlineStr">
        <is>
          <t>老生</t>
        </is>
      </c>
      <c r="P61" s="377" t="n">
        <v>95</v>
      </c>
      <c r="Q61" s="377" t="n"/>
      <c r="R61" s="377" t="n"/>
      <c r="S61" s="377" t="n"/>
      <c r="T61" s="377" t="inlineStr">
        <is>
          <t>是</t>
        </is>
      </c>
      <c r="U61" s="377" t="inlineStr">
        <is>
          <t>是</t>
        </is>
      </c>
      <c r="V61" s="377" t="n"/>
      <c r="W61" s="377" t="n"/>
      <c r="X61" s="377" t="n"/>
      <c r="Y61" s="377" t="n"/>
      <c r="Z61" s="377" t="n"/>
      <c r="AA61" s="377" t="n"/>
      <c r="AB61" s="377" t="n"/>
      <c r="AC61" s="377" t="n"/>
      <c r="AD61" s="377" t="n"/>
      <c r="AE61" s="377" t="n"/>
      <c r="AF61" s="377" t="n"/>
      <c r="AG61" s="377" t="n"/>
      <c r="AH61" s="377" t="inlineStr">
        <is>
          <t>是</t>
        </is>
      </c>
      <c r="AL61" s="281" t="n"/>
    </row>
    <row r="62" ht="26.25" customHeight="1" s="1053">
      <c r="A62" s="377" t="inlineStr">
        <is>
          <t>同创汇</t>
        </is>
      </c>
      <c r="B62" s="377" t="inlineStr">
        <is>
          <t>一期</t>
        </is>
      </c>
      <c r="C62" s="377" t="n">
        <v>5230828</v>
      </c>
      <c r="D62" s="377" t="inlineStr">
        <is>
          <t>10:20-12:30</t>
        </is>
      </c>
      <c r="E62" s="377" t="inlineStr">
        <is>
          <t>潜能班</t>
        </is>
      </c>
      <c r="F62" s="377" t="inlineStr">
        <is>
          <t>马若涵</t>
        </is>
      </c>
      <c r="G62" s="377" t="inlineStr">
        <is>
          <t>黄铭怡</t>
        </is>
      </c>
      <c r="H62" s="377" t="inlineStr">
        <is>
          <t>陈中帅</t>
        </is>
      </c>
      <c r="I62" s="377" t="inlineStr">
        <is>
          <t>高心怡04</t>
        </is>
      </c>
      <c r="J62" s="377" t="inlineStr">
        <is>
          <t>戎凯01</t>
        </is>
      </c>
      <c r="K62" s="377" t="n"/>
      <c r="L62" s="377" t="n"/>
      <c r="M62" s="377" t="n"/>
      <c r="N62" s="377" t="n"/>
      <c r="O62" s="377" t="n"/>
      <c r="P62" s="377" t="n"/>
      <c r="Q62" s="377" t="n">
        <v>30</v>
      </c>
      <c r="R62" s="377" t="n"/>
      <c r="S62" s="377" t="n"/>
      <c r="T62" s="377" t="n"/>
      <c r="U62" s="377" t="n"/>
      <c r="V62" s="377" t="n"/>
      <c r="W62" s="377" t="n"/>
      <c r="X62" s="377" t="n"/>
      <c r="Y62" s="377" t="n"/>
      <c r="Z62" s="377" t="n"/>
      <c r="AA62" s="377" t="n"/>
      <c r="AB62" s="377" t="n"/>
      <c r="AC62" s="377" t="n"/>
      <c r="AD62" s="377" t="n"/>
      <c r="AE62" s="377" t="n"/>
      <c r="AF62" s="377" t="n"/>
      <c r="AG62" s="377" t="n"/>
      <c r="AH62" s="377" t="n"/>
      <c r="AL62" s="281" t="n"/>
    </row>
    <row r="63" hidden="1" ht="26.25" customHeight="1" s="1053">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81" t="n"/>
    </row>
    <row r="64" hidden="1" ht="26.25" customHeight="1" s="1053">
      <c r="A64" s="377" t="inlineStr">
        <is>
          <t>新宝利</t>
        </is>
      </c>
      <c r="B64" s="377" t="inlineStr">
        <is>
          <t>二期</t>
        </is>
      </c>
      <c r="C64" s="377" t="n">
        <v>3132846</v>
      </c>
      <c r="D64" s="377" t="inlineStr">
        <is>
          <t>13:20-15:30</t>
        </is>
      </c>
      <c r="E64" s="377" t="inlineStr">
        <is>
          <t>潜能班</t>
        </is>
      </c>
      <c r="F64" s="377" t="inlineStr">
        <is>
          <t>何施乐</t>
        </is>
      </c>
      <c r="G64" s="377" t="inlineStr">
        <is>
          <t>黄铭怡</t>
        </is>
      </c>
      <c r="H64" s="377" t="inlineStr">
        <is>
          <t>陈中帅</t>
        </is>
      </c>
      <c r="I64" s="377" t="inlineStr">
        <is>
          <t>高心怡04</t>
        </is>
      </c>
      <c r="J64" s="377" t="inlineStr">
        <is>
          <t>张敏烨</t>
        </is>
      </c>
      <c r="K64" s="377" t="inlineStr">
        <is>
          <t>东风西路小学</t>
        </is>
      </c>
      <c r="L64" s="903" t="inlineStr">
        <is>
          <t>摇号等结果
名德八星票</t>
        </is>
      </c>
      <c r="M64" s="377" t="n"/>
      <c r="N64" s="377" t="inlineStr">
        <is>
          <t>冲名德重点班</t>
        </is>
      </c>
      <c r="O64" s="377" t="inlineStr">
        <is>
          <t>新宝利第一批特惠学员，未转化</t>
        </is>
      </c>
      <c r="P64" s="377" t="n"/>
      <c r="Q64" s="377" t="n"/>
      <c r="R64" s="377" t="n"/>
      <c r="S64" s="377" t="n"/>
      <c r="T64" s="377" t="n"/>
      <c r="U64" s="377" t="n"/>
      <c r="V64" s="377" t="n"/>
      <c r="W64" s="377" t="n"/>
      <c r="X64" s="377" t="n"/>
      <c r="Y64" s="377" t="n"/>
      <c r="Z64" s="377" t="n"/>
      <c r="AA64" s="377" t="n"/>
      <c r="AB64" s="377" t="n"/>
      <c r="AC64" s="377" t="n"/>
      <c r="AD64" s="377" t="n"/>
      <c r="AE64" s="377" t="n"/>
      <c r="AF64" s="377" t="n"/>
      <c r="AG64" s="377" t="n"/>
      <c r="AH64" s="377" t="n"/>
      <c r="AL64" s="281" t="n"/>
    </row>
    <row r="65" hidden="1" ht="26.25" customHeight="1" s="1053">
      <c r="A65" s="377" t="inlineStr">
        <is>
          <t>新宝利</t>
        </is>
      </c>
      <c r="B65" s="377" t="inlineStr">
        <is>
          <t>二期</t>
        </is>
      </c>
      <c r="C65" s="377" t="n">
        <v>3132846</v>
      </c>
      <c r="D65" s="377" t="inlineStr">
        <is>
          <t>13:20-15:30</t>
        </is>
      </c>
      <c r="E65" s="377" t="inlineStr">
        <is>
          <t>潜能班</t>
        </is>
      </c>
      <c r="F65" s="377" t="inlineStr">
        <is>
          <t>关雅致</t>
        </is>
      </c>
      <c r="G65" s="377" t="inlineStr">
        <is>
          <t>黄铭怡</t>
        </is>
      </c>
      <c r="H65" s="377" t="inlineStr">
        <is>
          <t>陈中帅</t>
        </is>
      </c>
      <c r="I65" s="377" t="inlineStr">
        <is>
          <t>高心怡04</t>
        </is>
      </c>
      <c r="J65" s="377" t="inlineStr">
        <is>
          <t>张敏烨</t>
        </is>
      </c>
      <c r="K65" s="377" t="n"/>
      <c r="L65" s="377" t="n"/>
      <c r="M65" s="377" t="n"/>
      <c r="N65" s="377" t="n"/>
      <c r="O65" s="377" t="n"/>
      <c r="P65" s="377" t="n"/>
      <c r="Q65" s="377" t="n">
        <v>32</v>
      </c>
      <c r="R65" s="377" t="n"/>
      <c r="S65" s="377" t="n"/>
      <c r="T65" s="377" t="n"/>
      <c r="U65" s="377" t="n"/>
      <c r="V65" s="377" t="n"/>
      <c r="W65" s="377" t="n"/>
      <c r="X65" s="377" t="n"/>
      <c r="Y65" s="377" t="n"/>
      <c r="Z65" s="377" t="n"/>
      <c r="AA65" s="377" t="n"/>
      <c r="AB65" s="377" t="n"/>
      <c r="AC65" s="377" t="n"/>
      <c r="AD65" s="377" t="n"/>
      <c r="AE65" s="377" t="n"/>
      <c r="AF65" s="377" t="n"/>
      <c r="AG65" s="377" t="n"/>
      <c r="AH65" s="377" t="n"/>
      <c r="AL65" s="281" t="n"/>
    </row>
    <row r="66" hidden="1" ht="26.25" customHeight="1" s="1053">
      <c r="A66" s="377" t="inlineStr">
        <is>
          <t>新宝利</t>
        </is>
      </c>
      <c r="B66" s="377" t="inlineStr">
        <is>
          <t>二期</t>
        </is>
      </c>
      <c r="C66" s="377" t="n">
        <v>3132846</v>
      </c>
      <c r="D66" s="377" t="inlineStr">
        <is>
          <t>13:20-15:30</t>
        </is>
      </c>
      <c r="E66" s="377" t="inlineStr">
        <is>
          <t>潜能班</t>
        </is>
      </c>
      <c r="F66" s="377" t="inlineStr">
        <is>
          <t>吴季礼</t>
        </is>
      </c>
      <c r="G66" s="377" t="inlineStr">
        <is>
          <t>黄铭怡</t>
        </is>
      </c>
      <c r="H66" s="377" t="inlineStr">
        <is>
          <t>陈中帅</t>
        </is>
      </c>
      <c r="I66" s="377" t="inlineStr">
        <is>
          <t>高心怡04</t>
        </is>
      </c>
      <c r="J66" s="377" t="inlineStr">
        <is>
          <t>张敏烨</t>
        </is>
      </c>
      <c r="K66" s="377" t="n"/>
      <c r="L66" s="377" t="n"/>
      <c r="M66" s="377" t="n"/>
      <c r="N66" s="377" t="n"/>
      <c r="O66" s="377" t="n"/>
      <c r="P66" s="377" t="n"/>
      <c r="Q66" s="377" t="n">
        <v>30</v>
      </c>
      <c r="R66" s="377" t="n"/>
      <c r="S66" s="377" t="n"/>
      <c r="T66" s="377" t="n"/>
      <c r="U66" s="377" t="n"/>
      <c r="V66" s="377" t="n"/>
      <c r="W66" s="377" t="n"/>
      <c r="X66" s="377" t="n"/>
      <c r="Y66" s="377" t="n"/>
      <c r="Z66" s="377" t="n"/>
      <c r="AA66" s="377" t="n"/>
      <c r="AB66" s="377" t="n"/>
      <c r="AC66" s="377" t="n"/>
      <c r="AD66" s="377" t="n"/>
      <c r="AE66" s="377" t="n"/>
      <c r="AF66" s="377" t="n"/>
      <c r="AG66" s="377" t="n"/>
      <c r="AH66" s="377" t="n"/>
      <c r="AL66" s="281" t="n"/>
    </row>
    <row r="67" hidden="1" ht="26.25" customHeight="1" s="1053">
      <c r="A67" s="377" t="inlineStr">
        <is>
          <t>新宝利</t>
        </is>
      </c>
      <c r="B67" s="377" t="inlineStr">
        <is>
          <t>二期</t>
        </is>
      </c>
      <c r="C67" s="377" t="n">
        <v>3132846</v>
      </c>
      <c r="D67" s="377" t="inlineStr">
        <is>
          <t>13:20-15:30</t>
        </is>
      </c>
      <c r="E67" s="377" t="inlineStr">
        <is>
          <t>潜能班</t>
        </is>
      </c>
      <c r="F67" s="377" t="inlineStr">
        <is>
          <t>周炜婷</t>
        </is>
      </c>
      <c r="G67" s="377" t="inlineStr">
        <is>
          <t>黄铭怡</t>
        </is>
      </c>
      <c r="H67" s="377" t="inlineStr">
        <is>
          <t>陈中帅</t>
        </is>
      </c>
      <c r="I67" s="377" t="inlineStr">
        <is>
          <t>高心怡04</t>
        </is>
      </c>
      <c r="J67" s="377" t="inlineStr">
        <is>
          <t>张敏烨</t>
        </is>
      </c>
      <c r="K67" s="377" t="n"/>
      <c r="L67" s="377" t="n"/>
      <c r="M67" s="377" t="n"/>
      <c r="N67" s="377" t="n"/>
      <c r="O67" s="377" t="n"/>
      <c r="P67" s="377" t="n"/>
      <c r="Q67" s="377" t="n">
        <v>38</v>
      </c>
      <c r="R67" s="377" t="n"/>
      <c r="S67" s="377" t="n"/>
      <c r="T67" s="377" t="n"/>
      <c r="U67" s="377" t="n"/>
      <c r="V67" s="377" t="n"/>
      <c r="W67" s="377" t="n"/>
      <c r="X67" s="377" t="n"/>
      <c r="Y67" s="377" t="n"/>
      <c r="Z67" s="377" t="n"/>
      <c r="AA67" s="377" t="n"/>
      <c r="AB67" s="377" t="n"/>
      <c r="AC67" s="377" t="n"/>
      <c r="AD67" s="377" t="n"/>
      <c r="AE67" s="377" t="n"/>
      <c r="AF67" s="377" t="n"/>
      <c r="AG67" s="377" t="n"/>
      <c r="AH67" s="377" t="n"/>
      <c r="AL67" s="281" t="n"/>
    </row>
    <row r="68" hidden="1" ht="26.25" customHeight="1" s="1053">
      <c r="A68" s="377" t="inlineStr">
        <is>
          <t>新宝利</t>
        </is>
      </c>
      <c r="B68" s="377" t="inlineStr">
        <is>
          <t>二期</t>
        </is>
      </c>
      <c r="C68" s="377" t="n">
        <v>3132846</v>
      </c>
      <c r="D68" s="377" t="inlineStr">
        <is>
          <t>13:20-15:30</t>
        </is>
      </c>
      <c r="E68" s="377" t="inlineStr">
        <is>
          <t>潜能班</t>
        </is>
      </c>
      <c r="F68" s="377" t="inlineStr">
        <is>
          <t>周芷萱</t>
        </is>
      </c>
      <c r="G68" s="377" t="inlineStr">
        <is>
          <t>黄铭怡</t>
        </is>
      </c>
      <c r="H68" s="377" t="inlineStr">
        <is>
          <t>陈中帅</t>
        </is>
      </c>
      <c r="I68" s="377" t="inlineStr">
        <is>
          <t>高心怡04</t>
        </is>
      </c>
      <c r="J68" s="377" t="inlineStr">
        <is>
          <t>尚歆01</t>
        </is>
      </c>
      <c r="K68" s="190" t="inlineStr">
        <is>
          <t>文昌小学</t>
        </is>
      </c>
      <c r="L68" s="190" t="inlineStr">
        <is>
          <t>一中</t>
        </is>
      </c>
      <c r="M68" s="377" t="n"/>
      <c r="N68" s="377" t="n"/>
      <c r="O68" s="377" t="inlineStr">
        <is>
          <t>老生</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c r="AL68" s="281" t="n"/>
    </row>
    <row r="69" hidden="1" ht="26.25" customHeight="1" s="1053">
      <c r="A69" s="377" t="inlineStr">
        <is>
          <t>新宝利</t>
        </is>
      </c>
      <c r="B69" s="377" t="inlineStr">
        <is>
          <t>二期</t>
        </is>
      </c>
      <c r="C69" s="377" t="n">
        <v>3132846</v>
      </c>
      <c r="D69" s="377" t="inlineStr">
        <is>
          <t>13:20-15:30</t>
        </is>
      </c>
      <c r="E69" s="377" t="inlineStr">
        <is>
          <t>潜能班</t>
        </is>
      </c>
      <c r="F69" s="377" t="inlineStr">
        <is>
          <t>岑宝锐</t>
        </is>
      </c>
      <c r="G69" s="377" t="inlineStr">
        <is>
          <t>黄铭怡</t>
        </is>
      </c>
      <c r="H69" s="377" t="inlineStr">
        <is>
          <t>陈中帅</t>
        </is>
      </c>
      <c r="I69" s="377" t="inlineStr">
        <is>
          <t>高心怡04</t>
        </is>
      </c>
      <c r="J69" s="377" t="inlineStr">
        <is>
          <t>张敏烨</t>
        </is>
      </c>
      <c r="K69" s="377" t="n"/>
      <c r="L69" s="190" t="n"/>
      <c r="M69" s="377" t="n"/>
      <c r="N69" s="377" t="n"/>
      <c r="O69" s="377" t="n"/>
      <c r="P69" s="377" t="n"/>
      <c r="Q69" s="377" t="n"/>
      <c r="R69" s="377" t="n"/>
      <c r="S69" s="377" t="n"/>
      <c r="T69" s="377" t="n"/>
      <c r="U69" s="377" t="n"/>
      <c r="V69" s="377" t="n"/>
      <c r="W69" s="377" t="n"/>
      <c r="X69" s="377" t="n"/>
      <c r="Y69" s="377" t="n"/>
      <c r="Z69" s="377" t="n"/>
      <c r="AA69" s="377" t="n"/>
      <c r="AB69" s="377" t="n"/>
      <c r="AC69" s="377" t="n"/>
      <c r="AD69" s="377" t="n"/>
      <c r="AE69" s="377" t="n"/>
      <c r="AF69" s="377" t="n"/>
      <c r="AG69" s="377" t="n"/>
      <c r="AH69" s="377" t="n"/>
      <c r="AL69" s="281" t="n"/>
    </row>
    <row r="70" hidden="1" ht="26.25" customHeight="1" s="1053">
      <c r="A70" s="377" t="inlineStr">
        <is>
          <t>新宝利</t>
        </is>
      </c>
      <c r="B70" s="377" t="inlineStr">
        <is>
          <t>二期</t>
        </is>
      </c>
      <c r="C70" s="377" t="n">
        <v>3132846</v>
      </c>
      <c r="D70" s="377" t="inlineStr">
        <is>
          <t>13:20-15:30</t>
        </is>
      </c>
      <c r="E70" s="377" t="inlineStr">
        <is>
          <t>潜能班</t>
        </is>
      </c>
      <c r="F70" s="377" t="inlineStr">
        <is>
          <t>庄梓轩</t>
        </is>
      </c>
      <c r="G70" s="377" t="inlineStr">
        <is>
          <t>黄铭怡</t>
        </is>
      </c>
      <c r="H70" s="377" t="inlineStr">
        <is>
          <t>陈中帅</t>
        </is>
      </c>
      <c r="I70" s="377" t="inlineStr">
        <is>
          <t>高心怡04</t>
        </is>
      </c>
      <c r="J70" s="377" t="inlineStr">
        <is>
          <t>苏丽婷</t>
        </is>
      </c>
      <c r="K70" s="377" t="n"/>
      <c r="L70" s="190"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L70" s="281" t="n"/>
    </row>
    <row r="71" ht="26.25" customHeight="1" s="1053">
      <c r="A71" s="377" t="inlineStr">
        <is>
          <t>新宝利</t>
        </is>
      </c>
      <c r="B71" s="377" t="inlineStr">
        <is>
          <t>二期</t>
        </is>
      </c>
      <c r="C71" s="377" t="n">
        <v>3132846</v>
      </c>
      <c r="D71" s="377" t="inlineStr">
        <is>
          <t>13:20-15:30</t>
        </is>
      </c>
      <c r="E71" s="377" t="inlineStr">
        <is>
          <t>潜能班</t>
        </is>
      </c>
      <c r="F71" s="377" t="inlineStr">
        <is>
          <t>张樽昊</t>
        </is>
      </c>
      <c r="G71" s="377" t="inlineStr">
        <is>
          <t>黄铭怡</t>
        </is>
      </c>
      <c r="H71" s="377" t="inlineStr">
        <is>
          <t>陈中帅</t>
        </is>
      </c>
      <c r="I71" s="377" t="inlineStr">
        <is>
          <t>高心怡04</t>
        </is>
      </c>
      <c r="J71" s="377" t="inlineStr">
        <is>
          <t>沈思浩</t>
        </is>
      </c>
      <c r="K71" s="377" t="n"/>
      <c r="L71" s="377" t="n"/>
      <c r="M71" s="377" t="n"/>
      <c r="N71" s="377" t="n"/>
      <c r="O71" s="377" t="n"/>
      <c r="P71" s="377" t="n"/>
      <c r="Q71" s="377" t="n">
        <v>30</v>
      </c>
      <c r="R71" s="377" t="n"/>
      <c r="S71" s="377" t="n"/>
      <c r="T71" s="377" t="n"/>
      <c r="U71" s="377" t="n"/>
      <c r="V71" s="377" t="n"/>
      <c r="W71" s="377" t="n"/>
      <c r="X71" s="377" t="n"/>
      <c r="Y71" s="377" t="n"/>
      <c r="Z71" s="377" t="n"/>
      <c r="AA71" s="377" t="n"/>
      <c r="AB71" s="377" t="n"/>
      <c r="AC71" s="377" t="n"/>
      <c r="AD71" s="377" t="n"/>
      <c r="AE71" s="377" t="n"/>
      <c r="AF71" s="377" t="n"/>
      <c r="AG71" s="377" t="n"/>
      <c r="AH71" s="377" t="n"/>
    </row>
    <row r="72" hidden="1" ht="26.25" customHeight="1" s="1053">
      <c r="A72" s="377" t="inlineStr">
        <is>
          <t>新宝利</t>
        </is>
      </c>
      <c r="B72" s="377" t="inlineStr">
        <is>
          <t>二期</t>
        </is>
      </c>
      <c r="C72" s="377" t="n">
        <v>3132846</v>
      </c>
      <c r="D72" s="377" t="inlineStr">
        <is>
          <t>13:20-15:30</t>
        </is>
      </c>
      <c r="E72" s="377" t="inlineStr">
        <is>
          <t>潜能班</t>
        </is>
      </c>
      <c r="F72" s="377" t="inlineStr">
        <is>
          <t>张瑞桐</t>
        </is>
      </c>
      <c r="G72" s="377" t="inlineStr">
        <is>
          <t>黄铭怡</t>
        </is>
      </c>
      <c r="H72" s="377" t="inlineStr">
        <is>
          <t>陈中帅</t>
        </is>
      </c>
      <c r="I72" s="377" t="inlineStr">
        <is>
          <t>高心怡04</t>
        </is>
      </c>
      <c r="J72" s="377" t="inlineStr">
        <is>
          <t>张敏烨</t>
        </is>
      </c>
      <c r="K72" s="377" t="n"/>
      <c r="L72" s="377" t="n"/>
      <c r="M72" s="377" t="n"/>
      <c r="N72" s="377" t="n"/>
      <c r="O72" s="377" t="n"/>
      <c r="P72" s="377" t="n"/>
      <c r="Q72" s="377" t="n">
        <v>45</v>
      </c>
      <c r="R72" s="377" t="n"/>
      <c r="S72" s="377" t="n"/>
      <c r="T72" s="377" t="n"/>
      <c r="U72" s="377" t="n"/>
      <c r="V72" s="377" t="n"/>
      <c r="W72" s="377" t="n"/>
      <c r="X72" s="377" t="n"/>
      <c r="Y72" s="377" t="n"/>
      <c r="Z72" s="377" t="n"/>
      <c r="AA72" s="377" t="n"/>
      <c r="AB72" s="377" t="n"/>
      <c r="AC72" s="377" t="n"/>
      <c r="AD72" s="377" t="n"/>
      <c r="AE72" s="377" t="n"/>
      <c r="AF72" s="377" t="n"/>
      <c r="AG72" s="377" t="n"/>
      <c r="AH72" s="377" t="n"/>
    </row>
    <row r="73" hidden="1" ht="26.25" customHeight="1" s="1053">
      <c r="A73" s="377" t="inlineStr">
        <is>
          <t>新宝利</t>
        </is>
      </c>
      <c r="B73" s="377" t="inlineStr">
        <is>
          <t>二期</t>
        </is>
      </c>
      <c r="C73" s="377" t="n">
        <v>3132846</v>
      </c>
      <c r="D73" s="377" t="inlineStr">
        <is>
          <t>13:20-15:30</t>
        </is>
      </c>
      <c r="E73" s="377" t="inlineStr">
        <is>
          <t>潜能班</t>
        </is>
      </c>
      <c r="F73" s="377" t="inlineStr">
        <is>
          <t>张翊昕</t>
        </is>
      </c>
      <c r="G73" s="377" t="inlineStr">
        <is>
          <t>黄铭怡</t>
        </is>
      </c>
      <c r="H73" s="377" t="inlineStr">
        <is>
          <t>陈中帅</t>
        </is>
      </c>
      <c r="I73" s="377" t="inlineStr">
        <is>
          <t>高心怡04</t>
        </is>
      </c>
      <c r="J73" s="377" t="inlineStr">
        <is>
          <t>张敏烨</t>
        </is>
      </c>
      <c r="K73" s="377" t="n"/>
      <c r="L73" s="377" t="n"/>
      <c r="M73" s="377" t="n"/>
      <c r="N73" s="377" t="n"/>
      <c r="O73" s="377" t="inlineStr">
        <is>
          <t>关雅致转介绍</t>
        </is>
      </c>
      <c r="P73" s="377" t="n"/>
      <c r="Q73" s="377" t="n">
        <v>51</v>
      </c>
      <c r="R73" s="377" t="n"/>
      <c r="S73" s="377" t="n"/>
      <c r="T73" s="377" t="n"/>
      <c r="U73" s="377" t="n"/>
      <c r="V73" s="377" t="n"/>
      <c r="W73" s="377" t="n"/>
      <c r="X73" s="377" t="n"/>
      <c r="Y73" s="377" t="n"/>
      <c r="Z73" s="377" t="n"/>
      <c r="AA73" s="377" t="n"/>
      <c r="AB73" s="377" t="n"/>
      <c r="AC73" s="377" t="n"/>
      <c r="AD73" s="377" t="n"/>
      <c r="AE73" s="377" t="n"/>
      <c r="AF73" s="377" t="n"/>
      <c r="AG73" s="377" t="n"/>
      <c r="AH73" s="377" t="n"/>
    </row>
    <row r="74" hidden="1" ht="26.25" customHeight="1" s="1053">
      <c r="A74" s="377" t="inlineStr">
        <is>
          <t>新宝利</t>
        </is>
      </c>
      <c r="B74" s="377" t="inlineStr">
        <is>
          <t>二期</t>
        </is>
      </c>
      <c r="C74" s="377" t="n">
        <v>3132846</v>
      </c>
      <c r="D74" s="377" t="inlineStr">
        <is>
          <t>13:20-15:30</t>
        </is>
      </c>
      <c r="E74" s="377" t="inlineStr">
        <is>
          <t>潜能班</t>
        </is>
      </c>
      <c r="F74" s="377" t="inlineStr">
        <is>
          <t>曹梓晴</t>
        </is>
      </c>
      <c r="G74" s="377" t="inlineStr">
        <is>
          <t>黄铭怡</t>
        </is>
      </c>
      <c r="H74" s="377" t="inlineStr">
        <is>
          <t>陈中帅</t>
        </is>
      </c>
      <c r="I74" s="377" t="inlineStr">
        <is>
          <t>高心怡04</t>
        </is>
      </c>
      <c r="J74" s="377" t="inlineStr">
        <is>
          <t>张敏烨</t>
        </is>
      </c>
      <c r="K74" s="377" t="n"/>
      <c r="L74" s="377" t="n"/>
      <c r="M74" s="377" t="n"/>
      <c r="N74" s="377" t="n"/>
      <c r="O74" s="377" t="n"/>
      <c r="P74" s="377" t="n"/>
      <c r="Q74" s="377" t="n"/>
      <c r="R74" s="377" t="n"/>
      <c r="S74" s="377" t="n"/>
      <c r="T74" s="377" t="n"/>
      <c r="U74" s="377" t="n"/>
      <c r="V74" s="377" t="n"/>
      <c r="W74" s="377" t="n"/>
      <c r="X74" s="377" t="n"/>
      <c r="Y74" s="377" t="n"/>
      <c r="Z74" s="377" t="n"/>
      <c r="AA74" s="377" t="n"/>
      <c r="AB74" s="377" t="n"/>
      <c r="AC74" s="377" t="n"/>
      <c r="AD74" s="377" t="n"/>
      <c r="AE74" s="377" t="n"/>
      <c r="AF74" s="377" t="n"/>
      <c r="AG74" s="377" t="n"/>
      <c r="AH74" s="377" t="n"/>
    </row>
    <row r="75" hidden="1" ht="26.25" customHeight="1" s="1053">
      <c r="A75" s="377" t="inlineStr">
        <is>
          <t>新宝利</t>
        </is>
      </c>
      <c r="B75" s="377" t="inlineStr">
        <is>
          <t>二期</t>
        </is>
      </c>
      <c r="C75" s="377" t="n">
        <v>3132846</v>
      </c>
      <c r="D75" s="377" t="inlineStr">
        <is>
          <t>13:20-15:30</t>
        </is>
      </c>
      <c r="E75" s="377" t="inlineStr">
        <is>
          <t>潜能班</t>
        </is>
      </c>
      <c r="F75" s="377" t="inlineStr">
        <is>
          <t>李奕翔</t>
        </is>
      </c>
      <c r="G75" s="377" t="inlineStr">
        <is>
          <t>黄铭怡</t>
        </is>
      </c>
      <c r="H75" s="377" t="inlineStr">
        <is>
          <t>陈中帅</t>
        </is>
      </c>
      <c r="I75" s="377" t="inlineStr">
        <is>
          <t>高心怡04</t>
        </is>
      </c>
      <c r="J75" s="377" t="inlineStr">
        <is>
          <t>杨林33</t>
        </is>
      </c>
      <c r="K75" s="377" t="n"/>
      <c r="L75" s="377" t="n"/>
      <c r="M75" s="377" t="n"/>
      <c r="N75" s="377" t="n"/>
      <c r="O75" s="377" t="n"/>
      <c r="P75" s="377" t="n"/>
      <c r="Q75" s="377" t="n"/>
      <c r="R75" s="377" t="n"/>
      <c r="S75" s="377" t="n"/>
      <c r="T75" s="377" t="n"/>
      <c r="U75" s="377" t="n"/>
      <c r="V75" s="377" t="n"/>
      <c r="W75" s="377" t="n"/>
      <c r="X75" s="377" t="n"/>
      <c r="Y75" s="377" t="n"/>
      <c r="Z75" s="377" t="n"/>
      <c r="AA75" s="377" t="n"/>
      <c r="AB75" s="377" t="n"/>
      <c r="AC75" s="377" t="n"/>
      <c r="AD75" s="377" t="n"/>
      <c r="AE75" s="377" t="n"/>
      <c r="AF75" s="377" t="n"/>
      <c r="AG75" s="377" t="n"/>
      <c r="AH75" s="377" t="n"/>
    </row>
    <row r="76" hidden="1" ht="26.25" customHeight="1" s="1053">
      <c r="A76" s="377" t="inlineStr">
        <is>
          <t>新宝利</t>
        </is>
      </c>
      <c r="B76" s="377" t="inlineStr">
        <is>
          <t>二期</t>
        </is>
      </c>
      <c r="C76" s="377" t="n">
        <v>3132846</v>
      </c>
      <c r="D76" s="377" t="inlineStr">
        <is>
          <t>13:20-15:30</t>
        </is>
      </c>
      <c r="E76" s="377" t="inlineStr">
        <is>
          <t>潜能班</t>
        </is>
      </c>
      <c r="F76" s="377" t="inlineStr">
        <is>
          <t>梁悦轩</t>
        </is>
      </c>
      <c r="G76" s="377" t="inlineStr">
        <is>
          <t>黄铭怡</t>
        </is>
      </c>
      <c r="H76" s="377" t="inlineStr">
        <is>
          <t>陈中帅</t>
        </is>
      </c>
      <c r="I76" s="377" t="inlineStr">
        <is>
          <t>高心怡04</t>
        </is>
      </c>
      <c r="J76" s="377" t="inlineStr">
        <is>
          <t>林志豪01</t>
        </is>
      </c>
      <c r="K76" s="377" t="n"/>
      <c r="L76" s="377" t="n"/>
      <c r="M76" s="377" t="n"/>
      <c r="N76" s="377" t="n"/>
      <c r="O76" s="377" t="inlineStr">
        <is>
          <t>关浩言转介绍</t>
        </is>
      </c>
      <c r="P76" s="377" t="n"/>
      <c r="Q76" s="377" t="n">
        <v>40</v>
      </c>
      <c r="R76" s="377" t="n"/>
      <c r="S76" s="377" t="n"/>
      <c r="T76" s="377" t="n"/>
      <c r="U76" s="377" t="n"/>
      <c r="V76" s="377" t="n"/>
      <c r="W76" s="377" t="n"/>
      <c r="X76" s="377" t="n"/>
      <c r="Y76" s="377" t="n"/>
      <c r="Z76" s="377" t="n"/>
      <c r="AA76" s="377" t="n"/>
      <c r="AB76" s="377" t="n"/>
      <c r="AC76" s="377" t="n"/>
      <c r="AD76" s="377" t="n"/>
      <c r="AE76" s="377" t="n"/>
      <c r="AF76" s="377" t="n"/>
      <c r="AG76" s="377" t="n"/>
      <c r="AH76" s="377" t="n"/>
    </row>
    <row r="77" hidden="1" ht="26.25" customHeight="1" s="1053">
      <c r="A77" s="377" t="inlineStr">
        <is>
          <t>新宝利</t>
        </is>
      </c>
      <c r="B77" s="377" t="inlineStr">
        <is>
          <t>二期</t>
        </is>
      </c>
      <c r="C77" s="377" t="n">
        <v>3132846</v>
      </c>
      <c r="D77" s="377" t="inlineStr">
        <is>
          <t>13:20-15:30</t>
        </is>
      </c>
      <c r="E77" s="377" t="inlineStr">
        <is>
          <t>潜能班</t>
        </is>
      </c>
      <c r="F77" s="377" t="inlineStr">
        <is>
          <t>梁雅茹</t>
        </is>
      </c>
      <c r="G77" s="377" t="inlineStr">
        <is>
          <t>黄铭怡</t>
        </is>
      </c>
      <c r="H77" s="377" t="inlineStr">
        <is>
          <t>陈中帅</t>
        </is>
      </c>
      <c r="I77" s="377" t="inlineStr">
        <is>
          <t>肖锐03</t>
        </is>
      </c>
      <c r="J77" s="377" t="inlineStr">
        <is>
          <t>林志豪01</t>
        </is>
      </c>
      <c r="K77" s="377" t="n"/>
      <c r="L77" s="377" t="n"/>
      <c r="M77" s="377" t="n"/>
      <c r="N77" s="377" t="n"/>
      <c r="O77" s="377" t="n"/>
      <c r="P77" s="377" t="n">
        <v>95</v>
      </c>
      <c r="Q77" s="377" t="n"/>
      <c r="R77" s="377" t="n"/>
      <c r="S77" s="377" t="n"/>
      <c r="T77" s="377" t="inlineStr">
        <is>
          <t>是</t>
        </is>
      </c>
      <c r="U77" s="377" t="n"/>
      <c r="V77" s="377" t="inlineStr">
        <is>
          <t>是</t>
        </is>
      </c>
      <c r="W77" s="377" t="inlineStr">
        <is>
          <t>是</t>
        </is>
      </c>
      <c r="X77" s="377" t="n"/>
      <c r="Y77" s="377" t="n"/>
      <c r="Z77" s="377" t="inlineStr">
        <is>
          <t>是</t>
        </is>
      </c>
      <c r="AA77" s="377" t="n"/>
      <c r="AB77" s="377" t="n"/>
      <c r="AC77" s="377" t="n"/>
      <c r="AD77" s="377" t="n"/>
      <c r="AE77" s="377" t="n"/>
      <c r="AF77" s="377" t="n"/>
      <c r="AG77" s="377" t="n"/>
      <c r="AH77" s="377" t="n"/>
    </row>
    <row r="78" hidden="1" ht="26.25" customHeight="1" s="1053">
      <c r="A78" s="377" t="inlineStr">
        <is>
          <t>新宝利</t>
        </is>
      </c>
      <c r="B78" s="377" t="inlineStr">
        <is>
          <t>二期</t>
        </is>
      </c>
      <c r="C78" s="377" t="n">
        <v>3132846</v>
      </c>
      <c r="D78" s="377" t="inlineStr">
        <is>
          <t>13:20-15:30</t>
        </is>
      </c>
      <c r="E78" s="377" t="inlineStr">
        <is>
          <t>潜能班</t>
        </is>
      </c>
      <c r="F78" s="377" t="inlineStr">
        <is>
          <t>温培烨</t>
        </is>
      </c>
      <c r="G78" s="377" t="inlineStr">
        <is>
          <t>黄铭怡</t>
        </is>
      </c>
      <c r="H78" s="377" t="inlineStr">
        <is>
          <t>陈中帅</t>
        </is>
      </c>
      <c r="I78" s="377" t="inlineStr">
        <is>
          <t>高心怡04</t>
        </is>
      </c>
      <c r="J78" s="377" t="inlineStr">
        <is>
          <t>张敏烨</t>
        </is>
      </c>
      <c r="K78" s="377" t="n"/>
      <c r="L78" s="377" t="n"/>
      <c r="M78" s="377" t="n"/>
      <c r="N78" s="377" t="n"/>
      <c r="O78" s="377" t="n"/>
      <c r="P78" s="377" t="n"/>
      <c r="Q78" s="377" t="n"/>
      <c r="R78" s="377" t="n"/>
      <c r="S78" s="377" t="n"/>
      <c r="T78" s="377" t="n"/>
      <c r="U78" s="377" t="n"/>
      <c r="V78" s="377" t="n"/>
      <c r="W78" s="377" t="n"/>
      <c r="X78" s="377" t="n"/>
      <c r="Y78" s="377" t="n"/>
      <c r="Z78" s="377" t="n"/>
      <c r="AA78" s="377" t="n"/>
      <c r="AB78" s="377" t="n"/>
      <c r="AC78" s="377" t="n"/>
      <c r="AD78" s="377" t="n"/>
      <c r="AE78" s="377" t="n"/>
      <c r="AF78" s="377" t="n"/>
      <c r="AG78" s="377" t="n"/>
      <c r="AH78" s="377" t="n"/>
    </row>
    <row r="79" hidden="1" ht="26.25" customHeight="1" s="1053">
      <c r="A79" s="377" t="inlineStr">
        <is>
          <t>新宝利</t>
        </is>
      </c>
      <c r="B79" s="377" t="inlineStr">
        <is>
          <t>二期</t>
        </is>
      </c>
      <c r="C79" s="377" t="n">
        <v>3132846</v>
      </c>
      <c r="D79" s="377" t="inlineStr">
        <is>
          <t>13:20-15:30</t>
        </is>
      </c>
      <c r="E79" s="377" t="inlineStr">
        <is>
          <t>潜能班</t>
        </is>
      </c>
      <c r="F79" s="377" t="inlineStr">
        <is>
          <t>王奕皓</t>
        </is>
      </c>
      <c r="G79" s="377" t="inlineStr">
        <is>
          <t>黄铭怡</t>
        </is>
      </c>
      <c r="H79" s="377" t="n"/>
      <c r="I79" s="377" t="n"/>
      <c r="J79" s="377" t="inlineStr">
        <is>
          <t>罗玉玲</t>
        </is>
      </c>
      <c r="K79" s="377" t="n"/>
      <c r="L79" s="377" t="n"/>
      <c r="M79" s="377" t="n"/>
      <c r="N79" s="377" t="n"/>
      <c r="O79" s="377" t="inlineStr">
        <is>
          <t>老生</t>
        </is>
      </c>
      <c r="P79" s="377" t="n"/>
      <c r="Q79" s="377" t="n"/>
      <c r="R79" s="377" t="n"/>
      <c r="S79" s="377" t="n"/>
      <c r="T79" s="377" t="inlineStr">
        <is>
          <t>是</t>
        </is>
      </c>
      <c r="U79" s="377" t="inlineStr">
        <is>
          <t>是</t>
        </is>
      </c>
      <c r="V79" s="377" t="n"/>
      <c r="W79" s="377" t="n"/>
      <c r="X79" s="377" t="n"/>
      <c r="Y79" s="377" t="n"/>
      <c r="Z79" s="377" t="n"/>
      <c r="AA79" s="377" t="n"/>
      <c r="AB79" s="377" t="n"/>
      <c r="AC79" s="377" t="n"/>
      <c r="AD79" s="377" t="n"/>
      <c r="AE79" s="377" t="n"/>
      <c r="AF79" s="377" t="n"/>
      <c r="AG79" s="377" t="n"/>
      <c r="AH79" s="377" t="inlineStr">
        <is>
          <t>是</t>
        </is>
      </c>
    </row>
    <row r="80" hidden="1" ht="26.25" customHeight="1" s="1053">
      <c r="A80" s="377" t="inlineStr">
        <is>
          <t>新宝利</t>
        </is>
      </c>
      <c r="B80" s="377" t="inlineStr">
        <is>
          <t>二期</t>
        </is>
      </c>
      <c r="C80" s="377" t="n">
        <v>3132846</v>
      </c>
      <c r="D80" s="377" t="inlineStr">
        <is>
          <t>13:20-15:30</t>
        </is>
      </c>
      <c r="E80" s="377" t="inlineStr">
        <is>
          <t>潜能班</t>
        </is>
      </c>
      <c r="F80" s="377" t="inlineStr">
        <is>
          <t>罗悦庭</t>
        </is>
      </c>
      <c r="G80" s="377" t="inlineStr">
        <is>
          <t>黄铭怡</t>
        </is>
      </c>
      <c r="H80" s="377" t="n"/>
      <c r="I80" s="377" t="inlineStr">
        <is>
          <t>高心怡04</t>
        </is>
      </c>
      <c r="J80" s="377" t="inlineStr">
        <is>
          <t>杨林33</t>
        </is>
      </c>
      <c r="K80" s="377" t="n"/>
      <c r="L80" s="190" t="n"/>
      <c r="M80" s="377" t="n"/>
      <c r="N80" s="377" t="n"/>
      <c r="O80" s="377" t="n"/>
      <c r="P80" s="377" t="n"/>
      <c r="Q80" s="377" t="n"/>
      <c r="R80" s="377" t="n"/>
      <c r="S80" s="377" t="n"/>
      <c r="T80" s="377" t="n"/>
      <c r="U80" s="377" t="n"/>
      <c r="V80" s="377" t="n"/>
      <c r="W80" s="377" t="n"/>
      <c r="X80" s="377" t="n"/>
      <c r="Y80" s="377" t="n"/>
      <c r="Z80" s="377" t="n"/>
      <c r="AA80" s="377" t="n"/>
      <c r="AB80" s="377" t="n"/>
      <c r="AC80" s="377" t="n"/>
      <c r="AD80" s="377" t="n"/>
      <c r="AE80" s="377" t="n"/>
      <c r="AF80" s="377" t="n"/>
      <c r="AG80" s="377" t="n"/>
      <c r="AH80" s="377" t="n"/>
    </row>
    <row r="81" hidden="1" ht="26.25" customHeight="1" s="1053">
      <c r="A81" s="377" t="inlineStr">
        <is>
          <t>新宝利</t>
        </is>
      </c>
      <c r="B81" s="377" t="inlineStr">
        <is>
          <t>二期</t>
        </is>
      </c>
      <c r="C81" s="377" t="n">
        <v>3132846</v>
      </c>
      <c r="D81" s="377" t="inlineStr">
        <is>
          <t>13:20-15:30</t>
        </is>
      </c>
      <c r="E81" s="377" t="inlineStr">
        <is>
          <t>潜能班</t>
        </is>
      </c>
      <c r="F81" s="377" t="inlineStr">
        <is>
          <t>许博然</t>
        </is>
      </c>
      <c r="G81" s="377" t="inlineStr">
        <is>
          <t>黄铭怡</t>
        </is>
      </c>
      <c r="H81" s="377" t="n"/>
      <c r="I81" s="377" t="n"/>
      <c r="J81" s="377" t="n"/>
      <c r="K81" s="377" t="n"/>
      <c r="L81" s="190" t="n"/>
      <c r="M81" s="377" t="n"/>
      <c r="N81" s="377" t="n"/>
      <c r="O81" s="377" t="inlineStr">
        <is>
          <t>老生</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idden="1" ht="26.25" customHeight="1" s="1053">
      <c r="A82" s="377" t="inlineStr">
        <is>
          <t>新宝利</t>
        </is>
      </c>
      <c r="B82" s="377" t="inlineStr">
        <is>
          <t>二期</t>
        </is>
      </c>
      <c r="C82" s="377" t="n">
        <v>3132846</v>
      </c>
      <c r="D82" s="377" t="inlineStr">
        <is>
          <t>13:20-15:30</t>
        </is>
      </c>
      <c r="E82" s="377" t="inlineStr">
        <is>
          <t>潜能班</t>
        </is>
      </c>
      <c r="F82" s="377" t="inlineStr">
        <is>
          <t>郑本熙</t>
        </is>
      </c>
      <c r="G82" s="377" t="inlineStr">
        <is>
          <t>黄铭怡</t>
        </is>
      </c>
      <c r="H82" s="377" t="inlineStr">
        <is>
          <t>陈中帅</t>
        </is>
      </c>
      <c r="I82" s="377" t="inlineStr">
        <is>
          <t>高心怡04</t>
        </is>
      </c>
      <c r="J82" s="377" t="inlineStr">
        <is>
          <t>沈思浩</t>
        </is>
      </c>
      <c r="K82" s="377" t="n"/>
      <c r="L82" s="377" t="n"/>
      <c r="M82" s="377" t="n"/>
      <c r="N82" s="377" t="n"/>
      <c r="O82" s="377" t="inlineStr">
        <is>
          <t>老生</t>
        </is>
      </c>
      <c r="P82" s="377" t="n"/>
      <c r="Q82" s="377" t="n">
        <v>27</v>
      </c>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inlineStr">
        <is>
          <t>是</t>
        </is>
      </c>
    </row>
    <row r="83" hidden="1" ht="26.25" customHeight="1" s="1053">
      <c r="A83" s="377" t="inlineStr">
        <is>
          <t>新宝利</t>
        </is>
      </c>
      <c r="B83" s="377" t="inlineStr">
        <is>
          <t>二期</t>
        </is>
      </c>
      <c r="C83" s="377" t="n">
        <v>3132846</v>
      </c>
      <c r="D83" s="377" t="inlineStr">
        <is>
          <t>13:20-15:30</t>
        </is>
      </c>
      <c r="E83" s="377" t="inlineStr">
        <is>
          <t>潜能班</t>
        </is>
      </c>
      <c r="F83" s="377" t="inlineStr">
        <is>
          <t>陆芷琳</t>
        </is>
      </c>
      <c r="G83" s="377" t="inlineStr">
        <is>
          <t>黄铭怡</t>
        </is>
      </c>
      <c r="H83" s="377" t="n"/>
      <c r="I83" s="377" t="inlineStr">
        <is>
          <t>高心怡04</t>
        </is>
      </c>
      <c r="J83" s="377" t="inlineStr">
        <is>
          <t>杨林33</t>
        </is>
      </c>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inlineStr">
        <is>
          <t>是</t>
        </is>
      </c>
    </row>
    <row r="84" hidden="1" ht="26.25" customHeight="1" s="1053">
      <c r="A84" s="377" t="inlineStr">
        <is>
          <t>新宝利</t>
        </is>
      </c>
      <c r="B84" s="377" t="inlineStr">
        <is>
          <t>二期</t>
        </is>
      </c>
      <c r="C84" s="377" t="n">
        <v>3132846</v>
      </c>
      <c r="D84" s="377" t="inlineStr">
        <is>
          <t>13:20-15:30</t>
        </is>
      </c>
      <c r="E84" s="377" t="inlineStr">
        <is>
          <t>潜能班</t>
        </is>
      </c>
      <c r="F84" s="377" t="inlineStr">
        <is>
          <t>麦紫蕊</t>
        </is>
      </c>
      <c r="G84" s="377" t="inlineStr">
        <is>
          <t>黄铭怡</t>
        </is>
      </c>
      <c r="H84" s="377" t="inlineStr">
        <is>
          <t>陈中帅</t>
        </is>
      </c>
      <c r="I84" s="377" t="inlineStr">
        <is>
          <t>高心怡04</t>
        </is>
      </c>
      <c r="J84" s="377" t="inlineStr">
        <is>
          <t>张敏烨</t>
        </is>
      </c>
      <c r="K84" s="377" t="n"/>
      <c r="L84" s="377" t="n"/>
      <c r="M84" s="377" t="n"/>
      <c r="N84" s="377" t="n"/>
      <c r="O84" s="377" t="n"/>
      <c r="P84" s="377" t="n"/>
      <c r="Q84" s="377" t="n"/>
      <c r="R84" s="377" t="n"/>
      <c r="S84" s="377" t="n"/>
      <c r="T84" s="377" t="n"/>
      <c r="U84" s="377" t="n"/>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二期</t>
        </is>
      </c>
      <c r="C85" s="377" t="n">
        <v>3132846</v>
      </c>
      <c r="D85" s="377" t="inlineStr">
        <is>
          <t>13:20-15:30</t>
        </is>
      </c>
      <c r="E85" s="377" t="inlineStr">
        <is>
          <t>潜能班</t>
        </is>
      </c>
      <c r="F85" s="377" t="inlineStr">
        <is>
          <t>黄雨桐</t>
        </is>
      </c>
      <c r="G85" s="377" t="inlineStr">
        <is>
          <t>黄铭怡</t>
        </is>
      </c>
      <c r="H85" s="377" t="inlineStr">
        <is>
          <t>陈中帅</t>
        </is>
      </c>
      <c r="I85" s="377" t="inlineStr">
        <is>
          <t>高心怡04</t>
        </is>
      </c>
      <c r="J85" s="377" t="inlineStr">
        <is>
          <t>林志豪01</t>
        </is>
      </c>
      <c r="K85" s="190" t="n"/>
      <c r="L85" s="190" t="n"/>
      <c r="M85" s="377" t="inlineStr">
        <is>
          <t>六年托管、家里学习管的不多</t>
        </is>
      </c>
      <c r="N85" s="377" t="inlineStr">
        <is>
          <t>作文有时候写的不好、去年换了一个快退休的老师，爸爸感觉可能不太上心。</t>
        </is>
      </c>
      <c r="O85" s="377" t="inlineStr">
        <is>
          <t>多鼓励孩子发言。爸爸问了十节课结束后的课程安排</t>
        </is>
      </c>
      <c r="P85" s="377" t="inlineStr">
        <is>
          <t>90-95</t>
        </is>
      </c>
      <c r="Q85" s="377" t="n">
        <v>20</v>
      </c>
      <c r="R85" s="377" t="n"/>
      <c r="S85" s="377" t="n"/>
      <c r="T85" s="377" t="n"/>
      <c r="U85" s="377" t="n"/>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二期</t>
        </is>
      </c>
      <c r="C86" s="377" t="n">
        <v>3132846</v>
      </c>
      <c r="D86" s="377" t="inlineStr">
        <is>
          <t>13:20-15:30</t>
        </is>
      </c>
      <c r="E86" s="377" t="inlineStr">
        <is>
          <t>潜能班</t>
        </is>
      </c>
      <c r="F86" s="377" t="inlineStr">
        <is>
          <t>黎勇成</t>
        </is>
      </c>
      <c r="G86" s="377" t="inlineStr">
        <is>
          <t>黄铭怡</t>
        </is>
      </c>
      <c r="H86" s="377" t="inlineStr">
        <is>
          <t>何咏04</t>
        </is>
      </c>
      <c r="I86" s="377" t="inlineStr">
        <is>
          <t>肖锐03</t>
        </is>
      </c>
      <c r="J86" s="377" t="inlineStr">
        <is>
          <t>杨林33</t>
        </is>
      </c>
      <c r="K86" s="190" t="n"/>
      <c r="L86" s="190" t="n"/>
      <c r="M86" s="377" t="n"/>
      <c r="N86" s="377" t="n"/>
      <c r="O86" s="377" t="inlineStr">
        <is>
          <t>新宝利第一批特惠学员，未转化</t>
        </is>
      </c>
      <c r="P86" s="377" t="n"/>
      <c r="Q86" s="377" t="n">
        <v>22</v>
      </c>
      <c r="R86" s="377" t="n"/>
      <c r="S86" s="377" t="n"/>
      <c r="T86" s="377" t="n"/>
      <c r="U86" s="377" t="n"/>
      <c r="V86" s="377" t="n"/>
      <c r="W86" s="377" t="n"/>
      <c r="X86" s="377" t="n"/>
      <c r="Y86" s="377" t="n"/>
      <c r="Z86" s="377" t="n"/>
      <c r="AA86" s="377" t="n"/>
      <c r="AB86" s="377" t="n"/>
      <c r="AC86" s="377" t="n"/>
      <c r="AD86" s="377" t="n"/>
      <c r="AE86" s="377" t="n"/>
      <c r="AF86" s="377" t="n"/>
      <c r="AG86" s="377" t="n"/>
      <c r="AH86" s="377" t="n"/>
    </row>
    <row r="87" hidden="1" ht="26.25" customHeight="1" s="1053">
      <c r="A87" s="377" t="inlineStr">
        <is>
          <t>新宝利</t>
        </is>
      </c>
      <c r="B87" s="377" t="inlineStr">
        <is>
          <t>二期</t>
        </is>
      </c>
      <c r="C87" s="377" t="n">
        <v>4513342</v>
      </c>
      <c r="D87" s="377" t="inlineStr">
        <is>
          <t>10:20-12:30</t>
        </is>
      </c>
      <c r="E87" s="377" t="inlineStr">
        <is>
          <t>潜能班</t>
        </is>
      </c>
      <c r="F87" s="377" t="inlineStr">
        <is>
          <t>何雨羲</t>
        </is>
      </c>
      <c r="G87" s="377" t="inlineStr">
        <is>
          <t>黄铭怡</t>
        </is>
      </c>
      <c r="H87" s="377" t="inlineStr">
        <is>
          <t>田雨涵01</t>
        </is>
      </c>
      <c r="I87" s="377" t="inlineStr">
        <is>
          <t>高心怡04</t>
        </is>
      </c>
      <c r="J87" s="377" t="inlineStr">
        <is>
          <t>张敏烨</t>
        </is>
      </c>
      <c r="K87" s="377" t="n"/>
      <c r="L87" s="377" t="n"/>
      <c r="M87" s="377" t="n"/>
      <c r="N87" s="377" t="n"/>
      <c r="O87" s="377" t="n"/>
      <c r="P87" s="377" t="n"/>
      <c r="Q87" s="377" t="n"/>
      <c r="R87" s="377" t="n"/>
      <c r="S87" s="377" t="n"/>
      <c r="T87" s="377" t="n"/>
      <c r="U87" s="377" t="n"/>
      <c r="V87" s="377" t="n"/>
      <c r="W87" s="377" t="n"/>
      <c r="X87" s="377" t="n"/>
      <c r="Y87" s="377" t="n"/>
      <c r="Z87" s="377" t="n"/>
      <c r="AA87" s="377" t="n"/>
      <c r="AB87" s="377" t="n"/>
      <c r="AC87" s="377" t="n"/>
      <c r="AD87" s="377" t="n"/>
      <c r="AE87" s="377" t="n"/>
      <c r="AF87" s="377" t="n"/>
      <c r="AG87" s="377" t="n"/>
      <c r="AH87" s="377" t="n"/>
    </row>
    <row r="88" hidden="1" ht="26.25" customHeight="1" s="1053">
      <c r="A88" s="377" t="inlineStr">
        <is>
          <t>新宝利</t>
        </is>
      </c>
      <c r="B88" s="377" t="inlineStr">
        <is>
          <t>二期</t>
        </is>
      </c>
      <c r="C88" s="377" t="n">
        <v>4513342</v>
      </c>
      <c r="D88" s="377" t="inlineStr">
        <is>
          <t>10:20-12:30</t>
        </is>
      </c>
      <c r="E88" s="377" t="inlineStr">
        <is>
          <t>潜能班</t>
        </is>
      </c>
      <c r="F88" s="377" t="inlineStr">
        <is>
          <t>刘智烜</t>
        </is>
      </c>
      <c r="G88" s="377" t="inlineStr">
        <is>
          <t>黄铭怡</t>
        </is>
      </c>
      <c r="H88" s="377" t="inlineStr">
        <is>
          <t>田雨涵01</t>
        </is>
      </c>
      <c r="I88" s="377" t="inlineStr">
        <is>
          <t>高心怡04</t>
        </is>
      </c>
      <c r="J88" s="377" t="inlineStr">
        <is>
          <t>张敏烨</t>
        </is>
      </c>
      <c r="K88" s="377" t="n"/>
      <c r="L88" s="377" t="n"/>
      <c r="M88" s="377" t="n"/>
      <c r="N88" s="377" t="n"/>
      <c r="O88" s="377" t="n"/>
      <c r="P88" s="377" t="n"/>
      <c r="Q88" s="377" t="n"/>
      <c r="R88" s="377" t="n"/>
      <c r="S88" s="377" t="n"/>
      <c r="T88" s="377" t="n"/>
      <c r="U88" s="377" t="n"/>
      <c r="V88" s="377" t="n"/>
      <c r="W88" s="377" t="n"/>
      <c r="X88" s="377" t="n"/>
      <c r="Y88" s="377" t="n"/>
      <c r="Z88" s="377" t="n"/>
      <c r="AA88" s="377" t="n"/>
      <c r="AB88" s="377" t="n"/>
      <c r="AC88" s="377" t="n"/>
      <c r="AD88" s="377" t="n"/>
      <c r="AE88" s="377" t="n"/>
      <c r="AF88" s="377" t="n"/>
      <c r="AG88" s="377" t="n"/>
      <c r="AH88" s="377" t="n"/>
    </row>
    <row r="89" hidden="1" ht="26.25" customHeight="1" s="1053">
      <c r="A89" s="377" t="inlineStr">
        <is>
          <t>新宝利</t>
        </is>
      </c>
      <c r="B89" s="377" t="inlineStr">
        <is>
          <t>二期</t>
        </is>
      </c>
      <c r="C89" s="377" t="n">
        <v>4513342</v>
      </c>
      <c r="D89" s="377" t="inlineStr">
        <is>
          <t>10:20-12:30</t>
        </is>
      </c>
      <c r="E89" s="377" t="inlineStr">
        <is>
          <t>潜能班</t>
        </is>
      </c>
      <c r="F89" s="377" t="inlineStr">
        <is>
          <t>叶梦扶</t>
        </is>
      </c>
      <c r="G89" s="377" t="inlineStr">
        <is>
          <t>黄铭怡</t>
        </is>
      </c>
      <c r="H89" s="377" t="inlineStr">
        <is>
          <t>田雨涵01</t>
        </is>
      </c>
      <c r="I89" s="377" t="inlineStr">
        <is>
          <t>高心怡04</t>
        </is>
      </c>
      <c r="J89" s="377" t="inlineStr">
        <is>
          <t>张敏烨</t>
        </is>
      </c>
      <c r="K89" s="377" t="n"/>
      <c r="L89" s="377" t="n"/>
      <c r="M89" s="377" t="n"/>
      <c r="N89" s="377" t="n"/>
      <c r="O89" s="377" t="n"/>
      <c r="P89" s="377" t="n"/>
      <c r="Q89" s="377" t="n"/>
      <c r="R89" s="377" t="n"/>
      <c r="S89" s="377" t="n"/>
      <c r="T89" s="377" t="inlineStr">
        <is>
          <t>是</t>
        </is>
      </c>
      <c r="U89" s="377" t="n"/>
      <c r="V89" s="377" t="n"/>
      <c r="W89" s="377" t="n"/>
      <c r="X89" s="377" t="n"/>
      <c r="Y89" s="377" t="n"/>
      <c r="Z89" s="377" t="n"/>
      <c r="AA89" s="377" t="n"/>
      <c r="AB89" s="377" t="n"/>
      <c r="AC89" s="377" t="n"/>
      <c r="AD89" s="377" t="n"/>
      <c r="AE89" s="377" t="n"/>
      <c r="AF89" s="377" t="n"/>
      <c r="AG89" s="377" t="n"/>
      <c r="AH89" s="377" t="n"/>
    </row>
    <row r="90" hidden="1" ht="26.25" customHeight="1" s="1053">
      <c r="A90" s="377" t="inlineStr">
        <is>
          <t>新宝利</t>
        </is>
      </c>
      <c r="B90" s="377" t="inlineStr">
        <is>
          <t>二期</t>
        </is>
      </c>
      <c r="C90" s="377" t="n">
        <v>4513342</v>
      </c>
      <c r="D90" s="377" t="inlineStr">
        <is>
          <t>10:20-12:30</t>
        </is>
      </c>
      <c r="E90" s="377" t="inlineStr">
        <is>
          <t>潜能班</t>
        </is>
      </c>
      <c r="F90" s="377" t="inlineStr">
        <is>
          <t>张瑞茜</t>
        </is>
      </c>
      <c r="G90" s="377" t="inlineStr">
        <is>
          <t>黄铭怡</t>
        </is>
      </c>
      <c r="H90" s="377" t="inlineStr">
        <is>
          <t>田雨涵01</t>
        </is>
      </c>
      <c r="I90" s="377" t="inlineStr">
        <is>
          <t>高心怡04</t>
        </is>
      </c>
      <c r="J90" s="377" t="inlineStr">
        <is>
          <t>杨林33</t>
        </is>
      </c>
      <c r="K90" s="377" t="n"/>
      <c r="L90" s="377" t="n"/>
      <c r="M90" s="377" t="n"/>
      <c r="N90" s="377" t="n"/>
      <c r="O90" s="377" t="n"/>
      <c r="P90" s="377" t="n"/>
      <c r="Q90" s="377" t="n">
        <v>32</v>
      </c>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idden="1" ht="26.25" customHeight="1" s="1053">
      <c r="A91" s="377" t="inlineStr">
        <is>
          <t>新宝利</t>
        </is>
      </c>
      <c r="B91" s="377" t="inlineStr">
        <is>
          <t>二期</t>
        </is>
      </c>
      <c r="C91" s="377" t="n">
        <v>4513342</v>
      </c>
      <c r="D91" s="377" t="inlineStr">
        <is>
          <t>10:20-12:30</t>
        </is>
      </c>
      <c r="E91" s="377" t="inlineStr">
        <is>
          <t>潜能班</t>
        </is>
      </c>
      <c r="F91" s="377" t="inlineStr">
        <is>
          <t>张逸潼</t>
        </is>
      </c>
      <c r="G91" s="377" t="inlineStr">
        <is>
          <t>黄铭怡</t>
        </is>
      </c>
      <c r="H91" s="377" t="inlineStr">
        <is>
          <t>田雨涵01</t>
        </is>
      </c>
      <c r="I91" s="377" t="inlineStr">
        <is>
          <t>高心怡04</t>
        </is>
      </c>
      <c r="J91" s="377" t="inlineStr">
        <is>
          <t>沈思浩</t>
        </is>
      </c>
      <c r="K91" s="377" t="n"/>
      <c r="L91" s="377" t="n"/>
      <c r="M91" s="377" t="n"/>
      <c r="N91" s="377" t="n"/>
      <c r="O91" s="377" t="n"/>
      <c r="P91" s="377" t="n"/>
      <c r="Q91" s="377" t="n"/>
      <c r="R91" s="377" t="n"/>
      <c r="S91" s="377" t="n"/>
      <c r="T91" s="377" t="inlineStr">
        <is>
          <t>是</t>
        </is>
      </c>
      <c r="U91" s="377" t="n"/>
      <c r="V91" s="377" t="n"/>
      <c r="W91" s="377" t="n"/>
      <c r="X91" s="377" t="n"/>
      <c r="Y91" s="377" t="n"/>
      <c r="Z91" s="377" t="n"/>
      <c r="AA91" s="377" t="n"/>
      <c r="AB91" s="377" t="n"/>
      <c r="AC91" s="377" t="n"/>
      <c r="AD91" s="377" t="n"/>
      <c r="AE91" s="377" t="n"/>
      <c r="AF91" s="377" t="n"/>
      <c r="AG91" s="377" t="n"/>
      <c r="AH91" s="377" t="n"/>
    </row>
    <row r="92" hidden="1" ht="26.25" customHeight="1" s="1053">
      <c r="A92" s="377" t="inlineStr">
        <is>
          <t>新宝利</t>
        </is>
      </c>
      <c r="B92" s="377" t="inlineStr">
        <is>
          <t>二期</t>
        </is>
      </c>
      <c r="C92" s="377" t="n">
        <v>4513342</v>
      </c>
      <c r="D92" s="377" t="inlineStr">
        <is>
          <t>10:20-12:30</t>
        </is>
      </c>
      <c r="E92" s="377" t="inlineStr">
        <is>
          <t>潜能班</t>
        </is>
      </c>
      <c r="F92" s="377" t="inlineStr">
        <is>
          <t>李植圳</t>
        </is>
      </c>
      <c r="G92" s="377" t="inlineStr">
        <is>
          <t>黄铭怡</t>
        </is>
      </c>
      <c r="H92" s="377" t="n"/>
      <c r="I92" s="377" t="n"/>
      <c r="J92" s="377" t="n"/>
      <c r="K92" s="377" t="n"/>
      <c r="L92" s="377" t="n"/>
      <c r="M92" s="377" t="n"/>
      <c r="N92" s="377" t="n"/>
      <c r="O92" s="377" t="inlineStr">
        <is>
          <t>老生</t>
        </is>
      </c>
      <c r="P92" s="377" t="n"/>
      <c r="Q92" s="377" t="n"/>
      <c r="R92" s="377" t="n"/>
      <c r="S92" s="377" t="n"/>
      <c r="T92" s="377" t="inlineStr">
        <is>
          <t>是</t>
        </is>
      </c>
      <c r="U92" s="377" t="inlineStr">
        <is>
          <t>是</t>
        </is>
      </c>
      <c r="V92" s="377" t="n"/>
      <c r="W92" s="377" t="n"/>
      <c r="X92" s="377" t="n"/>
      <c r="Y92" s="377" t="n"/>
      <c r="Z92" s="377" t="n"/>
      <c r="AA92" s="377" t="n"/>
      <c r="AB92" s="377" t="n"/>
      <c r="AC92" s="377" t="n"/>
      <c r="AD92" s="377" t="n"/>
      <c r="AE92" s="377" t="n"/>
      <c r="AF92" s="377" t="n"/>
      <c r="AG92" s="377" t="n"/>
      <c r="AH92" s="377" t="inlineStr">
        <is>
          <t>是</t>
        </is>
      </c>
    </row>
    <row r="93" hidden="1" ht="26.25" customHeight="1" s="1053">
      <c r="A93" s="377" t="inlineStr">
        <is>
          <t>新宝利</t>
        </is>
      </c>
      <c r="B93" s="377" t="inlineStr">
        <is>
          <t>二期</t>
        </is>
      </c>
      <c r="C93" s="377" t="n">
        <v>4513342</v>
      </c>
      <c r="D93" s="377" t="inlineStr">
        <is>
          <t>10:20-12:30</t>
        </is>
      </c>
      <c r="E93" s="377" t="inlineStr">
        <is>
          <t>潜能班</t>
        </is>
      </c>
      <c r="F93" s="377" t="inlineStr">
        <is>
          <t>梁嘉轩</t>
        </is>
      </c>
      <c r="G93" s="377" t="inlineStr">
        <is>
          <t>黄铭怡</t>
        </is>
      </c>
      <c r="H93" s="377" t="inlineStr">
        <is>
          <t>田雨涵01</t>
        </is>
      </c>
      <c r="I93" s="377" t="n"/>
      <c r="J93" s="377" t="inlineStr">
        <is>
          <t>林志豪01</t>
        </is>
      </c>
      <c r="K93" s="377" t="n"/>
      <c r="L93" s="377" t="n"/>
      <c r="M93" s="377" t="n"/>
      <c r="N93" s="377" t="n"/>
      <c r="O93" s="377" t="n"/>
      <c r="P93" s="377" t="n"/>
      <c r="Q93" s="377" t="n"/>
      <c r="R93" s="377" t="n"/>
      <c r="S93" s="377" t="n"/>
      <c r="T93" s="377" t="n"/>
      <c r="U93" s="377" t="n"/>
      <c r="V93" s="377" t="n"/>
      <c r="W93" s="377" t="n"/>
      <c r="X93" s="377" t="n"/>
      <c r="Y93" s="377" t="n"/>
      <c r="Z93" s="377" t="n"/>
      <c r="AA93" s="377" t="n"/>
      <c r="AB93" s="377" t="n"/>
      <c r="AC93" s="377" t="n"/>
      <c r="AD93" s="377" t="n"/>
      <c r="AE93" s="377" t="n"/>
      <c r="AF93" s="377" t="n"/>
      <c r="AG93" s="377" t="n"/>
      <c r="AH93" s="377" t="n"/>
    </row>
    <row r="94" hidden="1" ht="26.25" customHeight="1" s="1053">
      <c r="A94" s="377" t="inlineStr">
        <is>
          <t>新宝利</t>
        </is>
      </c>
      <c r="B94" s="377" t="inlineStr">
        <is>
          <t>二期</t>
        </is>
      </c>
      <c r="C94" s="377" t="n">
        <v>4513342</v>
      </c>
      <c r="D94" s="377" t="inlineStr">
        <is>
          <t>10:20-12:30</t>
        </is>
      </c>
      <c r="E94" s="377" t="inlineStr">
        <is>
          <t>潜能班</t>
        </is>
      </c>
      <c r="F94" s="377" t="inlineStr">
        <is>
          <t>梁诗晨</t>
        </is>
      </c>
      <c r="G94" s="377" t="inlineStr">
        <is>
          <t>黄铭怡</t>
        </is>
      </c>
      <c r="H94" s="377" t="inlineStr">
        <is>
          <t>田雨涵01</t>
        </is>
      </c>
      <c r="I94" s="377" t="inlineStr">
        <is>
          <t>高心怡04</t>
        </is>
      </c>
      <c r="J94" s="377" t="inlineStr">
        <is>
          <t>沈思浩</t>
        </is>
      </c>
      <c r="K94" s="377" t="n"/>
      <c r="L94" s="377" t="n"/>
      <c r="M94" s="377" t="n"/>
      <c r="N94" s="377" t="n"/>
      <c r="O94" s="377" t="n"/>
      <c r="P94" s="377" t="n"/>
      <c r="Q94" s="377" t="n"/>
      <c r="R94" s="377" t="n"/>
      <c r="S94" s="377" t="n"/>
      <c r="T94" s="377" t="n"/>
      <c r="U94" s="377" t="n"/>
      <c r="V94" s="377" t="n"/>
      <c r="W94" s="377" t="n"/>
      <c r="X94" s="377" t="n"/>
      <c r="Y94" s="377" t="n"/>
      <c r="Z94" s="377" t="n"/>
      <c r="AA94" s="377" t="n"/>
      <c r="AB94" s="377" t="n"/>
      <c r="AC94" s="377" t="n"/>
      <c r="AD94" s="377" t="n"/>
      <c r="AE94" s="377" t="n"/>
      <c r="AF94" s="377" t="n"/>
      <c r="AG94" s="377" t="n"/>
      <c r="AH94" s="377" t="n"/>
    </row>
    <row r="95" hidden="1" ht="26.25" customHeight="1" s="1053">
      <c r="A95" s="377" t="inlineStr">
        <is>
          <t>新宝利</t>
        </is>
      </c>
      <c r="B95" s="377" t="inlineStr">
        <is>
          <t>二期</t>
        </is>
      </c>
      <c r="C95" s="377" t="n">
        <v>4513342</v>
      </c>
      <c r="D95" s="377" t="inlineStr">
        <is>
          <t>10:20-12:30</t>
        </is>
      </c>
      <c r="E95" s="377" t="inlineStr">
        <is>
          <t>潜能班</t>
        </is>
      </c>
      <c r="F95" s="377" t="inlineStr">
        <is>
          <t>梁诺桓</t>
        </is>
      </c>
      <c r="G95" s="377" t="inlineStr">
        <is>
          <t>黄铭怡</t>
        </is>
      </c>
      <c r="H95" s="377" t="inlineStr">
        <is>
          <t>田雨涵01</t>
        </is>
      </c>
      <c r="I95" s="377" t="inlineStr">
        <is>
          <t>高心怡04</t>
        </is>
      </c>
      <c r="J95" s="377" t="inlineStr">
        <is>
          <t>林志豪01</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idden="1" ht="26.25" customHeight="1" s="1053">
      <c r="A96" s="377" t="inlineStr">
        <is>
          <t>新宝利</t>
        </is>
      </c>
      <c r="B96" s="377" t="inlineStr">
        <is>
          <t>二期</t>
        </is>
      </c>
      <c r="C96" s="377" t="n">
        <v>4513342</v>
      </c>
      <c r="D96" s="377" t="inlineStr">
        <is>
          <t>10:20-12:30</t>
        </is>
      </c>
      <c r="E96" s="377" t="inlineStr">
        <is>
          <t>潜能班</t>
        </is>
      </c>
      <c r="F96" s="377" t="inlineStr">
        <is>
          <t>梁锐洲</t>
        </is>
      </c>
      <c r="G96" s="377" t="inlineStr">
        <is>
          <t>黄铭怡</t>
        </is>
      </c>
      <c r="H96" s="377" t="inlineStr">
        <is>
          <t>田雨涵01</t>
        </is>
      </c>
      <c r="I96" s="377" t="inlineStr">
        <is>
          <t>高心怡04</t>
        </is>
      </c>
      <c r="J96" s="377" t="inlineStr">
        <is>
          <t>苏丽婷</t>
        </is>
      </c>
      <c r="K96" s="377" t="n"/>
      <c r="L96" s="377" t="n"/>
      <c r="M96" s="377" t="n"/>
      <c r="N96" s="377" t="n"/>
      <c r="O96" s="377" t="n"/>
      <c r="P96" s="377" t="n"/>
      <c r="Q96" s="377" t="n"/>
      <c r="R96" s="377" t="n"/>
      <c r="S96" s="377" t="n"/>
      <c r="T96" s="377" t="n"/>
      <c r="U96" s="377" t="n"/>
      <c r="V96" s="377" t="n"/>
      <c r="W96" s="377" t="n"/>
      <c r="X96" s="377" t="n"/>
      <c r="Y96" s="377" t="n"/>
      <c r="Z96" s="377" t="n"/>
      <c r="AA96" s="377" t="n"/>
      <c r="AB96" s="377" t="n"/>
      <c r="AC96" s="377" t="n"/>
      <c r="AD96" s="377" t="n"/>
      <c r="AE96" s="377" t="n"/>
      <c r="AF96" s="377" t="n"/>
      <c r="AG96" s="377" t="n"/>
      <c r="AH96" s="377" t="n"/>
    </row>
    <row r="97" hidden="1" ht="26.25" customHeight="1" s="1053">
      <c r="A97" s="377" t="inlineStr">
        <is>
          <t>新宝利</t>
        </is>
      </c>
      <c r="B97" s="377" t="inlineStr">
        <is>
          <t>二期</t>
        </is>
      </c>
      <c r="C97" s="377" t="n">
        <v>4513342</v>
      </c>
      <c r="D97" s="377" t="inlineStr">
        <is>
          <t>10:20-12:30</t>
        </is>
      </c>
      <c r="E97" s="377" t="inlineStr">
        <is>
          <t>潜能班</t>
        </is>
      </c>
      <c r="F97" s="377" t="inlineStr">
        <is>
          <t>王诗瑜</t>
        </is>
      </c>
      <c r="G97" s="377" t="inlineStr">
        <is>
          <t>黄铭怡</t>
        </is>
      </c>
      <c r="H97" s="377" t="inlineStr">
        <is>
          <t>田雨涵01</t>
        </is>
      </c>
      <c r="I97" s="377" t="inlineStr">
        <is>
          <t>高心怡04</t>
        </is>
      </c>
      <c r="J97" s="377" t="inlineStr">
        <is>
          <t>林志豪01</t>
        </is>
      </c>
      <c r="K97" s="377" t="n"/>
      <c r="L97" s="377" t="n"/>
      <c r="M97" s="377" t="n"/>
      <c r="N97" s="377" t="n"/>
      <c r="O97" s="377" t="n"/>
      <c r="P97" s="377" t="n"/>
      <c r="Q97" s="377" t="n">
        <v>32</v>
      </c>
      <c r="R97" s="377" t="n"/>
      <c r="S97" s="377" t="n"/>
      <c r="T97" s="377" t="n"/>
      <c r="U97" s="377" t="n"/>
      <c r="V97" s="377" t="n"/>
      <c r="W97" s="377" t="n"/>
      <c r="X97" s="377" t="n"/>
      <c r="Y97" s="377" t="n"/>
      <c r="Z97" s="377" t="n"/>
      <c r="AA97" s="377" t="n"/>
      <c r="AB97" s="377" t="n"/>
      <c r="AC97" s="377" t="n"/>
      <c r="AD97" s="377" t="n"/>
      <c r="AE97" s="377" t="n"/>
      <c r="AF97" s="377" t="n"/>
      <c r="AG97" s="377" t="n"/>
      <c r="AH97" s="377" t="n"/>
    </row>
    <row r="98" hidden="1" ht="26.25" customHeight="1" s="1053">
      <c r="A98" s="377" t="inlineStr">
        <is>
          <t>新宝利</t>
        </is>
      </c>
      <c r="B98" s="377" t="inlineStr">
        <is>
          <t>二期</t>
        </is>
      </c>
      <c r="C98" s="377" t="n">
        <v>4513342</v>
      </c>
      <c r="D98" s="377" t="inlineStr">
        <is>
          <t>10:20-12:30</t>
        </is>
      </c>
      <c r="E98" s="377" t="inlineStr">
        <is>
          <t>潜能班</t>
        </is>
      </c>
      <c r="F98" s="377" t="inlineStr">
        <is>
          <t>苏晋扬</t>
        </is>
      </c>
      <c r="G98" s="377" t="inlineStr">
        <is>
          <t>黄铭怡</t>
        </is>
      </c>
      <c r="H98" s="377" t="inlineStr">
        <is>
          <t>田雨涵01</t>
        </is>
      </c>
      <c r="I98" s="377" t="inlineStr">
        <is>
          <t>高心怡04</t>
        </is>
      </c>
      <c r="J98" s="377" t="inlineStr">
        <is>
          <t>杨林33</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idden="1" ht="26.25" customHeight="1" s="1053">
      <c r="A99" s="377" t="inlineStr">
        <is>
          <t>新宝利</t>
        </is>
      </c>
      <c r="B99" s="377" t="inlineStr">
        <is>
          <t>二期</t>
        </is>
      </c>
      <c r="C99" s="377" t="n">
        <v>4513342</v>
      </c>
      <c r="D99" s="377" t="inlineStr">
        <is>
          <t>10:20-12:30</t>
        </is>
      </c>
      <c r="E99" s="377" t="inlineStr">
        <is>
          <t>潜能班</t>
        </is>
      </c>
      <c r="F99" s="377" t="inlineStr">
        <is>
          <t>谢希羲</t>
        </is>
      </c>
      <c r="G99" s="377" t="inlineStr">
        <is>
          <t>黄铭怡</t>
        </is>
      </c>
      <c r="H99" s="377" t="inlineStr">
        <is>
          <t>田雨涵01</t>
        </is>
      </c>
      <c r="I99" s="377" t="inlineStr">
        <is>
          <t>高心怡04</t>
        </is>
      </c>
      <c r="J99" s="377" t="inlineStr">
        <is>
          <t>王达04</t>
        </is>
      </c>
      <c r="K99" s="377" t="n"/>
      <c r="L99" s="377" t="n"/>
      <c r="M99" s="377" t="n"/>
      <c r="N99" s="377" t="n"/>
      <c r="O99" s="377" t="n"/>
      <c r="P99" s="377" t="n"/>
      <c r="Q99" s="377" t="n"/>
      <c r="R99" s="377" t="n"/>
      <c r="S99" s="377" t="n"/>
      <c r="T99" s="377" t="n"/>
      <c r="U99" s="377" t="n"/>
      <c r="V99" s="377" t="n"/>
      <c r="W99" s="377" t="n"/>
      <c r="X99" s="377" t="n"/>
      <c r="Y99" s="377" t="n"/>
      <c r="Z99" s="377" t="n"/>
      <c r="AA99" s="377" t="n"/>
      <c r="AB99" s="377" t="n"/>
      <c r="AC99" s="377" t="n"/>
      <c r="AD99" s="377" t="n"/>
      <c r="AE99" s="377" t="n"/>
      <c r="AF99" s="377" t="n"/>
      <c r="AG99" s="377" t="n"/>
      <c r="AH99" s="377" t="inlineStr">
        <is>
          <t>-</t>
        </is>
      </c>
    </row>
    <row r="100" hidden="1" ht="26.25" customHeight="1" s="1053">
      <c r="A100" s="377" t="inlineStr">
        <is>
          <t>新宝利</t>
        </is>
      </c>
      <c r="B100" s="377" t="inlineStr">
        <is>
          <t>二期</t>
        </is>
      </c>
      <c r="C100" s="377" t="n">
        <v>4513342</v>
      </c>
      <c r="D100" s="377" t="inlineStr">
        <is>
          <t>10:20-12:30</t>
        </is>
      </c>
      <c r="E100" s="377" t="inlineStr">
        <is>
          <t>潜能班</t>
        </is>
      </c>
      <c r="F100" s="377" t="inlineStr">
        <is>
          <t>谭皓轩</t>
        </is>
      </c>
      <c r="G100" s="377" t="inlineStr">
        <is>
          <t>黄铭怡</t>
        </is>
      </c>
      <c r="H100" s="377" t="inlineStr">
        <is>
          <t>田雨涵01</t>
        </is>
      </c>
      <c r="I100" s="377" t="inlineStr">
        <is>
          <t>高心怡04</t>
        </is>
      </c>
      <c r="J100" s="377" t="inlineStr">
        <is>
          <t>林志豪01</t>
        </is>
      </c>
      <c r="K100" s="377" t="n"/>
      <c r="L100" s="377" t="n"/>
      <c r="M100" s="377" t="n"/>
      <c r="N100" s="377" t="n"/>
      <c r="O100" s="377" t="n"/>
      <c r="P100" s="377" t="n"/>
      <c r="Q100" s="377" t="n"/>
      <c r="R100" s="377" t="n"/>
      <c r="S100" s="377" t="n"/>
      <c r="T100" s="377" t="n"/>
      <c r="U100" s="377" t="n"/>
      <c r="V100" s="377" t="n"/>
      <c r="W100" s="377" t="n"/>
      <c r="X100" s="377" t="n"/>
      <c r="Y100" s="377" t="n"/>
      <c r="Z100" s="377" t="n"/>
      <c r="AA100" s="377" t="n"/>
      <c r="AB100" s="377" t="n"/>
      <c r="AC100" s="377" t="n"/>
      <c r="AD100" s="377" t="n"/>
      <c r="AE100" s="377" t="n"/>
      <c r="AF100" s="377" t="n"/>
      <c r="AG100" s="377" t="n"/>
      <c r="AH100" s="377" t="n"/>
    </row>
    <row r="101" hidden="1" ht="26.25" customHeight="1" s="1053">
      <c r="A101" s="377" t="inlineStr">
        <is>
          <t>新宝利</t>
        </is>
      </c>
      <c r="B101" s="377" t="inlineStr">
        <is>
          <t>二期</t>
        </is>
      </c>
      <c r="C101" s="377" t="n">
        <v>4513342</v>
      </c>
      <c r="D101" s="377" t="inlineStr">
        <is>
          <t>10:20-12:30</t>
        </is>
      </c>
      <c r="E101" s="377" t="inlineStr">
        <is>
          <t>潜能班</t>
        </is>
      </c>
      <c r="F101" s="377" t="inlineStr">
        <is>
          <t>赵子赫</t>
        </is>
      </c>
      <c r="G101" s="377" t="inlineStr">
        <is>
          <t>黄铭怡</t>
        </is>
      </c>
      <c r="H101" s="377" t="inlineStr">
        <is>
          <t>田雨涵01</t>
        </is>
      </c>
      <c r="I101" s="377" t="inlineStr">
        <is>
          <t>高心怡04</t>
        </is>
      </c>
      <c r="J101" s="377" t="inlineStr">
        <is>
          <t>张敏烨</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idden="1" ht="26.25" customHeight="1" s="1053">
      <c r="A102" s="377" t="inlineStr">
        <is>
          <t>新宝利</t>
        </is>
      </c>
      <c r="B102" s="377" t="inlineStr">
        <is>
          <t>二期</t>
        </is>
      </c>
      <c r="C102" s="377" t="n">
        <v>4513342</v>
      </c>
      <c r="D102" s="377" t="inlineStr">
        <is>
          <t>10:20-12:30</t>
        </is>
      </c>
      <c r="E102" s="377" t="inlineStr">
        <is>
          <t>潜能班</t>
        </is>
      </c>
      <c r="F102" s="377" t="inlineStr">
        <is>
          <t>邓翔升</t>
        </is>
      </c>
      <c r="G102" s="377" t="inlineStr">
        <is>
          <t>黄铭怡</t>
        </is>
      </c>
      <c r="H102" s="377" t="inlineStr">
        <is>
          <t>田雨涵01</t>
        </is>
      </c>
      <c r="I102" s="377" t="inlineStr">
        <is>
          <t>肖锐03</t>
        </is>
      </c>
      <c r="J102" s="377" t="inlineStr">
        <is>
          <t>张敏烨</t>
        </is>
      </c>
      <c r="K102" s="377" t="n"/>
      <c r="L102" s="377" t="n"/>
      <c r="M102" s="377" t="n"/>
      <c r="N102" s="377" t="n"/>
      <c r="O102" s="377" t="n"/>
      <c r="P102" s="377" t="n"/>
      <c r="Q102" s="377" t="n">
        <v>21</v>
      </c>
      <c r="R102" s="377" t="n"/>
      <c r="S102" s="377" t="n"/>
      <c r="T102" s="377" t="n"/>
      <c r="U102" s="377" t="n"/>
      <c r="V102" s="377" t="n"/>
      <c r="W102" s="377" t="n"/>
      <c r="X102" s="377" t="n"/>
      <c r="Y102" s="377" t="n"/>
      <c r="Z102" s="377" t="n"/>
      <c r="AA102" s="377" t="n"/>
      <c r="AB102" s="377" t="n"/>
      <c r="AC102" s="377" t="n"/>
      <c r="AD102" s="377" t="n"/>
      <c r="AE102" s="377" t="n"/>
      <c r="AF102" s="377" t="n"/>
      <c r="AG102" s="377" t="n"/>
      <c r="AH102" s="377" t="n"/>
    </row>
    <row r="103" hidden="1" ht="26.25" customHeight="1" s="1053">
      <c r="A103" s="377" t="inlineStr">
        <is>
          <t>新宝利</t>
        </is>
      </c>
      <c r="B103" s="377" t="inlineStr">
        <is>
          <t>二期</t>
        </is>
      </c>
      <c r="C103" s="377" t="n">
        <v>4513342</v>
      </c>
      <c r="D103" s="377" t="inlineStr">
        <is>
          <t>10:20-12:30</t>
        </is>
      </c>
      <c r="E103" s="377" t="inlineStr">
        <is>
          <t>潜能班</t>
        </is>
      </c>
      <c r="F103" s="377" t="inlineStr">
        <is>
          <t>钟宥廷</t>
        </is>
      </c>
      <c r="G103" s="377" t="inlineStr">
        <is>
          <t>黄铭怡</t>
        </is>
      </c>
      <c r="H103" s="377" t="n"/>
      <c r="I103" s="377" t="n"/>
      <c r="J103" s="377" t="n"/>
      <c r="K103" s="377" t="n"/>
      <c r="L103" s="377" t="n"/>
      <c r="M103" s="377" t="n"/>
      <c r="N103" s="377" t="n"/>
      <c r="O103" s="377" t="inlineStr">
        <is>
          <t>老生</t>
        </is>
      </c>
      <c r="P103" s="377" t="n"/>
      <c r="Q103" s="377" t="n"/>
      <c r="R103" s="377" t="n"/>
      <c r="S103" s="377" t="n"/>
      <c r="T103" s="377" t="inlineStr">
        <is>
          <t>是</t>
        </is>
      </c>
      <c r="U103" s="377" t="inlineStr">
        <is>
          <t>是</t>
        </is>
      </c>
      <c r="V103" s="377" t="n"/>
      <c r="W103" s="377" t="n"/>
      <c r="X103" s="377" t="n"/>
      <c r="Y103" s="377" t="n"/>
      <c r="Z103" s="377" t="n"/>
      <c r="AA103" s="377" t="n"/>
      <c r="AB103" s="377" t="n"/>
      <c r="AC103" s="377" t="n"/>
      <c r="AD103" s="377" t="n"/>
      <c r="AE103" s="377" t="n"/>
      <c r="AF103" s="377" t="n"/>
      <c r="AG103" s="377" t="n"/>
      <c r="AH103" s="377" t="inlineStr">
        <is>
          <t>是</t>
        </is>
      </c>
    </row>
    <row r="104" hidden="1" ht="26.25" customHeight="1" s="1053">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3">
      <c r="A105" s="377" t="inlineStr">
        <is>
          <t>新宝利</t>
        </is>
      </c>
      <c r="B105" s="377" t="inlineStr">
        <is>
          <t>二期</t>
        </is>
      </c>
      <c r="C105" s="377" t="n">
        <v>4513342</v>
      </c>
      <c r="D105" s="377" t="inlineStr">
        <is>
          <t>10:20-12:30</t>
        </is>
      </c>
      <c r="E105" s="377" t="inlineStr">
        <is>
          <t>潜能班</t>
        </is>
      </c>
      <c r="F105" s="377" t="inlineStr">
        <is>
          <t>陈加杰</t>
        </is>
      </c>
      <c r="G105" s="377" t="inlineStr">
        <is>
          <t>黄铭怡</t>
        </is>
      </c>
      <c r="H105" s="377" t="inlineStr">
        <is>
          <t>田雨涵01</t>
        </is>
      </c>
      <c r="I105" s="377" t="inlineStr">
        <is>
          <t>高心怡04</t>
        </is>
      </c>
      <c r="J105" s="377" t="inlineStr">
        <is>
          <t>杨林33</t>
        </is>
      </c>
      <c r="K105" s="377" t="n"/>
      <c r="L105" s="377" t="n"/>
      <c r="M105" s="377" t="n"/>
      <c r="N105" s="377" t="n"/>
      <c r="O105" s="377" t="n"/>
      <c r="P105" s="377" t="n"/>
      <c r="Q105" s="377" t="n"/>
      <c r="R105" s="377" t="n"/>
      <c r="S105" s="377" t="n"/>
      <c r="T105" s="377" t="n"/>
      <c r="U105" s="377" t="n"/>
      <c r="V105" s="377" t="n"/>
      <c r="W105" s="377" t="n"/>
      <c r="X105" s="377" t="n"/>
      <c r="Y105" s="377" t="n"/>
      <c r="Z105" s="377" t="n"/>
      <c r="AA105" s="377" t="n"/>
      <c r="AB105" s="377" t="n"/>
      <c r="AC105" s="377" t="n"/>
      <c r="AD105" s="377" t="n"/>
      <c r="AE105" s="377" t="n"/>
      <c r="AF105" s="377" t="n"/>
      <c r="AG105" s="377" t="n"/>
      <c r="AH105" s="377" t="n"/>
    </row>
    <row r="106" ht="26.25" customHeight="1" s="1053">
      <c r="A106" s="377" t="inlineStr">
        <is>
          <t>新宝利</t>
        </is>
      </c>
      <c r="B106" s="377" t="inlineStr">
        <is>
          <t>二期</t>
        </is>
      </c>
      <c r="C106" s="377" t="n">
        <v>4513342</v>
      </c>
      <c r="D106" s="377" t="inlineStr">
        <is>
          <t>10:20-12:30</t>
        </is>
      </c>
      <c r="E106" s="377" t="inlineStr">
        <is>
          <t>潜能班</t>
        </is>
      </c>
      <c r="F106" s="377" t="inlineStr">
        <is>
          <t>陈梓熙</t>
        </is>
      </c>
      <c r="G106" s="377" t="inlineStr">
        <is>
          <t>黄铭怡</t>
        </is>
      </c>
      <c r="H106" s="377" t="inlineStr">
        <is>
          <t>田雨涵01</t>
        </is>
      </c>
      <c r="I106" s="377" t="inlineStr">
        <is>
          <t>高心怡04</t>
        </is>
      </c>
      <c r="J106" s="377" t="inlineStr">
        <is>
          <t>王丽</t>
        </is>
      </c>
      <c r="K106" s="377" t="n"/>
      <c r="L106" s="377" t="n"/>
      <c r="M106" s="377" t="n"/>
      <c r="N106" s="377" t="n"/>
      <c r="O106" s="377" t="n"/>
      <c r="P106" s="377" t="n"/>
      <c r="Q106" s="377" t="n"/>
      <c r="R106" s="377" t="n"/>
      <c r="S106" s="377" t="n"/>
      <c r="T106" s="377" t="n"/>
      <c r="U106" s="377" t="n"/>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二期</t>
        </is>
      </c>
      <c r="C107" s="377" t="n">
        <v>4513342</v>
      </c>
      <c r="D107" s="377" t="inlineStr">
        <is>
          <t>10:20-12:30</t>
        </is>
      </c>
      <c r="E107" s="377" t="inlineStr">
        <is>
          <t>潜能班</t>
        </is>
      </c>
      <c r="F107" s="377" t="inlineStr">
        <is>
          <t>陈祺</t>
        </is>
      </c>
      <c r="G107" s="377" t="inlineStr">
        <is>
          <t>黄铭怡</t>
        </is>
      </c>
      <c r="H107" s="377" t="inlineStr">
        <is>
          <t>田雨涵01</t>
        </is>
      </c>
      <c r="I107" s="377" t="n"/>
      <c r="J107" s="377" t="inlineStr">
        <is>
          <t>杨林33</t>
        </is>
      </c>
      <c r="K107" s="377" t="n"/>
      <c r="L107" s="377" t="n"/>
      <c r="M107" s="377" t="n"/>
      <c r="N107" s="377" t="n"/>
      <c r="O107" s="377" t="n"/>
      <c r="P107" s="377" t="n"/>
      <c r="Q107" s="377" t="n"/>
      <c r="R107" s="377" t="n"/>
      <c r="S107" s="377" t="n"/>
      <c r="T107" s="377" t="n"/>
      <c r="U107" s="377" t="n"/>
      <c r="V107" s="377" t="n"/>
      <c r="W107" s="377" t="n"/>
      <c r="X107" s="377" t="n"/>
      <c r="Y107" s="377" t="n"/>
      <c r="Z107" s="377" t="n"/>
      <c r="AA107" s="377" t="n"/>
      <c r="AB107" s="377" t="n"/>
      <c r="AC107" s="377" t="n"/>
      <c r="AD107" s="377" t="n"/>
      <c r="AE107" s="377" t="n"/>
      <c r="AF107" s="377" t="n"/>
      <c r="AG107" s="377" t="n"/>
      <c r="AH107" s="377" t="n"/>
    </row>
    <row r="108" hidden="1" ht="26.25" customHeight="1" s="1053">
      <c r="A108" s="377" t="inlineStr">
        <is>
          <t>新宝利</t>
        </is>
      </c>
      <c r="B108" s="377" t="inlineStr">
        <is>
          <t>二期</t>
        </is>
      </c>
      <c r="C108" s="377" t="n">
        <v>4513342</v>
      </c>
      <c r="D108" s="377" t="inlineStr">
        <is>
          <t>10:20-12:30</t>
        </is>
      </c>
      <c r="E108" s="377" t="inlineStr">
        <is>
          <t>潜能班</t>
        </is>
      </c>
      <c r="F108" s="377" t="inlineStr">
        <is>
          <t>马嘉浩</t>
        </is>
      </c>
      <c r="G108" s="377" t="inlineStr">
        <is>
          <t>黄铭怡</t>
        </is>
      </c>
      <c r="H108" s="377" t="inlineStr">
        <is>
          <t>田雨涵01</t>
        </is>
      </c>
      <c r="I108" s="377" t="inlineStr">
        <is>
          <t>高心怡04</t>
        </is>
      </c>
      <c r="J108" s="377" t="inlineStr">
        <is>
          <t>王丽</t>
        </is>
      </c>
      <c r="K108" s="377" t="n"/>
      <c r="L108" s="377" t="n"/>
      <c r="M108" s="377" t="n"/>
      <c r="N108" s="377" t="n"/>
      <c r="O108" s="377" t="n"/>
      <c r="P108" s="377" t="n"/>
      <c r="Q108" s="377" t="n"/>
      <c r="R108" s="377" t="n"/>
      <c r="S108" s="377" t="n"/>
      <c r="T108" s="377" t="n"/>
      <c r="U108" s="377" t="n"/>
      <c r="V108" s="377" t="n"/>
      <c r="W108" s="377" t="n"/>
      <c r="X108" s="377" t="n"/>
      <c r="Y108" s="377" t="n"/>
      <c r="Z108" s="377" t="n"/>
      <c r="AA108" s="377" t="n"/>
      <c r="AB108" s="377" t="n"/>
      <c r="AC108" s="377" t="n"/>
      <c r="AD108" s="377" t="n"/>
      <c r="AE108" s="377" t="n"/>
      <c r="AF108" s="377" t="n"/>
      <c r="AG108" s="377" t="n"/>
      <c r="AH108" s="377" t="n"/>
    </row>
    <row r="109" hidden="1" ht="26.25" customHeight="1" s="1053">
      <c r="A109" s="377" t="inlineStr">
        <is>
          <t>新宝利</t>
        </is>
      </c>
      <c r="B109" s="377" t="inlineStr">
        <is>
          <t>二期</t>
        </is>
      </c>
      <c r="C109" s="377" t="n">
        <v>4513342</v>
      </c>
      <c r="D109" s="377" t="inlineStr">
        <is>
          <t>10:20-12:30</t>
        </is>
      </c>
      <c r="E109" s="377" t="inlineStr">
        <is>
          <t>潜能班</t>
        </is>
      </c>
      <c r="F109" s="377" t="inlineStr">
        <is>
          <t>魏绍恒</t>
        </is>
      </c>
      <c r="G109" s="377" t="inlineStr">
        <is>
          <t>黄铭怡</t>
        </is>
      </c>
      <c r="H109" s="377" t="inlineStr">
        <is>
          <t>田雨涵01</t>
        </is>
      </c>
      <c r="I109" s="377" t="inlineStr">
        <is>
          <t>高心怡04</t>
        </is>
      </c>
      <c r="J109" s="377" t="inlineStr">
        <is>
          <t>张敏烨</t>
        </is>
      </c>
      <c r="K109" s="377" t="n"/>
      <c r="L109" s="377" t="n"/>
      <c r="M109" s="377" t="n"/>
      <c r="N109" s="377" t="n"/>
      <c r="O109" s="377" t="n"/>
      <c r="P109" s="377" t="n"/>
      <c r="Q109" s="377" t="n">
        <v>30</v>
      </c>
      <c r="R109" s="377" t="n"/>
      <c r="S109" s="377" t="n"/>
      <c r="T109" s="377" t="n"/>
      <c r="U109" s="377" t="n"/>
      <c r="V109" s="377" t="n"/>
      <c r="W109" s="377" t="n"/>
      <c r="X109" s="377" t="n"/>
      <c r="Y109" s="377" t="n"/>
      <c r="Z109" s="377" t="n"/>
      <c r="AA109" s="377" t="n"/>
      <c r="AB109" s="377" t="n"/>
      <c r="AC109" s="377" t="n"/>
      <c r="AD109" s="377" t="n"/>
      <c r="AE109" s="377" t="n"/>
      <c r="AF109" s="377" t="n"/>
      <c r="AG109" s="377" t="n"/>
      <c r="AH109" s="377" t="n"/>
    </row>
    <row r="110" hidden="1" ht="26.25" customHeight="1" s="1053">
      <c r="A110" s="377" t="inlineStr">
        <is>
          <t>新宝利</t>
        </is>
      </c>
      <c r="B110" s="377" t="inlineStr">
        <is>
          <t>二期</t>
        </is>
      </c>
      <c r="C110" s="377" t="n">
        <v>4513342</v>
      </c>
      <c r="D110" s="377" t="inlineStr">
        <is>
          <t>10:20-12:30</t>
        </is>
      </c>
      <c r="E110" s="377" t="inlineStr">
        <is>
          <t>潜能班</t>
        </is>
      </c>
      <c r="F110" s="377" t="inlineStr">
        <is>
          <t>黄春瀚</t>
        </is>
      </c>
      <c r="G110" s="377" t="inlineStr">
        <is>
          <t>黄铭怡</t>
        </is>
      </c>
      <c r="H110" s="377" t="inlineStr">
        <is>
          <t>田雨涵01</t>
        </is>
      </c>
      <c r="I110" s="377" t="inlineStr">
        <is>
          <t>高心怡04</t>
        </is>
      </c>
      <c r="J110" s="377" t="inlineStr">
        <is>
          <t>杨林33</t>
        </is>
      </c>
      <c r="K110" s="377" t="n"/>
      <c r="L110" s="377" t="n"/>
      <c r="M110" s="377" t="n"/>
      <c r="N110" s="377" t="n"/>
      <c r="O110" s="377" t="n"/>
      <c r="P110" s="377" t="n"/>
      <c r="Q110" s="377" t="n"/>
      <c r="R110" s="377" t="n"/>
      <c r="S110" s="377" t="n"/>
      <c r="T110" s="377" t="n"/>
      <c r="U110" s="377" t="n"/>
      <c r="V110" s="377" t="n"/>
      <c r="W110" s="377" t="n"/>
      <c r="X110" s="377" t="n"/>
      <c r="Y110" s="377" t="n"/>
      <c r="Z110" s="377" t="n"/>
      <c r="AA110" s="377" t="n"/>
      <c r="AB110" s="377" t="n"/>
      <c r="AC110" s="377" t="n"/>
      <c r="AD110" s="377" t="n"/>
      <c r="AE110" s="377" t="n"/>
      <c r="AF110" s="377" t="n"/>
      <c r="AG110" s="377" t="n"/>
      <c r="AH110" s="377" t="n"/>
    </row>
    <row r="111" hidden="1" ht="26.25" customHeight="1" s="1053">
      <c r="J111" s="342" t="n"/>
    </row>
    <row r="112" hidden="1" ht="26.25" customHeight="1" s="1053">
      <c r="J112" s="342" t="n"/>
    </row>
    <row r="113" hidden="1" ht="26.25" customHeight="1" s="1053">
      <c r="J113" s="342" t="n"/>
    </row>
    <row r="114" hidden="1" ht="26.25" customHeight="1" s="1053">
      <c r="J114" s="342" t="n"/>
    </row>
    <row r="115" hidden="1" ht="26.25" customHeight="1" s="1053">
      <c r="J115" s="342" t="n"/>
    </row>
    <row r="116" hidden="1" ht="26.25" customHeight="1" s="1053">
      <c r="J116" s="342" t="n"/>
    </row>
    <row r="117" hidden="1" ht="26.25" customHeight="1" s="1053">
      <c r="J117" s="342" t="n"/>
    </row>
    <row r="118" hidden="1" ht="26.25" customHeight="1" s="1053">
      <c r="J118" s="342" t="n"/>
    </row>
    <row r="119" hidden="1" ht="26.25" customHeight="1" s="1053">
      <c r="J119" s="342" t="n"/>
    </row>
    <row r="120" hidden="1" ht="26.25" customHeight="1" s="1053">
      <c r="J120" s="342" t="n"/>
    </row>
    <row r="121" hidden="1" ht="26.25" customHeight="1" s="1053">
      <c r="J121" s="342" t="n"/>
    </row>
    <row r="122" hidden="1" ht="26.25" customHeight="1" s="1053">
      <c r="J122" s="342" t="n"/>
    </row>
    <row r="123" hidden="1" ht="26.25" customHeight="1" s="1053">
      <c r="J123" s="342" t="n"/>
    </row>
    <row r="124" hidden="1" ht="26.25" customHeight="1" s="1053">
      <c r="J124" s="342" t="n"/>
    </row>
    <row r="125" hidden="1" ht="26.25" customHeight="1" s="1053">
      <c r="J125" s="342" t="n"/>
    </row>
    <row r="126" hidden="1" ht="26.25" customHeight="1" s="1053">
      <c r="J126" s="342" t="n"/>
    </row>
    <row r="127" hidden="1" ht="26.25" customHeight="1" s="1053">
      <c r="J127" s="342" t="n"/>
    </row>
    <row r="128" hidden="1" ht="26.25" customHeight="1" s="1053">
      <c r="J128" s="342" t="n"/>
    </row>
    <row r="129" hidden="1" ht="26.25" customHeight="1" s="1053">
      <c r="J129" s="342" t="n"/>
    </row>
    <row r="130" hidden="1" ht="26.25" customHeight="1" s="1053">
      <c r="J130" s="342" t="n"/>
    </row>
    <row r="131" hidden="1" ht="26.25" customHeight="1" s="1053">
      <c r="J131" s="342" t="n"/>
    </row>
    <row r="132" hidden="1" ht="26.25" customHeight="1" s="1053">
      <c r="J132" s="342" t="n"/>
    </row>
    <row r="133" hidden="1" ht="26.25" customHeight="1" s="1053">
      <c r="J133" s="342" t="n"/>
    </row>
    <row r="134" hidden="1" ht="26.25" customHeight="1" s="1053">
      <c r="J134" s="342" t="n"/>
    </row>
    <row r="135" hidden="1" ht="26.25" customHeight="1" s="1053">
      <c r="J135" s="342" t="n"/>
    </row>
    <row r="136" hidden="1" ht="26.25" customHeight="1" s="1053">
      <c r="J136" s="342" t="n"/>
    </row>
    <row r="137" hidden="1" ht="26.25" customHeight="1" s="1053">
      <c r="J137" s="342" t="n"/>
    </row>
    <row r="138" hidden="1" ht="26.25" customHeight="1" s="1053">
      <c r="J138" s="342" t="n"/>
    </row>
    <row r="139" hidden="1" ht="26.25" customHeight="1" s="1053">
      <c r="J139" s="342" t="n"/>
    </row>
    <row r="140" hidden="1" ht="26.25" customHeight="1" s="1053">
      <c r="J140" s="342" t="n"/>
    </row>
    <row r="141" hidden="1" ht="26.25" customHeight="1" s="1053">
      <c r="J141" s="342" t="n"/>
    </row>
    <row r="142" hidden="1" ht="26.25" customHeight="1" s="1053">
      <c r="J142" s="342" t="n"/>
    </row>
    <row r="143" hidden="1" ht="26.25" customHeight="1" s="1053">
      <c r="J143" s="342" t="n"/>
    </row>
    <row r="144" hidden="1" ht="26.25" customHeight="1" s="1053">
      <c r="J144" s="342" t="n"/>
    </row>
    <row r="145" hidden="1" ht="26.25" customHeight="1" s="1053">
      <c r="J145" s="342" t="n"/>
    </row>
    <row r="146" hidden="1" ht="26.25" customHeight="1" s="1053">
      <c r="J146" s="342" t="n"/>
    </row>
    <row r="147" hidden="1" ht="26.25" customHeight="1" s="1053">
      <c r="J147" s="342" t="n"/>
    </row>
    <row r="148" hidden="1" ht="26.25" customHeight="1" s="1053">
      <c r="J148" s="342" t="n"/>
    </row>
    <row r="149" hidden="1" ht="26.25" customHeight="1" s="1053">
      <c r="J149" s="342" t="n"/>
    </row>
    <row r="150" hidden="1" ht="26.25" customHeight="1" s="1053">
      <c r="J150" s="342" t="n"/>
    </row>
    <row r="151" hidden="1" ht="26.25" customHeight="1" s="1053">
      <c r="J151" s="342" t="n"/>
    </row>
    <row r="152" hidden="1" ht="26.25" customHeight="1" s="1053">
      <c r="J152" s="342" t="n"/>
    </row>
    <row r="153" hidden="1" ht="26.25" customHeight="1" s="1053">
      <c r="J153" s="342" t="n"/>
    </row>
    <row r="154" hidden="1" ht="26.25" customHeight="1" s="1053">
      <c r="J154" s="342" t="n"/>
    </row>
    <row r="155" hidden="1" ht="26.25" customHeight="1" s="1053">
      <c r="J155" s="342" t="n"/>
    </row>
    <row r="156" hidden="1" ht="26.25" customHeight="1" s="1053">
      <c r="J156" s="342" t="n"/>
    </row>
    <row r="157" hidden="1" ht="26.25" customHeight="1" s="1053">
      <c r="J157" s="342" t="n"/>
    </row>
    <row r="158" hidden="1" ht="26.25" customHeight="1" s="1053">
      <c r="J158" s="342" t="n"/>
    </row>
    <row r="159" hidden="1" ht="26.25" customHeight="1" s="1053">
      <c r="J159" s="342" t="n"/>
    </row>
    <row r="160" hidden="1" ht="26.25" customHeight="1" s="1053">
      <c r="J160" s="342" t="n"/>
    </row>
    <row r="161" hidden="1" ht="26.25" customHeight="1" s="1053">
      <c r="J161" s="342" t="n"/>
    </row>
    <row r="162" hidden="1" ht="26.25" customHeight="1" s="1053">
      <c r="J162" s="342" t="n"/>
    </row>
    <row r="163" hidden="1" ht="26.25" customHeight="1" s="1053">
      <c r="J163" s="342" t="n"/>
    </row>
    <row r="164" hidden="1" ht="26.25" customHeight="1" s="1053">
      <c r="J164" s="342" t="n"/>
    </row>
    <row r="165" hidden="1" ht="26.25" customHeight="1" s="1053">
      <c r="J165" s="342" t="n"/>
    </row>
    <row r="166" hidden="1" ht="26.25" customHeight="1" s="1053">
      <c r="J166" s="342" t="n"/>
    </row>
    <row r="167" hidden="1" ht="26.25" customHeight="1" s="1053">
      <c r="J167" s="342" t="n"/>
    </row>
    <row r="168" hidden="1" ht="26.25" customHeight="1" s="1053">
      <c r="J168" s="342" t="n"/>
    </row>
    <row r="169" hidden="1" ht="26.25" customHeight="1" s="1053">
      <c r="J169" s="342" t="n"/>
    </row>
    <row r="170" hidden="1" ht="26.25" customHeight="1" s="1053">
      <c r="J170" s="342" t="n"/>
    </row>
    <row r="171" hidden="1" ht="26.25" customHeight="1" s="1053">
      <c r="J171" s="342" t="n"/>
    </row>
    <row r="172" hidden="1" ht="26.25" customHeight="1" s="1053">
      <c r="J172" s="342" t="n"/>
    </row>
    <row r="173" hidden="1" ht="26.25" customHeight="1" s="1053">
      <c r="J173" s="342" t="n"/>
    </row>
    <row r="174" hidden="1" ht="26.25" customHeight="1" s="1053">
      <c r="J174" s="342" t="n"/>
    </row>
    <row r="175" hidden="1" ht="26.25" customHeight="1" s="1053">
      <c r="J175" s="342" t="n"/>
    </row>
    <row r="176" hidden="1" ht="26.25" customHeight="1" s="1053">
      <c r="J176" s="342" t="n"/>
    </row>
    <row r="177" hidden="1" ht="26.25" customHeight="1" s="1053">
      <c r="J177" s="342" t="n"/>
    </row>
    <row r="178" hidden="1" ht="26.25" customHeight="1" s="1053">
      <c r="J178" s="342" t="n"/>
    </row>
    <row r="179" hidden="1" ht="26.25" customHeight="1" s="1053">
      <c r="J179" s="342" t="n"/>
    </row>
    <row r="180" hidden="1" ht="26.25" customHeight="1" s="1053">
      <c r="J180" s="342" t="n"/>
    </row>
    <row r="181" hidden="1" ht="26.25" customHeight="1" s="1053">
      <c r="J181" s="342" t="n"/>
    </row>
    <row r="182" hidden="1" ht="26.25" customHeight="1" s="1053">
      <c r="J182" s="342" t="n"/>
    </row>
    <row r="183" hidden="1" ht="26.25" customHeight="1" s="1053">
      <c r="J183" s="342" t="n"/>
    </row>
    <row r="184" hidden="1" ht="26.25" customHeight="1" s="1053">
      <c r="J184" s="342" t="n"/>
    </row>
    <row r="185" hidden="1" ht="26.25" customHeight="1" s="1053">
      <c r="J185" s="342" t="n"/>
    </row>
    <row r="186" hidden="1" ht="26.25" customHeight="1" s="1053">
      <c r="J186" s="342" t="n"/>
    </row>
    <row r="187" hidden="1" ht="26.25" customHeight="1" s="1053">
      <c r="J187" s="342" t="n"/>
    </row>
    <row r="188" hidden="1" ht="26.25" customHeight="1" s="1053">
      <c r="J188" s="342" t="n"/>
    </row>
    <row r="189" hidden="1" ht="26.25" customHeight="1" s="1053">
      <c r="J189" s="342" t="n"/>
    </row>
    <row r="190" hidden="1" ht="26.25" customHeight="1" s="1053">
      <c r="J190" s="342" t="n"/>
    </row>
    <row r="191" hidden="1" ht="26.25" customHeight="1" s="1053">
      <c r="J191" s="342" t="n"/>
    </row>
    <row r="192" hidden="1" ht="26.25" customHeight="1" s="1053">
      <c r="J192" s="342" t="n"/>
    </row>
    <row r="193" hidden="1" ht="26.25" customHeight="1" s="1053">
      <c r="J193" s="342" t="n"/>
    </row>
    <row r="194" hidden="1" ht="26.25" customHeight="1" s="1053">
      <c r="J194" s="342" t="n"/>
    </row>
    <row r="195" hidden="1" ht="26.25" customHeight="1" s="1053">
      <c r="J195" s="342" t="n"/>
    </row>
    <row r="196" hidden="1" ht="26.25" customHeight="1" s="1053">
      <c r="J196" s="342" t="n"/>
    </row>
    <row r="197" hidden="1" ht="26.25" customHeight="1" s="1053">
      <c r="J197" s="342" t="n"/>
    </row>
    <row r="198" hidden="1" ht="26.25" customHeight="1" s="1053">
      <c r="J198" s="342" t="n"/>
    </row>
    <row r="199" hidden="1" ht="26.25" customHeight="1" s="1053">
      <c r="J199" s="342"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5" min="6" max="6"/>
    <col hidden="1" width="10" customWidth="1" style="1053" min="7" max="10"/>
    <col hidden="1" width="11.625" customWidth="1" style="1053" min="11" max="11"/>
    <col hidden="1" width="14.748046875" customWidth="1" style="381" min="12" max="12"/>
    <col hidden="1" width="12.873046875" customWidth="1" style="381" min="13" max="13"/>
    <col hidden="1" width="19.125" customWidth="1" style="381" min="14" max="14"/>
    <col hidden="1" width="28.248046875" customWidth="1" style="381" min="15" max="15"/>
    <col hidden="1" width="10" customWidth="1" style="381" min="16" max="16"/>
    <col hidden="1" width="10" customWidth="1" style="1053" min="17" max="33"/>
    <col width="56.625" customWidth="1" style="1053" min="36" max="36"/>
  </cols>
  <sheetData>
    <row r="1" ht="26.25" customHeight="1" s="1053">
      <c r="A1" s="354" t="inlineStr">
        <is>
          <t>基本信息</t>
        </is>
      </c>
      <c r="K1" s="360" t="inlineStr">
        <is>
          <t>基本学情</t>
        </is>
      </c>
      <c r="P1" s="356" t="inlineStr">
        <is>
          <t>成绩</t>
        </is>
      </c>
      <c r="T1" s="361" t="inlineStr">
        <is>
          <t>课前建联</t>
        </is>
      </c>
      <c r="Z1" s="362" t="inlineStr">
        <is>
          <t>家长会</t>
        </is>
      </c>
      <c r="AD1" s="363" t="inlineStr">
        <is>
          <t>续费意愿盘点</t>
        </is>
      </c>
      <c r="AH1" s="363" t="inlineStr">
        <is>
          <t>续秋情况</t>
        </is>
      </c>
      <c r="AI1" s="56" t="inlineStr">
        <is>
          <t>首课电联</t>
        </is>
      </c>
      <c r="AK1" s="366" t="n"/>
      <c r="AL1" s="366" t="n"/>
      <c r="AM1" s="366" t="n"/>
      <c r="AN1" s="366" t="n"/>
      <c r="AO1" s="366" t="n"/>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39" t="inlineStr">
        <is>
          <t>就读小学</t>
        </is>
      </c>
      <c r="L2" s="226" t="inlineStr">
        <is>
          <t>就读初中</t>
        </is>
      </c>
      <c r="M2" s="904" t="inlineStr">
        <is>
          <t>学习习惯
学习意愿</t>
        </is>
      </c>
      <c r="N2" s="226" t="inlineStr">
        <is>
          <t>补课核心诉求</t>
        </is>
      </c>
      <c r="O2" s="226" t="inlineStr">
        <is>
          <t>其它情况备注</t>
        </is>
      </c>
      <c r="P2" s="226" t="inlineStr">
        <is>
          <t>校内成绩</t>
        </is>
      </c>
      <c r="Q2" s="239" t="inlineStr">
        <is>
          <t>报前测成绩</t>
        </is>
      </c>
      <c r="R2" s="239" t="inlineStr">
        <is>
          <t>五讲一测（1）</t>
        </is>
      </c>
      <c r="S2" s="239" t="inlineStr">
        <is>
          <t>五讲一测（2）</t>
        </is>
      </c>
      <c r="T2" s="239" t="inlineStr">
        <is>
          <t>是否加微</t>
        </is>
      </c>
      <c r="U2" s="239" t="inlineStr">
        <is>
          <t>是否电访</t>
        </is>
      </c>
      <c r="V2" s="239" t="inlineStr">
        <is>
          <t>是否VIP群</t>
        </is>
      </c>
      <c r="W2" s="239" t="inlineStr">
        <is>
          <t>是否班级群</t>
        </is>
      </c>
      <c r="X2" s="239" t="inlineStr">
        <is>
          <t>是否参与报前测</t>
        </is>
      </c>
      <c r="Y2" s="239" t="inlineStr">
        <is>
          <t>是否参与期末复习课</t>
        </is>
      </c>
      <c r="Z2" s="239" t="inlineStr">
        <is>
          <t>课前家长会诺访</t>
        </is>
      </c>
      <c r="AA2" s="239" t="inlineStr">
        <is>
          <t>课前家长会到场</t>
        </is>
      </c>
      <c r="AB2" s="239" t="inlineStr">
        <is>
          <t>课中家长会诺访</t>
        </is>
      </c>
      <c r="AC2" s="239" t="inlineStr">
        <is>
          <t>课中家长会到场</t>
        </is>
      </c>
      <c r="AD2" s="905" t="inlineStr">
        <is>
          <t>学员分层
（主讲）</t>
        </is>
      </c>
      <c r="AE2" s="239" t="inlineStr">
        <is>
          <t>主讲判定依据</t>
        </is>
      </c>
      <c r="AF2" s="906" t="inlineStr">
        <is>
          <t>学员分层
（顾问）</t>
        </is>
      </c>
      <c r="AG2" s="239" t="inlineStr">
        <is>
          <t>顾问判定依据</t>
        </is>
      </c>
      <c r="AH2" s="363" t="n"/>
      <c r="AI2" s="56" t="inlineStr">
        <is>
          <t>是否电联</t>
        </is>
      </c>
      <c r="AJ2" s="56" t="inlineStr">
        <is>
          <t>学情备注</t>
        </is>
      </c>
      <c r="AK2" s="366" t="n"/>
      <c r="AL2" s="366" t="n"/>
      <c r="AM2" s="366" t="n"/>
      <c r="AN2" s="366" t="n"/>
      <c r="AO2" s="366" t="n"/>
    </row>
    <row r="3" ht="26.25" customHeight="1" s="1053">
      <c r="A3" s="339" t="inlineStr">
        <is>
          <t>同创汇</t>
        </is>
      </c>
      <c r="B3" s="339" t="inlineStr">
        <is>
          <t>零期</t>
        </is>
      </c>
      <c r="C3" s="339" t="n">
        <v>5230737</v>
      </c>
      <c r="D3" s="339" t="inlineStr">
        <is>
          <t>13:20-15:30</t>
        </is>
      </c>
      <c r="E3" s="339" t="inlineStr">
        <is>
          <t>潜能班</t>
        </is>
      </c>
      <c r="F3" s="339" t="inlineStr">
        <is>
          <t>何子越</t>
        </is>
      </c>
      <c r="G3" s="339" t="inlineStr">
        <is>
          <t>高心怡04</t>
        </is>
      </c>
      <c r="H3" s="339" t="inlineStr">
        <is>
          <t>李润</t>
        </is>
      </c>
      <c r="I3" s="339" t="inlineStr">
        <is>
          <t>陈中帅</t>
        </is>
      </c>
      <c r="J3" s="339" t="inlineStr">
        <is>
          <t>戎凯01</t>
        </is>
      </c>
      <c r="K3" s="339" t="n"/>
      <c r="L3" s="376" t="n"/>
      <c r="M3" s="376" t="inlineStr">
        <is>
          <t>孩子比较自觉</t>
        </is>
      </c>
      <c r="N3" s="376" t="inlineStr">
        <is>
          <t>希望提前打中考优势</t>
        </is>
      </c>
      <c r="O3" s="376" t="inlineStr">
        <is>
          <t>pet通过</t>
        </is>
      </c>
      <c r="P3" s="376" t="n"/>
      <c r="Q3" s="339" t="n">
        <v>41.5</v>
      </c>
      <c r="R3" s="339" t="n"/>
      <c r="S3" s="339" t="n"/>
      <c r="T3" s="339" t="inlineStr">
        <is>
          <t>是</t>
        </is>
      </c>
      <c r="U3" s="339" t="inlineStr">
        <is>
          <t>是</t>
        </is>
      </c>
      <c r="V3" s="339" t="inlineStr">
        <is>
          <t>是</t>
        </is>
      </c>
      <c r="W3" s="339" t="inlineStr">
        <is>
          <t>是</t>
        </is>
      </c>
      <c r="X3" s="339" t="n"/>
      <c r="Y3" s="339" t="n"/>
      <c r="Z3" s="339" t="inlineStr">
        <is>
          <t>是</t>
        </is>
      </c>
      <c r="AA3" s="339" t="inlineStr">
        <is>
          <t>是</t>
        </is>
      </c>
      <c r="AB3" s="339" t="n"/>
      <c r="AC3" s="339" t="n"/>
      <c r="AD3" s="366" t="inlineStr">
        <is>
          <t>A</t>
        </is>
      </c>
      <c r="AE3" s="339" t="n"/>
      <c r="AF3" s="339" t="n"/>
      <c r="AG3" s="339" t="n"/>
      <c r="AH3" s="359" t="n"/>
      <c r="AI3" s="366" t="inlineStr">
        <is>
          <t>是</t>
        </is>
      </c>
      <c r="AJ3" s="366" t="inlineStr">
        <is>
          <t>需要关注，放到第一排侧面</t>
        </is>
      </c>
      <c r="AK3" s="366" t="inlineStr">
        <is>
          <t>请假</t>
        </is>
      </c>
      <c r="AL3" s="7" t="n"/>
      <c r="AM3" s="119" t="n"/>
      <c r="AN3" s="366" t="n"/>
      <c r="AO3" s="366" t="n"/>
    </row>
    <row r="4" ht="26.25" customHeight="1" s="1053">
      <c r="A4" s="339" t="inlineStr">
        <is>
          <t>同创汇</t>
        </is>
      </c>
      <c r="B4" s="339" t="inlineStr">
        <is>
          <t>零期</t>
        </is>
      </c>
      <c r="C4" s="339" t="n">
        <v>5230737</v>
      </c>
      <c r="D4" s="339" t="inlineStr">
        <is>
          <t>13:20-15:30</t>
        </is>
      </c>
      <c r="E4" s="339" t="inlineStr">
        <is>
          <t>潜能班</t>
        </is>
      </c>
      <c r="F4" s="339" t="inlineStr">
        <is>
          <t>叶晓静</t>
        </is>
      </c>
      <c r="G4" s="339" t="inlineStr">
        <is>
          <t>高心怡04</t>
        </is>
      </c>
      <c r="H4" s="339" t="inlineStr">
        <is>
          <t>李润</t>
        </is>
      </c>
      <c r="I4" s="339" t="inlineStr">
        <is>
          <t>陈中帅</t>
        </is>
      </c>
      <c r="J4" s="339" t="inlineStr">
        <is>
          <t>王达04</t>
        </is>
      </c>
      <c r="K4" s="339" t="n"/>
      <c r="L4" s="376" t="inlineStr">
        <is>
          <t>学一？</t>
        </is>
      </c>
      <c r="M4" s="376" t="inlineStr">
        <is>
          <t>学习习惯上相对比较自觉</t>
        </is>
      </c>
      <c r="N4" s="376" t="inlineStr">
        <is>
          <t>家长未明确表达，聊天欲望不强，需要重点关注</t>
        </is>
      </c>
      <c r="O4" s="376" t="inlineStr">
        <is>
          <t>家长不想多说，让孩子自己去了解吧，需要课上多关注孩子的情况</t>
        </is>
      </c>
      <c r="P4" s="376" t="n"/>
      <c r="Q4" s="339" t="n"/>
      <c r="R4" s="339" t="n"/>
      <c r="S4" s="339" t="n"/>
      <c r="T4" s="339" t="inlineStr">
        <is>
          <t>是</t>
        </is>
      </c>
      <c r="U4" s="339" t="inlineStr">
        <is>
          <t>是</t>
        </is>
      </c>
      <c r="V4" s="339" t="inlineStr">
        <is>
          <t>是</t>
        </is>
      </c>
      <c r="W4" s="339" t="inlineStr">
        <is>
          <t>是</t>
        </is>
      </c>
      <c r="X4" s="339" t="n"/>
      <c r="Y4" s="339" t="n"/>
      <c r="Z4" s="339" t="inlineStr">
        <is>
          <t>是</t>
        </is>
      </c>
      <c r="AA4" s="339" t="inlineStr">
        <is>
          <t>是</t>
        </is>
      </c>
      <c r="AB4" s="339" t="n"/>
      <c r="AC4" s="339" t="n"/>
      <c r="AD4" s="366" t="inlineStr">
        <is>
          <t>A</t>
        </is>
      </c>
      <c r="AE4" s="339" t="n"/>
      <c r="AF4" s="339" t="n"/>
      <c r="AG4" s="339" t="n"/>
      <c r="AH4" s="359" t="n"/>
      <c r="AI4" s="366" t="inlineStr">
        <is>
          <t>是</t>
        </is>
      </c>
      <c r="AJ4" s="366" t="inlineStr">
        <is>
          <t>问问孩子想不想上课</t>
        </is>
      </c>
      <c r="AK4" s="366" t="n"/>
      <c r="AL4" s="7" t="n"/>
      <c r="AM4" s="281" t="n"/>
      <c r="AN4" s="366" t="n"/>
      <c r="AO4" s="366" t="n"/>
    </row>
    <row r="5" ht="26.25" customHeight="1" s="1053">
      <c r="A5" s="339" t="inlineStr">
        <is>
          <t>同创汇</t>
        </is>
      </c>
      <c r="B5" s="339" t="inlineStr">
        <is>
          <t>零期</t>
        </is>
      </c>
      <c r="C5" s="339" t="n">
        <v>5230737</v>
      </c>
      <c r="D5" s="339" t="inlineStr">
        <is>
          <t>13:20-15:30</t>
        </is>
      </c>
      <c r="E5" s="339" t="inlineStr">
        <is>
          <t>潜能班</t>
        </is>
      </c>
      <c r="F5" s="339" t="inlineStr">
        <is>
          <t>吴丹妮</t>
        </is>
      </c>
      <c r="G5" s="339" t="inlineStr">
        <is>
          <t>高心怡04</t>
        </is>
      </c>
      <c r="H5" s="339" t="inlineStr">
        <is>
          <t>李润</t>
        </is>
      </c>
      <c r="I5" s="339" t="inlineStr">
        <is>
          <t>田雨涵01</t>
        </is>
      </c>
      <c r="J5" s="339" t="inlineStr">
        <is>
          <t>苏丽婷</t>
        </is>
      </c>
      <c r="K5" s="339" t="n"/>
      <c r="L5" s="376" t="inlineStr">
        <is>
          <t>培正</t>
        </is>
      </c>
      <c r="M5" s="376" t="inlineStr">
        <is>
          <t>自觉</t>
        </is>
      </c>
      <c r="N5" s="376" t="inlineStr">
        <is>
          <t>语法一般，拼读不行，陌生的单词自己读不出来</t>
        </is>
      </c>
      <c r="O5" s="376" t="inlineStr">
        <is>
          <t>单词带读要关注</t>
        </is>
      </c>
      <c r="P5" s="376" t="n"/>
      <c r="Q5" s="339" t="n"/>
      <c r="R5" s="339" t="n"/>
      <c r="S5" s="339" t="n"/>
      <c r="T5" s="339" t="inlineStr">
        <is>
          <t>是</t>
        </is>
      </c>
      <c r="U5" s="339" t="inlineStr">
        <is>
          <t>是</t>
        </is>
      </c>
      <c r="V5" s="339" t="inlineStr">
        <is>
          <t>是</t>
        </is>
      </c>
      <c r="W5" s="339" t="inlineStr">
        <is>
          <t>是</t>
        </is>
      </c>
      <c r="X5" s="339" t="n"/>
      <c r="Y5" s="339" t="n"/>
      <c r="Z5" s="339" t="inlineStr">
        <is>
          <t>是</t>
        </is>
      </c>
      <c r="AA5" s="339" t="n"/>
      <c r="AB5" s="339" t="n"/>
      <c r="AC5" s="339" t="n"/>
      <c r="AD5" s="366" t="inlineStr">
        <is>
          <t>A</t>
        </is>
      </c>
      <c r="AE5" s="339" t="n"/>
      <c r="AF5" s="339" t="n"/>
      <c r="AG5" s="339" t="n"/>
      <c r="AH5" s="359" t="n"/>
      <c r="AI5" s="366" t="inlineStr">
        <is>
          <t>是</t>
        </is>
      </c>
      <c r="AJ5" s="366" t="inlineStr">
        <is>
          <t>跟得上很多都会，举手了但老师不喊，已沟通，不喊也得举手</t>
        </is>
      </c>
      <c r="AK5" s="366" t="n"/>
      <c r="AL5" s="7" t="n"/>
      <c r="AM5" s="281" t="n"/>
      <c r="AN5" s="366" t="n"/>
      <c r="AO5" s="366" t="n"/>
    </row>
    <row r="6" ht="26.25" customHeight="1" s="1053">
      <c r="A6" s="339" t="inlineStr">
        <is>
          <t>同创汇</t>
        </is>
      </c>
      <c r="B6" s="339" t="inlineStr">
        <is>
          <t>零期</t>
        </is>
      </c>
      <c r="C6" s="339" t="n">
        <v>5230737</v>
      </c>
      <c r="D6" s="339" t="inlineStr">
        <is>
          <t>13:20-15:30</t>
        </is>
      </c>
      <c r="E6" s="339" t="inlineStr">
        <is>
          <t>潜能班</t>
        </is>
      </c>
      <c r="F6" s="339" t="inlineStr">
        <is>
          <t>尹思韬</t>
        </is>
      </c>
      <c r="G6" s="339" t="inlineStr">
        <is>
          <t>高心怡04</t>
        </is>
      </c>
      <c r="H6" s="339" t="inlineStr">
        <is>
          <t>李润</t>
        </is>
      </c>
      <c r="I6" s="339" t="inlineStr">
        <is>
          <t>陈中帅</t>
        </is>
      </c>
      <c r="J6" s="339" t="inlineStr">
        <is>
          <t>林志豪01</t>
        </is>
      </c>
      <c r="K6" s="339" t="n"/>
      <c r="L6" s="376" t="inlineStr">
        <is>
          <t>培文外国语</t>
        </is>
      </c>
      <c r="M6" s="376" t="inlineStr">
        <is>
          <t>自我感觉良好，总能考前几名</t>
        </is>
      </c>
      <c r="N6" s="376" t="inlineStr">
        <is>
          <t>11号分班测，希望多盯着</t>
        </is>
      </c>
      <c r="O6" s="376" t="inlineStr">
        <is>
          <t>课后及时反馈</t>
        </is>
      </c>
      <c r="P6" s="376" t="n"/>
      <c r="Q6" s="339" t="n"/>
      <c r="R6" s="339" t="n"/>
      <c r="S6" s="339" t="n"/>
      <c r="T6" s="339" t="inlineStr">
        <is>
          <t>是</t>
        </is>
      </c>
      <c r="U6" s="339" t="inlineStr">
        <is>
          <t>是</t>
        </is>
      </c>
      <c r="V6" s="339" t="inlineStr">
        <is>
          <t>是</t>
        </is>
      </c>
      <c r="W6" s="339" t="inlineStr">
        <is>
          <t>是</t>
        </is>
      </c>
      <c r="X6" s="339" t="n"/>
      <c r="Y6" s="339" t="n"/>
      <c r="Z6" s="339" t="inlineStr">
        <is>
          <t>是</t>
        </is>
      </c>
      <c r="AA6" s="339" t="inlineStr">
        <is>
          <t>是</t>
        </is>
      </c>
      <c r="AB6" s="339" t="n"/>
      <c r="AC6" s="339" t="n"/>
      <c r="AD6" s="366" t="inlineStr">
        <is>
          <t>A</t>
        </is>
      </c>
      <c r="AE6" s="339" t="n"/>
      <c r="AF6" s="339" t="n"/>
      <c r="AG6" s="339" t="n"/>
      <c r="AH6" s="359" t="n"/>
      <c r="AI6" s="366" t="inlineStr">
        <is>
          <t>是</t>
        </is>
      </c>
      <c r="AJ6" s="366" t="inlineStr">
        <is>
          <t>还是说分班测，想考A班</t>
        </is>
      </c>
      <c r="AK6" s="366" t="n"/>
      <c r="AL6" s="7" t="n"/>
      <c r="AM6" s="281" t="n"/>
      <c r="AN6" s="366" t="n"/>
      <c r="AO6" s="366" t="n"/>
    </row>
    <row r="7" ht="26.25" customHeight="1" s="1053">
      <c r="A7" s="339" t="inlineStr">
        <is>
          <t>同创汇</t>
        </is>
      </c>
      <c r="B7" s="339" t="inlineStr">
        <is>
          <t>零期</t>
        </is>
      </c>
      <c r="C7" s="339" t="n">
        <v>5230737</v>
      </c>
      <c r="D7" s="339" t="inlineStr">
        <is>
          <t>13:20-15:30</t>
        </is>
      </c>
      <c r="E7" s="339" t="inlineStr">
        <is>
          <t>潜能班</t>
        </is>
      </c>
      <c r="F7" s="339" t="inlineStr">
        <is>
          <t>张善如</t>
        </is>
      </c>
      <c r="G7" s="339" t="inlineStr">
        <is>
          <t>高心怡04</t>
        </is>
      </c>
      <c r="H7" s="339" t="inlineStr">
        <is>
          <t>李润</t>
        </is>
      </c>
      <c r="I7" s="339" t="inlineStr">
        <is>
          <t>陈中帅</t>
        </is>
      </c>
      <c r="J7" s="339" t="inlineStr">
        <is>
          <t>王丽</t>
        </is>
      </c>
      <c r="K7" s="339" t="inlineStr">
        <is>
          <t>水荫路</t>
        </is>
      </c>
      <c r="L7" s="907" t="inlineStr">
        <is>
          <t>淘金越秀
46中实验
东风实验</t>
        </is>
      </c>
      <c r="M7" s="908" t="inlineStr">
        <is>
          <t>很自觉，学校就能完成作业
回家后自己刷题</t>
        </is>
      </c>
      <c r="N7" s="376" t="inlineStr">
        <is>
          <t>更自信，愿意说、接触</t>
        </is>
      </c>
      <c r="O7" s="909" t="inlineStr">
        <is>
          <t>以前不爱回答问题
去到学校的国际班的时候班上同学太厉害
KET考过了，在学PET一对一环球英语
数学是私教但没上了，语文也没上了
网上自学理化，洋葱视频短视频学习</t>
        </is>
      </c>
      <c r="P7" s="376" t="inlineStr">
        <is>
          <t>90左右，最厉害的一次96</t>
        </is>
      </c>
      <c r="Q7" s="339" t="n"/>
      <c r="R7" s="339" t="n"/>
      <c r="S7" s="339" t="n"/>
      <c r="T7" s="339" t="inlineStr">
        <is>
          <t>是</t>
        </is>
      </c>
      <c r="U7" s="339" t="inlineStr">
        <is>
          <t>是</t>
        </is>
      </c>
      <c r="V7" s="339" t="inlineStr">
        <is>
          <t>是</t>
        </is>
      </c>
      <c r="W7" s="339" t="inlineStr">
        <is>
          <t>是</t>
        </is>
      </c>
      <c r="X7" s="339" t="n"/>
      <c r="Y7" s="339" t="n"/>
      <c r="Z7" s="339" t="inlineStr">
        <is>
          <t>是</t>
        </is>
      </c>
      <c r="AA7" s="339" t="inlineStr">
        <is>
          <t>是</t>
        </is>
      </c>
      <c r="AB7" s="339" t="n"/>
      <c r="AC7" s="339" t="n"/>
      <c r="AD7" s="366" t="inlineStr">
        <is>
          <t>S</t>
        </is>
      </c>
      <c r="AE7" s="339" t="n"/>
      <c r="AF7" s="339" t="n"/>
      <c r="AG7" s="339" t="n"/>
      <c r="AH7" s="359" t="n"/>
      <c r="AI7" s="366" t="inlineStr">
        <is>
          <t>是</t>
        </is>
      </c>
      <c r="AJ7" s="366" t="inlineStr">
        <is>
          <t>已做额外练习题</t>
        </is>
      </c>
      <c r="AK7" s="366" t="inlineStr">
        <is>
          <t>问了，打字语音有沟通，孩子主动提出做第一排</t>
        </is>
      </c>
      <c r="AL7" s="7" t="n"/>
      <c r="AM7" s="281" t="n"/>
      <c r="AN7" s="366" t="n"/>
      <c r="AO7" s="366" t="n"/>
    </row>
    <row r="8" ht="26.25" customHeight="1" s="1053">
      <c r="A8" s="339" t="inlineStr">
        <is>
          <t>同创汇</t>
        </is>
      </c>
      <c r="B8" s="339" t="inlineStr">
        <is>
          <t>零期</t>
        </is>
      </c>
      <c r="C8" s="339" t="n">
        <v>5230737</v>
      </c>
      <c r="D8" s="339" t="inlineStr">
        <is>
          <t>13:20-15:30</t>
        </is>
      </c>
      <c r="E8" s="339" t="inlineStr">
        <is>
          <t>潜能班</t>
        </is>
      </c>
      <c r="F8" s="339" t="inlineStr">
        <is>
          <t>徐安琪</t>
        </is>
      </c>
      <c r="G8" s="339" t="inlineStr">
        <is>
          <t>高心怡04</t>
        </is>
      </c>
      <c r="H8" s="339" t="inlineStr">
        <is>
          <t>李润</t>
        </is>
      </c>
      <c r="I8" s="339" t="inlineStr">
        <is>
          <t>陈中帅</t>
        </is>
      </c>
      <c r="J8" s="339" t="inlineStr">
        <is>
          <t>龙倩敏</t>
        </is>
      </c>
      <c r="K8" s="339" t="n"/>
      <c r="L8" s="376" t="inlineStr">
        <is>
          <t>七中东山</t>
        </is>
      </c>
      <c r="M8" s="376" t="inlineStr">
        <is>
          <t>基本是自己学</t>
        </is>
      </c>
      <c r="N8" s="376" t="inlineStr">
        <is>
          <t>没上过课外班，过渡，提前衔接初中</t>
        </is>
      </c>
      <c r="O8" s="376" t="inlineStr">
        <is>
          <t>第一次上，注意多关注孩子</t>
        </is>
      </c>
      <c r="P8" s="376" t="n">
        <v>95</v>
      </c>
      <c r="Q8" s="339" t="n"/>
      <c r="R8" s="339" t="n"/>
      <c r="S8" s="339" t="n"/>
      <c r="T8" s="339" t="inlineStr">
        <is>
          <t>是</t>
        </is>
      </c>
      <c r="U8" s="339" t="inlineStr">
        <is>
          <t>是</t>
        </is>
      </c>
      <c r="V8" s="339" t="inlineStr">
        <is>
          <t>是</t>
        </is>
      </c>
      <c r="W8" s="339" t="inlineStr">
        <is>
          <t>是</t>
        </is>
      </c>
      <c r="X8" s="339" t="n"/>
      <c r="Y8" s="339" t="n"/>
      <c r="Z8" s="339" t="inlineStr">
        <is>
          <t>是</t>
        </is>
      </c>
      <c r="AA8" s="339" t="inlineStr">
        <is>
          <t>是</t>
        </is>
      </c>
      <c r="AB8" s="339" t="n"/>
      <c r="AC8" s="339" t="n"/>
      <c r="AD8" s="366" t="inlineStr">
        <is>
          <t>A</t>
        </is>
      </c>
      <c r="AE8" s="339" t="n"/>
      <c r="AF8" s="339" t="n"/>
      <c r="AG8" s="339" t="n"/>
      <c r="AH8" s="359" t="n"/>
      <c r="AI8" s="366" t="inlineStr">
        <is>
          <t>是</t>
        </is>
      </c>
      <c r="AJ8" s="366" t="inlineStr">
        <is>
          <t>还不错，第一次上课外班也比较适应，给我糖了！</t>
        </is>
      </c>
      <c r="AK8" s="366" t="n"/>
      <c r="AL8" s="7" t="n"/>
      <c r="AM8" s="281" t="n"/>
      <c r="AN8" s="366" t="n"/>
      <c r="AO8" s="366" t="n"/>
    </row>
    <row r="9" ht="26.25" customHeight="1" s="1053">
      <c r="A9" s="339" t="inlineStr">
        <is>
          <t>同创汇</t>
        </is>
      </c>
      <c r="B9" s="339" t="inlineStr">
        <is>
          <t>零期</t>
        </is>
      </c>
      <c r="C9" s="339" t="n">
        <v>5230737</v>
      </c>
      <c r="D9" s="339" t="inlineStr">
        <is>
          <t>13:20-15:30</t>
        </is>
      </c>
      <c r="E9" s="339" t="inlineStr">
        <is>
          <t>潜能班</t>
        </is>
      </c>
      <c r="F9" s="339" t="inlineStr">
        <is>
          <t>朱凯纶</t>
        </is>
      </c>
      <c r="G9" s="339" t="inlineStr">
        <is>
          <t>高心怡04</t>
        </is>
      </c>
      <c r="H9" s="339" t="inlineStr">
        <is>
          <t>李润</t>
        </is>
      </c>
      <c r="I9" s="339" t="inlineStr">
        <is>
          <t>陈中帅</t>
        </is>
      </c>
      <c r="J9" s="339" t="inlineStr">
        <is>
          <t>王丽</t>
        </is>
      </c>
      <c r="K9" s="339" t="n"/>
      <c r="L9" s="376" t="n"/>
      <c r="M9" s="376" t="n"/>
      <c r="N9" s="376" t="inlineStr">
        <is>
          <t>打基础，语法</t>
        </is>
      </c>
      <c r="O9" s="910" t="inlineStr">
        <is>
          <t>妈妈反复强调还真是腼腆，害羞，怕犯错，家长的期待孩子能提起自信心
6月13日的体验课当场听当场【暑】+【秋】连报</t>
        </is>
      </c>
      <c r="P9" s="376" t="inlineStr">
        <is>
          <t>85-89之间</t>
        </is>
      </c>
      <c r="Q9" s="339" t="n"/>
      <c r="R9" s="339" t="n"/>
      <c r="S9" s="339" t="n"/>
      <c r="T9" s="339" t="inlineStr">
        <is>
          <t>是</t>
        </is>
      </c>
      <c r="U9" s="339" t="inlineStr">
        <is>
          <t>是</t>
        </is>
      </c>
      <c r="V9" s="339" t="inlineStr">
        <is>
          <t>是</t>
        </is>
      </c>
      <c r="W9" s="339" t="inlineStr">
        <is>
          <t>是</t>
        </is>
      </c>
      <c r="X9" s="339" t="n"/>
      <c r="Y9" s="339" t="n"/>
      <c r="Z9" s="339" t="inlineStr">
        <is>
          <t>是</t>
        </is>
      </c>
      <c r="AA9" s="339" t="inlineStr">
        <is>
          <t>是</t>
        </is>
      </c>
      <c r="AB9" s="339" t="n"/>
      <c r="AC9" s="339" t="n"/>
      <c r="AD9" s="366" t="inlineStr">
        <is>
          <t>S</t>
        </is>
      </c>
      <c r="AE9" s="339" t="n"/>
      <c r="AF9" s="339" t="n"/>
      <c r="AG9" s="339" t="n"/>
      <c r="AH9" s="359" t="inlineStr">
        <is>
          <t>是</t>
        </is>
      </c>
      <c r="AI9" s="366" t="inlineStr">
        <is>
          <t>是</t>
        </is>
      </c>
      <c r="AJ9" s="366" t="inlineStr">
        <is>
          <t>怕出错不敢开口</t>
        </is>
      </c>
      <c r="AK9" s="366" t="inlineStr">
        <is>
          <t>问了</t>
        </is>
      </c>
      <c r="AL9" s="7" t="n"/>
      <c r="AM9" s="281" t="n"/>
      <c r="AN9" s="366" t="n"/>
      <c r="AO9" s="366" t="n"/>
    </row>
    <row r="10" ht="26.25" customHeight="1" s="1053">
      <c r="A10" s="339" t="inlineStr">
        <is>
          <t>同创汇</t>
        </is>
      </c>
      <c r="B10" s="339" t="inlineStr">
        <is>
          <t>零期</t>
        </is>
      </c>
      <c r="C10" s="339" t="n">
        <v>5230737</v>
      </c>
      <c r="D10" s="339" t="inlineStr">
        <is>
          <t>13:20-15:30</t>
        </is>
      </c>
      <c r="E10" s="339" t="inlineStr">
        <is>
          <t>潜能班</t>
        </is>
      </c>
      <c r="F10" s="339" t="inlineStr">
        <is>
          <t>李倬承</t>
        </is>
      </c>
      <c r="G10" s="339" t="inlineStr">
        <is>
          <t>高心怡04</t>
        </is>
      </c>
      <c r="H10" s="339" t="n"/>
      <c r="I10" s="339" t="inlineStr">
        <is>
          <t>陈中帅</t>
        </is>
      </c>
      <c r="J10" s="339" t="inlineStr">
        <is>
          <t>王丽</t>
        </is>
      </c>
      <c r="K10" s="339" t="n"/>
      <c r="L10" s="376" t="n"/>
      <c r="M10" s="376" t="inlineStr">
        <is>
          <t>校内95左右</t>
        </is>
      </c>
      <c r="N10" s="376" t="inlineStr">
        <is>
          <t>对比，也在星火上</t>
        </is>
      </c>
      <c r="O10" s="376" t="inlineStr">
        <is>
          <t>4号要请假，需要重点关注（家长可能会有对比）</t>
        </is>
      </c>
      <c r="P10" s="376" t="n"/>
      <c r="Q10" s="339" t="n"/>
      <c r="R10" s="339" t="n"/>
      <c r="S10" s="339" t="n"/>
      <c r="T10" s="339" t="inlineStr">
        <is>
          <t>是</t>
        </is>
      </c>
      <c r="U10" s="339" t="inlineStr">
        <is>
          <t>是</t>
        </is>
      </c>
      <c r="V10" s="339" t="inlineStr">
        <is>
          <t>是</t>
        </is>
      </c>
      <c r="W10" s="339" t="inlineStr">
        <is>
          <t>是</t>
        </is>
      </c>
      <c r="X10" s="339" t="n"/>
      <c r="Y10" s="339" t="n"/>
      <c r="Z10" s="339" t="inlineStr">
        <is>
          <t>是</t>
        </is>
      </c>
      <c r="AA10" s="339" t="n"/>
      <c r="AB10" s="339" t="n"/>
      <c r="AC10" s="339" t="n"/>
      <c r="AD10" s="366" t="inlineStr">
        <is>
          <t>A</t>
        </is>
      </c>
      <c r="AE10" s="339" t="n"/>
      <c r="AF10" s="339" t="n"/>
      <c r="AG10" s="339" t="n"/>
      <c r="AH10" s="359" t="n"/>
      <c r="AI10" s="366" t="inlineStr">
        <is>
          <t>是</t>
        </is>
      </c>
      <c r="AJ10" s="366" t="inlineStr">
        <is>
          <t>星火太难了，孩子吸收不够好，想换地方，今天觉得讲得不错，问了分班和三年规划</t>
        </is>
      </c>
      <c r="AK10" s="366" t="n"/>
      <c r="AL10" s="119" t="n"/>
      <c r="AM10" s="366" t="n"/>
      <c r="AN10" s="366" t="n"/>
      <c r="AO10" s="366" t="n"/>
    </row>
    <row r="11" ht="26.25" customHeight="1" s="1053">
      <c r="A11" s="339" t="inlineStr">
        <is>
          <t>同创汇</t>
        </is>
      </c>
      <c r="B11" s="339" t="inlineStr">
        <is>
          <t>零期</t>
        </is>
      </c>
      <c r="C11" s="339" t="n">
        <v>5230737</v>
      </c>
      <c r="D11" s="339" t="inlineStr">
        <is>
          <t>13:20-15:30</t>
        </is>
      </c>
      <c r="E11" s="339" t="inlineStr">
        <is>
          <t>潜能班</t>
        </is>
      </c>
      <c r="F11" s="339" t="inlineStr">
        <is>
          <t>李许晨</t>
        </is>
      </c>
      <c r="G11" s="339" t="inlineStr">
        <is>
          <t>高心怡04</t>
        </is>
      </c>
      <c r="H11" s="339" t="inlineStr">
        <is>
          <t>李润</t>
        </is>
      </c>
      <c r="I11" s="339" t="inlineStr">
        <is>
          <t>陈中帅</t>
        </is>
      </c>
      <c r="J11" s="339" t="inlineStr">
        <is>
          <t>苏丽婷</t>
        </is>
      </c>
      <c r="K11" s="339" t="n"/>
      <c r="L11" s="376" t="inlineStr">
        <is>
          <t>等摇号</t>
        </is>
      </c>
      <c r="M11" s="376" t="inlineStr">
        <is>
          <t>自觉</t>
        </is>
      </c>
      <c r="N11" s="376" t="inlineStr">
        <is>
          <t>分班考</t>
        </is>
      </c>
      <c r="O11" s="911" t="inlineStr">
        <is>
          <t>卓越上了一学期的英语
其它都在乐读，小组课</t>
        </is>
      </c>
      <c r="P11" s="376" t="inlineStr">
        <is>
          <t>基本满分</t>
        </is>
      </c>
      <c r="Q11" s="339" t="n">
        <v>40.5</v>
      </c>
      <c r="R11" s="339" t="n"/>
      <c r="S11" s="339" t="n"/>
      <c r="T11" s="339" t="inlineStr">
        <is>
          <t>是</t>
        </is>
      </c>
      <c r="U11" s="339" t="inlineStr">
        <is>
          <t>是</t>
        </is>
      </c>
      <c r="V11" s="339" t="inlineStr">
        <is>
          <t>是</t>
        </is>
      </c>
      <c r="W11" s="339" t="inlineStr">
        <is>
          <t>是</t>
        </is>
      </c>
      <c r="X11" s="339" t="n"/>
      <c r="Y11" s="339" t="n"/>
      <c r="Z11" s="339" t="inlineStr">
        <is>
          <t>是</t>
        </is>
      </c>
      <c r="AA11" s="339" t="inlineStr">
        <is>
          <t>是</t>
        </is>
      </c>
      <c r="AB11" s="339" t="n"/>
      <c r="AC11" s="339" t="n"/>
      <c r="AD11" s="366" t="inlineStr">
        <is>
          <t>A</t>
        </is>
      </c>
      <c r="AE11" s="339" t="n"/>
      <c r="AF11" s="339" t="n"/>
      <c r="AG11" s="339" t="n"/>
      <c r="AH11" s="359" t="n"/>
      <c r="AI11" s="366" t="inlineStr">
        <is>
          <t>是</t>
        </is>
      </c>
      <c r="AJ11" s="366" t="inlineStr">
        <is>
          <t>课控Ok  课程内容简单，已给补充练习</t>
        </is>
      </c>
      <c r="AK11" s="366" t="n"/>
      <c r="AL11" s="7" t="n"/>
      <c r="AM11" s="366" t="n"/>
      <c r="AN11" s="366" t="n"/>
      <c r="AO11" s="366" t="n"/>
    </row>
    <row r="12" ht="26.25" customHeight="1" s="1053">
      <c r="A12" s="339" t="inlineStr">
        <is>
          <t>同创汇</t>
        </is>
      </c>
      <c r="B12" s="339" t="inlineStr">
        <is>
          <t>零期</t>
        </is>
      </c>
      <c r="C12" s="339" t="n">
        <v>5230737</v>
      </c>
      <c r="D12" s="339" t="inlineStr">
        <is>
          <t>13:20-15:30</t>
        </is>
      </c>
      <c r="E12" s="339" t="inlineStr">
        <is>
          <t>潜能班</t>
        </is>
      </c>
      <c r="F12" s="339" t="inlineStr">
        <is>
          <t>梁流楷</t>
        </is>
      </c>
      <c r="G12" s="339" t="inlineStr">
        <is>
          <t>高心怡04</t>
        </is>
      </c>
      <c r="H12" s="339" t="inlineStr">
        <is>
          <t>李润</t>
        </is>
      </c>
      <c r="I12" s="339" t="inlineStr">
        <is>
          <t>陈中帅</t>
        </is>
      </c>
      <c r="J12" s="339" t="inlineStr">
        <is>
          <t>苏丽婷</t>
        </is>
      </c>
      <c r="K12" s="339" t="inlineStr">
        <is>
          <t>铁一</t>
        </is>
      </c>
      <c r="L12" s="376" t="inlineStr">
        <is>
          <t>直升</t>
        </is>
      </c>
      <c r="M12" s="376" t="inlineStr">
        <is>
          <t>写作业自己搞定</t>
        </is>
      </c>
      <c r="N12" s="376" t="inlineStr">
        <is>
          <t>报班主要是想应对初中分班测，做一个衔接</t>
        </is>
      </c>
      <c r="O12" s="376" t="inlineStr">
        <is>
          <t>有在其他机构上MK和初中衔接课程</t>
        </is>
      </c>
      <c r="P12" s="376" t="n">
        <v>97</v>
      </c>
      <c r="Q12" s="339" t="n"/>
      <c r="R12" s="339" t="n"/>
      <c r="S12" s="339" t="n"/>
      <c r="T12" s="339" t="inlineStr">
        <is>
          <t>是</t>
        </is>
      </c>
      <c r="U12" s="339" t="inlineStr">
        <is>
          <t>是</t>
        </is>
      </c>
      <c r="V12" s="339" t="inlineStr">
        <is>
          <t>是</t>
        </is>
      </c>
      <c r="W12" s="339" t="inlineStr">
        <is>
          <t>是</t>
        </is>
      </c>
      <c r="X12" s="339" t="n"/>
      <c r="Y12" s="339" t="n"/>
      <c r="Z12" s="339" t="inlineStr">
        <is>
          <t>是</t>
        </is>
      </c>
      <c r="AA12" s="339" t="n"/>
      <c r="AB12" s="339" t="n"/>
      <c r="AC12" s="339" t="n"/>
      <c r="AD12" s="366" t="n"/>
      <c r="AE12" s="339" t="n"/>
      <c r="AF12" s="339" t="n"/>
      <c r="AG12" s="339" t="n"/>
      <c r="AH12" s="359" t="n"/>
      <c r="AI12" s="366" t="inlineStr">
        <is>
          <t>是</t>
        </is>
      </c>
      <c r="AJ12" s="366" t="inlineStr">
        <is>
          <t>比较简单，给补充练习</t>
        </is>
      </c>
      <c r="AK12" s="366" t="n"/>
      <c r="AL12" s="7" t="n"/>
      <c r="AM12" s="366" t="n"/>
      <c r="AN12" s="366" t="n"/>
      <c r="AO12" s="366" t="n"/>
    </row>
    <row r="13" ht="26.25" customHeight="1" s="1053">
      <c r="A13" s="339" t="inlineStr">
        <is>
          <t>同创汇</t>
        </is>
      </c>
      <c r="B13" s="339" t="inlineStr">
        <is>
          <t>零期</t>
        </is>
      </c>
      <c r="C13" s="339" t="n">
        <v>5230737</v>
      </c>
      <c r="D13" s="339" t="inlineStr">
        <is>
          <t>13:20-15:30</t>
        </is>
      </c>
      <c r="E13" s="339" t="inlineStr">
        <is>
          <t>潜能班</t>
        </is>
      </c>
      <c r="F13" s="339" t="inlineStr">
        <is>
          <t>王梓骏</t>
        </is>
      </c>
      <c r="G13" s="339" t="inlineStr">
        <is>
          <t>高心怡04</t>
        </is>
      </c>
      <c r="H13" s="339" t="inlineStr">
        <is>
          <t>李润</t>
        </is>
      </c>
      <c r="I13" s="339" t="inlineStr">
        <is>
          <t>陈中帅</t>
        </is>
      </c>
      <c r="J13" s="339" t="inlineStr">
        <is>
          <t>王丽</t>
        </is>
      </c>
      <c r="K13" s="339" t="inlineStr">
        <is>
          <t>先烈中路</t>
        </is>
      </c>
      <c r="L13" s="912" t="inlineStr">
        <is>
          <t>省市越秀
16实验
等摇号</t>
        </is>
      </c>
      <c r="M13" s="376" t="inlineStr">
        <is>
          <t>背单词一般，作业可以自己完成</t>
        </is>
      </c>
      <c r="N13" s="376" t="inlineStr">
        <is>
          <t>写作，语法有提升</t>
        </is>
      </c>
      <c r="O13" s="913" t="inlineStr">
        <is>
          <t>笔记认真
英语基础自以为很好
开朗调皮，课堂纪律需要引导，周末会玩手机但家里会控制，
语文英语都是90到95，但数学弱一些，这学期考了B</t>
        </is>
      </c>
      <c r="P13" s="376" t="inlineStr">
        <is>
          <t>A, 85-90</t>
        </is>
      </c>
      <c r="Q13" s="339" t="inlineStr">
        <is>
          <t>29/50</t>
        </is>
      </c>
      <c r="R13" s="339" t="n"/>
      <c r="S13" s="339" t="n"/>
      <c r="T13" s="339" t="inlineStr">
        <is>
          <t>是</t>
        </is>
      </c>
      <c r="U13" s="339" t="inlineStr">
        <is>
          <t>是</t>
        </is>
      </c>
      <c r="V13" s="339" t="inlineStr">
        <is>
          <t>是</t>
        </is>
      </c>
      <c r="W13" s="339" t="inlineStr">
        <is>
          <t>是</t>
        </is>
      </c>
      <c r="X13" s="339" t="n"/>
      <c r="Y13" s="339" t="n"/>
      <c r="Z13" s="339" t="inlineStr">
        <is>
          <t>是</t>
        </is>
      </c>
      <c r="AA13" s="339" t="n"/>
      <c r="AB13" s="339" t="n"/>
      <c r="AC13" s="339" t="n"/>
      <c r="AD13" s="366" t="inlineStr">
        <is>
          <t>B</t>
        </is>
      </c>
      <c r="AE13" s="339" t="n"/>
      <c r="AF13" s="339" t="n"/>
      <c r="AG13" s="339" t="n"/>
      <c r="AH13" s="359" t="n"/>
      <c r="AI13" s="366" t="inlineStr">
        <is>
          <t>是</t>
        </is>
      </c>
      <c r="AJ13" s="366" t="inlineStr">
        <is>
          <t>爸爸忙，说是配合，但孩子没做作业</t>
        </is>
      </c>
      <c r="AK13" s="366" t="inlineStr">
        <is>
          <t>电话没接，文字说：孩子说挺好的</t>
        </is>
      </c>
      <c r="AL13" s="7" t="n"/>
      <c r="AM13" s="366" t="n"/>
      <c r="AN13" s="366" t="n"/>
      <c r="AO13" s="366" t="n"/>
    </row>
    <row r="14" ht="26.25" customHeight="1" s="1053">
      <c r="A14" s="339" t="inlineStr">
        <is>
          <t>同创汇</t>
        </is>
      </c>
      <c r="B14" s="339" t="inlineStr">
        <is>
          <t>零期</t>
        </is>
      </c>
      <c r="C14" s="339" t="n">
        <v>5230737</v>
      </c>
      <c r="D14" s="339" t="inlineStr">
        <is>
          <t>13:20-15:30</t>
        </is>
      </c>
      <c r="E14" s="339" t="inlineStr">
        <is>
          <t>潜能班</t>
        </is>
      </c>
      <c r="F14" s="339" t="inlineStr">
        <is>
          <t>米诺</t>
        </is>
      </c>
      <c r="G14" s="339" t="inlineStr">
        <is>
          <t>高心怡04</t>
        </is>
      </c>
      <c r="H14" s="339" t="inlineStr">
        <is>
          <t>李润</t>
        </is>
      </c>
      <c r="I14" s="339" t="inlineStr">
        <is>
          <t>陈中帅</t>
        </is>
      </c>
      <c r="J14" s="339" t="inlineStr">
        <is>
          <t>戎凯01</t>
        </is>
      </c>
      <c r="K14" s="339" t="n"/>
      <c r="L14" s="376" t="inlineStr">
        <is>
          <t>等摇号结果</t>
        </is>
      </c>
      <c r="M14" s="376" t="n"/>
      <c r="N14" s="376" t="inlineStr">
        <is>
          <t>衔接，提起兴趣</t>
        </is>
      </c>
      <c r="O14" s="376" t="inlineStr">
        <is>
          <t>孩子经常自我感觉良好</t>
        </is>
      </c>
      <c r="P14" s="376" t="n">
        <v>85</v>
      </c>
      <c r="Q14" s="339" t="n">
        <v>23</v>
      </c>
      <c r="R14" s="339" t="n"/>
      <c r="S14" s="339" t="n"/>
      <c r="T14" s="339" t="inlineStr">
        <is>
          <t>是</t>
        </is>
      </c>
      <c r="U14" s="339" t="inlineStr">
        <is>
          <t>是</t>
        </is>
      </c>
      <c r="V14" s="339" t="inlineStr">
        <is>
          <t>是</t>
        </is>
      </c>
      <c r="W14" s="339" t="inlineStr">
        <is>
          <t>是</t>
        </is>
      </c>
      <c r="X14" s="339" t="n"/>
      <c r="Y14" s="339" t="n"/>
      <c r="Z14" s="339" t="inlineStr">
        <is>
          <t>是</t>
        </is>
      </c>
      <c r="AA14" s="339" t="inlineStr">
        <is>
          <t>是</t>
        </is>
      </c>
      <c r="AB14" s="339" t="n"/>
      <c r="AC14" s="339" t="n"/>
      <c r="AD14" s="366" t="inlineStr">
        <is>
          <t>A</t>
        </is>
      </c>
      <c r="AE14" s="339" t="n"/>
      <c r="AF14" s="339" t="n"/>
      <c r="AG14" s="339" t="n"/>
      <c r="AH14" s="359" t="inlineStr">
        <is>
          <t>是</t>
        </is>
      </c>
      <c r="AI14" s="366" t="inlineStr">
        <is>
          <t>是</t>
        </is>
      </c>
      <c r="AJ14" s="366" t="inlineStr">
        <is>
          <t>还没问，在玩平板，需要多鼓励，希望能主动回答问题</t>
        </is>
      </c>
      <c r="AK14" s="366" t="n"/>
      <c r="AL14" s="7" t="n"/>
      <c r="AM14" s="366" t="n"/>
      <c r="AN14" s="366" t="n"/>
      <c r="AO14" s="366" t="n"/>
    </row>
    <row r="15" ht="26.25" customHeight="1" s="1053">
      <c r="A15" s="339" t="inlineStr">
        <is>
          <t>同创汇</t>
        </is>
      </c>
      <c r="B15" s="339" t="inlineStr">
        <is>
          <t>零期</t>
        </is>
      </c>
      <c r="C15" s="339" t="n">
        <v>5230737</v>
      </c>
      <c r="D15" s="339" t="inlineStr">
        <is>
          <t>13:20-15:30</t>
        </is>
      </c>
      <c r="E15" s="339" t="inlineStr">
        <is>
          <t>潜能班</t>
        </is>
      </c>
      <c r="F15" s="339" t="inlineStr">
        <is>
          <t>苏家颖</t>
        </is>
      </c>
      <c r="G15" s="339" t="inlineStr">
        <is>
          <t>高心怡04</t>
        </is>
      </c>
      <c r="H15" s="339" t="inlineStr">
        <is>
          <t>李润</t>
        </is>
      </c>
      <c r="I15" s="339" t="inlineStr">
        <is>
          <t>陈中帅</t>
        </is>
      </c>
      <c r="J15" s="339" t="inlineStr">
        <is>
          <t>林志豪01</t>
        </is>
      </c>
      <c r="K15" s="339" t="inlineStr">
        <is>
          <t>海外附小</t>
        </is>
      </c>
      <c r="L15" s="376" t="inlineStr">
        <is>
          <t>摇号，志愿：97中</t>
        </is>
      </c>
      <c r="M15" s="376" t="inlineStr">
        <is>
          <t>自觉，不用盯着</t>
        </is>
      </c>
      <c r="N15" s="376" t="inlineStr">
        <is>
          <t>听力，阅读能有提升</t>
        </is>
      </c>
      <c r="O15" s="914" t="inlineStr">
        <is>
          <t>KET考的，没考PET
从来不报班</t>
        </is>
      </c>
      <c r="P15" s="376" t="inlineStr">
        <is>
          <t>稳定90+</t>
        </is>
      </c>
      <c r="Q15" s="339" t="n"/>
      <c r="R15" s="339" t="n"/>
      <c r="S15" s="339" t="n"/>
      <c r="T15" s="339" t="inlineStr">
        <is>
          <t>是</t>
        </is>
      </c>
      <c r="U15" s="339" t="inlineStr">
        <is>
          <t>是</t>
        </is>
      </c>
      <c r="V15" s="339" t="inlineStr">
        <is>
          <t>是</t>
        </is>
      </c>
      <c r="W15" s="339" t="inlineStr">
        <is>
          <t>是</t>
        </is>
      </c>
      <c r="X15" s="339" t="n"/>
      <c r="Y15" s="339" t="n"/>
      <c r="Z15" s="339" t="inlineStr">
        <is>
          <t>是</t>
        </is>
      </c>
      <c r="AA15" s="339" t="inlineStr">
        <is>
          <t>是</t>
        </is>
      </c>
      <c r="AB15" s="339" t="n"/>
      <c r="AC15" s="339" t="n"/>
      <c r="AD15" s="366" t="inlineStr">
        <is>
          <t>A</t>
        </is>
      </c>
      <c r="AE15" s="339" t="n"/>
      <c r="AF15" s="339" t="n"/>
      <c r="AG15" s="339" t="n"/>
      <c r="AH15" s="359" t="n"/>
      <c r="AI15" s="366" t="inlineStr">
        <is>
          <t>是</t>
        </is>
      </c>
      <c r="AJ15" s="366" t="inlineStr">
        <is>
          <t>表扬孩子了，孩子很开心，哈哈</t>
        </is>
      </c>
      <c r="AK15" s="366" t="inlineStr">
        <is>
          <t>问了</t>
        </is>
      </c>
      <c r="AL15" s="119" t="n"/>
      <c r="AM15" s="366" t="n"/>
      <c r="AN15" s="366" t="n"/>
      <c r="AO15" s="366" t="n"/>
    </row>
    <row r="16" ht="26.25" customHeight="1" s="1053">
      <c r="A16" s="339" t="inlineStr">
        <is>
          <t>同创汇</t>
        </is>
      </c>
      <c r="B16" s="339" t="inlineStr">
        <is>
          <t>零期</t>
        </is>
      </c>
      <c r="C16" s="339" t="n">
        <v>5230737</v>
      </c>
      <c r="D16" s="339" t="inlineStr">
        <is>
          <t>13:20-15:30</t>
        </is>
      </c>
      <c r="E16" s="339" t="inlineStr">
        <is>
          <t>潜能班</t>
        </is>
      </c>
      <c r="F16" s="339" t="inlineStr">
        <is>
          <t>萌萌</t>
        </is>
      </c>
      <c r="G16" s="339" t="inlineStr">
        <is>
          <t>高心怡04</t>
        </is>
      </c>
      <c r="H16" s="339" t="inlineStr">
        <is>
          <t>李润</t>
        </is>
      </c>
      <c r="I16" s="339" t="inlineStr">
        <is>
          <t>陈中帅</t>
        </is>
      </c>
      <c r="J16" s="339" t="inlineStr">
        <is>
          <t>罗玉玲</t>
        </is>
      </c>
      <c r="K16" s="339" t="inlineStr">
        <is>
          <t>建设大马路</t>
        </is>
      </c>
      <c r="L16" s="376" t="inlineStr">
        <is>
          <t>等摇号</t>
        </is>
      </c>
      <c r="M16" s="376" t="inlineStr">
        <is>
          <t>自己完成作业，背单词也自觉，但是不会多多</t>
        </is>
      </c>
      <c r="N16" s="376" t="inlineStr">
        <is>
          <t>分班考，单词，听力</t>
        </is>
      </c>
      <c r="O16" s="376" t="inlineStr">
        <is>
          <t>龙文一对二，KET没考过</t>
        </is>
      </c>
      <c r="P16" s="376" t="inlineStr">
        <is>
          <t>85多</t>
        </is>
      </c>
      <c r="Q16" s="339" t="n"/>
      <c r="R16" s="339" t="n"/>
      <c r="S16" s="339" t="n"/>
      <c r="T16" s="339" t="inlineStr">
        <is>
          <t>是</t>
        </is>
      </c>
      <c r="U16" s="339" t="inlineStr">
        <is>
          <t>是</t>
        </is>
      </c>
      <c r="V16" s="339" t="inlineStr">
        <is>
          <t>是</t>
        </is>
      </c>
      <c r="W16" s="339" t="inlineStr">
        <is>
          <t>是</t>
        </is>
      </c>
      <c r="X16" s="339" t="n"/>
      <c r="Y16" s="339" t="n"/>
      <c r="Z16" s="339" t="inlineStr">
        <is>
          <t>是</t>
        </is>
      </c>
      <c r="AA16" s="339" t="n"/>
      <c r="AB16" s="339" t="n"/>
      <c r="AC16" s="339" t="n"/>
      <c r="AD16" s="366" t="inlineStr">
        <is>
          <t>A</t>
        </is>
      </c>
      <c r="AE16" s="339" t="n"/>
      <c r="AF16" s="339" t="n"/>
      <c r="AG16" s="339" t="n"/>
      <c r="AH16" s="359" t="inlineStr">
        <is>
          <t>是</t>
        </is>
      </c>
      <c r="AI16" s="366" t="inlineStr">
        <is>
          <t>是</t>
        </is>
      </c>
      <c r="AJ16" s="366" t="inlineStr">
        <is>
          <t>还好，但是有点冷，有点累</t>
        </is>
      </c>
      <c r="AK16" s="366" t="n"/>
      <c r="AL16" s="7" t="n"/>
      <c r="AM16" s="366" t="n"/>
      <c r="AN16" s="366" t="n"/>
      <c r="AO16" s="366" t="n"/>
    </row>
    <row r="17" ht="26.25" customHeight="1" s="1053">
      <c r="A17" s="406" t="inlineStr">
        <is>
          <t>同创汇</t>
        </is>
      </c>
      <c r="B17" s="406" t="inlineStr">
        <is>
          <t>一期</t>
        </is>
      </c>
      <c r="C17" s="406" t="n">
        <v>5230737</v>
      </c>
      <c r="D17" s="406" t="inlineStr">
        <is>
          <t>13:20-15:30</t>
        </is>
      </c>
      <c r="E17" s="406" t="inlineStr">
        <is>
          <t>潜能班</t>
        </is>
      </c>
      <c r="F17" s="406" t="inlineStr">
        <is>
          <t>董昔予</t>
        </is>
      </c>
      <c r="G17" s="406" t="inlineStr">
        <is>
          <t>高心怡04</t>
        </is>
      </c>
      <c r="H17" s="406" t="inlineStr">
        <is>
          <t>李润</t>
        </is>
      </c>
      <c r="I17" s="406" t="inlineStr">
        <is>
          <t>陈中帅</t>
        </is>
      </c>
      <c r="J17" s="406" t="inlineStr">
        <is>
          <t>戎凯01</t>
        </is>
      </c>
      <c r="K17" s="406" t="n"/>
      <c r="L17" s="382" t="n"/>
      <c r="M17" s="382" t="n"/>
      <c r="N17" s="382" t="n"/>
      <c r="O17" s="382" t="inlineStr">
        <is>
          <t>联系不上，妈妈除了陈中帅老师的消息都不回</t>
        </is>
      </c>
      <c r="P17" s="376" t="n">
        <v>87</v>
      </c>
      <c r="Q17" s="339" t="n">
        <v>36</v>
      </c>
      <c r="R17" s="339" t="n"/>
      <c r="S17" s="339" t="n"/>
      <c r="T17" s="339" t="inlineStr">
        <is>
          <t>是</t>
        </is>
      </c>
      <c r="U17" s="339" t="inlineStr">
        <is>
          <t>否</t>
        </is>
      </c>
      <c r="V17" s="339" t="inlineStr">
        <is>
          <t>是</t>
        </is>
      </c>
      <c r="W17" s="339" t="inlineStr">
        <is>
          <t>是</t>
        </is>
      </c>
      <c r="X17" s="339" t="n"/>
      <c r="Y17" s="339" t="n"/>
      <c r="Z17" s="339" t="n"/>
      <c r="AA17" s="339" t="n"/>
      <c r="AB17" s="339" t="n"/>
      <c r="AC17" s="339" t="n"/>
      <c r="AD17" s="366" t="n"/>
      <c r="AE17" s="339" t="n"/>
      <c r="AF17" s="339" t="n"/>
      <c r="AG17" s="339" t="n"/>
      <c r="AH17" s="339" t="n"/>
      <c r="AI17" s="366" t="n"/>
      <c r="AJ17" s="366" t="n"/>
      <c r="AK17" s="366" t="n"/>
      <c r="AL17" s="119" t="n"/>
      <c r="AM17" s="366" t="n"/>
      <c r="AN17" s="366" t="n"/>
      <c r="AO17" s="366" t="n"/>
    </row>
    <row r="18" ht="26.25" customHeight="1" s="1053">
      <c r="A18" s="339" t="inlineStr">
        <is>
          <t>同创汇</t>
        </is>
      </c>
      <c r="B18" s="339" t="inlineStr">
        <is>
          <t>零期</t>
        </is>
      </c>
      <c r="C18" s="339" t="n">
        <v>5230737</v>
      </c>
      <c r="D18" s="339" t="inlineStr">
        <is>
          <t>13:20-15:30</t>
        </is>
      </c>
      <c r="E18" s="339" t="inlineStr">
        <is>
          <t>潜能班</t>
        </is>
      </c>
      <c r="F18" s="339" t="inlineStr">
        <is>
          <t>译译</t>
        </is>
      </c>
      <c r="G18" s="339" t="inlineStr">
        <is>
          <t>高心怡04</t>
        </is>
      </c>
      <c r="H18" s="339" t="inlineStr">
        <is>
          <t>李润</t>
        </is>
      </c>
      <c r="I18" s="339" t="inlineStr">
        <is>
          <t>陈中帅</t>
        </is>
      </c>
      <c r="J18" s="339" t="inlineStr">
        <is>
          <t>王丽</t>
        </is>
      </c>
      <c r="K18" s="339" t="inlineStr">
        <is>
          <t>水荫路</t>
        </is>
      </c>
      <c r="L18" s="915" t="inlineStr">
        <is>
          <t>等摇号结果
有报民办的想法</t>
        </is>
      </c>
      <c r="M18" s="376" t="inlineStr">
        <is>
          <t>背单词还可以，作业也自觉，语法需要加强</t>
        </is>
      </c>
      <c r="N18" s="376" t="inlineStr">
        <is>
          <t>衔接初中</t>
        </is>
      </c>
      <c r="O18" s="916" t="inlineStr">
        <is>
          <t>笔记字体潦草
三年级上过一个学期家附近的线下课</t>
        </is>
      </c>
      <c r="P18" s="376" t="inlineStr">
        <is>
          <t>80-90，但是很不稳定</t>
        </is>
      </c>
      <c r="Q18" s="339" t="n"/>
      <c r="R18" s="339" t="n"/>
      <c r="S18" s="339" t="n"/>
      <c r="T18" s="339" t="inlineStr">
        <is>
          <t>是</t>
        </is>
      </c>
      <c r="U18" s="339" t="inlineStr">
        <is>
          <t>是</t>
        </is>
      </c>
      <c r="V18" s="339" t="inlineStr">
        <is>
          <t>是</t>
        </is>
      </c>
      <c r="W18" s="339" t="inlineStr">
        <is>
          <t>是</t>
        </is>
      </c>
      <c r="X18" s="339" t="n"/>
      <c r="Y18" s="339" t="n"/>
      <c r="Z18" s="339" t="inlineStr">
        <is>
          <t>是</t>
        </is>
      </c>
      <c r="AA18" s="339" t="n"/>
      <c r="AB18" s="339" t="n"/>
      <c r="AC18" s="339" t="n"/>
      <c r="AD18" s="366" t="inlineStr">
        <is>
          <t>A</t>
        </is>
      </c>
      <c r="AE18" s="339" t="n"/>
      <c r="AF18" s="339" t="n"/>
      <c r="AG18" s="339" t="n"/>
      <c r="AH18" s="359" t="n"/>
      <c r="AI18" s="366" t="inlineStr">
        <is>
          <t>是</t>
        </is>
      </c>
      <c r="AJ18" s="366" t="inlineStr">
        <is>
          <t>下课打球去了，9点还没回家，态度还不错的小孩</t>
        </is>
      </c>
      <c r="AK18" s="366" t="n"/>
      <c r="AL18" s="7" t="n"/>
      <c r="AM18" s="366" t="n"/>
      <c r="AN18" s="366" t="n"/>
      <c r="AO18" s="366" t="n"/>
    </row>
    <row r="19" ht="26.25" customHeight="1" s="1053">
      <c r="A19" s="339" t="inlineStr">
        <is>
          <t>同创汇</t>
        </is>
      </c>
      <c r="B19" s="339" t="inlineStr">
        <is>
          <t>零期</t>
        </is>
      </c>
      <c r="C19" s="339" t="n">
        <v>5230737</v>
      </c>
      <c r="D19" s="339" t="inlineStr">
        <is>
          <t>13:20-15:30</t>
        </is>
      </c>
      <c r="E19" s="339" t="inlineStr">
        <is>
          <t>潜能班</t>
        </is>
      </c>
      <c r="F19" s="339" t="inlineStr">
        <is>
          <t>陈一依</t>
        </is>
      </c>
      <c r="G19" s="339" t="inlineStr">
        <is>
          <t>高心怡04</t>
        </is>
      </c>
      <c r="H19" s="339" t="n"/>
      <c r="I19" s="339" t="inlineStr">
        <is>
          <t>田雨涵01</t>
        </is>
      </c>
      <c r="J19" s="339" t="inlineStr">
        <is>
          <t>王丽</t>
        </is>
      </c>
      <c r="K19" s="339" t="inlineStr">
        <is>
          <t>铁一</t>
        </is>
      </c>
      <c r="L19" s="376" t="inlineStr">
        <is>
          <t>摇号</t>
        </is>
      </c>
      <c r="M19" s="376" t="inlineStr">
        <is>
          <t>不用盯着，但是背单词不自觉</t>
        </is>
      </c>
      <c r="N19" s="376" t="inlineStr">
        <is>
          <t>分班考，单词，语法</t>
        </is>
      </c>
      <c r="O19" s="917" t="inlineStr">
        <is>
          <t>系统微信和添加微信不一样
只上当前的雪球数学</t>
        </is>
      </c>
      <c r="P19" s="376" t="inlineStr">
        <is>
          <t>90上下</t>
        </is>
      </c>
      <c r="Q19" s="339" t="n">
        <v>26.5</v>
      </c>
      <c r="R19" s="339" t="n"/>
      <c r="S19" s="339" t="n"/>
      <c r="T19" s="339" t="inlineStr">
        <is>
          <t>是</t>
        </is>
      </c>
      <c r="U19" s="339" t="inlineStr">
        <is>
          <t>是</t>
        </is>
      </c>
      <c r="V19" s="339" t="inlineStr">
        <is>
          <t>是</t>
        </is>
      </c>
      <c r="W19" s="339" t="inlineStr">
        <is>
          <t>是</t>
        </is>
      </c>
      <c r="X19" s="339" t="n"/>
      <c r="Y19" s="339" t="n"/>
      <c r="Z19" s="339" t="inlineStr">
        <is>
          <t>是</t>
        </is>
      </c>
      <c r="AA19" s="339" t="n"/>
      <c r="AB19" s="339" t="n"/>
      <c r="AC19" s="339" t="n"/>
      <c r="AD19" s="366" t="inlineStr">
        <is>
          <t>S</t>
        </is>
      </c>
      <c r="AE19" s="339" t="n"/>
      <c r="AF19" s="339" t="n"/>
      <c r="AG19" s="339" t="n"/>
      <c r="AH19" s="359" t="n"/>
      <c r="AI19" s="366" t="inlineStr">
        <is>
          <t>是</t>
        </is>
      </c>
      <c r="AJ19" s="366" t="inlineStr">
        <is>
          <t>很活泼，跟米诺分开</t>
        </is>
      </c>
      <c r="AK19" s="366" t="inlineStr">
        <is>
          <t>请假</t>
        </is>
      </c>
      <c r="AL19" s="7" t="n"/>
      <c r="AM19" s="366" t="n"/>
      <c r="AN19" s="366" t="n"/>
      <c r="AO19" s="366" t="n"/>
    </row>
    <row r="20" ht="26.25" customHeight="1" s="1053">
      <c r="A20" s="339" t="inlineStr">
        <is>
          <t>同创汇</t>
        </is>
      </c>
      <c r="B20" s="339" t="inlineStr">
        <is>
          <t>零期</t>
        </is>
      </c>
      <c r="C20" s="339" t="n">
        <v>5230737</v>
      </c>
      <c r="D20" s="339" t="inlineStr">
        <is>
          <t>13:20-15:30</t>
        </is>
      </c>
      <c r="E20" s="339" t="inlineStr">
        <is>
          <t>潜能班</t>
        </is>
      </c>
      <c r="F20" s="339" t="inlineStr">
        <is>
          <t>雷斐然</t>
        </is>
      </c>
      <c r="G20" s="339" t="inlineStr">
        <is>
          <t>高心怡04</t>
        </is>
      </c>
      <c r="H20" s="339" t="inlineStr">
        <is>
          <t>李润</t>
        </is>
      </c>
      <c r="I20" s="339" t="inlineStr">
        <is>
          <t>陈中帅</t>
        </is>
      </c>
      <c r="J20" s="339" t="inlineStr">
        <is>
          <t>苏丽婷</t>
        </is>
      </c>
      <c r="K20" s="339" t="n"/>
      <c r="L20" s="376" t="inlineStr">
        <is>
          <t>等摇号结果</t>
        </is>
      </c>
      <c r="M20" s="376" t="inlineStr">
        <is>
          <t>自己做作业，不额外学</t>
        </is>
      </c>
      <c r="N20" s="376" t="inlineStr">
        <is>
          <t>听力、阅读较弱</t>
        </is>
      </c>
      <c r="O20" s="376" t="inlineStr">
        <is>
          <t>不稳定，一般在中上</t>
        </is>
      </c>
      <c r="P20" s="376" t="n"/>
      <c r="Q20" s="339" t="n">
        <v>38</v>
      </c>
      <c r="R20" s="339" t="n"/>
      <c r="S20" s="339" t="n"/>
      <c r="T20" s="339" t="inlineStr">
        <is>
          <t>是</t>
        </is>
      </c>
      <c r="U20" s="339" t="inlineStr">
        <is>
          <t>是</t>
        </is>
      </c>
      <c r="V20" s="339" t="inlineStr">
        <is>
          <t>是</t>
        </is>
      </c>
      <c r="W20" s="339" t="inlineStr">
        <is>
          <t>是</t>
        </is>
      </c>
      <c r="X20" s="339" t="n"/>
      <c r="Y20" s="339" t="n"/>
      <c r="Z20" s="339" t="inlineStr">
        <is>
          <t>是</t>
        </is>
      </c>
      <c r="AA20" s="339" t="inlineStr">
        <is>
          <t>是</t>
        </is>
      </c>
      <c r="AB20" s="339" t="n"/>
      <c r="AC20" s="339" t="n"/>
      <c r="AD20" s="366" t="inlineStr">
        <is>
          <t>A</t>
        </is>
      </c>
      <c r="AE20" s="339" t="n"/>
      <c r="AF20" s="339" t="n"/>
      <c r="AG20" s="339" t="n"/>
      <c r="AH20" s="359" t="n"/>
      <c r="AI20" s="366" t="inlineStr">
        <is>
          <t>是</t>
        </is>
      </c>
      <c r="AJ20" s="366" t="inlineStr">
        <is>
          <t>都学过，但正确率不行</t>
        </is>
      </c>
      <c r="AK20" s="366" t="n"/>
      <c r="AL20" s="7" t="n"/>
      <c r="AM20" s="366" t="n"/>
      <c r="AN20" s="366" t="n"/>
      <c r="AO20" s="366" t="n"/>
    </row>
    <row r="21" ht="26.25" customFormat="1" customHeight="1" s="359">
      <c r="A21" s="364" t="inlineStr">
        <is>
          <t>同创汇</t>
        </is>
      </c>
      <c r="B21" s="364" t="inlineStr">
        <is>
          <t>一期</t>
        </is>
      </c>
      <c r="C21" s="364" t="n">
        <v>5230737</v>
      </c>
      <c r="D21" s="364" t="inlineStr">
        <is>
          <t>13:20-15:30</t>
        </is>
      </c>
      <c r="E21" s="364" t="inlineStr">
        <is>
          <t>潜能班</t>
        </is>
      </c>
      <c r="F21" s="364" t="inlineStr">
        <is>
          <t>高雅萱</t>
        </is>
      </c>
      <c r="G21" s="364" t="inlineStr">
        <is>
          <t>高心怡04</t>
        </is>
      </c>
      <c r="H21" s="364" t="inlineStr">
        <is>
          <t>李润</t>
        </is>
      </c>
      <c r="I21" s="364" t="inlineStr">
        <is>
          <t>陈中帅</t>
        </is>
      </c>
      <c r="J21" s="364" t="inlineStr">
        <is>
          <t>王丽</t>
        </is>
      </c>
      <c r="K21" s="364" t="inlineStr">
        <is>
          <t>黄花小学</t>
        </is>
      </c>
      <c r="L21" s="364" t="inlineStr">
        <is>
          <t>等摇号结果</t>
        </is>
      </c>
      <c r="M21" s="364" t="inlineStr">
        <is>
          <t>能完成作业，背单词自觉</t>
        </is>
      </c>
      <c r="N21" s="364" t="inlineStr">
        <is>
          <t>更关注英语能力，听说读写</t>
        </is>
      </c>
      <c r="O21" s="918" t="inlineStr">
        <is>
          <t>从来没报过班
KET自学过了，PET</t>
        </is>
      </c>
      <c r="P21" s="364" t="inlineStr">
        <is>
          <t>95左右</t>
        </is>
      </c>
      <c r="Q21" s="364" t="n">
        <v>32.5</v>
      </c>
      <c r="R21" s="364" t="n"/>
      <c r="S21" s="364" t="n"/>
      <c r="T21" s="364" t="n"/>
      <c r="U21" s="364" t="n"/>
      <c r="V21" s="364" t="n"/>
      <c r="W21" s="364" t="n"/>
      <c r="X21" s="364" t="n"/>
      <c r="Y21" s="364" t="n"/>
      <c r="Z21" s="364" t="n"/>
      <c r="AA21" s="364" t="n"/>
      <c r="AB21" s="364" t="n"/>
      <c r="AC21" s="364" t="n"/>
      <c r="AD21" s="359" t="n"/>
      <c r="AE21" s="364" t="n"/>
      <c r="AF21" s="364" t="n"/>
      <c r="AG21" s="364" t="n"/>
      <c r="AH21" s="364" t="n"/>
      <c r="AI21" s="359" t="n"/>
      <c r="AJ21" s="359" t="n"/>
      <c r="AK21" s="359" t="n"/>
      <c r="AL21" s="7" t="n"/>
      <c r="AM21" s="359" t="n"/>
      <c r="AN21" s="359" t="n"/>
      <c r="AO21" s="359" t="n"/>
    </row>
    <row r="22" ht="26.25" customHeight="1" s="1053">
      <c r="A22" s="339" t="inlineStr">
        <is>
          <t>同创汇</t>
        </is>
      </c>
      <c r="B22" s="339" t="inlineStr">
        <is>
          <t>零期</t>
        </is>
      </c>
      <c r="C22" s="339" t="n">
        <v>5230737</v>
      </c>
      <c r="D22" s="339" t="inlineStr">
        <is>
          <t>13:20-15:30</t>
        </is>
      </c>
      <c r="E22" s="339" t="inlineStr">
        <is>
          <t>潜能班</t>
        </is>
      </c>
      <c r="F22" s="339" t="inlineStr">
        <is>
          <t>黄佩仪</t>
        </is>
      </c>
      <c r="G22" s="339" t="inlineStr">
        <is>
          <t>高心怡04</t>
        </is>
      </c>
      <c r="H22" s="339" t="n"/>
      <c r="I22" s="339" t="inlineStr">
        <is>
          <t>陈中帅</t>
        </is>
      </c>
      <c r="J22" s="339" t="inlineStr">
        <is>
          <t>戎凯01</t>
        </is>
      </c>
      <c r="K22" s="339" t="inlineStr">
        <is>
          <t>越秀中心</t>
        </is>
      </c>
      <c r="L22" s="376" t="inlineStr">
        <is>
          <t>等</t>
        </is>
      </c>
      <c r="M22" s="919" t="inlineStr">
        <is>
          <t>做作业自觉，背单词比较懒
除非听写</t>
        </is>
      </c>
      <c r="N22" s="376" t="inlineStr">
        <is>
          <t>听力，阅读，语法没有系统的形成</t>
        </is>
      </c>
      <c r="O22" s="920" t="inlineStr">
        <is>
          <t>从来不上正价课
网课上过，效果不好
家长能指导</t>
        </is>
      </c>
      <c r="P22" s="376" t="n">
        <v>88</v>
      </c>
      <c r="Q22" s="339" t="n">
        <v>33.5</v>
      </c>
      <c r="R22" s="339" t="n"/>
      <c r="S22" s="339" t="n"/>
      <c r="T22" s="339" t="inlineStr">
        <is>
          <t>是</t>
        </is>
      </c>
      <c r="U22" s="339" t="inlineStr">
        <is>
          <t>是</t>
        </is>
      </c>
      <c r="V22" s="339" t="inlineStr">
        <is>
          <t>是</t>
        </is>
      </c>
      <c r="W22" s="339" t="inlineStr">
        <is>
          <t>是</t>
        </is>
      </c>
      <c r="X22" s="339" t="n"/>
      <c r="Y22" s="339" t="n"/>
      <c r="Z22" s="339" t="inlineStr">
        <is>
          <t>是</t>
        </is>
      </c>
      <c r="AA22" s="339" t="inlineStr">
        <is>
          <t>是</t>
        </is>
      </c>
      <c r="AB22" s="339" t="n"/>
      <c r="AC22" s="339" t="n"/>
      <c r="AD22" s="366" t="inlineStr">
        <is>
          <t>A</t>
        </is>
      </c>
      <c r="AE22" s="339" t="n"/>
      <c r="AF22" s="339" t="n"/>
      <c r="AG22" s="339" t="n"/>
      <c r="AH22" s="359" t="inlineStr">
        <is>
          <t>是</t>
        </is>
      </c>
      <c r="AI22" s="366" t="inlineStr">
        <is>
          <t>是</t>
        </is>
      </c>
      <c r="AJ22" s="366" t="inlineStr">
        <is>
          <t>做作业不认真不仔细，该罚的要罚</t>
        </is>
      </c>
      <c r="AK22" s="366" t="inlineStr"/>
      <c r="AL22" s="7" t="n"/>
      <c r="AM22" s="366" t="n"/>
      <c r="AN22" s="366" t="n"/>
      <c r="AO22" s="366" t="n"/>
    </row>
    <row r="23" ht="26.25" customHeight="1" s="1053">
      <c r="A23" s="339" t="inlineStr">
        <is>
          <t>同创汇</t>
        </is>
      </c>
      <c r="B23" s="339" t="inlineStr">
        <is>
          <t>零期</t>
        </is>
      </c>
      <c r="C23" s="339" t="n">
        <v>5230737</v>
      </c>
      <c r="D23" s="339" t="inlineStr">
        <is>
          <t>13:20-15:30</t>
        </is>
      </c>
      <c r="E23" s="339" t="inlineStr">
        <is>
          <t>潜能班</t>
        </is>
      </c>
      <c r="F23" s="339" t="inlineStr">
        <is>
          <t>黄泓宇</t>
        </is>
      </c>
      <c r="G23" s="339" t="inlineStr">
        <is>
          <t>高心怡04</t>
        </is>
      </c>
      <c r="H23" s="339" t="inlineStr">
        <is>
          <t>李润</t>
        </is>
      </c>
      <c r="I23" s="339" t="inlineStr">
        <is>
          <t>陈中帅</t>
        </is>
      </c>
      <c r="J23" s="339" t="inlineStr">
        <is>
          <t>王丽</t>
        </is>
      </c>
      <c r="K23" s="339" t="inlineStr">
        <is>
          <t>铁一</t>
        </is>
      </c>
      <c r="L23" s="376" t="inlineStr">
        <is>
          <t>等摇号结果</t>
        </is>
      </c>
      <c r="M23" s="376" t="inlineStr">
        <is>
          <t>要盯着</t>
        </is>
      </c>
      <c r="N23" s="376" t="inlineStr">
        <is>
          <t>音标很差，觉得影响音标这类题型的得分</t>
        </is>
      </c>
      <c r="O23" s="921" t="inlineStr">
        <is>
          <t>以前课外补过音标
东山口的小班课
语文报过阅读，数学也报过奥数
喜欢编程C++</t>
        </is>
      </c>
      <c r="P23" s="376" t="inlineStr">
        <is>
          <t>90+</t>
        </is>
      </c>
      <c r="Q23" s="339" t="n"/>
      <c r="R23" s="339" t="n"/>
      <c r="S23" s="339" t="n"/>
      <c r="T23" s="339" t="inlineStr">
        <is>
          <t>是</t>
        </is>
      </c>
      <c r="U23" s="339" t="inlineStr">
        <is>
          <t>是</t>
        </is>
      </c>
      <c r="V23" s="339" t="inlineStr">
        <is>
          <t>是</t>
        </is>
      </c>
      <c r="W23" s="339" t="inlineStr">
        <is>
          <t>是</t>
        </is>
      </c>
      <c r="X23" s="339" t="n"/>
      <c r="Y23" s="339" t="n"/>
      <c r="Z23" s="339" t="inlineStr">
        <is>
          <t>是</t>
        </is>
      </c>
      <c r="AA23" s="339" t="inlineStr">
        <is>
          <t>是</t>
        </is>
      </c>
      <c r="AB23" s="339" t="n"/>
      <c r="AC23" s="339" t="n"/>
      <c r="AD23" s="366" t="inlineStr">
        <is>
          <t>A</t>
        </is>
      </c>
      <c r="AE23" s="339" t="n"/>
      <c r="AF23" s="339" t="n"/>
      <c r="AG23" s="339" t="n"/>
      <c r="AH23" s="359" t="n"/>
      <c r="AI23" s="366" t="inlineStr">
        <is>
          <t>是</t>
        </is>
      </c>
      <c r="AJ23" s="366" t="inlineStr">
        <is>
          <t>英语上有畏难情绪</t>
        </is>
      </c>
      <c r="AK23" s="366" t="inlineStr">
        <is>
          <t>发烧</t>
        </is>
      </c>
      <c r="AL23" s="119" t="n"/>
      <c r="AM23" s="366" t="n"/>
      <c r="AN23" s="366" t="n"/>
      <c r="AO23" s="366" t="n"/>
    </row>
    <row r="24" ht="26.25" customFormat="1" customHeight="1" s="359">
      <c r="A24" s="364" t="inlineStr">
        <is>
          <t>同创汇</t>
        </is>
      </c>
      <c r="B24" s="364" t="inlineStr">
        <is>
          <t>一期</t>
        </is>
      </c>
      <c r="C24" s="364" t="n">
        <v>3132837</v>
      </c>
      <c r="D24" s="364" t="inlineStr">
        <is>
          <t>13:20-15:30</t>
        </is>
      </c>
      <c r="E24" s="364" t="inlineStr">
        <is>
          <t>潜能班</t>
        </is>
      </c>
      <c r="F24" s="364" t="inlineStr">
        <is>
          <t>丘平川</t>
        </is>
      </c>
      <c r="G24" s="364" t="inlineStr">
        <is>
          <t>高心怡04</t>
        </is>
      </c>
      <c r="H24" s="364" t="inlineStr">
        <is>
          <t>李润</t>
        </is>
      </c>
      <c r="I24" s="364" t="inlineStr">
        <is>
          <t>田雨涵01</t>
        </is>
      </c>
      <c r="J24" s="364" t="inlineStr">
        <is>
          <t>王丽</t>
        </is>
      </c>
      <c r="K24" s="364" t="n"/>
      <c r="L24" s="364" t="n"/>
      <c r="M24" s="364" t="n"/>
      <c r="N24" s="364" t="n"/>
      <c r="O24" s="364" t="n"/>
      <c r="P24" s="364" t="n"/>
      <c r="Q24" s="364" t="n"/>
      <c r="R24" s="364" t="n"/>
      <c r="S24" s="364" t="n"/>
      <c r="T24" s="364" t="n"/>
      <c r="U24" s="364" t="n"/>
      <c r="V24" s="364" t="n"/>
      <c r="W24" s="364" t="n"/>
      <c r="X24" s="364" t="n"/>
      <c r="Y24" s="364" t="n"/>
      <c r="Z24" s="364" t="n"/>
      <c r="AA24" s="364" t="n"/>
      <c r="AB24" s="364" t="n"/>
      <c r="AC24" s="364" t="n"/>
      <c r="AD24" s="359" t="n"/>
      <c r="AE24" s="364" t="n"/>
      <c r="AF24" s="364" t="n"/>
      <c r="AG24" s="364" t="n"/>
      <c r="AH24" s="364" t="n"/>
      <c r="AI24" s="359" t="n"/>
      <c r="AJ24" s="359" t="n"/>
      <c r="AK24" s="359" t="n"/>
      <c r="AL24" s="7" t="n"/>
      <c r="AM24" s="359" t="n"/>
      <c r="AN24" s="359" t="n"/>
      <c r="AO24" s="359" t="n"/>
    </row>
    <row r="25" ht="26.25" customFormat="1" customHeight="1" s="359">
      <c r="A25" s="364" t="inlineStr">
        <is>
          <t>同创汇</t>
        </is>
      </c>
      <c r="B25" s="364" t="inlineStr">
        <is>
          <t>一期</t>
        </is>
      </c>
      <c r="C25" s="364" t="n">
        <v>3132837</v>
      </c>
      <c r="D25" s="364" t="inlineStr">
        <is>
          <t>13:20-15:30</t>
        </is>
      </c>
      <c r="E25" s="364" t="inlineStr">
        <is>
          <t>潜能班</t>
        </is>
      </c>
      <c r="F25" s="364" t="inlineStr">
        <is>
          <t>梁一鸣</t>
        </is>
      </c>
      <c r="G25" s="364" t="inlineStr">
        <is>
          <t>高心怡04</t>
        </is>
      </c>
      <c r="H25" s="364" t="inlineStr">
        <is>
          <t>陈南05</t>
        </is>
      </c>
      <c r="I25" s="364" t="inlineStr">
        <is>
          <t>田雨涵01</t>
        </is>
      </c>
      <c r="J25" s="364" t="inlineStr">
        <is>
          <t>戎凯01</t>
        </is>
      </c>
      <c r="K25" s="364" t="n"/>
      <c r="L25" s="364" t="n"/>
      <c r="M25" s="364" t="n"/>
      <c r="N25" s="364" t="n"/>
      <c r="O25" s="364" t="n"/>
      <c r="P25" s="364" t="n"/>
      <c r="Q25" s="364" t="n"/>
      <c r="R25" s="364" t="n"/>
      <c r="S25" s="364" t="n"/>
      <c r="T25" s="364" t="n"/>
      <c r="U25" s="364" t="n"/>
      <c r="V25" s="364" t="n"/>
      <c r="W25" s="364" t="n"/>
      <c r="X25" s="364" t="n"/>
      <c r="Y25" s="364" t="n"/>
      <c r="Z25" s="364" t="n"/>
      <c r="AA25" s="364" t="n"/>
      <c r="AB25" s="364" t="n"/>
      <c r="AC25" s="364" t="n"/>
      <c r="AD25" s="359" t="n"/>
      <c r="AE25" s="364" t="n"/>
      <c r="AF25" s="364" t="n"/>
      <c r="AG25" s="364" t="n"/>
      <c r="AH25" s="364" t="n"/>
      <c r="AI25" s="359" t="n"/>
      <c r="AJ25" s="359" t="n"/>
      <c r="AK25" s="359" t="n"/>
      <c r="AL25" s="7" t="n"/>
      <c r="AM25" s="359" t="n"/>
      <c r="AN25" s="359" t="n"/>
      <c r="AO25" s="359" t="n"/>
    </row>
    <row r="26" ht="26.25" customFormat="1" customHeight="1" s="359">
      <c r="A26" s="364" t="inlineStr">
        <is>
          <t>同创汇</t>
        </is>
      </c>
      <c r="B26" s="364" t="inlineStr">
        <is>
          <t>一期</t>
        </is>
      </c>
      <c r="C26" s="364" t="n">
        <v>3132837</v>
      </c>
      <c r="D26" s="364" t="inlineStr">
        <is>
          <t>13:20-15:30</t>
        </is>
      </c>
      <c r="E26" s="364" t="inlineStr">
        <is>
          <t>潜能班</t>
        </is>
      </c>
      <c r="F26" s="364" t="inlineStr">
        <is>
          <t>梁芷昕</t>
        </is>
      </c>
      <c r="G26" s="364" t="inlineStr">
        <is>
          <t>高心怡04</t>
        </is>
      </c>
      <c r="H26" s="364" t="inlineStr">
        <is>
          <t>陈南05</t>
        </is>
      </c>
      <c r="I26" s="364" t="inlineStr">
        <is>
          <t>田雨涵01</t>
        </is>
      </c>
      <c r="J26" s="364" t="inlineStr">
        <is>
          <t>沈思浩</t>
        </is>
      </c>
      <c r="K26" s="364" t="n"/>
      <c r="L26" s="364" t="n"/>
      <c r="M26" s="364" t="n"/>
      <c r="N26" s="364" t="n"/>
      <c r="O26" s="364" t="n"/>
      <c r="P26" s="364" t="n"/>
      <c r="Q26" s="364" t="n"/>
      <c r="R26" s="364" t="n"/>
      <c r="S26" s="364" t="n"/>
      <c r="T26" s="364" t="n"/>
      <c r="U26" s="364" t="n"/>
      <c r="V26" s="364" t="n"/>
      <c r="W26" s="364" t="n"/>
      <c r="X26" s="364" t="n"/>
      <c r="Y26" s="364" t="n"/>
      <c r="Z26" s="364" t="n"/>
      <c r="AA26" s="364" t="n"/>
      <c r="AB26" s="364" t="n"/>
      <c r="AC26" s="364" t="n"/>
      <c r="AD26" s="359" t="n"/>
      <c r="AE26" s="364" t="n"/>
      <c r="AF26" s="364" t="n"/>
      <c r="AG26" s="364" t="n"/>
      <c r="AH26" s="364" t="n"/>
      <c r="AI26" s="359" t="n"/>
      <c r="AJ26" s="359" t="n"/>
      <c r="AK26" s="359" t="n"/>
      <c r="AL26" s="7" t="n"/>
      <c r="AM26" s="359" t="n"/>
      <c r="AN26" s="359" t="n"/>
      <c r="AO26" s="359" t="n"/>
    </row>
    <row r="27" ht="26.25" customFormat="1" customHeight="1" s="359">
      <c r="A27" s="364" t="inlineStr">
        <is>
          <t>同创汇</t>
        </is>
      </c>
      <c r="B27" s="364" t="inlineStr">
        <is>
          <t>一期</t>
        </is>
      </c>
      <c r="C27" s="364" t="n">
        <v>3132837</v>
      </c>
      <c r="D27" s="364" t="inlineStr">
        <is>
          <t>13:20-15:30</t>
        </is>
      </c>
      <c r="E27" s="364" t="inlineStr">
        <is>
          <t>潜能班</t>
        </is>
      </c>
      <c r="F27" s="364" t="inlineStr">
        <is>
          <t>胡玲瑜</t>
        </is>
      </c>
      <c r="G27" s="364" t="inlineStr">
        <is>
          <t>高心怡04</t>
        </is>
      </c>
      <c r="H27" s="364" t="inlineStr">
        <is>
          <t>陈南05</t>
        </is>
      </c>
      <c r="I27" s="364" t="inlineStr">
        <is>
          <t>田雨涵01</t>
        </is>
      </c>
      <c r="J27" s="364" t="inlineStr">
        <is>
          <t>王丽</t>
        </is>
      </c>
      <c r="K27" s="364" t="n"/>
      <c r="L27" s="364" t="n"/>
      <c r="M27" s="364" t="n"/>
      <c r="N27" s="364" t="n"/>
      <c r="O27" s="364" t="n"/>
      <c r="P27" s="364" t="n"/>
      <c r="Q27" s="364" t="n"/>
      <c r="R27" s="364" t="n"/>
      <c r="S27" s="364" t="n"/>
      <c r="T27" s="364" t="n"/>
      <c r="U27" s="364" t="n"/>
      <c r="V27" s="364" t="n"/>
      <c r="W27" s="364" t="n"/>
      <c r="X27" s="364" t="n"/>
      <c r="Y27" s="364" t="n"/>
      <c r="Z27" s="364" t="n"/>
      <c r="AA27" s="364" t="n"/>
      <c r="AB27" s="364" t="n"/>
      <c r="AC27" s="364" t="n"/>
      <c r="AD27" s="359" t="n"/>
      <c r="AE27" s="364" t="n"/>
      <c r="AF27" s="364" t="n"/>
      <c r="AG27" s="364" t="n"/>
      <c r="AH27" s="364" t="n"/>
      <c r="AI27" s="359" t="n"/>
      <c r="AJ27" s="359" t="n"/>
      <c r="AK27" s="359" t="n"/>
      <c r="AL27" s="7" t="n"/>
      <c r="AM27" s="359" t="n"/>
      <c r="AN27" s="359" t="n"/>
      <c r="AO27" s="359" t="n"/>
    </row>
    <row r="28" ht="26.25" customFormat="1" customHeight="1" s="359">
      <c r="A28" s="365" t="inlineStr">
        <is>
          <t>同创汇</t>
        </is>
      </c>
      <c r="B28" s="365" t="inlineStr">
        <is>
          <t>一期</t>
        </is>
      </c>
      <c r="C28" s="365" t="n">
        <v>3132837</v>
      </c>
      <c r="D28" s="365" t="inlineStr">
        <is>
          <t>13:20-15:30</t>
        </is>
      </c>
      <c r="E28" s="365" t="inlineStr">
        <is>
          <t>潜能班</t>
        </is>
      </c>
      <c r="F28" s="365" t="inlineStr">
        <is>
          <t>董婧萱</t>
        </is>
      </c>
      <c r="G28" s="365" t="inlineStr">
        <is>
          <t>高心怡04</t>
        </is>
      </c>
      <c r="H28" s="365" t="n"/>
      <c r="I28" s="365" t="n"/>
      <c r="J28" s="365" t="inlineStr">
        <is>
          <t>苏丽婷</t>
        </is>
      </c>
      <c r="K28" s="365" t="n"/>
      <c r="L28" s="365" t="n"/>
      <c r="M28" s="365" t="n"/>
      <c r="N28" s="365" t="n"/>
      <c r="O28" s="365" t="n"/>
      <c r="P28" s="365" t="n"/>
      <c r="Q28" s="365" t="n"/>
      <c r="R28" s="365" t="n"/>
      <c r="S28" s="365" t="n"/>
      <c r="T28" s="365" t="n"/>
      <c r="U28" s="365" t="n"/>
      <c r="V28" s="365" t="n"/>
      <c r="W28" s="365" t="n"/>
      <c r="X28" s="365" t="n"/>
      <c r="Y28" s="365" t="n"/>
      <c r="Z28" s="365" t="n"/>
      <c r="AA28" s="365" t="n"/>
      <c r="AB28" s="365" t="n"/>
      <c r="AC28" s="365" t="n"/>
      <c r="AD28" s="359" t="n"/>
      <c r="AE28" s="365" t="n"/>
      <c r="AF28" s="365" t="n"/>
      <c r="AG28" s="365" t="n"/>
      <c r="AH28" s="365" t="n"/>
      <c r="AI28" s="359" t="n"/>
      <c r="AJ28" s="359" t="n"/>
      <c r="AK28" s="359" t="n"/>
      <c r="AL28" s="7" t="n"/>
      <c r="AM28" s="359" t="n"/>
      <c r="AN28" s="359" t="n"/>
      <c r="AO28" s="359" t="n"/>
    </row>
    <row r="29" ht="26.25" customFormat="1" customHeight="1" s="359">
      <c r="A29" s="364" t="inlineStr">
        <is>
          <t>同创汇</t>
        </is>
      </c>
      <c r="B29" s="364" t="inlineStr">
        <is>
          <t>一期</t>
        </is>
      </c>
      <c r="C29" s="364" t="n">
        <v>3132837</v>
      </c>
      <c r="D29" s="364" t="inlineStr">
        <is>
          <t>13:20-15:30</t>
        </is>
      </c>
      <c r="E29" s="364" t="inlineStr">
        <is>
          <t>潜能班</t>
        </is>
      </c>
      <c r="F29" s="364" t="inlineStr">
        <is>
          <t>黄梓涵</t>
        </is>
      </c>
      <c r="G29" s="364" t="inlineStr">
        <is>
          <t>高心怡04</t>
        </is>
      </c>
      <c r="H29" s="364" t="inlineStr">
        <is>
          <t>陈南05</t>
        </is>
      </c>
      <c r="I29" s="364" t="n"/>
      <c r="J29" s="364" t="inlineStr">
        <is>
          <t>戎凯01</t>
        </is>
      </c>
      <c r="K29" s="364" t="n"/>
      <c r="L29" s="364" t="n"/>
      <c r="M29" s="364" t="inlineStr">
        <is>
          <t>很自觉</t>
        </is>
      </c>
      <c r="N29" s="364" t="inlineStr">
        <is>
          <t>拔高</t>
        </is>
      </c>
      <c r="O29" s="922" t="inlineStr">
        <is>
          <t>体验课的笔记认真
从来不报班，也不考KP，全靠自己自觉学习</t>
        </is>
      </c>
      <c r="P29" s="364" t="n">
        <v>90</v>
      </c>
      <c r="Q29" s="364" t="n"/>
      <c r="R29" s="364" t="n"/>
      <c r="S29" s="364" t="n"/>
      <c r="T29" s="364" t="n"/>
      <c r="U29" s="364" t="n"/>
      <c r="V29" s="364" t="n"/>
      <c r="W29" s="364" t="n"/>
      <c r="X29" s="364" t="n"/>
      <c r="Y29" s="364" t="n"/>
      <c r="Z29" s="364" t="n"/>
      <c r="AA29" s="364" t="n"/>
      <c r="AB29" s="364" t="n"/>
      <c r="AC29" s="364" t="n"/>
      <c r="AD29" s="359" t="n"/>
      <c r="AE29" s="364" t="n"/>
      <c r="AF29" s="364" t="n"/>
      <c r="AG29" s="364" t="n"/>
      <c r="AH29" s="364" t="n"/>
      <c r="AI29" s="359" t="n"/>
      <c r="AJ29" s="359" t="n"/>
      <c r="AK29" s="359" t="n"/>
      <c r="AL29" s="7" t="n"/>
      <c r="AM29" s="359" t="n"/>
      <c r="AN29" s="359" t="n"/>
      <c r="AO29" s="359" t="n"/>
    </row>
    <row r="30" ht="26.25" customFormat="1" customHeight="1" s="359">
      <c r="A30" s="364" t="inlineStr">
        <is>
          <t>同创汇</t>
        </is>
      </c>
      <c r="B30" s="364" t="inlineStr">
        <is>
          <t>一期</t>
        </is>
      </c>
      <c r="C30" s="364" t="n">
        <v>3132869</v>
      </c>
      <c r="D30" s="364" t="inlineStr">
        <is>
          <t>15:50-18:00</t>
        </is>
      </c>
      <c r="E30" s="364" t="inlineStr">
        <is>
          <t>潜能班</t>
        </is>
      </c>
      <c r="F30" s="364" t="inlineStr">
        <is>
          <t>刘亦馨</t>
        </is>
      </c>
      <c r="G30" s="364" t="inlineStr">
        <is>
          <t>高心怡04</t>
        </is>
      </c>
      <c r="H30" s="364" t="inlineStr">
        <is>
          <t>黄铭怡</t>
        </is>
      </c>
      <c r="I30" s="364" t="inlineStr">
        <is>
          <t>陈中帅</t>
        </is>
      </c>
      <c r="J30" s="364" t="inlineStr">
        <is>
          <t>戎凯01</t>
        </is>
      </c>
      <c r="K30" s="364" t="inlineStr">
        <is>
          <t>育才</t>
        </is>
      </c>
      <c r="L30" s="364" t="inlineStr">
        <is>
          <t>等摇号</t>
        </is>
      </c>
      <c r="M30" s="364" t="inlineStr">
        <is>
          <t>写作业，就从小没有盯过，不会主动多学一点，但是只要是老师布置的作业，不管是校内还是校外，都会自己完成</t>
        </is>
      </c>
      <c r="N30" s="364" t="inlineStr">
        <is>
          <t>报雪球暑假班，是希望能提前学些初中的内容，之前新东方的作业她都是临到上课前一晚才做，没有每日定量做的习惯</t>
        </is>
      </c>
      <c r="O30" s="36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4" t="inlineStr">
        <is>
          <t>92-95</t>
        </is>
      </c>
      <c r="Q30" s="364" t="n"/>
      <c r="R30" s="364" t="n"/>
      <c r="S30" s="364" t="n"/>
      <c r="T30" s="364" t="n"/>
      <c r="U30" s="364" t="n"/>
      <c r="V30" s="364" t="n"/>
      <c r="W30" s="364" t="n"/>
      <c r="X30" s="364" t="n"/>
      <c r="Y30" s="364" t="n"/>
      <c r="Z30" s="364" t="n"/>
      <c r="AA30" s="364" t="n"/>
      <c r="AB30" s="364" t="n"/>
      <c r="AC30" s="364" t="n"/>
      <c r="AD30" s="359" t="n"/>
      <c r="AE30" s="364" t="n"/>
      <c r="AF30" s="364" t="n"/>
      <c r="AG30" s="364" t="n"/>
      <c r="AH30" s="364" t="n"/>
      <c r="AI30" s="359" t="n"/>
      <c r="AJ30" s="359" t="n"/>
      <c r="AK30" s="359" t="n"/>
      <c r="AL30" s="7" t="n"/>
      <c r="AM30" s="359" t="n"/>
      <c r="AN30" s="359" t="n"/>
      <c r="AO30" s="359" t="n"/>
    </row>
    <row r="31" ht="26.25" customFormat="1" customHeight="1" s="359">
      <c r="A31" s="364" t="inlineStr">
        <is>
          <t>同创汇</t>
        </is>
      </c>
      <c r="B31" s="364" t="inlineStr">
        <is>
          <t>一期</t>
        </is>
      </c>
      <c r="C31" s="364" t="n">
        <v>3132869</v>
      </c>
      <c r="D31" s="364" t="inlineStr">
        <is>
          <t>15:50-18:00</t>
        </is>
      </c>
      <c r="E31" s="364" t="inlineStr">
        <is>
          <t>潜能班</t>
        </is>
      </c>
      <c r="F31" s="364" t="inlineStr">
        <is>
          <t>刘庭玮</t>
        </is>
      </c>
      <c r="G31" s="364" t="inlineStr">
        <is>
          <t>高心怡04</t>
        </is>
      </c>
      <c r="H31" s="364" t="inlineStr">
        <is>
          <t>黄铭怡</t>
        </is>
      </c>
      <c r="I31" s="364" t="inlineStr">
        <is>
          <t>陈中帅</t>
        </is>
      </c>
      <c r="J31" s="364" t="inlineStr">
        <is>
          <t>戎凯01</t>
        </is>
      </c>
      <c r="K31" s="364" t="inlineStr">
        <is>
          <t>秉正</t>
        </is>
      </c>
      <c r="L31" s="364" t="n"/>
      <c r="M31" s="364" t="inlineStr">
        <is>
          <t>写作业自己能完成</t>
        </is>
      </c>
      <c r="N31" s="923" t="inlineStr">
        <is>
          <t>听力较为薄弱
总有小错误</t>
        </is>
      </c>
      <c r="O31" s="364" t="inlineStr">
        <is>
          <t>之前上过4期乐读线上的新概念英语，基本的语法知识都会，都还有待加强，在家给他有预习初中单词</t>
        </is>
      </c>
      <c r="P31" s="364" t="inlineStr">
        <is>
          <t>95+</t>
        </is>
      </c>
      <c r="Q31" s="364" t="inlineStr">
        <is>
          <t>48/50</t>
        </is>
      </c>
      <c r="R31" s="364" t="n"/>
      <c r="S31" s="364" t="n"/>
      <c r="T31" s="364" t="n"/>
      <c r="U31" s="364" t="n"/>
      <c r="V31" s="364" t="n"/>
      <c r="W31" s="364" t="n"/>
      <c r="X31" s="364" t="n"/>
      <c r="Y31" s="364" t="n"/>
      <c r="Z31" s="364" t="n"/>
      <c r="AA31" s="364" t="n"/>
      <c r="AB31" s="364" t="n"/>
      <c r="AC31" s="364" t="n"/>
      <c r="AD31" s="359" t="n"/>
      <c r="AE31" s="364" t="n"/>
      <c r="AF31" s="364" t="n"/>
      <c r="AG31" s="364" t="n"/>
      <c r="AH31" s="364" t="n"/>
      <c r="AI31" s="359" t="n"/>
      <c r="AJ31" s="359" t="n"/>
      <c r="AK31" s="359" t="n"/>
      <c r="AL31" s="7" t="n"/>
      <c r="AM31" s="359" t="n"/>
      <c r="AN31" s="359" t="n"/>
      <c r="AO31" s="359" t="n"/>
    </row>
    <row r="32" ht="26.25" customFormat="1" customHeight="1" s="359">
      <c r="A32" s="364" t="inlineStr">
        <is>
          <t>同创汇</t>
        </is>
      </c>
      <c r="B32" s="364" t="inlineStr">
        <is>
          <t>一期</t>
        </is>
      </c>
      <c r="C32" s="364" t="n">
        <v>3132869</v>
      </c>
      <c r="D32" s="364" t="inlineStr">
        <is>
          <t>15:50-18:00</t>
        </is>
      </c>
      <c r="E32" s="364" t="inlineStr">
        <is>
          <t>潜能班</t>
        </is>
      </c>
      <c r="F32" s="364" t="inlineStr">
        <is>
          <t>刘玺君</t>
        </is>
      </c>
      <c r="G32" s="364" t="inlineStr">
        <is>
          <t>高心怡04</t>
        </is>
      </c>
      <c r="H32" s="364" t="inlineStr">
        <is>
          <t>黄铭怡</t>
        </is>
      </c>
      <c r="I32" s="364" t="inlineStr">
        <is>
          <t>陈中帅</t>
        </is>
      </c>
      <c r="J32" s="364" t="inlineStr">
        <is>
          <t>熊天宝01</t>
        </is>
      </c>
      <c r="K32" s="364" t="n"/>
      <c r="L32" s="364" t="n"/>
      <c r="M32" s="364" t="n"/>
      <c r="N32" s="364" t="n"/>
      <c r="O32" s="364" t="n"/>
      <c r="P32" s="364" t="n"/>
      <c r="Q32" s="364" t="n"/>
      <c r="R32" s="364" t="n"/>
      <c r="S32" s="364" t="n"/>
      <c r="T32" s="364" t="n"/>
      <c r="U32" s="364" t="n"/>
      <c r="V32" s="364" t="n"/>
      <c r="W32" s="364" t="n"/>
      <c r="X32" s="364" t="n"/>
      <c r="Y32" s="364" t="n"/>
      <c r="Z32" s="364" t="n"/>
      <c r="AA32" s="364" t="n"/>
      <c r="AB32" s="364" t="n"/>
      <c r="AC32" s="364" t="n"/>
      <c r="AD32" s="359" t="n"/>
      <c r="AE32" s="364" t="n"/>
      <c r="AF32" s="364" t="n"/>
      <c r="AG32" s="364" t="n"/>
      <c r="AH32" s="364" t="n"/>
      <c r="AI32" s="359" t="n"/>
      <c r="AJ32" s="359" t="n"/>
      <c r="AK32" s="359" t="n"/>
      <c r="AL32" s="7" t="n"/>
      <c r="AM32" s="359" t="n"/>
      <c r="AN32" s="359" t="n"/>
      <c r="AO32" s="359" t="n"/>
    </row>
    <row r="33" ht="26.25" customFormat="1" customHeight="1" s="359">
      <c r="A33" s="364" t="inlineStr">
        <is>
          <t>同创汇</t>
        </is>
      </c>
      <c r="B33" s="364" t="inlineStr">
        <is>
          <t>一期</t>
        </is>
      </c>
      <c r="C33" s="364" t="n">
        <v>3132869</v>
      </c>
      <c r="D33" s="364" t="inlineStr">
        <is>
          <t>15:50-18:00</t>
        </is>
      </c>
      <c r="E33" s="364" t="inlineStr">
        <is>
          <t>潜能班</t>
        </is>
      </c>
      <c r="F33" s="364" t="inlineStr">
        <is>
          <t>叶蓉臻</t>
        </is>
      </c>
      <c r="G33" s="364" t="inlineStr">
        <is>
          <t>高心怡04</t>
        </is>
      </c>
      <c r="H33" s="364" t="inlineStr">
        <is>
          <t>黄铭怡</t>
        </is>
      </c>
      <c r="I33" s="364" t="inlineStr">
        <is>
          <t>陈中帅</t>
        </is>
      </c>
      <c r="J33" s="364" t="inlineStr">
        <is>
          <t>戎凯01</t>
        </is>
      </c>
      <c r="K33" s="364" t="inlineStr">
        <is>
          <t>育才</t>
        </is>
      </c>
      <c r="L33" s="364" t="inlineStr">
        <is>
          <t>育才直升</t>
        </is>
      </c>
      <c r="M33" s="364" t="inlineStr">
        <is>
          <t>需要盯着，需要压力</t>
        </is>
      </c>
      <c r="N33" s="364" t="inlineStr">
        <is>
          <t>全方面，既要衔接，也要提升知识点</t>
        </is>
      </c>
      <c r="O33" s="924" t="inlineStr">
        <is>
          <t>不聪明但勤奋，家长建议逼迫
家长要求严格，KET考了两次过
妈妈是幼师</t>
        </is>
      </c>
      <c r="P33" s="364" t="inlineStr">
        <is>
          <t>95-97</t>
        </is>
      </c>
      <c r="Q33" s="364" t="n"/>
      <c r="R33" s="364" t="n"/>
      <c r="S33" s="364" t="n"/>
      <c r="T33" s="364" t="n"/>
      <c r="U33" s="364" t="n"/>
      <c r="V33" s="364" t="n"/>
      <c r="W33" s="364" t="n"/>
      <c r="X33" s="364" t="n"/>
      <c r="Y33" s="364" t="n"/>
      <c r="Z33" s="364" t="n"/>
      <c r="AA33" s="364" t="n"/>
      <c r="AB33" s="364" t="n"/>
      <c r="AC33" s="364" t="n"/>
      <c r="AD33" s="359" t="n"/>
      <c r="AE33" s="364" t="n"/>
      <c r="AF33" s="364" t="n"/>
      <c r="AG33" s="364" t="n"/>
      <c r="AH33" s="364" t="n"/>
      <c r="AI33" s="359" t="n"/>
      <c r="AJ33" s="359" t="n"/>
      <c r="AK33" s="359" t="n"/>
      <c r="AL33" s="7" t="n"/>
      <c r="AM33" s="359" t="n"/>
      <c r="AN33" s="359" t="n"/>
      <c r="AO33" s="359" t="n"/>
    </row>
    <row r="34" ht="26.25" customFormat="1" customHeight="1" s="359">
      <c r="A34" s="365" t="inlineStr">
        <is>
          <t>同创汇</t>
        </is>
      </c>
      <c r="B34" s="365" t="inlineStr">
        <is>
          <t>一期</t>
        </is>
      </c>
      <c r="C34" s="365" t="n">
        <v>3132869</v>
      </c>
      <c r="D34" s="365" t="inlineStr">
        <is>
          <t>15:50-18:00</t>
        </is>
      </c>
      <c r="E34" s="365" t="inlineStr">
        <is>
          <t>潜能班</t>
        </is>
      </c>
      <c r="F34" s="365" t="inlineStr">
        <is>
          <t>吴钦霖</t>
        </is>
      </c>
      <c r="G34" s="365" t="inlineStr">
        <is>
          <t>高心怡04</t>
        </is>
      </c>
      <c r="H34" s="365" t="n"/>
      <c r="I34" s="365" t="n"/>
      <c r="J34" s="365" t="inlineStr">
        <is>
          <t>苏丽婷</t>
        </is>
      </c>
      <c r="K34" s="365" t="n"/>
      <c r="L34" s="365" t="n"/>
      <c r="M34" s="365" t="n"/>
      <c r="N34" s="365" t="n"/>
      <c r="O34" s="365" t="n"/>
      <c r="P34" s="365" t="n"/>
      <c r="Q34" s="365" t="n"/>
      <c r="R34" s="365" t="n"/>
      <c r="S34" s="365" t="n"/>
      <c r="T34" s="365" t="n"/>
      <c r="U34" s="365" t="n"/>
      <c r="V34" s="365" t="n"/>
      <c r="W34" s="365" t="n"/>
      <c r="X34" s="365" t="n"/>
      <c r="Y34" s="365" t="n"/>
      <c r="Z34" s="365" t="n"/>
      <c r="AA34" s="365" t="n"/>
      <c r="AB34" s="365" t="n"/>
      <c r="AC34" s="365" t="n"/>
      <c r="AD34" s="359" t="n"/>
      <c r="AE34" s="365" t="n"/>
      <c r="AF34" s="365" t="n"/>
      <c r="AG34" s="365" t="n"/>
      <c r="AH34" s="365" t="n"/>
      <c r="AI34" s="359" t="n"/>
      <c r="AJ34" s="359" t="n"/>
      <c r="AK34" s="359" t="n"/>
      <c r="AL34" s="7" t="n"/>
      <c r="AM34" s="359" t="n"/>
      <c r="AN34" s="359" t="n"/>
      <c r="AO34" s="359" t="n"/>
    </row>
    <row r="35" ht="26.25" customFormat="1" customHeight="1" s="359">
      <c r="A35" s="364" t="inlineStr">
        <is>
          <t>同创汇</t>
        </is>
      </c>
      <c r="B35" s="364" t="inlineStr">
        <is>
          <t>一期</t>
        </is>
      </c>
      <c r="C35" s="364" t="n">
        <v>3132869</v>
      </c>
      <c r="D35" s="364" t="inlineStr">
        <is>
          <t>15:50-18:00</t>
        </is>
      </c>
      <c r="E35" s="364" t="inlineStr">
        <is>
          <t>潜能班</t>
        </is>
      </c>
      <c r="F35" s="364" t="inlineStr">
        <is>
          <t>周芷羽</t>
        </is>
      </c>
      <c r="G35" s="364" t="inlineStr">
        <is>
          <t>高心怡04</t>
        </is>
      </c>
      <c r="H35" s="364" t="inlineStr">
        <is>
          <t>黄铭怡</t>
        </is>
      </c>
      <c r="I35" s="364" t="inlineStr">
        <is>
          <t>陈中帅</t>
        </is>
      </c>
      <c r="J35" s="364" t="inlineStr">
        <is>
          <t>戎凯01</t>
        </is>
      </c>
      <c r="K35" s="364" t="n"/>
      <c r="L35" s="364" t="n"/>
      <c r="M35" s="364" t="n"/>
      <c r="N35" s="364" t="inlineStr">
        <is>
          <t>解决不自觉</t>
        </is>
      </c>
      <c r="O35" s="925" t="inlineStr">
        <is>
          <t>英语以前上过新东方
但是学过KET，没考过</t>
        </is>
      </c>
      <c r="P35" s="364" t="n">
        <v>91</v>
      </c>
      <c r="Q35" s="364" t="n"/>
      <c r="R35" s="364" t="n"/>
      <c r="S35" s="364" t="n"/>
      <c r="T35" s="364" t="n"/>
      <c r="U35" s="364" t="n"/>
      <c r="V35" s="364" t="n"/>
      <c r="W35" s="364" t="n"/>
      <c r="X35" s="364" t="n"/>
      <c r="Y35" s="364" t="n"/>
      <c r="Z35" s="364" t="n"/>
      <c r="AA35" s="364" t="n"/>
      <c r="AB35" s="364" t="n"/>
      <c r="AC35" s="364" t="n"/>
      <c r="AD35" s="359" t="n"/>
      <c r="AE35" s="364" t="n"/>
      <c r="AF35" s="364" t="n"/>
      <c r="AG35" s="364" t="n"/>
      <c r="AH35" s="364" t="n"/>
      <c r="AI35" s="359" t="n"/>
      <c r="AJ35" s="359" t="n"/>
      <c r="AK35" s="359" t="n"/>
      <c r="AL35" s="119" t="n"/>
      <c r="AM35" s="359" t="n"/>
      <c r="AN35" s="359" t="n"/>
      <c r="AO35" s="359" t="n"/>
    </row>
    <row r="36" ht="26.25" customFormat="1" customHeight="1" s="359">
      <c r="A36" s="364" t="inlineStr">
        <is>
          <t>同创汇</t>
        </is>
      </c>
      <c r="B36" s="364" t="inlineStr">
        <is>
          <t>一期</t>
        </is>
      </c>
      <c r="C36" s="364" t="n">
        <v>3132869</v>
      </c>
      <c r="D36" s="364" t="inlineStr">
        <is>
          <t>15:50-18:00</t>
        </is>
      </c>
      <c r="E36" s="364" t="inlineStr">
        <is>
          <t>潜能班</t>
        </is>
      </c>
      <c r="F36" s="364" t="inlineStr">
        <is>
          <t>张睿沂</t>
        </is>
      </c>
      <c r="G36" s="364" t="inlineStr">
        <is>
          <t>高心怡04</t>
        </is>
      </c>
      <c r="H36" s="364" t="inlineStr">
        <is>
          <t>黄铭怡</t>
        </is>
      </c>
      <c r="I36" s="364" t="inlineStr">
        <is>
          <t>陈中帅</t>
        </is>
      </c>
      <c r="J36" s="364" t="inlineStr">
        <is>
          <t>王丽</t>
        </is>
      </c>
      <c r="K36" s="364" t="inlineStr">
        <is>
          <t>先烈东</t>
        </is>
      </c>
      <c r="L36" s="364" t="inlineStr">
        <is>
          <t>75中直升</t>
        </is>
      </c>
      <c r="M36" s="364" t="inlineStr">
        <is>
          <t>用托管去管，比较自觉，家长面前比较叛逆</t>
        </is>
      </c>
      <c r="N36" s="364" t="inlineStr">
        <is>
          <t>衔接，学好英语，吧基础打上来，期待改正学习态度</t>
        </is>
      </c>
      <c r="O36" s="364" t="inlineStr">
        <is>
          <t>托管，以前从来不补习</t>
        </is>
      </c>
      <c r="P36" s="364" t="inlineStr">
        <is>
          <t>平时80-90，期末：90</t>
        </is>
      </c>
      <c r="Q36" s="364" t="n"/>
      <c r="R36" s="364" t="n"/>
      <c r="S36" s="364" t="n"/>
      <c r="T36" s="364" t="n"/>
      <c r="U36" s="364" t="n"/>
      <c r="V36" s="364" t="n"/>
      <c r="W36" s="364" t="n"/>
      <c r="X36" s="364" t="n"/>
      <c r="Y36" s="364" t="n"/>
      <c r="Z36" s="364" t="n"/>
      <c r="AA36" s="364" t="n"/>
      <c r="AB36" s="364" t="n"/>
      <c r="AC36" s="364" t="n"/>
      <c r="AD36" s="359" t="n"/>
      <c r="AE36" s="364" t="n"/>
      <c r="AF36" s="364" t="n"/>
      <c r="AG36" s="364" t="n"/>
      <c r="AH36" s="364" t="n"/>
      <c r="AI36" s="359" t="n"/>
      <c r="AJ36" s="359" t="n"/>
      <c r="AK36" s="359" t="n"/>
      <c r="AL36" s="119" t="n"/>
      <c r="AM36" s="359" t="n"/>
      <c r="AN36" s="359" t="n"/>
      <c r="AO36" s="359" t="n"/>
    </row>
    <row r="37" ht="26.25" customFormat="1" customHeight="1" s="359">
      <c r="A37" s="364" t="inlineStr">
        <is>
          <t>同创汇</t>
        </is>
      </c>
      <c r="B37" s="364" t="inlineStr">
        <is>
          <t>一期</t>
        </is>
      </c>
      <c r="C37" s="364" t="n">
        <v>3132869</v>
      </c>
      <c r="D37" s="364" t="inlineStr">
        <is>
          <t>15:50-18:00</t>
        </is>
      </c>
      <c r="E37" s="364" t="inlineStr">
        <is>
          <t>潜能班</t>
        </is>
      </c>
      <c r="F37" s="364" t="inlineStr">
        <is>
          <t>李佳倩</t>
        </is>
      </c>
      <c r="G37" s="364" t="inlineStr">
        <is>
          <t>高心怡04</t>
        </is>
      </c>
      <c r="H37" s="364" t="inlineStr">
        <is>
          <t>李润</t>
        </is>
      </c>
      <c r="I37" s="364" t="inlineStr">
        <is>
          <t>陈中帅</t>
        </is>
      </c>
      <c r="J37" s="364" t="inlineStr">
        <is>
          <t>戎凯01</t>
        </is>
      </c>
      <c r="K37" s="364" t="inlineStr">
        <is>
          <t>东风东</t>
        </is>
      </c>
      <c r="L37" s="364" t="inlineStr">
        <is>
          <t>等摇号</t>
        </is>
      </c>
      <c r="M37" s="364" t="inlineStr">
        <is>
          <t>背单词需要</t>
        </is>
      </c>
      <c r="N37" s="364" t="inlineStr">
        <is>
          <t>衔接</t>
        </is>
      </c>
      <c r="O37" s="926" t="inlineStr">
        <is>
          <t>笔记认真
背单词报了高徒英语的专门词汇课，
每周三次课，30分钟一节，APP打卡单词
。有上线上一对一外教
K/P</t>
        </is>
      </c>
      <c r="P37" s="364" t="n">
        <v>90</v>
      </c>
      <c r="Q37" s="364" t="n">
        <v>33</v>
      </c>
      <c r="R37" s="364" t="n"/>
      <c r="S37" s="364" t="n"/>
      <c r="T37" s="364" t="inlineStr">
        <is>
          <t>是</t>
        </is>
      </c>
      <c r="U37" s="364" t="n"/>
      <c r="V37" s="364" t="inlineStr">
        <is>
          <t>是</t>
        </is>
      </c>
      <c r="W37" s="364" t="n"/>
      <c r="X37" s="364" t="n"/>
      <c r="Y37" s="364" t="n"/>
      <c r="Z37" s="339" t="inlineStr">
        <is>
          <t>是</t>
        </is>
      </c>
      <c r="AA37" s="339" t="inlineStr">
        <is>
          <t>是</t>
        </is>
      </c>
      <c r="AB37" s="364" t="n"/>
      <c r="AC37" s="364" t="n"/>
      <c r="AD37" s="359" t="n"/>
      <c r="AE37" s="364" t="n"/>
      <c r="AF37" s="364" t="n"/>
      <c r="AG37" s="364" t="n"/>
      <c r="AH37" s="364" t="n"/>
      <c r="AI37" s="359" t="n"/>
      <c r="AJ37" s="359" t="n"/>
      <c r="AK37" s="359" t="n"/>
      <c r="AL37" s="119" t="n"/>
      <c r="AM37" s="359" t="n"/>
      <c r="AN37" s="359" t="n"/>
      <c r="AO37" s="359" t="n"/>
    </row>
    <row r="38" ht="26.25" customFormat="1" customHeight="1" s="359">
      <c r="A38" s="364" t="inlineStr">
        <is>
          <t>同创汇</t>
        </is>
      </c>
      <c r="B38" s="364" t="inlineStr">
        <is>
          <t>一期</t>
        </is>
      </c>
      <c r="C38" s="364" t="n">
        <v>3132869</v>
      </c>
      <c r="D38" s="364" t="inlineStr">
        <is>
          <t>15:50-18:00</t>
        </is>
      </c>
      <c r="E38" s="364" t="inlineStr">
        <is>
          <t>潜能班</t>
        </is>
      </c>
      <c r="F38" s="364" t="inlineStr">
        <is>
          <t>李子骞</t>
        </is>
      </c>
      <c r="G38" s="364" t="inlineStr">
        <is>
          <t>高心怡04</t>
        </is>
      </c>
      <c r="H38" s="364" t="inlineStr">
        <is>
          <t>黄铭怡</t>
        </is>
      </c>
      <c r="I38" s="364" t="inlineStr">
        <is>
          <t>陈中帅</t>
        </is>
      </c>
      <c r="J38" s="364" t="inlineStr">
        <is>
          <t>王丽</t>
        </is>
      </c>
      <c r="K38" s="364" t="n"/>
      <c r="L38" s="364" t="n"/>
      <c r="M38" s="364" t="n"/>
      <c r="N38" s="364" t="n"/>
      <c r="O38" s="364" t="n"/>
      <c r="P38" s="364" t="n">
        <v>90</v>
      </c>
      <c r="Q38" s="364" t="n">
        <v>41</v>
      </c>
      <c r="R38" s="364" t="n"/>
      <c r="S38" s="364" t="n"/>
      <c r="T38" s="364" t="n"/>
      <c r="U38" s="364" t="n"/>
      <c r="V38" s="364" t="n"/>
      <c r="W38" s="364" t="n"/>
      <c r="X38" s="364" t="n"/>
      <c r="Y38" s="364" t="n"/>
      <c r="Z38" s="364" t="n"/>
      <c r="AA38" s="364" t="n"/>
      <c r="AB38" s="364" t="n"/>
      <c r="AC38" s="364" t="n"/>
      <c r="AD38" s="359" t="n"/>
      <c r="AE38" s="364" t="n"/>
      <c r="AF38" s="364" t="n"/>
      <c r="AG38" s="364" t="n"/>
      <c r="AH38" s="364" t="n"/>
      <c r="AI38" s="359" t="n"/>
      <c r="AJ38" s="359" t="n"/>
      <c r="AK38" s="359" t="n"/>
      <c r="AL38" s="119" t="n"/>
      <c r="AM38" s="359" t="n"/>
      <c r="AN38" s="359" t="n"/>
      <c r="AO38" s="359" t="n"/>
    </row>
    <row r="39" ht="26.25" customFormat="1" customHeight="1" s="359">
      <c r="A39" s="364" t="inlineStr">
        <is>
          <t>同创汇</t>
        </is>
      </c>
      <c r="B39" s="364" t="inlineStr">
        <is>
          <t>一期</t>
        </is>
      </c>
      <c r="C39" s="364" t="n">
        <v>3132869</v>
      </c>
      <c r="D39" s="364" t="inlineStr">
        <is>
          <t>15:50-18:00</t>
        </is>
      </c>
      <c r="E39" s="364" t="inlineStr">
        <is>
          <t>潜能班</t>
        </is>
      </c>
      <c r="F39" s="364" t="inlineStr">
        <is>
          <t>林烨</t>
        </is>
      </c>
      <c r="G39" s="364" t="inlineStr">
        <is>
          <t>高心怡04</t>
        </is>
      </c>
      <c r="H39" s="364" t="inlineStr">
        <is>
          <t>黄铭怡</t>
        </is>
      </c>
      <c r="I39" s="364" t="inlineStr">
        <is>
          <t>陈中帅</t>
        </is>
      </c>
      <c r="J39" s="364" t="inlineStr">
        <is>
          <t>戎凯01</t>
        </is>
      </c>
      <c r="K39" s="364" t="n"/>
      <c r="L39" s="364" t="n"/>
      <c r="M39" s="364" t="n"/>
      <c r="N39" s="364" t="n"/>
      <c r="O39" s="364" t="n"/>
      <c r="P39" s="364" t="inlineStr">
        <is>
          <t>90+</t>
        </is>
      </c>
      <c r="Q39" s="364" t="n"/>
      <c r="R39" s="364" t="n"/>
      <c r="S39" s="364" t="n"/>
      <c r="T39" s="364" t="n"/>
      <c r="U39" s="364" t="n"/>
      <c r="V39" s="364" t="n"/>
      <c r="W39" s="364" t="n"/>
      <c r="X39" s="364" t="n"/>
      <c r="Y39" s="364" t="n"/>
      <c r="Z39" s="364" t="n"/>
      <c r="AA39" s="364" t="n"/>
      <c r="AB39" s="364" t="n"/>
      <c r="AC39" s="364" t="n"/>
      <c r="AD39" s="359" t="n"/>
      <c r="AE39" s="364" t="n"/>
      <c r="AF39" s="364" t="n"/>
      <c r="AG39" s="364" t="n"/>
      <c r="AH39" s="364" t="n"/>
      <c r="AI39" s="359" t="n"/>
      <c r="AJ39" s="359" t="n"/>
      <c r="AK39" s="359" t="n"/>
      <c r="AL39" s="119" t="n"/>
      <c r="AM39" s="359" t="n"/>
      <c r="AN39" s="359" t="n"/>
      <c r="AO39" s="359" t="n"/>
    </row>
    <row r="40" ht="26.25" customFormat="1" customHeight="1" s="359">
      <c r="A40" s="364" t="inlineStr">
        <is>
          <t>同创汇</t>
        </is>
      </c>
      <c r="B40" s="364" t="inlineStr">
        <is>
          <t>一期</t>
        </is>
      </c>
      <c r="C40" s="364" t="n">
        <v>3132869</v>
      </c>
      <c r="D40" s="364" t="inlineStr">
        <is>
          <t>15:50-18:00</t>
        </is>
      </c>
      <c r="E40" s="364" t="inlineStr">
        <is>
          <t>潜能班</t>
        </is>
      </c>
      <c r="F40" s="364" t="inlineStr">
        <is>
          <t>梁靖晓</t>
        </is>
      </c>
      <c r="G40" s="364" t="inlineStr">
        <is>
          <t>高心怡04</t>
        </is>
      </c>
      <c r="H40" s="364" t="inlineStr">
        <is>
          <t>黄铭怡</t>
        </is>
      </c>
      <c r="I40" s="364" t="inlineStr">
        <is>
          <t>陈中帅</t>
        </is>
      </c>
      <c r="J40" s="364" t="inlineStr">
        <is>
          <t>戎凯01</t>
        </is>
      </c>
      <c r="K40" s="364" t="inlineStr">
        <is>
          <t>大沙头</t>
        </is>
      </c>
      <c r="L40" s="927" t="inlineStr">
        <is>
          <t>培正，十三
等摇号</t>
        </is>
      </c>
      <c r="M40" s="928" t="inlineStr">
        <is>
          <t>不自觉，但是家长也不盯着
但是作业会做完
懒，不想多学</t>
        </is>
      </c>
      <c r="N40" s="364" t="inlineStr">
        <is>
          <t>强化语法</t>
        </is>
      </c>
      <c r="O40" s="929" t="inlineStr">
        <is>
          <t>笔记不全，小时候上过启蒙英语
数学上到四年级，猿辅导
数学多做题有90+</t>
        </is>
      </c>
      <c r="P40" s="364" t="inlineStr">
        <is>
          <t>80-90</t>
        </is>
      </c>
      <c r="Q40" s="364" t="n"/>
      <c r="R40" s="364" t="n"/>
      <c r="S40" s="364" t="n"/>
      <c r="T40" s="364" t="n"/>
      <c r="U40" s="364" t="n"/>
      <c r="V40" s="364" t="n"/>
      <c r="W40" s="364" t="n"/>
      <c r="X40" s="364" t="n"/>
      <c r="Y40" s="364" t="n"/>
      <c r="Z40" s="364" t="n"/>
      <c r="AA40" s="364" t="n"/>
      <c r="AB40" s="364" t="n"/>
      <c r="AC40" s="364" t="n"/>
      <c r="AD40" s="359" t="n"/>
      <c r="AE40" s="364" t="n"/>
      <c r="AF40" s="364" t="n"/>
      <c r="AG40" s="364" t="n"/>
      <c r="AH40" s="364" t="n"/>
      <c r="AI40" s="359" t="n"/>
      <c r="AJ40" s="359" t="n"/>
      <c r="AK40" s="359" t="n"/>
      <c r="AL40" s="281" t="n"/>
      <c r="AM40" s="359" t="n"/>
      <c r="AN40" s="359" t="n"/>
      <c r="AO40" s="359" t="n"/>
    </row>
    <row r="41" ht="26.25" customFormat="1" customHeight="1" s="359">
      <c r="A41" s="364" t="inlineStr">
        <is>
          <t>同创汇</t>
        </is>
      </c>
      <c r="B41" s="364" t="inlineStr">
        <is>
          <t>一期</t>
        </is>
      </c>
      <c r="C41" s="364" t="n">
        <v>3132869</v>
      </c>
      <c r="D41" s="364" t="inlineStr">
        <is>
          <t>15:50-18:00</t>
        </is>
      </c>
      <c r="E41" s="364" t="inlineStr">
        <is>
          <t>潜能班</t>
        </is>
      </c>
      <c r="F41" s="364" t="inlineStr">
        <is>
          <t>海洋</t>
        </is>
      </c>
      <c r="G41" s="364" t="inlineStr">
        <is>
          <t>高心怡04</t>
        </is>
      </c>
      <c r="H41" s="364" t="inlineStr">
        <is>
          <t>黄铭怡</t>
        </is>
      </c>
      <c r="I41" s="364" t="inlineStr">
        <is>
          <t>陈中帅</t>
        </is>
      </c>
      <c r="J41" s="364" t="inlineStr">
        <is>
          <t>戎凯01</t>
        </is>
      </c>
      <c r="K41" s="364" t="n"/>
      <c r="L41" s="364" t="n"/>
      <c r="M41" s="364" t="n"/>
      <c r="N41" s="364" t="n"/>
      <c r="O41" s="364" t="n"/>
      <c r="P41" s="364" t="n"/>
      <c r="Q41" s="364" t="n"/>
      <c r="R41" s="364" t="n"/>
      <c r="S41" s="364" t="n"/>
      <c r="T41" s="364" t="n"/>
      <c r="U41" s="364" t="n"/>
      <c r="V41" s="364" t="n"/>
      <c r="W41" s="364" t="n"/>
      <c r="X41" s="364" t="n"/>
      <c r="Y41" s="364" t="n"/>
      <c r="Z41" s="364" t="n"/>
      <c r="AA41" s="364" t="n"/>
      <c r="AB41" s="364" t="n"/>
      <c r="AC41" s="364" t="n"/>
      <c r="AD41" s="359" t="n"/>
      <c r="AE41" s="364" t="n"/>
      <c r="AF41" s="364" t="n"/>
      <c r="AG41" s="364" t="n"/>
      <c r="AH41" s="364" t="n"/>
      <c r="AI41" s="359" t="n"/>
      <c r="AJ41" s="359" t="n"/>
      <c r="AK41" s="359" t="n"/>
      <c r="AL41" s="281" t="n"/>
      <c r="AM41" s="359" t="n"/>
      <c r="AN41" s="359" t="n"/>
      <c r="AO41" s="359" t="n"/>
    </row>
    <row r="42" ht="26.25" customFormat="1" customHeight="1" s="359">
      <c r="A42" s="364" t="inlineStr">
        <is>
          <t>同创汇</t>
        </is>
      </c>
      <c r="B42" s="364" t="inlineStr">
        <is>
          <t>一期</t>
        </is>
      </c>
      <c r="C42" s="364" t="n">
        <v>3132869</v>
      </c>
      <c r="D42" s="364" t="inlineStr">
        <is>
          <t>15:50-18:00</t>
        </is>
      </c>
      <c r="E42" s="364" t="inlineStr">
        <is>
          <t>潜能班</t>
        </is>
      </c>
      <c r="F42" s="364" t="inlineStr">
        <is>
          <t>邱子轩</t>
        </is>
      </c>
      <c r="G42" s="364" t="inlineStr">
        <is>
          <t>高心怡04</t>
        </is>
      </c>
      <c r="H42" s="364" t="inlineStr">
        <is>
          <t>黄铭怡</t>
        </is>
      </c>
      <c r="I42" s="364" t="inlineStr">
        <is>
          <t>陈中帅</t>
        </is>
      </c>
      <c r="J42" s="364" t="inlineStr">
        <is>
          <t>戎凯01</t>
        </is>
      </c>
      <c r="K42" s="364" t="n"/>
      <c r="L42" s="364" t="n"/>
      <c r="M42" s="930" t="inlineStr">
        <is>
          <t>不愿意多做多写
只喜欢完成作业
但是对英语并不排除</t>
        </is>
      </c>
      <c r="N42" s="931" t="inlineStr">
        <is>
          <t>打基础为主
也希望能拔高
单词记忆是重点</t>
        </is>
      </c>
      <c r="O42" s="364" t="inlineStr">
        <is>
          <t>没有上过英语的补习拓展和补习</t>
        </is>
      </c>
      <c r="P42" s="364" t="inlineStr">
        <is>
          <t>A, 85-90</t>
        </is>
      </c>
      <c r="Q42" s="364" t="n"/>
      <c r="R42" s="364" t="n"/>
      <c r="S42" s="364" t="n"/>
      <c r="T42" s="364" t="n"/>
      <c r="U42" s="364" t="n"/>
      <c r="V42" s="364" t="n"/>
      <c r="W42" s="364" t="n"/>
      <c r="X42" s="364" t="n"/>
      <c r="Y42" s="364" t="n"/>
      <c r="Z42" s="364" t="n"/>
      <c r="AA42" s="364" t="n"/>
      <c r="AB42" s="364" t="n"/>
      <c r="AC42" s="364" t="n"/>
      <c r="AD42" s="359" t="n"/>
      <c r="AE42" s="364" t="n"/>
      <c r="AF42" s="364" t="n"/>
      <c r="AG42" s="364" t="n"/>
      <c r="AH42" s="364" t="n"/>
      <c r="AI42" s="359" t="n"/>
      <c r="AJ42" s="359" t="n"/>
      <c r="AK42" s="359" t="n"/>
      <c r="AL42" s="281" t="n"/>
      <c r="AM42" s="359" t="n"/>
      <c r="AN42" s="359" t="n"/>
      <c r="AO42" s="359" t="n"/>
    </row>
    <row r="43" ht="26.25" customFormat="1" customHeight="1" s="359">
      <c r="A43" s="364" t="inlineStr">
        <is>
          <t>同创汇</t>
        </is>
      </c>
      <c r="B43" s="364" t="inlineStr">
        <is>
          <t>一期</t>
        </is>
      </c>
      <c r="C43" s="364" t="n">
        <v>3132869</v>
      </c>
      <c r="D43" s="364" t="inlineStr">
        <is>
          <t>15:50-18:00</t>
        </is>
      </c>
      <c r="E43" s="364" t="inlineStr">
        <is>
          <t>潜能班</t>
        </is>
      </c>
      <c r="F43" s="364" t="inlineStr">
        <is>
          <t>陈秉谦</t>
        </is>
      </c>
      <c r="G43" s="364" t="inlineStr">
        <is>
          <t>高心怡04</t>
        </is>
      </c>
      <c r="H43" s="364" t="inlineStr">
        <is>
          <t>黄铭怡</t>
        </is>
      </c>
      <c r="I43" s="364" t="n"/>
      <c r="J43" s="364" t="inlineStr">
        <is>
          <t>戎凯01</t>
        </is>
      </c>
      <c r="K43" s="364" t="inlineStr">
        <is>
          <t>育才</t>
        </is>
      </c>
      <c r="L43" s="364" t="inlineStr">
        <is>
          <t>育才重点班</t>
        </is>
      </c>
      <c r="M43" s="364" t="inlineStr">
        <is>
          <t>自觉</t>
        </is>
      </c>
      <c r="N43" s="364"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4" t="inlineStr">
        <is>
          <t>在上线上猿辅导</t>
        </is>
      </c>
      <c r="P43" s="364" t="n">
        <v>94</v>
      </c>
      <c r="Q43" s="364" t="n"/>
      <c r="R43" s="364" t="n"/>
      <c r="S43" s="364" t="n"/>
      <c r="T43" s="364" t="n"/>
      <c r="U43" s="364" t="n"/>
      <c r="V43" s="364" t="n"/>
      <c r="W43" s="364" t="n"/>
      <c r="X43" s="364" t="n"/>
      <c r="Y43" s="364" t="n"/>
      <c r="Z43" s="364" t="n"/>
      <c r="AA43" s="364" t="n"/>
      <c r="AB43" s="364" t="n"/>
      <c r="AC43" s="364" t="n"/>
      <c r="AD43" s="359" t="n"/>
      <c r="AE43" s="364" t="n"/>
      <c r="AF43" s="364" t="n"/>
      <c r="AG43" s="364" t="n"/>
      <c r="AH43" s="364" t="n"/>
      <c r="AI43" s="359" t="n"/>
      <c r="AJ43" s="359" t="n"/>
      <c r="AK43" s="359" t="n"/>
      <c r="AL43" s="281" t="n"/>
      <c r="AM43" s="359" t="n"/>
      <c r="AN43" s="359" t="n"/>
      <c r="AO43" s="359" t="n"/>
    </row>
    <row r="44" ht="26.25" customFormat="1" customHeight="1" s="359">
      <c r="A44" s="364" t="inlineStr">
        <is>
          <t>同创汇</t>
        </is>
      </c>
      <c r="B44" s="364" t="inlineStr">
        <is>
          <t>一期</t>
        </is>
      </c>
      <c r="C44" s="364" t="n">
        <v>3132869</v>
      </c>
      <c r="D44" s="364" t="inlineStr">
        <is>
          <t>15:50-18:00</t>
        </is>
      </c>
      <c r="E44" s="364" t="inlineStr">
        <is>
          <t>潜能班</t>
        </is>
      </c>
      <c r="F44" s="364" t="inlineStr">
        <is>
          <t>陈骏骁</t>
        </is>
      </c>
      <c r="G44" s="364" t="inlineStr">
        <is>
          <t>高心怡04</t>
        </is>
      </c>
      <c r="H44" s="364" t="inlineStr">
        <is>
          <t>黄铭怡</t>
        </is>
      </c>
      <c r="I44" s="364" t="inlineStr">
        <is>
          <t>陈中帅</t>
        </is>
      </c>
      <c r="J44" s="364" t="inlineStr">
        <is>
          <t>熊天宝01</t>
        </is>
      </c>
      <c r="K44" s="364" t="n"/>
      <c r="L44" s="364" t="n"/>
      <c r="M44" s="364" t="n"/>
      <c r="N44" s="364" t="n"/>
      <c r="O44" s="364" t="n"/>
      <c r="P44" s="364" t="n"/>
      <c r="Q44" s="364" t="n"/>
      <c r="R44" s="364" t="n"/>
      <c r="S44" s="364" t="n"/>
      <c r="T44" s="364" t="n"/>
      <c r="U44" s="364" t="n"/>
      <c r="V44" s="364" t="n"/>
      <c r="W44" s="364" t="n"/>
      <c r="X44" s="364" t="n"/>
      <c r="Y44" s="364" t="n"/>
      <c r="Z44" s="364" t="n"/>
      <c r="AA44" s="364" t="n"/>
      <c r="AB44" s="364" t="n"/>
      <c r="AC44" s="364" t="n"/>
      <c r="AD44" s="359" t="n"/>
      <c r="AE44" s="364" t="n"/>
      <c r="AF44" s="364" t="n"/>
      <c r="AG44" s="364" t="n"/>
      <c r="AH44" s="364" t="n"/>
      <c r="AI44" s="359" t="n"/>
      <c r="AJ44" s="359" t="n"/>
      <c r="AK44" s="359" t="n"/>
      <c r="AL44" s="281" t="n"/>
      <c r="AM44" s="359" t="n"/>
      <c r="AN44" s="359" t="n"/>
      <c r="AO44" s="359" t="n"/>
    </row>
    <row r="45" ht="26.25" customFormat="1" customHeight="1" s="359">
      <c r="A45" s="364" t="inlineStr">
        <is>
          <t>同创汇</t>
        </is>
      </c>
      <c r="B45" s="364" t="inlineStr">
        <is>
          <t>一期</t>
        </is>
      </c>
      <c r="C45" s="364" t="n">
        <v>3132869</v>
      </c>
      <c r="D45" s="364" t="inlineStr">
        <is>
          <t>15:50-18:00</t>
        </is>
      </c>
      <c r="E45" s="364" t="inlineStr">
        <is>
          <t>潜能班</t>
        </is>
      </c>
      <c r="F45" s="364" t="inlineStr">
        <is>
          <t>顾浩轩</t>
        </is>
      </c>
      <c r="G45" s="364" t="inlineStr">
        <is>
          <t>高心怡04</t>
        </is>
      </c>
      <c r="H45" s="364" t="inlineStr">
        <is>
          <t>黄铭怡</t>
        </is>
      </c>
      <c r="I45" s="364" t="inlineStr">
        <is>
          <t>陈中帅</t>
        </is>
      </c>
      <c r="J45" s="364" t="inlineStr">
        <is>
          <t>王丽</t>
        </is>
      </c>
      <c r="K45" s="364" t="inlineStr">
        <is>
          <t>育才</t>
        </is>
      </c>
      <c r="L45" s="364" t="inlineStr">
        <is>
          <t>摇号，育才，十六</t>
        </is>
      </c>
      <c r="M45" s="364" t="inlineStr">
        <is>
          <t>比较自觉</t>
        </is>
      </c>
      <c r="N45" s="364" t="inlineStr">
        <is>
          <t>衔接</t>
        </is>
      </c>
      <c r="O45" s="932" t="inlineStr">
        <is>
          <t>笔记潦草，KET考过了，以前是在小机构，考过了再也没补过课了
家长沟通比较无所谓，问什么问题都是“是吧，再看吧”</t>
        </is>
      </c>
      <c r="P45" s="364" t="inlineStr">
        <is>
          <t>95+</t>
        </is>
      </c>
      <c r="Q45" s="364" t="n">
        <v>43</v>
      </c>
      <c r="R45" s="364" t="n"/>
      <c r="S45" s="364" t="n"/>
      <c r="T45" s="364" t="n"/>
      <c r="U45" s="364" t="n"/>
      <c r="V45" s="364" t="n"/>
      <c r="W45" s="364" t="n"/>
      <c r="X45" s="364" t="n"/>
      <c r="Y45" s="364" t="n"/>
      <c r="Z45" s="364" t="n"/>
      <c r="AA45" s="364" t="n"/>
      <c r="AB45" s="364" t="n"/>
      <c r="AC45" s="364" t="n"/>
      <c r="AD45" s="359" t="n"/>
      <c r="AE45" s="364" t="n"/>
      <c r="AF45" s="364" t="n"/>
      <c r="AG45" s="364" t="n"/>
      <c r="AH45" s="364" t="n"/>
      <c r="AI45" s="359" t="n"/>
      <c r="AJ45" s="359" t="n"/>
      <c r="AK45" s="359" t="n"/>
      <c r="AL45" s="281" t="n"/>
      <c r="AM45" s="359" t="n"/>
      <c r="AN45" s="359" t="n"/>
      <c r="AO45" s="359" t="n"/>
    </row>
    <row r="46" ht="26.25" customFormat="1" customHeight="1" s="359">
      <c r="A46" s="364" t="inlineStr">
        <is>
          <t>同创汇</t>
        </is>
      </c>
      <c r="B46" s="364" t="inlineStr">
        <is>
          <t>一期</t>
        </is>
      </c>
      <c r="C46" s="364" t="n">
        <v>3132869</v>
      </c>
      <c r="D46" s="364" t="inlineStr">
        <is>
          <t>15:50-18:00</t>
        </is>
      </c>
      <c r="E46" s="364" t="inlineStr">
        <is>
          <t>潜能班</t>
        </is>
      </c>
      <c r="F46" s="364" t="inlineStr">
        <is>
          <t>马若涵</t>
        </is>
      </c>
      <c r="G46" s="364" t="inlineStr">
        <is>
          <t>高心怡04</t>
        </is>
      </c>
      <c r="H46" s="364" t="inlineStr">
        <is>
          <t>黄铭怡</t>
        </is>
      </c>
      <c r="I46" s="364" t="inlineStr">
        <is>
          <t>陈中帅</t>
        </is>
      </c>
      <c r="J46" s="364" t="inlineStr">
        <is>
          <t>戎凯01</t>
        </is>
      </c>
      <c r="K46" s="364" t="inlineStr">
        <is>
          <t>水荫路</t>
        </is>
      </c>
      <c r="L46" s="364" t="inlineStr">
        <is>
          <t>等摇号结果</t>
        </is>
      </c>
      <c r="M46" s="364" t="inlineStr">
        <is>
          <t>不爱学英语，作业会做，但是额外的一点复习和拓展都不愿意做</t>
        </is>
      </c>
      <c r="N46" s="364" t="inlineStr">
        <is>
          <t>音标系统学习，语法补上；固定搭配，激起兴趣</t>
        </is>
      </c>
      <c r="O46" s="933" t="inlineStr">
        <is>
          <t>语法薄弱、音标薄弱，词汇量少
从来不报班</t>
        </is>
      </c>
      <c r="P46" s="364" t="inlineStr">
        <is>
          <t>85以上</t>
        </is>
      </c>
      <c r="Q46" s="364" t="inlineStr">
        <is>
          <t>30/50</t>
        </is>
      </c>
      <c r="R46" s="364" t="n"/>
      <c r="S46" s="364" t="n"/>
      <c r="T46" s="364" t="n"/>
      <c r="U46" s="364" t="n"/>
      <c r="V46" s="364" t="n"/>
      <c r="W46" s="364" t="n"/>
      <c r="X46" s="364" t="n"/>
      <c r="Y46" s="364" t="n"/>
      <c r="Z46" s="364" t="n"/>
      <c r="AA46" s="364" t="n"/>
      <c r="AB46" s="364" t="n"/>
      <c r="AC46" s="364" t="n"/>
      <c r="AD46" s="359" t="n"/>
      <c r="AE46" s="364" t="n"/>
      <c r="AF46" s="364" t="n"/>
      <c r="AG46" s="364" t="n"/>
      <c r="AH46" s="364" t="n"/>
      <c r="AI46" s="359" t="n"/>
      <c r="AJ46" s="359" t="n"/>
      <c r="AK46" s="359" t="n"/>
      <c r="AL46" s="281" t="n"/>
      <c r="AM46" s="359" t="n"/>
      <c r="AN46" s="359" t="n"/>
      <c r="AO46" s="359" t="n"/>
    </row>
    <row r="47" ht="26.25" customFormat="1" customHeight="1" s="359">
      <c r="A47" s="364" t="inlineStr">
        <is>
          <t>同创汇</t>
        </is>
      </c>
      <c r="B47" s="364" t="inlineStr">
        <is>
          <t>一期</t>
        </is>
      </c>
      <c r="C47" s="364" t="n">
        <v>3132869</v>
      </c>
      <c r="D47" s="364" t="inlineStr">
        <is>
          <t>15:50-18:00</t>
        </is>
      </c>
      <c r="E47" s="364" t="inlineStr">
        <is>
          <t>潜能班</t>
        </is>
      </c>
      <c r="F47" s="364" t="inlineStr">
        <is>
          <t>黄心悦</t>
        </is>
      </c>
      <c r="G47" s="364" t="inlineStr">
        <is>
          <t>高心怡04</t>
        </is>
      </c>
      <c r="H47" s="364" t="inlineStr">
        <is>
          <t>陈南05</t>
        </is>
      </c>
      <c r="I47" s="364" t="inlineStr">
        <is>
          <t>陈中帅</t>
        </is>
      </c>
      <c r="J47" s="364" t="inlineStr">
        <is>
          <t>苏丽婷</t>
        </is>
      </c>
      <c r="K47" s="364" t="inlineStr">
        <is>
          <t>铁一</t>
        </is>
      </c>
      <c r="L47" s="364" t="inlineStr">
        <is>
          <t>等摇号结果</t>
        </is>
      </c>
      <c r="M47" s="364" t="inlineStr">
        <is>
          <t>自觉</t>
        </is>
      </c>
      <c r="N47" s="364" t="inlineStr">
        <is>
          <t>词汇量欠缺</t>
        </is>
      </c>
      <c r="O47" s="364" t="inlineStr">
        <is>
          <t>之前报过高途语文</t>
        </is>
      </c>
      <c r="P47" s="364" t="inlineStr">
        <is>
          <t>95+</t>
        </is>
      </c>
      <c r="Q47" s="364" t="n">
        <v>37.5</v>
      </c>
      <c r="R47" s="364" t="n"/>
      <c r="S47" s="364" t="n"/>
      <c r="T47" s="364" t="n"/>
      <c r="U47" s="364" t="n"/>
      <c r="V47" s="364" t="n"/>
      <c r="W47" s="364" t="n"/>
      <c r="X47" s="364" t="n"/>
      <c r="Y47" s="364" t="n"/>
      <c r="Z47" s="364" t="n"/>
      <c r="AA47" s="364" t="n"/>
      <c r="AB47" s="364" t="n"/>
      <c r="AC47" s="364" t="n"/>
      <c r="AD47" s="359" t="n"/>
      <c r="AE47" s="364" t="n"/>
      <c r="AF47" s="364" t="n"/>
      <c r="AG47" s="364" t="n"/>
      <c r="AH47" s="364" t="n"/>
      <c r="AI47" s="359" t="n"/>
      <c r="AJ47" s="359" t="n"/>
      <c r="AK47" s="359" t="n"/>
      <c r="AL47" s="281" t="n"/>
      <c r="AM47" s="359" t="n"/>
      <c r="AN47" s="359" t="n"/>
      <c r="AO47" s="359" t="n"/>
    </row>
    <row r="48" ht="26.25" customFormat="1" customHeight="1" s="359">
      <c r="A48" s="364" t="inlineStr">
        <is>
          <t>同创汇</t>
        </is>
      </c>
      <c r="B48" s="364" t="inlineStr">
        <is>
          <t>一期</t>
        </is>
      </c>
      <c r="C48" s="364" t="n">
        <v>3132869</v>
      </c>
      <c r="D48" s="364" t="inlineStr">
        <is>
          <t>15:50-18:00</t>
        </is>
      </c>
      <c r="E48" s="364" t="inlineStr">
        <is>
          <t>潜能班</t>
        </is>
      </c>
      <c r="F48" s="364" t="inlineStr">
        <is>
          <t>黄靖柔</t>
        </is>
      </c>
      <c r="G48" s="364" t="inlineStr">
        <is>
          <t>高心怡04</t>
        </is>
      </c>
      <c r="H48" s="364" t="inlineStr">
        <is>
          <t>黄铭怡</t>
        </is>
      </c>
      <c r="I48" s="364" t="inlineStr">
        <is>
          <t>陈中帅</t>
        </is>
      </c>
      <c r="J48" s="364" t="inlineStr">
        <is>
          <t>戎凯01</t>
        </is>
      </c>
      <c r="K48" s="364" t="inlineStr">
        <is>
          <t>大沙头</t>
        </is>
      </c>
      <c r="L48" s="364" t="inlineStr">
        <is>
          <t>培正，等摇号</t>
        </is>
      </c>
      <c r="M48" s="364" t="inlineStr">
        <is>
          <t>自己自觉完成作业</t>
        </is>
      </c>
      <c r="N48" s="364" t="inlineStr">
        <is>
          <t>希望在暑期班先对初中的词汇和语法有初步了解。</t>
        </is>
      </c>
      <c r="O48" s="364" t="inlineStr">
        <is>
          <t>没有课外补，从来不补</t>
        </is>
      </c>
      <c r="P48" s="364" t="inlineStr">
        <is>
          <t>88（英语分数起伏有点大）</t>
        </is>
      </c>
      <c r="Q48" s="364" t="n">
        <v>34.5</v>
      </c>
      <c r="R48" s="364" t="n"/>
      <c r="S48" s="364" t="n"/>
      <c r="T48" s="364" t="n"/>
      <c r="U48" s="364" t="n"/>
      <c r="V48" s="364" t="n"/>
      <c r="W48" s="364" t="n"/>
      <c r="X48" s="364" t="n"/>
      <c r="Y48" s="364" t="n"/>
      <c r="Z48" s="364" t="n"/>
      <c r="AA48" s="364" t="n"/>
      <c r="AB48" s="364" t="n"/>
      <c r="AC48" s="364" t="n"/>
      <c r="AD48" s="364" t="n"/>
      <c r="AE48" s="364" t="n"/>
      <c r="AF48" s="364" t="n"/>
      <c r="AG48" s="364" t="n"/>
      <c r="AH48" s="364" t="n"/>
      <c r="AI48" s="359" t="n"/>
      <c r="AJ48" s="359" t="n"/>
      <c r="AK48" s="359" t="n"/>
      <c r="AL48" s="281" t="n"/>
      <c r="AM48" s="359" t="n"/>
      <c r="AN48" s="359" t="n"/>
      <c r="AO48" s="359" t="n"/>
    </row>
    <row r="49" ht="26.25" customFormat="1" customHeight="1" s="359">
      <c r="A49" s="364" t="inlineStr">
        <is>
          <t>同创汇</t>
        </is>
      </c>
      <c r="B49" s="364" t="inlineStr">
        <is>
          <t>一期</t>
        </is>
      </c>
      <c r="C49" s="364" t="n">
        <v>3132869</v>
      </c>
      <c r="D49" s="364" t="inlineStr">
        <is>
          <t>15:50-18:00</t>
        </is>
      </c>
      <c r="E49" s="364" t="inlineStr">
        <is>
          <t>潜能班</t>
        </is>
      </c>
      <c r="F49" s="364" t="inlineStr">
        <is>
          <t>黎迅宁</t>
        </is>
      </c>
      <c r="G49" s="364" t="inlineStr">
        <is>
          <t>高心怡04</t>
        </is>
      </c>
      <c r="H49" s="364" t="inlineStr">
        <is>
          <t>李润</t>
        </is>
      </c>
      <c r="I49" s="364" t="inlineStr">
        <is>
          <t>陈中帅</t>
        </is>
      </c>
      <c r="J49" s="364" t="inlineStr">
        <is>
          <t>苏丽婷</t>
        </is>
      </c>
      <c r="K49" s="364" t="inlineStr">
        <is>
          <t>小北路</t>
        </is>
      </c>
      <c r="L49" s="364" t="inlineStr">
        <is>
          <t>等摇号结果</t>
        </is>
      </c>
      <c r="M49" s="934" t="inlineStr">
        <is>
          <t>校内不用盯，很自觉背单词写作业
校外的需要盯一盯</t>
        </is>
      </c>
      <c r="N49" s="364" t="n"/>
      <c r="O49" s="364" t="inlineStr">
        <is>
          <t>考过KET，上过各种线上线下，卓越学过KET</t>
        </is>
      </c>
      <c r="P49" s="364" t="n">
        <v>85</v>
      </c>
      <c r="Q49" s="364" t="n"/>
      <c r="R49" s="364" t="n"/>
      <c r="S49" s="364" t="n"/>
      <c r="T49" s="364" t="n"/>
      <c r="U49" s="364" t="n"/>
      <c r="V49" s="364" t="n"/>
      <c r="W49" s="364" t="n"/>
      <c r="X49" s="364" t="n"/>
      <c r="Y49" s="364" t="n"/>
      <c r="Z49" s="364" t="n"/>
      <c r="AA49" s="364" t="n"/>
      <c r="AB49" s="364" t="n"/>
      <c r="AC49" s="364" t="n"/>
      <c r="AD49" s="364" t="n"/>
      <c r="AE49" s="364" t="n"/>
      <c r="AF49" s="364" t="n"/>
      <c r="AG49" s="364" t="n"/>
      <c r="AH49" s="364" t="n"/>
      <c r="AI49" s="359" t="n"/>
      <c r="AJ49" s="359" t="n"/>
      <c r="AK49" s="359" t="n"/>
      <c r="AL49" s="281" t="n"/>
      <c r="AM49" s="359" t="n"/>
      <c r="AN49" s="359" t="n"/>
      <c r="AO49" s="359" t="n"/>
    </row>
    <row r="50" ht="26.25" customFormat="1" customHeight="1" s="359">
      <c r="A50" s="365" t="inlineStr">
        <is>
          <t>新宝利</t>
        </is>
      </c>
      <c r="B50" s="365" t="inlineStr">
        <is>
          <t>二期</t>
        </is>
      </c>
      <c r="C50" s="365" t="n">
        <v>4513340</v>
      </c>
      <c r="D50" s="365" t="inlineStr">
        <is>
          <t>15:50-18:00</t>
        </is>
      </c>
      <c r="E50" s="365" t="inlineStr">
        <is>
          <t>潜能班</t>
        </is>
      </c>
      <c r="F50" s="365" t="inlineStr">
        <is>
          <t>何雨羲</t>
        </is>
      </c>
      <c r="G50" s="365" t="inlineStr">
        <is>
          <t>高心怡04</t>
        </is>
      </c>
      <c r="H50" s="365" t="n"/>
      <c r="I50" s="365" t="n"/>
      <c r="J50" s="365" t="inlineStr">
        <is>
          <t>张敏烨</t>
        </is>
      </c>
      <c r="K50" s="365" t="n"/>
      <c r="L50" s="365" t="n"/>
      <c r="M50" s="365" t="n"/>
      <c r="N50" s="365" t="n"/>
      <c r="O50" s="365" t="n"/>
      <c r="P50" s="365" t="n"/>
      <c r="Q50" s="365" t="n"/>
      <c r="R50" s="365" t="n"/>
      <c r="S50" s="365" t="n"/>
      <c r="T50" s="365" t="n"/>
      <c r="U50" s="365" t="n"/>
      <c r="V50" s="365" t="n"/>
      <c r="W50" s="365" t="n"/>
      <c r="X50" s="365" t="n"/>
      <c r="Y50" s="365" t="n"/>
      <c r="Z50" s="365" t="n"/>
      <c r="AA50" s="365" t="n"/>
      <c r="AB50" s="365" t="n"/>
      <c r="AC50" s="365" t="n"/>
      <c r="AD50" s="365" t="n"/>
      <c r="AE50" s="365" t="n"/>
      <c r="AF50" s="365" t="n"/>
      <c r="AG50" s="365" t="n"/>
      <c r="AH50" s="365" t="n"/>
      <c r="AI50" s="359" t="n"/>
      <c r="AJ50" s="359" t="n"/>
      <c r="AK50" s="359" t="n"/>
      <c r="AL50" s="281" t="n"/>
      <c r="AM50" s="359" t="n"/>
      <c r="AN50" s="359" t="n"/>
      <c r="AO50" s="359" t="n"/>
    </row>
    <row r="51" ht="26.25" customFormat="1" customHeight="1" s="359">
      <c r="A51" s="364" t="inlineStr">
        <is>
          <t>新宝利</t>
        </is>
      </c>
      <c r="B51" s="364" t="inlineStr">
        <is>
          <t>二期</t>
        </is>
      </c>
      <c r="C51" s="364" t="n">
        <v>4513340</v>
      </c>
      <c r="D51" s="364" t="inlineStr">
        <is>
          <t>15:50-18:00</t>
        </is>
      </c>
      <c r="E51" s="364" t="inlineStr">
        <is>
          <t>潜能班</t>
        </is>
      </c>
      <c r="F51" s="364" t="inlineStr">
        <is>
          <t>刘智烜</t>
        </is>
      </c>
      <c r="G51" s="364" t="inlineStr">
        <is>
          <t>高心怡04</t>
        </is>
      </c>
      <c r="H51" s="364" t="inlineStr">
        <is>
          <t>黄铭怡</t>
        </is>
      </c>
      <c r="I51" s="364" t="inlineStr">
        <is>
          <t>田雨涵01</t>
        </is>
      </c>
      <c r="J51" s="364" t="inlineStr">
        <is>
          <t>张敏烨</t>
        </is>
      </c>
      <c r="K51" s="364" t="n"/>
      <c r="L51" s="364" t="n"/>
      <c r="M51" s="364" t="inlineStr">
        <is>
          <t>自觉</t>
        </is>
      </c>
      <c r="N51" s="364" t="inlineStr">
        <is>
          <t>作文不会写，完形填空，听说问题，</t>
        </is>
      </c>
      <c r="O51" s="364" t="inlineStr">
        <is>
          <t>有拓展，孩子想要被提问被鼓励。</t>
        </is>
      </c>
      <c r="P51" s="364" t="n">
        <v>98</v>
      </c>
      <c r="Q51" s="364" t="inlineStr">
        <is>
          <t>无</t>
        </is>
      </c>
      <c r="R51" s="364" t="n"/>
      <c r="S51" s="364" t="n"/>
      <c r="T51" s="364" t="n"/>
      <c r="U51" s="364" t="n"/>
      <c r="V51" s="364" t="n"/>
      <c r="W51" s="364" t="n"/>
      <c r="X51" s="364" t="n"/>
      <c r="Y51" s="364" t="n"/>
      <c r="Z51" s="364" t="n"/>
      <c r="AA51" s="364" t="n"/>
      <c r="AB51" s="364" t="n"/>
      <c r="AC51" s="364" t="n"/>
      <c r="AD51" s="364" t="n"/>
      <c r="AE51" s="364" t="n"/>
      <c r="AF51" s="364" t="n"/>
      <c r="AG51" s="364" t="n"/>
      <c r="AH51" s="364" t="n"/>
      <c r="AI51" s="359" t="n"/>
      <c r="AJ51" s="359" t="n"/>
      <c r="AK51" s="359" t="n"/>
      <c r="AL51" s="281" t="n"/>
      <c r="AM51" s="359" t="n"/>
      <c r="AN51" s="359" t="n"/>
      <c r="AO51" s="359" t="n"/>
    </row>
    <row r="52" ht="26.25" customFormat="1" customHeight="1" s="359">
      <c r="A52" s="364" t="inlineStr">
        <is>
          <t>新宝利</t>
        </is>
      </c>
      <c r="B52" s="364" t="inlineStr">
        <is>
          <t>二期</t>
        </is>
      </c>
      <c r="C52" s="364" t="n">
        <v>4513340</v>
      </c>
      <c r="D52" s="364" t="inlineStr">
        <is>
          <t>15:50-18:00</t>
        </is>
      </c>
      <c r="E52" s="364" t="inlineStr">
        <is>
          <t>潜能班</t>
        </is>
      </c>
      <c r="F52" s="364" t="inlineStr">
        <is>
          <t>叶梦扶</t>
        </is>
      </c>
      <c r="G52" s="364" t="inlineStr">
        <is>
          <t>高心怡04</t>
        </is>
      </c>
      <c r="H52" s="364" t="inlineStr">
        <is>
          <t>黄铭怡</t>
        </is>
      </c>
      <c r="I52" s="364" t="inlineStr">
        <is>
          <t>田雨涵01</t>
        </is>
      </c>
      <c r="J52" s="364" t="inlineStr">
        <is>
          <t>张敏烨</t>
        </is>
      </c>
      <c r="K52" s="364" t="n"/>
      <c r="L52" s="364" t="n"/>
      <c r="M52" s="364" t="inlineStr">
        <is>
          <t>自主</t>
        </is>
      </c>
      <c r="N52" s="364" t="inlineStr">
        <is>
          <t>语法大部分都是不太注意时态，动词变形，单复数。没有带着知识点去做题，没有养成圈关键字的习惯</t>
        </is>
      </c>
      <c r="O52" s="364" t="inlineStr">
        <is>
          <t>校内成绩一般在85分，没有补习。作业是自己完成的，但是比较应付。辨音题错得多，语法大部分都是不太注意时态，动词变形，单复数。没有带着知识点去做题，没有养成圈关键字的习惯</t>
        </is>
      </c>
      <c r="P52" s="364" t="n">
        <v>85</v>
      </c>
      <c r="Q52" s="364" t="inlineStr">
        <is>
          <t>无</t>
        </is>
      </c>
      <c r="R52" s="364" t="n"/>
      <c r="S52" s="364" t="n"/>
      <c r="T52" s="364" t="n"/>
      <c r="U52" s="364" t="n"/>
      <c r="V52" s="364" t="n"/>
      <c r="W52" s="364" t="n"/>
      <c r="X52" s="364" t="n"/>
      <c r="Y52" s="364" t="n"/>
      <c r="Z52" s="364" t="n"/>
      <c r="AA52" s="364" t="n"/>
      <c r="AB52" s="364" t="n"/>
      <c r="AC52" s="364" t="n"/>
      <c r="AD52" s="364" t="n"/>
      <c r="AE52" s="364" t="n"/>
      <c r="AF52" s="364" t="n"/>
      <c r="AG52" s="364" t="n"/>
      <c r="AH52" s="364" t="n"/>
      <c r="AI52" s="359" t="n"/>
      <c r="AJ52" s="359" t="n"/>
      <c r="AK52" s="359" t="n"/>
      <c r="AL52" s="281" t="n"/>
      <c r="AM52" s="359" t="n"/>
      <c r="AN52" s="359" t="n"/>
      <c r="AO52" s="359" t="n"/>
    </row>
    <row r="53" ht="26.25" customFormat="1" customHeight="1" s="359">
      <c r="A53" s="364" t="inlineStr">
        <is>
          <t>新宝利</t>
        </is>
      </c>
      <c r="B53" s="364" t="inlineStr">
        <is>
          <t>二期</t>
        </is>
      </c>
      <c r="C53" s="364" t="n">
        <v>4513340</v>
      </c>
      <c r="D53" s="364" t="inlineStr">
        <is>
          <t>15:50-18:00</t>
        </is>
      </c>
      <c r="E53" s="364" t="inlineStr">
        <is>
          <t>潜能班</t>
        </is>
      </c>
      <c r="F53" s="364" t="inlineStr">
        <is>
          <t>张瑞茜</t>
        </is>
      </c>
      <c r="G53" s="364" t="inlineStr">
        <is>
          <t>高心怡04</t>
        </is>
      </c>
      <c r="H53" s="364" t="inlineStr">
        <is>
          <t>黄铭怡</t>
        </is>
      </c>
      <c r="I53" s="364" t="inlineStr">
        <is>
          <t>田雨涵01</t>
        </is>
      </c>
      <c r="J53" s="364" t="inlineStr">
        <is>
          <t>杨林33</t>
        </is>
      </c>
      <c r="K53" s="364" t="n"/>
      <c r="L53" s="364" t="n"/>
      <c r="M53" s="364" t="inlineStr">
        <is>
          <t>主动</t>
        </is>
      </c>
      <c r="N53" s="364" t="inlineStr">
        <is>
          <t>整体提升</t>
        </is>
      </c>
      <c r="O53" s="364" t="inlineStr">
        <is>
          <t>有补过，</t>
        </is>
      </c>
      <c r="P53" s="364" t="n">
        <v>85</v>
      </c>
      <c r="Q53" s="364" t="n">
        <v>35</v>
      </c>
      <c r="R53" s="364" t="n"/>
      <c r="S53" s="364" t="n"/>
      <c r="T53" s="364" t="n"/>
      <c r="U53" s="364" t="n"/>
      <c r="V53" s="364" t="n"/>
      <c r="W53" s="364" t="n"/>
      <c r="X53" s="364" t="n"/>
      <c r="Y53" s="364" t="n"/>
      <c r="Z53" s="364" t="n"/>
      <c r="AA53" s="364" t="n"/>
      <c r="AB53" s="364" t="n"/>
      <c r="AC53" s="364" t="n"/>
      <c r="AD53" s="364" t="n"/>
      <c r="AE53" s="364" t="n"/>
      <c r="AF53" s="364" t="n"/>
      <c r="AG53" s="364" t="n"/>
      <c r="AH53" s="364" t="n"/>
      <c r="AI53" s="359" t="n"/>
      <c r="AJ53" s="359" t="n"/>
      <c r="AK53" s="359" t="n"/>
      <c r="AL53" s="281" t="n"/>
      <c r="AM53" s="359" t="n"/>
      <c r="AN53" s="359" t="n"/>
      <c r="AO53" s="359" t="n"/>
    </row>
    <row r="54" ht="26.25" customFormat="1" customHeight="1" s="359">
      <c r="A54" s="364" t="inlineStr">
        <is>
          <t>新宝利</t>
        </is>
      </c>
      <c r="B54" s="364" t="inlineStr">
        <is>
          <t>二期</t>
        </is>
      </c>
      <c r="C54" s="364" t="n">
        <v>4513340</v>
      </c>
      <c r="D54" s="364" t="inlineStr">
        <is>
          <t>15:50-18:00</t>
        </is>
      </c>
      <c r="E54" s="364" t="inlineStr">
        <is>
          <t>潜能班</t>
        </is>
      </c>
      <c r="F54" s="364" t="inlineStr">
        <is>
          <t>张逸潼</t>
        </is>
      </c>
      <c r="G54" s="364" t="inlineStr">
        <is>
          <t>高心怡04</t>
        </is>
      </c>
      <c r="H54" s="364" t="inlineStr">
        <is>
          <t>黄铭怡</t>
        </is>
      </c>
      <c r="I54" s="364" t="inlineStr">
        <is>
          <t>田雨涵01</t>
        </is>
      </c>
      <c r="J54" s="364" t="inlineStr">
        <is>
          <t>沈思浩</t>
        </is>
      </c>
      <c r="K54" s="364" t="inlineStr">
        <is>
          <t>东风西路小学</t>
        </is>
      </c>
      <c r="L54" s="364" t="n"/>
      <c r="M54" s="364" t="inlineStr">
        <is>
          <t>需要鼓励培养信心</t>
        </is>
      </c>
      <c r="N54" s="364" t="inlineStr">
        <is>
          <t>整体补基础</t>
        </is>
      </c>
      <c r="O54" s="364" t="inlineStr">
        <is>
          <t>5年级以前英语是93-94分，5年级下学期开始慢慢下降，88-85，现在基本在83-85之间徘徊</t>
        </is>
      </c>
      <c r="P54" s="364" t="n">
        <v>85</v>
      </c>
      <c r="Q54" s="364" t="inlineStr">
        <is>
          <t>无</t>
        </is>
      </c>
      <c r="R54" s="364" t="n"/>
      <c r="S54" s="364" t="n"/>
      <c r="T54" s="364" t="n"/>
      <c r="U54" s="364" t="n"/>
      <c r="V54" s="364" t="n"/>
      <c r="W54" s="364" t="n"/>
      <c r="X54" s="364" t="n"/>
      <c r="Y54" s="364" t="n"/>
      <c r="Z54" s="364" t="n"/>
      <c r="AA54" s="364" t="n"/>
      <c r="AB54" s="364" t="n"/>
      <c r="AC54" s="364" t="n"/>
      <c r="AD54" s="364" t="n"/>
      <c r="AE54" s="364" t="n"/>
      <c r="AF54" s="364" t="n"/>
      <c r="AG54" s="364" t="n"/>
      <c r="AH54" s="364" t="n"/>
      <c r="AI54" s="359" t="n"/>
      <c r="AJ54" s="359" t="n"/>
      <c r="AK54" s="359" t="n"/>
      <c r="AL54" s="281" t="n"/>
      <c r="AM54" s="359" t="n"/>
      <c r="AN54" s="359" t="n"/>
      <c r="AO54" s="359" t="n"/>
    </row>
    <row r="55" ht="26.25" customFormat="1" customHeight="1" s="359">
      <c r="A55" s="364" t="inlineStr">
        <is>
          <t>新宝利</t>
        </is>
      </c>
      <c r="B55" s="364" t="inlineStr">
        <is>
          <t>二期</t>
        </is>
      </c>
      <c r="C55" s="364" t="n">
        <v>4513340</v>
      </c>
      <c r="D55" s="364" t="inlineStr">
        <is>
          <t>15:50-18:00</t>
        </is>
      </c>
      <c r="E55" s="364" t="inlineStr">
        <is>
          <t>潜能班</t>
        </is>
      </c>
      <c r="F55" s="364" t="inlineStr">
        <is>
          <t>杨梓恒</t>
        </is>
      </c>
      <c r="G55" s="364" t="inlineStr">
        <is>
          <t>高心怡04</t>
        </is>
      </c>
      <c r="H55" s="364" t="inlineStr">
        <is>
          <t>黄铭怡</t>
        </is>
      </c>
      <c r="I55" s="364" t="inlineStr">
        <is>
          <t>田雨涵01</t>
        </is>
      </c>
      <c r="J55" s="364" t="inlineStr">
        <is>
          <t>林志豪01</t>
        </is>
      </c>
      <c r="K55" s="364" t="inlineStr">
        <is>
          <t>环市西路小学</t>
        </is>
      </c>
      <c r="L55" s="364" t="n"/>
      <c r="M55" s="364" t="inlineStr">
        <is>
          <t>不自觉</t>
        </is>
      </c>
      <c r="N55" s="364" t="inlineStr">
        <is>
          <t>老师严格监督</t>
        </is>
      </c>
      <c r="O55" s="364" t="inlineStr">
        <is>
          <t>托管</t>
        </is>
      </c>
      <c r="P55" s="364" t="n">
        <v>88</v>
      </c>
      <c r="Q55" s="364" t="inlineStr">
        <is>
          <t>无</t>
        </is>
      </c>
      <c r="R55" s="364" t="n"/>
      <c r="S55" s="364" t="n"/>
      <c r="T55" s="364" t="inlineStr">
        <is>
          <t>已申请</t>
        </is>
      </c>
      <c r="U55" s="364" t="n"/>
      <c r="V55" s="364" t="inlineStr">
        <is>
          <t>是</t>
        </is>
      </c>
      <c r="W55" s="364" t="n"/>
      <c r="X55" s="364" t="n"/>
      <c r="Y55" s="364" t="n"/>
      <c r="Z55" s="364" t="n"/>
      <c r="AA55" s="364" t="n"/>
      <c r="AB55" s="364" t="n"/>
      <c r="AC55" s="364" t="n"/>
      <c r="AD55" s="364" t="n"/>
      <c r="AE55" s="364" t="n"/>
      <c r="AF55" s="364" t="n"/>
      <c r="AG55" s="364" t="n"/>
      <c r="AH55" s="364" t="n"/>
      <c r="AI55" s="359" t="n"/>
      <c r="AJ55" s="359" t="n"/>
      <c r="AK55" s="359" t="n"/>
      <c r="AL55" s="281" t="n"/>
      <c r="AM55" s="359" t="n"/>
      <c r="AN55" s="359" t="n"/>
      <c r="AO55" s="359" t="n"/>
    </row>
    <row r="56" ht="26.25" customFormat="1" customHeight="1" s="359">
      <c r="A56" s="364" t="inlineStr">
        <is>
          <t>新宝利</t>
        </is>
      </c>
      <c r="B56" s="364" t="inlineStr">
        <is>
          <t>二期</t>
        </is>
      </c>
      <c r="C56" s="364" t="n">
        <v>4513340</v>
      </c>
      <c r="D56" s="364" t="inlineStr">
        <is>
          <t>15:50-18:00</t>
        </is>
      </c>
      <c r="E56" s="364" t="inlineStr">
        <is>
          <t>潜能班</t>
        </is>
      </c>
      <c r="F56" s="364" t="inlineStr">
        <is>
          <t>杨雅涵</t>
        </is>
      </c>
      <c r="G56" s="364" t="inlineStr">
        <is>
          <t>高心怡04</t>
        </is>
      </c>
      <c r="H56" s="364" t="inlineStr">
        <is>
          <t>李润</t>
        </is>
      </c>
      <c r="I56" s="364" t="inlineStr">
        <is>
          <t>何咏04</t>
        </is>
      </c>
      <c r="J56" s="364" t="inlineStr">
        <is>
          <t>沈思浩</t>
        </is>
      </c>
      <c r="K56" s="364" t="n"/>
      <c r="L56" s="364" t="n"/>
      <c r="M56" s="364" t="inlineStr">
        <is>
          <t>自主性，拖拉，注意力</t>
        </is>
      </c>
      <c r="N56" s="364" t="inlineStr">
        <is>
          <t>不太懂</t>
        </is>
      </c>
      <c r="O56" s="364" t="inlineStr">
        <is>
          <t>ket差一点，熟悉之后会好，多提问，喜欢被鼓励，英语，数学90多，</t>
        </is>
      </c>
      <c r="P56" s="364" t="n">
        <v>95</v>
      </c>
      <c r="Q56" s="364" t="n">
        <v>27.5</v>
      </c>
      <c r="R56" s="364" t="n"/>
      <c r="S56" s="364" t="n"/>
      <c r="T56" s="364" t="n"/>
      <c r="U56" s="364" t="n"/>
      <c r="V56" s="364" t="n"/>
      <c r="W56" s="364" t="n"/>
      <c r="X56" s="364" t="n"/>
      <c r="Y56" s="364" t="n"/>
      <c r="Z56" s="364" t="n"/>
      <c r="AA56" s="364" t="n"/>
      <c r="AB56" s="364" t="n"/>
      <c r="AC56" s="364" t="n"/>
      <c r="AD56" s="364" t="n"/>
      <c r="AE56" s="364" t="n"/>
      <c r="AF56" s="364" t="n"/>
      <c r="AG56" s="364" t="n"/>
      <c r="AH56" s="364" t="n"/>
      <c r="AI56" s="359" t="n"/>
      <c r="AJ56" s="359" t="n"/>
      <c r="AK56" s="359" t="n"/>
      <c r="AL56" s="9" t="n"/>
      <c r="AM56" s="359" t="n"/>
      <c r="AN56" s="359" t="n"/>
      <c r="AO56" s="359" t="n"/>
    </row>
    <row r="57" ht="26.25" customFormat="1" customHeight="1" s="359">
      <c r="A57" s="364" t="inlineStr">
        <is>
          <t>新宝利</t>
        </is>
      </c>
      <c r="B57" s="364" t="inlineStr">
        <is>
          <t>二期</t>
        </is>
      </c>
      <c r="C57" s="364" t="n">
        <v>4513340</v>
      </c>
      <c r="D57" s="364" t="inlineStr">
        <is>
          <t>15:50-18:00</t>
        </is>
      </c>
      <c r="E57" s="364" t="inlineStr">
        <is>
          <t>潜能班</t>
        </is>
      </c>
      <c r="F57" s="364" t="inlineStr">
        <is>
          <t>梁诗晨</t>
        </is>
      </c>
      <c r="G57" s="364" t="inlineStr">
        <is>
          <t>高心怡04</t>
        </is>
      </c>
      <c r="H57" s="364" t="inlineStr">
        <is>
          <t>黄铭怡</t>
        </is>
      </c>
      <c r="I57" s="364" t="inlineStr">
        <is>
          <t>田雨涵01</t>
        </is>
      </c>
      <c r="J57" s="364" t="inlineStr">
        <is>
          <t>沈思浩</t>
        </is>
      </c>
      <c r="K57" s="364" t="n"/>
      <c r="L57" s="364" t="n"/>
      <c r="M57" s="364" t="inlineStr">
        <is>
          <t>自觉</t>
        </is>
      </c>
      <c r="N57" s="364" t="inlineStr">
        <is>
          <t>语法作文</t>
        </is>
      </c>
      <c r="O57" s="364" t="inlineStr">
        <is>
          <t>补过密考</t>
        </is>
      </c>
      <c r="P57" s="364" t="n">
        <v>90</v>
      </c>
      <c r="Q57" s="364" t="inlineStr">
        <is>
          <t>无</t>
        </is>
      </c>
      <c r="R57" s="364" t="n"/>
      <c r="S57" s="364" t="n"/>
      <c r="T57" s="364" t="n"/>
      <c r="U57" s="364" t="n"/>
      <c r="V57" s="364" t="n"/>
      <c r="W57" s="364" t="n"/>
      <c r="X57" s="364" t="n"/>
      <c r="Y57" s="364" t="n"/>
      <c r="Z57" s="364" t="n"/>
      <c r="AA57" s="364" t="n"/>
      <c r="AB57" s="364" t="n"/>
      <c r="AC57" s="364" t="n"/>
      <c r="AD57" s="364" t="n"/>
      <c r="AE57" s="364" t="n"/>
      <c r="AF57" s="364" t="n"/>
      <c r="AG57" s="364" t="n"/>
      <c r="AH57" s="364" t="n"/>
      <c r="AI57" s="359" t="n"/>
      <c r="AJ57" s="359" t="n"/>
      <c r="AK57" s="359" t="n"/>
      <c r="AL57" s="281" t="n"/>
      <c r="AM57" s="359" t="n"/>
      <c r="AN57" s="359" t="n"/>
      <c r="AO57" s="359" t="n"/>
    </row>
    <row r="58" ht="26.25" customFormat="1" customHeight="1" s="359">
      <c r="A58" s="364" t="inlineStr">
        <is>
          <t>新宝利</t>
        </is>
      </c>
      <c r="B58" s="364" t="inlineStr">
        <is>
          <t>二期</t>
        </is>
      </c>
      <c r="C58" s="364" t="n">
        <v>4513340</v>
      </c>
      <c r="D58" s="364" t="inlineStr">
        <is>
          <t>15:50-18:00</t>
        </is>
      </c>
      <c r="E58" s="364" t="inlineStr">
        <is>
          <t>潜能班</t>
        </is>
      </c>
      <c r="F58" s="364" t="inlineStr">
        <is>
          <t>梁诺桓</t>
        </is>
      </c>
      <c r="G58" s="364" t="inlineStr">
        <is>
          <t>高心怡04</t>
        </is>
      </c>
      <c r="H58" s="364" t="inlineStr">
        <is>
          <t>黄铭怡</t>
        </is>
      </c>
      <c r="I58" s="364" t="inlineStr">
        <is>
          <t>田雨涵01</t>
        </is>
      </c>
      <c r="J58" s="364" t="inlineStr">
        <is>
          <t>林志豪01</t>
        </is>
      </c>
      <c r="K58" s="364" t="n"/>
      <c r="L58" s="364" t="n"/>
      <c r="M58" s="364" t="n"/>
      <c r="N58" s="364" t="n"/>
      <c r="O58" s="364" t="n"/>
      <c r="P58" s="364" t="n"/>
      <c r="Q58" s="364" t="inlineStr">
        <is>
          <t>无</t>
        </is>
      </c>
      <c r="R58" s="364" t="n"/>
      <c r="S58" s="364" t="n"/>
      <c r="T58" s="364" t="n"/>
      <c r="U58" s="364" t="n"/>
      <c r="V58" s="364" t="n"/>
      <c r="W58" s="364" t="n"/>
      <c r="X58" s="364" t="n"/>
      <c r="Y58" s="364" t="n"/>
      <c r="Z58" s="364" t="n"/>
      <c r="AA58" s="364" t="n"/>
      <c r="AB58" s="364" t="n"/>
      <c r="AC58" s="364" t="n"/>
      <c r="AD58" s="364" t="n"/>
      <c r="AE58" s="364" t="n"/>
      <c r="AF58" s="364" t="n"/>
      <c r="AG58" s="364" t="n"/>
      <c r="AH58" s="364" t="n"/>
      <c r="AI58" s="359" t="n"/>
      <c r="AJ58" s="359" t="n"/>
      <c r="AK58" s="359" t="n"/>
      <c r="AL58" s="281" t="n"/>
      <c r="AM58" s="359" t="n"/>
      <c r="AN58" s="359" t="n"/>
      <c r="AO58" s="359" t="n"/>
    </row>
    <row r="59" ht="26.25" customFormat="1" customHeight="1" s="359">
      <c r="A59" s="364" t="inlineStr">
        <is>
          <t>新宝利</t>
        </is>
      </c>
      <c r="B59" s="364" t="inlineStr">
        <is>
          <t>二期</t>
        </is>
      </c>
      <c r="C59" s="364" t="n">
        <v>4513340</v>
      </c>
      <c r="D59" s="364" t="inlineStr">
        <is>
          <t>15:50-18:00</t>
        </is>
      </c>
      <c r="E59" s="364" t="inlineStr">
        <is>
          <t>潜能班</t>
        </is>
      </c>
      <c r="F59" s="364" t="inlineStr">
        <is>
          <t>梁锐洲</t>
        </is>
      </c>
      <c r="G59" s="364" t="inlineStr">
        <is>
          <t>高心怡04</t>
        </is>
      </c>
      <c r="H59" s="364" t="inlineStr">
        <is>
          <t>黄铭怡</t>
        </is>
      </c>
      <c r="I59" s="364" t="inlineStr">
        <is>
          <t>田雨涵01</t>
        </is>
      </c>
      <c r="J59" s="364" t="inlineStr">
        <is>
          <t>苏丽婷</t>
        </is>
      </c>
      <c r="K59" s="364" t="n"/>
      <c r="L59" s="364" t="n"/>
      <c r="M59" s="364" t="n"/>
      <c r="N59" s="364" t="n"/>
      <c r="O59" s="364" t="n"/>
      <c r="P59" s="364" t="n"/>
      <c r="Q59" s="364" t="inlineStr">
        <is>
          <t>无</t>
        </is>
      </c>
      <c r="R59" s="364" t="n"/>
      <c r="S59" s="364" t="n"/>
      <c r="T59" s="364" t="n"/>
      <c r="U59" s="364" t="n"/>
      <c r="V59" s="364" t="n"/>
      <c r="W59" s="364" t="n"/>
      <c r="X59" s="364" t="n"/>
      <c r="Y59" s="364" t="n"/>
      <c r="Z59" s="364" t="n"/>
      <c r="AA59" s="364" t="n"/>
      <c r="AB59" s="364" t="n"/>
      <c r="AC59" s="364" t="n"/>
      <c r="AD59" s="364" t="n"/>
      <c r="AE59" s="364" t="n"/>
      <c r="AF59" s="364" t="n"/>
      <c r="AG59" s="364" t="n"/>
      <c r="AH59" s="364" t="n"/>
      <c r="AI59" s="359" t="n"/>
      <c r="AJ59" s="359" t="n"/>
      <c r="AK59" s="359" t="n"/>
      <c r="AL59" s="281" t="n"/>
      <c r="AM59" s="359" t="n"/>
      <c r="AN59" s="359" t="n"/>
      <c r="AO59" s="359" t="n"/>
    </row>
    <row r="60" ht="26.25" customFormat="1" customHeight="1" s="359">
      <c r="A60" s="364" t="inlineStr">
        <is>
          <t>新宝利</t>
        </is>
      </c>
      <c r="B60" s="364" t="inlineStr">
        <is>
          <t>二期</t>
        </is>
      </c>
      <c r="C60" s="364" t="n">
        <v>4513340</v>
      </c>
      <c r="D60" s="364" t="inlineStr">
        <is>
          <t>15:50-18:00</t>
        </is>
      </c>
      <c r="E60" s="364" t="inlineStr">
        <is>
          <t>潜能班</t>
        </is>
      </c>
      <c r="F60" s="364" t="inlineStr">
        <is>
          <t>王诗瑜</t>
        </is>
      </c>
      <c r="G60" s="364" t="inlineStr">
        <is>
          <t>高心怡04</t>
        </is>
      </c>
      <c r="H60" s="364" t="inlineStr">
        <is>
          <t>黄铭怡</t>
        </is>
      </c>
      <c r="I60" s="364" t="inlineStr">
        <is>
          <t>田雨涵01</t>
        </is>
      </c>
      <c r="J60" s="364" t="inlineStr">
        <is>
          <t>林志豪01</t>
        </is>
      </c>
      <c r="K60" s="364" t="inlineStr">
        <is>
          <t>建大</t>
        </is>
      </c>
      <c r="L60" s="364" t="n"/>
      <c r="M60" s="364" t="inlineStr">
        <is>
          <t>自觉</t>
        </is>
      </c>
      <c r="N60" s="364" t="inlineStr">
        <is>
          <t>没有，英语最好。中等~</t>
        </is>
      </c>
      <c r="O60" s="364" t="inlineStr">
        <is>
          <t>需要整体提升</t>
        </is>
      </c>
      <c r="P60" s="364" t="n">
        <v>95</v>
      </c>
      <c r="Q60" s="364" t="n">
        <v>36</v>
      </c>
      <c r="R60" s="364" t="n"/>
      <c r="S60" s="364" t="n"/>
      <c r="T60" s="364" t="n"/>
      <c r="U60" s="364" t="n"/>
      <c r="V60" s="364" t="n"/>
      <c r="W60" s="364" t="n"/>
      <c r="X60" s="364" t="n"/>
      <c r="Y60" s="364" t="n"/>
      <c r="Z60" s="364" t="n"/>
      <c r="AA60" s="364" t="n"/>
      <c r="AB60" s="364" t="n"/>
      <c r="AC60" s="364" t="n"/>
      <c r="AD60" s="364" t="n"/>
      <c r="AE60" s="364" t="n"/>
      <c r="AF60" s="364" t="n"/>
      <c r="AG60" s="364" t="n"/>
      <c r="AH60" s="364" t="inlineStr">
        <is>
          <t>是</t>
        </is>
      </c>
      <c r="AI60" s="359" t="n"/>
      <c r="AJ60" s="359" t="n"/>
      <c r="AK60" s="359" t="n"/>
      <c r="AL60" s="281" t="n"/>
      <c r="AM60" s="359" t="n"/>
      <c r="AN60" s="359" t="n"/>
      <c r="AO60" s="359" t="n"/>
    </row>
    <row r="61" ht="26.25" customFormat="1" customHeight="1" s="359">
      <c r="A61" s="364" t="inlineStr">
        <is>
          <t>新宝利</t>
        </is>
      </c>
      <c r="B61" s="364" t="inlineStr">
        <is>
          <t>二期</t>
        </is>
      </c>
      <c r="C61" s="364" t="n">
        <v>4513340</v>
      </c>
      <c r="D61" s="364" t="inlineStr">
        <is>
          <t>15:50-18:00</t>
        </is>
      </c>
      <c r="E61" s="364" t="inlineStr">
        <is>
          <t>潜能班</t>
        </is>
      </c>
      <c r="F61" s="364" t="inlineStr">
        <is>
          <t>程雅涵</t>
        </is>
      </c>
      <c r="G61" s="364" t="inlineStr">
        <is>
          <t>高心怡04</t>
        </is>
      </c>
      <c r="H61" s="364" t="inlineStr">
        <is>
          <t>黄铭怡</t>
        </is>
      </c>
      <c r="I61" s="364" t="n"/>
      <c r="J61" s="364" t="inlineStr">
        <is>
          <t>林志豪01</t>
        </is>
      </c>
      <c r="K61" s="364" t="n"/>
      <c r="L61" s="364" t="n"/>
      <c r="M61" s="364" t="inlineStr">
        <is>
          <t>自觉</t>
        </is>
      </c>
      <c r="N61" s="364" t="inlineStr">
        <is>
          <t>整体提升，保住小学优势</t>
        </is>
      </c>
      <c r="O61" s="364" t="inlineStr">
        <is>
          <t>三科差不多，学霸~性格中等</t>
        </is>
      </c>
      <c r="P61" s="364" t="n">
        <v>100</v>
      </c>
      <c r="Q61" s="364" t="n">
        <v>38</v>
      </c>
      <c r="R61" s="364" t="n"/>
      <c r="S61" s="364" t="n"/>
      <c r="T61" s="364" t="inlineStr">
        <is>
          <t>已申请</t>
        </is>
      </c>
      <c r="U61" s="364" t="n"/>
      <c r="V61" s="364" t="inlineStr">
        <is>
          <t>是</t>
        </is>
      </c>
      <c r="W61" s="364" t="n"/>
      <c r="X61" s="364" t="n"/>
      <c r="Y61" s="364" t="n"/>
      <c r="Z61" s="339" t="inlineStr">
        <is>
          <t>是</t>
        </is>
      </c>
      <c r="AA61" s="339" t="inlineStr">
        <is>
          <t>是</t>
        </is>
      </c>
      <c r="AB61" s="364" t="n"/>
      <c r="AC61" s="364" t="n"/>
      <c r="AD61" s="364" t="n"/>
      <c r="AE61" s="364" t="n"/>
      <c r="AF61" s="364" t="n"/>
      <c r="AG61" s="364" t="n"/>
      <c r="AH61" s="364" t="n"/>
      <c r="AI61" s="359" t="n"/>
      <c r="AJ61" s="359" t="n"/>
      <c r="AK61" s="359" t="n"/>
      <c r="AL61" s="281" t="n"/>
      <c r="AM61" s="359" t="n"/>
      <c r="AN61" s="359" t="n"/>
      <c r="AO61" s="359" t="n"/>
    </row>
    <row r="62" ht="26.25" customFormat="1" customHeight="1" s="359">
      <c r="A62" s="364" t="inlineStr">
        <is>
          <t>新宝利</t>
        </is>
      </c>
      <c r="B62" s="364" t="inlineStr">
        <is>
          <t>二期</t>
        </is>
      </c>
      <c r="C62" s="364" t="n">
        <v>4513340</v>
      </c>
      <c r="D62" s="364" t="inlineStr">
        <is>
          <t>15:50-18:00</t>
        </is>
      </c>
      <c r="E62" s="364" t="inlineStr">
        <is>
          <t>潜能班</t>
        </is>
      </c>
      <c r="F62" s="364" t="inlineStr">
        <is>
          <t>苏晋扬</t>
        </is>
      </c>
      <c r="G62" s="364" t="inlineStr">
        <is>
          <t>高心怡04</t>
        </is>
      </c>
      <c r="H62" s="364" t="inlineStr">
        <is>
          <t>黄铭怡</t>
        </is>
      </c>
      <c r="I62" s="364" t="inlineStr">
        <is>
          <t>田雨涵01</t>
        </is>
      </c>
      <c r="J62" s="364" t="inlineStr">
        <is>
          <t>杨林33</t>
        </is>
      </c>
      <c r="K62" s="364" t="n"/>
      <c r="L62" s="364" t="n"/>
      <c r="M62" s="364" t="inlineStr">
        <is>
          <t>不自觉</t>
        </is>
      </c>
      <c r="N62" s="364" t="inlineStr">
        <is>
          <t>查缺补漏</t>
        </is>
      </c>
      <c r="O62" s="364" t="inlineStr">
        <is>
          <t>英语非常差，一对一补习</t>
        </is>
      </c>
      <c r="P62" s="364" t="n">
        <v>70</v>
      </c>
      <c r="Q62" s="364" t="n">
        <v>33</v>
      </c>
      <c r="R62" s="364" t="n"/>
      <c r="S62" s="364" t="n"/>
      <c r="T62" s="364" t="n"/>
      <c r="U62" s="364" t="n"/>
      <c r="V62" s="364" t="n"/>
      <c r="W62" s="364" t="n"/>
      <c r="X62" s="364" t="n"/>
      <c r="Y62" s="364" t="n"/>
      <c r="Z62" s="364" t="n"/>
      <c r="AA62" s="364" t="n"/>
      <c r="AB62" s="364" t="n"/>
      <c r="AC62" s="364" t="n"/>
      <c r="AD62" s="364" t="n"/>
      <c r="AE62" s="364" t="n"/>
      <c r="AF62" s="364" t="n"/>
      <c r="AG62" s="364" t="n"/>
      <c r="AH62" s="364" t="n"/>
      <c r="AI62" s="359" t="n"/>
      <c r="AJ62" s="359" t="n"/>
      <c r="AK62" s="359" t="n"/>
      <c r="AL62" s="281" t="n"/>
      <c r="AM62" s="359" t="n"/>
      <c r="AN62" s="359" t="n"/>
      <c r="AO62" s="359" t="n"/>
    </row>
    <row r="63" ht="26.25" customFormat="1" customHeight="1" s="359">
      <c r="A63" s="364" t="inlineStr">
        <is>
          <t>新宝利</t>
        </is>
      </c>
      <c r="B63" s="364" t="inlineStr">
        <is>
          <t>二期</t>
        </is>
      </c>
      <c r="C63" s="364" t="n">
        <v>4513340</v>
      </c>
      <c r="D63" s="364" t="inlineStr">
        <is>
          <t>15:50-18:00</t>
        </is>
      </c>
      <c r="E63" s="364" t="inlineStr">
        <is>
          <t>潜能班</t>
        </is>
      </c>
      <c r="F63" s="364" t="inlineStr">
        <is>
          <t>谢希羲</t>
        </is>
      </c>
      <c r="G63" s="364" t="inlineStr">
        <is>
          <t>高心怡04</t>
        </is>
      </c>
      <c r="H63" s="364" t="inlineStr">
        <is>
          <t>黄铭怡</t>
        </is>
      </c>
      <c r="I63" s="364" t="inlineStr">
        <is>
          <t>田雨涵01</t>
        </is>
      </c>
      <c r="J63" s="364" t="inlineStr">
        <is>
          <t>王达04</t>
        </is>
      </c>
      <c r="K63" s="364" t="inlineStr">
        <is>
          <t>八一希望小学</t>
        </is>
      </c>
      <c r="L63" s="364" t="n"/>
      <c r="M63" s="364" t="inlineStr">
        <is>
          <t>习惯比较自律</t>
        </is>
      </c>
      <c r="N63" s="364" t="inlineStr">
        <is>
          <t>语法整体提升</t>
        </is>
      </c>
      <c r="O63" s="364" t="inlineStr">
        <is>
          <t>关注孩子的语法薄弱点，做补充</t>
        </is>
      </c>
      <c r="P63" s="364" t="n">
        <v>90</v>
      </c>
      <c r="Q63" s="364" t="n">
        <v>30</v>
      </c>
      <c r="R63" s="364" t="n"/>
      <c r="S63" s="364" t="n"/>
      <c r="T63" s="364" t="n"/>
      <c r="U63" s="364" t="n"/>
      <c r="V63" s="364" t="n"/>
      <c r="W63" s="364" t="n"/>
      <c r="X63" s="364" t="n"/>
      <c r="Y63" s="364" t="n"/>
      <c r="Z63" s="364" t="n"/>
      <c r="AA63" s="364" t="n"/>
      <c r="AB63" s="364" t="n"/>
      <c r="AC63" s="364" t="n"/>
      <c r="AD63" s="364" t="n"/>
      <c r="AE63" s="364" t="n"/>
      <c r="AF63" s="364" t="n"/>
      <c r="AG63" s="364" t="n"/>
      <c r="AH63" s="364" t="n"/>
      <c r="AI63" s="359" t="n"/>
      <c r="AJ63" s="359" t="n"/>
      <c r="AK63" s="359" t="n"/>
      <c r="AL63" s="281" t="n"/>
      <c r="AM63" s="359" t="n"/>
      <c r="AN63" s="359" t="n"/>
      <c r="AO63" s="359" t="n"/>
    </row>
    <row r="64" ht="26.25" customFormat="1" customHeight="1" s="359">
      <c r="A64" s="364" t="inlineStr">
        <is>
          <t>新宝利</t>
        </is>
      </c>
      <c r="B64" s="364" t="inlineStr">
        <is>
          <t>二期</t>
        </is>
      </c>
      <c r="C64" s="364" t="n">
        <v>4513340</v>
      </c>
      <c r="D64" s="364" t="inlineStr">
        <is>
          <t>15:50-18:00</t>
        </is>
      </c>
      <c r="E64" s="364" t="inlineStr">
        <is>
          <t>潜能班</t>
        </is>
      </c>
      <c r="F64" s="364" t="inlineStr">
        <is>
          <t>谭皓轩</t>
        </is>
      </c>
      <c r="G64" s="364" t="inlineStr">
        <is>
          <t>高心怡04</t>
        </is>
      </c>
      <c r="H64" s="364" t="inlineStr">
        <is>
          <t>黄铭怡</t>
        </is>
      </c>
      <c r="I64" s="364" t="inlineStr">
        <is>
          <t>田雨涵01</t>
        </is>
      </c>
      <c r="J64" s="364" t="inlineStr">
        <is>
          <t>林志豪01</t>
        </is>
      </c>
      <c r="K64" s="364" t="inlineStr">
        <is>
          <t>西关实验小学</t>
        </is>
      </c>
      <c r="L64" s="364" t="n"/>
      <c r="M64" s="364" t="inlineStr">
        <is>
          <t>自主性</t>
        </is>
      </c>
      <c r="N64" s="364" t="inlineStr">
        <is>
          <t>时态，</t>
        </is>
      </c>
      <c r="O64" s="364" t="inlineStr">
        <is>
          <t>英语稳定一点，没有补习过，</t>
        </is>
      </c>
      <c r="P64" s="364" t="n">
        <v>85</v>
      </c>
      <c r="Q64" s="364" t="inlineStr">
        <is>
          <t>无</t>
        </is>
      </c>
      <c r="R64" s="364" t="n"/>
      <c r="S64" s="364" t="n"/>
      <c r="T64" s="364" t="n"/>
      <c r="U64" s="364" t="n"/>
      <c r="V64" s="364" t="n"/>
      <c r="W64" s="364" t="n"/>
      <c r="X64" s="364" t="n"/>
      <c r="Y64" s="364" t="n"/>
      <c r="Z64" s="364" t="n"/>
      <c r="AA64" s="364" t="n"/>
      <c r="AB64" s="364" t="n"/>
      <c r="AC64" s="364" t="n"/>
      <c r="AD64" s="364" t="n"/>
      <c r="AE64" s="364" t="n"/>
      <c r="AF64" s="364" t="n"/>
      <c r="AG64" s="364" t="n"/>
      <c r="AH64" s="364" t="n"/>
      <c r="AI64" s="359" t="n"/>
      <c r="AJ64" s="359" t="n"/>
      <c r="AK64" s="359" t="n"/>
      <c r="AL64" s="281" t="n"/>
      <c r="AM64" s="359" t="n"/>
      <c r="AN64" s="359" t="n"/>
      <c r="AO64" s="359" t="n"/>
    </row>
    <row r="65" ht="26.25" customFormat="1" customHeight="1" s="359">
      <c r="A65" s="364" t="inlineStr">
        <is>
          <t>新宝利</t>
        </is>
      </c>
      <c r="B65" s="364" t="inlineStr">
        <is>
          <t>二期</t>
        </is>
      </c>
      <c r="C65" s="364" t="n">
        <v>4513340</v>
      </c>
      <c r="D65" s="364" t="inlineStr">
        <is>
          <t>15:50-18:00</t>
        </is>
      </c>
      <c r="E65" s="364" t="inlineStr">
        <is>
          <t>潜能班</t>
        </is>
      </c>
      <c r="F65" s="364" t="inlineStr">
        <is>
          <t>赵子赫</t>
        </is>
      </c>
      <c r="G65" s="364" t="inlineStr">
        <is>
          <t>高心怡04</t>
        </is>
      </c>
      <c r="H65" s="364" t="inlineStr">
        <is>
          <t>黄铭怡</t>
        </is>
      </c>
      <c r="I65" s="364" t="inlineStr">
        <is>
          <t>田雨涵01</t>
        </is>
      </c>
      <c r="J65" s="364" t="inlineStr">
        <is>
          <t>张敏烨</t>
        </is>
      </c>
      <c r="K65" s="364" t="n"/>
      <c r="L65" s="364" t="n"/>
      <c r="M65" s="364" t="inlineStr">
        <is>
          <t>督促</t>
        </is>
      </c>
      <c r="N65" s="364" t="inlineStr">
        <is>
          <t>没有补习过，提升一点，</t>
        </is>
      </c>
      <c r="O65" s="364" t="inlineStr">
        <is>
          <t>英语算好一点，内向一点，喜欢被鼓励。</t>
        </is>
      </c>
      <c r="P65" s="364" t="n">
        <v>90</v>
      </c>
      <c r="Q65" s="364" t="inlineStr">
        <is>
          <t>无</t>
        </is>
      </c>
      <c r="R65" s="364" t="n"/>
      <c r="S65" s="364" t="n"/>
      <c r="T65" s="364" t="n"/>
      <c r="U65" s="364" t="n"/>
      <c r="V65" s="364" t="n"/>
      <c r="W65" s="364" t="n"/>
      <c r="X65" s="364" t="n"/>
      <c r="Y65" s="364" t="n"/>
      <c r="Z65" s="364" t="n"/>
      <c r="AA65" s="364" t="n"/>
      <c r="AB65" s="364" t="n"/>
      <c r="AC65" s="364" t="n"/>
      <c r="AD65" s="364" t="n"/>
      <c r="AE65" s="364" t="n"/>
      <c r="AF65" s="364" t="n"/>
      <c r="AG65" s="364" t="n"/>
      <c r="AH65" s="364" t="n"/>
      <c r="AI65" s="359" t="n"/>
      <c r="AJ65" s="359" t="n"/>
      <c r="AK65" s="359" t="n"/>
      <c r="AL65" s="281" t="n"/>
      <c r="AM65" s="359" t="n"/>
      <c r="AN65" s="359" t="n"/>
      <c r="AO65" s="359" t="n"/>
    </row>
    <row r="66" ht="26.25" customFormat="1" customHeight="1" s="359">
      <c r="A66" s="364" t="inlineStr">
        <is>
          <t>新宝利</t>
        </is>
      </c>
      <c r="B66" s="364" t="inlineStr">
        <is>
          <t>二期</t>
        </is>
      </c>
      <c r="C66" s="364" t="n">
        <v>4513340</v>
      </c>
      <c r="D66" s="364" t="inlineStr">
        <is>
          <t>15:50-18:00</t>
        </is>
      </c>
      <c r="E66" s="364" t="inlineStr">
        <is>
          <t>潜能班</t>
        </is>
      </c>
      <c r="F66" s="364" t="inlineStr">
        <is>
          <t>陈加杰</t>
        </is>
      </c>
      <c r="G66" s="364" t="inlineStr">
        <is>
          <t>高心怡04</t>
        </is>
      </c>
      <c r="H66" s="364" t="inlineStr">
        <is>
          <t>黄铭怡</t>
        </is>
      </c>
      <c r="I66" s="364" t="inlineStr">
        <is>
          <t>田雨涵01</t>
        </is>
      </c>
      <c r="J66" s="364" t="inlineStr">
        <is>
          <t>杨林33</t>
        </is>
      </c>
      <c r="K66" s="364" t="n"/>
      <c r="L66" s="364" t="n"/>
      <c r="M66" s="364" t="n"/>
      <c r="N66" s="364" t="n"/>
      <c r="O66" s="364" t="inlineStr">
        <is>
          <t>电话不接，微信沟通。等待回复</t>
        </is>
      </c>
      <c r="P66" s="364" t="n"/>
      <c r="Q66" s="364" t="inlineStr">
        <is>
          <t>无</t>
        </is>
      </c>
      <c r="R66" s="364" t="n"/>
      <c r="S66" s="364" t="n"/>
      <c r="T66" s="364" t="n"/>
      <c r="U66" s="364" t="n"/>
      <c r="V66" s="364" t="n"/>
      <c r="W66" s="364" t="n"/>
      <c r="X66" s="364" t="n"/>
      <c r="Y66" s="364" t="n"/>
      <c r="Z66" s="364" t="n"/>
      <c r="AA66" s="364" t="n"/>
      <c r="AB66" s="364" t="n"/>
      <c r="AC66" s="364" t="n"/>
      <c r="AD66" s="364" t="n"/>
      <c r="AE66" s="364" t="n"/>
      <c r="AF66" s="364" t="n"/>
      <c r="AG66" s="364" t="n"/>
      <c r="AH66" s="364" t="n"/>
      <c r="AI66" s="359" t="n"/>
      <c r="AJ66" s="359" t="n"/>
      <c r="AK66" s="359" t="n"/>
      <c r="AL66" s="281" t="n"/>
      <c r="AM66" s="359" t="n"/>
      <c r="AN66" s="359" t="n"/>
      <c r="AO66" s="359" t="n"/>
    </row>
    <row r="67" ht="26.25" customFormat="1" customHeight="1" s="359">
      <c r="A67" s="364" t="inlineStr">
        <is>
          <t>新宝利</t>
        </is>
      </c>
      <c r="B67" s="364" t="inlineStr">
        <is>
          <t>二期</t>
        </is>
      </c>
      <c r="C67" s="364" t="n">
        <v>4513340</v>
      </c>
      <c r="D67" s="364" t="inlineStr">
        <is>
          <t>15:50-18:00</t>
        </is>
      </c>
      <c r="E67" s="364" t="inlineStr">
        <is>
          <t>潜能班</t>
        </is>
      </c>
      <c r="F67" s="364" t="inlineStr">
        <is>
          <t>陈梓熙</t>
        </is>
      </c>
      <c r="G67" s="364" t="inlineStr">
        <is>
          <t>高心怡04</t>
        </is>
      </c>
      <c r="H67" s="364" t="inlineStr">
        <is>
          <t>黄铭怡</t>
        </is>
      </c>
      <c r="I67" s="364" t="inlineStr">
        <is>
          <t>田雨涵01</t>
        </is>
      </c>
      <c r="J67" s="364" t="inlineStr">
        <is>
          <t>王丽</t>
        </is>
      </c>
      <c r="K67" s="364" t="n"/>
      <c r="L67" s="364" t="n"/>
      <c r="M67" s="364" t="inlineStr">
        <is>
          <t>自主</t>
        </is>
      </c>
      <c r="N67" s="364" t="inlineStr">
        <is>
          <t>语法，做题方法</t>
        </is>
      </c>
      <c r="O67" s="364" t="inlineStr">
        <is>
          <t>偏外向一点，话很多，跟谁都能聊。喜欢被鼓励和被信任</t>
        </is>
      </c>
      <c r="P67" s="364" t="n">
        <v>75</v>
      </c>
      <c r="Q67" s="364" t="inlineStr">
        <is>
          <t>无</t>
        </is>
      </c>
      <c r="R67" s="364" t="n"/>
      <c r="S67" s="364" t="n"/>
      <c r="T67" s="364" t="n"/>
      <c r="U67" s="364" t="n"/>
      <c r="V67" s="364" t="n"/>
      <c r="W67" s="364" t="n"/>
      <c r="X67" s="364" t="n"/>
      <c r="Y67" s="364" t="n"/>
      <c r="Z67" s="364" t="n"/>
      <c r="AA67" s="364" t="n"/>
      <c r="AB67" s="364" t="n"/>
      <c r="AC67" s="364" t="n"/>
      <c r="AD67" s="364" t="n"/>
      <c r="AE67" s="364" t="n"/>
      <c r="AF67" s="364" t="n"/>
      <c r="AG67" s="364" t="n"/>
      <c r="AH67" s="364" t="n"/>
      <c r="AI67" s="359" t="n"/>
      <c r="AJ67" s="359" t="n"/>
      <c r="AK67" s="359" t="n"/>
      <c r="AL67" s="281" t="n"/>
      <c r="AM67" s="359" t="n"/>
      <c r="AN67" s="359" t="n"/>
      <c r="AO67" s="359" t="n"/>
    </row>
    <row r="68" ht="26.25" customFormat="1" customHeight="1" s="359">
      <c r="A68" s="364" t="inlineStr">
        <is>
          <t>新宝利</t>
        </is>
      </c>
      <c r="B68" s="364" t="inlineStr">
        <is>
          <t>二期</t>
        </is>
      </c>
      <c r="C68" s="364" t="n">
        <v>4513340</v>
      </c>
      <c r="D68" s="364" t="inlineStr">
        <is>
          <t>15:50-18:00</t>
        </is>
      </c>
      <c r="E68" s="364" t="inlineStr">
        <is>
          <t>潜能班</t>
        </is>
      </c>
      <c r="F68" s="364" t="inlineStr">
        <is>
          <t>马嘉浩</t>
        </is>
      </c>
      <c r="G68" s="364" t="inlineStr">
        <is>
          <t>高心怡04</t>
        </is>
      </c>
      <c r="H68" s="364" t="inlineStr">
        <is>
          <t>黄铭怡</t>
        </is>
      </c>
      <c r="I68" s="364" t="inlineStr">
        <is>
          <t>田雨涵01</t>
        </is>
      </c>
      <c r="J68" s="364" t="inlineStr">
        <is>
          <t>王丽</t>
        </is>
      </c>
      <c r="K68" s="364" t="n"/>
      <c r="L68" s="364" t="n"/>
      <c r="M68" s="364" t="inlineStr">
        <is>
          <t>不好</t>
        </is>
      </c>
      <c r="N68" s="364" t="inlineStr">
        <is>
          <t>阅读题</t>
        </is>
      </c>
      <c r="O68" s="364" t="inlineStr">
        <is>
          <t>荔湾区，在卓越补没有效果。需要被提问，被关注！</t>
        </is>
      </c>
      <c r="P68" s="364" t="n">
        <v>70</v>
      </c>
      <c r="Q68" s="364" t="inlineStr">
        <is>
          <t>无</t>
        </is>
      </c>
      <c r="R68" s="364" t="n"/>
      <c r="S68" s="364" t="n"/>
      <c r="T68" s="364" t="n"/>
      <c r="U68" s="364" t="n"/>
      <c r="V68" s="364" t="n"/>
      <c r="W68" s="364" t="n"/>
      <c r="X68" s="364" t="n"/>
      <c r="Y68" s="364" t="n"/>
      <c r="Z68" s="364" t="n"/>
      <c r="AA68" s="364" t="n"/>
      <c r="AB68" s="364" t="n"/>
      <c r="AC68" s="364" t="n"/>
      <c r="AD68" s="364" t="n"/>
      <c r="AE68" s="364" t="n"/>
      <c r="AF68" s="364" t="n"/>
      <c r="AG68" s="364" t="n"/>
      <c r="AH68" s="364" t="n"/>
      <c r="AI68" s="359" t="n"/>
      <c r="AJ68" s="359" t="n"/>
      <c r="AK68" s="359" t="n"/>
      <c r="AL68" s="281" t="n"/>
      <c r="AM68" s="359" t="n"/>
      <c r="AN68" s="359" t="n"/>
      <c r="AO68" s="359" t="n"/>
    </row>
    <row r="69" ht="26.25" customFormat="1" customHeight="1" s="359">
      <c r="A69" s="364" t="inlineStr">
        <is>
          <t>新宝利</t>
        </is>
      </c>
      <c r="B69" s="364" t="inlineStr">
        <is>
          <t>二期</t>
        </is>
      </c>
      <c r="C69" s="364" t="n">
        <v>4513340</v>
      </c>
      <c r="D69" s="364" t="inlineStr">
        <is>
          <t>15:50-18:00</t>
        </is>
      </c>
      <c r="E69" s="364" t="inlineStr">
        <is>
          <t>潜能班</t>
        </is>
      </c>
      <c r="F69" s="364" t="inlineStr">
        <is>
          <t>魏绍恒</t>
        </is>
      </c>
      <c r="G69" s="364" t="inlineStr">
        <is>
          <t>高心怡04</t>
        </is>
      </c>
      <c r="H69" s="364" t="inlineStr">
        <is>
          <t>黄铭怡</t>
        </is>
      </c>
      <c r="I69" s="364" t="inlineStr">
        <is>
          <t>田雨涵01</t>
        </is>
      </c>
      <c r="J69" s="364" t="inlineStr">
        <is>
          <t>张敏烨</t>
        </is>
      </c>
      <c r="K69" s="364" t="n"/>
      <c r="L69" s="364" t="n"/>
      <c r="M69" s="364" t="inlineStr">
        <is>
          <t>自觉</t>
        </is>
      </c>
      <c r="N69" s="364" t="inlineStr">
        <is>
          <t>补基础</t>
        </is>
      </c>
      <c r="O69" s="364" t="inlineStr">
        <is>
          <t>其他机构还有课上</t>
        </is>
      </c>
      <c r="P69" s="364" t="n">
        <v>85</v>
      </c>
      <c r="Q69" s="364" t="n">
        <v>21</v>
      </c>
      <c r="R69" s="364" t="n"/>
      <c r="S69" s="364" t="n"/>
      <c r="T69" s="364" t="n"/>
      <c r="U69" s="364" t="n"/>
      <c r="V69" s="364" t="n"/>
      <c r="W69" s="364" t="n"/>
      <c r="X69" s="364" t="n"/>
      <c r="Y69" s="364" t="n"/>
      <c r="Z69" s="364" t="n"/>
      <c r="AA69" s="364" t="n"/>
      <c r="AB69" s="364" t="n"/>
      <c r="AC69" s="364" t="n"/>
      <c r="AD69" s="364" t="n"/>
      <c r="AE69" s="364" t="n"/>
      <c r="AF69" s="364" t="n"/>
      <c r="AG69" s="364" t="n"/>
      <c r="AH69" s="364" t="n"/>
      <c r="AI69" s="359" t="n"/>
      <c r="AJ69" s="359" t="n"/>
      <c r="AK69" s="359" t="n"/>
      <c r="AL69" s="281" t="n"/>
      <c r="AM69" s="359" t="n"/>
      <c r="AN69" s="359" t="n"/>
      <c r="AO69" s="359" t="n"/>
    </row>
    <row r="70" ht="26.25" customFormat="1" customHeight="1" s="359">
      <c r="A70" s="364" t="inlineStr">
        <is>
          <t>新宝利</t>
        </is>
      </c>
      <c r="B70" s="364" t="inlineStr">
        <is>
          <t>二期</t>
        </is>
      </c>
      <c r="C70" s="364" t="n">
        <v>4513340</v>
      </c>
      <c r="D70" s="364" t="inlineStr">
        <is>
          <t>15:50-18:00</t>
        </is>
      </c>
      <c r="E70" s="364" t="inlineStr">
        <is>
          <t>潜能班</t>
        </is>
      </c>
      <c r="F70" s="364" t="inlineStr">
        <is>
          <t>黄春瀚</t>
        </is>
      </c>
      <c r="G70" s="364" t="inlineStr">
        <is>
          <t>高心怡04</t>
        </is>
      </c>
      <c r="H70" s="364" t="inlineStr">
        <is>
          <t>黄铭怡</t>
        </is>
      </c>
      <c r="I70" s="364" t="inlineStr">
        <is>
          <t>田雨涵01</t>
        </is>
      </c>
      <c r="J70" s="364" t="inlineStr">
        <is>
          <t>杨林33</t>
        </is>
      </c>
      <c r="K70" s="364" t="n"/>
      <c r="L70" s="364" t="n"/>
      <c r="M70" s="364" t="n"/>
      <c r="N70" s="364" t="n"/>
      <c r="O70" s="364" t="n"/>
      <c r="P70" s="364" t="n"/>
      <c r="Q70" s="364" t="n"/>
      <c r="R70" s="364" t="n"/>
      <c r="S70" s="364" t="n"/>
      <c r="T70" s="364" t="n"/>
      <c r="U70" s="364" t="n"/>
      <c r="V70" s="364" t="n"/>
      <c r="W70" s="364" t="n"/>
      <c r="X70" s="364" t="n"/>
      <c r="Y70" s="364" t="n"/>
      <c r="Z70" s="364" t="n"/>
      <c r="AA70" s="364" t="n"/>
      <c r="AB70" s="364" t="n"/>
      <c r="AC70" s="364" t="n"/>
      <c r="AD70" s="364" t="n"/>
      <c r="AE70" s="364" t="n"/>
      <c r="AF70" s="364" t="n"/>
      <c r="AG70" s="364" t="n"/>
      <c r="AH70" s="364" t="n"/>
      <c r="AI70" s="359" t="n"/>
      <c r="AJ70" s="359" t="n"/>
      <c r="AK70" s="359" t="n"/>
      <c r="AL70" s="281" t="n"/>
      <c r="AM70" s="359" t="n"/>
      <c r="AN70" s="359" t="n"/>
      <c r="AO70" s="359" t="n"/>
    </row>
    <row r="71" ht="26.25" customFormat="1" customHeight="1" s="359">
      <c r="A71" s="364" t="inlineStr">
        <is>
          <t>新宝利</t>
        </is>
      </c>
      <c r="B71" s="364" t="inlineStr">
        <is>
          <t>二期</t>
        </is>
      </c>
      <c r="C71" s="364" t="n">
        <v>5230738</v>
      </c>
      <c r="D71" s="364" t="inlineStr">
        <is>
          <t>10:20-12:30</t>
        </is>
      </c>
      <c r="E71" s="364" t="inlineStr">
        <is>
          <t>潜能班</t>
        </is>
      </c>
      <c r="F71" s="364" t="inlineStr">
        <is>
          <t>何施乐</t>
        </is>
      </c>
      <c r="G71" s="364" t="inlineStr">
        <is>
          <t>高心怡04</t>
        </is>
      </c>
      <c r="H71" s="364" t="inlineStr">
        <is>
          <t>黄铭怡</t>
        </is>
      </c>
      <c r="I71" s="364" t="inlineStr">
        <is>
          <t>陈中帅</t>
        </is>
      </c>
      <c r="J71" s="364" t="inlineStr">
        <is>
          <t>张敏烨</t>
        </is>
      </c>
      <c r="K71" s="364" t="inlineStr">
        <is>
          <t>东风西路</t>
        </is>
      </c>
      <c r="L71" s="935" t="inlineStr">
        <is>
          <t>广大附中，等摇号
民德</t>
        </is>
      </c>
      <c r="M71" s="364" t="inlineStr">
        <is>
          <t>自觉</t>
        </is>
      </c>
      <c r="N71" s="364" t="inlineStr">
        <is>
          <t>做题不审题</t>
        </is>
      </c>
      <c r="O71" s="936" t="inlineStr">
        <is>
          <t>PET，品学学的KET，PET
很小迪士尼</t>
        </is>
      </c>
      <c r="P71" s="364" t="inlineStr">
        <is>
          <t>96-100</t>
        </is>
      </c>
      <c r="Q71" s="364" t="n">
        <v>30</v>
      </c>
      <c r="R71" s="364" t="n"/>
      <c r="S71" s="364" t="n"/>
      <c r="T71" s="364" t="n"/>
      <c r="U71" s="364" t="n"/>
      <c r="V71" s="364" t="n"/>
      <c r="W71" s="364" t="n"/>
      <c r="X71" s="364" t="n"/>
      <c r="Y71" s="364" t="n"/>
      <c r="Z71" s="364" t="n"/>
      <c r="AA71" s="364" t="n"/>
      <c r="AB71" s="364" t="n"/>
      <c r="AC71" s="364" t="n"/>
      <c r="AD71" s="364" t="n"/>
      <c r="AE71" s="364" t="n"/>
      <c r="AF71" s="364" t="n"/>
      <c r="AG71" s="364" t="n"/>
      <c r="AH71" s="364" t="n"/>
      <c r="AI71" s="359" t="n"/>
      <c r="AJ71" s="359" t="n"/>
      <c r="AK71" s="359" t="n"/>
      <c r="AL71" s="281" t="n"/>
      <c r="AM71" s="359" t="n"/>
      <c r="AN71" s="359" t="n"/>
      <c r="AO71" s="359" t="n"/>
    </row>
    <row r="72" ht="26.25" customFormat="1" customHeight="1" s="359">
      <c r="A72" s="364" t="inlineStr">
        <is>
          <t>新宝利</t>
        </is>
      </c>
      <c r="B72" s="364" t="inlineStr">
        <is>
          <t>二期</t>
        </is>
      </c>
      <c r="C72" s="364" t="n">
        <v>5230738</v>
      </c>
      <c r="D72" s="364" t="inlineStr">
        <is>
          <t>10:20-12:30</t>
        </is>
      </c>
      <c r="E72" s="364" t="inlineStr">
        <is>
          <t>潜能班</t>
        </is>
      </c>
      <c r="F72" s="364" t="inlineStr">
        <is>
          <t>俊儒</t>
        </is>
      </c>
      <c r="G72" s="364" t="inlineStr">
        <is>
          <t>高心怡04</t>
        </is>
      </c>
      <c r="H72" s="364" t="inlineStr">
        <is>
          <t>陈南05</t>
        </is>
      </c>
      <c r="I72" s="364" t="inlineStr">
        <is>
          <t>何咏04</t>
        </is>
      </c>
      <c r="J72" s="364" t="inlineStr">
        <is>
          <t>张敏烨</t>
        </is>
      </c>
      <c r="K72" s="364" t="inlineStr">
        <is>
          <t>小北路</t>
        </is>
      </c>
      <c r="L72" s="364" t="n"/>
      <c r="M72" s="364" t="inlineStr">
        <is>
          <t>肯学但是忘得快</t>
        </is>
      </c>
      <c r="N72" s="364" t="inlineStr">
        <is>
          <t>打基础</t>
        </is>
      </c>
      <c r="O72" s="937" t="inlineStr">
        <is>
          <t>笔记认真
做题慢
上过作业帮线上直播课，效果不好</t>
        </is>
      </c>
      <c r="P72" s="364" t="n">
        <v>87</v>
      </c>
      <c r="Q72" s="364" t="n">
        <v>25</v>
      </c>
      <c r="R72" s="364" t="n"/>
      <c r="S72" s="364" t="n"/>
      <c r="T72" s="364" t="n"/>
      <c r="U72" s="364" t="n"/>
      <c r="V72" s="364" t="n"/>
      <c r="W72" s="364" t="n"/>
      <c r="X72" s="364" t="n"/>
      <c r="Y72" s="364" t="n"/>
      <c r="Z72" s="364" t="n"/>
      <c r="AA72" s="364" t="n"/>
      <c r="AB72" s="364" t="n"/>
      <c r="AC72" s="364" t="n"/>
      <c r="AD72" s="364" t="n"/>
      <c r="AE72" s="364" t="n"/>
      <c r="AF72" s="364" t="n"/>
      <c r="AG72" s="364" t="n"/>
      <c r="AH72" s="364" t="n"/>
      <c r="AI72" s="359" t="n"/>
      <c r="AJ72" s="359" t="n"/>
      <c r="AK72" s="359" t="n"/>
      <c r="AL72" s="281" t="n"/>
      <c r="AM72" s="359" t="n"/>
      <c r="AN72" s="359" t="n"/>
      <c r="AO72" s="359" t="n"/>
    </row>
    <row r="73" ht="26.25" customFormat="1" customHeight="1" s="359">
      <c r="A73" s="364" t="inlineStr">
        <is>
          <t>新宝利</t>
        </is>
      </c>
      <c r="B73" s="364" t="inlineStr">
        <is>
          <t>二期</t>
        </is>
      </c>
      <c r="C73" s="364" t="n">
        <v>5230738</v>
      </c>
      <c r="D73" s="364" t="inlineStr">
        <is>
          <t>10:20-12:30</t>
        </is>
      </c>
      <c r="E73" s="364" t="inlineStr">
        <is>
          <t>潜能班</t>
        </is>
      </c>
      <c r="F73" s="364" t="inlineStr">
        <is>
          <t>关雅致</t>
        </is>
      </c>
      <c r="G73" s="364" t="inlineStr">
        <is>
          <t>高心怡04</t>
        </is>
      </c>
      <c r="H73" s="364" t="inlineStr">
        <is>
          <t>黄铭怡</t>
        </is>
      </c>
      <c r="I73" s="364" t="inlineStr">
        <is>
          <t>陈中帅</t>
        </is>
      </c>
      <c r="J73" s="364" t="inlineStr">
        <is>
          <t>张敏烨</t>
        </is>
      </c>
      <c r="K73" s="364" t="n"/>
      <c r="L73" s="938" t="inlineStr">
        <is>
          <t>三中，等摇号结果
三中实验</t>
        </is>
      </c>
      <c r="M73" s="364" t="inlineStr">
        <is>
          <t>自己会背会读，做作业在托管</t>
        </is>
      </c>
      <c r="N73" s="364" t="inlineStr">
        <is>
          <t>衔接</t>
        </is>
      </c>
      <c r="O73" s="939" t="inlineStr">
        <is>
          <t>从德华转到金阳再转到德华，和张翊昕一起的，张翊昕是德华的学生
爸爸管英语学习
笔记认真
现在在学大上班课英语课</t>
        </is>
      </c>
      <c r="P73" s="364" t="n">
        <v>74.5</v>
      </c>
      <c r="Q73" s="364" t="n">
        <v>24.5</v>
      </c>
      <c r="R73" s="364" t="n"/>
      <c r="S73" s="364" t="n"/>
      <c r="T73" s="364" t="n"/>
      <c r="U73" s="364" t="n"/>
      <c r="V73" s="364" t="n"/>
      <c r="W73" s="364" t="n"/>
      <c r="X73" s="364" t="n"/>
      <c r="Y73" s="364" t="n"/>
      <c r="Z73" s="364" t="n"/>
      <c r="AA73" s="364" t="n"/>
      <c r="AB73" s="364" t="n"/>
      <c r="AC73" s="364" t="n"/>
      <c r="AD73" s="364" t="n"/>
      <c r="AE73" s="364" t="n"/>
      <c r="AF73" s="364" t="n"/>
      <c r="AG73" s="364" t="n"/>
      <c r="AH73" s="364" t="n"/>
      <c r="AI73" s="359" t="n"/>
      <c r="AJ73" s="359" t="n"/>
      <c r="AK73" s="359" t="n"/>
      <c r="AL73" s="359" t="n"/>
      <c r="AM73" s="359" t="n"/>
      <c r="AN73" s="359" t="n"/>
      <c r="AO73" s="359" t="n"/>
    </row>
    <row r="74" ht="26.25" customFormat="1" customHeight="1" s="359">
      <c r="A74" s="364" t="inlineStr">
        <is>
          <t>新宝利</t>
        </is>
      </c>
      <c r="B74" s="364" t="inlineStr">
        <is>
          <t>二期</t>
        </is>
      </c>
      <c r="C74" s="364" t="n">
        <v>5230738</v>
      </c>
      <c r="D74" s="364" t="inlineStr">
        <is>
          <t>10:20-12:30</t>
        </is>
      </c>
      <c r="E74" s="364" t="inlineStr">
        <is>
          <t>潜能班</t>
        </is>
      </c>
      <c r="F74" s="364" t="inlineStr">
        <is>
          <t>吴季礼</t>
        </is>
      </c>
      <c r="G74" s="364" t="inlineStr">
        <is>
          <t>高心怡04</t>
        </is>
      </c>
      <c r="H74" s="364" t="inlineStr">
        <is>
          <t>黄铭怡</t>
        </is>
      </c>
      <c r="I74" s="364" t="inlineStr">
        <is>
          <t>陈中帅</t>
        </is>
      </c>
      <c r="J74" s="364" t="inlineStr">
        <is>
          <t>张敏烨</t>
        </is>
      </c>
      <c r="K74" s="364" t="n"/>
      <c r="L74" s="364" t="n"/>
      <c r="M74" s="364" t="n"/>
      <c r="N74" s="364" t="n"/>
      <c r="O74" s="364" t="n"/>
      <c r="P74" s="364" t="n"/>
      <c r="Q74" s="364" t="n"/>
      <c r="R74" s="364" t="n"/>
      <c r="S74" s="364" t="n"/>
      <c r="T74" s="364" t="n"/>
      <c r="U74" s="364" t="n"/>
      <c r="V74" s="364" t="n"/>
      <c r="W74" s="364" t="n"/>
      <c r="X74" s="364" t="n"/>
      <c r="Y74" s="364" t="n"/>
      <c r="Z74" s="364" t="n"/>
      <c r="AA74" s="364" t="n"/>
      <c r="AB74" s="364" t="n"/>
      <c r="AC74" s="364" t="n"/>
      <c r="AD74" s="364" t="n"/>
      <c r="AE74" s="364" t="n"/>
      <c r="AF74" s="364" t="n"/>
      <c r="AG74" s="364" t="n"/>
      <c r="AH74" s="364" t="n"/>
      <c r="AI74" s="359" t="n"/>
      <c r="AJ74" s="359" t="n"/>
      <c r="AK74" s="359" t="n"/>
      <c r="AL74" s="359" t="n"/>
      <c r="AM74" s="359" t="n"/>
      <c r="AN74" s="359" t="n"/>
      <c r="AO74" s="359" t="n"/>
    </row>
    <row r="75" ht="26.25" customFormat="1" customHeight="1" s="359">
      <c r="A75" s="364" t="inlineStr">
        <is>
          <t>新宝利</t>
        </is>
      </c>
      <c r="B75" s="364" t="inlineStr">
        <is>
          <t>二期</t>
        </is>
      </c>
      <c r="C75" s="364" t="n">
        <v>5230738</v>
      </c>
      <c r="D75" s="364" t="inlineStr">
        <is>
          <t>10:20-12:30</t>
        </is>
      </c>
      <c r="E75" s="364" t="inlineStr">
        <is>
          <t>潜能班</t>
        </is>
      </c>
      <c r="F75" s="364" t="inlineStr">
        <is>
          <t>吴皓霖</t>
        </is>
      </c>
      <c r="G75" s="364" t="inlineStr">
        <is>
          <t>高心怡04</t>
        </is>
      </c>
      <c r="H75" s="364" t="n"/>
      <c r="I75" s="364" t="inlineStr">
        <is>
          <t>陈中帅</t>
        </is>
      </c>
      <c r="J75" s="364" t="inlineStr">
        <is>
          <t>杨林33</t>
        </is>
      </c>
      <c r="K75" s="364" t="inlineStr">
        <is>
          <t>江南大道中</t>
        </is>
      </c>
      <c r="L75" s="364" t="inlineStr">
        <is>
          <t>等待摇号结果</t>
        </is>
      </c>
      <c r="M75" s="940" t="inlineStr">
        <is>
          <t>不愿意背单词，不愿意做
学校老师不布置作业</t>
        </is>
      </c>
      <c r="N75" s="364" t="inlineStr">
        <is>
          <t>让成绩提升，提高自信，家长觉得孩子是可以学，学生单纯不喜欢校内的数学&amp;英语</t>
        </is>
      </c>
      <c r="O75" s="941" t="inlineStr">
        <is>
          <t>抵触英语，英语：公文？数学已经停掉了跟着大帅
喜欢看漫画，但是不读文字书
语文更好，现在能有90分，书写差一些
要去民办学校了</t>
        </is>
      </c>
      <c r="P75" s="364" t="inlineStr">
        <is>
          <t>六下很薄弱在，80偶尔有，70居多</t>
        </is>
      </c>
      <c r="Q75" s="364" t="n">
        <v>26</v>
      </c>
      <c r="R75" s="364" t="n"/>
      <c r="S75" s="364" t="n"/>
      <c r="T75" s="364" t="n"/>
      <c r="U75" s="364" t="n"/>
      <c r="V75" s="364" t="n"/>
      <c r="W75" s="364" t="n"/>
      <c r="X75" s="364" t="n"/>
      <c r="Y75" s="364" t="n"/>
      <c r="Z75" s="364" t="n"/>
      <c r="AA75" s="364" t="n"/>
      <c r="AB75" s="364" t="n"/>
      <c r="AC75" s="364" t="n"/>
      <c r="AD75" s="364" t="n"/>
      <c r="AE75" s="364" t="n"/>
      <c r="AF75" s="364" t="n"/>
      <c r="AG75" s="364" t="n"/>
      <c r="AH75" s="364" t="n"/>
      <c r="AI75" s="359" t="n"/>
      <c r="AJ75" s="359" t="n"/>
      <c r="AK75" s="359" t="n"/>
      <c r="AL75" s="359" t="n"/>
      <c r="AM75" s="359" t="n"/>
      <c r="AN75" s="359" t="n"/>
      <c r="AO75" s="359" t="n"/>
    </row>
    <row r="76" ht="26.25" customFormat="1" customHeight="1" s="359">
      <c r="A76" s="364" t="inlineStr">
        <is>
          <t>新宝利</t>
        </is>
      </c>
      <c r="B76" s="364" t="inlineStr">
        <is>
          <t>二期</t>
        </is>
      </c>
      <c r="C76" s="364" t="n">
        <v>5230738</v>
      </c>
      <c r="D76" s="364" t="inlineStr">
        <is>
          <t>10:20-12:30</t>
        </is>
      </c>
      <c r="E76" s="364" t="inlineStr">
        <is>
          <t>潜能班</t>
        </is>
      </c>
      <c r="F76" s="364" t="inlineStr">
        <is>
          <t>周炜婷</t>
        </is>
      </c>
      <c r="G76" s="364" t="inlineStr">
        <is>
          <t>高心怡04</t>
        </is>
      </c>
      <c r="H76" s="364" t="inlineStr">
        <is>
          <t>黄铭怡</t>
        </is>
      </c>
      <c r="I76" s="364" t="inlineStr">
        <is>
          <t>陈中帅</t>
        </is>
      </c>
      <c r="J76" s="364" t="inlineStr">
        <is>
          <t>张敏烨</t>
        </is>
      </c>
      <c r="K76" s="364" t="n"/>
      <c r="L76" s="364" t="n"/>
      <c r="M76" s="364" t="n"/>
      <c r="N76" s="364" t="n"/>
      <c r="O76" s="364" t="n"/>
      <c r="P76" s="364" t="n">
        <v>98</v>
      </c>
      <c r="Q76" s="364" t="n">
        <v>41</v>
      </c>
      <c r="R76" s="364" t="n"/>
      <c r="S76" s="364" t="n"/>
      <c r="T76" s="364" t="n"/>
      <c r="U76" s="364" t="n"/>
      <c r="V76" s="364" t="n"/>
      <c r="W76" s="364" t="n"/>
      <c r="X76" s="364" t="n"/>
      <c r="Y76" s="364" t="n"/>
      <c r="Z76" s="364" t="n"/>
      <c r="AA76" s="364" t="n"/>
      <c r="AB76" s="364" t="n"/>
      <c r="AC76" s="364" t="n"/>
      <c r="AD76" s="364" t="n"/>
      <c r="AE76" s="364" t="n"/>
      <c r="AF76" s="364" t="n"/>
      <c r="AG76" s="364" t="n"/>
      <c r="AH76" s="364" t="n"/>
      <c r="AI76" s="359" t="n"/>
      <c r="AJ76" s="359" t="n"/>
      <c r="AK76" s="359" t="n"/>
      <c r="AL76" s="359" t="n"/>
      <c r="AM76" s="359" t="n"/>
      <c r="AN76" s="359" t="n"/>
      <c r="AO76" s="359" t="n"/>
    </row>
    <row r="77" ht="26.25" customFormat="1" customHeight="1" s="359">
      <c r="A77" s="364" t="inlineStr">
        <is>
          <t>新宝利</t>
        </is>
      </c>
      <c r="B77" s="364" t="inlineStr">
        <is>
          <t>二期</t>
        </is>
      </c>
      <c r="C77" s="364" t="n">
        <v>5230738</v>
      </c>
      <c r="D77" s="364" t="inlineStr">
        <is>
          <t>10:20-12:30</t>
        </is>
      </c>
      <c r="E77" s="364" t="inlineStr">
        <is>
          <t>潜能班</t>
        </is>
      </c>
      <c r="F77" s="364" t="inlineStr">
        <is>
          <t>周芷萱</t>
        </is>
      </c>
      <c r="G77" s="364" t="inlineStr">
        <is>
          <t>高心怡04</t>
        </is>
      </c>
      <c r="H77" s="364" t="inlineStr">
        <is>
          <t>黄铭怡</t>
        </is>
      </c>
      <c r="I77" s="364" t="inlineStr">
        <is>
          <t>陈中帅</t>
        </is>
      </c>
      <c r="J77" s="364" t="inlineStr">
        <is>
          <t>尚歆01</t>
        </is>
      </c>
      <c r="K77" s="364" t="inlineStr">
        <is>
          <t>荔湾文昌</t>
        </is>
      </c>
      <c r="L77" s="364" t="inlineStr">
        <is>
          <t>一中，摇号</t>
        </is>
      </c>
      <c r="M77" s="942" t="inlineStr">
        <is>
          <t>自觉背单词，自觉写作业，后面参加张道真杯
3-4月份的时候</t>
        </is>
      </c>
      <c r="N77" s="943" t="inlineStr">
        <is>
          <t>阅读理解技巧，作文，听力偶尔错
语法，音标</t>
        </is>
      </c>
      <c r="O77" s="944" t="inlineStr">
        <is>
          <t>笔记认真，英语不考KP，英语上的新东方张道真杯
家长在家里辅导</t>
        </is>
      </c>
      <c r="P77" s="364" t="n">
        <v>99</v>
      </c>
      <c r="Q77" s="364" t="n"/>
      <c r="R77" s="364" t="n"/>
      <c r="S77" s="364" t="n"/>
      <c r="T77" s="364" t="n"/>
      <c r="U77" s="364" t="n"/>
      <c r="V77" s="364" t="n"/>
      <c r="W77" s="364" t="n"/>
      <c r="X77" s="364" t="n"/>
      <c r="Y77" s="364" t="n"/>
      <c r="Z77" s="364" t="n"/>
      <c r="AA77" s="364" t="n"/>
      <c r="AB77" s="364" t="n"/>
      <c r="AC77" s="364" t="n"/>
      <c r="AD77" s="364" t="n"/>
      <c r="AE77" s="364" t="n"/>
      <c r="AF77" s="364" t="n"/>
      <c r="AG77" s="364" t="n"/>
      <c r="AH77" s="364" t="n"/>
      <c r="AI77" s="359" t="n"/>
      <c r="AJ77" s="359" t="n"/>
      <c r="AK77" s="359" t="n"/>
      <c r="AL77" s="359" t="n"/>
      <c r="AM77" s="359" t="n"/>
      <c r="AN77" s="359" t="n"/>
      <c r="AO77" s="359" t="n"/>
    </row>
    <row r="78" ht="26.25" customFormat="1" customHeight="1" s="359">
      <c r="A78" s="364" t="inlineStr">
        <is>
          <t>新宝利</t>
        </is>
      </c>
      <c r="B78" s="364" t="inlineStr">
        <is>
          <t>二期</t>
        </is>
      </c>
      <c r="C78" s="364" t="n">
        <v>5230738</v>
      </c>
      <c r="D78" s="364" t="inlineStr">
        <is>
          <t>10:20-12:30</t>
        </is>
      </c>
      <c r="E78" s="364" t="inlineStr">
        <is>
          <t>潜能班</t>
        </is>
      </c>
      <c r="F78" s="364" t="inlineStr">
        <is>
          <t>岑宝锐</t>
        </is>
      </c>
      <c r="G78" s="364" t="inlineStr">
        <is>
          <t>高心怡04</t>
        </is>
      </c>
      <c r="H78" s="364" t="inlineStr">
        <is>
          <t>黄铭怡</t>
        </is>
      </c>
      <c r="I78" s="364" t="inlineStr">
        <is>
          <t>陈中帅</t>
        </is>
      </c>
      <c r="J78" s="364" t="inlineStr">
        <is>
          <t>张敏烨</t>
        </is>
      </c>
      <c r="K78" s="364" t="n"/>
      <c r="L78" s="364" t="n"/>
      <c r="M78" s="364" t="n"/>
      <c r="N78" s="364" t="n"/>
      <c r="O78" s="364" t="inlineStr">
        <is>
          <t>家住西村，距离较远</t>
        </is>
      </c>
      <c r="P78" s="364" t="inlineStr">
        <is>
          <t>A</t>
        </is>
      </c>
      <c r="Q78" s="364" t="n"/>
      <c r="R78" s="364" t="n"/>
      <c r="S78" s="364" t="n"/>
      <c r="T78" s="364" t="n"/>
      <c r="U78" s="364" t="n"/>
      <c r="V78" s="364" t="n"/>
      <c r="W78" s="364" t="n"/>
      <c r="X78" s="364" t="n"/>
      <c r="Y78" s="364" t="n"/>
      <c r="Z78" s="364" t="n"/>
      <c r="AA78" s="364" t="n"/>
      <c r="AB78" s="364" t="n"/>
      <c r="AC78" s="364" t="n"/>
      <c r="AD78" s="364" t="n"/>
      <c r="AE78" s="364" t="n"/>
      <c r="AF78" s="364" t="n"/>
      <c r="AG78" s="364" t="n"/>
      <c r="AH78" s="364" t="n"/>
      <c r="AI78" s="359" t="n"/>
      <c r="AJ78" s="359" t="n"/>
      <c r="AK78" s="359" t="n"/>
      <c r="AL78" s="359" t="n"/>
      <c r="AM78" s="359" t="n"/>
      <c r="AN78" s="359" t="n"/>
      <c r="AO78" s="359" t="n"/>
    </row>
    <row r="79" ht="26.25" customFormat="1" customHeight="1" s="359">
      <c r="A79" s="364" t="inlineStr">
        <is>
          <t>新宝利</t>
        </is>
      </c>
      <c r="B79" s="364" t="inlineStr">
        <is>
          <t>二期</t>
        </is>
      </c>
      <c r="C79" s="364" t="n">
        <v>5230738</v>
      </c>
      <c r="D79" s="364" t="inlineStr">
        <is>
          <t>10:20-12:30</t>
        </is>
      </c>
      <c r="E79" s="364" t="inlineStr">
        <is>
          <t>潜能班</t>
        </is>
      </c>
      <c r="F79" s="364" t="inlineStr">
        <is>
          <t>庄梓轩</t>
        </is>
      </c>
      <c r="G79" s="364" t="inlineStr">
        <is>
          <t>高心怡04</t>
        </is>
      </c>
      <c r="H79" s="364" t="inlineStr">
        <is>
          <t>黄铭怡</t>
        </is>
      </c>
      <c r="I79" s="364" t="inlineStr">
        <is>
          <t>陈中帅</t>
        </is>
      </c>
      <c r="J79" s="364" t="inlineStr">
        <is>
          <t>苏丽婷</t>
        </is>
      </c>
      <c r="K79" s="364" t="n"/>
      <c r="L79" s="364" t="inlineStr">
        <is>
          <t>等摇号结果</t>
        </is>
      </c>
      <c r="M79" s="364" t="inlineStr">
        <is>
          <t>作业自己会完成，但是小心思比较多，会偷懒</t>
        </is>
      </c>
      <c r="N79" s="364" t="inlineStr">
        <is>
          <t>提前适应一下初中的内容为主</t>
        </is>
      </c>
      <c r="O79" s="945" t="inlineStr">
        <is>
          <t>笔记认真，但字迹潦草
.英语一直都是寒暑假会找老师一对一针对性查漏补缺和预习新内容</t>
        </is>
      </c>
      <c r="P79" s="364" t="n">
        <v>92</v>
      </c>
      <c r="Q79" s="364" t="n"/>
      <c r="R79" s="364" t="n"/>
      <c r="S79" s="364" t="n"/>
      <c r="T79" s="364" t="n"/>
      <c r="U79" s="364" t="n"/>
      <c r="V79" s="364" t="n"/>
      <c r="W79" s="364" t="n"/>
      <c r="X79" s="364" t="n"/>
      <c r="Y79" s="364" t="n"/>
      <c r="Z79" s="364" t="n"/>
      <c r="AA79" s="364" t="n"/>
      <c r="AB79" s="364" t="n"/>
      <c r="AC79" s="364" t="n"/>
      <c r="AD79" s="364" t="n"/>
      <c r="AE79" s="364" t="n"/>
      <c r="AF79" s="364" t="n"/>
      <c r="AG79" s="364" t="n"/>
      <c r="AH79" s="364" t="n"/>
      <c r="AI79" s="359" t="n"/>
      <c r="AJ79" s="359" t="n"/>
      <c r="AK79" s="359" t="n"/>
      <c r="AL79" s="359" t="n"/>
      <c r="AM79" s="359" t="n"/>
      <c r="AN79" s="359" t="n"/>
      <c r="AO79" s="359" t="n"/>
    </row>
    <row r="80" ht="26.25" customFormat="1" customHeight="1" s="359">
      <c r="A80" s="364" t="inlineStr">
        <is>
          <t>新宝利</t>
        </is>
      </c>
      <c r="B80" s="364" t="inlineStr">
        <is>
          <t>二期</t>
        </is>
      </c>
      <c r="C80" s="364" t="n">
        <v>5230738</v>
      </c>
      <c r="D80" s="364" t="inlineStr">
        <is>
          <t>10:20-12:30</t>
        </is>
      </c>
      <c r="E80" s="364" t="inlineStr">
        <is>
          <t>潜能班</t>
        </is>
      </c>
      <c r="F80" s="364" t="inlineStr">
        <is>
          <t>张樽昊</t>
        </is>
      </c>
      <c r="G80" s="364" t="inlineStr">
        <is>
          <t>高心怡04</t>
        </is>
      </c>
      <c r="H80" s="364" t="inlineStr">
        <is>
          <t>黄铭怡</t>
        </is>
      </c>
      <c r="I80" s="364" t="inlineStr">
        <is>
          <t>陈中帅</t>
        </is>
      </c>
      <c r="J80" s="364" t="inlineStr">
        <is>
          <t>沈思浩</t>
        </is>
      </c>
      <c r="K80" s="364" t="inlineStr">
        <is>
          <t>文昌路</t>
        </is>
      </c>
      <c r="L80" s="364" t="inlineStr">
        <is>
          <t>四中，等摇号</t>
        </is>
      </c>
      <c r="M80" s="364" t="inlineStr">
        <is>
          <t>自觉性很强，自己完成</t>
        </is>
      </c>
      <c r="N80" s="364" t="inlineStr">
        <is>
          <t>试一下课，衔接</t>
        </is>
      </c>
      <c r="O80" s="364" t="inlineStr">
        <is>
          <t>不上课，后面上网课但是设备干扰，会打游戏</t>
        </is>
      </c>
      <c r="P80" s="364" t="inlineStr">
        <is>
          <t>95左右4、5</t>
        </is>
      </c>
      <c r="Q80" s="364" t="n">
        <v>26.5</v>
      </c>
      <c r="R80" s="364" t="n"/>
      <c r="S80" s="364" t="n"/>
      <c r="T80" s="364" t="n"/>
      <c r="U80" s="364" t="n"/>
      <c r="V80" s="364" t="n"/>
      <c r="W80" s="364" t="n"/>
      <c r="X80" s="364" t="n"/>
      <c r="Y80" s="364" t="n"/>
      <c r="Z80" s="364" t="n"/>
      <c r="AA80" s="364" t="n"/>
      <c r="AB80" s="364" t="n"/>
      <c r="AC80" s="364" t="n"/>
      <c r="AD80" s="364" t="n"/>
      <c r="AE80" s="364" t="n"/>
      <c r="AF80" s="364" t="n"/>
      <c r="AG80" s="364" t="n"/>
      <c r="AH80" s="364" t="n"/>
      <c r="AI80" s="359" t="n"/>
      <c r="AJ80" s="359" t="n"/>
      <c r="AK80" s="359" t="n"/>
      <c r="AL80" s="359" t="n"/>
      <c r="AM80" s="359" t="n"/>
      <c r="AN80" s="359" t="n"/>
      <c r="AO80" s="359" t="n"/>
    </row>
    <row r="81" ht="26.25" customFormat="1" customHeight="1" s="359">
      <c r="A81" s="364" t="inlineStr">
        <is>
          <t>新宝利</t>
        </is>
      </c>
      <c r="B81" s="364" t="inlineStr">
        <is>
          <t>二期</t>
        </is>
      </c>
      <c r="C81" s="364" t="n">
        <v>5230738</v>
      </c>
      <c r="D81" s="364" t="inlineStr">
        <is>
          <t>10:20-12:30</t>
        </is>
      </c>
      <c r="E81" s="364" t="inlineStr">
        <is>
          <t>潜能班</t>
        </is>
      </c>
      <c r="F81" s="364" t="inlineStr">
        <is>
          <t>张瑞桐</t>
        </is>
      </c>
      <c r="G81" s="364" t="inlineStr">
        <is>
          <t>高心怡04</t>
        </is>
      </c>
      <c r="H81" s="364" t="inlineStr">
        <is>
          <t>黄铭怡</t>
        </is>
      </c>
      <c r="I81" s="364" t="inlineStr">
        <is>
          <t>陈中帅</t>
        </is>
      </c>
      <c r="J81" s="364" t="inlineStr">
        <is>
          <t>张敏烨</t>
        </is>
      </c>
      <c r="K81" s="364" t="inlineStr">
        <is>
          <t>八一希望</t>
        </is>
      </c>
      <c r="L81" s="364" t="inlineStr">
        <is>
          <t>等摇号结果</t>
        </is>
      </c>
      <c r="M81" s="364" t="inlineStr">
        <is>
          <t>自觉性很强，自己完成</t>
        </is>
      </c>
      <c r="N81" s="364" t="inlineStr">
        <is>
          <t>听力，口语发音</t>
        </is>
      </c>
      <c r="O81" s="946" t="inlineStr">
        <is>
          <t>五年级以前不好，新东方一对一但是效果不好
六下就没报了
笔记认真
所加微信和系统里不一样</t>
        </is>
      </c>
      <c r="P81" s="364" t="inlineStr">
        <is>
          <t>97-99，常年稳定A</t>
        </is>
      </c>
      <c r="Q81" s="364" t="n">
        <v>32</v>
      </c>
      <c r="R81" s="364" t="n"/>
      <c r="S81" s="364" t="n"/>
      <c r="T81" s="364" t="n"/>
      <c r="U81" s="364" t="n"/>
      <c r="V81" s="364" t="n"/>
      <c r="W81" s="364" t="n"/>
      <c r="X81" s="364" t="n"/>
      <c r="Y81" s="364" t="n"/>
      <c r="Z81" s="364" t="n"/>
      <c r="AA81" s="364" t="n"/>
      <c r="AB81" s="364" t="n"/>
      <c r="AC81" s="364" t="n"/>
      <c r="AD81" s="364" t="n"/>
      <c r="AE81" s="364" t="n"/>
      <c r="AF81" s="364" t="n"/>
      <c r="AG81" s="364" t="n"/>
      <c r="AH81" s="364" t="n"/>
      <c r="AI81" s="359" t="n"/>
      <c r="AJ81" s="359" t="n"/>
      <c r="AK81" s="359" t="n"/>
      <c r="AL81" s="359" t="n"/>
      <c r="AM81" s="359" t="n"/>
      <c r="AN81" s="359" t="n"/>
      <c r="AO81" s="359" t="n"/>
    </row>
    <row r="82" ht="26.25" customFormat="1" customHeight="1" s="359">
      <c r="A82" s="364" t="inlineStr">
        <is>
          <t>新宝利</t>
        </is>
      </c>
      <c r="B82" s="364" t="inlineStr">
        <is>
          <t>二期</t>
        </is>
      </c>
      <c r="C82" s="364" t="n">
        <v>5230738</v>
      </c>
      <c r="D82" s="364" t="inlineStr">
        <is>
          <t>10:20-12:30</t>
        </is>
      </c>
      <c r="E82" s="364" t="inlineStr">
        <is>
          <t>潜能班</t>
        </is>
      </c>
      <c r="F82" s="364" t="inlineStr">
        <is>
          <t>张翊昕</t>
        </is>
      </c>
      <c r="G82" s="364" t="inlineStr">
        <is>
          <t>高心怡04</t>
        </is>
      </c>
      <c r="H82" s="364" t="inlineStr">
        <is>
          <t>黄铭怡</t>
        </is>
      </c>
      <c r="I82" s="364" t="inlineStr">
        <is>
          <t>陈中帅</t>
        </is>
      </c>
      <c r="J82" s="364" t="inlineStr">
        <is>
          <t>张敏烨</t>
        </is>
      </c>
      <c r="K82" s="364" t="inlineStr">
        <is>
          <t>满族小学</t>
        </is>
      </c>
      <c r="L82" s="364" t="inlineStr">
        <is>
          <t>等摇号结果</t>
        </is>
      </c>
      <c r="M82" s="364" t="inlineStr">
        <is>
          <t>自己做作业</t>
        </is>
      </c>
      <c r="N82" s="364" t="inlineStr">
        <is>
          <t>上适应小升初衔接</t>
        </is>
      </c>
      <c r="O82" s="947" t="inlineStr">
        <is>
          <t>家长要求和金阳的学生“关雅致”一起上
笔记认真</t>
        </is>
      </c>
      <c r="P82" s="364" t="inlineStr">
        <is>
          <t>90上下</t>
        </is>
      </c>
      <c r="Q82" s="364" t="n">
        <v>32.5</v>
      </c>
      <c r="R82" s="364" t="n"/>
      <c r="S82" s="364" t="n"/>
      <c r="T82" s="364" t="n"/>
      <c r="U82" s="364" t="n"/>
      <c r="V82" s="364" t="n"/>
      <c r="W82" s="364" t="n"/>
      <c r="X82" s="364" t="n"/>
      <c r="Y82" s="364" t="n"/>
      <c r="Z82" s="364" t="n"/>
      <c r="AA82" s="364" t="n"/>
      <c r="AB82" s="364" t="n"/>
      <c r="AC82" s="364" t="n"/>
      <c r="AD82" s="364" t="n"/>
      <c r="AE82" s="364" t="n"/>
      <c r="AF82" s="364" t="n"/>
      <c r="AG82" s="364" t="n"/>
      <c r="AH82" s="364" t="n"/>
      <c r="AI82" s="359" t="n"/>
      <c r="AJ82" s="359" t="n"/>
      <c r="AK82" s="359" t="n"/>
      <c r="AL82" s="359" t="n"/>
      <c r="AM82" s="359" t="n"/>
      <c r="AN82" s="359" t="n"/>
      <c r="AO82" s="359" t="n"/>
    </row>
    <row r="83" ht="26.25" customFormat="1" customHeight="1" s="359">
      <c r="A83" s="364" t="inlineStr">
        <is>
          <t>新宝利</t>
        </is>
      </c>
      <c r="B83" s="364" t="inlineStr">
        <is>
          <t>二期</t>
        </is>
      </c>
      <c r="C83" s="364" t="n">
        <v>5230738</v>
      </c>
      <c r="D83" s="364" t="inlineStr">
        <is>
          <t>10:20-12:30</t>
        </is>
      </c>
      <c r="E83" s="364" t="inlineStr">
        <is>
          <t>潜能班</t>
        </is>
      </c>
      <c r="F83" s="364" t="inlineStr">
        <is>
          <t>曹梓晴</t>
        </is>
      </c>
      <c r="G83" s="364" t="inlineStr">
        <is>
          <t>高心怡04</t>
        </is>
      </c>
      <c r="H83" s="364" t="inlineStr">
        <is>
          <t>黄铭怡</t>
        </is>
      </c>
      <c r="I83" s="364" t="inlineStr">
        <is>
          <t>陈中帅</t>
        </is>
      </c>
      <c r="J83" s="364" t="inlineStr">
        <is>
          <t>张敏烨</t>
        </is>
      </c>
      <c r="K83" s="364" t="inlineStr">
        <is>
          <t>红火炬</t>
        </is>
      </c>
      <c r="L83" s="364" t="inlineStr">
        <is>
          <t>等摇号结果</t>
        </is>
      </c>
      <c r="M83" s="364" t="inlineStr">
        <is>
          <t>自觉，自己搞定</t>
        </is>
      </c>
      <c r="N83" s="364" t="inlineStr">
        <is>
          <t>提前适应初中</t>
        </is>
      </c>
      <c r="O83" s="948" t="inlineStr">
        <is>
          <t>过了KET，家长能自己辅导阅读，从来不上英语课外班，数学上的直播网课
所加微信和系统里不一样</t>
        </is>
      </c>
      <c r="P83" s="364" t="n">
        <v>97</v>
      </c>
      <c r="Q83" s="364" t="n">
        <v>41</v>
      </c>
      <c r="R83" s="364" t="n"/>
      <c r="S83" s="364" t="n"/>
      <c r="T83" s="364" t="n"/>
      <c r="U83" s="364" t="n"/>
      <c r="V83" s="364" t="n"/>
      <c r="W83" s="364" t="n"/>
      <c r="X83" s="364" t="n"/>
      <c r="Y83" s="364" t="n"/>
      <c r="Z83" s="364" t="n"/>
      <c r="AA83" s="364" t="n"/>
      <c r="AB83" s="364" t="n"/>
      <c r="AC83" s="364" t="n"/>
      <c r="AD83" s="364" t="n"/>
      <c r="AE83" s="364" t="n"/>
      <c r="AF83" s="364" t="n"/>
      <c r="AG83" s="364" t="n"/>
      <c r="AH83" s="364" t="n"/>
      <c r="AI83" s="359" t="n"/>
      <c r="AJ83" s="359" t="n"/>
      <c r="AK83" s="359" t="n"/>
      <c r="AL83" s="359" t="n"/>
      <c r="AM83" s="359" t="n"/>
      <c r="AN83" s="359" t="n"/>
      <c r="AO83" s="359" t="n"/>
    </row>
    <row r="84" ht="26.25" customFormat="1" customHeight="1" s="359">
      <c r="A84" s="364" t="inlineStr">
        <is>
          <t>新宝利</t>
        </is>
      </c>
      <c r="B84" s="364" t="inlineStr">
        <is>
          <t>二期</t>
        </is>
      </c>
      <c r="C84" s="364" t="n">
        <v>5230738</v>
      </c>
      <c r="D84" s="364" t="inlineStr">
        <is>
          <t>10:20-12:30</t>
        </is>
      </c>
      <c r="E84" s="364" t="inlineStr">
        <is>
          <t>潜能班</t>
        </is>
      </c>
      <c r="F84" s="364" t="inlineStr">
        <is>
          <t>李奕翔</t>
        </is>
      </c>
      <c r="G84" s="364" t="inlineStr">
        <is>
          <t>高心怡04</t>
        </is>
      </c>
      <c r="H84" s="364" t="inlineStr">
        <is>
          <t>黄铭怡</t>
        </is>
      </c>
      <c r="I84" s="364" t="inlineStr">
        <is>
          <t>陈中帅</t>
        </is>
      </c>
      <c r="J84" s="364" t="inlineStr">
        <is>
          <t>杨林33</t>
        </is>
      </c>
      <c r="K84" s="364" t="inlineStr">
        <is>
          <t>越秀区回民小学</t>
        </is>
      </c>
      <c r="L84" s="364" t="n"/>
      <c r="M84" s="364" t="inlineStr">
        <is>
          <t>单词记不牢，听写不对</t>
        </is>
      </c>
      <c r="N84" s="364" t="inlineStr">
        <is>
          <t>试一下课，衔接</t>
        </is>
      </c>
      <c r="O84" s="364" t="inlineStr">
        <is>
          <t>没上其他班</t>
        </is>
      </c>
      <c r="P84" s="364" t="inlineStr">
        <is>
          <t>英语A-B之间徘徊，80分-90分之间</t>
        </is>
      </c>
      <c r="Q84" s="364" t="n">
        <v>33</v>
      </c>
      <c r="R84" s="364" t="n"/>
      <c r="S84" s="364" t="n"/>
      <c r="T84" s="364" t="n"/>
      <c r="U84" s="364" t="n"/>
      <c r="V84" s="364" t="n"/>
      <c r="W84" s="364" t="n"/>
      <c r="X84" s="364" t="n"/>
      <c r="Y84" s="364" t="n"/>
      <c r="Z84" s="364" t="n"/>
      <c r="AA84" s="364" t="n"/>
      <c r="AB84" s="364" t="n"/>
      <c r="AC84" s="364" t="n"/>
      <c r="AD84" s="364" t="n"/>
      <c r="AE84" s="364" t="n"/>
      <c r="AF84" s="364" t="n"/>
      <c r="AG84" s="364" t="n"/>
      <c r="AH84" s="364" t="n"/>
      <c r="AI84" s="359" t="n"/>
      <c r="AJ84" s="359" t="n"/>
      <c r="AK84" s="359" t="n"/>
      <c r="AL84" s="359" t="n"/>
      <c r="AM84" s="359" t="n"/>
      <c r="AN84" s="359" t="n"/>
      <c r="AO84" s="359" t="n"/>
    </row>
    <row r="85" ht="26.25" customFormat="1" customHeight="1" s="359">
      <c r="A85" s="364" t="inlineStr">
        <is>
          <t>新宝利</t>
        </is>
      </c>
      <c r="B85" s="364" t="inlineStr">
        <is>
          <t>二期</t>
        </is>
      </c>
      <c r="C85" s="364" t="n">
        <v>5230738</v>
      </c>
      <c r="D85" s="364" t="inlineStr">
        <is>
          <t>10:20-12:30</t>
        </is>
      </c>
      <c r="E85" s="364" t="inlineStr">
        <is>
          <t>潜能班</t>
        </is>
      </c>
      <c r="F85" s="364" t="inlineStr">
        <is>
          <t>梁悦轩</t>
        </is>
      </c>
      <c r="G85" s="364" t="inlineStr">
        <is>
          <t>高心怡04</t>
        </is>
      </c>
      <c r="H85" s="364" t="inlineStr">
        <is>
          <t>黄铭怡</t>
        </is>
      </c>
      <c r="I85" s="364" t="inlineStr">
        <is>
          <t>陈中帅</t>
        </is>
      </c>
      <c r="J85" s="364" t="inlineStr">
        <is>
          <t>林志豪01</t>
        </is>
      </c>
      <c r="K85" s="364" t="n"/>
      <c r="L85" s="364" t="inlineStr">
        <is>
          <t>海珠中路小学</t>
        </is>
      </c>
      <c r="M85" s="364" t="n"/>
      <c r="N85" s="364" t="n">
        <v>95</v>
      </c>
      <c r="O85" s="364" t="inlineStr">
        <is>
          <t>习惯比较自律</t>
        </is>
      </c>
      <c r="P85" s="364" t="n">
        <v>34</v>
      </c>
      <c r="Q85" s="364" t="n">
        <v>44</v>
      </c>
      <c r="R85" s="364" t="n"/>
      <c r="S85" s="364" t="n"/>
      <c r="T85" s="364" t="n"/>
      <c r="U85" s="364" t="n"/>
      <c r="V85" s="364" t="n"/>
      <c r="W85" s="364" t="n"/>
      <c r="X85" s="364" t="n"/>
      <c r="Y85" s="364" t="n"/>
      <c r="Z85" s="364" t="n"/>
      <c r="AA85" s="364" t="n"/>
      <c r="AB85" s="364" t="n"/>
      <c r="AC85" s="364" t="n"/>
      <c r="AD85" s="364" t="n"/>
      <c r="AE85" s="364" t="n"/>
      <c r="AF85" s="364" t="n"/>
      <c r="AG85" s="364" t="n"/>
      <c r="AH85" s="364" t="n"/>
      <c r="AI85" s="359" t="n"/>
      <c r="AJ85" s="359" t="n"/>
      <c r="AK85" s="359" t="n"/>
      <c r="AL85" s="359" t="n"/>
      <c r="AM85" s="359" t="n"/>
      <c r="AN85" s="359" t="n"/>
      <c r="AO85" s="359" t="n"/>
    </row>
    <row r="86" ht="26.25" customFormat="1" customHeight="1" s="359">
      <c r="A86" s="365" t="inlineStr">
        <is>
          <t>新宝利</t>
        </is>
      </c>
      <c r="B86" s="365" t="inlineStr">
        <is>
          <t>二期</t>
        </is>
      </c>
      <c r="C86" s="365" t="n">
        <v>5230738</v>
      </c>
      <c r="D86" s="365" t="inlineStr">
        <is>
          <t>10:20-12:30</t>
        </is>
      </c>
      <c r="E86" s="365" t="inlineStr">
        <is>
          <t>潜能班</t>
        </is>
      </c>
      <c r="F86" s="365" t="inlineStr">
        <is>
          <t>梁雅茹</t>
        </is>
      </c>
      <c r="G86" s="365" t="inlineStr">
        <is>
          <t>高心怡04</t>
        </is>
      </c>
      <c r="H86" s="365" t="n"/>
      <c r="I86" s="365" t="n"/>
      <c r="J86" s="365" t="inlineStr">
        <is>
          <t>林志豪01</t>
        </is>
      </c>
      <c r="K86" s="365" t="n"/>
      <c r="L86" s="365" t="n"/>
      <c r="M86" s="365" t="n"/>
      <c r="N86" s="365" t="n"/>
      <c r="O86" s="365" t="n"/>
      <c r="P86" s="365" t="n"/>
      <c r="Q86" s="365" t="n"/>
      <c r="R86" s="365" t="n"/>
      <c r="S86" s="365" t="n"/>
      <c r="T86" s="365" t="n"/>
      <c r="U86" s="365" t="n"/>
      <c r="V86" s="365" t="n"/>
      <c r="W86" s="365" t="n"/>
      <c r="X86" s="365" t="n"/>
      <c r="Y86" s="365" t="n"/>
      <c r="Z86" s="365" t="n"/>
      <c r="AA86" s="365" t="n"/>
      <c r="AB86" s="365" t="n"/>
      <c r="AC86" s="365" t="n"/>
      <c r="AD86" s="365" t="n"/>
      <c r="AE86" s="365" t="n"/>
      <c r="AF86" s="365" t="n"/>
      <c r="AG86" s="365" t="n"/>
      <c r="AH86" s="365" t="n"/>
      <c r="AI86" s="359" t="n"/>
      <c r="AJ86" s="359" t="n"/>
      <c r="AK86" s="359" t="n"/>
      <c r="AL86" s="359" t="n"/>
      <c r="AM86" s="359" t="n"/>
      <c r="AN86" s="359" t="n"/>
      <c r="AO86" s="359" t="n"/>
    </row>
    <row r="87" ht="26.25" customFormat="1" customHeight="1" s="359">
      <c r="A87" s="365" t="inlineStr">
        <is>
          <t>新宝利</t>
        </is>
      </c>
      <c r="B87" s="365" t="inlineStr">
        <is>
          <t>二期</t>
        </is>
      </c>
      <c r="C87" s="365" t="n">
        <v>5230738</v>
      </c>
      <c r="D87" s="365" t="inlineStr">
        <is>
          <t>10:20-12:30</t>
        </is>
      </c>
      <c r="E87" s="365" t="inlineStr">
        <is>
          <t>潜能班</t>
        </is>
      </c>
      <c r="F87" s="365" t="inlineStr">
        <is>
          <t>温培烨</t>
        </is>
      </c>
      <c r="G87" s="365" t="inlineStr">
        <is>
          <t>高心怡04</t>
        </is>
      </c>
      <c r="H87" s="365" t="n"/>
      <c r="I87" s="365" t="n"/>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c r="AI87" s="359" t="n"/>
      <c r="AJ87" s="359" t="n"/>
      <c r="AK87" s="359" t="n"/>
      <c r="AL87" s="359" t="n"/>
      <c r="AM87" s="359" t="n"/>
      <c r="AN87" s="359" t="n"/>
      <c r="AO87" s="359" t="n"/>
    </row>
    <row r="88" ht="26.25" customFormat="1" customHeight="1" s="359">
      <c r="A88" s="364" t="inlineStr">
        <is>
          <t>新宝利</t>
        </is>
      </c>
      <c r="B88" s="364" t="inlineStr">
        <is>
          <t>二期</t>
        </is>
      </c>
      <c r="C88" s="364" t="n">
        <v>5230738</v>
      </c>
      <c r="D88" s="364" t="inlineStr">
        <is>
          <t>10:20-12:30</t>
        </is>
      </c>
      <c r="E88" s="364" t="inlineStr">
        <is>
          <t>潜能班</t>
        </is>
      </c>
      <c r="F88" s="364" t="inlineStr">
        <is>
          <t>罗悦庭</t>
        </is>
      </c>
      <c r="G88" s="364" t="inlineStr">
        <is>
          <t>高心怡04</t>
        </is>
      </c>
      <c r="H88" s="364" t="inlineStr">
        <is>
          <t>黄铭怡</t>
        </is>
      </c>
      <c r="I88" s="364" t="n"/>
      <c r="J88" s="364" t="inlineStr">
        <is>
          <t>杨林33</t>
        </is>
      </c>
      <c r="K88" s="364" t="inlineStr">
        <is>
          <t>秉正</t>
        </is>
      </c>
      <c r="L88" s="364" t="inlineStr">
        <is>
          <t>等摇号结果</t>
        </is>
      </c>
      <c r="M88" s="364" t="inlineStr">
        <is>
          <t>自觉</t>
        </is>
      </c>
      <c r="N88" s="364" t="n"/>
      <c r="O88" s="949" t="inlineStr">
        <is>
          <t>英语课一年前就没上过了，KET 127，
钢琴，编程，小记者，跆拳道都上课
笔记认真，家长不怎么管学习</t>
        </is>
      </c>
      <c r="P88" s="364" t="n">
        <v>97</v>
      </c>
      <c r="Q88" s="364" t="n"/>
      <c r="R88" s="364" t="n"/>
      <c r="S88" s="364" t="n"/>
      <c r="T88" s="364" t="n"/>
      <c r="U88" s="364" t="n"/>
      <c r="V88" s="364" t="n"/>
      <c r="W88" s="364" t="n"/>
      <c r="X88" s="364" t="n"/>
      <c r="Y88" s="364" t="n"/>
      <c r="Z88" s="364" t="n"/>
      <c r="AA88" s="364" t="n"/>
      <c r="AB88" s="364" t="n"/>
      <c r="AC88" s="364" t="n"/>
      <c r="AD88" s="364" t="n"/>
      <c r="AE88" s="364" t="n"/>
      <c r="AF88" s="364" t="n"/>
      <c r="AG88" s="364" t="n"/>
      <c r="AH88" s="364" t="n"/>
      <c r="AI88" s="359" t="n"/>
      <c r="AJ88" s="359" t="n"/>
      <c r="AK88" s="359" t="n"/>
      <c r="AL88" s="359" t="n"/>
      <c r="AM88" s="359" t="n"/>
      <c r="AN88" s="359" t="n"/>
      <c r="AO88" s="359" t="n"/>
    </row>
    <row r="89" ht="26.25" customFormat="1" customHeight="1" s="359">
      <c r="A89" s="364" t="inlineStr">
        <is>
          <t>新宝利</t>
        </is>
      </c>
      <c r="B89" s="364" t="inlineStr">
        <is>
          <t>二期</t>
        </is>
      </c>
      <c r="C89" s="364" t="n">
        <v>5230738</v>
      </c>
      <c r="D89" s="364" t="inlineStr">
        <is>
          <t>10:20-12:30</t>
        </is>
      </c>
      <c r="E89" s="364" t="inlineStr">
        <is>
          <t>潜能班</t>
        </is>
      </c>
      <c r="F89" s="364" t="inlineStr">
        <is>
          <t>邹子慧</t>
        </is>
      </c>
      <c r="G89" s="364" t="inlineStr">
        <is>
          <t>高心怡04</t>
        </is>
      </c>
      <c r="H89" s="364" t="inlineStr">
        <is>
          <t>李润</t>
        </is>
      </c>
      <c r="I89" s="364" t="inlineStr">
        <is>
          <t>陈中帅</t>
        </is>
      </c>
      <c r="J89" s="364" t="inlineStr">
        <is>
          <t>沈思浩</t>
        </is>
      </c>
      <c r="K89" s="364" t="inlineStr">
        <is>
          <t>旧部前</t>
        </is>
      </c>
      <c r="L89" s="364" t="inlineStr">
        <is>
          <t>等摇号，二中</t>
        </is>
      </c>
      <c r="M89" s="364" t="inlineStr">
        <is>
          <t>基本都要盯着，家长还是很关心孩子的</t>
        </is>
      </c>
      <c r="N89" s="364" t="inlineStr">
        <is>
          <t>语法、时态</t>
        </is>
      </c>
      <c r="O89" s="950" t="inlineStr">
        <is>
          <t>小时候EF，新东方，六年级学而思
笔记认真</t>
        </is>
      </c>
      <c r="P89" s="364" t="inlineStr">
        <is>
          <t>80-90之间，AB徘徊</t>
        </is>
      </c>
      <c r="Q89" s="364" t="n"/>
      <c r="R89" s="364" t="n"/>
      <c r="S89" s="364" t="n"/>
      <c r="T89" s="364" t="n"/>
      <c r="U89" s="364" t="n"/>
      <c r="V89" s="364" t="n"/>
      <c r="W89" s="364" t="n"/>
      <c r="X89" s="364" t="n"/>
      <c r="Y89" s="364" t="n"/>
      <c r="Z89" s="364" t="n"/>
      <c r="AA89" s="364" t="n"/>
      <c r="AB89" s="364" t="n"/>
      <c r="AC89" s="364" t="n"/>
      <c r="AD89" s="364" t="n"/>
      <c r="AE89" s="364" t="n"/>
      <c r="AF89" s="364" t="n"/>
      <c r="AG89" s="364" t="n"/>
      <c r="AH89" s="364" t="n"/>
      <c r="AI89" s="359" t="n"/>
      <c r="AJ89" s="359" t="n"/>
      <c r="AK89" s="359" t="n"/>
      <c r="AL89" s="359" t="n"/>
      <c r="AM89" s="359" t="n"/>
      <c r="AN89" s="359" t="n"/>
      <c r="AO89" s="359" t="n"/>
    </row>
    <row r="90" ht="26.25" customFormat="1" customHeight="1" s="359">
      <c r="A90" s="364" t="inlineStr">
        <is>
          <t>新宝利</t>
        </is>
      </c>
      <c r="B90" s="364" t="inlineStr">
        <is>
          <t>二期</t>
        </is>
      </c>
      <c r="C90" s="364" t="n">
        <v>5230738</v>
      </c>
      <c r="D90" s="364" t="inlineStr">
        <is>
          <t>10:20-12:30</t>
        </is>
      </c>
      <c r="E90" s="364" t="inlineStr">
        <is>
          <t>潜能班</t>
        </is>
      </c>
      <c r="F90" s="364" t="inlineStr">
        <is>
          <t>郑本熙</t>
        </is>
      </c>
      <c r="G90" s="364" t="inlineStr">
        <is>
          <t>高心怡04</t>
        </is>
      </c>
      <c r="H90" s="364" t="inlineStr">
        <is>
          <t>黄铭怡</t>
        </is>
      </c>
      <c r="I90" s="364" t="inlineStr">
        <is>
          <t>陈中帅</t>
        </is>
      </c>
      <c r="J90" s="364" t="inlineStr">
        <is>
          <t>沈思浩</t>
        </is>
      </c>
      <c r="K90" s="364" t="inlineStr">
        <is>
          <t>东风西路</t>
        </is>
      </c>
      <c r="L90" s="364" t="inlineStr">
        <is>
          <t>十七</t>
        </is>
      </c>
      <c r="M90" s="951" t="inlineStr">
        <is>
          <t>单词还好，背课文不认真
阅读看完后就会似懂非懂</t>
        </is>
      </c>
      <c r="N90" s="364" t="inlineStr">
        <is>
          <t>从来没上过英语补习班</t>
        </is>
      </c>
      <c r="O90" s="364" t="inlineStr">
        <is>
          <t>笔记潦草</t>
        </is>
      </c>
      <c r="P90" s="364" t="inlineStr">
        <is>
          <t>90左右，但是不稳定</t>
        </is>
      </c>
      <c r="Q90" s="364" t="n">
        <v>27</v>
      </c>
      <c r="R90" s="364" t="n"/>
      <c r="S90" s="364" t="n"/>
      <c r="T90" s="364" t="n"/>
      <c r="U90" s="364" t="n"/>
      <c r="V90" s="364" t="n"/>
      <c r="W90" s="364" t="n"/>
      <c r="X90" s="364" t="n"/>
      <c r="Y90" s="364" t="n"/>
      <c r="Z90" s="364" t="n"/>
      <c r="AA90" s="364" t="n"/>
      <c r="AB90" s="364" t="n"/>
      <c r="AC90" s="364" t="n"/>
      <c r="AD90" s="364" t="n"/>
      <c r="AE90" s="364" t="n"/>
      <c r="AF90" s="364" t="n"/>
      <c r="AG90" s="364" t="n"/>
      <c r="AH90" s="364" t="n"/>
      <c r="AI90" s="359" t="n"/>
      <c r="AJ90" s="359" t="n"/>
      <c r="AK90" s="359" t="n"/>
      <c r="AL90" s="359" t="n"/>
      <c r="AM90" s="359" t="n"/>
      <c r="AN90" s="359" t="n"/>
      <c r="AO90" s="359" t="n"/>
    </row>
    <row r="91" ht="26.25" customFormat="1" customHeight="1" s="359">
      <c r="A91" s="365" t="inlineStr">
        <is>
          <t>新宝利</t>
        </is>
      </c>
      <c r="B91" s="365" t="inlineStr">
        <is>
          <t>二期</t>
        </is>
      </c>
      <c r="C91" s="365" t="n">
        <v>5230738</v>
      </c>
      <c r="D91" s="365" t="inlineStr">
        <is>
          <t>10:20-12:30</t>
        </is>
      </c>
      <c r="E91" s="365" t="inlineStr">
        <is>
          <t>潜能班</t>
        </is>
      </c>
      <c r="F91" s="365" t="inlineStr">
        <is>
          <t>陆芷琳</t>
        </is>
      </c>
      <c r="G91" s="365" t="inlineStr">
        <is>
          <t>高心怡04</t>
        </is>
      </c>
      <c r="H91" s="365" t="n"/>
      <c r="I91" s="365" t="n"/>
      <c r="J91" s="365" t="inlineStr">
        <is>
          <t>杨林33</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c r="AI91" s="359" t="n"/>
      <c r="AJ91" s="359" t="n"/>
      <c r="AK91" s="359" t="n"/>
      <c r="AL91" s="359" t="n"/>
      <c r="AM91" s="359" t="n"/>
      <c r="AN91" s="359" t="n"/>
      <c r="AO91" s="359" t="n"/>
    </row>
    <row r="92" ht="26.25" customFormat="1" customHeight="1" s="359">
      <c r="A92" s="364" t="inlineStr">
        <is>
          <t>新宝利</t>
        </is>
      </c>
      <c r="B92" s="364" t="inlineStr">
        <is>
          <t>二期</t>
        </is>
      </c>
      <c r="C92" s="364" t="n">
        <v>5230738</v>
      </c>
      <c r="D92" s="364" t="inlineStr">
        <is>
          <t>10:20-12:30</t>
        </is>
      </c>
      <c r="E92" s="364" t="inlineStr">
        <is>
          <t>潜能班</t>
        </is>
      </c>
      <c r="F92" s="364" t="inlineStr">
        <is>
          <t>陈韵晞</t>
        </is>
      </c>
      <c r="G92" s="364" t="inlineStr">
        <is>
          <t>高心怡04</t>
        </is>
      </c>
      <c r="H92" s="364" t="n"/>
      <c r="I92" s="364" t="inlineStr">
        <is>
          <t>何咏04</t>
        </is>
      </c>
      <c r="J92" s="364" t="inlineStr">
        <is>
          <t>张敏烨</t>
        </is>
      </c>
      <c r="K92" s="364" t="n"/>
      <c r="L92" s="364" t="n"/>
      <c r="M92" s="364" t="n"/>
      <c r="N92" s="364" t="n"/>
      <c r="O92" s="364" t="n"/>
      <c r="P92" s="364" t="n"/>
      <c r="Q92" s="364" t="n"/>
      <c r="R92" s="364" t="n"/>
      <c r="S92" s="364" t="n"/>
      <c r="T92" s="364" t="n"/>
      <c r="U92" s="364" t="n"/>
      <c r="V92" s="364" t="n"/>
      <c r="W92" s="364" t="n"/>
      <c r="X92" s="364" t="n"/>
      <c r="Y92" s="364" t="n"/>
      <c r="Z92" s="364" t="n"/>
      <c r="AA92" s="364" t="n"/>
      <c r="AB92" s="364" t="n"/>
      <c r="AC92" s="364" t="n"/>
      <c r="AD92" s="364" t="n"/>
      <c r="AE92" s="364" t="n"/>
      <c r="AF92" s="364" t="n"/>
      <c r="AG92" s="364" t="n"/>
      <c r="AH92" s="364" t="n"/>
      <c r="AI92" s="359" t="n"/>
      <c r="AJ92" s="359" t="n"/>
      <c r="AK92" s="359" t="n"/>
      <c r="AL92" s="359" t="n"/>
      <c r="AM92" s="359" t="n"/>
      <c r="AN92" s="359" t="n"/>
      <c r="AO92" s="359" t="n"/>
    </row>
    <row r="93" ht="26.25" customFormat="1" customHeight="1" s="359">
      <c r="A93" s="364" t="inlineStr">
        <is>
          <t>新宝利</t>
        </is>
      </c>
      <c r="B93" s="364" t="inlineStr">
        <is>
          <t>二期</t>
        </is>
      </c>
      <c r="C93" s="364" t="n">
        <v>5230738</v>
      </c>
      <c r="D93" s="364" t="inlineStr">
        <is>
          <t>10:20-12:30</t>
        </is>
      </c>
      <c r="E93" s="364" t="inlineStr">
        <is>
          <t>潜能班</t>
        </is>
      </c>
      <c r="F93" s="364" t="inlineStr">
        <is>
          <t>麦紫蕊</t>
        </is>
      </c>
      <c r="G93" s="364" t="inlineStr">
        <is>
          <t>高心怡04</t>
        </is>
      </c>
      <c r="H93" s="364" t="inlineStr">
        <is>
          <t>黄铭怡</t>
        </is>
      </c>
      <c r="I93" s="364" t="inlineStr">
        <is>
          <t>陈中帅</t>
        </is>
      </c>
      <c r="J93" s="364" t="inlineStr">
        <is>
          <t>张敏烨</t>
        </is>
      </c>
      <c r="K93" s="364" t="n"/>
      <c r="L93" s="364" t="n"/>
      <c r="M93" s="364" t="n"/>
      <c r="N93" s="364" t="n"/>
      <c r="O93" s="364" t="n"/>
      <c r="P93" s="364" t="n">
        <v>88</v>
      </c>
      <c r="Q93" s="364" t="n"/>
      <c r="R93" s="364" t="n"/>
      <c r="S93" s="364" t="n"/>
      <c r="T93" s="364" t="n"/>
      <c r="U93" s="364" t="n"/>
      <c r="V93" s="364" t="n"/>
      <c r="W93" s="364" t="n"/>
      <c r="X93" s="364" t="n"/>
      <c r="Y93" s="364" t="n"/>
      <c r="Z93" s="364" t="n"/>
      <c r="AA93" s="364" t="n"/>
      <c r="AB93" s="364" t="n"/>
      <c r="AC93" s="364" t="n"/>
      <c r="AD93" s="364" t="n"/>
      <c r="AE93" s="364" t="n"/>
      <c r="AF93" s="364" t="n"/>
      <c r="AG93" s="364" t="n"/>
      <c r="AH93" s="364" t="n"/>
      <c r="AI93" s="359" t="n"/>
      <c r="AJ93" s="359" t="n"/>
      <c r="AK93" s="359" t="n"/>
      <c r="AL93" s="359" t="n"/>
      <c r="AM93" s="359" t="n"/>
      <c r="AN93" s="359" t="n"/>
      <c r="AO93" s="359" t="n"/>
    </row>
    <row r="94" ht="26.25" customFormat="1" customHeight="1" s="359">
      <c r="A94" s="364" t="inlineStr">
        <is>
          <t>新宝利</t>
        </is>
      </c>
      <c r="B94" s="364" t="inlineStr">
        <is>
          <t>二期</t>
        </is>
      </c>
      <c r="C94" s="364" t="n">
        <v>5230738</v>
      </c>
      <c r="D94" s="364" t="inlineStr">
        <is>
          <t>10:20-12:30</t>
        </is>
      </c>
      <c r="E94" s="364" t="inlineStr">
        <is>
          <t>潜能班</t>
        </is>
      </c>
      <c r="F94" s="364" t="inlineStr">
        <is>
          <t>黄宝莹</t>
        </is>
      </c>
      <c r="G94" s="364" t="inlineStr">
        <is>
          <t>高心怡04</t>
        </is>
      </c>
      <c r="H94" s="364" t="inlineStr">
        <is>
          <t>李润</t>
        </is>
      </c>
      <c r="I94" s="364" t="inlineStr">
        <is>
          <t>陈中帅</t>
        </is>
      </c>
      <c r="J94" s="364" t="inlineStr">
        <is>
          <t>沈思浩</t>
        </is>
      </c>
      <c r="K94" s="364" t="inlineStr">
        <is>
          <t>旧部前</t>
        </is>
      </c>
      <c r="L94" s="364" t="inlineStr">
        <is>
          <t>三中，华侨，等摇号</t>
        </is>
      </c>
      <c r="M94" s="952" t="inlineStr">
        <is>
          <t>做事慢，其他学科做的慢
审题不认真，做题需要特别叮嘱一些事项
妈妈会叮嘱孩子的单词</t>
        </is>
      </c>
      <c r="N94" s="953" t="inlineStr">
        <is>
          <t>提起兴趣，衔接初中
词汇量不够</t>
        </is>
      </c>
      <c r="O94" s="954" t="inlineStr">
        <is>
          <t>不考KET，PET，慢热紧张
妈妈是本科，自己能辅导小学程度的英语，在学舞蹈何画画，笔记认真</t>
        </is>
      </c>
      <c r="P94" s="364" t="n">
        <v>94</v>
      </c>
      <c r="Q94" s="364" t="n"/>
      <c r="R94" s="364" t="n"/>
      <c r="S94" s="364" t="n"/>
      <c r="T94" s="364" t="n"/>
      <c r="U94" s="364" t="n"/>
      <c r="V94" s="364" t="n"/>
      <c r="W94" s="364" t="n"/>
      <c r="X94" s="364" t="n"/>
      <c r="Y94" s="364" t="n"/>
      <c r="Z94" s="364" t="n"/>
      <c r="AA94" s="364" t="n"/>
      <c r="AB94" s="364" t="n"/>
      <c r="AC94" s="364" t="n"/>
      <c r="AD94" s="364" t="n"/>
      <c r="AE94" s="364" t="n"/>
      <c r="AF94" s="364" t="n"/>
      <c r="AG94" s="364" t="n"/>
      <c r="AH94" s="364" t="n"/>
      <c r="AI94" s="359" t="n"/>
      <c r="AJ94" s="359" t="n"/>
      <c r="AK94" s="359" t="n"/>
      <c r="AL94" s="359" t="n"/>
      <c r="AM94" s="359" t="n"/>
      <c r="AN94" s="359" t="n"/>
      <c r="AO94" s="359" t="n"/>
    </row>
    <row r="95" ht="26.25" customFormat="1" customHeight="1" s="359">
      <c r="A95" s="364" t="inlineStr">
        <is>
          <t>新宝利</t>
        </is>
      </c>
      <c r="B95" s="364" t="inlineStr">
        <is>
          <t>二期</t>
        </is>
      </c>
      <c r="C95" s="364" t="n">
        <v>5230738</v>
      </c>
      <c r="D95" s="364" t="inlineStr">
        <is>
          <t>10:20-12:30</t>
        </is>
      </c>
      <c r="E95" s="364" t="inlineStr">
        <is>
          <t>潜能班</t>
        </is>
      </c>
      <c r="F95" s="364" t="inlineStr">
        <is>
          <t>黄雨桐</t>
        </is>
      </c>
      <c r="G95" s="364" t="inlineStr">
        <is>
          <t>高心怡04</t>
        </is>
      </c>
      <c r="H95" s="364" t="inlineStr">
        <is>
          <t>黄铭怡</t>
        </is>
      </c>
      <c r="I95" s="364" t="inlineStr">
        <is>
          <t>陈中帅</t>
        </is>
      </c>
      <c r="J95" s="364" t="inlineStr">
        <is>
          <t>林志豪01</t>
        </is>
      </c>
      <c r="K95" s="364" t="inlineStr">
        <is>
          <t>雅荷塘小学</t>
        </is>
      </c>
      <c r="L95" s="364" t="n"/>
      <c r="M95" s="364" t="inlineStr">
        <is>
          <t>自觉</t>
        </is>
      </c>
      <c r="N95" s="364" t="inlineStr">
        <is>
          <t>一般过去时</t>
        </is>
      </c>
      <c r="O95" s="364" t="inlineStr">
        <is>
          <t>积极提问，家长配合</t>
        </is>
      </c>
      <c r="P95" s="364" t="n">
        <v>90</v>
      </c>
      <c r="Q95" s="364" t="n">
        <v>35</v>
      </c>
      <c r="R95" s="364" t="n"/>
      <c r="S95" s="364" t="n"/>
      <c r="T95" s="364" t="inlineStr">
        <is>
          <t>已申请</t>
        </is>
      </c>
      <c r="U95" s="364" t="n"/>
      <c r="V95" s="364" t="inlineStr">
        <is>
          <t>是</t>
        </is>
      </c>
      <c r="W95" s="364" t="n"/>
      <c r="X95" s="364" t="n"/>
      <c r="Y95" s="364" t="n"/>
      <c r="Z95" s="364" t="n"/>
      <c r="AA95" s="364" t="n"/>
      <c r="AB95" s="364" t="n"/>
      <c r="AC95" s="364" t="n"/>
      <c r="AD95" s="364" t="n"/>
      <c r="AE95" s="364" t="n"/>
      <c r="AF95" s="364" t="n"/>
      <c r="AG95" s="364" t="n"/>
      <c r="AH95" s="364" t="n"/>
      <c r="AI95" s="359" t="n"/>
      <c r="AJ95" s="359" t="n"/>
      <c r="AK95" s="359" t="n"/>
      <c r="AL95" s="359" t="n"/>
      <c r="AM95" s="359" t="n"/>
      <c r="AN95" s="359" t="n"/>
      <c r="AO95" s="359" t="n"/>
    </row>
    <row r="96" ht="26.25" customFormat="1" customHeight="1" s="359">
      <c r="A96" s="364" t="inlineStr">
        <is>
          <t>新宝利</t>
        </is>
      </c>
      <c r="B96" s="364" t="inlineStr">
        <is>
          <t>二期</t>
        </is>
      </c>
      <c r="C96" s="281" t="n">
        <v>4513340</v>
      </c>
      <c r="D96" s="364" t="inlineStr">
        <is>
          <t>15:50-18:00</t>
        </is>
      </c>
      <c r="E96" s="364" t="inlineStr">
        <is>
          <t>潜能班</t>
        </is>
      </c>
      <c r="F96" s="119" t="inlineStr">
        <is>
          <t>萧嘉骏</t>
        </is>
      </c>
      <c r="G96" s="119" t="inlineStr">
        <is>
          <t>高心怡04</t>
        </is>
      </c>
      <c r="H96" s="364" t="inlineStr">
        <is>
          <t>黄铭怡</t>
        </is>
      </c>
      <c r="I96" s="364" t="inlineStr">
        <is>
          <t>田雨涵01</t>
        </is>
      </c>
      <c r="J96" s="364" t="n"/>
      <c r="K96" s="364" t="n"/>
      <c r="L96" s="364" t="n"/>
      <c r="M96" s="364" t="n"/>
      <c r="N96" s="364" t="n"/>
      <c r="O96" s="364" t="n"/>
      <c r="P96" s="364" t="n"/>
      <c r="Q96" s="364" t="n"/>
      <c r="R96" s="364" t="n"/>
      <c r="S96" s="364" t="n"/>
      <c r="T96" s="364" t="n"/>
      <c r="U96" s="364" t="n"/>
      <c r="V96" s="364" t="n"/>
      <c r="W96" s="364" t="n"/>
      <c r="X96" s="364" t="n"/>
      <c r="Y96" s="364" t="n"/>
      <c r="Z96" s="364" t="n"/>
      <c r="AA96" s="364" t="n"/>
      <c r="AB96" s="364" t="n"/>
      <c r="AC96" s="364" t="n"/>
      <c r="AD96" s="364" t="n"/>
      <c r="AE96" s="364" t="n"/>
      <c r="AF96" s="364" t="n"/>
      <c r="AG96" s="364" t="n"/>
      <c r="AH96" s="364" t="n"/>
      <c r="AI96" s="359" t="n"/>
      <c r="AJ96" s="359" t="n"/>
      <c r="AK96" s="359" t="n"/>
      <c r="AL96" s="359" t="n"/>
      <c r="AM96" s="359" t="n"/>
      <c r="AN96" s="359" t="n"/>
      <c r="AO96" s="359" t="n"/>
    </row>
    <row r="97" ht="18" customHeight="1" s="1053">
      <c r="A97" s="339" t="inlineStr">
        <is>
          <t>同创汇</t>
        </is>
      </c>
      <c r="B97" s="339" t="inlineStr">
        <is>
          <t>零期</t>
        </is>
      </c>
      <c r="C97" s="339" t="n">
        <v>5230737</v>
      </c>
      <c r="D97" s="339" t="inlineStr">
        <is>
          <t>13:20-15:30</t>
        </is>
      </c>
      <c r="E97" s="339" t="inlineStr">
        <is>
          <t>潜能班</t>
        </is>
      </c>
      <c r="F97" s="119" t="inlineStr">
        <is>
          <t>廖宇轩</t>
        </is>
      </c>
      <c r="G97" s="339" t="inlineStr">
        <is>
          <t>高心怡04</t>
        </is>
      </c>
      <c r="H97" s="339" t="inlineStr">
        <is>
          <t>李润</t>
        </is>
      </c>
      <c r="I97" s="339" t="inlineStr">
        <is>
          <t>陈中帅</t>
        </is>
      </c>
      <c r="J97" s="119" t="inlineStr">
        <is>
          <t>戎凯01</t>
        </is>
      </c>
      <c r="T97" s="339" t="inlineStr">
        <is>
          <t>是</t>
        </is>
      </c>
      <c r="U97" s="339" t="inlineStr">
        <is>
          <t>否</t>
        </is>
      </c>
      <c r="V97" s="339" t="inlineStr">
        <is>
          <t>是</t>
        </is>
      </c>
      <c r="W97" s="339" t="inlineStr">
        <is>
          <t>是</t>
        </is>
      </c>
      <c r="AD97" s="366" t="inlineStr">
        <is>
          <t>S</t>
        </is>
      </c>
      <c r="AH97" s="359" t="n"/>
      <c r="AI97" s="366" t="inlineStr">
        <is>
          <t>是</t>
        </is>
      </c>
      <c r="AJ97" s="366" t="inlineStr">
        <is>
          <t>底子薄，今天主动要求抄笔记了，多鼓励</t>
        </is>
      </c>
      <c r="AK97" s="366" t="inlineStr">
        <is>
          <t>明早打，昨天没休息好，能坚持下来，很有进步了</t>
        </is>
      </c>
      <c r="AL97" s="366"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3" min="11" max="11"/>
    <col width="13.875" customWidth="1" style="1053" min="12" max="12"/>
    <col width="24.2490234375" customWidth="1" style="426" min="13" max="13"/>
    <col width="19.875" customWidth="1" style="426" min="14" max="14"/>
    <col width="20.25" customWidth="1" style="426" min="15" max="15"/>
    <col width="13.5" customWidth="1" style="1053" min="16" max="16"/>
    <col width="13.6083984375" customWidth="1" style="1053" min="26" max="26"/>
    <col width="14.5810546875" customWidth="1" style="1053" min="27" max="27"/>
    <col width="13.6083984375" customWidth="1" style="1053" min="28" max="28"/>
    <col width="14.7216796875" customWidth="1" style="1053" min="29" max="29"/>
  </cols>
  <sheetData>
    <row r="1" ht="26.25" customHeight="1" s="1053">
      <c r="A1" s="427" t="inlineStr">
        <is>
          <t>基本信息</t>
        </is>
      </c>
      <c r="K1" s="428" t="inlineStr">
        <is>
          <t>基本学情</t>
        </is>
      </c>
      <c r="P1" s="429" t="inlineStr">
        <is>
          <t>成绩</t>
        </is>
      </c>
      <c r="T1" s="430" t="inlineStr">
        <is>
          <t>课前建联</t>
        </is>
      </c>
      <c r="Z1" s="431" t="inlineStr">
        <is>
          <t>家长会</t>
        </is>
      </c>
      <c r="AD1" s="432" t="inlineStr">
        <is>
          <t>续费意愿盘点</t>
        </is>
      </c>
      <c r="AH1" s="432" t="inlineStr">
        <is>
          <t>续秋情况</t>
        </is>
      </c>
      <c r="AI1" s="56" t="inlineStr">
        <is>
          <t>首课电联</t>
        </is>
      </c>
    </row>
    <row r="2" ht="26.25" customHeight="1" s="1053">
      <c r="A2" s="433" t="inlineStr">
        <is>
          <t>校区</t>
        </is>
      </c>
      <c r="B2" s="433" t="inlineStr">
        <is>
          <t>期次</t>
        </is>
      </c>
      <c r="C2" s="433" t="inlineStr">
        <is>
          <t>班级ID</t>
        </is>
      </c>
      <c r="D2" s="433" t="inlineStr">
        <is>
          <t>上课时间</t>
        </is>
      </c>
      <c r="E2" s="433" t="inlineStr">
        <is>
          <t>班型</t>
        </is>
      </c>
      <c r="F2" s="433" t="inlineStr">
        <is>
          <t>学生姓名</t>
        </is>
      </c>
      <c r="G2" s="433" t="inlineStr">
        <is>
          <t>主讲</t>
        </is>
      </c>
      <c r="H2" s="433" t="inlineStr">
        <is>
          <t>搭班数学</t>
        </is>
      </c>
      <c r="I2" s="433" t="inlineStr">
        <is>
          <t>搭班语文</t>
        </is>
      </c>
      <c r="J2" s="433" t="inlineStr">
        <is>
          <t>顾问老师</t>
        </is>
      </c>
      <c r="K2" s="433" t="inlineStr">
        <is>
          <t>就读小学</t>
        </is>
      </c>
      <c r="L2" s="433" t="inlineStr">
        <is>
          <t>就读初中</t>
        </is>
      </c>
      <c r="M2" s="955" t="inlineStr">
        <is>
          <t>学习习惯
学习意愿</t>
        </is>
      </c>
      <c r="N2" s="316" t="inlineStr">
        <is>
          <t>补课核心诉求</t>
        </is>
      </c>
      <c r="O2" s="316" t="inlineStr">
        <is>
          <t>其它情况备注</t>
        </is>
      </c>
      <c r="P2" s="433" t="inlineStr">
        <is>
          <t>校内成绩</t>
        </is>
      </c>
      <c r="Q2" s="433" t="inlineStr">
        <is>
          <t>报前测成绩</t>
        </is>
      </c>
      <c r="R2" s="433" t="inlineStr">
        <is>
          <t>五讲一测（1）</t>
        </is>
      </c>
      <c r="S2" s="433" t="inlineStr">
        <is>
          <t>五讲一测（2）</t>
        </is>
      </c>
      <c r="T2" s="433" t="inlineStr">
        <is>
          <t>是否加微</t>
        </is>
      </c>
      <c r="U2" s="433" t="inlineStr">
        <is>
          <t>是否电访</t>
        </is>
      </c>
      <c r="V2" s="433" t="inlineStr">
        <is>
          <t>是否VIP群</t>
        </is>
      </c>
      <c r="W2" s="433" t="inlineStr">
        <is>
          <t>是否班级群</t>
        </is>
      </c>
      <c r="X2" s="433" t="inlineStr">
        <is>
          <t>是否参与报前测</t>
        </is>
      </c>
      <c r="Y2" s="433" t="inlineStr">
        <is>
          <t>是否参与期末复习课</t>
        </is>
      </c>
      <c r="Z2" s="433" t="inlineStr">
        <is>
          <t>课前家长会诺访</t>
        </is>
      </c>
      <c r="AA2" s="433" t="inlineStr">
        <is>
          <t>课前家长会到场</t>
        </is>
      </c>
      <c r="AB2" s="433" t="inlineStr">
        <is>
          <t>课中家长会诺访</t>
        </is>
      </c>
      <c r="AC2" s="433" t="inlineStr">
        <is>
          <t>课中家长会到场</t>
        </is>
      </c>
      <c r="AD2" s="956" t="inlineStr">
        <is>
          <t>学员分层
（主讲）</t>
        </is>
      </c>
      <c r="AE2" s="433" t="inlineStr">
        <is>
          <t>主讲判定依据</t>
        </is>
      </c>
      <c r="AF2" s="957" t="inlineStr">
        <is>
          <t>学员分层
（顾问）</t>
        </is>
      </c>
      <c r="AG2" s="433" t="inlineStr">
        <is>
          <t>顾问判定依据</t>
        </is>
      </c>
      <c r="AH2" s="432" t="n"/>
      <c r="AI2" s="56" t="inlineStr">
        <is>
          <t>是否电联</t>
        </is>
      </c>
      <c r="AJ2" s="56" t="inlineStr">
        <is>
          <t>学情备注</t>
        </is>
      </c>
    </row>
    <row r="3" ht="26.25" customFormat="1" customHeight="1" s="366">
      <c r="A3" s="340" t="inlineStr">
        <is>
          <t>同创汇</t>
        </is>
      </c>
      <c r="B3" s="340" t="inlineStr">
        <is>
          <t>二期</t>
        </is>
      </c>
      <c r="C3" s="340" t="n">
        <v>3132893</v>
      </c>
      <c r="D3" s="340" t="inlineStr">
        <is>
          <t>15:50-18:00</t>
        </is>
      </c>
      <c r="E3" s="340" t="inlineStr">
        <is>
          <t>潜能班</t>
        </is>
      </c>
      <c r="F3" s="340" t="inlineStr">
        <is>
          <t>安安</t>
        </is>
      </c>
      <c r="G3" s="340" t="inlineStr">
        <is>
          <t>刘希子</t>
        </is>
      </c>
      <c r="H3" s="340" t="n"/>
      <c r="I3" s="340" t="n"/>
      <c r="J3" s="340" t="inlineStr">
        <is>
          <t>王丽</t>
        </is>
      </c>
      <c r="K3" s="340" t="n"/>
      <c r="L3" s="340" t="n"/>
      <c r="M3" s="340" t="n"/>
      <c r="N3" s="340" t="n"/>
      <c r="O3" s="340" t="n"/>
      <c r="P3" s="340" t="n"/>
      <c r="Q3" s="340" t="n"/>
      <c r="R3" s="340" t="n"/>
      <c r="S3" s="340" t="n"/>
      <c r="T3" s="340" t="n"/>
      <c r="U3" s="340" t="n"/>
      <c r="V3" s="340" t="n"/>
      <c r="W3" s="340" t="n"/>
      <c r="X3" s="340" t="n"/>
      <c r="Y3" s="340" t="n"/>
      <c r="Z3" s="340" t="n"/>
      <c r="AA3" s="340" t="n"/>
      <c r="AB3" s="340" t="n"/>
      <c r="AC3" s="340" t="n"/>
      <c r="AD3" s="340" t="n"/>
      <c r="AE3" s="340" t="n"/>
      <c r="AF3" s="340" t="n"/>
      <c r="AG3" s="340" t="n"/>
      <c r="AH3" s="340" t="n"/>
      <c r="AM3" s="119" t="inlineStr">
        <is>
          <t>兰美熙</t>
        </is>
      </c>
    </row>
    <row r="4" ht="26.25" customFormat="1" customHeight="1" s="424">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K4" s="315" t="n"/>
      <c r="L4" s="315" t="inlineStr">
        <is>
          <t>育才</t>
        </is>
      </c>
      <c r="M4" s="958" t="inlineStr">
        <is>
          <t>记忆力比较好但是不认真
让他做什么就能做什么
注意力不集中要提点</t>
        </is>
      </c>
      <c r="N4" s="959" t="inlineStr">
        <is>
          <t>基础不好，听力不好
句型不会</t>
        </is>
      </c>
      <c r="O4" s="426" t="inlineStr">
        <is>
          <t>1对1补课</t>
        </is>
      </c>
      <c r="P4" s="315" t="inlineStr">
        <is>
          <t>B</t>
        </is>
      </c>
      <c r="Q4" s="315" t="n"/>
      <c r="R4" s="315" t="n"/>
      <c r="S4" s="315" t="n"/>
      <c r="T4" s="315" t="inlineStr">
        <is>
          <t>是</t>
        </is>
      </c>
      <c r="U4" s="315" t="inlineStr">
        <is>
          <t>是</t>
        </is>
      </c>
      <c r="V4" s="315" t="inlineStr">
        <is>
          <t>是</t>
        </is>
      </c>
      <c r="W4" s="315" t="n"/>
      <c r="X4" s="315" t="n"/>
      <c r="Y4" s="315" t="n"/>
      <c r="Z4" s="315" t="inlineStr">
        <is>
          <t>是</t>
        </is>
      </c>
      <c r="AA4" s="315" t="n"/>
      <c r="AB4" s="315" t="n"/>
      <c r="AC4" s="315" t="n"/>
      <c r="AD4" s="315" t="inlineStr">
        <is>
          <t>B</t>
        </is>
      </c>
      <c r="AE4" s="315" t="n"/>
      <c r="AF4" s="315" t="n"/>
      <c r="AG4" s="315" t="n"/>
      <c r="AH4" s="315" t="n"/>
      <c r="AI4" s="315" t="inlineStr">
        <is>
          <t>是</t>
        </is>
      </c>
      <c r="AJ4" s="119" t="n"/>
      <c r="AK4" s="315" t="n"/>
      <c r="AL4" s="119" t="n"/>
      <c r="AM4" s="119" t="n"/>
    </row>
    <row r="5" ht="26.25" customFormat="1" customHeight="1" s="366">
      <c r="A5" s="339" t="inlineStr">
        <is>
          <t>天成大厦</t>
        </is>
      </c>
      <c r="B5" s="339" t="inlineStr">
        <is>
          <t>一期</t>
        </is>
      </c>
      <c r="C5" s="339" t="n">
        <v>5230783</v>
      </c>
      <c r="D5" s="339" t="inlineStr">
        <is>
          <t>13:20-15:30</t>
        </is>
      </c>
      <c r="E5" s="339" t="inlineStr">
        <is>
          <t>潜能班</t>
        </is>
      </c>
      <c r="F5" s="339" t="inlineStr">
        <is>
          <t>陈言斌</t>
        </is>
      </c>
      <c r="G5" s="339" t="inlineStr">
        <is>
          <t>刘希子</t>
        </is>
      </c>
      <c r="H5" s="339" t="inlineStr">
        <is>
          <t>李润</t>
        </is>
      </c>
      <c r="I5" s="339" t="inlineStr">
        <is>
          <t>宗志鹏</t>
        </is>
      </c>
      <c r="J5" s="339" t="inlineStr">
        <is>
          <t>沈思浩</t>
        </is>
      </c>
      <c r="K5" s="339" t="inlineStr">
        <is>
          <t>龙口西小学</t>
        </is>
      </c>
      <c r="L5" s="339" t="n"/>
      <c r="M5" s="339" t="inlineStr">
        <is>
          <t>习惯比较自律</t>
        </is>
      </c>
      <c r="N5" s="339" t="inlineStr">
        <is>
          <t>作文，妈妈对他要求高，孩子问什么都会做题就不得分，家长希望能让孩子真正提分</t>
        </is>
      </c>
      <c r="O5" s="339" t="inlineStr">
        <is>
          <t>背单词好一点，熟练度90%。练的不够，作文有问题，学过音标，数学，英语，语文。</t>
        </is>
      </c>
      <c r="P5" s="339" t="n">
        <v>90</v>
      </c>
      <c r="Q5" s="339" t="n">
        <v>31</v>
      </c>
      <c r="R5" s="339" t="n"/>
      <c r="S5" s="339" t="n"/>
      <c r="T5" s="339" t="n"/>
      <c r="U5" s="339" t="n"/>
      <c r="V5" s="339" t="n"/>
      <c r="W5" s="339" t="n"/>
      <c r="X5" s="339" t="n"/>
      <c r="Y5" s="339" t="n"/>
      <c r="Z5" s="339" t="n"/>
      <c r="AA5" s="339" t="n"/>
      <c r="AB5" s="339" t="n"/>
      <c r="AC5" s="339" t="n"/>
      <c r="AD5" s="339" t="n"/>
      <c r="AE5" s="339" t="n"/>
      <c r="AF5" s="339" t="n"/>
      <c r="AG5" s="339" t="n"/>
      <c r="AH5" s="339" t="n"/>
      <c r="AM5" s="119" t="inlineStr">
        <is>
          <t>曾泓皓</t>
        </is>
      </c>
    </row>
    <row r="6" ht="26.25" customHeight="1" s="1053">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960" t="inlineStr">
        <is>
          <t>孩子对口语，对
模拟联合国和
辩论比较感兴趣</t>
        </is>
      </c>
      <c r="N6" s="961" t="inlineStr">
        <is>
          <t>希望她能在各方面
都有提升，保持兴趣
完型有点难。她喜欢输出</t>
        </is>
      </c>
      <c r="O6" s="962" t="inlineStr">
        <is>
          <t>没有强调什么
特别的东西</t>
        </is>
      </c>
      <c r="P6" s="315" t="n">
        <v>95</v>
      </c>
      <c r="Q6" s="315" t="n">
        <v>38.5</v>
      </c>
      <c r="T6" s="315" t="inlineStr">
        <is>
          <t>是</t>
        </is>
      </c>
      <c r="U6" s="315" t="inlineStr">
        <is>
          <t>是</t>
        </is>
      </c>
      <c r="V6" s="315" t="inlineStr">
        <is>
          <t>是</t>
        </is>
      </c>
      <c r="Z6" s="315" t="inlineStr">
        <is>
          <t>是</t>
        </is>
      </c>
      <c r="AA6" s="315" t="inlineStr">
        <is>
          <t>是</t>
        </is>
      </c>
      <c r="AD6" s="315" t="inlineStr">
        <is>
          <t>B-</t>
        </is>
      </c>
      <c r="AI6" s="315" t="inlineStr">
        <is>
          <t>是</t>
        </is>
      </c>
      <c r="AJ6" s="119" t="n"/>
      <c r="AL6" s="281" t="n"/>
      <c r="AM6" s="119" t="n"/>
    </row>
    <row r="7" ht="26.25" customFormat="1" customHeight="1" s="366">
      <c r="A7" s="339" t="inlineStr">
        <is>
          <t>天成大厦</t>
        </is>
      </c>
      <c r="B7" s="339" t="inlineStr">
        <is>
          <t>一期</t>
        </is>
      </c>
      <c r="C7" s="339" t="n">
        <v>5230783</v>
      </c>
      <c r="D7" s="339" t="inlineStr">
        <is>
          <t>13:20-15:30</t>
        </is>
      </c>
      <c r="E7" s="339" t="inlineStr">
        <is>
          <t>潜能班</t>
        </is>
      </c>
      <c r="F7" s="339" t="inlineStr">
        <is>
          <t>春雨</t>
        </is>
      </c>
      <c r="G7" s="339" t="inlineStr">
        <is>
          <t>刘希子</t>
        </is>
      </c>
      <c r="H7" s="339" t="n"/>
      <c r="I7" s="339" t="n"/>
      <c r="J7" s="339" t="inlineStr">
        <is>
          <t>王达04</t>
        </is>
      </c>
      <c r="K7" s="339" t="n"/>
      <c r="L7" s="339" t="n"/>
      <c r="M7" s="339" t="inlineStr">
        <is>
          <t>自觉</t>
        </is>
      </c>
      <c r="N7" s="339" t="inlineStr">
        <is>
          <t>补基础</t>
        </is>
      </c>
      <c r="O7" s="339" t="inlineStr">
        <is>
          <t>家长配合度低，很难联系</t>
        </is>
      </c>
      <c r="P7" s="339" t="n">
        <v>80</v>
      </c>
      <c r="Q7" s="339" t="n">
        <v>28</v>
      </c>
      <c r="R7" s="339" t="n"/>
      <c r="S7" s="339" t="n"/>
      <c r="T7" s="339" t="n"/>
      <c r="U7" s="339" t="n"/>
      <c r="V7" s="339" t="n"/>
      <c r="W7" s="339" t="n"/>
      <c r="X7" s="339" t="n"/>
      <c r="Y7" s="339" t="n"/>
      <c r="Z7" s="339" t="n"/>
      <c r="AA7" s="339" t="n"/>
      <c r="AB7" s="339" t="n"/>
      <c r="AC7" s="339" t="n"/>
      <c r="AD7" s="339" t="n"/>
      <c r="AE7" s="339" t="n"/>
      <c r="AF7" s="339" t="n"/>
      <c r="AG7" s="339" t="n"/>
      <c r="AH7" s="339" t="n"/>
      <c r="AM7" s="281" t="inlineStr">
        <is>
          <t>刘映彤</t>
        </is>
      </c>
    </row>
    <row r="8" ht="26.25" customFormat="1" customHeight="1" s="366">
      <c r="A8" s="339" t="inlineStr">
        <is>
          <t>天成大厦</t>
        </is>
      </c>
      <c r="B8" s="339" t="inlineStr">
        <is>
          <t>一期</t>
        </is>
      </c>
      <c r="C8" s="339" t="n">
        <v>5230783</v>
      </c>
      <c r="D8" s="339" t="inlineStr">
        <is>
          <t>13:20-15:30</t>
        </is>
      </c>
      <c r="E8" s="339" t="inlineStr">
        <is>
          <t>潜能班</t>
        </is>
      </c>
      <c r="F8" s="339" t="inlineStr">
        <is>
          <t>大栗同学888</t>
        </is>
      </c>
      <c r="G8" s="339" t="inlineStr">
        <is>
          <t>刘希子</t>
        </is>
      </c>
      <c r="H8" s="339" t="inlineStr">
        <is>
          <t>李润</t>
        </is>
      </c>
      <c r="I8" s="339" t="inlineStr">
        <is>
          <t>陈中帅</t>
        </is>
      </c>
      <c r="J8" s="339" t="inlineStr">
        <is>
          <t>张敏烨</t>
        </is>
      </c>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M8" s="281" t="inlineStr">
        <is>
          <t>汪泽烨</t>
        </is>
      </c>
    </row>
    <row r="9" ht="26.25" customHeight="1" s="1053">
      <c r="A9" s="315" t="inlineStr">
        <is>
          <t>同创汇</t>
        </is>
      </c>
      <c r="B9" s="315" t="inlineStr">
        <is>
          <t>零期</t>
        </is>
      </c>
      <c r="C9" s="315" t="n">
        <v>3132865</v>
      </c>
      <c r="D9" s="315" t="inlineStr">
        <is>
          <t>15:50-18:00</t>
        </is>
      </c>
      <c r="E9" s="315" t="inlineStr">
        <is>
          <t>潜能班</t>
        </is>
      </c>
      <c r="F9" s="315" t="inlineStr">
        <is>
          <t>戴鸿杰</t>
        </is>
      </c>
      <c r="G9" s="315" t="inlineStr">
        <is>
          <t>刘希子</t>
        </is>
      </c>
      <c r="H9" s="315" t="inlineStr">
        <is>
          <t>陈南05</t>
        </is>
      </c>
      <c r="I9" s="315" t="inlineStr">
        <is>
          <t>田雨涵01</t>
        </is>
      </c>
      <c r="J9" s="315" t="inlineStr">
        <is>
          <t>苏丽婷</t>
        </is>
      </c>
      <c r="L9" s="315" t="inlineStr">
        <is>
          <t>七中</t>
        </is>
      </c>
      <c r="M9" s="963" t="inlineStr">
        <is>
          <t>会主动学习，对应于语法
掌握的不好</t>
        </is>
      </c>
      <c r="N9" s="426" t="inlineStr">
        <is>
          <t>语法，阅读，口语</t>
        </is>
      </c>
      <c r="O9" s="426" t="inlineStr">
        <is>
          <t>希望多和他互动</t>
        </is>
      </c>
      <c r="P9" s="315" t="inlineStr">
        <is>
          <t>90+</t>
        </is>
      </c>
      <c r="T9" s="315" t="inlineStr">
        <is>
          <t>是</t>
        </is>
      </c>
      <c r="U9" s="315" t="inlineStr">
        <is>
          <t>是</t>
        </is>
      </c>
      <c r="V9" s="315" t="inlineStr">
        <is>
          <t>是</t>
        </is>
      </c>
      <c r="Z9" s="315" t="inlineStr">
        <is>
          <t>是</t>
        </is>
      </c>
      <c r="AD9" s="315" t="inlineStr">
        <is>
          <t>B</t>
        </is>
      </c>
      <c r="AI9" s="315" t="inlineStr">
        <is>
          <t>是</t>
        </is>
      </c>
      <c r="AJ9" s="119" t="n"/>
      <c r="AL9" s="281" t="n"/>
      <c r="AM9" s="281" t="n"/>
    </row>
    <row r="10" ht="26.25" customFormat="1" customHeight="1" s="366">
      <c r="A10" s="339" t="inlineStr">
        <is>
          <t>天成大厦</t>
        </is>
      </c>
      <c r="B10" s="339" t="inlineStr">
        <is>
          <t>一期</t>
        </is>
      </c>
      <c r="C10" s="339" t="n">
        <v>5230783</v>
      </c>
      <c r="D10" s="339" t="inlineStr">
        <is>
          <t>13:20-15:30</t>
        </is>
      </c>
      <c r="E10" s="339" t="inlineStr">
        <is>
          <t>潜能班</t>
        </is>
      </c>
      <c r="F10" s="339" t="inlineStr">
        <is>
          <t>杜昱茗</t>
        </is>
      </c>
      <c r="G10" s="339" t="inlineStr">
        <is>
          <t>刘希子</t>
        </is>
      </c>
      <c r="H10" s="339" t="inlineStr">
        <is>
          <t>李润</t>
        </is>
      </c>
      <c r="I10" s="339" t="inlineStr">
        <is>
          <t>陈中帅</t>
        </is>
      </c>
      <c r="J10" s="339" t="inlineStr">
        <is>
          <t>沈思浩</t>
        </is>
      </c>
      <c r="K10" s="339" t="n"/>
      <c r="L10" s="339" t="n"/>
      <c r="M10" s="339" t="inlineStr">
        <is>
          <t>习惯好</t>
        </is>
      </c>
      <c r="N10" s="339" t="inlineStr">
        <is>
          <t>单词放句子里翻译困难。</t>
        </is>
      </c>
      <c r="O10" s="339" t="inlineStr">
        <is>
          <t>KP过，内向</t>
        </is>
      </c>
      <c r="P10" s="339" t="n">
        <v>98</v>
      </c>
      <c r="Q10" s="339" t="n">
        <v>46.5</v>
      </c>
      <c r="R10" s="339" t="n"/>
      <c r="S10" s="339" t="n"/>
      <c r="T10" s="339" t="n"/>
      <c r="U10" s="339" t="n"/>
      <c r="V10" s="339" t="n"/>
      <c r="W10" s="339" t="n"/>
      <c r="X10" s="339" t="n"/>
      <c r="Y10" s="339" t="n"/>
      <c r="Z10" s="339" t="n"/>
      <c r="AA10" s="339" t="n"/>
      <c r="AB10" s="339" t="n"/>
      <c r="AC10" s="339" t="n"/>
      <c r="AD10" s="339" t="n"/>
      <c r="AE10" s="339" t="n"/>
      <c r="AF10" s="339" t="n"/>
      <c r="AG10" s="339" t="n"/>
      <c r="AH10" s="339" t="n"/>
      <c r="AM10" s="281" t="inlineStr">
        <is>
          <t>于耀杰</t>
        </is>
      </c>
    </row>
    <row r="11" ht="26.25" customFormat="1" customHeight="1" s="366">
      <c r="A11" s="339" t="inlineStr">
        <is>
          <t>天成大厦</t>
        </is>
      </c>
      <c r="B11" s="339" t="inlineStr">
        <is>
          <t>一期</t>
        </is>
      </c>
      <c r="C11" s="339" t="n">
        <v>5230783</v>
      </c>
      <c r="D11" s="339" t="inlineStr">
        <is>
          <t>13:20-15:30</t>
        </is>
      </c>
      <c r="E11" s="339" t="inlineStr">
        <is>
          <t>潜能班</t>
        </is>
      </c>
      <c r="F11" s="339" t="inlineStr">
        <is>
          <t>杜昱萱</t>
        </is>
      </c>
      <c r="G11" s="339" t="inlineStr">
        <is>
          <t>刘希子</t>
        </is>
      </c>
      <c r="H11" s="339" t="inlineStr">
        <is>
          <t>李润</t>
        </is>
      </c>
      <c r="I11" s="339" t="inlineStr">
        <is>
          <t>陈中帅</t>
        </is>
      </c>
      <c r="J11" s="339" t="inlineStr">
        <is>
          <t>沈思浩</t>
        </is>
      </c>
      <c r="K11" s="339" t="n"/>
      <c r="L11" s="339" t="n"/>
      <c r="M11" s="339" t="inlineStr">
        <is>
          <t>习惯好</t>
        </is>
      </c>
      <c r="N11" s="339" t="inlineStr">
        <is>
          <t>整体提升，保住小学优势</t>
        </is>
      </c>
      <c r="O11" s="339" t="inlineStr">
        <is>
          <t>家长配合</t>
        </is>
      </c>
      <c r="P11" s="339" t="n">
        <v>100</v>
      </c>
      <c r="Q11" s="339" t="n">
        <v>48</v>
      </c>
      <c r="R11" s="339" t="n"/>
      <c r="S11" s="339" t="n"/>
      <c r="T11" s="339" t="n"/>
      <c r="U11" s="339" t="n"/>
      <c r="V11" s="339" t="n"/>
      <c r="W11" s="339" t="n"/>
      <c r="X11" s="339" t="n"/>
      <c r="Y11" s="339" t="n"/>
      <c r="Z11" s="339" t="n"/>
      <c r="AA11" s="339" t="n"/>
      <c r="AB11" s="339" t="n"/>
      <c r="AC11" s="339" t="n"/>
      <c r="AD11" s="339" t="n"/>
      <c r="AE11" s="339" t="n"/>
      <c r="AF11" s="339" t="n"/>
      <c r="AG11" s="339" t="n"/>
      <c r="AH11" s="339" t="n"/>
      <c r="AM11" s="281" t="inlineStr">
        <is>
          <t>杨梓俊</t>
        </is>
      </c>
    </row>
    <row r="12" ht="26.25" customFormat="1" customHeight="1" s="366">
      <c r="A12" s="339" t="inlineStr">
        <is>
          <t>天成大厦</t>
        </is>
      </c>
      <c r="B12" s="339" t="inlineStr">
        <is>
          <t>一期</t>
        </is>
      </c>
      <c r="C12" s="339" t="n">
        <v>5230783</v>
      </c>
      <c r="D12" s="339" t="inlineStr">
        <is>
          <t>13:20-15:30</t>
        </is>
      </c>
      <c r="E12" s="339" t="inlineStr">
        <is>
          <t>潜能班</t>
        </is>
      </c>
      <c r="F12" s="339" t="inlineStr">
        <is>
          <t>郭蕴文</t>
        </is>
      </c>
      <c r="G12" s="339" t="inlineStr">
        <is>
          <t>刘希子</t>
        </is>
      </c>
      <c r="H12" s="339" t="inlineStr">
        <is>
          <t>黄铭怡</t>
        </is>
      </c>
      <c r="I12" s="339" t="inlineStr">
        <is>
          <t>陈中帅</t>
        </is>
      </c>
      <c r="J12" s="339" t="inlineStr">
        <is>
          <t>沈思浩</t>
        </is>
      </c>
      <c r="K12" s="339" t="inlineStr">
        <is>
          <t>龙口西小学</t>
        </is>
      </c>
      <c r="L12" s="339" t="n"/>
      <c r="M12" s="339" t="inlineStr">
        <is>
          <t>需要环境控制</t>
        </is>
      </c>
      <c r="N12" s="339" t="inlineStr">
        <is>
          <t>成绩差，但是回答问题积极</t>
        </is>
      </c>
      <c r="O12" s="339" t="inlineStr">
        <is>
          <t>有上一对一，英语最薄弱。活泼。背完就忘。</t>
        </is>
      </c>
      <c r="P12" s="339" t="n">
        <v>70</v>
      </c>
      <c r="Q12" s="339" t="n">
        <v>31</v>
      </c>
      <c r="R12" s="339" t="n"/>
      <c r="S12" s="339" t="n"/>
      <c r="T12" s="339" t="n"/>
      <c r="U12" s="339" t="n"/>
      <c r="V12" s="339" t="n"/>
      <c r="W12" s="339" t="n"/>
      <c r="X12" s="339" t="n"/>
      <c r="Y12" s="339" t="n"/>
      <c r="Z12" s="339" t="n"/>
      <c r="AA12" s="339" t="n"/>
      <c r="AB12" s="339" t="n"/>
      <c r="AC12" s="339" t="n"/>
      <c r="AD12" s="339" t="n"/>
      <c r="AE12" s="339" t="n"/>
      <c r="AF12" s="339" t="n"/>
      <c r="AG12" s="339" t="n"/>
      <c r="AH12" s="339" t="n"/>
      <c r="AM12" s="281" t="inlineStr">
        <is>
          <t>赖展辉</t>
        </is>
      </c>
    </row>
    <row r="13" ht="26.25" customHeight="1" s="1053">
      <c r="A13" s="315" t="inlineStr">
        <is>
          <t>同创汇</t>
        </is>
      </c>
      <c r="B13" s="315" t="inlineStr">
        <is>
          <t>零期</t>
        </is>
      </c>
      <c r="C13" s="315" t="n">
        <v>5230765</v>
      </c>
      <c r="D13" s="315" t="inlineStr">
        <is>
          <t>10:20-12:30</t>
        </is>
      </c>
      <c r="E13" s="315" t="inlineStr">
        <is>
          <t>潜能班</t>
        </is>
      </c>
      <c r="F13" s="315" t="inlineStr">
        <is>
          <t>果儿</t>
        </is>
      </c>
      <c r="G13" s="315" t="inlineStr">
        <is>
          <t>刘希子</t>
        </is>
      </c>
      <c r="H13" s="315" t="inlineStr">
        <is>
          <t>黄铭怡</t>
        </is>
      </c>
      <c r="I13" s="315" t="inlineStr">
        <is>
          <t>陈中帅</t>
        </is>
      </c>
      <c r="J13" s="315" t="inlineStr">
        <is>
          <t>戎凯01</t>
        </is>
      </c>
      <c r="L13" s="315" t="inlineStr">
        <is>
          <t>培正</t>
        </is>
      </c>
      <c r="M13" s="964" t="inlineStr">
        <is>
          <t>英语不喜欢学，基础不好，不背单词KET过了，
语文拼音也不太熟，自然拼读不太好
三年级学，也不成</t>
        </is>
      </c>
      <c r="N13" s="965" t="inlineStr">
        <is>
          <t>背单词，打扎实基础
妈妈说她超级懒</t>
        </is>
      </c>
      <c r="O13" s="426" t="inlineStr">
        <is>
          <t>在一家小机构，五羊新城，小班，4人</t>
        </is>
      </c>
      <c r="P13" s="966" t="inlineStr">
        <is>
          <t>80-85之间，B
六上93</t>
        </is>
      </c>
      <c r="Q13" s="315" t="n">
        <v>41.5</v>
      </c>
      <c r="T13" s="315" t="inlineStr">
        <is>
          <t>是</t>
        </is>
      </c>
      <c r="U13" s="315" t="inlineStr">
        <is>
          <t>是</t>
        </is>
      </c>
      <c r="V13" s="315" t="inlineStr">
        <is>
          <t>是</t>
        </is>
      </c>
      <c r="Z13" s="315" t="inlineStr">
        <is>
          <t>是</t>
        </is>
      </c>
      <c r="AD13" s="315" t="inlineStr">
        <is>
          <t>B</t>
        </is>
      </c>
      <c r="AI13" s="315" t="inlineStr">
        <is>
          <t>是</t>
        </is>
      </c>
      <c r="AJ13" s="119" t="n"/>
      <c r="AL13" s="281" t="n"/>
      <c r="AM13" s="281" t="n"/>
    </row>
    <row r="14" ht="26.25" customFormat="1" customHeight="1" s="366">
      <c r="A14" s="339" t="inlineStr">
        <is>
          <t>天成大厦</t>
        </is>
      </c>
      <c r="B14" s="339" t="inlineStr">
        <is>
          <t>二期</t>
        </is>
      </c>
      <c r="C14" s="339" t="n">
        <v>3132858</v>
      </c>
      <c r="D14" s="339" t="inlineStr">
        <is>
          <t>10:20-12:30</t>
        </is>
      </c>
      <c r="E14" s="339" t="inlineStr">
        <is>
          <t>潜能班</t>
        </is>
      </c>
      <c r="F14" s="339" t="inlineStr">
        <is>
          <t>胡宇航</t>
        </is>
      </c>
      <c r="G14" s="339" t="inlineStr">
        <is>
          <t>刘希子</t>
        </is>
      </c>
      <c r="H14" s="339" t="inlineStr">
        <is>
          <t>李润</t>
        </is>
      </c>
      <c r="I14" s="339" t="inlineStr">
        <is>
          <t>宗志鹏</t>
        </is>
      </c>
      <c r="J14" s="339" t="inlineStr">
        <is>
          <t>沈思浩</t>
        </is>
      </c>
      <c r="K14" s="339" t="n"/>
      <c r="L14" s="339" t="n"/>
      <c r="M14" s="339" t="inlineStr">
        <is>
          <t>学习习惯很独立很好</t>
        </is>
      </c>
      <c r="N14" s="339" t="inlineStr">
        <is>
          <t>外向，没补过课</t>
        </is>
      </c>
      <c r="O14" s="339" t="inlineStr">
        <is>
          <t>家长对学生关注度高</t>
        </is>
      </c>
      <c r="P14" s="339" t="n">
        <v>98</v>
      </c>
      <c r="Q14" s="339" t="inlineStr">
        <is>
          <t>无</t>
        </is>
      </c>
      <c r="R14" s="339" t="n"/>
      <c r="S14" s="339" t="n"/>
      <c r="T14" s="339" t="n"/>
      <c r="U14" s="339" t="n"/>
      <c r="V14" s="339" t="n"/>
      <c r="W14" s="339" t="n"/>
      <c r="X14" s="339" t="n"/>
      <c r="Y14" s="339" t="n"/>
      <c r="Z14" s="339" t="n"/>
      <c r="AA14" s="339" t="n"/>
      <c r="AB14" s="339" t="n"/>
      <c r="AC14" s="339" t="n"/>
      <c r="AD14" s="339" t="n"/>
      <c r="AE14" s="339" t="n"/>
      <c r="AF14" s="339" t="n"/>
      <c r="AG14" s="339" t="n"/>
      <c r="AH14" s="339" t="n"/>
      <c r="AM14" s="281" t="inlineStr">
        <is>
          <t>杨芊羽</t>
        </is>
      </c>
    </row>
    <row r="15" ht="26.25" customHeight="1" s="1053">
      <c r="A15" s="315" t="inlineStr">
        <is>
          <t>同创汇</t>
        </is>
      </c>
      <c r="B15" s="315" t="inlineStr">
        <is>
          <t>零期</t>
        </is>
      </c>
      <c r="C15" s="315" t="n">
        <v>5230765</v>
      </c>
      <c r="D15" s="315" t="inlineStr">
        <is>
          <t>10:20-12:30</t>
        </is>
      </c>
      <c r="E15" s="315" t="inlineStr">
        <is>
          <t>潜能班</t>
        </is>
      </c>
      <c r="F15" s="315" t="inlineStr">
        <is>
          <t>黄馨可</t>
        </is>
      </c>
      <c r="G15" s="315" t="inlineStr">
        <is>
          <t>刘希子</t>
        </is>
      </c>
      <c r="H15" s="315" t="inlineStr">
        <is>
          <t>黄铭怡</t>
        </is>
      </c>
      <c r="I15" s="315" t="inlineStr">
        <is>
          <t>陈中帅</t>
        </is>
      </c>
      <c r="J15" s="315" t="inlineStr">
        <is>
          <t>王丽</t>
        </is>
      </c>
      <c r="L15" s="315" t="inlineStr">
        <is>
          <t>还没定</t>
        </is>
      </c>
      <c r="M15" s="967" t="inlineStr">
        <is>
          <t>单词有一段时间
没背了</t>
        </is>
      </c>
      <c r="N15" s="968" t="inlineStr">
        <is>
          <t>学习习惯很不好不写作业，第二天早上
乱抄</t>
        </is>
      </c>
      <c r="O15" s="969" t="inlineStr">
        <is>
          <t>KET优秀，PET过了
口语卓越
关起来能学，否则啥也不干</t>
        </is>
      </c>
      <c r="P15" s="315" t="inlineStr">
        <is>
          <t>295，90+</t>
        </is>
      </c>
      <c r="T15" s="315" t="inlineStr">
        <is>
          <t>是</t>
        </is>
      </c>
      <c r="U15" s="315" t="inlineStr">
        <is>
          <t>是</t>
        </is>
      </c>
      <c r="V15" s="315" t="inlineStr">
        <is>
          <t>是</t>
        </is>
      </c>
      <c r="Z15" s="315" t="inlineStr">
        <is>
          <t>是</t>
        </is>
      </c>
      <c r="AD15" s="315" t="inlineStr">
        <is>
          <t>A</t>
        </is>
      </c>
      <c r="AH15" s="315" t="inlineStr">
        <is>
          <t>是</t>
        </is>
      </c>
      <c r="AI15" s="315" t="inlineStr">
        <is>
          <t>是</t>
        </is>
      </c>
      <c r="AJ15" s="119" t="n"/>
      <c r="AL15" s="281" t="n"/>
      <c r="AM15" s="281" t="n"/>
    </row>
    <row r="16" ht="26.25" customHeight="1" s="1053">
      <c r="A16" s="315" t="inlineStr">
        <is>
          <t>同创汇</t>
        </is>
      </c>
      <c r="B16" s="315" t="inlineStr">
        <is>
          <t>零期</t>
        </is>
      </c>
      <c r="C16" s="315" t="n">
        <v>5230765</v>
      </c>
      <c r="D16" s="315" t="inlineStr">
        <is>
          <t>10:20-12:30</t>
        </is>
      </c>
      <c r="E16" s="315" t="inlineStr">
        <is>
          <t>潜能班</t>
        </is>
      </c>
      <c r="F16" s="315" t="inlineStr">
        <is>
          <t>黄芷瑶</t>
        </is>
      </c>
      <c r="G16" s="315" t="inlineStr">
        <is>
          <t>刘希子</t>
        </is>
      </c>
      <c r="H16" s="315" t="inlineStr">
        <is>
          <t>陈南05</t>
        </is>
      </c>
      <c r="J16" s="315" t="inlineStr">
        <is>
          <t>戎凯01</t>
        </is>
      </c>
      <c r="K16" s="315" t="inlineStr">
        <is>
          <t>水荫路</t>
        </is>
      </c>
      <c r="L16" s="315" t="inlineStr">
        <is>
          <t>育才实验</t>
        </is>
      </c>
      <c r="M16" s="970" t="inlineStr">
        <is>
          <t>学习不太自觉，比较拖沓
需要提醒才能完成
背单词比较枯燥</t>
        </is>
      </c>
      <c r="N16" s="971" t="inlineStr">
        <is>
          <t>听力和阅读不好
衔接，语法还行</t>
        </is>
      </c>
      <c r="O16" s="972" t="inlineStr">
        <is>
          <t>数学薄弱，数学在其它机构学习，还学习舞蹈课
KET过了</t>
        </is>
      </c>
      <c r="P16" s="315" t="inlineStr">
        <is>
          <t>A, 85-90</t>
        </is>
      </c>
      <c r="Q16" s="315" t="n">
        <v>31</v>
      </c>
      <c r="T16" s="315" t="inlineStr">
        <is>
          <t>是</t>
        </is>
      </c>
      <c r="U16" s="315" t="inlineStr">
        <is>
          <t>是</t>
        </is>
      </c>
      <c r="V16" s="315" t="inlineStr">
        <is>
          <t>是</t>
        </is>
      </c>
      <c r="Z16" s="315" t="inlineStr">
        <is>
          <t>是</t>
        </is>
      </c>
      <c r="AD16" s="315" t="inlineStr">
        <is>
          <t>B</t>
        </is>
      </c>
      <c r="AI16" s="315" t="inlineStr">
        <is>
          <t>是</t>
        </is>
      </c>
      <c r="AJ16" s="119" t="n"/>
      <c r="AL16" s="281" t="n"/>
      <c r="AM16" s="281" t="n"/>
    </row>
    <row r="17" ht="26.25" customFormat="1" customHeight="1" s="366">
      <c r="A17" s="339" t="inlineStr">
        <is>
          <t>天成大厦</t>
        </is>
      </c>
      <c r="B17" s="339" t="inlineStr">
        <is>
          <t>一期</t>
        </is>
      </c>
      <c r="C17" s="339" t="n">
        <v>5230783</v>
      </c>
      <c r="D17" s="339" t="inlineStr">
        <is>
          <t>13:20-15:30</t>
        </is>
      </c>
      <c r="E17" s="339" t="inlineStr">
        <is>
          <t>潜能班</t>
        </is>
      </c>
      <c r="F17" s="339" t="inlineStr">
        <is>
          <t>江逸飞</t>
        </is>
      </c>
      <c r="G17" s="339" t="inlineStr">
        <is>
          <t>刘希子</t>
        </is>
      </c>
      <c r="H17" s="339" t="inlineStr">
        <is>
          <t>李润</t>
        </is>
      </c>
      <c r="I17" s="339" t="inlineStr">
        <is>
          <t>陈中帅</t>
        </is>
      </c>
      <c r="J17" s="339" t="inlineStr">
        <is>
          <t>沈思浩</t>
        </is>
      </c>
      <c r="K17" s="339" t="inlineStr">
        <is>
          <t>龙口西小学</t>
        </is>
      </c>
      <c r="L17" s="339" t="n"/>
      <c r="M17" s="339" t="inlineStr">
        <is>
          <t>孩子需要关注，不会主动回答问题</t>
        </is>
      </c>
      <c r="N17" s="339" t="inlineStr">
        <is>
          <t>这是一个轻微阿斯伯格孩子，智力正常，但学习困难、社交困难</t>
        </is>
      </c>
      <c r="O17" s="339" t="inlineStr">
        <is>
          <t>英语差一点，这是一个轻微阿斯伯格孩子，智力正常，但学习困难、社交困难</t>
        </is>
      </c>
      <c r="P17" s="339" t="n">
        <v>60</v>
      </c>
      <c r="Q17" s="339" t="n">
        <v>24</v>
      </c>
      <c r="R17" s="339" t="n"/>
      <c r="S17" s="339" t="n"/>
      <c r="T17" s="339" t="n"/>
      <c r="U17" s="339" t="n"/>
      <c r="V17" s="339" t="n"/>
      <c r="W17" s="339" t="n"/>
      <c r="X17" s="339" t="n"/>
      <c r="Y17" s="339" t="n"/>
      <c r="Z17" s="339" t="n"/>
      <c r="AA17" s="339" t="n"/>
      <c r="AB17" s="339" t="n"/>
      <c r="AC17" s="339" t="n"/>
      <c r="AD17" s="339" t="n"/>
      <c r="AE17" s="339" t="n"/>
      <c r="AF17" s="339" t="n"/>
      <c r="AG17" s="339" t="n"/>
      <c r="AH17" s="339" t="n"/>
      <c r="AM17" s="281" t="inlineStr">
        <is>
          <t>旻师</t>
        </is>
      </c>
    </row>
    <row r="18" ht="26.25" customHeight="1" s="1053">
      <c r="A18" s="315" t="inlineStr">
        <is>
          <t>同创汇</t>
        </is>
      </c>
      <c r="B18" s="315" t="inlineStr">
        <is>
          <t>零期</t>
        </is>
      </c>
      <c r="C18" s="315" t="n">
        <v>5230765</v>
      </c>
      <c r="D18" s="315" t="inlineStr">
        <is>
          <t>10:20-12:30</t>
        </is>
      </c>
      <c r="E18" s="315" t="inlineStr">
        <is>
          <t>潜能班</t>
        </is>
      </c>
      <c r="F18" s="315" t="inlineStr">
        <is>
          <t>蒋沁原</t>
        </is>
      </c>
      <c r="G18" s="315" t="inlineStr">
        <is>
          <t>刘希子</t>
        </is>
      </c>
      <c r="H18" s="315" t="inlineStr">
        <is>
          <t>李润</t>
        </is>
      </c>
      <c r="I18" s="315" t="inlineStr">
        <is>
          <t>陈中帅</t>
        </is>
      </c>
      <c r="J18" s="315" t="inlineStr">
        <is>
          <t>龙倩敏</t>
        </is>
      </c>
      <c r="L18" s="315" t="inlineStr">
        <is>
          <t>育才，重点班</t>
        </is>
      </c>
      <c r="M18" s="426" t="inlineStr">
        <is>
          <t>除了校内的，拓展她不愿意去做</t>
        </is>
      </c>
      <c r="N18" s="973" t="inlineStr">
        <is>
          <t>词汇量很低，但实际上没有他妈想象的那么低
孩子觉得她死记单词有用</t>
        </is>
      </c>
      <c r="O18" s="974" t="inlineStr">
        <is>
          <t>没有拓展，自学都
能通过KET优秀</t>
        </is>
      </c>
      <c r="P18" s="315" t="inlineStr">
        <is>
          <t>95左右</t>
        </is>
      </c>
      <c r="Q18" s="315" t="n">
        <v>45.5</v>
      </c>
      <c r="T18" s="315" t="inlineStr">
        <is>
          <t>是</t>
        </is>
      </c>
      <c r="U18" s="315" t="inlineStr">
        <is>
          <t>是</t>
        </is>
      </c>
      <c r="V18" s="315" t="inlineStr">
        <is>
          <t>是</t>
        </is>
      </c>
      <c r="Z18" s="315" t="inlineStr">
        <is>
          <t>是</t>
        </is>
      </c>
      <c r="AA18" s="315" t="inlineStr">
        <is>
          <t>是</t>
        </is>
      </c>
      <c r="AD18" s="315" t="inlineStr">
        <is>
          <t>A</t>
        </is>
      </c>
      <c r="AI18" s="315" t="inlineStr">
        <is>
          <t>否</t>
        </is>
      </c>
      <c r="AJ18" s="281" t="n"/>
      <c r="AL18" s="366" t="n"/>
      <c r="AM18" s="281" t="n"/>
    </row>
    <row r="19" ht="26.25" customHeight="1" s="1053">
      <c r="A19" s="315" t="inlineStr">
        <is>
          <t>同创汇</t>
        </is>
      </c>
      <c r="B19" s="315" t="inlineStr">
        <is>
          <t>零期</t>
        </is>
      </c>
      <c r="C19" s="315" t="n">
        <v>3132865</v>
      </c>
      <c r="D19" s="315" t="inlineStr">
        <is>
          <t>15:50-18:00</t>
        </is>
      </c>
      <c r="E19" s="315" t="inlineStr">
        <is>
          <t>潜能班</t>
        </is>
      </c>
      <c r="F19" s="315" t="inlineStr">
        <is>
          <t>赖展辉</t>
        </is>
      </c>
      <c r="G19" s="315" t="inlineStr">
        <is>
          <t>刘希子</t>
        </is>
      </c>
      <c r="H19" s="315" t="inlineStr">
        <is>
          <t>陈南05</t>
        </is>
      </c>
      <c r="I19" s="315" t="inlineStr">
        <is>
          <t>田雨涵01</t>
        </is>
      </c>
      <c r="J19" s="315" t="inlineStr">
        <is>
          <t>王丽</t>
        </is>
      </c>
      <c r="K19" s="315" t="inlineStr">
        <is>
          <t>白云区金碧新城</t>
        </is>
      </c>
      <c r="L19" s="315" t="inlineStr">
        <is>
          <t>培文，龙涛</t>
        </is>
      </c>
      <c r="M19" s="975" t="inlineStr">
        <is>
          <t>不自觉，不写作文班主任
不会主动的去复习东西</t>
        </is>
      </c>
      <c r="N19" s="976" t="inlineStr">
        <is>
          <t>衔接
看孩子体验</t>
        </is>
      </c>
      <c r="O19" s="977" t="inlineStr">
        <is>
          <t>字体潦草，平时只在学校老师那里补课
且自己有一个哥哥说可以在学期内给他辅导
学期课不打算考虑，明确表示以后只来【寒/暑】课</t>
        </is>
      </c>
      <c r="P19" s="315" t="inlineStr">
        <is>
          <t>B，80+</t>
        </is>
      </c>
      <c r="Q19" s="315" t="n">
        <v>80</v>
      </c>
      <c r="T19" s="315" t="inlineStr">
        <is>
          <t>是</t>
        </is>
      </c>
      <c r="U19" s="315" t="inlineStr">
        <is>
          <t>是</t>
        </is>
      </c>
      <c r="V19" s="315" t="inlineStr">
        <is>
          <t>是</t>
        </is>
      </c>
      <c r="Z19" s="315" t="inlineStr">
        <is>
          <t>是</t>
        </is>
      </c>
      <c r="AA19" s="315" t="inlineStr">
        <is>
          <t>是</t>
        </is>
      </c>
      <c r="AD19" s="315" t="inlineStr">
        <is>
          <t>B</t>
        </is>
      </c>
      <c r="AI19" s="315" t="inlineStr">
        <is>
          <t>否</t>
        </is>
      </c>
      <c r="AJ19" s="281" t="n"/>
      <c r="AL19" s="366" t="n"/>
      <c r="AM19" s="281" t="n"/>
    </row>
    <row r="20" ht="26.25" customHeight="1" s="1053">
      <c r="A20" s="315" t="inlineStr">
        <is>
          <t>同创汇</t>
        </is>
      </c>
      <c r="B20" s="315" t="inlineStr">
        <is>
          <t>零期</t>
        </is>
      </c>
      <c r="C20" s="315" t="n">
        <v>3132865</v>
      </c>
      <c r="D20" s="315" t="inlineStr">
        <is>
          <t>15:50-18:00</t>
        </is>
      </c>
      <c r="E20" s="315" t="inlineStr">
        <is>
          <t>潜能班</t>
        </is>
      </c>
      <c r="F20" s="315" t="inlineStr">
        <is>
          <t>兰美熙</t>
        </is>
      </c>
      <c r="G20" s="315" t="inlineStr">
        <is>
          <t>刘希子</t>
        </is>
      </c>
      <c r="H20" s="315" t="inlineStr">
        <is>
          <t>陈南06</t>
        </is>
      </c>
      <c r="I20" s="315" t="inlineStr">
        <is>
          <t>田雨涵02</t>
        </is>
      </c>
      <c r="L20" s="315" t="inlineStr">
        <is>
          <t>三中</t>
        </is>
      </c>
      <c r="M20" s="978" t="inlineStr">
        <is>
          <t>任务能完成
比较内敛
比起数学，英语和语文
还是比较喜欢</t>
        </is>
      </c>
      <c r="N20" s="979" t="inlineStr">
        <is>
          <t>语法不太好
阅读理解一般
学习主动性一般</t>
        </is>
      </c>
      <c r="O20" s="426" t="inlineStr">
        <is>
          <t>不怎么上培训班</t>
        </is>
      </c>
      <c r="P20" s="315" t="inlineStr">
        <is>
          <t>85左右</t>
        </is>
      </c>
      <c r="T20" s="315" t="inlineStr">
        <is>
          <t>是</t>
        </is>
      </c>
      <c r="U20" s="315" t="inlineStr">
        <is>
          <t>是</t>
        </is>
      </c>
      <c r="V20" s="315" t="inlineStr">
        <is>
          <t>是</t>
        </is>
      </c>
      <c r="Z20" s="315" t="inlineStr">
        <is>
          <t>否</t>
        </is>
      </c>
      <c r="AD20" s="315" t="inlineStr">
        <is>
          <t>B</t>
        </is>
      </c>
      <c r="AI20" s="315" t="inlineStr">
        <is>
          <t>是</t>
        </is>
      </c>
      <c r="AJ20" s="281" t="n"/>
      <c r="AL20" s="366" t="n"/>
      <c r="AM20" s="281" t="n"/>
    </row>
    <row r="21" ht="26.25" customHeight="1" s="1053">
      <c r="A21" s="315" t="inlineStr">
        <is>
          <t>同创汇</t>
        </is>
      </c>
      <c r="B21" s="315" t="inlineStr">
        <is>
          <t>零期</t>
        </is>
      </c>
      <c r="C21" s="315" t="n">
        <v>3132865</v>
      </c>
      <c r="D21" s="315" t="inlineStr">
        <is>
          <t>15:50-18:00</t>
        </is>
      </c>
      <c r="E21" s="315" t="inlineStr">
        <is>
          <t>潜能班</t>
        </is>
      </c>
      <c r="F21" s="315" t="inlineStr">
        <is>
          <t>黎晶晶</t>
        </is>
      </c>
      <c r="G21" s="315" t="inlineStr">
        <is>
          <t>刘希子</t>
        </is>
      </c>
      <c r="H21" s="315" t="inlineStr">
        <is>
          <t>陈南05</t>
        </is>
      </c>
      <c r="I21" s="315" t="inlineStr">
        <is>
          <t>田雨涵01</t>
        </is>
      </c>
      <c r="J21" s="315" t="inlineStr">
        <is>
          <t>王丽</t>
        </is>
      </c>
      <c r="K21" s="315" t="inlineStr">
        <is>
          <t>农小</t>
        </is>
      </c>
      <c r="L21" s="315" t="inlineStr">
        <is>
          <t>省实越秀</t>
        </is>
      </c>
      <c r="M21" s="980" t="inlineStr">
        <is>
          <t>自觉完成，单词自觉完成
回答问题不太主动，多提问</t>
        </is>
      </c>
      <c r="N21" s="981" t="inlineStr">
        <is>
          <t>多开口
语法，语感也许不错</t>
        </is>
      </c>
      <c r="O21" s="982" t="inlineStr">
        <is>
          <t>三年级前上过优尼贝特
也学过牛津树
笔记认真</t>
        </is>
      </c>
      <c r="P21" s="315" t="inlineStr">
        <is>
          <t>95左右</t>
        </is>
      </c>
      <c r="Q21" s="315" t="n">
        <v>31.5</v>
      </c>
      <c r="T21" s="315" t="inlineStr">
        <is>
          <t>是</t>
        </is>
      </c>
      <c r="U21" s="315" t="inlineStr">
        <is>
          <t>是</t>
        </is>
      </c>
      <c r="V21" s="315" t="inlineStr">
        <is>
          <t>是</t>
        </is>
      </c>
      <c r="Z21" s="315" t="inlineStr">
        <is>
          <t>是</t>
        </is>
      </c>
      <c r="AA21" s="315" t="inlineStr">
        <is>
          <t>是</t>
        </is>
      </c>
      <c r="AD21" s="315" t="inlineStr">
        <is>
          <t>A</t>
        </is>
      </c>
      <c r="AI21" s="315" t="inlineStr">
        <is>
          <t>是</t>
        </is>
      </c>
      <c r="AJ21" s="281" t="n"/>
      <c r="AL21" s="366" t="n"/>
      <c r="AM21" s="281" t="n"/>
    </row>
    <row r="22" ht="26.25" customHeight="1" s="1053">
      <c r="A22" s="315" t="inlineStr">
        <is>
          <t>同创汇</t>
        </is>
      </c>
      <c r="B22" s="315" t="inlineStr">
        <is>
          <t>零期</t>
        </is>
      </c>
      <c r="C22" s="315" t="n">
        <v>3132865</v>
      </c>
      <c r="D22" s="315" t="inlineStr">
        <is>
          <t>15:50-18:00</t>
        </is>
      </c>
      <c r="E22" s="315" t="inlineStr">
        <is>
          <t>潜能班</t>
        </is>
      </c>
      <c r="F22" s="315" t="inlineStr">
        <is>
          <t>黎莹莹</t>
        </is>
      </c>
      <c r="G22" s="315" t="inlineStr">
        <is>
          <t>刘希子</t>
        </is>
      </c>
      <c r="H22" s="315" t="inlineStr">
        <is>
          <t>陈南05</t>
        </is>
      </c>
      <c r="I22" s="315" t="inlineStr">
        <is>
          <t>田雨涵01</t>
        </is>
      </c>
      <c r="J22" s="315" t="inlineStr">
        <is>
          <t>王丽</t>
        </is>
      </c>
      <c r="K22" s="315" t="inlineStr">
        <is>
          <t>农小</t>
        </is>
      </c>
      <c r="L22" s="315" t="inlineStr">
        <is>
          <t>省实越秀</t>
        </is>
      </c>
      <c r="M22" s="983" t="inlineStr">
        <is>
          <t>自觉完成，单词自觉完成
回答问题不太主动，多提问</t>
        </is>
      </c>
      <c r="N22" s="426" t="inlineStr">
        <is>
          <t>多开口</t>
        </is>
      </c>
      <c r="O22" s="984" t="inlineStr">
        <is>
          <t>笔记认真"三年级前上过优尼贝特
也学过牛津树
笔记认真</t>
        </is>
      </c>
      <c r="P22" s="315" t="inlineStr">
        <is>
          <t>95左右</t>
        </is>
      </c>
      <c r="Q22" s="315" t="n">
        <v>40</v>
      </c>
      <c r="T22" s="315" t="inlineStr">
        <is>
          <t>是</t>
        </is>
      </c>
      <c r="U22" s="315" t="inlineStr">
        <is>
          <t>是</t>
        </is>
      </c>
      <c r="V22" s="315" t="inlineStr">
        <is>
          <t>是</t>
        </is>
      </c>
      <c r="Z22" s="315" t="inlineStr">
        <is>
          <t>是</t>
        </is>
      </c>
      <c r="AA22" s="315" t="inlineStr">
        <is>
          <t>是</t>
        </is>
      </c>
      <c r="AD22" s="315" t="inlineStr">
        <is>
          <t>A</t>
        </is>
      </c>
      <c r="AI22" s="315" t="inlineStr">
        <is>
          <t>是</t>
        </is>
      </c>
      <c r="AJ22" s="281" t="n"/>
      <c r="AL22" s="366" t="n"/>
      <c r="AM22" s="281" t="n"/>
    </row>
    <row r="23" ht="26.25" customHeight="1" s="1053">
      <c r="A23" s="315" t="inlineStr">
        <is>
          <t>同创汇</t>
        </is>
      </c>
      <c r="B23" s="315" t="inlineStr">
        <is>
          <t>零期</t>
        </is>
      </c>
      <c r="C23" s="315" t="n">
        <v>5230765</v>
      </c>
      <c r="D23" s="315" t="inlineStr">
        <is>
          <t>10:20-12:30</t>
        </is>
      </c>
      <c r="E23" s="315" t="inlineStr">
        <is>
          <t>潜能班</t>
        </is>
      </c>
      <c r="F23" s="315" t="inlineStr">
        <is>
          <t>李恩</t>
        </is>
      </c>
      <c r="G23" s="315" t="inlineStr">
        <is>
          <t>刘希子</t>
        </is>
      </c>
      <c r="H23" s="315" t="inlineStr">
        <is>
          <t>黄铭怡</t>
        </is>
      </c>
      <c r="I23" s="315" t="inlineStr">
        <is>
          <t>陈中帅</t>
        </is>
      </c>
      <c r="J23" s="315" t="inlineStr">
        <is>
          <t>王丽</t>
        </is>
      </c>
      <c r="K23" s="315" t="inlineStr">
        <is>
          <t>中砂二路小学</t>
        </is>
      </c>
      <c r="L23" s="315" t="inlineStr">
        <is>
          <t>十六中</t>
        </is>
      </c>
      <c r="M23" s="426" t="inlineStr">
        <is>
          <t>没补过英语。</t>
        </is>
      </c>
      <c r="N23" s="985" t="inlineStr">
        <is>
          <t>上初中了，该学习语法
基础了。做一些完型和
阅读的训练。语言还是有
兴趣的</t>
        </is>
      </c>
      <c r="O23" s="986" t="inlineStr">
        <is>
          <t>音标不会。学习的不系统
不太愿意背单词。让她做事
还是会服从安排。</t>
        </is>
      </c>
      <c r="P23" s="315" t="n">
        <v>90</v>
      </c>
      <c r="Q23" s="315" t="n">
        <v>22</v>
      </c>
      <c r="T23" s="315" t="inlineStr">
        <is>
          <t>是</t>
        </is>
      </c>
      <c r="U23" s="315" t="inlineStr">
        <is>
          <t>是</t>
        </is>
      </c>
      <c r="V23" s="315" t="inlineStr">
        <is>
          <t>是</t>
        </is>
      </c>
      <c r="Z23" s="315" t="inlineStr">
        <is>
          <t>是</t>
        </is>
      </c>
      <c r="AA23" s="315" t="inlineStr">
        <is>
          <t>是</t>
        </is>
      </c>
      <c r="AD23" s="315" t="inlineStr">
        <is>
          <t>B</t>
        </is>
      </c>
      <c r="AI23" s="315" t="inlineStr">
        <is>
          <t>是</t>
        </is>
      </c>
      <c r="AJ23" s="281" t="n"/>
      <c r="AL23" s="366" t="n"/>
      <c r="AM23" s="281" t="n"/>
    </row>
    <row r="24" ht="26.25" customHeight="1" s="1053">
      <c r="A24" s="315" t="inlineStr">
        <is>
          <t>同创汇</t>
        </is>
      </c>
      <c r="B24" s="315" t="inlineStr">
        <is>
          <t>零期</t>
        </is>
      </c>
      <c r="C24" s="315" t="n">
        <v>5230765</v>
      </c>
      <c r="D24" s="315" t="inlineStr">
        <is>
          <t>10:20-12:30</t>
        </is>
      </c>
      <c r="E24" s="315" t="inlineStr">
        <is>
          <t>潜能班</t>
        </is>
      </c>
      <c r="F24" s="315" t="inlineStr">
        <is>
          <t>李泓睿</t>
        </is>
      </c>
      <c r="G24" s="315" t="inlineStr">
        <is>
          <t>刘希子</t>
        </is>
      </c>
      <c r="H24" s="315" t="inlineStr">
        <is>
          <t>黄铭怡</t>
        </is>
      </c>
      <c r="I24" s="315" t="inlineStr">
        <is>
          <t>陈中帅</t>
        </is>
      </c>
      <c r="J24" s="315" t="inlineStr">
        <is>
          <t>戎凯01</t>
        </is>
      </c>
      <c r="K24" s="315" t="inlineStr">
        <is>
          <t>育才</t>
        </is>
      </c>
      <c r="L24" s="315" t="inlineStr">
        <is>
          <t>东方实验</t>
        </is>
      </c>
      <c r="M24" s="987" t="inlineStr">
        <is>
          <t>能完成作业，背单词自觉，但是额外学习不愿意
说会，但是会做错</t>
        </is>
      </c>
      <c r="N24" s="988" t="inlineStr">
        <is>
          <t>阅读、语法。学校考试
能看出语法问题。希望
他能把分数提一提。</t>
        </is>
      </c>
      <c r="O24" s="989" t="inlineStr">
        <is>
          <t>学过KET刚过、PET但没过
新东方报过班，都是班课</t>
        </is>
      </c>
      <c r="P24" s="315" t="inlineStr">
        <is>
          <t>90左右</t>
        </is>
      </c>
      <c r="Q24" s="315" t="n">
        <v>29</v>
      </c>
      <c r="T24" s="315" t="inlineStr">
        <is>
          <t>是</t>
        </is>
      </c>
      <c r="U24" s="315" t="inlineStr">
        <is>
          <t>是</t>
        </is>
      </c>
      <c r="V24" s="315" t="inlineStr">
        <is>
          <t>是</t>
        </is>
      </c>
      <c r="Z24" s="315" t="inlineStr">
        <is>
          <t>是</t>
        </is>
      </c>
      <c r="AA24" s="315" t="inlineStr">
        <is>
          <t>是</t>
        </is>
      </c>
      <c r="AD24" s="315" t="inlineStr">
        <is>
          <t>B</t>
        </is>
      </c>
      <c r="AH24" s="315" t="inlineStr">
        <is>
          <t>是</t>
        </is>
      </c>
      <c r="AI24" s="315" t="inlineStr">
        <is>
          <t>是</t>
        </is>
      </c>
      <c r="AJ24" s="281" t="n"/>
      <c r="AL24" s="281" t="n"/>
      <c r="AM24" s="281" t="n"/>
    </row>
    <row r="25" ht="26.25" customFormat="1" customHeight="1" s="366">
      <c r="A25" s="339" t="inlineStr">
        <is>
          <t>天成大厦</t>
        </is>
      </c>
      <c r="B25" s="339" t="inlineStr">
        <is>
          <t>一期</t>
        </is>
      </c>
      <c r="C25" s="339" t="n">
        <v>5230783</v>
      </c>
      <c r="D25" s="339" t="inlineStr">
        <is>
          <t>13:20-15:30</t>
        </is>
      </c>
      <c r="E25" s="339" t="inlineStr">
        <is>
          <t>潜能班</t>
        </is>
      </c>
      <c r="F25" s="339" t="inlineStr">
        <is>
          <t>李施锐</t>
        </is>
      </c>
      <c r="G25" s="339" t="inlineStr">
        <is>
          <t>刘希子</t>
        </is>
      </c>
      <c r="H25" s="339" t="inlineStr">
        <is>
          <t>李润</t>
        </is>
      </c>
      <c r="I25" s="339" t="inlineStr">
        <is>
          <t>陈中帅</t>
        </is>
      </c>
      <c r="J25" s="339" t="inlineStr">
        <is>
          <t>陈亮延</t>
        </is>
      </c>
      <c r="K25" s="339" t="n"/>
      <c r="L25" s="339" t="n"/>
      <c r="M25" s="339" t="inlineStr">
        <is>
          <t>自觉</t>
        </is>
      </c>
      <c r="N25" s="339" t="inlineStr">
        <is>
          <t>语法查缺补漏</t>
        </is>
      </c>
      <c r="O25" s="339" t="inlineStr">
        <is>
          <t>很差</t>
        </is>
      </c>
      <c r="P25" s="339" t="n">
        <v>94</v>
      </c>
      <c r="Q25" s="339" t="inlineStr">
        <is>
          <t>无</t>
        </is>
      </c>
      <c r="R25" s="339" t="n"/>
      <c r="S25" s="339" t="n"/>
      <c r="T25" s="339" t="n"/>
      <c r="U25" s="339" t="n"/>
      <c r="V25" s="339" t="n"/>
      <c r="W25" s="339" t="n"/>
      <c r="X25" s="339" t="n"/>
      <c r="Y25" s="339" t="n"/>
      <c r="Z25" s="339" t="n"/>
      <c r="AA25" s="339" t="n"/>
      <c r="AB25" s="339" t="n"/>
      <c r="AC25" s="339" t="n"/>
      <c r="AD25" s="339" t="n"/>
      <c r="AE25" s="339" t="n"/>
      <c r="AF25" s="339" t="n"/>
      <c r="AG25" s="339" t="n"/>
      <c r="AH25" s="339" t="n"/>
      <c r="AM25" s="281" t="inlineStr">
        <is>
          <t>温静仪</t>
        </is>
      </c>
    </row>
    <row r="26" ht="26.25" customFormat="1" customHeight="1" s="367">
      <c r="A26" s="339" t="inlineStr">
        <is>
          <t>同创汇</t>
        </is>
      </c>
      <c r="B26" s="339" t="inlineStr">
        <is>
          <t>二期</t>
        </is>
      </c>
      <c r="C26" s="339" t="n">
        <v>3132893</v>
      </c>
      <c r="D26" s="339" t="inlineStr">
        <is>
          <t>15:50-18:00</t>
        </is>
      </c>
      <c r="E26" s="339" t="inlineStr">
        <is>
          <t>潜能班</t>
        </is>
      </c>
      <c r="F26" s="339" t="inlineStr">
        <is>
          <t>李思锊</t>
        </is>
      </c>
      <c r="G26" s="339" t="inlineStr">
        <is>
          <t>刘希子</t>
        </is>
      </c>
      <c r="H26" s="339" t="inlineStr">
        <is>
          <t>李润</t>
        </is>
      </c>
      <c r="I26" s="339" t="inlineStr">
        <is>
          <t>何咏04</t>
        </is>
      </c>
      <c r="J26" s="339" t="inlineStr">
        <is>
          <t>戎凯01</t>
        </is>
      </c>
      <c r="K26" s="339" t="inlineStr">
        <is>
          <t>大沙头</t>
        </is>
      </c>
      <c r="L26" s="339" t="inlineStr">
        <is>
          <t>16中</t>
        </is>
      </c>
      <c r="M26" s="339" t="inlineStr">
        <is>
          <t>自己完成，家长偶尔检查</t>
        </is>
      </c>
      <c r="N26" s="990" t="inlineStr">
        <is>
          <t>主要是想思锊能提前接触一下初中的知识，对初中的知识点有基本的概念，为入学分班考做好准备，希望思锊能在入学分班考取得比较好的成绩
从来不报课外班</t>
        </is>
      </c>
      <c r="O26" s="339" t="inlineStr">
        <is>
          <t>系统微信和添加微信不一样</t>
        </is>
      </c>
      <c r="P26" s="339" t="n">
        <v>98</v>
      </c>
      <c r="Q26" s="339" t="inlineStr">
        <is>
          <t>48/50</t>
        </is>
      </c>
      <c r="R26" s="339" t="n"/>
      <c r="S26" s="339" t="n"/>
      <c r="T26" s="339" t="n"/>
      <c r="U26" s="339" t="n"/>
      <c r="V26" s="339" t="n"/>
      <c r="W26" s="339" t="n"/>
      <c r="X26" s="339" t="n"/>
      <c r="Y26" s="339" t="n"/>
      <c r="Z26" s="339" t="n"/>
      <c r="AA26" s="339" t="n"/>
      <c r="AB26" s="339" t="n"/>
      <c r="AC26" s="339" t="n"/>
      <c r="AD26" s="339" t="n"/>
      <c r="AE26" s="339" t="n"/>
      <c r="AF26" s="339" t="n"/>
      <c r="AG26" s="339" t="n"/>
      <c r="AH26" s="339" t="n"/>
      <c r="AI26" s="366" t="n"/>
      <c r="AJ26" s="366" t="n"/>
      <c r="AK26" s="366" t="n"/>
      <c r="AL26" s="366" t="n"/>
      <c r="AM26" s="281" t="inlineStr">
        <is>
          <t>李恩</t>
        </is>
      </c>
    </row>
    <row r="27" ht="26.25" customFormat="1" customHeight="1" s="367">
      <c r="A27" s="339" t="inlineStr">
        <is>
          <t>天成大厦</t>
        </is>
      </c>
      <c r="B27" s="339" t="inlineStr">
        <is>
          <t>二期</t>
        </is>
      </c>
      <c r="C27" s="339" t="n">
        <v>3132858</v>
      </c>
      <c r="D27" s="339" t="inlineStr">
        <is>
          <t>10:20-12:30</t>
        </is>
      </c>
      <c r="E27" s="339" t="inlineStr">
        <is>
          <t>潜能班</t>
        </is>
      </c>
      <c r="F27" s="339" t="inlineStr">
        <is>
          <t>李梓熳</t>
        </is>
      </c>
      <c r="G27" s="339" t="inlineStr">
        <is>
          <t>刘希子</t>
        </is>
      </c>
      <c r="H27" s="339" t="inlineStr">
        <is>
          <t>李润</t>
        </is>
      </c>
      <c r="I27" s="339" t="inlineStr">
        <is>
          <t>宗志鹏</t>
        </is>
      </c>
      <c r="J27" s="339" t="inlineStr">
        <is>
          <t>陈亮延</t>
        </is>
      </c>
      <c r="K27" s="339" t="n"/>
      <c r="L27" s="339" t="n"/>
      <c r="M27" s="339" t="inlineStr">
        <is>
          <t>学习习惯很独立很好</t>
        </is>
      </c>
      <c r="N27" s="339" t="inlineStr">
        <is>
          <t>家长不清楚</t>
        </is>
      </c>
      <c r="O27" s="339" t="inlineStr">
        <is>
          <t>孩子内向一点</t>
        </is>
      </c>
      <c r="P27" s="339" t="n">
        <v>82</v>
      </c>
      <c r="Q27" s="339" t="inlineStr">
        <is>
          <t>无</t>
        </is>
      </c>
      <c r="R27" s="339" t="n"/>
      <c r="S27" s="339" t="n"/>
      <c r="T27" s="339" t="n"/>
      <c r="U27" s="339" t="n"/>
      <c r="V27" s="339" t="n"/>
      <c r="W27" s="339" t="n"/>
      <c r="X27" s="339" t="n"/>
      <c r="Y27" s="339" t="n"/>
      <c r="Z27" s="339" t="n"/>
      <c r="AA27" s="339" t="n"/>
      <c r="AB27" s="339" t="n"/>
      <c r="AC27" s="339" t="n"/>
      <c r="AD27" s="339" t="n"/>
      <c r="AE27" s="339" t="n"/>
      <c r="AF27" s="339" t="n"/>
      <c r="AG27" s="339" t="n"/>
      <c r="AH27" s="339" t="n"/>
      <c r="AI27" s="366" t="n"/>
      <c r="AJ27" s="366" t="n"/>
      <c r="AK27" s="366" t="n"/>
      <c r="AL27" s="366" t="n"/>
      <c r="AM27" s="281" t="inlineStr">
        <is>
          <t>黄馨可</t>
        </is>
      </c>
    </row>
    <row r="28" ht="26.25" customFormat="1" customHeight="1" s="366">
      <c r="A28" s="339" t="inlineStr">
        <is>
          <t>天成大厦</t>
        </is>
      </c>
      <c r="B28" s="339" t="inlineStr">
        <is>
          <t>二期</t>
        </is>
      </c>
      <c r="C28" s="339" t="n">
        <v>3132858</v>
      </c>
      <c r="D28" s="339" t="inlineStr">
        <is>
          <t>10:20-12:30</t>
        </is>
      </c>
      <c r="E28" s="339" t="inlineStr">
        <is>
          <t>潜能班</t>
        </is>
      </c>
      <c r="F28" s="339" t="inlineStr">
        <is>
          <t>梁晨曦</t>
        </is>
      </c>
      <c r="G28" s="339" t="inlineStr">
        <is>
          <t>刘希子</t>
        </is>
      </c>
      <c r="H28" s="339" t="inlineStr">
        <is>
          <t>李润</t>
        </is>
      </c>
      <c r="I28" s="339" t="inlineStr">
        <is>
          <t>宗志鹏</t>
        </is>
      </c>
      <c r="J28" s="339" t="inlineStr">
        <is>
          <t>沈思浩</t>
        </is>
      </c>
      <c r="K28" s="339" t="n"/>
      <c r="L28" s="339" t="n"/>
      <c r="M28" s="339" t="inlineStr">
        <is>
          <t>自立</t>
        </is>
      </c>
      <c r="N28" s="339" t="inlineStr">
        <is>
          <t>喜欢被表扬。时态。</t>
        </is>
      </c>
      <c r="O28" s="339" t="inlineStr">
        <is>
          <t>五下84，六下94.没有补课过。暑假去新东方。外向型，喜欢被表扬。很看重老师的表扬！积分卡选同桌。</t>
        </is>
      </c>
      <c r="P28" s="339" t="n">
        <v>85</v>
      </c>
      <c r="Q28" s="339" t="inlineStr">
        <is>
          <t>无</t>
        </is>
      </c>
      <c r="R28" s="339" t="n"/>
      <c r="S28" s="339" t="n"/>
      <c r="T28" s="339" t="n"/>
      <c r="U28" s="339" t="n"/>
      <c r="V28" s="339" t="n"/>
      <c r="W28" s="339" t="n"/>
      <c r="X28" s="339" t="n"/>
      <c r="Y28" s="339" t="n"/>
      <c r="Z28" s="339" t="n"/>
      <c r="AA28" s="339" t="n"/>
      <c r="AB28" s="339" t="n"/>
      <c r="AC28" s="339" t="n"/>
      <c r="AD28" s="339" t="n"/>
      <c r="AE28" s="339" t="n"/>
      <c r="AF28" s="339" t="n"/>
      <c r="AG28" s="339" t="n"/>
      <c r="AH28" s="339" t="n"/>
      <c r="AM28" s="281" t="inlineStr">
        <is>
          <t>李泓睿</t>
        </is>
      </c>
    </row>
    <row r="29" ht="26.25" customFormat="1" customHeight="1" s="368">
      <c r="A29" s="339" t="inlineStr">
        <is>
          <t>同创汇</t>
        </is>
      </c>
      <c r="B29" s="339" t="inlineStr">
        <is>
          <t>二期</t>
        </is>
      </c>
      <c r="C29" s="339" t="n">
        <v>3132893</v>
      </c>
      <c r="D29" s="339" t="inlineStr">
        <is>
          <t>15:50-18:00</t>
        </is>
      </c>
      <c r="E29" s="339" t="inlineStr">
        <is>
          <t>潜能班</t>
        </is>
      </c>
      <c r="F29" s="339" t="inlineStr">
        <is>
          <t>梁思雅</t>
        </is>
      </c>
      <c r="G29" s="339" t="inlineStr">
        <is>
          <t>刘希子</t>
        </is>
      </c>
      <c r="H29" s="339" t="inlineStr">
        <is>
          <t>李润</t>
        </is>
      </c>
      <c r="I29" s="339" t="inlineStr">
        <is>
          <t>何咏04</t>
        </is>
      </c>
      <c r="J29" s="339" t="inlineStr">
        <is>
          <t>戎凯01</t>
        </is>
      </c>
      <c r="K29" s="339" t="inlineStr">
        <is>
          <t>杨箕</t>
        </is>
      </c>
      <c r="L29" s="339" t="inlineStr">
        <is>
          <t>想去七中，等摇号</t>
        </is>
      </c>
      <c r="M29" s="991" t="inlineStr">
        <is>
          <t>作业不会做的都靠AI去抄作业
背单词从来不学</t>
        </is>
      </c>
      <c r="N29" s="339" t="inlineStr">
        <is>
          <t>语法薄弱，希望孩子主动去说</t>
        </is>
      </c>
      <c r="O29" s="992" t="inlineStr">
        <is>
          <t>笔记潦草
这个学期请了家教，从70多稳定到90</t>
        </is>
      </c>
      <c r="P29" s="339" t="inlineStr">
        <is>
          <t>90，但是以前70多</t>
        </is>
      </c>
      <c r="Q29" s="339" t="n"/>
      <c r="R29" s="339" t="n"/>
      <c r="S29" s="339" t="n"/>
      <c r="T29" s="339" t="n"/>
      <c r="U29" s="339" t="n"/>
      <c r="V29" s="339" t="n"/>
      <c r="W29" s="339" t="n"/>
      <c r="X29" s="339" t="n"/>
      <c r="Y29" s="339" t="n"/>
      <c r="Z29" s="339" t="n"/>
      <c r="AA29" s="339" t="n"/>
      <c r="AB29" s="339" t="n"/>
      <c r="AC29" s="339" t="n"/>
      <c r="AD29" s="339" t="n"/>
      <c r="AE29" s="339" t="n"/>
      <c r="AF29" s="339" t="n"/>
      <c r="AG29" s="339" t="n"/>
      <c r="AH29" s="339" t="n"/>
      <c r="AI29" s="366" t="n"/>
      <c r="AJ29" s="366" t="n"/>
      <c r="AK29" s="366" t="n"/>
      <c r="AL29" s="366" t="n"/>
      <c r="AM29" s="281" t="inlineStr">
        <is>
          <t>于彦臻</t>
        </is>
      </c>
    </row>
    <row r="30" ht="26.25" customFormat="1" customHeight="1" s="367">
      <c r="A30" s="339" t="inlineStr">
        <is>
          <t>天成大厦</t>
        </is>
      </c>
      <c r="B30" s="339" t="inlineStr">
        <is>
          <t>二期</t>
        </is>
      </c>
      <c r="C30" s="339" t="n">
        <v>3132858</v>
      </c>
      <c r="D30" s="339" t="inlineStr">
        <is>
          <t>10:20-12:30</t>
        </is>
      </c>
      <c r="E30" s="339" t="inlineStr">
        <is>
          <t>潜能班</t>
        </is>
      </c>
      <c r="F30" s="339" t="inlineStr">
        <is>
          <t>林芊悦1</t>
        </is>
      </c>
      <c r="G30" s="339" t="inlineStr">
        <is>
          <t>刘希子</t>
        </is>
      </c>
      <c r="H30" s="339" t="inlineStr">
        <is>
          <t>李润</t>
        </is>
      </c>
      <c r="I30" s="339" t="inlineStr">
        <is>
          <t>宗志鹏</t>
        </is>
      </c>
      <c r="J30" s="339" t="inlineStr">
        <is>
          <t>沈思浩</t>
        </is>
      </c>
      <c r="K30" s="339" t="n"/>
      <c r="L30" s="339" t="n"/>
      <c r="M30" s="339" t="inlineStr">
        <is>
          <t>主动</t>
        </is>
      </c>
      <c r="N30" s="339" t="inlineStr">
        <is>
          <t>没有补习过，提升一点，</t>
        </is>
      </c>
      <c r="O30" s="339" t="inlineStr">
        <is>
          <t>高效，熟悉之后会好一点。喜欢被表扬，要强！注重隐私，</t>
        </is>
      </c>
      <c r="P30" s="339" t="n">
        <v>90</v>
      </c>
      <c r="Q30" s="339" t="inlineStr">
        <is>
          <t>无</t>
        </is>
      </c>
      <c r="R30" s="339" t="n"/>
      <c r="S30" s="339" t="n"/>
      <c r="T30" s="339" t="n"/>
      <c r="U30" s="339" t="n"/>
      <c r="V30" s="339" t="n"/>
      <c r="W30" s="339" t="n"/>
      <c r="X30" s="339" t="n"/>
      <c r="Y30" s="339" t="n"/>
      <c r="Z30" s="339" t="n"/>
      <c r="AA30" s="339" t="n"/>
      <c r="AB30" s="339" t="n"/>
      <c r="AC30" s="339" t="n"/>
      <c r="AD30" s="339" t="n"/>
      <c r="AE30" s="339" t="n"/>
      <c r="AF30" s="339" t="n"/>
      <c r="AG30" s="339" t="n"/>
      <c r="AH30" s="339" t="n"/>
      <c r="AI30" s="366" t="n"/>
      <c r="AJ30" s="366" t="n"/>
      <c r="AK30" s="366" t="n"/>
      <c r="AL30" s="366" t="n"/>
      <c r="AM30" s="281" t="inlineStr">
        <is>
          <t>林小逗</t>
        </is>
      </c>
    </row>
    <row r="31" ht="26.25" customHeight="1" s="1053">
      <c r="A31" s="315" t="inlineStr">
        <is>
          <t>同创汇</t>
        </is>
      </c>
      <c r="B31" s="315" t="inlineStr">
        <is>
          <t>零期</t>
        </is>
      </c>
      <c r="C31" s="315" t="n">
        <v>5230765</v>
      </c>
      <c r="D31" s="315" t="inlineStr">
        <is>
          <t>10:20-12:30</t>
        </is>
      </c>
      <c r="E31" s="315" t="inlineStr">
        <is>
          <t>潜能班</t>
        </is>
      </c>
      <c r="F31" s="315" t="inlineStr">
        <is>
          <t>林小逗</t>
        </is>
      </c>
      <c r="G31" s="315" t="inlineStr">
        <is>
          <t>刘希子</t>
        </is>
      </c>
      <c r="I31" s="315" t="inlineStr">
        <is>
          <t>陈中帅</t>
        </is>
      </c>
      <c r="J31" s="315" t="inlineStr">
        <is>
          <t>戎凯01</t>
        </is>
      </c>
      <c r="K31" s="315" t="inlineStr">
        <is>
          <t>小北路</t>
        </is>
      </c>
      <c r="L31" s="315" t="inlineStr">
        <is>
          <t>省实</t>
        </is>
      </c>
      <c r="M31" s="993" t="inlineStr">
        <is>
          <t>三科来说，英语没
那么稳定。答题习惯不好，
时态，不看完就选。语法学的不系统</t>
        </is>
      </c>
      <c r="N31" s="426" t="inlineStr">
        <is>
          <t>衔接、知识拓展，害怕初中掉分</t>
        </is>
      </c>
      <c r="O31" s="994" t="inlineStr">
        <is>
          <t>完全没上过课外
家长挺了解孩子的</t>
        </is>
      </c>
      <c r="P31" s="315" t="inlineStr">
        <is>
          <t>90多</t>
        </is>
      </c>
      <c r="T31" s="315" t="inlineStr">
        <is>
          <t>是</t>
        </is>
      </c>
      <c r="U31" s="315" t="inlineStr">
        <is>
          <t>是</t>
        </is>
      </c>
      <c r="V31" s="315" t="inlineStr">
        <is>
          <t>是</t>
        </is>
      </c>
      <c r="Z31" s="315" t="inlineStr">
        <is>
          <t>是</t>
        </is>
      </c>
      <c r="AD31" s="315" t="inlineStr">
        <is>
          <t>A</t>
        </is>
      </c>
      <c r="AI31" s="315" t="inlineStr">
        <is>
          <t>是</t>
        </is>
      </c>
      <c r="AJ31" s="281" t="n"/>
      <c r="AL31" s="366" t="n"/>
      <c r="AM31" s="281" t="n"/>
    </row>
    <row r="32" ht="26.25" customFormat="1" customHeight="1" s="366">
      <c r="A32" s="339" t="inlineStr">
        <is>
          <t>天成大厦</t>
        </is>
      </c>
      <c r="B32" s="339" t="inlineStr">
        <is>
          <t>一期</t>
        </is>
      </c>
      <c r="C32" s="339" t="n">
        <v>5230783</v>
      </c>
      <c r="D32" s="339" t="inlineStr">
        <is>
          <t>13:20-15:30</t>
        </is>
      </c>
      <c r="E32" s="339" t="inlineStr">
        <is>
          <t>潜能班</t>
        </is>
      </c>
      <c r="F32" s="339" t="inlineStr">
        <is>
          <t>刘丛歌</t>
        </is>
      </c>
      <c r="G32" s="339" t="inlineStr">
        <is>
          <t>刘希子</t>
        </is>
      </c>
      <c r="H32" s="339" t="inlineStr">
        <is>
          <t>李润</t>
        </is>
      </c>
      <c r="I32" s="339" t="inlineStr">
        <is>
          <t>陈中帅</t>
        </is>
      </c>
      <c r="J32" s="339" t="inlineStr">
        <is>
          <t>陈亮延</t>
        </is>
      </c>
      <c r="K32" s="339" t="n"/>
      <c r="L32" s="339" t="n"/>
      <c r="M32" s="339" t="inlineStr">
        <is>
          <t>很自觉</t>
        </is>
      </c>
      <c r="N32" s="339" t="inlineStr">
        <is>
          <t>词汇量积累不够，语法也不扎实，作文写的一般。</t>
        </is>
      </c>
      <c r="O32" s="339" t="inlineStr">
        <is>
          <t>校内分数97，作业不需要督促，之前没有在校外补过</t>
        </is>
      </c>
      <c r="P32" s="339" t="n">
        <v>97</v>
      </c>
      <c r="Q32" s="339" t="n">
        <v>39</v>
      </c>
      <c r="R32" s="339" t="n"/>
      <c r="S32" s="339" t="n"/>
      <c r="T32" s="339" t="n"/>
      <c r="U32" s="339" t="n"/>
      <c r="V32" s="339" t="n"/>
      <c r="W32" s="339" t="n"/>
      <c r="X32" s="339" t="n"/>
      <c r="Y32" s="339" t="n"/>
      <c r="Z32" s="339" t="n"/>
      <c r="AA32" s="339" t="n"/>
      <c r="AB32" s="339" t="n"/>
      <c r="AC32" s="339" t="n"/>
      <c r="AD32" s="339" t="n"/>
      <c r="AE32" s="339" t="n"/>
      <c r="AF32" s="339" t="n"/>
      <c r="AG32" s="339" t="n"/>
      <c r="AH32" s="339" t="n"/>
      <c r="AM32" s="281" t="inlineStr">
        <is>
          <t>张权</t>
        </is>
      </c>
    </row>
    <row r="33" ht="26.25" customFormat="1" customHeight="1" s="366">
      <c r="A33" s="339" t="inlineStr">
        <is>
          <t>天成大厦</t>
        </is>
      </c>
      <c r="B33" s="339" t="inlineStr">
        <is>
          <t>一期</t>
        </is>
      </c>
      <c r="C33" s="339" t="n">
        <v>5230783</v>
      </c>
      <c r="D33" s="339" t="inlineStr">
        <is>
          <t>13:20-15:30</t>
        </is>
      </c>
      <c r="E33" s="339" t="inlineStr">
        <is>
          <t>潜能班</t>
        </is>
      </c>
      <c r="F33" s="339" t="inlineStr">
        <is>
          <t>刘均瑞</t>
        </is>
      </c>
      <c r="G33" s="339" t="inlineStr">
        <is>
          <t>刘希子</t>
        </is>
      </c>
      <c r="H33" s="339" t="inlineStr">
        <is>
          <t>李润</t>
        </is>
      </c>
      <c r="I33" s="339" t="n"/>
      <c r="J33" s="339" t="inlineStr">
        <is>
          <t>尚歆01</t>
        </is>
      </c>
      <c r="K33" s="339" t="inlineStr">
        <is>
          <t>龙口西小学</t>
        </is>
      </c>
      <c r="L33" s="339" t="n"/>
      <c r="M33" s="339" t="inlineStr">
        <is>
          <t>习惯还是可以的</t>
        </is>
      </c>
      <c r="N33" s="339" t="inlineStr">
        <is>
          <t>孩子需要引导</t>
        </is>
      </c>
      <c r="O33" s="339" t="inlineStr">
        <is>
          <t>孩子脾气大，需要鼓励</t>
        </is>
      </c>
      <c r="P33" s="339" t="n">
        <v>85</v>
      </c>
      <c r="Q33" s="339" t="n">
        <v>20</v>
      </c>
      <c r="R33" s="339" t="n"/>
      <c r="S33" s="339" t="n"/>
      <c r="T33" s="339" t="n"/>
      <c r="U33" s="339" t="n"/>
      <c r="V33" s="339" t="n"/>
      <c r="W33" s="339" t="n"/>
      <c r="X33" s="339" t="n"/>
      <c r="Y33" s="339" t="n"/>
      <c r="Z33" s="339" t="n"/>
      <c r="AA33" s="339" t="n"/>
      <c r="AB33" s="339" t="n"/>
      <c r="AC33" s="339" t="n"/>
      <c r="AD33" s="339" t="n"/>
      <c r="AE33" s="339" t="n"/>
      <c r="AF33" s="339" t="n"/>
      <c r="AG33" s="339" t="n"/>
      <c r="AH33" s="339" t="n"/>
      <c r="AM33" s="281" t="inlineStr">
        <is>
          <t>周芷帆</t>
        </is>
      </c>
    </row>
    <row r="34" ht="26.25" customHeight="1" s="1053">
      <c r="A34" s="315" t="inlineStr">
        <is>
          <t>同创汇</t>
        </is>
      </c>
      <c r="B34" s="315" t="inlineStr">
        <is>
          <t>零期</t>
        </is>
      </c>
      <c r="C34" s="315" t="n">
        <v>3132865</v>
      </c>
      <c r="D34" s="315" t="inlineStr">
        <is>
          <t>15:50-18:00</t>
        </is>
      </c>
      <c r="E34" s="315" t="inlineStr">
        <is>
          <t>潜能班</t>
        </is>
      </c>
      <c r="F34" s="315" t="inlineStr">
        <is>
          <t>刘映彤</t>
        </is>
      </c>
      <c r="G34" s="315" t="inlineStr">
        <is>
          <t>刘希子</t>
        </is>
      </c>
      <c r="H34" s="315" t="inlineStr">
        <is>
          <t>陈南05</t>
        </is>
      </c>
      <c r="I34" s="315" t="inlineStr">
        <is>
          <t>田雨涵01</t>
        </is>
      </c>
      <c r="J34" s="315" t="inlineStr">
        <is>
          <t>王丽</t>
        </is>
      </c>
      <c r="L34" s="315" t="inlineStr">
        <is>
          <t>七中</t>
        </is>
      </c>
      <c r="M34" s="995" t="inlineStr">
        <is>
          <t xml:space="preserve">学习自主性很强
</t>
        </is>
      </c>
      <c r="N34" s="996" t="inlineStr">
        <is>
          <t>已经报初三的班了
王泽烨是她同学</t>
        </is>
      </c>
      <c r="O34" s="997" t="inlineStr">
        <is>
          <t>过PET了
初一对她来说太简单了</t>
        </is>
      </c>
      <c r="P34" s="315" t="inlineStr">
        <is>
          <t>满分</t>
        </is>
      </c>
      <c r="T34" s="315" t="inlineStr">
        <is>
          <t>是</t>
        </is>
      </c>
      <c r="U34" s="315" t="inlineStr">
        <is>
          <t>是</t>
        </is>
      </c>
      <c r="V34" s="315" t="inlineStr">
        <is>
          <t>是</t>
        </is>
      </c>
      <c r="Z34" s="315" t="inlineStr">
        <is>
          <t>否</t>
        </is>
      </c>
      <c r="AD34" s="315" t="inlineStr">
        <is>
          <t>C</t>
        </is>
      </c>
      <c r="AI34" s="315" t="inlineStr">
        <is>
          <t>否</t>
        </is>
      </c>
      <c r="AJ34" s="281" t="n"/>
      <c r="AL34" s="366" t="n"/>
      <c r="AM34" s="281" t="n"/>
    </row>
    <row r="35" ht="26.25" customFormat="1" customHeight="1" s="369">
      <c r="A35" s="339" t="inlineStr">
        <is>
          <t>天成大厦</t>
        </is>
      </c>
      <c r="B35" s="339" t="inlineStr">
        <is>
          <t>二期</t>
        </is>
      </c>
      <c r="C35" s="339" t="n">
        <v>3132858</v>
      </c>
      <c r="D35" s="339" t="inlineStr">
        <is>
          <t>10:20-12:30</t>
        </is>
      </c>
      <c r="E35" s="339" t="inlineStr">
        <is>
          <t>潜能班</t>
        </is>
      </c>
      <c r="F35" s="339" t="inlineStr">
        <is>
          <t>刘芷霖</t>
        </is>
      </c>
      <c r="G35" s="339" t="inlineStr">
        <is>
          <t>刘希子</t>
        </is>
      </c>
      <c r="H35" s="339" t="inlineStr">
        <is>
          <t>李润</t>
        </is>
      </c>
      <c r="I35" s="339" t="inlineStr">
        <is>
          <t>宗志鹏</t>
        </is>
      </c>
      <c r="J35" s="339" t="inlineStr">
        <is>
          <t>沈思浩</t>
        </is>
      </c>
      <c r="K35" s="339" t="inlineStr">
        <is>
          <t>旭景小学</t>
        </is>
      </c>
      <c r="L35" s="339" t="n"/>
      <c r="M35" s="339" t="inlineStr">
        <is>
          <t>需要环境控制</t>
        </is>
      </c>
      <c r="N35" s="339" t="inlineStr">
        <is>
          <t>单词</t>
        </is>
      </c>
      <c r="O35" s="339" t="inlineStr">
        <is>
          <t>王萱蕴刘芷霖好朋友，组团型</t>
        </is>
      </c>
      <c r="P35" s="339" t="n">
        <v>95</v>
      </c>
      <c r="Q35" s="339" t="inlineStr">
        <is>
          <t>无</t>
        </is>
      </c>
      <c r="R35" s="339" t="n"/>
      <c r="S35" s="339" t="n"/>
      <c r="T35" s="339" t="n"/>
      <c r="U35" s="339" t="n"/>
      <c r="V35" s="339" t="n"/>
      <c r="W35" s="339" t="n"/>
      <c r="X35" s="339" t="n"/>
      <c r="Y35" s="339" t="n"/>
      <c r="Z35" s="339" t="n"/>
      <c r="AA35" s="339" t="n"/>
      <c r="AB35" s="339" t="n"/>
      <c r="AC35" s="339" t="n"/>
      <c r="AD35" s="339" t="n"/>
      <c r="AE35" s="339" t="n"/>
      <c r="AF35" s="339" t="n"/>
      <c r="AG35" s="339" t="n"/>
      <c r="AH35" s="339" t="n"/>
      <c r="AI35" s="366" t="n"/>
      <c r="AJ35" s="366" t="n"/>
      <c r="AK35" s="366" t="n"/>
      <c r="AL35" s="366" t="n"/>
      <c r="AM35" s="281" t="inlineStr">
        <is>
          <t>果儿</t>
        </is>
      </c>
    </row>
    <row r="36" ht="26.25" customHeight="1" s="1053">
      <c r="A36" s="315" t="inlineStr">
        <is>
          <t>同创汇</t>
        </is>
      </c>
      <c r="B36" s="315" t="inlineStr">
        <is>
          <t>零期</t>
        </is>
      </c>
      <c r="C36" s="315" t="n">
        <v>5230765</v>
      </c>
      <c r="D36" s="315" t="inlineStr">
        <is>
          <t>10:20-12:30</t>
        </is>
      </c>
      <c r="E36" s="315" t="inlineStr">
        <is>
          <t>潜能班</t>
        </is>
      </c>
      <c r="F36" s="315" t="inlineStr">
        <is>
          <t>伦铭聪</t>
        </is>
      </c>
      <c r="G36" s="315" t="inlineStr">
        <is>
          <t>刘希子</t>
        </is>
      </c>
      <c r="H36" s="315" t="inlineStr">
        <is>
          <t>黄铭怡</t>
        </is>
      </c>
      <c r="I36" s="315" t="inlineStr">
        <is>
          <t>陈中帅</t>
        </is>
      </c>
      <c r="J36" s="315" t="inlineStr">
        <is>
          <t>沈思浩</t>
        </is>
      </c>
      <c r="K36" s="315" t="inlineStr">
        <is>
          <t>环市路</t>
        </is>
      </c>
      <c r="L36" s="315" t="inlineStr">
        <is>
          <t>执信</t>
        </is>
      </c>
      <c r="M36" s="998" t="inlineStr">
        <is>
          <t>需要盯着，催促
孩子说的很少
背的也很少</t>
        </is>
      </c>
      <c r="N36" s="426" t="inlineStr">
        <is>
          <t>语法、单词要加强</t>
        </is>
      </c>
      <c r="O36" s="999" t="inlineStr">
        <is>
          <t>之前休学过，在家休养一年
之前上的猿辅导线上直播课</t>
        </is>
      </c>
      <c r="P36" s="1000" t="inlineStr">
        <is>
          <t>六年级基本没有，因为休学一年
五年级的时候偶尔有90
广州还是越秀有根据成绩语数英轮班？
新生衔接教育？分班上课，但是他没考试分ABC</t>
        </is>
      </c>
      <c r="Q36" s="315" t="n">
        <v>30</v>
      </c>
      <c r="T36" s="315" t="inlineStr">
        <is>
          <t>是</t>
        </is>
      </c>
      <c r="U36" s="315" t="inlineStr">
        <is>
          <t>是</t>
        </is>
      </c>
      <c r="V36" s="315" t="inlineStr">
        <is>
          <t>是</t>
        </is>
      </c>
      <c r="Z36" s="315" t="inlineStr">
        <is>
          <t>是</t>
        </is>
      </c>
      <c r="AD36" s="315" t="inlineStr">
        <is>
          <t>A</t>
        </is>
      </c>
      <c r="AI36" s="315" t="inlineStr">
        <is>
          <t>是</t>
        </is>
      </c>
      <c r="AJ36" s="281" t="n"/>
      <c r="AL36" s="281" t="n"/>
      <c r="AM36" s="281" t="n"/>
    </row>
    <row r="37" ht="26.25" customHeight="1" s="1053">
      <c r="A37" s="315" t="inlineStr">
        <is>
          <t>同创汇</t>
        </is>
      </c>
      <c r="B37" s="315" t="inlineStr">
        <is>
          <t>零期</t>
        </is>
      </c>
      <c r="C37" s="315" t="n">
        <v>5230765</v>
      </c>
      <c r="D37" s="315" t="inlineStr">
        <is>
          <t>10:20-12:30</t>
        </is>
      </c>
      <c r="E37" s="315" t="inlineStr">
        <is>
          <t>潜能班</t>
        </is>
      </c>
      <c r="F37" s="315" t="inlineStr">
        <is>
          <t>马涌钛</t>
        </is>
      </c>
      <c r="G37" s="315" t="inlineStr">
        <is>
          <t>刘希子</t>
        </is>
      </c>
      <c r="H37" s="315" t="inlineStr">
        <is>
          <t>黄铭怡</t>
        </is>
      </c>
      <c r="J37" s="315" t="inlineStr">
        <is>
          <t>戎凯01</t>
        </is>
      </c>
      <c r="L37" s="315" t="inlineStr">
        <is>
          <t>育才</t>
        </is>
      </c>
      <c r="M37" s="1001" t="inlineStr">
        <is>
          <t>孩子自主学习能力还好
这半年没之前那么紧张
内容能正常完成</t>
        </is>
      </c>
      <c r="N37" s="1002" t="inlineStr">
        <is>
          <t>语法不太行
本来学习也挺好的</t>
        </is>
      </c>
      <c r="O37" s="426" t="inlineStr">
        <is>
          <t>KET优秀，PET过了</t>
        </is>
      </c>
      <c r="P37" s="315" t="inlineStr">
        <is>
          <t>295，95+</t>
        </is>
      </c>
      <c r="T37" s="315" t="inlineStr">
        <is>
          <t>是</t>
        </is>
      </c>
      <c r="U37" s="315" t="inlineStr">
        <is>
          <t>是</t>
        </is>
      </c>
      <c r="V37" s="315" t="inlineStr">
        <is>
          <t>是</t>
        </is>
      </c>
      <c r="Z37" s="315" t="inlineStr">
        <is>
          <t>是</t>
        </is>
      </c>
      <c r="AD37" s="315" t="inlineStr">
        <is>
          <t>B</t>
        </is>
      </c>
      <c r="AI37" s="315" t="inlineStr">
        <is>
          <t>是</t>
        </is>
      </c>
      <c r="AJ37" s="281" t="n"/>
      <c r="AL37" s="366" t="n"/>
      <c r="AM37" s="366" t="n"/>
    </row>
    <row r="38" ht="26.25" customHeight="1" s="1053">
      <c r="A38" s="315" t="inlineStr">
        <is>
          <t>同创汇</t>
        </is>
      </c>
      <c r="B38" s="315" t="inlineStr">
        <is>
          <t>零期</t>
        </is>
      </c>
      <c r="C38" s="315" t="n">
        <v>5230765</v>
      </c>
      <c r="D38" s="315" t="inlineStr">
        <is>
          <t>10:20-12:30</t>
        </is>
      </c>
      <c r="E38" s="315" t="inlineStr">
        <is>
          <t>潜能班</t>
        </is>
      </c>
      <c r="F38" s="315" t="inlineStr">
        <is>
          <t>孟庆宇</t>
        </is>
      </c>
      <c r="G38" s="315" t="inlineStr">
        <is>
          <t>刘希子</t>
        </is>
      </c>
      <c r="H38" s="315" t="inlineStr">
        <is>
          <t>李润</t>
        </is>
      </c>
      <c r="I38" s="315" t="inlineStr">
        <is>
          <t>陈中帅</t>
        </is>
      </c>
      <c r="J38" s="315" t="inlineStr">
        <is>
          <t>王丽</t>
        </is>
      </c>
      <c r="L38" s="315" t="inlineStr">
        <is>
          <t>七中</t>
        </is>
      </c>
      <c r="M38" s="1003" t="inlineStr">
        <is>
          <t>很自觉记笔记，词性转换比较薄弱
非常在意每个词都认识才能做题</t>
        </is>
      </c>
      <c r="N38" s="1004" t="inlineStr">
        <is>
          <t>分班考
记笔记的方法
希望重视基础语法
总是想上厕所？</t>
        </is>
      </c>
      <c r="O38" s="1005" t="inlineStr">
        <is>
          <t>已经学到初二了，考过PET，
在私教1V3的老师上课，
在新思考已经开始上初二，暑假也要上那边的10节课
阅读，完型机构一直在练习</t>
        </is>
      </c>
      <c r="P38" s="315" t="inlineStr">
        <is>
          <t>校内三科成绩293</t>
        </is>
      </c>
      <c r="T38" s="315" t="inlineStr">
        <is>
          <t>是</t>
        </is>
      </c>
      <c r="U38" s="315" t="inlineStr">
        <is>
          <t>是</t>
        </is>
      </c>
      <c r="V38" s="315" t="inlineStr">
        <is>
          <t>是</t>
        </is>
      </c>
      <c r="Z38" s="315" t="inlineStr">
        <is>
          <t>是</t>
        </is>
      </c>
      <c r="AA38" s="315" t="inlineStr">
        <is>
          <t>是</t>
        </is>
      </c>
      <c r="AD38" s="315" t="inlineStr">
        <is>
          <t>A</t>
        </is>
      </c>
      <c r="AI38" s="315" t="inlineStr">
        <is>
          <t>是</t>
        </is>
      </c>
      <c r="AJ38" s="281" t="n"/>
      <c r="AL38" s="281" t="n"/>
      <c r="AM38" s="366" t="n"/>
    </row>
    <row r="39" ht="26.25" customHeight="1" s="1053">
      <c r="A39" s="315" t="inlineStr">
        <is>
          <t>同创汇</t>
        </is>
      </c>
      <c r="B39" s="315" t="inlineStr">
        <is>
          <t>零期</t>
        </is>
      </c>
      <c r="C39" s="315" t="n">
        <v>3132865</v>
      </c>
      <c r="D39" s="315" t="inlineStr">
        <is>
          <t>15:50-18:00</t>
        </is>
      </c>
      <c r="E39" s="315" t="inlineStr">
        <is>
          <t>潜能班</t>
        </is>
      </c>
      <c r="F39" s="315" t="inlineStr">
        <is>
          <t>旻师</t>
        </is>
      </c>
      <c r="G39" s="315" t="inlineStr">
        <is>
          <t>刘希子</t>
        </is>
      </c>
      <c r="H39" s="315" t="inlineStr">
        <is>
          <t>陈南05</t>
        </is>
      </c>
      <c r="I39" s="315" t="inlineStr">
        <is>
          <t>田雨涵01</t>
        </is>
      </c>
      <c r="J39" s="315" t="inlineStr">
        <is>
          <t>王丽</t>
        </is>
      </c>
      <c r="K39" s="315" t="inlineStr">
        <is>
          <t>水荫路</t>
        </is>
      </c>
      <c r="L39" s="315" t="inlineStr">
        <is>
          <t>实在没听出来</t>
        </is>
      </c>
      <c r="M39" s="1006" t="inlineStr">
        <is>
          <t>很努力自觉，自己听复读机音频
手机上选择教材来
不用担心作业</t>
        </is>
      </c>
      <c r="N39" s="1007" t="inlineStr">
        <is>
          <t>衔接，打基础六年级英语开始
有浮动。听力作文不错
单词语法不太好</t>
        </is>
      </c>
      <c r="O39" s="1008" t="inlineStr">
        <is>
          <t>上过PET但是连KET都没过
认真记笔记，孩子很活泼
家长不清楚是该培优还是补差</t>
        </is>
      </c>
      <c r="P39" s="315" t="inlineStr">
        <is>
          <t>86-89</t>
        </is>
      </c>
      <c r="Q39" s="315" t="inlineStr">
        <is>
          <t>36/50</t>
        </is>
      </c>
      <c r="T39" s="315" t="inlineStr">
        <is>
          <t>是</t>
        </is>
      </c>
      <c r="U39" s="315" t="inlineStr">
        <is>
          <t>是</t>
        </is>
      </c>
      <c r="V39" s="315" t="inlineStr">
        <is>
          <t>是</t>
        </is>
      </c>
      <c r="Z39" s="315" t="inlineStr">
        <is>
          <t>是</t>
        </is>
      </c>
      <c r="AA39" s="315" t="inlineStr">
        <is>
          <t>是</t>
        </is>
      </c>
      <c r="AD39" s="315" t="inlineStr">
        <is>
          <t>A</t>
        </is>
      </c>
      <c r="AI39" s="315" t="inlineStr">
        <is>
          <t>是</t>
        </is>
      </c>
      <c r="AJ39" s="281" t="n"/>
      <c r="AL39" s="7" t="n"/>
    </row>
    <row r="40" ht="26.25" customFormat="1" customHeight="1" s="366">
      <c r="A40" s="339" t="inlineStr">
        <is>
          <t>同创汇</t>
        </is>
      </c>
      <c r="B40" s="339" t="inlineStr">
        <is>
          <t>二期</t>
        </is>
      </c>
      <c r="C40" s="339" t="n">
        <v>3132893</v>
      </c>
      <c r="D40" s="339" t="inlineStr">
        <is>
          <t>15:50-18:00</t>
        </is>
      </c>
      <c r="E40" s="339" t="inlineStr">
        <is>
          <t>潜能班</t>
        </is>
      </c>
      <c r="F40" s="339" t="inlineStr">
        <is>
          <t>牛然希</t>
        </is>
      </c>
      <c r="G40" s="339" t="inlineStr">
        <is>
          <t>刘希子</t>
        </is>
      </c>
      <c r="H40" s="339" t="inlineStr">
        <is>
          <t>李润</t>
        </is>
      </c>
      <c r="I40" s="339" t="inlineStr">
        <is>
          <t>何咏04</t>
        </is>
      </c>
      <c r="J40" s="339" t="inlineStr">
        <is>
          <t>苏丽婷</t>
        </is>
      </c>
      <c r="K40" s="339" t="n"/>
      <c r="L40" s="339" t="n"/>
      <c r="M40" s="339" t="n"/>
      <c r="N40" s="339" t="inlineStr">
        <is>
          <t>衔接</t>
        </is>
      </c>
      <c r="O40" s="1009" t="inlineStr">
        <is>
          <t>华师的机构的1V2班课，效果
三年级上过家教，上了90多
又换了家教但是效果不好，又退步</t>
        </is>
      </c>
      <c r="P40" s="339" t="inlineStr">
        <is>
          <t>70-90，非常</t>
        </is>
      </c>
      <c r="Q40" s="339" t="n"/>
      <c r="R40" s="339" t="n"/>
      <c r="S40" s="339" t="n"/>
      <c r="T40" s="339" t="n"/>
      <c r="U40" s="339" t="n"/>
      <c r="V40" s="339" t="n"/>
      <c r="W40" s="339" t="n"/>
      <c r="X40" s="339" t="n"/>
      <c r="Y40" s="339" t="n"/>
      <c r="Z40" s="339" t="n"/>
      <c r="AA40" s="339" t="n"/>
      <c r="AB40" s="339" t="n"/>
      <c r="AC40" s="339" t="n"/>
      <c r="AD40" s="339" t="n"/>
      <c r="AE40" s="339" t="n"/>
      <c r="AF40" s="339" t="n"/>
      <c r="AG40" s="339" t="n"/>
      <c r="AH40" s="339" t="n"/>
    </row>
    <row r="41" ht="26.25" customFormat="1" customHeight="1" s="366">
      <c r="A41" s="339" t="inlineStr">
        <is>
          <t>天成大厦</t>
        </is>
      </c>
      <c r="B41" s="339" t="inlineStr">
        <is>
          <t>一期</t>
        </is>
      </c>
      <c r="C41" s="339" t="n">
        <v>5230783</v>
      </c>
      <c r="D41" s="339" t="inlineStr">
        <is>
          <t>13:20-15:30</t>
        </is>
      </c>
      <c r="E41" s="339" t="inlineStr">
        <is>
          <t>潜能班</t>
        </is>
      </c>
      <c r="F41" s="339" t="inlineStr">
        <is>
          <t>庞靖怡</t>
        </is>
      </c>
      <c r="G41" s="339" t="inlineStr">
        <is>
          <t>刘希子</t>
        </is>
      </c>
      <c r="H41" s="339" t="inlineStr">
        <is>
          <t>李润</t>
        </is>
      </c>
      <c r="I41" s="339" t="inlineStr">
        <is>
          <t>陈中帅</t>
        </is>
      </c>
      <c r="J41" s="339" t="inlineStr">
        <is>
          <t>沈思浩</t>
        </is>
      </c>
      <c r="K41" s="339" t="inlineStr">
        <is>
          <t>龙口西小学</t>
        </is>
      </c>
      <c r="L41" s="339" t="n"/>
      <c r="M41" s="339" t="inlineStr">
        <is>
          <t>做笔记很认真</t>
        </is>
      </c>
      <c r="N41" s="339" t="inlineStr">
        <is>
          <t>成绩还可以，有点拧巴</t>
        </is>
      </c>
      <c r="O41" s="339" t="inlineStr">
        <is>
          <t>家长比较挑剔</t>
        </is>
      </c>
      <c r="P41" s="339" t="n">
        <v>80</v>
      </c>
      <c r="Q41" s="339" t="n">
        <v>27</v>
      </c>
      <c r="R41" s="339" t="n"/>
      <c r="S41" s="339" t="n"/>
      <c r="T41" s="339" t="n"/>
      <c r="U41" s="339" t="n"/>
      <c r="V41" s="339" t="n"/>
      <c r="W41" s="339" t="n"/>
      <c r="X41" s="339" t="n"/>
      <c r="Y41" s="339" t="n"/>
      <c r="Z41" s="339" t="n"/>
      <c r="AA41" s="339" t="n"/>
      <c r="AB41" s="339" t="n"/>
      <c r="AC41" s="339" t="n"/>
      <c r="AD41" s="339" t="n"/>
      <c r="AE41" s="339" t="n"/>
      <c r="AF41" s="339" t="n"/>
      <c r="AG41" s="339" t="n"/>
      <c r="AH41" s="339" t="n"/>
    </row>
    <row r="42" ht="26.25" customHeight="1" s="1053">
      <c r="A42" s="315" t="inlineStr">
        <is>
          <t>同创汇</t>
        </is>
      </c>
      <c r="B42" s="315" t="inlineStr">
        <is>
          <t>零期</t>
        </is>
      </c>
      <c r="C42" s="315" t="n">
        <v>5230765</v>
      </c>
      <c r="D42" s="315" t="inlineStr">
        <is>
          <t>10:20-12:30</t>
        </is>
      </c>
      <c r="E42" s="315" t="inlineStr">
        <is>
          <t>潜能班</t>
        </is>
      </c>
      <c r="F42" s="315" t="inlineStr">
        <is>
          <t>丘雅萱</t>
        </is>
      </c>
      <c r="G42" s="315" t="inlineStr">
        <is>
          <t>刘希子</t>
        </is>
      </c>
      <c r="H42" s="315" t="inlineStr">
        <is>
          <t>陈南05</t>
        </is>
      </c>
      <c r="I42" s="315" t="inlineStr">
        <is>
          <t>陈中帅</t>
        </is>
      </c>
      <c r="J42" s="315" t="inlineStr">
        <is>
          <t>王丽</t>
        </is>
      </c>
      <c r="K42" s="315" t="inlineStr">
        <is>
          <t>番禺的</t>
        </is>
      </c>
      <c r="L42" s="315" t="inlineStr">
        <is>
          <t>二十中学</t>
        </is>
      </c>
      <c r="M42" s="426" t="inlineStr">
        <is>
          <t>注意力不太集中</t>
        </is>
      </c>
      <c r="N42" s="426" t="inlineStr">
        <is>
          <t>综合面向中考</t>
        </is>
      </c>
      <c r="O42" s="1010" t="inlineStr">
        <is>
          <t>家住番禺很远
在上一对一口语课</t>
        </is>
      </c>
      <c r="P42" s="315" t="n">
        <v>98</v>
      </c>
      <c r="T42" s="315" t="inlineStr">
        <is>
          <t>是</t>
        </is>
      </c>
      <c r="U42" s="315" t="inlineStr">
        <is>
          <t>是</t>
        </is>
      </c>
      <c r="V42" s="315" t="inlineStr">
        <is>
          <t>是</t>
        </is>
      </c>
      <c r="Z42" s="315" t="inlineStr">
        <is>
          <t>是</t>
        </is>
      </c>
      <c r="AA42" s="315" t="inlineStr">
        <is>
          <t>是</t>
        </is>
      </c>
      <c r="AD42" s="315" t="inlineStr">
        <is>
          <t>B</t>
        </is>
      </c>
      <c r="AI42" s="315" t="inlineStr">
        <is>
          <t>是</t>
        </is>
      </c>
      <c r="AJ42" s="281" t="n"/>
      <c r="AL42" s="7" t="n"/>
    </row>
    <row r="43" ht="26.25" customHeight="1" s="1053">
      <c r="A43" s="315" t="inlineStr">
        <is>
          <t>同创汇</t>
        </is>
      </c>
      <c r="B43" s="315" t="inlineStr">
        <is>
          <t>零期</t>
        </is>
      </c>
      <c r="C43" s="315" t="n">
        <v>3132865</v>
      </c>
      <c r="D43" s="315" t="inlineStr">
        <is>
          <t>15:50-18:00</t>
        </is>
      </c>
      <c r="E43" s="315" t="inlineStr">
        <is>
          <t>潜能班</t>
        </is>
      </c>
      <c r="F43" s="315" t="inlineStr">
        <is>
          <t>邱兆臻</t>
        </is>
      </c>
      <c r="G43" s="315" t="inlineStr">
        <is>
          <t>刘希子</t>
        </is>
      </c>
      <c r="H43" s="315" t="inlineStr">
        <is>
          <t>黄铭怡</t>
        </is>
      </c>
      <c r="I43" s="315" t="inlineStr">
        <is>
          <t>田雨涵01</t>
        </is>
      </c>
      <c r="J43" s="315" t="inlineStr">
        <is>
          <t>王丽</t>
        </is>
      </c>
      <c r="L43" s="315" t="inlineStr">
        <is>
          <t>培正</t>
        </is>
      </c>
      <c r="M43" s="1011" t="inlineStr">
        <is>
          <t>能自己正常完成作业
英语兴趣还行</t>
        </is>
      </c>
      <c r="N43" s="1012" t="inlineStr">
        <is>
          <t>听力，后面做的比
听力好</t>
        </is>
      </c>
      <c r="O43" s="1013" t="inlineStr">
        <is>
          <t>没有强调什么
特别的东西
不知道是不是因为数学的原因
家长并不理我</t>
        </is>
      </c>
      <c r="P43" s="315" t="n">
        <v>96</v>
      </c>
      <c r="T43" s="315" t="inlineStr">
        <is>
          <t>是</t>
        </is>
      </c>
      <c r="U43" s="315" t="inlineStr">
        <is>
          <t>是</t>
        </is>
      </c>
      <c r="V43" s="315" t="inlineStr">
        <is>
          <t>是</t>
        </is>
      </c>
      <c r="Z43" s="315" t="inlineStr">
        <is>
          <t>是</t>
        </is>
      </c>
      <c r="AA43" s="315" t="inlineStr">
        <is>
          <t>是</t>
        </is>
      </c>
      <c r="AD43" s="315" t="inlineStr">
        <is>
          <t>C</t>
        </is>
      </c>
      <c r="AI43" s="315" t="inlineStr">
        <is>
          <t>是</t>
        </is>
      </c>
      <c r="AJ43" s="281" t="n"/>
      <c r="AL43" s="119" t="n"/>
    </row>
    <row r="44" ht="26.25" customFormat="1" customHeight="1" s="366">
      <c r="A44" s="339" t="inlineStr">
        <is>
          <t>同创汇</t>
        </is>
      </c>
      <c r="B44" s="339" t="inlineStr">
        <is>
          <t>二期</t>
        </is>
      </c>
      <c r="C44" s="339" t="n">
        <v>3132893</v>
      </c>
      <c r="D44" s="339" t="inlineStr">
        <is>
          <t>15:50-18:00</t>
        </is>
      </c>
      <c r="E44" s="339" t="inlineStr">
        <is>
          <t>潜能班</t>
        </is>
      </c>
      <c r="F44" s="339" t="inlineStr">
        <is>
          <t>曲睿希</t>
        </is>
      </c>
      <c r="G44" s="339" t="inlineStr">
        <is>
          <t>刘希子</t>
        </is>
      </c>
      <c r="H44" s="339" t="inlineStr">
        <is>
          <t>李润</t>
        </is>
      </c>
      <c r="I44" s="339" t="inlineStr">
        <is>
          <t>何咏04</t>
        </is>
      </c>
      <c r="J44" s="339" t="inlineStr">
        <is>
          <t>王丽</t>
        </is>
      </c>
      <c r="K44" s="339" t="n"/>
      <c r="L44" s="339" t="n"/>
      <c r="M44" s="339" t="n"/>
      <c r="N44" s="339" t="n"/>
      <c r="O44" s="339" t="n"/>
      <c r="P44" s="339" t="inlineStr">
        <is>
          <t>B，80</t>
        </is>
      </c>
      <c r="Q44" s="339" t="n"/>
      <c r="R44" s="339" t="n"/>
      <c r="S44" s="339" t="n"/>
      <c r="T44" s="339" t="n"/>
      <c r="U44" s="339" t="n"/>
      <c r="V44" s="339" t="n"/>
      <c r="W44" s="339" t="n"/>
      <c r="X44" s="339" t="n"/>
      <c r="Y44" s="339" t="n"/>
      <c r="Z44" s="339" t="n"/>
      <c r="AA44" s="339" t="n"/>
      <c r="AB44" s="339" t="n"/>
      <c r="AC44" s="339" t="n"/>
      <c r="AD44" s="339" t="n"/>
      <c r="AE44" s="339" t="n"/>
      <c r="AF44" s="339" t="n"/>
      <c r="AG44" s="339" t="n"/>
      <c r="AH44" s="339" t="n"/>
    </row>
    <row r="45" ht="26.25" customFormat="1" customHeight="1" s="366">
      <c r="A45" s="339" t="inlineStr">
        <is>
          <t>天成大厦</t>
        </is>
      </c>
      <c r="B45" s="339" t="inlineStr">
        <is>
          <t>二期</t>
        </is>
      </c>
      <c r="C45" s="339" t="n">
        <v>3132858</v>
      </c>
      <c r="D45" s="339" t="inlineStr">
        <is>
          <t>10:20-12:30</t>
        </is>
      </c>
      <c r="E45" s="339" t="inlineStr">
        <is>
          <t>潜能班</t>
        </is>
      </c>
      <c r="F45" s="339" t="inlineStr">
        <is>
          <t>冉梓月</t>
        </is>
      </c>
      <c r="G45" s="339" t="inlineStr">
        <is>
          <t>刘希子</t>
        </is>
      </c>
      <c r="H45" s="339" t="inlineStr">
        <is>
          <t>李润</t>
        </is>
      </c>
      <c r="I45" s="339" t="inlineStr">
        <is>
          <t>宗志鹏</t>
        </is>
      </c>
      <c r="J45" s="339" t="inlineStr">
        <is>
          <t>王达04</t>
        </is>
      </c>
      <c r="K45" s="339" t="inlineStr">
        <is>
          <t>龙口西小学</t>
        </is>
      </c>
      <c r="L45" s="339" t="n"/>
      <c r="M45" s="339" t="inlineStr">
        <is>
          <t>自己学，</t>
        </is>
      </c>
      <c r="N45" s="339" t="inlineStr">
        <is>
          <t>造句作文~</t>
        </is>
      </c>
      <c r="O45" s="339" t="inlineStr">
        <is>
          <t>数学薄弱70，</t>
        </is>
      </c>
      <c r="P45" s="339" t="n">
        <v>90</v>
      </c>
      <c r="Q45" s="339" t="n">
        <v>47</v>
      </c>
      <c r="R45" s="339" t="n"/>
      <c r="S45" s="339" t="n"/>
      <c r="T45" s="339" t="n"/>
      <c r="U45" s="339" t="n"/>
      <c r="V45" s="339" t="n"/>
      <c r="W45" s="339" t="n"/>
      <c r="X45" s="339" t="n"/>
      <c r="Y45" s="339" t="n"/>
      <c r="Z45" s="339" t="n"/>
      <c r="AA45" s="339" t="n"/>
      <c r="AB45" s="339" t="n"/>
      <c r="AC45" s="339" t="n"/>
      <c r="AD45" s="339" t="n"/>
      <c r="AE45" s="339" t="n"/>
      <c r="AF45" s="339" t="n"/>
      <c r="AG45" s="339" t="n"/>
      <c r="AH45" s="339" t="n"/>
    </row>
    <row r="46" ht="26.25" customFormat="1" customHeight="1" s="366">
      <c r="A46" s="339" t="inlineStr">
        <is>
          <t>天成大厦</t>
        </is>
      </c>
      <c r="B46" s="339" t="inlineStr">
        <is>
          <t>一期</t>
        </is>
      </c>
      <c r="C46" s="339" t="n">
        <v>5230783</v>
      </c>
      <c r="D46" s="339" t="inlineStr">
        <is>
          <t>13:20-15:30</t>
        </is>
      </c>
      <c r="E46" s="339" t="inlineStr">
        <is>
          <t>潜能班</t>
        </is>
      </c>
      <c r="F46" s="339" t="inlineStr">
        <is>
          <t>唐瑜蔓</t>
        </is>
      </c>
      <c r="G46" s="339" t="inlineStr">
        <is>
          <t>刘希子</t>
        </is>
      </c>
      <c r="H46" s="339" t="inlineStr">
        <is>
          <t>李润</t>
        </is>
      </c>
      <c r="I46" s="339" t="inlineStr">
        <is>
          <t>陈中帅</t>
        </is>
      </c>
      <c r="J46" s="339" t="inlineStr">
        <is>
          <t>沈思浩</t>
        </is>
      </c>
      <c r="K46" s="339" t="n"/>
      <c r="L46" s="339" t="n"/>
      <c r="M46" s="339" t="n"/>
      <c r="N46" s="339" t="n"/>
      <c r="O46" s="339" t="n"/>
      <c r="P46" s="339" t="n"/>
      <c r="Q46" s="339" t="n"/>
      <c r="R46" s="339" t="n"/>
      <c r="S46" s="339" t="n"/>
      <c r="T46" s="339" t="n"/>
      <c r="U46" s="339" t="n"/>
      <c r="V46" s="339" t="n"/>
      <c r="W46" s="339" t="n"/>
      <c r="X46" s="339" t="n"/>
      <c r="Y46" s="339" t="n"/>
      <c r="Z46" s="339" t="n"/>
      <c r="AA46" s="339" t="n"/>
      <c r="AB46" s="339" t="n"/>
      <c r="AC46" s="339" t="n"/>
      <c r="AD46" s="339" t="n"/>
      <c r="AE46" s="339" t="n"/>
      <c r="AF46" s="339" t="n"/>
      <c r="AG46" s="339" t="n"/>
      <c r="AH46" s="339" t="n"/>
    </row>
    <row r="47" ht="26.25" customHeight="1" s="1053">
      <c r="A47" s="315" t="inlineStr">
        <is>
          <t>同创汇</t>
        </is>
      </c>
      <c r="B47" s="315" t="inlineStr">
        <is>
          <t>零期</t>
        </is>
      </c>
      <c r="C47" s="315" t="n">
        <v>3132865</v>
      </c>
      <c r="D47" s="315" t="inlineStr">
        <is>
          <t>15:50-18:00</t>
        </is>
      </c>
      <c r="E47" s="315" t="inlineStr">
        <is>
          <t>潜能班</t>
        </is>
      </c>
      <c r="F47" s="315" t="inlineStr">
        <is>
          <t>汪泽烨</t>
        </is>
      </c>
      <c r="G47" s="315" t="inlineStr">
        <is>
          <t>刘希子</t>
        </is>
      </c>
      <c r="H47" s="315" t="inlineStr">
        <is>
          <t>陈南05</t>
        </is>
      </c>
      <c r="I47" s="315" t="inlineStr">
        <is>
          <t>田雨涵01</t>
        </is>
      </c>
      <c r="J47" s="315" t="inlineStr">
        <is>
          <t>王丽</t>
        </is>
      </c>
      <c r="L47" s="315" t="inlineStr">
        <is>
          <t>育才实验</t>
        </is>
      </c>
      <c r="M47" s="1014" t="inlineStr">
        <is>
          <t>英语挺感兴趣的老师布置他都会做
时间长就熟了</t>
        </is>
      </c>
      <c r="N47" s="1015" t="inlineStr">
        <is>
          <t>优先分班测
词性，阅读，时态
听力还可以</t>
        </is>
      </c>
      <c r="O47" s="1016" t="inlineStr">
        <is>
          <t>上过小组课，考过
KET通过</t>
        </is>
      </c>
      <c r="P47" s="315" t="inlineStr">
        <is>
          <t>95左右</t>
        </is>
      </c>
      <c r="T47" s="315" t="inlineStr">
        <is>
          <t>是</t>
        </is>
      </c>
      <c r="U47" s="315" t="inlineStr">
        <is>
          <t>是</t>
        </is>
      </c>
      <c r="V47" s="315" t="inlineStr">
        <is>
          <t>是</t>
        </is>
      </c>
      <c r="Z47" s="315" t="inlineStr">
        <is>
          <t>是</t>
        </is>
      </c>
      <c r="AA47" s="315" t="inlineStr">
        <is>
          <t>是</t>
        </is>
      </c>
      <c r="AD47" s="315" t="inlineStr">
        <is>
          <t>B</t>
        </is>
      </c>
      <c r="AI47" s="315" t="inlineStr">
        <is>
          <t>是</t>
        </is>
      </c>
      <c r="AJ47" s="281" t="n"/>
      <c r="AL47" s="7" t="n"/>
    </row>
    <row r="48" ht="26.25" customFormat="1" customHeight="1" s="368">
      <c r="A48" s="339" t="inlineStr">
        <is>
          <t>天成大厦</t>
        </is>
      </c>
      <c r="B48" s="339" t="inlineStr">
        <is>
          <t>二期</t>
        </is>
      </c>
      <c r="C48" s="339" t="n">
        <v>3132858</v>
      </c>
      <c r="D48" s="339" t="inlineStr">
        <is>
          <t>10:20-12:30</t>
        </is>
      </c>
      <c r="E48" s="339" t="inlineStr">
        <is>
          <t>潜能班</t>
        </is>
      </c>
      <c r="F48" s="339" t="inlineStr">
        <is>
          <t>王宣蕴</t>
        </is>
      </c>
      <c r="G48" s="339" t="inlineStr">
        <is>
          <t>刘希子</t>
        </is>
      </c>
      <c r="H48" s="339" t="inlineStr">
        <is>
          <t>李润</t>
        </is>
      </c>
      <c r="I48" s="339" t="inlineStr">
        <is>
          <t>宗志鹏</t>
        </is>
      </c>
      <c r="J48" s="339" t="inlineStr">
        <is>
          <t>沈思浩</t>
        </is>
      </c>
      <c r="K48" s="339" t="inlineStr">
        <is>
          <t>旭景小学</t>
        </is>
      </c>
      <c r="L48" s="339" t="n"/>
      <c r="M48" s="339" t="inlineStr">
        <is>
          <t>很自觉</t>
        </is>
      </c>
      <c r="N48" s="339" t="inlineStr">
        <is>
          <t>家长不清楚</t>
        </is>
      </c>
      <c r="O48" s="339" t="inlineStr">
        <is>
          <t>王萱蕴刘芷霖好朋友，组团型</t>
        </is>
      </c>
      <c r="P48" s="339" t="n">
        <v>90</v>
      </c>
      <c r="Q48" s="339" t="inlineStr">
        <is>
          <t>无</t>
        </is>
      </c>
      <c r="R48" s="339" t="n"/>
      <c r="S48" s="339" t="n"/>
      <c r="T48" s="339" t="n"/>
      <c r="U48" s="339" t="n"/>
      <c r="V48" s="339" t="n"/>
      <c r="W48" s="339" t="n"/>
      <c r="X48" s="339" t="n"/>
      <c r="Y48" s="339" t="n"/>
      <c r="Z48" s="339" t="n"/>
      <c r="AA48" s="339" t="n"/>
      <c r="AB48" s="339" t="n"/>
      <c r="AC48" s="339" t="n"/>
      <c r="AD48" s="339" t="n"/>
      <c r="AE48" s="339" t="n"/>
      <c r="AF48" s="339" t="n"/>
      <c r="AG48" s="339" t="n"/>
      <c r="AH48" s="339" t="n"/>
      <c r="AI48" s="366" t="n"/>
      <c r="AJ48" s="366" t="n"/>
      <c r="AK48" s="366" t="n"/>
      <c r="AL48" s="366" t="n"/>
      <c r="AM48" s="366" t="n"/>
    </row>
    <row r="49" ht="26.25" customFormat="1" customHeight="1" s="366">
      <c r="A49" s="339" t="inlineStr">
        <is>
          <t>天成大厦</t>
        </is>
      </c>
      <c r="B49" s="339" t="inlineStr">
        <is>
          <t>一期</t>
        </is>
      </c>
      <c r="C49" s="339" t="n">
        <v>5230783</v>
      </c>
      <c r="D49" s="339" t="inlineStr">
        <is>
          <t>13:20-15:30</t>
        </is>
      </c>
      <c r="E49" s="339" t="inlineStr">
        <is>
          <t>潜能班</t>
        </is>
      </c>
      <c r="F49" s="339" t="inlineStr">
        <is>
          <t>王喆奎</t>
        </is>
      </c>
      <c r="G49" s="339" t="inlineStr">
        <is>
          <t>刘希子</t>
        </is>
      </c>
      <c r="H49" s="339" t="inlineStr">
        <is>
          <t>李润</t>
        </is>
      </c>
      <c r="I49" s="339" t="inlineStr">
        <is>
          <t>陈中帅</t>
        </is>
      </c>
      <c r="J49" s="339" t="inlineStr">
        <is>
          <t>沈思浩</t>
        </is>
      </c>
      <c r="K49" s="339" t="inlineStr">
        <is>
          <t>龙口西小学</t>
        </is>
      </c>
      <c r="L49" s="339" t="n"/>
      <c r="M49" s="339" t="inlineStr">
        <is>
          <t>需要环境控制</t>
        </is>
      </c>
      <c r="N49" s="339" t="inlineStr">
        <is>
          <t>有些语法混淆</t>
        </is>
      </c>
      <c r="O49" s="339" t="inlineStr">
        <is>
          <t>孩子很配合，家长对孩子关注度高，和言斌是搭子</t>
        </is>
      </c>
      <c r="P49" s="339" t="n">
        <v>97.5</v>
      </c>
      <c r="Q49" s="339" t="inlineStr">
        <is>
          <t>无</t>
        </is>
      </c>
      <c r="R49" s="339" t="n"/>
      <c r="S49" s="339" t="n"/>
      <c r="T49" s="339" t="n"/>
      <c r="U49" s="339" t="n"/>
      <c r="V49" s="339" t="n"/>
      <c r="W49" s="339" t="n"/>
      <c r="X49" s="339" t="n"/>
      <c r="Y49" s="339" t="n"/>
      <c r="Z49" s="339" t="n"/>
      <c r="AA49" s="339" t="n"/>
      <c r="AB49" s="339" t="n"/>
      <c r="AC49" s="339" t="n"/>
      <c r="AD49" s="339" t="n"/>
      <c r="AE49" s="339" t="n"/>
      <c r="AF49" s="339" t="n"/>
      <c r="AG49" s="339" t="n"/>
      <c r="AH49" s="339" t="n"/>
    </row>
    <row r="50" ht="26.25" customFormat="1" customHeight="1" s="366">
      <c r="A50" s="339" t="inlineStr">
        <is>
          <t>天成大厦</t>
        </is>
      </c>
      <c r="B50" s="339" t="inlineStr">
        <is>
          <t>一期</t>
        </is>
      </c>
      <c r="C50" s="339" t="n">
        <v>5230783</v>
      </c>
      <c r="D50" s="339" t="inlineStr">
        <is>
          <t>13:20-15:30</t>
        </is>
      </c>
      <c r="E50" s="339" t="inlineStr">
        <is>
          <t>潜能班</t>
        </is>
      </c>
      <c r="F50" s="339" t="inlineStr">
        <is>
          <t>玮倩</t>
        </is>
      </c>
      <c r="G50" s="339" t="inlineStr">
        <is>
          <t>刘希子</t>
        </is>
      </c>
      <c r="H50" s="339" t="inlineStr">
        <is>
          <t>李润</t>
        </is>
      </c>
      <c r="I50" s="339" t="inlineStr">
        <is>
          <t>陈中帅</t>
        </is>
      </c>
      <c r="J50" s="339" t="inlineStr">
        <is>
          <t>王达04</t>
        </is>
      </c>
      <c r="K50" s="339" t="n"/>
      <c r="L50" s="339" t="n"/>
      <c r="M50" s="339" t="n"/>
      <c r="N50" s="339" t="n"/>
      <c r="O50" s="339" t="n"/>
      <c r="P50" s="339" t="n"/>
      <c r="Q50" s="339" t="n"/>
      <c r="R50" s="339" t="n"/>
      <c r="S50" s="339" t="n"/>
      <c r="T50" s="339" t="n"/>
      <c r="U50" s="339" t="n"/>
      <c r="V50" s="339" t="n"/>
      <c r="W50" s="339" t="n"/>
      <c r="X50" s="339" t="n"/>
      <c r="Y50" s="339" t="n"/>
      <c r="Z50" s="339" t="n"/>
      <c r="AA50" s="339" t="n"/>
      <c r="AB50" s="339" t="n"/>
      <c r="AC50" s="339" t="n"/>
      <c r="AD50" s="339" t="n"/>
      <c r="AE50" s="339" t="n"/>
      <c r="AF50" s="339" t="n"/>
      <c r="AG50" s="339" t="n"/>
      <c r="AH50" s="339" t="n"/>
    </row>
    <row r="51" ht="26.25" customFormat="1" customHeight="1" s="366">
      <c r="A51" s="339" t="inlineStr">
        <is>
          <t>同创汇</t>
        </is>
      </c>
      <c r="B51" s="339" t="inlineStr">
        <is>
          <t>二期</t>
        </is>
      </c>
      <c r="C51" s="339" t="n">
        <v>3132893</v>
      </c>
      <c r="D51" s="339" t="inlineStr">
        <is>
          <t>15:50-18:00</t>
        </is>
      </c>
      <c r="E51" s="339" t="inlineStr">
        <is>
          <t>潜能班</t>
        </is>
      </c>
      <c r="F51" s="339" t="inlineStr">
        <is>
          <t>魏汀瑶</t>
        </is>
      </c>
      <c r="G51" s="339" t="inlineStr">
        <is>
          <t>刘希子</t>
        </is>
      </c>
      <c r="H51" s="339" t="inlineStr">
        <is>
          <t>李润</t>
        </is>
      </c>
      <c r="I51" s="339" t="inlineStr">
        <is>
          <t>何咏04</t>
        </is>
      </c>
      <c r="J51" s="339" t="inlineStr">
        <is>
          <t>龙倩敏</t>
        </is>
      </c>
      <c r="K51" s="339" t="n"/>
      <c r="L51" s="339" t="inlineStr">
        <is>
          <t>民办，摇号</t>
        </is>
      </c>
      <c r="M51" s="339" t="inlineStr">
        <is>
          <t>作业不用盯，偶尔问一下</t>
        </is>
      </c>
      <c r="N51" s="339" t="inlineStr">
        <is>
          <t>小升初的衔接，想试一下10多人的班她能不能适应</t>
        </is>
      </c>
      <c r="O51" s="339" t="n"/>
      <c r="P51" s="339" t="inlineStr">
        <is>
          <t>80-90</t>
        </is>
      </c>
      <c r="Q51" s="339" t="inlineStr">
        <is>
          <t>21/50</t>
        </is>
      </c>
      <c r="R51" s="339" t="n"/>
      <c r="S51" s="339" t="n"/>
      <c r="T51" s="339" t="n"/>
      <c r="U51" s="339" t="n"/>
      <c r="V51" s="339" t="n"/>
      <c r="W51" s="339" t="n"/>
      <c r="X51" s="339" t="n"/>
      <c r="Y51" s="339" t="n"/>
      <c r="Z51" s="339" t="n"/>
      <c r="AA51" s="339" t="n"/>
      <c r="AB51" s="339" t="n"/>
      <c r="AC51" s="339" t="n"/>
      <c r="AD51" s="339" t="n"/>
      <c r="AE51" s="339" t="n"/>
      <c r="AF51" s="339" t="n"/>
      <c r="AG51" s="339" t="n"/>
      <c r="AH51" s="339" t="n"/>
    </row>
    <row r="52" ht="26.25" customHeight="1" s="1053">
      <c r="A52" s="315" t="inlineStr">
        <is>
          <t>同创汇</t>
        </is>
      </c>
      <c r="B52" s="315" t="inlineStr">
        <is>
          <t>零期</t>
        </is>
      </c>
      <c r="C52" s="315" t="n">
        <v>5230765</v>
      </c>
      <c r="D52" s="315" t="inlineStr">
        <is>
          <t>10:20-12:30</t>
        </is>
      </c>
      <c r="E52" s="315" t="inlineStr">
        <is>
          <t>潜能班</t>
        </is>
      </c>
      <c r="F52" s="315" t="inlineStr">
        <is>
          <t>温静仪</t>
        </is>
      </c>
      <c r="G52" s="315" t="inlineStr">
        <is>
          <t>刘希子</t>
        </is>
      </c>
      <c r="H52" s="315" t="inlineStr">
        <is>
          <t>黄铭怡</t>
        </is>
      </c>
      <c r="I52" s="315" t="inlineStr">
        <is>
          <t>陈中帅</t>
        </is>
      </c>
      <c r="J52" s="315" t="inlineStr">
        <is>
          <t>王丽</t>
        </is>
      </c>
      <c r="L52" s="315" t="inlineStr">
        <is>
          <t>广外</t>
        </is>
      </c>
      <c r="M52" s="1017" t="inlineStr">
        <is>
          <t>不太会自认拼读
不会学以致用。主动去学，
有阅读输出能力</t>
        </is>
      </c>
      <c r="N52" s="1018" t="inlineStr">
        <is>
          <t>孩子想学但是
但是有点拖延症，不会特别主动
孩子太松弛，可以严格</t>
        </is>
      </c>
      <c r="O52" s="426" t="inlineStr">
        <is>
          <t>之前是学的数学语文</t>
        </is>
      </c>
      <c r="P52" s="315" t="n">
        <v>90</v>
      </c>
      <c r="T52" s="315" t="inlineStr">
        <is>
          <t>是</t>
        </is>
      </c>
      <c r="U52" s="315" t="inlineStr">
        <is>
          <t>是</t>
        </is>
      </c>
      <c r="V52" s="315" t="inlineStr">
        <is>
          <t>是</t>
        </is>
      </c>
      <c r="Z52" s="315" t="inlineStr">
        <is>
          <t>是</t>
        </is>
      </c>
      <c r="AD52" s="315" t="inlineStr">
        <is>
          <t>A</t>
        </is>
      </c>
      <c r="AI52" s="315" t="inlineStr">
        <is>
          <t>是</t>
        </is>
      </c>
      <c r="AJ52" s="281" t="n"/>
      <c r="AL52" s="7" t="n"/>
    </row>
    <row r="53" ht="26.25" customFormat="1" customHeight="1" s="423">
      <c r="A53" s="315" t="inlineStr">
        <is>
          <t>同创汇</t>
        </is>
      </c>
      <c r="B53" s="315" t="inlineStr">
        <is>
          <t>零期</t>
        </is>
      </c>
      <c r="C53" s="315" t="n">
        <v>3132865</v>
      </c>
      <c r="D53" s="315" t="inlineStr">
        <is>
          <t>15:50-18:00</t>
        </is>
      </c>
      <c r="E53" s="315" t="inlineStr">
        <is>
          <t>潜能班</t>
        </is>
      </c>
      <c r="F53" s="315" t="inlineStr">
        <is>
          <t>文文</t>
        </is>
      </c>
      <c r="G53" s="315" t="inlineStr">
        <is>
          <t>刘希子</t>
        </is>
      </c>
      <c r="H53" s="315" t="inlineStr">
        <is>
          <t>陈南05</t>
        </is>
      </c>
      <c r="I53" s="315" t="inlineStr">
        <is>
          <t>田雨涵01</t>
        </is>
      </c>
      <c r="J53" s="315" t="inlineStr">
        <is>
          <t>戎凯01</t>
        </is>
      </c>
      <c r="K53" s="315" t="n"/>
      <c r="L53" s="315" t="inlineStr">
        <is>
          <t>培正</t>
        </is>
      </c>
      <c r="M53" s="1019" t="inlineStr">
        <is>
          <t>自己会做，但是比较拖
没有养成太好的背单词
上课反应还可以，还是愿意
敞开心扉</t>
        </is>
      </c>
      <c r="N53" s="426" t="inlineStr">
        <is>
          <t>单词量和基础需要加强</t>
        </is>
      </c>
      <c r="O53" s="426" t="inlineStr">
        <is>
          <t>上过一段时间PET，但主要跟课内</t>
        </is>
      </c>
      <c r="P53" s="315" t="inlineStr">
        <is>
          <t>A</t>
        </is>
      </c>
      <c r="Q53" s="315" t="n"/>
      <c r="R53" s="315" t="n"/>
      <c r="S53" s="315" t="n"/>
      <c r="T53" s="315" t="inlineStr">
        <is>
          <t>是</t>
        </is>
      </c>
      <c r="U53" s="315" t="inlineStr">
        <is>
          <t>是</t>
        </is>
      </c>
      <c r="V53" s="315" t="inlineStr">
        <is>
          <t>是</t>
        </is>
      </c>
      <c r="W53" s="315" t="n"/>
      <c r="X53" s="315" t="n"/>
      <c r="Y53" s="315" t="n"/>
      <c r="Z53" s="315" t="inlineStr">
        <is>
          <t>是</t>
        </is>
      </c>
      <c r="AA53" s="315" t="n"/>
      <c r="AB53" s="315" t="n"/>
      <c r="AC53" s="315" t="n"/>
      <c r="AD53" s="315" t="inlineStr">
        <is>
          <t>B</t>
        </is>
      </c>
      <c r="AE53" s="315" t="n"/>
      <c r="AF53" s="315" t="n"/>
      <c r="AG53" s="315" t="n"/>
      <c r="AH53" s="315" t="n"/>
      <c r="AI53" s="315" t="inlineStr">
        <is>
          <t>是</t>
        </is>
      </c>
      <c r="AJ53" s="281" t="n"/>
      <c r="AK53" s="315" t="n"/>
      <c r="AL53" s="7" t="n"/>
      <c r="AM53" s="315" t="n"/>
    </row>
    <row r="54" ht="26.25" customFormat="1" customHeight="1" s="366">
      <c r="A54" s="339" t="inlineStr">
        <is>
          <t>天成大厦</t>
        </is>
      </c>
      <c r="B54" s="339" t="inlineStr">
        <is>
          <t>一期</t>
        </is>
      </c>
      <c r="C54" s="339" t="n">
        <v>5230783</v>
      </c>
      <c r="D54" s="339" t="inlineStr">
        <is>
          <t>13:20-15:30</t>
        </is>
      </c>
      <c r="E54" s="339" t="inlineStr">
        <is>
          <t>潜能班</t>
        </is>
      </c>
      <c r="F54" s="339" t="inlineStr">
        <is>
          <t>翁圣翔</t>
        </is>
      </c>
      <c r="G54" s="339" t="inlineStr">
        <is>
          <t>刘希子</t>
        </is>
      </c>
      <c r="H54" s="339" t="n"/>
      <c r="I54" s="339" t="inlineStr">
        <is>
          <t>陈中帅</t>
        </is>
      </c>
      <c r="J54" s="339" t="inlineStr">
        <is>
          <t>陈亮延</t>
        </is>
      </c>
      <c r="K54" s="339" t="inlineStr">
        <is>
          <t>龙口西小学</t>
        </is>
      </c>
      <c r="L54" s="339" t="inlineStr">
        <is>
          <t>等摇号</t>
        </is>
      </c>
      <c r="M54" s="339" t="inlineStr">
        <is>
          <t>习惯比较自律</t>
        </is>
      </c>
      <c r="N54" s="339" t="inlineStr">
        <is>
          <t>语法大幅度代入</t>
        </is>
      </c>
      <c r="O54" s="339" t="inlineStr">
        <is>
          <t>单词，写作。英语差一点温和</t>
        </is>
      </c>
      <c r="P54" s="339" t="n">
        <v>80</v>
      </c>
      <c r="Q54" s="339" t="inlineStr">
        <is>
          <t>无</t>
        </is>
      </c>
      <c r="R54" s="339" t="n"/>
      <c r="S54" s="339" t="n"/>
      <c r="T54" s="339" t="n"/>
      <c r="U54" s="339" t="n"/>
      <c r="V54" s="339" t="n"/>
      <c r="W54" s="339" t="n"/>
      <c r="X54" s="339" t="n"/>
      <c r="Y54" s="339" t="n"/>
      <c r="Z54" s="339" t="n"/>
      <c r="AA54" s="339" t="n"/>
      <c r="AB54" s="339" t="n"/>
      <c r="AC54" s="339" t="n"/>
      <c r="AD54" s="339" t="n"/>
      <c r="AE54" s="339" t="n"/>
      <c r="AF54" s="339" t="n"/>
      <c r="AG54" s="339" t="n"/>
      <c r="AH54" s="339" t="n"/>
    </row>
    <row r="55" ht="26.25" customHeight="1" s="1053">
      <c r="A55" s="315" t="inlineStr">
        <is>
          <t>同创汇</t>
        </is>
      </c>
      <c r="B55" s="315" t="inlineStr">
        <is>
          <t>零期</t>
        </is>
      </c>
      <c r="C55" s="315" t="n">
        <v>3132865</v>
      </c>
      <c r="D55" s="315" t="inlineStr">
        <is>
          <t>15:50-18:00</t>
        </is>
      </c>
      <c r="E55" s="315" t="inlineStr">
        <is>
          <t>潜能班</t>
        </is>
      </c>
      <c r="F55" s="315" t="inlineStr">
        <is>
          <t>吴俊康</t>
        </is>
      </c>
      <c r="G55" s="315" t="inlineStr">
        <is>
          <t>刘希子</t>
        </is>
      </c>
      <c r="H55" s="315" t="inlineStr">
        <is>
          <t>陈南05</t>
        </is>
      </c>
      <c r="I55" s="315" t="inlineStr">
        <is>
          <t>田雨涵01</t>
        </is>
      </c>
      <c r="J55" s="315" t="inlineStr">
        <is>
          <t>戎凯01</t>
        </is>
      </c>
      <c r="L55" s="315" t="inlineStr">
        <is>
          <t>华侨外国语</t>
        </is>
      </c>
      <c r="M55" s="1020" t="inlineStr">
        <is>
          <t>不爱背单词
需要一定催促
问他回答，要鼓励开口</t>
        </is>
      </c>
      <c r="N55" s="1021" t="inlineStr">
        <is>
          <t>还是希望提高词汇量和
技巧。句子结构</t>
        </is>
      </c>
      <c r="O55" s="1022" t="inlineStr">
        <is>
          <t>学而思，新东方，卓越
都学过。</t>
        </is>
      </c>
      <c r="P55" s="315" t="inlineStr">
        <is>
          <t>80-90</t>
        </is>
      </c>
      <c r="T55" s="315" t="inlineStr">
        <is>
          <t>是</t>
        </is>
      </c>
      <c r="U55" s="315" t="inlineStr">
        <is>
          <t>是</t>
        </is>
      </c>
      <c r="V55" s="315" t="inlineStr">
        <is>
          <t>是</t>
        </is>
      </c>
      <c r="Z55" s="315" t="inlineStr">
        <is>
          <t>是</t>
        </is>
      </c>
      <c r="AA55" s="315" t="inlineStr">
        <is>
          <t>是</t>
        </is>
      </c>
      <c r="AD55" s="315" t="inlineStr">
        <is>
          <t>B</t>
        </is>
      </c>
      <c r="AI55" s="315" t="inlineStr">
        <is>
          <t>是</t>
        </is>
      </c>
      <c r="AJ55" s="281" t="n"/>
      <c r="AL55" s="7" t="n"/>
    </row>
    <row r="56" ht="26.25" customFormat="1" customHeight="1" s="366">
      <c r="A56" s="339" t="inlineStr">
        <is>
          <t>天成大厦</t>
        </is>
      </c>
      <c r="B56" s="339" t="inlineStr">
        <is>
          <t>二期</t>
        </is>
      </c>
      <c r="C56" s="339" t="n">
        <v>3132858</v>
      </c>
      <c r="D56" s="339" t="inlineStr">
        <is>
          <t>10:20-12:30</t>
        </is>
      </c>
      <c r="E56" s="339" t="inlineStr">
        <is>
          <t>潜能班</t>
        </is>
      </c>
      <c r="F56" s="339" t="inlineStr">
        <is>
          <t>冼梓琳</t>
        </is>
      </c>
      <c r="G56" s="339" t="inlineStr">
        <is>
          <t>刘希子</t>
        </is>
      </c>
      <c r="H56" s="339" t="inlineStr">
        <is>
          <t>李润</t>
        </is>
      </c>
      <c r="I56" s="339" t="inlineStr">
        <is>
          <t>宗志鹏</t>
        </is>
      </c>
      <c r="J56" s="339" t="inlineStr">
        <is>
          <t>陈亮延</t>
        </is>
      </c>
      <c r="K56" s="339" t="n"/>
      <c r="L56" s="339" t="n"/>
      <c r="M56" s="339" t="inlineStr">
        <is>
          <t>学习习惯很独立很好</t>
        </is>
      </c>
      <c r="N56" s="339" t="inlineStr">
        <is>
          <t>家长不清楚</t>
        </is>
      </c>
      <c r="O56" s="339" t="inlineStr">
        <is>
          <t>家长不加微信，配合度低</t>
        </is>
      </c>
      <c r="P56" s="339" t="n">
        <v>95</v>
      </c>
      <c r="Q56" s="339" t="n">
        <v>39.5</v>
      </c>
      <c r="R56" s="339" t="n"/>
      <c r="S56" s="339" t="n"/>
      <c r="T56" s="339" t="n"/>
      <c r="U56" s="339" t="n"/>
      <c r="V56" s="339" t="n"/>
      <c r="W56" s="339" t="n"/>
      <c r="X56" s="339" t="n"/>
      <c r="Y56" s="339" t="n"/>
      <c r="Z56" s="339" t="n"/>
      <c r="AA56" s="339" t="n"/>
      <c r="AB56" s="339" t="n"/>
      <c r="AC56" s="339" t="n"/>
      <c r="AD56" s="339" t="n"/>
      <c r="AE56" s="339" t="n"/>
      <c r="AF56" s="339" t="n"/>
      <c r="AG56" s="339" t="n"/>
      <c r="AH56" s="339" t="n"/>
    </row>
    <row r="57" ht="26.25" customHeight="1" s="1053">
      <c r="A57" s="315" t="inlineStr">
        <is>
          <t>同创汇</t>
        </is>
      </c>
      <c r="B57" s="315" t="inlineStr">
        <is>
          <t>零期</t>
        </is>
      </c>
      <c r="C57" s="315" t="n">
        <v>5230765</v>
      </c>
      <c r="D57" s="315" t="inlineStr">
        <is>
          <t>10:20-12:30</t>
        </is>
      </c>
      <c r="E57" s="315" t="inlineStr">
        <is>
          <t>潜能班</t>
        </is>
      </c>
      <c r="F57" s="315" t="inlineStr">
        <is>
          <t>肖宸熙</t>
        </is>
      </c>
      <c r="G57" s="315" t="inlineStr">
        <is>
          <t>刘希子</t>
        </is>
      </c>
      <c r="H57" s="315" t="inlineStr">
        <is>
          <t>黄铭怡</t>
        </is>
      </c>
      <c r="I57" s="315" t="inlineStr">
        <is>
          <t>陈中帅</t>
        </is>
      </c>
      <c r="J57" s="315" t="inlineStr">
        <is>
          <t>王丽</t>
        </is>
      </c>
      <c r="L57" s="315" t="inlineStr">
        <is>
          <t>十六中东环？</t>
        </is>
      </c>
      <c r="M57" s="426" t="inlineStr">
        <is>
          <t>态度比较好，但是浮躁积极性强。学得快，但忘得也快</t>
        </is>
      </c>
      <c r="N57" s="1023" t="inlineStr">
        <is>
          <t>不愿意考k
在刷单词</t>
        </is>
      </c>
      <c r="O57" s="1024" t="inlineStr">
        <is>
          <t>现在每周一节
外教口语</t>
        </is>
      </c>
      <c r="P57" s="315" t="inlineStr">
        <is>
          <t>大多90左右</t>
        </is>
      </c>
      <c r="Q57" s="315" t="n">
        <v>32</v>
      </c>
      <c r="T57" s="315" t="inlineStr">
        <is>
          <t>是</t>
        </is>
      </c>
      <c r="U57" s="315" t="inlineStr">
        <is>
          <t>是</t>
        </is>
      </c>
      <c r="V57" s="315" t="inlineStr">
        <is>
          <t>是</t>
        </is>
      </c>
      <c r="Z57" s="315" t="inlineStr">
        <is>
          <t>是</t>
        </is>
      </c>
      <c r="AA57" s="315" t="inlineStr">
        <is>
          <t>是</t>
        </is>
      </c>
      <c r="AD57" s="315" t="inlineStr">
        <is>
          <t>B</t>
        </is>
      </c>
      <c r="AI57" s="315" t="inlineStr">
        <is>
          <t>是</t>
        </is>
      </c>
      <c r="AJ57" s="281" t="n"/>
      <c r="AL57" s="7" t="n"/>
    </row>
    <row r="58" ht="26.25" customFormat="1" customHeight="1" s="366">
      <c r="A58" s="339" t="inlineStr">
        <is>
          <t>天成大厦</t>
        </is>
      </c>
      <c r="B58" s="339" t="inlineStr">
        <is>
          <t>三期</t>
        </is>
      </c>
      <c r="C58" s="339" t="n">
        <v>5230788</v>
      </c>
      <c r="D58" s="339" t="inlineStr">
        <is>
          <t>15:50-18:00</t>
        </is>
      </c>
      <c r="E58" s="339" t="inlineStr">
        <is>
          <t>潜能班</t>
        </is>
      </c>
      <c r="F58" s="339" t="inlineStr">
        <is>
          <t>谢明真</t>
        </is>
      </c>
      <c r="G58" s="339" t="inlineStr">
        <is>
          <t>刘希子</t>
        </is>
      </c>
      <c r="H58" s="339" t="inlineStr">
        <is>
          <t>李润</t>
        </is>
      </c>
      <c r="I58" s="339" t="inlineStr">
        <is>
          <t>宗志鹏</t>
        </is>
      </c>
      <c r="J58" s="339" t="inlineStr">
        <is>
          <t>陈亮延</t>
        </is>
      </c>
      <c r="K58" s="339" t="n"/>
      <c r="L58" s="339" t="n"/>
      <c r="M58" s="339" t="inlineStr">
        <is>
          <t>主动性可以</t>
        </is>
      </c>
      <c r="N58" s="339" t="inlineStr">
        <is>
          <t>时态有问题</t>
        </is>
      </c>
      <c r="O58" s="339" t="inlineStr">
        <is>
          <t>侧重于数学，英语就落下了。英语有补习过。有表演，主持的经历。二胎后再关注孩子。多关注兴趣，需要被表扬！</t>
        </is>
      </c>
      <c r="P58" s="339" t="n">
        <v>70</v>
      </c>
      <c r="Q58" s="339" t="inlineStr">
        <is>
          <t>无</t>
        </is>
      </c>
      <c r="R58" s="339" t="n"/>
      <c r="S58" s="339" t="n"/>
      <c r="T58" s="339" t="n"/>
      <c r="U58" s="339" t="n"/>
      <c r="V58" s="339" t="n"/>
      <c r="W58" s="339" t="n"/>
      <c r="X58" s="339" t="n"/>
      <c r="Y58" s="339" t="n"/>
      <c r="Z58" s="339" t="n"/>
      <c r="AA58" s="339" t="n"/>
      <c r="AB58" s="339" t="n"/>
      <c r="AC58" s="339" t="n"/>
      <c r="AD58" s="339" t="n"/>
      <c r="AE58" s="339" t="n"/>
      <c r="AF58" s="339" t="n"/>
      <c r="AG58" s="339" t="n"/>
      <c r="AH58" s="339" t="n"/>
    </row>
    <row r="59" ht="26.25" customFormat="1" customHeight="1" s="423">
      <c r="A59" s="315" t="inlineStr">
        <is>
          <t>同创汇</t>
        </is>
      </c>
      <c r="B59" s="315" t="inlineStr">
        <is>
          <t>零期</t>
        </is>
      </c>
      <c r="C59" s="315" t="n">
        <v>3132865</v>
      </c>
      <c r="D59" s="315" t="inlineStr">
        <is>
          <t>15:50-18:00</t>
        </is>
      </c>
      <c r="E59" s="315" t="inlineStr">
        <is>
          <t>潜能班</t>
        </is>
      </c>
      <c r="F59" s="315" t="inlineStr">
        <is>
          <t>邢婧萱</t>
        </is>
      </c>
      <c r="G59" s="315" t="inlineStr">
        <is>
          <t>刘希子</t>
        </is>
      </c>
      <c r="H59" s="315" t="inlineStr">
        <is>
          <t>黄铭怡</t>
        </is>
      </c>
      <c r="I59" s="315" t="inlineStr">
        <is>
          <t>田雨涵01</t>
        </is>
      </c>
      <c r="J59" s="315" t="inlineStr">
        <is>
          <t>苏丽婷</t>
        </is>
      </c>
      <c r="K59" s="315" t="n"/>
      <c r="L59" s="315" t="inlineStr">
        <is>
          <t>十三中</t>
        </is>
      </c>
      <c r="M59" s="1025" t="inlineStr">
        <is>
          <t>花时间背单词，但是
不走脑子。会拼不会读。
主动学习，早上会起来背单词
记忆力不好？</t>
        </is>
      </c>
      <c r="N59" s="426" t="inlineStr">
        <is>
          <t>阅读，写作，听力，反正整体一般般</t>
        </is>
      </c>
      <c r="O59" s="1026" t="inlineStr">
        <is>
          <t>1对1补课
基础弱</t>
        </is>
      </c>
      <c r="P59" s="315" t="inlineStr">
        <is>
          <t>B</t>
        </is>
      </c>
      <c r="Q59" s="315" t="n"/>
      <c r="R59" s="315" t="n"/>
      <c r="S59" s="315" t="n"/>
      <c r="T59" s="315" t="inlineStr">
        <is>
          <t>是</t>
        </is>
      </c>
      <c r="U59" s="315" t="inlineStr">
        <is>
          <t>是</t>
        </is>
      </c>
      <c r="V59" s="315" t="inlineStr">
        <is>
          <t>是</t>
        </is>
      </c>
      <c r="W59" s="315" t="n"/>
      <c r="X59" s="315" t="n"/>
      <c r="Y59" s="315" t="n"/>
      <c r="Z59" s="315" t="inlineStr">
        <is>
          <t>是</t>
        </is>
      </c>
      <c r="AA59" s="315" t="n"/>
      <c r="AB59" s="315" t="n"/>
      <c r="AC59" s="315" t="n"/>
      <c r="AD59" s="315" t="inlineStr">
        <is>
          <t>A</t>
        </is>
      </c>
      <c r="AE59" s="315" t="n"/>
      <c r="AF59" s="315" t="n"/>
      <c r="AG59" s="315" t="n"/>
      <c r="AH59" s="315" t="n"/>
      <c r="AI59" s="315" t="inlineStr">
        <is>
          <t>是</t>
        </is>
      </c>
      <c r="AJ59" s="281" t="n"/>
      <c r="AK59" s="315" t="n"/>
      <c r="AL59" s="7" t="n"/>
      <c r="AM59" s="315" t="n"/>
    </row>
    <row r="60" ht="26.25" customFormat="1" customHeight="1" s="366">
      <c r="A60" s="340" t="inlineStr">
        <is>
          <t>天成大厦</t>
        </is>
      </c>
      <c r="B60" s="340" t="inlineStr">
        <is>
          <t>一期</t>
        </is>
      </c>
      <c r="C60" s="340" t="n">
        <v>5230783</v>
      </c>
      <c r="D60" s="340" t="inlineStr">
        <is>
          <t>13:20-15:30</t>
        </is>
      </c>
      <c r="E60" s="340" t="inlineStr">
        <is>
          <t>潜能班</t>
        </is>
      </c>
      <c r="F60" s="340" t="inlineStr">
        <is>
          <t>严健天</t>
        </is>
      </c>
      <c r="G60" s="340" t="inlineStr">
        <is>
          <t>刘希子</t>
        </is>
      </c>
      <c r="H60" s="340" t="n"/>
      <c r="I60" s="340" t="n"/>
      <c r="J60" s="340" t="inlineStr">
        <is>
          <t>沈思浩</t>
        </is>
      </c>
      <c r="K60" s="340" t="n"/>
      <c r="L60" s="340" t="n"/>
      <c r="M60" s="340" t="n"/>
      <c r="N60" s="340" t="n"/>
      <c r="O60" s="340" t="n"/>
      <c r="P60" s="340" t="n"/>
      <c r="Q60" s="340" t="n"/>
      <c r="R60" s="340" t="n"/>
      <c r="S60" s="340" t="n"/>
      <c r="T60" s="340" t="n"/>
      <c r="U60" s="340" t="n"/>
      <c r="V60" s="340" t="n"/>
      <c r="W60" s="340" t="n"/>
      <c r="X60" s="340" t="n"/>
      <c r="Y60" s="340" t="n"/>
      <c r="Z60" s="340" t="n"/>
      <c r="AA60" s="340" t="n"/>
      <c r="AB60" s="340" t="n"/>
      <c r="AC60" s="340" t="n"/>
      <c r="AD60" s="340" t="n"/>
      <c r="AE60" s="340" t="n"/>
      <c r="AF60" s="340" t="n"/>
      <c r="AG60" s="340" t="n"/>
      <c r="AH60" s="340" t="n"/>
    </row>
    <row r="61" ht="26.25" customFormat="1" customHeight="1" s="367">
      <c r="A61" s="339" t="inlineStr">
        <is>
          <t>同创汇</t>
        </is>
      </c>
      <c r="B61" s="339" t="inlineStr">
        <is>
          <t>二期</t>
        </is>
      </c>
      <c r="C61" s="339" t="n">
        <v>3132893</v>
      </c>
      <c r="D61" s="339" t="inlineStr">
        <is>
          <t>15:50-18:00</t>
        </is>
      </c>
      <c r="E61" s="339" t="inlineStr">
        <is>
          <t>潜能班</t>
        </is>
      </c>
      <c r="F61" s="339" t="inlineStr">
        <is>
          <t>杨恩桐</t>
        </is>
      </c>
      <c r="G61" s="339" t="inlineStr">
        <is>
          <t>刘希子</t>
        </is>
      </c>
      <c r="H61" s="339" t="inlineStr">
        <is>
          <t>李润</t>
        </is>
      </c>
      <c r="I61" s="339" t="inlineStr">
        <is>
          <t>何咏04</t>
        </is>
      </c>
      <c r="J61" s="339" t="inlineStr">
        <is>
          <t>王丽</t>
        </is>
      </c>
      <c r="K61" s="339" t="n"/>
      <c r="L61" s="339" t="n"/>
      <c r="M61" s="339" t="n"/>
      <c r="N61" s="339" t="n"/>
      <c r="O61" s="339" t="inlineStr">
        <is>
          <t>笔记记得全但字迹潦草</t>
        </is>
      </c>
      <c r="P61" s="339" t="n">
        <v>90</v>
      </c>
      <c r="Q61" s="339" t="n"/>
      <c r="R61" s="339" t="n"/>
      <c r="S61" s="339" t="n"/>
      <c r="T61" s="339" t="n"/>
      <c r="U61" s="339" t="n"/>
      <c r="V61" s="339" t="n"/>
      <c r="W61" s="339" t="n"/>
      <c r="X61" s="339" t="n"/>
      <c r="Y61" s="339" t="n"/>
      <c r="Z61" s="339" t="n"/>
      <c r="AA61" s="339" t="n"/>
      <c r="AB61" s="339" t="n"/>
      <c r="AC61" s="339" t="n"/>
      <c r="AD61" s="339" t="n"/>
      <c r="AE61" s="339" t="n"/>
      <c r="AF61" s="339" t="n"/>
      <c r="AG61" s="339" t="n"/>
      <c r="AH61" s="339" t="n"/>
      <c r="AI61" s="366" t="n"/>
      <c r="AJ61" s="366" t="n"/>
      <c r="AK61" s="366" t="n"/>
      <c r="AL61" s="366" t="n"/>
      <c r="AM61" s="366" t="n"/>
    </row>
    <row r="62" ht="26.25" customHeight="1" s="1053">
      <c r="A62" s="315" t="inlineStr">
        <is>
          <t>同创汇</t>
        </is>
      </c>
      <c r="B62" s="315" t="inlineStr">
        <is>
          <t>零期</t>
        </is>
      </c>
      <c r="C62" s="315" t="n">
        <v>5230765</v>
      </c>
      <c r="D62" s="315" t="inlineStr">
        <is>
          <t>10:20-12:30</t>
        </is>
      </c>
      <c r="E62" s="315" t="inlineStr">
        <is>
          <t>潜能班</t>
        </is>
      </c>
      <c r="F62" s="315" t="inlineStr">
        <is>
          <t>杨芊羽</t>
        </is>
      </c>
      <c r="G62" s="315" t="inlineStr">
        <is>
          <t>刘希子</t>
        </is>
      </c>
      <c r="H62" s="315" t="inlineStr">
        <is>
          <t>黄铭怡</t>
        </is>
      </c>
      <c r="I62" s="315" t="inlineStr">
        <is>
          <t>陈中帅</t>
        </is>
      </c>
      <c r="J62" s="315" t="inlineStr">
        <is>
          <t>苏丽婷</t>
        </is>
      </c>
      <c r="K62" s="315" t="inlineStr">
        <is>
          <t>建设六马路</t>
        </is>
      </c>
      <c r="L62" s="315" t="inlineStr">
        <is>
          <t>等摇号</t>
        </is>
      </c>
      <c r="M62" s="1027" t="inlineStr">
        <is>
          <t>不愿意背单词
孩子还是愿意去上课的，就是不够自觉主动学，要老师抓紧点</t>
        </is>
      </c>
      <c r="N62" s="426" t="inlineStr">
        <is>
          <t>分班考前提高</t>
        </is>
      </c>
      <c r="O62" s="1028" t="inlineStr">
        <is>
          <t>大学生家教，教校内英语
KET刚及格
以及！这个家长近几天很忙
可能导致沟通不畅</t>
        </is>
      </c>
      <c r="P62" s="315" t="inlineStr">
        <is>
          <t>80-90，基本90</t>
        </is>
      </c>
      <c r="T62" s="315" t="inlineStr">
        <is>
          <t>是</t>
        </is>
      </c>
      <c r="U62" s="315" t="inlineStr">
        <is>
          <t>是</t>
        </is>
      </c>
      <c r="V62" s="315" t="inlineStr">
        <is>
          <t>是</t>
        </is>
      </c>
      <c r="Z62" s="315" t="inlineStr">
        <is>
          <t>否</t>
        </is>
      </c>
      <c r="AA62" s="315" t="inlineStr">
        <is>
          <t>是</t>
        </is>
      </c>
      <c r="AD62" s="315" t="inlineStr">
        <is>
          <t>B</t>
        </is>
      </c>
      <c r="AI62" s="315" t="inlineStr">
        <is>
          <t>是</t>
        </is>
      </c>
      <c r="AJ62" s="281" t="n"/>
      <c r="AL62" s="7" t="n"/>
    </row>
    <row r="63" ht="26.25" customHeight="1" s="1053">
      <c r="A63" s="315" t="inlineStr">
        <is>
          <t>同创汇</t>
        </is>
      </c>
      <c r="B63" s="315" t="inlineStr">
        <is>
          <t>零期</t>
        </is>
      </c>
      <c r="C63" s="315" t="n">
        <v>3132865</v>
      </c>
      <c r="D63" s="315" t="inlineStr">
        <is>
          <t>15:50-18:00</t>
        </is>
      </c>
      <c r="E63" s="315" t="inlineStr">
        <is>
          <t>潜能班</t>
        </is>
      </c>
      <c r="F63" s="315" t="inlineStr">
        <is>
          <t>杨梓俊</t>
        </is>
      </c>
      <c r="G63" s="315" t="inlineStr">
        <is>
          <t>刘希子</t>
        </is>
      </c>
      <c r="H63" s="315" t="inlineStr">
        <is>
          <t>陈南05</t>
        </is>
      </c>
      <c r="I63" s="315" t="inlineStr">
        <is>
          <t>陈中帅</t>
        </is>
      </c>
      <c r="J63" s="315" t="inlineStr">
        <is>
          <t>苏丽婷</t>
        </is>
      </c>
      <c r="K63" s="315" t="inlineStr">
        <is>
          <t>白云区新科小学</t>
        </is>
      </c>
      <c r="L63" s="1029" t="inlineStr">
        <is>
          <t>直升白云区的铁1
民办（华新/京溪）</t>
        </is>
      </c>
      <c r="M63" s="1030" t="inlineStr">
        <is>
          <t>没有盯他的作业，是他自己做好的
学的太快了，有点混乱</t>
        </is>
      </c>
      <c r="N63" s="1031" t="inlineStr">
        <is>
          <t>主要是词汇量不够，然后语法，语法经常有错误
提前适应初中的一个节奏。然后第二个让他可以多加强一下
不够自信，有点懒散，希望改变</t>
        </is>
      </c>
      <c r="O63" s="1032" t="inlineStr">
        <is>
          <t>每周五的话，都会有家庭教师在到家里面补课，然后就看他哪一科就补哪一科，家教是大学生
练得不到位，就一小时
数学A，语文90上下
喜欢打游戏，调皮，浮躁，很难静心</t>
        </is>
      </c>
      <c r="P63" s="315" t="n">
        <v>90</v>
      </c>
      <c r="T63" s="315" t="inlineStr">
        <is>
          <t>是</t>
        </is>
      </c>
      <c r="U63" s="315" t="inlineStr">
        <is>
          <t>是</t>
        </is>
      </c>
      <c r="V63" s="315" t="inlineStr">
        <is>
          <t>是</t>
        </is>
      </c>
      <c r="Z63" s="315" t="inlineStr">
        <is>
          <t>是</t>
        </is>
      </c>
      <c r="AD63" s="315" t="inlineStr">
        <is>
          <t>A</t>
        </is>
      </c>
      <c r="AI63" s="315" t="inlineStr">
        <is>
          <t>是</t>
        </is>
      </c>
      <c r="AJ63" s="281" t="n"/>
      <c r="AL63" s="7" t="n"/>
    </row>
    <row r="64" ht="26.25" customFormat="1" customHeight="1" s="366">
      <c r="A64" s="339" t="inlineStr">
        <is>
          <t>同创汇</t>
        </is>
      </c>
      <c r="B64" s="339" t="inlineStr">
        <is>
          <t>二期</t>
        </is>
      </c>
      <c r="C64" s="339" t="n">
        <v>3132893</v>
      </c>
      <c r="D64" s="339" t="inlineStr">
        <is>
          <t>15:50-18:00</t>
        </is>
      </c>
      <c r="E64" s="339" t="inlineStr">
        <is>
          <t>潜能班</t>
        </is>
      </c>
      <c r="F64" s="339" t="inlineStr">
        <is>
          <t>叶家荣</t>
        </is>
      </c>
      <c r="G64" s="339" t="inlineStr">
        <is>
          <t>刘希子</t>
        </is>
      </c>
      <c r="H64" s="339" t="inlineStr">
        <is>
          <t>李润</t>
        </is>
      </c>
      <c r="I64" s="339" t="inlineStr">
        <is>
          <t>何咏04</t>
        </is>
      </c>
      <c r="J64" s="339" t="inlineStr">
        <is>
          <t>王丽</t>
        </is>
      </c>
      <c r="K64" s="339" t="inlineStr">
        <is>
          <t>东山实验小学</t>
        </is>
      </c>
      <c r="L64" s="339" t="inlineStr">
        <is>
          <t>等摇号结果</t>
        </is>
      </c>
      <c r="M64" s="339" t="inlineStr">
        <is>
          <t>自己搞定作业，家长检查</t>
        </is>
      </c>
      <c r="N64" s="339" t="inlineStr">
        <is>
          <t>语法弱，提前适应初中</t>
        </is>
      </c>
      <c r="O64" s="339" t="n"/>
      <c r="P64" s="339" t="inlineStr">
        <is>
          <t>90多，92</t>
        </is>
      </c>
      <c r="Q64" s="339" t="n"/>
      <c r="R64" s="339" t="n"/>
      <c r="S64" s="339" t="n"/>
      <c r="T64" s="339" t="n"/>
      <c r="U64" s="339" t="n"/>
      <c r="V64" s="339" t="n"/>
      <c r="W64" s="339" t="n"/>
      <c r="X64" s="339" t="n"/>
      <c r="Y64" s="339" t="n"/>
      <c r="Z64" s="339" t="n"/>
      <c r="AA64" s="339" t="n"/>
      <c r="AB64" s="339" t="n"/>
      <c r="AC64" s="339" t="n"/>
      <c r="AD64" s="339" t="n"/>
      <c r="AE64" s="339" t="n"/>
      <c r="AF64" s="339" t="n"/>
      <c r="AG64" s="339" t="n"/>
      <c r="AH64" s="339" t="n"/>
    </row>
    <row r="65" ht="26.25" customHeight="1" s="1053">
      <c r="A65" s="315" t="inlineStr">
        <is>
          <t>同创汇</t>
        </is>
      </c>
      <c r="B65" s="315" t="inlineStr">
        <is>
          <t>零期</t>
        </is>
      </c>
      <c r="C65" s="315" t="n">
        <v>5230765</v>
      </c>
      <c r="D65" s="315" t="inlineStr">
        <is>
          <t>10:20-12:30</t>
        </is>
      </c>
      <c r="E65" s="315" t="inlineStr">
        <is>
          <t>潜能班</t>
        </is>
      </c>
      <c r="F65" s="315" t="inlineStr">
        <is>
          <t>于彦臻</t>
        </is>
      </c>
      <c r="G65" s="315" t="inlineStr">
        <is>
          <t>刘希子</t>
        </is>
      </c>
      <c r="H65" s="315" t="inlineStr">
        <is>
          <t>黄铭怡</t>
        </is>
      </c>
      <c r="I65" s="315" t="inlineStr">
        <is>
          <t>陈中帅</t>
        </is>
      </c>
      <c r="J65" s="315" t="inlineStr">
        <is>
          <t>王丽</t>
        </is>
      </c>
      <c r="K65" s="315" t="inlineStr">
        <is>
          <t>杨箕小学</t>
        </is>
      </c>
      <c r="L65" s="315" t="inlineStr">
        <is>
          <t>铁一</t>
        </is>
      </c>
      <c r="M65" s="1033" t="inlineStr">
        <is>
          <t>需要盯一盯
熟悉以后就不内向</t>
        </is>
      </c>
      <c r="N65" s="1034" t="inlineStr">
        <is>
          <t>衔接初中
语法和作文</t>
        </is>
      </c>
      <c r="O65" s="1035" t="inlineStr">
        <is>
          <t>以前在山东上学，五四制度
以前是三起，以前也不考作文</t>
        </is>
      </c>
      <c r="P65" s="315" t="inlineStr">
        <is>
          <t>B, 84</t>
        </is>
      </c>
      <c r="T65" s="315" t="inlineStr">
        <is>
          <t>是</t>
        </is>
      </c>
      <c r="U65" s="315" t="inlineStr">
        <is>
          <t>是</t>
        </is>
      </c>
      <c r="V65" s="315" t="inlineStr">
        <is>
          <t>是</t>
        </is>
      </c>
      <c r="Z65" s="315" t="inlineStr">
        <is>
          <t>是</t>
        </is>
      </c>
      <c r="AA65" s="315" t="inlineStr">
        <is>
          <t>是</t>
        </is>
      </c>
      <c r="AD65" s="315" t="inlineStr">
        <is>
          <t>B</t>
        </is>
      </c>
      <c r="AH65" s="315" t="inlineStr">
        <is>
          <t>是</t>
        </is>
      </c>
      <c r="AI65" s="315" t="inlineStr">
        <is>
          <t>是</t>
        </is>
      </c>
      <c r="AJ65" s="281" t="n"/>
      <c r="AL65" s="7" t="n"/>
    </row>
    <row r="66" ht="26.25" customHeight="1" s="1053">
      <c r="A66" s="315" t="inlineStr">
        <is>
          <t>同创汇</t>
        </is>
      </c>
      <c r="B66" s="315" t="inlineStr">
        <is>
          <t>零期</t>
        </is>
      </c>
      <c r="C66" s="315" t="n">
        <v>3132865</v>
      </c>
      <c r="D66" s="315" t="inlineStr">
        <is>
          <t>15:50-18:00</t>
        </is>
      </c>
      <c r="E66" s="315" t="inlineStr">
        <is>
          <t>潜能班</t>
        </is>
      </c>
      <c r="F66" s="315" t="inlineStr">
        <is>
          <t>于耀杰</t>
        </is>
      </c>
      <c r="G66" s="315" t="inlineStr">
        <is>
          <t>刘希子</t>
        </is>
      </c>
      <c r="H66" s="315" t="inlineStr">
        <is>
          <t>陈南05</t>
        </is>
      </c>
      <c r="I66" s="315" t="inlineStr">
        <is>
          <t>田雨涵01</t>
        </is>
      </c>
      <c r="J66" s="315" t="inlineStr">
        <is>
          <t>戎凯01</t>
        </is>
      </c>
      <c r="K66" s="315" t="inlineStr">
        <is>
          <t>中星小学</t>
        </is>
      </c>
      <c r="L66" s="315" t="inlineStr">
        <is>
          <t>广大附 比较严</t>
        </is>
      </c>
      <c r="M66" s="103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7" t="inlineStr">
        <is>
          <t>英语，整个语法体系不完善，还想把初中的语法三大从句的部分也重新和巩固。
语文是他比较弱的学科，希望能找到适合他的课程提升语文的素养。</t>
        </is>
      </c>
      <c r="O66" s="103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5" t="inlineStr">
        <is>
          <t>英语平时测验在95</t>
        </is>
      </c>
      <c r="T66" s="315" t="inlineStr">
        <is>
          <t>是</t>
        </is>
      </c>
      <c r="U66" s="315" t="inlineStr">
        <is>
          <t>是</t>
        </is>
      </c>
      <c r="V66" s="315" t="inlineStr">
        <is>
          <t>是</t>
        </is>
      </c>
      <c r="Z66" s="315" t="inlineStr">
        <is>
          <t>是</t>
        </is>
      </c>
      <c r="AA66" s="315">
        <f>VLOOKUP(F66,'UV台帐'!C:AO,39,0)</f>
        <v/>
      </c>
      <c r="AD66" s="315" t="inlineStr">
        <is>
          <t>A</t>
        </is>
      </c>
      <c r="AI66" s="315" t="inlineStr">
        <is>
          <t>是</t>
        </is>
      </c>
      <c r="AJ66" s="281" t="n"/>
      <c r="AL66" s="7" t="n"/>
    </row>
    <row r="67" ht="26.25" customFormat="1" customHeight="1" s="366">
      <c r="A67" s="339" t="inlineStr">
        <is>
          <t>天成大厦</t>
        </is>
      </c>
      <c r="B67" s="339" t="inlineStr">
        <is>
          <t>三期</t>
        </is>
      </c>
      <c r="C67" s="339" t="n">
        <v>5230788</v>
      </c>
      <c r="D67" s="339" t="inlineStr">
        <is>
          <t>15:50-18:00</t>
        </is>
      </c>
      <c r="E67" s="339" t="inlineStr">
        <is>
          <t>潜能班</t>
        </is>
      </c>
      <c r="F67" s="339" t="inlineStr">
        <is>
          <t>詹婉琦</t>
        </is>
      </c>
      <c r="G67" s="339" t="inlineStr">
        <is>
          <t>刘希子</t>
        </is>
      </c>
      <c r="H67" s="339" t="inlineStr">
        <is>
          <t>李润</t>
        </is>
      </c>
      <c r="I67" s="339" t="inlineStr">
        <is>
          <t>宗志鹏</t>
        </is>
      </c>
      <c r="J67" s="339" t="inlineStr">
        <is>
          <t>沈思浩</t>
        </is>
      </c>
      <c r="K67" s="339" t="n"/>
      <c r="L67" s="339" t="n"/>
      <c r="M67" s="339" t="n"/>
      <c r="N67" s="339" t="n"/>
      <c r="O67" s="339" t="n"/>
      <c r="P67" s="339" t="n"/>
      <c r="Q67" s="339" t="n"/>
      <c r="R67" s="339" t="n"/>
      <c r="S67" s="339" t="n"/>
      <c r="T67" s="339" t="n"/>
      <c r="U67" s="339" t="n"/>
      <c r="V67" s="339" t="n"/>
      <c r="W67" s="339" t="n"/>
      <c r="X67" s="339" t="n"/>
      <c r="Y67" s="339" t="n"/>
      <c r="Z67" s="339" t="n"/>
      <c r="AA67" s="339" t="n"/>
      <c r="AB67" s="339" t="n"/>
      <c r="AC67" s="339" t="n"/>
      <c r="AD67" s="339" t="n"/>
      <c r="AE67" s="339" t="n"/>
      <c r="AF67" s="339" t="n"/>
      <c r="AG67" s="339" t="n"/>
      <c r="AH67" s="339" t="n"/>
    </row>
    <row r="68" ht="26.25" customHeight="1" s="1053">
      <c r="A68" s="315" t="inlineStr">
        <is>
          <t>同创汇</t>
        </is>
      </c>
      <c r="B68" s="315" t="inlineStr">
        <is>
          <t>零期</t>
        </is>
      </c>
      <c r="C68" s="315" t="n">
        <v>5230765</v>
      </c>
      <c r="D68" s="315" t="inlineStr">
        <is>
          <t>10:20-12:30</t>
        </is>
      </c>
      <c r="E68" s="315" t="inlineStr">
        <is>
          <t>潜能班</t>
        </is>
      </c>
      <c r="F68" s="315" t="inlineStr">
        <is>
          <t>张宸</t>
        </is>
      </c>
      <c r="G68" s="315" t="inlineStr">
        <is>
          <t>刘希子</t>
        </is>
      </c>
      <c r="H68" s="315" t="inlineStr">
        <is>
          <t>黄铭怡</t>
        </is>
      </c>
      <c r="I68" s="315" t="inlineStr">
        <is>
          <t>陈中帅</t>
        </is>
      </c>
      <c r="J68" s="315" t="inlineStr">
        <is>
          <t>沈思浩</t>
        </is>
      </c>
      <c r="K68" s="315" t="inlineStr">
        <is>
          <t>小北路</t>
        </is>
      </c>
      <c r="L68" s="315" t="inlineStr">
        <is>
          <t>十六实验</t>
        </is>
      </c>
      <c r="M68" s="1039" t="inlineStr">
        <is>
          <t>比较懒，不背单词
马虎，作业自己能写完
还是挺喜欢英语的</t>
        </is>
      </c>
      <c r="N68" s="1040" t="inlineStr">
        <is>
          <t>阅读写作基础语法
口语听力中上</t>
        </is>
      </c>
      <c r="O68" s="1041" t="inlineStr">
        <is>
          <t>私教课，PET考过了
线上有上一对一外教口语课
私教老师不教初中</t>
        </is>
      </c>
      <c r="P68" s="315" t="inlineStr">
        <is>
          <t>95以上</t>
        </is>
      </c>
      <c r="Q68" s="315" t="n">
        <v>40</v>
      </c>
      <c r="T68" s="315" t="inlineStr">
        <is>
          <t>是</t>
        </is>
      </c>
      <c r="U68" s="315" t="inlineStr">
        <is>
          <t>是</t>
        </is>
      </c>
      <c r="V68" s="315" t="inlineStr">
        <is>
          <t>是</t>
        </is>
      </c>
      <c r="Z68" s="315" t="inlineStr">
        <is>
          <t>是</t>
        </is>
      </c>
      <c r="AA68" s="315" t="inlineStr">
        <is>
          <t>是</t>
        </is>
      </c>
      <c r="AD68" s="315" t="inlineStr">
        <is>
          <t>A</t>
        </is>
      </c>
      <c r="AI68" s="315" t="inlineStr">
        <is>
          <t>是</t>
        </is>
      </c>
      <c r="AJ68" s="281" t="n"/>
      <c r="AL68" s="7" t="n"/>
    </row>
    <row r="69" ht="26.25" customFormat="1" customHeight="1" s="366">
      <c r="A69" s="339" t="inlineStr">
        <is>
          <t>天成大厦</t>
        </is>
      </c>
      <c r="B69" s="339" t="inlineStr">
        <is>
          <t>一期</t>
        </is>
      </c>
      <c r="C69" s="339" t="n">
        <v>5230783</v>
      </c>
      <c r="D69" s="339" t="inlineStr">
        <is>
          <t>13:20-15:30</t>
        </is>
      </c>
      <c r="E69" s="339" t="inlineStr">
        <is>
          <t>潜能班</t>
        </is>
      </c>
      <c r="F69" s="339" t="inlineStr">
        <is>
          <t>张桓</t>
        </is>
      </c>
      <c r="G69" s="339" t="inlineStr">
        <is>
          <t>刘希子</t>
        </is>
      </c>
      <c r="H69" s="339" t="inlineStr">
        <is>
          <t>李润</t>
        </is>
      </c>
      <c r="I69" s="339" t="inlineStr">
        <is>
          <t>陈中帅</t>
        </is>
      </c>
      <c r="J69" s="339" t="inlineStr">
        <is>
          <t>陈亮延</t>
        </is>
      </c>
      <c r="K69" s="339" t="n"/>
      <c r="L69" s="339" t="n"/>
      <c r="M69" s="339" t="inlineStr">
        <is>
          <t>好</t>
        </is>
      </c>
      <c r="N69" s="339" t="inlineStr">
        <is>
          <t>在整体提升</t>
        </is>
      </c>
      <c r="O69" s="339" t="inlineStr">
        <is>
          <t>四岁英语启蒙外教新东方，非常</t>
        </is>
      </c>
      <c r="P69" s="339" t="n">
        <v>94</v>
      </c>
      <c r="Q69" s="339" t="n">
        <v>48</v>
      </c>
      <c r="R69" s="339" t="n"/>
      <c r="S69" s="339" t="n"/>
      <c r="T69" s="339" t="n"/>
      <c r="U69" s="339" t="n"/>
      <c r="V69" s="339" t="n"/>
      <c r="W69" s="339" t="n"/>
      <c r="X69" s="339" t="n"/>
      <c r="Y69" s="339" t="n"/>
      <c r="Z69" s="339" t="n"/>
      <c r="AA69" s="339" t="n"/>
      <c r="AB69" s="339" t="n"/>
      <c r="AC69" s="339" t="n"/>
      <c r="AD69" s="339" t="n"/>
      <c r="AE69" s="339" t="n"/>
      <c r="AF69" s="339" t="n"/>
      <c r="AG69" s="339" t="n"/>
      <c r="AH69" s="339" t="n"/>
    </row>
    <row r="70" ht="26.25" customHeight="1" s="1053">
      <c r="A70" s="315" t="inlineStr">
        <is>
          <t>同创汇</t>
        </is>
      </c>
      <c r="B70" s="315" t="inlineStr">
        <is>
          <t>零期</t>
        </is>
      </c>
      <c r="C70" s="315" t="n">
        <v>5230765</v>
      </c>
      <c r="D70" s="315" t="inlineStr">
        <is>
          <t>10:20-12:30</t>
        </is>
      </c>
      <c r="E70" s="315" t="inlineStr">
        <is>
          <t>潜能班</t>
        </is>
      </c>
      <c r="F70" s="315" t="inlineStr">
        <is>
          <t>张进桐</t>
        </is>
      </c>
      <c r="G70" s="315" t="inlineStr">
        <is>
          <t>刘希子</t>
        </is>
      </c>
      <c r="H70" s="315" t="inlineStr">
        <is>
          <t>黄铭怡</t>
        </is>
      </c>
      <c r="I70" s="315" t="inlineStr">
        <is>
          <t>陈中帅</t>
        </is>
      </c>
      <c r="J70" s="315" t="inlineStr">
        <is>
          <t>戎凯01</t>
        </is>
      </c>
      <c r="K70" s="315" t="inlineStr">
        <is>
          <t>八一</t>
        </is>
      </c>
      <c r="L70" s="315" t="inlineStr">
        <is>
          <t>八一</t>
        </is>
      </c>
      <c r="M70" s="1042" t="inlineStr">
        <is>
          <t>作业自己做，背单词不怎么背
监督他做一做</t>
        </is>
      </c>
      <c r="N70" s="1043" t="inlineStr">
        <is>
          <t>衔接，打基础，写作没什么头绪
尝试拔高</t>
        </is>
      </c>
      <c r="O70" s="1044" t="inlineStr">
        <is>
          <t>以前四五年级上过新东方KET
会有抗拒心理，学习比较磨蹭</t>
        </is>
      </c>
      <c r="P70" s="315" t="inlineStr">
        <is>
          <t>90左右</t>
        </is>
      </c>
      <c r="T70" s="315" t="inlineStr">
        <is>
          <t>是</t>
        </is>
      </c>
      <c r="U70" s="315" t="inlineStr">
        <is>
          <t>是</t>
        </is>
      </c>
      <c r="V70" s="315" t="inlineStr">
        <is>
          <t>是</t>
        </is>
      </c>
      <c r="Z70" s="315" t="inlineStr">
        <is>
          <t>是</t>
        </is>
      </c>
      <c r="AA70" s="315" t="inlineStr">
        <is>
          <t>是</t>
        </is>
      </c>
      <c r="AD70" s="315" t="inlineStr">
        <is>
          <t>B</t>
        </is>
      </c>
      <c r="AI70" s="315" t="inlineStr">
        <is>
          <t>是</t>
        </is>
      </c>
      <c r="AJ70" s="281" t="n"/>
      <c r="AL70" s="119" t="n"/>
    </row>
    <row r="71" ht="26.25" customHeight="1" s="1053">
      <c r="A71" s="315" t="inlineStr">
        <is>
          <t>同创汇</t>
        </is>
      </c>
      <c r="B71" s="315" t="inlineStr">
        <is>
          <t>零期</t>
        </is>
      </c>
      <c r="C71" s="315" t="n">
        <v>5230765</v>
      </c>
      <c r="D71" s="315" t="inlineStr">
        <is>
          <t>10:20-12:30</t>
        </is>
      </c>
      <c r="E71" s="315" t="inlineStr">
        <is>
          <t>潜能班</t>
        </is>
      </c>
      <c r="F71" s="315" t="inlineStr">
        <is>
          <t>张权</t>
        </is>
      </c>
      <c r="G71" s="315" t="inlineStr">
        <is>
          <t>刘希子</t>
        </is>
      </c>
      <c r="H71" s="315" t="inlineStr">
        <is>
          <t>黄铭怡</t>
        </is>
      </c>
      <c r="I71" s="315" t="inlineStr">
        <is>
          <t>陈中帅</t>
        </is>
      </c>
      <c r="J71" s="315" t="inlineStr">
        <is>
          <t>戎凯01</t>
        </is>
      </c>
      <c r="K71" s="315" t="inlineStr">
        <is>
          <t>育才</t>
        </is>
      </c>
      <c r="L71" s="315" t="inlineStr">
        <is>
          <t>育才</t>
        </is>
      </c>
      <c r="M71" s="1045" t="inlineStr">
        <is>
          <t>自觉，但会有一些
小问题。需要鼓励，比较
积极。基本上还是在
靠自己学习</t>
        </is>
      </c>
      <c r="N71" s="1046" t="inlineStr">
        <is>
          <t>语法提高，完型
听力</t>
        </is>
      </c>
      <c r="O71" s="426" t="inlineStr">
        <is>
          <t>PET考过，私人机构学的PET</t>
        </is>
      </c>
      <c r="P71" s="315" t="inlineStr">
        <is>
          <t>95多</t>
        </is>
      </c>
      <c r="Q71" s="315" t="n">
        <v>44</v>
      </c>
      <c r="T71" s="315" t="inlineStr">
        <is>
          <t>是</t>
        </is>
      </c>
      <c r="U71" s="315" t="inlineStr">
        <is>
          <t>是</t>
        </is>
      </c>
      <c r="V71" s="315" t="inlineStr">
        <is>
          <t>是</t>
        </is>
      </c>
      <c r="Z71" s="315" t="inlineStr">
        <is>
          <t>是</t>
        </is>
      </c>
      <c r="AA71" s="315" t="inlineStr">
        <is>
          <t>是</t>
        </is>
      </c>
      <c r="AD71" s="315" t="inlineStr">
        <is>
          <t>A</t>
        </is>
      </c>
      <c r="AI71" s="315" t="inlineStr">
        <is>
          <t>是</t>
        </is>
      </c>
      <c r="AJ71" s="281" t="n"/>
      <c r="AL71" s="119" t="n"/>
    </row>
    <row r="72" ht="26.25" customFormat="1" customHeight="1" s="366">
      <c r="A72" s="339" t="inlineStr">
        <is>
          <t>天成大厦</t>
        </is>
      </c>
      <c r="B72" s="339" t="inlineStr">
        <is>
          <t>一期</t>
        </is>
      </c>
      <c r="C72" s="339" t="n">
        <v>5230783</v>
      </c>
      <c r="D72" s="339" t="inlineStr">
        <is>
          <t>13:20-15:30</t>
        </is>
      </c>
      <c r="E72" s="339" t="inlineStr">
        <is>
          <t>潜能班</t>
        </is>
      </c>
      <c r="F72" s="339" t="inlineStr">
        <is>
          <t>郑皓</t>
        </is>
      </c>
      <c r="G72" s="339" t="inlineStr">
        <is>
          <t>刘希子</t>
        </is>
      </c>
      <c r="H72" s="339" t="n"/>
      <c r="I72" s="339" t="inlineStr">
        <is>
          <t>陈中帅</t>
        </is>
      </c>
      <c r="J72" s="339" t="inlineStr">
        <is>
          <t>王达04</t>
        </is>
      </c>
      <c r="K72" s="339" t="inlineStr">
        <is>
          <t>龙口西小学</t>
        </is>
      </c>
      <c r="L72" s="339" t="n"/>
      <c r="M72" s="339" t="inlineStr">
        <is>
          <t>习惯比较自律</t>
        </is>
      </c>
      <c r="N72" s="339" t="inlineStr">
        <is>
          <t>马虎，英语三科最差</t>
        </is>
      </c>
      <c r="O72" s="339" t="inlineStr">
        <is>
          <t>老生，配合度高</t>
        </is>
      </c>
      <c r="P72" s="339" t="n">
        <v>85</v>
      </c>
      <c r="Q72" s="339" t="n">
        <v>33</v>
      </c>
      <c r="R72" s="339" t="n"/>
      <c r="S72" s="339" t="n"/>
      <c r="T72" s="339" t="n"/>
      <c r="U72" s="339" t="n"/>
      <c r="V72" s="339" t="n"/>
      <c r="W72" s="339" t="n"/>
      <c r="X72" s="339" t="n"/>
      <c r="Y72" s="339" t="n"/>
      <c r="Z72" s="339" t="n"/>
      <c r="AA72" s="339" t="n"/>
      <c r="AB72" s="339" t="n"/>
      <c r="AC72" s="339" t="n"/>
      <c r="AD72" s="339" t="n"/>
      <c r="AE72" s="339" t="n"/>
      <c r="AF72" s="339" t="n"/>
      <c r="AG72" s="339" t="n"/>
      <c r="AH72" s="339" t="n"/>
    </row>
    <row r="73" ht="26.25" customFormat="1" customHeight="1" s="366">
      <c r="A73" s="339" t="inlineStr">
        <is>
          <t>天成大厦</t>
        </is>
      </c>
      <c r="B73" s="339" t="inlineStr">
        <is>
          <t>三期</t>
        </is>
      </c>
      <c r="C73" s="339" t="n">
        <v>5230788</v>
      </c>
      <c r="D73" s="339" t="inlineStr">
        <is>
          <t>15:50-18:00</t>
        </is>
      </c>
      <c r="E73" s="339" t="inlineStr">
        <is>
          <t>潜能班</t>
        </is>
      </c>
      <c r="F73" s="339" t="inlineStr">
        <is>
          <t>芷榕</t>
        </is>
      </c>
      <c r="G73" s="339" t="inlineStr">
        <is>
          <t>刘希子</t>
        </is>
      </c>
      <c r="H73" s="339" t="inlineStr">
        <is>
          <t>李润</t>
        </is>
      </c>
      <c r="I73" s="339" t="inlineStr">
        <is>
          <t>宗志鹏</t>
        </is>
      </c>
      <c r="J73" s="339" t="inlineStr">
        <is>
          <t>陈亮延</t>
        </is>
      </c>
      <c r="K73" s="339" t="n"/>
      <c r="L73" s="339" t="n"/>
      <c r="M73" s="339" t="n"/>
      <c r="N73" s="339" t="n"/>
      <c r="O73" s="339" t="n"/>
      <c r="P73" s="339" t="n"/>
      <c r="Q73" s="339" t="inlineStr">
        <is>
          <t>无</t>
        </is>
      </c>
      <c r="R73" s="339" t="n"/>
      <c r="S73" s="339" t="n"/>
      <c r="T73" s="339" t="n"/>
      <c r="U73" s="339" t="n"/>
      <c r="V73" s="339" t="n"/>
      <c r="W73" s="339" t="n"/>
      <c r="X73" s="339" t="n"/>
      <c r="Y73" s="339" t="n"/>
      <c r="Z73" s="339" t="n"/>
      <c r="AA73" s="339" t="n"/>
      <c r="AB73" s="339" t="n"/>
      <c r="AC73" s="339" t="n"/>
      <c r="AD73" s="339" t="n"/>
      <c r="AE73" s="339" t="n"/>
      <c r="AF73" s="339" t="n"/>
      <c r="AG73" s="339" t="n"/>
      <c r="AH73" s="339" t="n"/>
    </row>
    <row r="74" ht="26.25" customFormat="1" customHeight="1" s="425">
      <c r="A74" s="315" t="inlineStr">
        <is>
          <t>同创汇</t>
        </is>
      </c>
      <c r="B74" s="315" t="inlineStr">
        <is>
          <t>零期</t>
        </is>
      </c>
      <c r="C74" s="315" t="n">
        <v>5230765</v>
      </c>
      <c r="D74" s="315" t="inlineStr">
        <is>
          <t>10:20-12:30</t>
        </is>
      </c>
      <c r="E74" s="315" t="inlineStr">
        <is>
          <t>潜能班</t>
        </is>
      </c>
      <c r="F74" s="315" t="inlineStr">
        <is>
          <t>周名扬</t>
        </is>
      </c>
      <c r="G74" s="315" t="inlineStr">
        <is>
          <t>刘希子</t>
        </is>
      </c>
      <c r="H74" s="315" t="inlineStr">
        <is>
          <t>黄铭怡</t>
        </is>
      </c>
      <c r="I74" s="315" t="inlineStr">
        <is>
          <t>何咏04</t>
        </is>
      </c>
      <c r="J74" s="315" t="inlineStr">
        <is>
          <t>戎凯01</t>
        </is>
      </c>
      <c r="K74" s="315" t="inlineStr">
        <is>
          <t>东风东</t>
        </is>
      </c>
      <c r="L74" s="315" t="inlineStr">
        <is>
          <t>育才</t>
        </is>
      </c>
      <c r="M74" s="1047" t="inlineStr">
        <is>
          <t>基础不强，主要是
他自己在学。老师带着
可以，自己不行，比较内向</t>
        </is>
      </c>
      <c r="N74" s="1048" t="inlineStr">
        <is>
          <t>提高学习兴趣，教他
一些自己学习的能力</t>
        </is>
      </c>
      <c r="O74" s="426" t="inlineStr">
        <is>
          <t>期望解决FBk问题，希望在家附近，妈妈管学习。不喜欢学习，主动性差。学习习惯一般，爱打游戏，喜欢幽默类型的老师。性格上便内向。希望老师能抓一下学习习惯，激发一下学习动力。容易满足，没有目标。</t>
        </is>
      </c>
      <c r="P74" s="315" t="inlineStr">
        <is>
          <t>70-80</t>
        </is>
      </c>
      <c r="Q74" s="315" t="inlineStr">
        <is>
          <t>28/50</t>
        </is>
      </c>
      <c r="R74" s="315" t="n"/>
      <c r="S74" s="315" t="n"/>
      <c r="T74" s="315" t="inlineStr">
        <is>
          <t>是</t>
        </is>
      </c>
      <c r="U74" s="315" t="inlineStr">
        <is>
          <t>是</t>
        </is>
      </c>
      <c r="V74" s="315" t="inlineStr">
        <is>
          <t>是</t>
        </is>
      </c>
      <c r="W74" s="315" t="n"/>
      <c r="X74" s="315" t="n"/>
      <c r="Y74" s="315" t="n"/>
      <c r="Z74" s="315" t="inlineStr">
        <is>
          <t>是</t>
        </is>
      </c>
      <c r="AA74" s="315" t="n"/>
      <c r="AB74" s="315" t="n"/>
      <c r="AC74" s="315" t="n"/>
      <c r="AD74" s="315" t="inlineStr">
        <is>
          <t>B</t>
        </is>
      </c>
      <c r="AE74" s="315" t="n"/>
      <c r="AF74" s="315" t="n"/>
      <c r="AG74" s="315" t="n"/>
      <c r="AH74" s="315" t="n"/>
      <c r="AI74" s="315" t="inlineStr">
        <is>
          <t>是</t>
        </is>
      </c>
      <c r="AJ74" s="366" t="n"/>
      <c r="AK74" s="315" t="n"/>
      <c r="AL74" s="119" t="n"/>
      <c r="AM74" s="315" t="n"/>
    </row>
    <row r="75" ht="26.25" customHeight="1" s="1053">
      <c r="A75" s="315" t="inlineStr">
        <is>
          <t>同创汇</t>
        </is>
      </c>
      <c r="B75" s="315" t="inlineStr">
        <is>
          <t>零期</t>
        </is>
      </c>
      <c r="C75" s="315" t="n">
        <v>5230765</v>
      </c>
      <c r="D75" s="315" t="inlineStr">
        <is>
          <t>10:20-12:30</t>
        </is>
      </c>
      <c r="E75" s="315" t="inlineStr">
        <is>
          <t>潜能班</t>
        </is>
      </c>
      <c r="F75" s="315" t="inlineStr">
        <is>
          <t>周芷帆</t>
        </is>
      </c>
      <c r="G75" s="315" t="inlineStr">
        <is>
          <t>刘希子</t>
        </is>
      </c>
      <c r="H75" s="315" t="inlineStr">
        <is>
          <t>黄铭怡</t>
        </is>
      </c>
      <c r="I75" s="315" t="inlineStr">
        <is>
          <t>陈中帅</t>
        </is>
      </c>
      <c r="J75" s="315" t="inlineStr">
        <is>
          <t>王丽</t>
        </is>
      </c>
      <c r="K75" s="315" t="inlineStr">
        <is>
          <t>育才</t>
        </is>
      </c>
      <c r="L75" s="315" t="inlineStr">
        <is>
          <t>十六</t>
        </is>
      </c>
      <c r="M75" s="426" t="inlineStr">
        <is>
          <t>主要还是孩子自己在学习，但是有问题联系妈妈。</t>
        </is>
      </c>
      <c r="N75" s="1049" t="inlineStr">
        <is>
          <t>孩子不太喜欢英语，背完课文但是无法举一反三。语序不明白。
基础不明白。</t>
        </is>
      </c>
      <c r="O75" s="1050" t="inlineStr">
        <is>
          <t>希望给孩子
一些鼓励。家长挺
认可线下的。</t>
        </is>
      </c>
      <c r="P75" s="315" t="n">
        <v>290</v>
      </c>
      <c r="Q75" s="315" t="n">
        <v>42.5</v>
      </c>
      <c r="T75" s="315" t="inlineStr">
        <is>
          <t>是</t>
        </is>
      </c>
      <c r="U75" s="315" t="inlineStr">
        <is>
          <t>是</t>
        </is>
      </c>
      <c r="V75" s="315" t="inlineStr">
        <is>
          <t>是</t>
        </is>
      </c>
      <c r="Z75" s="315" t="inlineStr">
        <is>
          <t>是</t>
        </is>
      </c>
      <c r="AA75" s="315" t="inlineStr">
        <is>
          <t>是</t>
        </is>
      </c>
      <c r="AD75" s="315" t="inlineStr">
        <is>
          <t>A</t>
        </is>
      </c>
      <c r="AI75" s="315" t="inlineStr">
        <is>
          <t>是</t>
        </is>
      </c>
      <c r="AJ75" s="366" t="n"/>
      <c r="AL75" s="119" t="n"/>
    </row>
    <row r="76" ht="26.25" customHeight="1" s="1053">
      <c r="A76" s="315" t="inlineStr">
        <is>
          <t>同创汇</t>
        </is>
      </c>
      <c r="B76" s="315" t="inlineStr">
        <is>
          <t>零期</t>
        </is>
      </c>
      <c r="C76" s="315" t="n">
        <v>5230765</v>
      </c>
      <c r="D76" s="315" t="inlineStr">
        <is>
          <t>10:20-12:30</t>
        </is>
      </c>
      <c r="E76" s="315" t="inlineStr">
        <is>
          <t>潜能班</t>
        </is>
      </c>
      <c r="F76" s="315" t="inlineStr">
        <is>
          <t>陈秉谦</t>
        </is>
      </c>
      <c r="G76" s="315" t="inlineStr">
        <is>
          <t>刘希子</t>
        </is>
      </c>
      <c r="K76" s="315" t="inlineStr"/>
      <c r="L76" s="315" t="inlineStr">
        <is>
          <t>育才</t>
        </is>
      </c>
      <c r="M76" s="426" t="inlineStr">
        <is>
          <t>学习积极性还行，老师布置的任务能完成</t>
        </is>
      </c>
      <c r="N76" s="1051" t="inlineStr">
        <is>
          <t>语法，写文章小错误多。固定搭配记不住，混淆。
家长英文好像也不错。读课外内容比较少</t>
        </is>
      </c>
      <c r="O76" s="426" t="inlineStr">
        <is>
          <t>学过K,没考</t>
        </is>
      </c>
      <c r="P76" s="1052" t="inlineStr">
        <is>
          <t>英语94-95
没有KP</t>
        </is>
      </c>
      <c r="T76" s="315" t="inlineStr">
        <is>
          <t>是</t>
        </is>
      </c>
      <c r="U76" s="315" t="inlineStr">
        <is>
          <t>是</t>
        </is>
      </c>
      <c r="V76" s="315" t="inlineStr">
        <is>
          <t>是</t>
        </is>
      </c>
      <c r="AD76" s="315" t="inlineStr">
        <is>
          <t>A</t>
        </is>
      </c>
      <c r="AI76" s="315" t="inlineStr">
        <is>
          <t>是</t>
        </is>
      </c>
      <c r="AL76" s="119" t="n"/>
    </row>
    <row r="77" ht="26.25" customFormat="1" customHeight="1" s="366">
      <c r="A77" s="339" t="inlineStr">
        <is>
          <t>同创汇</t>
        </is>
      </c>
      <c r="B77" s="339" t="inlineStr">
        <is>
          <t>零期</t>
        </is>
      </c>
      <c r="C77" s="339" t="n">
        <v>3132865</v>
      </c>
      <c r="D77" s="339" t="inlineStr">
        <is>
          <t>15:50-18:00</t>
        </is>
      </c>
      <c r="E77" s="339" t="inlineStr">
        <is>
          <t>潜能班</t>
        </is>
      </c>
      <c r="F77" s="339" t="inlineStr">
        <is>
          <t>黄亦君</t>
        </is>
      </c>
      <c r="G77" s="339" t="inlineStr">
        <is>
          <t>刘希子</t>
        </is>
      </c>
      <c r="H77" s="339" t="inlineStr">
        <is>
          <t>陈南05</t>
        </is>
      </c>
      <c r="I77" s="339" t="inlineStr">
        <is>
          <t>田雨涵01</t>
        </is>
      </c>
      <c r="J77" s="339" t="inlineStr">
        <is>
          <t>戎凯01</t>
        </is>
      </c>
      <c r="K77" s="339" t="n"/>
      <c r="L77" s="339" t="inlineStr">
        <is>
          <t>十六中实验</t>
        </is>
      </c>
      <c r="M77" s="339" t="inlineStr">
        <is>
          <t>希望提高兴趣</t>
        </is>
      </c>
      <c r="N77" s="339" t="inlineStr">
        <is>
          <t>家长感觉他们不太行</t>
        </is>
      </c>
      <c r="O77" s="339" t="n"/>
      <c r="P77" s="339" t="n">
        <v>95</v>
      </c>
      <c r="Q77" s="339" t="n"/>
      <c r="R77" s="339" t="n"/>
      <c r="S77" s="339" t="n"/>
      <c r="T77" s="339" t="inlineStr">
        <is>
          <t>是</t>
        </is>
      </c>
      <c r="U77" s="339" t="inlineStr">
        <is>
          <t>是</t>
        </is>
      </c>
      <c r="V77" s="339" t="inlineStr">
        <is>
          <t>是</t>
        </is>
      </c>
      <c r="W77" s="339" t="n"/>
      <c r="X77" s="339" t="n"/>
      <c r="Y77" s="339" t="n"/>
      <c r="Z77" s="339" t="inlineStr">
        <is>
          <t>是</t>
        </is>
      </c>
      <c r="AA77" s="339" t="n"/>
      <c r="AB77" s="339" t="n"/>
      <c r="AC77" s="339" t="n"/>
      <c r="AD77" s="339" t="n"/>
      <c r="AE77" s="339" t="n"/>
      <c r="AF77" s="339" t="n"/>
      <c r="AG77" s="339" t="n"/>
      <c r="AH77" s="339" t="n"/>
      <c r="AI77" s="315" t="inlineStr">
        <is>
          <t>是</t>
        </is>
      </c>
    </row>
    <row r="78" ht="26.25" customFormat="1" customHeight="1" s="368">
      <c r="A78" s="339" t="inlineStr">
        <is>
          <t>同创汇</t>
        </is>
      </c>
      <c r="B78" s="339" t="inlineStr">
        <is>
          <t>零期</t>
        </is>
      </c>
      <c r="C78" s="339" t="n">
        <v>3132865</v>
      </c>
      <c r="D78" s="339" t="inlineStr">
        <is>
          <t>15:50-18:00</t>
        </is>
      </c>
      <c r="E78" s="339" t="inlineStr">
        <is>
          <t>潜能班</t>
        </is>
      </c>
      <c r="F78" s="339" t="inlineStr">
        <is>
          <t>黄若桐</t>
        </is>
      </c>
      <c r="G78" s="339" t="inlineStr">
        <is>
          <t>刘希子</t>
        </is>
      </c>
      <c r="H78" s="339" t="inlineStr">
        <is>
          <t>陈南05</t>
        </is>
      </c>
      <c r="I78" s="339" t="inlineStr">
        <is>
          <t>田雨涵01</t>
        </is>
      </c>
      <c r="J78" s="339" t="inlineStr">
        <is>
          <t>戎凯01</t>
        </is>
      </c>
      <c r="K78" s="339" t="n"/>
      <c r="L78" s="339" t="inlineStr">
        <is>
          <t>十六中实验</t>
        </is>
      </c>
      <c r="M78" s="339" t="inlineStr">
        <is>
          <t>希望提高兴趣</t>
        </is>
      </c>
      <c r="N78" s="339" t="inlineStr">
        <is>
          <t>家长感觉他们不太行</t>
        </is>
      </c>
      <c r="O78" s="339" t="n"/>
      <c r="P78" s="339" t="n">
        <v>95</v>
      </c>
      <c r="Q78" s="339" t="n"/>
      <c r="R78" s="339" t="n"/>
      <c r="S78" s="339" t="n"/>
      <c r="T78" s="339" t="inlineStr">
        <is>
          <t>是</t>
        </is>
      </c>
      <c r="U78" s="339" t="inlineStr">
        <is>
          <t>是</t>
        </is>
      </c>
      <c r="V78" s="339" t="inlineStr">
        <is>
          <t>是</t>
        </is>
      </c>
      <c r="W78" s="339" t="n"/>
      <c r="X78" s="339" t="n"/>
      <c r="Y78" s="339" t="n"/>
      <c r="Z78" s="339" t="inlineStr">
        <is>
          <t>是</t>
        </is>
      </c>
      <c r="AA78" s="339" t="n"/>
      <c r="AB78" s="339" t="n"/>
      <c r="AC78" s="339" t="n"/>
      <c r="AD78" s="339" t="n"/>
      <c r="AE78" s="339" t="n"/>
      <c r="AF78" s="339" t="n"/>
      <c r="AG78" s="339" t="n"/>
      <c r="AH78" s="339" t="n"/>
      <c r="AI78" s="315" t="inlineStr">
        <is>
          <t>是</t>
        </is>
      </c>
      <c r="AJ78" s="366" t="n"/>
      <c r="AK78" s="366" t="n"/>
      <c r="AL78" s="366" t="n"/>
      <c r="AM78" s="366" t="n"/>
    </row>
    <row r="79" ht="26.25" customFormat="1" customHeight="1" s="366">
      <c r="A79" s="339" t="inlineStr">
        <is>
          <t>天成大厦</t>
        </is>
      </c>
      <c r="B79" s="339" t="inlineStr">
        <is>
          <t>一期</t>
        </is>
      </c>
      <c r="C79" s="339" t="n">
        <v>5230783</v>
      </c>
      <c r="D79" s="339" t="inlineStr">
        <is>
          <t>13:20-15:30</t>
        </is>
      </c>
      <c r="E79" s="339" t="inlineStr">
        <is>
          <t>潜能班</t>
        </is>
      </c>
      <c r="F79" s="339" t="inlineStr">
        <is>
          <t>Apple</t>
        </is>
      </c>
      <c r="G79" s="339" t="inlineStr">
        <is>
          <t>刘希子</t>
        </is>
      </c>
      <c r="H79" s="339" t="inlineStr">
        <is>
          <t>李润</t>
        </is>
      </c>
      <c r="I79" s="339" t="inlineStr">
        <is>
          <t>陈中帅</t>
        </is>
      </c>
      <c r="J79" s="339" t="inlineStr">
        <is>
          <t>沈思浩</t>
        </is>
      </c>
      <c r="K79" s="339" t="n"/>
      <c r="L79" s="339" t="n"/>
      <c r="M79" s="339" t="n"/>
      <c r="N79" s="339" t="n"/>
      <c r="O79" s="339" t="n"/>
      <c r="P79" s="339" t="n"/>
      <c r="Q79" s="339" t="n"/>
      <c r="R79" s="339" t="n"/>
      <c r="S79" s="339" t="n"/>
      <c r="T79" s="339" t="n"/>
      <c r="U79" s="339" t="n"/>
      <c r="V79" s="339" t="n"/>
      <c r="W79" s="339" t="n"/>
      <c r="X79" s="339" t="n"/>
      <c r="Y79" s="339" t="n"/>
      <c r="Z79" s="339" t="n"/>
      <c r="AA79" s="339" t="n"/>
      <c r="AB79" s="339" t="n"/>
      <c r="AC79" s="339" t="n"/>
      <c r="AD79" s="339" t="n"/>
      <c r="AE79" s="339" t="n"/>
      <c r="AF79" s="339" t="n"/>
      <c r="AG79" s="339" t="n"/>
      <c r="AH79" s="339" t="n"/>
    </row>
    <row r="80" ht="26.25" customFormat="1" customHeight="1" s="366">
      <c r="M80" s="366" t="n"/>
      <c r="N80" s="366" t="n"/>
      <c r="O80" s="366" t="n"/>
    </row>
    <row r="81" ht="26.25" customFormat="1" customHeight="1" s="366">
      <c r="M81" s="366" t="n"/>
      <c r="N81" s="366" t="n"/>
      <c r="O81" s="366" t="n"/>
    </row>
    <row r="82" ht="26.25" customFormat="1" customHeight="1" s="366">
      <c r="M82" s="366" t="n"/>
      <c r="N82" s="366" t="n"/>
      <c r="O82" s="366" t="n"/>
    </row>
    <row r="83" ht="26.25" customFormat="1" customHeight="1" s="366">
      <c r="M83" s="366" t="n"/>
      <c r="N83" s="366" t="n"/>
      <c r="O83" s="366" t="n"/>
    </row>
    <row r="84" ht="26.25" customFormat="1" customHeight="1" s="366">
      <c r="M84" s="366" t="n"/>
      <c r="N84" s="366" t="n"/>
      <c r="O84" s="366" t="n"/>
    </row>
    <row r="85" ht="26.25" customFormat="1" customHeight="1" s="366">
      <c r="M85" s="366" t="n"/>
      <c r="N85" s="366" t="n"/>
      <c r="O85" s="366" t="n"/>
    </row>
    <row r="86" ht="26.25" customFormat="1" customHeight="1" s="366">
      <c r="M86" s="366" t="n"/>
      <c r="N86" s="366" t="n"/>
      <c r="O86" s="366" t="n"/>
    </row>
    <row r="87" ht="26.25" customFormat="1" customHeight="1" s="366">
      <c r="M87" s="366" t="n"/>
      <c r="N87" s="366" t="n"/>
      <c r="O87" s="366" t="n"/>
    </row>
    <row r="88" ht="26.25" customFormat="1" customHeight="1" s="366">
      <c r="M88" s="366" t="n"/>
      <c r="N88" s="366" t="n"/>
      <c r="O88" s="366" t="n"/>
    </row>
    <row r="89" ht="26.25" customFormat="1" customHeight="1" s="366">
      <c r="M89" s="366" t="n"/>
      <c r="N89" s="366" t="n"/>
      <c r="O89" s="366" t="n"/>
    </row>
    <row r="90" ht="26.25" customFormat="1" customHeight="1" s="366">
      <c r="M90" s="366" t="n"/>
      <c r="N90" s="366" t="n"/>
      <c r="O90" s="366" t="n"/>
    </row>
    <row r="91" ht="26.25" customFormat="1" customHeight="1" s="366">
      <c r="M91" s="366" t="n"/>
      <c r="N91" s="366" t="n"/>
      <c r="O91" s="366" t="n"/>
    </row>
    <row r="92" ht="26.25" customFormat="1" customHeight="1" s="366">
      <c r="M92" s="366" t="n"/>
      <c r="N92" s="366" t="n"/>
      <c r="O92" s="366" t="n"/>
    </row>
    <row r="93" ht="26.25" customFormat="1" customHeight="1" s="366">
      <c r="M93" s="366" t="n"/>
      <c r="N93" s="366" t="n"/>
      <c r="O93" s="366" t="n"/>
    </row>
    <row r="94" ht="26.25" customFormat="1" customHeight="1" s="366">
      <c r="M94" s="366" t="n"/>
      <c r="N94" s="366" t="n"/>
      <c r="O94" s="366" t="n"/>
    </row>
    <row r="95" ht="26.25" customFormat="1" customHeight="1" s="366">
      <c r="M95" s="366" t="n"/>
      <c r="N95" s="366" t="n"/>
      <c r="O95" s="366" t="n"/>
    </row>
    <row r="96" ht="26.25" customFormat="1" customHeight="1" s="366">
      <c r="M96" s="366" t="n"/>
      <c r="N96" s="366" t="n"/>
      <c r="O96" s="366" t="n"/>
    </row>
    <row r="97" ht="26.25" customFormat="1" customHeight="1" s="366">
      <c r="M97" s="366" t="n"/>
      <c r="N97" s="366" t="n"/>
      <c r="O97" s="366" t="n"/>
    </row>
    <row r="98" ht="26.25" customFormat="1" customHeight="1" s="366">
      <c r="M98" s="366" t="n"/>
      <c r="N98" s="366" t="n"/>
      <c r="O98" s="366" t="n"/>
    </row>
    <row r="99" ht="26.25" customFormat="1" customHeight="1" s="366">
      <c r="M99" s="366" t="n"/>
      <c r="N99" s="366" t="n"/>
      <c r="O99" s="366" t="n"/>
    </row>
    <row r="100" ht="26.25" customFormat="1" customHeight="1" s="366">
      <c r="M100" s="366" t="n"/>
      <c r="N100" s="366" t="n"/>
      <c r="O100" s="366" t="n"/>
    </row>
    <row r="101" ht="26.25" customFormat="1" customHeight="1" s="366">
      <c r="M101" s="366" t="n"/>
      <c r="N101" s="366" t="n"/>
      <c r="O101" s="366" t="n"/>
    </row>
    <row r="102" ht="26.25" customFormat="1" customHeight="1" s="366">
      <c r="M102" s="366" t="n"/>
      <c r="N102" s="366" t="n"/>
      <c r="O102" s="366" t="n"/>
    </row>
    <row r="103" ht="26.25" customFormat="1" customHeight="1" s="366">
      <c r="M103" s="366" t="n"/>
      <c r="N103" s="366" t="n"/>
      <c r="O103" s="366" t="n"/>
    </row>
    <row r="104" ht="26.25" customFormat="1" customHeight="1" s="366">
      <c r="M104" s="366" t="n"/>
      <c r="N104" s="366" t="n"/>
      <c r="O104" s="366" t="n"/>
    </row>
    <row r="105" ht="26.25" customFormat="1" customHeight="1" s="366">
      <c r="M105" s="366" t="n"/>
      <c r="N105" s="366" t="n"/>
      <c r="O105" s="366" t="n"/>
    </row>
    <row r="106" ht="26.25" customFormat="1" customHeight="1" s="366">
      <c r="M106" s="366" t="n"/>
      <c r="N106" s="366" t="n"/>
      <c r="O106" s="366" t="n"/>
    </row>
    <row r="107" ht="26.25" customFormat="1" customHeight="1" s="366">
      <c r="M107" s="366" t="n"/>
      <c r="N107" s="366" t="n"/>
      <c r="O107" s="366" t="n"/>
    </row>
    <row r="108" ht="26.25" customFormat="1" customHeight="1" s="366">
      <c r="M108" s="366" t="n"/>
      <c r="N108" s="366" t="n"/>
      <c r="O108" s="366" t="n"/>
    </row>
    <row r="109" ht="26.25" customFormat="1" customHeight="1" s="366">
      <c r="M109" s="366" t="n"/>
      <c r="N109" s="366" t="n"/>
      <c r="O109" s="366" t="n"/>
    </row>
    <row r="110" ht="26.25" customFormat="1" customHeight="1" s="366">
      <c r="M110" s="366" t="n"/>
      <c r="N110" s="366" t="n"/>
      <c r="O110" s="366" t="n"/>
    </row>
    <row r="111" ht="26.25" customFormat="1" customHeight="1" s="366">
      <c r="M111" s="366" t="n"/>
      <c r="N111" s="366" t="n"/>
      <c r="O111" s="366" t="n"/>
    </row>
    <row r="112" ht="26.25" customFormat="1" customHeight="1" s="366">
      <c r="M112" s="366" t="n"/>
      <c r="N112" s="366" t="n"/>
      <c r="O112" s="366" t="n"/>
    </row>
    <row r="113" ht="26.25" customFormat="1" customHeight="1" s="366">
      <c r="M113" s="366" t="n"/>
      <c r="N113" s="366" t="n"/>
      <c r="O113" s="366" t="n"/>
    </row>
    <row r="114" ht="26.25" customFormat="1" customHeight="1" s="366">
      <c r="M114" s="366" t="n"/>
      <c r="N114" s="366" t="n"/>
      <c r="O114" s="366" t="n"/>
    </row>
    <row r="115" ht="26.25" customFormat="1" customHeight="1" s="366">
      <c r="M115" s="366" t="n"/>
      <c r="N115" s="366" t="n"/>
      <c r="O115" s="366" t="n"/>
    </row>
    <row r="116" ht="26.25" customFormat="1" customHeight="1" s="366">
      <c r="M116" s="366" t="n"/>
      <c r="N116" s="366" t="n"/>
      <c r="O116" s="366" t="n"/>
    </row>
    <row r="117" ht="26.25" customFormat="1" customHeight="1" s="366">
      <c r="M117" s="366" t="n"/>
      <c r="N117" s="366" t="n"/>
      <c r="O117" s="366" t="n"/>
    </row>
    <row r="118" ht="26.25" customFormat="1" customHeight="1" s="366">
      <c r="M118" s="366" t="n"/>
      <c r="N118" s="366" t="n"/>
      <c r="O118" s="366" t="n"/>
    </row>
    <row r="119" ht="26.25" customFormat="1" customHeight="1" s="366">
      <c r="M119" s="366" t="n"/>
      <c r="N119" s="366" t="n"/>
      <c r="O119" s="366" t="n"/>
    </row>
    <row r="120" ht="26.25" customFormat="1" customHeight="1" s="366">
      <c r="M120" s="366" t="n"/>
      <c r="N120" s="366" t="n"/>
      <c r="O120" s="366" t="n"/>
    </row>
    <row r="121" ht="26.25" customFormat="1" customHeight="1" s="366">
      <c r="M121" s="366" t="n"/>
      <c r="N121" s="366" t="n"/>
      <c r="O121" s="366" t="n"/>
    </row>
    <row r="122" ht="26.25" customFormat="1" customHeight="1" s="366">
      <c r="M122" s="366" t="n"/>
      <c r="N122" s="366" t="n"/>
      <c r="O122" s="366" t="n"/>
    </row>
    <row r="123" ht="26.25" customFormat="1" customHeight="1" s="366">
      <c r="M123" s="366" t="n"/>
      <c r="N123" s="366" t="n"/>
      <c r="O123" s="366" t="n"/>
    </row>
    <row r="124" ht="26.25" customFormat="1" customHeight="1" s="366">
      <c r="M124" s="366" t="n"/>
      <c r="N124" s="366" t="n"/>
      <c r="O124" s="366" t="n"/>
    </row>
    <row r="125" ht="26.25" customFormat="1" customHeight="1" s="366">
      <c r="M125" s="366" t="n"/>
      <c r="N125" s="366" t="n"/>
      <c r="O125" s="366" t="n"/>
    </row>
    <row r="126" ht="26.25" customFormat="1" customHeight="1" s="366">
      <c r="M126" s="366" t="n"/>
      <c r="N126" s="366" t="n"/>
      <c r="O126" s="366" t="n"/>
    </row>
    <row r="127" ht="26.25" customFormat="1" customHeight="1" s="366">
      <c r="M127" s="366" t="n"/>
      <c r="N127" s="366" t="n"/>
      <c r="O127" s="366" t="n"/>
    </row>
    <row r="128" ht="26.25" customFormat="1" customHeight="1" s="366">
      <c r="M128" s="366" t="n"/>
      <c r="N128" s="366" t="n"/>
      <c r="O128" s="366" t="n"/>
    </row>
    <row r="129" ht="26.25" customFormat="1" customHeight="1" s="366">
      <c r="M129" s="366" t="n"/>
      <c r="N129" s="366" t="n"/>
      <c r="O129" s="366" t="n"/>
    </row>
    <row r="130" ht="26.25" customFormat="1" customHeight="1" s="366">
      <c r="M130" s="366" t="n"/>
      <c r="N130" s="366" t="n"/>
      <c r="O130" s="366" t="n"/>
    </row>
    <row r="131" ht="26.25" customFormat="1" customHeight="1" s="366">
      <c r="M131" s="366" t="n"/>
      <c r="N131" s="366" t="n"/>
      <c r="O131" s="366" t="n"/>
    </row>
    <row r="132" ht="26.25" customFormat="1" customHeight="1" s="366">
      <c r="M132" s="366" t="n"/>
      <c r="N132" s="366" t="n"/>
      <c r="O132" s="366" t="n"/>
    </row>
    <row r="133" ht="26.25" customFormat="1" customHeight="1" s="366">
      <c r="M133" s="366" t="n"/>
      <c r="N133" s="366" t="n"/>
      <c r="O133" s="366" t="n"/>
    </row>
    <row r="134" ht="26.25" customFormat="1" customHeight="1" s="366">
      <c r="M134" s="366" t="n"/>
      <c r="N134" s="366" t="n"/>
      <c r="O134" s="366" t="n"/>
    </row>
    <row r="135" ht="26.25" customFormat="1" customHeight="1" s="366">
      <c r="M135" s="366" t="n"/>
      <c r="N135" s="366" t="n"/>
      <c r="O135" s="366" t="n"/>
    </row>
    <row r="136" ht="26.25" customFormat="1" customHeight="1" s="366">
      <c r="M136" s="366" t="n"/>
      <c r="N136" s="366" t="n"/>
      <c r="O136" s="366" t="n"/>
    </row>
    <row r="137" ht="26.25" customFormat="1" customHeight="1" s="366">
      <c r="M137" s="366" t="n"/>
      <c r="N137" s="366" t="n"/>
      <c r="O137" s="366" t="n"/>
    </row>
    <row r="138" ht="26.25" customFormat="1" customHeight="1" s="366">
      <c r="M138" s="366" t="n"/>
      <c r="N138" s="366" t="n"/>
      <c r="O138" s="366" t="n"/>
    </row>
    <row r="139" ht="26.25" customFormat="1" customHeight="1" s="366">
      <c r="M139" s="366" t="n"/>
      <c r="N139" s="366" t="n"/>
      <c r="O139" s="366" t="n"/>
    </row>
    <row r="140" ht="26.25" customFormat="1" customHeight="1" s="366">
      <c r="M140" s="366" t="n"/>
      <c r="N140" s="366" t="n"/>
      <c r="O140" s="366" t="n"/>
    </row>
    <row r="141" ht="26.25" customFormat="1" customHeight="1" s="366">
      <c r="M141" s="366" t="n"/>
      <c r="N141" s="366" t="n"/>
      <c r="O141" s="366" t="n"/>
    </row>
    <row r="142" ht="26.25" customFormat="1" customHeight="1" s="366">
      <c r="M142" s="366" t="n"/>
      <c r="N142" s="366" t="n"/>
      <c r="O142" s="366" t="n"/>
    </row>
    <row r="143" ht="26.25" customFormat="1" customHeight="1" s="366">
      <c r="M143" s="366" t="n"/>
      <c r="N143" s="366" t="n"/>
      <c r="O143" s="366" t="n"/>
    </row>
    <row r="144" ht="26.25" customFormat="1" customHeight="1" s="366">
      <c r="M144" s="366" t="n"/>
      <c r="N144" s="366" t="n"/>
      <c r="O144" s="366" t="n"/>
    </row>
    <row r="145" ht="26.25" customFormat="1" customHeight="1" s="366">
      <c r="M145" s="366" t="n"/>
      <c r="N145" s="366" t="n"/>
      <c r="O145" s="366" t="n"/>
    </row>
    <row r="146" ht="26.25" customFormat="1" customHeight="1" s="366">
      <c r="M146" s="366" t="n"/>
      <c r="N146" s="366" t="n"/>
      <c r="O146" s="366" t="n"/>
    </row>
    <row r="147" ht="26.25" customFormat="1" customHeight="1" s="366">
      <c r="M147" s="366" t="n"/>
      <c r="N147" s="366" t="n"/>
      <c r="O147" s="366" t="n"/>
    </row>
    <row r="148" ht="26.25" customFormat="1" customHeight="1" s="366">
      <c r="M148" s="366" t="n"/>
      <c r="N148" s="366" t="n"/>
      <c r="O148" s="366" t="n"/>
    </row>
    <row r="149" ht="26.25" customFormat="1" customHeight="1" s="366">
      <c r="M149" s="366" t="n"/>
      <c r="N149" s="366" t="n"/>
      <c r="O149" s="366" t="n"/>
    </row>
    <row r="150" ht="26.25" customFormat="1" customHeight="1" s="366">
      <c r="M150" s="366" t="n"/>
      <c r="N150" s="366" t="n"/>
      <c r="O150" s="366" t="n"/>
    </row>
    <row r="151" ht="26.25" customFormat="1" customHeight="1" s="366">
      <c r="M151" s="366" t="n"/>
      <c r="N151" s="366" t="n"/>
      <c r="O151" s="366" t="n"/>
    </row>
    <row r="152" ht="26.25" customFormat="1" customHeight="1" s="366">
      <c r="M152" s="366" t="n"/>
      <c r="N152" s="366" t="n"/>
      <c r="O152" s="366" t="n"/>
    </row>
    <row r="153" ht="26.25" customFormat="1" customHeight="1" s="366">
      <c r="M153" s="366" t="n"/>
      <c r="N153" s="366" t="n"/>
      <c r="O153" s="366" t="n"/>
    </row>
    <row r="154" ht="26.25" customFormat="1" customHeight="1" s="366">
      <c r="M154" s="366" t="n"/>
      <c r="N154" s="366" t="n"/>
      <c r="O154" s="366" t="n"/>
    </row>
    <row r="155" ht="26.25" customFormat="1" customHeight="1" s="366">
      <c r="M155" s="366" t="n"/>
      <c r="N155" s="366" t="n"/>
      <c r="O155" s="366" t="n"/>
    </row>
    <row r="156" ht="26.25" customFormat="1" customHeight="1" s="366">
      <c r="M156" s="366" t="n"/>
      <c r="N156" s="366" t="n"/>
      <c r="O156" s="366" t="n"/>
    </row>
    <row r="157" ht="26.25" customFormat="1" customHeight="1" s="366">
      <c r="M157" s="366" t="n"/>
      <c r="N157" s="366" t="n"/>
      <c r="O157" s="366" t="n"/>
    </row>
    <row r="158" ht="26.25" customFormat="1" customHeight="1" s="366">
      <c r="M158" s="366" t="n"/>
      <c r="N158" s="366" t="n"/>
      <c r="O158" s="366" t="n"/>
    </row>
    <row r="159" ht="26.25" customFormat="1" customHeight="1" s="366">
      <c r="M159" s="366" t="n"/>
      <c r="N159" s="366" t="n"/>
      <c r="O159" s="366" t="n"/>
    </row>
    <row r="160" ht="26.25" customFormat="1" customHeight="1" s="366">
      <c r="M160" s="366" t="n"/>
      <c r="N160" s="366" t="n"/>
      <c r="O160" s="366" t="n"/>
    </row>
    <row r="161" ht="26.25" customFormat="1" customHeight="1" s="366">
      <c r="M161" s="366" t="n"/>
      <c r="N161" s="366" t="n"/>
      <c r="O161" s="366" t="n"/>
    </row>
    <row r="162" ht="26.25" customFormat="1" customHeight="1" s="366">
      <c r="M162" s="366" t="n"/>
      <c r="N162" s="366" t="n"/>
      <c r="O162" s="366" t="n"/>
    </row>
    <row r="163" ht="26.25" customFormat="1" customHeight="1" s="366">
      <c r="M163" s="366" t="n"/>
      <c r="N163" s="366" t="n"/>
      <c r="O163" s="366" t="n"/>
    </row>
    <row r="164" ht="26.25" customFormat="1" customHeight="1" s="366">
      <c r="M164" s="366" t="n"/>
      <c r="N164" s="366" t="n"/>
      <c r="O164" s="366" t="n"/>
    </row>
    <row r="165" ht="26.25" customFormat="1" customHeight="1" s="366">
      <c r="M165" s="366" t="n"/>
      <c r="N165" s="366" t="n"/>
      <c r="O165" s="366" t="n"/>
    </row>
    <row r="166" ht="26.25" customFormat="1" customHeight="1" s="366">
      <c r="M166" s="366" t="n"/>
      <c r="N166" s="366" t="n"/>
      <c r="O166" s="366" t="n"/>
    </row>
    <row r="167" ht="26.25" customFormat="1" customHeight="1" s="366">
      <c r="M167" s="366" t="n"/>
      <c r="N167" s="366" t="n"/>
      <c r="O167" s="366" t="n"/>
    </row>
    <row r="168" ht="26.25" customFormat="1" customHeight="1" s="366">
      <c r="M168" s="366" t="n"/>
      <c r="N168" s="366" t="n"/>
      <c r="O168" s="366" t="n"/>
    </row>
    <row r="169" ht="26.25" customFormat="1" customHeight="1" s="366">
      <c r="M169" s="366" t="n"/>
      <c r="N169" s="366" t="n"/>
      <c r="O169" s="366" t="n"/>
    </row>
    <row r="170" ht="26.25" customFormat="1" customHeight="1" s="366">
      <c r="M170" s="366" t="n"/>
      <c r="N170" s="366" t="n"/>
      <c r="O170" s="366" t="n"/>
    </row>
    <row r="171" ht="26.25" customFormat="1" customHeight="1" s="366">
      <c r="M171" s="366" t="n"/>
      <c r="N171" s="366" t="n"/>
      <c r="O171" s="366" t="n"/>
    </row>
    <row r="172" ht="26.25" customFormat="1" customHeight="1" s="366">
      <c r="M172" s="366" t="n"/>
      <c r="N172" s="366" t="n"/>
      <c r="O172" s="366" t="n"/>
    </row>
    <row r="173" ht="26.25" customFormat="1" customHeight="1" s="366">
      <c r="M173" s="366" t="n"/>
      <c r="N173" s="366" t="n"/>
      <c r="O173" s="366" t="n"/>
    </row>
    <row r="174" ht="26.25" customFormat="1" customHeight="1" s="366">
      <c r="M174" s="366" t="n"/>
      <c r="N174" s="366" t="n"/>
      <c r="O174" s="366" t="n"/>
    </row>
    <row r="175" ht="26.25" customFormat="1" customHeight="1" s="366">
      <c r="M175" s="366" t="n"/>
      <c r="N175" s="366" t="n"/>
      <c r="O175" s="366" t="n"/>
    </row>
    <row r="176" ht="26.25" customFormat="1" customHeight="1" s="366">
      <c r="M176" s="366" t="n"/>
      <c r="N176" s="366" t="n"/>
      <c r="O176" s="366" t="n"/>
    </row>
    <row r="177" ht="26.25" customFormat="1" customHeight="1" s="366">
      <c r="M177" s="366" t="n"/>
      <c r="N177" s="366" t="n"/>
      <c r="O177" s="366" t="n"/>
    </row>
    <row r="178" ht="26.25" customFormat="1" customHeight="1" s="366">
      <c r="M178" s="366" t="n"/>
      <c r="N178" s="366" t="n"/>
      <c r="O178" s="366" t="n"/>
    </row>
    <row r="179" ht="26.25" customFormat="1" customHeight="1" s="366">
      <c r="M179" s="366" t="n"/>
      <c r="N179" s="366" t="n"/>
      <c r="O179" s="366" t="n"/>
    </row>
    <row r="180" ht="26.25" customFormat="1" customHeight="1" s="366">
      <c r="M180" s="366" t="n"/>
      <c r="N180" s="366" t="n"/>
      <c r="O180" s="366" t="n"/>
    </row>
    <row r="181" ht="26.25" customFormat="1" customHeight="1" s="366">
      <c r="M181" s="366" t="n"/>
      <c r="N181" s="366" t="n"/>
      <c r="O181" s="366" t="n"/>
    </row>
    <row r="182" ht="26.25" customFormat="1" customHeight="1" s="366">
      <c r="M182" s="366" t="n"/>
      <c r="N182" s="366" t="n"/>
      <c r="O182" s="366" t="n"/>
    </row>
    <row r="183" ht="26.25" customFormat="1" customHeight="1" s="366">
      <c r="M183" s="366" t="n"/>
      <c r="N183" s="366" t="n"/>
      <c r="O183" s="366" t="n"/>
    </row>
    <row r="184" ht="26.25" customFormat="1" customHeight="1" s="366">
      <c r="M184" s="366" t="n"/>
      <c r="N184" s="366" t="n"/>
      <c r="O184" s="366" t="n"/>
    </row>
    <row r="185" ht="26.25" customFormat="1" customHeight="1" s="366">
      <c r="M185" s="366" t="n"/>
      <c r="N185" s="366" t="n"/>
      <c r="O185" s="366" t="n"/>
    </row>
    <row r="186" ht="26.25" customFormat="1" customHeight="1" s="366">
      <c r="M186" s="366" t="n"/>
      <c r="N186" s="366" t="n"/>
      <c r="O186" s="366" t="n"/>
    </row>
    <row r="187" ht="26.25" customFormat="1" customHeight="1" s="366">
      <c r="M187" s="366" t="n"/>
      <c r="N187" s="366" t="n"/>
      <c r="O187" s="366" t="n"/>
    </row>
    <row r="188" ht="16.5" customHeight="1" s="1053">
      <c r="AL188" s="281" t="n"/>
    </row>
    <row r="189" ht="16.5" customHeight="1" s="1053">
      <c r="AL189" s="281" t="n"/>
    </row>
    <row r="190" ht="16.5" customHeight="1" s="1053">
      <c r="AL190" s="281" t="n"/>
    </row>
    <row r="191" ht="16.5" customHeight="1" s="1053">
      <c r="AL191" s="281" t="n"/>
    </row>
    <row r="192" ht="16.5" customHeight="1" s="1053">
      <c r="AL192" s="281" t="n"/>
    </row>
    <row r="193" ht="16.5" customHeight="1" s="1053">
      <c r="AL193" s="281" t="n"/>
    </row>
    <row r="194" ht="16.5" customHeight="1" s="1053">
      <c r="AL194" s="281" t="n"/>
    </row>
    <row r="195" ht="16.5" customHeight="1" s="1053">
      <c r="AL195" s="281" t="n"/>
    </row>
    <row r="196" ht="16.5" customHeight="1" s="1053">
      <c r="AL196" s="281" t="n"/>
    </row>
    <row r="197" ht="16.5" customHeight="1" s="1053">
      <c r="AL197" s="281" t="n"/>
    </row>
    <row r="198" ht="16.5" customHeight="1" s="1053">
      <c r="AL198" s="281" t="n"/>
    </row>
    <row r="199" ht="16.5" customHeight="1" s="1053">
      <c r="AL199" s="281" t="n"/>
    </row>
    <row r="200" ht="16.5" customHeight="1" s="1053">
      <c r="AL200" s="281" t="n"/>
    </row>
    <row r="201" ht="16.5" customHeight="1" s="1053">
      <c r="AL201" s="281" t="n"/>
    </row>
    <row r="202" ht="16.5" customHeight="1" s="1053">
      <c r="AL202" s="281" t="n"/>
    </row>
    <row r="203" ht="16.5" customHeight="1" s="1053">
      <c r="AL203" s="281" t="n"/>
    </row>
    <row r="204" ht="16.5" customHeight="1" s="1053">
      <c r="AL204" s="9" t="n"/>
    </row>
    <row r="205" ht="16.5" customHeight="1" s="1053">
      <c r="AL205" s="281" t="n"/>
    </row>
    <row r="206" ht="16.5" customHeight="1" s="1053">
      <c r="AL206" s="281" t="n"/>
    </row>
    <row r="207" ht="16.5" customHeight="1" s="1053">
      <c r="AL207" s="281" t="n"/>
    </row>
    <row r="208" ht="16.5" customHeight="1" s="1053">
      <c r="AL208" s="281" t="n"/>
    </row>
    <row r="209" ht="16.5" customHeight="1" s="1053">
      <c r="AL209" s="281"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2026-07-06T12:53:24Z</dcterms:modified>
  <cp:lastModifiedBy>DingTalk</cp:lastModifiedBy>
</cp:coreProperties>
</file>